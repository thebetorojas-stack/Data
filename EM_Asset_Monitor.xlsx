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Dashboard" sheetId="2" state="visible" r:id="rId2"/>
    <sheet xmlns:r="http://schemas.openxmlformats.org/officeDocument/2006/relationships" name="FX" sheetId="3" state="visible" r:id="rId3"/>
    <sheet xmlns:r="http://schemas.openxmlformats.org/officeDocument/2006/relationships" name="Equities" sheetId="4" state="visible" r:id="rId4"/>
    <sheet xmlns:r="http://schemas.openxmlformats.org/officeDocument/2006/relationships" name="Credit" sheetId="5" state="visible" r:id="rId5"/>
    <sheet xmlns:r="http://schemas.openxmlformats.org/officeDocument/2006/relationships" name="Passthrough" sheetId="6" state="visible" r:id="rId6"/>
    <sheet xmlns:r="http://schemas.openxmlformats.org/officeDocument/2006/relationships" name="Betas" sheetId="7" state="visible" r:id="rId7"/>
    <sheet xmlns:r="http://schemas.openxmlformats.org/officeDocument/2006/relationships" name="Scenario" sheetId="8" state="visible" r:id="rId8"/>
    <sheet xmlns:r="http://schemas.openxmlformats.org/officeDocument/2006/relationships" name="Tickers" sheetId="9" state="visible" r:id="rId9"/>
    <sheet xmlns:r="http://schemas.openxmlformats.org/officeDocument/2006/relationships" name="HIST_D" sheetId="10" state="visible" r:id="rId10"/>
  </sheets>
  <definedNames/>
  <calcPr calcId="124519" fullCalcOnLoad="1"/>
</workbook>
</file>

<file path=xl/styles.xml><?xml version="1.0" encoding="utf-8"?>
<styleSheet xmlns="http://schemas.openxmlformats.org/spreadsheetml/2006/main">
  <numFmts count="10">
    <numFmt numFmtId="164" formatCode="dd-mmm-yy"/>
    <numFmt numFmtId="165" formatCode="#,##0.0"/>
    <numFmt numFmtId="166" formatCode="#,##0;(#,##0);&quot;-&quot;"/>
    <numFmt numFmtId="167" formatCode="0.000"/>
    <numFmt numFmtId="168" formatCode="+0.0%;-0.0%;&quot;-&quot;"/>
    <numFmt numFmtId="169" formatCode="0.0%"/>
    <numFmt numFmtId="170" formatCode="+#,##0.0;-#,##0.0;&quot;-&quot;"/>
    <numFmt numFmtId="171" formatCode="+#,##0;-#,##0;&quot;-&quot;"/>
    <numFmt numFmtId="172" formatCode="0.00&quot;x&quot;"/>
    <numFmt numFmtId="173" formatCode="+0.00%;-0.00%;&quot;-&quot;"/>
  </numFmts>
  <fonts count="11">
    <font>
      <name val="Calibri"/>
      <family val="2"/>
      <color theme="1"/>
      <sz val="11"/>
      <scheme val="minor"/>
    </font>
    <font>
      <name val="Arial"/>
      <b val="1"/>
      <color rgb="001A1A1A"/>
      <sz val="16"/>
    </font>
    <font>
      <name val="Arial"/>
      <i val="1"/>
      <color rgb="00595959"/>
      <sz val="10"/>
    </font>
    <font>
      <name val="Arial"/>
      <b val="1"/>
      <color rgb="00FFFFFF"/>
      <sz val="11"/>
    </font>
    <font>
      <name val="Arial"/>
      <color rgb="001A1A1A"/>
      <sz val="10"/>
    </font>
    <font>
      <name val="Arial"/>
      <color rgb="000000FF"/>
      <sz val="10"/>
    </font>
    <font>
      <name val="Arial"/>
      <i val="1"/>
      <color rgb="00595959"/>
      <sz val="9"/>
    </font>
    <font>
      <name val="Arial"/>
      <b val="1"/>
      <color rgb="00FFFFFF"/>
      <sz val="9"/>
    </font>
    <font>
      <name val="Arial"/>
      <color rgb="00008000"/>
      <sz val="10"/>
    </font>
    <font>
      <name val="Arial"/>
      <color rgb="007030A0"/>
      <sz val="10"/>
    </font>
    <font>
      <name val="Arial"/>
      <b val="1"/>
      <color rgb="001A1A1A"/>
      <sz val="10"/>
    </font>
  </fonts>
  <fills count="6">
    <fill>
      <patternFill/>
    </fill>
    <fill>
      <patternFill patternType="gray125"/>
    </fill>
    <fill>
      <patternFill patternType="solid">
        <fgColor rgb="00E60000"/>
      </patternFill>
    </fill>
    <fill>
      <patternFill patternType="solid">
        <fgColor rgb="00FFF2CC"/>
      </patternFill>
    </fill>
    <fill>
      <patternFill patternType="solid">
        <fgColor rgb="0040404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2" borderId="0" pivotButton="0" quotePrefix="0" xfId="0"/>
    <xf numFmtId="0" fontId="7" fillId="4" borderId="1" applyAlignment="1" pivotButton="0" quotePrefix="0" xfId="0">
      <alignment horizontal="center" vertical="center"/>
    </xf>
    <xf numFmtId="0" fontId="4" fillId="0" borderId="0" pivotButton="0" quotePrefix="0" xfId="0"/>
    <xf numFmtId="164" fontId="5" fillId="3" borderId="1" applyAlignment="1" pivotButton="0" quotePrefix="0" xfId="0">
      <alignment horizontal="center" vertical="center"/>
    </xf>
    <xf numFmtId="0" fontId="4" fillId="0" borderId="1" pivotButton="0" quotePrefix="0" xfId="0"/>
    <xf numFmtId="3" fontId="5" fillId="3" borderId="1" applyAlignment="1" pivotButton="0" quotePrefix="0" xfId="0">
      <alignment horizontal="center" vertical="center"/>
    </xf>
    <xf numFmtId="0" fontId="6" fillId="0" borderId="0" pivotButton="0" quotePrefix="0" xfId="0"/>
    <xf numFmtId="165" fontId="5" fillId="3" borderId="1" applyAlignment="1" pivotButton="0" quotePrefix="0" xfId="0">
      <alignment horizontal="center" vertical="center"/>
    </xf>
    <xf numFmtId="2" fontId="5" fillId="3" borderId="1" applyAlignment="1" pivotButton="0" quotePrefix="0" xfId="0">
      <alignment horizontal="center" vertical="center"/>
    </xf>
    <xf numFmtId="4" fontId="5" fillId="3" borderId="1" applyAlignment="1" pivotButton="0" quotePrefix="0" xfId="0">
      <alignment horizontal="center" vertical="center"/>
    </xf>
    <xf numFmtId="166" fontId="5" fillId="3" borderId="1" applyAlignment="1" pivotButton="0" quotePrefix="0" xfId="0">
      <alignment horizontal="center" vertical="center"/>
    </xf>
    <xf numFmtId="0" fontId="5" fillId="3" borderId="1" pivotButton="0" quotePrefix="0" xfId="0"/>
    <xf numFmtId="0" fontId="8" fillId="0" borderId="1" pivotButton="0" quotePrefix="0" xfId="0"/>
    <xf numFmtId="0" fontId="9" fillId="0" borderId="1" pivotButton="0" quotePrefix="0" xfId="0"/>
    <xf numFmtId="0" fontId="7" fillId="4" borderId="1" applyAlignment="1" pivotButton="0" quotePrefix="0" xfId="0">
      <alignment horizontal="center" vertical="center" wrapText="1"/>
    </xf>
    <xf numFmtId="0" fontId="6" fillId="0" borderId="1" applyAlignment="1" pivotButton="0" quotePrefix="0" xfId="0">
      <alignment horizontal="center" vertical="center"/>
    </xf>
    <xf numFmtId="2" fontId="8" fillId="0" borderId="1" applyAlignment="1" pivotButton="0" quotePrefix="0" xfId="0">
      <alignment horizontal="center" vertical="center"/>
    </xf>
    <xf numFmtId="171" fontId="4" fillId="0" borderId="1" applyAlignment="1" pivotButton="0" quotePrefix="0" xfId="0">
      <alignment horizontal="center" vertical="center"/>
    </xf>
    <xf numFmtId="169" fontId="4" fillId="0" borderId="1" applyAlignment="1" pivotButton="0" quotePrefix="0" xfId="0">
      <alignment horizontal="center" vertical="center"/>
    </xf>
    <xf numFmtId="165" fontId="8" fillId="0" borderId="1" applyAlignment="1" pivotButton="0" quotePrefix="0" xfId="0">
      <alignment horizontal="center" vertical="center"/>
    </xf>
    <xf numFmtId="168" fontId="4" fillId="0" borderId="1" applyAlignment="1" pivotButton="0" quotePrefix="0" xfId="0">
      <alignment horizontal="center" vertical="center"/>
    </xf>
    <xf numFmtId="0" fontId="4" fillId="0" borderId="1" applyAlignment="1" pivotButton="0" quotePrefix="0" xfId="0">
      <alignment horizontal="center" vertical="center"/>
    </xf>
    <xf numFmtId="168" fontId="8" fillId="0" borderId="1" applyAlignment="1" pivotButton="0" quotePrefix="0" xfId="0">
      <alignment horizontal="center" vertical="center"/>
    </xf>
    <xf numFmtId="166" fontId="8" fillId="0" borderId="1" applyAlignment="1" pivotButton="0" quotePrefix="0" xfId="0">
      <alignment horizontal="center" vertical="center"/>
    </xf>
    <xf numFmtId="0" fontId="10" fillId="0" borderId="1" pivotButton="0" quotePrefix="0" xfId="0"/>
    <xf numFmtId="171" fontId="8" fillId="0" borderId="1" applyAlignment="1" pivotButton="0" quotePrefix="0" xfId="0">
      <alignment horizontal="center" vertical="center"/>
    </xf>
    <xf numFmtId="0" fontId="10" fillId="0" borderId="0" pivotButton="0" quotePrefix="0" xfId="0"/>
    <xf numFmtId="172" fontId="8" fillId="0" borderId="1" applyAlignment="1" pivotButton="0" quotePrefix="0" xfId="0">
      <alignment horizontal="center" vertical="center"/>
    </xf>
    <xf numFmtId="4" fontId="8" fillId="0" borderId="1" applyAlignment="1" pivotButton="0" quotePrefix="0" xfId="0">
      <alignment horizontal="center" vertical="center"/>
    </xf>
    <xf numFmtId="0" fontId="7" fillId="4" borderId="0" applyAlignment="1" pivotButton="0" quotePrefix="0" xfId="0">
      <alignment vertical="center"/>
    </xf>
    <xf numFmtId="0" fontId="0" fillId="4" borderId="0" pivotButton="0" quotePrefix="0" xfId="0"/>
    <xf numFmtId="167" fontId="8" fillId="0" borderId="1" applyAlignment="1" pivotButton="0" quotePrefix="0" xfId="0">
      <alignment horizontal="center" vertical="center"/>
    </xf>
    <xf numFmtId="168" fontId="10" fillId="5" borderId="1" applyAlignment="1" pivotButton="0" quotePrefix="0" xfId="0">
      <alignment horizontal="center" vertical="center"/>
    </xf>
    <xf numFmtId="169" fontId="10" fillId="5" borderId="1" applyAlignment="1" pivotButton="0" quotePrefix="0" xfId="0">
      <alignment horizontal="center" vertical="center"/>
    </xf>
    <xf numFmtId="170" fontId="4" fillId="0" borderId="1" applyAlignment="1" pivotButton="0" quotePrefix="0" xfId="0">
      <alignment horizontal="center" vertical="center"/>
    </xf>
    <xf numFmtId="4" fontId="10" fillId="5" borderId="1" applyAlignment="1" pivotButton="0" quotePrefix="0" xfId="0">
      <alignment horizontal="center" vertical="center"/>
    </xf>
    <xf numFmtId="170" fontId="10" fillId="5" borderId="1" applyAlignment="1" pivotButton="0" quotePrefix="0" xfId="0">
      <alignment horizontal="center" vertical="center"/>
    </xf>
    <xf numFmtId="166" fontId="4" fillId="0" borderId="1" applyAlignment="1" pivotButton="0" quotePrefix="0" xfId="0">
      <alignment horizontal="center" vertical="center"/>
    </xf>
    <xf numFmtId="2" fontId="4" fillId="0" borderId="1" applyAlignment="1" pivotButton="0" quotePrefix="0" xfId="0">
      <alignment horizontal="center" vertical="center"/>
    </xf>
    <xf numFmtId="172" fontId="4" fillId="0" borderId="1" applyAlignment="1" pivotButton="0" quotePrefix="0" xfId="0">
      <alignment horizontal="center" vertical="center"/>
    </xf>
    <xf numFmtId="0" fontId="6" fillId="0" borderId="1" applyAlignment="1" pivotButton="0" quotePrefix="0" xfId="0">
      <alignment horizontal="right" vertical="center"/>
    </xf>
    <xf numFmtId="171" fontId="10" fillId="5" borderId="1" applyAlignment="1" pivotButton="0" quotePrefix="0" xfId="0">
      <alignment horizontal="center" vertical="center"/>
    </xf>
    <xf numFmtId="173" fontId="4" fillId="0" borderId="1" applyAlignment="1" pivotButton="0" quotePrefix="0" xfId="0">
      <alignment horizontal="center" vertical="center"/>
    </xf>
    <xf numFmtId="173" fontId="10" fillId="5" borderId="1" applyAlignment="1" pivotButton="0" quotePrefix="0" xfId="0">
      <alignment horizontal="center" vertical="center"/>
    </xf>
    <xf numFmtId="173" fontId="8" fillId="0" borderId="1" applyAlignment="1" pivotButton="0" quotePrefix="0" xfId="0">
      <alignment horizontal="center" vertical="center"/>
    </xf>
    <xf numFmtId="0" fontId="6" fillId="0" borderId="1" pivotButton="0" quotePrefix="0" xfId="0"/>
    <xf numFmtId="173" fontId="6" fillId="0" borderId="1" applyAlignment="1" pivotButton="0" quotePrefix="0" xfId="0">
      <alignment horizontal="center" vertical="center"/>
    </xf>
    <xf numFmtId="2" fontId="10" fillId="5" borderId="1" applyAlignment="1" pivotButton="0" quotePrefix="0" xfId="0">
      <alignment horizontal="center" vertical="center"/>
    </xf>
    <xf numFmtId="172" fontId="10" fillId="5" borderId="1" applyAlignment="1" pivotButton="0" quotePrefix="0" xfId="0">
      <alignment horizontal="center" vertical="center"/>
    </xf>
    <xf numFmtId="166" fontId="10" fillId="5" borderId="1" applyAlignment="1" pivotButton="0" quotePrefix="0" xfId="0">
      <alignment horizontal="center" vertical="center"/>
    </xf>
    <xf numFmtId="2" fontId="8" fillId="5" borderId="1" applyAlignment="1" pivotButton="0" quotePrefix="0" xfId="0">
      <alignment horizontal="center" vertical="center"/>
    </xf>
    <xf numFmtId="166" fontId="8" fillId="5" borderId="1" applyAlignment="1" pivotButton="0" quotePrefix="0" xfId="0">
      <alignment horizontal="center" vertical="center"/>
    </xf>
    <xf numFmtId="2" fontId="10" fillId="0" borderId="1" applyAlignment="1" pivotButton="0" quotePrefix="0" xfId="0">
      <alignment horizontal="center" vertical="center"/>
    </xf>
    <xf numFmtId="4" fontId="4" fillId="0" borderId="1" applyAlignment="1" pivotButton="0" quotePrefix="0" xfId="0">
      <alignment horizontal="center" vertical="center"/>
    </xf>
    <xf numFmtId="171" fontId="7" fillId="4" borderId="1" applyAlignment="1" pivotButton="0" quotePrefix="0" xfId="0">
      <alignment horizontal="center" vertical="center"/>
    </xf>
    <xf numFmtId="168" fontId="7" fillId="4" borderId="1" applyAlignment="1" pivotButton="0" quotePrefix="0" xfId="0">
      <alignment horizontal="center" vertical="center"/>
    </xf>
    <xf numFmtId="0" fontId="5" fillId="3" borderId="1" applyAlignment="1" pivotButton="0" quotePrefix="0" xfId="0">
      <alignment horizontal="center" vertical="center"/>
    </xf>
    <xf numFmtId="0" fontId="10" fillId="3" borderId="1" applyAlignment="1" pivotButton="0" quotePrefix="0" xfId="0">
      <alignment horizontal="center" vertical="center"/>
    </xf>
    <xf numFmtId="164" fontId="9" fillId="0" borderId="0" pivotButton="0" quotePrefix="0" xfId="0"/>
    <xf numFmtId="167" fontId="9" fillId="0" borderId="0" pivotButton="0" quotePrefix="0" xfId="0"/>
    <xf numFmtId="165" fontId="0" fillId="0" borderId="0" pivotButton="0" quotePrefix="0" xfId="0"/>
    <xf numFmtId="173" fontId="0" fillId="0" borderId="0" pivotButton="0" quotePrefix="0" xfId="0"/>
    <xf numFmtId="2" fontId="0" fillId="0" borderId="0" pivotButton="0" quotePrefix="0" xfId="0"/>
    <xf numFmtId="17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48" customWidth="1" min="1" max="1"/>
    <col width="16" customWidth="1" min="2" max="2"/>
    <col width="3" customWidth="1" min="3" max="3"/>
    <col width="2" customWidth="1" min="4" max="4"/>
    <col width="34" customWidth="1" min="5" max="5"/>
    <col width="16" customWidth="1" min="6" max="6"/>
    <col width="2" customWidth="1" min="7" max="7"/>
    <col width="72" customWidth="1" min="8" max="8"/>
  </cols>
  <sheetData>
    <row r="1">
      <c r="A1" s="1" t="inlineStr">
        <is>
          <t>EM ASSET MONITOR  —  FX / EQUITIES / EM USD CREDIT</t>
        </is>
      </c>
    </row>
    <row r="2">
      <c r="A2" s="2" t="inlineStr">
        <is>
          <t>Bloomberg-linked. Every cell is a formula; nothing is pasted as a value. Companion to US_Rates_Credit_Monitor.xlsx. Built for A. Rojas, UBS CIO Americas.</t>
        </is>
      </c>
    </row>
    <row r="4" ht="18" customHeight="1">
      <c r="A4" s="3" t="inlineStr">
        <is>
          <t>SETTINGS  —  every pull and every calculation on every tab points at these cells</t>
        </is>
      </c>
      <c r="B4" s="4" t="n"/>
      <c r="C4" s="4" t="n"/>
      <c r="D4" s="4" t="n"/>
      <c r="E4" s="4" t="n"/>
      <c r="F4" s="4" t="n"/>
      <c r="G4" s="4" t="n"/>
      <c r="H4" s="4" t="n"/>
    </row>
    <row r="5">
      <c r="E5" s="5" t="inlineStr">
        <is>
          <t>Horizon</t>
        </is>
      </c>
      <c r="F5" s="5" t="inlineStr">
        <is>
          <t>Obs back (rows)</t>
        </is>
      </c>
    </row>
    <row r="6">
      <c r="A6" s="6" t="inlineStr">
        <is>
          <t>History start — daily block</t>
        </is>
      </c>
      <c r="B6" s="7">
        <f>EDATE(TODAY(),-126)</f>
        <v/>
      </c>
      <c r="E6" s="8" t="inlineStr">
        <is>
          <t>1D</t>
        </is>
      </c>
      <c r="F6" s="9" t="n">
        <v>2</v>
      </c>
      <c r="H6" s="10" t="inlineStr">
        <is>
          <t>10.5y buffer so the 10y window is always full</t>
        </is>
      </c>
    </row>
    <row r="7">
      <c r="A7" s="6" t="inlineStr">
        <is>
          <t>History end</t>
        </is>
      </c>
      <c r="B7" s="7">
        <f>TODAY()</f>
        <v/>
      </c>
      <c r="E7" s="8" t="inlineStr">
        <is>
          <t>1W</t>
        </is>
      </c>
      <c r="F7" s="9" t="n">
        <v>6</v>
      </c>
      <c r="H7" s="10" t="inlineStr">
        <is>
          <t>BDH end date</t>
        </is>
      </c>
    </row>
    <row r="8">
      <c r="A8" s="6" t="inlineStr">
        <is>
          <t>Daily observations pulled</t>
        </is>
      </c>
      <c r="B8" s="9" t="n">
        <v>2610</v>
      </c>
      <c r="E8" s="8" t="inlineStr">
        <is>
          <t>1M</t>
        </is>
      </c>
      <c r="F8" s="9" t="n">
        <v>23</v>
      </c>
      <c r="H8" s="10" t="inlineStr">
        <is>
          <t>weekdays; block is HIST_D rows 8:2617</t>
        </is>
      </c>
    </row>
    <row r="9">
      <c r="A9" s="6" t="inlineStr">
        <is>
          <t>bp per 1%</t>
        </is>
      </c>
      <c r="B9" s="9" t="n">
        <v>100</v>
      </c>
      <c r="E9" s="8" t="inlineStr">
        <is>
          <t>3M</t>
        </is>
      </c>
      <c r="F9" s="9" t="n">
        <v>66</v>
      </c>
      <c r="H9" s="10" t="inlineStr">
        <is>
          <t>scaling constant used by every change column</t>
        </is>
      </c>
    </row>
    <row r="10">
      <c r="A10" s="6" t="inlineStr">
        <is>
          <t>Total-return horizon (years)</t>
        </is>
      </c>
      <c r="B10" s="11" t="n">
        <v>1</v>
      </c>
      <c r="E10" s="8" t="inlineStr">
        <is>
          <t>6M</t>
        </is>
      </c>
      <c r="F10" s="9" t="n">
        <v>131</v>
      </c>
      <c r="H10" s="10" t="inlineStr">
        <is>
          <t>used on Scenario</t>
        </is>
      </c>
    </row>
    <row r="11">
      <c r="A11" s="6" t="inlineStr">
        <is>
          <t>Cash hurdle (%)</t>
        </is>
      </c>
      <c r="B11" s="12" t="n">
        <v>4.5</v>
      </c>
      <c r="E11" s="8" t="inlineStr">
        <is>
          <t>1Y</t>
        </is>
      </c>
      <c r="F11" s="9" t="n">
        <v>262</v>
      </c>
      <c r="H11" s="10" t="inlineStr">
        <is>
          <t>your stated hurdle for 'EM debt still attractive vs cash'</t>
        </is>
      </c>
    </row>
    <row r="12">
      <c r="A12" s="6" t="inlineStr">
        <is>
          <t>EM USD index modified duration (yrs)</t>
        </is>
      </c>
      <c r="B12" s="13" t="n">
        <v>6.6</v>
      </c>
      <c r="E12" s="8" t="inlineStr">
        <is>
          <t>2Y</t>
        </is>
      </c>
      <c r="F12" s="9" t="n">
        <v>523</v>
      </c>
      <c r="H12" s="10" t="inlineStr">
        <is>
          <t>INPUT — from embi_tracker.py / Bbg DUR_ADJ_MID</t>
        </is>
      </c>
    </row>
    <row r="13">
      <c r="A13" s="6" t="inlineStr">
        <is>
          <t>EM USD index YTW (%)</t>
        </is>
      </c>
      <c r="B13" s="12" t="n">
        <v>6.55</v>
      </c>
      <c r="E13" s="8" t="inlineStr">
        <is>
          <t>3Y</t>
        </is>
      </c>
      <c r="F13" s="9" t="n">
        <v>784</v>
      </c>
      <c r="H13" s="10" t="inlineStr">
        <is>
          <t>INPUT — from embi_tracker.py / Bbg INDEX_YIELD_TO_WORST</t>
        </is>
      </c>
    </row>
    <row r="14">
      <c r="A14" s="6" t="inlineStr">
        <is>
          <t>EMBIGD stripped spread (bp)</t>
        </is>
      </c>
      <c r="B14" s="14" t="n">
        <v>208</v>
      </c>
      <c r="E14" s="8" t="inlineStr">
        <is>
          <t>5Y</t>
        </is>
      </c>
      <c r="F14" s="9" t="n">
        <v>1305</v>
      </c>
      <c r="H14" s="10" t="inlineStr">
        <is>
          <t>INPUT — embi_tracker.py, 'Dur Wgt STW (Trsy)'. Chain-link across the 04-Sep-26 JPM break.</t>
        </is>
      </c>
    </row>
    <row r="15">
      <c r="A15" s="6" t="inlineStr">
        <is>
          <t>UST 10Y mod duration proxy (yrs)</t>
        </is>
      </c>
      <c r="B15" s="13" t="n">
        <v>7.9</v>
      </c>
      <c r="E15" s="8" t="inlineStr">
        <is>
          <t>10Y</t>
        </is>
      </c>
      <c r="F15" s="9" t="n">
        <v>2610</v>
      </c>
      <c r="H15" s="10" t="inlineStr">
        <is>
          <t>INPUT — par-bond duration at the current 10Y; used for the rates leg only</t>
        </is>
      </c>
    </row>
    <row r="16">
      <c r="A16" s="6" t="inlineStr">
        <is>
          <t>Point-in-time: 1M ago date</t>
        </is>
      </c>
      <c r="B16" s="7">
        <f>WORKDAY(TODAY(),-22)</f>
        <v/>
      </c>
      <c r="E16" s="8" t="inlineStr">
        <is>
          <t>YTD</t>
        </is>
      </c>
      <c r="F16" s="9">
        <f>NETWORKDAYS(DATE(YEAR(TODAY())-1,12,31),TODAY())</f>
        <v/>
      </c>
      <c r="H16" s="10" t="inlineStr">
        <is>
          <t>single-point BDP/BDH pulls</t>
        </is>
      </c>
    </row>
    <row r="17">
      <c r="A17" s="6" t="inlineStr">
        <is>
          <t>Point-in-time: prior year-end</t>
        </is>
      </c>
      <c r="B17" s="7">
        <f>DATE(YEAR(TODAY())-1,12,31)</f>
        <v/>
      </c>
      <c r="H17" s="10" t="inlineStr">
        <is>
          <t>same</t>
        </is>
      </c>
    </row>
    <row r="20" ht="18" customHeight="1">
      <c r="A20" s="3" t="inlineStr">
        <is>
          <t>HOW TO READ THIS WORKBOOK</t>
        </is>
      </c>
      <c r="B20" s="4" t="n"/>
      <c r="C20" s="4" t="n"/>
      <c r="D20" s="4" t="n"/>
      <c r="E20" s="4" t="n"/>
      <c r="F20" s="4" t="n"/>
      <c r="G20" s="4" t="n"/>
      <c r="H20" s="4" t="n"/>
    </row>
    <row r="21">
      <c r="A21" s="10" t="inlineStr">
        <is>
          <t>1.  Row n of HIST_D is n-1 weekdays ago. Every lookback is INDEX(range, &lt;offset on this sheet&gt;); every window is range_start:INDEX(range, N).</t>
        </is>
      </c>
    </row>
    <row r="22">
      <c r="A22" s="10" t="inlineStr">
        <is>
          <t xml:space="preserve">    Change one cell in column F and the whole workbook re-windows.</t>
        </is>
      </c>
    </row>
    <row r="23">
      <c r="A23" s="10" t="inlineStr">
        <is>
          <t>2.  If a history column shows one number instead of a full column, you are on pre-dynamic-array Excel: select the block and re-enter the BDH with Ctrl+Shift+Enter.</t>
        </is>
      </c>
    </row>
    <row r="24">
      <c r="A24" s="10" t="inlineStr">
        <is>
          <t>3.  FX is quoted EM per USD throughout. Every FX return shown in this workbook is the return ON the EM currency = prior/current - 1. A positive number is EM strength.</t>
        </is>
      </c>
    </row>
    <row r="25">
      <c r="A25" s="10" t="inlineStr">
        <is>
          <t>4.  The rates leg and the spread leg of EM USD credit are shown separately everywhere. There is no cell that collapses them into one undecomposed number.</t>
        </is>
      </c>
    </row>
    <row r="26">
      <c r="A26" s="10" t="inlineStr">
        <is>
          <t>5.  Pass-through on the Passthrough tab is d(local 10Y) / d(UST 10Y) over the same window. Below 1.0 means the EM curve absorbed less than the US move.</t>
        </is>
      </c>
    </row>
    <row r="27">
      <c r="A27" s="10" t="inlineStr">
        <is>
          <t>6.  Uncertain pulls use IFERROR(live, fallback input) with a LIVE/FALLBACK status beside them. Nothing is silently substituted with a modelled proxy.</t>
        </is>
      </c>
    </row>
    <row r="28">
      <c r="A28" s="10" t="inlineStr">
        <is>
          <t>7.  Anything on Tickers flagged Verify has NOT been confirmed in SECF/FLDS. Confirm before publishing a number that depends on it.</t>
        </is>
      </c>
    </row>
    <row r="30" ht="18" customHeight="1">
      <c r="A30" s="3" t="inlineStr">
        <is>
          <t>COLOUR LEGEND</t>
        </is>
      </c>
      <c r="B30" s="4" t="n"/>
      <c r="C30" s="4" t="n"/>
      <c r="D30" s="4" t="n"/>
      <c r="E30" s="4" t="n"/>
      <c r="F30" s="4" t="n"/>
      <c r="G30" s="4" t="n"/>
      <c r="H30" s="4" t="n"/>
    </row>
    <row r="31">
      <c r="A31" s="15" t="inlineStr">
        <is>
          <t>Blue text</t>
        </is>
      </c>
      <c r="B31" s="8" t="inlineStr"/>
      <c r="E31" s="10" t="inlineStr">
        <is>
          <t>Hardcoded input or scenario lever — yours to change</t>
        </is>
      </c>
    </row>
    <row r="32">
      <c r="A32" s="16" t="inlineStr">
        <is>
          <t>Green text</t>
        </is>
      </c>
      <c r="B32" s="8" t="inlineStr"/>
      <c r="E32" s="10" t="inlineStr">
        <is>
          <t>Link to another tab in this workbook</t>
        </is>
      </c>
    </row>
    <row r="33">
      <c r="A33" s="17" t="inlineStr">
        <is>
          <t>Purple text</t>
        </is>
      </c>
      <c r="B33" s="8" t="inlineStr"/>
      <c r="E33" s="10" t="inlineStr">
        <is>
          <t>Live Bloomberg pull (BDH / BDP)</t>
        </is>
      </c>
    </row>
    <row r="34">
      <c r="A34" s="8" t="inlineStr">
        <is>
          <t>Black text</t>
        </is>
      </c>
      <c r="B34" s="8" t="inlineStr"/>
      <c r="E34" s="10" t="inlineStr">
        <is>
          <t>Formula computed inside this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showGridLines="0" workbookViewId="0">
      <selection activeCell="A1" sqref="A1"/>
    </sheetView>
  </sheetViews>
  <sheetFormatPr baseColWidth="8" defaultRowHeight="15"/>
  <cols>
    <col width="38" customWidth="1" min="1" max="1"/>
    <col width="8" customWidth="1" min="2" max="2"/>
    <col width="11"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s>
  <sheetData>
    <row r="1">
      <c r="A1" s="1" t="inlineStr">
        <is>
          <t>EM ASSET MONITOR  —  DASHBOARD</t>
        </is>
      </c>
    </row>
    <row r="2">
      <c r="A2" s="2" t="inlineStr">
        <is>
          <t>Everything on this sheet is a link. Nothing is computed here that is not computed somewhere else first.</t>
        </is>
      </c>
    </row>
    <row r="3">
      <c r="A3" s="10">
        <f>"As of "&amp;TEXT(INDEX(HIST_D!$A$8:$A$2617,1),"d mmm yyyy")&amp;"   |   built "&amp;TEXT(TODAY(),"d mmm yyyy")</f>
        <v/>
      </c>
    </row>
    <row r="5" ht="18" customHeight="1">
      <c r="A5" s="3" t="inlineStr">
        <is>
          <t>THE US SIDE  —  what EM is being asked to absorb</t>
        </is>
      </c>
      <c r="B5" s="4" t="n"/>
      <c r="C5" s="4" t="n"/>
      <c r="D5" s="4" t="n"/>
      <c r="E5" s="4" t="n"/>
      <c r="F5" s="4" t="n"/>
      <c r="G5" s="4" t="n"/>
      <c r="H5" s="4" t="n"/>
      <c r="I5" s="4" t="n"/>
      <c r="J5" s="4" t="n"/>
      <c r="K5" s="4" t="n"/>
      <c r="L5" s="4" t="n"/>
    </row>
    <row r="6" ht="30" customHeight="1">
      <c r="A6" s="18" t="inlineStr">
        <is>
          <t>Series</t>
        </is>
      </c>
      <c r="B6" s="18" t="inlineStr">
        <is>
          <t>Unit</t>
        </is>
      </c>
      <c r="C6" s="18" t="inlineStr">
        <is>
          <t>Level</t>
        </is>
      </c>
      <c r="D6" s="18" t="inlineStr">
        <is>
          <t>1W</t>
        </is>
      </c>
      <c r="E6" s="18" t="inlineStr">
        <is>
          <t>1M</t>
        </is>
      </c>
      <c r="F6" s="18" t="inlineStr">
        <is>
          <t>3M</t>
        </is>
      </c>
      <c r="G6" s="18" t="inlineStr">
        <is>
          <t>YTD</t>
        </is>
      </c>
      <c r="H6" s="18" t="inlineStr">
        <is>
          <t>1Y</t>
        </is>
      </c>
      <c r="I6" s="18" t="inlineStr">
        <is>
          <t>%ile 1y</t>
        </is>
      </c>
      <c r="J6" s="18" t="inlineStr">
        <is>
          <t>%ile 5y</t>
        </is>
      </c>
      <c r="K6" s="18" t="inlineStr"/>
      <c r="L6" s="18" t="inlineStr"/>
    </row>
    <row r="7">
      <c r="A7" s="8" t="inlineStr">
        <is>
          <t>UST 2Y</t>
        </is>
      </c>
      <c r="B7" s="19" t="inlineStr">
        <is>
          <t>bp</t>
        </is>
      </c>
      <c r="C7" s="20">
        <f>INDEX(HIST_D!$B$8:$B$2617,1)</f>
        <v/>
      </c>
      <c r="D7" s="21">
        <f>IFERROR((INDEX(HIST_D!$B$8:$B$2617,1)-INDEX(HIST_D!$B$8:$B$2617,Control!$F$7))*100,"")</f>
        <v/>
      </c>
      <c r="E7" s="21">
        <f>IFERROR((INDEX(HIST_D!$B$8:$B$2617,1)-INDEX(HIST_D!$B$8:$B$2617,Control!$F$8))*100,"")</f>
        <v/>
      </c>
      <c r="F7" s="21">
        <f>IFERROR((INDEX(HIST_D!$B$8:$B$2617,1)-INDEX(HIST_D!$B$8:$B$2617,Control!$F$9))*100,"")</f>
        <v/>
      </c>
      <c r="G7" s="21">
        <f>IFERROR((INDEX(HIST_D!$B$8:$B$2617,1)-INDEX(HIST_D!$B$8:$B$2617,Control!$F$16))*100,"")</f>
        <v/>
      </c>
      <c r="H7" s="21">
        <f>IFERROR((INDEX(HIST_D!$B$8:$B$2617,1)-INDEX(HIST_D!$B$8:$B$2617,Control!$F$11))*100,"")</f>
        <v/>
      </c>
      <c r="I7" s="22">
        <f>IFERROR(PERCENTRANK(HIST_D!$B$8:INDEX(HIST_D!$B$8:$B$2617,Control!$F$11),INDEX(HIST_D!$B$8:$B$2617,1)),"")</f>
        <v/>
      </c>
      <c r="J7" s="22">
        <f>IFERROR(PERCENTRANK(HIST_D!$B$8:INDEX(HIST_D!$B$8:$B$2617,Control!$F$14),INDEX(HIST_D!$B$8:$B$2617,1)),"")</f>
        <v/>
      </c>
    </row>
    <row r="8">
      <c r="A8" s="8" t="inlineStr">
        <is>
          <t>UST 10Y</t>
        </is>
      </c>
      <c r="B8" s="19" t="inlineStr">
        <is>
          <t>bp</t>
        </is>
      </c>
      <c r="C8" s="20">
        <f>INDEX(HIST_D!$D$8:$D$2617,1)</f>
        <v/>
      </c>
      <c r="D8" s="21">
        <f>IFERROR((INDEX(HIST_D!$D$8:$D$2617,1)-INDEX(HIST_D!$D$8:$D$2617,Control!$F$7))*100,"")</f>
        <v/>
      </c>
      <c r="E8" s="21">
        <f>IFERROR((INDEX(HIST_D!$D$8:$D$2617,1)-INDEX(HIST_D!$D$8:$D$2617,Control!$F$8))*100,"")</f>
        <v/>
      </c>
      <c r="F8" s="21">
        <f>IFERROR((INDEX(HIST_D!$D$8:$D$2617,1)-INDEX(HIST_D!$D$8:$D$2617,Control!$F$9))*100,"")</f>
        <v/>
      </c>
      <c r="G8" s="21">
        <f>IFERROR((INDEX(HIST_D!$D$8:$D$2617,1)-INDEX(HIST_D!$D$8:$D$2617,Control!$F$16))*100,"")</f>
        <v/>
      </c>
      <c r="H8" s="21">
        <f>IFERROR((INDEX(HIST_D!$D$8:$D$2617,1)-INDEX(HIST_D!$D$8:$D$2617,Control!$F$11))*100,"")</f>
        <v/>
      </c>
      <c r="I8" s="22">
        <f>IFERROR(PERCENTRANK(HIST_D!$D$8:INDEX(HIST_D!$D$8:$D$2617,Control!$F$11),INDEX(HIST_D!$D$8:$D$2617,1)),"")</f>
        <v/>
      </c>
      <c r="J8" s="22">
        <f>IFERROR(PERCENTRANK(HIST_D!$D$8:INDEX(HIST_D!$D$8:$D$2617,Control!$F$14),INDEX(HIST_D!$D$8:$D$2617,1)),"")</f>
        <v/>
      </c>
    </row>
    <row r="9">
      <c r="A9" s="8" t="inlineStr">
        <is>
          <t>UST 30Y</t>
        </is>
      </c>
      <c r="B9" s="19" t="inlineStr">
        <is>
          <t>bp</t>
        </is>
      </c>
      <c r="C9" s="20">
        <f>INDEX(HIST_D!$E$8:$E$2617,1)</f>
        <v/>
      </c>
      <c r="D9" s="21">
        <f>IFERROR((INDEX(HIST_D!$E$8:$E$2617,1)-INDEX(HIST_D!$E$8:$E$2617,Control!$F$7))*100,"")</f>
        <v/>
      </c>
      <c r="E9" s="21">
        <f>IFERROR((INDEX(HIST_D!$E$8:$E$2617,1)-INDEX(HIST_D!$E$8:$E$2617,Control!$F$8))*100,"")</f>
        <v/>
      </c>
      <c r="F9" s="21">
        <f>IFERROR((INDEX(HIST_D!$E$8:$E$2617,1)-INDEX(HIST_D!$E$8:$E$2617,Control!$F$9))*100,"")</f>
        <v/>
      </c>
      <c r="G9" s="21">
        <f>IFERROR((INDEX(HIST_D!$E$8:$E$2617,1)-INDEX(HIST_D!$E$8:$E$2617,Control!$F$16))*100,"")</f>
        <v/>
      </c>
      <c r="H9" s="21">
        <f>IFERROR((INDEX(HIST_D!$E$8:$E$2617,1)-INDEX(HIST_D!$E$8:$E$2617,Control!$F$11))*100,"")</f>
        <v/>
      </c>
      <c r="I9" s="22">
        <f>IFERROR(PERCENTRANK(HIST_D!$E$8:INDEX(HIST_D!$E$8:$E$2617,Control!$F$11),INDEX(HIST_D!$E$8:$E$2617,1)),"")</f>
        <v/>
      </c>
      <c r="J9" s="22">
        <f>IFERROR(PERCENTRANK(HIST_D!$E$8:INDEX(HIST_D!$E$8:$E$2617,Control!$F$14),INDEX(HIST_D!$E$8:$E$2617,1)),"")</f>
        <v/>
      </c>
    </row>
    <row r="10">
      <c r="A10" s="8" t="inlineStr">
        <is>
          <t>UST 10Y real</t>
        </is>
      </c>
      <c r="B10" s="19" t="inlineStr">
        <is>
          <t>bp</t>
        </is>
      </c>
      <c r="C10" s="20">
        <f>INDEX(HIST_D!$F$8:$F$2617,1)</f>
        <v/>
      </c>
      <c r="D10" s="21">
        <f>IFERROR((INDEX(HIST_D!$F$8:$F$2617,1)-INDEX(HIST_D!$F$8:$F$2617,Control!$F$7))*100,"")</f>
        <v/>
      </c>
      <c r="E10" s="21">
        <f>IFERROR((INDEX(HIST_D!$F$8:$F$2617,1)-INDEX(HIST_D!$F$8:$F$2617,Control!$F$8))*100,"")</f>
        <v/>
      </c>
      <c r="F10" s="21">
        <f>IFERROR((INDEX(HIST_D!$F$8:$F$2617,1)-INDEX(HIST_D!$F$8:$F$2617,Control!$F$9))*100,"")</f>
        <v/>
      </c>
      <c r="G10" s="21">
        <f>IFERROR((INDEX(HIST_D!$F$8:$F$2617,1)-INDEX(HIST_D!$F$8:$F$2617,Control!$F$16))*100,"")</f>
        <v/>
      </c>
      <c r="H10" s="21">
        <f>IFERROR((INDEX(HIST_D!$F$8:$F$2617,1)-INDEX(HIST_D!$F$8:$F$2617,Control!$F$11))*100,"")</f>
        <v/>
      </c>
      <c r="I10" s="22">
        <f>IFERROR(PERCENTRANK(HIST_D!$F$8:INDEX(HIST_D!$F$8:$F$2617,Control!$F$11),INDEX(HIST_D!$F$8:$F$2617,1)),"")</f>
        <v/>
      </c>
      <c r="J10" s="22">
        <f>IFERROR(PERCENTRANK(HIST_D!$F$8:INDEX(HIST_D!$F$8:$F$2617,Control!$F$14),INDEX(HIST_D!$F$8:$F$2617,1)),"")</f>
        <v/>
      </c>
    </row>
    <row r="11">
      <c r="A11" s="8" t="inlineStr">
        <is>
          <t>ACM term premium 10Y</t>
        </is>
      </c>
      <c r="B11" s="19" t="inlineStr">
        <is>
          <t>bp</t>
        </is>
      </c>
      <c r="C11" s="20">
        <f>INDEX(HIST_D!$H$8:$H$2617,1)</f>
        <v/>
      </c>
      <c r="D11" s="21">
        <f>IFERROR((INDEX(HIST_D!$H$8:$H$2617,1)-INDEX(HIST_D!$H$8:$H$2617,Control!$F$7))*100,"")</f>
        <v/>
      </c>
      <c r="E11" s="21">
        <f>IFERROR((INDEX(HIST_D!$H$8:$H$2617,1)-INDEX(HIST_D!$H$8:$H$2617,Control!$F$8))*100,"")</f>
        <v/>
      </c>
      <c r="F11" s="21">
        <f>IFERROR((INDEX(HIST_D!$H$8:$H$2617,1)-INDEX(HIST_D!$H$8:$H$2617,Control!$F$9))*100,"")</f>
        <v/>
      </c>
      <c r="G11" s="21">
        <f>IFERROR((INDEX(HIST_D!$H$8:$H$2617,1)-INDEX(HIST_D!$H$8:$H$2617,Control!$F$16))*100,"")</f>
        <v/>
      </c>
      <c r="H11" s="21">
        <f>IFERROR((INDEX(HIST_D!$H$8:$H$2617,1)-INDEX(HIST_D!$H$8:$H$2617,Control!$F$11))*100,"")</f>
        <v/>
      </c>
      <c r="I11" s="22">
        <f>IFERROR(PERCENTRANK(HIST_D!$H$8:INDEX(HIST_D!$H$8:$H$2617,Control!$F$11),INDEX(HIST_D!$H$8:$H$2617,1)),"")</f>
        <v/>
      </c>
      <c r="J11" s="22">
        <f>IFERROR(PERCENTRANK(HIST_D!$H$8:INDEX(HIST_D!$H$8:$H$2617,Control!$F$14),INDEX(HIST_D!$H$8:$H$2617,1)),"")</f>
        <v/>
      </c>
    </row>
    <row r="12">
      <c r="A12" s="8" t="inlineStr">
        <is>
          <t>DXY</t>
        </is>
      </c>
      <c r="B12" s="19" t="inlineStr">
        <is>
          <t>pt</t>
        </is>
      </c>
      <c r="C12" s="23">
        <f>INDEX(HIST_D!$J$8:$J$2617,1)</f>
        <v/>
      </c>
      <c r="D12" s="24">
        <f>IFERROR(IFERROR(INDEX(HIST_D!$J$8:$J$2617,1)/INDEX(HIST_D!$J$8:$J$2617,Control!$F$7)-1,""),"")</f>
        <v/>
      </c>
      <c r="E12" s="24">
        <f>IFERROR(IFERROR(INDEX(HIST_D!$J$8:$J$2617,1)/INDEX(HIST_D!$J$8:$J$2617,Control!$F$8)-1,""),"")</f>
        <v/>
      </c>
      <c r="F12" s="24">
        <f>IFERROR(IFERROR(INDEX(HIST_D!$J$8:$J$2617,1)/INDEX(HIST_D!$J$8:$J$2617,Control!$F$9)-1,""),"")</f>
        <v/>
      </c>
      <c r="G12" s="24">
        <f>IFERROR(IFERROR(INDEX(HIST_D!$J$8:$J$2617,1)/INDEX(HIST_D!$J$8:$J$2617,Control!$F$16)-1,""),"")</f>
        <v/>
      </c>
      <c r="H12" s="24">
        <f>IFERROR(IFERROR(INDEX(HIST_D!$J$8:$J$2617,1)/INDEX(HIST_D!$J$8:$J$2617,Control!$F$11)-1,""),"")</f>
        <v/>
      </c>
      <c r="I12" s="22">
        <f>IFERROR(PERCENTRANK(HIST_D!$J$8:INDEX(HIST_D!$J$8:$J$2617,Control!$F$11),INDEX(HIST_D!$J$8:$J$2617,1)),"")</f>
        <v/>
      </c>
      <c r="J12" s="22">
        <f>IFERROR(PERCENTRANK(HIST_D!$J$8:INDEX(HIST_D!$J$8:$J$2617,Control!$F$14),INDEX(HIST_D!$J$8:$J$2617,1)),"")</f>
        <v/>
      </c>
    </row>
    <row r="13">
      <c r="A13" s="8" t="inlineStr">
        <is>
          <t>Brent</t>
        </is>
      </c>
      <c r="B13" s="19" t="inlineStr">
        <is>
          <t>px</t>
        </is>
      </c>
      <c r="C13" s="23">
        <f>INDEX(HIST_D!$N$8:$N$2617,1)</f>
        <v/>
      </c>
      <c r="D13" s="24">
        <f>IFERROR(IFERROR(INDEX(HIST_D!$N$8:$N$2617,1)/INDEX(HIST_D!$N$8:$N$2617,Control!$F$7)-1,""),"")</f>
        <v/>
      </c>
      <c r="E13" s="24">
        <f>IFERROR(IFERROR(INDEX(HIST_D!$N$8:$N$2617,1)/INDEX(HIST_D!$N$8:$N$2617,Control!$F$8)-1,""),"")</f>
        <v/>
      </c>
      <c r="F13" s="24">
        <f>IFERROR(IFERROR(INDEX(HIST_D!$N$8:$N$2617,1)/INDEX(HIST_D!$N$8:$N$2617,Control!$F$9)-1,""),"")</f>
        <v/>
      </c>
      <c r="G13" s="24">
        <f>IFERROR(IFERROR(INDEX(HIST_D!$N$8:$N$2617,1)/INDEX(HIST_D!$N$8:$N$2617,Control!$F$16)-1,""),"")</f>
        <v/>
      </c>
      <c r="H13" s="24">
        <f>IFERROR(IFERROR(INDEX(HIST_D!$N$8:$N$2617,1)/INDEX(HIST_D!$N$8:$N$2617,Control!$F$11)-1,""),"")</f>
        <v/>
      </c>
      <c r="I13" s="22">
        <f>IFERROR(PERCENTRANK(HIST_D!$N$8:INDEX(HIST_D!$N$8:$N$2617,Control!$F$11),INDEX(HIST_D!$N$8:$N$2617,1)),"")</f>
        <v/>
      </c>
      <c r="J13" s="22">
        <f>IFERROR(PERCENTRANK(HIST_D!$N$8:INDEX(HIST_D!$N$8:$N$2617,Control!$F$14),INDEX(HIST_D!$N$8:$N$2617,1)),"")</f>
        <v/>
      </c>
    </row>
    <row r="14">
      <c r="A14" s="8" t="inlineStr">
        <is>
          <t>MOVE</t>
        </is>
      </c>
      <c r="B14" s="19" t="inlineStr">
        <is>
          <t>bp</t>
        </is>
      </c>
      <c r="C14" s="23">
        <f>INDEX(HIST_D!$K$8:$K$2617,1)</f>
        <v/>
      </c>
      <c r="D14" s="21">
        <f>IFERROR((INDEX(HIST_D!$K$8:$K$2617,1)-INDEX(HIST_D!$K$8:$K$2617,Control!$F$7)),"")</f>
        <v/>
      </c>
      <c r="E14" s="21">
        <f>IFERROR((INDEX(HIST_D!$K$8:$K$2617,1)-INDEX(HIST_D!$K$8:$K$2617,Control!$F$8)),"")</f>
        <v/>
      </c>
      <c r="F14" s="21">
        <f>IFERROR((INDEX(HIST_D!$K$8:$K$2617,1)-INDEX(HIST_D!$K$8:$K$2617,Control!$F$9)),"")</f>
        <v/>
      </c>
      <c r="G14" s="21">
        <f>IFERROR((INDEX(HIST_D!$K$8:$K$2617,1)-INDEX(HIST_D!$K$8:$K$2617,Control!$F$16)),"")</f>
        <v/>
      </c>
      <c r="H14" s="21">
        <f>IFERROR((INDEX(HIST_D!$K$8:$K$2617,1)-INDEX(HIST_D!$K$8:$K$2617,Control!$F$11)),"")</f>
        <v/>
      </c>
      <c r="I14" s="22">
        <f>IFERROR(PERCENTRANK(HIST_D!$K$8:INDEX(HIST_D!$K$8:$K$2617,Control!$F$11),INDEX(HIST_D!$K$8:$K$2617,1)),"")</f>
        <v/>
      </c>
      <c r="J14" s="22">
        <f>IFERROR(PERCENTRANK(HIST_D!$K$8:INDEX(HIST_D!$K$8:$K$2617,Control!$F$14),INDEX(HIST_D!$K$8:$K$2617,1)),"")</f>
        <v/>
      </c>
    </row>
    <row r="15">
      <c r="A15" s="8" t="inlineStr">
        <is>
          <t>VIX</t>
        </is>
      </c>
      <c r="B15" s="19" t="inlineStr">
        <is>
          <t>pt</t>
        </is>
      </c>
      <c r="C15" s="23">
        <f>INDEX(HIST_D!$L$8:$L$2617,1)</f>
        <v/>
      </c>
      <c r="D15" s="21">
        <f>IFERROR((INDEX(HIST_D!$L$8:$L$2617,1)-INDEX(HIST_D!$L$8:$L$2617,Control!$F$7)),"")</f>
        <v/>
      </c>
      <c r="E15" s="21">
        <f>IFERROR((INDEX(HIST_D!$L$8:$L$2617,1)-INDEX(HIST_D!$L$8:$L$2617,Control!$F$8)),"")</f>
        <v/>
      </c>
      <c r="F15" s="21">
        <f>IFERROR((INDEX(HIST_D!$L$8:$L$2617,1)-INDEX(HIST_D!$L$8:$L$2617,Control!$F$9)),"")</f>
        <v/>
      </c>
      <c r="G15" s="21">
        <f>IFERROR((INDEX(HIST_D!$L$8:$L$2617,1)-INDEX(HIST_D!$L$8:$L$2617,Control!$F$16)),"")</f>
        <v/>
      </c>
      <c r="H15" s="21">
        <f>IFERROR((INDEX(HIST_D!$L$8:$L$2617,1)-INDEX(HIST_D!$L$8:$L$2617,Control!$F$11)),"")</f>
        <v/>
      </c>
      <c r="I15" s="22">
        <f>IFERROR(PERCENTRANK(HIST_D!$L$8:INDEX(HIST_D!$L$8:$L$2617,Control!$F$11),INDEX(HIST_D!$L$8:$L$2617,1)),"")</f>
        <v/>
      </c>
      <c r="J15" s="22">
        <f>IFERROR(PERCENTRANK(HIST_D!$L$8:INDEX(HIST_D!$L$8:$L$2617,Control!$F$14),INDEX(HIST_D!$L$8:$L$2617,1)),"")</f>
        <v/>
      </c>
    </row>
    <row r="17" ht="18" customHeight="1">
      <c r="A17" s="3" t="inlineStr">
        <is>
          <t>THE EM RESPONSE  —  the three legs side by side</t>
        </is>
      </c>
      <c r="B17" s="4" t="n"/>
      <c r="C17" s="4" t="n"/>
      <c r="D17" s="4" t="n"/>
      <c r="E17" s="4" t="n"/>
      <c r="F17" s="4" t="n"/>
      <c r="G17" s="4" t="n"/>
      <c r="H17" s="4" t="n"/>
      <c r="I17" s="4" t="n"/>
      <c r="J17" s="4" t="n"/>
      <c r="K17" s="4" t="n"/>
      <c r="L17" s="4" t="n"/>
    </row>
    <row r="18" ht="30" customHeight="1">
      <c r="A18" s="18" t="inlineStr">
        <is>
          <t>Series</t>
        </is>
      </c>
      <c r="B18" s="18" t="inlineStr">
        <is>
          <t>Unit</t>
        </is>
      </c>
      <c r="C18" s="18" t="inlineStr">
        <is>
          <t>Level</t>
        </is>
      </c>
      <c r="D18" s="18" t="inlineStr">
        <is>
          <t>1W</t>
        </is>
      </c>
      <c r="E18" s="18" t="inlineStr">
        <is>
          <t>1M</t>
        </is>
      </c>
      <c r="F18" s="18" t="inlineStr">
        <is>
          <t>3M</t>
        </is>
      </c>
      <c r="G18" s="18" t="inlineStr">
        <is>
          <t>YTD</t>
        </is>
      </c>
      <c r="H18" s="18" t="inlineStr">
        <is>
          <t>1Y</t>
        </is>
      </c>
      <c r="I18" s="18" t="inlineStr">
        <is>
          <t>%ile 1y</t>
        </is>
      </c>
      <c r="J18" s="18" t="inlineStr">
        <is>
          <t>%ile 5y</t>
        </is>
      </c>
      <c r="K18" s="18" t="inlineStr"/>
      <c r="L18" s="18" t="inlineStr"/>
    </row>
    <row r="19">
      <c r="A19" s="8" t="inlineStr">
        <is>
          <t>EM FX basket (return on EM ccy)</t>
        </is>
      </c>
      <c r="B19" s="19" t="inlineStr">
        <is>
          <t>%</t>
        </is>
      </c>
      <c r="C19" s="25" t="inlineStr"/>
      <c r="D19" s="26">
        <f>FX!E51</f>
        <v/>
      </c>
      <c r="E19" s="26">
        <f>FX!F51</f>
        <v/>
      </c>
      <c r="F19" s="26">
        <f>FX!G51</f>
        <v/>
      </c>
      <c r="G19" s="26">
        <f>FX!I51</f>
        <v/>
      </c>
      <c r="H19" s="26">
        <f>FX!J51</f>
        <v/>
      </c>
    </row>
    <row r="20">
      <c r="A20" s="8" t="inlineStr">
        <is>
          <t>EM FX basket ex-USD</t>
        </is>
      </c>
      <c r="B20" s="19" t="inlineStr">
        <is>
          <t>%</t>
        </is>
      </c>
      <c r="C20" s="25" t="inlineStr"/>
      <c r="D20" s="26">
        <f>FX!K51</f>
        <v/>
      </c>
      <c r="E20" s="26">
        <f>FX!L51</f>
        <v/>
      </c>
      <c r="F20" s="26">
        <f>FX!M51</f>
        <v/>
      </c>
      <c r="G20" s="26">
        <f>FX!M51</f>
        <v/>
      </c>
      <c r="H20" s="26">
        <f>FX!M51</f>
        <v/>
      </c>
    </row>
    <row r="21">
      <c r="A21" s="8" t="inlineStr">
        <is>
          <t>MSCI EM (USD)</t>
        </is>
      </c>
      <c r="B21" s="19" t="inlineStr">
        <is>
          <t>idx</t>
        </is>
      </c>
      <c r="C21" s="23">
        <f>INDEX(HIST_D!$AZ$8:$AZ$2617,1)</f>
        <v/>
      </c>
      <c r="D21" s="24">
        <f>IFERROR(IFERROR(INDEX(HIST_D!$AZ$8:$AZ$2617,1)/INDEX(HIST_D!$AZ$8:$AZ$2617,Control!$F$7)-1,""),"")</f>
        <v/>
      </c>
      <c r="E21" s="24">
        <f>IFERROR(IFERROR(INDEX(HIST_D!$AZ$8:$AZ$2617,1)/INDEX(HIST_D!$AZ$8:$AZ$2617,Control!$F$8)-1,""),"")</f>
        <v/>
      </c>
      <c r="F21" s="24">
        <f>IFERROR(IFERROR(INDEX(HIST_D!$AZ$8:$AZ$2617,1)/INDEX(HIST_D!$AZ$8:$AZ$2617,Control!$F$9)-1,""),"")</f>
        <v/>
      </c>
      <c r="G21" s="24">
        <f>IFERROR(IFERROR(INDEX(HIST_D!$AZ$8:$AZ$2617,1)/INDEX(HIST_D!$AZ$8:$AZ$2617,Control!$F$16)-1,""),"")</f>
        <v/>
      </c>
      <c r="H21" s="24">
        <f>IFERROR(IFERROR(INDEX(HIST_D!$AZ$8:$AZ$2617,1)/INDEX(HIST_D!$AZ$8:$AZ$2617,Control!$F$11)-1,""),"")</f>
        <v/>
      </c>
      <c r="I21" s="22">
        <f>IFERROR(PERCENTRANK(HIST_D!$AZ$8:INDEX(HIST_D!$AZ$8:$AZ$2617,Control!$F$11),INDEX(HIST_D!$AZ$8:$AZ$2617,1)),"")</f>
        <v/>
      </c>
      <c r="J21" s="22">
        <f>IFERROR(PERCENTRANK(HIST_D!$AZ$8:INDEX(HIST_D!$AZ$8:$AZ$2617,Control!$F$14),INDEX(HIST_D!$AZ$8:$AZ$2617,1)),"")</f>
        <v/>
      </c>
    </row>
    <row r="22">
      <c r="A22" s="8" t="inlineStr">
        <is>
          <t>MSCI World (USD)</t>
        </is>
      </c>
      <c r="B22" s="19" t="inlineStr">
        <is>
          <t>idx</t>
        </is>
      </c>
      <c r="C22" s="23">
        <f>INDEX(HIST_D!$BA$8:$BA$2617,1)</f>
        <v/>
      </c>
      <c r="D22" s="24">
        <f>IFERROR(IFERROR(INDEX(HIST_D!$BA$8:$BA$2617,1)/INDEX(HIST_D!$BA$8:$BA$2617,Control!$F$7)-1,""),"")</f>
        <v/>
      </c>
      <c r="E22" s="24">
        <f>IFERROR(IFERROR(INDEX(HIST_D!$BA$8:$BA$2617,1)/INDEX(HIST_D!$BA$8:$BA$2617,Control!$F$8)-1,""),"")</f>
        <v/>
      </c>
      <c r="F22" s="24">
        <f>IFERROR(IFERROR(INDEX(HIST_D!$BA$8:$BA$2617,1)/INDEX(HIST_D!$BA$8:$BA$2617,Control!$F$9)-1,""),"")</f>
        <v/>
      </c>
      <c r="G22" s="24">
        <f>IFERROR(IFERROR(INDEX(HIST_D!$BA$8:$BA$2617,1)/INDEX(HIST_D!$BA$8:$BA$2617,Control!$F$16)-1,""),"")</f>
        <v/>
      </c>
      <c r="H22" s="24">
        <f>IFERROR(IFERROR(INDEX(HIST_D!$BA$8:$BA$2617,1)/INDEX(HIST_D!$BA$8:$BA$2617,Control!$F$11)-1,""),"")</f>
        <v/>
      </c>
      <c r="I22" s="22">
        <f>IFERROR(PERCENTRANK(HIST_D!$BA$8:INDEX(HIST_D!$BA$8:$BA$2617,Control!$F$11),INDEX(HIST_D!$BA$8:$BA$2617,1)),"")</f>
        <v/>
      </c>
      <c r="J22" s="22">
        <f>IFERROR(PERCENTRANK(HIST_D!$BA$8:INDEX(HIST_D!$BA$8:$BA$2617,Control!$F$14),INDEX(HIST_D!$BA$8:$BA$2617,1)),"")</f>
        <v/>
      </c>
    </row>
    <row r="23">
      <c r="A23" s="8" t="inlineStr">
        <is>
          <t>EM USD Agg OAS</t>
        </is>
      </c>
      <c r="B23" s="19" t="inlineStr">
        <is>
          <t>bp</t>
        </is>
      </c>
      <c r="C23" s="27">
        <f>INDEX(HIST_D!$Q$8:$Q$2617,1)</f>
        <v/>
      </c>
      <c r="D23" s="21">
        <f>IFERROR((INDEX(HIST_D!$Q$8:$Q$2617,1)-INDEX(HIST_D!$Q$8:$Q$2617,Control!$F$7)),"")</f>
        <v/>
      </c>
      <c r="E23" s="21">
        <f>IFERROR((INDEX(HIST_D!$Q$8:$Q$2617,1)-INDEX(HIST_D!$Q$8:$Q$2617,Control!$F$8)),"")</f>
        <v/>
      </c>
      <c r="F23" s="21">
        <f>IFERROR((INDEX(HIST_D!$Q$8:$Q$2617,1)-INDEX(HIST_D!$Q$8:$Q$2617,Control!$F$9)),"")</f>
        <v/>
      </c>
      <c r="G23" s="21">
        <f>IFERROR((INDEX(HIST_D!$Q$8:$Q$2617,1)-INDEX(HIST_D!$Q$8:$Q$2617,Control!$F$16)),"")</f>
        <v/>
      </c>
      <c r="H23" s="21">
        <f>IFERROR((INDEX(HIST_D!$Q$8:$Q$2617,1)-INDEX(HIST_D!$Q$8:$Q$2617,Control!$F$11)),"")</f>
        <v/>
      </c>
      <c r="I23" s="22">
        <f>IFERROR(PERCENTRANK(HIST_D!$Q$8:INDEX(HIST_D!$Q$8:$Q$2617,Control!$F$11),INDEX(HIST_D!$Q$8:$Q$2617,1)),"")</f>
        <v/>
      </c>
      <c r="J23" s="22">
        <f>IFERROR(PERCENTRANK(HIST_D!$Q$8:INDEX(HIST_D!$Q$8:$Q$2617,Control!$F$14),INDEX(HIST_D!$Q$8:$Q$2617,1)),"")</f>
        <v/>
      </c>
    </row>
    <row r="24">
      <c r="A24" s="8" t="inlineStr">
        <is>
          <t>EM USD Sovereign OAS</t>
        </is>
      </c>
      <c r="B24" s="19" t="inlineStr">
        <is>
          <t>bp</t>
        </is>
      </c>
      <c r="C24" s="27">
        <f>INDEX(HIST_D!$S$8:$S$2617,1)</f>
        <v/>
      </c>
      <c r="D24" s="21">
        <f>IFERROR((INDEX(HIST_D!$S$8:$S$2617,1)-INDEX(HIST_D!$S$8:$S$2617,Control!$F$7)),"")</f>
        <v/>
      </c>
      <c r="E24" s="21">
        <f>IFERROR((INDEX(HIST_D!$S$8:$S$2617,1)-INDEX(HIST_D!$S$8:$S$2617,Control!$F$8)),"")</f>
        <v/>
      </c>
      <c r="F24" s="21">
        <f>IFERROR((INDEX(HIST_D!$S$8:$S$2617,1)-INDEX(HIST_D!$S$8:$S$2617,Control!$F$9)),"")</f>
        <v/>
      </c>
      <c r="G24" s="21">
        <f>IFERROR((INDEX(HIST_D!$S$8:$S$2617,1)-INDEX(HIST_D!$S$8:$S$2617,Control!$F$16)),"")</f>
        <v/>
      </c>
      <c r="H24" s="21">
        <f>IFERROR((INDEX(HIST_D!$S$8:$S$2617,1)-INDEX(HIST_D!$S$8:$S$2617,Control!$F$11)),"")</f>
        <v/>
      </c>
      <c r="I24" s="22">
        <f>IFERROR(PERCENTRANK(HIST_D!$S$8:INDEX(HIST_D!$S$8:$S$2617,Control!$F$11),INDEX(HIST_D!$S$8:$S$2617,1)),"")</f>
        <v/>
      </c>
      <c r="J24" s="22">
        <f>IFERROR(PERCENTRANK(HIST_D!$S$8:INDEX(HIST_D!$S$8:$S$2617,Control!$F$14),INDEX(HIST_D!$S$8:$S$2617,1)),"")</f>
        <v/>
      </c>
    </row>
    <row r="25">
      <c r="A25" s="8" t="inlineStr">
        <is>
          <t>US IG OAS</t>
        </is>
      </c>
      <c r="B25" s="19" t="inlineStr">
        <is>
          <t>bp</t>
        </is>
      </c>
      <c r="C25" s="27">
        <f>INDEX(HIST_D!$O$8:$O$2617,1)</f>
        <v/>
      </c>
      <c r="D25" s="21">
        <f>IFERROR((INDEX(HIST_D!$O$8:$O$2617,1)-INDEX(HIST_D!$O$8:$O$2617,Control!$F$7)),"")</f>
        <v/>
      </c>
      <c r="E25" s="21">
        <f>IFERROR((INDEX(HIST_D!$O$8:$O$2617,1)-INDEX(HIST_D!$O$8:$O$2617,Control!$F$8)),"")</f>
        <v/>
      </c>
      <c r="F25" s="21">
        <f>IFERROR((INDEX(HIST_D!$O$8:$O$2617,1)-INDEX(HIST_D!$O$8:$O$2617,Control!$F$9)),"")</f>
        <v/>
      </c>
      <c r="G25" s="21">
        <f>IFERROR((INDEX(HIST_D!$O$8:$O$2617,1)-INDEX(HIST_D!$O$8:$O$2617,Control!$F$16)),"")</f>
        <v/>
      </c>
      <c r="H25" s="21">
        <f>IFERROR((INDEX(HIST_D!$O$8:$O$2617,1)-INDEX(HIST_D!$O$8:$O$2617,Control!$F$11)),"")</f>
        <v/>
      </c>
      <c r="I25" s="22">
        <f>IFERROR(PERCENTRANK(HIST_D!$O$8:INDEX(HIST_D!$O$8:$O$2617,Control!$F$11),INDEX(HIST_D!$O$8:$O$2617,1)),"")</f>
        <v/>
      </c>
      <c r="J25" s="22">
        <f>IFERROR(PERCENTRANK(HIST_D!$O$8:INDEX(HIST_D!$O$8:$O$2617,Control!$F$14),INDEX(HIST_D!$O$8:$O$2617,1)),"")</f>
        <v/>
      </c>
    </row>
    <row r="26">
      <c r="A26" s="8" t="inlineStr">
        <is>
          <t>US HY OAS</t>
        </is>
      </c>
      <c r="B26" s="19" t="inlineStr">
        <is>
          <t>bp</t>
        </is>
      </c>
      <c r="C26" s="27">
        <f>INDEX(HIST_D!$P$8:$P$2617,1)</f>
        <v/>
      </c>
      <c r="D26" s="21">
        <f>IFERROR((INDEX(HIST_D!$P$8:$P$2617,1)-INDEX(HIST_D!$P$8:$P$2617,Control!$F$7)),"")</f>
        <v/>
      </c>
      <c r="E26" s="21">
        <f>IFERROR((INDEX(HIST_D!$P$8:$P$2617,1)-INDEX(HIST_D!$P$8:$P$2617,Control!$F$8)),"")</f>
        <v/>
      </c>
      <c r="F26" s="21">
        <f>IFERROR((INDEX(HIST_D!$P$8:$P$2617,1)-INDEX(HIST_D!$P$8:$P$2617,Control!$F$9)),"")</f>
        <v/>
      </c>
      <c r="G26" s="21">
        <f>IFERROR((INDEX(HIST_D!$P$8:$P$2617,1)-INDEX(HIST_D!$P$8:$P$2617,Control!$F$16)),"")</f>
        <v/>
      </c>
      <c r="H26" s="21">
        <f>IFERROR((INDEX(HIST_D!$P$8:$P$2617,1)-INDEX(HIST_D!$P$8:$P$2617,Control!$F$11)),"")</f>
        <v/>
      </c>
      <c r="I26" s="22">
        <f>IFERROR(PERCENTRANK(HIST_D!$P$8:INDEX(HIST_D!$P$8:$P$2617,Control!$F$11),INDEX(HIST_D!$P$8:$P$2617,1)),"")</f>
        <v/>
      </c>
      <c r="J26" s="22">
        <f>IFERROR(PERCENTRANK(HIST_D!$P$8:INDEX(HIST_D!$P$8:$P$2617,Control!$F$14),INDEX(HIST_D!$P$8:$P$2617,1)),"")</f>
        <v/>
      </c>
    </row>
    <row r="27">
      <c r="A27" s="8" t="inlineStr">
        <is>
          <t>EM local 10Y, eq-wgt</t>
        </is>
      </c>
      <c r="B27" s="19" t="inlineStr">
        <is>
          <t>bp</t>
        </is>
      </c>
      <c r="C27" s="20">
        <f>INDEX(HIST_D!$DW$8:$DW$2617,1)</f>
        <v/>
      </c>
      <c r="D27" s="21">
        <f>IFERROR((INDEX(HIST_D!$DW$8:$DW$2617,1)-INDEX(HIST_D!$DW$8:$DW$2617,Control!$F$7))*100,"")</f>
        <v/>
      </c>
      <c r="E27" s="21">
        <f>IFERROR((INDEX(HIST_D!$DW$8:$DW$2617,1)-INDEX(HIST_D!$DW$8:$DW$2617,Control!$F$8))*100,"")</f>
        <v/>
      </c>
      <c r="F27" s="21">
        <f>IFERROR((INDEX(HIST_D!$DW$8:$DW$2617,1)-INDEX(HIST_D!$DW$8:$DW$2617,Control!$F$9))*100,"")</f>
        <v/>
      </c>
      <c r="G27" s="21">
        <f>IFERROR((INDEX(HIST_D!$DW$8:$DW$2617,1)-INDEX(HIST_D!$DW$8:$DW$2617,Control!$F$16))*100,"")</f>
        <v/>
      </c>
      <c r="H27" s="21">
        <f>IFERROR((INDEX(HIST_D!$DW$8:$DW$2617,1)-INDEX(HIST_D!$DW$8:$DW$2617,Control!$F$11))*100,"")</f>
        <v/>
      </c>
      <c r="I27" s="22">
        <f>IFERROR(PERCENTRANK(HIST_D!$DW$8:INDEX(HIST_D!$DW$8:$DW$2617,Control!$F$11),INDEX(HIST_D!$DW$8:$DW$2617,1)),"")</f>
        <v/>
      </c>
      <c r="J27" s="22">
        <f>IFERROR(PERCENTRANK(HIST_D!$DW$8:INDEX(HIST_D!$DW$8:$DW$2617,Control!$F$14),INDEX(HIST_D!$DW$8:$DW$2617,1)),"")</f>
        <v/>
      </c>
    </row>
    <row r="28">
      <c r="A28" s="8" t="inlineStr">
        <is>
          <t>EM local 10Y less UST 10Y</t>
        </is>
      </c>
      <c r="B28" s="19" t="inlineStr">
        <is>
          <t>bp</t>
        </is>
      </c>
      <c r="C28" s="27">
        <f>INDEX(HIST_D!$EA$8:$EA$2617,1)</f>
        <v/>
      </c>
      <c r="D28" s="21">
        <f>IFERROR((INDEX(HIST_D!$EA$8:$EA$2617,1)-INDEX(HIST_D!$EA$8:$EA$2617,Control!$F$7)),"")</f>
        <v/>
      </c>
      <c r="E28" s="21">
        <f>IFERROR((INDEX(HIST_D!$EA$8:$EA$2617,1)-INDEX(HIST_D!$EA$8:$EA$2617,Control!$F$8)),"")</f>
        <v/>
      </c>
      <c r="F28" s="21">
        <f>IFERROR((INDEX(HIST_D!$EA$8:$EA$2617,1)-INDEX(HIST_D!$EA$8:$EA$2617,Control!$F$9)),"")</f>
        <v/>
      </c>
      <c r="G28" s="21">
        <f>IFERROR((INDEX(HIST_D!$EA$8:$EA$2617,1)-INDEX(HIST_D!$EA$8:$EA$2617,Control!$F$16)),"")</f>
        <v/>
      </c>
      <c r="H28" s="21">
        <f>IFERROR((INDEX(HIST_D!$EA$8:$EA$2617,1)-INDEX(HIST_D!$EA$8:$EA$2617,Control!$F$11)),"")</f>
        <v/>
      </c>
      <c r="I28" s="22">
        <f>IFERROR(PERCENTRANK(HIST_D!$EA$8:INDEX(HIST_D!$EA$8:$EA$2617,Control!$F$11),INDEX(HIST_D!$EA$8:$EA$2617,1)),"")</f>
        <v/>
      </c>
      <c r="J28" s="22">
        <f>IFERROR(PERCENTRANK(HIST_D!$EA$8:INDEX(HIST_D!$EA$8:$EA$2617,Control!$F$14),INDEX(HIST_D!$EA$8:$EA$2617,1)),"")</f>
        <v/>
      </c>
    </row>
    <row r="30" ht="18" customHeight="1">
      <c r="A30" s="3" t="inlineStr">
        <is>
          <t>BY REGION  —  the three legs side by side</t>
        </is>
      </c>
      <c r="B30" s="4" t="n"/>
      <c r="C30" s="4" t="n"/>
      <c r="D30" s="4" t="n"/>
      <c r="E30" s="4" t="n"/>
      <c r="F30" s="4" t="n"/>
      <c r="G30" s="4" t="n"/>
      <c r="H30" s="4" t="n"/>
      <c r="I30" s="4" t="n"/>
      <c r="J30" s="4" t="n"/>
      <c r="K30" s="4" t="n"/>
      <c r="L30" s="4" t="n"/>
    </row>
    <row r="31" ht="30" customHeight="1">
      <c r="A31" s="18" t="inlineStr">
        <is>
          <t>Region</t>
        </is>
      </c>
      <c r="B31" s="18" t="inlineStr">
        <is>
          <t>FX 1M</t>
        </is>
      </c>
      <c r="C31" s="18" t="inlineStr">
        <is>
          <t>FX YTD</t>
        </is>
      </c>
      <c r="D31" s="18" t="inlineStr">
        <is>
          <t>FX 1M ex-USD</t>
        </is>
      </c>
      <c r="E31" s="18" t="inlineStr">
        <is>
          <t>Equity USD 1M</t>
        </is>
      </c>
      <c r="F31" s="18" t="inlineStr">
        <is>
          <t>Equity USD YTD</t>
        </is>
      </c>
      <c r="G31" s="18" t="inlineStr">
        <is>
          <t>Equity vs World 1M</t>
        </is>
      </c>
      <c r="H31" s="18" t="inlineStr">
        <is>
          <t>Credit d spread 1M (bp)</t>
        </is>
      </c>
      <c r="I31" s="18" t="inlineStr">
        <is>
          <t>Credit TR 1M (%)</t>
        </is>
      </c>
      <c r="J31" s="18" t="inlineStr"/>
      <c r="K31" s="18" t="inlineStr"/>
      <c r="L31" s="18" t="inlineStr"/>
    </row>
    <row r="32">
      <c r="A32" s="28" t="inlineStr">
        <is>
          <t>LatAm</t>
        </is>
      </c>
      <c r="B32" s="26">
        <f>FX!$F$12</f>
        <v/>
      </c>
      <c r="C32" s="26">
        <f>FX!$I$12</f>
        <v/>
      </c>
      <c r="D32" s="26">
        <f>FX!$K$12</f>
        <v/>
      </c>
      <c r="E32" s="26">
        <f>Equities!$F$17</f>
        <v/>
      </c>
      <c r="F32" s="26">
        <f>Equities!$L$17</f>
        <v/>
      </c>
      <c r="G32" s="26">
        <f>Equities!$N$17</f>
        <v/>
      </c>
      <c r="H32" s="29">
        <f>IF(Credit!$E$39="","",Credit!$E$39)</f>
        <v/>
      </c>
      <c r="I32" s="20">
        <f>IF(Credit!$F$39="","",Credit!$F$39)</f>
        <v/>
      </c>
    </row>
    <row r="33">
      <c r="A33" s="28" t="inlineStr">
        <is>
          <t>EM Europe</t>
        </is>
      </c>
      <c r="B33" s="26">
        <f>FX!$F$22</f>
        <v/>
      </c>
      <c r="C33" s="26">
        <f>FX!$I$22</f>
        <v/>
      </c>
      <c r="D33" s="26">
        <f>FX!$K$22</f>
        <v/>
      </c>
      <c r="E33" s="26">
        <f>Equities!$F$27</f>
        <v/>
      </c>
      <c r="F33" s="26">
        <f>Equities!$L$27</f>
        <v/>
      </c>
      <c r="G33" s="26">
        <f>Equities!$N$27</f>
        <v/>
      </c>
      <c r="H33" s="29">
        <f>IF(Credit!$E$40="","",Credit!$E$40)</f>
        <v/>
      </c>
      <c r="I33" s="20">
        <f>IF(Credit!$F$40="","",Credit!$F$40)</f>
        <v/>
      </c>
    </row>
    <row r="34">
      <c r="A34" s="28" t="inlineStr">
        <is>
          <t>Middle East &amp; Africa</t>
        </is>
      </c>
      <c r="B34" s="26">
        <f>FX!$F$33</f>
        <v/>
      </c>
      <c r="C34" s="26">
        <f>FX!$I$33</f>
        <v/>
      </c>
      <c r="D34" s="26">
        <f>FX!$K$33</f>
        <v/>
      </c>
      <c r="E34" s="26">
        <f>Equities!$F$38</f>
        <v/>
      </c>
      <c r="F34" s="26">
        <f>Equities!$L$38</f>
        <v/>
      </c>
      <c r="G34" s="26">
        <f>Equities!$N$38</f>
        <v/>
      </c>
      <c r="H34" s="29">
        <f>IF(Credit!$E$41="","",Credit!$E$41)</f>
        <v/>
      </c>
      <c r="I34" s="20">
        <f>IF(Credit!$F$41="","",Credit!$F$41)</f>
        <v/>
      </c>
    </row>
    <row r="35">
      <c r="A35" s="28" t="inlineStr">
        <is>
          <t>Asia</t>
        </is>
      </c>
      <c r="B35" s="26">
        <f>FX!$F$46</f>
        <v/>
      </c>
      <c r="C35" s="26">
        <f>FX!$I$46</f>
        <v/>
      </c>
      <c r="D35" s="26">
        <f>FX!$K$46</f>
        <v/>
      </c>
      <c r="E35" s="26">
        <f>Equities!$F$52</f>
        <v/>
      </c>
      <c r="F35" s="26">
        <f>Equities!$L$52</f>
        <v/>
      </c>
      <c r="G35" s="26">
        <f>Equities!$N$52</f>
        <v/>
      </c>
      <c r="H35" s="29">
        <f>IF(Credit!$E$42="","",Credit!$E$42)</f>
        <v/>
      </c>
      <c r="I35" s="20">
        <f>IF(Credit!$F$42="","",Credit!$F$42)</f>
        <v/>
      </c>
    </row>
    <row r="37">
      <c r="A37" s="30" t="inlineStr">
        <is>
          <t>Per-region read — generated, not typed</t>
        </is>
      </c>
    </row>
    <row r="38">
      <c r="A38" s="10">
        <f>IFERROR("LatAm: FX "&amp;TEXT($B32,"+0.0%;-0.0%")&amp;" ("&amp;TEXT($D32,"+0.0%;-0.0%")&amp;" ex-dollar), equity "&amp;TEXT($E32,"+0.0%;-0.0%")&amp;" USD ("&amp;TEXT($G32,"+0.0%;-0.0%")&amp;" vs World), credit "&amp;IF(ISNUMBER($H32),TEXT($H32,"+0;-0")&amp;"bp","n/a")&amp;". "&amp;IF(AND($B32&gt;=-0.005,$E32&gt;=0),"Both market legs holding — the region is absorbing the US move rather than importing it.",IF(AND($B32&lt;-0.005,$E32&lt;0),"Both market legs are soft; this region is importing the US move and is where the digestion argument breaks first.",IF($B32&lt;-0.005,"The currency is the weak leg while equity holds — an FX problem, not a growth or credit problem.","Equity is the weak leg while the currency holds — a sector or earnings story rather than a rates transmission story."))),"")</f>
        <v/>
      </c>
    </row>
    <row r="39">
      <c r="A39" s="10">
        <f>IFERROR("EM Europe: FX "&amp;TEXT($B33,"+0.0%;-0.0%")&amp;" ("&amp;TEXT($D33,"+0.0%;-0.0%")&amp;" ex-dollar), equity "&amp;TEXT($E33,"+0.0%;-0.0%")&amp;" USD ("&amp;TEXT($G33,"+0.0%;-0.0%")&amp;" vs World), credit "&amp;IF(ISNUMBER($H33),TEXT($H33,"+0;-0")&amp;"bp","n/a")&amp;". "&amp;IF(AND($B33&gt;=-0.005,$E33&gt;=0),"Both market legs holding — the region is absorbing the US move rather than importing it.",IF(AND($B33&lt;-0.005,$E33&lt;0),"Both market legs are soft; this region is importing the US move and is where the digestion argument breaks first.",IF($B33&lt;-0.005,"The currency is the weak leg while equity holds — an FX problem, not a growth or credit problem.","Equity is the weak leg while the currency holds — a sector or earnings story rather than a rates transmission story."))),"")</f>
        <v/>
      </c>
    </row>
    <row r="40">
      <c r="A40" s="10">
        <f>IFERROR("Middle East &amp; Africa: FX "&amp;TEXT($B34,"+0.0%;-0.0%")&amp;" ("&amp;TEXT($D34,"+0.0%;-0.0%")&amp;" ex-dollar), equity "&amp;TEXT($E34,"+0.0%;-0.0%")&amp;" USD ("&amp;TEXT($G34,"+0.0%;-0.0%")&amp;" vs World), credit "&amp;IF(ISNUMBER($H34),TEXT($H34,"+0;-0")&amp;"bp","n/a")&amp;". "&amp;IF(AND($B34&gt;=-0.005,$E34&gt;=0),"Both market legs holding — the region is absorbing the US move rather than importing it.",IF(AND($B34&lt;-0.005,$E34&lt;0),"Both market legs are soft; this region is importing the US move and is where the digestion argument breaks first.",IF($B34&lt;-0.005,"The currency is the weak leg while equity holds — an FX problem, not a growth or credit problem.","Equity is the weak leg while the currency holds — a sector or earnings story rather than a rates transmission story."))),"")</f>
        <v/>
      </c>
    </row>
    <row r="41">
      <c r="A41" s="10">
        <f>IFERROR("Asia: FX "&amp;TEXT($B35,"+0.0%;-0.0%")&amp;" ("&amp;TEXT($D35,"+0.0%;-0.0%")&amp;" ex-dollar), equity "&amp;TEXT($E35,"+0.0%;-0.0%")&amp;" USD ("&amp;TEXT($G35,"+0.0%;-0.0%")&amp;" vs World), credit "&amp;IF(ISNUMBER($H35),TEXT($H35,"+0;-0")&amp;"bp","n/a")&amp;". "&amp;IF(AND($B35&gt;=-0.005,$E35&gt;=0),"Both market legs holding — the region is absorbing the US move rather than importing it.",IF(AND($B35&lt;-0.005,$E35&lt;0),"Both market legs are soft; this region is importing the US move and is where the digestion argument breaks first.",IF($B35&lt;-0.005,"The currency is the weak leg while equity holds — an FX problem, not a growth or credit problem.","Equity is the weak leg while the currency holds — a sector or earnings story rather than a rates transmission story."))),"")</f>
        <v/>
      </c>
    </row>
    <row r="44" ht="18" customHeight="1">
      <c r="A44" s="3" t="inlineStr">
        <is>
          <t>DIGESTION  —  the three numbers the story rests on</t>
        </is>
      </c>
      <c r="B44" s="4" t="n"/>
      <c r="C44" s="4" t="n"/>
      <c r="D44" s="4" t="n"/>
      <c r="E44" s="4" t="n"/>
      <c r="F44" s="4" t="n"/>
      <c r="G44" s="4" t="n"/>
      <c r="H44" s="4" t="n"/>
      <c r="I44" s="4" t="n"/>
      <c r="J44" s="4" t="n"/>
      <c r="K44" s="4" t="n"/>
      <c r="L44" s="4" t="n"/>
    </row>
    <row r="45" ht="30" customHeight="1">
      <c r="A45" s="18" t="inlineStr">
        <is>
          <t>Measure</t>
        </is>
      </c>
      <c r="B45" s="18" t="inlineStr"/>
      <c r="C45" s="18" t="inlineStr">
        <is>
          <t>1M</t>
        </is>
      </c>
      <c r="D45" s="18" t="inlineStr">
        <is>
          <t>3M</t>
        </is>
      </c>
      <c r="E45" s="18" t="inlineStr">
        <is>
          <t>1Y</t>
        </is>
      </c>
      <c r="F45" s="18" t="inlineStr">
        <is>
          <t>5Y</t>
        </is>
      </c>
      <c r="G45" s="18" t="inlineStr"/>
      <c r="H45" s="18" t="inlineStr"/>
      <c r="I45" s="18" t="inlineStr"/>
      <c r="J45" s="18" t="inlineStr"/>
      <c r="K45" s="18" t="inlineStr"/>
      <c r="L45" s="18" t="inlineStr"/>
    </row>
    <row r="46">
      <c r="A46" s="8" t="inlineStr">
        <is>
          <t>Pass-through: EM local 10Y / UST 10Y</t>
        </is>
      </c>
      <c r="C46" s="31">
        <f>Passthrough!$G$48</f>
        <v/>
      </c>
      <c r="D46" s="31">
        <f>Passthrough!$H$48</f>
        <v/>
      </c>
      <c r="E46" s="31">
        <f>Passthrough!$J$48</f>
        <v/>
      </c>
      <c r="F46" s="31">
        <f>Passthrough!$K$48</f>
        <v/>
      </c>
    </row>
    <row r="47">
      <c r="A47" s="8" t="inlineStr">
        <is>
          <t>Beta: EM USD Agg OAS to UST 10Y (bp per bp)</t>
        </is>
      </c>
      <c r="C47" s="32">
        <f>Betas!C$6</f>
        <v/>
      </c>
      <c r="D47" s="32">
        <f>Betas!D$6</f>
        <v/>
      </c>
      <c r="E47" s="32">
        <f>Betas!F$6</f>
        <v/>
      </c>
      <c r="F47" s="32">
        <f>Betas!H$6</f>
        <v/>
      </c>
    </row>
    <row r="48">
      <c r="A48" s="8" t="inlineStr">
        <is>
          <t>Beta: EM FX basket to DXY (% per %)</t>
        </is>
      </c>
      <c r="C48" s="32">
        <f>Betas!C$14</f>
        <v/>
      </c>
      <c r="D48" s="32">
        <f>Betas!D$14</f>
        <v/>
      </c>
      <c r="E48" s="32">
        <f>Betas!F$14</f>
        <v/>
      </c>
      <c r="F48" s="32">
        <f>Betas!H$14</f>
        <v/>
      </c>
    </row>
    <row r="50" ht="18" customHeight="1">
      <c r="A50" s="3" t="inlineStr">
        <is>
          <t>READ  —  generated from the cells above, not typed</t>
        </is>
      </c>
      <c r="B50" s="4" t="n"/>
      <c r="C50" s="4" t="n"/>
      <c r="D50" s="4" t="n"/>
      <c r="E50" s="4" t="n"/>
      <c r="F50" s="4" t="n"/>
      <c r="G50" s="4" t="n"/>
      <c r="H50" s="4" t="n"/>
      <c r="I50" s="4" t="n"/>
      <c r="J50" s="4" t="n"/>
      <c r="K50" s="4" t="n"/>
      <c r="L50" s="4" t="n"/>
    </row>
    <row r="51">
      <c r="A51" s="6">
        <f>"Past month: UST 10Y "&amp;TEXT($E$8+0,"+0;-0")&amp;"bp, ACM term premium "&amp;TEXT($E$11+0,"+0;-0")&amp;"bp, DXY "&amp;TEXT($E$12,"+0.0%;-0.0%")&amp;", Brent "&amp;TEXT($E$13,"+0.0%;-0.0%")&amp;"."</f>
        <v/>
      </c>
    </row>
    <row r="52">
      <c r="A52" s="6">
        <f>"EM USD Aggregate spread "&amp;TEXT($E$23+0,"+0;-0")&amp;"bp over the same window, against US IG "&amp;TEXT($E$25+0,"+0;-0")&amp;"bp and US HY "&amp;TEXT($E$26+0,"+0;-0")&amp;"bp."</f>
        <v/>
      </c>
    </row>
    <row r="53">
      <c r="A53" s="6">
        <f>"Decomposing the month: carry "&amp;TEXT(Credit!$F$26,"+0.00%;-0.00%")&amp;", rates leg "&amp;TEXT(Credit!$F$27,"+0.00%;-0.00%")&amp;", spread leg "&amp;TEXT(Credit!$F$29,"+0.00%;-0.00%")&amp;" - on those numbers this is "&amp;IF(ABS(Credit!$F$27)&gt;ABS(Credit!$F$29),"a duration event, not a credit event","a credit event")&amp;"."</f>
        <v/>
      </c>
    </row>
    <row r="54">
      <c r="A54" s="6">
        <f>"EM local curves took "&amp;IF(ISNUMBER($C$46),TEXT($C$46,"0.00")&amp;"x","n/m")&amp;" of the US move over the month against "&amp;IF(ISNUMBER($F$46),TEXT($F$46,"0.00")&amp;"x","n/m")&amp;" over five years; EM FX beta to the dollar is "&amp;TEXT($C$48,"0.00")&amp;" on the month against "&amp;TEXT($F$48,"0.00")&amp;" over five years."</f>
        <v/>
      </c>
    </row>
    <row r="56">
      <c r="A56" s="10" t="inlineStr">
        <is>
          <t>These sentences recompute with the workbook. They are a prompt for the note, not the note.</t>
        </is>
      </c>
    </row>
  </sheetData>
  <conditionalFormatting sqref="I7:J15">
    <cfRule type="colorScale" priority="1">
      <colorScale>
        <cfvo type="num" val="0"/>
        <cfvo type="num" val="0.5"/>
        <cfvo type="num" val="1"/>
        <color rgb="0063BE7B"/>
        <color rgb="00FFEB84"/>
        <color rgb="00F8696B"/>
      </colorScale>
    </cfRule>
  </conditionalFormatting>
  <conditionalFormatting sqref="I19:J28">
    <cfRule type="colorScale" priority="2">
      <colorScale>
        <cfvo type="num" val="0"/>
        <cfvo type="num" val="0.5"/>
        <cfvo type="num" val="1"/>
        <color rgb="0063BE7B"/>
        <color rgb="00FFEB84"/>
        <color rgb="00F8696B"/>
      </colorScale>
    </cfRule>
  </conditionalFormatting>
  <conditionalFormatting sqref="B32:G35">
    <cfRule type="colorScale" priority="3">
      <colorScale>
        <cfvo type="num" val="-0.05"/>
        <cfvo type="num" val="0"/>
        <cfvo type="num" val="0.05"/>
        <color rgb="00F8696B"/>
        <color rgb="00FFFFFF"/>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7"/>
  <sheetViews>
    <sheetView showGridLines="0" workbookViewId="0">
      <selection activeCell="A1" sqref="A1"/>
    </sheetView>
  </sheetViews>
  <sheetFormatPr baseColWidth="8" defaultRowHeight="15"/>
  <cols>
    <col width="26" customWidth="1" min="1" max="1"/>
    <col width="7" customWidth="1" min="2" max="2"/>
    <col width="12" customWidth="1" min="3" max="3"/>
    <col width="9" customWidth="1" min="4" max="4"/>
    <col width="9" customWidth="1" min="5" max="5"/>
    <col width="9" customWidth="1" min="6" max="6"/>
    <col width="9" customWidth="1" min="7" max="7"/>
    <col width="9" customWidth="1" min="8" max="8"/>
    <col width="9" customWidth="1" min="9" max="9"/>
    <col width="9" customWidth="1" min="10" max="10"/>
    <col width="11" customWidth="1" min="11" max="11"/>
    <col width="11" customWidth="1" min="12" max="12"/>
    <col width="11" customWidth="1" min="13" max="13"/>
    <col width="10" customWidth="1" min="14" max="14"/>
    <col width="10" customWidth="1" min="15" max="15"/>
  </cols>
  <sheetData>
    <row r="1">
      <c r="A1" s="1" t="inlineStr">
        <is>
          <t>EM FX  —  by region.  Return on the currency, not the pair.</t>
        </is>
      </c>
    </row>
    <row r="2">
      <c r="A2" s="2" t="inlineStr">
        <is>
          <t>Every pair is quoted EM per USD; the columns are the return ON the EM currency (prior/current - 1), so positive = EM strength. 'ex-USD' adds back the DXY move over the same window and isolates what is regional rather than dollar. Region baskets are equal-weighted across floating currencies only.</t>
        </is>
      </c>
    </row>
    <row r="4" ht="16" customHeight="1">
      <c r="A4" s="33" t="inlineStr">
        <is>
          <t>LATAM</t>
        </is>
      </c>
      <c r="B4" s="34" t="n"/>
      <c r="C4" s="34" t="n"/>
      <c r="D4" s="34" t="n"/>
      <c r="E4" s="34" t="n"/>
      <c r="F4" s="34" t="n"/>
      <c r="G4" s="34" t="n"/>
      <c r="H4" s="34" t="n"/>
      <c r="I4" s="34" t="n"/>
      <c r="J4" s="34" t="n"/>
      <c r="K4" s="34" t="n"/>
      <c r="L4" s="34" t="n"/>
      <c r="M4" s="34" t="n"/>
      <c r="N4" s="34" t="n"/>
      <c r="O4" s="34" t="n"/>
    </row>
    <row r="5" ht="30" customHeight="1">
      <c r="A5" s="18" t="inlineStr">
        <is>
          <t>Currency</t>
        </is>
      </c>
      <c r="B5" s="18" t="inlineStr">
        <is>
          <t>Peg</t>
        </is>
      </c>
      <c r="C5" s="18" t="inlineStr">
        <is>
          <t>Spot (EM/USD)</t>
        </is>
      </c>
      <c r="D5" s="18" t="inlineStr">
        <is>
          <t>1D</t>
        </is>
      </c>
      <c r="E5" s="18" t="inlineStr">
        <is>
          <t>1W</t>
        </is>
      </c>
      <c r="F5" s="18" t="inlineStr">
        <is>
          <t>1M</t>
        </is>
      </c>
      <c r="G5" s="18" t="inlineStr">
        <is>
          <t>3M</t>
        </is>
      </c>
      <c r="H5" s="18" t="inlineStr">
        <is>
          <t>6M</t>
        </is>
      </c>
      <c r="I5" s="18" t="inlineStr">
        <is>
          <t>YTD</t>
        </is>
      </c>
      <c r="J5" s="18" t="inlineStr">
        <is>
          <t>1Y</t>
        </is>
      </c>
      <c r="K5" s="18" t="inlineStr">
        <is>
          <t>1M ex-USD</t>
        </is>
      </c>
      <c r="L5" s="18" t="inlineStr">
        <is>
          <t>3M ex-USD</t>
        </is>
      </c>
      <c r="M5" s="18" t="inlineStr">
        <is>
          <t>YTD ex-USD</t>
        </is>
      </c>
      <c r="N5" s="18" t="inlineStr">
        <is>
          <t>%ile 1y (spot)</t>
        </is>
      </c>
      <c r="O5" s="18" t="inlineStr">
        <is>
          <t>%ile 5y (spot)</t>
        </is>
      </c>
    </row>
    <row r="6">
      <c r="A6" s="8" t="inlineStr">
        <is>
          <t>Brazil BRL</t>
        </is>
      </c>
      <c r="B6" s="19" t="inlineStr">
        <is>
          <t>float</t>
        </is>
      </c>
      <c r="C6" s="35">
        <f>INDEX(HIST_D!$AA$8:$AA$2617,1)</f>
        <v/>
      </c>
      <c r="D6" s="24">
        <f>IFERROR(INDEX(HIST_D!$AA$8:$AA$2617,Control!$F$6)/INDEX(HIST_D!$AA$8:$AA$2617,1)-1,"")</f>
        <v/>
      </c>
      <c r="E6" s="24">
        <f>IFERROR(INDEX(HIST_D!$AA$8:$AA$2617,Control!$F$7)/INDEX(HIST_D!$AA$8:$AA$2617,1)-1,"")</f>
        <v/>
      </c>
      <c r="F6" s="24">
        <f>IFERROR(INDEX(HIST_D!$AA$8:$AA$2617,Control!$F$8)/INDEX(HIST_D!$AA$8:$AA$2617,1)-1,"")</f>
        <v/>
      </c>
      <c r="G6" s="24">
        <f>IFERROR(INDEX(HIST_D!$AA$8:$AA$2617,Control!$F$9)/INDEX(HIST_D!$AA$8:$AA$2617,1)-1,"")</f>
        <v/>
      </c>
      <c r="H6" s="24">
        <f>IFERROR(INDEX(HIST_D!$AA$8:$AA$2617,Control!$F$10)/INDEX(HIST_D!$AA$8:$AA$2617,1)-1,"")</f>
        <v/>
      </c>
      <c r="I6" s="24">
        <f>IFERROR(INDEX(HIST_D!$AA$8:$AA$2617,Control!$F$16)/INDEX(HIST_D!$AA$8:$AA$2617,1)-1,"")</f>
        <v/>
      </c>
      <c r="J6" s="24">
        <f>IFERROR(INDEX(HIST_D!$AA$8:$AA$2617,Control!$F$11)/INDEX(HIST_D!$AA$8:$AA$2617,1)-1,"")</f>
        <v/>
      </c>
      <c r="K6" s="24">
        <f>IFERROR(IFERROR(INDEX(HIST_D!$AA$8:$AA$2617,Control!$F$8)/INDEX(HIST_D!$AA$8:$AA$2617,1)-1,"")+IFERROR(INDEX(HIST_D!$J$8:$J$2617,1)/INDEX(HIST_D!$J$8:$J$2617,Control!$F$8)-1,""),"")</f>
        <v/>
      </c>
      <c r="L6" s="24">
        <f>IFERROR(IFERROR(INDEX(HIST_D!$AA$8:$AA$2617,Control!$F$9)/INDEX(HIST_D!$AA$8:$AA$2617,1)-1,"")+IFERROR(INDEX(HIST_D!$J$8:$J$2617,1)/INDEX(HIST_D!$J$8:$J$2617,Control!$F$9)-1,""),"")</f>
        <v/>
      </c>
      <c r="M6" s="24">
        <f>IFERROR(IFERROR(INDEX(HIST_D!$AA$8:$AA$2617,Control!$F$16)/INDEX(HIST_D!$AA$8:$AA$2617,1)-1,"")+IFERROR(INDEX(HIST_D!$J$8:$J$2617,1)/INDEX(HIST_D!$J$8:$J$2617,Control!$F$16)-1,""),"")</f>
        <v/>
      </c>
      <c r="N6" s="22">
        <f>IFERROR(PERCENTRANK(HIST_D!$AA$8:INDEX(HIST_D!$AA$8:$AA$2617,Control!$F$11),INDEX(HIST_D!$AA$8:$AA$2617,1)),"")</f>
        <v/>
      </c>
      <c r="O6" s="22">
        <f>IFERROR(PERCENTRANK(HIST_D!$AA$8:INDEX(HIST_D!$AA$8:$AA$2617,Control!$F$14),INDEX(HIST_D!$AA$8:$AA$2617,1)),"")</f>
        <v/>
      </c>
    </row>
    <row r="7">
      <c r="A7" s="8" t="inlineStr">
        <is>
          <t>Mexico MXN</t>
        </is>
      </c>
      <c r="B7" s="19" t="inlineStr">
        <is>
          <t>float</t>
        </is>
      </c>
      <c r="C7" s="35">
        <f>INDEX(HIST_D!$AB$8:$AB$2617,1)</f>
        <v/>
      </c>
      <c r="D7" s="24">
        <f>IFERROR(INDEX(HIST_D!$AB$8:$AB$2617,Control!$F$6)/INDEX(HIST_D!$AB$8:$AB$2617,1)-1,"")</f>
        <v/>
      </c>
      <c r="E7" s="24">
        <f>IFERROR(INDEX(HIST_D!$AB$8:$AB$2617,Control!$F$7)/INDEX(HIST_D!$AB$8:$AB$2617,1)-1,"")</f>
        <v/>
      </c>
      <c r="F7" s="24">
        <f>IFERROR(INDEX(HIST_D!$AB$8:$AB$2617,Control!$F$8)/INDEX(HIST_D!$AB$8:$AB$2617,1)-1,"")</f>
        <v/>
      </c>
      <c r="G7" s="24">
        <f>IFERROR(INDEX(HIST_D!$AB$8:$AB$2617,Control!$F$9)/INDEX(HIST_D!$AB$8:$AB$2617,1)-1,"")</f>
        <v/>
      </c>
      <c r="H7" s="24">
        <f>IFERROR(INDEX(HIST_D!$AB$8:$AB$2617,Control!$F$10)/INDEX(HIST_D!$AB$8:$AB$2617,1)-1,"")</f>
        <v/>
      </c>
      <c r="I7" s="24">
        <f>IFERROR(INDEX(HIST_D!$AB$8:$AB$2617,Control!$F$16)/INDEX(HIST_D!$AB$8:$AB$2617,1)-1,"")</f>
        <v/>
      </c>
      <c r="J7" s="24">
        <f>IFERROR(INDEX(HIST_D!$AB$8:$AB$2617,Control!$F$11)/INDEX(HIST_D!$AB$8:$AB$2617,1)-1,"")</f>
        <v/>
      </c>
      <c r="K7" s="24">
        <f>IFERROR(IFERROR(INDEX(HIST_D!$AB$8:$AB$2617,Control!$F$8)/INDEX(HIST_D!$AB$8:$AB$2617,1)-1,"")+IFERROR(INDEX(HIST_D!$J$8:$J$2617,1)/INDEX(HIST_D!$J$8:$J$2617,Control!$F$8)-1,""),"")</f>
        <v/>
      </c>
      <c r="L7" s="24">
        <f>IFERROR(IFERROR(INDEX(HIST_D!$AB$8:$AB$2617,Control!$F$9)/INDEX(HIST_D!$AB$8:$AB$2617,1)-1,"")+IFERROR(INDEX(HIST_D!$J$8:$J$2617,1)/INDEX(HIST_D!$J$8:$J$2617,Control!$F$9)-1,""),"")</f>
        <v/>
      </c>
      <c r="M7" s="24">
        <f>IFERROR(IFERROR(INDEX(HIST_D!$AB$8:$AB$2617,Control!$F$16)/INDEX(HIST_D!$AB$8:$AB$2617,1)-1,"")+IFERROR(INDEX(HIST_D!$J$8:$J$2617,1)/INDEX(HIST_D!$J$8:$J$2617,Control!$F$16)-1,""),"")</f>
        <v/>
      </c>
      <c r="N7" s="22">
        <f>IFERROR(PERCENTRANK(HIST_D!$AB$8:INDEX(HIST_D!$AB$8:$AB$2617,Control!$F$11),INDEX(HIST_D!$AB$8:$AB$2617,1)),"")</f>
        <v/>
      </c>
      <c r="O7" s="22">
        <f>IFERROR(PERCENTRANK(HIST_D!$AB$8:INDEX(HIST_D!$AB$8:$AB$2617,Control!$F$14),INDEX(HIST_D!$AB$8:$AB$2617,1)),"")</f>
        <v/>
      </c>
    </row>
    <row r="8">
      <c r="A8" s="8" t="inlineStr">
        <is>
          <t>Chile CLP</t>
        </is>
      </c>
      <c r="B8" s="19" t="inlineStr">
        <is>
          <t>float</t>
        </is>
      </c>
      <c r="C8" s="35">
        <f>INDEX(HIST_D!$AC$8:$AC$2617,1)</f>
        <v/>
      </c>
      <c r="D8" s="24">
        <f>IFERROR(INDEX(HIST_D!$AC$8:$AC$2617,Control!$F$6)/INDEX(HIST_D!$AC$8:$AC$2617,1)-1,"")</f>
        <v/>
      </c>
      <c r="E8" s="24">
        <f>IFERROR(INDEX(HIST_D!$AC$8:$AC$2617,Control!$F$7)/INDEX(HIST_D!$AC$8:$AC$2617,1)-1,"")</f>
        <v/>
      </c>
      <c r="F8" s="24">
        <f>IFERROR(INDEX(HIST_D!$AC$8:$AC$2617,Control!$F$8)/INDEX(HIST_D!$AC$8:$AC$2617,1)-1,"")</f>
        <v/>
      </c>
      <c r="G8" s="24">
        <f>IFERROR(INDEX(HIST_D!$AC$8:$AC$2617,Control!$F$9)/INDEX(HIST_D!$AC$8:$AC$2617,1)-1,"")</f>
        <v/>
      </c>
      <c r="H8" s="24">
        <f>IFERROR(INDEX(HIST_D!$AC$8:$AC$2617,Control!$F$10)/INDEX(HIST_D!$AC$8:$AC$2617,1)-1,"")</f>
        <v/>
      </c>
      <c r="I8" s="24">
        <f>IFERROR(INDEX(HIST_D!$AC$8:$AC$2617,Control!$F$16)/INDEX(HIST_D!$AC$8:$AC$2617,1)-1,"")</f>
        <v/>
      </c>
      <c r="J8" s="24">
        <f>IFERROR(INDEX(HIST_D!$AC$8:$AC$2617,Control!$F$11)/INDEX(HIST_D!$AC$8:$AC$2617,1)-1,"")</f>
        <v/>
      </c>
      <c r="K8" s="24">
        <f>IFERROR(IFERROR(INDEX(HIST_D!$AC$8:$AC$2617,Control!$F$8)/INDEX(HIST_D!$AC$8:$AC$2617,1)-1,"")+IFERROR(INDEX(HIST_D!$J$8:$J$2617,1)/INDEX(HIST_D!$J$8:$J$2617,Control!$F$8)-1,""),"")</f>
        <v/>
      </c>
      <c r="L8" s="24">
        <f>IFERROR(IFERROR(INDEX(HIST_D!$AC$8:$AC$2617,Control!$F$9)/INDEX(HIST_D!$AC$8:$AC$2617,1)-1,"")+IFERROR(INDEX(HIST_D!$J$8:$J$2617,1)/INDEX(HIST_D!$J$8:$J$2617,Control!$F$9)-1,""),"")</f>
        <v/>
      </c>
      <c r="M8" s="24">
        <f>IFERROR(IFERROR(INDEX(HIST_D!$AC$8:$AC$2617,Control!$F$16)/INDEX(HIST_D!$AC$8:$AC$2617,1)-1,"")+IFERROR(INDEX(HIST_D!$J$8:$J$2617,1)/INDEX(HIST_D!$J$8:$J$2617,Control!$F$16)-1,""),"")</f>
        <v/>
      </c>
      <c r="N8" s="22">
        <f>IFERROR(PERCENTRANK(HIST_D!$AC$8:INDEX(HIST_D!$AC$8:$AC$2617,Control!$F$11),INDEX(HIST_D!$AC$8:$AC$2617,1)),"")</f>
        <v/>
      </c>
      <c r="O8" s="22">
        <f>IFERROR(PERCENTRANK(HIST_D!$AC$8:INDEX(HIST_D!$AC$8:$AC$2617,Control!$F$14),INDEX(HIST_D!$AC$8:$AC$2617,1)),"")</f>
        <v/>
      </c>
    </row>
    <row r="9">
      <c r="A9" s="8" t="inlineStr">
        <is>
          <t>Colombia COP</t>
        </is>
      </c>
      <c r="B9" s="19" t="inlineStr">
        <is>
          <t>float</t>
        </is>
      </c>
      <c r="C9" s="35">
        <f>INDEX(HIST_D!$AD$8:$AD$2617,1)</f>
        <v/>
      </c>
      <c r="D9" s="24">
        <f>IFERROR(INDEX(HIST_D!$AD$8:$AD$2617,Control!$F$6)/INDEX(HIST_D!$AD$8:$AD$2617,1)-1,"")</f>
        <v/>
      </c>
      <c r="E9" s="24">
        <f>IFERROR(INDEX(HIST_D!$AD$8:$AD$2617,Control!$F$7)/INDEX(HIST_D!$AD$8:$AD$2617,1)-1,"")</f>
        <v/>
      </c>
      <c r="F9" s="24">
        <f>IFERROR(INDEX(HIST_D!$AD$8:$AD$2617,Control!$F$8)/INDEX(HIST_D!$AD$8:$AD$2617,1)-1,"")</f>
        <v/>
      </c>
      <c r="G9" s="24">
        <f>IFERROR(INDEX(HIST_D!$AD$8:$AD$2617,Control!$F$9)/INDEX(HIST_D!$AD$8:$AD$2617,1)-1,"")</f>
        <v/>
      </c>
      <c r="H9" s="24">
        <f>IFERROR(INDEX(HIST_D!$AD$8:$AD$2617,Control!$F$10)/INDEX(HIST_D!$AD$8:$AD$2617,1)-1,"")</f>
        <v/>
      </c>
      <c r="I9" s="24">
        <f>IFERROR(INDEX(HIST_D!$AD$8:$AD$2617,Control!$F$16)/INDEX(HIST_D!$AD$8:$AD$2617,1)-1,"")</f>
        <v/>
      </c>
      <c r="J9" s="24">
        <f>IFERROR(INDEX(HIST_D!$AD$8:$AD$2617,Control!$F$11)/INDEX(HIST_D!$AD$8:$AD$2617,1)-1,"")</f>
        <v/>
      </c>
      <c r="K9" s="24">
        <f>IFERROR(IFERROR(INDEX(HIST_D!$AD$8:$AD$2617,Control!$F$8)/INDEX(HIST_D!$AD$8:$AD$2617,1)-1,"")+IFERROR(INDEX(HIST_D!$J$8:$J$2617,1)/INDEX(HIST_D!$J$8:$J$2617,Control!$F$8)-1,""),"")</f>
        <v/>
      </c>
      <c r="L9" s="24">
        <f>IFERROR(IFERROR(INDEX(HIST_D!$AD$8:$AD$2617,Control!$F$9)/INDEX(HIST_D!$AD$8:$AD$2617,1)-1,"")+IFERROR(INDEX(HIST_D!$J$8:$J$2617,1)/INDEX(HIST_D!$J$8:$J$2617,Control!$F$9)-1,""),"")</f>
        <v/>
      </c>
      <c r="M9" s="24">
        <f>IFERROR(IFERROR(INDEX(HIST_D!$AD$8:$AD$2617,Control!$F$16)/INDEX(HIST_D!$AD$8:$AD$2617,1)-1,"")+IFERROR(INDEX(HIST_D!$J$8:$J$2617,1)/INDEX(HIST_D!$J$8:$J$2617,Control!$F$16)-1,""),"")</f>
        <v/>
      </c>
      <c r="N9" s="22">
        <f>IFERROR(PERCENTRANK(HIST_D!$AD$8:INDEX(HIST_D!$AD$8:$AD$2617,Control!$F$11),INDEX(HIST_D!$AD$8:$AD$2617,1)),"")</f>
        <v/>
      </c>
      <c r="O9" s="22">
        <f>IFERROR(PERCENTRANK(HIST_D!$AD$8:INDEX(HIST_D!$AD$8:$AD$2617,Control!$F$14),INDEX(HIST_D!$AD$8:$AD$2617,1)),"")</f>
        <v/>
      </c>
    </row>
    <row r="10">
      <c r="A10" s="8" t="inlineStr">
        <is>
          <t>Peru PEN</t>
        </is>
      </c>
      <c r="B10" s="19" t="inlineStr">
        <is>
          <t>float</t>
        </is>
      </c>
      <c r="C10" s="35">
        <f>INDEX(HIST_D!$AE$8:$AE$2617,1)</f>
        <v/>
      </c>
      <c r="D10" s="24">
        <f>IFERROR(INDEX(HIST_D!$AE$8:$AE$2617,Control!$F$6)/INDEX(HIST_D!$AE$8:$AE$2617,1)-1,"")</f>
        <v/>
      </c>
      <c r="E10" s="24">
        <f>IFERROR(INDEX(HIST_D!$AE$8:$AE$2617,Control!$F$7)/INDEX(HIST_D!$AE$8:$AE$2617,1)-1,"")</f>
        <v/>
      </c>
      <c r="F10" s="24">
        <f>IFERROR(INDEX(HIST_D!$AE$8:$AE$2617,Control!$F$8)/INDEX(HIST_D!$AE$8:$AE$2617,1)-1,"")</f>
        <v/>
      </c>
      <c r="G10" s="24">
        <f>IFERROR(INDEX(HIST_D!$AE$8:$AE$2617,Control!$F$9)/INDEX(HIST_D!$AE$8:$AE$2617,1)-1,"")</f>
        <v/>
      </c>
      <c r="H10" s="24">
        <f>IFERROR(INDEX(HIST_D!$AE$8:$AE$2617,Control!$F$10)/INDEX(HIST_D!$AE$8:$AE$2617,1)-1,"")</f>
        <v/>
      </c>
      <c r="I10" s="24">
        <f>IFERROR(INDEX(HIST_D!$AE$8:$AE$2617,Control!$F$16)/INDEX(HIST_D!$AE$8:$AE$2617,1)-1,"")</f>
        <v/>
      </c>
      <c r="J10" s="24">
        <f>IFERROR(INDEX(HIST_D!$AE$8:$AE$2617,Control!$F$11)/INDEX(HIST_D!$AE$8:$AE$2617,1)-1,"")</f>
        <v/>
      </c>
      <c r="K10" s="24">
        <f>IFERROR(IFERROR(INDEX(HIST_D!$AE$8:$AE$2617,Control!$F$8)/INDEX(HIST_D!$AE$8:$AE$2617,1)-1,"")+IFERROR(INDEX(HIST_D!$J$8:$J$2617,1)/INDEX(HIST_D!$J$8:$J$2617,Control!$F$8)-1,""),"")</f>
        <v/>
      </c>
      <c r="L10" s="24">
        <f>IFERROR(IFERROR(INDEX(HIST_D!$AE$8:$AE$2617,Control!$F$9)/INDEX(HIST_D!$AE$8:$AE$2617,1)-1,"")+IFERROR(INDEX(HIST_D!$J$8:$J$2617,1)/INDEX(HIST_D!$J$8:$J$2617,Control!$F$9)-1,""),"")</f>
        <v/>
      </c>
      <c r="M10" s="24">
        <f>IFERROR(IFERROR(INDEX(HIST_D!$AE$8:$AE$2617,Control!$F$16)/INDEX(HIST_D!$AE$8:$AE$2617,1)-1,"")+IFERROR(INDEX(HIST_D!$J$8:$J$2617,1)/INDEX(HIST_D!$J$8:$J$2617,Control!$F$16)-1,""),"")</f>
        <v/>
      </c>
      <c r="N10" s="22">
        <f>IFERROR(PERCENTRANK(HIST_D!$AE$8:INDEX(HIST_D!$AE$8:$AE$2617,Control!$F$11),INDEX(HIST_D!$AE$8:$AE$2617,1)),"")</f>
        <v/>
      </c>
      <c r="O10" s="22">
        <f>IFERROR(PERCENTRANK(HIST_D!$AE$8:INDEX(HIST_D!$AE$8:$AE$2617,Control!$F$14),INDEX(HIST_D!$AE$8:$AE$2617,1)),"")</f>
        <v/>
      </c>
    </row>
    <row r="11">
      <c r="A11" s="8" t="inlineStr">
        <is>
          <t>Argentina ARS</t>
        </is>
      </c>
      <c r="B11" s="19" t="inlineStr">
        <is>
          <t>float</t>
        </is>
      </c>
      <c r="C11" s="35">
        <f>INDEX(HIST_D!$AF$8:$AF$2617,1)</f>
        <v/>
      </c>
      <c r="D11" s="24">
        <f>IFERROR(INDEX(HIST_D!$AF$8:$AF$2617,Control!$F$6)/INDEX(HIST_D!$AF$8:$AF$2617,1)-1,"")</f>
        <v/>
      </c>
      <c r="E11" s="24">
        <f>IFERROR(INDEX(HIST_D!$AF$8:$AF$2617,Control!$F$7)/INDEX(HIST_D!$AF$8:$AF$2617,1)-1,"")</f>
        <v/>
      </c>
      <c r="F11" s="24">
        <f>IFERROR(INDEX(HIST_D!$AF$8:$AF$2617,Control!$F$8)/INDEX(HIST_D!$AF$8:$AF$2617,1)-1,"")</f>
        <v/>
      </c>
      <c r="G11" s="24">
        <f>IFERROR(INDEX(HIST_D!$AF$8:$AF$2617,Control!$F$9)/INDEX(HIST_D!$AF$8:$AF$2617,1)-1,"")</f>
        <v/>
      </c>
      <c r="H11" s="24">
        <f>IFERROR(INDEX(HIST_D!$AF$8:$AF$2617,Control!$F$10)/INDEX(HIST_D!$AF$8:$AF$2617,1)-1,"")</f>
        <v/>
      </c>
      <c r="I11" s="24">
        <f>IFERROR(INDEX(HIST_D!$AF$8:$AF$2617,Control!$F$16)/INDEX(HIST_D!$AF$8:$AF$2617,1)-1,"")</f>
        <v/>
      </c>
      <c r="J11" s="24">
        <f>IFERROR(INDEX(HIST_D!$AF$8:$AF$2617,Control!$F$11)/INDEX(HIST_D!$AF$8:$AF$2617,1)-1,"")</f>
        <v/>
      </c>
      <c r="K11" s="24">
        <f>IFERROR(IFERROR(INDEX(HIST_D!$AF$8:$AF$2617,Control!$F$8)/INDEX(HIST_D!$AF$8:$AF$2617,1)-1,"")+IFERROR(INDEX(HIST_D!$J$8:$J$2617,1)/INDEX(HIST_D!$J$8:$J$2617,Control!$F$8)-1,""),"")</f>
        <v/>
      </c>
      <c r="L11" s="24">
        <f>IFERROR(IFERROR(INDEX(HIST_D!$AF$8:$AF$2617,Control!$F$9)/INDEX(HIST_D!$AF$8:$AF$2617,1)-1,"")+IFERROR(INDEX(HIST_D!$J$8:$J$2617,1)/INDEX(HIST_D!$J$8:$J$2617,Control!$F$9)-1,""),"")</f>
        <v/>
      </c>
      <c r="M11" s="24">
        <f>IFERROR(IFERROR(INDEX(HIST_D!$AF$8:$AF$2617,Control!$F$16)/INDEX(HIST_D!$AF$8:$AF$2617,1)-1,"")+IFERROR(INDEX(HIST_D!$J$8:$J$2617,1)/INDEX(HIST_D!$J$8:$J$2617,Control!$F$16)-1,""),"")</f>
        <v/>
      </c>
      <c r="N11" s="22">
        <f>IFERROR(PERCENTRANK(HIST_D!$AF$8:INDEX(HIST_D!$AF$8:$AF$2617,Control!$F$11),INDEX(HIST_D!$AF$8:$AF$2617,1)),"")</f>
        <v/>
      </c>
      <c r="O11" s="22">
        <f>IFERROR(PERCENTRANK(HIST_D!$AF$8:INDEX(HIST_D!$AF$8:$AF$2617,Control!$F$14),INDEX(HIST_D!$AF$8:$AF$2617,1)),"")</f>
        <v/>
      </c>
    </row>
    <row r="12">
      <c r="A12" s="28" t="inlineStr">
        <is>
          <t>LatAm basket (floating, n=6)</t>
        </is>
      </c>
      <c r="B12" s="25" t="inlineStr"/>
      <c r="C12" s="25" t="inlineStr"/>
      <c r="D12" s="36">
        <f>IFERROR(AVERAGE(D6,D7,D8,D9,D10,D11),"")</f>
        <v/>
      </c>
      <c r="E12" s="36">
        <f>IFERROR(AVERAGE(E6,E7,E8,E9,E10,E11),"")</f>
        <v/>
      </c>
      <c r="F12" s="36">
        <f>IFERROR(AVERAGE(F6,F7,F8,F9,F10,F11),"")</f>
        <v/>
      </c>
      <c r="G12" s="36">
        <f>IFERROR(AVERAGE(G6,G7,G8,G9,G10,G11),"")</f>
        <v/>
      </c>
      <c r="H12" s="36">
        <f>IFERROR(AVERAGE(H6,H7,H8,H9,H10,H11),"")</f>
        <v/>
      </c>
      <c r="I12" s="36">
        <f>IFERROR(AVERAGE(I6,I7,I8,I9,I10,I11),"")</f>
        <v/>
      </c>
      <c r="J12" s="36">
        <f>IFERROR(AVERAGE(J6,J7,J8,J9,J10,J11),"")</f>
        <v/>
      </c>
      <c r="K12" s="36">
        <f>IFERROR(AVERAGE(K6,K7,K8,K9,K10,K11),"")</f>
        <v/>
      </c>
      <c r="L12" s="36">
        <f>IFERROR(AVERAGE(L6,L7,L8,L9,L10,L11),"")</f>
        <v/>
      </c>
      <c r="M12" s="36">
        <f>IFERROR(AVERAGE(M6,M7,M8,M9,M10,M11),"")</f>
        <v/>
      </c>
      <c r="N12" s="37">
        <f>IFERROR(AVERAGE(N6,N7,N8,N9,N10,N11),"")</f>
        <v/>
      </c>
      <c r="O12" s="37">
        <f>IFERROR(AVERAGE(O6,O7,O8,O9,O10,O11),"")</f>
        <v/>
      </c>
    </row>
    <row r="13">
      <c r="A13" s="10">
        <f>IFERROR("LatAm: "&amp;TEXT($F$12,"+0.0%;-0.0%")&amp;" on the month, "&amp;TEXT($I$12,"+0.0%;-0.0%")&amp;" YTD, "&amp;TEXT($K$12,"+0.0%;-0.0%")&amp;" ex-dollar. "&amp;IF($F$12&gt;$F$51,"Ahead of","Behind")&amp;" the EM basket at "&amp;TEXT($F$51,"+0.0%;-0.0%")&amp;". "&amp;IF($K$12&gt;0.005,"Regional support beyond the dollar.",IF($K$12&lt;-0.005,"Lagging even after adjusting for the dollar.","Tracking the dollar; no regional signal.")),"")</f>
        <v/>
      </c>
    </row>
    <row r="15" ht="16" customHeight="1">
      <c r="A15" s="33" t="inlineStr">
        <is>
          <t>EM EUROPE</t>
        </is>
      </c>
      <c r="B15" s="34" t="n"/>
      <c r="C15" s="34" t="n"/>
      <c r="D15" s="34" t="n"/>
      <c r="E15" s="34" t="n"/>
      <c r="F15" s="34" t="n"/>
      <c r="G15" s="34" t="n"/>
      <c r="H15" s="34" t="n"/>
      <c r="I15" s="34" t="n"/>
      <c r="J15" s="34" t="n"/>
      <c r="K15" s="34" t="n"/>
      <c r="L15" s="34" t="n"/>
      <c r="M15" s="34" t="n"/>
      <c r="N15" s="34" t="n"/>
      <c r="O15" s="34" t="n"/>
    </row>
    <row r="16" ht="30" customHeight="1">
      <c r="A16" s="18" t="inlineStr">
        <is>
          <t>Currency</t>
        </is>
      </c>
      <c r="B16" s="18" t="inlineStr">
        <is>
          <t>Peg</t>
        </is>
      </c>
      <c r="C16" s="18" t="inlineStr">
        <is>
          <t>Spot (EM/USD)</t>
        </is>
      </c>
      <c r="D16" s="18" t="inlineStr">
        <is>
          <t>1D</t>
        </is>
      </c>
      <c r="E16" s="18" t="inlineStr">
        <is>
          <t>1W</t>
        </is>
      </c>
      <c r="F16" s="18" t="inlineStr">
        <is>
          <t>1M</t>
        </is>
      </c>
      <c r="G16" s="18" t="inlineStr">
        <is>
          <t>3M</t>
        </is>
      </c>
      <c r="H16" s="18" t="inlineStr">
        <is>
          <t>6M</t>
        </is>
      </c>
      <c r="I16" s="18" t="inlineStr">
        <is>
          <t>YTD</t>
        </is>
      </c>
      <c r="J16" s="18" t="inlineStr">
        <is>
          <t>1Y</t>
        </is>
      </c>
      <c r="K16" s="18" t="inlineStr">
        <is>
          <t>1M ex-USD</t>
        </is>
      </c>
      <c r="L16" s="18" t="inlineStr">
        <is>
          <t>3M ex-USD</t>
        </is>
      </c>
      <c r="M16" s="18" t="inlineStr">
        <is>
          <t>YTD ex-USD</t>
        </is>
      </c>
      <c r="N16" s="18" t="inlineStr">
        <is>
          <t>%ile 1y (spot)</t>
        </is>
      </c>
      <c r="O16" s="18" t="inlineStr">
        <is>
          <t>%ile 5y (spot)</t>
        </is>
      </c>
    </row>
    <row r="17">
      <c r="A17" s="8" t="inlineStr">
        <is>
          <t>Poland PLN</t>
        </is>
      </c>
      <c r="B17" s="19" t="inlineStr">
        <is>
          <t>float</t>
        </is>
      </c>
      <c r="C17" s="35">
        <f>INDEX(HIST_D!$AG$8:$AG$2617,1)</f>
        <v/>
      </c>
      <c r="D17" s="24">
        <f>IFERROR(INDEX(HIST_D!$AG$8:$AG$2617,Control!$F$6)/INDEX(HIST_D!$AG$8:$AG$2617,1)-1,"")</f>
        <v/>
      </c>
      <c r="E17" s="24">
        <f>IFERROR(INDEX(HIST_D!$AG$8:$AG$2617,Control!$F$7)/INDEX(HIST_D!$AG$8:$AG$2617,1)-1,"")</f>
        <v/>
      </c>
      <c r="F17" s="24">
        <f>IFERROR(INDEX(HIST_D!$AG$8:$AG$2617,Control!$F$8)/INDEX(HIST_D!$AG$8:$AG$2617,1)-1,"")</f>
        <v/>
      </c>
      <c r="G17" s="24">
        <f>IFERROR(INDEX(HIST_D!$AG$8:$AG$2617,Control!$F$9)/INDEX(HIST_D!$AG$8:$AG$2617,1)-1,"")</f>
        <v/>
      </c>
      <c r="H17" s="24">
        <f>IFERROR(INDEX(HIST_D!$AG$8:$AG$2617,Control!$F$10)/INDEX(HIST_D!$AG$8:$AG$2617,1)-1,"")</f>
        <v/>
      </c>
      <c r="I17" s="24">
        <f>IFERROR(INDEX(HIST_D!$AG$8:$AG$2617,Control!$F$16)/INDEX(HIST_D!$AG$8:$AG$2617,1)-1,"")</f>
        <v/>
      </c>
      <c r="J17" s="24">
        <f>IFERROR(INDEX(HIST_D!$AG$8:$AG$2617,Control!$F$11)/INDEX(HIST_D!$AG$8:$AG$2617,1)-1,"")</f>
        <v/>
      </c>
      <c r="K17" s="24">
        <f>IFERROR(IFERROR(INDEX(HIST_D!$AG$8:$AG$2617,Control!$F$8)/INDEX(HIST_D!$AG$8:$AG$2617,1)-1,"")+IFERROR(INDEX(HIST_D!$J$8:$J$2617,1)/INDEX(HIST_D!$J$8:$J$2617,Control!$F$8)-1,""),"")</f>
        <v/>
      </c>
      <c r="L17" s="24">
        <f>IFERROR(IFERROR(INDEX(HIST_D!$AG$8:$AG$2617,Control!$F$9)/INDEX(HIST_D!$AG$8:$AG$2617,1)-1,"")+IFERROR(INDEX(HIST_D!$J$8:$J$2617,1)/INDEX(HIST_D!$J$8:$J$2617,Control!$F$9)-1,""),"")</f>
        <v/>
      </c>
      <c r="M17" s="24">
        <f>IFERROR(IFERROR(INDEX(HIST_D!$AG$8:$AG$2617,Control!$F$16)/INDEX(HIST_D!$AG$8:$AG$2617,1)-1,"")+IFERROR(INDEX(HIST_D!$J$8:$J$2617,1)/INDEX(HIST_D!$J$8:$J$2617,Control!$F$16)-1,""),"")</f>
        <v/>
      </c>
      <c r="N17" s="22">
        <f>IFERROR(PERCENTRANK(HIST_D!$AG$8:INDEX(HIST_D!$AG$8:$AG$2617,Control!$F$11),INDEX(HIST_D!$AG$8:$AG$2617,1)),"")</f>
        <v/>
      </c>
      <c r="O17" s="22">
        <f>IFERROR(PERCENTRANK(HIST_D!$AG$8:INDEX(HIST_D!$AG$8:$AG$2617,Control!$F$14),INDEX(HIST_D!$AG$8:$AG$2617,1)),"")</f>
        <v/>
      </c>
    </row>
    <row r="18">
      <c r="A18" s="8" t="inlineStr">
        <is>
          <t>Hungary HUF</t>
        </is>
      </c>
      <c r="B18" s="19" t="inlineStr">
        <is>
          <t>float</t>
        </is>
      </c>
      <c r="C18" s="35">
        <f>INDEX(HIST_D!$AH$8:$AH$2617,1)</f>
        <v/>
      </c>
      <c r="D18" s="24">
        <f>IFERROR(INDEX(HIST_D!$AH$8:$AH$2617,Control!$F$6)/INDEX(HIST_D!$AH$8:$AH$2617,1)-1,"")</f>
        <v/>
      </c>
      <c r="E18" s="24">
        <f>IFERROR(INDEX(HIST_D!$AH$8:$AH$2617,Control!$F$7)/INDEX(HIST_D!$AH$8:$AH$2617,1)-1,"")</f>
        <v/>
      </c>
      <c r="F18" s="24">
        <f>IFERROR(INDEX(HIST_D!$AH$8:$AH$2617,Control!$F$8)/INDEX(HIST_D!$AH$8:$AH$2617,1)-1,"")</f>
        <v/>
      </c>
      <c r="G18" s="24">
        <f>IFERROR(INDEX(HIST_D!$AH$8:$AH$2617,Control!$F$9)/INDEX(HIST_D!$AH$8:$AH$2617,1)-1,"")</f>
        <v/>
      </c>
      <c r="H18" s="24">
        <f>IFERROR(INDEX(HIST_D!$AH$8:$AH$2617,Control!$F$10)/INDEX(HIST_D!$AH$8:$AH$2617,1)-1,"")</f>
        <v/>
      </c>
      <c r="I18" s="24">
        <f>IFERROR(INDEX(HIST_D!$AH$8:$AH$2617,Control!$F$16)/INDEX(HIST_D!$AH$8:$AH$2617,1)-1,"")</f>
        <v/>
      </c>
      <c r="J18" s="24">
        <f>IFERROR(INDEX(HIST_D!$AH$8:$AH$2617,Control!$F$11)/INDEX(HIST_D!$AH$8:$AH$2617,1)-1,"")</f>
        <v/>
      </c>
      <c r="K18" s="24">
        <f>IFERROR(IFERROR(INDEX(HIST_D!$AH$8:$AH$2617,Control!$F$8)/INDEX(HIST_D!$AH$8:$AH$2617,1)-1,"")+IFERROR(INDEX(HIST_D!$J$8:$J$2617,1)/INDEX(HIST_D!$J$8:$J$2617,Control!$F$8)-1,""),"")</f>
        <v/>
      </c>
      <c r="L18" s="24">
        <f>IFERROR(IFERROR(INDEX(HIST_D!$AH$8:$AH$2617,Control!$F$9)/INDEX(HIST_D!$AH$8:$AH$2617,1)-1,"")+IFERROR(INDEX(HIST_D!$J$8:$J$2617,1)/INDEX(HIST_D!$J$8:$J$2617,Control!$F$9)-1,""),"")</f>
        <v/>
      </c>
      <c r="M18" s="24">
        <f>IFERROR(IFERROR(INDEX(HIST_D!$AH$8:$AH$2617,Control!$F$16)/INDEX(HIST_D!$AH$8:$AH$2617,1)-1,"")+IFERROR(INDEX(HIST_D!$J$8:$J$2617,1)/INDEX(HIST_D!$J$8:$J$2617,Control!$F$16)-1,""),"")</f>
        <v/>
      </c>
      <c r="N18" s="22">
        <f>IFERROR(PERCENTRANK(HIST_D!$AH$8:INDEX(HIST_D!$AH$8:$AH$2617,Control!$F$11),INDEX(HIST_D!$AH$8:$AH$2617,1)),"")</f>
        <v/>
      </c>
      <c r="O18" s="22">
        <f>IFERROR(PERCENTRANK(HIST_D!$AH$8:INDEX(HIST_D!$AH$8:$AH$2617,Control!$F$14),INDEX(HIST_D!$AH$8:$AH$2617,1)),"")</f>
        <v/>
      </c>
    </row>
    <row r="19">
      <c r="A19" s="8" t="inlineStr">
        <is>
          <t>Czechia CZK</t>
        </is>
      </c>
      <c r="B19" s="19" t="inlineStr">
        <is>
          <t>float</t>
        </is>
      </c>
      <c r="C19" s="35">
        <f>INDEX(HIST_D!$AI$8:$AI$2617,1)</f>
        <v/>
      </c>
      <c r="D19" s="24">
        <f>IFERROR(INDEX(HIST_D!$AI$8:$AI$2617,Control!$F$6)/INDEX(HIST_D!$AI$8:$AI$2617,1)-1,"")</f>
        <v/>
      </c>
      <c r="E19" s="24">
        <f>IFERROR(INDEX(HIST_D!$AI$8:$AI$2617,Control!$F$7)/INDEX(HIST_D!$AI$8:$AI$2617,1)-1,"")</f>
        <v/>
      </c>
      <c r="F19" s="24">
        <f>IFERROR(INDEX(HIST_D!$AI$8:$AI$2617,Control!$F$8)/INDEX(HIST_D!$AI$8:$AI$2617,1)-1,"")</f>
        <v/>
      </c>
      <c r="G19" s="24">
        <f>IFERROR(INDEX(HIST_D!$AI$8:$AI$2617,Control!$F$9)/INDEX(HIST_D!$AI$8:$AI$2617,1)-1,"")</f>
        <v/>
      </c>
      <c r="H19" s="24">
        <f>IFERROR(INDEX(HIST_D!$AI$8:$AI$2617,Control!$F$10)/INDEX(HIST_D!$AI$8:$AI$2617,1)-1,"")</f>
        <v/>
      </c>
      <c r="I19" s="24">
        <f>IFERROR(INDEX(HIST_D!$AI$8:$AI$2617,Control!$F$16)/INDEX(HIST_D!$AI$8:$AI$2617,1)-1,"")</f>
        <v/>
      </c>
      <c r="J19" s="24">
        <f>IFERROR(INDEX(HIST_D!$AI$8:$AI$2617,Control!$F$11)/INDEX(HIST_D!$AI$8:$AI$2617,1)-1,"")</f>
        <v/>
      </c>
      <c r="K19" s="24">
        <f>IFERROR(IFERROR(INDEX(HIST_D!$AI$8:$AI$2617,Control!$F$8)/INDEX(HIST_D!$AI$8:$AI$2617,1)-1,"")+IFERROR(INDEX(HIST_D!$J$8:$J$2617,1)/INDEX(HIST_D!$J$8:$J$2617,Control!$F$8)-1,""),"")</f>
        <v/>
      </c>
      <c r="L19" s="24">
        <f>IFERROR(IFERROR(INDEX(HIST_D!$AI$8:$AI$2617,Control!$F$9)/INDEX(HIST_D!$AI$8:$AI$2617,1)-1,"")+IFERROR(INDEX(HIST_D!$J$8:$J$2617,1)/INDEX(HIST_D!$J$8:$J$2617,Control!$F$9)-1,""),"")</f>
        <v/>
      </c>
      <c r="M19" s="24">
        <f>IFERROR(IFERROR(INDEX(HIST_D!$AI$8:$AI$2617,Control!$F$16)/INDEX(HIST_D!$AI$8:$AI$2617,1)-1,"")+IFERROR(INDEX(HIST_D!$J$8:$J$2617,1)/INDEX(HIST_D!$J$8:$J$2617,Control!$F$16)-1,""),"")</f>
        <v/>
      </c>
      <c r="N19" s="22">
        <f>IFERROR(PERCENTRANK(HIST_D!$AI$8:INDEX(HIST_D!$AI$8:$AI$2617,Control!$F$11),INDEX(HIST_D!$AI$8:$AI$2617,1)),"")</f>
        <v/>
      </c>
      <c r="O19" s="22">
        <f>IFERROR(PERCENTRANK(HIST_D!$AI$8:INDEX(HIST_D!$AI$8:$AI$2617,Control!$F$14),INDEX(HIST_D!$AI$8:$AI$2617,1)),"")</f>
        <v/>
      </c>
    </row>
    <row r="20">
      <c r="A20" s="8" t="inlineStr">
        <is>
          <t>Romania RON</t>
        </is>
      </c>
      <c r="B20" s="19" t="inlineStr">
        <is>
          <t>float</t>
        </is>
      </c>
      <c r="C20" s="35">
        <f>INDEX(HIST_D!$AJ$8:$AJ$2617,1)</f>
        <v/>
      </c>
      <c r="D20" s="24">
        <f>IFERROR(INDEX(HIST_D!$AJ$8:$AJ$2617,Control!$F$6)/INDEX(HIST_D!$AJ$8:$AJ$2617,1)-1,"")</f>
        <v/>
      </c>
      <c r="E20" s="24">
        <f>IFERROR(INDEX(HIST_D!$AJ$8:$AJ$2617,Control!$F$7)/INDEX(HIST_D!$AJ$8:$AJ$2617,1)-1,"")</f>
        <v/>
      </c>
      <c r="F20" s="24">
        <f>IFERROR(INDEX(HIST_D!$AJ$8:$AJ$2617,Control!$F$8)/INDEX(HIST_D!$AJ$8:$AJ$2617,1)-1,"")</f>
        <v/>
      </c>
      <c r="G20" s="24">
        <f>IFERROR(INDEX(HIST_D!$AJ$8:$AJ$2617,Control!$F$9)/INDEX(HIST_D!$AJ$8:$AJ$2617,1)-1,"")</f>
        <v/>
      </c>
      <c r="H20" s="24">
        <f>IFERROR(INDEX(HIST_D!$AJ$8:$AJ$2617,Control!$F$10)/INDEX(HIST_D!$AJ$8:$AJ$2617,1)-1,"")</f>
        <v/>
      </c>
      <c r="I20" s="24">
        <f>IFERROR(INDEX(HIST_D!$AJ$8:$AJ$2617,Control!$F$16)/INDEX(HIST_D!$AJ$8:$AJ$2617,1)-1,"")</f>
        <v/>
      </c>
      <c r="J20" s="24">
        <f>IFERROR(INDEX(HIST_D!$AJ$8:$AJ$2617,Control!$F$11)/INDEX(HIST_D!$AJ$8:$AJ$2617,1)-1,"")</f>
        <v/>
      </c>
      <c r="K20" s="24">
        <f>IFERROR(IFERROR(INDEX(HIST_D!$AJ$8:$AJ$2617,Control!$F$8)/INDEX(HIST_D!$AJ$8:$AJ$2617,1)-1,"")+IFERROR(INDEX(HIST_D!$J$8:$J$2617,1)/INDEX(HIST_D!$J$8:$J$2617,Control!$F$8)-1,""),"")</f>
        <v/>
      </c>
      <c r="L20" s="24">
        <f>IFERROR(IFERROR(INDEX(HIST_D!$AJ$8:$AJ$2617,Control!$F$9)/INDEX(HIST_D!$AJ$8:$AJ$2617,1)-1,"")+IFERROR(INDEX(HIST_D!$J$8:$J$2617,1)/INDEX(HIST_D!$J$8:$J$2617,Control!$F$9)-1,""),"")</f>
        <v/>
      </c>
      <c r="M20" s="24">
        <f>IFERROR(IFERROR(INDEX(HIST_D!$AJ$8:$AJ$2617,Control!$F$16)/INDEX(HIST_D!$AJ$8:$AJ$2617,1)-1,"")+IFERROR(INDEX(HIST_D!$J$8:$J$2617,1)/INDEX(HIST_D!$J$8:$J$2617,Control!$F$16)-1,""),"")</f>
        <v/>
      </c>
      <c r="N20" s="22">
        <f>IFERROR(PERCENTRANK(HIST_D!$AJ$8:INDEX(HIST_D!$AJ$8:$AJ$2617,Control!$F$11),INDEX(HIST_D!$AJ$8:$AJ$2617,1)),"")</f>
        <v/>
      </c>
      <c r="O20" s="22">
        <f>IFERROR(PERCENTRANK(HIST_D!$AJ$8:INDEX(HIST_D!$AJ$8:$AJ$2617,Control!$F$14),INDEX(HIST_D!$AJ$8:$AJ$2617,1)),"")</f>
        <v/>
      </c>
    </row>
    <row r="21">
      <c r="A21" s="8" t="inlineStr">
        <is>
          <t>Turkiye TRY</t>
        </is>
      </c>
      <c r="B21" s="19" t="inlineStr">
        <is>
          <t>float</t>
        </is>
      </c>
      <c r="C21" s="35">
        <f>INDEX(HIST_D!$AK$8:$AK$2617,1)</f>
        <v/>
      </c>
      <c r="D21" s="24">
        <f>IFERROR(INDEX(HIST_D!$AK$8:$AK$2617,Control!$F$6)/INDEX(HIST_D!$AK$8:$AK$2617,1)-1,"")</f>
        <v/>
      </c>
      <c r="E21" s="24">
        <f>IFERROR(INDEX(HIST_D!$AK$8:$AK$2617,Control!$F$7)/INDEX(HIST_D!$AK$8:$AK$2617,1)-1,"")</f>
        <v/>
      </c>
      <c r="F21" s="24">
        <f>IFERROR(INDEX(HIST_D!$AK$8:$AK$2617,Control!$F$8)/INDEX(HIST_D!$AK$8:$AK$2617,1)-1,"")</f>
        <v/>
      </c>
      <c r="G21" s="24">
        <f>IFERROR(INDEX(HIST_D!$AK$8:$AK$2617,Control!$F$9)/INDEX(HIST_D!$AK$8:$AK$2617,1)-1,"")</f>
        <v/>
      </c>
      <c r="H21" s="24">
        <f>IFERROR(INDEX(HIST_D!$AK$8:$AK$2617,Control!$F$10)/INDEX(HIST_D!$AK$8:$AK$2617,1)-1,"")</f>
        <v/>
      </c>
      <c r="I21" s="24">
        <f>IFERROR(INDEX(HIST_D!$AK$8:$AK$2617,Control!$F$16)/INDEX(HIST_D!$AK$8:$AK$2617,1)-1,"")</f>
        <v/>
      </c>
      <c r="J21" s="24">
        <f>IFERROR(INDEX(HIST_D!$AK$8:$AK$2617,Control!$F$11)/INDEX(HIST_D!$AK$8:$AK$2617,1)-1,"")</f>
        <v/>
      </c>
      <c r="K21" s="24">
        <f>IFERROR(IFERROR(INDEX(HIST_D!$AK$8:$AK$2617,Control!$F$8)/INDEX(HIST_D!$AK$8:$AK$2617,1)-1,"")+IFERROR(INDEX(HIST_D!$J$8:$J$2617,1)/INDEX(HIST_D!$J$8:$J$2617,Control!$F$8)-1,""),"")</f>
        <v/>
      </c>
      <c r="L21" s="24">
        <f>IFERROR(IFERROR(INDEX(HIST_D!$AK$8:$AK$2617,Control!$F$9)/INDEX(HIST_D!$AK$8:$AK$2617,1)-1,"")+IFERROR(INDEX(HIST_D!$J$8:$J$2617,1)/INDEX(HIST_D!$J$8:$J$2617,Control!$F$9)-1,""),"")</f>
        <v/>
      </c>
      <c r="M21" s="24">
        <f>IFERROR(IFERROR(INDEX(HIST_D!$AK$8:$AK$2617,Control!$F$16)/INDEX(HIST_D!$AK$8:$AK$2617,1)-1,"")+IFERROR(INDEX(HIST_D!$J$8:$J$2617,1)/INDEX(HIST_D!$J$8:$J$2617,Control!$F$16)-1,""),"")</f>
        <v/>
      </c>
      <c r="N21" s="22">
        <f>IFERROR(PERCENTRANK(HIST_D!$AK$8:INDEX(HIST_D!$AK$8:$AK$2617,Control!$F$11),INDEX(HIST_D!$AK$8:$AK$2617,1)),"")</f>
        <v/>
      </c>
      <c r="O21" s="22">
        <f>IFERROR(PERCENTRANK(HIST_D!$AK$8:INDEX(HIST_D!$AK$8:$AK$2617,Control!$F$14),INDEX(HIST_D!$AK$8:$AK$2617,1)),"")</f>
        <v/>
      </c>
    </row>
    <row r="22">
      <c r="A22" s="28" t="inlineStr">
        <is>
          <t>EM Europe basket (floating, n=5)</t>
        </is>
      </c>
      <c r="B22" s="25" t="inlineStr"/>
      <c r="C22" s="25" t="inlineStr"/>
      <c r="D22" s="36">
        <f>IFERROR(AVERAGE(D17,D18,D19,D20,D21),"")</f>
        <v/>
      </c>
      <c r="E22" s="36">
        <f>IFERROR(AVERAGE(E17,E18,E19,E20,E21),"")</f>
        <v/>
      </c>
      <c r="F22" s="36">
        <f>IFERROR(AVERAGE(F17,F18,F19,F20,F21),"")</f>
        <v/>
      </c>
      <c r="G22" s="36">
        <f>IFERROR(AVERAGE(G17,G18,G19,G20,G21),"")</f>
        <v/>
      </c>
      <c r="H22" s="36">
        <f>IFERROR(AVERAGE(H17,H18,H19,H20,H21),"")</f>
        <v/>
      </c>
      <c r="I22" s="36">
        <f>IFERROR(AVERAGE(I17,I18,I19,I20,I21),"")</f>
        <v/>
      </c>
      <c r="J22" s="36">
        <f>IFERROR(AVERAGE(J17,J18,J19,J20,J21),"")</f>
        <v/>
      </c>
      <c r="K22" s="36">
        <f>IFERROR(AVERAGE(K17,K18,K19,K20,K21),"")</f>
        <v/>
      </c>
      <c r="L22" s="36">
        <f>IFERROR(AVERAGE(L17,L18,L19,L20,L21),"")</f>
        <v/>
      </c>
      <c r="M22" s="36">
        <f>IFERROR(AVERAGE(M17,M18,M19,M20,M21),"")</f>
        <v/>
      </c>
      <c r="N22" s="37">
        <f>IFERROR(AVERAGE(N17,N18,N19,N20,N21),"")</f>
        <v/>
      </c>
      <c r="O22" s="37">
        <f>IFERROR(AVERAGE(O17,O18,O19,O20,O21),"")</f>
        <v/>
      </c>
    </row>
    <row r="23">
      <c r="A23" s="10">
        <f>IFERROR("EM Europe: "&amp;TEXT($F$22,"+0.0%;-0.0%")&amp;" on the month, "&amp;TEXT($I$22,"+0.0%;-0.0%")&amp;" YTD, "&amp;TEXT($K$22,"+0.0%;-0.0%")&amp;" ex-dollar. "&amp;IF($F$22&gt;$F$51,"Ahead of","Behind")&amp;" the EM basket at "&amp;TEXT($F$51,"+0.0%;-0.0%")&amp;". "&amp;IF($K$22&gt;0.005,"Regional support beyond the dollar.",IF($K$22&lt;-0.005,"Lagging even after adjusting for the dollar.","Tracking the dollar; no regional signal.")),"")</f>
        <v/>
      </c>
    </row>
    <row r="25" ht="16" customHeight="1">
      <c r="A25" s="33" t="inlineStr">
        <is>
          <t>MIDDLE EAST &amp; AFRICA</t>
        </is>
      </c>
      <c r="B25" s="34" t="n"/>
      <c r="C25" s="34" t="n"/>
      <c r="D25" s="34" t="n"/>
      <c r="E25" s="34" t="n"/>
      <c r="F25" s="34" t="n"/>
      <c r="G25" s="34" t="n"/>
      <c r="H25" s="34" t="n"/>
      <c r="I25" s="34" t="n"/>
      <c r="J25" s="34" t="n"/>
      <c r="K25" s="34" t="n"/>
      <c r="L25" s="34" t="n"/>
      <c r="M25" s="34" t="n"/>
      <c r="N25" s="34" t="n"/>
      <c r="O25" s="34" t="n"/>
    </row>
    <row r="26" ht="30" customHeight="1">
      <c r="A26" s="18" t="inlineStr">
        <is>
          <t>Currency</t>
        </is>
      </c>
      <c r="B26" s="18" t="inlineStr">
        <is>
          <t>Peg</t>
        </is>
      </c>
      <c r="C26" s="18" t="inlineStr">
        <is>
          <t>Spot (EM/USD)</t>
        </is>
      </c>
      <c r="D26" s="18" t="inlineStr">
        <is>
          <t>1D</t>
        </is>
      </c>
      <c r="E26" s="18" t="inlineStr">
        <is>
          <t>1W</t>
        </is>
      </c>
      <c r="F26" s="18" t="inlineStr">
        <is>
          <t>1M</t>
        </is>
      </c>
      <c r="G26" s="18" t="inlineStr">
        <is>
          <t>3M</t>
        </is>
      </c>
      <c r="H26" s="18" t="inlineStr">
        <is>
          <t>6M</t>
        </is>
      </c>
      <c r="I26" s="18" t="inlineStr">
        <is>
          <t>YTD</t>
        </is>
      </c>
      <c r="J26" s="18" t="inlineStr">
        <is>
          <t>1Y</t>
        </is>
      </c>
      <c r="K26" s="18" t="inlineStr">
        <is>
          <t>1M ex-USD</t>
        </is>
      </c>
      <c r="L26" s="18" t="inlineStr">
        <is>
          <t>3M ex-USD</t>
        </is>
      </c>
      <c r="M26" s="18" t="inlineStr">
        <is>
          <t>YTD ex-USD</t>
        </is>
      </c>
      <c r="N26" s="18" t="inlineStr">
        <is>
          <t>%ile 1y (spot)</t>
        </is>
      </c>
      <c r="O26" s="18" t="inlineStr">
        <is>
          <t>%ile 5y (spot)</t>
        </is>
      </c>
    </row>
    <row r="27">
      <c r="A27" s="8" t="inlineStr">
        <is>
          <t>Israel ILS</t>
        </is>
      </c>
      <c r="B27" s="19" t="inlineStr">
        <is>
          <t>float</t>
        </is>
      </c>
      <c r="C27" s="35">
        <f>INDEX(HIST_D!$AL$8:$AL$2617,1)</f>
        <v/>
      </c>
      <c r="D27" s="24">
        <f>IFERROR(INDEX(HIST_D!$AL$8:$AL$2617,Control!$F$6)/INDEX(HIST_D!$AL$8:$AL$2617,1)-1,"")</f>
        <v/>
      </c>
      <c r="E27" s="24">
        <f>IFERROR(INDEX(HIST_D!$AL$8:$AL$2617,Control!$F$7)/INDEX(HIST_D!$AL$8:$AL$2617,1)-1,"")</f>
        <v/>
      </c>
      <c r="F27" s="24">
        <f>IFERROR(INDEX(HIST_D!$AL$8:$AL$2617,Control!$F$8)/INDEX(HIST_D!$AL$8:$AL$2617,1)-1,"")</f>
        <v/>
      </c>
      <c r="G27" s="24">
        <f>IFERROR(INDEX(HIST_D!$AL$8:$AL$2617,Control!$F$9)/INDEX(HIST_D!$AL$8:$AL$2617,1)-1,"")</f>
        <v/>
      </c>
      <c r="H27" s="24">
        <f>IFERROR(INDEX(HIST_D!$AL$8:$AL$2617,Control!$F$10)/INDEX(HIST_D!$AL$8:$AL$2617,1)-1,"")</f>
        <v/>
      </c>
      <c r="I27" s="24">
        <f>IFERROR(INDEX(HIST_D!$AL$8:$AL$2617,Control!$F$16)/INDEX(HIST_D!$AL$8:$AL$2617,1)-1,"")</f>
        <v/>
      </c>
      <c r="J27" s="24">
        <f>IFERROR(INDEX(HIST_D!$AL$8:$AL$2617,Control!$F$11)/INDEX(HIST_D!$AL$8:$AL$2617,1)-1,"")</f>
        <v/>
      </c>
      <c r="K27" s="24">
        <f>IFERROR(IFERROR(INDEX(HIST_D!$AL$8:$AL$2617,Control!$F$8)/INDEX(HIST_D!$AL$8:$AL$2617,1)-1,"")+IFERROR(INDEX(HIST_D!$J$8:$J$2617,1)/INDEX(HIST_D!$J$8:$J$2617,Control!$F$8)-1,""),"")</f>
        <v/>
      </c>
      <c r="L27" s="24">
        <f>IFERROR(IFERROR(INDEX(HIST_D!$AL$8:$AL$2617,Control!$F$9)/INDEX(HIST_D!$AL$8:$AL$2617,1)-1,"")+IFERROR(INDEX(HIST_D!$J$8:$J$2617,1)/INDEX(HIST_D!$J$8:$J$2617,Control!$F$9)-1,""),"")</f>
        <v/>
      </c>
      <c r="M27" s="24">
        <f>IFERROR(IFERROR(INDEX(HIST_D!$AL$8:$AL$2617,Control!$F$16)/INDEX(HIST_D!$AL$8:$AL$2617,1)-1,"")+IFERROR(INDEX(HIST_D!$J$8:$J$2617,1)/INDEX(HIST_D!$J$8:$J$2617,Control!$F$16)-1,""),"")</f>
        <v/>
      </c>
      <c r="N27" s="22">
        <f>IFERROR(PERCENTRANK(HIST_D!$AL$8:INDEX(HIST_D!$AL$8:$AL$2617,Control!$F$11),INDEX(HIST_D!$AL$8:$AL$2617,1)),"")</f>
        <v/>
      </c>
      <c r="O27" s="22">
        <f>IFERROR(PERCENTRANK(HIST_D!$AL$8:INDEX(HIST_D!$AL$8:$AL$2617,Control!$F$14),INDEX(HIST_D!$AL$8:$AL$2617,1)),"")</f>
        <v/>
      </c>
    </row>
    <row r="28">
      <c r="A28" s="8" t="inlineStr">
        <is>
          <t>South Africa ZAR</t>
        </is>
      </c>
      <c r="B28" s="19" t="inlineStr">
        <is>
          <t>float</t>
        </is>
      </c>
      <c r="C28" s="35">
        <f>INDEX(HIST_D!$AM$8:$AM$2617,1)</f>
        <v/>
      </c>
      <c r="D28" s="24">
        <f>IFERROR(INDEX(HIST_D!$AM$8:$AM$2617,Control!$F$6)/INDEX(HIST_D!$AM$8:$AM$2617,1)-1,"")</f>
        <v/>
      </c>
      <c r="E28" s="24">
        <f>IFERROR(INDEX(HIST_D!$AM$8:$AM$2617,Control!$F$7)/INDEX(HIST_D!$AM$8:$AM$2617,1)-1,"")</f>
        <v/>
      </c>
      <c r="F28" s="24">
        <f>IFERROR(INDEX(HIST_D!$AM$8:$AM$2617,Control!$F$8)/INDEX(HIST_D!$AM$8:$AM$2617,1)-1,"")</f>
        <v/>
      </c>
      <c r="G28" s="24">
        <f>IFERROR(INDEX(HIST_D!$AM$8:$AM$2617,Control!$F$9)/INDEX(HIST_D!$AM$8:$AM$2617,1)-1,"")</f>
        <v/>
      </c>
      <c r="H28" s="24">
        <f>IFERROR(INDEX(HIST_D!$AM$8:$AM$2617,Control!$F$10)/INDEX(HIST_D!$AM$8:$AM$2617,1)-1,"")</f>
        <v/>
      </c>
      <c r="I28" s="24">
        <f>IFERROR(INDEX(HIST_D!$AM$8:$AM$2617,Control!$F$16)/INDEX(HIST_D!$AM$8:$AM$2617,1)-1,"")</f>
        <v/>
      </c>
      <c r="J28" s="24">
        <f>IFERROR(INDEX(HIST_D!$AM$8:$AM$2617,Control!$F$11)/INDEX(HIST_D!$AM$8:$AM$2617,1)-1,"")</f>
        <v/>
      </c>
      <c r="K28" s="24">
        <f>IFERROR(IFERROR(INDEX(HIST_D!$AM$8:$AM$2617,Control!$F$8)/INDEX(HIST_D!$AM$8:$AM$2617,1)-1,"")+IFERROR(INDEX(HIST_D!$J$8:$J$2617,1)/INDEX(HIST_D!$J$8:$J$2617,Control!$F$8)-1,""),"")</f>
        <v/>
      </c>
      <c r="L28" s="24">
        <f>IFERROR(IFERROR(INDEX(HIST_D!$AM$8:$AM$2617,Control!$F$9)/INDEX(HIST_D!$AM$8:$AM$2617,1)-1,"")+IFERROR(INDEX(HIST_D!$J$8:$J$2617,1)/INDEX(HIST_D!$J$8:$J$2617,Control!$F$9)-1,""),"")</f>
        <v/>
      </c>
      <c r="M28" s="24">
        <f>IFERROR(IFERROR(INDEX(HIST_D!$AM$8:$AM$2617,Control!$F$16)/INDEX(HIST_D!$AM$8:$AM$2617,1)-1,"")+IFERROR(INDEX(HIST_D!$J$8:$J$2617,1)/INDEX(HIST_D!$J$8:$J$2617,Control!$F$16)-1,""),"")</f>
        <v/>
      </c>
      <c r="N28" s="22">
        <f>IFERROR(PERCENTRANK(HIST_D!$AM$8:INDEX(HIST_D!$AM$8:$AM$2617,Control!$F$11),INDEX(HIST_D!$AM$8:$AM$2617,1)),"")</f>
        <v/>
      </c>
      <c r="O28" s="22">
        <f>IFERROR(PERCENTRANK(HIST_D!$AM$8:INDEX(HIST_D!$AM$8:$AM$2617,Control!$F$14),INDEX(HIST_D!$AM$8:$AM$2617,1)),"")</f>
        <v/>
      </c>
    </row>
    <row r="29">
      <c r="A29" s="8" t="inlineStr">
        <is>
          <t>Egypt EGP</t>
        </is>
      </c>
      <c r="B29" s="19" t="inlineStr">
        <is>
          <t>float</t>
        </is>
      </c>
      <c r="C29" s="35">
        <f>INDEX(HIST_D!$AN$8:$AN$2617,1)</f>
        <v/>
      </c>
      <c r="D29" s="24">
        <f>IFERROR(INDEX(HIST_D!$AN$8:$AN$2617,Control!$F$6)/INDEX(HIST_D!$AN$8:$AN$2617,1)-1,"")</f>
        <v/>
      </c>
      <c r="E29" s="24">
        <f>IFERROR(INDEX(HIST_D!$AN$8:$AN$2617,Control!$F$7)/INDEX(HIST_D!$AN$8:$AN$2617,1)-1,"")</f>
        <v/>
      </c>
      <c r="F29" s="24">
        <f>IFERROR(INDEX(HIST_D!$AN$8:$AN$2617,Control!$F$8)/INDEX(HIST_D!$AN$8:$AN$2617,1)-1,"")</f>
        <v/>
      </c>
      <c r="G29" s="24">
        <f>IFERROR(INDEX(HIST_D!$AN$8:$AN$2617,Control!$F$9)/INDEX(HIST_D!$AN$8:$AN$2617,1)-1,"")</f>
        <v/>
      </c>
      <c r="H29" s="24">
        <f>IFERROR(INDEX(HIST_D!$AN$8:$AN$2617,Control!$F$10)/INDEX(HIST_D!$AN$8:$AN$2617,1)-1,"")</f>
        <v/>
      </c>
      <c r="I29" s="24">
        <f>IFERROR(INDEX(HIST_D!$AN$8:$AN$2617,Control!$F$16)/INDEX(HIST_D!$AN$8:$AN$2617,1)-1,"")</f>
        <v/>
      </c>
      <c r="J29" s="24">
        <f>IFERROR(INDEX(HIST_D!$AN$8:$AN$2617,Control!$F$11)/INDEX(HIST_D!$AN$8:$AN$2617,1)-1,"")</f>
        <v/>
      </c>
      <c r="K29" s="24">
        <f>IFERROR(IFERROR(INDEX(HIST_D!$AN$8:$AN$2617,Control!$F$8)/INDEX(HIST_D!$AN$8:$AN$2617,1)-1,"")+IFERROR(INDEX(HIST_D!$J$8:$J$2617,1)/INDEX(HIST_D!$J$8:$J$2617,Control!$F$8)-1,""),"")</f>
        <v/>
      </c>
      <c r="L29" s="24">
        <f>IFERROR(IFERROR(INDEX(HIST_D!$AN$8:$AN$2617,Control!$F$9)/INDEX(HIST_D!$AN$8:$AN$2617,1)-1,"")+IFERROR(INDEX(HIST_D!$J$8:$J$2617,1)/INDEX(HIST_D!$J$8:$J$2617,Control!$F$9)-1,""),"")</f>
        <v/>
      </c>
      <c r="M29" s="24">
        <f>IFERROR(IFERROR(INDEX(HIST_D!$AN$8:$AN$2617,Control!$F$16)/INDEX(HIST_D!$AN$8:$AN$2617,1)-1,"")+IFERROR(INDEX(HIST_D!$J$8:$J$2617,1)/INDEX(HIST_D!$J$8:$J$2617,Control!$F$16)-1,""),"")</f>
        <v/>
      </c>
      <c r="N29" s="22">
        <f>IFERROR(PERCENTRANK(HIST_D!$AN$8:INDEX(HIST_D!$AN$8:$AN$2617,Control!$F$11),INDEX(HIST_D!$AN$8:$AN$2617,1)),"")</f>
        <v/>
      </c>
      <c r="O29" s="22">
        <f>IFERROR(PERCENTRANK(HIST_D!$AN$8:INDEX(HIST_D!$AN$8:$AN$2617,Control!$F$14),INDEX(HIST_D!$AN$8:$AN$2617,1)),"")</f>
        <v/>
      </c>
    </row>
    <row r="30">
      <c r="A30" s="8" t="inlineStr">
        <is>
          <t>Saudi SAR (pegged)</t>
        </is>
      </c>
      <c r="B30" s="19" t="inlineStr">
        <is>
          <t>peg</t>
        </is>
      </c>
      <c r="C30" s="35">
        <f>INDEX(HIST_D!$AO$8:$AO$2617,1)</f>
        <v/>
      </c>
      <c r="D30" s="24">
        <f>IFERROR(INDEX(HIST_D!$AO$8:$AO$2617,Control!$F$6)/INDEX(HIST_D!$AO$8:$AO$2617,1)-1,"")</f>
        <v/>
      </c>
      <c r="E30" s="24">
        <f>IFERROR(INDEX(HIST_D!$AO$8:$AO$2617,Control!$F$7)/INDEX(HIST_D!$AO$8:$AO$2617,1)-1,"")</f>
        <v/>
      </c>
      <c r="F30" s="24">
        <f>IFERROR(INDEX(HIST_D!$AO$8:$AO$2617,Control!$F$8)/INDEX(HIST_D!$AO$8:$AO$2617,1)-1,"")</f>
        <v/>
      </c>
      <c r="G30" s="24">
        <f>IFERROR(INDEX(HIST_D!$AO$8:$AO$2617,Control!$F$9)/INDEX(HIST_D!$AO$8:$AO$2617,1)-1,"")</f>
        <v/>
      </c>
      <c r="H30" s="24">
        <f>IFERROR(INDEX(HIST_D!$AO$8:$AO$2617,Control!$F$10)/INDEX(HIST_D!$AO$8:$AO$2617,1)-1,"")</f>
        <v/>
      </c>
      <c r="I30" s="24">
        <f>IFERROR(INDEX(HIST_D!$AO$8:$AO$2617,Control!$F$16)/INDEX(HIST_D!$AO$8:$AO$2617,1)-1,"")</f>
        <v/>
      </c>
      <c r="J30" s="24">
        <f>IFERROR(INDEX(HIST_D!$AO$8:$AO$2617,Control!$F$11)/INDEX(HIST_D!$AO$8:$AO$2617,1)-1,"")</f>
        <v/>
      </c>
      <c r="K30" s="24">
        <f>IFERROR(IFERROR(INDEX(HIST_D!$AO$8:$AO$2617,Control!$F$8)/INDEX(HIST_D!$AO$8:$AO$2617,1)-1,"")+IFERROR(INDEX(HIST_D!$J$8:$J$2617,1)/INDEX(HIST_D!$J$8:$J$2617,Control!$F$8)-1,""),"")</f>
        <v/>
      </c>
      <c r="L30" s="24">
        <f>IFERROR(IFERROR(INDEX(HIST_D!$AO$8:$AO$2617,Control!$F$9)/INDEX(HIST_D!$AO$8:$AO$2617,1)-1,"")+IFERROR(INDEX(HIST_D!$J$8:$J$2617,1)/INDEX(HIST_D!$J$8:$J$2617,Control!$F$9)-1,""),"")</f>
        <v/>
      </c>
      <c r="M30" s="24">
        <f>IFERROR(IFERROR(INDEX(HIST_D!$AO$8:$AO$2617,Control!$F$16)/INDEX(HIST_D!$AO$8:$AO$2617,1)-1,"")+IFERROR(INDEX(HIST_D!$J$8:$J$2617,1)/INDEX(HIST_D!$J$8:$J$2617,Control!$F$16)-1,""),"")</f>
        <v/>
      </c>
      <c r="N30" s="22">
        <f>IFERROR(PERCENTRANK(HIST_D!$AO$8:INDEX(HIST_D!$AO$8:$AO$2617,Control!$F$11),INDEX(HIST_D!$AO$8:$AO$2617,1)),"")</f>
        <v/>
      </c>
      <c r="O30" s="22">
        <f>IFERROR(PERCENTRANK(HIST_D!$AO$8:INDEX(HIST_D!$AO$8:$AO$2617,Control!$F$14),INDEX(HIST_D!$AO$8:$AO$2617,1)),"")</f>
        <v/>
      </c>
    </row>
    <row r="31">
      <c r="A31" s="8" t="inlineStr">
        <is>
          <t>UAE AED (pegged)</t>
        </is>
      </c>
      <c r="B31" s="19" t="inlineStr">
        <is>
          <t>peg</t>
        </is>
      </c>
      <c r="C31" s="35">
        <f>INDEX(HIST_D!$AP$8:$AP$2617,1)</f>
        <v/>
      </c>
      <c r="D31" s="24">
        <f>IFERROR(INDEX(HIST_D!$AP$8:$AP$2617,Control!$F$6)/INDEX(HIST_D!$AP$8:$AP$2617,1)-1,"")</f>
        <v/>
      </c>
      <c r="E31" s="24">
        <f>IFERROR(INDEX(HIST_D!$AP$8:$AP$2617,Control!$F$7)/INDEX(HIST_D!$AP$8:$AP$2617,1)-1,"")</f>
        <v/>
      </c>
      <c r="F31" s="24">
        <f>IFERROR(INDEX(HIST_D!$AP$8:$AP$2617,Control!$F$8)/INDEX(HIST_D!$AP$8:$AP$2617,1)-1,"")</f>
        <v/>
      </c>
      <c r="G31" s="24">
        <f>IFERROR(INDEX(HIST_D!$AP$8:$AP$2617,Control!$F$9)/INDEX(HIST_D!$AP$8:$AP$2617,1)-1,"")</f>
        <v/>
      </c>
      <c r="H31" s="24">
        <f>IFERROR(INDEX(HIST_D!$AP$8:$AP$2617,Control!$F$10)/INDEX(HIST_D!$AP$8:$AP$2617,1)-1,"")</f>
        <v/>
      </c>
      <c r="I31" s="24">
        <f>IFERROR(INDEX(HIST_D!$AP$8:$AP$2617,Control!$F$16)/INDEX(HIST_D!$AP$8:$AP$2617,1)-1,"")</f>
        <v/>
      </c>
      <c r="J31" s="24">
        <f>IFERROR(INDEX(HIST_D!$AP$8:$AP$2617,Control!$F$11)/INDEX(HIST_D!$AP$8:$AP$2617,1)-1,"")</f>
        <v/>
      </c>
      <c r="K31" s="24">
        <f>IFERROR(IFERROR(INDEX(HIST_D!$AP$8:$AP$2617,Control!$F$8)/INDEX(HIST_D!$AP$8:$AP$2617,1)-1,"")+IFERROR(INDEX(HIST_D!$J$8:$J$2617,1)/INDEX(HIST_D!$J$8:$J$2617,Control!$F$8)-1,""),"")</f>
        <v/>
      </c>
      <c r="L31" s="24">
        <f>IFERROR(IFERROR(INDEX(HIST_D!$AP$8:$AP$2617,Control!$F$9)/INDEX(HIST_D!$AP$8:$AP$2617,1)-1,"")+IFERROR(INDEX(HIST_D!$J$8:$J$2617,1)/INDEX(HIST_D!$J$8:$J$2617,Control!$F$9)-1,""),"")</f>
        <v/>
      </c>
      <c r="M31" s="24">
        <f>IFERROR(IFERROR(INDEX(HIST_D!$AP$8:$AP$2617,Control!$F$16)/INDEX(HIST_D!$AP$8:$AP$2617,1)-1,"")+IFERROR(INDEX(HIST_D!$J$8:$J$2617,1)/INDEX(HIST_D!$J$8:$J$2617,Control!$F$16)-1,""),"")</f>
        <v/>
      </c>
      <c r="N31" s="22">
        <f>IFERROR(PERCENTRANK(HIST_D!$AP$8:INDEX(HIST_D!$AP$8:$AP$2617,Control!$F$11),INDEX(HIST_D!$AP$8:$AP$2617,1)),"")</f>
        <v/>
      </c>
      <c r="O31" s="22">
        <f>IFERROR(PERCENTRANK(HIST_D!$AP$8:INDEX(HIST_D!$AP$8:$AP$2617,Control!$F$14),INDEX(HIST_D!$AP$8:$AP$2617,1)),"")</f>
        <v/>
      </c>
    </row>
    <row r="32">
      <c r="A32" s="8" t="inlineStr">
        <is>
          <t>Qatar QAR (pegged)</t>
        </is>
      </c>
      <c r="B32" s="19" t="inlineStr">
        <is>
          <t>peg</t>
        </is>
      </c>
      <c r="C32" s="35">
        <f>INDEX(HIST_D!$AQ$8:$AQ$2617,1)</f>
        <v/>
      </c>
      <c r="D32" s="24">
        <f>IFERROR(INDEX(HIST_D!$AQ$8:$AQ$2617,Control!$F$6)/INDEX(HIST_D!$AQ$8:$AQ$2617,1)-1,"")</f>
        <v/>
      </c>
      <c r="E32" s="24">
        <f>IFERROR(INDEX(HIST_D!$AQ$8:$AQ$2617,Control!$F$7)/INDEX(HIST_D!$AQ$8:$AQ$2617,1)-1,"")</f>
        <v/>
      </c>
      <c r="F32" s="24">
        <f>IFERROR(INDEX(HIST_D!$AQ$8:$AQ$2617,Control!$F$8)/INDEX(HIST_D!$AQ$8:$AQ$2617,1)-1,"")</f>
        <v/>
      </c>
      <c r="G32" s="24">
        <f>IFERROR(INDEX(HIST_D!$AQ$8:$AQ$2617,Control!$F$9)/INDEX(HIST_D!$AQ$8:$AQ$2617,1)-1,"")</f>
        <v/>
      </c>
      <c r="H32" s="24">
        <f>IFERROR(INDEX(HIST_D!$AQ$8:$AQ$2617,Control!$F$10)/INDEX(HIST_D!$AQ$8:$AQ$2617,1)-1,"")</f>
        <v/>
      </c>
      <c r="I32" s="24">
        <f>IFERROR(INDEX(HIST_D!$AQ$8:$AQ$2617,Control!$F$16)/INDEX(HIST_D!$AQ$8:$AQ$2617,1)-1,"")</f>
        <v/>
      </c>
      <c r="J32" s="24">
        <f>IFERROR(INDEX(HIST_D!$AQ$8:$AQ$2617,Control!$F$11)/INDEX(HIST_D!$AQ$8:$AQ$2617,1)-1,"")</f>
        <v/>
      </c>
      <c r="K32" s="24">
        <f>IFERROR(IFERROR(INDEX(HIST_D!$AQ$8:$AQ$2617,Control!$F$8)/INDEX(HIST_D!$AQ$8:$AQ$2617,1)-1,"")+IFERROR(INDEX(HIST_D!$J$8:$J$2617,1)/INDEX(HIST_D!$J$8:$J$2617,Control!$F$8)-1,""),"")</f>
        <v/>
      </c>
      <c r="L32" s="24">
        <f>IFERROR(IFERROR(INDEX(HIST_D!$AQ$8:$AQ$2617,Control!$F$9)/INDEX(HIST_D!$AQ$8:$AQ$2617,1)-1,"")+IFERROR(INDEX(HIST_D!$J$8:$J$2617,1)/INDEX(HIST_D!$J$8:$J$2617,Control!$F$9)-1,""),"")</f>
        <v/>
      </c>
      <c r="M32" s="24">
        <f>IFERROR(IFERROR(INDEX(HIST_D!$AQ$8:$AQ$2617,Control!$F$16)/INDEX(HIST_D!$AQ$8:$AQ$2617,1)-1,"")+IFERROR(INDEX(HIST_D!$J$8:$J$2617,1)/INDEX(HIST_D!$J$8:$J$2617,Control!$F$16)-1,""),"")</f>
        <v/>
      </c>
      <c r="N32" s="22">
        <f>IFERROR(PERCENTRANK(HIST_D!$AQ$8:INDEX(HIST_D!$AQ$8:$AQ$2617,Control!$F$11),INDEX(HIST_D!$AQ$8:$AQ$2617,1)),"")</f>
        <v/>
      </c>
      <c r="O32" s="22">
        <f>IFERROR(PERCENTRANK(HIST_D!$AQ$8:INDEX(HIST_D!$AQ$8:$AQ$2617,Control!$F$14),INDEX(HIST_D!$AQ$8:$AQ$2617,1)),"")</f>
        <v/>
      </c>
    </row>
    <row r="33">
      <c r="A33" s="28" t="inlineStr">
        <is>
          <t>Middle East &amp; Africa basket (floating, n=3)</t>
        </is>
      </c>
      <c r="B33" s="25" t="inlineStr"/>
      <c r="C33" s="25" t="inlineStr"/>
      <c r="D33" s="36">
        <f>IFERROR(AVERAGE(D27,D28,D29),"")</f>
        <v/>
      </c>
      <c r="E33" s="36">
        <f>IFERROR(AVERAGE(E27,E28,E29),"")</f>
        <v/>
      </c>
      <c r="F33" s="36">
        <f>IFERROR(AVERAGE(F27,F28,F29),"")</f>
        <v/>
      </c>
      <c r="G33" s="36">
        <f>IFERROR(AVERAGE(G27,G28,G29),"")</f>
        <v/>
      </c>
      <c r="H33" s="36">
        <f>IFERROR(AVERAGE(H27,H28,H29),"")</f>
        <v/>
      </c>
      <c r="I33" s="36">
        <f>IFERROR(AVERAGE(I27,I28,I29),"")</f>
        <v/>
      </c>
      <c r="J33" s="36">
        <f>IFERROR(AVERAGE(J27,J28,J29),"")</f>
        <v/>
      </c>
      <c r="K33" s="36">
        <f>IFERROR(AVERAGE(K27,K28,K29),"")</f>
        <v/>
      </c>
      <c r="L33" s="36">
        <f>IFERROR(AVERAGE(L27,L28,L29),"")</f>
        <v/>
      </c>
      <c r="M33" s="36">
        <f>IFERROR(AVERAGE(M27,M28,M29),"")</f>
        <v/>
      </c>
      <c r="N33" s="37">
        <f>IFERROR(AVERAGE(N27,N28,N29),"")</f>
        <v/>
      </c>
      <c r="O33" s="37">
        <f>IFERROR(AVERAGE(O27,O28,O29),"")</f>
        <v/>
      </c>
    </row>
    <row r="34">
      <c r="A34" s="10">
        <f>IFERROR("Middle East &amp; Africa: "&amp;TEXT($F$33,"+0.0%;-0.0%")&amp;" on the month, "&amp;TEXT($I$33,"+0.0%;-0.0%")&amp;" YTD, "&amp;TEXT($K$33,"+0.0%;-0.0%")&amp;" ex-dollar. "&amp;IF($F$33&gt;$F$51,"Ahead of","Behind")&amp;" the EM basket at "&amp;TEXT($F$51,"+0.0%;-0.0%")&amp;". "&amp;IF($K$33&gt;0.005,"Regional support beyond the dollar.",IF($K$33&lt;-0.005,"Lagging even after adjusting for the dollar.","Tracking the dollar; no regional signal.")),"")</f>
        <v/>
      </c>
    </row>
    <row r="36" ht="16" customHeight="1">
      <c r="A36" s="33" t="inlineStr">
        <is>
          <t>ASIA</t>
        </is>
      </c>
      <c r="B36" s="34" t="n"/>
      <c r="C36" s="34" t="n"/>
      <c r="D36" s="34" t="n"/>
      <c r="E36" s="34" t="n"/>
      <c r="F36" s="34" t="n"/>
      <c r="G36" s="34" t="n"/>
      <c r="H36" s="34" t="n"/>
      <c r="I36" s="34" t="n"/>
      <c r="J36" s="34" t="n"/>
      <c r="K36" s="34" t="n"/>
      <c r="L36" s="34" t="n"/>
      <c r="M36" s="34" t="n"/>
      <c r="N36" s="34" t="n"/>
      <c r="O36" s="34" t="n"/>
    </row>
    <row r="37" ht="30" customHeight="1">
      <c r="A37" s="18" t="inlineStr">
        <is>
          <t>Currency</t>
        </is>
      </c>
      <c r="B37" s="18" t="inlineStr">
        <is>
          <t>Peg</t>
        </is>
      </c>
      <c r="C37" s="18" t="inlineStr">
        <is>
          <t>Spot (EM/USD)</t>
        </is>
      </c>
      <c r="D37" s="18" t="inlineStr">
        <is>
          <t>1D</t>
        </is>
      </c>
      <c r="E37" s="18" t="inlineStr">
        <is>
          <t>1W</t>
        </is>
      </c>
      <c r="F37" s="18" t="inlineStr">
        <is>
          <t>1M</t>
        </is>
      </c>
      <c r="G37" s="18" t="inlineStr">
        <is>
          <t>3M</t>
        </is>
      </c>
      <c r="H37" s="18" t="inlineStr">
        <is>
          <t>6M</t>
        </is>
      </c>
      <c r="I37" s="18" t="inlineStr">
        <is>
          <t>YTD</t>
        </is>
      </c>
      <c r="J37" s="18" t="inlineStr">
        <is>
          <t>1Y</t>
        </is>
      </c>
      <c r="K37" s="18" t="inlineStr">
        <is>
          <t>1M ex-USD</t>
        </is>
      </c>
      <c r="L37" s="18" t="inlineStr">
        <is>
          <t>3M ex-USD</t>
        </is>
      </c>
      <c r="M37" s="18" t="inlineStr">
        <is>
          <t>YTD ex-USD</t>
        </is>
      </c>
      <c r="N37" s="18" t="inlineStr">
        <is>
          <t>%ile 1y (spot)</t>
        </is>
      </c>
      <c r="O37" s="18" t="inlineStr">
        <is>
          <t>%ile 5y (spot)</t>
        </is>
      </c>
    </row>
    <row r="38">
      <c r="A38" s="8" t="inlineStr">
        <is>
          <t>China CNH</t>
        </is>
      </c>
      <c r="B38" s="19" t="inlineStr">
        <is>
          <t>float</t>
        </is>
      </c>
      <c r="C38" s="35">
        <f>INDEX(HIST_D!$AR$8:$AR$2617,1)</f>
        <v/>
      </c>
      <c r="D38" s="24">
        <f>IFERROR(INDEX(HIST_D!$AR$8:$AR$2617,Control!$F$6)/INDEX(HIST_D!$AR$8:$AR$2617,1)-1,"")</f>
        <v/>
      </c>
      <c r="E38" s="24">
        <f>IFERROR(INDEX(HIST_D!$AR$8:$AR$2617,Control!$F$7)/INDEX(HIST_D!$AR$8:$AR$2617,1)-1,"")</f>
        <v/>
      </c>
      <c r="F38" s="24">
        <f>IFERROR(INDEX(HIST_D!$AR$8:$AR$2617,Control!$F$8)/INDEX(HIST_D!$AR$8:$AR$2617,1)-1,"")</f>
        <v/>
      </c>
      <c r="G38" s="24">
        <f>IFERROR(INDEX(HIST_D!$AR$8:$AR$2617,Control!$F$9)/INDEX(HIST_D!$AR$8:$AR$2617,1)-1,"")</f>
        <v/>
      </c>
      <c r="H38" s="24">
        <f>IFERROR(INDEX(HIST_D!$AR$8:$AR$2617,Control!$F$10)/INDEX(HIST_D!$AR$8:$AR$2617,1)-1,"")</f>
        <v/>
      </c>
      <c r="I38" s="24">
        <f>IFERROR(INDEX(HIST_D!$AR$8:$AR$2617,Control!$F$16)/INDEX(HIST_D!$AR$8:$AR$2617,1)-1,"")</f>
        <v/>
      </c>
      <c r="J38" s="24">
        <f>IFERROR(INDEX(HIST_D!$AR$8:$AR$2617,Control!$F$11)/INDEX(HIST_D!$AR$8:$AR$2617,1)-1,"")</f>
        <v/>
      </c>
      <c r="K38" s="24">
        <f>IFERROR(IFERROR(INDEX(HIST_D!$AR$8:$AR$2617,Control!$F$8)/INDEX(HIST_D!$AR$8:$AR$2617,1)-1,"")+IFERROR(INDEX(HIST_D!$J$8:$J$2617,1)/INDEX(HIST_D!$J$8:$J$2617,Control!$F$8)-1,""),"")</f>
        <v/>
      </c>
      <c r="L38" s="24">
        <f>IFERROR(IFERROR(INDEX(HIST_D!$AR$8:$AR$2617,Control!$F$9)/INDEX(HIST_D!$AR$8:$AR$2617,1)-1,"")+IFERROR(INDEX(HIST_D!$J$8:$J$2617,1)/INDEX(HIST_D!$J$8:$J$2617,Control!$F$9)-1,""),"")</f>
        <v/>
      </c>
      <c r="M38" s="24">
        <f>IFERROR(IFERROR(INDEX(HIST_D!$AR$8:$AR$2617,Control!$F$16)/INDEX(HIST_D!$AR$8:$AR$2617,1)-1,"")+IFERROR(INDEX(HIST_D!$J$8:$J$2617,1)/INDEX(HIST_D!$J$8:$J$2617,Control!$F$16)-1,""),"")</f>
        <v/>
      </c>
      <c r="N38" s="22">
        <f>IFERROR(PERCENTRANK(HIST_D!$AR$8:INDEX(HIST_D!$AR$8:$AR$2617,Control!$F$11),INDEX(HIST_D!$AR$8:$AR$2617,1)),"")</f>
        <v/>
      </c>
      <c r="O38" s="22">
        <f>IFERROR(PERCENTRANK(HIST_D!$AR$8:INDEX(HIST_D!$AR$8:$AR$2617,Control!$F$14),INDEX(HIST_D!$AR$8:$AR$2617,1)),"")</f>
        <v/>
      </c>
    </row>
    <row r="39">
      <c r="A39" s="8" t="inlineStr">
        <is>
          <t>India INR</t>
        </is>
      </c>
      <c r="B39" s="19" t="inlineStr">
        <is>
          <t>float</t>
        </is>
      </c>
      <c r="C39" s="35">
        <f>INDEX(HIST_D!$AS$8:$AS$2617,1)</f>
        <v/>
      </c>
      <c r="D39" s="24">
        <f>IFERROR(INDEX(HIST_D!$AS$8:$AS$2617,Control!$F$6)/INDEX(HIST_D!$AS$8:$AS$2617,1)-1,"")</f>
        <v/>
      </c>
      <c r="E39" s="24">
        <f>IFERROR(INDEX(HIST_D!$AS$8:$AS$2617,Control!$F$7)/INDEX(HIST_D!$AS$8:$AS$2617,1)-1,"")</f>
        <v/>
      </c>
      <c r="F39" s="24">
        <f>IFERROR(INDEX(HIST_D!$AS$8:$AS$2617,Control!$F$8)/INDEX(HIST_D!$AS$8:$AS$2617,1)-1,"")</f>
        <v/>
      </c>
      <c r="G39" s="24">
        <f>IFERROR(INDEX(HIST_D!$AS$8:$AS$2617,Control!$F$9)/INDEX(HIST_D!$AS$8:$AS$2617,1)-1,"")</f>
        <v/>
      </c>
      <c r="H39" s="24">
        <f>IFERROR(INDEX(HIST_D!$AS$8:$AS$2617,Control!$F$10)/INDEX(HIST_D!$AS$8:$AS$2617,1)-1,"")</f>
        <v/>
      </c>
      <c r="I39" s="24">
        <f>IFERROR(INDEX(HIST_D!$AS$8:$AS$2617,Control!$F$16)/INDEX(HIST_D!$AS$8:$AS$2617,1)-1,"")</f>
        <v/>
      </c>
      <c r="J39" s="24">
        <f>IFERROR(INDEX(HIST_D!$AS$8:$AS$2617,Control!$F$11)/INDEX(HIST_D!$AS$8:$AS$2617,1)-1,"")</f>
        <v/>
      </c>
      <c r="K39" s="24">
        <f>IFERROR(IFERROR(INDEX(HIST_D!$AS$8:$AS$2617,Control!$F$8)/INDEX(HIST_D!$AS$8:$AS$2617,1)-1,"")+IFERROR(INDEX(HIST_D!$J$8:$J$2617,1)/INDEX(HIST_D!$J$8:$J$2617,Control!$F$8)-1,""),"")</f>
        <v/>
      </c>
      <c r="L39" s="24">
        <f>IFERROR(IFERROR(INDEX(HIST_D!$AS$8:$AS$2617,Control!$F$9)/INDEX(HIST_D!$AS$8:$AS$2617,1)-1,"")+IFERROR(INDEX(HIST_D!$J$8:$J$2617,1)/INDEX(HIST_D!$J$8:$J$2617,Control!$F$9)-1,""),"")</f>
        <v/>
      </c>
      <c r="M39" s="24">
        <f>IFERROR(IFERROR(INDEX(HIST_D!$AS$8:$AS$2617,Control!$F$16)/INDEX(HIST_D!$AS$8:$AS$2617,1)-1,"")+IFERROR(INDEX(HIST_D!$J$8:$J$2617,1)/INDEX(HIST_D!$J$8:$J$2617,Control!$F$16)-1,""),"")</f>
        <v/>
      </c>
      <c r="N39" s="22">
        <f>IFERROR(PERCENTRANK(HIST_D!$AS$8:INDEX(HIST_D!$AS$8:$AS$2617,Control!$F$11),INDEX(HIST_D!$AS$8:$AS$2617,1)),"")</f>
        <v/>
      </c>
      <c r="O39" s="22">
        <f>IFERROR(PERCENTRANK(HIST_D!$AS$8:INDEX(HIST_D!$AS$8:$AS$2617,Control!$F$14),INDEX(HIST_D!$AS$8:$AS$2617,1)),"")</f>
        <v/>
      </c>
    </row>
    <row r="40">
      <c r="A40" s="8" t="inlineStr">
        <is>
          <t>Indonesia IDR</t>
        </is>
      </c>
      <c r="B40" s="19" t="inlineStr">
        <is>
          <t>float</t>
        </is>
      </c>
      <c r="C40" s="35">
        <f>INDEX(HIST_D!$AT$8:$AT$2617,1)</f>
        <v/>
      </c>
      <c r="D40" s="24">
        <f>IFERROR(INDEX(HIST_D!$AT$8:$AT$2617,Control!$F$6)/INDEX(HIST_D!$AT$8:$AT$2617,1)-1,"")</f>
        <v/>
      </c>
      <c r="E40" s="24">
        <f>IFERROR(INDEX(HIST_D!$AT$8:$AT$2617,Control!$F$7)/INDEX(HIST_D!$AT$8:$AT$2617,1)-1,"")</f>
        <v/>
      </c>
      <c r="F40" s="24">
        <f>IFERROR(INDEX(HIST_D!$AT$8:$AT$2617,Control!$F$8)/INDEX(HIST_D!$AT$8:$AT$2617,1)-1,"")</f>
        <v/>
      </c>
      <c r="G40" s="24">
        <f>IFERROR(INDEX(HIST_D!$AT$8:$AT$2617,Control!$F$9)/INDEX(HIST_D!$AT$8:$AT$2617,1)-1,"")</f>
        <v/>
      </c>
      <c r="H40" s="24">
        <f>IFERROR(INDEX(HIST_D!$AT$8:$AT$2617,Control!$F$10)/INDEX(HIST_D!$AT$8:$AT$2617,1)-1,"")</f>
        <v/>
      </c>
      <c r="I40" s="24">
        <f>IFERROR(INDEX(HIST_D!$AT$8:$AT$2617,Control!$F$16)/INDEX(HIST_D!$AT$8:$AT$2617,1)-1,"")</f>
        <v/>
      </c>
      <c r="J40" s="24">
        <f>IFERROR(INDEX(HIST_D!$AT$8:$AT$2617,Control!$F$11)/INDEX(HIST_D!$AT$8:$AT$2617,1)-1,"")</f>
        <v/>
      </c>
      <c r="K40" s="24">
        <f>IFERROR(IFERROR(INDEX(HIST_D!$AT$8:$AT$2617,Control!$F$8)/INDEX(HIST_D!$AT$8:$AT$2617,1)-1,"")+IFERROR(INDEX(HIST_D!$J$8:$J$2617,1)/INDEX(HIST_D!$J$8:$J$2617,Control!$F$8)-1,""),"")</f>
        <v/>
      </c>
      <c r="L40" s="24">
        <f>IFERROR(IFERROR(INDEX(HIST_D!$AT$8:$AT$2617,Control!$F$9)/INDEX(HIST_D!$AT$8:$AT$2617,1)-1,"")+IFERROR(INDEX(HIST_D!$J$8:$J$2617,1)/INDEX(HIST_D!$J$8:$J$2617,Control!$F$9)-1,""),"")</f>
        <v/>
      </c>
      <c r="M40" s="24">
        <f>IFERROR(IFERROR(INDEX(HIST_D!$AT$8:$AT$2617,Control!$F$16)/INDEX(HIST_D!$AT$8:$AT$2617,1)-1,"")+IFERROR(INDEX(HIST_D!$J$8:$J$2617,1)/INDEX(HIST_D!$J$8:$J$2617,Control!$F$16)-1,""),"")</f>
        <v/>
      </c>
      <c r="N40" s="22">
        <f>IFERROR(PERCENTRANK(HIST_D!$AT$8:INDEX(HIST_D!$AT$8:$AT$2617,Control!$F$11),INDEX(HIST_D!$AT$8:$AT$2617,1)),"")</f>
        <v/>
      </c>
      <c r="O40" s="22">
        <f>IFERROR(PERCENTRANK(HIST_D!$AT$8:INDEX(HIST_D!$AT$8:$AT$2617,Control!$F$14),INDEX(HIST_D!$AT$8:$AT$2617,1)),"")</f>
        <v/>
      </c>
    </row>
    <row r="41">
      <c r="A41" s="8" t="inlineStr">
        <is>
          <t>Korea KRW</t>
        </is>
      </c>
      <c r="B41" s="19" t="inlineStr">
        <is>
          <t>float</t>
        </is>
      </c>
      <c r="C41" s="35">
        <f>INDEX(HIST_D!$AU$8:$AU$2617,1)</f>
        <v/>
      </c>
      <c r="D41" s="24">
        <f>IFERROR(INDEX(HIST_D!$AU$8:$AU$2617,Control!$F$6)/INDEX(HIST_D!$AU$8:$AU$2617,1)-1,"")</f>
        <v/>
      </c>
      <c r="E41" s="24">
        <f>IFERROR(INDEX(HIST_D!$AU$8:$AU$2617,Control!$F$7)/INDEX(HIST_D!$AU$8:$AU$2617,1)-1,"")</f>
        <v/>
      </c>
      <c r="F41" s="24">
        <f>IFERROR(INDEX(HIST_D!$AU$8:$AU$2617,Control!$F$8)/INDEX(HIST_D!$AU$8:$AU$2617,1)-1,"")</f>
        <v/>
      </c>
      <c r="G41" s="24">
        <f>IFERROR(INDEX(HIST_D!$AU$8:$AU$2617,Control!$F$9)/INDEX(HIST_D!$AU$8:$AU$2617,1)-1,"")</f>
        <v/>
      </c>
      <c r="H41" s="24">
        <f>IFERROR(INDEX(HIST_D!$AU$8:$AU$2617,Control!$F$10)/INDEX(HIST_D!$AU$8:$AU$2617,1)-1,"")</f>
        <v/>
      </c>
      <c r="I41" s="24">
        <f>IFERROR(INDEX(HIST_D!$AU$8:$AU$2617,Control!$F$16)/INDEX(HIST_D!$AU$8:$AU$2617,1)-1,"")</f>
        <v/>
      </c>
      <c r="J41" s="24">
        <f>IFERROR(INDEX(HIST_D!$AU$8:$AU$2617,Control!$F$11)/INDEX(HIST_D!$AU$8:$AU$2617,1)-1,"")</f>
        <v/>
      </c>
      <c r="K41" s="24">
        <f>IFERROR(IFERROR(INDEX(HIST_D!$AU$8:$AU$2617,Control!$F$8)/INDEX(HIST_D!$AU$8:$AU$2617,1)-1,"")+IFERROR(INDEX(HIST_D!$J$8:$J$2617,1)/INDEX(HIST_D!$J$8:$J$2617,Control!$F$8)-1,""),"")</f>
        <v/>
      </c>
      <c r="L41" s="24">
        <f>IFERROR(IFERROR(INDEX(HIST_D!$AU$8:$AU$2617,Control!$F$9)/INDEX(HIST_D!$AU$8:$AU$2617,1)-1,"")+IFERROR(INDEX(HIST_D!$J$8:$J$2617,1)/INDEX(HIST_D!$J$8:$J$2617,Control!$F$9)-1,""),"")</f>
        <v/>
      </c>
      <c r="M41" s="24">
        <f>IFERROR(IFERROR(INDEX(HIST_D!$AU$8:$AU$2617,Control!$F$16)/INDEX(HIST_D!$AU$8:$AU$2617,1)-1,"")+IFERROR(INDEX(HIST_D!$J$8:$J$2617,1)/INDEX(HIST_D!$J$8:$J$2617,Control!$F$16)-1,""),"")</f>
        <v/>
      </c>
      <c r="N41" s="22">
        <f>IFERROR(PERCENTRANK(HIST_D!$AU$8:INDEX(HIST_D!$AU$8:$AU$2617,Control!$F$11),INDEX(HIST_D!$AU$8:$AU$2617,1)),"")</f>
        <v/>
      </c>
      <c r="O41" s="22">
        <f>IFERROR(PERCENTRANK(HIST_D!$AU$8:INDEX(HIST_D!$AU$8:$AU$2617,Control!$F$14),INDEX(HIST_D!$AU$8:$AU$2617,1)),"")</f>
        <v/>
      </c>
    </row>
    <row r="42">
      <c r="A42" s="8" t="inlineStr">
        <is>
          <t>Taiwan TWD</t>
        </is>
      </c>
      <c r="B42" s="19" t="inlineStr">
        <is>
          <t>float</t>
        </is>
      </c>
      <c r="C42" s="35">
        <f>INDEX(HIST_D!$AV$8:$AV$2617,1)</f>
        <v/>
      </c>
      <c r="D42" s="24">
        <f>IFERROR(INDEX(HIST_D!$AV$8:$AV$2617,Control!$F$6)/INDEX(HIST_D!$AV$8:$AV$2617,1)-1,"")</f>
        <v/>
      </c>
      <c r="E42" s="24">
        <f>IFERROR(INDEX(HIST_D!$AV$8:$AV$2617,Control!$F$7)/INDEX(HIST_D!$AV$8:$AV$2617,1)-1,"")</f>
        <v/>
      </c>
      <c r="F42" s="24">
        <f>IFERROR(INDEX(HIST_D!$AV$8:$AV$2617,Control!$F$8)/INDEX(HIST_D!$AV$8:$AV$2617,1)-1,"")</f>
        <v/>
      </c>
      <c r="G42" s="24">
        <f>IFERROR(INDEX(HIST_D!$AV$8:$AV$2617,Control!$F$9)/INDEX(HIST_D!$AV$8:$AV$2617,1)-1,"")</f>
        <v/>
      </c>
      <c r="H42" s="24">
        <f>IFERROR(INDEX(HIST_D!$AV$8:$AV$2617,Control!$F$10)/INDEX(HIST_D!$AV$8:$AV$2617,1)-1,"")</f>
        <v/>
      </c>
      <c r="I42" s="24">
        <f>IFERROR(INDEX(HIST_D!$AV$8:$AV$2617,Control!$F$16)/INDEX(HIST_D!$AV$8:$AV$2617,1)-1,"")</f>
        <v/>
      </c>
      <c r="J42" s="24">
        <f>IFERROR(INDEX(HIST_D!$AV$8:$AV$2617,Control!$F$11)/INDEX(HIST_D!$AV$8:$AV$2617,1)-1,"")</f>
        <v/>
      </c>
      <c r="K42" s="24">
        <f>IFERROR(IFERROR(INDEX(HIST_D!$AV$8:$AV$2617,Control!$F$8)/INDEX(HIST_D!$AV$8:$AV$2617,1)-1,"")+IFERROR(INDEX(HIST_D!$J$8:$J$2617,1)/INDEX(HIST_D!$J$8:$J$2617,Control!$F$8)-1,""),"")</f>
        <v/>
      </c>
      <c r="L42" s="24">
        <f>IFERROR(IFERROR(INDEX(HIST_D!$AV$8:$AV$2617,Control!$F$9)/INDEX(HIST_D!$AV$8:$AV$2617,1)-1,"")+IFERROR(INDEX(HIST_D!$J$8:$J$2617,1)/INDEX(HIST_D!$J$8:$J$2617,Control!$F$9)-1,""),"")</f>
        <v/>
      </c>
      <c r="M42" s="24">
        <f>IFERROR(IFERROR(INDEX(HIST_D!$AV$8:$AV$2617,Control!$F$16)/INDEX(HIST_D!$AV$8:$AV$2617,1)-1,"")+IFERROR(INDEX(HIST_D!$J$8:$J$2617,1)/INDEX(HIST_D!$J$8:$J$2617,Control!$F$16)-1,""),"")</f>
        <v/>
      </c>
      <c r="N42" s="22">
        <f>IFERROR(PERCENTRANK(HIST_D!$AV$8:INDEX(HIST_D!$AV$8:$AV$2617,Control!$F$11),INDEX(HIST_D!$AV$8:$AV$2617,1)),"")</f>
        <v/>
      </c>
      <c r="O42" s="22">
        <f>IFERROR(PERCENTRANK(HIST_D!$AV$8:INDEX(HIST_D!$AV$8:$AV$2617,Control!$F$14),INDEX(HIST_D!$AV$8:$AV$2617,1)),"")</f>
        <v/>
      </c>
    </row>
    <row r="43">
      <c r="A43" s="8" t="inlineStr">
        <is>
          <t>Thailand THB</t>
        </is>
      </c>
      <c r="B43" s="19" t="inlineStr">
        <is>
          <t>float</t>
        </is>
      </c>
      <c r="C43" s="35">
        <f>INDEX(HIST_D!$AW$8:$AW$2617,1)</f>
        <v/>
      </c>
      <c r="D43" s="24">
        <f>IFERROR(INDEX(HIST_D!$AW$8:$AW$2617,Control!$F$6)/INDEX(HIST_D!$AW$8:$AW$2617,1)-1,"")</f>
        <v/>
      </c>
      <c r="E43" s="24">
        <f>IFERROR(INDEX(HIST_D!$AW$8:$AW$2617,Control!$F$7)/INDEX(HIST_D!$AW$8:$AW$2617,1)-1,"")</f>
        <v/>
      </c>
      <c r="F43" s="24">
        <f>IFERROR(INDEX(HIST_D!$AW$8:$AW$2617,Control!$F$8)/INDEX(HIST_D!$AW$8:$AW$2617,1)-1,"")</f>
        <v/>
      </c>
      <c r="G43" s="24">
        <f>IFERROR(INDEX(HIST_D!$AW$8:$AW$2617,Control!$F$9)/INDEX(HIST_D!$AW$8:$AW$2617,1)-1,"")</f>
        <v/>
      </c>
      <c r="H43" s="24">
        <f>IFERROR(INDEX(HIST_D!$AW$8:$AW$2617,Control!$F$10)/INDEX(HIST_D!$AW$8:$AW$2617,1)-1,"")</f>
        <v/>
      </c>
      <c r="I43" s="24">
        <f>IFERROR(INDEX(HIST_D!$AW$8:$AW$2617,Control!$F$16)/INDEX(HIST_D!$AW$8:$AW$2617,1)-1,"")</f>
        <v/>
      </c>
      <c r="J43" s="24">
        <f>IFERROR(INDEX(HIST_D!$AW$8:$AW$2617,Control!$F$11)/INDEX(HIST_D!$AW$8:$AW$2617,1)-1,"")</f>
        <v/>
      </c>
      <c r="K43" s="24">
        <f>IFERROR(IFERROR(INDEX(HIST_D!$AW$8:$AW$2617,Control!$F$8)/INDEX(HIST_D!$AW$8:$AW$2617,1)-1,"")+IFERROR(INDEX(HIST_D!$J$8:$J$2617,1)/INDEX(HIST_D!$J$8:$J$2617,Control!$F$8)-1,""),"")</f>
        <v/>
      </c>
      <c r="L43" s="24">
        <f>IFERROR(IFERROR(INDEX(HIST_D!$AW$8:$AW$2617,Control!$F$9)/INDEX(HIST_D!$AW$8:$AW$2617,1)-1,"")+IFERROR(INDEX(HIST_D!$J$8:$J$2617,1)/INDEX(HIST_D!$J$8:$J$2617,Control!$F$9)-1,""),"")</f>
        <v/>
      </c>
      <c r="M43" s="24">
        <f>IFERROR(IFERROR(INDEX(HIST_D!$AW$8:$AW$2617,Control!$F$16)/INDEX(HIST_D!$AW$8:$AW$2617,1)-1,"")+IFERROR(INDEX(HIST_D!$J$8:$J$2617,1)/INDEX(HIST_D!$J$8:$J$2617,Control!$F$16)-1,""),"")</f>
        <v/>
      </c>
      <c r="N43" s="22">
        <f>IFERROR(PERCENTRANK(HIST_D!$AW$8:INDEX(HIST_D!$AW$8:$AW$2617,Control!$F$11),INDEX(HIST_D!$AW$8:$AW$2617,1)),"")</f>
        <v/>
      </c>
      <c r="O43" s="22">
        <f>IFERROR(PERCENTRANK(HIST_D!$AW$8:INDEX(HIST_D!$AW$8:$AW$2617,Control!$F$14),INDEX(HIST_D!$AW$8:$AW$2617,1)),"")</f>
        <v/>
      </c>
    </row>
    <row r="44">
      <c r="A44" s="8" t="inlineStr">
        <is>
          <t>Philippines PHP</t>
        </is>
      </c>
      <c r="B44" s="19" t="inlineStr">
        <is>
          <t>float</t>
        </is>
      </c>
      <c r="C44" s="35">
        <f>INDEX(HIST_D!$AX$8:$AX$2617,1)</f>
        <v/>
      </c>
      <c r="D44" s="24">
        <f>IFERROR(INDEX(HIST_D!$AX$8:$AX$2617,Control!$F$6)/INDEX(HIST_D!$AX$8:$AX$2617,1)-1,"")</f>
        <v/>
      </c>
      <c r="E44" s="24">
        <f>IFERROR(INDEX(HIST_D!$AX$8:$AX$2617,Control!$F$7)/INDEX(HIST_D!$AX$8:$AX$2617,1)-1,"")</f>
        <v/>
      </c>
      <c r="F44" s="24">
        <f>IFERROR(INDEX(HIST_D!$AX$8:$AX$2617,Control!$F$8)/INDEX(HIST_D!$AX$8:$AX$2617,1)-1,"")</f>
        <v/>
      </c>
      <c r="G44" s="24">
        <f>IFERROR(INDEX(HIST_D!$AX$8:$AX$2617,Control!$F$9)/INDEX(HIST_D!$AX$8:$AX$2617,1)-1,"")</f>
        <v/>
      </c>
      <c r="H44" s="24">
        <f>IFERROR(INDEX(HIST_D!$AX$8:$AX$2617,Control!$F$10)/INDEX(HIST_D!$AX$8:$AX$2617,1)-1,"")</f>
        <v/>
      </c>
      <c r="I44" s="24">
        <f>IFERROR(INDEX(HIST_D!$AX$8:$AX$2617,Control!$F$16)/INDEX(HIST_D!$AX$8:$AX$2617,1)-1,"")</f>
        <v/>
      </c>
      <c r="J44" s="24">
        <f>IFERROR(INDEX(HIST_D!$AX$8:$AX$2617,Control!$F$11)/INDEX(HIST_D!$AX$8:$AX$2617,1)-1,"")</f>
        <v/>
      </c>
      <c r="K44" s="24">
        <f>IFERROR(IFERROR(INDEX(HIST_D!$AX$8:$AX$2617,Control!$F$8)/INDEX(HIST_D!$AX$8:$AX$2617,1)-1,"")+IFERROR(INDEX(HIST_D!$J$8:$J$2617,1)/INDEX(HIST_D!$J$8:$J$2617,Control!$F$8)-1,""),"")</f>
        <v/>
      </c>
      <c r="L44" s="24">
        <f>IFERROR(IFERROR(INDEX(HIST_D!$AX$8:$AX$2617,Control!$F$9)/INDEX(HIST_D!$AX$8:$AX$2617,1)-1,"")+IFERROR(INDEX(HIST_D!$J$8:$J$2617,1)/INDEX(HIST_D!$J$8:$J$2617,Control!$F$9)-1,""),"")</f>
        <v/>
      </c>
      <c r="M44" s="24">
        <f>IFERROR(IFERROR(INDEX(HIST_D!$AX$8:$AX$2617,Control!$F$16)/INDEX(HIST_D!$AX$8:$AX$2617,1)-1,"")+IFERROR(INDEX(HIST_D!$J$8:$J$2617,1)/INDEX(HIST_D!$J$8:$J$2617,Control!$F$16)-1,""),"")</f>
        <v/>
      </c>
      <c r="N44" s="22">
        <f>IFERROR(PERCENTRANK(HIST_D!$AX$8:INDEX(HIST_D!$AX$8:$AX$2617,Control!$F$11),INDEX(HIST_D!$AX$8:$AX$2617,1)),"")</f>
        <v/>
      </c>
      <c r="O44" s="22">
        <f>IFERROR(PERCENTRANK(HIST_D!$AX$8:INDEX(HIST_D!$AX$8:$AX$2617,Control!$F$14),INDEX(HIST_D!$AX$8:$AX$2617,1)),"")</f>
        <v/>
      </c>
    </row>
    <row r="45">
      <c r="A45" s="8" t="inlineStr">
        <is>
          <t>Malaysia MYR</t>
        </is>
      </c>
      <c r="B45" s="19" t="inlineStr">
        <is>
          <t>float</t>
        </is>
      </c>
      <c r="C45" s="35">
        <f>INDEX(HIST_D!$AY$8:$AY$2617,1)</f>
        <v/>
      </c>
      <c r="D45" s="24">
        <f>IFERROR(INDEX(HIST_D!$AY$8:$AY$2617,Control!$F$6)/INDEX(HIST_D!$AY$8:$AY$2617,1)-1,"")</f>
        <v/>
      </c>
      <c r="E45" s="24">
        <f>IFERROR(INDEX(HIST_D!$AY$8:$AY$2617,Control!$F$7)/INDEX(HIST_D!$AY$8:$AY$2617,1)-1,"")</f>
        <v/>
      </c>
      <c r="F45" s="24">
        <f>IFERROR(INDEX(HIST_D!$AY$8:$AY$2617,Control!$F$8)/INDEX(HIST_D!$AY$8:$AY$2617,1)-1,"")</f>
        <v/>
      </c>
      <c r="G45" s="24">
        <f>IFERROR(INDEX(HIST_D!$AY$8:$AY$2617,Control!$F$9)/INDEX(HIST_D!$AY$8:$AY$2617,1)-1,"")</f>
        <v/>
      </c>
      <c r="H45" s="24">
        <f>IFERROR(INDEX(HIST_D!$AY$8:$AY$2617,Control!$F$10)/INDEX(HIST_D!$AY$8:$AY$2617,1)-1,"")</f>
        <v/>
      </c>
      <c r="I45" s="24">
        <f>IFERROR(INDEX(HIST_D!$AY$8:$AY$2617,Control!$F$16)/INDEX(HIST_D!$AY$8:$AY$2617,1)-1,"")</f>
        <v/>
      </c>
      <c r="J45" s="24">
        <f>IFERROR(INDEX(HIST_D!$AY$8:$AY$2617,Control!$F$11)/INDEX(HIST_D!$AY$8:$AY$2617,1)-1,"")</f>
        <v/>
      </c>
      <c r="K45" s="24">
        <f>IFERROR(IFERROR(INDEX(HIST_D!$AY$8:$AY$2617,Control!$F$8)/INDEX(HIST_D!$AY$8:$AY$2617,1)-1,"")+IFERROR(INDEX(HIST_D!$J$8:$J$2617,1)/INDEX(HIST_D!$J$8:$J$2617,Control!$F$8)-1,""),"")</f>
        <v/>
      </c>
      <c r="L45" s="24">
        <f>IFERROR(IFERROR(INDEX(HIST_D!$AY$8:$AY$2617,Control!$F$9)/INDEX(HIST_D!$AY$8:$AY$2617,1)-1,"")+IFERROR(INDEX(HIST_D!$J$8:$J$2617,1)/INDEX(HIST_D!$J$8:$J$2617,Control!$F$9)-1,""),"")</f>
        <v/>
      </c>
      <c r="M45" s="24">
        <f>IFERROR(IFERROR(INDEX(HIST_D!$AY$8:$AY$2617,Control!$F$16)/INDEX(HIST_D!$AY$8:$AY$2617,1)-1,"")+IFERROR(INDEX(HIST_D!$J$8:$J$2617,1)/INDEX(HIST_D!$J$8:$J$2617,Control!$F$16)-1,""),"")</f>
        <v/>
      </c>
      <c r="N45" s="22">
        <f>IFERROR(PERCENTRANK(HIST_D!$AY$8:INDEX(HIST_D!$AY$8:$AY$2617,Control!$F$11),INDEX(HIST_D!$AY$8:$AY$2617,1)),"")</f>
        <v/>
      </c>
      <c r="O45" s="22">
        <f>IFERROR(PERCENTRANK(HIST_D!$AY$8:INDEX(HIST_D!$AY$8:$AY$2617,Control!$F$14),INDEX(HIST_D!$AY$8:$AY$2617,1)),"")</f>
        <v/>
      </c>
    </row>
    <row r="46">
      <c r="A46" s="28" t="inlineStr">
        <is>
          <t>Asia basket (floating, n=8)</t>
        </is>
      </c>
      <c r="B46" s="25" t="inlineStr"/>
      <c r="C46" s="25" t="inlineStr"/>
      <c r="D46" s="36">
        <f>IFERROR(AVERAGE(D38,D39,D40,D41,D42,D43,D44,D45),"")</f>
        <v/>
      </c>
      <c r="E46" s="36">
        <f>IFERROR(AVERAGE(E38,E39,E40,E41,E42,E43,E44,E45),"")</f>
        <v/>
      </c>
      <c r="F46" s="36">
        <f>IFERROR(AVERAGE(F38,F39,F40,F41,F42,F43,F44,F45),"")</f>
        <v/>
      </c>
      <c r="G46" s="36">
        <f>IFERROR(AVERAGE(G38,G39,G40,G41,G42,G43,G44,G45),"")</f>
        <v/>
      </c>
      <c r="H46" s="36">
        <f>IFERROR(AVERAGE(H38,H39,H40,H41,H42,H43,H44,H45),"")</f>
        <v/>
      </c>
      <c r="I46" s="36">
        <f>IFERROR(AVERAGE(I38,I39,I40,I41,I42,I43,I44,I45),"")</f>
        <v/>
      </c>
      <c r="J46" s="36">
        <f>IFERROR(AVERAGE(J38,J39,J40,J41,J42,J43,J44,J45),"")</f>
        <v/>
      </c>
      <c r="K46" s="36">
        <f>IFERROR(AVERAGE(K38,K39,K40,K41,K42,K43,K44,K45),"")</f>
        <v/>
      </c>
      <c r="L46" s="36">
        <f>IFERROR(AVERAGE(L38,L39,L40,L41,L42,L43,L44,L45),"")</f>
        <v/>
      </c>
      <c r="M46" s="36">
        <f>IFERROR(AVERAGE(M38,M39,M40,M41,M42,M43,M44,M45),"")</f>
        <v/>
      </c>
      <c r="N46" s="37">
        <f>IFERROR(AVERAGE(N38,N39,N40,N41,N42,N43,N44,N45),"")</f>
        <v/>
      </c>
      <c r="O46" s="37">
        <f>IFERROR(AVERAGE(O38,O39,O40,O41,O42,O43,O44,O45),"")</f>
        <v/>
      </c>
    </row>
    <row r="47">
      <c r="A47" s="10">
        <f>IFERROR("Asia: "&amp;TEXT($F$46,"+0.0%;-0.0%")&amp;" on the month, "&amp;TEXT($I$46,"+0.0%;-0.0%")&amp;" YTD, "&amp;TEXT($K$46,"+0.0%;-0.0%")&amp;" ex-dollar. "&amp;IF($F$46&gt;$F$51,"Ahead of","Behind")&amp;" the EM basket at "&amp;TEXT($F$51,"+0.0%;-0.0%")&amp;". "&amp;IF($K$46&gt;0.005,"Regional support beyond the dollar.",IF($K$46&lt;-0.005,"Lagging even after adjusting for the dollar.","Tracking the dollar; no regional signal.")),"")</f>
        <v/>
      </c>
    </row>
    <row r="49" ht="16" customHeight="1">
      <c r="A49" s="33" t="inlineStr">
        <is>
          <t>EM AGGREGATE</t>
        </is>
      </c>
      <c r="B49" s="34" t="n"/>
      <c r="C49" s="34" t="n"/>
      <c r="D49" s="34" t="n"/>
      <c r="E49" s="34" t="n"/>
      <c r="F49" s="34" t="n"/>
      <c r="G49" s="34" t="n"/>
      <c r="H49" s="34" t="n"/>
      <c r="I49" s="34" t="n"/>
      <c r="J49" s="34" t="n"/>
      <c r="K49" s="34" t="n"/>
      <c r="L49" s="34" t="n"/>
      <c r="M49" s="34" t="n"/>
      <c r="N49" s="34" t="n"/>
      <c r="O49" s="34" t="n"/>
    </row>
    <row r="50" ht="30" customHeight="1">
      <c r="A50" s="18" t="inlineStr">
        <is>
          <t>Basket</t>
        </is>
      </c>
      <c r="B50" s="18" t="inlineStr"/>
      <c r="C50" s="18" t="inlineStr"/>
      <c r="D50" s="18" t="inlineStr">
        <is>
          <t>1D</t>
        </is>
      </c>
      <c r="E50" s="18" t="inlineStr">
        <is>
          <t>1W</t>
        </is>
      </c>
      <c r="F50" s="18" t="inlineStr">
        <is>
          <t>1M</t>
        </is>
      </c>
      <c r="G50" s="18" t="inlineStr">
        <is>
          <t>3M</t>
        </is>
      </c>
      <c r="H50" s="18" t="inlineStr">
        <is>
          <t>6M</t>
        </is>
      </c>
      <c r="I50" s="18" t="inlineStr">
        <is>
          <t>YTD</t>
        </is>
      </c>
      <c r="J50" s="18" t="inlineStr">
        <is>
          <t>1Y</t>
        </is>
      </c>
      <c r="K50" s="18" t="inlineStr">
        <is>
          <t>1M ex-USD</t>
        </is>
      </c>
      <c r="L50" s="18" t="inlineStr">
        <is>
          <t>3M ex-USD</t>
        </is>
      </c>
      <c r="M50" s="18" t="inlineStr">
        <is>
          <t>YTD ex-USD</t>
        </is>
      </c>
      <c r="N50" s="18" t="inlineStr">
        <is>
          <t>%ile 1y</t>
        </is>
      </c>
      <c r="O50" s="18" t="inlineStr">
        <is>
          <t>%ile 5y</t>
        </is>
      </c>
    </row>
    <row r="51">
      <c r="A51" s="28" t="inlineStr">
        <is>
          <t>EM basket — floating, ex ARS/TRY/EGP</t>
        </is>
      </c>
      <c r="B51" s="19" t="inlineStr">
        <is>
          <t>n=19</t>
        </is>
      </c>
      <c r="D51" s="36">
        <f>IFERROR(AVERAGE(D6,D7,D8,D9,D10,D17,D18,D19,D20,D27,D28,D38,D39,D40,D41,D42,D43,D44,D45),"")</f>
        <v/>
      </c>
      <c r="E51" s="36">
        <f>IFERROR(AVERAGE(E6,E7,E8,E9,E10,E17,E18,E19,E20,E27,E28,E38,E39,E40,E41,E42,E43,E44,E45),"")</f>
        <v/>
      </c>
      <c r="F51" s="36">
        <f>IFERROR(AVERAGE(F6,F7,F8,F9,F10,F17,F18,F19,F20,F27,F28,F38,F39,F40,F41,F42,F43,F44,F45),"")</f>
        <v/>
      </c>
      <c r="G51" s="36">
        <f>IFERROR(AVERAGE(G6,G7,G8,G9,G10,G17,G18,G19,G20,G27,G28,G38,G39,G40,G41,G42,G43,G44,G45),"")</f>
        <v/>
      </c>
      <c r="H51" s="36">
        <f>IFERROR(AVERAGE(H6,H7,H8,H9,H10,H17,H18,H19,H20,H27,H28,H38,H39,H40,H41,H42,H43,H44,H45),"")</f>
        <v/>
      </c>
      <c r="I51" s="36">
        <f>IFERROR(AVERAGE(I6,I7,I8,I9,I10,I17,I18,I19,I20,I27,I28,I38,I39,I40,I41,I42,I43,I44,I45),"")</f>
        <v/>
      </c>
      <c r="J51" s="36">
        <f>IFERROR(AVERAGE(J6,J7,J8,J9,J10,J17,J18,J19,J20,J27,J28,J38,J39,J40,J41,J42,J43,J44,J45),"")</f>
        <v/>
      </c>
      <c r="K51" s="36">
        <f>IFERROR(AVERAGE(K6,K7,K8,K9,K10,K17,K18,K19,K20,K27,K28,K38,K39,K40,K41,K42,K43,K44,K45),"")</f>
        <v/>
      </c>
      <c r="L51" s="36">
        <f>IFERROR(AVERAGE(L6,L7,L8,L9,L10,L17,L18,L19,L20,L27,L28,L38,L39,L40,L41,L42,L43,L44,L45),"")</f>
        <v/>
      </c>
      <c r="M51" s="36">
        <f>IFERROR(AVERAGE(M6,M7,M8,M9,M10,M17,M18,M19,M20,M27,M28,M38,M39,M40,M41,M42,M43,M44,M45),"")</f>
        <v/>
      </c>
      <c r="N51" s="37">
        <f>IFERROR(AVERAGE(N6,N7,N8,N9,N10,N17,N18,N19,N20,N27,N28,N38,N39,N40,N41,N42,N43,N44,N45),"")</f>
        <v/>
      </c>
      <c r="O51" s="37">
        <f>IFERROR(AVERAGE(O6,O7,O8,O9,O10,O17,O18,O19,O20,O27,O28,O38,O39,O40,O41,O42,O43,O44,O45),"")</f>
        <v/>
      </c>
    </row>
    <row r="52">
      <c r="A52" s="28" t="inlineStr">
        <is>
          <t xml:space="preserve">  EM basket — all floating</t>
        </is>
      </c>
      <c r="B52" s="19" t="inlineStr">
        <is>
          <t>n=22</t>
        </is>
      </c>
      <c r="D52" s="36">
        <f>IFERROR(AVERAGE(D6,D7,D8,D9,D10,D11,D17,D18,D19,D20,D21,D27,D28,D29,D38,D39,D40,D41,D42,D43,D44,D45),"")</f>
        <v/>
      </c>
      <c r="E52" s="36">
        <f>IFERROR(AVERAGE(E6,E7,E8,E9,E10,E11,E17,E18,E19,E20,E21,E27,E28,E29,E38,E39,E40,E41,E42,E43,E44,E45),"")</f>
        <v/>
      </c>
      <c r="F52" s="36">
        <f>IFERROR(AVERAGE(F6,F7,F8,F9,F10,F11,F17,F18,F19,F20,F21,F27,F28,F29,F38,F39,F40,F41,F42,F43,F44,F45),"")</f>
        <v/>
      </c>
      <c r="G52" s="36">
        <f>IFERROR(AVERAGE(G6,G7,G8,G9,G10,G11,G17,G18,G19,G20,G21,G27,G28,G29,G38,G39,G40,G41,G42,G43,G44,G45),"")</f>
        <v/>
      </c>
      <c r="H52" s="36">
        <f>IFERROR(AVERAGE(H6,H7,H8,H9,H10,H11,H17,H18,H19,H20,H21,H27,H28,H29,H38,H39,H40,H41,H42,H43,H44,H45),"")</f>
        <v/>
      </c>
      <c r="I52" s="36">
        <f>IFERROR(AVERAGE(I6,I7,I8,I9,I10,I11,I17,I18,I19,I20,I21,I27,I28,I29,I38,I39,I40,I41,I42,I43,I44,I45),"")</f>
        <v/>
      </c>
      <c r="J52" s="36">
        <f>IFERROR(AVERAGE(J6,J7,J8,J9,J10,J11,J17,J18,J19,J20,J21,J27,J28,J29,J38,J39,J40,J41,J42,J43,J44,J45),"")</f>
        <v/>
      </c>
      <c r="K52" s="36">
        <f>IFERROR(AVERAGE(K6,K7,K8,K9,K10,K11,K17,K18,K19,K20,K21,K27,K28,K29,K38,K39,K40,K41,K42,K43,K44,K45),"")</f>
        <v/>
      </c>
      <c r="L52" s="36">
        <f>IFERROR(AVERAGE(L6,L7,L8,L9,L10,L11,L17,L18,L19,L20,L21,L27,L28,L29,L38,L39,L40,L41,L42,L43,L44,L45),"")</f>
        <v/>
      </c>
      <c r="M52" s="36">
        <f>IFERROR(AVERAGE(M6,M7,M8,M9,M10,M11,M17,M18,M19,M20,M21,M27,M28,M29,M38,M39,M40,M41,M42,M43,M44,M45),"")</f>
        <v/>
      </c>
      <c r="N52" s="37">
        <f>IFERROR(AVERAGE(N6,N7,N8,N9,N10,N11,N17,N18,N19,N20,N21,N27,N28,N29,N38,N39,N40,N41,N42,N43,N44,N45),"")</f>
        <v/>
      </c>
      <c r="O52" s="37">
        <f>IFERROR(AVERAGE(O6,O7,O8,O9,O10,O11,O17,O18,O19,O20,O21,O27,O28,O29,O38,O39,O40,O41,O42,O43,O44,O45),"")</f>
        <v/>
      </c>
    </row>
    <row r="53">
      <c r="A53" s="28" t="inlineStr">
        <is>
          <t xml:space="preserve">  High-beta (BRL MXN ZAR COP IDR)</t>
        </is>
      </c>
      <c r="B53" s="19" t="inlineStr">
        <is>
          <t>n=5</t>
        </is>
      </c>
      <c r="D53" s="36">
        <f>IFERROR(AVERAGE(D6,D7,D28,D9,D40),"")</f>
        <v/>
      </c>
      <c r="E53" s="36">
        <f>IFERROR(AVERAGE(E6,E7,E28,E9,E40),"")</f>
        <v/>
      </c>
      <c r="F53" s="36">
        <f>IFERROR(AVERAGE(F6,F7,F28,F9,F40),"")</f>
        <v/>
      </c>
      <c r="G53" s="36">
        <f>IFERROR(AVERAGE(G6,G7,G28,G9,G40),"")</f>
        <v/>
      </c>
      <c r="H53" s="36">
        <f>IFERROR(AVERAGE(H6,H7,H28,H9,H40),"")</f>
        <v/>
      </c>
      <c r="I53" s="36">
        <f>IFERROR(AVERAGE(I6,I7,I28,I9,I40),"")</f>
        <v/>
      </c>
      <c r="J53" s="36">
        <f>IFERROR(AVERAGE(J6,J7,J28,J9,J40),"")</f>
        <v/>
      </c>
      <c r="K53" s="36">
        <f>IFERROR(AVERAGE(K6,K7,K28,K9,K40),"")</f>
        <v/>
      </c>
      <c r="L53" s="36">
        <f>IFERROR(AVERAGE(L6,L7,L28,L9,L40),"")</f>
        <v/>
      </c>
      <c r="M53" s="36">
        <f>IFERROR(AVERAGE(M6,M7,M28,M9,M40),"")</f>
        <v/>
      </c>
      <c r="N53" s="37">
        <f>IFERROR(AVERAGE(N6,N7,N28,N9,N40),"")</f>
        <v/>
      </c>
      <c r="O53" s="37">
        <f>IFERROR(AVERAGE(O6,O7,O28,O9,O40),"")</f>
        <v/>
      </c>
    </row>
    <row r="54">
      <c r="A54" s="10" t="inlineStr">
        <is>
          <t>Pegs (SAR, AED, QAR) are excluded from every basket: their return is zero by construction, so including them would understate the dispersion that matters. ARS, TRY and EGP are excluded from the headline for the opposite reason — a structural depreciation trend that swamps an equal-weighted average.</t>
        </is>
      </c>
    </row>
    <row r="56" ht="18" customHeight="1">
      <c r="A56" s="3" t="inlineStr">
        <is>
          <t>THE DOLLAR AND FX VOLATILITY  —  is this being priced as a risk event?</t>
        </is>
      </c>
      <c r="B56" s="4" t="n"/>
      <c r="C56" s="4" t="n"/>
      <c r="D56" s="4" t="n"/>
      <c r="E56" s="4" t="n"/>
      <c r="F56" s="4" t="n"/>
      <c r="G56" s="4" t="n"/>
      <c r="H56" s="4" t="n"/>
      <c r="I56" s="4" t="n"/>
      <c r="J56" s="4" t="n"/>
      <c r="K56" s="4" t="n"/>
      <c r="L56" s="4" t="n"/>
      <c r="M56" s="4" t="n"/>
      <c r="N56" s="4" t="n"/>
      <c r="O56" s="4" t="n"/>
    </row>
    <row r="57" ht="30" customHeight="1">
      <c r="A57" s="18" t="inlineStr">
        <is>
          <t>Series</t>
        </is>
      </c>
      <c r="B57" s="18" t="inlineStr">
        <is>
          <t>Unit</t>
        </is>
      </c>
      <c r="C57" s="18" t="inlineStr">
        <is>
          <t>Level</t>
        </is>
      </c>
      <c r="D57" s="18" t="inlineStr">
        <is>
          <t>1D</t>
        </is>
      </c>
      <c r="E57" s="18" t="inlineStr">
        <is>
          <t>1W</t>
        </is>
      </c>
      <c r="F57" s="18" t="inlineStr">
        <is>
          <t>1M</t>
        </is>
      </c>
      <c r="G57" s="18" t="inlineStr">
        <is>
          <t>3M</t>
        </is>
      </c>
      <c r="H57" s="18" t="inlineStr">
        <is>
          <t>6M</t>
        </is>
      </c>
      <c r="I57" s="18" t="inlineStr">
        <is>
          <t>YTD</t>
        </is>
      </c>
      <c r="J57" s="18" t="inlineStr">
        <is>
          <t>1Y</t>
        </is>
      </c>
      <c r="K57" s="18" t="inlineStr"/>
      <c r="L57" s="18" t="inlineStr"/>
      <c r="M57" s="18" t="inlineStr"/>
      <c r="N57" s="18" t="inlineStr">
        <is>
          <t>%ile 1y</t>
        </is>
      </c>
      <c r="O57" s="18" t="inlineStr">
        <is>
          <t>%ile 5y</t>
        </is>
      </c>
    </row>
    <row r="58">
      <c r="A58" s="8" t="inlineStr">
        <is>
          <t>DXY (rise = USD strength)</t>
        </is>
      </c>
      <c r="B58" s="19" t="inlineStr">
        <is>
          <t>pt</t>
        </is>
      </c>
      <c r="C58" s="32">
        <f>INDEX(HIST_D!$J$8:$J$2617,1)</f>
        <v/>
      </c>
      <c r="D58" s="24">
        <f>IFERROR(IFERROR(INDEX(HIST_D!$J$8:$J$2617,1)/INDEX(HIST_D!$J$8:$J$2617,Control!$F$6)-1,""),"")</f>
        <v/>
      </c>
      <c r="E58" s="24">
        <f>IFERROR(IFERROR(INDEX(HIST_D!$J$8:$J$2617,1)/INDEX(HIST_D!$J$8:$J$2617,Control!$F$7)-1,""),"")</f>
        <v/>
      </c>
      <c r="F58" s="24">
        <f>IFERROR(IFERROR(INDEX(HIST_D!$J$8:$J$2617,1)/INDEX(HIST_D!$J$8:$J$2617,Control!$F$8)-1,""),"")</f>
        <v/>
      </c>
      <c r="G58" s="24">
        <f>IFERROR(IFERROR(INDEX(HIST_D!$J$8:$J$2617,1)/INDEX(HIST_D!$J$8:$J$2617,Control!$F$9)-1,""),"")</f>
        <v/>
      </c>
      <c r="H58" s="24">
        <f>IFERROR(IFERROR(INDEX(HIST_D!$J$8:$J$2617,1)/INDEX(HIST_D!$J$8:$J$2617,Control!$F$10)-1,""),"")</f>
        <v/>
      </c>
      <c r="I58" s="24">
        <f>IFERROR(IFERROR(INDEX(HIST_D!$J$8:$J$2617,1)/INDEX(HIST_D!$J$8:$J$2617,Control!$F$16)-1,""),"")</f>
        <v/>
      </c>
      <c r="J58" s="24">
        <f>IFERROR(IFERROR(INDEX(HIST_D!$J$8:$J$2617,1)/INDEX(HIST_D!$J$8:$J$2617,Control!$F$11)-1,""),"")</f>
        <v/>
      </c>
      <c r="N58" s="22">
        <f>IFERROR(PERCENTRANK(HIST_D!$J$8:INDEX(HIST_D!$J$8:$J$2617,Control!$F$11),INDEX(HIST_D!$J$8:$J$2617,1)),"")</f>
        <v/>
      </c>
      <c r="O58" s="22">
        <f>IFERROR(PERCENTRANK(HIST_D!$J$8:INDEX(HIST_D!$J$8:$J$2617,Control!$F$14),INDEX(HIST_D!$J$8:$J$2617,1)),"")</f>
        <v/>
      </c>
    </row>
    <row r="59">
      <c r="A59" s="8" t="inlineStr">
        <is>
          <t>Asia Dollar Index (rise = Asia strength)</t>
        </is>
      </c>
      <c r="B59" s="19" t="inlineStr">
        <is>
          <t>idx</t>
        </is>
      </c>
      <c r="C59" s="32">
        <f>INDEX(HIST_D!$X$8:$X$2617,1)</f>
        <v/>
      </c>
      <c r="D59" s="24">
        <f>IFERROR(IFERROR(INDEX(HIST_D!$X$8:$X$2617,1)/INDEX(HIST_D!$X$8:$X$2617,Control!$F$6)-1,""),"")</f>
        <v/>
      </c>
      <c r="E59" s="24">
        <f>IFERROR(IFERROR(INDEX(HIST_D!$X$8:$X$2617,1)/INDEX(HIST_D!$X$8:$X$2617,Control!$F$7)-1,""),"")</f>
        <v/>
      </c>
      <c r="F59" s="24">
        <f>IFERROR(IFERROR(INDEX(HIST_D!$X$8:$X$2617,1)/INDEX(HIST_D!$X$8:$X$2617,Control!$F$8)-1,""),"")</f>
        <v/>
      </c>
      <c r="G59" s="24">
        <f>IFERROR(IFERROR(INDEX(HIST_D!$X$8:$X$2617,1)/INDEX(HIST_D!$X$8:$X$2617,Control!$F$9)-1,""),"")</f>
        <v/>
      </c>
      <c r="H59" s="24">
        <f>IFERROR(IFERROR(INDEX(HIST_D!$X$8:$X$2617,1)/INDEX(HIST_D!$X$8:$X$2617,Control!$F$10)-1,""),"")</f>
        <v/>
      </c>
      <c r="I59" s="24">
        <f>IFERROR(IFERROR(INDEX(HIST_D!$X$8:$X$2617,1)/INDEX(HIST_D!$X$8:$X$2617,Control!$F$16)-1,""),"")</f>
        <v/>
      </c>
      <c r="J59" s="24">
        <f>IFERROR(IFERROR(INDEX(HIST_D!$X$8:$X$2617,1)/INDEX(HIST_D!$X$8:$X$2617,Control!$F$11)-1,""),"")</f>
        <v/>
      </c>
      <c r="N59" s="22">
        <f>IFERROR(PERCENTRANK(HIST_D!$X$8:INDEX(HIST_D!$X$8:$X$2617,Control!$F$11),INDEX(HIST_D!$X$8:$X$2617,1)),"")</f>
        <v/>
      </c>
      <c r="O59" s="22">
        <f>IFERROR(PERCENTRANK(HIST_D!$X$8:INDEX(HIST_D!$X$8:$X$2617,Control!$F$14),INDEX(HIST_D!$X$8:$X$2617,1)),"")</f>
        <v/>
      </c>
    </row>
    <row r="60">
      <c r="A60" s="8" t="inlineStr">
        <is>
          <t>JPM EM FX implied vol, 3m</t>
        </is>
      </c>
      <c r="B60" s="19" t="inlineStr">
        <is>
          <t>pt</t>
        </is>
      </c>
      <c r="C60" s="32">
        <f>INDEX(HIST_D!$Y$8:$Y$2617,1)</f>
        <v/>
      </c>
      <c r="D60" s="38">
        <f>IFERROR(INDEX(HIST_D!$Y$8:$Y$2617,1)-INDEX(HIST_D!$Y$8:$Y$2617,Control!$F$6),"")</f>
        <v/>
      </c>
      <c r="E60" s="38">
        <f>IFERROR(INDEX(HIST_D!$Y$8:$Y$2617,1)-INDEX(HIST_D!$Y$8:$Y$2617,Control!$F$7),"")</f>
        <v/>
      </c>
      <c r="F60" s="38">
        <f>IFERROR(INDEX(HIST_D!$Y$8:$Y$2617,1)-INDEX(HIST_D!$Y$8:$Y$2617,Control!$F$8),"")</f>
        <v/>
      </c>
      <c r="G60" s="38">
        <f>IFERROR(INDEX(HIST_D!$Y$8:$Y$2617,1)-INDEX(HIST_D!$Y$8:$Y$2617,Control!$F$9),"")</f>
        <v/>
      </c>
      <c r="H60" s="38">
        <f>IFERROR(INDEX(HIST_D!$Y$8:$Y$2617,1)-INDEX(HIST_D!$Y$8:$Y$2617,Control!$F$10),"")</f>
        <v/>
      </c>
      <c r="I60" s="38">
        <f>IFERROR(INDEX(HIST_D!$Y$8:$Y$2617,1)-INDEX(HIST_D!$Y$8:$Y$2617,Control!$F$16),"")</f>
        <v/>
      </c>
      <c r="J60" s="38">
        <f>IFERROR(INDEX(HIST_D!$Y$8:$Y$2617,1)-INDEX(HIST_D!$Y$8:$Y$2617,Control!$F$11),"")</f>
        <v/>
      </c>
      <c r="N60" s="22">
        <f>IFERROR(PERCENTRANK(HIST_D!$Y$8:INDEX(HIST_D!$Y$8:$Y$2617,Control!$F$11),INDEX(HIST_D!$Y$8:$Y$2617,1)),"")</f>
        <v/>
      </c>
      <c r="O60" s="22">
        <f>IFERROR(PERCENTRANK(HIST_D!$Y$8:INDEX(HIST_D!$Y$8:$Y$2617,Control!$F$14),INDEX(HIST_D!$Y$8:$Y$2617,1)),"")</f>
        <v/>
      </c>
    </row>
    <row r="61">
      <c r="A61" s="8" t="inlineStr">
        <is>
          <t>JPM G7 FX implied vol, 3m</t>
        </is>
      </c>
      <c r="B61" s="19" t="inlineStr">
        <is>
          <t>pt</t>
        </is>
      </c>
      <c r="C61" s="32">
        <f>INDEX(HIST_D!$Z$8:$Z$2617,1)</f>
        <v/>
      </c>
      <c r="D61" s="38">
        <f>IFERROR(INDEX(HIST_D!$Z$8:$Z$2617,1)-INDEX(HIST_D!$Z$8:$Z$2617,Control!$F$6),"")</f>
        <v/>
      </c>
      <c r="E61" s="38">
        <f>IFERROR(INDEX(HIST_D!$Z$8:$Z$2617,1)-INDEX(HIST_D!$Z$8:$Z$2617,Control!$F$7),"")</f>
        <v/>
      </c>
      <c r="F61" s="38">
        <f>IFERROR(INDEX(HIST_D!$Z$8:$Z$2617,1)-INDEX(HIST_D!$Z$8:$Z$2617,Control!$F$8),"")</f>
        <v/>
      </c>
      <c r="G61" s="38">
        <f>IFERROR(INDEX(HIST_D!$Z$8:$Z$2617,1)-INDEX(HIST_D!$Z$8:$Z$2617,Control!$F$9),"")</f>
        <v/>
      </c>
      <c r="H61" s="38">
        <f>IFERROR(INDEX(HIST_D!$Z$8:$Z$2617,1)-INDEX(HIST_D!$Z$8:$Z$2617,Control!$F$10),"")</f>
        <v/>
      </c>
      <c r="I61" s="38">
        <f>IFERROR(INDEX(HIST_D!$Z$8:$Z$2617,1)-INDEX(HIST_D!$Z$8:$Z$2617,Control!$F$16),"")</f>
        <v/>
      </c>
      <c r="J61" s="38">
        <f>IFERROR(INDEX(HIST_D!$Z$8:$Z$2617,1)-INDEX(HIST_D!$Z$8:$Z$2617,Control!$F$11),"")</f>
        <v/>
      </c>
      <c r="N61" s="22">
        <f>IFERROR(PERCENTRANK(HIST_D!$Z$8:INDEX(HIST_D!$Z$8:$Z$2617,Control!$F$11),INDEX(HIST_D!$Z$8:$Z$2617,1)),"")</f>
        <v/>
      </c>
      <c r="O61" s="22">
        <f>IFERROR(PERCENTRANK(HIST_D!$Z$8:INDEX(HIST_D!$Z$8:$Z$2617,Control!$F$14),INDEX(HIST_D!$Z$8:$Z$2617,1)),"")</f>
        <v/>
      </c>
    </row>
    <row r="62">
      <c r="A62" s="28" t="inlineStr">
        <is>
          <t>EM less G7 implied vol</t>
        </is>
      </c>
      <c r="B62" s="19" t="inlineStr">
        <is>
          <t>pt</t>
        </is>
      </c>
      <c r="C62" s="39">
        <f>IFERROR(INDEX(HIST_D!$Y$8:$Y$2617,1)-INDEX(HIST_D!$Z$8:$Z$2617,1),"")</f>
        <v/>
      </c>
      <c r="D62" s="40">
        <f>IFERROR((INDEX(HIST_D!$Y$8:$Y$2617,1)-INDEX(HIST_D!$Z$8:$Z$2617,1))-(INDEX(HIST_D!$Y$8:$Y$2617,Control!$F$6)-INDEX(HIST_D!$Z$8:$Z$2617,Control!$F$6)),"")</f>
        <v/>
      </c>
      <c r="E62" s="40">
        <f>IFERROR((INDEX(HIST_D!$Y$8:$Y$2617,1)-INDEX(HIST_D!$Z$8:$Z$2617,1))-(INDEX(HIST_D!$Y$8:$Y$2617,Control!$F$7)-INDEX(HIST_D!$Z$8:$Z$2617,Control!$F$7)),"")</f>
        <v/>
      </c>
      <c r="F62" s="40">
        <f>IFERROR((INDEX(HIST_D!$Y$8:$Y$2617,1)-INDEX(HIST_D!$Z$8:$Z$2617,1))-(INDEX(HIST_D!$Y$8:$Y$2617,Control!$F$8)-INDEX(HIST_D!$Z$8:$Z$2617,Control!$F$8)),"")</f>
        <v/>
      </c>
      <c r="G62" s="40">
        <f>IFERROR((INDEX(HIST_D!$Y$8:$Y$2617,1)-INDEX(HIST_D!$Z$8:$Z$2617,1))-(INDEX(HIST_D!$Y$8:$Y$2617,Control!$F$9)-INDEX(HIST_D!$Z$8:$Z$2617,Control!$F$9)),"")</f>
        <v/>
      </c>
      <c r="H62" s="40">
        <f>IFERROR((INDEX(HIST_D!$Y$8:$Y$2617,1)-INDEX(HIST_D!$Z$8:$Z$2617,1))-(INDEX(HIST_D!$Y$8:$Y$2617,Control!$F$10)-INDEX(HIST_D!$Z$8:$Z$2617,Control!$F$10)),"")</f>
        <v/>
      </c>
      <c r="I62" s="40">
        <f>IFERROR((INDEX(HIST_D!$Y$8:$Y$2617,1)-INDEX(HIST_D!$Z$8:$Z$2617,1))-(INDEX(HIST_D!$Y$8:$Y$2617,Control!$F$16)-INDEX(HIST_D!$Z$8:$Z$2617,Control!$F$16)),"")</f>
        <v/>
      </c>
      <c r="J62" s="40">
        <f>IFERROR((INDEX(HIST_D!$Y$8:$Y$2617,1)-INDEX(HIST_D!$Z$8:$Z$2617,1))-(INDEX(HIST_D!$Y$8:$Y$2617,Control!$F$11)-INDEX(HIST_D!$Z$8:$Z$2617,Control!$F$11)),"")</f>
        <v/>
      </c>
    </row>
    <row r="64" ht="18" customHeight="1">
      <c r="A64" s="3" t="inlineStr">
        <is>
          <t>COMMENT  —  FX</t>
        </is>
      </c>
      <c r="B64" s="4" t="n"/>
      <c r="C64" s="4" t="n"/>
      <c r="D64" s="4" t="n"/>
      <c r="E64" s="4" t="n"/>
      <c r="F64" s="4" t="n"/>
      <c r="G64" s="4" t="n"/>
      <c r="H64" s="4" t="n"/>
      <c r="I64" s="4" t="n"/>
      <c r="J64" s="4" t="n"/>
      <c r="K64" s="4" t="n"/>
      <c r="L64" s="4" t="n"/>
      <c r="M64" s="4" t="n"/>
      <c r="N64" s="4" t="n"/>
      <c r="O64" s="4" t="n"/>
    </row>
    <row r="65">
      <c r="A65" s="6">
        <f>IFERROR("EM FX: the basket is "&amp;TEXT($F$51,"+0.0%;-0.0%")&amp;" on the month against a dollar that is "&amp;TEXT($F$58,"+0.0%;-0.0%")&amp;". "&amp;IF(AND($F$58&gt;0,$F$51&gt;-0.005),"EM FX is holding with the dollar firmer, which is the decoupling result — the funding channel is not transmitting.",IF(AND($F$58&lt;0,$F$51&gt;0),"EM FX is up on a softer dollar, so most of the move is dollar beta rather than EM-specific strength — check the ex-USD columns before claiming resilience.","EM FX is losing ground; the funding channel is engaging and the pass-through ratios on Passthrough are the thing to watch."))&amp;" EM less G7 implied vol is "&amp;TEXT($C$62,"0.0")&amp;"pt, "&amp;IF($F$62&gt;0,"widening","narrowing")&amp;" over the month — "&amp;IF($F$62&gt;0,"the option market is starting to charge for EM risk.","the option market is not charging for EM risk."),"")</f>
        <v/>
      </c>
    </row>
    <row r="67">
      <c r="A67" s="10" t="inlineStr">
        <is>
          <t>Dispersion, not level, is the regional story: the ex-USD columns are what separate a market that is being rewarded from one that is simply long the dollar trade.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8"/>
  <sheetViews>
    <sheetView showGridLines="0" workbookViewId="0">
      <selection activeCell="A1" sqref="A1"/>
    </sheetView>
  </sheetViews>
  <sheetFormatPr baseColWidth="8" defaultRowHeight="15"/>
  <cols>
    <col width="28" customWidth="1" min="1" max="1"/>
    <col width="8" customWidth="1" min="2" max="2"/>
    <col width="12"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10" customWidth="1" min="13" max="13"/>
    <col width="10" customWidth="1" min="14" max="14"/>
    <col width="10" customWidth="1" min="15" max="15"/>
  </cols>
  <sheetData>
    <row r="1">
      <c r="A1" s="1" t="inlineStr">
        <is>
          <t>EM EQUITIES  —  by region.  Local return and the FX leg, kept apart.</t>
        </is>
      </c>
    </row>
    <row r="2">
      <c r="A2" s="2" t="inlineStr">
        <is>
          <t>Country indices are local currency. The FX column is the return on that currency vs USD over the same window. USD return = (1 + local)*(1 + FX) - 1, so both legs stay visible instead of being netted before you see them. GCC indices carry a pegged FX leg, so their local and USD returns are the same number by construction.</t>
        </is>
      </c>
    </row>
    <row r="4" ht="16" customHeight="1">
      <c r="A4" s="33" t="inlineStr">
        <is>
          <t>BENCHMARKS</t>
        </is>
      </c>
      <c r="B4" s="34" t="n"/>
      <c r="C4" s="34" t="n"/>
      <c r="D4" s="34" t="n"/>
      <c r="E4" s="34" t="n"/>
      <c r="F4" s="34" t="n"/>
      <c r="G4" s="34" t="n"/>
      <c r="H4" s="34" t="n"/>
      <c r="I4" s="34" t="n"/>
      <c r="J4" s="34" t="n"/>
      <c r="K4" s="34" t="n"/>
      <c r="L4" s="34" t="n"/>
      <c r="M4" s="34" t="n"/>
      <c r="N4" s="34" t="n"/>
      <c r="O4" s="34" t="n"/>
    </row>
    <row r="5" ht="30" customHeight="1">
      <c r="A5" s="18" t="inlineStr">
        <is>
          <t>Index</t>
        </is>
      </c>
      <c r="B5" s="18" t="inlineStr">
        <is>
          <t>Ccy</t>
        </is>
      </c>
      <c r="C5" s="18" t="inlineStr">
        <is>
          <t>Level</t>
        </is>
      </c>
      <c r="D5" s="18" t="inlineStr">
        <is>
          <t>1M local</t>
        </is>
      </c>
      <c r="E5" s="18" t="inlineStr">
        <is>
          <t>1M FX</t>
        </is>
      </c>
      <c r="F5" s="18" t="inlineStr">
        <is>
          <t>1M USD</t>
        </is>
      </c>
      <c r="G5" s="18" t="inlineStr">
        <is>
          <t>3M local</t>
        </is>
      </c>
      <c r="H5" s="18" t="inlineStr">
        <is>
          <t>3M FX</t>
        </is>
      </c>
      <c r="I5" s="18" t="inlineStr">
        <is>
          <t>3M USD</t>
        </is>
      </c>
      <c r="J5" s="18" t="inlineStr">
        <is>
          <t>YTD local</t>
        </is>
      </c>
      <c r="K5" s="18" t="inlineStr">
        <is>
          <t>YTD FX</t>
        </is>
      </c>
      <c r="L5" s="18" t="inlineStr">
        <is>
          <t>YTD USD</t>
        </is>
      </c>
      <c r="M5" s="18" t="inlineStr">
        <is>
          <t>1Y USD</t>
        </is>
      </c>
      <c r="N5" s="18" t="inlineStr">
        <is>
          <t>vs World 1M</t>
        </is>
      </c>
      <c r="O5" s="18" t="inlineStr">
        <is>
          <t>vs World YTD</t>
        </is>
      </c>
    </row>
    <row r="6">
      <c r="A6" s="28" t="inlineStr">
        <is>
          <t>MSCI EM (USD)</t>
        </is>
      </c>
      <c r="B6" s="19" t="inlineStr">
        <is>
          <t>USD</t>
        </is>
      </c>
      <c r="C6" s="23">
        <f>INDEX(HIST_D!$AZ$8:$AZ$2617,1)</f>
        <v/>
      </c>
      <c r="D6" s="24">
        <f>IFERROR(INDEX(HIST_D!$AZ$8:$AZ$2617,1)/INDEX(HIST_D!$AZ$8:$AZ$2617,Control!$F$8)-1,"")</f>
        <v/>
      </c>
      <c r="E6" s="19" t="inlineStr">
        <is>
          <t>—</t>
        </is>
      </c>
      <c r="F6" s="36">
        <f>D6</f>
        <v/>
      </c>
      <c r="G6" s="24">
        <f>IFERROR(INDEX(HIST_D!$AZ$8:$AZ$2617,1)/INDEX(HIST_D!$AZ$8:$AZ$2617,Control!$F$9)-1,"")</f>
        <v/>
      </c>
      <c r="H6" s="19" t="inlineStr">
        <is>
          <t>—</t>
        </is>
      </c>
      <c r="I6" s="36">
        <f>G6</f>
        <v/>
      </c>
      <c r="J6" s="24">
        <f>IFERROR(INDEX(HIST_D!$AZ$8:$AZ$2617,1)/INDEX(HIST_D!$AZ$8:$AZ$2617,Control!$F$16)-1,"")</f>
        <v/>
      </c>
      <c r="K6" s="19" t="inlineStr">
        <is>
          <t>—</t>
        </is>
      </c>
      <c r="L6" s="36">
        <f>J6</f>
        <v/>
      </c>
      <c r="M6" s="24">
        <f>IFERROR(INDEX(HIST_D!$AZ$8:$AZ$2617,1)/INDEX(HIST_D!$AZ$8:$AZ$2617,Control!$F$11)-1,"")</f>
        <v/>
      </c>
      <c r="N6" s="24">
        <f>IFERROR(F6-F7,"")</f>
        <v/>
      </c>
      <c r="O6" s="24">
        <f>IFERROR(L6-L7,"")</f>
        <v/>
      </c>
    </row>
    <row r="7">
      <c r="A7" s="28" t="inlineStr">
        <is>
          <t>MSCI World (USD)</t>
        </is>
      </c>
      <c r="B7" s="19" t="inlineStr">
        <is>
          <t>USD</t>
        </is>
      </c>
      <c r="C7" s="23">
        <f>INDEX(HIST_D!$BA$8:$BA$2617,1)</f>
        <v/>
      </c>
      <c r="D7" s="24">
        <f>IFERROR(INDEX(HIST_D!$BA$8:$BA$2617,1)/INDEX(HIST_D!$BA$8:$BA$2617,Control!$F$8)-1,"")</f>
        <v/>
      </c>
      <c r="E7" s="19" t="inlineStr">
        <is>
          <t>—</t>
        </is>
      </c>
      <c r="F7" s="36">
        <f>D7</f>
        <v/>
      </c>
      <c r="G7" s="24">
        <f>IFERROR(INDEX(HIST_D!$BA$8:$BA$2617,1)/INDEX(HIST_D!$BA$8:$BA$2617,Control!$F$9)-1,"")</f>
        <v/>
      </c>
      <c r="H7" s="19" t="inlineStr">
        <is>
          <t>—</t>
        </is>
      </c>
      <c r="I7" s="36">
        <f>G7</f>
        <v/>
      </c>
      <c r="J7" s="24">
        <f>IFERROR(INDEX(HIST_D!$BA$8:$BA$2617,1)/INDEX(HIST_D!$BA$8:$BA$2617,Control!$F$16)-1,"")</f>
        <v/>
      </c>
      <c r="K7" s="19" t="inlineStr">
        <is>
          <t>—</t>
        </is>
      </c>
      <c r="L7" s="36">
        <f>J7</f>
        <v/>
      </c>
      <c r="M7" s="24">
        <f>IFERROR(INDEX(HIST_D!$BA$8:$BA$2617,1)/INDEX(HIST_D!$BA$8:$BA$2617,Control!$F$11)-1,"")</f>
        <v/>
      </c>
      <c r="N7" s="24">
        <f>IFERROR(F7-F7,"")</f>
        <v/>
      </c>
      <c r="O7" s="24">
        <f>IFERROR(L7-L7,"")</f>
        <v/>
      </c>
    </row>
    <row r="9" ht="16" customHeight="1">
      <c r="A9" s="33" t="inlineStr">
        <is>
          <t>LATAM</t>
        </is>
      </c>
      <c r="B9" s="34" t="n"/>
      <c r="C9" s="34" t="n"/>
      <c r="D9" s="34" t="n"/>
      <c r="E9" s="34" t="n"/>
      <c r="F9" s="34" t="n"/>
      <c r="G9" s="34" t="n"/>
      <c r="H9" s="34" t="n"/>
      <c r="I9" s="34" t="n"/>
      <c r="J9" s="34" t="n"/>
      <c r="K9" s="34" t="n"/>
      <c r="L9" s="34" t="n"/>
      <c r="M9" s="34" t="n"/>
      <c r="N9" s="34" t="n"/>
      <c r="O9" s="34" t="n"/>
    </row>
    <row r="10" ht="30" customHeight="1">
      <c r="A10" s="18" t="inlineStr">
        <is>
          <t>Index</t>
        </is>
      </c>
      <c r="B10" s="18" t="inlineStr">
        <is>
          <t>Ccy</t>
        </is>
      </c>
      <c r="C10" s="18" t="inlineStr">
        <is>
          <t>Level</t>
        </is>
      </c>
      <c r="D10" s="18" t="inlineStr">
        <is>
          <t>1M local</t>
        </is>
      </c>
      <c r="E10" s="18" t="inlineStr">
        <is>
          <t>1M FX</t>
        </is>
      </c>
      <c r="F10" s="18" t="inlineStr">
        <is>
          <t>1M USD</t>
        </is>
      </c>
      <c r="G10" s="18" t="inlineStr">
        <is>
          <t>3M local</t>
        </is>
      </c>
      <c r="H10" s="18" t="inlineStr">
        <is>
          <t>3M FX</t>
        </is>
      </c>
      <c r="I10" s="18" t="inlineStr">
        <is>
          <t>3M USD</t>
        </is>
      </c>
      <c r="J10" s="18" t="inlineStr">
        <is>
          <t>YTD local</t>
        </is>
      </c>
      <c r="K10" s="18" t="inlineStr">
        <is>
          <t>YTD FX</t>
        </is>
      </c>
      <c r="L10" s="18" t="inlineStr">
        <is>
          <t>YTD USD</t>
        </is>
      </c>
      <c r="M10" s="18" t="inlineStr">
        <is>
          <t>1Y USD</t>
        </is>
      </c>
      <c r="N10" s="18" t="inlineStr">
        <is>
          <t>vs World 1M</t>
        </is>
      </c>
      <c r="O10" s="18" t="inlineStr">
        <is>
          <t>vs World YTD</t>
        </is>
      </c>
    </row>
    <row r="11">
      <c r="A11" s="8" t="inlineStr">
        <is>
          <t>Brazil Ibovespa</t>
        </is>
      </c>
      <c r="B11" s="19" t="inlineStr">
        <is>
          <t>BRL</t>
        </is>
      </c>
      <c r="C11" s="23">
        <f>INDEX(HIST_D!$BB$8:$BB$2617,1)</f>
        <v/>
      </c>
      <c r="D11" s="24">
        <f>IFERROR(INDEX(HIST_D!$BB$8:$BB$2617,1)/INDEX(HIST_D!$BB$8:$BB$2617,Control!$F$8)-1,"")</f>
        <v/>
      </c>
      <c r="E11" s="24">
        <f>IFERROR(INDEX(HIST_D!$AA$8:$AA$2617,Control!$F$8)/INDEX(HIST_D!$AA$8:$AA$2617,1)-1,"")</f>
        <v/>
      </c>
      <c r="F11" s="36">
        <f>IFERROR((1+D11)*(1+E11)-1,"")</f>
        <v/>
      </c>
      <c r="G11" s="24">
        <f>IFERROR(INDEX(HIST_D!$BB$8:$BB$2617,1)/INDEX(HIST_D!$BB$8:$BB$2617,Control!$F$9)-1,"")</f>
        <v/>
      </c>
      <c r="H11" s="24">
        <f>IFERROR(INDEX(HIST_D!$AA$8:$AA$2617,Control!$F$9)/INDEX(HIST_D!$AA$8:$AA$2617,1)-1,"")</f>
        <v/>
      </c>
      <c r="I11" s="36">
        <f>IFERROR((1+G11)*(1+H11)-1,"")</f>
        <v/>
      </c>
      <c r="J11" s="24">
        <f>IFERROR(INDEX(HIST_D!$BB$8:$BB$2617,1)/INDEX(HIST_D!$BB$8:$BB$2617,Control!$F$16)-1,"")</f>
        <v/>
      </c>
      <c r="K11" s="24">
        <f>IFERROR(INDEX(HIST_D!$AA$8:$AA$2617,Control!$F$16)/INDEX(HIST_D!$AA$8:$AA$2617,1)-1,"")</f>
        <v/>
      </c>
      <c r="L11" s="36">
        <f>IFERROR((1+J11)*(1+K11)-1,"")</f>
        <v/>
      </c>
      <c r="M11" s="24">
        <f>IFERROR((1+IFERROR(INDEX(HIST_D!$BB$8:$BB$2617,1)/INDEX(HIST_D!$BB$8:$BB$2617,Control!$F$11)-1,""))*(1+IFERROR(INDEX(HIST_D!$AA$8:$AA$2617,Control!$F$11)/INDEX(HIST_D!$AA$8:$AA$2617,1)-1,""))-1,"")</f>
        <v/>
      </c>
      <c r="N11" s="24">
        <f>IFERROR(F11-F7,"")</f>
        <v/>
      </c>
      <c r="O11" s="24">
        <f>IFERROR(L11-L7,"")</f>
        <v/>
      </c>
    </row>
    <row r="12">
      <c r="A12" s="8" t="inlineStr">
        <is>
          <t>Mexico S&amp;P/BMV IPC</t>
        </is>
      </c>
      <c r="B12" s="19" t="inlineStr">
        <is>
          <t>MXN</t>
        </is>
      </c>
      <c r="C12" s="23">
        <f>INDEX(HIST_D!$BC$8:$BC$2617,1)</f>
        <v/>
      </c>
      <c r="D12" s="24">
        <f>IFERROR(INDEX(HIST_D!$BC$8:$BC$2617,1)/INDEX(HIST_D!$BC$8:$BC$2617,Control!$F$8)-1,"")</f>
        <v/>
      </c>
      <c r="E12" s="24">
        <f>IFERROR(INDEX(HIST_D!$AB$8:$AB$2617,Control!$F$8)/INDEX(HIST_D!$AB$8:$AB$2617,1)-1,"")</f>
        <v/>
      </c>
      <c r="F12" s="36">
        <f>IFERROR((1+D12)*(1+E12)-1,"")</f>
        <v/>
      </c>
      <c r="G12" s="24">
        <f>IFERROR(INDEX(HIST_D!$BC$8:$BC$2617,1)/INDEX(HIST_D!$BC$8:$BC$2617,Control!$F$9)-1,"")</f>
        <v/>
      </c>
      <c r="H12" s="24">
        <f>IFERROR(INDEX(HIST_D!$AB$8:$AB$2617,Control!$F$9)/INDEX(HIST_D!$AB$8:$AB$2617,1)-1,"")</f>
        <v/>
      </c>
      <c r="I12" s="36">
        <f>IFERROR((1+G12)*(1+H12)-1,"")</f>
        <v/>
      </c>
      <c r="J12" s="24">
        <f>IFERROR(INDEX(HIST_D!$BC$8:$BC$2617,1)/INDEX(HIST_D!$BC$8:$BC$2617,Control!$F$16)-1,"")</f>
        <v/>
      </c>
      <c r="K12" s="24">
        <f>IFERROR(INDEX(HIST_D!$AB$8:$AB$2617,Control!$F$16)/INDEX(HIST_D!$AB$8:$AB$2617,1)-1,"")</f>
        <v/>
      </c>
      <c r="L12" s="36">
        <f>IFERROR((1+J12)*(1+K12)-1,"")</f>
        <v/>
      </c>
      <c r="M12" s="24">
        <f>IFERROR((1+IFERROR(INDEX(HIST_D!$BC$8:$BC$2617,1)/INDEX(HIST_D!$BC$8:$BC$2617,Control!$F$11)-1,""))*(1+IFERROR(INDEX(HIST_D!$AB$8:$AB$2617,Control!$F$11)/INDEX(HIST_D!$AB$8:$AB$2617,1)-1,""))-1,"")</f>
        <v/>
      </c>
      <c r="N12" s="24">
        <f>IFERROR(F12-F7,"")</f>
        <v/>
      </c>
      <c r="O12" s="24">
        <f>IFERROR(L12-L7,"")</f>
        <v/>
      </c>
    </row>
    <row r="13">
      <c r="A13" s="8" t="inlineStr">
        <is>
          <t>Chile IPSA</t>
        </is>
      </c>
      <c r="B13" s="19" t="inlineStr">
        <is>
          <t>CLP</t>
        </is>
      </c>
      <c r="C13" s="23">
        <f>INDEX(HIST_D!$BD$8:$BD$2617,1)</f>
        <v/>
      </c>
      <c r="D13" s="24">
        <f>IFERROR(INDEX(HIST_D!$BD$8:$BD$2617,1)/INDEX(HIST_D!$BD$8:$BD$2617,Control!$F$8)-1,"")</f>
        <v/>
      </c>
      <c r="E13" s="24">
        <f>IFERROR(INDEX(HIST_D!$AC$8:$AC$2617,Control!$F$8)/INDEX(HIST_D!$AC$8:$AC$2617,1)-1,"")</f>
        <v/>
      </c>
      <c r="F13" s="36">
        <f>IFERROR((1+D13)*(1+E13)-1,"")</f>
        <v/>
      </c>
      <c r="G13" s="24">
        <f>IFERROR(INDEX(HIST_D!$BD$8:$BD$2617,1)/INDEX(HIST_D!$BD$8:$BD$2617,Control!$F$9)-1,"")</f>
        <v/>
      </c>
      <c r="H13" s="24">
        <f>IFERROR(INDEX(HIST_D!$AC$8:$AC$2617,Control!$F$9)/INDEX(HIST_D!$AC$8:$AC$2617,1)-1,"")</f>
        <v/>
      </c>
      <c r="I13" s="36">
        <f>IFERROR((1+G13)*(1+H13)-1,"")</f>
        <v/>
      </c>
      <c r="J13" s="24">
        <f>IFERROR(INDEX(HIST_D!$BD$8:$BD$2617,1)/INDEX(HIST_D!$BD$8:$BD$2617,Control!$F$16)-1,"")</f>
        <v/>
      </c>
      <c r="K13" s="24">
        <f>IFERROR(INDEX(HIST_D!$AC$8:$AC$2617,Control!$F$16)/INDEX(HIST_D!$AC$8:$AC$2617,1)-1,"")</f>
        <v/>
      </c>
      <c r="L13" s="36">
        <f>IFERROR((1+J13)*(1+K13)-1,"")</f>
        <v/>
      </c>
      <c r="M13" s="24">
        <f>IFERROR((1+IFERROR(INDEX(HIST_D!$BD$8:$BD$2617,1)/INDEX(HIST_D!$BD$8:$BD$2617,Control!$F$11)-1,""))*(1+IFERROR(INDEX(HIST_D!$AC$8:$AC$2617,Control!$F$11)/INDEX(HIST_D!$AC$8:$AC$2617,1)-1,""))-1,"")</f>
        <v/>
      </c>
      <c r="N13" s="24">
        <f>IFERROR(F13-F7,"")</f>
        <v/>
      </c>
      <c r="O13" s="24">
        <f>IFERROR(L13-L7,"")</f>
        <v/>
      </c>
    </row>
    <row r="14">
      <c r="A14" s="8" t="inlineStr">
        <is>
          <t>Colombia COLCAP</t>
        </is>
      </c>
      <c r="B14" s="19" t="inlineStr">
        <is>
          <t>COP</t>
        </is>
      </c>
      <c r="C14" s="23">
        <f>INDEX(HIST_D!$BE$8:$BE$2617,1)</f>
        <v/>
      </c>
      <c r="D14" s="24">
        <f>IFERROR(INDEX(HIST_D!$BE$8:$BE$2617,1)/INDEX(HIST_D!$BE$8:$BE$2617,Control!$F$8)-1,"")</f>
        <v/>
      </c>
      <c r="E14" s="24">
        <f>IFERROR(INDEX(HIST_D!$AD$8:$AD$2617,Control!$F$8)/INDEX(HIST_D!$AD$8:$AD$2617,1)-1,"")</f>
        <v/>
      </c>
      <c r="F14" s="36">
        <f>IFERROR((1+D14)*(1+E14)-1,"")</f>
        <v/>
      </c>
      <c r="G14" s="24">
        <f>IFERROR(INDEX(HIST_D!$BE$8:$BE$2617,1)/INDEX(HIST_D!$BE$8:$BE$2617,Control!$F$9)-1,"")</f>
        <v/>
      </c>
      <c r="H14" s="24">
        <f>IFERROR(INDEX(HIST_D!$AD$8:$AD$2617,Control!$F$9)/INDEX(HIST_D!$AD$8:$AD$2617,1)-1,"")</f>
        <v/>
      </c>
      <c r="I14" s="36">
        <f>IFERROR((1+G14)*(1+H14)-1,"")</f>
        <v/>
      </c>
      <c r="J14" s="24">
        <f>IFERROR(INDEX(HIST_D!$BE$8:$BE$2617,1)/INDEX(HIST_D!$BE$8:$BE$2617,Control!$F$16)-1,"")</f>
        <v/>
      </c>
      <c r="K14" s="24">
        <f>IFERROR(INDEX(HIST_D!$AD$8:$AD$2617,Control!$F$16)/INDEX(HIST_D!$AD$8:$AD$2617,1)-1,"")</f>
        <v/>
      </c>
      <c r="L14" s="36">
        <f>IFERROR((1+J14)*(1+K14)-1,"")</f>
        <v/>
      </c>
      <c r="M14" s="24">
        <f>IFERROR((1+IFERROR(INDEX(HIST_D!$BE$8:$BE$2617,1)/INDEX(HIST_D!$BE$8:$BE$2617,Control!$F$11)-1,""))*(1+IFERROR(INDEX(HIST_D!$AD$8:$AD$2617,Control!$F$11)/INDEX(HIST_D!$AD$8:$AD$2617,1)-1,""))-1,"")</f>
        <v/>
      </c>
      <c r="N14" s="24">
        <f>IFERROR(F14-F7,"")</f>
        <v/>
      </c>
      <c r="O14" s="24">
        <f>IFERROR(L14-L7,"")</f>
        <v/>
      </c>
    </row>
    <row r="15">
      <c r="A15" s="8" t="inlineStr">
        <is>
          <t>Peru S&amp;P/BVL</t>
        </is>
      </c>
      <c r="B15" s="19" t="inlineStr">
        <is>
          <t>PEN</t>
        </is>
      </c>
      <c r="C15" s="23">
        <f>INDEX(HIST_D!$BF$8:$BF$2617,1)</f>
        <v/>
      </c>
      <c r="D15" s="24">
        <f>IFERROR(INDEX(HIST_D!$BF$8:$BF$2617,1)/INDEX(HIST_D!$BF$8:$BF$2617,Control!$F$8)-1,"")</f>
        <v/>
      </c>
      <c r="E15" s="24">
        <f>IFERROR(INDEX(HIST_D!$AE$8:$AE$2617,Control!$F$8)/INDEX(HIST_D!$AE$8:$AE$2617,1)-1,"")</f>
        <v/>
      </c>
      <c r="F15" s="36">
        <f>IFERROR((1+D15)*(1+E15)-1,"")</f>
        <v/>
      </c>
      <c r="G15" s="24">
        <f>IFERROR(INDEX(HIST_D!$BF$8:$BF$2617,1)/INDEX(HIST_D!$BF$8:$BF$2617,Control!$F$9)-1,"")</f>
        <v/>
      </c>
      <c r="H15" s="24">
        <f>IFERROR(INDEX(HIST_D!$AE$8:$AE$2617,Control!$F$9)/INDEX(HIST_D!$AE$8:$AE$2617,1)-1,"")</f>
        <v/>
      </c>
      <c r="I15" s="36">
        <f>IFERROR((1+G15)*(1+H15)-1,"")</f>
        <v/>
      </c>
      <c r="J15" s="24">
        <f>IFERROR(INDEX(HIST_D!$BF$8:$BF$2617,1)/INDEX(HIST_D!$BF$8:$BF$2617,Control!$F$16)-1,"")</f>
        <v/>
      </c>
      <c r="K15" s="24">
        <f>IFERROR(INDEX(HIST_D!$AE$8:$AE$2617,Control!$F$16)/INDEX(HIST_D!$AE$8:$AE$2617,1)-1,"")</f>
        <v/>
      </c>
      <c r="L15" s="36">
        <f>IFERROR((1+J15)*(1+K15)-1,"")</f>
        <v/>
      </c>
      <c r="M15" s="24">
        <f>IFERROR((1+IFERROR(INDEX(HIST_D!$BF$8:$BF$2617,1)/INDEX(HIST_D!$BF$8:$BF$2617,Control!$F$11)-1,""))*(1+IFERROR(INDEX(HIST_D!$AE$8:$AE$2617,Control!$F$11)/INDEX(HIST_D!$AE$8:$AE$2617,1)-1,""))-1,"")</f>
        <v/>
      </c>
      <c r="N15" s="24">
        <f>IFERROR(F15-F7,"")</f>
        <v/>
      </c>
      <c r="O15" s="24">
        <f>IFERROR(L15-L7,"")</f>
        <v/>
      </c>
    </row>
    <row r="16">
      <c r="A16" s="8" t="inlineStr">
        <is>
          <t>Argentina Merval</t>
        </is>
      </c>
      <c r="B16" s="19" t="inlineStr">
        <is>
          <t>ARS</t>
        </is>
      </c>
      <c r="C16" s="23">
        <f>INDEX(HIST_D!$BG$8:$BG$2617,1)</f>
        <v/>
      </c>
      <c r="D16" s="24">
        <f>IFERROR(INDEX(HIST_D!$BG$8:$BG$2617,1)/INDEX(HIST_D!$BG$8:$BG$2617,Control!$F$8)-1,"")</f>
        <v/>
      </c>
      <c r="E16" s="24">
        <f>IFERROR(INDEX(HIST_D!$AF$8:$AF$2617,Control!$F$8)/INDEX(HIST_D!$AF$8:$AF$2617,1)-1,"")</f>
        <v/>
      </c>
      <c r="F16" s="36">
        <f>IFERROR((1+D16)*(1+E16)-1,"")</f>
        <v/>
      </c>
      <c r="G16" s="24">
        <f>IFERROR(INDEX(HIST_D!$BG$8:$BG$2617,1)/INDEX(HIST_D!$BG$8:$BG$2617,Control!$F$9)-1,"")</f>
        <v/>
      </c>
      <c r="H16" s="24">
        <f>IFERROR(INDEX(HIST_D!$AF$8:$AF$2617,Control!$F$9)/INDEX(HIST_D!$AF$8:$AF$2617,1)-1,"")</f>
        <v/>
      </c>
      <c r="I16" s="36">
        <f>IFERROR((1+G16)*(1+H16)-1,"")</f>
        <v/>
      </c>
      <c r="J16" s="24">
        <f>IFERROR(INDEX(HIST_D!$BG$8:$BG$2617,1)/INDEX(HIST_D!$BG$8:$BG$2617,Control!$F$16)-1,"")</f>
        <v/>
      </c>
      <c r="K16" s="24">
        <f>IFERROR(INDEX(HIST_D!$AF$8:$AF$2617,Control!$F$16)/INDEX(HIST_D!$AF$8:$AF$2617,1)-1,"")</f>
        <v/>
      </c>
      <c r="L16" s="36">
        <f>IFERROR((1+J16)*(1+K16)-1,"")</f>
        <v/>
      </c>
      <c r="M16" s="24">
        <f>IFERROR((1+IFERROR(INDEX(HIST_D!$BG$8:$BG$2617,1)/INDEX(HIST_D!$BG$8:$BG$2617,Control!$F$11)-1,""))*(1+IFERROR(INDEX(HIST_D!$AF$8:$AF$2617,Control!$F$11)/INDEX(HIST_D!$AF$8:$AF$2617,1)-1,""))-1,"")</f>
        <v/>
      </c>
      <c r="N16" s="24">
        <f>IFERROR(F16-F7,"")</f>
        <v/>
      </c>
      <c r="O16" s="24">
        <f>IFERROR(L16-L7,"")</f>
        <v/>
      </c>
    </row>
    <row r="17">
      <c r="A17" s="28" t="inlineStr">
        <is>
          <t>LatAm basket (eq-wgt, n=6)</t>
        </is>
      </c>
      <c r="D17" s="36">
        <f>IFERROR(AVERAGE(D11,D12,D13,D14,D15,D16),"")</f>
        <v/>
      </c>
      <c r="E17" s="36">
        <f>IFERROR(AVERAGE(E11,E12,E13,E14,E15,E16),"")</f>
        <v/>
      </c>
      <c r="F17" s="36">
        <f>IFERROR(AVERAGE(F11,F12,F13,F14,F15,F16),"")</f>
        <v/>
      </c>
      <c r="G17" s="36">
        <f>IFERROR(AVERAGE(G11,G12,G13,G14,G15,G16),"")</f>
        <v/>
      </c>
      <c r="H17" s="36">
        <f>IFERROR(AVERAGE(H11,H12,H13,H14,H15,H16),"")</f>
        <v/>
      </c>
      <c r="I17" s="36">
        <f>IFERROR(AVERAGE(I11,I12,I13,I14,I15,I16),"")</f>
        <v/>
      </c>
      <c r="J17" s="36">
        <f>IFERROR(AVERAGE(J11,J12,J13,J14,J15,J16),"")</f>
        <v/>
      </c>
      <c r="K17" s="36">
        <f>IFERROR(AVERAGE(K11,K12,K13,K14,K15,K16),"")</f>
        <v/>
      </c>
      <c r="L17" s="36">
        <f>IFERROR(AVERAGE(L11,L12,L13,L14,L15,L16),"")</f>
        <v/>
      </c>
      <c r="M17" s="36">
        <f>IFERROR(AVERAGE(M11,M12,M13,M14,M15,M16),"")</f>
        <v/>
      </c>
      <c r="N17" s="36">
        <f>IFERROR(F17-F7,"")</f>
        <v/>
      </c>
      <c r="O17" s="36">
        <f>IFERROR(L17-L7,"")</f>
        <v/>
      </c>
    </row>
    <row r="18">
      <c r="A18" s="10">
        <f>IFERROR("LatAm: "&amp;TEXT($F$17,"+0.0%;-0.0%")&amp;" in USD on the month ("&amp;TEXT($D$17,"+0.0%;-0.0%")&amp;" local, "&amp;TEXT($E$17,"+0.0%;-0.0%")&amp;" FX), "&amp;TEXT($L$17,"+0.0%;-0.0%")&amp;" YTD, "&amp;TEXT($N$17,"+0.0%;-0.0%")&amp;" vs MSCI World. "&amp;IF($E$17&lt;-0.005,"The currency is taxing the equity story here.",IF($E$17&gt;0.005,"The currency is adding to it.","The currency is neutral; this is an earnings and multiple story, not an FX one.")),"")</f>
        <v/>
      </c>
    </row>
    <row r="20" ht="16" customHeight="1">
      <c r="A20" s="33" t="inlineStr">
        <is>
          <t>EM EUROPE</t>
        </is>
      </c>
      <c r="B20" s="34" t="n"/>
      <c r="C20" s="34" t="n"/>
      <c r="D20" s="34" t="n"/>
      <c r="E20" s="34" t="n"/>
      <c r="F20" s="34" t="n"/>
      <c r="G20" s="34" t="n"/>
      <c r="H20" s="34" t="n"/>
      <c r="I20" s="34" t="n"/>
      <c r="J20" s="34" t="n"/>
      <c r="K20" s="34" t="n"/>
      <c r="L20" s="34" t="n"/>
      <c r="M20" s="34" t="n"/>
      <c r="N20" s="34" t="n"/>
      <c r="O20" s="34" t="n"/>
    </row>
    <row r="21" ht="30" customHeight="1">
      <c r="A21" s="18" t="inlineStr">
        <is>
          <t>Index</t>
        </is>
      </c>
      <c r="B21" s="18" t="inlineStr">
        <is>
          <t>Ccy</t>
        </is>
      </c>
      <c r="C21" s="18" t="inlineStr">
        <is>
          <t>Level</t>
        </is>
      </c>
      <c r="D21" s="18" t="inlineStr">
        <is>
          <t>1M local</t>
        </is>
      </c>
      <c r="E21" s="18" t="inlineStr">
        <is>
          <t>1M FX</t>
        </is>
      </c>
      <c r="F21" s="18" t="inlineStr">
        <is>
          <t>1M USD</t>
        </is>
      </c>
      <c r="G21" s="18" t="inlineStr">
        <is>
          <t>3M local</t>
        </is>
      </c>
      <c r="H21" s="18" t="inlineStr">
        <is>
          <t>3M FX</t>
        </is>
      </c>
      <c r="I21" s="18" t="inlineStr">
        <is>
          <t>3M USD</t>
        </is>
      </c>
      <c r="J21" s="18" t="inlineStr">
        <is>
          <t>YTD local</t>
        </is>
      </c>
      <c r="K21" s="18" t="inlineStr">
        <is>
          <t>YTD FX</t>
        </is>
      </c>
      <c r="L21" s="18" t="inlineStr">
        <is>
          <t>YTD USD</t>
        </is>
      </c>
      <c r="M21" s="18" t="inlineStr">
        <is>
          <t>1Y USD</t>
        </is>
      </c>
      <c r="N21" s="18" t="inlineStr">
        <is>
          <t>vs World 1M</t>
        </is>
      </c>
      <c r="O21" s="18" t="inlineStr">
        <is>
          <t>vs World YTD</t>
        </is>
      </c>
    </row>
    <row r="22">
      <c r="A22" s="8" t="inlineStr">
        <is>
          <t>Poland WIG</t>
        </is>
      </c>
      <c r="B22" s="19" t="inlineStr">
        <is>
          <t>PLN</t>
        </is>
      </c>
      <c r="C22" s="23">
        <f>INDEX(HIST_D!$BH$8:$BH$2617,1)</f>
        <v/>
      </c>
      <c r="D22" s="24">
        <f>IFERROR(INDEX(HIST_D!$BH$8:$BH$2617,1)/INDEX(HIST_D!$BH$8:$BH$2617,Control!$F$8)-1,"")</f>
        <v/>
      </c>
      <c r="E22" s="24">
        <f>IFERROR(INDEX(HIST_D!$AG$8:$AG$2617,Control!$F$8)/INDEX(HIST_D!$AG$8:$AG$2617,1)-1,"")</f>
        <v/>
      </c>
      <c r="F22" s="36">
        <f>IFERROR((1+D22)*(1+E22)-1,"")</f>
        <v/>
      </c>
      <c r="G22" s="24">
        <f>IFERROR(INDEX(HIST_D!$BH$8:$BH$2617,1)/INDEX(HIST_D!$BH$8:$BH$2617,Control!$F$9)-1,"")</f>
        <v/>
      </c>
      <c r="H22" s="24">
        <f>IFERROR(INDEX(HIST_D!$AG$8:$AG$2617,Control!$F$9)/INDEX(HIST_D!$AG$8:$AG$2617,1)-1,"")</f>
        <v/>
      </c>
      <c r="I22" s="36">
        <f>IFERROR((1+G22)*(1+H22)-1,"")</f>
        <v/>
      </c>
      <c r="J22" s="24">
        <f>IFERROR(INDEX(HIST_D!$BH$8:$BH$2617,1)/INDEX(HIST_D!$BH$8:$BH$2617,Control!$F$16)-1,"")</f>
        <v/>
      </c>
      <c r="K22" s="24">
        <f>IFERROR(INDEX(HIST_D!$AG$8:$AG$2617,Control!$F$16)/INDEX(HIST_D!$AG$8:$AG$2617,1)-1,"")</f>
        <v/>
      </c>
      <c r="L22" s="36">
        <f>IFERROR((1+J22)*(1+K22)-1,"")</f>
        <v/>
      </c>
      <c r="M22" s="24">
        <f>IFERROR((1+IFERROR(INDEX(HIST_D!$BH$8:$BH$2617,1)/INDEX(HIST_D!$BH$8:$BH$2617,Control!$F$11)-1,""))*(1+IFERROR(INDEX(HIST_D!$AG$8:$AG$2617,Control!$F$11)/INDEX(HIST_D!$AG$8:$AG$2617,1)-1,""))-1,"")</f>
        <v/>
      </c>
      <c r="N22" s="24">
        <f>IFERROR(F22-F7,"")</f>
        <v/>
      </c>
      <c r="O22" s="24">
        <f>IFERROR(L22-L7,"")</f>
        <v/>
      </c>
    </row>
    <row r="23">
      <c r="A23" s="8" t="inlineStr">
        <is>
          <t>Hungary BUX</t>
        </is>
      </c>
      <c r="B23" s="19" t="inlineStr">
        <is>
          <t>HUF</t>
        </is>
      </c>
      <c r="C23" s="23">
        <f>INDEX(HIST_D!$BI$8:$BI$2617,1)</f>
        <v/>
      </c>
      <c r="D23" s="24">
        <f>IFERROR(INDEX(HIST_D!$BI$8:$BI$2617,1)/INDEX(HIST_D!$BI$8:$BI$2617,Control!$F$8)-1,"")</f>
        <v/>
      </c>
      <c r="E23" s="24">
        <f>IFERROR(INDEX(HIST_D!$AH$8:$AH$2617,Control!$F$8)/INDEX(HIST_D!$AH$8:$AH$2617,1)-1,"")</f>
        <v/>
      </c>
      <c r="F23" s="36">
        <f>IFERROR((1+D23)*(1+E23)-1,"")</f>
        <v/>
      </c>
      <c r="G23" s="24">
        <f>IFERROR(INDEX(HIST_D!$BI$8:$BI$2617,1)/INDEX(HIST_D!$BI$8:$BI$2617,Control!$F$9)-1,"")</f>
        <v/>
      </c>
      <c r="H23" s="24">
        <f>IFERROR(INDEX(HIST_D!$AH$8:$AH$2617,Control!$F$9)/INDEX(HIST_D!$AH$8:$AH$2617,1)-1,"")</f>
        <v/>
      </c>
      <c r="I23" s="36">
        <f>IFERROR((1+G23)*(1+H23)-1,"")</f>
        <v/>
      </c>
      <c r="J23" s="24">
        <f>IFERROR(INDEX(HIST_D!$BI$8:$BI$2617,1)/INDEX(HIST_D!$BI$8:$BI$2617,Control!$F$16)-1,"")</f>
        <v/>
      </c>
      <c r="K23" s="24">
        <f>IFERROR(INDEX(HIST_D!$AH$8:$AH$2617,Control!$F$16)/INDEX(HIST_D!$AH$8:$AH$2617,1)-1,"")</f>
        <v/>
      </c>
      <c r="L23" s="36">
        <f>IFERROR((1+J23)*(1+K23)-1,"")</f>
        <v/>
      </c>
      <c r="M23" s="24">
        <f>IFERROR((1+IFERROR(INDEX(HIST_D!$BI$8:$BI$2617,1)/INDEX(HIST_D!$BI$8:$BI$2617,Control!$F$11)-1,""))*(1+IFERROR(INDEX(HIST_D!$AH$8:$AH$2617,Control!$F$11)/INDEX(HIST_D!$AH$8:$AH$2617,1)-1,""))-1,"")</f>
        <v/>
      </c>
      <c r="N23" s="24">
        <f>IFERROR(F23-F7,"")</f>
        <v/>
      </c>
      <c r="O23" s="24">
        <f>IFERROR(L23-L7,"")</f>
        <v/>
      </c>
    </row>
    <row r="24">
      <c r="A24" s="8" t="inlineStr">
        <is>
          <t>Czechia PX</t>
        </is>
      </c>
      <c r="B24" s="19" t="inlineStr">
        <is>
          <t>CZK</t>
        </is>
      </c>
      <c r="C24" s="23">
        <f>INDEX(HIST_D!$BJ$8:$BJ$2617,1)</f>
        <v/>
      </c>
      <c r="D24" s="24">
        <f>IFERROR(INDEX(HIST_D!$BJ$8:$BJ$2617,1)/INDEX(HIST_D!$BJ$8:$BJ$2617,Control!$F$8)-1,"")</f>
        <v/>
      </c>
      <c r="E24" s="24">
        <f>IFERROR(INDEX(HIST_D!$AI$8:$AI$2617,Control!$F$8)/INDEX(HIST_D!$AI$8:$AI$2617,1)-1,"")</f>
        <v/>
      </c>
      <c r="F24" s="36">
        <f>IFERROR((1+D24)*(1+E24)-1,"")</f>
        <v/>
      </c>
      <c r="G24" s="24">
        <f>IFERROR(INDEX(HIST_D!$BJ$8:$BJ$2617,1)/INDEX(HIST_D!$BJ$8:$BJ$2617,Control!$F$9)-1,"")</f>
        <v/>
      </c>
      <c r="H24" s="24">
        <f>IFERROR(INDEX(HIST_D!$AI$8:$AI$2617,Control!$F$9)/INDEX(HIST_D!$AI$8:$AI$2617,1)-1,"")</f>
        <v/>
      </c>
      <c r="I24" s="36">
        <f>IFERROR((1+G24)*(1+H24)-1,"")</f>
        <v/>
      </c>
      <c r="J24" s="24">
        <f>IFERROR(INDEX(HIST_D!$BJ$8:$BJ$2617,1)/INDEX(HIST_D!$BJ$8:$BJ$2617,Control!$F$16)-1,"")</f>
        <v/>
      </c>
      <c r="K24" s="24">
        <f>IFERROR(INDEX(HIST_D!$AI$8:$AI$2617,Control!$F$16)/INDEX(HIST_D!$AI$8:$AI$2617,1)-1,"")</f>
        <v/>
      </c>
      <c r="L24" s="36">
        <f>IFERROR((1+J24)*(1+K24)-1,"")</f>
        <v/>
      </c>
      <c r="M24" s="24">
        <f>IFERROR((1+IFERROR(INDEX(HIST_D!$BJ$8:$BJ$2617,1)/INDEX(HIST_D!$BJ$8:$BJ$2617,Control!$F$11)-1,""))*(1+IFERROR(INDEX(HIST_D!$AI$8:$AI$2617,Control!$F$11)/INDEX(HIST_D!$AI$8:$AI$2617,1)-1,""))-1,"")</f>
        <v/>
      </c>
      <c r="N24" s="24">
        <f>IFERROR(F24-F7,"")</f>
        <v/>
      </c>
      <c r="O24" s="24">
        <f>IFERROR(L24-L7,"")</f>
        <v/>
      </c>
    </row>
    <row r="25">
      <c r="A25" s="8" t="inlineStr">
        <is>
          <t>Romania BET</t>
        </is>
      </c>
      <c r="B25" s="19" t="inlineStr">
        <is>
          <t>RON</t>
        </is>
      </c>
      <c r="C25" s="23">
        <f>INDEX(HIST_D!$BK$8:$BK$2617,1)</f>
        <v/>
      </c>
      <c r="D25" s="24">
        <f>IFERROR(INDEX(HIST_D!$BK$8:$BK$2617,1)/INDEX(HIST_D!$BK$8:$BK$2617,Control!$F$8)-1,"")</f>
        <v/>
      </c>
      <c r="E25" s="24">
        <f>IFERROR(INDEX(HIST_D!$AJ$8:$AJ$2617,Control!$F$8)/INDEX(HIST_D!$AJ$8:$AJ$2617,1)-1,"")</f>
        <v/>
      </c>
      <c r="F25" s="36">
        <f>IFERROR((1+D25)*(1+E25)-1,"")</f>
        <v/>
      </c>
      <c r="G25" s="24">
        <f>IFERROR(INDEX(HIST_D!$BK$8:$BK$2617,1)/INDEX(HIST_D!$BK$8:$BK$2617,Control!$F$9)-1,"")</f>
        <v/>
      </c>
      <c r="H25" s="24">
        <f>IFERROR(INDEX(HIST_D!$AJ$8:$AJ$2617,Control!$F$9)/INDEX(HIST_D!$AJ$8:$AJ$2617,1)-1,"")</f>
        <v/>
      </c>
      <c r="I25" s="36">
        <f>IFERROR((1+G25)*(1+H25)-1,"")</f>
        <v/>
      </c>
      <c r="J25" s="24">
        <f>IFERROR(INDEX(HIST_D!$BK$8:$BK$2617,1)/INDEX(HIST_D!$BK$8:$BK$2617,Control!$F$16)-1,"")</f>
        <v/>
      </c>
      <c r="K25" s="24">
        <f>IFERROR(INDEX(HIST_D!$AJ$8:$AJ$2617,Control!$F$16)/INDEX(HIST_D!$AJ$8:$AJ$2617,1)-1,"")</f>
        <v/>
      </c>
      <c r="L25" s="36">
        <f>IFERROR((1+J25)*(1+K25)-1,"")</f>
        <v/>
      </c>
      <c r="M25" s="24">
        <f>IFERROR((1+IFERROR(INDEX(HIST_D!$BK$8:$BK$2617,1)/INDEX(HIST_D!$BK$8:$BK$2617,Control!$F$11)-1,""))*(1+IFERROR(INDEX(HIST_D!$AJ$8:$AJ$2617,Control!$F$11)/INDEX(HIST_D!$AJ$8:$AJ$2617,1)-1,""))-1,"")</f>
        <v/>
      </c>
      <c r="N25" s="24">
        <f>IFERROR(F25-F7,"")</f>
        <v/>
      </c>
      <c r="O25" s="24">
        <f>IFERROR(L25-L7,"")</f>
        <v/>
      </c>
    </row>
    <row r="26">
      <c r="A26" s="8" t="inlineStr">
        <is>
          <t>Turkiye BIST 100</t>
        </is>
      </c>
      <c r="B26" s="19" t="inlineStr">
        <is>
          <t>TRY</t>
        </is>
      </c>
      <c r="C26" s="23">
        <f>INDEX(HIST_D!$BL$8:$BL$2617,1)</f>
        <v/>
      </c>
      <c r="D26" s="24">
        <f>IFERROR(INDEX(HIST_D!$BL$8:$BL$2617,1)/INDEX(HIST_D!$BL$8:$BL$2617,Control!$F$8)-1,"")</f>
        <v/>
      </c>
      <c r="E26" s="24">
        <f>IFERROR(INDEX(HIST_D!$AK$8:$AK$2617,Control!$F$8)/INDEX(HIST_D!$AK$8:$AK$2617,1)-1,"")</f>
        <v/>
      </c>
      <c r="F26" s="36">
        <f>IFERROR((1+D26)*(1+E26)-1,"")</f>
        <v/>
      </c>
      <c r="G26" s="24">
        <f>IFERROR(INDEX(HIST_D!$BL$8:$BL$2617,1)/INDEX(HIST_D!$BL$8:$BL$2617,Control!$F$9)-1,"")</f>
        <v/>
      </c>
      <c r="H26" s="24">
        <f>IFERROR(INDEX(HIST_D!$AK$8:$AK$2617,Control!$F$9)/INDEX(HIST_D!$AK$8:$AK$2617,1)-1,"")</f>
        <v/>
      </c>
      <c r="I26" s="36">
        <f>IFERROR((1+G26)*(1+H26)-1,"")</f>
        <v/>
      </c>
      <c r="J26" s="24">
        <f>IFERROR(INDEX(HIST_D!$BL$8:$BL$2617,1)/INDEX(HIST_D!$BL$8:$BL$2617,Control!$F$16)-1,"")</f>
        <v/>
      </c>
      <c r="K26" s="24">
        <f>IFERROR(INDEX(HIST_D!$AK$8:$AK$2617,Control!$F$16)/INDEX(HIST_D!$AK$8:$AK$2617,1)-1,"")</f>
        <v/>
      </c>
      <c r="L26" s="36">
        <f>IFERROR((1+J26)*(1+K26)-1,"")</f>
        <v/>
      </c>
      <c r="M26" s="24">
        <f>IFERROR((1+IFERROR(INDEX(HIST_D!$BL$8:$BL$2617,1)/INDEX(HIST_D!$BL$8:$BL$2617,Control!$F$11)-1,""))*(1+IFERROR(INDEX(HIST_D!$AK$8:$AK$2617,Control!$F$11)/INDEX(HIST_D!$AK$8:$AK$2617,1)-1,""))-1,"")</f>
        <v/>
      </c>
      <c r="N26" s="24">
        <f>IFERROR(F26-F7,"")</f>
        <v/>
      </c>
      <c r="O26" s="24">
        <f>IFERROR(L26-L7,"")</f>
        <v/>
      </c>
    </row>
    <row r="27">
      <c r="A27" s="28" t="inlineStr">
        <is>
          <t>EM Europe basket (eq-wgt, n=5)</t>
        </is>
      </c>
      <c r="D27" s="36">
        <f>IFERROR(AVERAGE(D22,D23,D24,D25,D26),"")</f>
        <v/>
      </c>
      <c r="E27" s="36">
        <f>IFERROR(AVERAGE(E22,E23,E24,E25,E26),"")</f>
        <v/>
      </c>
      <c r="F27" s="36">
        <f>IFERROR(AVERAGE(F22,F23,F24,F25,F26),"")</f>
        <v/>
      </c>
      <c r="G27" s="36">
        <f>IFERROR(AVERAGE(G22,G23,G24,G25,G26),"")</f>
        <v/>
      </c>
      <c r="H27" s="36">
        <f>IFERROR(AVERAGE(H22,H23,H24,H25,H26),"")</f>
        <v/>
      </c>
      <c r="I27" s="36">
        <f>IFERROR(AVERAGE(I22,I23,I24,I25,I26),"")</f>
        <v/>
      </c>
      <c r="J27" s="36">
        <f>IFERROR(AVERAGE(J22,J23,J24,J25,J26),"")</f>
        <v/>
      </c>
      <c r="K27" s="36">
        <f>IFERROR(AVERAGE(K22,K23,K24,K25,K26),"")</f>
        <v/>
      </c>
      <c r="L27" s="36">
        <f>IFERROR(AVERAGE(L22,L23,L24,L25,L26),"")</f>
        <v/>
      </c>
      <c r="M27" s="36">
        <f>IFERROR(AVERAGE(M22,M23,M24,M25,M26),"")</f>
        <v/>
      </c>
      <c r="N27" s="36">
        <f>IFERROR(F27-F7,"")</f>
        <v/>
      </c>
      <c r="O27" s="36">
        <f>IFERROR(L27-L7,"")</f>
        <v/>
      </c>
    </row>
    <row r="28">
      <c r="A28" s="10">
        <f>IFERROR("EM Europe: "&amp;TEXT($F$27,"+0.0%;-0.0%")&amp;" in USD on the month ("&amp;TEXT($D$27,"+0.0%;-0.0%")&amp;" local, "&amp;TEXT($E$27,"+0.0%;-0.0%")&amp;" FX), "&amp;TEXT($L$27,"+0.0%;-0.0%")&amp;" YTD, "&amp;TEXT($N$27,"+0.0%;-0.0%")&amp;" vs MSCI World. "&amp;IF($E$27&lt;-0.005,"The currency is taxing the equity story here.",IF($E$27&gt;0.005,"The currency is adding to it.","The currency is neutral; this is an earnings and multiple story, not an FX one.")),"")</f>
        <v/>
      </c>
    </row>
    <row r="30" ht="16" customHeight="1">
      <c r="A30" s="33" t="inlineStr">
        <is>
          <t>MIDDLE EAST &amp; AFRICA</t>
        </is>
      </c>
      <c r="B30" s="34" t="n"/>
      <c r="C30" s="34" t="n"/>
      <c r="D30" s="34" t="n"/>
      <c r="E30" s="34" t="n"/>
      <c r="F30" s="34" t="n"/>
      <c r="G30" s="34" t="n"/>
      <c r="H30" s="34" t="n"/>
      <c r="I30" s="34" t="n"/>
      <c r="J30" s="34" t="n"/>
      <c r="K30" s="34" t="n"/>
      <c r="L30" s="34" t="n"/>
      <c r="M30" s="34" t="n"/>
      <c r="N30" s="34" t="n"/>
      <c r="O30" s="34" t="n"/>
    </row>
    <row r="31" ht="30" customHeight="1">
      <c r="A31" s="18" t="inlineStr">
        <is>
          <t>Index</t>
        </is>
      </c>
      <c r="B31" s="18" t="inlineStr">
        <is>
          <t>Ccy</t>
        </is>
      </c>
      <c r="C31" s="18" t="inlineStr">
        <is>
          <t>Level</t>
        </is>
      </c>
      <c r="D31" s="18" t="inlineStr">
        <is>
          <t>1M local</t>
        </is>
      </c>
      <c r="E31" s="18" t="inlineStr">
        <is>
          <t>1M FX</t>
        </is>
      </c>
      <c r="F31" s="18" t="inlineStr">
        <is>
          <t>1M USD</t>
        </is>
      </c>
      <c r="G31" s="18" t="inlineStr">
        <is>
          <t>3M local</t>
        </is>
      </c>
      <c r="H31" s="18" t="inlineStr">
        <is>
          <t>3M FX</t>
        </is>
      </c>
      <c r="I31" s="18" t="inlineStr">
        <is>
          <t>3M USD</t>
        </is>
      </c>
      <c r="J31" s="18" t="inlineStr">
        <is>
          <t>YTD local</t>
        </is>
      </c>
      <c r="K31" s="18" t="inlineStr">
        <is>
          <t>YTD FX</t>
        </is>
      </c>
      <c r="L31" s="18" t="inlineStr">
        <is>
          <t>YTD USD</t>
        </is>
      </c>
      <c r="M31" s="18" t="inlineStr">
        <is>
          <t>1Y USD</t>
        </is>
      </c>
      <c r="N31" s="18" t="inlineStr">
        <is>
          <t>vs World 1M</t>
        </is>
      </c>
      <c r="O31" s="18" t="inlineStr">
        <is>
          <t>vs World YTD</t>
        </is>
      </c>
    </row>
    <row r="32">
      <c r="A32" s="8" t="inlineStr">
        <is>
          <t>Israel TA-35</t>
        </is>
      </c>
      <c r="B32" s="19" t="inlineStr">
        <is>
          <t>ILS</t>
        </is>
      </c>
      <c r="C32" s="23">
        <f>INDEX(HIST_D!$BM$8:$BM$2617,1)</f>
        <v/>
      </c>
      <c r="D32" s="24">
        <f>IFERROR(INDEX(HIST_D!$BM$8:$BM$2617,1)/INDEX(HIST_D!$BM$8:$BM$2617,Control!$F$8)-1,"")</f>
        <v/>
      </c>
      <c r="E32" s="24">
        <f>IFERROR(INDEX(HIST_D!$AL$8:$AL$2617,Control!$F$8)/INDEX(HIST_D!$AL$8:$AL$2617,1)-1,"")</f>
        <v/>
      </c>
      <c r="F32" s="36">
        <f>IFERROR((1+D32)*(1+E32)-1,"")</f>
        <v/>
      </c>
      <c r="G32" s="24">
        <f>IFERROR(INDEX(HIST_D!$BM$8:$BM$2617,1)/INDEX(HIST_D!$BM$8:$BM$2617,Control!$F$9)-1,"")</f>
        <v/>
      </c>
      <c r="H32" s="24">
        <f>IFERROR(INDEX(HIST_D!$AL$8:$AL$2617,Control!$F$9)/INDEX(HIST_D!$AL$8:$AL$2617,1)-1,"")</f>
        <v/>
      </c>
      <c r="I32" s="36">
        <f>IFERROR((1+G32)*(1+H32)-1,"")</f>
        <v/>
      </c>
      <c r="J32" s="24">
        <f>IFERROR(INDEX(HIST_D!$BM$8:$BM$2617,1)/INDEX(HIST_D!$BM$8:$BM$2617,Control!$F$16)-1,"")</f>
        <v/>
      </c>
      <c r="K32" s="24">
        <f>IFERROR(INDEX(HIST_D!$AL$8:$AL$2617,Control!$F$16)/INDEX(HIST_D!$AL$8:$AL$2617,1)-1,"")</f>
        <v/>
      </c>
      <c r="L32" s="36">
        <f>IFERROR((1+J32)*(1+K32)-1,"")</f>
        <v/>
      </c>
      <c r="M32" s="24">
        <f>IFERROR((1+IFERROR(INDEX(HIST_D!$BM$8:$BM$2617,1)/INDEX(HIST_D!$BM$8:$BM$2617,Control!$F$11)-1,""))*(1+IFERROR(INDEX(HIST_D!$AL$8:$AL$2617,Control!$F$11)/INDEX(HIST_D!$AL$8:$AL$2617,1)-1,""))-1,"")</f>
        <v/>
      </c>
      <c r="N32" s="24">
        <f>IFERROR(F32-F7,"")</f>
        <v/>
      </c>
      <c r="O32" s="24">
        <f>IFERROR(L32-L7,"")</f>
        <v/>
      </c>
    </row>
    <row r="33">
      <c r="A33" s="8" t="inlineStr">
        <is>
          <t>South Africa All Share</t>
        </is>
      </c>
      <c r="B33" s="19" t="inlineStr">
        <is>
          <t>ZAR</t>
        </is>
      </c>
      <c r="C33" s="23">
        <f>INDEX(HIST_D!$BN$8:$BN$2617,1)</f>
        <v/>
      </c>
      <c r="D33" s="24">
        <f>IFERROR(INDEX(HIST_D!$BN$8:$BN$2617,1)/INDEX(HIST_D!$BN$8:$BN$2617,Control!$F$8)-1,"")</f>
        <v/>
      </c>
      <c r="E33" s="24">
        <f>IFERROR(INDEX(HIST_D!$AM$8:$AM$2617,Control!$F$8)/INDEX(HIST_D!$AM$8:$AM$2617,1)-1,"")</f>
        <v/>
      </c>
      <c r="F33" s="36">
        <f>IFERROR((1+D33)*(1+E33)-1,"")</f>
        <v/>
      </c>
      <c r="G33" s="24">
        <f>IFERROR(INDEX(HIST_D!$BN$8:$BN$2617,1)/INDEX(HIST_D!$BN$8:$BN$2617,Control!$F$9)-1,"")</f>
        <v/>
      </c>
      <c r="H33" s="24">
        <f>IFERROR(INDEX(HIST_D!$AM$8:$AM$2617,Control!$F$9)/INDEX(HIST_D!$AM$8:$AM$2617,1)-1,"")</f>
        <v/>
      </c>
      <c r="I33" s="36">
        <f>IFERROR((1+G33)*(1+H33)-1,"")</f>
        <v/>
      </c>
      <c r="J33" s="24">
        <f>IFERROR(INDEX(HIST_D!$BN$8:$BN$2617,1)/INDEX(HIST_D!$BN$8:$BN$2617,Control!$F$16)-1,"")</f>
        <v/>
      </c>
      <c r="K33" s="24">
        <f>IFERROR(INDEX(HIST_D!$AM$8:$AM$2617,Control!$F$16)/INDEX(HIST_D!$AM$8:$AM$2617,1)-1,"")</f>
        <v/>
      </c>
      <c r="L33" s="36">
        <f>IFERROR((1+J33)*(1+K33)-1,"")</f>
        <v/>
      </c>
      <c r="M33" s="24">
        <f>IFERROR((1+IFERROR(INDEX(HIST_D!$BN$8:$BN$2617,1)/INDEX(HIST_D!$BN$8:$BN$2617,Control!$F$11)-1,""))*(1+IFERROR(INDEX(HIST_D!$AM$8:$AM$2617,Control!$F$11)/INDEX(HIST_D!$AM$8:$AM$2617,1)-1,""))-1,"")</f>
        <v/>
      </c>
      <c r="N33" s="24">
        <f>IFERROR(F33-F7,"")</f>
        <v/>
      </c>
      <c r="O33" s="24">
        <f>IFERROR(L33-L7,"")</f>
        <v/>
      </c>
    </row>
    <row r="34">
      <c r="A34" s="8" t="inlineStr">
        <is>
          <t>Saudi Tadawul All Share</t>
        </is>
      </c>
      <c r="B34" s="19" t="inlineStr">
        <is>
          <t>SAR</t>
        </is>
      </c>
      <c r="C34" s="23">
        <f>INDEX(HIST_D!$BO$8:$BO$2617,1)</f>
        <v/>
      </c>
      <c r="D34" s="24">
        <f>IFERROR(INDEX(HIST_D!$BO$8:$BO$2617,1)/INDEX(HIST_D!$BO$8:$BO$2617,Control!$F$8)-1,"")</f>
        <v/>
      </c>
      <c r="E34" s="24">
        <f>IFERROR(INDEX(HIST_D!$AO$8:$AO$2617,Control!$F$8)/INDEX(HIST_D!$AO$8:$AO$2617,1)-1,"")</f>
        <v/>
      </c>
      <c r="F34" s="36">
        <f>IFERROR((1+D34)*(1+E34)-1,"")</f>
        <v/>
      </c>
      <c r="G34" s="24">
        <f>IFERROR(INDEX(HIST_D!$BO$8:$BO$2617,1)/INDEX(HIST_D!$BO$8:$BO$2617,Control!$F$9)-1,"")</f>
        <v/>
      </c>
      <c r="H34" s="24">
        <f>IFERROR(INDEX(HIST_D!$AO$8:$AO$2617,Control!$F$9)/INDEX(HIST_D!$AO$8:$AO$2617,1)-1,"")</f>
        <v/>
      </c>
      <c r="I34" s="36">
        <f>IFERROR((1+G34)*(1+H34)-1,"")</f>
        <v/>
      </c>
      <c r="J34" s="24">
        <f>IFERROR(INDEX(HIST_D!$BO$8:$BO$2617,1)/INDEX(HIST_D!$BO$8:$BO$2617,Control!$F$16)-1,"")</f>
        <v/>
      </c>
      <c r="K34" s="24">
        <f>IFERROR(INDEX(HIST_D!$AO$8:$AO$2617,Control!$F$16)/INDEX(HIST_D!$AO$8:$AO$2617,1)-1,"")</f>
        <v/>
      </c>
      <c r="L34" s="36">
        <f>IFERROR((1+J34)*(1+K34)-1,"")</f>
        <v/>
      </c>
      <c r="M34" s="24">
        <f>IFERROR((1+IFERROR(INDEX(HIST_D!$BO$8:$BO$2617,1)/INDEX(HIST_D!$BO$8:$BO$2617,Control!$F$11)-1,""))*(1+IFERROR(INDEX(HIST_D!$AO$8:$AO$2617,Control!$F$11)/INDEX(HIST_D!$AO$8:$AO$2617,1)-1,""))-1,"")</f>
        <v/>
      </c>
      <c r="N34" s="24">
        <f>IFERROR(F34-F7,"")</f>
        <v/>
      </c>
      <c r="O34" s="24">
        <f>IFERROR(L34-L7,"")</f>
        <v/>
      </c>
    </row>
    <row r="35">
      <c r="A35" s="8" t="inlineStr">
        <is>
          <t>Abu Dhabi ADX General</t>
        </is>
      </c>
      <c r="B35" s="19" t="inlineStr">
        <is>
          <t>AED</t>
        </is>
      </c>
      <c r="C35" s="23">
        <f>INDEX(HIST_D!$BP$8:$BP$2617,1)</f>
        <v/>
      </c>
      <c r="D35" s="24">
        <f>IFERROR(INDEX(HIST_D!$BP$8:$BP$2617,1)/INDEX(HIST_D!$BP$8:$BP$2617,Control!$F$8)-1,"")</f>
        <v/>
      </c>
      <c r="E35" s="24">
        <f>IFERROR(INDEX(HIST_D!$AP$8:$AP$2617,Control!$F$8)/INDEX(HIST_D!$AP$8:$AP$2617,1)-1,"")</f>
        <v/>
      </c>
      <c r="F35" s="36">
        <f>IFERROR((1+D35)*(1+E35)-1,"")</f>
        <v/>
      </c>
      <c r="G35" s="24">
        <f>IFERROR(INDEX(HIST_D!$BP$8:$BP$2617,1)/INDEX(HIST_D!$BP$8:$BP$2617,Control!$F$9)-1,"")</f>
        <v/>
      </c>
      <c r="H35" s="24">
        <f>IFERROR(INDEX(HIST_D!$AP$8:$AP$2617,Control!$F$9)/INDEX(HIST_D!$AP$8:$AP$2617,1)-1,"")</f>
        <v/>
      </c>
      <c r="I35" s="36">
        <f>IFERROR((1+G35)*(1+H35)-1,"")</f>
        <v/>
      </c>
      <c r="J35" s="24">
        <f>IFERROR(INDEX(HIST_D!$BP$8:$BP$2617,1)/INDEX(HIST_D!$BP$8:$BP$2617,Control!$F$16)-1,"")</f>
        <v/>
      </c>
      <c r="K35" s="24">
        <f>IFERROR(INDEX(HIST_D!$AP$8:$AP$2617,Control!$F$16)/INDEX(HIST_D!$AP$8:$AP$2617,1)-1,"")</f>
        <v/>
      </c>
      <c r="L35" s="36">
        <f>IFERROR((1+J35)*(1+K35)-1,"")</f>
        <v/>
      </c>
      <c r="M35" s="24">
        <f>IFERROR((1+IFERROR(INDEX(HIST_D!$BP$8:$BP$2617,1)/INDEX(HIST_D!$BP$8:$BP$2617,Control!$F$11)-1,""))*(1+IFERROR(INDEX(HIST_D!$AP$8:$AP$2617,Control!$F$11)/INDEX(HIST_D!$AP$8:$AP$2617,1)-1,""))-1,"")</f>
        <v/>
      </c>
      <c r="N35" s="24">
        <f>IFERROR(F35-F7,"")</f>
        <v/>
      </c>
      <c r="O35" s="24">
        <f>IFERROR(L35-L7,"")</f>
        <v/>
      </c>
    </row>
    <row r="36">
      <c r="A36" s="8" t="inlineStr">
        <is>
          <t>Qatar QE Index</t>
        </is>
      </c>
      <c r="B36" s="19" t="inlineStr">
        <is>
          <t>QAR</t>
        </is>
      </c>
      <c r="C36" s="23">
        <f>INDEX(HIST_D!$BQ$8:$BQ$2617,1)</f>
        <v/>
      </c>
      <c r="D36" s="24">
        <f>IFERROR(INDEX(HIST_D!$BQ$8:$BQ$2617,1)/INDEX(HIST_D!$BQ$8:$BQ$2617,Control!$F$8)-1,"")</f>
        <v/>
      </c>
      <c r="E36" s="24">
        <f>IFERROR(INDEX(HIST_D!$AQ$8:$AQ$2617,Control!$F$8)/INDEX(HIST_D!$AQ$8:$AQ$2617,1)-1,"")</f>
        <v/>
      </c>
      <c r="F36" s="36">
        <f>IFERROR((1+D36)*(1+E36)-1,"")</f>
        <v/>
      </c>
      <c r="G36" s="24">
        <f>IFERROR(INDEX(HIST_D!$BQ$8:$BQ$2617,1)/INDEX(HIST_D!$BQ$8:$BQ$2617,Control!$F$9)-1,"")</f>
        <v/>
      </c>
      <c r="H36" s="24">
        <f>IFERROR(INDEX(HIST_D!$AQ$8:$AQ$2617,Control!$F$9)/INDEX(HIST_D!$AQ$8:$AQ$2617,1)-1,"")</f>
        <v/>
      </c>
      <c r="I36" s="36">
        <f>IFERROR((1+G36)*(1+H36)-1,"")</f>
        <v/>
      </c>
      <c r="J36" s="24">
        <f>IFERROR(INDEX(HIST_D!$BQ$8:$BQ$2617,1)/INDEX(HIST_D!$BQ$8:$BQ$2617,Control!$F$16)-1,"")</f>
        <v/>
      </c>
      <c r="K36" s="24">
        <f>IFERROR(INDEX(HIST_D!$AQ$8:$AQ$2617,Control!$F$16)/INDEX(HIST_D!$AQ$8:$AQ$2617,1)-1,"")</f>
        <v/>
      </c>
      <c r="L36" s="36">
        <f>IFERROR((1+J36)*(1+K36)-1,"")</f>
        <v/>
      </c>
      <c r="M36" s="24">
        <f>IFERROR((1+IFERROR(INDEX(HIST_D!$BQ$8:$BQ$2617,1)/INDEX(HIST_D!$BQ$8:$BQ$2617,Control!$F$11)-1,""))*(1+IFERROR(INDEX(HIST_D!$AQ$8:$AQ$2617,Control!$F$11)/INDEX(HIST_D!$AQ$8:$AQ$2617,1)-1,""))-1,"")</f>
        <v/>
      </c>
      <c r="N36" s="24">
        <f>IFERROR(F36-F7,"")</f>
        <v/>
      </c>
      <c r="O36" s="24">
        <f>IFERROR(L36-L7,"")</f>
        <v/>
      </c>
    </row>
    <row r="37">
      <c r="A37" s="8" t="inlineStr">
        <is>
          <t>Egypt EGX 30</t>
        </is>
      </c>
      <c r="B37" s="19" t="inlineStr">
        <is>
          <t>EGP</t>
        </is>
      </c>
      <c r="C37" s="23">
        <f>INDEX(HIST_D!$BR$8:$BR$2617,1)</f>
        <v/>
      </c>
      <c r="D37" s="24">
        <f>IFERROR(INDEX(HIST_D!$BR$8:$BR$2617,1)/INDEX(HIST_D!$BR$8:$BR$2617,Control!$F$8)-1,"")</f>
        <v/>
      </c>
      <c r="E37" s="24">
        <f>IFERROR(INDEX(HIST_D!$AN$8:$AN$2617,Control!$F$8)/INDEX(HIST_D!$AN$8:$AN$2617,1)-1,"")</f>
        <v/>
      </c>
      <c r="F37" s="36">
        <f>IFERROR((1+D37)*(1+E37)-1,"")</f>
        <v/>
      </c>
      <c r="G37" s="24">
        <f>IFERROR(INDEX(HIST_D!$BR$8:$BR$2617,1)/INDEX(HIST_D!$BR$8:$BR$2617,Control!$F$9)-1,"")</f>
        <v/>
      </c>
      <c r="H37" s="24">
        <f>IFERROR(INDEX(HIST_D!$AN$8:$AN$2617,Control!$F$9)/INDEX(HIST_D!$AN$8:$AN$2617,1)-1,"")</f>
        <v/>
      </c>
      <c r="I37" s="36">
        <f>IFERROR((1+G37)*(1+H37)-1,"")</f>
        <v/>
      </c>
      <c r="J37" s="24">
        <f>IFERROR(INDEX(HIST_D!$BR$8:$BR$2617,1)/INDEX(HIST_D!$BR$8:$BR$2617,Control!$F$16)-1,"")</f>
        <v/>
      </c>
      <c r="K37" s="24">
        <f>IFERROR(INDEX(HIST_D!$AN$8:$AN$2617,Control!$F$16)/INDEX(HIST_D!$AN$8:$AN$2617,1)-1,"")</f>
        <v/>
      </c>
      <c r="L37" s="36">
        <f>IFERROR((1+J37)*(1+K37)-1,"")</f>
        <v/>
      </c>
      <c r="M37" s="24">
        <f>IFERROR((1+IFERROR(INDEX(HIST_D!$BR$8:$BR$2617,1)/INDEX(HIST_D!$BR$8:$BR$2617,Control!$F$11)-1,""))*(1+IFERROR(INDEX(HIST_D!$AN$8:$AN$2617,Control!$F$11)/INDEX(HIST_D!$AN$8:$AN$2617,1)-1,""))-1,"")</f>
        <v/>
      </c>
      <c r="N37" s="24">
        <f>IFERROR(F37-F7,"")</f>
        <v/>
      </c>
      <c r="O37" s="24">
        <f>IFERROR(L37-L7,"")</f>
        <v/>
      </c>
    </row>
    <row r="38">
      <c r="A38" s="28" t="inlineStr">
        <is>
          <t>Middle East &amp; Africa basket (eq-wgt, n=6)</t>
        </is>
      </c>
      <c r="D38" s="36">
        <f>IFERROR(AVERAGE(D32,D33,D34,D35,D36,D37),"")</f>
        <v/>
      </c>
      <c r="E38" s="36">
        <f>IFERROR(AVERAGE(E32,E33,E34,E35,E36,E37),"")</f>
        <v/>
      </c>
      <c r="F38" s="36">
        <f>IFERROR(AVERAGE(F32,F33,F34,F35,F36,F37),"")</f>
        <v/>
      </c>
      <c r="G38" s="36">
        <f>IFERROR(AVERAGE(G32,G33,G34,G35,G36,G37),"")</f>
        <v/>
      </c>
      <c r="H38" s="36">
        <f>IFERROR(AVERAGE(H32,H33,H34,H35,H36,H37),"")</f>
        <v/>
      </c>
      <c r="I38" s="36">
        <f>IFERROR(AVERAGE(I32,I33,I34,I35,I36,I37),"")</f>
        <v/>
      </c>
      <c r="J38" s="36">
        <f>IFERROR(AVERAGE(J32,J33,J34,J35,J36,J37),"")</f>
        <v/>
      </c>
      <c r="K38" s="36">
        <f>IFERROR(AVERAGE(K32,K33,K34,K35,K36,K37),"")</f>
        <v/>
      </c>
      <c r="L38" s="36">
        <f>IFERROR(AVERAGE(L32,L33,L34,L35,L36,L37),"")</f>
        <v/>
      </c>
      <c r="M38" s="36">
        <f>IFERROR(AVERAGE(M32,M33,M34,M35,M36,M37),"")</f>
        <v/>
      </c>
      <c r="N38" s="36">
        <f>IFERROR(F38-F7,"")</f>
        <v/>
      </c>
      <c r="O38" s="36">
        <f>IFERROR(L38-L7,"")</f>
        <v/>
      </c>
    </row>
    <row r="39">
      <c r="A39" s="10">
        <f>IFERROR("Middle East &amp; Africa: "&amp;TEXT($F$38,"+0.0%;-0.0%")&amp;" in USD on the month ("&amp;TEXT($D$38,"+0.0%;-0.0%")&amp;" local, "&amp;TEXT($E$38,"+0.0%;-0.0%")&amp;" FX), "&amp;TEXT($L$38,"+0.0%;-0.0%")&amp;" YTD, "&amp;TEXT($N$38,"+0.0%;-0.0%")&amp;" vs MSCI World. "&amp;IF($E$38&lt;-0.005,"The currency is taxing the equity story here.",IF($E$38&gt;0.005,"The currency is adding to it.","The currency is neutral; this is an earnings and multiple story, not an FX one.")),"")</f>
        <v/>
      </c>
    </row>
    <row r="41" ht="16" customHeight="1">
      <c r="A41" s="33" t="inlineStr">
        <is>
          <t>ASIA</t>
        </is>
      </c>
      <c r="B41" s="34" t="n"/>
      <c r="C41" s="34" t="n"/>
      <c r="D41" s="34" t="n"/>
      <c r="E41" s="34" t="n"/>
      <c r="F41" s="34" t="n"/>
      <c r="G41" s="34" t="n"/>
      <c r="H41" s="34" t="n"/>
      <c r="I41" s="34" t="n"/>
      <c r="J41" s="34" t="n"/>
      <c r="K41" s="34" t="n"/>
      <c r="L41" s="34" t="n"/>
      <c r="M41" s="34" t="n"/>
      <c r="N41" s="34" t="n"/>
      <c r="O41" s="34" t="n"/>
    </row>
    <row r="42" ht="30" customHeight="1">
      <c r="A42" s="18" t="inlineStr">
        <is>
          <t>Index</t>
        </is>
      </c>
      <c r="B42" s="18" t="inlineStr">
        <is>
          <t>Ccy</t>
        </is>
      </c>
      <c r="C42" s="18" t="inlineStr">
        <is>
          <t>Level</t>
        </is>
      </c>
      <c r="D42" s="18" t="inlineStr">
        <is>
          <t>1M local</t>
        </is>
      </c>
      <c r="E42" s="18" t="inlineStr">
        <is>
          <t>1M FX</t>
        </is>
      </c>
      <c r="F42" s="18" t="inlineStr">
        <is>
          <t>1M USD</t>
        </is>
      </c>
      <c r="G42" s="18" t="inlineStr">
        <is>
          <t>3M local</t>
        </is>
      </c>
      <c r="H42" s="18" t="inlineStr">
        <is>
          <t>3M FX</t>
        </is>
      </c>
      <c r="I42" s="18" t="inlineStr">
        <is>
          <t>3M USD</t>
        </is>
      </c>
      <c r="J42" s="18" t="inlineStr">
        <is>
          <t>YTD local</t>
        </is>
      </c>
      <c r="K42" s="18" t="inlineStr">
        <is>
          <t>YTD FX</t>
        </is>
      </c>
      <c r="L42" s="18" t="inlineStr">
        <is>
          <t>YTD USD</t>
        </is>
      </c>
      <c r="M42" s="18" t="inlineStr">
        <is>
          <t>1Y USD</t>
        </is>
      </c>
      <c r="N42" s="18" t="inlineStr">
        <is>
          <t>vs World 1M</t>
        </is>
      </c>
      <c r="O42" s="18" t="inlineStr">
        <is>
          <t>vs World YTD</t>
        </is>
      </c>
    </row>
    <row r="43">
      <c r="A43" s="8" t="inlineStr">
        <is>
          <t>China Shanghai Comp</t>
        </is>
      </c>
      <c r="B43" s="19" t="inlineStr">
        <is>
          <t>CNH</t>
        </is>
      </c>
      <c r="C43" s="23">
        <f>INDEX(HIST_D!$BS$8:$BS$2617,1)</f>
        <v/>
      </c>
      <c r="D43" s="24">
        <f>IFERROR(INDEX(HIST_D!$BS$8:$BS$2617,1)/INDEX(HIST_D!$BS$8:$BS$2617,Control!$F$8)-1,"")</f>
        <v/>
      </c>
      <c r="E43" s="24">
        <f>IFERROR(INDEX(HIST_D!$AR$8:$AR$2617,Control!$F$8)/INDEX(HIST_D!$AR$8:$AR$2617,1)-1,"")</f>
        <v/>
      </c>
      <c r="F43" s="36">
        <f>IFERROR((1+D43)*(1+E43)-1,"")</f>
        <v/>
      </c>
      <c r="G43" s="24">
        <f>IFERROR(INDEX(HIST_D!$BS$8:$BS$2617,1)/INDEX(HIST_D!$BS$8:$BS$2617,Control!$F$9)-1,"")</f>
        <v/>
      </c>
      <c r="H43" s="24">
        <f>IFERROR(INDEX(HIST_D!$AR$8:$AR$2617,Control!$F$9)/INDEX(HIST_D!$AR$8:$AR$2617,1)-1,"")</f>
        <v/>
      </c>
      <c r="I43" s="36">
        <f>IFERROR((1+G43)*(1+H43)-1,"")</f>
        <v/>
      </c>
      <c r="J43" s="24">
        <f>IFERROR(INDEX(HIST_D!$BS$8:$BS$2617,1)/INDEX(HIST_D!$BS$8:$BS$2617,Control!$F$16)-1,"")</f>
        <v/>
      </c>
      <c r="K43" s="24">
        <f>IFERROR(INDEX(HIST_D!$AR$8:$AR$2617,Control!$F$16)/INDEX(HIST_D!$AR$8:$AR$2617,1)-1,"")</f>
        <v/>
      </c>
      <c r="L43" s="36">
        <f>IFERROR((1+J43)*(1+K43)-1,"")</f>
        <v/>
      </c>
      <c r="M43" s="24">
        <f>IFERROR((1+IFERROR(INDEX(HIST_D!$BS$8:$BS$2617,1)/INDEX(HIST_D!$BS$8:$BS$2617,Control!$F$11)-1,""))*(1+IFERROR(INDEX(HIST_D!$AR$8:$AR$2617,Control!$F$11)/INDEX(HIST_D!$AR$8:$AR$2617,1)-1,""))-1,"")</f>
        <v/>
      </c>
      <c r="N43" s="24">
        <f>IFERROR(F43-F7,"")</f>
        <v/>
      </c>
      <c r="O43" s="24">
        <f>IFERROR(L43-L7,"")</f>
        <v/>
      </c>
    </row>
    <row r="44">
      <c r="A44" s="8" t="inlineStr">
        <is>
          <t>Hong Kong Hang Seng</t>
        </is>
      </c>
      <c r="B44" s="19" t="inlineStr">
        <is>
          <t>CNH</t>
        </is>
      </c>
      <c r="C44" s="23">
        <f>INDEX(HIST_D!$BT$8:$BT$2617,1)</f>
        <v/>
      </c>
      <c r="D44" s="24">
        <f>IFERROR(INDEX(HIST_D!$BT$8:$BT$2617,1)/INDEX(HIST_D!$BT$8:$BT$2617,Control!$F$8)-1,"")</f>
        <v/>
      </c>
      <c r="E44" s="24">
        <f>IFERROR(INDEX(HIST_D!$AR$8:$AR$2617,Control!$F$8)/INDEX(HIST_D!$AR$8:$AR$2617,1)-1,"")</f>
        <v/>
      </c>
      <c r="F44" s="36">
        <f>IFERROR((1+D44)*(1+E44)-1,"")</f>
        <v/>
      </c>
      <c r="G44" s="24">
        <f>IFERROR(INDEX(HIST_D!$BT$8:$BT$2617,1)/INDEX(HIST_D!$BT$8:$BT$2617,Control!$F$9)-1,"")</f>
        <v/>
      </c>
      <c r="H44" s="24">
        <f>IFERROR(INDEX(HIST_D!$AR$8:$AR$2617,Control!$F$9)/INDEX(HIST_D!$AR$8:$AR$2617,1)-1,"")</f>
        <v/>
      </c>
      <c r="I44" s="36">
        <f>IFERROR((1+G44)*(1+H44)-1,"")</f>
        <v/>
      </c>
      <c r="J44" s="24">
        <f>IFERROR(INDEX(HIST_D!$BT$8:$BT$2617,1)/INDEX(HIST_D!$BT$8:$BT$2617,Control!$F$16)-1,"")</f>
        <v/>
      </c>
      <c r="K44" s="24">
        <f>IFERROR(INDEX(HIST_D!$AR$8:$AR$2617,Control!$F$16)/INDEX(HIST_D!$AR$8:$AR$2617,1)-1,"")</f>
        <v/>
      </c>
      <c r="L44" s="36">
        <f>IFERROR((1+J44)*(1+K44)-1,"")</f>
        <v/>
      </c>
      <c r="M44" s="24">
        <f>IFERROR((1+IFERROR(INDEX(HIST_D!$BT$8:$BT$2617,1)/INDEX(HIST_D!$BT$8:$BT$2617,Control!$F$11)-1,""))*(1+IFERROR(INDEX(HIST_D!$AR$8:$AR$2617,Control!$F$11)/INDEX(HIST_D!$AR$8:$AR$2617,1)-1,""))-1,"")</f>
        <v/>
      </c>
      <c r="N44" s="24">
        <f>IFERROR(F44-F7,"")</f>
        <v/>
      </c>
      <c r="O44" s="24">
        <f>IFERROR(L44-L7,"")</f>
        <v/>
      </c>
    </row>
    <row r="45">
      <c r="A45" s="8" t="inlineStr">
        <is>
          <t>India Nifty 50</t>
        </is>
      </c>
      <c r="B45" s="19" t="inlineStr">
        <is>
          <t>INR</t>
        </is>
      </c>
      <c r="C45" s="23">
        <f>INDEX(HIST_D!$BU$8:$BU$2617,1)</f>
        <v/>
      </c>
      <c r="D45" s="24">
        <f>IFERROR(INDEX(HIST_D!$BU$8:$BU$2617,1)/INDEX(HIST_D!$BU$8:$BU$2617,Control!$F$8)-1,"")</f>
        <v/>
      </c>
      <c r="E45" s="24">
        <f>IFERROR(INDEX(HIST_D!$AS$8:$AS$2617,Control!$F$8)/INDEX(HIST_D!$AS$8:$AS$2617,1)-1,"")</f>
        <v/>
      </c>
      <c r="F45" s="36">
        <f>IFERROR((1+D45)*(1+E45)-1,"")</f>
        <v/>
      </c>
      <c r="G45" s="24">
        <f>IFERROR(INDEX(HIST_D!$BU$8:$BU$2617,1)/INDEX(HIST_D!$BU$8:$BU$2617,Control!$F$9)-1,"")</f>
        <v/>
      </c>
      <c r="H45" s="24">
        <f>IFERROR(INDEX(HIST_D!$AS$8:$AS$2617,Control!$F$9)/INDEX(HIST_D!$AS$8:$AS$2617,1)-1,"")</f>
        <v/>
      </c>
      <c r="I45" s="36">
        <f>IFERROR((1+G45)*(1+H45)-1,"")</f>
        <v/>
      </c>
      <c r="J45" s="24">
        <f>IFERROR(INDEX(HIST_D!$BU$8:$BU$2617,1)/INDEX(HIST_D!$BU$8:$BU$2617,Control!$F$16)-1,"")</f>
        <v/>
      </c>
      <c r="K45" s="24">
        <f>IFERROR(INDEX(HIST_D!$AS$8:$AS$2617,Control!$F$16)/INDEX(HIST_D!$AS$8:$AS$2617,1)-1,"")</f>
        <v/>
      </c>
      <c r="L45" s="36">
        <f>IFERROR((1+J45)*(1+K45)-1,"")</f>
        <v/>
      </c>
      <c r="M45" s="24">
        <f>IFERROR((1+IFERROR(INDEX(HIST_D!$BU$8:$BU$2617,1)/INDEX(HIST_D!$BU$8:$BU$2617,Control!$F$11)-1,""))*(1+IFERROR(INDEX(HIST_D!$AS$8:$AS$2617,Control!$F$11)/INDEX(HIST_D!$AS$8:$AS$2617,1)-1,""))-1,"")</f>
        <v/>
      </c>
      <c r="N45" s="24">
        <f>IFERROR(F45-F7,"")</f>
        <v/>
      </c>
      <c r="O45" s="24">
        <f>IFERROR(L45-L7,"")</f>
        <v/>
      </c>
    </row>
    <row r="46">
      <c r="A46" s="8" t="inlineStr">
        <is>
          <t>Indonesia JCI</t>
        </is>
      </c>
      <c r="B46" s="19" t="inlineStr">
        <is>
          <t>IDR</t>
        </is>
      </c>
      <c r="C46" s="23">
        <f>INDEX(HIST_D!$BV$8:$BV$2617,1)</f>
        <v/>
      </c>
      <c r="D46" s="24">
        <f>IFERROR(INDEX(HIST_D!$BV$8:$BV$2617,1)/INDEX(HIST_D!$BV$8:$BV$2617,Control!$F$8)-1,"")</f>
        <v/>
      </c>
      <c r="E46" s="24">
        <f>IFERROR(INDEX(HIST_D!$AT$8:$AT$2617,Control!$F$8)/INDEX(HIST_D!$AT$8:$AT$2617,1)-1,"")</f>
        <v/>
      </c>
      <c r="F46" s="36">
        <f>IFERROR((1+D46)*(1+E46)-1,"")</f>
        <v/>
      </c>
      <c r="G46" s="24">
        <f>IFERROR(INDEX(HIST_D!$BV$8:$BV$2617,1)/INDEX(HIST_D!$BV$8:$BV$2617,Control!$F$9)-1,"")</f>
        <v/>
      </c>
      <c r="H46" s="24">
        <f>IFERROR(INDEX(HIST_D!$AT$8:$AT$2617,Control!$F$9)/INDEX(HIST_D!$AT$8:$AT$2617,1)-1,"")</f>
        <v/>
      </c>
      <c r="I46" s="36">
        <f>IFERROR((1+G46)*(1+H46)-1,"")</f>
        <v/>
      </c>
      <c r="J46" s="24">
        <f>IFERROR(INDEX(HIST_D!$BV$8:$BV$2617,1)/INDEX(HIST_D!$BV$8:$BV$2617,Control!$F$16)-1,"")</f>
        <v/>
      </c>
      <c r="K46" s="24">
        <f>IFERROR(INDEX(HIST_D!$AT$8:$AT$2617,Control!$F$16)/INDEX(HIST_D!$AT$8:$AT$2617,1)-1,"")</f>
        <v/>
      </c>
      <c r="L46" s="36">
        <f>IFERROR((1+J46)*(1+K46)-1,"")</f>
        <v/>
      </c>
      <c r="M46" s="24">
        <f>IFERROR((1+IFERROR(INDEX(HIST_D!$BV$8:$BV$2617,1)/INDEX(HIST_D!$BV$8:$BV$2617,Control!$F$11)-1,""))*(1+IFERROR(INDEX(HIST_D!$AT$8:$AT$2617,Control!$F$11)/INDEX(HIST_D!$AT$8:$AT$2617,1)-1,""))-1,"")</f>
        <v/>
      </c>
      <c r="N46" s="24">
        <f>IFERROR(F46-F7,"")</f>
        <v/>
      </c>
      <c r="O46" s="24">
        <f>IFERROR(L46-L7,"")</f>
        <v/>
      </c>
    </row>
    <row r="47">
      <c r="A47" s="8" t="inlineStr">
        <is>
          <t>Korea KOSPI</t>
        </is>
      </c>
      <c r="B47" s="19" t="inlineStr">
        <is>
          <t>KRW</t>
        </is>
      </c>
      <c r="C47" s="23">
        <f>INDEX(HIST_D!$BW$8:$BW$2617,1)</f>
        <v/>
      </c>
      <c r="D47" s="24">
        <f>IFERROR(INDEX(HIST_D!$BW$8:$BW$2617,1)/INDEX(HIST_D!$BW$8:$BW$2617,Control!$F$8)-1,"")</f>
        <v/>
      </c>
      <c r="E47" s="24">
        <f>IFERROR(INDEX(HIST_D!$AU$8:$AU$2617,Control!$F$8)/INDEX(HIST_D!$AU$8:$AU$2617,1)-1,"")</f>
        <v/>
      </c>
      <c r="F47" s="36">
        <f>IFERROR((1+D47)*(1+E47)-1,"")</f>
        <v/>
      </c>
      <c r="G47" s="24">
        <f>IFERROR(INDEX(HIST_D!$BW$8:$BW$2617,1)/INDEX(HIST_D!$BW$8:$BW$2617,Control!$F$9)-1,"")</f>
        <v/>
      </c>
      <c r="H47" s="24">
        <f>IFERROR(INDEX(HIST_D!$AU$8:$AU$2617,Control!$F$9)/INDEX(HIST_D!$AU$8:$AU$2617,1)-1,"")</f>
        <v/>
      </c>
      <c r="I47" s="36">
        <f>IFERROR((1+G47)*(1+H47)-1,"")</f>
        <v/>
      </c>
      <c r="J47" s="24">
        <f>IFERROR(INDEX(HIST_D!$BW$8:$BW$2617,1)/INDEX(HIST_D!$BW$8:$BW$2617,Control!$F$16)-1,"")</f>
        <v/>
      </c>
      <c r="K47" s="24">
        <f>IFERROR(INDEX(HIST_D!$AU$8:$AU$2617,Control!$F$16)/INDEX(HIST_D!$AU$8:$AU$2617,1)-1,"")</f>
        <v/>
      </c>
      <c r="L47" s="36">
        <f>IFERROR((1+J47)*(1+K47)-1,"")</f>
        <v/>
      </c>
      <c r="M47" s="24">
        <f>IFERROR((1+IFERROR(INDEX(HIST_D!$BW$8:$BW$2617,1)/INDEX(HIST_D!$BW$8:$BW$2617,Control!$F$11)-1,""))*(1+IFERROR(INDEX(HIST_D!$AU$8:$AU$2617,Control!$F$11)/INDEX(HIST_D!$AU$8:$AU$2617,1)-1,""))-1,"")</f>
        <v/>
      </c>
      <c r="N47" s="24">
        <f>IFERROR(F47-F7,"")</f>
        <v/>
      </c>
      <c r="O47" s="24">
        <f>IFERROR(L47-L7,"")</f>
        <v/>
      </c>
    </row>
    <row r="48">
      <c r="A48" s="8" t="inlineStr">
        <is>
          <t>Taiwan TAIEX</t>
        </is>
      </c>
      <c r="B48" s="19" t="inlineStr">
        <is>
          <t>TWD</t>
        </is>
      </c>
      <c r="C48" s="23">
        <f>INDEX(HIST_D!$BX$8:$BX$2617,1)</f>
        <v/>
      </c>
      <c r="D48" s="24">
        <f>IFERROR(INDEX(HIST_D!$BX$8:$BX$2617,1)/INDEX(HIST_D!$BX$8:$BX$2617,Control!$F$8)-1,"")</f>
        <v/>
      </c>
      <c r="E48" s="24">
        <f>IFERROR(INDEX(HIST_D!$AV$8:$AV$2617,Control!$F$8)/INDEX(HIST_D!$AV$8:$AV$2617,1)-1,"")</f>
        <v/>
      </c>
      <c r="F48" s="36">
        <f>IFERROR((1+D48)*(1+E48)-1,"")</f>
        <v/>
      </c>
      <c r="G48" s="24">
        <f>IFERROR(INDEX(HIST_D!$BX$8:$BX$2617,1)/INDEX(HIST_D!$BX$8:$BX$2617,Control!$F$9)-1,"")</f>
        <v/>
      </c>
      <c r="H48" s="24">
        <f>IFERROR(INDEX(HIST_D!$AV$8:$AV$2617,Control!$F$9)/INDEX(HIST_D!$AV$8:$AV$2617,1)-1,"")</f>
        <v/>
      </c>
      <c r="I48" s="36">
        <f>IFERROR((1+G48)*(1+H48)-1,"")</f>
        <v/>
      </c>
      <c r="J48" s="24">
        <f>IFERROR(INDEX(HIST_D!$BX$8:$BX$2617,1)/INDEX(HIST_D!$BX$8:$BX$2617,Control!$F$16)-1,"")</f>
        <v/>
      </c>
      <c r="K48" s="24">
        <f>IFERROR(INDEX(HIST_D!$AV$8:$AV$2617,Control!$F$16)/INDEX(HIST_D!$AV$8:$AV$2617,1)-1,"")</f>
        <v/>
      </c>
      <c r="L48" s="36">
        <f>IFERROR((1+J48)*(1+K48)-1,"")</f>
        <v/>
      </c>
      <c r="M48" s="24">
        <f>IFERROR((1+IFERROR(INDEX(HIST_D!$BX$8:$BX$2617,1)/INDEX(HIST_D!$BX$8:$BX$2617,Control!$F$11)-1,""))*(1+IFERROR(INDEX(HIST_D!$AV$8:$AV$2617,Control!$F$11)/INDEX(HIST_D!$AV$8:$AV$2617,1)-1,""))-1,"")</f>
        <v/>
      </c>
      <c r="N48" s="24">
        <f>IFERROR(F48-F7,"")</f>
        <v/>
      </c>
      <c r="O48" s="24">
        <f>IFERROR(L48-L7,"")</f>
        <v/>
      </c>
    </row>
    <row r="49">
      <c r="A49" s="8" t="inlineStr">
        <is>
          <t>Thailand SET</t>
        </is>
      </c>
      <c r="B49" s="19" t="inlineStr">
        <is>
          <t>THB</t>
        </is>
      </c>
      <c r="C49" s="23">
        <f>INDEX(HIST_D!$BY$8:$BY$2617,1)</f>
        <v/>
      </c>
      <c r="D49" s="24">
        <f>IFERROR(INDEX(HIST_D!$BY$8:$BY$2617,1)/INDEX(HIST_D!$BY$8:$BY$2617,Control!$F$8)-1,"")</f>
        <v/>
      </c>
      <c r="E49" s="24">
        <f>IFERROR(INDEX(HIST_D!$AW$8:$AW$2617,Control!$F$8)/INDEX(HIST_D!$AW$8:$AW$2617,1)-1,"")</f>
        <v/>
      </c>
      <c r="F49" s="36">
        <f>IFERROR((1+D49)*(1+E49)-1,"")</f>
        <v/>
      </c>
      <c r="G49" s="24">
        <f>IFERROR(INDEX(HIST_D!$BY$8:$BY$2617,1)/INDEX(HIST_D!$BY$8:$BY$2617,Control!$F$9)-1,"")</f>
        <v/>
      </c>
      <c r="H49" s="24">
        <f>IFERROR(INDEX(HIST_D!$AW$8:$AW$2617,Control!$F$9)/INDEX(HIST_D!$AW$8:$AW$2617,1)-1,"")</f>
        <v/>
      </c>
      <c r="I49" s="36">
        <f>IFERROR((1+G49)*(1+H49)-1,"")</f>
        <v/>
      </c>
      <c r="J49" s="24">
        <f>IFERROR(INDEX(HIST_D!$BY$8:$BY$2617,1)/INDEX(HIST_D!$BY$8:$BY$2617,Control!$F$16)-1,"")</f>
        <v/>
      </c>
      <c r="K49" s="24">
        <f>IFERROR(INDEX(HIST_D!$AW$8:$AW$2617,Control!$F$16)/INDEX(HIST_D!$AW$8:$AW$2617,1)-1,"")</f>
        <v/>
      </c>
      <c r="L49" s="36">
        <f>IFERROR((1+J49)*(1+K49)-1,"")</f>
        <v/>
      </c>
      <c r="M49" s="24">
        <f>IFERROR((1+IFERROR(INDEX(HIST_D!$BY$8:$BY$2617,1)/INDEX(HIST_D!$BY$8:$BY$2617,Control!$F$11)-1,""))*(1+IFERROR(INDEX(HIST_D!$AW$8:$AW$2617,Control!$F$11)/INDEX(HIST_D!$AW$8:$AW$2617,1)-1,""))-1,"")</f>
        <v/>
      </c>
      <c r="N49" s="24">
        <f>IFERROR(F49-F7,"")</f>
        <v/>
      </c>
      <c r="O49" s="24">
        <f>IFERROR(L49-L7,"")</f>
        <v/>
      </c>
    </row>
    <row r="50">
      <c r="A50" s="8" t="inlineStr">
        <is>
          <t>Philippines PSEi</t>
        </is>
      </c>
      <c r="B50" s="19" t="inlineStr">
        <is>
          <t>PHP</t>
        </is>
      </c>
      <c r="C50" s="23">
        <f>INDEX(HIST_D!$BZ$8:$BZ$2617,1)</f>
        <v/>
      </c>
      <c r="D50" s="24">
        <f>IFERROR(INDEX(HIST_D!$BZ$8:$BZ$2617,1)/INDEX(HIST_D!$BZ$8:$BZ$2617,Control!$F$8)-1,"")</f>
        <v/>
      </c>
      <c r="E50" s="24">
        <f>IFERROR(INDEX(HIST_D!$AX$8:$AX$2617,Control!$F$8)/INDEX(HIST_D!$AX$8:$AX$2617,1)-1,"")</f>
        <v/>
      </c>
      <c r="F50" s="36">
        <f>IFERROR((1+D50)*(1+E50)-1,"")</f>
        <v/>
      </c>
      <c r="G50" s="24">
        <f>IFERROR(INDEX(HIST_D!$BZ$8:$BZ$2617,1)/INDEX(HIST_D!$BZ$8:$BZ$2617,Control!$F$9)-1,"")</f>
        <v/>
      </c>
      <c r="H50" s="24">
        <f>IFERROR(INDEX(HIST_D!$AX$8:$AX$2617,Control!$F$9)/INDEX(HIST_D!$AX$8:$AX$2617,1)-1,"")</f>
        <v/>
      </c>
      <c r="I50" s="36">
        <f>IFERROR((1+G50)*(1+H50)-1,"")</f>
        <v/>
      </c>
      <c r="J50" s="24">
        <f>IFERROR(INDEX(HIST_D!$BZ$8:$BZ$2617,1)/INDEX(HIST_D!$BZ$8:$BZ$2617,Control!$F$16)-1,"")</f>
        <v/>
      </c>
      <c r="K50" s="24">
        <f>IFERROR(INDEX(HIST_D!$AX$8:$AX$2617,Control!$F$16)/INDEX(HIST_D!$AX$8:$AX$2617,1)-1,"")</f>
        <v/>
      </c>
      <c r="L50" s="36">
        <f>IFERROR((1+J50)*(1+K50)-1,"")</f>
        <v/>
      </c>
      <c r="M50" s="24">
        <f>IFERROR((1+IFERROR(INDEX(HIST_D!$BZ$8:$BZ$2617,1)/INDEX(HIST_D!$BZ$8:$BZ$2617,Control!$F$11)-1,""))*(1+IFERROR(INDEX(HIST_D!$AX$8:$AX$2617,Control!$F$11)/INDEX(HIST_D!$AX$8:$AX$2617,1)-1,""))-1,"")</f>
        <v/>
      </c>
      <c r="N50" s="24">
        <f>IFERROR(F50-F7,"")</f>
        <v/>
      </c>
      <c r="O50" s="24">
        <f>IFERROR(L50-L7,"")</f>
        <v/>
      </c>
    </row>
    <row r="51">
      <c r="A51" s="8" t="inlineStr">
        <is>
          <t>Malaysia KLCI</t>
        </is>
      </c>
      <c r="B51" s="19" t="inlineStr">
        <is>
          <t>MYR</t>
        </is>
      </c>
      <c r="C51" s="23">
        <f>INDEX(HIST_D!$CA$8:$CA$2617,1)</f>
        <v/>
      </c>
      <c r="D51" s="24">
        <f>IFERROR(INDEX(HIST_D!$CA$8:$CA$2617,1)/INDEX(HIST_D!$CA$8:$CA$2617,Control!$F$8)-1,"")</f>
        <v/>
      </c>
      <c r="E51" s="24">
        <f>IFERROR(INDEX(HIST_D!$AY$8:$AY$2617,Control!$F$8)/INDEX(HIST_D!$AY$8:$AY$2617,1)-1,"")</f>
        <v/>
      </c>
      <c r="F51" s="36">
        <f>IFERROR((1+D51)*(1+E51)-1,"")</f>
        <v/>
      </c>
      <c r="G51" s="24">
        <f>IFERROR(INDEX(HIST_D!$CA$8:$CA$2617,1)/INDEX(HIST_D!$CA$8:$CA$2617,Control!$F$9)-1,"")</f>
        <v/>
      </c>
      <c r="H51" s="24">
        <f>IFERROR(INDEX(HIST_D!$AY$8:$AY$2617,Control!$F$9)/INDEX(HIST_D!$AY$8:$AY$2617,1)-1,"")</f>
        <v/>
      </c>
      <c r="I51" s="36">
        <f>IFERROR((1+G51)*(1+H51)-1,"")</f>
        <v/>
      </c>
      <c r="J51" s="24">
        <f>IFERROR(INDEX(HIST_D!$CA$8:$CA$2617,1)/INDEX(HIST_D!$CA$8:$CA$2617,Control!$F$16)-1,"")</f>
        <v/>
      </c>
      <c r="K51" s="24">
        <f>IFERROR(INDEX(HIST_D!$AY$8:$AY$2617,Control!$F$16)/INDEX(HIST_D!$AY$8:$AY$2617,1)-1,"")</f>
        <v/>
      </c>
      <c r="L51" s="36">
        <f>IFERROR((1+J51)*(1+K51)-1,"")</f>
        <v/>
      </c>
      <c r="M51" s="24">
        <f>IFERROR((1+IFERROR(INDEX(HIST_D!$CA$8:$CA$2617,1)/INDEX(HIST_D!$CA$8:$CA$2617,Control!$F$11)-1,""))*(1+IFERROR(INDEX(HIST_D!$AY$8:$AY$2617,Control!$F$11)/INDEX(HIST_D!$AY$8:$AY$2617,1)-1,""))-1,"")</f>
        <v/>
      </c>
      <c r="N51" s="24">
        <f>IFERROR(F51-F7,"")</f>
        <v/>
      </c>
      <c r="O51" s="24">
        <f>IFERROR(L51-L7,"")</f>
        <v/>
      </c>
    </row>
    <row r="52">
      <c r="A52" s="28" t="inlineStr">
        <is>
          <t>Asia basket (eq-wgt, n=9)</t>
        </is>
      </c>
      <c r="D52" s="36">
        <f>IFERROR(AVERAGE(D43,D44,D45,D46,D47,D48,D49,D50,D51),"")</f>
        <v/>
      </c>
      <c r="E52" s="36">
        <f>IFERROR(AVERAGE(E43,E44,E45,E46,E47,E48,E49,E50,E51),"")</f>
        <v/>
      </c>
      <c r="F52" s="36">
        <f>IFERROR(AVERAGE(F43,F44,F45,F46,F47,F48,F49,F50,F51),"")</f>
        <v/>
      </c>
      <c r="G52" s="36">
        <f>IFERROR(AVERAGE(G43,G44,G45,G46,G47,G48,G49,G50,G51),"")</f>
        <v/>
      </c>
      <c r="H52" s="36">
        <f>IFERROR(AVERAGE(H43,H44,H45,H46,H47,H48,H49,H50,H51),"")</f>
        <v/>
      </c>
      <c r="I52" s="36">
        <f>IFERROR(AVERAGE(I43,I44,I45,I46,I47,I48,I49,I50,I51),"")</f>
        <v/>
      </c>
      <c r="J52" s="36">
        <f>IFERROR(AVERAGE(J43,J44,J45,J46,J47,J48,J49,J50,J51),"")</f>
        <v/>
      </c>
      <c r="K52" s="36">
        <f>IFERROR(AVERAGE(K43,K44,K45,K46,K47,K48,K49,K50,K51),"")</f>
        <v/>
      </c>
      <c r="L52" s="36">
        <f>IFERROR(AVERAGE(L43,L44,L45,L46,L47,L48,L49,L50,L51),"")</f>
        <v/>
      </c>
      <c r="M52" s="36">
        <f>IFERROR(AVERAGE(M43,M44,M45,M46,M47,M48,M49,M50,M51),"")</f>
        <v/>
      </c>
      <c r="N52" s="36">
        <f>IFERROR(F52-F7,"")</f>
        <v/>
      </c>
      <c r="O52" s="36">
        <f>IFERROR(L52-L7,"")</f>
        <v/>
      </c>
    </row>
    <row r="53">
      <c r="A53" s="10">
        <f>IFERROR("Asia: "&amp;TEXT($F$52,"+0.0%;-0.0%")&amp;" in USD on the month ("&amp;TEXT($D$52,"+0.0%;-0.0%")&amp;" local, "&amp;TEXT($E$52,"+0.0%;-0.0%")&amp;" FX), "&amp;TEXT($L$52,"+0.0%;-0.0%")&amp;" YTD, "&amp;TEXT($N$52,"+0.0%;-0.0%")&amp;" vs MSCI World. "&amp;IF($E$52&lt;-0.005,"The currency is taxing the equity story here.",IF($E$52&gt;0.005,"The currency is adding to it.","The currency is neutral; this is an earnings and multiple story, not an FX one.")),"")</f>
        <v/>
      </c>
    </row>
    <row r="55" ht="18" customHeight="1">
      <c r="A55" s="3" t="inlineStr">
        <is>
          <t>COMMENT  —  EQUITIES</t>
        </is>
      </c>
      <c r="B55" s="4" t="n"/>
      <c r="C55" s="4" t="n"/>
      <c r="D55" s="4" t="n"/>
      <c r="E55" s="4" t="n"/>
      <c r="F55" s="4" t="n"/>
      <c r="G55" s="4" t="n"/>
      <c r="H55" s="4" t="n"/>
      <c r="I55" s="4" t="n"/>
      <c r="J55" s="4" t="n"/>
      <c r="K55" s="4" t="n"/>
      <c r="L55" s="4" t="n"/>
      <c r="M55" s="4" t="n"/>
      <c r="N55" s="4" t="n"/>
      <c r="O55" s="4" t="n"/>
    </row>
    <row r="56">
      <c r="A56" s="6">
        <f>IFERROR("EM equities: MSCI EM "&amp;TEXT($F$6,"+0.0%;-0.0%")&amp;" on the month and "&amp;TEXT($L$6,"+0.0%;-0.0%")&amp;" YTD in USD, against MSCI World at "&amp;TEXT($F$7,"+0.0%;-0.0%")&amp;" and "&amp;TEXT($L$7,"+0.0%;-0.0%")&amp;". "&amp;IF($L$6&gt;$L$7,"EM is ahead of DM year-to-date, which is the part of the story that does not depend on the rates call — it is earnings, and it is concentrated in the semiconductor complex.","EM is behind DM year-to-date; the rates backdrop is doing more damage to the equity leg than to credit.")&amp;" The regional dispersion below is wider than the aggregate suggests, and the FX column is where most of it sits.","")</f>
        <v/>
      </c>
    </row>
    <row r="58">
      <c r="A58" s="10" t="inlineStr">
        <is>
          <t>An equity index is not rate-sensitive the way a long-duration credit index is. If EM equity is firm while EM credit is soft, that is a duration result, not a risk-appetite result — and it is corroborating evidence, not a separate argument.</t>
        </is>
      </c>
    </row>
  </sheetData>
  <conditionalFormatting sqref="N6:O52">
    <cfRule type="colorScale" priority="1">
      <colorScale>
        <cfvo type="num" val="-0.08"/>
        <cfvo type="num" val="0"/>
        <cfvo type="num" val="0.08"/>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3"/>
  <sheetViews>
    <sheetView showGridLines="0" workbookViewId="0">
      <selection activeCell="A1" sqref="A1"/>
    </sheetView>
  </sheetViews>
  <sheetFormatPr baseColWidth="8" defaultRowHeight="15"/>
  <cols>
    <col width="34" customWidth="1" min="1" max="1"/>
    <col width="7" customWidth="1" min="2" max="2"/>
    <col width="1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c r="A1" s="1" t="inlineStr">
        <is>
          <t>EM USD CREDIT  —  spread leg and rates leg, never netted</t>
        </is>
      </c>
    </row>
    <row r="2">
      <c r="A2" s="2" t="inlineStr">
        <is>
          <t>Total return comes straight from the total-return sub-indices. The decomposition below is shown leg by leg with the residual left visible; it is not a substitute for the index return and is not netted into a single number anywhere.</t>
        </is>
      </c>
    </row>
    <row r="4" ht="18" customHeight="1">
      <c r="A4" s="3" t="inlineStr">
        <is>
          <t>SPREADS</t>
        </is>
      </c>
      <c r="B4" s="4" t="n"/>
      <c r="C4" s="4" t="n"/>
      <c r="D4" s="4" t="n"/>
      <c r="E4" s="4" t="n"/>
      <c r="F4" s="4" t="n"/>
      <c r="G4" s="4" t="n"/>
      <c r="H4" s="4" t="n"/>
      <c r="I4" s="4" t="n"/>
      <c r="J4" s="4" t="n"/>
      <c r="K4" s="4" t="n"/>
      <c r="L4" s="4" t="n"/>
      <c r="M4" s="4" t="n"/>
      <c r="N4" s="4" t="n"/>
      <c r="O4" s="4" t="n"/>
      <c r="P4" s="4" t="n"/>
    </row>
    <row r="5" ht="30" customHeight="1">
      <c r="A5" s="18" t="inlineStr">
        <is>
          <t>Series</t>
        </is>
      </c>
      <c r="B5" s="18" t="inlineStr">
        <is>
          <t>Unit</t>
        </is>
      </c>
      <c r="C5" s="18" t="inlineStr">
        <is>
          <t>Level</t>
        </is>
      </c>
      <c r="D5" s="18" t="inlineStr">
        <is>
          <t>1D</t>
        </is>
      </c>
      <c r="E5" s="18" t="inlineStr">
        <is>
          <t>1W</t>
        </is>
      </c>
      <c r="F5" s="18" t="inlineStr">
        <is>
          <t>1M</t>
        </is>
      </c>
      <c r="G5" s="18" t="inlineStr">
        <is>
          <t>3M</t>
        </is>
      </c>
      <c r="H5" s="18" t="inlineStr">
        <is>
          <t>6M</t>
        </is>
      </c>
      <c r="I5" s="18" t="inlineStr">
        <is>
          <t>YTD</t>
        </is>
      </c>
      <c r="J5" s="18" t="inlineStr">
        <is>
          <t>1Y</t>
        </is>
      </c>
      <c r="K5" s="18" t="inlineStr">
        <is>
          <t>1y min</t>
        </is>
      </c>
      <c r="L5" s="18" t="inlineStr">
        <is>
          <t>1y max</t>
        </is>
      </c>
      <c r="M5" s="18" t="inlineStr">
        <is>
          <t>%ile 1y</t>
        </is>
      </c>
      <c r="N5" s="18" t="inlineStr">
        <is>
          <t>%ile 3y</t>
        </is>
      </c>
      <c r="O5" s="18" t="inlineStr">
        <is>
          <t>%ile 5y</t>
        </is>
      </c>
      <c r="P5" s="18" t="inlineStr">
        <is>
          <t>z (5y)</t>
        </is>
      </c>
    </row>
    <row r="6">
      <c r="A6" s="8" t="inlineStr">
        <is>
          <t>EM USD Aggregate OAS</t>
        </is>
      </c>
      <c r="B6" s="19" t="inlineStr">
        <is>
          <t>bp</t>
        </is>
      </c>
      <c r="C6" s="27">
        <f>INDEX(HIST_D!$Q$8:$Q$2617,1)</f>
        <v/>
      </c>
      <c r="D6" s="21">
        <f>IFERROR(INDEX(HIST_D!$Q$8:$Q$2617,1)-INDEX(HIST_D!$Q$8:$Q$2617,Control!$F$6),"")</f>
        <v/>
      </c>
      <c r="E6" s="21">
        <f>IFERROR(INDEX(HIST_D!$Q$8:$Q$2617,1)-INDEX(HIST_D!$Q$8:$Q$2617,Control!$F$7),"")</f>
        <v/>
      </c>
      <c r="F6" s="21">
        <f>IFERROR(INDEX(HIST_D!$Q$8:$Q$2617,1)-INDEX(HIST_D!$Q$8:$Q$2617,Control!$F$8),"")</f>
        <v/>
      </c>
      <c r="G6" s="21">
        <f>IFERROR(INDEX(HIST_D!$Q$8:$Q$2617,1)-INDEX(HIST_D!$Q$8:$Q$2617,Control!$F$9),"")</f>
        <v/>
      </c>
      <c r="H6" s="21">
        <f>IFERROR(INDEX(HIST_D!$Q$8:$Q$2617,1)-INDEX(HIST_D!$Q$8:$Q$2617,Control!$F$10),"")</f>
        <v/>
      </c>
      <c r="I6" s="21">
        <f>IFERROR(INDEX(HIST_D!$Q$8:$Q$2617,1)-INDEX(HIST_D!$Q$8:$Q$2617,Control!$F$16),"")</f>
        <v/>
      </c>
      <c r="J6" s="21">
        <f>IFERROR(INDEX(HIST_D!$Q$8:$Q$2617,1)-INDEX(HIST_D!$Q$8:$Q$2617,Control!$F$11),"")</f>
        <v/>
      </c>
      <c r="K6" s="41">
        <f>IFERROR(MIN(HIST_D!$Q$8:INDEX(HIST_D!$Q$8:$Q$2617,Control!$F$11)),"")</f>
        <v/>
      </c>
      <c r="L6" s="41">
        <f>IFERROR(MAX(HIST_D!$Q$8:INDEX(HIST_D!$Q$8:$Q$2617,Control!$F$11)),"")</f>
        <v/>
      </c>
      <c r="M6" s="22">
        <f>IFERROR(PERCENTRANK(HIST_D!$Q$8:INDEX(HIST_D!$Q$8:$Q$2617,Control!$F$11),INDEX(HIST_D!$Q$8:$Q$2617,1)),"")</f>
        <v/>
      </c>
      <c r="N6" s="22">
        <f>IFERROR(PERCENTRANK(HIST_D!$Q$8:INDEX(HIST_D!$Q$8:$Q$2617,Control!$F$13),INDEX(HIST_D!$Q$8:$Q$2617,1)),"")</f>
        <v/>
      </c>
      <c r="O6" s="22">
        <f>IFERROR(PERCENTRANK(HIST_D!$Q$8:INDEX(HIST_D!$Q$8:$Q$2617,Control!$F$14),INDEX(HIST_D!$Q$8:$Q$2617,1)),"")</f>
        <v/>
      </c>
      <c r="P6" s="42">
        <f>IFERROR((INDEX(HIST_D!$Q$8:$Q$2617,1)-AVERAGE(HIST_D!$Q$8:INDEX(HIST_D!$Q$8:$Q$2617,Control!$F$14)))/STDEV(HIST_D!$Q$8:INDEX(HIST_D!$Q$8:$Q$2617,Control!$F$14)),"")</f>
        <v/>
      </c>
    </row>
    <row r="7">
      <c r="A7" s="8" t="inlineStr">
        <is>
          <t>EM USD Sovereign OAS</t>
        </is>
      </c>
      <c r="B7" s="19" t="inlineStr">
        <is>
          <t>bp</t>
        </is>
      </c>
      <c r="C7" s="27">
        <f>INDEX(HIST_D!$S$8:$S$2617,1)</f>
        <v/>
      </c>
      <c r="D7" s="21">
        <f>IFERROR(INDEX(HIST_D!$S$8:$S$2617,1)-INDEX(HIST_D!$S$8:$S$2617,Control!$F$6),"")</f>
        <v/>
      </c>
      <c r="E7" s="21">
        <f>IFERROR(INDEX(HIST_D!$S$8:$S$2617,1)-INDEX(HIST_D!$S$8:$S$2617,Control!$F$7),"")</f>
        <v/>
      </c>
      <c r="F7" s="21">
        <f>IFERROR(INDEX(HIST_D!$S$8:$S$2617,1)-INDEX(HIST_D!$S$8:$S$2617,Control!$F$8),"")</f>
        <v/>
      </c>
      <c r="G7" s="21">
        <f>IFERROR(INDEX(HIST_D!$S$8:$S$2617,1)-INDEX(HIST_D!$S$8:$S$2617,Control!$F$9),"")</f>
        <v/>
      </c>
      <c r="H7" s="21">
        <f>IFERROR(INDEX(HIST_D!$S$8:$S$2617,1)-INDEX(HIST_D!$S$8:$S$2617,Control!$F$10),"")</f>
        <v/>
      </c>
      <c r="I7" s="21">
        <f>IFERROR(INDEX(HIST_D!$S$8:$S$2617,1)-INDEX(HIST_D!$S$8:$S$2617,Control!$F$16),"")</f>
        <v/>
      </c>
      <c r="J7" s="21">
        <f>IFERROR(INDEX(HIST_D!$S$8:$S$2617,1)-INDEX(HIST_D!$S$8:$S$2617,Control!$F$11),"")</f>
        <v/>
      </c>
      <c r="K7" s="41">
        <f>IFERROR(MIN(HIST_D!$S$8:INDEX(HIST_D!$S$8:$S$2617,Control!$F$11)),"")</f>
        <v/>
      </c>
      <c r="L7" s="41">
        <f>IFERROR(MAX(HIST_D!$S$8:INDEX(HIST_D!$S$8:$S$2617,Control!$F$11)),"")</f>
        <v/>
      </c>
      <c r="M7" s="22">
        <f>IFERROR(PERCENTRANK(HIST_D!$S$8:INDEX(HIST_D!$S$8:$S$2617,Control!$F$11),INDEX(HIST_D!$S$8:$S$2617,1)),"")</f>
        <v/>
      </c>
      <c r="N7" s="22">
        <f>IFERROR(PERCENTRANK(HIST_D!$S$8:INDEX(HIST_D!$S$8:$S$2617,Control!$F$13),INDEX(HIST_D!$S$8:$S$2617,1)),"")</f>
        <v/>
      </c>
      <c r="O7" s="22">
        <f>IFERROR(PERCENTRANK(HIST_D!$S$8:INDEX(HIST_D!$S$8:$S$2617,Control!$F$14),INDEX(HIST_D!$S$8:$S$2617,1)),"")</f>
        <v/>
      </c>
      <c r="P7" s="42">
        <f>IFERROR((INDEX(HIST_D!$S$8:$S$2617,1)-AVERAGE(HIST_D!$S$8:INDEX(HIST_D!$S$8:$S$2617,Control!$F$14)))/STDEV(HIST_D!$S$8:INDEX(HIST_D!$S$8:$S$2617,Control!$F$14)),"")</f>
        <v/>
      </c>
    </row>
    <row r="8">
      <c r="A8" s="8" t="inlineStr">
        <is>
          <t>CDX EM 5Y</t>
        </is>
      </c>
      <c r="B8" s="19" t="inlineStr">
        <is>
          <t>bp</t>
        </is>
      </c>
      <c r="C8" s="27">
        <f>INDEX(HIST_D!$W$8:$W$2617,1)</f>
        <v/>
      </c>
      <c r="D8" s="21">
        <f>IFERROR(INDEX(HIST_D!$W$8:$W$2617,1)-INDEX(HIST_D!$W$8:$W$2617,Control!$F$6),"")</f>
        <v/>
      </c>
      <c r="E8" s="21">
        <f>IFERROR(INDEX(HIST_D!$W$8:$W$2617,1)-INDEX(HIST_D!$W$8:$W$2617,Control!$F$7),"")</f>
        <v/>
      </c>
      <c r="F8" s="21">
        <f>IFERROR(INDEX(HIST_D!$W$8:$W$2617,1)-INDEX(HIST_D!$W$8:$W$2617,Control!$F$8),"")</f>
        <v/>
      </c>
      <c r="G8" s="21">
        <f>IFERROR(INDEX(HIST_D!$W$8:$W$2617,1)-INDEX(HIST_D!$W$8:$W$2617,Control!$F$9),"")</f>
        <v/>
      </c>
      <c r="H8" s="21">
        <f>IFERROR(INDEX(HIST_D!$W$8:$W$2617,1)-INDEX(HIST_D!$W$8:$W$2617,Control!$F$10),"")</f>
        <v/>
      </c>
      <c r="I8" s="21">
        <f>IFERROR(INDEX(HIST_D!$W$8:$W$2617,1)-INDEX(HIST_D!$W$8:$W$2617,Control!$F$16),"")</f>
        <v/>
      </c>
      <c r="J8" s="21">
        <f>IFERROR(INDEX(HIST_D!$W$8:$W$2617,1)-INDEX(HIST_D!$W$8:$W$2617,Control!$F$11),"")</f>
        <v/>
      </c>
      <c r="K8" s="41">
        <f>IFERROR(MIN(HIST_D!$W$8:INDEX(HIST_D!$W$8:$W$2617,Control!$F$11)),"")</f>
        <v/>
      </c>
      <c r="L8" s="41">
        <f>IFERROR(MAX(HIST_D!$W$8:INDEX(HIST_D!$W$8:$W$2617,Control!$F$11)),"")</f>
        <v/>
      </c>
      <c r="M8" s="22">
        <f>IFERROR(PERCENTRANK(HIST_D!$W$8:INDEX(HIST_D!$W$8:$W$2617,Control!$F$11),INDEX(HIST_D!$W$8:$W$2617,1)),"")</f>
        <v/>
      </c>
      <c r="N8" s="22">
        <f>IFERROR(PERCENTRANK(HIST_D!$W$8:INDEX(HIST_D!$W$8:$W$2617,Control!$F$13),INDEX(HIST_D!$W$8:$W$2617,1)),"")</f>
        <v/>
      </c>
      <c r="O8" s="22">
        <f>IFERROR(PERCENTRANK(HIST_D!$W$8:INDEX(HIST_D!$W$8:$W$2617,Control!$F$14),INDEX(HIST_D!$W$8:$W$2617,1)),"")</f>
        <v/>
      </c>
      <c r="P8" s="42">
        <f>IFERROR((INDEX(HIST_D!$W$8:$W$2617,1)-AVERAGE(HIST_D!$W$8:INDEX(HIST_D!$W$8:$W$2617,Control!$F$14)))/STDEV(HIST_D!$W$8:INDEX(HIST_D!$W$8:$W$2617,Control!$F$14)),"")</f>
        <v/>
      </c>
    </row>
    <row r="9">
      <c r="A9" s="8" t="inlineStr">
        <is>
          <t>US IG OAS</t>
        </is>
      </c>
      <c r="B9" s="19" t="inlineStr">
        <is>
          <t>bp</t>
        </is>
      </c>
      <c r="C9" s="27">
        <f>INDEX(HIST_D!$O$8:$O$2617,1)</f>
        <v/>
      </c>
      <c r="D9" s="21">
        <f>IFERROR(INDEX(HIST_D!$O$8:$O$2617,1)-INDEX(HIST_D!$O$8:$O$2617,Control!$F$6),"")</f>
        <v/>
      </c>
      <c r="E9" s="21">
        <f>IFERROR(INDEX(HIST_D!$O$8:$O$2617,1)-INDEX(HIST_D!$O$8:$O$2617,Control!$F$7),"")</f>
        <v/>
      </c>
      <c r="F9" s="21">
        <f>IFERROR(INDEX(HIST_D!$O$8:$O$2617,1)-INDEX(HIST_D!$O$8:$O$2617,Control!$F$8),"")</f>
        <v/>
      </c>
      <c r="G9" s="21">
        <f>IFERROR(INDEX(HIST_D!$O$8:$O$2617,1)-INDEX(HIST_D!$O$8:$O$2617,Control!$F$9),"")</f>
        <v/>
      </c>
      <c r="H9" s="21">
        <f>IFERROR(INDEX(HIST_D!$O$8:$O$2617,1)-INDEX(HIST_D!$O$8:$O$2617,Control!$F$10),"")</f>
        <v/>
      </c>
      <c r="I9" s="21">
        <f>IFERROR(INDEX(HIST_D!$O$8:$O$2617,1)-INDEX(HIST_D!$O$8:$O$2617,Control!$F$16),"")</f>
        <v/>
      </c>
      <c r="J9" s="21">
        <f>IFERROR(INDEX(HIST_D!$O$8:$O$2617,1)-INDEX(HIST_D!$O$8:$O$2617,Control!$F$11),"")</f>
        <v/>
      </c>
      <c r="K9" s="41">
        <f>IFERROR(MIN(HIST_D!$O$8:INDEX(HIST_D!$O$8:$O$2617,Control!$F$11)),"")</f>
        <v/>
      </c>
      <c r="L9" s="41">
        <f>IFERROR(MAX(HIST_D!$O$8:INDEX(HIST_D!$O$8:$O$2617,Control!$F$11)),"")</f>
        <v/>
      </c>
      <c r="M9" s="22">
        <f>IFERROR(PERCENTRANK(HIST_D!$O$8:INDEX(HIST_D!$O$8:$O$2617,Control!$F$11),INDEX(HIST_D!$O$8:$O$2617,1)),"")</f>
        <v/>
      </c>
      <c r="N9" s="22">
        <f>IFERROR(PERCENTRANK(HIST_D!$O$8:INDEX(HIST_D!$O$8:$O$2617,Control!$F$13),INDEX(HIST_D!$O$8:$O$2617,1)),"")</f>
        <v/>
      </c>
      <c r="O9" s="22">
        <f>IFERROR(PERCENTRANK(HIST_D!$O$8:INDEX(HIST_D!$O$8:$O$2617,Control!$F$14),INDEX(HIST_D!$O$8:$O$2617,1)),"")</f>
        <v/>
      </c>
      <c r="P9" s="42">
        <f>IFERROR((INDEX(HIST_D!$O$8:$O$2617,1)-AVERAGE(HIST_D!$O$8:INDEX(HIST_D!$O$8:$O$2617,Control!$F$14)))/STDEV(HIST_D!$O$8:INDEX(HIST_D!$O$8:$O$2617,Control!$F$14)),"")</f>
        <v/>
      </c>
    </row>
    <row r="10">
      <c r="A10" s="8" t="inlineStr">
        <is>
          <t>US HY OAS</t>
        </is>
      </c>
      <c r="B10" s="19" t="inlineStr">
        <is>
          <t>bp</t>
        </is>
      </c>
      <c r="C10" s="27">
        <f>INDEX(HIST_D!$P$8:$P$2617,1)</f>
        <v/>
      </c>
      <c r="D10" s="21">
        <f>IFERROR(INDEX(HIST_D!$P$8:$P$2617,1)-INDEX(HIST_D!$P$8:$P$2617,Control!$F$6),"")</f>
        <v/>
      </c>
      <c r="E10" s="21">
        <f>IFERROR(INDEX(HIST_D!$P$8:$P$2617,1)-INDEX(HIST_D!$P$8:$P$2617,Control!$F$7),"")</f>
        <v/>
      </c>
      <c r="F10" s="21">
        <f>IFERROR(INDEX(HIST_D!$P$8:$P$2617,1)-INDEX(HIST_D!$P$8:$P$2617,Control!$F$8),"")</f>
        <v/>
      </c>
      <c r="G10" s="21">
        <f>IFERROR(INDEX(HIST_D!$P$8:$P$2617,1)-INDEX(HIST_D!$P$8:$P$2617,Control!$F$9),"")</f>
        <v/>
      </c>
      <c r="H10" s="21">
        <f>IFERROR(INDEX(HIST_D!$P$8:$P$2617,1)-INDEX(HIST_D!$P$8:$P$2617,Control!$F$10),"")</f>
        <v/>
      </c>
      <c r="I10" s="21">
        <f>IFERROR(INDEX(HIST_D!$P$8:$P$2617,1)-INDEX(HIST_D!$P$8:$P$2617,Control!$F$16),"")</f>
        <v/>
      </c>
      <c r="J10" s="21">
        <f>IFERROR(INDEX(HIST_D!$P$8:$P$2617,1)-INDEX(HIST_D!$P$8:$P$2617,Control!$F$11),"")</f>
        <v/>
      </c>
      <c r="K10" s="41">
        <f>IFERROR(MIN(HIST_D!$P$8:INDEX(HIST_D!$P$8:$P$2617,Control!$F$11)),"")</f>
        <v/>
      </c>
      <c r="L10" s="41">
        <f>IFERROR(MAX(HIST_D!$P$8:INDEX(HIST_D!$P$8:$P$2617,Control!$F$11)),"")</f>
        <v/>
      </c>
      <c r="M10" s="22">
        <f>IFERROR(PERCENTRANK(HIST_D!$P$8:INDEX(HIST_D!$P$8:$P$2617,Control!$F$11),INDEX(HIST_D!$P$8:$P$2617,1)),"")</f>
        <v/>
      </c>
      <c r="N10" s="22">
        <f>IFERROR(PERCENTRANK(HIST_D!$P$8:INDEX(HIST_D!$P$8:$P$2617,Control!$F$13),INDEX(HIST_D!$P$8:$P$2617,1)),"")</f>
        <v/>
      </c>
      <c r="O10" s="22">
        <f>IFERROR(PERCENTRANK(HIST_D!$P$8:INDEX(HIST_D!$P$8:$P$2617,Control!$F$14),INDEX(HIST_D!$P$8:$P$2617,1)),"")</f>
        <v/>
      </c>
      <c r="P10" s="42">
        <f>IFERROR((INDEX(HIST_D!$P$8:$P$2617,1)-AVERAGE(HIST_D!$P$8:INDEX(HIST_D!$P$8:$P$2617,Control!$F$14)))/STDEV(HIST_D!$P$8:INDEX(HIST_D!$P$8:$P$2617,Control!$F$14)),"")</f>
        <v/>
      </c>
    </row>
    <row r="11">
      <c r="A11" s="8" t="inlineStr">
        <is>
          <t>EM USD Agg OAS less US IG</t>
        </is>
      </c>
      <c r="B11" s="19" t="inlineStr">
        <is>
          <t>bp</t>
        </is>
      </c>
      <c r="C11" s="27">
        <f>INDEX(HIST_D!$EB$8:$EB$2617,1)</f>
        <v/>
      </c>
      <c r="D11" s="21">
        <f>IFERROR(INDEX(HIST_D!$EB$8:$EB$2617,1)-INDEX(HIST_D!$EB$8:$EB$2617,Control!$F$6),"")</f>
        <v/>
      </c>
      <c r="E11" s="21">
        <f>IFERROR(INDEX(HIST_D!$EB$8:$EB$2617,1)-INDEX(HIST_D!$EB$8:$EB$2617,Control!$F$7),"")</f>
        <v/>
      </c>
      <c r="F11" s="21">
        <f>IFERROR(INDEX(HIST_D!$EB$8:$EB$2617,1)-INDEX(HIST_D!$EB$8:$EB$2617,Control!$F$8),"")</f>
        <v/>
      </c>
      <c r="G11" s="21">
        <f>IFERROR(INDEX(HIST_D!$EB$8:$EB$2617,1)-INDEX(HIST_D!$EB$8:$EB$2617,Control!$F$9),"")</f>
        <v/>
      </c>
      <c r="H11" s="21">
        <f>IFERROR(INDEX(HIST_D!$EB$8:$EB$2617,1)-INDEX(HIST_D!$EB$8:$EB$2617,Control!$F$10),"")</f>
        <v/>
      </c>
      <c r="I11" s="21">
        <f>IFERROR(INDEX(HIST_D!$EB$8:$EB$2617,1)-INDEX(HIST_D!$EB$8:$EB$2617,Control!$F$16),"")</f>
        <v/>
      </c>
      <c r="J11" s="21">
        <f>IFERROR(INDEX(HIST_D!$EB$8:$EB$2617,1)-INDEX(HIST_D!$EB$8:$EB$2617,Control!$F$11),"")</f>
        <v/>
      </c>
      <c r="K11" s="41">
        <f>IFERROR(MIN(HIST_D!$EB$8:INDEX(HIST_D!$EB$8:$EB$2617,Control!$F$11)),"")</f>
        <v/>
      </c>
      <c r="L11" s="41">
        <f>IFERROR(MAX(HIST_D!$EB$8:INDEX(HIST_D!$EB$8:$EB$2617,Control!$F$11)),"")</f>
        <v/>
      </c>
      <c r="M11" s="22">
        <f>IFERROR(PERCENTRANK(HIST_D!$EB$8:INDEX(HIST_D!$EB$8:$EB$2617,Control!$F$11),INDEX(HIST_D!$EB$8:$EB$2617,1)),"")</f>
        <v/>
      </c>
      <c r="N11" s="22">
        <f>IFERROR(PERCENTRANK(HIST_D!$EB$8:INDEX(HIST_D!$EB$8:$EB$2617,Control!$F$13),INDEX(HIST_D!$EB$8:$EB$2617,1)),"")</f>
        <v/>
      </c>
      <c r="O11" s="22">
        <f>IFERROR(PERCENTRANK(HIST_D!$EB$8:INDEX(HIST_D!$EB$8:$EB$2617,Control!$F$14),INDEX(HIST_D!$EB$8:$EB$2617,1)),"")</f>
        <v/>
      </c>
      <c r="P11" s="42">
        <f>IFERROR((INDEX(HIST_D!$EB$8:$EB$2617,1)-AVERAGE(HIST_D!$EB$8:INDEX(HIST_D!$EB$8:$EB$2617,Control!$F$14)))/STDEV(HIST_D!$EB$8:INDEX(HIST_D!$EB$8:$EB$2617,Control!$F$14)),"")</f>
        <v/>
      </c>
    </row>
    <row r="12">
      <c r="A12" s="8" t="inlineStr">
        <is>
          <t>EM / US HY OAS ratio</t>
        </is>
      </c>
      <c r="B12" s="19" t="inlineStr">
        <is>
          <t>x</t>
        </is>
      </c>
      <c r="C12" s="31">
        <f>INDEX(HIST_D!$EC$8:$EC$2617,1)</f>
        <v/>
      </c>
      <c r="D12" s="38">
        <f>IFERROR(INDEX(HIST_D!$EC$8:$EC$2617,1)-INDEX(HIST_D!$EC$8:$EC$2617,Control!$F$6),"")</f>
        <v/>
      </c>
      <c r="E12" s="38">
        <f>IFERROR(INDEX(HIST_D!$EC$8:$EC$2617,1)-INDEX(HIST_D!$EC$8:$EC$2617,Control!$F$7),"")</f>
        <v/>
      </c>
      <c r="F12" s="38">
        <f>IFERROR(INDEX(HIST_D!$EC$8:$EC$2617,1)-INDEX(HIST_D!$EC$8:$EC$2617,Control!$F$8),"")</f>
        <v/>
      </c>
      <c r="G12" s="38">
        <f>IFERROR(INDEX(HIST_D!$EC$8:$EC$2617,1)-INDEX(HIST_D!$EC$8:$EC$2617,Control!$F$9),"")</f>
        <v/>
      </c>
      <c r="H12" s="38">
        <f>IFERROR(INDEX(HIST_D!$EC$8:$EC$2617,1)-INDEX(HIST_D!$EC$8:$EC$2617,Control!$F$10),"")</f>
        <v/>
      </c>
      <c r="I12" s="38">
        <f>IFERROR(INDEX(HIST_D!$EC$8:$EC$2617,1)-INDEX(HIST_D!$EC$8:$EC$2617,Control!$F$16),"")</f>
        <v/>
      </c>
      <c r="J12" s="38">
        <f>IFERROR(INDEX(HIST_D!$EC$8:$EC$2617,1)-INDEX(HIST_D!$EC$8:$EC$2617,Control!$F$11),"")</f>
        <v/>
      </c>
      <c r="K12" s="43">
        <f>IFERROR(MIN(HIST_D!$EC$8:INDEX(HIST_D!$EC$8:$EC$2617,Control!$F$11)),"")</f>
        <v/>
      </c>
      <c r="L12" s="43">
        <f>IFERROR(MAX(HIST_D!$EC$8:INDEX(HIST_D!$EC$8:$EC$2617,Control!$F$11)),"")</f>
        <v/>
      </c>
      <c r="M12" s="22">
        <f>IFERROR(PERCENTRANK(HIST_D!$EC$8:INDEX(HIST_D!$EC$8:$EC$2617,Control!$F$11),INDEX(HIST_D!$EC$8:$EC$2617,1)),"")</f>
        <v/>
      </c>
      <c r="N12" s="22">
        <f>IFERROR(PERCENTRANK(HIST_D!$EC$8:INDEX(HIST_D!$EC$8:$EC$2617,Control!$F$13),INDEX(HIST_D!$EC$8:$EC$2617,1)),"")</f>
        <v/>
      </c>
      <c r="O12" s="22">
        <f>IFERROR(PERCENTRANK(HIST_D!$EC$8:INDEX(HIST_D!$EC$8:$EC$2617,Control!$F$14),INDEX(HIST_D!$EC$8:$EC$2617,1)),"")</f>
        <v/>
      </c>
      <c r="P12" s="42">
        <f>IFERROR((INDEX(HIST_D!$EC$8:$EC$2617,1)-AVERAGE(HIST_D!$EC$8:INDEX(HIST_D!$EC$8:$EC$2617,Control!$F$14)))/STDEV(HIST_D!$EC$8:INDEX(HIST_D!$EC$8:$EC$2617,Control!$F$14)),"")</f>
        <v/>
      </c>
    </row>
    <row r="13">
      <c r="A13" s="28" t="inlineStr">
        <is>
          <t>EMBIGD stripped spread (embi_tracker.py)</t>
        </is>
      </c>
      <c r="B13" s="19" t="inlineStr">
        <is>
          <t>bp</t>
        </is>
      </c>
      <c r="C13" s="27">
        <f>Control!$B$14</f>
        <v/>
      </c>
      <c r="D13" s="44" t="inlineStr">
        <is>
          <t>1M ago (bp) →</t>
        </is>
      </c>
      <c r="E13" s="14" t="n">
        <v>218</v>
      </c>
      <c r="F13" s="45">
        <f>IFERROR($C13-$E13,"")</f>
        <v/>
      </c>
      <c r="H13" s="10" t="inlineStr">
        <is>
          <t>INPUT. Chain-link across the 04-Sep-26 JPM methodology break before using this.</t>
        </is>
      </c>
    </row>
    <row r="15" ht="18" customHeight="1">
      <c r="A15" s="3" t="inlineStr">
        <is>
          <t>REALISED TOTAL RETURN  —  from the total-return sub-indices (end/start - 1)</t>
        </is>
      </c>
      <c r="B15" s="4" t="n"/>
      <c r="C15" s="4" t="n"/>
      <c r="D15" s="4" t="n"/>
      <c r="E15" s="4" t="n"/>
      <c r="F15" s="4" t="n"/>
      <c r="G15" s="4" t="n"/>
      <c r="H15" s="4" t="n"/>
      <c r="I15" s="4" t="n"/>
      <c r="J15" s="4" t="n"/>
      <c r="K15" s="4" t="n"/>
      <c r="L15" s="4" t="n"/>
      <c r="M15" s="4" t="n"/>
      <c r="N15" s="4" t="n"/>
      <c r="O15" s="4" t="n"/>
      <c r="P15" s="4" t="n"/>
    </row>
    <row r="16" ht="30" customHeight="1">
      <c r="A16" s="18" t="inlineStr">
        <is>
          <t>Index</t>
        </is>
      </c>
      <c r="B16" s="18" t="inlineStr"/>
      <c r="C16" s="18" t="inlineStr"/>
      <c r="D16" s="18" t="inlineStr">
        <is>
          <t>1D</t>
        </is>
      </c>
      <c r="E16" s="18" t="inlineStr">
        <is>
          <t>1W</t>
        </is>
      </c>
      <c r="F16" s="18" t="inlineStr">
        <is>
          <t>1M</t>
        </is>
      </c>
      <c r="G16" s="18" t="inlineStr">
        <is>
          <t>3M</t>
        </is>
      </c>
      <c r="H16" s="18" t="inlineStr">
        <is>
          <t>6M</t>
        </is>
      </c>
      <c r="I16" s="18" t="inlineStr">
        <is>
          <t>YTD</t>
        </is>
      </c>
      <c r="J16" s="18" t="inlineStr">
        <is>
          <t>1Y</t>
        </is>
      </c>
      <c r="K16" s="18" t="inlineStr"/>
      <c r="L16" s="18" t="inlineStr"/>
      <c r="M16" s="18" t="inlineStr"/>
      <c r="N16" s="18" t="inlineStr"/>
      <c r="O16" s="18" t="inlineStr"/>
      <c r="P16" s="18" t="inlineStr"/>
    </row>
    <row r="17">
      <c r="A17" s="8" t="inlineStr">
        <is>
          <t>Bbg EM USD Aggregate</t>
        </is>
      </c>
      <c r="D17" s="46">
        <f>IFERROR(INDEX(HIST_D!$R$8:$R$2617,1)/INDEX(HIST_D!$R$8:$R$2617,Control!$F$6)-1,"")</f>
        <v/>
      </c>
      <c r="E17" s="46">
        <f>IFERROR(INDEX(HIST_D!$R$8:$R$2617,1)/INDEX(HIST_D!$R$8:$R$2617,Control!$F$7)-1,"")</f>
        <v/>
      </c>
      <c r="F17" s="46">
        <f>IFERROR(INDEX(HIST_D!$R$8:$R$2617,1)/INDEX(HIST_D!$R$8:$R$2617,Control!$F$8)-1,"")</f>
        <v/>
      </c>
      <c r="G17" s="46">
        <f>IFERROR(INDEX(HIST_D!$R$8:$R$2617,1)/INDEX(HIST_D!$R$8:$R$2617,Control!$F$9)-1,"")</f>
        <v/>
      </c>
      <c r="H17" s="46">
        <f>IFERROR(INDEX(HIST_D!$R$8:$R$2617,1)/INDEX(HIST_D!$R$8:$R$2617,Control!$F$10)-1,"")</f>
        <v/>
      </c>
      <c r="I17" s="46">
        <f>IFERROR(INDEX(HIST_D!$R$8:$R$2617,1)/INDEX(HIST_D!$R$8:$R$2617,Control!$F$16)-1,"")</f>
        <v/>
      </c>
      <c r="J17" s="46">
        <f>IFERROR(INDEX(HIST_D!$R$8:$R$2617,1)/INDEX(HIST_D!$R$8:$R$2617,Control!$F$11)-1,"")</f>
        <v/>
      </c>
    </row>
    <row r="18">
      <c r="A18" s="8" t="inlineStr">
        <is>
          <t>Bbg EM USD Sovereign</t>
        </is>
      </c>
      <c r="D18" s="46">
        <f>IFERROR(INDEX(HIST_D!$T$8:$T$2617,1)/INDEX(HIST_D!$T$8:$T$2617,Control!$F$6)-1,"")</f>
        <v/>
      </c>
      <c r="E18" s="46">
        <f>IFERROR(INDEX(HIST_D!$T$8:$T$2617,1)/INDEX(HIST_D!$T$8:$T$2617,Control!$F$7)-1,"")</f>
        <v/>
      </c>
      <c r="F18" s="46">
        <f>IFERROR(INDEX(HIST_D!$T$8:$T$2617,1)/INDEX(HIST_D!$T$8:$T$2617,Control!$F$8)-1,"")</f>
        <v/>
      </c>
      <c r="G18" s="46">
        <f>IFERROR(INDEX(HIST_D!$T$8:$T$2617,1)/INDEX(HIST_D!$T$8:$T$2617,Control!$F$9)-1,"")</f>
        <v/>
      </c>
      <c r="H18" s="46">
        <f>IFERROR(INDEX(HIST_D!$T$8:$T$2617,1)/INDEX(HIST_D!$T$8:$T$2617,Control!$F$10)-1,"")</f>
        <v/>
      </c>
      <c r="I18" s="46">
        <f>IFERROR(INDEX(HIST_D!$T$8:$T$2617,1)/INDEX(HIST_D!$T$8:$T$2617,Control!$F$16)-1,"")</f>
        <v/>
      </c>
      <c r="J18" s="46">
        <f>IFERROR(INDEX(HIST_D!$T$8:$T$2617,1)/INDEX(HIST_D!$T$8:$T$2617,Control!$F$11)-1,"")</f>
        <v/>
      </c>
    </row>
    <row r="19">
      <c r="A19" s="8" t="inlineStr">
        <is>
          <t>JPM EMBI Global Diversified</t>
        </is>
      </c>
      <c r="D19" s="46">
        <f>IFERROR(INDEX(HIST_D!$U$8:$U$2617,1)/INDEX(HIST_D!$U$8:$U$2617,Control!$F$6)-1,"")</f>
        <v/>
      </c>
      <c r="E19" s="46">
        <f>IFERROR(INDEX(HIST_D!$U$8:$U$2617,1)/INDEX(HIST_D!$U$8:$U$2617,Control!$F$7)-1,"")</f>
        <v/>
      </c>
      <c r="F19" s="46">
        <f>IFERROR(INDEX(HIST_D!$U$8:$U$2617,1)/INDEX(HIST_D!$U$8:$U$2617,Control!$F$8)-1,"")</f>
        <v/>
      </c>
      <c r="G19" s="46">
        <f>IFERROR(INDEX(HIST_D!$U$8:$U$2617,1)/INDEX(HIST_D!$U$8:$U$2617,Control!$F$9)-1,"")</f>
        <v/>
      </c>
      <c r="H19" s="46">
        <f>IFERROR(INDEX(HIST_D!$U$8:$U$2617,1)/INDEX(HIST_D!$U$8:$U$2617,Control!$F$10)-1,"")</f>
        <v/>
      </c>
      <c r="I19" s="46">
        <f>IFERROR(INDEX(HIST_D!$U$8:$U$2617,1)/INDEX(HIST_D!$U$8:$U$2617,Control!$F$16)-1,"")</f>
        <v/>
      </c>
      <c r="J19" s="46">
        <f>IFERROR(INDEX(HIST_D!$U$8:$U$2617,1)/INDEX(HIST_D!$U$8:$U$2617,Control!$F$11)-1,"")</f>
        <v/>
      </c>
    </row>
    <row r="20">
      <c r="A20" s="8" t="inlineStr">
        <is>
          <t>JPM CEMBI Broad Diversified</t>
        </is>
      </c>
      <c r="D20" s="46">
        <f>IFERROR(INDEX(HIST_D!$V$8:$V$2617,1)/INDEX(HIST_D!$V$8:$V$2617,Control!$F$6)-1,"")</f>
        <v/>
      </c>
      <c r="E20" s="46">
        <f>IFERROR(INDEX(HIST_D!$V$8:$V$2617,1)/INDEX(HIST_D!$V$8:$V$2617,Control!$F$7)-1,"")</f>
        <v/>
      </c>
      <c r="F20" s="46">
        <f>IFERROR(INDEX(HIST_D!$V$8:$V$2617,1)/INDEX(HIST_D!$V$8:$V$2617,Control!$F$8)-1,"")</f>
        <v/>
      </c>
      <c r="G20" s="46">
        <f>IFERROR(INDEX(HIST_D!$V$8:$V$2617,1)/INDEX(HIST_D!$V$8:$V$2617,Control!$F$9)-1,"")</f>
        <v/>
      </c>
      <c r="H20" s="46">
        <f>IFERROR(INDEX(HIST_D!$V$8:$V$2617,1)/INDEX(HIST_D!$V$8:$V$2617,Control!$F$10)-1,"")</f>
        <v/>
      </c>
      <c r="I20" s="46">
        <f>IFERROR(INDEX(HIST_D!$V$8:$V$2617,1)/INDEX(HIST_D!$V$8:$V$2617,Control!$F$16)-1,"")</f>
        <v/>
      </c>
      <c r="J20" s="46">
        <f>IFERROR(INDEX(HIST_D!$V$8:$V$2617,1)/INDEX(HIST_D!$V$8:$V$2617,Control!$F$11)-1,"")</f>
        <v/>
      </c>
    </row>
    <row r="21">
      <c r="A21" s="10" t="inlineStr">
        <is>
          <t>Duration-derived decompositions are not used here. Total return is the index, full stop.</t>
        </is>
      </c>
    </row>
    <row r="23" ht="18" customHeight="1">
      <c r="A23" s="3" t="inlineStr">
        <is>
          <t>DECOMPOSITION OF THE MOVE  —  each leg on its own row, residual left visible</t>
        </is>
      </c>
      <c r="B23" s="4" t="n"/>
      <c r="C23" s="4" t="n"/>
      <c r="D23" s="4" t="n"/>
      <c r="E23" s="4" t="n"/>
      <c r="F23" s="4" t="n"/>
      <c r="G23" s="4" t="n"/>
      <c r="H23" s="4" t="n"/>
      <c r="I23" s="4" t="n"/>
      <c r="J23" s="4" t="n"/>
      <c r="K23" s="4" t="n"/>
      <c r="L23" s="4" t="n"/>
      <c r="M23" s="4" t="n"/>
      <c r="N23" s="4" t="n"/>
      <c r="O23" s="4" t="n"/>
      <c r="P23" s="4" t="n"/>
    </row>
    <row r="24">
      <c r="A24" s="10" t="inlineStr">
        <is>
          <t>Index duration and YTW are the inputs on Control (B12, B13). The rates leg uses the UST tenor named on each row; neither leg is combined with the other before you see it.</t>
        </is>
      </c>
    </row>
    <row r="25" ht="30" customHeight="1">
      <c r="A25" s="18" t="inlineStr">
        <is>
          <t>Component</t>
        </is>
      </c>
      <c r="B25" s="18" t="inlineStr"/>
      <c r="C25" s="18" t="inlineStr"/>
      <c r="D25" s="18" t="inlineStr"/>
      <c r="E25" s="18" t="inlineStr"/>
      <c r="F25" s="18" t="inlineStr">
        <is>
          <t>1M</t>
        </is>
      </c>
      <c r="G25" s="18" t="inlineStr">
        <is>
          <t>3M</t>
        </is>
      </c>
      <c r="H25" s="18" t="inlineStr"/>
      <c r="I25" s="18" t="inlineStr">
        <is>
          <t>YTD</t>
        </is>
      </c>
      <c r="J25" s="18" t="inlineStr"/>
      <c r="K25" s="18" t="inlineStr"/>
      <c r="L25" s="18" t="inlineStr"/>
      <c r="M25" s="18" t="inlineStr"/>
      <c r="N25" s="18" t="inlineStr"/>
      <c r="O25" s="18" t="inlineStr"/>
      <c r="P25" s="18" t="inlineStr"/>
    </row>
    <row r="26">
      <c r="A26" s="8" t="inlineStr">
        <is>
          <t>Carry  (YTW x window/262)</t>
        </is>
      </c>
      <c r="F26" s="46">
        <f>IFERROR(Control!$B$13/100*(Control!$F$8-1)/262,"")</f>
        <v/>
      </c>
      <c r="G26" s="46">
        <f>IFERROR(Control!$B$13/100*(Control!$F$9-1)/262,"")</f>
        <v/>
      </c>
      <c r="I26" s="46">
        <f>IFERROR(Control!$B$13/100*(Control!$F$16-1)/262,"")</f>
        <v/>
      </c>
    </row>
    <row r="27">
      <c r="A27" s="8" t="inlineStr">
        <is>
          <t>Rates leg  (-D x d UST 10Y)</t>
        </is>
      </c>
      <c r="F27" s="46">
        <f>IFERROR(-Control!$B$12*(INDEX(HIST_D!$D$8:$D$2617,1)-INDEX(HIST_D!$D$8:$D$2617,Control!$F$8))*100/10000,"")</f>
        <v/>
      </c>
      <c r="G27" s="46">
        <f>IFERROR(-Control!$B$12*(INDEX(HIST_D!$D$8:$D$2617,1)-INDEX(HIST_D!$D$8:$D$2617,Control!$F$9))*100/10000,"")</f>
        <v/>
      </c>
      <c r="I27" s="46">
        <f>IFERROR(-Control!$B$12*(INDEX(HIST_D!$D$8:$D$2617,1)-INDEX(HIST_D!$D$8:$D$2617,Control!$F$16))*100/10000,"")</f>
        <v/>
      </c>
    </row>
    <row r="28">
      <c r="A28" s="8" t="inlineStr">
        <is>
          <t>Rates leg, 5Y reference  (-D x d UST 5Y)</t>
        </is>
      </c>
      <c r="F28" s="46">
        <f>IFERROR(-Control!$B$12*(INDEX(HIST_D!$C$8:$C$2617,1)-INDEX(HIST_D!$C$8:$C$2617,Control!$F$8))*100/10000,"")</f>
        <v/>
      </c>
      <c r="G28" s="46">
        <f>IFERROR(-Control!$B$12*(INDEX(HIST_D!$C$8:$C$2617,1)-INDEX(HIST_D!$C$8:$C$2617,Control!$F$9))*100/10000,"")</f>
        <v/>
      </c>
      <c r="I28" s="46">
        <f>IFERROR(-Control!$B$12*(INDEX(HIST_D!$C$8:$C$2617,1)-INDEX(HIST_D!$C$8:$C$2617,Control!$F$16))*100/10000,"")</f>
        <v/>
      </c>
    </row>
    <row r="29">
      <c r="A29" s="8" t="inlineStr">
        <is>
          <t>Spread leg  (-D x d EM USD Agg OAS)</t>
        </is>
      </c>
      <c r="F29" s="46">
        <f>IFERROR(-Control!$B$12*(INDEX(HIST_D!$Q$8:$Q$2617,1)-INDEX(HIST_D!$Q$8:$Q$2617,Control!$F$8))/10000,"")</f>
        <v/>
      </c>
      <c r="G29" s="46">
        <f>IFERROR(-Control!$B$12*(INDEX(HIST_D!$Q$8:$Q$2617,1)-INDEX(HIST_D!$Q$8:$Q$2617,Control!$F$9))/10000,"")</f>
        <v/>
      </c>
      <c r="I29" s="46">
        <f>IFERROR(-Control!$B$12*(INDEX(HIST_D!$Q$8:$Q$2617,1)-INDEX(HIST_D!$Q$8:$Q$2617,Control!$F$16))/10000,"")</f>
        <v/>
      </c>
    </row>
    <row r="30">
      <c r="A30" s="28" t="inlineStr">
        <is>
          <t>Sum of carry + rates leg (10Y) + spread leg</t>
        </is>
      </c>
      <c r="F30" s="47">
        <f>IFERROR(F26+F27+F29,"")</f>
        <v/>
      </c>
      <c r="G30" s="47">
        <f>IFERROR(G26+G27+G29,"")</f>
        <v/>
      </c>
      <c r="I30" s="47">
        <f>IFERROR(I26+I27+I29,"")</f>
        <v/>
      </c>
    </row>
    <row r="31">
      <c r="A31" s="8" t="inlineStr">
        <is>
          <t>Realised index total return (Bbg EM USD Agg)</t>
        </is>
      </c>
      <c r="F31" s="48">
        <f>F17</f>
        <v/>
      </c>
      <c r="G31" s="48">
        <f>G17</f>
        <v/>
      </c>
      <c r="I31" s="48">
        <f>I17</f>
        <v/>
      </c>
    </row>
    <row r="32">
      <c r="A32" s="49" t="inlineStr">
        <is>
          <t>Residual (realised less sum)</t>
        </is>
      </c>
      <c r="F32" s="50">
        <f>IFERROR(F31-F30,"")</f>
        <v/>
      </c>
      <c r="G32" s="50">
        <f>IFERROR(G31-G30,"")</f>
        <v/>
      </c>
      <c r="I32" s="50">
        <f>IFERROR(I31-I30,"")</f>
        <v/>
      </c>
    </row>
    <row r="33">
      <c r="A33" s="8" t="inlineStr">
        <is>
          <t>Spread leg using the EMBIGD stripped spread instead (1M only)</t>
        </is>
      </c>
      <c r="F33" s="46">
        <f>IFERROR(-Control!$B$12*($C13-$E13)/10000,"")</f>
        <v/>
      </c>
    </row>
    <row r="35">
      <c r="A35" s="10" t="inlineStr">
        <is>
          <t>Read: when the rates leg is the whole of a negative month and the spread leg is flat or positive, the asset class is not being repriced for credit — it is being repriced for US duration, and the carry keeps accruing underneath it.</t>
        </is>
      </c>
    </row>
    <row r="36" ht="18" customHeight="1">
      <c r="A36" s="3" t="inlineStr">
        <is>
          <t>EM USD CREDIT BY REGION  —  fed from embi_tracker.py, not from Bloomberg</t>
        </is>
      </c>
      <c r="B36" s="4" t="n"/>
      <c r="C36" s="4" t="n"/>
      <c r="D36" s="4" t="n"/>
      <c r="E36" s="4" t="n"/>
      <c r="F36" s="4" t="n"/>
      <c r="G36" s="4" t="n"/>
      <c r="H36" s="4" t="n"/>
      <c r="I36" s="4" t="n"/>
      <c r="J36" s="4" t="n"/>
      <c r="K36" s="4" t="n"/>
      <c r="L36" s="4" t="n"/>
      <c r="M36" s="4" t="n"/>
      <c r="N36" s="4" t="n"/>
      <c r="O36" s="4" t="n"/>
      <c r="P36" s="4" t="n"/>
    </row>
    <row r="37">
      <c r="A37" s="10" t="inlineStr">
        <is>
          <t>Deliberate. There is no Bloomberg ticker in this workbook I trust for regional EMBIGD spread and return, and the tracker already produces the region breakdown. JPM's own regions are Africa / Asia / Europe / Latin America / Middle East — fold Africa into Middle East &amp; Africa below so South Africa, Nigeria, Egypt, Angola and Ghana have a home. Enter total return in percent (type -0.22 for -0.22%).</t>
        </is>
      </c>
    </row>
    <row r="38" ht="30" customHeight="1">
      <c r="A38" s="18" t="inlineStr">
        <is>
          <t>Region</t>
        </is>
      </c>
      <c r="B38" s="18" t="inlineStr">
        <is>
          <t>Index weight (%)</t>
        </is>
      </c>
      <c r="C38" s="18" t="inlineStr">
        <is>
          <t>Spread now (bp)</t>
        </is>
      </c>
      <c r="D38" s="18" t="inlineStr">
        <is>
          <t>Spread 1M ago (bp)</t>
        </is>
      </c>
      <c r="E38" s="18" t="inlineStr">
        <is>
          <t>d 1M (bp)</t>
        </is>
      </c>
      <c r="F38" s="18" t="inlineStr">
        <is>
          <t>TR 1M (%)</t>
        </is>
      </c>
      <c r="G38" s="18" t="inlineStr">
        <is>
          <t>TR 3M (%)</t>
        </is>
      </c>
      <c r="H38" s="18" t="inlineStr">
        <is>
          <t>TR YTD (%)</t>
        </is>
      </c>
      <c r="I38" s="18" t="inlineStr">
        <is>
          <t>d 1M vs EM (bp)</t>
        </is>
      </c>
      <c r="J38" s="18" t="inlineStr">
        <is>
          <t>TR 1M vs EM (pp)</t>
        </is>
      </c>
      <c r="K38" s="18" t="inlineStr"/>
      <c r="L38" s="18" t="inlineStr"/>
      <c r="M38" s="18" t="inlineStr"/>
      <c r="N38" s="18" t="inlineStr"/>
      <c r="O38" s="18" t="inlineStr"/>
      <c r="P38" s="18" t="inlineStr"/>
    </row>
    <row r="39">
      <c r="A39" s="8" t="inlineStr">
        <is>
          <t>LatAm</t>
        </is>
      </c>
      <c r="B39" s="12" t="n"/>
      <c r="C39" s="14" t="n"/>
      <c r="D39" s="14" t="n"/>
      <c r="E39" s="45">
        <f>IF(OR($C39="",$D39=""),"",$C39-$D39)</f>
        <v/>
      </c>
      <c r="F39" s="12" t="n"/>
      <c r="G39" s="12" t="n"/>
      <c r="H39" s="12" t="n"/>
      <c r="I39" s="21">
        <f>IF(OR($E39="",$E$43=""),"",$E39-$E$43)</f>
        <v/>
      </c>
      <c r="J39" s="38">
        <f>IF(OR($F39="",$F$43=""),"",$F39-$F$43)</f>
        <v/>
      </c>
    </row>
    <row r="40">
      <c r="A40" s="8" t="inlineStr">
        <is>
          <t>EM Europe</t>
        </is>
      </c>
      <c r="B40" s="12" t="n"/>
      <c r="C40" s="14" t="n"/>
      <c r="D40" s="14" t="n"/>
      <c r="E40" s="45">
        <f>IF(OR($C40="",$D40=""),"",$C40-$D40)</f>
        <v/>
      </c>
      <c r="F40" s="12" t="n"/>
      <c r="G40" s="12" t="n"/>
      <c r="H40" s="12" t="n"/>
      <c r="I40" s="21">
        <f>IF(OR($E40="",$E$43=""),"",$E40-$E$43)</f>
        <v/>
      </c>
      <c r="J40" s="38">
        <f>IF(OR($F40="",$F$43=""),"",$F40-$F$43)</f>
        <v/>
      </c>
    </row>
    <row r="41">
      <c r="A41" s="8" t="inlineStr">
        <is>
          <t>Middle East &amp; Africa</t>
        </is>
      </c>
      <c r="B41" s="12" t="n"/>
      <c r="C41" s="14" t="n"/>
      <c r="D41" s="14" t="n"/>
      <c r="E41" s="45">
        <f>IF(OR($C41="",$D41=""),"",$C41-$D41)</f>
        <v/>
      </c>
      <c r="F41" s="12" t="n"/>
      <c r="G41" s="12" t="n"/>
      <c r="H41" s="12" t="n"/>
      <c r="I41" s="21">
        <f>IF(OR($E41="",$E$43=""),"",$E41-$E$43)</f>
        <v/>
      </c>
      <c r="J41" s="38">
        <f>IF(OR($F41="",$F$43=""),"",$F41-$F$43)</f>
        <v/>
      </c>
    </row>
    <row r="42">
      <c r="A42" s="8" t="inlineStr">
        <is>
          <t>Asia</t>
        </is>
      </c>
      <c r="B42" s="12" t="n"/>
      <c r="C42" s="14" t="n"/>
      <c r="D42" s="14" t="n"/>
      <c r="E42" s="45">
        <f>IF(OR($C42="",$D42=""),"",$C42-$D42)</f>
        <v/>
      </c>
      <c r="F42" s="12" t="n"/>
      <c r="G42" s="12" t="n"/>
      <c r="H42" s="12" t="n"/>
      <c r="I42" s="21">
        <f>IF(OR($E42="",$E$43=""),"",$E42-$E$43)</f>
        <v/>
      </c>
      <c r="J42" s="38">
        <f>IF(OR($F42="",$F$43=""),"",$F42-$F$43)</f>
        <v/>
      </c>
    </row>
    <row r="43">
      <c r="A43" s="28" t="inlineStr">
        <is>
          <t>EM total (EMBIGD)</t>
        </is>
      </c>
      <c r="B43" s="12" t="n">
        <v>100</v>
      </c>
      <c r="C43" s="27">
        <f>Control!$B$14</f>
        <v/>
      </c>
      <c r="D43" s="27">
        <f>$E13</f>
        <v/>
      </c>
      <c r="E43" s="45">
        <f>IF(OR($C43="",$D43=""),"",$C43-$D43)</f>
        <v/>
      </c>
      <c r="F43" s="12" t="n"/>
      <c r="G43" s="12" t="n"/>
      <c r="H43" s="12" t="n"/>
    </row>
    <row r="45">
      <c r="A45" s="10">
        <f>IF($C39="","LatAm: awaiting the tracker input.","LatAm: "&amp;TEXT($C39,"0")&amp;"bp, "&amp;TEXT($E39,"+0;-0")&amp;"bp on the month ("&amp;TEXT($I39,"+0;-0")&amp;"bp vs EM), total return "&amp;TEXT($F39,"+0.00;-0.00")&amp;"%. "&amp;IF($E39&lt;0,"Spread tightened into the Treasury move — the loss here is duration, not credit.",IF($E39&lt;10,"Spread broadly held; the return is a rates outcome.","Spread widened materially — this region is being repriced for credit, not just rates.")))</f>
        <v/>
      </c>
    </row>
    <row r="46">
      <c r="A46" s="10">
        <f>IF($C40="","EM Europe: awaiting the tracker input.","EM Europe: "&amp;TEXT($C40,"0")&amp;"bp, "&amp;TEXT($E40,"+0;-0")&amp;"bp on the month ("&amp;TEXT($I40,"+0;-0")&amp;"bp vs EM), total return "&amp;TEXT($F40,"+0.00;-0.00")&amp;"%. "&amp;IF($E40&lt;0,"Spread tightened into the Treasury move — the loss here is duration, not credit.",IF($E40&lt;10,"Spread broadly held; the return is a rates outcome.","Spread widened materially — this region is being repriced for credit, not just rates.")))</f>
        <v/>
      </c>
    </row>
    <row r="47">
      <c r="A47" s="10">
        <f>IF($C41="","Middle East &amp; Africa: awaiting the tracker input.","Middle East &amp; Africa: "&amp;TEXT($C41,"0")&amp;"bp, "&amp;TEXT($E41,"+0;-0")&amp;"bp on the month ("&amp;TEXT($I41,"+0;-0")&amp;"bp vs EM), total return "&amp;TEXT($F41,"+0.00;-0.00")&amp;"%. "&amp;IF($E41&lt;0,"Spread tightened into the Treasury move — the loss here is duration, not credit.",IF($E41&lt;10,"Spread broadly held; the return is a rates outcome.","Spread widened materially — this region is being repriced for credit, not just rates.")))</f>
        <v/>
      </c>
    </row>
    <row r="48">
      <c r="A48" s="10">
        <f>IF($C42="","Asia: awaiting the tracker input.","Asia: "&amp;TEXT($C42,"0")&amp;"bp, "&amp;TEXT($E42,"+0;-0")&amp;"bp on the month ("&amp;TEXT($I42,"+0;-0")&amp;"bp vs EM), total return "&amp;TEXT($F42,"+0.00;-0.00")&amp;"%. "&amp;IF($E42&lt;0,"Spread tightened into the Treasury move — the loss here is duration, not credit.",IF($E42&lt;10,"Spread broadly held; the return is a rates outcome.","Spread widened materially — this region is being repriced for credit, not just rates.")))</f>
        <v/>
      </c>
    </row>
    <row r="50" ht="18" customHeight="1">
      <c r="A50" s="3" t="inlineStr">
        <is>
          <t>COMMENT  —  EM USD CREDIT</t>
        </is>
      </c>
      <c r="B50" s="4" t="n"/>
      <c r="C50" s="4" t="n"/>
      <c r="D50" s="4" t="n"/>
      <c r="E50" s="4" t="n"/>
      <c r="F50" s="4" t="n"/>
      <c r="G50" s="4" t="n"/>
      <c r="H50" s="4" t="n"/>
      <c r="I50" s="4" t="n"/>
      <c r="J50" s="4" t="n"/>
      <c r="K50" s="4" t="n"/>
      <c r="L50" s="4" t="n"/>
      <c r="M50" s="4" t="n"/>
      <c r="N50" s="4" t="n"/>
      <c r="O50" s="4" t="n"/>
      <c r="P50" s="4" t="n"/>
    </row>
    <row r="51">
      <c r="A51" s="6">
        <f>IFERROR("EM USD credit: carry "&amp;TEXT($F$26,"+0.00%;-0.00%")&amp;", rates leg "&amp;TEXT($F$27,"+0.00%;-0.00%")&amp;", spread leg "&amp;TEXT($F$29,"+0.00%;-0.00%")&amp;" over the past month. "&amp;IF(ABS($F$27)&gt;ABS($F$29),"The rates leg dominates, so this is a duration event and the carry keeps accruing underneath it.","The spread leg dominates, so this is a credit repricing and the digestion argument does not hold for this window.")&amp;" EM USD Aggregate OAS sits at "&amp;TEXT($C$6,"0")&amp;"bp, "&amp;TEXT($C$6-$C$9,"0")&amp;"bp over US IG, at the "&amp;TEXT($M$6,"0%")&amp;" percentile of its own last five years — "&amp;IF($O$6&lt;0.25,"which is the weak point of the case: there is very little spread cushion left to absorb a genuine risk event.","which leaves some room before valuation becomes the binding constraint."),"")</f>
        <v/>
      </c>
    </row>
    <row r="53">
      <c r="A53" s="10" t="inlineStr">
        <is>
          <t>Regional dispersion in credit is mostly a duration and rating story, not a geography story: Middle East and Asia index weight is long-dated investment grade, LatAm carries more high yield and less duration. That is why LatAm can outperform in a rates selloff and underperform in a risk selloff, and it is the single most useful thing to say about the regional table above.</t>
        </is>
      </c>
    </row>
  </sheetData>
  <conditionalFormatting sqref="M6:O12">
    <cfRule type="colorScale" priority="1">
      <colorScale>
        <cfvo type="num" val="0"/>
        <cfvo type="num" val="0.5"/>
        <cfvo type="num" val="1"/>
        <color rgb="0063BE7B"/>
        <color rgb="00FFEB84"/>
        <color rgb="00F8696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4"/>
  <sheetViews>
    <sheetView showGridLines="0" workbookViewId="0">
      <selection activeCell="A1" sqref="A1"/>
    </sheetView>
  </sheetViews>
  <sheetFormatPr baseColWidth="8" defaultRowHeight="15"/>
  <cols>
    <col width="24" customWidth="1" min="1" max="1"/>
    <col width="10" customWidth="1" min="2" max="2"/>
    <col width="9" customWidth="1" min="3" max="3"/>
    <col width="9" customWidth="1" min="4" max="4"/>
    <col width="9" customWidth="1" min="5" max="5"/>
    <col width="9" customWidth="1" min="6" max="6"/>
    <col width="10" customWidth="1" min="7" max="7"/>
    <col width="10" customWidth="1" min="8" max="8"/>
    <col width="10" customWidth="1" min="9" max="9"/>
    <col width="10" customWidth="1" min="10" max="10"/>
    <col width="10" customWidth="1" min="11" max="11"/>
    <col width="10" customWidth="1" min="12" max="12"/>
    <col width="11" customWidth="1" min="13" max="13"/>
    <col width="11" customWidth="1" min="14" max="14"/>
    <col width="26" customWidth="1" min="15" max="15"/>
  </cols>
  <sheetData>
    <row r="1">
      <c r="A1" s="1" t="inlineStr">
        <is>
          <t>PASS-THROUGH  —  how much of the US move each region actually took</t>
        </is>
      </c>
    </row>
    <row r="2">
      <c r="A2" s="2" t="inlineStr">
        <is>
          <t>Pass-through = d(local 10Y) / d(UST 10Y) over the same window. Below 1.0 means the local curve absorbed less than the US curve; below 0 means it moved the other way. The ratio is suppressed as n/m when the US move over that window is under 25bp, because a ratio off a small base is noise.</t>
        </is>
      </c>
    </row>
    <row r="4" ht="16" customHeight="1">
      <c r="A4" s="33" t="inlineStr">
        <is>
          <t>LATAM</t>
        </is>
      </c>
      <c r="B4" s="34" t="n"/>
      <c r="C4" s="34" t="n"/>
      <c r="D4" s="34" t="n"/>
      <c r="E4" s="34" t="n"/>
      <c r="F4" s="34" t="n"/>
      <c r="G4" s="34" t="n"/>
      <c r="H4" s="34" t="n"/>
      <c r="I4" s="34" t="n"/>
      <c r="J4" s="34" t="n"/>
      <c r="K4" s="34" t="n"/>
      <c r="L4" s="34" t="n"/>
      <c r="M4" s="34" t="n"/>
      <c r="N4" s="34" t="n"/>
      <c r="O4" s="34" t="n"/>
    </row>
    <row r="5" ht="30" customHeight="1">
      <c r="A5" s="18" t="inlineStr">
        <is>
          <t>Market</t>
        </is>
      </c>
      <c r="B5" s="18" t="inlineStr">
        <is>
          <t>Local 10Y (%)</t>
        </is>
      </c>
      <c r="C5" s="18" t="inlineStr">
        <is>
          <t>d 1M (bp)</t>
        </is>
      </c>
      <c r="D5" s="18" t="inlineStr">
        <is>
          <t>d 3M (bp)</t>
        </is>
      </c>
      <c r="E5" s="18" t="inlineStr">
        <is>
          <t>d 6M (bp)</t>
        </is>
      </c>
      <c r="F5" s="18" t="inlineStr">
        <is>
          <t>d 1Y (bp)</t>
        </is>
      </c>
      <c r="G5" s="18" t="inlineStr">
        <is>
          <t>PT 1M</t>
        </is>
      </c>
      <c r="H5" s="18" t="inlineStr">
        <is>
          <t>PT 3M</t>
        </is>
      </c>
      <c r="I5" s="18" t="inlineStr">
        <is>
          <t>PT 6M</t>
        </is>
      </c>
      <c r="J5" s="18" t="inlineStr">
        <is>
          <t>PT 1Y</t>
        </is>
      </c>
      <c r="K5" s="18" t="inlineStr">
        <is>
          <t>PT 3Y</t>
        </is>
      </c>
      <c r="L5" s="18" t="inlineStr">
        <is>
          <t>FX 1M</t>
        </is>
      </c>
      <c r="M5" s="18" t="inlineStr">
        <is>
          <t>Local less UST (bp)</t>
        </is>
      </c>
      <c r="N5" s="18" t="inlineStr">
        <is>
          <t>%ile 5y (gap)</t>
        </is>
      </c>
      <c r="O5" s="18" t="inlineStr">
        <is>
          <t>Verdict</t>
        </is>
      </c>
    </row>
    <row r="6">
      <c r="A6" s="8" t="inlineStr">
        <is>
          <t>Brazil 10Y</t>
        </is>
      </c>
      <c r="B6" s="20">
        <f>INDEX(HIST_D!$CB$8:$CB$2617,1)</f>
        <v/>
      </c>
      <c r="C6" s="21">
        <f>IFERROR((INDEX(HIST_D!$CB$8:$CB$2617,1)-INDEX(HIST_D!$CB$8:$CB$2617,Control!$F$8))*100,"")</f>
        <v/>
      </c>
      <c r="D6" s="21">
        <f>IFERROR((INDEX(HIST_D!$CB$8:$CB$2617,1)-INDEX(HIST_D!$CB$8:$CB$2617,Control!$F$9))*100,"")</f>
        <v/>
      </c>
      <c r="E6" s="21">
        <f>IFERROR((INDEX(HIST_D!$CB$8:$CB$2617,1)-INDEX(HIST_D!$CB$8:$CB$2617,Control!$F$10))*100,"")</f>
        <v/>
      </c>
      <c r="F6" s="21">
        <f>IFERROR((INDEX(HIST_D!$CB$8:$CB$2617,1)-INDEX(HIST_D!$CB$8:$CB$2617,Control!$F$11))*100,"")</f>
        <v/>
      </c>
      <c r="G6" s="43">
        <f>IF(ABS(((INDEX(HIST_D!$D$8:$D$2617,1)-INDEX(HIST_D!$D$8:$D$2617,Control!$F$8))*100))&lt;25,"n/m",IFERROR((((INDEX(HIST_D!$CB$8:$CB$2617,1)-INDEX(HIST_D!$CB$8:$CB$2617,Control!$F$8))*100))/(((INDEX(HIST_D!$D$8:$D$2617,1)-INDEX(HIST_D!$D$8:$D$2617,Control!$F$8))*100)),"n/m"))</f>
        <v/>
      </c>
      <c r="H6" s="43">
        <f>IF(ABS(((INDEX(HIST_D!$D$8:$D$2617,1)-INDEX(HIST_D!$D$8:$D$2617,Control!$F$9))*100))&lt;25,"n/m",IFERROR((((INDEX(HIST_D!$CB$8:$CB$2617,1)-INDEX(HIST_D!$CB$8:$CB$2617,Control!$F$9))*100))/(((INDEX(HIST_D!$D$8:$D$2617,1)-INDEX(HIST_D!$D$8:$D$2617,Control!$F$9))*100)),"n/m"))</f>
        <v/>
      </c>
      <c r="I6" s="43">
        <f>IF(ABS(((INDEX(HIST_D!$D$8:$D$2617,1)-INDEX(HIST_D!$D$8:$D$2617,Control!$F$10))*100))&lt;25,"n/m",IFERROR((((INDEX(HIST_D!$CB$8:$CB$2617,1)-INDEX(HIST_D!$CB$8:$CB$2617,Control!$F$10))*100))/(((INDEX(HIST_D!$D$8:$D$2617,1)-INDEX(HIST_D!$D$8:$D$2617,Control!$F$10))*100)),"n/m"))</f>
        <v/>
      </c>
      <c r="J6" s="43">
        <f>IF(ABS(((INDEX(HIST_D!$D$8:$D$2617,1)-INDEX(HIST_D!$D$8:$D$2617,Control!$F$11))*100))&lt;25,"n/m",IFERROR((((INDEX(HIST_D!$CB$8:$CB$2617,1)-INDEX(HIST_D!$CB$8:$CB$2617,Control!$F$11))*100))/(((INDEX(HIST_D!$D$8:$D$2617,1)-INDEX(HIST_D!$D$8:$D$2617,Control!$F$11))*100)),"n/m"))</f>
        <v/>
      </c>
      <c r="K6" s="43">
        <f>IF(ABS(((INDEX(HIST_D!$D$8:$D$2617,1)-INDEX(HIST_D!$D$8:$D$2617,Control!$F$13))*100))&lt;25,"n/m",IFERROR((((INDEX(HIST_D!$CB$8:$CB$2617,1)-INDEX(HIST_D!$CB$8:$CB$2617,Control!$F$13))*100))/(((INDEX(HIST_D!$D$8:$D$2617,1)-INDEX(HIST_D!$D$8:$D$2617,Control!$F$13))*100)),"n/m"))</f>
        <v/>
      </c>
      <c r="L6" s="24">
        <f>IFERROR(INDEX(HIST_D!$AA$8:$AA$2617,Control!$F$8)/INDEX(HIST_D!$AA$8:$AA$2617,1)-1,"")</f>
        <v/>
      </c>
      <c r="M6" s="41">
        <f>IFERROR((INDEX(HIST_D!$CB$8:$CB$2617,1)-INDEX(HIST_D!$D$8:$D$2617,1))*100,"")</f>
        <v/>
      </c>
      <c r="N6" s="22">
        <f>IFERROR(PERCENTRANK(HIST_D!$EA$8:INDEX(HIST_D!$EA$8:$EA$2617,Control!$F$14),(INDEX(HIST_D!$CB$8:$CB$2617,1)-INDEX(HIST_D!$D$8:$D$2617,1))*100),"")</f>
        <v/>
      </c>
      <c r="O6" s="8">
        <f>IF(NOT(ISNUMBER($G6)),"n/m",IF($G6&lt;0,"absorbed and tightened",IF($G6&lt;0.5,"absorbed most of it",IF($G6&lt;1,"partial pass-through",IF($G6&lt;1.5,"one-for-one","amplified")))))</f>
        <v/>
      </c>
    </row>
    <row r="7">
      <c r="A7" s="8" t="inlineStr">
        <is>
          <t>Mexico 10Y</t>
        </is>
      </c>
      <c r="B7" s="20">
        <f>INDEX(HIST_D!$CC$8:$CC$2617,1)</f>
        <v/>
      </c>
      <c r="C7" s="21">
        <f>IFERROR((INDEX(HIST_D!$CC$8:$CC$2617,1)-INDEX(HIST_D!$CC$8:$CC$2617,Control!$F$8))*100,"")</f>
        <v/>
      </c>
      <c r="D7" s="21">
        <f>IFERROR((INDEX(HIST_D!$CC$8:$CC$2617,1)-INDEX(HIST_D!$CC$8:$CC$2617,Control!$F$9))*100,"")</f>
        <v/>
      </c>
      <c r="E7" s="21">
        <f>IFERROR((INDEX(HIST_D!$CC$8:$CC$2617,1)-INDEX(HIST_D!$CC$8:$CC$2617,Control!$F$10))*100,"")</f>
        <v/>
      </c>
      <c r="F7" s="21">
        <f>IFERROR((INDEX(HIST_D!$CC$8:$CC$2617,1)-INDEX(HIST_D!$CC$8:$CC$2617,Control!$F$11))*100,"")</f>
        <v/>
      </c>
      <c r="G7" s="43">
        <f>IF(ABS(((INDEX(HIST_D!$D$8:$D$2617,1)-INDEX(HIST_D!$D$8:$D$2617,Control!$F$8))*100))&lt;25,"n/m",IFERROR((((INDEX(HIST_D!$CC$8:$CC$2617,1)-INDEX(HIST_D!$CC$8:$CC$2617,Control!$F$8))*100))/(((INDEX(HIST_D!$D$8:$D$2617,1)-INDEX(HIST_D!$D$8:$D$2617,Control!$F$8))*100)),"n/m"))</f>
        <v/>
      </c>
      <c r="H7" s="43">
        <f>IF(ABS(((INDEX(HIST_D!$D$8:$D$2617,1)-INDEX(HIST_D!$D$8:$D$2617,Control!$F$9))*100))&lt;25,"n/m",IFERROR((((INDEX(HIST_D!$CC$8:$CC$2617,1)-INDEX(HIST_D!$CC$8:$CC$2617,Control!$F$9))*100))/(((INDEX(HIST_D!$D$8:$D$2617,1)-INDEX(HIST_D!$D$8:$D$2617,Control!$F$9))*100)),"n/m"))</f>
        <v/>
      </c>
      <c r="I7" s="43">
        <f>IF(ABS(((INDEX(HIST_D!$D$8:$D$2617,1)-INDEX(HIST_D!$D$8:$D$2617,Control!$F$10))*100))&lt;25,"n/m",IFERROR((((INDEX(HIST_D!$CC$8:$CC$2617,1)-INDEX(HIST_D!$CC$8:$CC$2617,Control!$F$10))*100))/(((INDEX(HIST_D!$D$8:$D$2617,1)-INDEX(HIST_D!$D$8:$D$2617,Control!$F$10))*100)),"n/m"))</f>
        <v/>
      </c>
      <c r="J7" s="43">
        <f>IF(ABS(((INDEX(HIST_D!$D$8:$D$2617,1)-INDEX(HIST_D!$D$8:$D$2617,Control!$F$11))*100))&lt;25,"n/m",IFERROR((((INDEX(HIST_D!$CC$8:$CC$2617,1)-INDEX(HIST_D!$CC$8:$CC$2617,Control!$F$11))*100))/(((INDEX(HIST_D!$D$8:$D$2617,1)-INDEX(HIST_D!$D$8:$D$2617,Control!$F$11))*100)),"n/m"))</f>
        <v/>
      </c>
      <c r="K7" s="43">
        <f>IF(ABS(((INDEX(HIST_D!$D$8:$D$2617,1)-INDEX(HIST_D!$D$8:$D$2617,Control!$F$13))*100))&lt;25,"n/m",IFERROR((((INDEX(HIST_D!$CC$8:$CC$2617,1)-INDEX(HIST_D!$CC$8:$CC$2617,Control!$F$13))*100))/(((INDEX(HIST_D!$D$8:$D$2617,1)-INDEX(HIST_D!$D$8:$D$2617,Control!$F$13))*100)),"n/m"))</f>
        <v/>
      </c>
      <c r="L7" s="24">
        <f>IFERROR(INDEX(HIST_D!$AB$8:$AB$2617,Control!$F$8)/INDEX(HIST_D!$AB$8:$AB$2617,1)-1,"")</f>
        <v/>
      </c>
      <c r="M7" s="41">
        <f>IFERROR((INDEX(HIST_D!$CC$8:$CC$2617,1)-INDEX(HIST_D!$D$8:$D$2617,1))*100,"")</f>
        <v/>
      </c>
      <c r="N7" s="22">
        <f>IFERROR(PERCENTRANK(HIST_D!$EA$8:INDEX(HIST_D!$EA$8:$EA$2617,Control!$F$14),(INDEX(HIST_D!$CC$8:$CC$2617,1)-INDEX(HIST_D!$D$8:$D$2617,1))*100),"")</f>
        <v/>
      </c>
      <c r="O7" s="8">
        <f>IF(NOT(ISNUMBER($G7)),"n/m",IF($G7&lt;0,"absorbed and tightened",IF($G7&lt;0.5,"absorbed most of it",IF($G7&lt;1,"partial pass-through",IF($G7&lt;1.5,"one-for-one","amplified")))))</f>
        <v/>
      </c>
    </row>
    <row r="8">
      <c r="A8" s="8" t="inlineStr">
        <is>
          <t>Chile 10Y</t>
        </is>
      </c>
      <c r="B8" s="20">
        <f>INDEX(HIST_D!$CD$8:$CD$2617,1)</f>
        <v/>
      </c>
      <c r="C8" s="21">
        <f>IFERROR((INDEX(HIST_D!$CD$8:$CD$2617,1)-INDEX(HIST_D!$CD$8:$CD$2617,Control!$F$8))*100,"")</f>
        <v/>
      </c>
      <c r="D8" s="21">
        <f>IFERROR((INDEX(HIST_D!$CD$8:$CD$2617,1)-INDEX(HIST_D!$CD$8:$CD$2617,Control!$F$9))*100,"")</f>
        <v/>
      </c>
      <c r="E8" s="21">
        <f>IFERROR((INDEX(HIST_D!$CD$8:$CD$2617,1)-INDEX(HIST_D!$CD$8:$CD$2617,Control!$F$10))*100,"")</f>
        <v/>
      </c>
      <c r="F8" s="21">
        <f>IFERROR((INDEX(HIST_D!$CD$8:$CD$2617,1)-INDEX(HIST_D!$CD$8:$CD$2617,Control!$F$11))*100,"")</f>
        <v/>
      </c>
      <c r="G8" s="43">
        <f>IF(ABS(((INDEX(HIST_D!$D$8:$D$2617,1)-INDEX(HIST_D!$D$8:$D$2617,Control!$F$8))*100))&lt;25,"n/m",IFERROR((((INDEX(HIST_D!$CD$8:$CD$2617,1)-INDEX(HIST_D!$CD$8:$CD$2617,Control!$F$8))*100))/(((INDEX(HIST_D!$D$8:$D$2617,1)-INDEX(HIST_D!$D$8:$D$2617,Control!$F$8))*100)),"n/m"))</f>
        <v/>
      </c>
      <c r="H8" s="43">
        <f>IF(ABS(((INDEX(HIST_D!$D$8:$D$2617,1)-INDEX(HIST_D!$D$8:$D$2617,Control!$F$9))*100))&lt;25,"n/m",IFERROR((((INDEX(HIST_D!$CD$8:$CD$2617,1)-INDEX(HIST_D!$CD$8:$CD$2617,Control!$F$9))*100))/(((INDEX(HIST_D!$D$8:$D$2617,1)-INDEX(HIST_D!$D$8:$D$2617,Control!$F$9))*100)),"n/m"))</f>
        <v/>
      </c>
      <c r="I8" s="43">
        <f>IF(ABS(((INDEX(HIST_D!$D$8:$D$2617,1)-INDEX(HIST_D!$D$8:$D$2617,Control!$F$10))*100))&lt;25,"n/m",IFERROR((((INDEX(HIST_D!$CD$8:$CD$2617,1)-INDEX(HIST_D!$CD$8:$CD$2617,Control!$F$10))*100))/(((INDEX(HIST_D!$D$8:$D$2617,1)-INDEX(HIST_D!$D$8:$D$2617,Control!$F$10))*100)),"n/m"))</f>
        <v/>
      </c>
      <c r="J8" s="43">
        <f>IF(ABS(((INDEX(HIST_D!$D$8:$D$2617,1)-INDEX(HIST_D!$D$8:$D$2617,Control!$F$11))*100))&lt;25,"n/m",IFERROR((((INDEX(HIST_D!$CD$8:$CD$2617,1)-INDEX(HIST_D!$CD$8:$CD$2617,Control!$F$11))*100))/(((INDEX(HIST_D!$D$8:$D$2617,1)-INDEX(HIST_D!$D$8:$D$2617,Control!$F$11))*100)),"n/m"))</f>
        <v/>
      </c>
      <c r="K8" s="43">
        <f>IF(ABS(((INDEX(HIST_D!$D$8:$D$2617,1)-INDEX(HIST_D!$D$8:$D$2617,Control!$F$13))*100))&lt;25,"n/m",IFERROR((((INDEX(HIST_D!$CD$8:$CD$2617,1)-INDEX(HIST_D!$CD$8:$CD$2617,Control!$F$13))*100))/(((INDEX(HIST_D!$D$8:$D$2617,1)-INDEX(HIST_D!$D$8:$D$2617,Control!$F$13))*100)),"n/m"))</f>
        <v/>
      </c>
      <c r="L8" s="24">
        <f>IFERROR(INDEX(HIST_D!$AC$8:$AC$2617,Control!$F$8)/INDEX(HIST_D!$AC$8:$AC$2617,1)-1,"")</f>
        <v/>
      </c>
      <c r="M8" s="41">
        <f>IFERROR((INDEX(HIST_D!$CD$8:$CD$2617,1)-INDEX(HIST_D!$D$8:$D$2617,1))*100,"")</f>
        <v/>
      </c>
      <c r="N8" s="22">
        <f>IFERROR(PERCENTRANK(HIST_D!$EA$8:INDEX(HIST_D!$EA$8:$EA$2617,Control!$F$14),(INDEX(HIST_D!$CD$8:$CD$2617,1)-INDEX(HIST_D!$D$8:$D$2617,1))*100),"")</f>
        <v/>
      </c>
      <c r="O8" s="8">
        <f>IF(NOT(ISNUMBER($G8)),"n/m",IF($G8&lt;0,"absorbed and tightened",IF($G8&lt;0.5,"absorbed most of it",IF($G8&lt;1,"partial pass-through",IF($G8&lt;1.5,"one-for-one","amplified")))))</f>
        <v/>
      </c>
    </row>
    <row r="9">
      <c r="A9" s="8" t="inlineStr">
        <is>
          <t>Colombia 10Y</t>
        </is>
      </c>
      <c r="B9" s="20">
        <f>INDEX(HIST_D!$CE$8:$CE$2617,1)</f>
        <v/>
      </c>
      <c r="C9" s="21">
        <f>IFERROR((INDEX(HIST_D!$CE$8:$CE$2617,1)-INDEX(HIST_D!$CE$8:$CE$2617,Control!$F$8))*100,"")</f>
        <v/>
      </c>
      <c r="D9" s="21">
        <f>IFERROR((INDEX(HIST_D!$CE$8:$CE$2617,1)-INDEX(HIST_D!$CE$8:$CE$2617,Control!$F$9))*100,"")</f>
        <v/>
      </c>
      <c r="E9" s="21">
        <f>IFERROR((INDEX(HIST_D!$CE$8:$CE$2617,1)-INDEX(HIST_D!$CE$8:$CE$2617,Control!$F$10))*100,"")</f>
        <v/>
      </c>
      <c r="F9" s="21">
        <f>IFERROR((INDEX(HIST_D!$CE$8:$CE$2617,1)-INDEX(HIST_D!$CE$8:$CE$2617,Control!$F$11))*100,"")</f>
        <v/>
      </c>
      <c r="G9" s="43">
        <f>IF(ABS(((INDEX(HIST_D!$D$8:$D$2617,1)-INDEX(HIST_D!$D$8:$D$2617,Control!$F$8))*100))&lt;25,"n/m",IFERROR((((INDEX(HIST_D!$CE$8:$CE$2617,1)-INDEX(HIST_D!$CE$8:$CE$2617,Control!$F$8))*100))/(((INDEX(HIST_D!$D$8:$D$2617,1)-INDEX(HIST_D!$D$8:$D$2617,Control!$F$8))*100)),"n/m"))</f>
        <v/>
      </c>
      <c r="H9" s="43">
        <f>IF(ABS(((INDEX(HIST_D!$D$8:$D$2617,1)-INDEX(HIST_D!$D$8:$D$2617,Control!$F$9))*100))&lt;25,"n/m",IFERROR((((INDEX(HIST_D!$CE$8:$CE$2617,1)-INDEX(HIST_D!$CE$8:$CE$2617,Control!$F$9))*100))/(((INDEX(HIST_D!$D$8:$D$2617,1)-INDEX(HIST_D!$D$8:$D$2617,Control!$F$9))*100)),"n/m"))</f>
        <v/>
      </c>
      <c r="I9" s="43">
        <f>IF(ABS(((INDEX(HIST_D!$D$8:$D$2617,1)-INDEX(HIST_D!$D$8:$D$2617,Control!$F$10))*100))&lt;25,"n/m",IFERROR((((INDEX(HIST_D!$CE$8:$CE$2617,1)-INDEX(HIST_D!$CE$8:$CE$2617,Control!$F$10))*100))/(((INDEX(HIST_D!$D$8:$D$2617,1)-INDEX(HIST_D!$D$8:$D$2617,Control!$F$10))*100)),"n/m"))</f>
        <v/>
      </c>
      <c r="J9" s="43">
        <f>IF(ABS(((INDEX(HIST_D!$D$8:$D$2617,1)-INDEX(HIST_D!$D$8:$D$2617,Control!$F$11))*100))&lt;25,"n/m",IFERROR((((INDEX(HIST_D!$CE$8:$CE$2617,1)-INDEX(HIST_D!$CE$8:$CE$2617,Control!$F$11))*100))/(((INDEX(HIST_D!$D$8:$D$2617,1)-INDEX(HIST_D!$D$8:$D$2617,Control!$F$11))*100)),"n/m"))</f>
        <v/>
      </c>
      <c r="K9" s="43">
        <f>IF(ABS(((INDEX(HIST_D!$D$8:$D$2617,1)-INDEX(HIST_D!$D$8:$D$2617,Control!$F$13))*100))&lt;25,"n/m",IFERROR((((INDEX(HIST_D!$CE$8:$CE$2617,1)-INDEX(HIST_D!$CE$8:$CE$2617,Control!$F$13))*100))/(((INDEX(HIST_D!$D$8:$D$2617,1)-INDEX(HIST_D!$D$8:$D$2617,Control!$F$13))*100)),"n/m"))</f>
        <v/>
      </c>
      <c r="L9" s="24">
        <f>IFERROR(INDEX(HIST_D!$AD$8:$AD$2617,Control!$F$8)/INDEX(HIST_D!$AD$8:$AD$2617,1)-1,"")</f>
        <v/>
      </c>
      <c r="M9" s="41">
        <f>IFERROR((INDEX(HIST_D!$CE$8:$CE$2617,1)-INDEX(HIST_D!$D$8:$D$2617,1))*100,"")</f>
        <v/>
      </c>
      <c r="N9" s="22">
        <f>IFERROR(PERCENTRANK(HIST_D!$EA$8:INDEX(HIST_D!$EA$8:$EA$2617,Control!$F$14),(INDEX(HIST_D!$CE$8:$CE$2617,1)-INDEX(HIST_D!$D$8:$D$2617,1))*100),"")</f>
        <v/>
      </c>
      <c r="O9" s="8">
        <f>IF(NOT(ISNUMBER($G9)),"n/m",IF($G9&lt;0,"absorbed and tightened",IF($G9&lt;0.5,"absorbed most of it",IF($G9&lt;1,"partial pass-through",IF($G9&lt;1.5,"one-for-one","amplified")))))</f>
        <v/>
      </c>
    </row>
    <row r="10">
      <c r="A10" s="8" t="inlineStr">
        <is>
          <t>Peru 10Y</t>
        </is>
      </c>
      <c r="B10" s="20">
        <f>INDEX(HIST_D!$CF$8:$CF$2617,1)</f>
        <v/>
      </c>
      <c r="C10" s="21">
        <f>IFERROR((INDEX(HIST_D!$CF$8:$CF$2617,1)-INDEX(HIST_D!$CF$8:$CF$2617,Control!$F$8))*100,"")</f>
        <v/>
      </c>
      <c r="D10" s="21">
        <f>IFERROR((INDEX(HIST_D!$CF$8:$CF$2617,1)-INDEX(HIST_D!$CF$8:$CF$2617,Control!$F$9))*100,"")</f>
        <v/>
      </c>
      <c r="E10" s="21">
        <f>IFERROR((INDEX(HIST_D!$CF$8:$CF$2617,1)-INDEX(HIST_D!$CF$8:$CF$2617,Control!$F$10))*100,"")</f>
        <v/>
      </c>
      <c r="F10" s="21">
        <f>IFERROR((INDEX(HIST_D!$CF$8:$CF$2617,1)-INDEX(HIST_D!$CF$8:$CF$2617,Control!$F$11))*100,"")</f>
        <v/>
      </c>
      <c r="G10" s="43">
        <f>IF(ABS(((INDEX(HIST_D!$D$8:$D$2617,1)-INDEX(HIST_D!$D$8:$D$2617,Control!$F$8))*100))&lt;25,"n/m",IFERROR((((INDEX(HIST_D!$CF$8:$CF$2617,1)-INDEX(HIST_D!$CF$8:$CF$2617,Control!$F$8))*100))/(((INDEX(HIST_D!$D$8:$D$2617,1)-INDEX(HIST_D!$D$8:$D$2617,Control!$F$8))*100)),"n/m"))</f>
        <v/>
      </c>
      <c r="H10" s="43">
        <f>IF(ABS(((INDEX(HIST_D!$D$8:$D$2617,1)-INDEX(HIST_D!$D$8:$D$2617,Control!$F$9))*100))&lt;25,"n/m",IFERROR((((INDEX(HIST_D!$CF$8:$CF$2617,1)-INDEX(HIST_D!$CF$8:$CF$2617,Control!$F$9))*100))/(((INDEX(HIST_D!$D$8:$D$2617,1)-INDEX(HIST_D!$D$8:$D$2617,Control!$F$9))*100)),"n/m"))</f>
        <v/>
      </c>
      <c r="I10" s="43">
        <f>IF(ABS(((INDEX(HIST_D!$D$8:$D$2617,1)-INDEX(HIST_D!$D$8:$D$2617,Control!$F$10))*100))&lt;25,"n/m",IFERROR((((INDEX(HIST_D!$CF$8:$CF$2617,1)-INDEX(HIST_D!$CF$8:$CF$2617,Control!$F$10))*100))/(((INDEX(HIST_D!$D$8:$D$2617,1)-INDEX(HIST_D!$D$8:$D$2617,Control!$F$10))*100)),"n/m"))</f>
        <v/>
      </c>
      <c r="J10" s="43">
        <f>IF(ABS(((INDEX(HIST_D!$D$8:$D$2617,1)-INDEX(HIST_D!$D$8:$D$2617,Control!$F$11))*100))&lt;25,"n/m",IFERROR((((INDEX(HIST_D!$CF$8:$CF$2617,1)-INDEX(HIST_D!$CF$8:$CF$2617,Control!$F$11))*100))/(((INDEX(HIST_D!$D$8:$D$2617,1)-INDEX(HIST_D!$D$8:$D$2617,Control!$F$11))*100)),"n/m"))</f>
        <v/>
      </c>
      <c r="K10" s="43">
        <f>IF(ABS(((INDEX(HIST_D!$D$8:$D$2617,1)-INDEX(HIST_D!$D$8:$D$2617,Control!$F$13))*100))&lt;25,"n/m",IFERROR((((INDEX(HIST_D!$CF$8:$CF$2617,1)-INDEX(HIST_D!$CF$8:$CF$2617,Control!$F$13))*100))/(((INDEX(HIST_D!$D$8:$D$2617,1)-INDEX(HIST_D!$D$8:$D$2617,Control!$F$13))*100)),"n/m"))</f>
        <v/>
      </c>
      <c r="L10" s="24">
        <f>IFERROR(INDEX(HIST_D!$AE$8:$AE$2617,Control!$F$8)/INDEX(HIST_D!$AE$8:$AE$2617,1)-1,"")</f>
        <v/>
      </c>
      <c r="M10" s="41">
        <f>IFERROR((INDEX(HIST_D!$CF$8:$CF$2617,1)-INDEX(HIST_D!$D$8:$D$2617,1))*100,"")</f>
        <v/>
      </c>
      <c r="N10" s="22">
        <f>IFERROR(PERCENTRANK(HIST_D!$EA$8:INDEX(HIST_D!$EA$8:$EA$2617,Control!$F$14),(INDEX(HIST_D!$CF$8:$CF$2617,1)-INDEX(HIST_D!$D$8:$D$2617,1))*100),"")</f>
        <v/>
      </c>
      <c r="O10" s="8">
        <f>IF(NOT(ISNUMBER($G10)),"n/m",IF($G10&lt;0,"absorbed and tightened",IF($G10&lt;0.5,"absorbed most of it",IF($G10&lt;1,"partial pass-through",IF($G10&lt;1.5,"one-for-one","amplified")))))</f>
        <v/>
      </c>
    </row>
    <row r="11">
      <c r="A11" s="28" t="inlineStr">
        <is>
          <t>LatAm (eq-wgt, n=5)</t>
        </is>
      </c>
      <c r="B11" s="51">
        <f>IFERROR(AVERAGE(B6,B7,B8,B9,B10),"")</f>
        <v/>
      </c>
      <c r="C11" s="45">
        <f>IFERROR(AVERAGE(C6,C7,C8,C9,C10),"")</f>
        <v/>
      </c>
      <c r="D11" s="45">
        <f>IFERROR(AVERAGE(D6,D7,D8,D9,D10),"")</f>
        <v/>
      </c>
      <c r="E11" s="45">
        <f>IFERROR(AVERAGE(E6,E7,E8,E9,E10),"")</f>
        <v/>
      </c>
      <c r="F11" s="45">
        <f>IFERROR(AVERAGE(F6,F7,F8,F9,F10),"")</f>
        <v/>
      </c>
      <c r="G11" s="52">
        <f>IFERROR(AVERAGE(G6,G7,G8,G9,G10),"")</f>
        <v/>
      </c>
      <c r="H11" s="52">
        <f>IFERROR(AVERAGE(H6,H7,H8,H9,H10),"")</f>
        <v/>
      </c>
      <c r="I11" s="52">
        <f>IFERROR(AVERAGE(I6,I7,I8,I9,I10),"")</f>
        <v/>
      </c>
      <c r="J11" s="52">
        <f>IFERROR(AVERAGE(J6,J7,J8,J9,J10),"")</f>
        <v/>
      </c>
      <c r="K11" s="52">
        <f>IFERROR(AVERAGE(K6,K7,K8,K9,K10),"")</f>
        <v/>
      </c>
      <c r="L11" s="36">
        <f>IFERROR(AVERAGE(L6,L7,L8,L9,L10),"")</f>
        <v/>
      </c>
      <c r="M11" s="53">
        <f>IFERROR(AVERAGE(M6,M7,M8,M9,M10),"")</f>
        <v/>
      </c>
      <c r="N11" s="37">
        <f>IFERROR(AVERAGE(N6,N7,N8,N9,N10),"")</f>
        <v/>
      </c>
    </row>
    <row r="12">
      <c r="A12" s="10">
        <f>IFERROR("LatAm: local 10Y "&amp;TEXT($C$11,"+0;-0")&amp;"bp on the month against the US, pass-through "&amp;IF(ISNUMBER($G$11),TEXT($G$11,"0.00")&amp;"x","n/m")&amp;" over 1M and "&amp;IF(ISNUMBER($J$11),TEXT($J$11,"0.00")&amp;"x","n/m")&amp;" over 1Y; FX "&amp;TEXT($L$11,"+0.0%;-0.0%")&amp;". "&amp;IF(NOT(ISNUMBER($G$11)),"The US move over this window is too small to form a ratio.",IF($G$11&lt;0.5,"The curve is absorbing most of the US move rather than importing it.",IF($G$11&lt;1,"Partial pass-through — some import, but less than one-for-one.","The curve is taking the full US move or more; this is where the digestion argument is weakest.")))&amp;" ","")</f>
        <v/>
      </c>
    </row>
    <row r="14" ht="16" customHeight="1">
      <c r="A14" s="33" t="inlineStr">
        <is>
          <t>EM EUROPE</t>
        </is>
      </c>
      <c r="B14" s="34" t="n"/>
      <c r="C14" s="34" t="n"/>
      <c r="D14" s="34" t="n"/>
      <c r="E14" s="34" t="n"/>
      <c r="F14" s="34" t="n"/>
      <c r="G14" s="34" t="n"/>
      <c r="H14" s="34" t="n"/>
      <c r="I14" s="34" t="n"/>
      <c r="J14" s="34" t="n"/>
      <c r="K14" s="34" t="n"/>
      <c r="L14" s="34" t="n"/>
      <c r="M14" s="34" t="n"/>
      <c r="N14" s="34" t="n"/>
      <c r="O14" s="34" t="n"/>
    </row>
    <row r="15" ht="30" customHeight="1">
      <c r="A15" s="18" t="inlineStr">
        <is>
          <t>Market</t>
        </is>
      </c>
      <c r="B15" s="18" t="inlineStr">
        <is>
          <t>Local 10Y (%)</t>
        </is>
      </c>
      <c r="C15" s="18" t="inlineStr">
        <is>
          <t>d 1M (bp)</t>
        </is>
      </c>
      <c r="D15" s="18" t="inlineStr">
        <is>
          <t>d 3M (bp)</t>
        </is>
      </c>
      <c r="E15" s="18" t="inlineStr">
        <is>
          <t>d 6M (bp)</t>
        </is>
      </c>
      <c r="F15" s="18" t="inlineStr">
        <is>
          <t>d 1Y (bp)</t>
        </is>
      </c>
      <c r="G15" s="18" t="inlineStr">
        <is>
          <t>PT 1M</t>
        </is>
      </c>
      <c r="H15" s="18" t="inlineStr">
        <is>
          <t>PT 3M</t>
        </is>
      </c>
      <c r="I15" s="18" t="inlineStr">
        <is>
          <t>PT 6M</t>
        </is>
      </c>
      <c r="J15" s="18" t="inlineStr">
        <is>
          <t>PT 1Y</t>
        </is>
      </c>
      <c r="K15" s="18" t="inlineStr">
        <is>
          <t>PT 3Y</t>
        </is>
      </c>
      <c r="L15" s="18" t="inlineStr">
        <is>
          <t>FX 1M</t>
        </is>
      </c>
      <c r="M15" s="18" t="inlineStr">
        <is>
          <t>Local less UST (bp)</t>
        </is>
      </c>
      <c r="N15" s="18" t="inlineStr">
        <is>
          <t>%ile 5y (gap)</t>
        </is>
      </c>
      <c r="O15" s="18" t="inlineStr">
        <is>
          <t>Verdict</t>
        </is>
      </c>
    </row>
    <row r="16">
      <c r="A16" s="8" t="inlineStr">
        <is>
          <t>Poland 10Y</t>
        </is>
      </c>
      <c r="B16" s="20">
        <f>INDEX(HIST_D!$CG$8:$CG$2617,1)</f>
        <v/>
      </c>
      <c r="C16" s="21">
        <f>IFERROR((INDEX(HIST_D!$CG$8:$CG$2617,1)-INDEX(HIST_D!$CG$8:$CG$2617,Control!$F$8))*100,"")</f>
        <v/>
      </c>
      <c r="D16" s="21">
        <f>IFERROR((INDEX(HIST_D!$CG$8:$CG$2617,1)-INDEX(HIST_D!$CG$8:$CG$2617,Control!$F$9))*100,"")</f>
        <v/>
      </c>
      <c r="E16" s="21">
        <f>IFERROR((INDEX(HIST_D!$CG$8:$CG$2617,1)-INDEX(HIST_D!$CG$8:$CG$2617,Control!$F$10))*100,"")</f>
        <v/>
      </c>
      <c r="F16" s="21">
        <f>IFERROR((INDEX(HIST_D!$CG$8:$CG$2617,1)-INDEX(HIST_D!$CG$8:$CG$2617,Control!$F$11))*100,"")</f>
        <v/>
      </c>
      <c r="G16" s="43">
        <f>IF(ABS(((INDEX(HIST_D!$D$8:$D$2617,1)-INDEX(HIST_D!$D$8:$D$2617,Control!$F$8))*100))&lt;25,"n/m",IFERROR((((INDEX(HIST_D!$CG$8:$CG$2617,1)-INDEX(HIST_D!$CG$8:$CG$2617,Control!$F$8))*100))/(((INDEX(HIST_D!$D$8:$D$2617,1)-INDEX(HIST_D!$D$8:$D$2617,Control!$F$8))*100)),"n/m"))</f>
        <v/>
      </c>
      <c r="H16" s="43">
        <f>IF(ABS(((INDEX(HIST_D!$D$8:$D$2617,1)-INDEX(HIST_D!$D$8:$D$2617,Control!$F$9))*100))&lt;25,"n/m",IFERROR((((INDEX(HIST_D!$CG$8:$CG$2617,1)-INDEX(HIST_D!$CG$8:$CG$2617,Control!$F$9))*100))/(((INDEX(HIST_D!$D$8:$D$2617,1)-INDEX(HIST_D!$D$8:$D$2617,Control!$F$9))*100)),"n/m"))</f>
        <v/>
      </c>
      <c r="I16" s="43">
        <f>IF(ABS(((INDEX(HIST_D!$D$8:$D$2617,1)-INDEX(HIST_D!$D$8:$D$2617,Control!$F$10))*100))&lt;25,"n/m",IFERROR((((INDEX(HIST_D!$CG$8:$CG$2617,1)-INDEX(HIST_D!$CG$8:$CG$2617,Control!$F$10))*100))/(((INDEX(HIST_D!$D$8:$D$2617,1)-INDEX(HIST_D!$D$8:$D$2617,Control!$F$10))*100)),"n/m"))</f>
        <v/>
      </c>
      <c r="J16" s="43">
        <f>IF(ABS(((INDEX(HIST_D!$D$8:$D$2617,1)-INDEX(HIST_D!$D$8:$D$2617,Control!$F$11))*100))&lt;25,"n/m",IFERROR((((INDEX(HIST_D!$CG$8:$CG$2617,1)-INDEX(HIST_D!$CG$8:$CG$2617,Control!$F$11))*100))/(((INDEX(HIST_D!$D$8:$D$2617,1)-INDEX(HIST_D!$D$8:$D$2617,Control!$F$11))*100)),"n/m"))</f>
        <v/>
      </c>
      <c r="K16" s="43">
        <f>IF(ABS(((INDEX(HIST_D!$D$8:$D$2617,1)-INDEX(HIST_D!$D$8:$D$2617,Control!$F$13))*100))&lt;25,"n/m",IFERROR((((INDEX(HIST_D!$CG$8:$CG$2617,1)-INDEX(HIST_D!$CG$8:$CG$2617,Control!$F$13))*100))/(((INDEX(HIST_D!$D$8:$D$2617,1)-INDEX(HIST_D!$D$8:$D$2617,Control!$F$13))*100)),"n/m"))</f>
        <v/>
      </c>
      <c r="L16" s="24">
        <f>IFERROR(INDEX(HIST_D!$AG$8:$AG$2617,Control!$F$8)/INDEX(HIST_D!$AG$8:$AG$2617,1)-1,"")</f>
        <v/>
      </c>
      <c r="M16" s="41">
        <f>IFERROR((INDEX(HIST_D!$CG$8:$CG$2617,1)-INDEX(HIST_D!$D$8:$D$2617,1))*100,"")</f>
        <v/>
      </c>
      <c r="N16" s="22">
        <f>IFERROR(PERCENTRANK(HIST_D!$EA$8:INDEX(HIST_D!$EA$8:$EA$2617,Control!$F$14),(INDEX(HIST_D!$CG$8:$CG$2617,1)-INDEX(HIST_D!$D$8:$D$2617,1))*100),"")</f>
        <v/>
      </c>
      <c r="O16" s="8">
        <f>IF(NOT(ISNUMBER($G16)),"n/m",IF($G16&lt;0,"absorbed and tightened",IF($G16&lt;0.5,"absorbed most of it",IF($G16&lt;1,"partial pass-through",IF($G16&lt;1.5,"one-for-one","amplified")))))</f>
        <v/>
      </c>
    </row>
    <row r="17">
      <c r="A17" s="8" t="inlineStr">
        <is>
          <t>Hungary 10Y</t>
        </is>
      </c>
      <c r="B17" s="20">
        <f>INDEX(HIST_D!$CH$8:$CH$2617,1)</f>
        <v/>
      </c>
      <c r="C17" s="21">
        <f>IFERROR((INDEX(HIST_D!$CH$8:$CH$2617,1)-INDEX(HIST_D!$CH$8:$CH$2617,Control!$F$8))*100,"")</f>
        <v/>
      </c>
      <c r="D17" s="21">
        <f>IFERROR((INDEX(HIST_D!$CH$8:$CH$2617,1)-INDEX(HIST_D!$CH$8:$CH$2617,Control!$F$9))*100,"")</f>
        <v/>
      </c>
      <c r="E17" s="21">
        <f>IFERROR((INDEX(HIST_D!$CH$8:$CH$2617,1)-INDEX(HIST_D!$CH$8:$CH$2617,Control!$F$10))*100,"")</f>
        <v/>
      </c>
      <c r="F17" s="21">
        <f>IFERROR((INDEX(HIST_D!$CH$8:$CH$2617,1)-INDEX(HIST_D!$CH$8:$CH$2617,Control!$F$11))*100,"")</f>
        <v/>
      </c>
      <c r="G17" s="43">
        <f>IF(ABS(((INDEX(HIST_D!$D$8:$D$2617,1)-INDEX(HIST_D!$D$8:$D$2617,Control!$F$8))*100))&lt;25,"n/m",IFERROR((((INDEX(HIST_D!$CH$8:$CH$2617,1)-INDEX(HIST_D!$CH$8:$CH$2617,Control!$F$8))*100))/(((INDEX(HIST_D!$D$8:$D$2617,1)-INDEX(HIST_D!$D$8:$D$2617,Control!$F$8))*100)),"n/m"))</f>
        <v/>
      </c>
      <c r="H17" s="43">
        <f>IF(ABS(((INDEX(HIST_D!$D$8:$D$2617,1)-INDEX(HIST_D!$D$8:$D$2617,Control!$F$9))*100))&lt;25,"n/m",IFERROR((((INDEX(HIST_D!$CH$8:$CH$2617,1)-INDEX(HIST_D!$CH$8:$CH$2617,Control!$F$9))*100))/(((INDEX(HIST_D!$D$8:$D$2617,1)-INDEX(HIST_D!$D$8:$D$2617,Control!$F$9))*100)),"n/m"))</f>
        <v/>
      </c>
      <c r="I17" s="43">
        <f>IF(ABS(((INDEX(HIST_D!$D$8:$D$2617,1)-INDEX(HIST_D!$D$8:$D$2617,Control!$F$10))*100))&lt;25,"n/m",IFERROR((((INDEX(HIST_D!$CH$8:$CH$2617,1)-INDEX(HIST_D!$CH$8:$CH$2617,Control!$F$10))*100))/(((INDEX(HIST_D!$D$8:$D$2617,1)-INDEX(HIST_D!$D$8:$D$2617,Control!$F$10))*100)),"n/m"))</f>
        <v/>
      </c>
      <c r="J17" s="43">
        <f>IF(ABS(((INDEX(HIST_D!$D$8:$D$2617,1)-INDEX(HIST_D!$D$8:$D$2617,Control!$F$11))*100))&lt;25,"n/m",IFERROR((((INDEX(HIST_D!$CH$8:$CH$2617,1)-INDEX(HIST_D!$CH$8:$CH$2617,Control!$F$11))*100))/(((INDEX(HIST_D!$D$8:$D$2617,1)-INDEX(HIST_D!$D$8:$D$2617,Control!$F$11))*100)),"n/m"))</f>
        <v/>
      </c>
      <c r="K17" s="43">
        <f>IF(ABS(((INDEX(HIST_D!$D$8:$D$2617,1)-INDEX(HIST_D!$D$8:$D$2617,Control!$F$13))*100))&lt;25,"n/m",IFERROR((((INDEX(HIST_D!$CH$8:$CH$2617,1)-INDEX(HIST_D!$CH$8:$CH$2617,Control!$F$13))*100))/(((INDEX(HIST_D!$D$8:$D$2617,1)-INDEX(HIST_D!$D$8:$D$2617,Control!$F$13))*100)),"n/m"))</f>
        <v/>
      </c>
      <c r="L17" s="24">
        <f>IFERROR(INDEX(HIST_D!$AH$8:$AH$2617,Control!$F$8)/INDEX(HIST_D!$AH$8:$AH$2617,1)-1,"")</f>
        <v/>
      </c>
      <c r="M17" s="41">
        <f>IFERROR((INDEX(HIST_D!$CH$8:$CH$2617,1)-INDEX(HIST_D!$D$8:$D$2617,1))*100,"")</f>
        <v/>
      </c>
      <c r="N17" s="22">
        <f>IFERROR(PERCENTRANK(HIST_D!$EA$8:INDEX(HIST_D!$EA$8:$EA$2617,Control!$F$14),(INDEX(HIST_D!$CH$8:$CH$2617,1)-INDEX(HIST_D!$D$8:$D$2617,1))*100),"")</f>
        <v/>
      </c>
      <c r="O17" s="8">
        <f>IF(NOT(ISNUMBER($G17)),"n/m",IF($G17&lt;0,"absorbed and tightened",IF($G17&lt;0.5,"absorbed most of it",IF($G17&lt;1,"partial pass-through",IF($G17&lt;1.5,"one-for-one","amplified")))))</f>
        <v/>
      </c>
    </row>
    <row r="18">
      <c r="A18" s="8" t="inlineStr">
        <is>
          <t>Czechia 10Y</t>
        </is>
      </c>
      <c r="B18" s="20">
        <f>INDEX(HIST_D!$CI$8:$CI$2617,1)</f>
        <v/>
      </c>
      <c r="C18" s="21">
        <f>IFERROR((INDEX(HIST_D!$CI$8:$CI$2617,1)-INDEX(HIST_D!$CI$8:$CI$2617,Control!$F$8))*100,"")</f>
        <v/>
      </c>
      <c r="D18" s="21">
        <f>IFERROR((INDEX(HIST_D!$CI$8:$CI$2617,1)-INDEX(HIST_D!$CI$8:$CI$2617,Control!$F$9))*100,"")</f>
        <v/>
      </c>
      <c r="E18" s="21">
        <f>IFERROR((INDEX(HIST_D!$CI$8:$CI$2617,1)-INDEX(HIST_D!$CI$8:$CI$2617,Control!$F$10))*100,"")</f>
        <v/>
      </c>
      <c r="F18" s="21">
        <f>IFERROR((INDEX(HIST_D!$CI$8:$CI$2617,1)-INDEX(HIST_D!$CI$8:$CI$2617,Control!$F$11))*100,"")</f>
        <v/>
      </c>
      <c r="G18" s="43">
        <f>IF(ABS(((INDEX(HIST_D!$D$8:$D$2617,1)-INDEX(HIST_D!$D$8:$D$2617,Control!$F$8))*100))&lt;25,"n/m",IFERROR((((INDEX(HIST_D!$CI$8:$CI$2617,1)-INDEX(HIST_D!$CI$8:$CI$2617,Control!$F$8))*100))/(((INDEX(HIST_D!$D$8:$D$2617,1)-INDEX(HIST_D!$D$8:$D$2617,Control!$F$8))*100)),"n/m"))</f>
        <v/>
      </c>
      <c r="H18" s="43">
        <f>IF(ABS(((INDEX(HIST_D!$D$8:$D$2617,1)-INDEX(HIST_D!$D$8:$D$2617,Control!$F$9))*100))&lt;25,"n/m",IFERROR((((INDEX(HIST_D!$CI$8:$CI$2617,1)-INDEX(HIST_D!$CI$8:$CI$2617,Control!$F$9))*100))/(((INDEX(HIST_D!$D$8:$D$2617,1)-INDEX(HIST_D!$D$8:$D$2617,Control!$F$9))*100)),"n/m"))</f>
        <v/>
      </c>
      <c r="I18" s="43">
        <f>IF(ABS(((INDEX(HIST_D!$D$8:$D$2617,1)-INDEX(HIST_D!$D$8:$D$2617,Control!$F$10))*100))&lt;25,"n/m",IFERROR((((INDEX(HIST_D!$CI$8:$CI$2617,1)-INDEX(HIST_D!$CI$8:$CI$2617,Control!$F$10))*100))/(((INDEX(HIST_D!$D$8:$D$2617,1)-INDEX(HIST_D!$D$8:$D$2617,Control!$F$10))*100)),"n/m"))</f>
        <v/>
      </c>
      <c r="J18" s="43">
        <f>IF(ABS(((INDEX(HIST_D!$D$8:$D$2617,1)-INDEX(HIST_D!$D$8:$D$2617,Control!$F$11))*100))&lt;25,"n/m",IFERROR((((INDEX(HIST_D!$CI$8:$CI$2617,1)-INDEX(HIST_D!$CI$8:$CI$2617,Control!$F$11))*100))/(((INDEX(HIST_D!$D$8:$D$2617,1)-INDEX(HIST_D!$D$8:$D$2617,Control!$F$11))*100)),"n/m"))</f>
        <v/>
      </c>
      <c r="K18" s="43">
        <f>IF(ABS(((INDEX(HIST_D!$D$8:$D$2617,1)-INDEX(HIST_D!$D$8:$D$2617,Control!$F$13))*100))&lt;25,"n/m",IFERROR((((INDEX(HIST_D!$CI$8:$CI$2617,1)-INDEX(HIST_D!$CI$8:$CI$2617,Control!$F$13))*100))/(((INDEX(HIST_D!$D$8:$D$2617,1)-INDEX(HIST_D!$D$8:$D$2617,Control!$F$13))*100)),"n/m"))</f>
        <v/>
      </c>
      <c r="L18" s="24">
        <f>IFERROR(INDEX(HIST_D!$AI$8:$AI$2617,Control!$F$8)/INDEX(HIST_D!$AI$8:$AI$2617,1)-1,"")</f>
        <v/>
      </c>
      <c r="M18" s="41">
        <f>IFERROR((INDEX(HIST_D!$CI$8:$CI$2617,1)-INDEX(HIST_D!$D$8:$D$2617,1))*100,"")</f>
        <v/>
      </c>
      <c r="N18" s="22">
        <f>IFERROR(PERCENTRANK(HIST_D!$EA$8:INDEX(HIST_D!$EA$8:$EA$2617,Control!$F$14),(INDEX(HIST_D!$CI$8:$CI$2617,1)-INDEX(HIST_D!$D$8:$D$2617,1))*100),"")</f>
        <v/>
      </c>
      <c r="O18" s="8">
        <f>IF(NOT(ISNUMBER($G18)),"n/m",IF($G18&lt;0,"absorbed and tightened",IF($G18&lt;0.5,"absorbed most of it",IF($G18&lt;1,"partial pass-through",IF($G18&lt;1.5,"one-for-one","amplified")))))</f>
        <v/>
      </c>
    </row>
    <row r="19">
      <c r="A19" s="8" t="inlineStr">
        <is>
          <t>Romania 10Y</t>
        </is>
      </c>
      <c r="B19" s="20">
        <f>INDEX(HIST_D!$CJ$8:$CJ$2617,1)</f>
        <v/>
      </c>
      <c r="C19" s="21">
        <f>IFERROR((INDEX(HIST_D!$CJ$8:$CJ$2617,1)-INDEX(HIST_D!$CJ$8:$CJ$2617,Control!$F$8))*100,"")</f>
        <v/>
      </c>
      <c r="D19" s="21">
        <f>IFERROR((INDEX(HIST_D!$CJ$8:$CJ$2617,1)-INDEX(HIST_D!$CJ$8:$CJ$2617,Control!$F$9))*100,"")</f>
        <v/>
      </c>
      <c r="E19" s="21">
        <f>IFERROR((INDEX(HIST_D!$CJ$8:$CJ$2617,1)-INDEX(HIST_D!$CJ$8:$CJ$2617,Control!$F$10))*100,"")</f>
        <v/>
      </c>
      <c r="F19" s="21">
        <f>IFERROR((INDEX(HIST_D!$CJ$8:$CJ$2617,1)-INDEX(HIST_D!$CJ$8:$CJ$2617,Control!$F$11))*100,"")</f>
        <v/>
      </c>
      <c r="G19" s="43">
        <f>IF(ABS(((INDEX(HIST_D!$D$8:$D$2617,1)-INDEX(HIST_D!$D$8:$D$2617,Control!$F$8))*100))&lt;25,"n/m",IFERROR((((INDEX(HIST_D!$CJ$8:$CJ$2617,1)-INDEX(HIST_D!$CJ$8:$CJ$2617,Control!$F$8))*100))/(((INDEX(HIST_D!$D$8:$D$2617,1)-INDEX(HIST_D!$D$8:$D$2617,Control!$F$8))*100)),"n/m"))</f>
        <v/>
      </c>
      <c r="H19" s="43">
        <f>IF(ABS(((INDEX(HIST_D!$D$8:$D$2617,1)-INDEX(HIST_D!$D$8:$D$2617,Control!$F$9))*100))&lt;25,"n/m",IFERROR((((INDEX(HIST_D!$CJ$8:$CJ$2617,1)-INDEX(HIST_D!$CJ$8:$CJ$2617,Control!$F$9))*100))/(((INDEX(HIST_D!$D$8:$D$2617,1)-INDEX(HIST_D!$D$8:$D$2617,Control!$F$9))*100)),"n/m"))</f>
        <v/>
      </c>
      <c r="I19" s="43">
        <f>IF(ABS(((INDEX(HIST_D!$D$8:$D$2617,1)-INDEX(HIST_D!$D$8:$D$2617,Control!$F$10))*100))&lt;25,"n/m",IFERROR((((INDEX(HIST_D!$CJ$8:$CJ$2617,1)-INDEX(HIST_D!$CJ$8:$CJ$2617,Control!$F$10))*100))/(((INDEX(HIST_D!$D$8:$D$2617,1)-INDEX(HIST_D!$D$8:$D$2617,Control!$F$10))*100)),"n/m"))</f>
        <v/>
      </c>
      <c r="J19" s="43">
        <f>IF(ABS(((INDEX(HIST_D!$D$8:$D$2617,1)-INDEX(HIST_D!$D$8:$D$2617,Control!$F$11))*100))&lt;25,"n/m",IFERROR((((INDEX(HIST_D!$CJ$8:$CJ$2617,1)-INDEX(HIST_D!$CJ$8:$CJ$2617,Control!$F$11))*100))/(((INDEX(HIST_D!$D$8:$D$2617,1)-INDEX(HIST_D!$D$8:$D$2617,Control!$F$11))*100)),"n/m"))</f>
        <v/>
      </c>
      <c r="K19" s="43">
        <f>IF(ABS(((INDEX(HIST_D!$D$8:$D$2617,1)-INDEX(HIST_D!$D$8:$D$2617,Control!$F$13))*100))&lt;25,"n/m",IFERROR((((INDEX(HIST_D!$CJ$8:$CJ$2617,1)-INDEX(HIST_D!$CJ$8:$CJ$2617,Control!$F$13))*100))/(((INDEX(HIST_D!$D$8:$D$2617,1)-INDEX(HIST_D!$D$8:$D$2617,Control!$F$13))*100)),"n/m"))</f>
        <v/>
      </c>
      <c r="L19" s="24">
        <f>IFERROR(INDEX(HIST_D!$AJ$8:$AJ$2617,Control!$F$8)/INDEX(HIST_D!$AJ$8:$AJ$2617,1)-1,"")</f>
        <v/>
      </c>
      <c r="M19" s="41">
        <f>IFERROR((INDEX(HIST_D!$CJ$8:$CJ$2617,1)-INDEX(HIST_D!$D$8:$D$2617,1))*100,"")</f>
        <v/>
      </c>
      <c r="N19" s="22">
        <f>IFERROR(PERCENTRANK(HIST_D!$EA$8:INDEX(HIST_D!$EA$8:$EA$2617,Control!$F$14),(INDEX(HIST_D!$CJ$8:$CJ$2617,1)-INDEX(HIST_D!$D$8:$D$2617,1))*100),"")</f>
        <v/>
      </c>
      <c r="O19" s="8">
        <f>IF(NOT(ISNUMBER($G19)),"n/m",IF($G19&lt;0,"absorbed and tightened",IF($G19&lt;0.5,"absorbed most of it",IF($G19&lt;1,"partial pass-through",IF($G19&lt;1.5,"one-for-one","amplified")))))</f>
        <v/>
      </c>
    </row>
    <row r="20">
      <c r="A20" s="8" t="inlineStr">
        <is>
          <t>Turkiye 10Y</t>
        </is>
      </c>
      <c r="B20" s="20">
        <f>INDEX(HIST_D!$CK$8:$CK$2617,1)</f>
        <v/>
      </c>
      <c r="C20" s="21">
        <f>IFERROR((INDEX(HIST_D!$CK$8:$CK$2617,1)-INDEX(HIST_D!$CK$8:$CK$2617,Control!$F$8))*100,"")</f>
        <v/>
      </c>
      <c r="D20" s="21">
        <f>IFERROR((INDEX(HIST_D!$CK$8:$CK$2617,1)-INDEX(HIST_D!$CK$8:$CK$2617,Control!$F$9))*100,"")</f>
        <v/>
      </c>
      <c r="E20" s="21">
        <f>IFERROR((INDEX(HIST_D!$CK$8:$CK$2617,1)-INDEX(HIST_D!$CK$8:$CK$2617,Control!$F$10))*100,"")</f>
        <v/>
      </c>
      <c r="F20" s="21">
        <f>IFERROR((INDEX(HIST_D!$CK$8:$CK$2617,1)-INDEX(HIST_D!$CK$8:$CK$2617,Control!$F$11))*100,"")</f>
        <v/>
      </c>
      <c r="G20" s="43">
        <f>IF(ABS(((INDEX(HIST_D!$D$8:$D$2617,1)-INDEX(HIST_D!$D$8:$D$2617,Control!$F$8))*100))&lt;25,"n/m",IFERROR((((INDEX(HIST_D!$CK$8:$CK$2617,1)-INDEX(HIST_D!$CK$8:$CK$2617,Control!$F$8))*100))/(((INDEX(HIST_D!$D$8:$D$2617,1)-INDEX(HIST_D!$D$8:$D$2617,Control!$F$8))*100)),"n/m"))</f>
        <v/>
      </c>
      <c r="H20" s="43">
        <f>IF(ABS(((INDEX(HIST_D!$D$8:$D$2617,1)-INDEX(HIST_D!$D$8:$D$2617,Control!$F$9))*100))&lt;25,"n/m",IFERROR((((INDEX(HIST_D!$CK$8:$CK$2617,1)-INDEX(HIST_D!$CK$8:$CK$2617,Control!$F$9))*100))/(((INDEX(HIST_D!$D$8:$D$2617,1)-INDEX(HIST_D!$D$8:$D$2617,Control!$F$9))*100)),"n/m"))</f>
        <v/>
      </c>
      <c r="I20" s="43">
        <f>IF(ABS(((INDEX(HIST_D!$D$8:$D$2617,1)-INDEX(HIST_D!$D$8:$D$2617,Control!$F$10))*100))&lt;25,"n/m",IFERROR((((INDEX(HIST_D!$CK$8:$CK$2617,1)-INDEX(HIST_D!$CK$8:$CK$2617,Control!$F$10))*100))/(((INDEX(HIST_D!$D$8:$D$2617,1)-INDEX(HIST_D!$D$8:$D$2617,Control!$F$10))*100)),"n/m"))</f>
        <v/>
      </c>
      <c r="J20" s="43">
        <f>IF(ABS(((INDEX(HIST_D!$D$8:$D$2617,1)-INDEX(HIST_D!$D$8:$D$2617,Control!$F$11))*100))&lt;25,"n/m",IFERROR((((INDEX(HIST_D!$CK$8:$CK$2617,1)-INDEX(HIST_D!$CK$8:$CK$2617,Control!$F$11))*100))/(((INDEX(HIST_D!$D$8:$D$2617,1)-INDEX(HIST_D!$D$8:$D$2617,Control!$F$11))*100)),"n/m"))</f>
        <v/>
      </c>
      <c r="K20" s="43">
        <f>IF(ABS(((INDEX(HIST_D!$D$8:$D$2617,1)-INDEX(HIST_D!$D$8:$D$2617,Control!$F$13))*100))&lt;25,"n/m",IFERROR((((INDEX(HIST_D!$CK$8:$CK$2617,1)-INDEX(HIST_D!$CK$8:$CK$2617,Control!$F$13))*100))/(((INDEX(HIST_D!$D$8:$D$2617,1)-INDEX(HIST_D!$D$8:$D$2617,Control!$F$13))*100)),"n/m"))</f>
        <v/>
      </c>
      <c r="L20" s="24">
        <f>IFERROR(INDEX(HIST_D!$AK$8:$AK$2617,Control!$F$8)/INDEX(HIST_D!$AK$8:$AK$2617,1)-1,"")</f>
        <v/>
      </c>
      <c r="M20" s="41">
        <f>IFERROR((INDEX(HIST_D!$CK$8:$CK$2617,1)-INDEX(HIST_D!$D$8:$D$2617,1))*100,"")</f>
        <v/>
      </c>
      <c r="N20" s="22">
        <f>IFERROR(PERCENTRANK(HIST_D!$EA$8:INDEX(HIST_D!$EA$8:$EA$2617,Control!$F$14),(INDEX(HIST_D!$CK$8:$CK$2617,1)-INDEX(HIST_D!$D$8:$D$2617,1))*100),"")</f>
        <v/>
      </c>
      <c r="O20" s="8">
        <f>IF(NOT(ISNUMBER($G20)),"n/m",IF($G20&lt;0,"absorbed and tightened",IF($G20&lt;0.5,"absorbed most of it",IF($G20&lt;1,"partial pass-through",IF($G20&lt;1.5,"one-for-one","amplified")))))</f>
        <v/>
      </c>
    </row>
    <row r="21">
      <c r="A21" s="28" t="inlineStr">
        <is>
          <t>EM Europe (eq-wgt, n=5)</t>
        </is>
      </c>
      <c r="B21" s="51">
        <f>IFERROR(AVERAGE(B16,B17,B18,B19,B20),"")</f>
        <v/>
      </c>
      <c r="C21" s="45">
        <f>IFERROR(AVERAGE(C16,C17,C18,C19,C20),"")</f>
        <v/>
      </c>
      <c r="D21" s="45">
        <f>IFERROR(AVERAGE(D16,D17,D18,D19,D20),"")</f>
        <v/>
      </c>
      <c r="E21" s="45">
        <f>IFERROR(AVERAGE(E16,E17,E18,E19,E20),"")</f>
        <v/>
      </c>
      <c r="F21" s="45">
        <f>IFERROR(AVERAGE(F16,F17,F18,F19,F20),"")</f>
        <v/>
      </c>
      <c r="G21" s="52">
        <f>IFERROR(AVERAGE(G16,G17,G18,G19,G20),"")</f>
        <v/>
      </c>
      <c r="H21" s="52">
        <f>IFERROR(AVERAGE(H16,H17,H18,H19,H20),"")</f>
        <v/>
      </c>
      <c r="I21" s="52">
        <f>IFERROR(AVERAGE(I16,I17,I18,I19,I20),"")</f>
        <v/>
      </c>
      <c r="J21" s="52">
        <f>IFERROR(AVERAGE(J16,J17,J18,J19,J20),"")</f>
        <v/>
      </c>
      <c r="K21" s="52">
        <f>IFERROR(AVERAGE(K16,K17,K18,K19,K20),"")</f>
        <v/>
      </c>
      <c r="L21" s="36">
        <f>IFERROR(AVERAGE(L16,L17,L18,L19,L20),"")</f>
        <v/>
      </c>
      <c r="M21" s="53">
        <f>IFERROR(AVERAGE(M16,M17,M18,M19,M20),"")</f>
        <v/>
      </c>
      <c r="N21" s="37">
        <f>IFERROR(AVERAGE(N16,N17,N18,N19,N20),"")</f>
        <v/>
      </c>
    </row>
    <row r="22">
      <c r="A22" s="10">
        <f>IFERROR("EM Europe: local 10Y "&amp;TEXT($C$21,"+0;-0")&amp;"bp on the month against the US, pass-through "&amp;IF(ISNUMBER($G$21),TEXT($G$21,"0.00")&amp;"x","n/m")&amp;" over 1M and "&amp;IF(ISNUMBER($J$21),TEXT($J$21,"0.00")&amp;"x","n/m")&amp;" over 1Y; FX "&amp;TEXT($L$21,"+0.0%;-0.0%")&amp;". "&amp;IF(NOT(ISNUMBER($G$21)),"The US move over this window is too small to form a ratio.",IF($G$21&lt;0.5,"The curve is absorbing most of the US move rather than importing it.",IF($G$21&lt;1,"Partial pass-through — some import, but less than one-for-one.","The curve is taking the full US move or more; this is where the digestion argument is weakest.")))&amp;" ","")</f>
        <v/>
      </c>
    </row>
    <row r="24" ht="16" customHeight="1">
      <c r="A24" s="33" t="inlineStr">
        <is>
          <t>MIDDLE EAST &amp; AFRICA</t>
        </is>
      </c>
      <c r="B24" s="34" t="n"/>
      <c r="C24" s="34" t="n"/>
      <c r="D24" s="34" t="n"/>
      <c r="E24" s="34" t="n"/>
      <c r="F24" s="34" t="n"/>
      <c r="G24" s="34" t="n"/>
      <c r="H24" s="34" t="n"/>
      <c r="I24" s="34" t="n"/>
      <c r="J24" s="34" t="n"/>
      <c r="K24" s="34" t="n"/>
      <c r="L24" s="34" t="n"/>
      <c r="M24" s="34" t="n"/>
      <c r="N24" s="34" t="n"/>
      <c r="O24" s="34" t="n"/>
    </row>
    <row r="25" ht="30" customHeight="1">
      <c r="A25" s="18" t="inlineStr">
        <is>
          <t>Market</t>
        </is>
      </c>
      <c r="B25" s="18" t="inlineStr">
        <is>
          <t>Local 10Y (%)</t>
        </is>
      </c>
      <c r="C25" s="18" t="inlineStr">
        <is>
          <t>d 1M (bp)</t>
        </is>
      </c>
      <c r="D25" s="18" t="inlineStr">
        <is>
          <t>d 3M (bp)</t>
        </is>
      </c>
      <c r="E25" s="18" t="inlineStr">
        <is>
          <t>d 6M (bp)</t>
        </is>
      </c>
      <c r="F25" s="18" t="inlineStr">
        <is>
          <t>d 1Y (bp)</t>
        </is>
      </c>
      <c r="G25" s="18" t="inlineStr">
        <is>
          <t>PT 1M</t>
        </is>
      </c>
      <c r="H25" s="18" t="inlineStr">
        <is>
          <t>PT 3M</t>
        </is>
      </c>
      <c r="I25" s="18" t="inlineStr">
        <is>
          <t>PT 6M</t>
        </is>
      </c>
      <c r="J25" s="18" t="inlineStr">
        <is>
          <t>PT 1Y</t>
        </is>
      </c>
      <c r="K25" s="18" t="inlineStr">
        <is>
          <t>PT 3Y</t>
        </is>
      </c>
      <c r="L25" s="18" t="inlineStr">
        <is>
          <t>FX 1M</t>
        </is>
      </c>
      <c r="M25" s="18" t="inlineStr">
        <is>
          <t>Local less UST (bp)</t>
        </is>
      </c>
      <c r="N25" s="18" t="inlineStr">
        <is>
          <t>%ile 5y (gap)</t>
        </is>
      </c>
      <c r="O25" s="18" t="inlineStr">
        <is>
          <t>Verdict</t>
        </is>
      </c>
    </row>
    <row r="26">
      <c r="A26" s="8" t="inlineStr">
        <is>
          <t>Israel 10Y</t>
        </is>
      </c>
      <c r="B26" s="20">
        <f>INDEX(HIST_D!$CL$8:$CL$2617,1)</f>
        <v/>
      </c>
      <c r="C26" s="21">
        <f>IFERROR((INDEX(HIST_D!$CL$8:$CL$2617,1)-INDEX(HIST_D!$CL$8:$CL$2617,Control!$F$8))*100,"")</f>
        <v/>
      </c>
      <c r="D26" s="21">
        <f>IFERROR((INDEX(HIST_D!$CL$8:$CL$2617,1)-INDEX(HIST_D!$CL$8:$CL$2617,Control!$F$9))*100,"")</f>
        <v/>
      </c>
      <c r="E26" s="21">
        <f>IFERROR((INDEX(HIST_D!$CL$8:$CL$2617,1)-INDEX(HIST_D!$CL$8:$CL$2617,Control!$F$10))*100,"")</f>
        <v/>
      </c>
      <c r="F26" s="21">
        <f>IFERROR((INDEX(HIST_D!$CL$8:$CL$2617,1)-INDEX(HIST_D!$CL$8:$CL$2617,Control!$F$11))*100,"")</f>
        <v/>
      </c>
      <c r="G26" s="43">
        <f>IF(ABS(((INDEX(HIST_D!$D$8:$D$2617,1)-INDEX(HIST_D!$D$8:$D$2617,Control!$F$8))*100))&lt;25,"n/m",IFERROR((((INDEX(HIST_D!$CL$8:$CL$2617,1)-INDEX(HIST_D!$CL$8:$CL$2617,Control!$F$8))*100))/(((INDEX(HIST_D!$D$8:$D$2617,1)-INDEX(HIST_D!$D$8:$D$2617,Control!$F$8))*100)),"n/m"))</f>
        <v/>
      </c>
      <c r="H26" s="43">
        <f>IF(ABS(((INDEX(HIST_D!$D$8:$D$2617,1)-INDEX(HIST_D!$D$8:$D$2617,Control!$F$9))*100))&lt;25,"n/m",IFERROR((((INDEX(HIST_D!$CL$8:$CL$2617,1)-INDEX(HIST_D!$CL$8:$CL$2617,Control!$F$9))*100))/(((INDEX(HIST_D!$D$8:$D$2617,1)-INDEX(HIST_D!$D$8:$D$2617,Control!$F$9))*100)),"n/m"))</f>
        <v/>
      </c>
      <c r="I26" s="43">
        <f>IF(ABS(((INDEX(HIST_D!$D$8:$D$2617,1)-INDEX(HIST_D!$D$8:$D$2617,Control!$F$10))*100))&lt;25,"n/m",IFERROR((((INDEX(HIST_D!$CL$8:$CL$2617,1)-INDEX(HIST_D!$CL$8:$CL$2617,Control!$F$10))*100))/(((INDEX(HIST_D!$D$8:$D$2617,1)-INDEX(HIST_D!$D$8:$D$2617,Control!$F$10))*100)),"n/m"))</f>
        <v/>
      </c>
      <c r="J26" s="43">
        <f>IF(ABS(((INDEX(HIST_D!$D$8:$D$2617,1)-INDEX(HIST_D!$D$8:$D$2617,Control!$F$11))*100))&lt;25,"n/m",IFERROR((((INDEX(HIST_D!$CL$8:$CL$2617,1)-INDEX(HIST_D!$CL$8:$CL$2617,Control!$F$11))*100))/(((INDEX(HIST_D!$D$8:$D$2617,1)-INDEX(HIST_D!$D$8:$D$2617,Control!$F$11))*100)),"n/m"))</f>
        <v/>
      </c>
      <c r="K26" s="43">
        <f>IF(ABS(((INDEX(HIST_D!$D$8:$D$2617,1)-INDEX(HIST_D!$D$8:$D$2617,Control!$F$13))*100))&lt;25,"n/m",IFERROR((((INDEX(HIST_D!$CL$8:$CL$2617,1)-INDEX(HIST_D!$CL$8:$CL$2617,Control!$F$13))*100))/(((INDEX(HIST_D!$D$8:$D$2617,1)-INDEX(HIST_D!$D$8:$D$2617,Control!$F$13))*100)),"n/m"))</f>
        <v/>
      </c>
      <c r="L26" s="24">
        <f>IFERROR(INDEX(HIST_D!$AL$8:$AL$2617,Control!$F$8)/INDEX(HIST_D!$AL$8:$AL$2617,1)-1,"")</f>
        <v/>
      </c>
      <c r="M26" s="41">
        <f>IFERROR((INDEX(HIST_D!$CL$8:$CL$2617,1)-INDEX(HIST_D!$D$8:$D$2617,1))*100,"")</f>
        <v/>
      </c>
      <c r="N26" s="22">
        <f>IFERROR(PERCENTRANK(HIST_D!$EA$8:INDEX(HIST_D!$EA$8:$EA$2617,Control!$F$14),(INDEX(HIST_D!$CL$8:$CL$2617,1)-INDEX(HIST_D!$D$8:$D$2617,1))*100),"")</f>
        <v/>
      </c>
      <c r="O26" s="8">
        <f>IF(NOT(ISNUMBER($G26)),"n/m",IF($G26&lt;0,"absorbed and tightened",IF($G26&lt;0.5,"absorbed most of it",IF($G26&lt;1,"partial pass-through",IF($G26&lt;1.5,"one-for-one","amplified")))))</f>
        <v/>
      </c>
    </row>
    <row r="27">
      <c r="A27" s="8" t="inlineStr">
        <is>
          <t>South Africa 10Y</t>
        </is>
      </c>
      <c r="B27" s="20">
        <f>INDEX(HIST_D!$CM$8:$CM$2617,1)</f>
        <v/>
      </c>
      <c r="C27" s="21">
        <f>IFERROR((INDEX(HIST_D!$CM$8:$CM$2617,1)-INDEX(HIST_D!$CM$8:$CM$2617,Control!$F$8))*100,"")</f>
        <v/>
      </c>
      <c r="D27" s="21">
        <f>IFERROR((INDEX(HIST_D!$CM$8:$CM$2617,1)-INDEX(HIST_D!$CM$8:$CM$2617,Control!$F$9))*100,"")</f>
        <v/>
      </c>
      <c r="E27" s="21">
        <f>IFERROR((INDEX(HIST_D!$CM$8:$CM$2617,1)-INDEX(HIST_D!$CM$8:$CM$2617,Control!$F$10))*100,"")</f>
        <v/>
      </c>
      <c r="F27" s="21">
        <f>IFERROR((INDEX(HIST_D!$CM$8:$CM$2617,1)-INDEX(HIST_D!$CM$8:$CM$2617,Control!$F$11))*100,"")</f>
        <v/>
      </c>
      <c r="G27" s="43">
        <f>IF(ABS(((INDEX(HIST_D!$D$8:$D$2617,1)-INDEX(HIST_D!$D$8:$D$2617,Control!$F$8))*100))&lt;25,"n/m",IFERROR((((INDEX(HIST_D!$CM$8:$CM$2617,1)-INDEX(HIST_D!$CM$8:$CM$2617,Control!$F$8))*100))/(((INDEX(HIST_D!$D$8:$D$2617,1)-INDEX(HIST_D!$D$8:$D$2617,Control!$F$8))*100)),"n/m"))</f>
        <v/>
      </c>
      <c r="H27" s="43">
        <f>IF(ABS(((INDEX(HIST_D!$D$8:$D$2617,1)-INDEX(HIST_D!$D$8:$D$2617,Control!$F$9))*100))&lt;25,"n/m",IFERROR((((INDEX(HIST_D!$CM$8:$CM$2617,1)-INDEX(HIST_D!$CM$8:$CM$2617,Control!$F$9))*100))/(((INDEX(HIST_D!$D$8:$D$2617,1)-INDEX(HIST_D!$D$8:$D$2617,Control!$F$9))*100)),"n/m"))</f>
        <v/>
      </c>
      <c r="I27" s="43">
        <f>IF(ABS(((INDEX(HIST_D!$D$8:$D$2617,1)-INDEX(HIST_D!$D$8:$D$2617,Control!$F$10))*100))&lt;25,"n/m",IFERROR((((INDEX(HIST_D!$CM$8:$CM$2617,1)-INDEX(HIST_D!$CM$8:$CM$2617,Control!$F$10))*100))/(((INDEX(HIST_D!$D$8:$D$2617,1)-INDEX(HIST_D!$D$8:$D$2617,Control!$F$10))*100)),"n/m"))</f>
        <v/>
      </c>
      <c r="J27" s="43">
        <f>IF(ABS(((INDEX(HIST_D!$D$8:$D$2617,1)-INDEX(HIST_D!$D$8:$D$2617,Control!$F$11))*100))&lt;25,"n/m",IFERROR((((INDEX(HIST_D!$CM$8:$CM$2617,1)-INDEX(HIST_D!$CM$8:$CM$2617,Control!$F$11))*100))/(((INDEX(HIST_D!$D$8:$D$2617,1)-INDEX(HIST_D!$D$8:$D$2617,Control!$F$11))*100)),"n/m"))</f>
        <v/>
      </c>
      <c r="K27" s="43">
        <f>IF(ABS(((INDEX(HIST_D!$D$8:$D$2617,1)-INDEX(HIST_D!$D$8:$D$2617,Control!$F$13))*100))&lt;25,"n/m",IFERROR((((INDEX(HIST_D!$CM$8:$CM$2617,1)-INDEX(HIST_D!$CM$8:$CM$2617,Control!$F$13))*100))/(((INDEX(HIST_D!$D$8:$D$2617,1)-INDEX(HIST_D!$D$8:$D$2617,Control!$F$13))*100)),"n/m"))</f>
        <v/>
      </c>
      <c r="L27" s="24">
        <f>IFERROR(INDEX(HIST_D!$AM$8:$AM$2617,Control!$F$8)/INDEX(HIST_D!$AM$8:$AM$2617,1)-1,"")</f>
        <v/>
      </c>
      <c r="M27" s="41">
        <f>IFERROR((INDEX(HIST_D!$CM$8:$CM$2617,1)-INDEX(HIST_D!$D$8:$D$2617,1))*100,"")</f>
        <v/>
      </c>
      <c r="N27" s="22">
        <f>IFERROR(PERCENTRANK(HIST_D!$EA$8:INDEX(HIST_D!$EA$8:$EA$2617,Control!$F$14),(INDEX(HIST_D!$CM$8:$CM$2617,1)-INDEX(HIST_D!$D$8:$D$2617,1))*100),"")</f>
        <v/>
      </c>
      <c r="O27" s="8">
        <f>IF(NOT(ISNUMBER($G27)),"n/m",IF($G27&lt;0,"absorbed and tightened",IF($G27&lt;0.5,"absorbed most of it",IF($G27&lt;1,"partial pass-through",IF($G27&lt;1.5,"one-for-one","amplified")))))</f>
        <v/>
      </c>
    </row>
    <row r="28">
      <c r="A28" s="28" t="inlineStr">
        <is>
          <t>Middle East &amp; Africa (eq-wgt, n=2)</t>
        </is>
      </c>
      <c r="B28" s="51">
        <f>IFERROR(AVERAGE(B26,B27),"")</f>
        <v/>
      </c>
      <c r="C28" s="45">
        <f>IFERROR(AVERAGE(C26,C27),"")</f>
        <v/>
      </c>
      <c r="D28" s="45">
        <f>IFERROR(AVERAGE(D26,D27),"")</f>
        <v/>
      </c>
      <c r="E28" s="45">
        <f>IFERROR(AVERAGE(E26,E27),"")</f>
        <v/>
      </c>
      <c r="F28" s="45">
        <f>IFERROR(AVERAGE(F26,F27),"")</f>
        <v/>
      </c>
      <c r="G28" s="52">
        <f>IFERROR(AVERAGE(G26,G27),"")</f>
        <v/>
      </c>
      <c r="H28" s="52">
        <f>IFERROR(AVERAGE(H26,H27),"")</f>
        <v/>
      </c>
      <c r="I28" s="52">
        <f>IFERROR(AVERAGE(I26,I27),"")</f>
        <v/>
      </c>
      <c r="J28" s="52">
        <f>IFERROR(AVERAGE(J26,J27),"")</f>
        <v/>
      </c>
      <c r="K28" s="52">
        <f>IFERROR(AVERAGE(K26,K27),"")</f>
        <v/>
      </c>
      <c r="L28" s="36">
        <f>IFERROR(AVERAGE(L26,L27),"")</f>
        <v/>
      </c>
      <c r="M28" s="53">
        <f>IFERROR(AVERAGE(M26,M27),"")</f>
        <v/>
      </c>
      <c r="N28" s="37">
        <f>IFERROR(AVERAGE(N26,N27),"")</f>
        <v/>
      </c>
    </row>
    <row r="29">
      <c r="A29" s="10">
        <f>IFERROR("Middle East &amp; Africa: local 10Y "&amp;TEXT($C$28,"+0;-0")&amp;"bp on the month against the US, pass-through "&amp;IF(ISNUMBER($G$28),TEXT($G$28,"0.00")&amp;"x","n/m")&amp;" over 1M and "&amp;IF(ISNUMBER($J$28),TEXT($J$28,"0.00")&amp;"x","n/m")&amp;" over 1Y; FX "&amp;TEXT($L$28,"+0.0%;-0.0%")&amp;". "&amp;IF(NOT(ISNUMBER($G$28)),"The US move over this window is too small to form a ratio.",IF($G$28&lt;0.5,"The curve is absorbing most of the US move rather than importing it.",IF($G$28&lt;1,"Partial pass-through — some import, but less than one-for-one.","The curve is taking the full US move or more; this is where the digestion argument is weakest.")))&amp;" Only Israel and South Africa carry a usable local curve here — the GCC runs pegged currencies and thin local markets, so this region's rate transmission shows up in USD credit, not in a local curve or an FX rate. ","")</f>
        <v/>
      </c>
    </row>
    <row r="31" ht="16" customHeight="1">
      <c r="A31" s="33" t="inlineStr">
        <is>
          <t>ASIA</t>
        </is>
      </c>
      <c r="B31" s="34" t="n"/>
      <c r="C31" s="34" t="n"/>
      <c r="D31" s="34" t="n"/>
      <c r="E31" s="34" t="n"/>
      <c r="F31" s="34" t="n"/>
      <c r="G31" s="34" t="n"/>
      <c r="H31" s="34" t="n"/>
      <c r="I31" s="34" t="n"/>
      <c r="J31" s="34" t="n"/>
      <c r="K31" s="34" t="n"/>
      <c r="L31" s="34" t="n"/>
      <c r="M31" s="34" t="n"/>
      <c r="N31" s="34" t="n"/>
      <c r="O31" s="34" t="n"/>
    </row>
    <row r="32" ht="30" customHeight="1">
      <c r="A32" s="18" t="inlineStr">
        <is>
          <t>Market</t>
        </is>
      </c>
      <c r="B32" s="18" t="inlineStr">
        <is>
          <t>Local 10Y (%)</t>
        </is>
      </c>
      <c r="C32" s="18" t="inlineStr">
        <is>
          <t>d 1M (bp)</t>
        </is>
      </c>
      <c r="D32" s="18" t="inlineStr">
        <is>
          <t>d 3M (bp)</t>
        </is>
      </c>
      <c r="E32" s="18" t="inlineStr">
        <is>
          <t>d 6M (bp)</t>
        </is>
      </c>
      <c r="F32" s="18" t="inlineStr">
        <is>
          <t>d 1Y (bp)</t>
        </is>
      </c>
      <c r="G32" s="18" t="inlineStr">
        <is>
          <t>PT 1M</t>
        </is>
      </c>
      <c r="H32" s="18" t="inlineStr">
        <is>
          <t>PT 3M</t>
        </is>
      </c>
      <c r="I32" s="18" t="inlineStr">
        <is>
          <t>PT 6M</t>
        </is>
      </c>
      <c r="J32" s="18" t="inlineStr">
        <is>
          <t>PT 1Y</t>
        </is>
      </c>
      <c r="K32" s="18" t="inlineStr">
        <is>
          <t>PT 3Y</t>
        </is>
      </c>
      <c r="L32" s="18" t="inlineStr">
        <is>
          <t>FX 1M</t>
        </is>
      </c>
      <c r="M32" s="18" t="inlineStr">
        <is>
          <t>Local less UST (bp)</t>
        </is>
      </c>
      <c r="N32" s="18" t="inlineStr">
        <is>
          <t>%ile 5y (gap)</t>
        </is>
      </c>
      <c r="O32" s="18" t="inlineStr">
        <is>
          <t>Verdict</t>
        </is>
      </c>
    </row>
    <row r="33">
      <c r="A33" s="8" t="inlineStr">
        <is>
          <t>China 10Y</t>
        </is>
      </c>
      <c r="B33" s="20">
        <f>INDEX(HIST_D!$CN$8:$CN$2617,1)</f>
        <v/>
      </c>
      <c r="C33" s="21">
        <f>IFERROR((INDEX(HIST_D!$CN$8:$CN$2617,1)-INDEX(HIST_D!$CN$8:$CN$2617,Control!$F$8))*100,"")</f>
        <v/>
      </c>
      <c r="D33" s="21">
        <f>IFERROR((INDEX(HIST_D!$CN$8:$CN$2617,1)-INDEX(HIST_D!$CN$8:$CN$2617,Control!$F$9))*100,"")</f>
        <v/>
      </c>
      <c r="E33" s="21">
        <f>IFERROR((INDEX(HIST_D!$CN$8:$CN$2617,1)-INDEX(HIST_D!$CN$8:$CN$2617,Control!$F$10))*100,"")</f>
        <v/>
      </c>
      <c r="F33" s="21">
        <f>IFERROR((INDEX(HIST_D!$CN$8:$CN$2617,1)-INDEX(HIST_D!$CN$8:$CN$2617,Control!$F$11))*100,"")</f>
        <v/>
      </c>
      <c r="G33" s="43">
        <f>IF(ABS(((INDEX(HIST_D!$D$8:$D$2617,1)-INDEX(HIST_D!$D$8:$D$2617,Control!$F$8))*100))&lt;25,"n/m",IFERROR((((INDEX(HIST_D!$CN$8:$CN$2617,1)-INDEX(HIST_D!$CN$8:$CN$2617,Control!$F$8))*100))/(((INDEX(HIST_D!$D$8:$D$2617,1)-INDEX(HIST_D!$D$8:$D$2617,Control!$F$8))*100)),"n/m"))</f>
        <v/>
      </c>
      <c r="H33" s="43">
        <f>IF(ABS(((INDEX(HIST_D!$D$8:$D$2617,1)-INDEX(HIST_D!$D$8:$D$2617,Control!$F$9))*100))&lt;25,"n/m",IFERROR((((INDEX(HIST_D!$CN$8:$CN$2617,1)-INDEX(HIST_D!$CN$8:$CN$2617,Control!$F$9))*100))/(((INDEX(HIST_D!$D$8:$D$2617,1)-INDEX(HIST_D!$D$8:$D$2617,Control!$F$9))*100)),"n/m"))</f>
        <v/>
      </c>
      <c r="I33" s="43">
        <f>IF(ABS(((INDEX(HIST_D!$D$8:$D$2617,1)-INDEX(HIST_D!$D$8:$D$2617,Control!$F$10))*100))&lt;25,"n/m",IFERROR((((INDEX(HIST_D!$CN$8:$CN$2617,1)-INDEX(HIST_D!$CN$8:$CN$2617,Control!$F$10))*100))/(((INDEX(HIST_D!$D$8:$D$2617,1)-INDEX(HIST_D!$D$8:$D$2617,Control!$F$10))*100)),"n/m"))</f>
        <v/>
      </c>
      <c r="J33" s="43">
        <f>IF(ABS(((INDEX(HIST_D!$D$8:$D$2617,1)-INDEX(HIST_D!$D$8:$D$2617,Control!$F$11))*100))&lt;25,"n/m",IFERROR((((INDEX(HIST_D!$CN$8:$CN$2617,1)-INDEX(HIST_D!$CN$8:$CN$2617,Control!$F$11))*100))/(((INDEX(HIST_D!$D$8:$D$2617,1)-INDEX(HIST_D!$D$8:$D$2617,Control!$F$11))*100)),"n/m"))</f>
        <v/>
      </c>
      <c r="K33" s="43">
        <f>IF(ABS(((INDEX(HIST_D!$D$8:$D$2617,1)-INDEX(HIST_D!$D$8:$D$2617,Control!$F$13))*100))&lt;25,"n/m",IFERROR((((INDEX(HIST_D!$CN$8:$CN$2617,1)-INDEX(HIST_D!$CN$8:$CN$2617,Control!$F$13))*100))/(((INDEX(HIST_D!$D$8:$D$2617,1)-INDEX(HIST_D!$D$8:$D$2617,Control!$F$13))*100)),"n/m"))</f>
        <v/>
      </c>
      <c r="L33" s="24">
        <f>IFERROR(INDEX(HIST_D!$AR$8:$AR$2617,Control!$F$8)/INDEX(HIST_D!$AR$8:$AR$2617,1)-1,"")</f>
        <v/>
      </c>
      <c r="M33" s="41">
        <f>IFERROR((INDEX(HIST_D!$CN$8:$CN$2617,1)-INDEX(HIST_D!$D$8:$D$2617,1))*100,"")</f>
        <v/>
      </c>
      <c r="N33" s="22">
        <f>IFERROR(PERCENTRANK(HIST_D!$EA$8:INDEX(HIST_D!$EA$8:$EA$2617,Control!$F$14),(INDEX(HIST_D!$CN$8:$CN$2617,1)-INDEX(HIST_D!$D$8:$D$2617,1))*100),"")</f>
        <v/>
      </c>
      <c r="O33" s="8">
        <f>IF(NOT(ISNUMBER($G33)),"n/m",IF($G33&lt;0,"absorbed and tightened",IF($G33&lt;0.5,"absorbed most of it",IF($G33&lt;1,"partial pass-through",IF($G33&lt;1.5,"one-for-one","amplified")))))</f>
        <v/>
      </c>
    </row>
    <row r="34">
      <c r="A34" s="8" t="inlineStr">
        <is>
          <t>India 10Y</t>
        </is>
      </c>
      <c r="B34" s="20">
        <f>INDEX(HIST_D!$CO$8:$CO$2617,1)</f>
        <v/>
      </c>
      <c r="C34" s="21">
        <f>IFERROR((INDEX(HIST_D!$CO$8:$CO$2617,1)-INDEX(HIST_D!$CO$8:$CO$2617,Control!$F$8))*100,"")</f>
        <v/>
      </c>
      <c r="D34" s="21">
        <f>IFERROR((INDEX(HIST_D!$CO$8:$CO$2617,1)-INDEX(HIST_D!$CO$8:$CO$2617,Control!$F$9))*100,"")</f>
        <v/>
      </c>
      <c r="E34" s="21">
        <f>IFERROR((INDEX(HIST_D!$CO$8:$CO$2617,1)-INDEX(HIST_D!$CO$8:$CO$2617,Control!$F$10))*100,"")</f>
        <v/>
      </c>
      <c r="F34" s="21">
        <f>IFERROR((INDEX(HIST_D!$CO$8:$CO$2617,1)-INDEX(HIST_D!$CO$8:$CO$2617,Control!$F$11))*100,"")</f>
        <v/>
      </c>
      <c r="G34" s="43">
        <f>IF(ABS(((INDEX(HIST_D!$D$8:$D$2617,1)-INDEX(HIST_D!$D$8:$D$2617,Control!$F$8))*100))&lt;25,"n/m",IFERROR((((INDEX(HIST_D!$CO$8:$CO$2617,1)-INDEX(HIST_D!$CO$8:$CO$2617,Control!$F$8))*100))/(((INDEX(HIST_D!$D$8:$D$2617,1)-INDEX(HIST_D!$D$8:$D$2617,Control!$F$8))*100)),"n/m"))</f>
        <v/>
      </c>
      <c r="H34" s="43">
        <f>IF(ABS(((INDEX(HIST_D!$D$8:$D$2617,1)-INDEX(HIST_D!$D$8:$D$2617,Control!$F$9))*100))&lt;25,"n/m",IFERROR((((INDEX(HIST_D!$CO$8:$CO$2617,1)-INDEX(HIST_D!$CO$8:$CO$2617,Control!$F$9))*100))/(((INDEX(HIST_D!$D$8:$D$2617,1)-INDEX(HIST_D!$D$8:$D$2617,Control!$F$9))*100)),"n/m"))</f>
        <v/>
      </c>
      <c r="I34" s="43">
        <f>IF(ABS(((INDEX(HIST_D!$D$8:$D$2617,1)-INDEX(HIST_D!$D$8:$D$2617,Control!$F$10))*100))&lt;25,"n/m",IFERROR((((INDEX(HIST_D!$CO$8:$CO$2617,1)-INDEX(HIST_D!$CO$8:$CO$2617,Control!$F$10))*100))/(((INDEX(HIST_D!$D$8:$D$2617,1)-INDEX(HIST_D!$D$8:$D$2617,Control!$F$10))*100)),"n/m"))</f>
        <v/>
      </c>
      <c r="J34" s="43">
        <f>IF(ABS(((INDEX(HIST_D!$D$8:$D$2617,1)-INDEX(HIST_D!$D$8:$D$2617,Control!$F$11))*100))&lt;25,"n/m",IFERROR((((INDEX(HIST_D!$CO$8:$CO$2617,1)-INDEX(HIST_D!$CO$8:$CO$2617,Control!$F$11))*100))/(((INDEX(HIST_D!$D$8:$D$2617,1)-INDEX(HIST_D!$D$8:$D$2617,Control!$F$11))*100)),"n/m"))</f>
        <v/>
      </c>
      <c r="K34" s="43">
        <f>IF(ABS(((INDEX(HIST_D!$D$8:$D$2617,1)-INDEX(HIST_D!$D$8:$D$2617,Control!$F$13))*100))&lt;25,"n/m",IFERROR((((INDEX(HIST_D!$CO$8:$CO$2617,1)-INDEX(HIST_D!$CO$8:$CO$2617,Control!$F$13))*100))/(((INDEX(HIST_D!$D$8:$D$2617,1)-INDEX(HIST_D!$D$8:$D$2617,Control!$F$13))*100)),"n/m"))</f>
        <v/>
      </c>
      <c r="L34" s="24">
        <f>IFERROR(INDEX(HIST_D!$AS$8:$AS$2617,Control!$F$8)/INDEX(HIST_D!$AS$8:$AS$2617,1)-1,"")</f>
        <v/>
      </c>
      <c r="M34" s="41">
        <f>IFERROR((INDEX(HIST_D!$CO$8:$CO$2617,1)-INDEX(HIST_D!$D$8:$D$2617,1))*100,"")</f>
        <v/>
      </c>
      <c r="N34" s="22">
        <f>IFERROR(PERCENTRANK(HIST_D!$EA$8:INDEX(HIST_D!$EA$8:$EA$2617,Control!$F$14),(INDEX(HIST_D!$CO$8:$CO$2617,1)-INDEX(HIST_D!$D$8:$D$2617,1))*100),"")</f>
        <v/>
      </c>
      <c r="O34" s="8">
        <f>IF(NOT(ISNUMBER($G34)),"n/m",IF($G34&lt;0,"absorbed and tightened",IF($G34&lt;0.5,"absorbed most of it",IF($G34&lt;1,"partial pass-through",IF($G34&lt;1.5,"one-for-one","amplified")))))</f>
        <v/>
      </c>
    </row>
    <row r="35">
      <c r="A35" s="8" t="inlineStr">
        <is>
          <t>Indonesia 10Y</t>
        </is>
      </c>
      <c r="B35" s="20">
        <f>INDEX(HIST_D!$CP$8:$CP$2617,1)</f>
        <v/>
      </c>
      <c r="C35" s="21">
        <f>IFERROR((INDEX(HIST_D!$CP$8:$CP$2617,1)-INDEX(HIST_D!$CP$8:$CP$2617,Control!$F$8))*100,"")</f>
        <v/>
      </c>
      <c r="D35" s="21">
        <f>IFERROR((INDEX(HIST_D!$CP$8:$CP$2617,1)-INDEX(HIST_D!$CP$8:$CP$2617,Control!$F$9))*100,"")</f>
        <v/>
      </c>
      <c r="E35" s="21">
        <f>IFERROR((INDEX(HIST_D!$CP$8:$CP$2617,1)-INDEX(HIST_D!$CP$8:$CP$2617,Control!$F$10))*100,"")</f>
        <v/>
      </c>
      <c r="F35" s="21">
        <f>IFERROR((INDEX(HIST_D!$CP$8:$CP$2617,1)-INDEX(HIST_D!$CP$8:$CP$2617,Control!$F$11))*100,"")</f>
        <v/>
      </c>
      <c r="G35" s="43">
        <f>IF(ABS(((INDEX(HIST_D!$D$8:$D$2617,1)-INDEX(HIST_D!$D$8:$D$2617,Control!$F$8))*100))&lt;25,"n/m",IFERROR((((INDEX(HIST_D!$CP$8:$CP$2617,1)-INDEX(HIST_D!$CP$8:$CP$2617,Control!$F$8))*100))/(((INDEX(HIST_D!$D$8:$D$2617,1)-INDEX(HIST_D!$D$8:$D$2617,Control!$F$8))*100)),"n/m"))</f>
        <v/>
      </c>
      <c r="H35" s="43">
        <f>IF(ABS(((INDEX(HIST_D!$D$8:$D$2617,1)-INDEX(HIST_D!$D$8:$D$2617,Control!$F$9))*100))&lt;25,"n/m",IFERROR((((INDEX(HIST_D!$CP$8:$CP$2617,1)-INDEX(HIST_D!$CP$8:$CP$2617,Control!$F$9))*100))/(((INDEX(HIST_D!$D$8:$D$2617,1)-INDEX(HIST_D!$D$8:$D$2617,Control!$F$9))*100)),"n/m"))</f>
        <v/>
      </c>
      <c r="I35" s="43">
        <f>IF(ABS(((INDEX(HIST_D!$D$8:$D$2617,1)-INDEX(HIST_D!$D$8:$D$2617,Control!$F$10))*100))&lt;25,"n/m",IFERROR((((INDEX(HIST_D!$CP$8:$CP$2617,1)-INDEX(HIST_D!$CP$8:$CP$2617,Control!$F$10))*100))/(((INDEX(HIST_D!$D$8:$D$2617,1)-INDEX(HIST_D!$D$8:$D$2617,Control!$F$10))*100)),"n/m"))</f>
        <v/>
      </c>
      <c r="J35" s="43">
        <f>IF(ABS(((INDEX(HIST_D!$D$8:$D$2617,1)-INDEX(HIST_D!$D$8:$D$2617,Control!$F$11))*100))&lt;25,"n/m",IFERROR((((INDEX(HIST_D!$CP$8:$CP$2617,1)-INDEX(HIST_D!$CP$8:$CP$2617,Control!$F$11))*100))/(((INDEX(HIST_D!$D$8:$D$2617,1)-INDEX(HIST_D!$D$8:$D$2617,Control!$F$11))*100)),"n/m"))</f>
        <v/>
      </c>
      <c r="K35" s="43">
        <f>IF(ABS(((INDEX(HIST_D!$D$8:$D$2617,1)-INDEX(HIST_D!$D$8:$D$2617,Control!$F$13))*100))&lt;25,"n/m",IFERROR((((INDEX(HIST_D!$CP$8:$CP$2617,1)-INDEX(HIST_D!$CP$8:$CP$2617,Control!$F$13))*100))/(((INDEX(HIST_D!$D$8:$D$2617,1)-INDEX(HIST_D!$D$8:$D$2617,Control!$F$13))*100)),"n/m"))</f>
        <v/>
      </c>
      <c r="L35" s="24">
        <f>IFERROR(INDEX(HIST_D!$AT$8:$AT$2617,Control!$F$8)/INDEX(HIST_D!$AT$8:$AT$2617,1)-1,"")</f>
        <v/>
      </c>
      <c r="M35" s="41">
        <f>IFERROR((INDEX(HIST_D!$CP$8:$CP$2617,1)-INDEX(HIST_D!$D$8:$D$2617,1))*100,"")</f>
        <v/>
      </c>
      <c r="N35" s="22">
        <f>IFERROR(PERCENTRANK(HIST_D!$EA$8:INDEX(HIST_D!$EA$8:$EA$2617,Control!$F$14),(INDEX(HIST_D!$CP$8:$CP$2617,1)-INDEX(HIST_D!$D$8:$D$2617,1))*100),"")</f>
        <v/>
      </c>
      <c r="O35" s="8">
        <f>IF(NOT(ISNUMBER($G35)),"n/m",IF($G35&lt;0,"absorbed and tightened",IF($G35&lt;0.5,"absorbed most of it",IF($G35&lt;1,"partial pass-through",IF($G35&lt;1.5,"one-for-one","amplified")))))</f>
        <v/>
      </c>
    </row>
    <row r="36">
      <c r="A36" s="8" t="inlineStr">
        <is>
          <t>Korea 10Y</t>
        </is>
      </c>
      <c r="B36" s="20">
        <f>INDEX(HIST_D!$CQ$8:$CQ$2617,1)</f>
        <v/>
      </c>
      <c r="C36" s="21">
        <f>IFERROR((INDEX(HIST_D!$CQ$8:$CQ$2617,1)-INDEX(HIST_D!$CQ$8:$CQ$2617,Control!$F$8))*100,"")</f>
        <v/>
      </c>
      <c r="D36" s="21">
        <f>IFERROR((INDEX(HIST_D!$CQ$8:$CQ$2617,1)-INDEX(HIST_D!$CQ$8:$CQ$2617,Control!$F$9))*100,"")</f>
        <v/>
      </c>
      <c r="E36" s="21">
        <f>IFERROR((INDEX(HIST_D!$CQ$8:$CQ$2617,1)-INDEX(HIST_D!$CQ$8:$CQ$2617,Control!$F$10))*100,"")</f>
        <v/>
      </c>
      <c r="F36" s="21">
        <f>IFERROR((INDEX(HIST_D!$CQ$8:$CQ$2617,1)-INDEX(HIST_D!$CQ$8:$CQ$2617,Control!$F$11))*100,"")</f>
        <v/>
      </c>
      <c r="G36" s="43">
        <f>IF(ABS(((INDEX(HIST_D!$D$8:$D$2617,1)-INDEX(HIST_D!$D$8:$D$2617,Control!$F$8))*100))&lt;25,"n/m",IFERROR((((INDEX(HIST_D!$CQ$8:$CQ$2617,1)-INDEX(HIST_D!$CQ$8:$CQ$2617,Control!$F$8))*100))/(((INDEX(HIST_D!$D$8:$D$2617,1)-INDEX(HIST_D!$D$8:$D$2617,Control!$F$8))*100)),"n/m"))</f>
        <v/>
      </c>
      <c r="H36" s="43">
        <f>IF(ABS(((INDEX(HIST_D!$D$8:$D$2617,1)-INDEX(HIST_D!$D$8:$D$2617,Control!$F$9))*100))&lt;25,"n/m",IFERROR((((INDEX(HIST_D!$CQ$8:$CQ$2617,1)-INDEX(HIST_D!$CQ$8:$CQ$2617,Control!$F$9))*100))/(((INDEX(HIST_D!$D$8:$D$2617,1)-INDEX(HIST_D!$D$8:$D$2617,Control!$F$9))*100)),"n/m"))</f>
        <v/>
      </c>
      <c r="I36" s="43">
        <f>IF(ABS(((INDEX(HIST_D!$D$8:$D$2617,1)-INDEX(HIST_D!$D$8:$D$2617,Control!$F$10))*100))&lt;25,"n/m",IFERROR((((INDEX(HIST_D!$CQ$8:$CQ$2617,1)-INDEX(HIST_D!$CQ$8:$CQ$2617,Control!$F$10))*100))/(((INDEX(HIST_D!$D$8:$D$2617,1)-INDEX(HIST_D!$D$8:$D$2617,Control!$F$10))*100)),"n/m"))</f>
        <v/>
      </c>
      <c r="J36" s="43">
        <f>IF(ABS(((INDEX(HIST_D!$D$8:$D$2617,1)-INDEX(HIST_D!$D$8:$D$2617,Control!$F$11))*100))&lt;25,"n/m",IFERROR((((INDEX(HIST_D!$CQ$8:$CQ$2617,1)-INDEX(HIST_D!$CQ$8:$CQ$2617,Control!$F$11))*100))/(((INDEX(HIST_D!$D$8:$D$2617,1)-INDEX(HIST_D!$D$8:$D$2617,Control!$F$11))*100)),"n/m"))</f>
        <v/>
      </c>
      <c r="K36" s="43">
        <f>IF(ABS(((INDEX(HIST_D!$D$8:$D$2617,1)-INDEX(HIST_D!$D$8:$D$2617,Control!$F$13))*100))&lt;25,"n/m",IFERROR((((INDEX(HIST_D!$CQ$8:$CQ$2617,1)-INDEX(HIST_D!$CQ$8:$CQ$2617,Control!$F$13))*100))/(((INDEX(HIST_D!$D$8:$D$2617,1)-INDEX(HIST_D!$D$8:$D$2617,Control!$F$13))*100)),"n/m"))</f>
        <v/>
      </c>
      <c r="L36" s="24">
        <f>IFERROR(INDEX(HIST_D!$AU$8:$AU$2617,Control!$F$8)/INDEX(HIST_D!$AU$8:$AU$2617,1)-1,"")</f>
        <v/>
      </c>
      <c r="M36" s="41">
        <f>IFERROR((INDEX(HIST_D!$CQ$8:$CQ$2617,1)-INDEX(HIST_D!$D$8:$D$2617,1))*100,"")</f>
        <v/>
      </c>
      <c r="N36" s="22">
        <f>IFERROR(PERCENTRANK(HIST_D!$EA$8:INDEX(HIST_D!$EA$8:$EA$2617,Control!$F$14),(INDEX(HIST_D!$CQ$8:$CQ$2617,1)-INDEX(HIST_D!$D$8:$D$2617,1))*100),"")</f>
        <v/>
      </c>
      <c r="O36" s="8">
        <f>IF(NOT(ISNUMBER($G36)),"n/m",IF($G36&lt;0,"absorbed and tightened",IF($G36&lt;0.5,"absorbed most of it",IF($G36&lt;1,"partial pass-through",IF($G36&lt;1.5,"one-for-one","amplified")))))</f>
        <v/>
      </c>
    </row>
    <row r="37">
      <c r="A37" s="8" t="inlineStr">
        <is>
          <t>Thailand 10Y</t>
        </is>
      </c>
      <c r="B37" s="20">
        <f>INDEX(HIST_D!$CR$8:$CR$2617,1)</f>
        <v/>
      </c>
      <c r="C37" s="21">
        <f>IFERROR((INDEX(HIST_D!$CR$8:$CR$2617,1)-INDEX(HIST_D!$CR$8:$CR$2617,Control!$F$8))*100,"")</f>
        <v/>
      </c>
      <c r="D37" s="21">
        <f>IFERROR((INDEX(HIST_D!$CR$8:$CR$2617,1)-INDEX(HIST_D!$CR$8:$CR$2617,Control!$F$9))*100,"")</f>
        <v/>
      </c>
      <c r="E37" s="21">
        <f>IFERROR((INDEX(HIST_D!$CR$8:$CR$2617,1)-INDEX(HIST_D!$CR$8:$CR$2617,Control!$F$10))*100,"")</f>
        <v/>
      </c>
      <c r="F37" s="21">
        <f>IFERROR((INDEX(HIST_D!$CR$8:$CR$2617,1)-INDEX(HIST_D!$CR$8:$CR$2617,Control!$F$11))*100,"")</f>
        <v/>
      </c>
      <c r="G37" s="43">
        <f>IF(ABS(((INDEX(HIST_D!$D$8:$D$2617,1)-INDEX(HIST_D!$D$8:$D$2617,Control!$F$8))*100))&lt;25,"n/m",IFERROR((((INDEX(HIST_D!$CR$8:$CR$2617,1)-INDEX(HIST_D!$CR$8:$CR$2617,Control!$F$8))*100))/(((INDEX(HIST_D!$D$8:$D$2617,1)-INDEX(HIST_D!$D$8:$D$2617,Control!$F$8))*100)),"n/m"))</f>
        <v/>
      </c>
      <c r="H37" s="43">
        <f>IF(ABS(((INDEX(HIST_D!$D$8:$D$2617,1)-INDEX(HIST_D!$D$8:$D$2617,Control!$F$9))*100))&lt;25,"n/m",IFERROR((((INDEX(HIST_D!$CR$8:$CR$2617,1)-INDEX(HIST_D!$CR$8:$CR$2617,Control!$F$9))*100))/(((INDEX(HIST_D!$D$8:$D$2617,1)-INDEX(HIST_D!$D$8:$D$2617,Control!$F$9))*100)),"n/m"))</f>
        <v/>
      </c>
      <c r="I37" s="43">
        <f>IF(ABS(((INDEX(HIST_D!$D$8:$D$2617,1)-INDEX(HIST_D!$D$8:$D$2617,Control!$F$10))*100))&lt;25,"n/m",IFERROR((((INDEX(HIST_D!$CR$8:$CR$2617,1)-INDEX(HIST_D!$CR$8:$CR$2617,Control!$F$10))*100))/(((INDEX(HIST_D!$D$8:$D$2617,1)-INDEX(HIST_D!$D$8:$D$2617,Control!$F$10))*100)),"n/m"))</f>
        <v/>
      </c>
      <c r="J37" s="43">
        <f>IF(ABS(((INDEX(HIST_D!$D$8:$D$2617,1)-INDEX(HIST_D!$D$8:$D$2617,Control!$F$11))*100))&lt;25,"n/m",IFERROR((((INDEX(HIST_D!$CR$8:$CR$2617,1)-INDEX(HIST_D!$CR$8:$CR$2617,Control!$F$11))*100))/(((INDEX(HIST_D!$D$8:$D$2617,1)-INDEX(HIST_D!$D$8:$D$2617,Control!$F$11))*100)),"n/m"))</f>
        <v/>
      </c>
      <c r="K37" s="43">
        <f>IF(ABS(((INDEX(HIST_D!$D$8:$D$2617,1)-INDEX(HIST_D!$D$8:$D$2617,Control!$F$13))*100))&lt;25,"n/m",IFERROR((((INDEX(HIST_D!$CR$8:$CR$2617,1)-INDEX(HIST_D!$CR$8:$CR$2617,Control!$F$13))*100))/(((INDEX(HIST_D!$D$8:$D$2617,1)-INDEX(HIST_D!$D$8:$D$2617,Control!$F$13))*100)),"n/m"))</f>
        <v/>
      </c>
      <c r="L37" s="24">
        <f>IFERROR(INDEX(HIST_D!$AW$8:$AW$2617,Control!$F$8)/INDEX(HIST_D!$AW$8:$AW$2617,1)-1,"")</f>
        <v/>
      </c>
      <c r="M37" s="41">
        <f>IFERROR((INDEX(HIST_D!$CR$8:$CR$2617,1)-INDEX(HIST_D!$D$8:$D$2617,1))*100,"")</f>
        <v/>
      </c>
      <c r="N37" s="22">
        <f>IFERROR(PERCENTRANK(HIST_D!$EA$8:INDEX(HIST_D!$EA$8:$EA$2617,Control!$F$14),(INDEX(HIST_D!$CR$8:$CR$2617,1)-INDEX(HIST_D!$D$8:$D$2617,1))*100),"")</f>
        <v/>
      </c>
      <c r="O37" s="8">
        <f>IF(NOT(ISNUMBER($G37)),"n/m",IF($G37&lt;0,"absorbed and tightened",IF($G37&lt;0.5,"absorbed most of it",IF($G37&lt;1,"partial pass-through",IF($G37&lt;1.5,"one-for-one","amplified")))))</f>
        <v/>
      </c>
    </row>
    <row r="38">
      <c r="A38" s="8" t="inlineStr">
        <is>
          <t>Philippines 10Y</t>
        </is>
      </c>
      <c r="B38" s="20">
        <f>INDEX(HIST_D!$CS$8:$CS$2617,1)</f>
        <v/>
      </c>
      <c r="C38" s="21">
        <f>IFERROR((INDEX(HIST_D!$CS$8:$CS$2617,1)-INDEX(HIST_D!$CS$8:$CS$2617,Control!$F$8))*100,"")</f>
        <v/>
      </c>
      <c r="D38" s="21">
        <f>IFERROR((INDEX(HIST_D!$CS$8:$CS$2617,1)-INDEX(HIST_D!$CS$8:$CS$2617,Control!$F$9))*100,"")</f>
        <v/>
      </c>
      <c r="E38" s="21">
        <f>IFERROR((INDEX(HIST_D!$CS$8:$CS$2617,1)-INDEX(HIST_D!$CS$8:$CS$2617,Control!$F$10))*100,"")</f>
        <v/>
      </c>
      <c r="F38" s="21">
        <f>IFERROR((INDEX(HIST_D!$CS$8:$CS$2617,1)-INDEX(HIST_D!$CS$8:$CS$2617,Control!$F$11))*100,"")</f>
        <v/>
      </c>
      <c r="G38" s="43">
        <f>IF(ABS(((INDEX(HIST_D!$D$8:$D$2617,1)-INDEX(HIST_D!$D$8:$D$2617,Control!$F$8))*100))&lt;25,"n/m",IFERROR((((INDEX(HIST_D!$CS$8:$CS$2617,1)-INDEX(HIST_D!$CS$8:$CS$2617,Control!$F$8))*100))/(((INDEX(HIST_D!$D$8:$D$2617,1)-INDEX(HIST_D!$D$8:$D$2617,Control!$F$8))*100)),"n/m"))</f>
        <v/>
      </c>
      <c r="H38" s="43">
        <f>IF(ABS(((INDEX(HIST_D!$D$8:$D$2617,1)-INDEX(HIST_D!$D$8:$D$2617,Control!$F$9))*100))&lt;25,"n/m",IFERROR((((INDEX(HIST_D!$CS$8:$CS$2617,1)-INDEX(HIST_D!$CS$8:$CS$2617,Control!$F$9))*100))/(((INDEX(HIST_D!$D$8:$D$2617,1)-INDEX(HIST_D!$D$8:$D$2617,Control!$F$9))*100)),"n/m"))</f>
        <v/>
      </c>
      <c r="I38" s="43">
        <f>IF(ABS(((INDEX(HIST_D!$D$8:$D$2617,1)-INDEX(HIST_D!$D$8:$D$2617,Control!$F$10))*100))&lt;25,"n/m",IFERROR((((INDEX(HIST_D!$CS$8:$CS$2617,1)-INDEX(HIST_D!$CS$8:$CS$2617,Control!$F$10))*100))/(((INDEX(HIST_D!$D$8:$D$2617,1)-INDEX(HIST_D!$D$8:$D$2617,Control!$F$10))*100)),"n/m"))</f>
        <v/>
      </c>
      <c r="J38" s="43">
        <f>IF(ABS(((INDEX(HIST_D!$D$8:$D$2617,1)-INDEX(HIST_D!$D$8:$D$2617,Control!$F$11))*100))&lt;25,"n/m",IFERROR((((INDEX(HIST_D!$CS$8:$CS$2617,1)-INDEX(HIST_D!$CS$8:$CS$2617,Control!$F$11))*100))/(((INDEX(HIST_D!$D$8:$D$2617,1)-INDEX(HIST_D!$D$8:$D$2617,Control!$F$11))*100)),"n/m"))</f>
        <v/>
      </c>
      <c r="K38" s="43">
        <f>IF(ABS(((INDEX(HIST_D!$D$8:$D$2617,1)-INDEX(HIST_D!$D$8:$D$2617,Control!$F$13))*100))&lt;25,"n/m",IFERROR((((INDEX(HIST_D!$CS$8:$CS$2617,1)-INDEX(HIST_D!$CS$8:$CS$2617,Control!$F$13))*100))/(((INDEX(HIST_D!$D$8:$D$2617,1)-INDEX(HIST_D!$D$8:$D$2617,Control!$F$13))*100)),"n/m"))</f>
        <v/>
      </c>
      <c r="L38" s="24">
        <f>IFERROR(INDEX(HIST_D!$AX$8:$AX$2617,Control!$F$8)/INDEX(HIST_D!$AX$8:$AX$2617,1)-1,"")</f>
        <v/>
      </c>
      <c r="M38" s="41">
        <f>IFERROR((INDEX(HIST_D!$CS$8:$CS$2617,1)-INDEX(HIST_D!$D$8:$D$2617,1))*100,"")</f>
        <v/>
      </c>
      <c r="N38" s="22">
        <f>IFERROR(PERCENTRANK(HIST_D!$EA$8:INDEX(HIST_D!$EA$8:$EA$2617,Control!$F$14),(INDEX(HIST_D!$CS$8:$CS$2617,1)-INDEX(HIST_D!$D$8:$D$2617,1))*100),"")</f>
        <v/>
      </c>
      <c r="O38" s="8">
        <f>IF(NOT(ISNUMBER($G38)),"n/m",IF($G38&lt;0,"absorbed and tightened",IF($G38&lt;0.5,"absorbed most of it",IF($G38&lt;1,"partial pass-through",IF($G38&lt;1.5,"one-for-one","amplified")))))</f>
        <v/>
      </c>
    </row>
    <row r="39">
      <c r="A39" s="8" t="inlineStr">
        <is>
          <t>Malaysia 10Y</t>
        </is>
      </c>
      <c r="B39" s="20">
        <f>INDEX(HIST_D!$CT$8:$CT$2617,1)</f>
        <v/>
      </c>
      <c r="C39" s="21">
        <f>IFERROR((INDEX(HIST_D!$CT$8:$CT$2617,1)-INDEX(HIST_D!$CT$8:$CT$2617,Control!$F$8))*100,"")</f>
        <v/>
      </c>
      <c r="D39" s="21">
        <f>IFERROR((INDEX(HIST_D!$CT$8:$CT$2617,1)-INDEX(HIST_D!$CT$8:$CT$2617,Control!$F$9))*100,"")</f>
        <v/>
      </c>
      <c r="E39" s="21">
        <f>IFERROR((INDEX(HIST_D!$CT$8:$CT$2617,1)-INDEX(HIST_D!$CT$8:$CT$2617,Control!$F$10))*100,"")</f>
        <v/>
      </c>
      <c r="F39" s="21">
        <f>IFERROR((INDEX(HIST_D!$CT$8:$CT$2617,1)-INDEX(HIST_D!$CT$8:$CT$2617,Control!$F$11))*100,"")</f>
        <v/>
      </c>
      <c r="G39" s="43">
        <f>IF(ABS(((INDEX(HIST_D!$D$8:$D$2617,1)-INDEX(HIST_D!$D$8:$D$2617,Control!$F$8))*100))&lt;25,"n/m",IFERROR((((INDEX(HIST_D!$CT$8:$CT$2617,1)-INDEX(HIST_D!$CT$8:$CT$2617,Control!$F$8))*100))/(((INDEX(HIST_D!$D$8:$D$2617,1)-INDEX(HIST_D!$D$8:$D$2617,Control!$F$8))*100)),"n/m"))</f>
        <v/>
      </c>
      <c r="H39" s="43">
        <f>IF(ABS(((INDEX(HIST_D!$D$8:$D$2617,1)-INDEX(HIST_D!$D$8:$D$2617,Control!$F$9))*100))&lt;25,"n/m",IFERROR((((INDEX(HIST_D!$CT$8:$CT$2617,1)-INDEX(HIST_D!$CT$8:$CT$2617,Control!$F$9))*100))/(((INDEX(HIST_D!$D$8:$D$2617,1)-INDEX(HIST_D!$D$8:$D$2617,Control!$F$9))*100)),"n/m"))</f>
        <v/>
      </c>
      <c r="I39" s="43">
        <f>IF(ABS(((INDEX(HIST_D!$D$8:$D$2617,1)-INDEX(HIST_D!$D$8:$D$2617,Control!$F$10))*100))&lt;25,"n/m",IFERROR((((INDEX(HIST_D!$CT$8:$CT$2617,1)-INDEX(HIST_D!$CT$8:$CT$2617,Control!$F$10))*100))/(((INDEX(HIST_D!$D$8:$D$2617,1)-INDEX(HIST_D!$D$8:$D$2617,Control!$F$10))*100)),"n/m"))</f>
        <v/>
      </c>
      <c r="J39" s="43">
        <f>IF(ABS(((INDEX(HIST_D!$D$8:$D$2617,1)-INDEX(HIST_D!$D$8:$D$2617,Control!$F$11))*100))&lt;25,"n/m",IFERROR((((INDEX(HIST_D!$CT$8:$CT$2617,1)-INDEX(HIST_D!$CT$8:$CT$2617,Control!$F$11))*100))/(((INDEX(HIST_D!$D$8:$D$2617,1)-INDEX(HIST_D!$D$8:$D$2617,Control!$F$11))*100)),"n/m"))</f>
        <v/>
      </c>
      <c r="K39" s="43">
        <f>IF(ABS(((INDEX(HIST_D!$D$8:$D$2617,1)-INDEX(HIST_D!$D$8:$D$2617,Control!$F$13))*100))&lt;25,"n/m",IFERROR((((INDEX(HIST_D!$CT$8:$CT$2617,1)-INDEX(HIST_D!$CT$8:$CT$2617,Control!$F$13))*100))/(((INDEX(HIST_D!$D$8:$D$2617,1)-INDEX(HIST_D!$D$8:$D$2617,Control!$F$13))*100)),"n/m"))</f>
        <v/>
      </c>
      <c r="L39" s="24">
        <f>IFERROR(INDEX(HIST_D!$AY$8:$AY$2617,Control!$F$8)/INDEX(HIST_D!$AY$8:$AY$2617,1)-1,"")</f>
        <v/>
      </c>
      <c r="M39" s="41">
        <f>IFERROR((INDEX(HIST_D!$CT$8:$CT$2617,1)-INDEX(HIST_D!$D$8:$D$2617,1))*100,"")</f>
        <v/>
      </c>
      <c r="N39" s="22">
        <f>IFERROR(PERCENTRANK(HIST_D!$EA$8:INDEX(HIST_D!$EA$8:$EA$2617,Control!$F$14),(INDEX(HIST_D!$CT$8:$CT$2617,1)-INDEX(HIST_D!$D$8:$D$2617,1))*100),"")</f>
        <v/>
      </c>
      <c r="O39" s="8">
        <f>IF(NOT(ISNUMBER($G39)),"n/m",IF($G39&lt;0,"absorbed and tightened",IF($G39&lt;0.5,"absorbed most of it",IF($G39&lt;1,"partial pass-through",IF($G39&lt;1.5,"one-for-one","amplified")))))</f>
        <v/>
      </c>
    </row>
    <row r="40">
      <c r="A40" s="28" t="inlineStr">
        <is>
          <t>Asia (eq-wgt, n=7)</t>
        </is>
      </c>
      <c r="B40" s="51">
        <f>IFERROR(AVERAGE(B33,B34,B35,B36,B37,B38,B39),"")</f>
        <v/>
      </c>
      <c r="C40" s="45">
        <f>IFERROR(AVERAGE(C33,C34,C35,C36,C37,C38,C39),"")</f>
        <v/>
      </c>
      <c r="D40" s="45">
        <f>IFERROR(AVERAGE(D33,D34,D35,D36,D37,D38,D39),"")</f>
        <v/>
      </c>
      <c r="E40" s="45">
        <f>IFERROR(AVERAGE(E33,E34,E35,E36,E37,E38,E39),"")</f>
        <v/>
      </c>
      <c r="F40" s="45">
        <f>IFERROR(AVERAGE(F33,F34,F35,F36,F37,F38,F39),"")</f>
        <v/>
      </c>
      <c r="G40" s="52">
        <f>IFERROR(AVERAGE(G33,G34,G35,G36,G37,G38,G39),"")</f>
        <v/>
      </c>
      <c r="H40" s="52">
        <f>IFERROR(AVERAGE(H33,H34,H35,H36,H37,H38,H39),"")</f>
        <v/>
      </c>
      <c r="I40" s="52">
        <f>IFERROR(AVERAGE(I33,I34,I35,I36,I37,I38,I39),"")</f>
        <v/>
      </c>
      <c r="J40" s="52">
        <f>IFERROR(AVERAGE(J33,J34,J35,J36,J37,J38,J39),"")</f>
        <v/>
      </c>
      <c r="K40" s="52">
        <f>IFERROR(AVERAGE(K33,K34,K35,K36,K37,K38,K39),"")</f>
        <v/>
      </c>
      <c r="L40" s="36">
        <f>IFERROR(AVERAGE(L33,L34,L35,L36,L37,L38,L39),"")</f>
        <v/>
      </c>
      <c r="M40" s="53">
        <f>IFERROR(AVERAGE(M33,M34,M35,M36,M37,M38,M39),"")</f>
        <v/>
      </c>
      <c r="N40" s="37">
        <f>IFERROR(AVERAGE(N33,N34,N35,N36,N37,N38,N39),"")</f>
        <v/>
      </c>
    </row>
    <row r="41">
      <c r="A41" s="10">
        <f>IFERROR("Asia: local 10Y "&amp;TEXT($C$40,"+0;-0")&amp;"bp on the month against the US, pass-through "&amp;IF(ISNUMBER($G$40),TEXT($G$40,"0.00")&amp;"x","n/m")&amp;" over 1M and "&amp;IF(ISNUMBER($J$40),TEXT($J$40,"0.00")&amp;"x","n/m")&amp;" over 1Y; FX "&amp;TEXT($L$40,"+0.0%;-0.0%")&amp;". "&amp;IF(NOT(ISNUMBER($G$40)),"The US move over this window is too small to form a ratio.",IF($G$40&lt;0.5,"The curve is absorbing most of the US move rather than importing it.",IF($G$40&lt;1,"Partial pass-through — some import, but less than one-for-one.","The curve is taking the full US move or more; this is where the digestion argument is weakest.")))&amp;" ","")</f>
        <v/>
      </c>
    </row>
    <row r="43" ht="16" customHeight="1">
      <c r="A43" s="33" t="inlineStr">
        <is>
          <t>EM AGGREGATE</t>
        </is>
      </c>
      <c r="B43" s="34" t="n"/>
      <c r="C43" s="34" t="n"/>
      <c r="D43" s="34" t="n"/>
      <c r="E43" s="34" t="n"/>
      <c r="F43" s="34" t="n"/>
      <c r="G43" s="34" t="n"/>
      <c r="H43" s="34" t="n"/>
      <c r="I43" s="34" t="n"/>
      <c r="J43" s="34" t="n"/>
      <c r="K43" s="34" t="n"/>
      <c r="L43" s="34" t="n"/>
      <c r="M43" s="34" t="n"/>
      <c r="N43" s="34" t="n"/>
      <c r="O43" s="34" t="n"/>
    </row>
    <row r="44" ht="30" customHeight="1">
      <c r="A44" s="18" t="inlineStr">
        <is>
          <t>Market</t>
        </is>
      </c>
      <c r="B44" s="18" t="inlineStr">
        <is>
          <t>Local 10Y (%)</t>
        </is>
      </c>
      <c r="C44" s="18" t="inlineStr">
        <is>
          <t>d 1M (bp)</t>
        </is>
      </c>
      <c r="D44" s="18" t="inlineStr">
        <is>
          <t>d 3M (bp)</t>
        </is>
      </c>
      <c r="E44" s="18" t="inlineStr">
        <is>
          <t>d 6M (bp)</t>
        </is>
      </c>
      <c r="F44" s="18" t="inlineStr">
        <is>
          <t>d 1Y (bp)</t>
        </is>
      </c>
      <c r="G44" s="18" t="inlineStr">
        <is>
          <t>PT 1M</t>
        </is>
      </c>
      <c r="H44" s="18" t="inlineStr">
        <is>
          <t>PT 3M</t>
        </is>
      </c>
      <c r="I44" s="18" t="inlineStr">
        <is>
          <t>PT 6M</t>
        </is>
      </c>
      <c r="J44" s="18" t="inlineStr">
        <is>
          <t>PT 1Y</t>
        </is>
      </c>
      <c r="K44" s="18" t="inlineStr">
        <is>
          <t>PT 3Y</t>
        </is>
      </c>
      <c r="L44" s="18" t="inlineStr">
        <is>
          <t>FX 1M</t>
        </is>
      </c>
      <c r="M44" s="18" t="inlineStr">
        <is>
          <t>Local less UST (bp)</t>
        </is>
      </c>
      <c r="N44" s="18" t="inlineStr">
        <is>
          <t>%ile 5y (gap)</t>
        </is>
      </c>
      <c r="O44" s="18" t="inlineStr">
        <is>
          <t>Verdict</t>
        </is>
      </c>
    </row>
    <row r="45">
      <c r="A45" s="28" t="inlineStr">
        <is>
          <t>EM, ex Turkiye (n=18)</t>
        </is>
      </c>
      <c r="B45" s="51">
        <f>IFERROR(AVERAGE(B6,B7,B8,B9,B10,B16,B17,B18,B19,B26,B27,B33,B34,B35,B36,B37,B38,B39),"")</f>
        <v/>
      </c>
      <c r="C45" s="45">
        <f>IFERROR(AVERAGE(C6,C7,C8,C9,C10,C16,C17,C18,C19,C26,C27,C33,C34,C35,C36,C37,C38,C39),"")</f>
        <v/>
      </c>
      <c r="D45" s="45">
        <f>IFERROR(AVERAGE(D6,D7,D8,D9,D10,D16,D17,D18,D19,D26,D27,D33,D34,D35,D36,D37,D38,D39),"")</f>
        <v/>
      </c>
      <c r="E45" s="45">
        <f>IFERROR(AVERAGE(E6,E7,E8,E9,E10,E16,E17,E18,E19,E26,E27,E33,E34,E35,E36,E37,E38,E39),"")</f>
        <v/>
      </c>
      <c r="F45" s="45">
        <f>IFERROR(AVERAGE(F6,F7,F8,F9,F10,F16,F17,F18,F19,F26,F27,F33,F34,F35,F36,F37,F38,F39),"")</f>
        <v/>
      </c>
      <c r="G45" s="52">
        <f>IFERROR(AVERAGE(G6,G7,G8,G9,G10,G16,G17,G18,G19,G26,G27,G33,G34,G35,G36,G37,G38,G39),"")</f>
        <v/>
      </c>
      <c r="H45" s="52">
        <f>IFERROR(AVERAGE(H6,H7,H8,H9,H10,H16,H17,H18,H19,H26,H27,H33,H34,H35,H36,H37,H38,H39),"")</f>
        <v/>
      </c>
      <c r="I45" s="52">
        <f>IFERROR(AVERAGE(I6,I7,I8,I9,I10,I16,I17,I18,I19,I26,I27,I33,I34,I35,I36,I37,I38,I39),"")</f>
        <v/>
      </c>
      <c r="J45" s="52">
        <f>IFERROR(AVERAGE(J6,J7,J8,J9,J10,J16,J17,J18,J19,J26,J27,J33,J34,J35,J36,J37,J38,J39),"")</f>
        <v/>
      </c>
      <c r="K45" s="52">
        <f>IFERROR(AVERAGE(K6,K7,K8,K9,K10,K16,K17,K18,K19,K26,K27,K33,K34,K35,K36,K37,K38,K39),"")</f>
        <v/>
      </c>
      <c r="L45" s="36">
        <f>IFERROR(AVERAGE(L6,L7,L8,L9,L10,L16,L17,L18,L19,L26,L27,L33,L34,L35,L36,L37,L38,L39),"")</f>
        <v/>
      </c>
      <c r="M45" s="53">
        <f>IFERROR(AVERAGE(M6,M7,M8,M9,M10,M16,M17,M18,M19,M26,M27,M33,M34,M35,M36,M37,M38,M39),"")</f>
        <v/>
      </c>
      <c r="N45" s="37">
        <f>IFERROR(AVERAGE(N6,N7,N8,N9,N10,N16,N17,N18,N19,N26,N27,N33,N34,N35,N36,N37,N38,N39),"")</f>
        <v/>
      </c>
    </row>
    <row r="46">
      <c r="A46" s="28" t="inlineStr">
        <is>
          <t xml:space="preserve">  EM, all markets</t>
        </is>
      </c>
      <c r="B46" s="51">
        <f>IFERROR(AVERAGE(B6,B7,B8,B9,B10,B16,B17,B18,B19,B20,B26,B27,B33,B34,B35,B36,B37,B38,B39),"")</f>
        <v/>
      </c>
      <c r="C46" s="45">
        <f>IFERROR(AVERAGE(C6,C7,C8,C9,C10,C16,C17,C18,C19,C20,C26,C27,C33,C34,C35,C36,C37,C38,C39),"")</f>
        <v/>
      </c>
      <c r="D46" s="45">
        <f>IFERROR(AVERAGE(D6,D7,D8,D9,D10,D16,D17,D18,D19,D20,D26,D27,D33,D34,D35,D36,D37,D38,D39),"")</f>
        <v/>
      </c>
      <c r="E46" s="45">
        <f>IFERROR(AVERAGE(E6,E7,E8,E9,E10,E16,E17,E18,E19,E20,E26,E27,E33,E34,E35,E36,E37,E38,E39),"")</f>
        <v/>
      </c>
      <c r="F46" s="45">
        <f>IFERROR(AVERAGE(F6,F7,F8,F9,F10,F16,F17,F18,F19,F20,F26,F27,F33,F34,F35,F36,F37,F38,F39),"")</f>
        <v/>
      </c>
      <c r="G46" s="52">
        <f>IFERROR(AVERAGE(G6,G7,G8,G9,G10,G16,G17,G18,G19,G20,G26,G27,G33,G34,G35,G36,G37,G38,G39),"")</f>
        <v/>
      </c>
      <c r="H46" s="52">
        <f>IFERROR(AVERAGE(H6,H7,H8,H9,H10,H16,H17,H18,H19,H20,H26,H27,H33,H34,H35,H36,H37,H38,H39),"")</f>
        <v/>
      </c>
      <c r="I46" s="52">
        <f>IFERROR(AVERAGE(I6,I7,I8,I9,I10,I16,I17,I18,I19,I20,I26,I27,I33,I34,I35,I36,I37,I38,I39),"")</f>
        <v/>
      </c>
      <c r="J46" s="52">
        <f>IFERROR(AVERAGE(J6,J7,J8,J9,J10,J16,J17,J18,J19,J20,J26,J27,J33,J34,J35,J36,J37,J38,J39),"")</f>
        <v/>
      </c>
      <c r="K46" s="52">
        <f>IFERROR(AVERAGE(K6,K7,K8,K9,K10,K16,K17,K18,K19,K20,K26,K27,K33,K34,K35,K36,K37,K38,K39),"")</f>
        <v/>
      </c>
      <c r="L46" s="36">
        <f>IFERROR(AVERAGE(L6,L7,L8,L9,L10,L16,L17,L18,L19,L20,L26,L27,L33,L34,L35,L36,L37,L38,L39),"")</f>
        <v/>
      </c>
      <c r="M46" s="53">
        <f>IFERROR(AVERAGE(M6,M7,M8,M9,M10,M16,M17,M18,M19,M20,M26,M27,M33,M34,M35,M36,M37,M38,M39),"")</f>
        <v/>
      </c>
      <c r="N46" s="37">
        <f>IFERROR(AVERAGE(N6,N7,N8,N9,N10,N16,N17,N18,N19,N20,N26,N27,N33,N34,N35,N36,N37,N38,N39),"")</f>
        <v/>
      </c>
    </row>
    <row r="47">
      <c r="A47" s="28" t="inlineStr">
        <is>
          <t xml:space="preserve">  High-beta (BRL MXN ZAR COP IDR)</t>
        </is>
      </c>
      <c r="B47" s="51">
        <f>IFERROR(AVERAGE(B6,B7,B27,B9,B35),"")</f>
        <v/>
      </c>
      <c r="C47" s="45">
        <f>IFERROR(AVERAGE(C6,C7,C27,C9,C35),"")</f>
        <v/>
      </c>
      <c r="D47" s="45">
        <f>IFERROR(AVERAGE(D6,D7,D27,D9,D35),"")</f>
        <v/>
      </c>
      <c r="E47" s="45">
        <f>IFERROR(AVERAGE(E6,E7,E27,E9,E35),"")</f>
        <v/>
      </c>
      <c r="F47" s="45">
        <f>IFERROR(AVERAGE(F6,F7,F27,F9,F35),"")</f>
        <v/>
      </c>
      <c r="G47" s="52">
        <f>IFERROR(AVERAGE(G6,G7,G27,G9,G35),"")</f>
        <v/>
      </c>
      <c r="H47" s="52">
        <f>IFERROR(AVERAGE(H6,H7,H27,H9,H35),"")</f>
        <v/>
      </c>
      <c r="I47" s="52">
        <f>IFERROR(AVERAGE(I6,I7,I27,I9,I35),"")</f>
        <v/>
      </c>
      <c r="J47" s="52">
        <f>IFERROR(AVERAGE(J6,J7,J27,J9,J35),"")</f>
        <v/>
      </c>
      <c r="K47" s="52">
        <f>IFERROR(AVERAGE(K6,K7,K27,K9,K35),"")</f>
        <v/>
      </c>
      <c r="L47" s="36">
        <f>IFERROR(AVERAGE(L6,L7,L27,L9,L35),"")</f>
        <v/>
      </c>
      <c r="M47" s="53">
        <f>IFERROR(AVERAGE(M6,M7,M27,M9,M35),"")</f>
        <v/>
      </c>
      <c r="N47" s="37">
        <f>IFERROR(AVERAGE(N6,N7,N27,N9,N35),"")</f>
        <v/>
      </c>
    </row>
    <row r="48">
      <c r="A48" s="28" t="inlineStr">
        <is>
          <t>EM basket ex TRY, ratio of the averages</t>
        </is>
      </c>
      <c r="B48" s="54">
        <f>INDEX(HIST_D!$DW$8:$DW$2617,1)</f>
        <v/>
      </c>
      <c r="C48" s="45">
        <f>IFERROR((INDEX(HIST_D!$DW$8:$DW$2617,1)-INDEX(HIST_D!$DW$8:$DW$2617,Control!$F$8))*100,"")</f>
        <v/>
      </c>
      <c r="D48" s="45">
        <f>IFERROR((INDEX(HIST_D!$DW$8:$DW$2617,1)-INDEX(HIST_D!$DW$8:$DW$2617,Control!$F$9))*100,"")</f>
        <v/>
      </c>
      <c r="E48" s="45">
        <f>IFERROR((INDEX(HIST_D!$DW$8:$DW$2617,1)-INDEX(HIST_D!$DW$8:$DW$2617,Control!$F$10))*100,"")</f>
        <v/>
      </c>
      <c r="F48" s="45">
        <f>IFERROR((INDEX(HIST_D!$DW$8:$DW$2617,1)-INDEX(HIST_D!$DW$8:$DW$2617,Control!$F$11))*100,"")</f>
        <v/>
      </c>
      <c r="G48" s="52">
        <f>IF(ABS(((INDEX(HIST_D!$D$8:$D$2617,1)-INDEX(HIST_D!$D$8:$D$2617,Control!$F$8))*100))&lt;25,"n/m",IFERROR((((INDEX(HIST_D!$DW$8:$DW$2617,1)-INDEX(HIST_D!$DW$8:$DW$2617,Control!$F$8))*100))/(((INDEX(HIST_D!$D$8:$D$2617,1)-INDEX(HIST_D!$D$8:$D$2617,Control!$F$8))*100)),"n/m"))</f>
        <v/>
      </c>
      <c r="H48" s="52">
        <f>IF(ABS(((INDEX(HIST_D!$D$8:$D$2617,1)-INDEX(HIST_D!$D$8:$D$2617,Control!$F$9))*100))&lt;25,"n/m",IFERROR((((INDEX(HIST_D!$DW$8:$DW$2617,1)-INDEX(HIST_D!$DW$8:$DW$2617,Control!$F$9))*100))/(((INDEX(HIST_D!$D$8:$D$2617,1)-INDEX(HIST_D!$D$8:$D$2617,Control!$F$9))*100)),"n/m"))</f>
        <v/>
      </c>
      <c r="I48" s="52">
        <f>IF(ABS(((INDEX(HIST_D!$D$8:$D$2617,1)-INDEX(HIST_D!$D$8:$D$2617,Control!$F$10))*100))&lt;25,"n/m",IFERROR((((INDEX(HIST_D!$DW$8:$DW$2617,1)-INDEX(HIST_D!$DW$8:$DW$2617,Control!$F$10))*100))/(((INDEX(HIST_D!$D$8:$D$2617,1)-INDEX(HIST_D!$D$8:$D$2617,Control!$F$10))*100)),"n/m"))</f>
        <v/>
      </c>
      <c r="J48" s="52">
        <f>IF(ABS(((INDEX(HIST_D!$D$8:$D$2617,1)-INDEX(HIST_D!$D$8:$D$2617,Control!$F$11))*100))&lt;25,"n/m",IFERROR((((INDEX(HIST_D!$DW$8:$DW$2617,1)-INDEX(HIST_D!$DW$8:$DW$2617,Control!$F$11))*100))/(((INDEX(HIST_D!$D$8:$D$2617,1)-INDEX(HIST_D!$D$8:$D$2617,Control!$F$11))*100)),"n/m"))</f>
        <v/>
      </c>
      <c r="K48" s="52">
        <f>IF(ABS(((INDEX(HIST_D!$D$8:$D$2617,1)-INDEX(HIST_D!$D$8:$D$2617,Control!$F$13))*100))&lt;25,"n/m",IFERROR((((INDEX(HIST_D!$DW$8:$DW$2617,1)-INDEX(HIST_D!$DW$8:$DW$2617,Control!$F$13))*100))/(((INDEX(HIST_D!$D$8:$D$2617,1)-INDEX(HIST_D!$D$8:$D$2617,Control!$F$13))*100)),"n/m"))</f>
        <v/>
      </c>
      <c r="M48" s="55">
        <f>INDEX(HIST_D!$EA$8:$EA$2617,1)</f>
        <v/>
      </c>
      <c r="N48" s="37">
        <f>IFERROR(PERCENTRANK(HIST_D!$EA$8:INDEX(HIST_D!$EA$8:$EA$2617,Control!$F$14),INDEX(HIST_D!$EA$8:$EA$2617,1)),"")</f>
        <v/>
      </c>
    </row>
    <row r="49">
      <c r="A49" s="10" t="inlineStr">
        <is>
          <t>Averaging country ratios is not the same as the ratio of the averages. Both are shown; the row above is the one the Dashboard reads.</t>
        </is>
      </c>
    </row>
    <row r="51" ht="18" customHeight="1">
      <c r="A51" s="3" t="inlineStr">
        <is>
          <t>FX DEFENCE CHECK  —  did the front end have to be tightened to hold the currency?</t>
        </is>
      </c>
      <c r="B51" s="4" t="n"/>
      <c r="C51" s="4" t="n"/>
      <c r="D51" s="4" t="n"/>
      <c r="E51" s="4" t="n"/>
      <c r="F51" s="4" t="n"/>
      <c r="G51" s="4" t="n"/>
      <c r="H51" s="4" t="n"/>
      <c r="I51" s="4" t="n"/>
      <c r="J51" s="4" t="n"/>
      <c r="K51" s="4" t="n"/>
      <c r="L51" s="4" t="n"/>
      <c r="M51" s="4" t="n"/>
      <c r="N51" s="4" t="n"/>
      <c r="O51" s="4" t="n"/>
    </row>
    <row r="52">
      <c r="A52" s="10" t="inlineStr">
        <is>
          <t>A currency can weaken without a policy response. What signals real funding stress is the front end repricing by MORE than the US front end while the currency is still losing ground. That combination, not the FX move on its own, is the thing to look for.</t>
        </is>
      </c>
    </row>
    <row r="53" ht="30" customHeight="1">
      <c r="A53" s="18" t="inlineStr">
        <is>
          <t>Market</t>
        </is>
      </c>
      <c r="B53" s="18" t="inlineStr">
        <is>
          <t>FX 1M</t>
        </is>
      </c>
      <c r="C53" s="18" t="inlineStr">
        <is>
          <t>Local 2Y d 1M (bp)</t>
        </is>
      </c>
      <c r="D53" s="18" t="inlineStr">
        <is>
          <t>UST 2Y d 1M (bp)</t>
        </is>
      </c>
      <c r="E53" s="18" t="inlineStr">
        <is>
          <t>Local less US (bp)</t>
        </is>
      </c>
      <c r="F53" s="18" t="inlineStr">
        <is>
          <t>FX 3M</t>
        </is>
      </c>
      <c r="G53" s="18" t="inlineStr">
        <is>
          <t>Local 2Y d 3M (bp)</t>
        </is>
      </c>
      <c r="H53" s="18" t="inlineStr">
        <is>
          <t>UST 2Y d 3M (bp)</t>
        </is>
      </c>
      <c r="I53" s="18" t="inlineStr">
        <is>
          <t>Local less US (bp)</t>
        </is>
      </c>
      <c r="J53" s="18" t="inlineStr">
        <is>
          <t>Region</t>
        </is>
      </c>
      <c r="K53" s="18" t="inlineStr">
        <is>
          <t>Verdict (1M)</t>
        </is>
      </c>
      <c r="L53" s="18" t="inlineStr"/>
      <c r="M53" s="18" t="inlineStr"/>
      <c r="N53" s="18" t="inlineStr"/>
      <c r="O53" s="18" t="inlineStr"/>
    </row>
    <row r="54">
      <c r="A54" s="8" t="inlineStr">
        <is>
          <t>Brazil 2Y</t>
        </is>
      </c>
      <c r="B54" s="24">
        <f>IFERROR(INDEX(HIST_D!$AA$8:$AA$2617,Control!$F$8)/INDEX(HIST_D!$AA$8:$AA$2617,1)-1,"")</f>
        <v/>
      </c>
      <c r="C54" s="21">
        <f>IFERROR((INDEX(HIST_D!$CU$8:$CU$2617,1)-INDEX(HIST_D!$CU$8:$CU$2617,Control!$F$8))*100,"")</f>
        <v/>
      </c>
      <c r="D54" s="21">
        <f>IFERROR((INDEX(HIST_D!$B$8:$B$2617,1)-INDEX(HIST_D!$B$8:$B$2617,Control!$F$8))*100,"")</f>
        <v/>
      </c>
      <c r="E54" s="45">
        <f>IFERROR(C54-D54,"")</f>
        <v/>
      </c>
      <c r="F54" s="24">
        <f>IFERROR(INDEX(HIST_D!$AA$8:$AA$2617,Control!$F$9)/INDEX(HIST_D!$AA$8:$AA$2617,1)-1,"")</f>
        <v/>
      </c>
      <c r="G54" s="21">
        <f>IFERROR((INDEX(HIST_D!$CU$8:$CU$2617,1)-INDEX(HIST_D!$CU$8:$CU$2617,Control!$F$9))*100,"")</f>
        <v/>
      </c>
      <c r="H54" s="21">
        <f>IFERROR((INDEX(HIST_D!$B$8:$B$2617,1)-INDEX(HIST_D!$B$8:$B$2617,Control!$F$9))*100,"")</f>
        <v/>
      </c>
      <c r="I54" s="45">
        <f>IFERROR(G54-H54,"")</f>
        <v/>
      </c>
      <c r="J54" s="19" t="inlineStr">
        <is>
          <t>LatAm</t>
        </is>
      </c>
      <c r="K54" s="8">
        <f>IF(AND($B54&lt;-0.01,$E54&gt;15),"defending the currency",IF(AND($B54&lt;-0.01,$E54&lt;=15),"weaker FX, no policy response",IF($E54&gt;15,"tightening without FX pressure","no pressure")))</f>
        <v/>
      </c>
    </row>
    <row r="55">
      <c r="A55" s="8" t="inlineStr">
        <is>
          <t>Mexico 2Y</t>
        </is>
      </c>
      <c r="B55" s="24">
        <f>IFERROR(INDEX(HIST_D!$AB$8:$AB$2617,Control!$F$8)/INDEX(HIST_D!$AB$8:$AB$2617,1)-1,"")</f>
        <v/>
      </c>
      <c r="C55" s="21">
        <f>IFERROR((INDEX(HIST_D!$CV$8:$CV$2617,1)-INDEX(HIST_D!$CV$8:$CV$2617,Control!$F$8))*100,"")</f>
        <v/>
      </c>
      <c r="D55" s="21">
        <f>IFERROR((INDEX(HIST_D!$B$8:$B$2617,1)-INDEX(HIST_D!$B$8:$B$2617,Control!$F$8))*100,"")</f>
        <v/>
      </c>
      <c r="E55" s="45">
        <f>IFERROR(C55-D55,"")</f>
        <v/>
      </c>
      <c r="F55" s="24">
        <f>IFERROR(INDEX(HIST_D!$AB$8:$AB$2617,Control!$F$9)/INDEX(HIST_D!$AB$8:$AB$2617,1)-1,"")</f>
        <v/>
      </c>
      <c r="G55" s="21">
        <f>IFERROR((INDEX(HIST_D!$CV$8:$CV$2617,1)-INDEX(HIST_D!$CV$8:$CV$2617,Control!$F$9))*100,"")</f>
        <v/>
      </c>
      <c r="H55" s="21">
        <f>IFERROR((INDEX(HIST_D!$B$8:$B$2617,1)-INDEX(HIST_D!$B$8:$B$2617,Control!$F$9))*100,"")</f>
        <v/>
      </c>
      <c r="I55" s="45">
        <f>IFERROR(G55-H55,"")</f>
        <v/>
      </c>
      <c r="J55" s="19" t="inlineStr">
        <is>
          <t>LatAm</t>
        </is>
      </c>
      <c r="K55" s="8">
        <f>IF(AND($B55&lt;-0.01,$E55&gt;15),"defending the currency",IF(AND($B55&lt;-0.01,$E55&lt;=15),"weaker FX, no policy response",IF($E55&gt;15,"tightening without FX pressure","no pressure")))</f>
        <v/>
      </c>
    </row>
    <row r="56">
      <c r="A56" s="8" t="inlineStr">
        <is>
          <t>Colombia 2Y</t>
        </is>
      </c>
      <c r="B56" s="24">
        <f>IFERROR(INDEX(HIST_D!$AD$8:$AD$2617,Control!$F$8)/INDEX(HIST_D!$AD$8:$AD$2617,1)-1,"")</f>
        <v/>
      </c>
      <c r="C56" s="21">
        <f>IFERROR((INDEX(HIST_D!$CW$8:$CW$2617,1)-INDEX(HIST_D!$CW$8:$CW$2617,Control!$F$8))*100,"")</f>
        <v/>
      </c>
      <c r="D56" s="21">
        <f>IFERROR((INDEX(HIST_D!$B$8:$B$2617,1)-INDEX(HIST_D!$B$8:$B$2617,Control!$F$8))*100,"")</f>
        <v/>
      </c>
      <c r="E56" s="45">
        <f>IFERROR(C56-D56,"")</f>
        <v/>
      </c>
      <c r="F56" s="24">
        <f>IFERROR(INDEX(HIST_D!$AD$8:$AD$2617,Control!$F$9)/INDEX(HIST_D!$AD$8:$AD$2617,1)-1,"")</f>
        <v/>
      </c>
      <c r="G56" s="21">
        <f>IFERROR((INDEX(HIST_D!$CW$8:$CW$2617,1)-INDEX(HIST_D!$CW$8:$CW$2617,Control!$F$9))*100,"")</f>
        <v/>
      </c>
      <c r="H56" s="21">
        <f>IFERROR((INDEX(HIST_D!$B$8:$B$2617,1)-INDEX(HIST_D!$B$8:$B$2617,Control!$F$9))*100,"")</f>
        <v/>
      </c>
      <c r="I56" s="45">
        <f>IFERROR(G56-H56,"")</f>
        <v/>
      </c>
      <c r="J56" s="19" t="inlineStr">
        <is>
          <t>LatAm</t>
        </is>
      </c>
      <c r="K56" s="8">
        <f>IF(AND($B56&lt;-0.01,$E56&gt;15),"defending the currency",IF(AND($B56&lt;-0.01,$E56&lt;=15),"weaker FX, no policy response",IF($E56&gt;15,"tightening without FX pressure","no pressure")))</f>
        <v/>
      </c>
    </row>
    <row r="57">
      <c r="A57" s="8" t="inlineStr">
        <is>
          <t>Poland 2Y</t>
        </is>
      </c>
      <c r="B57" s="24">
        <f>IFERROR(INDEX(HIST_D!$AG$8:$AG$2617,Control!$F$8)/INDEX(HIST_D!$AG$8:$AG$2617,1)-1,"")</f>
        <v/>
      </c>
      <c r="C57" s="21">
        <f>IFERROR((INDEX(HIST_D!$CX$8:$CX$2617,1)-INDEX(HIST_D!$CX$8:$CX$2617,Control!$F$8))*100,"")</f>
        <v/>
      </c>
      <c r="D57" s="21">
        <f>IFERROR((INDEX(HIST_D!$B$8:$B$2617,1)-INDEX(HIST_D!$B$8:$B$2617,Control!$F$8))*100,"")</f>
        <v/>
      </c>
      <c r="E57" s="45">
        <f>IFERROR(C57-D57,"")</f>
        <v/>
      </c>
      <c r="F57" s="24">
        <f>IFERROR(INDEX(HIST_D!$AG$8:$AG$2617,Control!$F$9)/INDEX(HIST_D!$AG$8:$AG$2617,1)-1,"")</f>
        <v/>
      </c>
      <c r="G57" s="21">
        <f>IFERROR((INDEX(HIST_D!$CX$8:$CX$2617,1)-INDEX(HIST_D!$CX$8:$CX$2617,Control!$F$9))*100,"")</f>
        <v/>
      </c>
      <c r="H57" s="21">
        <f>IFERROR((INDEX(HIST_D!$B$8:$B$2617,1)-INDEX(HIST_D!$B$8:$B$2617,Control!$F$9))*100,"")</f>
        <v/>
      </c>
      <c r="I57" s="45">
        <f>IFERROR(G57-H57,"")</f>
        <v/>
      </c>
      <c r="J57" s="19" t="inlineStr">
        <is>
          <t>EM Europe</t>
        </is>
      </c>
      <c r="K57" s="8">
        <f>IF(AND($B57&lt;-0.01,$E57&gt;15),"defending the currency",IF(AND($B57&lt;-0.01,$E57&lt;=15),"weaker FX, no policy response",IF($E57&gt;15,"tightening without FX pressure","no pressure")))</f>
        <v/>
      </c>
    </row>
    <row r="58">
      <c r="A58" s="8" t="inlineStr">
        <is>
          <t>Hungary 2Y</t>
        </is>
      </c>
      <c r="B58" s="24">
        <f>IFERROR(INDEX(HIST_D!$AH$8:$AH$2617,Control!$F$8)/INDEX(HIST_D!$AH$8:$AH$2617,1)-1,"")</f>
        <v/>
      </c>
      <c r="C58" s="21">
        <f>IFERROR((INDEX(HIST_D!$CY$8:$CY$2617,1)-INDEX(HIST_D!$CY$8:$CY$2617,Control!$F$8))*100,"")</f>
        <v/>
      </c>
      <c r="D58" s="21">
        <f>IFERROR((INDEX(HIST_D!$B$8:$B$2617,1)-INDEX(HIST_D!$B$8:$B$2617,Control!$F$8))*100,"")</f>
        <v/>
      </c>
      <c r="E58" s="45">
        <f>IFERROR(C58-D58,"")</f>
        <v/>
      </c>
      <c r="F58" s="24">
        <f>IFERROR(INDEX(HIST_D!$AH$8:$AH$2617,Control!$F$9)/INDEX(HIST_D!$AH$8:$AH$2617,1)-1,"")</f>
        <v/>
      </c>
      <c r="G58" s="21">
        <f>IFERROR((INDEX(HIST_D!$CY$8:$CY$2617,1)-INDEX(HIST_D!$CY$8:$CY$2617,Control!$F$9))*100,"")</f>
        <v/>
      </c>
      <c r="H58" s="21">
        <f>IFERROR((INDEX(HIST_D!$B$8:$B$2617,1)-INDEX(HIST_D!$B$8:$B$2617,Control!$F$9))*100,"")</f>
        <v/>
      </c>
      <c r="I58" s="45">
        <f>IFERROR(G58-H58,"")</f>
        <v/>
      </c>
      <c r="J58" s="19" t="inlineStr">
        <is>
          <t>EM Europe</t>
        </is>
      </c>
      <c r="K58" s="8">
        <f>IF(AND($B58&lt;-0.01,$E58&gt;15),"defending the currency",IF(AND($B58&lt;-0.01,$E58&lt;=15),"weaker FX, no policy response",IF($E58&gt;15,"tightening without FX pressure","no pressure")))</f>
        <v/>
      </c>
    </row>
    <row r="59">
      <c r="A59" s="8" t="inlineStr">
        <is>
          <t>Turkiye 2Y</t>
        </is>
      </c>
      <c r="B59" s="24">
        <f>IFERROR(INDEX(HIST_D!$AK$8:$AK$2617,Control!$F$8)/INDEX(HIST_D!$AK$8:$AK$2617,1)-1,"")</f>
        <v/>
      </c>
      <c r="C59" s="21">
        <f>IFERROR((INDEX(HIST_D!$CZ$8:$CZ$2617,1)-INDEX(HIST_D!$CZ$8:$CZ$2617,Control!$F$8))*100,"")</f>
        <v/>
      </c>
      <c r="D59" s="21">
        <f>IFERROR((INDEX(HIST_D!$B$8:$B$2617,1)-INDEX(HIST_D!$B$8:$B$2617,Control!$F$8))*100,"")</f>
        <v/>
      </c>
      <c r="E59" s="45">
        <f>IFERROR(C59-D59,"")</f>
        <v/>
      </c>
      <c r="F59" s="24">
        <f>IFERROR(INDEX(HIST_D!$AK$8:$AK$2617,Control!$F$9)/INDEX(HIST_D!$AK$8:$AK$2617,1)-1,"")</f>
        <v/>
      </c>
      <c r="G59" s="21">
        <f>IFERROR((INDEX(HIST_D!$CZ$8:$CZ$2617,1)-INDEX(HIST_D!$CZ$8:$CZ$2617,Control!$F$9))*100,"")</f>
        <v/>
      </c>
      <c r="H59" s="21">
        <f>IFERROR((INDEX(HIST_D!$B$8:$B$2617,1)-INDEX(HIST_D!$B$8:$B$2617,Control!$F$9))*100,"")</f>
        <v/>
      </c>
      <c r="I59" s="45">
        <f>IFERROR(G59-H59,"")</f>
        <v/>
      </c>
      <c r="J59" s="19" t="inlineStr">
        <is>
          <t>EM Europe</t>
        </is>
      </c>
      <c r="K59" s="8">
        <f>IF(AND($B59&lt;-0.01,$E59&gt;15),"defending the currency",IF(AND($B59&lt;-0.01,$E59&lt;=15),"weaker FX, no policy response",IF($E59&gt;15,"tightening without FX pressure","no pressure")))</f>
        <v/>
      </c>
    </row>
    <row r="60">
      <c r="A60" s="8" t="inlineStr">
        <is>
          <t>Israel 2Y</t>
        </is>
      </c>
      <c r="B60" s="24">
        <f>IFERROR(INDEX(HIST_D!$AL$8:$AL$2617,Control!$F$8)/INDEX(HIST_D!$AL$8:$AL$2617,1)-1,"")</f>
        <v/>
      </c>
      <c r="C60" s="21">
        <f>IFERROR((INDEX(HIST_D!$DA$8:$DA$2617,1)-INDEX(HIST_D!$DA$8:$DA$2617,Control!$F$8))*100,"")</f>
        <v/>
      </c>
      <c r="D60" s="21">
        <f>IFERROR((INDEX(HIST_D!$B$8:$B$2617,1)-INDEX(HIST_D!$B$8:$B$2617,Control!$F$8))*100,"")</f>
        <v/>
      </c>
      <c r="E60" s="45">
        <f>IFERROR(C60-D60,"")</f>
        <v/>
      </c>
      <c r="F60" s="24">
        <f>IFERROR(INDEX(HIST_D!$AL$8:$AL$2617,Control!$F$9)/INDEX(HIST_D!$AL$8:$AL$2617,1)-1,"")</f>
        <v/>
      </c>
      <c r="G60" s="21">
        <f>IFERROR((INDEX(HIST_D!$DA$8:$DA$2617,1)-INDEX(HIST_D!$DA$8:$DA$2617,Control!$F$9))*100,"")</f>
        <v/>
      </c>
      <c r="H60" s="21">
        <f>IFERROR((INDEX(HIST_D!$B$8:$B$2617,1)-INDEX(HIST_D!$B$8:$B$2617,Control!$F$9))*100,"")</f>
        <v/>
      </c>
      <c r="I60" s="45">
        <f>IFERROR(G60-H60,"")</f>
        <v/>
      </c>
      <c r="J60" s="19" t="inlineStr">
        <is>
          <t>Middle East &amp; Africa</t>
        </is>
      </c>
      <c r="K60" s="8">
        <f>IF(AND($B60&lt;-0.01,$E60&gt;15),"defending the currency",IF(AND($B60&lt;-0.01,$E60&lt;=15),"weaker FX, no policy response",IF($E60&gt;15,"tightening without FX pressure","no pressure")))</f>
        <v/>
      </c>
    </row>
    <row r="61">
      <c r="A61" s="8" t="inlineStr">
        <is>
          <t>South Africa 2Y</t>
        </is>
      </c>
      <c r="B61" s="24">
        <f>IFERROR(INDEX(HIST_D!$AM$8:$AM$2617,Control!$F$8)/INDEX(HIST_D!$AM$8:$AM$2617,1)-1,"")</f>
        <v/>
      </c>
      <c r="C61" s="21">
        <f>IFERROR((INDEX(HIST_D!$DB$8:$DB$2617,1)-INDEX(HIST_D!$DB$8:$DB$2617,Control!$F$8))*100,"")</f>
        <v/>
      </c>
      <c r="D61" s="21">
        <f>IFERROR((INDEX(HIST_D!$B$8:$B$2617,1)-INDEX(HIST_D!$B$8:$B$2617,Control!$F$8))*100,"")</f>
        <v/>
      </c>
      <c r="E61" s="45">
        <f>IFERROR(C61-D61,"")</f>
        <v/>
      </c>
      <c r="F61" s="24">
        <f>IFERROR(INDEX(HIST_D!$AM$8:$AM$2617,Control!$F$9)/INDEX(HIST_D!$AM$8:$AM$2617,1)-1,"")</f>
        <v/>
      </c>
      <c r="G61" s="21">
        <f>IFERROR((INDEX(HIST_D!$DB$8:$DB$2617,1)-INDEX(HIST_D!$DB$8:$DB$2617,Control!$F$9))*100,"")</f>
        <v/>
      </c>
      <c r="H61" s="21">
        <f>IFERROR((INDEX(HIST_D!$B$8:$B$2617,1)-INDEX(HIST_D!$B$8:$B$2617,Control!$F$9))*100,"")</f>
        <v/>
      </c>
      <c r="I61" s="45">
        <f>IFERROR(G61-H61,"")</f>
        <v/>
      </c>
      <c r="J61" s="19" t="inlineStr">
        <is>
          <t>Middle East &amp; Africa</t>
        </is>
      </c>
      <c r="K61" s="8">
        <f>IF(AND($B61&lt;-0.01,$E61&gt;15),"defending the currency",IF(AND($B61&lt;-0.01,$E61&lt;=15),"weaker FX, no policy response",IF($E61&gt;15,"tightening without FX pressure","no pressure")))</f>
        <v/>
      </c>
    </row>
    <row r="62">
      <c r="A62" s="8" t="inlineStr">
        <is>
          <t>India 2Y</t>
        </is>
      </c>
      <c r="B62" s="24">
        <f>IFERROR(INDEX(HIST_D!$AS$8:$AS$2617,Control!$F$8)/INDEX(HIST_D!$AS$8:$AS$2617,1)-1,"")</f>
        <v/>
      </c>
      <c r="C62" s="21">
        <f>IFERROR((INDEX(HIST_D!$DC$8:$DC$2617,1)-INDEX(HIST_D!$DC$8:$DC$2617,Control!$F$8))*100,"")</f>
        <v/>
      </c>
      <c r="D62" s="21">
        <f>IFERROR((INDEX(HIST_D!$B$8:$B$2617,1)-INDEX(HIST_D!$B$8:$B$2617,Control!$F$8))*100,"")</f>
        <v/>
      </c>
      <c r="E62" s="45">
        <f>IFERROR(C62-D62,"")</f>
        <v/>
      </c>
      <c r="F62" s="24">
        <f>IFERROR(INDEX(HIST_D!$AS$8:$AS$2617,Control!$F$9)/INDEX(HIST_D!$AS$8:$AS$2617,1)-1,"")</f>
        <v/>
      </c>
      <c r="G62" s="21">
        <f>IFERROR((INDEX(HIST_D!$DC$8:$DC$2617,1)-INDEX(HIST_D!$DC$8:$DC$2617,Control!$F$9))*100,"")</f>
        <v/>
      </c>
      <c r="H62" s="21">
        <f>IFERROR((INDEX(HIST_D!$B$8:$B$2617,1)-INDEX(HIST_D!$B$8:$B$2617,Control!$F$9))*100,"")</f>
        <v/>
      </c>
      <c r="I62" s="45">
        <f>IFERROR(G62-H62,"")</f>
        <v/>
      </c>
      <c r="J62" s="19" t="inlineStr">
        <is>
          <t>Asia</t>
        </is>
      </c>
      <c r="K62" s="8">
        <f>IF(AND($B62&lt;-0.01,$E62&gt;15),"defending the currency",IF(AND($B62&lt;-0.01,$E62&lt;=15),"weaker FX, no policy response",IF($E62&gt;15,"tightening without FX pressure","no pressure")))</f>
        <v/>
      </c>
    </row>
    <row r="63">
      <c r="A63" s="8" t="inlineStr">
        <is>
          <t>Indonesia 2Y</t>
        </is>
      </c>
      <c r="B63" s="24">
        <f>IFERROR(INDEX(HIST_D!$AT$8:$AT$2617,Control!$F$8)/INDEX(HIST_D!$AT$8:$AT$2617,1)-1,"")</f>
        <v/>
      </c>
      <c r="C63" s="21">
        <f>IFERROR((INDEX(HIST_D!$DD$8:$DD$2617,1)-INDEX(HIST_D!$DD$8:$DD$2617,Control!$F$8))*100,"")</f>
        <v/>
      </c>
      <c r="D63" s="21">
        <f>IFERROR((INDEX(HIST_D!$B$8:$B$2617,1)-INDEX(HIST_D!$B$8:$B$2617,Control!$F$8))*100,"")</f>
        <v/>
      </c>
      <c r="E63" s="45">
        <f>IFERROR(C63-D63,"")</f>
        <v/>
      </c>
      <c r="F63" s="24">
        <f>IFERROR(INDEX(HIST_D!$AT$8:$AT$2617,Control!$F$9)/INDEX(HIST_D!$AT$8:$AT$2617,1)-1,"")</f>
        <v/>
      </c>
      <c r="G63" s="21">
        <f>IFERROR((INDEX(HIST_D!$DD$8:$DD$2617,1)-INDEX(HIST_D!$DD$8:$DD$2617,Control!$F$9))*100,"")</f>
        <v/>
      </c>
      <c r="H63" s="21">
        <f>IFERROR((INDEX(HIST_D!$B$8:$B$2617,1)-INDEX(HIST_D!$B$8:$B$2617,Control!$F$9))*100,"")</f>
        <v/>
      </c>
      <c r="I63" s="45">
        <f>IFERROR(G63-H63,"")</f>
        <v/>
      </c>
      <c r="J63" s="19" t="inlineStr">
        <is>
          <t>Asia</t>
        </is>
      </c>
      <c r="K63" s="8">
        <f>IF(AND($B63&lt;-0.01,$E63&gt;15),"defending the currency",IF(AND($B63&lt;-0.01,$E63&lt;=15),"weaker FX, no policy response",IF($E63&gt;15,"tightening without FX pressure","no pressure")))</f>
        <v/>
      </c>
    </row>
    <row r="64">
      <c r="A64" s="8" t="inlineStr">
        <is>
          <t>Korea 2Y</t>
        </is>
      </c>
      <c r="B64" s="24">
        <f>IFERROR(INDEX(HIST_D!$AU$8:$AU$2617,Control!$F$8)/INDEX(HIST_D!$AU$8:$AU$2617,1)-1,"")</f>
        <v/>
      </c>
      <c r="C64" s="21">
        <f>IFERROR((INDEX(HIST_D!$DE$8:$DE$2617,1)-INDEX(HIST_D!$DE$8:$DE$2617,Control!$F$8))*100,"")</f>
        <v/>
      </c>
      <c r="D64" s="21">
        <f>IFERROR((INDEX(HIST_D!$B$8:$B$2617,1)-INDEX(HIST_D!$B$8:$B$2617,Control!$F$8))*100,"")</f>
        <v/>
      </c>
      <c r="E64" s="45">
        <f>IFERROR(C64-D64,"")</f>
        <v/>
      </c>
      <c r="F64" s="24">
        <f>IFERROR(INDEX(HIST_D!$AU$8:$AU$2617,Control!$F$9)/INDEX(HIST_D!$AU$8:$AU$2617,1)-1,"")</f>
        <v/>
      </c>
      <c r="G64" s="21">
        <f>IFERROR((INDEX(HIST_D!$DE$8:$DE$2617,1)-INDEX(HIST_D!$DE$8:$DE$2617,Control!$F$9))*100,"")</f>
        <v/>
      </c>
      <c r="H64" s="21">
        <f>IFERROR((INDEX(HIST_D!$B$8:$B$2617,1)-INDEX(HIST_D!$B$8:$B$2617,Control!$F$9))*100,"")</f>
        <v/>
      </c>
      <c r="I64" s="45">
        <f>IFERROR(G64-H64,"")</f>
        <v/>
      </c>
      <c r="J64" s="19" t="inlineStr">
        <is>
          <t>Asia</t>
        </is>
      </c>
      <c r="K64" s="8">
        <f>IF(AND($B64&lt;-0.01,$E64&gt;15),"defending the currency",IF(AND($B64&lt;-0.01,$E64&lt;=15),"weaker FX, no policy response",IF($E64&gt;15,"tightening without FX pressure","no pressure")))</f>
        <v/>
      </c>
    </row>
    <row r="65">
      <c r="A65" s="8" t="inlineStr">
        <is>
          <t>Thailand 2Y</t>
        </is>
      </c>
      <c r="B65" s="24">
        <f>IFERROR(INDEX(HIST_D!$AW$8:$AW$2617,Control!$F$8)/INDEX(HIST_D!$AW$8:$AW$2617,1)-1,"")</f>
        <v/>
      </c>
      <c r="C65" s="21">
        <f>IFERROR((INDEX(HIST_D!$DF$8:$DF$2617,1)-INDEX(HIST_D!$DF$8:$DF$2617,Control!$F$8))*100,"")</f>
        <v/>
      </c>
      <c r="D65" s="21">
        <f>IFERROR((INDEX(HIST_D!$B$8:$B$2617,1)-INDEX(HIST_D!$B$8:$B$2617,Control!$F$8))*100,"")</f>
        <v/>
      </c>
      <c r="E65" s="45">
        <f>IFERROR(C65-D65,"")</f>
        <v/>
      </c>
      <c r="F65" s="24">
        <f>IFERROR(INDEX(HIST_D!$AW$8:$AW$2617,Control!$F$9)/INDEX(HIST_D!$AW$8:$AW$2617,1)-1,"")</f>
        <v/>
      </c>
      <c r="G65" s="21">
        <f>IFERROR((INDEX(HIST_D!$DF$8:$DF$2617,1)-INDEX(HIST_D!$DF$8:$DF$2617,Control!$F$9))*100,"")</f>
        <v/>
      </c>
      <c r="H65" s="21">
        <f>IFERROR((INDEX(HIST_D!$B$8:$B$2617,1)-INDEX(HIST_D!$B$8:$B$2617,Control!$F$9))*100,"")</f>
        <v/>
      </c>
      <c r="I65" s="45">
        <f>IFERROR(G65-H65,"")</f>
        <v/>
      </c>
      <c r="J65" s="19" t="inlineStr">
        <is>
          <t>Asia</t>
        </is>
      </c>
      <c r="K65" s="8">
        <f>IF(AND($B65&lt;-0.01,$E65&gt;15),"defending the currency",IF(AND($B65&lt;-0.01,$E65&lt;=15),"weaker FX, no policy response",IF($E65&gt;15,"tightening without FX pressure","no pressure")))</f>
        <v/>
      </c>
    </row>
    <row r="67" ht="18" customHeight="1">
      <c r="A67" s="3" t="inlineStr">
        <is>
          <t>POLICY SPACE  —  real policy rates. Blue cells are yours to fill from the primary release.</t>
        </is>
      </c>
      <c r="B67" s="4" t="n"/>
      <c r="C67" s="4" t="n"/>
      <c r="D67" s="4" t="n"/>
      <c r="E67" s="4" t="n"/>
      <c r="F67" s="4" t="n"/>
      <c r="G67" s="4" t="n"/>
      <c r="H67" s="4" t="n"/>
      <c r="I67" s="4" t="n"/>
      <c r="J67" s="4" t="n"/>
      <c r="K67" s="4" t="n"/>
      <c r="L67" s="4" t="n"/>
      <c r="M67" s="4" t="n"/>
      <c r="N67" s="4" t="n"/>
      <c r="O67" s="4" t="n"/>
    </row>
    <row r="68">
      <c r="A68" s="10" t="inlineStr">
        <is>
          <t>Left blank on purpose rather than filled with a modelled proxy. Each row names the exact release the number comes from. Real rate = policy rate less core inflation, ex post.</t>
        </is>
      </c>
    </row>
    <row r="69" ht="30" customHeight="1">
      <c r="A69" s="18" t="inlineStr">
        <is>
          <t>Country</t>
        </is>
      </c>
      <c r="B69" s="18" t="inlineStr">
        <is>
          <t>Region</t>
        </is>
      </c>
      <c r="C69" s="18" t="inlineStr">
        <is>
          <t>Policy rate (%)</t>
        </is>
      </c>
      <c r="D69" s="18" t="inlineStr">
        <is>
          <t>Core CPI y/y (%)</t>
        </is>
      </c>
      <c r="E69" s="18" t="inlineStr">
        <is>
          <t>Real policy rate (%)</t>
        </is>
      </c>
      <c r="F69" s="18" t="inlineStr">
        <is>
          <t>less US real (pp)</t>
        </is>
      </c>
      <c r="G69" s="18" t="inlineStr">
        <is>
          <t>Policy rate source</t>
        </is>
      </c>
      <c r="H69" s="18" t="inlineStr">
        <is>
          <t>Core CPI source</t>
        </is>
      </c>
      <c r="I69" s="18" t="inlineStr"/>
      <c r="J69" s="18" t="inlineStr"/>
      <c r="K69" s="18" t="inlineStr"/>
      <c r="L69" s="18" t="inlineStr"/>
      <c r="M69" s="18" t="inlineStr"/>
      <c r="N69" s="18" t="inlineStr"/>
      <c r="O69" s="18" t="inlineStr"/>
    </row>
    <row r="70">
      <c r="A70" s="8" t="inlineStr">
        <is>
          <t>Brazil</t>
        </is>
      </c>
      <c r="B70" s="19" t="inlineStr">
        <is>
          <t>LatAm</t>
        </is>
      </c>
      <c r="C70" s="12" t="n"/>
      <c r="D70" s="12" t="n"/>
      <c r="E70" s="56">
        <f>IF(OR($C70="",$D70=""),"",$C70-$D70)</f>
        <v/>
      </c>
      <c r="F70" s="38">
        <f>IF(OR($E70="",$E$89=""),"",$E70-$E$89)</f>
        <v/>
      </c>
      <c r="G70" s="49" t="inlineStr">
        <is>
          <t>BCB Selic target (COPOM release)</t>
        </is>
      </c>
      <c r="H70" s="49" t="inlineStr">
        <is>
          <t>IBGE IPCA core EX3, y/y</t>
        </is>
      </c>
    </row>
    <row r="71">
      <c r="A71" s="8" t="inlineStr">
        <is>
          <t>Mexico</t>
        </is>
      </c>
      <c r="B71" s="19" t="inlineStr">
        <is>
          <t>LatAm</t>
        </is>
      </c>
      <c r="C71" s="12" t="n"/>
      <c r="D71" s="12" t="n"/>
      <c r="E71" s="56">
        <f>IF(OR($C71="",$D71=""),"",$C71-$D71)</f>
        <v/>
      </c>
      <c r="F71" s="38">
        <f>IF(OR($E71="",$E$89=""),"",$E71-$E$89)</f>
        <v/>
      </c>
      <c r="G71" s="49" t="inlineStr">
        <is>
          <t>Banxico tasa objetivo (Anuncio de politica)</t>
        </is>
      </c>
      <c r="H71" s="49" t="inlineStr">
        <is>
          <t>INEGI INPC subyacente, y/y</t>
        </is>
      </c>
    </row>
    <row r="72">
      <c r="A72" s="8" t="inlineStr">
        <is>
          <t>Chile</t>
        </is>
      </c>
      <c r="B72" s="19" t="inlineStr">
        <is>
          <t>LatAm</t>
        </is>
      </c>
      <c r="C72" s="12" t="n"/>
      <c r="D72" s="12" t="n"/>
      <c r="E72" s="56">
        <f>IF(OR($C72="",$D72=""),"",$C72-$D72)</f>
        <v/>
      </c>
      <c r="F72" s="38">
        <f>IF(OR($E72="",$E$89=""),"",$E72-$E$89)</f>
        <v/>
      </c>
      <c r="G72" s="49" t="inlineStr">
        <is>
          <t>BCCh TPM (Reunion de Politica Monetaria)</t>
        </is>
      </c>
      <c r="H72" s="49" t="inlineStr">
        <is>
          <t>INE IPC sin volatiles, y/y</t>
        </is>
      </c>
    </row>
    <row r="73">
      <c r="A73" s="8" t="inlineStr">
        <is>
          <t>Colombia</t>
        </is>
      </c>
      <c r="B73" s="19" t="inlineStr">
        <is>
          <t>LatAm</t>
        </is>
      </c>
      <c r="C73" s="12" t="n"/>
      <c r="D73" s="12" t="n"/>
      <c r="E73" s="56">
        <f>IF(OR($C73="",$D73=""),"",$C73-$D73)</f>
        <v/>
      </c>
      <c r="F73" s="38">
        <f>IF(OR($E73="",$E$89=""),"",$E73-$E$89)</f>
        <v/>
      </c>
      <c r="G73" s="49" t="inlineStr">
        <is>
          <t>BanRep tasa de intervencion</t>
        </is>
      </c>
      <c r="H73" s="49" t="inlineStr">
        <is>
          <t>DANE IPC sin alimentos, y/y</t>
        </is>
      </c>
    </row>
    <row r="74">
      <c r="A74" s="8" t="inlineStr">
        <is>
          <t>Peru</t>
        </is>
      </c>
      <c r="B74" s="19" t="inlineStr">
        <is>
          <t>LatAm</t>
        </is>
      </c>
      <c r="C74" s="12" t="n"/>
      <c r="D74" s="12" t="n"/>
      <c r="E74" s="56">
        <f>IF(OR($C74="",$D74=""),"",$C74-$D74)</f>
        <v/>
      </c>
      <c r="F74" s="38">
        <f>IF(OR($E74="",$E$89=""),"",$E74-$E$89)</f>
        <v/>
      </c>
      <c r="G74" s="49" t="inlineStr">
        <is>
          <t>BCRP tasa de referencia</t>
        </is>
      </c>
      <c r="H74" s="49" t="inlineStr">
        <is>
          <t>INEI IPC subyacente Lima, y/y</t>
        </is>
      </c>
    </row>
    <row r="75">
      <c r="A75" s="8" t="inlineStr">
        <is>
          <t>Poland</t>
        </is>
      </c>
      <c r="B75" s="19" t="inlineStr">
        <is>
          <t>EM Europe</t>
        </is>
      </c>
      <c r="C75" s="12" t="n"/>
      <c r="D75" s="12" t="n"/>
      <c r="E75" s="56">
        <f>IF(OR($C75="",$D75=""),"",$C75-$D75)</f>
        <v/>
      </c>
      <c r="F75" s="38">
        <f>IF(OR($E75="",$E$89=""),"",$E75-$E$89)</f>
        <v/>
      </c>
      <c r="G75" s="49" t="inlineStr">
        <is>
          <t>NBP reference rate</t>
        </is>
      </c>
      <c r="H75" s="49" t="inlineStr">
        <is>
          <t>GUS core ex food/energy, y/y</t>
        </is>
      </c>
    </row>
    <row r="76">
      <c r="A76" s="8" t="inlineStr">
        <is>
          <t>Hungary</t>
        </is>
      </c>
      <c r="B76" s="19" t="inlineStr">
        <is>
          <t>EM Europe</t>
        </is>
      </c>
      <c r="C76" s="12" t="n"/>
      <c r="D76" s="12" t="n"/>
      <c r="E76" s="56">
        <f>IF(OR($C76="",$D76=""),"",$C76-$D76)</f>
        <v/>
      </c>
      <c r="F76" s="38">
        <f>IF(OR($E76="",$E$89=""),"",$E76-$E$89)</f>
        <v/>
      </c>
      <c r="G76" s="49" t="inlineStr">
        <is>
          <t>MNB base rate</t>
        </is>
      </c>
      <c r="H76" s="49" t="inlineStr">
        <is>
          <t>KSH core, y/y</t>
        </is>
      </c>
    </row>
    <row r="77">
      <c r="A77" s="8" t="inlineStr">
        <is>
          <t>Czechia</t>
        </is>
      </c>
      <c r="B77" s="19" t="inlineStr">
        <is>
          <t>EM Europe</t>
        </is>
      </c>
      <c r="C77" s="12" t="n"/>
      <c r="D77" s="12" t="n"/>
      <c r="E77" s="56">
        <f>IF(OR($C77="",$D77=""),"",$C77-$D77)</f>
        <v/>
      </c>
      <c r="F77" s="38">
        <f>IF(OR($E77="",$E$89=""),"",$E77-$E$89)</f>
        <v/>
      </c>
      <c r="G77" s="49" t="inlineStr">
        <is>
          <t>CNB two-week repo</t>
        </is>
      </c>
      <c r="H77" s="49" t="inlineStr">
        <is>
          <t>CZSO core, y/y</t>
        </is>
      </c>
    </row>
    <row r="78">
      <c r="A78" s="8" t="inlineStr">
        <is>
          <t>Romania</t>
        </is>
      </c>
      <c r="B78" s="19" t="inlineStr">
        <is>
          <t>EM Europe</t>
        </is>
      </c>
      <c r="C78" s="12" t="n"/>
      <c r="D78" s="12" t="n"/>
      <c r="E78" s="56">
        <f>IF(OR($C78="",$D78=""),"",$C78-$D78)</f>
        <v/>
      </c>
      <c r="F78" s="38">
        <f>IF(OR($E78="",$E$89=""),"",$E78-$E$89)</f>
        <v/>
      </c>
      <c r="G78" s="49" t="inlineStr">
        <is>
          <t>BNR policy rate</t>
        </is>
      </c>
      <c r="H78" s="49" t="inlineStr">
        <is>
          <t>INS core2 adjusted, y/y</t>
        </is>
      </c>
    </row>
    <row r="79">
      <c r="A79" s="8" t="inlineStr">
        <is>
          <t>Turkiye</t>
        </is>
      </c>
      <c r="B79" s="19" t="inlineStr">
        <is>
          <t>EM Europe</t>
        </is>
      </c>
      <c r="C79" s="12" t="n"/>
      <c r="D79" s="12" t="n"/>
      <c r="E79" s="56">
        <f>IF(OR($C79="",$D79=""),"",$C79-$D79)</f>
        <v/>
      </c>
      <c r="F79" s="38">
        <f>IF(OR($E79="",$E$89=""),"",$E79-$E$89)</f>
        <v/>
      </c>
      <c r="G79" s="49" t="inlineStr">
        <is>
          <t>CBRT 1-week repo</t>
        </is>
      </c>
      <c r="H79" s="49" t="inlineStr">
        <is>
          <t>TurkStat CPI-C, y/y</t>
        </is>
      </c>
    </row>
    <row r="80">
      <c r="A80" s="8" t="inlineStr">
        <is>
          <t>Israel</t>
        </is>
      </c>
      <c r="B80" s="19" t="inlineStr">
        <is>
          <t>Middle East &amp; Africa</t>
        </is>
      </c>
      <c r="C80" s="12" t="n"/>
      <c r="D80" s="12" t="n"/>
      <c r="E80" s="56">
        <f>IF(OR($C80="",$D80=""),"",$C80-$D80)</f>
        <v/>
      </c>
      <c r="F80" s="38">
        <f>IF(OR($E80="",$E$89=""),"",$E80-$E$89)</f>
        <v/>
      </c>
      <c r="G80" s="49" t="inlineStr">
        <is>
          <t>BoI rate (Monetary Committee decision)</t>
        </is>
      </c>
      <c r="H80" s="49" t="inlineStr">
        <is>
          <t>CBS core CPI, y/y</t>
        </is>
      </c>
    </row>
    <row r="81">
      <c r="A81" s="8" t="inlineStr">
        <is>
          <t>South Africa</t>
        </is>
      </c>
      <c r="B81" s="19" t="inlineStr">
        <is>
          <t>Middle East &amp; Africa</t>
        </is>
      </c>
      <c r="C81" s="12" t="n"/>
      <c r="D81" s="12" t="n"/>
      <c r="E81" s="56">
        <f>IF(OR($C81="",$D81=""),"",$C81-$D81)</f>
        <v/>
      </c>
      <c r="F81" s="38">
        <f>IF(OR($E81="",$E$89=""),"",$E81-$E$89)</f>
        <v/>
      </c>
      <c r="G81" s="49" t="inlineStr">
        <is>
          <t>SARB repo rate (MPC statement)</t>
        </is>
      </c>
      <c r="H81" s="49" t="inlineStr">
        <is>
          <t>StatsSA CPI core, y/y</t>
        </is>
      </c>
    </row>
    <row r="82">
      <c r="A82" s="8" t="inlineStr">
        <is>
          <t>Saudi Arabia</t>
        </is>
      </c>
      <c r="B82" s="19" t="inlineStr">
        <is>
          <t>Middle East &amp; Africa</t>
        </is>
      </c>
      <c r="C82" s="12" t="n"/>
      <c r="D82" s="12" t="n"/>
      <c r="E82" s="56">
        <f>IF(OR($C82="",$D82=""),"",$C82-$D82)</f>
        <v/>
      </c>
      <c r="F82" s="38">
        <f>IF(OR($E82="",$E$89=""),"",$E82-$E$89)</f>
        <v/>
      </c>
      <c r="G82" s="49" t="inlineStr">
        <is>
          <t>SAMA repo (follows the Fed under the peg)</t>
        </is>
      </c>
      <c r="H82" s="49" t="inlineStr">
        <is>
          <t>GASTAT core CPI, y/y</t>
        </is>
      </c>
    </row>
    <row r="83">
      <c r="A83" s="8" t="inlineStr">
        <is>
          <t>Egypt</t>
        </is>
      </c>
      <c r="B83" s="19" t="inlineStr">
        <is>
          <t>Middle East &amp; Africa</t>
        </is>
      </c>
      <c r="C83" s="12" t="n"/>
      <c r="D83" s="12" t="n"/>
      <c r="E83" s="56">
        <f>IF(OR($C83="",$D83=""),"",$C83-$D83)</f>
        <v/>
      </c>
      <c r="F83" s="38">
        <f>IF(OR($E83="",$E$89=""),"",$E83-$E$89)</f>
        <v/>
      </c>
      <c r="G83" s="49" t="inlineStr">
        <is>
          <t>CBE overnight deposit rate</t>
        </is>
      </c>
      <c r="H83" s="49" t="inlineStr">
        <is>
          <t>CAPMAS core CPI, y/y</t>
        </is>
      </c>
    </row>
    <row r="84">
      <c r="A84" s="8" t="inlineStr">
        <is>
          <t>China</t>
        </is>
      </c>
      <c r="B84" s="19" t="inlineStr">
        <is>
          <t>Asia</t>
        </is>
      </c>
      <c r="C84" s="12" t="n"/>
      <c r="D84" s="12" t="n"/>
      <c r="E84" s="56">
        <f>IF(OR($C84="",$D84=""),"",$C84-$D84)</f>
        <v/>
      </c>
      <c r="F84" s="38">
        <f>IF(OR($E84="",$E$89=""),"",$E84-$E$89)</f>
        <v/>
      </c>
      <c r="G84" s="49" t="inlineStr">
        <is>
          <t>PBoC 7-day reverse repo</t>
        </is>
      </c>
      <c r="H84" s="49" t="inlineStr">
        <is>
          <t>NBS core CPI, y/y</t>
        </is>
      </c>
    </row>
    <row r="85">
      <c r="A85" s="8" t="inlineStr">
        <is>
          <t>India</t>
        </is>
      </c>
      <c r="B85" s="19" t="inlineStr">
        <is>
          <t>Asia</t>
        </is>
      </c>
      <c r="C85" s="12" t="n"/>
      <c r="D85" s="12" t="n"/>
      <c r="E85" s="56">
        <f>IF(OR($C85="",$D85=""),"",$C85-$D85)</f>
        <v/>
      </c>
      <c r="F85" s="38">
        <f>IF(OR($E85="",$E$89=""),"",$E85-$E$89)</f>
        <v/>
      </c>
      <c r="G85" s="49" t="inlineStr">
        <is>
          <t>RBI repo rate (MPC resolution)</t>
        </is>
      </c>
      <c r="H85" s="49" t="inlineStr">
        <is>
          <t>MoSPI CPI ex food/fuel, y/y</t>
        </is>
      </c>
    </row>
    <row r="86">
      <c r="A86" s="8" t="inlineStr">
        <is>
          <t>Indonesia</t>
        </is>
      </c>
      <c r="B86" s="19" t="inlineStr">
        <is>
          <t>Asia</t>
        </is>
      </c>
      <c r="C86" s="12" t="n"/>
      <c r="D86" s="12" t="n"/>
      <c r="E86" s="56">
        <f>IF(OR($C86="",$D86=""),"",$C86-$D86)</f>
        <v/>
      </c>
      <c r="F86" s="38">
        <f>IF(OR($E86="",$E$89=""),"",$E86-$E$89)</f>
        <v/>
      </c>
      <c r="G86" s="49" t="inlineStr">
        <is>
          <t>BI-Rate</t>
        </is>
      </c>
      <c r="H86" s="49" t="inlineStr">
        <is>
          <t>BPS core CPI, y/y</t>
        </is>
      </c>
    </row>
    <row r="87">
      <c r="A87" s="8" t="inlineStr">
        <is>
          <t>Korea</t>
        </is>
      </c>
      <c r="B87" s="19" t="inlineStr">
        <is>
          <t>Asia</t>
        </is>
      </c>
      <c r="C87" s="12" t="n"/>
      <c r="D87" s="12" t="n"/>
      <c r="E87" s="56">
        <f>IF(OR($C87="",$D87=""),"",$C87-$D87)</f>
        <v/>
      </c>
      <c r="F87" s="38">
        <f>IF(OR($E87="",$E$89=""),"",$E87-$E$89)</f>
        <v/>
      </c>
      <c r="G87" s="49" t="inlineStr">
        <is>
          <t>BOK base rate</t>
        </is>
      </c>
      <c r="H87" s="49" t="inlineStr">
        <is>
          <t>KOSTAT core CPI, y/y</t>
        </is>
      </c>
    </row>
    <row r="88">
      <c r="A88" s="8" t="inlineStr">
        <is>
          <t>Thailand</t>
        </is>
      </c>
      <c r="B88" s="19" t="inlineStr">
        <is>
          <t>Asia</t>
        </is>
      </c>
      <c r="C88" s="12" t="n"/>
      <c r="D88" s="12" t="n"/>
      <c r="E88" s="56">
        <f>IF(OR($C88="",$D88=""),"",$C88-$D88)</f>
        <v/>
      </c>
      <c r="F88" s="38">
        <f>IF(OR($E88="",$E$89=""),"",$E88-$E$89)</f>
        <v/>
      </c>
      <c r="G88" s="49" t="inlineStr">
        <is>
          <t>BOT policy rate</t>
        </is>
      </c>
      <c r="H88" s="49" t="inlineStr">
        <is>
          <t>MOC core CPI, y/y</t>
        </is>
      </c>
    </row>
    <row r="89">
      <c r="A89" s="28" t="inlineStr">
        <is>
          <t>United States</t>
        </is>
      </c>
      <c r="B89" s="19" t="inlineStr">
        <is>
          <t>—</t>
        </is>
      </c>
      <c r="C89" s="12" t="n"/>
      <c r="D89" s="12" t="n"/>
      <c r="E89" s="56">
        <f>IF(OR($C89="",$D89=""),"",$C89-$D89)</f>
        <v/>
      </c>
      <c r="F89" s="38">
        <f>IF(OR($E89="",$E$89=""),"",$E89-$E$89)</f>
        <v/>
      </c>
      <c r="G89" s="49" t="inlineStr">
        <is>
          <t>FOMC target midpoint</t>
        </is>
      </c>
      <c r="H89" s="49" t="inlineStr">
        <is>
          <t>BLS CPI ex food &amp; energy, y/y</t>
        </is>
      </c>
    </row>
    <row r="91" ht="18" customHeight="1">
      <c r="A91" s="3" t="inlineStr">
        <is>
          <t>COMMENT  —  LOCAL RATES AND POLICY</t>
        </is>
      </c>
      <c r="B91" s="4" t="n"/>
      <c r="C91" s="4" t="n"/>
      <c r="D91" s="4" t="n"/>
      <c r="E91" s="4" t="n"/>
      <c r="F91" s="4" t="n"/>
      <c r="G91" s="4" t="n"/>
      <c r="H91" s="4" t="n"/>
      <c r="I91" s="4" t="n"/>
      <c r="J91" s="4" t="n"/>
      <c r="K91" s="4" t="n"/>
      <c r="L91" s="4" t="n"/>
      <c r="M91" s="4" t="n"/>
      <c r="N91" s="4" t="n"/>
      <c r="O91" s="4" t="n"/>
    </row>
    <row r="92">
      <c r="A92" s="6">
        <f>IFERROR("Local rates: the EM basket ex Turkiye took "&amp;IF(ISNUMBER($G$48),TEXT($G$48,"0.00")&amp;"x","n/m")&amp;" of the US 10Y move over the month against "&amp;IF(ISNUMBER($K$48),TEXT($K$48,"0.00")&amp;"x","n/m")&amp;" over three years. "&amp;IF(AND(ISNUMBER($G$48),ISNUMBER($K$48)),IF($G$48&lt;$K$48,"Pass-through has fallen relative to the three-year relationship, which is the measured version of the digestion claim.","Pass-through is running at or above the three-year relationship, so the digestion claim is not supported on this window."),"One of the two windows has too small a US move to form a ratio."),"")</f>
        <v/>
      </c>
    </row>
    <row r="94">
      <c r="A94" s="10" t="inlineStr">
        <is>
          <t>The structural leg of the argument is the policy-space block above, and it is currently unevidenced. A market carrying a positive real policy rate, and a real-rate premium over the US, does not have to tighten into a Fed hike to defend its currency — that is why pass-through can sit below one. Fill those cells before the claim goes in front of a client.</t>
        </is>
      </c>
    </row>
  </sheetData>
  <conditionalFormatting sqref="G5:K43">
    <cfRule type="colorScale" priority="1">
      <colorScale>
        <cfvo type="num" val="-1.5"/>
        <cfvo type="num" val="0"/>
        <cfvo type="num" val="1.5"/>
        <color rgb="00F8696B"/>
        <color rgb="00FFFFFF"/>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40"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10" customWidth="1" min="10" max="10"/>
    <col width="9" customWidth="1" min="11" max="11"/>
    <col width="11" customWidth="1" min="12" max="12"/>
    <col width="56" customWidth="1" min="13" max="13"/>
  </cols>
  <sheetData>
    <row r="1">
      <c r="A1" s="1" t="inlineStr">
        <is>
          <t>BETAS  —  regressions on the derived daily-change columns</t>
        </is>
      </c>
    </row>
    <row r="2">
      <c r="A2" s="2" t="inlineStr">
        <is>
          <t>Every beta is SLOPE of the y daily-change column on the x daily-change column over the window named, computed on HIST_D. These are measured, not assumed — nothing here is a practitioner prior. The last column is the point of the tab: how far this month sits from the five-year relationship.</t>
        </is>
      </c>
    </row>
    <row r="4" ht="18" customHeight="1">
      <c r="A4" s="3" t="inlineStr">
        <is>
          <t>BETA BY WINDOW</t>
        </is>
      </c>
      <c r="B4" s="4" t="n"/>
      <c r="C4" s="4" t="n"/>
      <c r="D4" s="4" t="n"/>
      <c r="E4" s="4" t="n"/>
      <c r="F4" s="4" t="n"/>
      <c r="G4" s="4" t="n"/>
      <c r="H4" s="4" t="n"/>
      <c r="I4" s="4" t="n"/>
      <c r="J4" s="4" t="n"/>
      <c r="K4" s="4" t="n"/>
      <c r="L4" s="4" t="n"/>
      <c r="M4" s="4" t="n"/>
    </row>
    <row r="5" ht="30" customHeight="1">
      <c r="A5" s="18" t="inlineStr">
        <is>
          <t>Relationship (y vs x)</t>
        </is>
      </c>
      <c r="B5" s="18" t="inlineStr">
        <is>
          <t>Unit</t>
        </is>
      </c>
      <c r="C5" s="18" t="inlineStr">
        <is>
          <t>1M</t>
        </is>
      </c>
      <c r="D5" s="18" t="inlineStr">
        <is>
          <t>3M</t>
        </is>
      </c>
      <c r="E5" s="18" t="inlineStr">
        <is>
          <t>6M</t>
        </is>
      </c>
      <c r="F5" s="18" t="inlineStr">
        <is>
          <t>1Y</t>
        </is>
      </c>
      <c r="G5" s="18" t="inlineStr">
        <is>
          <t>3Y</t>
        </is>
      </c>
      <c r="H5" s="18" t="inlineStr">
        <is>
          <t>5Y</t>
        </is>
      </c>
      <c r="I5" s="18" t="inlineStr">
        <is>
          <t>10Y</t>
        </is>
      </c>
      <c r="J5" s="18" t="inlineStr">
        <is>
          <t>correl 1Y</t>
        </is>
      </c>
      <c r="K5" s="18" t="inlineStr">
        <is>
          <t>R2 1Y</t>
        </is>
      </c>
      <c r="L5" s="18" t="inlineStr">
        <is>
          <t>1M less 5Y</t>
        </is>
      </c>
      <c r="M5" s="18" t="inlineStr">
        <is>
          <t>Note</t>
        </is>
      </c>
    </row>
    <row r="6">
      <c r="A6" s="8" t="inlineStr">
        <is>
          <t>EM USD Agg OAS  vs  UST 10Y</t>
        </is>
      </c>
      <c r="B6" s="19" t="inlineStr">
        <is>
          <t>bp per bp</t>
        </is>
      </c>
      <c r="C6" s="57">
        <f>IFERROR(SLOPE(HIST_D!$DT$8:INDEX(HIST_D!$DT$8:$DT$2617,Control!$F$8),HIST_D!$DH$8:INDEX(HIST_D!$DH$8:$DH$2617,Control!$F$8)),"")</f>
        <v/>
      </c>
      <c r="D6" s="57">
        <f>IFERROR(SLOPE(HIST_D!$DT$8:INDEX(HIST_D!$DT$8:$DT$2617,Control!$F$9),HIST_D!$DH$8:INDEX(HIST_D!$DH$8:$DH$2617,Control!$F$9)),"")</f>
        <v/>
      </c>
      <c r="E6" s="57">
        <f>IFERROR(SLOPE(HIST_D!$DT$8:INDEX(HIST_D!$DT$8:$DT$2617,Control!$F$10),HIST_D!$DH$8:INDEX(HIST_D!$DH$8:$DH$2617,Control!$F$10)),"")</f>
        <v/>
      </c>
      <c r="F6" s="57">
        <f>IFERROR(SLOPE(HIST_D!$DT$8:INDEX(HIST_D!$DT$8:$DT$2617,Control!$F$11),HIST_D!$DH$8:INDEX(HIST_D!$DH$8:$DH$2617,Control!$F$11)),"")</f>
        <v/>
      </c>
      <c r="G6" s="57">
        <f>IFERROR(SLOPE(HIST_D!$DT$8:INDEX(HIST_D!$DT$8:$DT$2617,Control!$F$13),HIST_D!$DH$8:INDEX(HIST_D!$DH$8:$DH$2617,Control!$F$13)),"")</f>
        <v/>
      </c>
      <c r="H6" s="57">
        <f>IFERROR(SLOPE(HIST_D!$DT$8:INDEX(HIST_D!$DT$8:$DT$2617,Control!$F$14),HIST_D!$DH$8:INDEX(HIST_D!$DH$8:$DH$2617,Control!$F$14)),"")</f>
        <v/>
      </c>
      <c r="I6" s="57">
        <f>IFERROR(SLOPE(HIST_D!$DT$8:INDEX(HIST_D!$DT$8:$DT$2617,Control!$F$15),HIST_D!$DH$8:INDEX(HIST_D!$DH$8:$DH$2617,Control!$F$15)),"")</f>
        <v/>
      </c>
      <c r="J6" s="57">
        <f>IFERROR(CORREL(HIST_D!$DT$8:INDEX(HIST_D!$DT$8:$DT$2617,Control!$F$11),HIST_D!$DH$8:INDEX(HIST_D!$DH$8:$DH$2617,Control!$F$11)),"")</f>
        <v/>
      </c>
      <c r="K6" s="57">
        <f>IFERROR((IFERROR(CORREL(HIST_D!$DT$8:INDEX(HIST_D!$DT$8:$DT$2617,Control!$F$11),HIST_D!$DH$8:INDEX(HIST_D!$DH$8:$DH$2617,Control!$F$11)),""))^2,"")</f>
        <v/>
      </c>
      <c r="L6" s="40">
        <f>IFERROR($C6-$H6,"")</f>
        <v/>
      </c>
      <c r="M6" s="49" t="inlineStr">
        <is>
          <t>Positive = EM spread widens when USTs sell off. Negative = spread absorbs the move.</t>
        </is>
      </c>
    </row>
    <row r="7">
      <c r="A7" s="8" t="inlineStr">
        <is>
          <t>EM USD Sovereign OAS  vs  UST 10Y</t>
        </is>
      </c>
      <c r="B7" s="19" t="inlineStr">
        <is>
          <t>bp per bp</t>
        </is>
      </c>
      <c r="C7" s="57">
        <f>IFERROR(SLOPE(HIST_D!$DU$8:INDEX(HIST_D!$DU$8:$DU$2617,Control!$F$8),HIST_D!$DH$8:INDEX(HIST_D!$DH$8:$DH$2617,Control!$F$8)),"")</f>
        <v/>
      </c>
      <c r="D7" s="57">
        <f>IFERROR(SLOPE(HIST_D!$DU$8:INDEX(HIST_D!$DU$8:$DU$2617,Control!$F$9),HIST_D!$DH$8:INDEX(HIST_D!$DH$8:$DH$2617,Control!$F$9)),"")</f>
        <v/>
      </c>
      <c r="E7" s="57">
        <f>IFERROR(SLOPE(HIST_D!$DU$8:INDEX(HIST_D!$DU$8:$DU$2617,Control!$F$10),HIST_D!$DH$8:INDEX(HIST_D!$DH$8:$DH$2617,Control!$F$10)),"")</f>
        <v/>
      </c>
      <c r="F7" s="57">
        <f>IFERROR(SLOPE(HIST_D!$DU$8:INDEX(HIST_D!$DU$8:$DU$2617,Control!$F$11),HIST_D!$DH$8:INDEX(HIST_D!$DH$8:$DH$2617,Control!$F$11)),"")</f>
        <v/>
      </c>
      <c r="G7" s="57">
        <f>IFERROR(SLOPE(HIST_D!$DU$8:INDEX(HIST_D!$DU$8:$DU$2617,Control!$F$13),HIST_D!$DH$8:INDEX(HIST_D!$DH$8:$DH$2617,Control!$F$13)),"")</f>
        <v/>
      </c>
      <c r="H7" s="57">
        <f>IFERROR(SLOPE(HIST_D!$DU$8:INDEX(HIST_D!$DU$8:$DU$2617,Control!$F$14),HIST_D!$DH$8:INDEX(HIST_D!$DH$8:$DH$2617,Control!$F$14)),"")</f>
        <v/>
      </c>
      <c r="I7" s="57">
        <f>IFERROR(SLOPE(HIST_D!$DU$8:INDEX(HIST_D!$DU$8:$DU$2617,Control!$F$15),HIST_D!$DH$8:INDEX(HIST_D!$DH$8:$DH$2617,Control!$F$15)),"")</f>
        <v/>
      </c>
      <c r="J7" s="57">
        <f>IFERROR(CORREL(HIST_D!$DU$8:INDEX(HIST_D!$DU$8:$DU$2617,Control!$F$11),HIST_D!$DH$8:INDEX(HIST_D!$DH$8:$DH$2617,Control!$F$11)),"")</f>
        <v/>
      </c>
      <c r="K7" s="57">
        <f>IFERROR((IFERROR(CORREL(HIST_D!$DU$8:INDEX(HIST_D!$DU$8:$DU$2617,Control!$F$11),HIST_D!$DH$8:INDEX(HIST_D!$DH$8:$DH$2617,Control!$F$11)),""))^2,"")</f>
        <v/>
      </c>
      <c r="L7" s="40">
        <f>IFERROR($C7-$H7,"")</f>
        <v/>
      </c>
      <c r="M7" s="49" t="inlineStr"/>
    </row>
    <row r="8">
      <c r="A8" s="8" t="inlineStr">
        <is>
          <t>US IG OAS  vs  UST 10Y</t>
        </is>
      </c>
      <c r="B8" s="19" t="inlineStr">
        <is>
          <t>bp per bp</t>
        </is>
      </c>
      <c r="C8" s="57">
        <f>IFERROR(SLOPE(HIST_D!$DR$8:INDEX(HIST_D!$DR$8:$DR$2617,Control!$F$8),HIST_D!$DH$8:INDEX(HIST_D!$DH$8:$DH$2617,Control!$F$8)),"")</f>
        <v/>
      </c>
      <c r="D8" s="57">
        <f>IFERROR(SLOPE(HIST_D!$DR$8:INDEX(HIST_D!$DR$8:$DR$2617,Control!$F$9),HIST_D!$DH$8:INDEX(HIST_D!$DH$8:$DH$2617,Control!$F$9)),"")</f>
        <v/>
      </c>
      <c r="E8" s="57">
        <f>IFERROR(SLOPE(HIST_D!$DR$8:INDEX(HIST_D!$DR$8:$DR$2617,Control!$F$10),HIST_D!$DH$8:INDEX(HIST_D!$DH$8:$DH$2617,Control!$F$10)),"")</f>
        <v/>
      </c>
      <c r="F8" s="57">
        <f>IFERROR(SLOPE(HIST_D!$DR$8:INDEX(HIST_D!$DR$8:$DR$2617,Control!$F$11),HIST_D!$DH$8:INDEX(HIST_D!$DH$8:$DH$2617,Control!$F$11)),"")</f>
        <v/>
      </c>
      <c r="G8" s="57">
        <f>IFERROR(SLOPE(HIST_D!$DR$8:INDEX(HIST_D!$DR$8:$DR$2617,Control!$F$13),HIST_D!$DH$8:INDEX(HIST_D!$DH$8:$DH$2617,Control!$F$13)),"")</f>
        <v/>
      </c>
      <c r="H8" s="57">
        <f>IFERROR(SLOPE(HIST_D!$DR$8:INDEX(HIST_D!$DR$8:$DR$2617,Control!$F$14),HIST_D!$DH$8:INDEX(HIST_D!$DH$8:$DH$2617,Control!$F$14)),"")</f>
        <v/>
      </c>
      <c r="I8" s="57">
        <f>IFERROR(SLOPE(HIST_D!$DR$8:INDEX(HIST_D!$DR$8:$DR$2617,Control!$F$15),HIST_D!$DH$8:INDEX(HIST_D!$DH$8:$DH$2617,Control!$F$15)),"")</f>
        <v/>
      </c>
      <c r="J8" s="57">
        <f>IFERROR(CORREL(HIST_D!$DR$8:INDEX(HIST_D!$DR$8:$DR$2617,Control!$F$11),HIST_D!$DH$8:INDEX(HIST_D!$DH$8:$DH$2617,Control!$F$11)),"")</f>
        <v/>
      </c>
      <c r="K8" s="57">
        <f>IFERROR((IFERROR(CORREL(HIST_D!$DR$8:INDEX(HIST_D!$DR$8:$DR$2617,Control!$F$11),HIST_D!$DH$8:INDEX(HIST_D!$DH$8:$DH$2617,Control!$F$11)),""))^2,"")</f>
        <v/>
      </c>
      <c r="L8" s="40">
        <f>IFERROR($C8-$H8,"")</f>
        <v/>
      </c>
      <c r="M8" s="49" t="inlineStr">
        <is>
          <t>control group</t>
        </is>
      </c>
    </row>
    <row r="9">
      <c r="A9" s="8" t="inlineStr">
        <is>
          <t>US HY OAS  vs  UST 10Y</t>
        </is>
      </c>
      <c r="B9" s="19" t="inlineStr">
        <is>
          <t>bp per bp</t>
        </is>
      </c>
      <c r="C9" s="57">
        <f>IFERROR(SLOPE(HIST_D!$DS$8:INDEX(HIST_D!$DS$8:$DS$2617,Control!$F$8),HIST_D!$DH$8:INDEX(HIST_D!$DH$8:$DH$2617,Control!$F$8)),"")</f>
        <v/>
      </c>
      <c r="D9" s="57">
        <f>IFERROR(SLOPE(HIST_D!$DS$8:INDEX(HIST_D!$DS$8:$DS$2617,Control!$F$9),HIST_D!$DH$8:INDEX(HIST_D!$DH$8:$DH$2617,Control!$F$9)),"")</f>
        <v/>
      </c>
      <c r="E9" s="57">
        <f>IFERROR(SLOPE(HIST_D!$DS$8:INDEX(HIST_D!$DS$8:$DS$2617,Control!$F$10),HIST_D!$DH$8:INDEX(HIST_D!$DH$8:$DH$2617,Control!$F$10)),"")</f>
        <v/>
      </c>
      <c r="F9" s="57">
        <f>IFERROR(SLOPE(HIST_D!$DS$8:INDEX(HIST_D!$DS$8:$DS$2617,Control!$F$11),HIST_D!$DH$8:INDEX(HIST_D!$DH$8:$DH$2617,Control!$F$11)),"")</f>
        <v/>
      </c>
      <c r="G9" s="57">
        <f>IFERROR(SLOPE(HIST_D!$DS$8:INDEX(HIST_D!$DS$8:$DS$2617,Control!$F$13),HIST_D!$DH$8:INDEX(HIST_D!$DH$8:$DH$2617,Control!$F$13)),"")</f>
        <v/>
      </c>
      <c r="H9" s="57">
        <f>IFERROR(SLOPE(HIST_D!$DS$8:INDEX(HIST_D!$DS$8:$DS$2617,Control!$F$14),HIST_D!$DH$8:INDEX(HIST_D!$DH$8:$DH$2617,Control!$F$14)),"")</f>
        <v/>
      </c>
      <c r="I9" s="57">
        <f>IFERROR(SLOPE(HIST_D!$DS$8:INDEX(HIST_D!$DS$8:$DS$2617,Control!$F$15),HIST_D!$DH$8:INDEX(HIST_D!$DH$8:$DH$2617,Control!$F$15)),"")</f>
        <v/>
      </c>
      <c r="J9" s="57">
        <f>IFERROR(CORREL(HIST_D!$DS$8:INDEX(HIST_D!$DS$8:$DS$2617,Control!$F$11),HIST_D!$DH$8:INDEX(HIST_D!$DH$8:$DH$2617,Control!$F$11)),"")</f>
        <v/>
      </c>
      <c r="K9" s="57">
        <f>IFERROR((IFERROR(CORREL(HIST_D!$DS$8:INDEX(HIST_D!$DS$8:$DS$2617,Control!$F$11),HIST_D!$DH$8:INDEX(HIST_D!$DH$8:$DH$2617,Control!$F$11)),""))^2,"")</f>
        <v/>
      </c>
      <c r="L9" s="40">
        <f>IFERROR($C9-$H9,"")</f>
        <v/>
      </c>
      <c r="M9" s="49" t="inlineStr">
        <is>
          <t>control group</t>
        </is>
      </c>
    </row>
    <row r="10">
      <c r="A10" s="8" t="inlineStr">
        <is>
          <t>EM USD Agg OAS  vs  VIX</t>
        </is>
      </c>
      <c r="B10" s="19" t="inlineStr">
        <is>
          <t>bp per pt</t>
        </is>
      </c>
      <c r="C10" s="57">
        <f>IFERROR(SLOPE(HIST_D!$DT$8:INDEX(HIST_D!$DT$8:$DT$2617,Control!$F$8),HIST_D!$DL$8:INDEX(HIST_D!$DL$8:$DL$2617,Control!$F$8)),"")</f>
        <v/>
      </c>
      <c r="D10" s="57">
        <f>IFERROR(SLOPE(HIST_D!$DT$8:INDEX(HIST_D!$DT$8:$DT$2617,Control!$F$9),HIST_D!$DL$8:INDEX(HIST_D!$DL$8:$DL$2617,Control!$F$9)),"")</f>
        <v/>
      </c>
      <c r="E10" s="57">
        <f>IFERROR(SLOPE(HIST_D!$DT$8:INDEX(HIST_D!$DT$8:$DT$2617,Control!$F$10),HIST_D!$DL$8:INDEX(HIST_D!$DL$8:$DL$2617,Control!$F$10)),"")</f>
        <v/>
      </c>
      <c r="F10" s="57">
        <f>IFERROR(SLOPE(HIST_D!$DT$8:INDEX(HIST_D!$DT$8:$DT$2617,Control!$F$11),HIST_D!$DL$8:INDEX(HIST_D!$DL$8:$DL$2617,Control!$F$11)),"")</f>
        <v/>
      </c>
      <c r="G10" s="57">
        <f>IFERROR(SLOPE(HIST_D!$DT$8:INDEX(HIST_D!$DT$8:$DT$2617,Control!$F$13),HIST_D!$DL$8:INDEX(HIST_D!$DL$8:$DL$2617,Control!$F$13)),"")</f>
        <v/>
      </c>
      <c r="H10" s="57">
        <f>IFERROR(SLOPE(HIST_D!$DT$8:INDEX(HIST_D!$DT$8:$DT$2617,Control!$F$14),HIST_D!$DL$8:INDEX(HIST_D!$DL$8:$DL$2617,Control!$F$14)),"")</f>
        <v/>
      </c>
      <c r="I10" s="57">
        <f>IFERROR(SLOPE(HIST_D!$DT$8:INDEX(HIST_D!$DT$8:$DT$2617,Control!$F$15),HIST_D!$DL$8:INDEX(HIST_D!$DL$8:$DL$2617,Control!$F$15)),"")</f>
        <v/>
      </c>
      <c r="J10" s="57">
        <f>IFERROR(CORREL(HIST_D!$DT$8:INDEX(HIST_D!$DT$8:$DT$2617,Control!$F$11),HIST_D!$DL$8:INDEX(HIST_D!$DL$8:$DL$2617,Control!$F$11)),"")</f>
        <v/>
      </c>
      <c r="K10" s="57">
        <f>IFERROR((IFERROR(CORREL(HIST_D!$DT$8:INDEX(HIST_D!$DT$8:$DT$2617,Control!$F$11),HIST_D!$DL$8:INDEX(HIST_D!$DL$8:$DL$2617,Control!$F$11)),""))^2,"")</f>
        <v/>
      </c>
      <c r="L10" s="40">
        <f>IFERROR($C10-$H10,"")</f>
        <v/>
      </c>
      <c r="M10" s="49" t="inlineStr"/>
    </row>
    <row r="11">
      <c r="A11" s="8" t="inlineStr">
        <is>
          <t>EM USD Agg OAS  vs  ACM term premium</t>
        </is>
      </c>
      <c r="B11" s="19" t="inlineStr">
        <is>
          <t>bp per bp</t>
        </is>
      </c>
      <c r="C11" s="57">
        <f>IFERROR(SLOPE(HIST_D!$DT$8:INDEX(HIST_D!$DT$8:$DT$2617,Control!$F$8),HIST_D!$DJ$8:INDEX(HIST_D!$DJ$8:$DJ$2617,Control!$F$8)),"")</f>
        <v/>
      </c>
      <c r="D11" s="57">
        <f>IFERROR(SLOPE(HIST_D!$DT$8:INDEX(HIST_D!$DT$8:$DT$2617,Control!$F$9),HIST_D!$DJ$8:INDEX(HIST_D!$DJ$8:$DJ$2617,Control!$F$9)),"")</f>
        <v/>
      </c>
      <c r="E11" s="57">
        <f>IFERROR(SLOPE(HIST_D!$DT$8:INDEX(HIST_D!$DT$8:$DT$2617,Control!$F$10),HIST_D!$DJ$8:INDEX(HIST_D!$DJ$8:$DJ$2617,Control!$F$10)),"")</f>
        <v/>
      </c>
      <c r="F11" s="57">
        <f>IFERROR(SLOPE(HIST_D!$DT$8:INDEX(HIST_D!$DT$8:$DT$2617,Control!$F$11),HIST_D!$DJ$8:INDEX(HIST_D!$DJ$8:$DJ$2617,Control!$F$11)),"")</f>
        <v/>
      </c>
      <c r="G11" s="57">
        <f>IFERROR(SLOPE(HIST_D!$DT$8:INDEX(HIST_D!$DT$8:$DT$2617,Control!$F$13),HIST_D!$DJ$8:INDEX(HIST_D!$DJ$8:$DJ$2617,Control!$F$13)),"")</f>
        <v/>
      </c>
      <c r="H11" s="57">
        <f>IFERROR(SLOPE(HIST_D!$DT$8:INDEX(HIST_D!$DT$8:$DT$2617,Control!$F$14),HIST_D!$DJ$8:INDEX(HIST_D!$DJ$8:$DJ$2617,Control!$F$14)),"")</f>
        <v/>
      </c>
      <c r="I11" s="57">
        <f>IFERROR(SLOPE(HIST_D!$DT$8:INDEX(HIST_D!$DT$8:$DT$2617,Control!$F$15),HIST_D!$DJ$8:INDEX(HIST_D!$DJ$8:$DJ$2617,Control!$F$15)),"")</f>
        <v/>
      </c>
      <c r="J11" s="57">
        <f>IFERROR(CORREL(HIST_D!$DT$8:INDEX(HIST_D!$DT$8:$DT$2617,Control!$F$11),HIST_D!$DJ$8:INDEX(HIST_D!$DJ$8:$DJ$2617,Control!$F$11)),"")</f>
        <v/>
      </c>
      <c r="K11" s="57">
        <f>IFERROR((IFERROR(CORREL(HIST_D!$DT$8:INDEX(HIST_D!$DT$8:$DT$2617,Control!$F$11),HIST_D!$DJ$8:INDEX(HIST_D!$DJ$8:$DJ$2617,Control!$F$11)),""))^2,"")</f>
        <v/>
      </c>
      <c r="L11" s="40">
        <f>IFERROR($C11-$H11,"")</f>
        <v/>
      </c>
      <c r="M11" s="49" t="inlineStr">
        <is>
          <t>Isolates the risk-premium leg of the Treasury move.</t>
        </is>
      </c>
    </row>
    <row r="12">
      <c r="A12" s="8" t="inlineStr">
        <is>
          <t>EM local 10Y (eq-wgt)  vs  UST 10Y</t>
        </is>
      </c>
      <c r="B12" s="19" t="inlineStr">
        <is>
          <t>bp per bp</t>
        </is>
      </c>
      <c r="C12" s="57">
        <f>IFERROR(SLOPE(HIST_D!$DY$8:INDEX(HIST_D!$DY$8:$DY$2617,Control!$F$8),HIST_D!$DH$8:INDEX(HIST_D!$DH$8:$DH$2617,Control!$F$8)),"")</f>
        <v/>
      </c>
      <c r="D12" s="57">
        <f>IFERROR(SLOPE(HIST_D!$DY$8:INDEX(HIST_D!$DY$8:$DY$2617,Control!$F$9),HIST_D!$DH$8:INDEX(HIST_D!$DH$8:$DH$2617,Control!$F$9)),"")</f>
        <v/>
      </c>
      <c r="E12" s="57">
        <f>IFERROR(SLOPE(HIST_D!$DY$8:INDEX(HIST_D!$DY$8:$DY$2617,Control!$F$10),HIST_D!$DH$8:INDEX(HIST_D!$DH$8:$DH$2617,Control!$F$10)),"")</f>
        <v/>
      </c>
      <c r="F12" s="57">
        <f>IFERROR(SLOPE(HIST_D!$DY$8:INDEX(HIST_D!$DY$8:$DY$2617,Control!$F$11),HIST_D!$DH$8:INDEX(HIST_D!$DH$8:$DH$2617,Control!$F$11)),"")</f>
        <v/>
      </c>
      <c r="G12" s="57">
        <f>IFERROR(SLOPE(HIST_D!$DY$8:INDEX(HIST_D!$DY$8:$DY$2617,Control!$F$13),HIST_D!$DH$8:INDEX(HIST_D!$DH$8:$DH$2617,Control!$F$13)),"")</f>
        <v/>
      </c>
      <c r="H12" s="57">
        <f>IFERROR(SLOPE(HIST_D!$DY$8:INDEX(HIST_D!$DY$8:$DY$2617,Control!$F$14),HIST_D!$DH$8:INDEX(HIST_D!$DH$8:$DH$2617,Control!$F$14)),"")</f>
        <v/>
      </c>
      <c r="I12" s="57">
        <f>IFERROR(SLOPE(HIST_D!$DY$8:INDEX(HIST_D!$DY$8:$DY$2617,Control!$F$15),HIST_D!$DH$8:INDEX(HIST_D!$DH$8:$DH$2617,Control!$F$15)),"")</f>
        <v/>
      </c>
      <c r="J12" s="57">
        <f>IFERROR(CORREL(HIST_D!$DY$8:INDEX(HIST_D!$DY$8:$DY$2617,Control!$F$11),HIST_D!$DH$8:INDEX(HIST_D!$DH$8:$DH$2617,Control!$F$11)),"")</f>
        <v/>
      </c>
      <c r="K12" s="57">
        <f>IFERROR((IFERROR(CORREL(HIST_D!$DY$8:INDEX(HIST_D!$DY$8:$DY$2617,Control!$F$11),HIST_D!$DH$8:INDEX(HIST_D!$DH$8:$DH$2617,Control!$F$11)),""))^2,"")</f>
        <v/>
      </c>
      <c r="L12" s="40">
        <f>IFERROR($C12-$H12,"")</f>
        <v/>
      </c>
      <c r="M12" s="49" t="inlineStr">
        <is>
          <t>The headline digestion measure.</t>
        </is>
      </c>
    </row>
    <row r="13">
      <c r="A13" s="8" t="inlineStr">
        <is>
          <t>EM high-beta local 10Y  vs  UST 10Y</t>
        </is>
      </c>
      <c r="B13" s="19" t="inlineStr">
        <is>
          <t>bp per bp</t>
        </is>
      </c>
      <c r="C13" s="57">
        <f>IFERROR(SLOPE(HIST_D!$DZ$8:INDEX(HIST_D!$DZ$8:$DZ$2617,Control!$F$8),HIST_D!$DH$8:INDEX(HIST_D!$DH$8:$DH$2617,Control!$F$8)),"")</f>
        <v/>
      </c>
      <c r="D13" s="57">
        <f>IFERROR(SLOPE(HIST_D!$DZ$8:INDEX(HIST_D!$DZ$8:$DZ$2617,Control!$F$9),HIST_D!$DH$8:INDEX(HIST_D!$DH$8:$DH$2617,Control!$F$9)),"")</f>
        <v/>
      </c>
      <c r="E13" s="57">
        <f>IFERROR(SLOPE(HIST_D!$DZ$8:INDEX(HIST_D!$DZ$8:$DZ$2617,Control!$F$10),HIST_D!$DH$8:INDEX(HIST_D!$DH$8:$DH$2617,Control!$F$10)),"")</f>
        <v/>
      </c>
      <c r="F13" s="57">
        <f>IFERROR(SLOPE(HIST_D!$DZ$8:INDEX(HIST_D!$DZ$8:$DZ$2617,Control!$F$11),HIST_D!$DH$8:INDEX(HIST_D!$DH$8:$DH$2617,Control!$F$11)),"")</f>
        <v/>
      </c>
      <c r="G13" s="57">
        <f>IFERROR(SLOPE(HIST_D!$DZ$8:INDEX(HIST_D!$DZ$8:$DZ$2617,Control!$F$13),HIST_D!$DH$8:INDEX(HIST_D!$DH$8:$DH$2617,Control!$F$13)),"")</f>
        <v/>
      </c>
      <c r="H13" s="57">
        <f>IFERROR(SLOPE(HIST_D!$DZ$8:INDEX(HIST_D!$DZ$8:$DZ$2617,Control!$F$14),HIST_D!$DH$8:INDEX(HIST_D!$DH$8:$DH$2617,Control!$F$14)),"")</f>
        <v/>
      </c>
      <c r="I13" s="57">
        <f>IFERROR(SLOPE(HIST_D!$DZ$8:INDEX(HIST_D!$DZ$8:$DZ$2617,Control!$F$15),HIST_D!$DH$8:INDEX(HIST_D!$DH$8:$DH$2617,Control!$F$15)),"")</f>
        <v/>
      </c>
      <c r="J13" s="57">
        <f>IFERROR(CORREL(HIST_D!$DZ$8:INDEX(HIST_D!$DZ$8:$DZ$2617,Control!$F$11),HIST_D!$DH$8:INDEX(HIST_D!$DH$8:$DH$2617,Control!$F$11)),"")</f>
        <v/>
      </c>
      <c r="K13" s="57">
        <f>IFERROR((IFERROR(CORREL(HIST_D!$DZ$8:INDEX(HIST_D!$DZ$8:$DZ$2617,Control!$F$11),HIST_D!$DH$8:INDEX(HIST_D!$DH$8:$DH$2617,Control!$F$11)),""))^2,"")</f>
        <v/>
      </c>
      <c r="L13" s="40">
        <f>IFERROR($C13-$H13,"")</f>
        <v/>
      </c>
      <c r="M13" s="49" t="inlineStr"/>
    </row>
    <row r="14">
      <c r="A14" s="8" t="inlineStr">
        <is>
          <t>EM FX basket  vs  DXY</t>
        </is>
      </c>
      <c r="B14" s="19" t="inlineStr">
        <is>
          <t>% per %</t>
        </is>
      </c>
      <c r="C14" s="57">
        <f>IFERROR(SLOPE(HIST_D!$DV$8:INDEX(HIST_D!$DV$8:$DV$2617,Control!$F$8),HIST_D!$DK$8:INDEX(HIST_D!$DK$8:$DK$2617,Control!$F$8)),"")</f>
        <v/>
      </c>
      <c r="D14" s="57">
        <f>IFERROR(SLOPE(HIST_D!$DV$8:INDEX(HIST_D!$DV$8:$DV$2617,Control!$F$9),HIST_D!$DK$8:INDEX(HIST_D!$DK$8:$DK$2617,Control!$F$9)),"")</f>
        <v/>
      </c>
      <c r="E14" s="57">
        <f>IFERROR(SLOPE(HIST_D!$DV$8:INDEX(HIST_D!$DV$8:$DV$2617,Control!$F$10),HIST_D!$DK$8:INDEX(HIST_D!$DK$8:$DK$2617,Control!$F$10)),"")</f>
        <v/>
      </c>
      <c r="F14" s="57">
        <f>IFERROR(SLOPE(HIST_D!$DV$8:INDEX(HIST_D!$DV$8:$DV$2617,Control!$F$11),HIST_D!$DK$8:INDEX(HIST_D!$DK$8:$DK$2617,Control!$F$11)),"")</f>
        <v/>
      </c>
      <c r="G14" s="57">
        <f>IFERROR(SLOPE(HIST_D!$DV$8:INDEX(HIST_D!$DV$8:$DV$2617,Control!$F$13),HIST_D!$DK$8:INDEX(HIST_D!$DK$8:$DK$2617,Control!$F$13)),"")</f>
        <v/>
      </c>
      <c r="H14" s="57">
        <f>IFERROR(SLOPE(HIST_D!$DV$8:INDEX(HIST_D!$DV$8:$DV$2617,Control!$F$14),HIST_D!$DK$8:INDEX(HIST_D!$DK$8:$DK$2617,Control!$F$14)),"")</f>
        <v/>
      </c>
      <c r="I14" s="57">
        <f>IFERROR(SLOPE(HIST_D!$DV$8:INDEX(HIST_D!$DV$8:$DV$2617,Control!$F$15),HIST_D!$DK$8:INDEX(HIST_D!$DK$8:$DK$2617,Control!$F$15)),"")</f>
        <v/>
      </c>
      <c r="J14" s="57">
        <f>IFERROR(CORREL(HIST_D!$DV$8:INDEX(HIST_D!$DV$8:$DV$2617,Control!$F$11),HIST_D!$DK$8:INDEX(HIST_D!$DK$8:$DK$2617,Control!$F$11)),"")</f>
        <v/>
      </c>
      <c r="K14" s="57">
        <f>IFERROR((IFERROR(CORREL(HIST_D!$DV$8:INDEX(HIST_D!$DV$8:$DV$2617,Control!$F$11),HIST_D!$DK$8:INDEX(HIST_D!$DK$8:$DK$2617,Control!$F$11)),""))^2,"")</f>
        <v/>
      </c>
      <c r="L14" s="40">
        <f>IFERROR($C14-$H14,"")</f>
        <v/>
      </c>
      <c r="M14" s="49" t="inlineStr">
        <is>
          <t>Around -1 is full pass-through of the dollar. Closer to 0 means EM FX is decoupling.</t>
        </is>
      </c>
    </row>
    <row r="15">
      <c r="A15" s="8" t="inlineStr">
        <is>
          <t>EM FX basket  vs  UST 10Y</t>
        </is>
      </c>
      <c r="B15" s="19" t="inlineStr">
        <is>
          <t>% per bp</t>
        </is>
      </c>
      <c r="C15" s="57">
        <f>IFERROR(SLOPE(HIST_D!$DV$8:INDEX(HIST_D!$DV$8:$DV$2617,Control!$F$8),HIST_D!$DH$8:INDEX(HIST_D!$DH$8:$DH$2617,Control!$F$8)),"")</f>
        <v/>
      </c>
      <c r="D15" s="57">
        <f>IFERROR(SLOPE(HIST_D!$DV$8:INDEX(HIST_D!$DV$8:$DV$2617,Control!$F$9),HIST_D!$DH$8:INDEX(HIST_D!$DH$8:$DH$2617,Control!$F$9)),"")</f>
        <v/>
      </c>
      <c r="E15" s="57">
        <f>IFERROR(SLOPE(HIST_D!$DV$8:INDEX(HIST_D!$DV$8:$DV$2617,Control!$F$10),HIST_D!$DH$8:INDEX(HIST_D!$DH$8:$DH$2617,Control!$F$10)),"")</f>
        <v/>
      </c>
      <c r="F15" s="57">
        <f>IFERROR(SLOPE(HIST_D!$DV$8:INDEX(HIST_D!$DV$8:$DV$2617,Control!$F$11),HIST_D!$DH$8:INDEX(HIST_D!$DH$8:$DH$2617,Control!$F$11)),"")</f>
        <v/>
      </c>
      <c r="G15" s="57">
        <f>IFERROR(SLOPE(HIST_D!$DV$8:INDEX(HIST_D!$DV$8:$DV$2617,Control!$F$13),HIST_D!$DH$8:INDEX(HIST_D!$DH$8:$DH$2617,Control!$F$13)),"")</f>
        <v/>
      </c>
      <c r="H15" s="57">
        <f>IFERROR(SLOPE(HIST_D!$DV$8:INDEX(HIST_D!$DV$8:$DV$2617,Control!$F$14),HIST_D!$DH$8:INDEX(HIST_D!$DH$8:$DH$2617,Control!$F$14)),"")</f>
        <v/>
      </c>
      <c r="I15" s="57">
        <f>IFERROR(SLOPE(HIST_D!$DV$8:INDEX(HIST_D!$DV$8:$DV$2617,Control!$F$15),HIST_D!$DH$8:INDEX(HIST_D!$DH$8:$DH$2617,Control!$F$15)),"")</f>
        <v/>
      </c>
      <c r="J15" s="57">
        <f>IFERROR(CORREL(HIST_D!$DV$8:INDEX(HIST_D!$DV$8:$DV$2617,Control!$F$11),HIST_D!$DH$8:INDEX(HIST_D!$DH$8:$DH$2617,Control!$F$11)),"")</f>
        <v/>
      </c>
      <c r="K15" s="57">
        <f>IFERROR((IFERROR(CORREL(HIST_D!$DV$8:INDEX(HIST_D!$DV$8:$DV$2617,Control!$F$11),HIST_D!$DH$8:INDEX(HIST_D!$DH$8:$DH$2617,Control!$F$11)),""))^2,"")</f>
        <v/>
      </c>
      <c r="L15" s="40">
        <f>IFERROR($C15-$H15,"")</f>
        <v/>
      </c>
      <c r="M15" s="49" t="inlineStr"/>
    </row>
    <row r="16">
      <c r="A16" s="8" t="inlineStr">
        <is>
          <t>EM FX basket  vs  Brent</t>
        </is>
      </c>
      <c r="B16" s="19" t="inlineStr">
        <is>
          <t>% per %</t>
        </is>
      </c>
      <c r="C16" s="57">
        <f>IFERROR(SLOPE(HIST_D!$DV$8:INDEX(HIST_D!$DV$8:$DV$2617,Control!$F$8),HIST_D!$DN$8:INDEX(HIST_D!$DN$8:$DN$2617,Control!$F$8)),"")</f>
        <v/>
      </c>
      <c r="D16" s="57">
        <f>IFERROR(SLOPE(HIST_D!$DV$8:INDEX(HIST_D!$DV$8:$DV$2617,Control!$F$9),HIST_D!$DN$8:INDEX(HIST_D!$DN$8:$DN$2617,Control!$F$9)),"")</f>
        <v/>
      </c>
      <c r="E16" s="57">
        <f>IFERROR(SLOPE(HIST_D!$DV$8:INDEX(HIST_D!$DV$8:$DV$2617,Control!$F$10),HIST_D!$DN$8:INDEX(HIST_D!$DN$8:$DN$2617,Control!$F$10)),"")</f>
        <v/>
      </c>
      <c r="F16" s="57">
        <f>IFERROR(SLOPE(HIST_D!$DV$8:INDEX(HIST_D!$DV$8:$DV$2617,Control!$F$11),HIST_D!$DN$8:INDEX(HIST_D!$DN$8:$DN$2617,Control!$F$11)),"")</f>
        <v/>
      </c>
      <c r="G16" s="57">
        <f>IFERROR(SLOPE(HIST_D!$DV$8:INDEX(HIST_D!$DV$8:$DV$2617,Control!$F$13),HIST_D!$DN$8:INDEX(HIST_D!$DN$8:$DN$2617,Control!$F$13)),"")</f>
        <v/>
      </c>
      <c r="H16" s="57">
        <f>IFERROR(SLOPE(HIST_D!$DV$8:INDEX(HIST_D!$DV$8:$DV$2617,Control!$F$14),HIST_D!$DN$8:INDEX(HIST_D!$DN$8:$DN$2617,Control!$F$14)),"")</f>
        <v/>
      </c>
      <c r="I16" s="57">
        <f>IFERROR(SLOPE(HIST_D!$DV$8:INDEX(HIST_D!$DV$8:$DV$2617,Control!$F$15),HIST_D!$DN$8:INDEX(HIST_D!$DN$8:$DN$2617,Control!$F$15)),"")</f>
        <v/>
      </c>
      <c r="J16" s="57">
        <f>IFERROR(CORREL(HIST_D!$DV$8:INDEX(HIST_D!$DV$8:$DV$2617,Control!$F$11),HIST_D!$DN$8:INDEX(HIST_D!$DN$8:$DN$2617,Control!$F$11)),"")</f>
        <v/>
      </c>
      <c r="K16" s="57">
        <f>IFERROR((IFERROR(CORREL(HIST_D!$DV$8:INDEX(HIST_D!$DV$8:$DV$2617,Control!$F$11),HIST_D!$DN$8:INDEX(HIST_D!$DN$8:$DN$2617,Control!$F$11)),""))^2,"")</f>
        <v/>
      </c>
      <c r="L16" s="40">
        <f>IFERROR($C16-$H16,"")</f>
        <v/>
      </c>
      <c r="M16" s="49" t="inlineStr"/>
    </row>
    <row r="17">
      <c r="A17" s="8" t="inlineStr">
        <is>
          <t>MSCI EM  vs  S&amp;P 500</t>
        </is>
      </c>
      <c r="B17" s="19" t="inlineStr">
        <is>
          <t>% per %</t>
        </is>
      </c>
      <c r="C17" s="57">
        <f>IFERROR(SLOPE(HIST_D!$DP$8:INDEX(HIST_D!$DP$8:$DP$2617,Control!$F$8),HIST_D!$DO$8:INDEX(HIST_D!$DO$8:$DO$2617,Control!$F$8)),"")</f>
        <v/>
      </c>
      <c r="D17" s="57">
        <f>IFERROR(SLOPE(HIST_D!$DP$8:INDEX(HIST_D!$DP$8:$DP$2617,Control!$F$9),HIST_D!$DO$8:INDEX(HIST_D!$DO$8:$DO$2617,Control!$F$9)),"")</f>
        <v/>
      </c>
      <c r="E17" s="57">
        <f>IFERROR(SLOPE(HIST_D!$DP$8:INDEX(HIST_D!$DP$8:$DP$2617,Control!$F$10),HIST_D!$DO$8:INDEX(HIST_D!$DO$8:$DO$2617,Control!$F$10)),"")</f>
        <v/>
      </c>
      <c r="F17" s="57">
        <f>IFERROR(SLOPE(HIST_D!$DP$8:INDEX(HIST_D!$DP$8:$DP$2617,Control!$F$11),HIST_D!$DO$8:INDEX(HIST_D!$DO$8:$DO$2617,Control!$F$11)),"")</f>
        <v/>
      </c>
      <c r="G17" s="57">
        <f>IFERROR(SLOPE(HIST_D!$DP$8:INDEX(HIST_D!$DP$8:$DP$2617,Control!$F$13),HIST_D!$DO$8:INDEX(HIST_D!$DO$8:$DO$2617,Control!$F$13)),"")</f>
        <v/>
      </c>
      <c r="H17" s="57">
        <f>IFERROR(SLOPE(HIST_D!$DP$8:INDEX(HIST_D!$DP$8:$DP$2617,Control!$F$14),HIST_D!$DO$8:INDEX(HIST_D!$DO$8:$DO$2617,Control!$F$14)),"")</f>
        <v/>
      </c>
      <c r="I17" s="57">
        <f>IFERROR(SLOPE(HIST_D!$DP$8:INDEX(HIST_D!$DP$8:$DP$2617,Control!$F$15),HIST_D!$DO$8:INDEX(HIST_D!$DO$8:$DO$2617,Control!$F$15)),"")</f>
        <v/>
      </c>
      <c r="J17" s="57">
        <f>IFERROR(CORREL(HIST_D!$DP$8:INDEX(HIST_D!$DP$8:$DP$2617,Control!$F$11),HIST_D!$DO$8:INDEX(HIST_D!$DO$8:$DO$2617,Control!$F$11)),"")</f>
        <v/>
      </c>
      <c r="K17" s="57">
        <f>IFERROR((IFERROR(CORREL(HIST_D!$DP$8:INDEX(HIST_D!$DP$8:$DP$2617,Control!$F$11),HIST_D!$DO$8:INDEX(HIST_D!$DO$8:$DO$2617,Control!$F$11)),""))^2,"")</f>
        <v/>
      </c>
      <c r="L17" s="40">
        <f>IFERROR($C17-$H17,"")</f>
        <v/>
      </c>
      <c r="M17" s="49" t="inlineStr"/>
    </row>
    <row r="18">
      <c r="A18" s="8" t="inlineStr">
        <is>
          <t>MSCI EM  vs  UST 10Y</t>
        </is>
      </c>
      <c r="B18" s="19" t="inlineStr">
        <is>
          <t>% per bp</t>
        </is>
      </c>
      <c r="C18" s="57">
        <f>IFERROR(SLOPE(HIST_D!$DP$8:INDEX(HIST_D!$DP$8:$DP$2617,Control!$F$8),HIST_D!$DH$8:INDEX(HIST_D!$DH$8:$DH$2617,Control!$F$8)),"")</f>
        <v/>
      </c>
      <c r="D18" s="57">
        <f>IFERROR(SLOPE(HIST_D!$DP$8:INDEX(HIST_D!$DP$8:$DP$2617,Control!$F$9),HIST_D!$DH$8:INDEX(HIST_D!$DH$8:$DH$2617,Control!$F$9)),"")</f>
        <v/>
      </c>
      <c r="E18" s="57">
        <f>IFERROR(SLOPE(HIST_D!$DP$8:INDEX(HIST_D!$DP$8:$DP$2617,Control!$F$10),HIST_D!$DH$8:INDEX(HIST_D!$DH$8:$DH$2617,Control!$F$10)),"")</f>
        <v/>
      </c>
      <c r="F18" s="57">
        <f>IFERROR(SLOPE(HIST_D!$DP$8:INDEX(HIST_D!$DP$8:$DP$2617,Control!$F$11),HIST_D!$DH$8:INDEX(HIST_D!$DH$8:$DH$2617,Control!$F$11)),"")</f>
        <v/>
      </c>
      <c r="G18" s="57">
        <f>IFERROR(SLOPE(HIST_D!$DP$8:INDEX(HIST_D!$DP$8:$DP$2617,Control!$F$13),HIST_D!$DH$8:INDEX(HIST_D!$DH$8:$DH$2617,Control!$F$13)),"")</f>
        <v/>
      </c>
      <c r="H18" s="57">
        <f>IFERROR(SLOPE(HIST_D!$DP$8:INDEX(HIST_D!$DP$8:$DP$2617,Control!$F$14),HIST_D!$DH$8:INDEX(HIST_D!$DH$8:$DH$2617,Control!$F$14)),"")</f>
        <v/>
      </c>
      <c r="I18" s="57">
        <f>IFERROR(SLOPE(HIST_D!$DP$8:INDEX(HIST_D!$DP$8:$DP$2617,Control!$F$15),HIST_D!$DH$8:INDEX(HIST_D!$DH$8:$DH$2617,Control!$F$15)),"")</f>
        <v/>
      </c>
      <c r="J18" s="57">
        <f>IFERROR(CORREL(HIST_D!$DP$8:INDEX(HIST_D!$DP$8:$DP$2617,Control!$F$11),HIST_D!$DH$8:INDEX(HIST_D!$DH$8:$DH$2617,Control!$F$11)),"")</f>
        <v/>
      </c>
      <c r="K18" s="57">
        <f>IFERROR((IFERROR(CORREL(HIST_D!$DP$8:INDEX(HIST_D!$DP$8:$DP$2617,Control!$F$11),HIST_D!$DH$8:INDEX(HIST_D!$DH$8:$DH$2617,Control!$F$11)),""))^2,"")</f>
        <v/>
      </c>
      <c r="L18" s="40">
        <f>IFERROR($C18-$H18,"")</f>
        <v/>
      </c>
      <c r="M18" s="49" t="inlineStr"/>
    </row>
    <row r="19">
      <c r="A19" s="8" t="inlineStr">
        <is>
          <t>MSCI World  vs  UST 10Y</t>
        </is>
      </c>
      <c r="B19" s="19" t="inlineStr">
        <is>
          <t>% per bp</t>
        </is>
      </c>
      <c r="C19" s="57">
        <f>IFERROR(SLOPE(HIST_D!$DQ$8:INDEX(HIST_D!$DQ$8:$DQ$2617,Control!$F$8),HIST_D!$DH$8:INDEX(HIST_D!$DH$8:$DH$2617,Control!$F$8)),"")</f>
        <v/>
      </c>
      <c r="D19" s="57">
        <f>IFERROR(SLOPE(HIST_D!$DQ$8:INDEX(HIST_D!$DQ$8:$DQ$2617,Control!$F$9),HIST_D!$DH$8:INDEX(HIST_D!$DH$8:$DH$2617,Control!$F$9)),"")</f>
        <v/>
      </c>
      <c r="E19" s="57">
        <f>IFERROR(SLOPE(HIST_D!$DQ$8:INDEX(HIST_D!$DQ$8:$DQ$2617,Control!$F$10),HIST_D!$DH$8:INDEX(HIST_D!$DH$8:$DH$2617,Control!$F$10)),"")</f>
        <v/>
      </c>
      <c r="F19" s="57">
        <f>IFERROR(SLOPE(HIST_D!$DQ$8:INDEX(HIST_D!$DQ$8:$DQ$2617,Control!$F$11),HIST_D!$DH$8:INDEX(HIST_D!$DH$8:$DH$2617,Control!$F$11)),"")</f>
        <v/>
      </c>
      <c r="G19" s="57">
        <f>IFERROR(SLOPE(HIST_D!$DQ$8:INDEX(HIST_D!$DQ$8:$DQ$2617,Control!$F$13),HIST_D!$DH$8:INDEX(HIST_D!$DH$8:$DH$2617,Control!$F$13)),"")</f>
        <v/>
      </c>
      <c r="H19" s="57">
        <f>IFERROR(SLOPE(HIST_D!$DQ$8:INDEX(HIST_D!$DQ$8:$DQ$2617,Control!$F$14),HIST_D!$DH$8:INDEX(HIST_D!$DH$8:$DH$2617,Control!$F$14)),"")</f>
        <v/>
      </c>
      <c r="I19" s="57">
        <f>IFERROR(SLOPE(HIST_D!$DQ$8:INDEX(HIST_D!$DQ$8:$DQ$2617,Control!$F$15),HIST_D!$DH$8:INDEX(HIST_D!$DH$8:$DH$2617,Control!$F$15)),"")</f>
        <v/>
      </c>
      <c r="J19" s="57">
        <f>IFERROR(CORREL(HIST_D!$DQ$8:INDEX(HIST_D!$DQ$8:$DQ$2617,Control!$F$11),HIST_D!$DH$8:INDEX(HIST_D!$DH$8:$DH$2617,Control!$F$11)),"")</f>
        <v/>
      </c>
      <c r="K19" s="57">
        <f>IFERROR((IFERROR(CORREL(HIST_D!$DQ$8:INDEX(HIST_D!$DQ$8:$DQ$2617,Control!$F$11),HIST_D!$DH$8:INDEX(HIST_D!$DH$8:$DH$2617,Control!$F$11)),""))^2,"")</f>
        <v/>
      </c>
      <c r="L19" s="40">
        <f>IFERROR($C19-$H19,"")</f>
        <v/>
      </c>
      <c r="M19" s="49" t="inlineStr">
        <is>
          <t>control group</t>
        </is>
      </c>
    </row>
    <row r="21">
      <c r="A21" s="10" t="inlineStr">
        <is>
          <t>A one-month window is roughly 22 observations. Treat the 1M column as a direction, not an estimate — the 3M and 6M columns are where a regime change becomes statistically interesting, and the R2 column tells you whether the relationship is worth quoting at all.</t>
        </is>
      </c>
    </row>
  </sheetData>
  <conditionalFormatting sqref="L6:L19">
    <cfRule type="colorScale" priority="1">
      <colorScale>
        <cfvo type="num" val="-0.6"/>
        <cfvo type="num" val="0"/>
        <cfvo type="num" val="0.6"/>
        <color rgb="00F8696B"/>
        <color rgb="00FFFFFF"/>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2"/>
  <sheetViews>
    <sheetView showGridLines="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SCENARIO  —  12-month forward, legs shown separately</t>
        </is>
      </c>
    </row>
    <row r="2">
      <c r="A2" s="2" t="inlineStr">
        <is>
          <t>Grid A is the rates leg alone. Grid B is the spread leg alone. Grid C is their sum plus carry, and it is only meaningful read against A and B. The horizon, duration, YTW and cash hurdle all come from Control.</t>
        </is>
      </c>
    </row>
    <row r="4" ht="18" customHeight="1">
      <c r="A4" s="3" t="inlineStr">
        <is>
          <t>INPUTS</t>
        </is>
      </c>
      <c r="B4" s="4" t="n"/>
      <c r="C4" s="4" t="n"/>
      <c r="D4" s="4" t="n"/>
      <c r="E4" s="4" t="n"/>
      <c r="F4" s="4" t="n"/>
      <c r="G4" s="4" t="n"/>
      <c r="H4" s="4" t="n"/>
      <c r="I4" s="4" t="n"/>
      <c r="J4" s="4" t="n"/>
      <c r="K4" s="4" t="n"/>
      <c r="L4" s="4" t="n"/>
      <c r="M4" s="4" t="n"/>
    </row>
    <row r="5">
      <c r="A5" s="8" t="inlineStr">
        <is>
          <t>Horizon (years)</t>
        </is>
      </c>
      <c r="B5" s="23">
        <f>Control!$B$10</f>
        <v/>
      </c>
      <c r="D5" s="8" t="inlineStr">
        <is>
          <t>Carry over the horizon</t>
        </is>
      </c>
      <c r="E5" s="47">
        <f>IFERROR($B$7/100*$B$5,"")</f>
        <v/>
      </c>
    </row>
    <row r="6">
      <c r="A6" s="8" t="inlineStr">
        <is>
          <t>Index modified duration (yrs)</t>
        </is>
      </c>
      <c r="B6" s="32">
        <f>Control!$B$12</f>
        <v/>
      </c>
      <c r="D6" s="8" t="inlineStr">
        <is>
          <t>Cash over the horizon</t>
        </is>
      </c>
      <c r="E6" s="47">
        <f>IFERROR($B$8/100*$B$5,"")</f>
        <v/>
      </c>
    </row>
    <row r="7">
      <c r="A7" s="8" t="inlineStr">
        <is>
          <t>Index YTW (%)</t>
        </is>
      </c>
      <c r="B7" s="20">
        <f>Control!$B$13</f>
        <v/>
      </c>
      <c r="D7" s="8" t="inlineStr">
        <is>
          <t>Spread widening that wipes out the carry (bp)</t>
        </is>
      </c>
      <c r="E7" s="53">
        <f>IFERROR($E$5*10000/$B$6,"")</f>
        <v/>
      </c>
    </row>
    <row r="8">
      <c r="A8" s="8" t="inlineStr">
        <is>
          <t>Cash hurdle (%)</t>
        </is>
      </c>
      <c r="B8" s="20">
        <f>Control!$B$11</f>
        <v/>
      </c>
      <c r="D8" s="8" t="inlineStr">
        <is>
          <t>Rate rise that wipes out the carry (bp)</t>
        </is>
      </c>
      <c r="E8" s="53">
        <f>IFERROR($E$5*10000/$B$6,"")</f>
        <v/>
      </c>
    </row>
    <row r="9">
      <c r="A9" s="8" t="inlineStr">
        <is>
          <t>EM FX basket beta to DXY (1Y)</t>
        </is>
      </c>
      <c r="B9" s="32">
        <f>Betas!$F$14</f>
        <v/>
      </c>
    </row>
    <row r="10">
      <c r="A10" s="8" t="inlineStr">
        <is>
          <t>EM FX carry, annualised (%) — INPUT</t>
        </is>
      </c>
      <c r="B10" s="12" t="n">
        <v>4.2</v>
      </c>
    </row>
    <row r="12" ht="18" customHeight="1">
      <c r="A12" s="3" t="inlineStr">
        <is>
          <t>GRID A  —  RATES LEG ONLY  (-D x d UST, no carry, no spread)</t>
        </is>
      </c>
      <c r="B12" s="4" t="n"/>
      <c r="C12" s="4" t="n"/>
      <c r="D12" s="4" t="n"/>
      <c r="E12" s="4" t="n"/>
      <c r="F12" s="4" t="n"/>
      <c r="G12" s="4" t="n"/>
      <c r="H12" s="4" t="n"/>
      <c r="I12" s="4" t="n"/>
      <c r="J12" s="4" t="n"/>
      <c r="K12" s="4" t="n"/>
      <c r="L12" s="4" t="n"/>
      <c r="M12" s="4" t="n"/>
    </row>
    <row r="13">
      <c r="A13" s="5" t="inlineStr">
        <is>
          <t>d UST (bp) →</t>
        </is>
      </c>
      <c r="B13" s="58" t="n">
        <v>-100</v>
      </c>
      <c r="C13" s="58" t="n">
        <v>-75</v>
      </c>
      <c r="D13" s="58" t="n">
        <v>-50</v>
      </c>
      <c r="E13" s="58" t="n">
        <v>-25</v>
      </c>
      <c r="F13" s="58" t="n">
        <v>0</v>
      </c>
      <c r="G13" s="58" t="n">
        <v>25</v>
      </c>
      <c r="H13" s="58" t="n">
        <v>50</v>
      </c>
      <c r="I13" s="58" t="n">
        <v>75</v>
      </c>
      <c r="J13" s="58" t="n">
        <v>100</v>
      </c>
      <c r="K13" s="58" t="n">
        <v>125</v>
      </c>
      <c r="L13" s="58" t="n">
        <v>150</v>
      </c>
    </row>
    <row r="14">
      <c r="A14" s="28" t="inlineStr">
        <is>
          <t>Rates leg</t>
        </is>
      </c>
      <c r="B14" s="46">
        <f>IFERROR(-$B$6*-100/10000,"")</f>
        <v/>
      </c>
      <c r="C14" s="46">
        <f>IFERROR(-$B$6*-75/10000,"")</f>
        <v/>
      </c>
      <c r="D14" s="46">
        <f>IFERROR(-$B$6*-50/10000,"")</f>
        <v/>
      </c>
      <c r="E14" s="46">
        <f>IFERROR(-$B$6*-25/10000,"")</f>
        <v/>
      </c>
      <c r="F14" s="46">
        <f>IFERROR(-$B$6*0/10000,"")</f>
        <v/>
      </c>
      <c r="G14" s="46">
        <f>IFERROR(-$B$6*25/10000,"")</f>
        <v/>
      </c>
      <c r="H14" s="46">
        <f>IFERROR(-$B$6*50/10000,"")</f>
        <v/>
      </c>
      <c r="I14" s="46">
        <f>IFERROR(-$B$6*75/10000,"")</f>
        <v/>
      </c>
      <c r="J14" s="46">
        <f>IFERROR(-$B$6*100/10000,"")</f>
        <v/>
      </c>
      <c r="K14" s="46">
        <f>IFERROR(-$B$6*125/10000,"")</f>
        <v/>
      </c>
      <c r="L14" s="46">
        <f>IFERROR(-$B$6*150/10000,"")</f>
        <v/>
      </c>
    </row>
    <row r="16" ht="18" customHeight="1">
      <c r="A16" s="3" t="inlineStr">
        <is>
          <t>GRID B  —  SPREAD LEG ONLY  (-D x d spread, no carry, no rates)</t>
        </is>
      </c>
      <c r="B16" s="4" t="n"/>
      <c r="C16" s="4" t="n"/>
      <c r="D16" s="4" t="n"/>
      <c r="E16" s="4" t="n"/>
      <c r="F16" s="4" t="n"/>
      <c r="G16" s="4" t="n"/>
      <c r="H16" s="4" t="n"/>
      <c r="I16" s="4" t="n"/>
      <c r="J16" s="4" t="n"/>
      <c r="K16" s="4" t="n"/>
      <c r="L16" s="4" t="n"/>
      <c r="M16" s="4" t="n"/>
    </row>
    <row r="17">
      <c r="A17" s="5" t="inlineStr">
        <is>
          <t>d spread (bp) →</t>
        </is>
      </c>
      <c r="B17" s="58" t="n">
        <v>-75</v>
      </c>
      <c r="C17" s="58" t="n">
        <v>-50</v>
      </c>
      <c r="D17" s="58" t="n">
        <v>-25</v>
      </c>
      <c r="E17" s="58" t="n">
        <v>0</v>
      </c>
      <c r="F17" s="58" t="n">
        <v>25</v>
      </c>
      <c r="G17" s="58" t="n">
        <v>50</v>
      </c>
      <c r="H17" s="58" t="n">
        <v>75</v>
      </c>
      <c r="I17" s="58" t="n">
        <v>100</v>
      </c>
      <c r="J17" s="58" t="n">
        <v>150</v>
      </c>
    </row>
    <row r="18">
      <c r="A18" s="28" t="inlineStr">
        <is>
          <t>Spread leg</t>
        </is>
      </c>
      <c r="B18" s="46">
        <f>IFERROR(-$B$6*-75/10000,"")</f>
        <v/>
      </c>
      <c r="C18" s="46">
        <f>IFERROR(-$B$6*-50/10000,"")</f>
        <v/>
      </c>
      <c r="D18" s="46">
        <f>IFERROR(-$B$6*-25/10000,"")</f>
        <v/>
      </c>
      <c r="E18" s="46">
        <f>IFERROR(-$B$6*0/10000,"")</f>
        <v/>
      </c>
      <c r="F18" s="46">
        <f>IFERROR(-$B$6*25/10000,"")</f>
        <v/>
      </c>
      <c r="G18" s="46">
        <f>IFERROR(-$B$6*50/10000,"")</f>
        <v/>
      </c>
      <c r="H18" s="46">
        <f>IFERROR(-$B$6*75/10000,"")</f>
        <v/>
      </c>
      <c r="I18" s="46">
        <f>IFERROR(-$B$6*100/10000,"")</f>
        <v/>
      </c>
      <c r="J18" s="46">
        <f>IFERROR(-$B$6*150/10000,"")</f>
        <v/>
      </c>
    </row>
    <row r="20" ht="18" customHeight="1">
      <c r="A20" s="3" t="inlineStr">
        <is>
          <t>GRID C  —  CARRY + GRID A + GRID B.  Margins carry the two legs so nothing is hidden.</t>
        </is>
      </c>
      <c r="B20" s="4" t="n"/>
      <c r="C20" s="4" t="n"/>
      <c r="D20" s="4" t="n"/>
      <c r="E20" s="4" t="n"/>
      <c r="F20" s="4" t="n"/>
      <c r="G20" s="4" t="n"/>
      <c r="H20" s="4" t="n"/>
      <c r="I20" s="4" t="n"/>
      <c r="J20" s="4" t="n"/>
      <c r="K20" s="4" t="n"/>
      <c r="L20" s="4" t="n"/>
      <c r="M20" s="4" t="n"/>
    </row>
    <row r="21">
      <c r="A21" s="5" t="inlineStr">
        <is>
          <t>d spread (bp)  \  d UST (bp)</t>
        </is>
      </c>
      <c r="B21" s="58" t="n">
        <v>-100</v>
      </c>
      <c r="C21" s="58" t="n">
        <v>-75</v>
      </c>
      <c r="D21" s="58" t="n">
        <v>-50</v>
      </c>
      <c r="E21" s="58" t="n">
        <v>-25</v>
      </c>
      <c r="F21" s="58" t="n">
        <v>0</v>
      </c>
      <c r="G21" s="58" t="n">
        <v>25</v>
      </c>
      <c r="H21" s="58" t="n">
        <v>50</v>
      </c>
      <c r="I21" s="58" t="n">
        <v>75</v>
      </c>
      <c r="J21" s="58" t="n">
        <v>100</v>
      </c>
      <c r="K21" s="58" t="n">
        <v>125</v>
      </c>
      <c r="L21" s="58" t="n">
        <v>150</v>
      </c>
      <c r="M21" s="5" t="inlineStr">
        <is>
          <t>spread leg</t>
        </is>
      </c>
    </row>
    <row r="22">
      <c r="A22" s="58" t="n">
        <v>-75</v>
      </c>
      <c r="B22" s="46">
        <f>IFERROR($E$5+B$14+(-$B$6*-75/10000),"")</f>
        <v/>
      </c>
      <c r="C22" s="46">
        <f>IFERROR($E$5+C$14+(-$B$6*-75/10000),"")</f>
        <v/>
      </c>
      <c r="D22" s="46">
        <f>IFERROR($E$5+D$14+(-$B$6*-75/10000),"")</f>
        <v/>
      </c>
      <c r="E22" s="46">
        <f>IFERROR($E$5+E$14+(-$B$6*-75/10000),"")</f>
        <v/>
      </c>
      <c r="F22" s="46">
        <f>IFERROR($E$5+F$14+(-$B$6*-75/10000),"")</f>
        <v/>
      </c>
      <c r="G22" s="46">
        <f>IFERROR($E$5+G$14+(-$B$6*-75/10000),"")</f>
        <v/>
      </c>
      <c r="H22" s="46">
        <f>IFERROR($E$5+H$14+(-$B$6*-75/10000),"")</f>
        <v/>
      </c>
      <c r="I22" s="46">
        <f>IFERROR($E$5+I$14+(-$B$6*-75/10000),"")</f>
        <v/>
      </c>
      <c r="J22" s="46">
        <f>IFERROR($E$5+J$14+(-$B$6*-75/10000),"")</f>
        <v/>
      </c>
      <c r="K22" s="46">
        <f>IFERROR($E$5+K$14+(-$B$6*-75/10000),"")</f>
        <v/>
      </c>
      <c r="L22" s="46">
        <f>IFERROR($E$5+L$14+(-$B$6*-75/10000),"")</f>
        <v/>
      </c>
      <c r="M22" s="50">
        <f>IFERROR(-$B$6*-75/10000,"")</f>
        <v/>
      </c>
    </row>
    <row r="23">
      <c r="A23" s="58" t="n">
        <v>-50</v>
      </c>
      <c r="B23" s="46">
        <f>IFERROR($E$5+B$14+(-$B$6*-50/10000),"")</f>
        <v/>
      </c>
      <c r="C23" s="46">
        <f>IFERROR($E$5+C$14+(-$B$6*-50/10000),"")</f>
        <v/>
      </c>
      <c r="D23" s="46">
        <f>IFERROR($E$5+D$14+(-$B$6*-50/10000),"")</f>
        <v/>
      </c>
      <c r="E23" s="46">
        <f>IFERROR($E$5+E$14+(-$B$6*-50/10000),"")</f>
        <v/>
      </c>
      <c r="F23" s="46">
        <f>IFERROR($E$5+F$14+(-$B$6*-50/10000),"")</f>
        <v/>
      </c>
      <c r="G23" s="46">
        <f>IFERROR($E$5+G$14+(-$B$6*-50/10000),"")</f>
        <v/>
      </c>
      <c r="H23" s="46">
        <f>IFERROR($E$5+H$14+(-$B$6*-50/10000),"")</f>
        <v/>
      </c>
      <c r="I23" s="46">
        <f>IFERROR($E$5+I$14+(-$B$6*-50/10000),"")</f>
        <v/>
      </c>
      <c r="J23" s="46">
        <f>IFERROR($E$5+J$14+(-$B$6*-50/10000),"")</f>
        <v/>
      </c>
      <c r="K23" s="46">
        <f>IFERROR($E$5+K$14+(-$B$6*-50/10000),"")</f>
        <v/>
      </c>
      <c r="L23" s="46">
        <f>IFERROR($E$5+L$14+(-$B$6*-50/10000),"")</f>
        <v/>
      </c>
      <c r="M23" s="50">
        <f>IFERROR(-$B$6*-50/10000,"")</f>
        <v/>
      </c>
    </row>
    <row r="24">
      <c r="A24" s="58" t="n">
        <v>-25</v>
      </c>
      <c r="B24" s="46">
        <f>IFERROR($E$5+B$14+(-$B$6*-25/10000),"")</f>
        <v/>
      </c>
      <c r="C24" s="46">
        <f>IFERROR($E$5+C$14+(-$B$6*-25/10000),"")</f>
        <v/>
      </c>
      <c r="D24" s="46">
        <f>IFERROR($E$5+D$14+(-$B$6*-25/10000),"")</f>
        <v/>
      </c>
      <c r="E24" s="46">
        <f>IFERROR($E$5+E$14+(-$B$6*-25/10000),"")</f>
        <v/>
      </c>
      <c r="F24" s="46">
        <f>IFERROR($E$5+F$14+(-$B$6*-25/10000),"")</f>
        <v/>
      </c>
      <c r="G24" s="46">
        <f>IFERROR($E$5+G$14+(-$B$6*-25/10000),"")</f>
        <v/>
      </c>
      <c r="H24" s="46">
        <f>IFERROR($E$5+H$14+(-$B$6*-25/10000),"")</f>
        <v/>
      </c>
      <c r="I24" s="46">
        <f>IFERROR($E$5+I$14+(-$B$6*-25/10000),"")</f>
        <v/>
      </c>
      <c r="J24" s="46">
        <f>IFERROR($E$5+J$14+(-$B$6*-25/10000),"")</f>
        <v/>
      </c>
      <c r="K24" s="46">
        <f>IFERROR($E$5+K$14+(-$B$6*-25/10000),"")</f>
        <v/>
      </c>
      <c r="L24" s="46">
        <f>IFERROR($E$5+L$14+(-$B$6*-25/10000),"")</f>
        <v/>
      </c>
      <c r="M24" s="50">
        <f>IFERROR(-$B$6*-25/10000,"")</f>
        <v/>
      </c>
    </row>
    <row r="25">
      <c r="A25" s="58" t="n">
        <v>0</v>
      </c>
      <c r="B25" s="46">
        <f>IFERROR($E$5+B$14+(-$B$6*0/10000),"")</f>
        <v/>
      </c>
      <c r="C25" s="46">
        <f>IFERROR($E$5+C$14+(-$B$6*0/10000),"")</f>
        <v/>
      </c>
      <c r="D25" s="46">
        <f>IFERROR($E$5+D$14+(-$B$6*0/10000),"")</f>
        <v/>
      </c>
      <c r="E25" s="46">
        <f>IFERROR($E$5+E$14+(-$B$6*0/10000),"")</f>
        <v/>
      </c>
      <c r="F25" s="46">
        <f>IFERROR($E$5+F$14+(-$B$6*0/10000),"")</f>
        <v/>
      </c>
      <c r="G25" s="46">
        <f>IFERROR($E$5+G$14+(-$B$6*0/10000),"")</f>
        <v/>
      </c>
      <c r="H25" s="46">
        <f>IFERROR($E$5+H$14+(-$B$6*0/10000),"")</f>
        <v/>
      </c>
      <c r="I25" s="46">
        <f>IFERROR($E$5+I$14+(-$B$6*0/10000),"")</f>
        <v/>
      </c>
      <c r="J25" s="46">
        <f>IFERROR($E$5+J$14+(-$B$6*0/10000),"")</f>
        <v/>
      </c>
      <c r="K25" s="46">
        <f>IFERROR($E$5+K$14+(-$B$6*0/10000),"")</f>
        <v/>
      </c>
      <c r="L25" s="46">
        <f>IFERROR($E$5+L$14+(-$B$6*0/10000),"")</f>
        <v/>
      </c>
      <c r="M25" s="50">
        <f>IFERROR(-$B$6*0/10000,"")</f>
        <v/>
      </c>
    </row>
    <row r="26">
      <c r="A26" s="58" t="n">
        <v>25</v>
      </c>
      <c r="B26" s="46">
        <f>IFERROR($E$5+B$14+(-$B$6*25/10000),"")</f>
        <v/>
      </c>
      <c r="C26" s="46">
        <f>IFERROR($E$5+C$14+(-$B$6*25/10000),"")</f>
        <v/>
      </c>
      <c r="D26" s="46">
        <f>IFERROR($E$5+D$14+(-$B$6*25/10000),"")</f>
        <v/>
      </c>
      <c r="E26" s="46">
        <f>IFERROR($E$5+E$14+(-$B$6*25/10000),"")</f>
        <v/>
      </c>
      <c r="F26" s="46">
        <f>IFERROR($E$5+F$14+(-$B$6*25/10000),"")</f>
        <v/>
      </c>
      <c r="G26" s="46">
        <f>IFERROR($E$5+G$14+(-$B$6*25/10000),"")</f>
        <v/>
      </c>
      <c r="H26" s="46">
        <f>IFERROR($E$5+H$14+(-$B$6*25/10000),"")</f>
        <v/>
      </c>
      <c r="I26" s="46">
        <f>IFERROR($E$5+I$14+(-$B$6*25/10000),"")</f>
        <v/>
      </c>
      <c r="J26" s="46">
        <f>IFERROR($E$5+J$14+(-$B$6*25/10000),"")</f>
        <v/>
      </c>
      <c r="K26" s="46">
        <f>IFERROR($E$5+K$14+(-$B$6*25/10000),"")</f>
        <v/>
      </c>
      <c r="L26" s="46">
        <f>IFERROR($E$5+L$14+(-$B$6*25/10000),"")</f>
        <v/>
      </c>
      <c r="M26" s="50">
        <f>IFERROR(-$B$6*25/10000,"")</f>
        <v/>
      </c>
    </row>
    <row r="27">
      <c r="A27" s="58" t="n">
        <v>50</v>
      </c>
      <c r="B27" s="46">
        <f>IFERROR($E$5+B$14+(-$B$6*50/10000),"")</f>
        <v/>
      </c>
      <c r="C27" s="46">
        <f>IFERROR($E$5+C$14+(-$B$6*50/10000),"")</f>
        <v/>
      </c>
      <c r="D27" s="46">
        <f>IFERROR($E$5+D$14+(-$B$6*50/10000),"")</f>
        <v/>
      </c>
      <c r="E27" s="46">
        <f>IFERROR($E$5+E$14+(-$B$6*50/10000),"")</f>
        <v/>
      </c>
      <c r="F27" s="46">
        <f>IFERROR($E$5+F$14+(-$B$6*50/10000),"")</f>
        <v/>
      </c>
      <c r="G27" s="46">
        <f>IFERROR($E$5+G$14+(-$B$6*50/10000),"")</f>
        <v/>
      </c>
      <c r="H27" s="46">
        <f>IFERROR($E$5+H$14+(-$B$6*50/10000),"")</f>
        <v/>
      </c>
      <c r="I27" s="46">
        <f>IFERROR($E$5+I$14+(-$B$6*50/10000),"")</f>
        <v/>
      </c>
      <c r="J27" s="46">
        <f>IFERROR($E$5+J$14+(-$B$6*50/10000),"")</f>
        <v/>
      </c>
      <c r="K27" s="46">
        <f>IFERROR($E$5+K$14+(-$B$6*50/10000),"")</f>
        <v/>
      </c>
      <c r="L27" s="46">
        <f>IFERROR($E$5+L$14+(-$B$6*50/10000),"")</f>
        <v/>
      </c>
      <c r="M27" s="50">
        <f>IFERROR(-$B$6*50/10000,"")</f>
        <v/>
      </c>
    </row>
    <row r="28">
      <c r="A28" s="58" t="n">
        <v>75</v>
      </c>
      <c r="B28" s="46">
        <f>IFERROR($E$5+B$14+(-$B$6*75/10000),"")</f>
        <v/>
      </c>
      <c r="C28" s="46">
        <f>IFERROR($E$5+C$14+(-$B$6*75/10000),"")</f>
        <v/>
      </c>
      <c r="D28" s="46">
        <f>IFERROR($E$5+D$14+(-$B$6*75/10000),"")</f>
        <v/>
      </c>
      <c r="E28" s="46">
        <f>IFERROR($E$5+E$14+(-$B$6*75/10000),"")</f>
        <v/>
      </c>
      <c r="F28" s="46">
        <f>IFERROR($E$5+F$14+(-$B$6*75/10000),"")</f>
        <v/>
      </c>
      <c r="G28" s="46">
        <f>IFERROR($E$5+G$14+(-$B$6*75/10000),"")</f>
        <v/>
      </c>
      <c r="H28" s="46">
        <f>IFERROR($E$5+H$14+(-$B$6*75/10000),"")</f>
        <v/>
      </c>
      <c r="I28" s="46">
        <f>IFERROR($E$5+I$14+(-$B$6*75/10000),"")</f>
        <v/>
      </c>
      <c r="J28" s="46">
        <f>IFERROR($E$5+J$14+(-$B$6*75/10000),"")</f>
        <v/>
      </c>
      <c r="K28" s="46">
        <f>IFERROR($E$5+K$14+(-$B$6*75/10000),"")</f>
        <v/>
      </c>
      <c r="L28" s="46">
        <f>IFERROR($E$5+L$14+(-$B$6*75/10000),"")</f>
        <v/>
      </c>
      <c r="M28" s="50">
        <f>IFERROR(-$B$6*75/10000,"")</f>
        <v/>
      </c>
    </row>
    <row r="29">
      <c r="A29" s="58" t="n">
        <v>100</v>
      </c>
      <c r="B29" s="46">
        <f>IFERROR($E$5+B$14+(-$B$6*100/10000),"")</f>
        <v/>
      </c>
      <c r="C29" s="46">
        <f>IFERROR($E$5+C$14+(-$B$6*100/10000),"")</f>
        <v/>
      </c>
      <c r="D29" s="46">
        <f>IFERROR($E$5+D$14+(-$B$6*100/10000),"")</f>
        <v/>
      </c>
      <c r="E29" s="46">
        <f>IFERROR($E$5+E$14+(-$B$6*100/10000),"")</f>
        <v/>
      </c>
      <c r="F29" s="46">
        <f>IFERROR($E$5+F$14+(-$B$6*100/10000),"")</f>
        <v/>
      </c>
      <c r="G29" s="46">
        <f>IFERROR($E$5+G$14+(-$B$6*100/10000),"")</f>
        <v/>
      </c>
      <c r="H29" s="46">
        <f>IFERROR($E$5+H$14+(-$B$6*100/10000),"")</f>
        <v/>
      </c>
      <c r="I29" s="46">
        <f>IFERROR($E$5+I$14+(-$B$6*100/10000),"")</f>
        <v/>
      </c>
      <c r="J29" s="46">
        <f>IFERROR($E$5+J$14+(-$B$6*100/10000),"")</f>
        <v/>
      </c>
      <c r="K29" s="46">
        <f>IFERROR($E$5+K$14+(-$B$6*100/10000),"")</f>
        <v/>
      </c>
      <c r="L29" s="46">
        <f>IFERROR($E$5+L$14+(-$B$6*100/10000),"")</f>
        <v/>
      </c>
      <c r="M29" s="50">
        <f>IFERROR(-$B$6*100/10000,"")</f>
        <v/>
      </c>
    </row>
    <row r="30">
      <c r="A30" s="58" t="n">
        <v>150</v>
      </c>
      <c r="B30" s="46">
        <f>IFERROR($E$5+B$14+(-$B$6*150/10000),"")</f>
        <v/>
      </c>
      <c r="C30" s="46">
        <f>IFERROR($E$5+C$14+(-$B$6*150/10000),"")</f>
        <v/>
      </c>
      <c r="D30" s="46">
        <f>IFERROR($E$5+D$14+(-$B$6*150/10000),"")</f>
        <v/>
      </c>
      <c r="E30" s="46">
        <f>IFERROR($E$5+E$14+(-$B$6*150/10000),"")</f>
        <v/>
      </c>
      <c r="F30" s="46">
        <f>IFERROR($E$5+F$14+(-$B$6*150/10000),"")</f>
        <v/>
      </c>
      <c r="G30" s="46">
        <f>IFERROR($E$5+G$14+(-$B$6*150/10000),"")</f>
        <v/>
      </c>
      <c r="H30" s="46">
        <f>IFERROR($E$5+H$14+(-$B$6*150/10000),"")</f>
        <v/>
      </c>
      <c r="I30" s="46">
        <f>IFERROR($E$5+I$14+(-$B$6*150/10000),"")</f>
        <v/>
      </c>
      <c r="J30" s="46">
        <f>IFERROR($E$5+J$14+(-$B$6*150/10000),"")</f>
        <v/>
      </c>
      <c r="K30" s="46">
        <f>IFERROR($E$5+K$14+(-$B$6*150/10000),"")</f>
        <v/>
      </c>
      <c r="L30" s="46">
        <f>IFERROR($E$5+L$14+(-$B$6*150/10000),"")</f>
        <v/>
      </c>
      <c r="M30" s="50">
        <f>IFERROR(-$B$6*150/10000,"")</f>
        <v/>
      </c>
    </row>
    <row r="31">
      <c r="A31" s="5" t="inlineStr">
        <is>
          <t>rates leg</t>
        </is>
      </c>
      <c r="B31" s="50">
        <f>B$14</f>
        <v/>
      </c>
      <c r="C31" s="50">
        <f>C$14</f>
        <v/>
      </c>
      <c r="D31" s="50">
        <f>D$14</f>
        <v/>
      </c>
      <c r="E31" s="50">
        <f>E$14</f>
        <v/>
      </c>
      <c r="F31" s="50">
        <f>F$14</f>
        <v/>
      </c>
      <c r="G31" s="50">
        <f>G$14</f>
        <v/>
      </c>
      <c r="H31" s="50">
        <f>H$14</f>
        <v/>
      </c>
      <c r="I31" s="50">
        <f>I$14</f>
        <v/>
      </c>
      <c r="J31" s="50">
        <f>J$14</f>
        <v/>
      </c>
      <c r="K31" s="50">
        <f>K$14</f>
        <v/>
      </c>
      <c r="L31" s="50">
        <f>L$14</f>
        <v/>
      </c>
    </row>
    <row r="33" ht="18" customHeight="1">
      <c r="A33" s="3" t="inlineStr">
        <is>
          <t>GRID D  —  EXCESS OVER CASH  (Grid C less the cash hurdle over the horizon)</t>
        </is>
      </c>
      <c r="B33" s="4" t="n"/>
      <c r="C33" s="4" t="n"/>
      <c r="D33" s="4" t="n"/>
      <c r="E33" s="4" t="n"/>
      <c r="F33" s="4" t="n"/>
      <c r="G33" s="4" t="n"/>
      <c r="H33" s="4" t="n"/>
      <c r="I33" s="4" t="n"/>
      <c r="J33" s="4" t="n"/>
      <c r="K33" s="4" t="n"/>
      <c r="L33" s="4" t="n"/>
      <c r="M33" s="4" t="n"/>
    </row>
    <row r="34">
      <c r="A34" s="5" t="inlineStr">
        <is>
          <t>d spread (bp)  \  d UST (bp)</t>
        </is>
      </c>
      <c r="B34" s="58" t="n">
        <v>-100</v>
      </c>
      <c r="C34" s="58" t="n">
        <v>-75</v>
      </c>
      <c r="D34" s="58" t="n">
        <v>-50</v>
      </c>
      <c r="E34" s="58" t="n">
        <v>-25</v>
      </c>
      <c r="F34" s="58" t="n">
        <v>0</v>
      </c>
      <c r="G34" s="58" t="n">
        <v>25</v>
      </c>
      <c r="H34" s="58" t="n">
        <v>50</v>
      </c>
      <c r="I34" s="58" t="n">
        <v>75</v>
      </c>
      <c r="J34" s="58" t="n">
        <v>100</v>
      </c>
      <c r="K34" s="58" t="n">
        <v>125</v>
      </c>
      <c r="L34" s="58" t="n">
        <v>150</v>
      </c>
    </row>
    <row r="35">
      <c r="A35" s="58" t="n">
        <v>-75</v>
      </c>
      <c r="B35" s="46">
        <f>IFERROR(B22-$E$6,"")</f>
        <v/>
      </c>
      <c r="C35" s="46">
        <f>IFERROR(C22-$E$6,"")</f>
        <v/>
      </c>
      <c r="D35" s="46">
        <f>IFERROR(D22-$E$6,"")</f>
        <v/>
      </c>
      <c r="E35" s="46">
        <f>IFERROR(E22-$E$6,"")</f>
        <v/>
      </c>
      <c r="F35" s="46">
        <f>IFERROR(F22-$E$6,"")</f>
        <v/>
      </c>
      <c r="G35" s="46">
        <f>IFERROR(G22-$E$6,"")</f>
        <v/>
      </c>
      <c r="H35" s="46">
        <f>IFERROR(H22-$E$6,"")</f>
        <v/>
      </c>
      <c r="I35" s="46">
        <f>IFERROR(I22-$E$6,"")</f>
        <v/>
      </c>
      <c r="J35" s="46">
        <f>IFERROR(J22-$E$6,"")</f>
        <v/>
      </c>
      <c r="K35" s="46">
        <f>IFERROR(K22-$E$6,"")</f>
        <v/>
      </c>
      <c r="L35" s="46">
        <f>IFERROR(L22-$E$6,"")</f>
        <v/>
      </c>
    </row>
    <row r="36">
      <c r="A36" s="58" t="n">
        <v>-50</v>
      </c>
      <c r="B36" s="46">
        <f>IFERROR(B23-$E$6,"")</f>
        <v/>
      </c>
      <c r="C36" s="46">
        <f>IFERROR(C23-$E$6,"")</f>
        <v/>
      </c>
      <c r="D36" s="46">
        <f>IFERROR(D23-$E$6,"")</f>
        <v/>
      </c>
      <c r="E36" s="46">
        <f>IFERROR(E23-$E$6,"")</f>
        <v/>
      </c>
      <c r="F36" s="46">
        <f>IFERROR(F23-$E$6,"")</f>
        <v/>
      </c>
      <c r="G36" s="46">
        <f>IFERROR(G23-$E$6,"")</f>
        <v/>
      </c>
      <c r="H36" s="46">
        <f>IFERROR(H23-$E$6,"")</f>
        <v/>
      </c>
      <c r="I36" s="46">
        <f>IFERROR(I23-$E$6,"")</f>
        <v/>
      </c>
      <c r="J36" s="46">
        <f>IFERROR(J23-$E$6,"")</f>
        <v/>
      </c>
      <c r="K36" s="46">
        <f>IFERROR(K23-$E$6,"")</f>
        <v/>
      </c>
      <c r="L36" s="46">
        <f>IFERROR(L23-$E$6,"")</f>
        <v/>
      </c>
    </row>
    <row r="37">
      <c r="A37" s="58" t="n">
        <v>-25</v>
      </c>
      <c r="B37" s="46">
        <f>IFERROR(B24-$E$6,"")</f>
        <v/>
      </c>
      <c r="C37" s="46">
        <f>IFERROR(C24-$E$6,"")</f>
        <v/>
      </c>
      <c r="D37" s="46">
        <f>IFERROR(D24-$E$6,"")</f>
        <v/>
      </c>
      <c r="E37" s="46">
        <f>IFERROR(E24-$E$6,"")</f>
        <v/>
      </c>
      <c r="F37" s="46">
        <f>IFERROR(F24-$E$6,"")</f>
        <v/>
      </c>
      <c r="G37" s="46">
        <f>IFERROR(G24-$E$6,"")</f>
        <v/>
      </c>
      <c r="H37" s="46">
        <f>IFERROR(H24-$E$6,"")</f>
        <v/>
      </c>
      <c r="I37" s="46">
        <f>IFERROR(I24-$E$6,"")</f>
        <v/>
      </c>
      <c r="J37" s="46">
        <f>IFERROR(J24-$E$6,"")</f>
        <v/>
      </c>
      <c r="K37" s="46">
        <f>IFERROR(K24-$E$6,"")</f>
        <v/>
      </c>
      <c r="L37" s="46">
        <f>IFERROR(L24-$E$6,"")</f>
        <v/>
      </c>
    </row>
    <row r="38">
      <c r="A38" s="58" t="n">
        <v>0</v>
      </c>
      <c r="B38" s="46">
        <f>IFERROR(B25-$E$6,"")</f>
        <v/>
      </c>
      <c r="C38" s="46">
        <f>IFERROR(C25-$E$6,"")</f>
        <v/>
      </c>
      <c r="D38" s="46">
        <f>IFERROR(D25-$E$6,"")</f>
        <v/>
      </c>
      <c r="E38" s="46">
        <f>IFERROR(E25-$E$6,"")</f>
        <v/>
      </c>
      <c r="F38" s="46">
        <f>IFERROR(F25-$E$6,"")</f>
        <v/>
      </c>
      <c r="G38" s="46">
        <f>IFERROR(G25-$E$6,"")</f>
        <v/>
      </c>
      <c r="H38" s="46">
        <f>IFERROR(H25-$E$6,"")</f>
        <v/>
      </c>
      <c r="I38" s="46">
        <f>IFERROR(I25-$E$6,"")</f>
        <v/>
      </c>
      <c r="J38" s="46">
        <f>IFERROR(J25-$E$6,"")</f>
        <v/>
      </c>
      <c r="K38" s="46">
        <f>IFERROR(K25-$E$6,"")</f>
        <v/>
      </c>
      <c r="L38" s="46">
        <f>IFERROR(L25-$E$6,"")</f>
        <v/>
      </c>
    </row>
    <row r="39">
      <c r="A39" s="58" t="n">
        <v>25</v>
      </c>
      <c r="B39" s="46">
        <f>IFERROR(B26-$E$6,"")</f>
        <v/>
      </c>
      <c r="C39" s="46">
        <f>IFERROR(C26-$E$6,"")</f>
        <v/>
      </c>
      <c r="D39" s="46">
        <f>IFERROR(D26-$E$6,"")</f>
        <v/>
      </c>
      <c r="E39" s="46">
        <f>IFERROR(E26-$E$6,"")</f>
        <v/>
      </c>
      <c r="F39" s="46">
        <f>IFERROR(F26-$E$6,"")</f>
        <v/>
      </c>
      <c r="G39" s="46">
        <f>IFERROR(G26-$E$6,"")</f>
        <v/>
      </c>
      <c r="H39" s="46">
        <f>IFERROR(H26-$E$6,"")</f>
        <v/>
      </c>
      <c r="I39" s="46">
        <f>IFERROR(I26-$E$6,"")</f>
        <v/>
      </c>
      <c r="J39" s="46">
        <f>IFERROR(J26-$E$6,"")</f>
        <v/>
      </c>
      <c r="K39" s="46">
        <f>IFERROR(K26-$E$6,"")</f>
        <v/>
      </c>
      <c r="L39" s="46">
        <f>IFERROR(L26-$E$6,"")</f>
        <v/>
      </c>
    </row>
    <row r="40">
      <c r="A40" s="58" t="n">
        <v>50</v>
      </c>
      <c r="B40" s="46">
        <f>IFERROR(B27-$E$6,"")</f>
        <v/>
      </c>
      <c r="C40" s="46">
        <f>IFERROR(C27-$E$6,"")</f>
        <v/>
      </c>
      <c r="D40" s="46">
        <f>IFERROR(D27-$E$6,"")</f>
        <v/>
      </c>
      <c r="E40" s="46">
        <f>IFERROR(E27-$E$6,"")</f>
        <v/>
      </c>
      <c r="F40" s="46">
        <f>IFERROR(F27-$E$6,"")</f>
        <v/>
      </c>
      <c r="G40" s="46">
        <f>IFERROR(G27-$E$6,"")</f>
        <v/>
      </c>
      <c r="H40" s="46">
        <f>IFERROR(H27-$E$6,"")</f>
        <v/>
      </c>
      <c r="I40" s="46">
        <f>IFERROR(I27-$E$6,"")</f>
        <v/>
      </c>
      <c r="J40" s="46">
        <f>IFERROR(J27-$E$6,"")</f>
        <v/>
      </c>
      <c r="K40" s="46">
        <f>IFERROR(K27-$E$6,"")</f>
        <v/>
      </c>
      <c r="L40" s="46">
        <f>IFERROR(L27-$E$6,"")</f>
        <v/>
      </c>
    </row>
    <row r="41">
      <c r="A41" s="58" t="n">
        <v>75</v>
      </c>
      <c r="B41" s="46">
        <f>IFERROR(B28-$E$6,"")</f>
        <v/>
      </c>
      <c r="C41" s="46">
        <f>IFERROR(C28-$E$6,"")</f>
        <v/>
      </c>
      <c r="D41" s="46">
        <f>IFERROR(D28-$E$6,"")</f>
        <v/>
      </c>
      <c r="E41" s="46">
        <f>IFERROR(E28-$E$6,"")</f>
        <v/>
      </c>
      <c r="F41" s="46">
        <f>IFERROR(F28-$E$6,"")</f>
        <v/>
      </c>
      <c r="G41" s="46">
        <f>IFERROR(G28-$E$6,"")</f>
        <v/>
      </c>
      <c r="H41" s="46">
        <f>IFERROR(H28-$E$6,"")</f>
        <v/>
      </c>
      <c r="I41" s="46">
        <f>IFERROR(I28-$E$6,"")</f>
        <v/>
      </c>
      <c r="J41" s="46">
        <f>IFERROR(J28-$E$6,"")</f>
        <v/>
      </c>
      <c r="K41" s="46">
        <f>IFERROR(K28-$E$6,"")</f>
        <v/>
      </c>
      <c r="L41" s="46">
        <f>IFERROR(L28-$E$6,"")</f>
        <v/>
      </c>
    </row>
    <row r="42">
      <c r="A42" s="58" t="n">
        <v>100</v>
      </c>
      <c r="B42" s="46">
        <f>IFERROR(B29-$E$6,"")</f>
        <v/>
      </c>
      <c r="C42" s="46">
        <f>IFERROR(C29-$E$6,"")</f>
        <v/>
      </c>
      <c r="D42" s="46">
        <f>IFERROR(D29-$E$6,"")</f>
        <v/>
      </c>
      <c r="E42" s="46">
        <f>IFERROR(E29-$E$6,"")</f>
        <v/>
      </c>
      <c r="F42" s="46">
        <f>IFERROR(F29-$E$6,"")</f>
        <v/>
      </c>
      <c r="G42" s="46">
        <f>IFERROR(G29-$E$6,"")</f>
        <v/>
      </c>
      <c r="H42" s="46">
        <f>IFERROR(H29-$E$6,"")</f>
        <v/>
      </c>
      <c r="I42" s="46">
        <f>IFERROR(I29-$E$6,"")</f>
        <v/>
      </c>
      <c r="J42" s="46">
        <f>IFERROR(J29-$E$6,"")</f>
        <v/>
      </c>
      <c r="K42" s="46">
        <f>IFERROR(K29-$E$6,"")</f>
        <v/>
      </c>
      <c r="L42" s="46">
        <f>IFERROR(L29-$E$6,"")</f>
        <v/>
      </c>
    </row>
    <row r="43">
      <c r="A43" s="58" t="n">
        <v>150</v>
      </c>
      <c r="B43" s="46">
        <f>IFERROR(B30-$E$6,"")</f>
        <v/>
      </c>
      <c r="C43" s="46">
        <f>IFERROR(C30-$E$6,"")</f>
        <v/>
      </c>
      <c r="D43" s="46">
        <f>IFERROR(D30-$E$6,"")</f>
        <v/>
      </c>
      <c r="E43" s="46">
        <f>IFERROR(E30-$E$6,"")</f>
        <v/>
      </c>
      <c r="F43" s="46">
        <f>IFERROR(F30-$E$6,"")</f>
        <v/>
      </c>
      <c r="G43" s="46">
        <f>IFERROR(G30-$E$6,"")</f>
        <v/>
      </c>
      <c r="H43" s="46">
        <f>IFERROR(H30-$E$6,"")</f>
        <v/>
      </c>
      <c r="I43" s="46">
        <f>IFERROR(I30-$E$6,"")</f>
        <v/>
      </c>
      <c r="J43" s="46">
        <f>IFERROR(J30-$E$6,"")</f>
        <v/>
      </c>
      <c r="K43" s="46">
        <f>IFERROR(K30-$E$6,"")</f>
        <v/>
      </c>
      <c r="L43" s="46">
        <f>IFERROR(L30-$E$6,"")</f>
        <v/>
      </c>
    </row>
    <row r="46" ht="18" customHeight="1">
      <c r="A46" s="3" t="inlineStr">
        <is>
          <t>EM FX  —  basket return under a dollar move, plus carry</t>
        </is>
      </c>
      <c r="B46" s="4" t="n"/>
      <c r="C46" s="4" t="n"/>
      <c r="D46" s="4" t="n"/>
      <c r="E46" s="4" t="n"/>
      <c r="F46" s="4" t="n"/>
      <c r="G46" s="4" t="n"/>
      <c r="H46" s="4" t="n"/>
      <c r="I46" s="4" t="n"/>
      <c r="J46" s="4" t="n"/>
      <c r="K46" s="4" t="n"/>
      <c r="L46" s="4" t="n"/>
      <c r="M46" s="4" t="n"/>
    </row>
    <row r="47">
      <c r="A47" s="5" t="inlineStr">
        <is>
          <t>d DXY (%) →</t>
        </is>
      </c>
      <c r="B47" s="59" t="n">
        <v>-0.06</v>
      </c>
      <c r="C47" s="59" t="n">
        <v>-0.04</v>
      </c>
      <c r="D47" s="59" t="n">
        <v>-0.02</v>
      </c>
      <c r="E47" s="59" t="n">
        <v>0</v>
      </c>
      <c r="F47" s="59" t="n">
        <v>0.02</v>
      </c>
      <c r="G47" s="59" t="n">
        <v>0.04</v>
      </c>
      <c r="H47" s="59" t="n">
        <v>0.06</v>
      </c>
      <c r="I47" s="59" t="n">
        <v>0.08</v>
      </c>
    </row>
    <row r="48">
      <c r="A48" s="8" t="inlineStr">
        <is>
          <t>FX spot leg (beta x d DXY)</t>
        </is>
      </c>
      <c r="B48" s="46">
        <f>IFERROR($B$9*-0.06,"")</f>
        <v/>
      </c>
      <c r="C48" s="46">
        <f>IFERROR($B$9*-0.04,"")</f>
        <v/>
      </c>
      <c r="D48" s="46">
        <f>IFERROR($B$9*-0.02,"")</f>
        <v/>
      </c>
      <c r="E48" s="46">
        <f>IFERROR($B$9*0.0,"")</f>
        <v/>
      </c>
      <c r="F48" s="46">
        <f>IFERROR($B$9*0.02,"")</f>
        <v/>
      </c>
      <c r="G48" s="46">
        <f>IFERROR($B$9*0.04,"")</f>
        <v/>
      </c>
      <c r="H48" s="46">
        <f>IFERROR($B$9*0.06,"")</f>
        <v/>
      </c>
      <c r="I48" s="46">
        <f>IFERROR($B$9*0.08,"")</f>
        <v/>
      </c>
    </row>
    <row r="49">
      <c r="A49" s="8" t="inlineStr">
        <is>
          <t>Carry leg (annualised x horizon)</t>
        </is>
      </c>
      <c r="B49" s="46">
        <f>IFERROR($B$10/100*$B$5,"")</f>
        <v/>
      </c>
      <c r="C49" s="46">
        <f>IFERROR($B$10/100*$B$5,"")</f>
        <v/>
      </c>
      <c r="D49" s="46">
        <f>IFERROR($B$10/100*$B$5,"")</f>
        <v/>
      </c>
      <c r="E49" s="46">
        <f>IFERROR($B$10/100*$B$5,"")</f>
        <v/>
      </c>
      <c r="F49" s="46">
        <f>IFERROR($B$10/100*$B$5,"")</f>
        <v/>
      </c>
      <c r="G49" s="46">
        <f>IFERROR($B$10/100*$B$5,"")</f>
        <v/>
      </c>
      <c r="H49" s="46">
        <f>IFERROR($B$10/100*$B$5,"")</f>
        <v/>
      </c>
      <c r="I49" s="46">
        <f>IFERROR($B$10/100*$B$5,"")</f>
        <v/>
      </c>
    </row>
    <row r="50">
      <c r="A50" s="28" t="inlineStr">
        <is>
          <t>Total</t>
        </is>
      </c>
      <c r="B50" s="47">
        <f>IFERROR(B48+B49,"")</f>
        <v/>
      </c>
      <c r="C50" s="47">
        <f>IFERROR(C48+C49,"")</f>
        <v/>
      </c>
      <c r="D50" s="47">
        <f>IFERROR(D48+D49,"")</f>
        <v/>
      </c>
      <c r="E50" s="47">
        <f>IFERROR(E48+E49,"")</f>
        <v/>
      </c>
      <c r="F50" s="47">
        <f>IFERROR(F48+F49,"")</f>
        <v/>
      </c>
      <c r="G50" s="47">
        <f>IFERROR(G48+G49,"")</f>
        <v/>
      </c>
      <c r="H50" s="47">
        <f>IFERROR(H48+H49,"")</f>
        <v/>
      </c>
      <c r="I50" s="47">
        <f>IFERROR(I48+I49,"")</f>
        <v/>
      </c>
    </row>
    <row r="52">
      <c r="A52" s="10" t="inlineStr">
        <is>
          <t>Carry here is the implied yield on the forward, so it is not separable from the spot leg in an NDF-structured trade — the two rows above are an attribution, not two instruments you can own independently.</t>
        </is>
      </c>
    </row>
  </sheetData>
  <conditionalFormatting sqref="B14:L14">
    <cfRule type="colorScale" priority="1">
      <colorScale>
        <cfvo type="num" val="-0.08"/>
        <cfvo type="num" val="0"/>
        <cfvo type="num" val="0.08"/>
        <color rgb="00F8696B"/>
        <color rgb="00FFFFFF"/>
        <color rgb="0063BE7B"/>
      </colorScale>
    </cfRule>
  </conditionalFormatting>
  <conditionalFormatting sqref="B18:J18">
    <cfRule type="colorScale" priority="2">
      <colorScale>
        <cfvo type="num" val="-0.08"/>
        <cfvo type="num" val="0"/>
        <cfvo type="num" val="0.08"/>
        <color rgb="00F8696B"/>
        <color rgb="00FFFFFF"/>
        <color rgb="0063BE7B"/>
      </colorScale>
    </cfRule>
  </conditionalFormatting>
  <conditionalFormatting sqref="B22:L30">
    <cfRule type="colorScale" priority="3">
      <colorScale>
        <cfvo type="num" val="-0.1"/>
        <cfvo type="num" val="0"/>
        <cfvo type="num" val="0.1"/>
        <color rgb="00F8696B"/>
        <color rgb="00FFFFFF"/>
        <color rgb="0063BE7B"/>
      </colorScale>
    </cfRule>
  </conditionalFormatting>
  <conditionalFormatting sqref="B35:L43">
    <cfRule type="colorScale" priority="4">
      <colorScale>
        <cfvo type="num" val="-0.06"/>
        <cfvo type="num" val="0"/>
        <cfvo type="num" val="0.06"/>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8"/>
  <sheetViews>
    <sheetView showGridLines="0" workbookViewId="0">
      <selection activeCell="A1" sqref="A1"/>
    </sheetView>
  </sheetViews>
  <sheetFormatPr baseColWidth="8" defaultRowHeight="15"/>
  <cols>
    <col width="34" customWidth="1" min="1" max="1"/>
    <col width="13" customWidth="1" min="2" max="2"/>
    <col width="30" customWidth="1" min="3" max="3"/>
    <col width="16" customWidth="1" min="4" max="4"/>
    <col width="7" customWidth="1" min="5" max="5"/>
    <col width="9" customWidth="1" min="6" max="6"/>
    <col width="60" customWidth="1" min="7" max="7"/>
  </cols>
  <sheetData>
    <row r="1">
      <c r="A1" s="1" t="inlineStr">
        <is>
          <t>TICKERS  —  single source of truth</t>
        </is>
      </c>
    </row>
    <row r="2">
      <c r="A2" s="2" t="inlineStr">
        <is>
          <t>Every pull in this workbook reads its ticker from column C of this sheet. Change it here and the whole workbook follows.</t>
        </is>
      </c>
    </row>
    <row r="5" ht="30" customHeight="1">
      <c r="A5" s="18" t="inlineStr">
        <is>
          <t>Series</t>
        </is>
      </c>
      <c r="B5" s="18" t="inlineStr">
        <is>
          <t>Group</t>
        </is>
      </c>
      <c r="C5" s="18" t="inlineStr">
        <is>
          <t>Bloomberg ticker</t>
        </is>
      </c>
      <c r="D5" s="18" t="inlineStr">
        <is>
          <t>Field</t>
        </is>
      </c>
      <c r="E5" s="18" t="inlineStr">
        <is>
          <t>Unit</t>
        </is>
      </c>
      <c r="F5" s="18" t="inlineStr">
        <is>
          <t>Confidence</t>
        </is>
      </c>
      <c r="G5" s="18" t="inlineStr">
        <is>
          <t>Note</t>
        </is>
      </c>
    </row>
    <row r="6">
      <c r="A6" s="8" t="inlineStr">
        <is>
          <t>UST 2Y</t>
        </is>
      </c>
      <c r="B6" s="19" t="inlineStr">
        <is>
          <t>US anchors</t>
        </is>
      </c>
      <c r="C6" s="15" t="inlineStr">
        <is>
          <t>USGG2YR Index</t>
        </is>
      </c>
      <c r="D6" s="60" t="inlineStr">
        <is>
          <t>PX_LAST</t>
        </is>
      </c>
      <c r="E6" s="19" t="inlineStr">
        <is>
          <t>%</t>
        </is>
      </c>
      <c r="F6" s="25" t="inlineStr">
        <is>
          <t>High</t>
        </is>
      </c>
      <c r="G6" s="49" t="inlineStr"/>
    </row>
    <row r="7">
      <c r="A7" s="8" t="inlineStr">
        <is>
          <t>UST 5Y</t>
        </is>
      </c>
      <c r="B7" s="19" t="inlineStr">
        <is>
          <t>US anchors</t>
        </is>
      </c>
      <c r="C7" s="15" t="inlineStr">
        <is>
          <t>USGG5YR Index</t>
        </is>
      </c>
      <c r="D7" s="60" t="inlineStr">
        <is>
          <t>PX_LAST</t>
        </is>
      </c>
      <c r="E7" s="19" t="inlineStr">
        <is>
          <t>%</t>
        </is>
      </c>
      <c r="F7" s="25" t="inlineStr">
        <is>
          <t>High</t>
        </is>
      </c>
      <c r="G7" s="49" t="inlineStr"/>
    </row>
    <row r="8">
      <c r="A8" s="8" t="inlineStr">
        <is>
          <t>UST 10Y</t>
        </is>
      </c>
      <c r="B8" s="19" t="inlineStr">
        <is>
          <t>US anchors</t>
        </is>
      </c>
      <c r="C8" s="15" t="inlineStr">
        <is>
          <t>USGG10YR Index</t>
        </is>
      </c>
      <c r="D8" s="60" t="inlineStr">
        <is>
          <t>PX_LAST</t>
        </is>
      </c>
      <c r="E8" s="19" t="inlineStr">
        <is>
          <t>%</t>
        </is>
      </c>
      <c r="F8" s="25" t="inlineStr">
        <is>
          <t>High</t>
        </is>
      </c>
      <c r="G8" s="49" t="inlineStr"/>
    </row>
    <row r="9">
      <c r="A9" s="8" t="inlineStr">
        <is>
          <t>UST 30Y</t>
        </is>
      </c>
      <c r="B9" s="19" t="inlineStr">
        <is>
          <t>US anchors</t>
        </is>
      </c>
      <c r="C9" s="15" t="inlineStr">
        <is>
          <t>USGG30YR Index</t>
        </is>
      </c>
      <c r="D9" s="60" t="inlineStr">
        <is>
          <t>PX_LAST</t>
        </is>
      </c>
      <c r="E9" s="19" t="inlineStr">
        <is>
          <t>%</t>
        </is>
      </c>
      <c r="F9" s="25" t="inlineStr">
        <is>
          <t>High</t>
        </is>
      </c>
      <c r="G9" s="49" t="inlineStr"/>
    </row>
    <row r="10">
      <c r="A10" s="8" t="inlineStr">
        <is>
          <t>TIPS real 10Y</t>
        </is>
      </c>
      <c r="B10" s="19" t="inlineStr">
        <is>
          <t>US anchors</t>
        </is>
      </c>
      <c r="C10" s="15" t="inlineStr">
        <is>
          <t>USGGT10Y Index</t>
        </is>
      </c>
      <c r="D10" s="60" t="inlineStr">
        <is>
          <t>PX_LAST</t>
        </is>
      </c>
      <c r="E10" s="19" t="inlineStr">
        <is>
          <t>%</t>
        </is>
      </c>
      <c r="F10" s="25" t="inlineStr">
        <is>
          <t>High</t>
        </is>
      </c>
      <c r="G10" s="49" t="inlineStr"/>
    </row>
    <row r="11">
      <c r="A11" s="8" t="inlineStr">
        <is>
          <t>Breakeven 10Y</t>
        </is>
      </c>
      <c r="B11" s="19" t="inlineStr">
        <is>
          <t>US anchors</t>
        </is>
      </c>
      <c r="C11" s="15" t="inlineStr">
        <is>
          <t>USGGBE10 Index</t>
        </is>
      </c>
      <c r="D11" s="60" t="inlineStr">
        <is>
          <t>PX_LAST</t>
        </is>
      </c>
      <c r="E11" s="19" t="inlineStr">
        <is>
          <t>%</t>
        </is>
      </c>
      <c r="F11" s="25" t="inlineStr">
        <is>
          <t>High</t>
        </is>
      </c>
      <c r="G11" s="49" t="inlineStr"/>
    </row>
    <row r="12">
      <c r="A12" s="8" t="inlineStr">
        <is>
          <t>ACM term premium 10Y</t>
        </is>
      </c>
      <c r="B12" s="19" t="inlineStr">
        <is>
          <t>US anchors</t>
        </is>
      </c>
      <c r="C12" s="15" t="inlineStr">
        <is>
          <t>ACMTP10 Index</t>
        </is>
      </c>
      <c r="D12" s="60" t="inlineStr">
        <is>
          <t>PX_LAST</t>
        </is>
      </c>
      <c r="E12" s="19" t="inlineStr">
        <is>
          <t>%</t>
        </is>
      </c>
      <c r="F12" s="61" t="inlineStr">
        <is>
          <t>Verify</t>
        </is>
      </c>
      <c r="G12" s="49" t="inlineStr">
        <is>
          <t>NY Fed ACM; publication lag</t>
        </is>
      </c>
    </row>
    <row r="13">
      <c r="A13" s="8" t="inlineStr">
        <is>
          <t>EFFR</t>
        </is>
      </c>
      <c r="B13" s="19" t="inlineStr">
        <is>
          <t>US anchors</t>
        </is>
      </c>
      <c r="C13" s="15" t="inlineStr">
        <is>
          <t>FEDL01 Index</t>
        </is>
      </c>
      <c r="D13" s="60" t="inlineStr">
        <is>
          <t>PX_LAST</t>
        </is>
      </c>
      <c r="E13" s="19" t="inlineStr">
        <is>
          <t>%</t>
        </is>
      </c>
      <c r="F13" s="25" t="inlineStr">
        <is>
          <t>High</t>
        </is>
      </c>
      <c r="G13" s="49" t="inlineStr"/>
    </row>
    <row r="14">
      <c r="A14" s="8" t="inlineStr">
        <is>
          <t>DXY</t>
        </is>
      </c>
      <c r="B14" s="19" t="inlineStr">
        <is>
          <t>US anchors</t>
        </is>
      </c>
      <c r="C14" s="15" t="inlineStr">
        <is>
          <t>DXY Curncy</t>
        </is>
      </c>
      <c r="D14" s="60" t="inlineStr">
        <is>
          <t>PX_LAST</t>
        </is>
      </c>
      <c r="E14" s="19" t="inlineStr">
        <is>
          <t>pt</t>
        </is>
      </c>
      <c r="F14" s="25" t="inlineStr">
        <is>
          <t>High</t>
        </is>
      </c>
      <c r="G14" s="49" t="inlineStr"/>
    </row>
    <row r="15">
      <c r="A15" s="8" t="inlineStr">
        <is>
          <t>MOVE index</t>
        </is>
      </c>
      <c r="B15" s="19" t="inlineStr">
        <is>
          <t>US anchors</t>
        </is>
      </c>
      <c r="C15" s="15" t="inlineStr">
        <is>
          <t>MOVE Index</t>
        </is>
      </c>
      <c r="D15" s="60" t="inlineStr">
        <is>
          <t>PX_LAST</t>
        </is>
      </c>
      <c r="E15" s="19" t="inlineStr">
        <is>
          <t>bp</t>
        </is>
      </c>
      <c r="F15" s="25" t="inlineStr">
        <is>
          <t>High</t>
        </is>
      </c>
      <c r="G15" s="49" t="inlineStr">
        <is>
          <t>rates vol</t>
        </is>
      </c>
    </row>
    <row r="16">
      <c r="A16" s="8" t="inlineStr">
        <is>
          <t>VIX</t>
        </is>
      </c>
      <c r="B16" s="19" t="inlineStr">
        <is>
          <t>US anchors</t>
        </is>
      </c>
      <c r="C16" s="15" t="inlineStr">
        <is>
          <t>VIX Index</t>
        </is>
      </c>
      <c r="D16" s="60" t="inlineStr">
        <is>
          <t>PX_LAST</t>
        </is>
      </c>
      <c r="E16" s="19" t="inlineStr">
        <is>
          <t>pt</t>
        </is>
      </c>
      <c r="F16" s="25" t="inlineStr">
        <is>
          <t>High</t>
        </is>
      </c>
      <c r="G16" s="49" t="inlineStr"/>
    </row>
    <row r="17">
      <c r="A17" s="8" t="inlineStr">
        <is>
          <t>S&amp;P 500</t>
        </is>
      </c>
      <c r="B17" s="19" t="inlineStr">
        <is>
          <t>US anchors</t>
        </is>
      </c>
      <c r="C17" s="15" t="inlineStr">
        <is>
          <t>SPX Index</t>
        </is>
      </c>
      <c r="D17" s="60" t="inlineStr">
        <is>
          <t>PX_LAST</t>
        </is>
      </c>
      <c r="E17" s="19" t="inlineStr">
        <is>
          <t>pt</t>
        </is>
      </c>
      <c r="F17" s="25" t="inlineStr">
        <is>
          <t>High</t>
        </is>
      </c>
      <c r="G17" s="49" t="inlineStr"/>
    </row>
    <row r="18">
      <c r="A18" s="8" t="inlineStr">
        <is>
          <t>Brent front</t>
        </is>
      </c>
      <c r="B18" s="19" t="inlineStr">
        <is>
          <t>US anchors</t>
        </is>
      </c>
      <c r="C18" s="15" t="inlineStr">
        <is>
          <t>CO1 Comdty</t>
        </is>
      </c>
      <c r="D18" s="60" t="inlineStr">
        <is>
          <t>PX_LAST</t>
        </is>
      </c>
      <c r="E18" s="19" t="inlineStr">
        <is>
          <t>px</t>
        </is>
      </c>
      <c r="F18" s="25" t="inlineStr">
        <is>
          <t>High</t>
        </is>
      </c>
      <c r="G18" s="49" t="inlineStr">
        <is>
          <t>generic 1st contract</t>
        </is>
      </c>
    </row>
    <row r="19">
      <c r="A19" s="8" t="inlineStr">
        <is>
          <t>US IG OAS</t>
        </is>
      </c>
      <c r="B19" s="19" t="inlineStr">
        <is>
          <t>US anchors</t>
        </is>
      </c>
      <c r="C19" s="15" t="inlineStr">
        <is>
          <t>LUACOAS Index</t>
        </is>
      </c>
      <c r="D19" s="60" t="inlineStr">
        <is>
          <t>PX_LAST</t>
        </is>
      </c>
      <c r="E19" s="19" t="inlineStr">
        <is>
          <t>bp</t>
        </is>
      </c>
      <c r="F19" s="25" t="inlineStr">
        <is>
          <t>High</t>
        </is>
      </c>
      <c r="G19" s="49" t="inlineStr">
        <is>
          <t>Bbg US Corporate</t>
        </is>
      </c>
    </row>
    <row r="20">
      <c r="A20" s="8" t="inlineStr">
        <is>
          <t>US HY OAS</t>
        </is>
      </c>
      <c r="B20" s="19" t="inlineStr">
        <is>
          <t>US anchors</t>
        </is>
      </c>
      <c r="C20" s="15" t="inlineStr">
        <is>
          <t>LF98OAS Index</t>
        </is>
      </c>
      <c r="D20" s="60" t="inlineStr">
        <is>
          <t>PX_LAST</t>
        </is>
      </c>
      <c r="E20" s="19" t="inlineStr">
        <is>
          <t>bp</t>
        </is>
      </c>
      <c r="F20" s="25" t="inlineStr">
        <is>
          <t>High</t>
        </is>
      </c>
      <c r="G20" s="49" t="inlineStr">
        <is>
          <t>Bbg US Corporate HY</t>
        </is>
      </c>
    </row>
    <row r="21">
      <c r="A21" s="8" t="inlineStr">
        <is>
          <t>EM USD Aggregate OAS</t>
        </is>
      </c>
      <c r="B21" s="19" t="inlineStr">
        <is>
          <t>EM USD credit</t>
        </is>
      </c>
      <c r="C21" s="15" t="inlineStr">
        <is>
          <t>EMUSOAS Index</t>
        </is>
      </c>
      <c r="D21" s="60" t="inlineStr">
        <is>
          <t>PX_LAST</t>
        </is>
      </c>
      <c r="E21" s="19" t="inlineStr">
        <is>
          <t>bp</t>
        </is>
      </c>
      <c r="F21" s="61" t="inlineStr">
        <is>
          <t>Verify</t>
        </is>
      </c>
      <c r="G21" s="49" t="inlineStr">
        <is>
          <t>Bbg EM USD Aggregate</t>
        </is>
      </c>
    </row>
    <row r="22">
      <c r="A22" s="8" t="inlineStr">
        <is>
          <t>EM USD Aggregate TR idx</t>
        </is>
      </c>
      <c r="B22" s="19" t="inlineStr">
        <is>
          <t>EM USD credit</t>
        </is>
      </c>
      <c r="C22" s="15" t="inlineStr">
        <is>
          <t>EMUSTRUU Index</t>
        </is>
      </c>
      <c r="D22" s="60" t="inlineStr">
        <is>
          <t>PX_LAST</t>
        </is>
      </c>
      <c r="E22" s="19" t="inlineStr">
        <is>
          <t>idx</t>
        </is>
      </c>
      <c r="F22" s="61" t="inlineStr">
        <is>
          <t>Verify</t>
        </is>
      </c>
      <c r="G22" s="49" t="inlineStr"/>
    </row>
    <row r="23">
      <c r="A23" s="8" t="inlineStr">
        <is>
          <t>EM USD Sovereign OAS</t>
        </is>
      </c>
      <c r="B23" s="19" t="inlineStr">
        <is>
          <t>EM USD credit</t>
        </is>
      </c>
      <c r="C23" s="15" t="inlineStr">
        <is>
          <t>BSSUOAS Index</t>
        </is>
      </c>
      <c r="D23" s="60" t="inlineStr">
        <is>
          <t>PX_LAST</t>
        </is>
      </c>
      <c r="E23" s="19" t="inlineStr">
        <is>
          <t>bp</t>
        </is>
      </c>
      <c r="F23" s="61" t="inlineStr">
        <is>
          <t>Verify</t>
        </is>
      </c>
      <c r="G23" s="49" t="inlineStr">
        <is>
          <t>PLACEHOLDER - confirm in SECF</t>
        </is>
      </c>
    </row>
    <row r="24">
      <c r="A24" s="8" t="inlineStr">
        <is>
          <t>EM USD Sovereign TR idx</t>
        </is>
      </c>
      <c r="B24" s="19" t="inlineStr">
        <is>
          <t>EM USD credit</t>
        </is>
      </c>
      <c r="C24" s="15" t="inlineStr">
        <is>
          <t>BSSUTRUU Index</t>
        </is>
      </c>
      <c r="D24" s="60" t="inlineStr">
        <is>
          <t>PX_LAST</t>
        </is>
      </c>
      <c r="E24" s="19" t="inlineStr">
        <is>
          <t>idx</t>
        </is>
      </c>
      <c r="F24" s="61" t="inlineStr">
        <is>
          <t>Verify</t>
        </is>
      </c>
      <c r="G24" s="49" t="inlineStr">
        <is>
          <t>PLACEHOLDER - confirm in SECF</t>
        </is>
      </c>
    </row>
    <row r="25">
      <c r="A25" s="8" t="inlineStr">
        <is>
          <t>EMBIGD total return idx</t>
        </is>
      </c>
      <c r="B25" s="19" t="inlineStr">
        <is>
          <t>EM USD credit</t>
        </is>
      </c>
      <c r="C25" s="15" t="inlineStr">
        <is>
          <t>JPEIDIVR Index</t>
        </is>
      </c>
      <c r="D25" s="60" t="inlineStr">
        <is>
          <t>PX_LAST</t>
        </is>
      </c>
      <c r="E25" s="19" t="inlineStr">
        <is>
          <t>idx</t>
        </is>
      </c>
      <c r="F25" s="61" t="inlineStr">
        <is>
          <t>Verify</t>
        </is>
      </c>
      <c r="G25" s="49" t="inlineStr">
        <is>
          <t>PLACEHOLDER - confirm; spread comes from embi_tracker.py</t>
        </is>
      </c>
    </row>
    <row r="26">
      <c r="A26" s="8" t="inlineStr">
        <is>
          <t>CEMBI Broad Div TR idx</t>
        </is>
      </c>
      <c r="B26" s="19" t="inlineStr">
        <is>
          <t>EM USD credit</t>
        </is>
      </c>
      <c r="C26" s="15" t="inlineStr">
        <is>
          <t>JBCDCOMP Index</t>
        </is>
      </c>
      <c r="D26" s="60" t="inlineStr">
        <is>
          <t>PX_LAST</t>
        </is>
      </c>
      <c r="E26" s="19" t="inlineStr">
        <is>
          <t>idx</t>
        </is>
      </c>
      <c r="F26" s="61" t="inlineStr">
        <is>
          <t>Verify</t>
        </is>
      </c>
      <c r="G26" s="49" t="inlineStr">
        <is>
          <t>PLACEHOLDER - confirm in SECF</t>
        </is>
      </c>
    </row>
    <row r="27">
      <c r="A27" s="8" t="inlineStr">
        <is>
          <t>CDX EM 5Y</t>
        </is>
      </c>
      <c r="B27" s="19" t="inlineStr">
        <is>
          <t>EM USD credit</t>
        </is>
      </c>
      <c r="C27" s="15" t="inlineStr">
        <is>
          <t>CDX EM CDSI GEN 5Y Corp</t>
        </is>
      </c>
      <c r="D27" s="60" t="inlineStr">
        <is>
          <t>PX_LAST</t>
        </is>
      </c>
      <c r="E27" s="19" t="inlineStr">
        <is>
          <t>bp</t>
        </is>
      </c>
      <c r="F27" s="61" t="inlineStr">
        <is>
          <t>Verify</t>
        </is>
      </c>
      <c r="G27" s="49" t="inlineStr">
        <is>
          <t>on-the-run generic</t>
        </is>
      </c>
    </row>
    <row r="28">
      <c r="A28" s="8" t="inlineStr">
        <is>
          <t>Bbg-JPM Asia Dollar Index</t>
        </is>
      </c>
      <c r="B28" s="19" t="inlineStr">
        <is>
          <t>FX composites</t>
        </is>
      </c>
      <c r="C28" s="15" t="inlineStr">
        <is>
          <t>ADXY Index</t>
        </is>
      </c>
      <c r="D28" s="60" t="inlineStr">
        <is>
          <t>PX_LAST</t>
        </is>
      </c>
      <c r="E28" s="19" t="inlineStr">
        <is>
          <t>idx</t>
        </is>
      </c>
      <c r="F28" s="25" t="inlineStr">
        <is>
          <t>High</t>
        </is>
      </c>
      <c r="G28" s="49" t="inlineStr">
        <is>
          <t>rise = Asia FX strength</t>
        </is>
      </c>
    </row>
    <row r="29">
      <c r="A29" s="8" t="inlineStr">
        <is>
          <t>JPM EM FX implied vol</t>
        </is>
      </c>
      <c r="B29" s="19" t="inlineStr">
        <is>
          <t>FX composites</t>
        </is>
      </c>
      <c r="C29" s="15" t="inlineStr">
        <is>
          <t>JPMVXYEM Index</t>
        </is>
      </c>
      <c r="D29" s="60" t="inlineStr">
        <is>
          <t>PX_LAST</t>
        </is>
      </c>
      <c r="E29" s="19" t="inlineStr">
        <is>
          <t>pt</t>
        </is>
      </c>
      <c r="F29" s="25" t="inlineStr">
        <is>
          <t>High</t>
        </is>
      </c>
      <c r="G29" s="49" t="inlineStr">
        <is>
          <t>3m implied</t>
        </is>
      </c>
    </row>
    <row r="30">
      <c r="A30" s="8" t="inlineStr">
        <is>
          <t>JPM G7 FX implied vol</t>
        </is>
      </c>
      <c r="B30" s="19" t="inlineStr">
        <is>
          <t>FX composites</t>
        </is>
      </c>
      <c r="C30" s="15" t="inlineStr">
        <is>
          <t>JPMVXYG7 Index</t>
        </is>
      </c>
      <c r="D30" s="60" t="inlineStr">
        <is>
          <t>PX_LAST</t>
        </is>
      </c>
      <c r="E30" s="19" t="inlineStr">
        <is>
          <t>pt</t>
        </is>
      </c>
      <c r="F30" s="25" t="inlineStr">
        <is>
          <t>High</t>
        </is>
      </c>
      <c r="G30" s="49" t="inlineStr">
        <is>
          <t>3m implied</t>
        </is>
      </c>
    </row>
    <row r="31">
      <c r="A31" s="8" t="inlineStr">
        <is>
          <t>Brazil BRL</t>
        </is>
      </c>
      <c r="B31" s="19" t="inlineStr">
        <is>
          <t>EM FX spot</t>
        </is>
      </c>
      <c r="C31" s="15" t="inlineStr">
        <is>
          <t>USDBRL Curncy</t>
        </is>
      </c>
      <c r="D31" s="60" t="inlineStr">
        <is>
          <t>PX_LAST</t>
        </is>
      </c>
      <c r="E31" s="19" t="inlineStr">
        <is>
          <t>fx</t>
        </is>
      </c>
      <c r="F31" s="25" t="inlineStr">
        <is>
          <t>High</t>
        </is>
      </c>
      <c r="G31" s="49" t="inlineStr">
        <is>
          <t>LatAm</t>
        </is>
      </c>
    </row>
    <row r="32">
      <c r="A32" s="8" t="inlineStr">
        <is>
          <t>Mexico MXN</t>
        </is>
      </c>
      <c r="B32" s="19" t="inlineStr">
        <is>
          <t>EM FX spot</t>
        </is>
      </c>
      <c r="C32" s="15" t="inlineStr">
        <is>
          <t>USDMXN Curncy</t>
        </is>
      </c>
      <c r="D32" s="60" t="inlineStr">
        <is>
          <t>PX_LAST</t>
        </is>
      </c>
      <c r="E32" s="19" t="inlineStr">
        <is>
          <t>fx</t>
        </is>
      </c>
      <c r="F32" s="25" t="inlineStr">
        <is>
          <t>High</t>
        </is>
      </c>
      <c r="G32" s="49" t="inlineStr">
        <is>
          <t>LatAm</t>
        </is>
      </c>
    </row>
    <row r="33">
      <c r="A33" s="8" t="inlineStr">
        <is>
          <t>Chile CLP</t>
        </is>
      </c>
      <c r="B33" s="19" t="inlineStr">
        <is>
          <t>EM FX spot</t>
        </is>
      </c>
      <c r="C33" s="15" t="inlineStr">
        <is>
          <t>USDCLP Curncy</t>
        </is>
      </c>
      <c r="D33" s="60" t="inlineStr">
        <is>
          <t>PX_LAST</t>
        </is>
      </c>
      <c r="E33" s="19" t="inlineStr">
        <is>
          <t>fx</t>
        </is>
      </c>
      <c r="F33" s="25" t="inlineStr">
        <is>
          <t>High</t>
        </is>
      </c>
      <c r="G33" s="49" t="inlineStr">
        <is>
          <t>LatAm</t>
        </is>
      </c>
    </row>
    <row r="34">
      <c r="A34" s="8" t="inlineStr">
        <is>
          <t>Colombia COP</t>
        </is>
      </c>
      <c r="B34" s="19" t="inlineStr">
        <is>
          <t>EM FX spot</t>
        </is>
      </c>
      <c r="C34" s="15" t="inlineStr">
        <is>
          <t>USDCOP Curncy</t>
        </is>
      </c>
      <c r="D34" s="60" t="inlineStr">
        <is>
          <t>PX_LAST</t>
        </is>
      </c>
      <c r="E34" s="19" t="inlineStr">
        <is>
          <t>fx</t>
        </is>
      </c>
      <c r="F34" s="25" t="inlineStr">
        <is>
          <t>High</t>
        </is>
      </c>
      <c r="G34" s="49" t="inlineStr">
        <is>
          <t>LatAm</t>
        </is>
      </c>
    </row>
    <row r="35">
      <c r="A35" s="8" t="inlineStr">
        <is>
          <t>Peru PEN</t>
        </is>
      </c>
      <c r="B35" s="19" t="inlineStr">
        <is>
          <t>EM FX spot</t>
        </is>
      </c>
      <c r="C35" s="15" t="inlineStr">
        <is>
          <t>USDPEN Curncy</t>
        </is>
      </c>
      <c r="D35" s="60" t="inlineStr">
        <is>
          <t>PX_LAST</t>
        </is>
      </c>
      <c r="E35" s="19" t="inlineStr">
        <is>
          <t>fx</t>
        </is>
      </c>
      <c r="F35" s="25" t="inlineStr">
        <is>
          <t>High</t>
        </is>
      </c>
      <c r="G35" s="49" t="inlineStr">
        <is>
          <t>LatAm</t>
        </is>
      </c>
    </row>
    <row r="36">
      <c r="A36" s="8" t="inlineStr">
        <is>
          <t>Argentina ARS</t>
        </is>
      </c>
      <c r="B36" s="19" t="inlineStr">
        <is>
          <t>EM FX spot</t>
        </is>
      </c>
      <c r="C36" s="15" t="inlineStr">
        <is>
          <t>USDARS Curncy</t>
        </is>
      </c>
      <c r="D36" s="60" t="inlineStr">
        <is>
          <t>PX_LAST</t>
        </is>
      </c>
      <c r="E36" s="19" t="inlineStr">
        <is>
          <t>fx</t>
        </is>
      </c>
      <c r="F36" s="25" t="inlineStr">
        <is>
          <t>High</t>
        </is>
      </c>
      <c r="G36" s="49" t="inlineStr">
        <is>
          <t>LatAm</t>
        </is>
      </c>
    </row>
    <row r="37">
      <c r="A37" s="8" t="inlineStr">
        <is>
          <t>Poland PLN</t>
        </is>
      </c>
      <c r="B37" s="19" t="inlineStr">
        <is>
          <t>EM FX spot</t>
        </is>
      </c>
      <c r="C37" s="15" t="inlineStr">
        <is>
          <t>USDPLN Curncy</t>
        </is>
      </c>
      <c r="D37" s="60" t="inlineStr">
        <is>
          <t>PX_LAST</t>
        </is>
      </c>
      <c r="E37" s="19" t="inlineStr">
        <is>
          <t>fx</t>
        </is>
      </c>
      <c r="F37" s="25" t="inlineStr">
        <is>
          <t>High</t>
        </is>
      </c>
      <c r="G37" s="49" t="inlineStr">
        <is>
          <t>EM Europe</t>
        </is>
      </c>
    </row>
    <row r="38">
      <c r="A38" s="8" t="inlineStr">
        <is>
          <t>Hungary HUF</t>
        </is>
      </c>
      <c r="B38" s="19" t="inlineStr">
        <is>
          <t>EM FX spot</t>
        </is>
      </c>
      <c r="C38" s="15" t="inlineStr">
        <is>
          <t>USDHUF Curncy</t>
        </is>
      </c>
      <c r="D38" s="60" t="inlineStr">
        <is>
          <t>PX_LAST</t>
        </is>
      </c>
      <c r="E38" s="19" t="inlineStr">
        <is>
          <t>fx</t>
        </is>
      </c>
      <c r="F38" s="25" t="inlineStr">
        <is>
          <t>High</t>
        </is>
      </c>
      <c r="G38" s="49" t="inlineStr">
        <is>
          <t>EM Europe</t>
        </is>
      </c>
    </row>
    <row r="39">
      <c r="A39" s="8" t="inlineStr">
        <is>
          <t>Czechia CZK</t>
        </is>
      </c>
      <c r="B39" s="19" t="inlineStr">
        <is>
          <t>EM FX spot</t>
        </is>
      </c>
      <c r="C39" s="15" t="inlineStr">
        <is>
          <t>USDCZK Curncy</t>
        </is>
      </c>
      <c r="D39" s="60" t="inlineStr">
        <is>
          <t>PX_LAST</t>
        </is>
      </c>
      <c r="E39" s="19" t="inlineStr">
        <is>
          <t>fx</t>
        </is>
      </c>
      <c r="F39" s="25" t="inlineStr">
        <is>
          <t>High</t>
        </is>
      </c>
      <c r="G39" s="49" t="inlineStr">
        <is>
          <t>EM Europe</t>
        </is>
      </c>
    </row>
    <row r="40">
      <c r="A40" s="8" t="inlineStr">
        <is>
          <t>Romania RON</t>
        </is>
      </c>
      <c r="B40" s="19" t="inlineStr">
        <is>
          <t>EM FX spot</t>
        </is>
      </c>
      <c r="C40" s="15" t="inlineStr">
        <is>
          <t>USDRON Curncy</t>
        </is>
      </c>
      <c r="D40" s="60" t="inlineStr">
        <is>
          <t>PX_LAST</t>
        </is>
      </c>
      <c r="E40" s="19" t="inlineStr">
        <is>
          <t>fx</t>
        </is>
      </c>
      <c r="F40" s="25" t="inlineStr">
        <is>
          <t>High</t>
        </is>
      </c>
      <c r="G40" s="49" t="inlineStr">
        <is>
          <t>EM Europe</t>
        </is>
      </c>
    </row>
    <row r="41">
      <c r="A41" s="8" t="inlineStr">
        <is>
          <t>Turkiye TRY</t>
        </is>
      </c>
      <c r="B41" s="19" t="inlineStr">
        <is>
          <t>EM FX spot</t>
        </is>
      </c>
      <c r="C41" s="15" t="inlineStr">
        <is>
          <t>USDTRY Curncy</t>
        </is>
      </c>
      <c r="D41" s="60" t="inlineStr">
        <is>
          <t>PX_LAST</t>
        </is>
      </c>
      <c r="E41" s="19" t="inlineStr">
        <is>
          <t>fx</t>
        </is>
      </c>
      <c r="F41" s="25" t="inlineStr">
        <is>
          <t>High</t>
        </is>
      </c>
      <c r="G41" s="49" t="inlineStr">
        <is>
          <t>EM Europe</t>
        </is>
      </c>
    </row>
    <row r="42">
      <c r="A42" s="8" t="inlineStr">
        <is>
          <t>Israel ILS</t>
        </is>
      </c>
      <c r="B42" s="19" t="inlineStr">
        <is>
          <t>EM FX spot</t>
        </is>
      </c>
      <c r="C42" s="15" t="inlineStr">
        <is>
          <t>USDILS Curncy</t>
        </is>
      </c>
      <c r="D42" s="60" t="inlineStr">
        <is>
          <t>PX_LAST</t>
        </is>
      </c>
      <c r="E42" s="19" t="inlineStr">
        <is>
          <t>fx</t>
        </is>
      </c>
      <c r="F42" s="25" t="inlineStr">
        <is>
          <t>High</t>
        </is>
      </c>
      <c r="G42" s="49" t="inlineStr">
        <is>
          <t>Middle East &amp; Africa</t>
        </is>
      </c>
    </row>
    <row r="43">
      <c r="A43" s="8" t="inlineStr">
        <is>
          <t>South Africa ZAR</t>
        </is>
      </c>
      <c r="B43" s="19" t="inlineStr">
        <is>
          <t>EM FX spot</t>
        </is>
      </c>
      <c r="C43" s="15" t="inlineStr">
        <is>
          <t>USDZAR Curncy</t>
        </is>
      </c>
      <c r="D43" s="60" t="inlineStr">
        <is>
          <t>PX_LAST</t>
        </is>
      </c>
      <c r="E43" s="19" t="inlineStr">
        <is>
          <t>fx</t>
        </is>
      </c>
      <c r="F43" s="25" t="inlineStr">
        <is>
          <t>High</t>
        </is>
      </c>
      <c r="G43" s="49" t="inlineStr">
        <is>
          <t>Middle East &amp; Africa</t>
        </is>
      </c>
    </row>
    <row r="44">
      <c r="A44" s="8" t="inlineStr">
        <is>
          <t>Egypt EGP</t>
        </is>
      </c>
      <c r="B44" s="19" t="inlineStr">
        <is>
          <t>EM FX spot</t>
        </is>
      </c>
      <c r="C44" s="15" t="inlineStr">
        <is>
          <t>USDEGP Curncy</t>
        </is>
      </c>
      <c r="D44" s="60" t="inlineStr">
        <is>
          <t>PX_LAST</t>
        </is>
      </c>
      <c r="E44" s="19" t="inlineStr">
        <is>
          <t>fx</t>
        </is>
      </c>
      <c r="F44" s="25" t="inlineStr">
        <is>
          <t>High</t>
        </is>
      </c>
      <c r="G44" s="49" t="inlineStr">
        <is>
          <t>Middle East &amp; Africa</t>
        </is>
      </c>
    </row>
    <row r="45">
      <c r="A45" s="8" t="inlineStr">
        <is>
          <t>Saudi SAR (pegged)</t>
        </is>
      </c>
      <c r="B45" s="19" t="inlineStr">
        <is>
          <t>EM FX spot</t>
        </is>
      </c>
      <c r="C45" s="15" t="inlineStr">
        <is>
          <t>USDSAR Curncy</t>
        </is>
      </c>
      <c r="D45" s="60" t="inlineStr">
        <is>
          <t>PX_LAST</t>
        </is>
      </c>
      <c r="E45" s="19" t="inlineStr">
        <is>
          <t>fx</t>
        </is>
      </c>
      <c r="F45" s="25" t="inlineStr">
        <is>
          <t>High</t>
        </is>
      </c>
      <c r="G45" s="49" t="inlineStr">
        <is>
          <t>Middle East &amp; Africa | pegged: return is ~0 by construction</t>
        </is>
      </c>
    </row>
    <row r="46">
      <c r="A46" s="8" t="inlineStr">
        <is>
          <t>UAE AED (pegged)</t>
        </is>
      </c>
      <c r="B46" s="19" t="inlineStr">
        <is>
          <t>EM FX spot</t>
        </is>
      </c>
      <c r="C46" s="15" t="inlineStr">
        <is>
          <t>USDAED Curncy</t>
        </is>
      </c>
      <c r="D46" s="60" t="inlineStr">
        <is>
          <t>PX_LAST</t>
        </is>
      </c>
      <c r="E46" s="19" t="inlineStr">
        <is>
          <t>fx</t>
        </is>
      </c>
      <c r="F46" s="25" t="inlineStr">
        <is>
          <t>High</t>
        </is>
      </c>
      <c r="G46" s="49" t="inlineStr">
        <is>
          <t>Middle East &amp; Africa | pegged: return is ~0 by construction</t>
        </is>
      </c>
    </row>
    <row r="47">
      <c r="A47" s="8" t="inlineStr">
        <is>
          <t>Qatar QAR (pegged)</t>
        </is>
      </c>
      <c r="B47" s="19" t="inlineStr">
        <is>
          <t>EM FX spot</t>
        </is>
      </c>
      <c r="C47" s="15" t="inlineStr">
        <is>
          <t>USDQAR Curncy</t>
        </is>
      </c>
      <c r="D47" s="60" t="inlineStr">
        <is>
          <t>PX_LAST</t>
        </is>
      </c>
      <c r="E47" s="19" t="inlineStr">
        <is>
          <t>fx</t>
        </is>
      </c>
      <c r="F47" s="25" t="inlineStr">
        <is>
          <t>High</t>
        </is>
      </c>
      <c r="G47" s="49" t="inlineStr">
        <is>
          <t>Middle East &amp; Africa | pegged: return is ~0 by construction</t>
        </is>
      </c>
    </row>
    <row r="48">
      <c r="A48" s="8" t="inlineStr">
        <is>
          <t>China CNH</t>
        </is>
      </c>
      <c r="B48" s="19" t="inlineStr">
        <is>
          <t>EM FX spot</t>
        </is>
      </c>
      <c r="C48" s="15" t="inlineStr">
        <is>
          <t>USDCNH Curncy</t>
        </is>
      </c>
      <c r="D48" s="60" t="inlineStr">
        <is>
          <t>PX_LAST</t>
        </is>
      </c>
      <c r="E48" s="19" t="inlineStr">
        <is>
          <t>fx</t>
        </is>
      </c>
      <c r="F48" s="25" t="inlineStr">
        <is>
          <t>High</t>
        </is>
      </c>
      <c r="G48" s="49" t="inlineStr">
        <is>
          <t>Asia</t>
        </is>
      </c>
    </row>
    <row r="49">
      <c r="A49" s="8" t="inlineStr">
        <is>
          <t>India INR</t>
        </is>
      </c>
      <c r="B49" s="19" t="inlineStr">
        <is>
          <t>EM FX spot</t>
        </is>
      </c>
      <c r="C49" s="15" t="inlineStr">
        <is>
          <t>USDINR Curncy</t>
        </is>
      </c>
      <c r="D49" s="60" t="inlineStr">
        <is>
          <t>PX_LAST</t>
        </is>
      </c>
      <c r="E49" s="19" t="inlineStr">
        <is>
          <t>fx</t>
        </is>
      </c>
      <c r="F49" s="25" t="inlineStr">
        <is>
          <t>High</t>
        </is>
      </c>
      <c r="G49" s="49" t="inlineStr">
        <is>
          <t>Asia</t>
        </is>
      </c>
    </row>
    <row r="50">
      <c r="A50" s="8" t="inlineStr">
        <is>
          <t>Indonesia IDR</t>
        </is>
      </c>
      <c r="B50" s="19" t="inlineStr">
        <is>
          <t>EM FX spot</t>
        </is>
      </c>
      <c r="C50" s="15" t="inlineStr">
        <is>
          <t>USDIDR Curncy</t>
        </is>
      </c>
      <c r="D50" s="60" t="inlineStr">
        <is>
          <t>PX_LAST</t>
        </is>
      </c>
      <c r="E50" s="19" t="inlineStr">
        <is>
          <t>fx</t>
        </is>
      </c>
      <c r="F50" s="25" t="inlineStr">
        <is>
          <t>High</t>
        </is>
      </c>
      <c r="G50" s="49" t="inlineStr">
        <is>
          <t>Asia</t>
        </is>
      </c>
    </row>
    <row r="51">
      <c r="A51" s="8" t="inlineStr">
        <is>
          <t>Korea KRW</t>
        </is>
      </c>
      <c r="B51" s="19" t="inlineStr">
        <is>
          <t>EM FX spot</t>
        </is>
      </c>
      <c r="C51" s="15" t="inlineStr">
        <is>
          <t>USDKRW Curncy</t>
        </is>
      </c>
      <c r="D51" s="60" t="inlineStr">
        <is>
          <t>PX_LAST</t>
        </is>
      </c>
      <c r="E51" s="19" t="inlineStr">
        <is>
          <t>fx</t>
        </is>
      </c>
      <c r="F51" s="25" t="inlineStr">
        <is>
          <t>High</t>
        </is>
      </c>
      <c r="G51" s="49" t="inlineStr">
        <is>
          <t>Asia</t>
        </is>
      </c>
    </row>
    <row r="52">
      <c r="A52" s="8" t="inlineStr">
        <is>
          <t>Taiwan TWD</t>
        </is>
      </c>
      <c r="B52" s="19" t="inlineStr">
        <is>
          <t>EM FX spot</t>
        </is>
      </c>
      <c r="C52" s="15" t="inlineStr">
        <is>
          <t>USDTWD Curncy</t>
        </is>
      </c>
      <c r="D52" s="60" t="inlineStr">
        <is>
          <t>PX_LAST</t>
        </is>
      </c>
      <c r="E52" s="19" t="inlineStr">
        <is>
          <t>fx</t>
        </is>
      </c>
      <c r="F52" s="25" t="inlineStr">
        <is>
          <t>High</t>
        </is>
      </c>
      <c r="G52" s="49" t="inlineStr">
        <is>
          <t>Asia</t>
        </is>
      </c>
    </row>
    <row r="53">
      <c r="A53" s="8" t="inlineStr">
        <is>
          <t>Thailand THB</t>
        </is>
      </c>
      <c r="B53" s="19" t="inlineStr">
        <is>
          <t>EM FX spot</t>
        </is>
      </c>
      <c r="C53" s="15" t="inlineStr">
        <is>
          <t>USDTHB Curncy</t>
        </is>
      </c>
      <c r="D53" s="60" t="inlineStr">
        <is>
          <t>PX_LAST</t>
        </is>
      </c>
      <c r="E53" s="19" t="inlineStr">
        <is>
          <t>fx</t>
        </is>
      </c>
      <c r="F53" s="25" t="inlineStr">
        <is>
          <t>High</t>
        </is>
      </c>
      <c r="G53" s="49" t="inlineStr">
        <is>
          <t>Asia</t>
        </is>
      </c>
    </row>
    <row r="54">
      <c r="A54" s="8" t="inlineStr">
        <is>
          <t>Philippines PHP</t>
        </is>
      </c>
      <c r="B54" s="19" t="inlineStr">
        <is>
          <t>EM FX spot</t>
        </is>
      </c>
      <c r="C54" s="15" t="inlineStr">
        <is>
          <t>USDPHP Curncy</t>
        </is>
      </c>
      <c r="D54" s="60" t="inlineStr">
        <is>
          <t>PX_LAST</t>
        </is>
      </c>
      <c r="E54" s="19" t="inlineStr">
        <is>
          <t>fx</t>
        </is>
      </c>
      <c r="F54" s="25" t="inlineStr">
        <is>
          <t>High</t>
        </is>
      </c>
      <c r="G54" s="49" t="inlineStr">
        <is>
          <t>Asia</t>
        </is>
      </c>
    </row>
    <row r="55">
      <c r="A55" s="8" t="inlineStr">
        <is>
          <t>Malaysia MYR</t>
        </is>
      </c>
      <c r="B55" s="19" t="inlineStr">
        <is>
          <t>EM FX spot</t>
        </is>
      </c>
      <c r="C55" s="15" t="inlineStr">
        <is>
          <t>USDMYR Curncy</t>
        </is>
      </c>
      <c r="D55" s="60" t="inlineStr">
        <is>
          <t>PX_LAST</t>
        </is>
      </c>
      <c r="E55" s="19" t="inlineStr">
        <is>
          <t>fx</t>
        </is>
      </c>
      <c r="F55" s="25" t="inlineStr">
        <is>
          <t>High</t>
        </is>
      </c>
      <c r="G55" s="49" t="inlineStr">
        <is>
          <t>Asia</t>
        </is>
      </c>
    </row>
    <row r="56">
      <c r="A56" s="8" t="inlineStr">
        <is>
          <t>MSCI EM (USD)</t>
        </is>
      </c>
      <c r="B56" s="19" t="inlineStr">
        <is>
          <t>Equities</t>
        </is>
      </c>
      <c r="C56" s="15" t="inlineStr">
        <is>
          <t>MXEF Index</t>
        </is>
      </c>
      <c r="D56" s="60" t="inlineStr">
        <is>
          <t>PX_LAST</t>
        </is>
      </c>
      <c r="E56" s="19" t="inlineStr">
        <is>
          <t>idx</t>
        </is>
      </c>
      <c r="F56" s="25" t="inlineStr">
        <is>
          <t>High</t>
        </is>
      </c>
      <c r="G56" s="49" t="inlineStr">
        <is>
          <t>Benchmark | quoted USD</t>
        </is>
      </c>
    </row>
    <row r="57">
      <c r="A57" s="8" t="inlineStr">
        <is>
          <t>MSCI World (USD)</t>
        </is>
      </c>
      <c r="B57" s="19" t="inlineStr">
        <is>
          <t>Equities</t>
        </is>
      </c>
      <c r="C57" s="15" t="inlineStr">
        <is>
          <t>MXWO Index</t>
        </is>
      </c>
      <c r="D57" s="60" t="inlineStr">
        <is>
          <t>PX_LAST</t>
        </is>
      </c>
      <c r="E57" s="19" t="inlineStr">
        <is>
          <t>idx</t>
        </is>
      </c>
      <c r="F57" s="25" t="inlineStr">
        <is>
          <t>High</t>
        </is>
      </c>
      <c r="G57" s="49" t="inlineStr">
        <is>
          <t>Benchmark | quoted USD</t>
        </is>
      </c>
    </row>
    <row r="58">
      <c r="A58" s="8" t="inlineStr">
        <is>
          <t>Brazil Ibovespa</t>
        </is>
      </c>
      <c r="B58" s="19" t="inlineStr">
        <is>
          <t>Equities</t>
        </is>
      </c>
      <c r="C58" s="15" t="inlineStr">
        <is>
          <t>IBOV Index</t>
        </is>
      </c>
      <c r="D58" s="60" t="inlineStr">
        <is>
          <t>PX_LAST</t>
        </is>
      </c>
      <c r="E58" s="19" t="inlineStr">
        <is>
          <t>idx</t>
        </is>
      </c>
      <c r="F58" s="25" t="inlineStr">
        <is>
          <t>High</t>
        </is>
      </c>
      <c r="G58" s="49" t="inlineStr">
        <is>
          <t>LatAm | local ccy, FX leg from BRL</t>
        </is>
      </c>
    </row>
    <row r="59">
      <c r="A59" s="8" t="inlineStr">
        <is>
          <t>Mexico S&amp;P/BMV IPC</t>
        </is>
      </c>
      <c r="B59" s="19" t="inlineStr">
        <is>
          <t>Equities</t>
        </is>
      </c>
      <c r="C59" s="15" t="inlineStr">
        <is>
          <t>MEXBOL Index</t>
        </is>
      </c>
      <c r="D59" s="60" t="inlineStr">
        <is>
          <t>PX_LAST</t>
        </is>
      </c>
      <c r="E59" s="19" t="inlineStr">
        <is>
          <t>idx</t>
        </is>
      </c>
      <c r="F59" s="25" t="inlineStr">
        <is>
          <t>High</t>
        </is>
      </c>
      <c r="G59" s="49" t="inlineStr">
        <is>
          <t>LatAm | local ccy, FX leg from MXN</t>
        </is>
      </c>
    </row>
    <row r="60">
      <c r="A60" s="8" t="inlineStr">
        <is>
          <t>Chile IPSA</t>
        </is>
      </c>
      <c r="B60" s="19" t="inlineStr">
        <is>
          <t>Equities</t>
        </is>
      </c>
      <c r="C60" s="15" t="inlineStr">
        <is>
          <t>IPSA Index</t>
        </is>
      </c>
      <c r="D60" s="60" t="inlineStr">
        <is>
          <t>PX_LAST</t>
        </is>
      </c>
      <c r="E60" s="19" t="inlineStr">
        <is>
          <t>idx</t>
        </is>
      </c>
      <c r="F60" s="25" t="inlineStr">
        <is>
          <t>High</t>
        </is>
      </c>
      <c r="G60" s="49" t="inlineStr">
        <is>
          <t>LatAm | local ccy, FX leg from CLP</t>
        </is>
      </c>
    </row>
    <row r="61">
      <c r="A61" s="8" t="inlineStr">
        <is>
          <t>Colombia COLCAP</t>
        </is>
      </c>
      <c r="B61" s="19" t="inlineStr">
        <is>
          <t>Equities</t>
        </is>
      </c>
      <c r="C61" s="15" t="inlineStr">
        <is>
          <t>COLCAP Index</t>
        </is>
      </c>
      <c r="D61" s="60" t="inlineStr">
        <is>
          <t>PX_LAST</t>
        </is>
      </c>
      <c r="E61" s="19" t="inlineStr">
        <is>
          <t>idx</t>
        </is>
      </c>
      <c r="F61" s="25" t="inlineStr">
        <is>
          <t>High</t>
        </is>
      </c>
      <c r="G61" s="49" t="inlineStr">
        <is>
          <t>LatAm | local ccy, FX leg from COP</t>
        </is>
      </c>
    </row>
    <row r="62">
      <c r="A62" s="8" t="inlineStr">
        <is>
          <t>Peru S&amp;P/BVL</t>
        </is>
      </c>
      <c r="B62" s="19" t="inlineStr">
        <is>
          <t>Equities</t>
        </is>
      </c>
      <c r="C62" s="15" t="inlineStr">
        <is>
          <t>SPBLPGPT Index</t>
        </is>
      </c>
      <c r="D62" s="60" t="inlineStr">
        <is>
          <t>PX_LAST</t>
        </is>
      </c>
      <c r="E62" s="19" t="inlineStr">
        <is>
          <t>idx</t>
        </is>
      </c>
      <c r="F62" s="61" t="inlineStr">
        <is>
          <t>Verify</t>
        </is>
      </c>
      <c r="G62" s="49" t="inlineStr">
        <is>
          <t>LatAm | local ccy, FX leg from PEN</t>
        </is>
      </c>
    </row>
    <row r="63">
      <c r="A63" s="8" t="inlineStr">
        <is>
          <t>Argentina Merval</t>
        </is>
      </c>
      <c r="B63" s="19" t="inlineStr">
        <is>
          <t>Equities</t>
        </is>
      </c>
      <c r="C63" s="15" t="inlineStr">
        <is>
          <t>MERVAL Index</t>
        </is>
      </c>
      <c r="D63" s="60" t="inlineStr">
        <is>
          <t>PX_LAST</t>
        </is>
      </c>
      <c r="E63" s="19" t="inlineStr">
        <is>
          <t>idx</t>
        </is>
      </c>
      <c r="F63" s="25" t="inlineStr">
        <is>
          <t>High</t>
        </is>
      </c>
      <c r="G63" s="49" t="inlineStr">
        <is>
          <t>LatAm | local ccy, FX leg from ARS</t>
        </is>
      </c>
    </row>
    <row r="64">
      <c r="A64" s="8" t="inlineStr">
        <is>
          <t>Poland WIG</t>
        </is>
      </c>
      <c r="B64" s="19" t="inlineStr">
        <is>
          <t>Equities</t>
        </is>
      </c>
      <c r="C64" s="15" t="inlineStr">
        <is>
          <t>WIG Index</t>
        </is>
      </c>
      <c r="D64" s="60" t="inlineStr">
        <is>
          <t>PX_LAST</t>
        </is>
      </c>
      <c r="E64" s="19" t="inlineStr">
        <is>
          <t>idx</t>
        </is>
      </c>
      <c r="F64" s="25" t="inlineStr">
        <is>
          <t>High</t>
        </is>
      </c>
      <c r="G64" s="49" t="inlineStr">
        <is>
          <t>EM Europe | local ccy, FX leg from PLN</t>
        </is>
      </c>
    </row>
    <row r="65">
      <c r="A65" s="8" t="inlineStr">
        <is>
          <t>Hungary BUX</t>
        </is>
      </c>
      <c r="B65" s="19" t="inlineStr">
        <is>
          <t>Equities</t>
        </is>
      </c>
      <c r="C65" s="15" t="inlineStr">
        <is>
          <t>BUX Index</t>
        </is>
      </c>
      <c r="D65" s="60" t="inlineStr">
        <is>
          <t>PX_LAST</t>
        </is>
      </c>
      <c r="E65" s="19" t="inlineStr">
        <is>
          <t>idx</t>
        </is>
      </c>
      <c r="F65" s="25" t="inlineStr">
        <is>
          <t>High</t>
        </is>
      </c>
      <c r="G65" s="49" t="inlineStr">
        <is>
          <t>EM Europe | local ccy, FX leg from HUF</t>
        </is>
      </c>
    </row>
    <row r="66">
      <c r="A66" s="8" t="inlineStr">
        <is>
          <t>Czechia PX</t>
        </is>
      </c>
      <c r="B66" s="19" t="inlineStr">
        <is>
          <t>Equities</t>
        </is>
      </c>
      <c r="C66" s="15" t="inlineStr">
        <is>
          <t>PX Index</t>
        </is>
      </c>
      <c r="D66" s="60" t="inlineStr">
        <is>
          <t>PX_LAST</t>
        </is>
      </c>
      <c r="E66" s="19" t="inlineStr">
        <is>
          <t>idx</t>
        </is>
      </c>
      <c r="F66" s="25" t="inlineStr">
        <is>
          <t>High</t>
        </is>
      </c>
      <c r="G66" s="49" t="inlineStr">
        <is>
          <t>EM Europe | local ccy, FX leg from CZK</t>
        </is>
      </c>
    </row>
    <row r="67">
      <c r="A67" s="8" t="inlineStr">
        <is>
          <t>Romania BET</t>
        </is>
      </c>
      <c r="B67" s="19" t="inlineStr">
        <is>
          <t>Equities</t>
        </is>
      </c>
      <c r="C67" s="15" t="inlineStr">
        <is>
          <t>BET Index</t>
        </is>
      </c>
      <c r="D67" s="60" t="inlineStr">
        <is>
          <t>PX_LAST</t>
        </is>
      </c>
      <c r="E67" s="19" t="inlineStr">
        <is>
          <t>idx</t>
        </is>
      </c>
      <c r="F67" s="61" t="inlineStr">
        <is>
          <t>Verify</t>
        </is>
      </c>
      <c r="G67" s="49" t="inlineStr">
        <is>
          <t>EM Europe | local ccy, FX leg from RON</t>
        </is>
      </c>
    </row>
    <row r="68">
      <c r="A68" s="8" t="inlineStr">
        <is>
          <t>Turkiye BIST 100</t>
        </is>
      </c>
      <c r="B68" s="19" t="inlineStr">
        <is>
          <t>Equities</t>
        </is>
      </c>
      <c r="C68" s="15" t="inlineStr">
        <is>
          <t>XU100 Index</t>
        </is>
      </c>
      <c r="D68" s="60" t="inlineStr">
        <is>
          <t>PX_LAST</t>
        </is>
      </c>
      <c r="E68" s="19" t="inlineStr">
        <is>
          <t>idx</t>
        </is>
      </c>
      <c r="F68" s="25" t="inlineStr">
        <is>
          <t>High</t>
        </is>
      </c>
      <c r="G68" s="49" t="inlineStr">
        <is>
          <t>EM Europe | local ccy, FX leg from TRY</t>
        </is>
      </c>
    </row>
    <row r="69">
      <c r="A69" s="8" t="inlineStr">
        <is>
          <t>Israel TA-35</t>
        </is>
      </c>
      <c r="B69" s="19" t="inlineStr">
        <is>
          <t>Equities</t>
        </is>
      </c>
      <c r="C69" s="15" t="inlineStr">
        <is>
          <t>TA-35 Index</t>
        </is>
      </c>
      <c r="D69" s="60" t="inlineStr">
        <is>
          <t>PX_LAST</t>
        </is>
      </c>
      <c r="E69" s="19" t="inlineStr">
        <is>
          <t>idx</t>
        </is>
      </c>
      <c r="F69" s="61" t="inlineStr">
        <is>
          <t>Verify</t>
        </is>
      </c>
      <c r="G69" s="49" t="inlineStr">
        <is>
          <t>Middle East &amp; Africa | local ccy, FX leg from ILS</t>
        </is>
      </c>
    </row>
    <row r="70">
      <c r="A70" s="8" t="inlineStr">
        <is>
          <t>South Africa All Share</t>
        </is>
      </c>
      <c r="B70" s="19" t="inlineStr">
        <is>
          <t>Equities</t>
        </is>
      </c>
      <c r="C70" s="15" t="inlineStr">
        <is>
          <t>JALSH Index</t>
        </is>
      </c>
      <c r="D70" s="60" t="inlineStr">
        <is>
          <t>PX_LAST</t>
        </is>
      </c>
      <c r="E70" s="19" t="inlineStr">
        <is>
          <t>idx</t>
        </is>
      </c>
      <c r="F70" s="25" t="inlineStr">
        <is>
          <t>High</t>
        </is>
      </c>
      <c r="G70" s="49" t="inlineStr">
        <is>
          <t>Middle East &amp; Africa | local ccy, FX leg from ZAR</t>
        </is>
      </c>
    </row>
    <row r="71">
      <c r="A71" s="8" t="inlineStr">
        <is>
          <t>Saudi Tadawul All Share</t>
        </is>
      </c>
      <c r="B71" s="19" t="inlineStr">
        <is>
          <t>Equities</t>
        </is>
      </c>
      <c r="C71" s="15" t="inlineStr">
        <is>
          <t>SASEIDX Index</t>
        </is>
      </c>
      <c r="D71" s="60" t="inlineStr">
        <is>
          <t>PX_LAST</t>
        </is>
      </c>
      <c r="E71" s="19" t="inlineStr">
        <is>
          <t>idx</t>
        </is>
      </c>
      <c r="F71" s="25" t="inlineStr">
        <is>
          <t>High</t>
        </is>
      </c>
      <c r="G71" s="49" t="inlineStr">
        <is>
          <t>Middle East &amp; Africa | local ccy, FX leg from SAR</t>
        </is>
      </c>
    </row>
    <row r="72">
      <c r="A72" s="8" t="inlineStr">
        <is>
          <t>Abu Dhabi ADX General</t>
        </is>
      </c>
      <c r="B72" s="19" t="inlineStr">
        <is>
          <t>Equities</t>
        </is>
      </c>
      <c r="C72" s="15" t="inlineStr">
        <is>
          <t>ADSMI Index</t>
        </is>
      </c>
      <c r="D72" s="60" t="inlineStr">
        <is>
          <t>PX_LAST</t>
        </is>
      </c>
      <c r="E72" s="19" t="inlineStr">
        <is>
          <t>idx</t>
        </is>
      </c>
      <c r="F72" s="61" t="inlineStr">
        <is>
          <t>Verify</t>
        </is>
      </c>
      <c r="G72" s="49" t="inlineStr">
        <is>
          <t>Middle East &amp; Africa | local ccy, FX leg from AED</t>
        </is>
      </c>
    </row>
    <row r="73">
      <c r="A73" s="8" t="inlineStr">
        <is>
          <t>Qatar QE Index</t>
        </is>
      </c>
      <c r="B73" s="19" t="inlineStr">
        <is>
          <t>Equities</t>
        </is>
      </c>
      <c r="C73" s="15" t="inlineStr">
        <is>
          <t>DSM Index</t>
        </is>
      </c>
      <c r="D73" s="60" t="inlineStr">
        <is>
          <t>PX_LAST</t>
        </is>
      </c>
      <c r="E73" s="19" t="inlineStr">
        <is>
          <t>idx</t>
        </is>
      </c>
      <c r="F73" s="61" t="inlineStr">
        <is>
          <t>Verify</t>
        </is>
      </c>
      <c r="G73" s="49" t="inlineStr">
        <is>
          <t>Middle East &amp; Africa | local ccy, FX leg from QAR</t>
        </is>
      </c>
    </row>
    <row r="74">
      <c r="A74" s="8" t="inlineStr">
        <is>
          <t>Egypt EGX 30</t>
        </is>
      </c>
      <c r="B74" s="19" t="inlineStr">
        <is>
          <t>Equities</t>
        </is>
      </c>
      <c r="C74" s="15" t="inlineStr">
        <is>
          <t>EGX30 Index</t>
        </is>
      </c>
      <c r="D74" s="60" t="inlineStr">
        <is>
          <t>PX_LAST</t>
        </is>
      </c>
      <c r="E74" s="19" t="inlineStr">
        <is>
          <t>idx</t>
        </is>
      </c>
      <c r="F74" s="61" t="inlineStr">
        <is>
          <t>Verify</t>
        </is>
      </c>
      <c r="G74" s="49" t="inlineStr">
        <is>
          <t>Middle East &amp; Africa | local ccy, FX leg from EGP</t>
        </is>
      </c>
    </row>
    <row r="75">
      <c r="A75" s="8" t="inlineStr">
        <is>
          <t>China Shanghai Comp</t>
        </is>
      </c>
      <c r="B75" s="19" t="inlineStr">
        <is>
          <t>Equities</t>
        </is>
      </c>
      <c r="C75" s="15" t="inlineStr">
        <is>
          <t>SHCOMP Index</t>
        </is>
      </c>
      <c r="D75" s="60" t="inlineStr">
        <is>
          <t>PX_LAST</t>
        </is>
      </c>
      <c r="E75" s="19" t="inlineStr">
        <is>
          <t>idx</t>
        </is>
      </c>
      <c r="F75" s="25" t="inlineStr">
        <is>
          <t>High</t>
        </is>
      </c>
      <c r="G75" s="49" t="inlineStr">
        <is>
          <t>Asia | local ccy, FX leg from CNH</t>
        </is>
      </c>
    </row>
    <row r="76">
      <c r="A76" s="8" t="inlineStr">
        <is>
          <t>Hong Kong Hang Seng</t>
        </is>
      </c>
      <c r="B76" s="19" t="inlineStr">
        <is>
          <t>Equities</t>
        </is>
      </c>
      <c r="C76" s="15" t="inlineStr">
        <is>
          <t>HSI Index</t>
        </is>
      </c>
      <c r="D76" s="60" t="inlineStr">
        <is>
          <t>PX_LAST</t>
        </is>
      </c>
      <c r="E76" s="19" t="inlineStr">
        <is>
          <t>idx</t>
        </is>
      </c>
      <c r="F76" s="25" t="inlineStr">
        <is>
          <t>High</t>
        </is>
      </c>
      <c r="G76" s="49" t="inlineStr">
        <is>
          <t>Asia | local ccy, FX leg from CNH</t>
        </is>
      </c>
    </row>
    <row r="77">
      <c r="A77" s="8" t="inlineStr">
        <is>
          <t>India Nifty 50</t>
        </is>
      </c>
      <c r="B77" s="19" t="inlineStr">
        <is>
          <t>Equities</t>
        </is>
      </c>
      <c r="C77" s="15" t="inlineStr">
        <is>
          <t>NIFTY Index</t>
        </is>
      </c>
      <c r="D77" s="60" t="inlineStr">
        <is>
          <t>PX_LAST</t>
        </is>
      </c>
      <c r="E77" s="19" t="inlineStr">
        <is>
          <t>idx</t>
        </is>
      </c>
      <c r="F77" s="25" t="inlineStr">
        <is>
          <t>High</t>
        </is>
      </c>
      <c r="G77" s="49" t="inlineStr">
        <is>
          <t>Asia | local ccy, FX leg from INR</t>
        </is>
      </c>
    </row>
    <row r="78">
      <c r="A78" s="8" t="inlineStr">
        <is>
          <t>Indonesia JCI</t>
        </is>
      </c>
      <c r="B78" s="19" t="inlineStr">
        <is>
          <t>Equities</t>
        </is>
      </c>
      <c r="C78" s="15" t="inlineStr">
        <is>
          <t>JCI Index</t>
        </is>
      </c>
      <c r="D78" s="60" t="inlineStr">
        <is>
          <t>PX_LAST</t>
        </is>
      </c>
      <c r="E78" s="19" t="inlineStr">
        <is>
          <t>idx</t>
        </is>
      </c>
      <c r="F78" s="25" t="inlineStr">
        <is>
          <t>High</t>
        </is>
      </c>
      <c r="G78" s="49" t="inlineStr">
        <is>
          <t>Asia | local ccy, FX leg from IDR</t>
        </is>
      </c>
    </row>
    <row r="79">
      <c r="A79" s="8" t="inlineStr">
        <is>
          <t>Korea KOSPI</t>
        </is>
      </c>
      <c r="B79" s="19" t="inlineStr">
        <is>
          <t>Equities</t>
        </is>
      </c>
      <c r="C79" s="15" t="inlineStr">
        <is>
          <t>KOSPI Index</t>
        </is>
      </c>
      <c r="D79" s="60" t="inlineStr">
        <is>
          <t>PX_LAST</t>
        </is>
      </c>
      <c r="E79" s="19" t="inlineStr">
        <is>
          <t>idx</t>
        </is>
      </c>
      <c r="F79" s="25" t="inlineStr">
        <is>
          <t>High</t>
        </is>
      </c>
      <c r="G79" s="49" t="inlineStr">
        <is>
          <t>Asia | local ccy, FX leg from KRW</t>
        </is>
      </c>
    </row>
    <row r="80">
      <c r="A80" s="8" t="inlineStr">
        <is>
          <t>Taiwan TAIEX</t>
        </is>
      </c>
      <c r="B80" s="19" t="inlineStr">
        <is>
          <t>Equities</t>
        </is>
      </c>
      <c r="C80" s="15" t="inlineStr">
        <is>
          <t>TWSE Index</t>
        </is>
      </c>
      <c r="D80" s="60" t="inlineStr">
        <is>
          <t>PX_LAST</t>
        </is>
      </c>
      <c r="E80" s="19" t="inlineStr">
        <is>
          <t>idx</t>
        </is>
      </c>
      <c r="F80" s="25" t="inlineStr">
        <is>
          <t>High</t>
        </is>
      </c>
      <c r="G80" s="49" t="inlineStr">
        <is>
          <t>Asia | local ccy, FX leg from TWD</t>
        </is>
      </c>
    </row>
    <row r="81">
      <c r="A81" s="8" t="inlineStr">
        <is>
          <t>Thailand SET</t>
        </is>
      </c>
      <c r="B81" s="19" t="inlineStr">
        <is>
          <t>Equities</t>
        </is>
      </c>
      <c r="C81" s="15" t="inlineStr">
        <is>
          <t>SET Index</t>
        </is>
      </c>
      <c r="D81" s="60" t="inlineStr">
        <is>
          <t>PX_LAST</t>
        </is>
      </c>
      <c r="E81" s="19" t="inlineStr">
        <is>
          <t>idx</t>
        </is>
      </c>
      <c r="F81" s="25" t="inlineStr">
        <is>
          <t>High</t>
        </is>
      </c>
      <c r="G81" s="49" t="inlineStr">
        <is>
          <t>Asia | local ccy, FX leg from THB</t>
        </is>
      </c>
    </row>
    <row r="82">
      <c r="A82" s="8" t="inlineStr">
        <is>
          <t>Philippines PSEi</t>
        </is>
      </c>
      <c r="B82" s="19" t="inlineStr">
        <is>
          <t>Equities</t>
        </is>
      </c>
      <c r="C82" s="15" t="inlineStr">
        <is>
          <t>PCOMP Index</t>
        </is>
      </c>
      <c r="D82" s="60" t="inlineStr">
        <is>
          <t>PX_LAST</t>
        </is>
      </c>
      <c r="E82" s="19" t="inlineStr">
        <is>
          <t>idx</t>
        </is>
      </c>
      <c r="F82" s="25" t="inlineStr">
        <is>
          <t>High</t>
        </is>
      </c>
      <c r="G82" s="49" t="inlineStr">
        <is>
          <t>Asia | local ccy, FX leg from PHP</t>
        </is>
      </c>
    </row>
    <row r="83">
      <c r="A83" s="8" t="inlineStr">
        <is>
          <t>Malaysia KLCI</t>
        </is>
      </c>
      <c r="B83" s="19" t="inlineStr">
        <is>
          <t>Equities</t>
        </is>
      </c>
      <c r="C83" s="15" t="inlineStr">
        <is>
          <t>FBMKLCI Index</t>
        </is>
      </c>
      <c r="D83" s="60" t="inlineStr">
        <is>
          <t>PX_LAST</t>
        </is>
      </c>
      <c r="E83" s="19" t="inlineStr">
        <is>
          <t>idx</t>
        </is>
      </c>
      <c r="F83" s="25" t="inlineStr">
        <is>
          <t>High</t>
        </is>
      </c>
      <c r="G83" s="49" t="inlineStr">
        <is>
          <t>Asia | local ccy, FX leg from MYR</t>
        </is>
      </c>
    </row>
    <row r="84">
      <c r="A84" s="8" t="inlineStr">
        <is>
          <t>Brazil 10Y</t>
        </is>
      </c>
      <c r="B84" s="19" t="inlineStr">
        <is>
          <t>Local 10Y</t>
        </is>
      </c>
      <c r="C84" s="15" t="inlineStr">
        <is>
          <t>GTBRL10Y Govt</t>
        </is>
      </c>
      <c r="D84" s="60" t="inlineStr">
        <is>
          <t>PX_LAST</t>
        </is>
      </c>
      <c r="E84" s="19" t="inlineStr">
        <is>
          <t>%</t>
        </is>
      </c>
      <c r="F84" s="25" t="inlineStr">
        <is>
          <t>High</t>
        </is>
      </c>
      <c r="G84" s="49" t="inlineStr">
        <is>
          <t>LatAm | generic local govt curve</t>
        </is>
      </c>
    </row>
    <row r="85">
      <c r="A85" s="8" t="inlineStr">
        <is>
          <t>Mexico 10Y</t>
        </is>
      </c>
      <c r="B85" s="19" t="inlineStr">
        <is>
          <t>Local 10Y</t>
        </is>
      </c>
      <c r="C85" s="15" t="inlineStr">
        <is>
          <t>GTMXN10Y Govt</t>
        </is>
      </c>
      <c r="D85" s="60" t="inlineStr">
        <is>
          <t>PX_LAST</t>
        </is>
      </c>
      <c r="E85" s="19" t="inlineStr">
        <is>
          <t>%</t>
        </is>
      </c>
      <c r="F85" s="25" t="inlineStr">
        <is>
          <t>High</t>
        </is>
      </c>
      <c r="G85" s="49" t="inlineStr">
        <is>
          <t>LatAm | generic local govt curve</t>
        </is>
      </c>
    </row>
    <row r="86">
      <c r="A86" s="8" t="inlineStr">
        <is>
          <t>Chile 10Y</t>
        </is>
      </c>
      <c r="B86" s="19" t="inlineStr">
        <is>
          <t>Local 10Y</t>
        </is>
      </c>
      <c r="C86" s="15" t="inlineStr">
        <is>
          <t>GTCLP10Y Govt</t>
        </is>
      </c>
      <c r="D86" s="60" t="inlineStr">
        <is>
          <t>PX_LAST</t>
        </is>
      </c>
      <c r="E86" s="19" t="inlineStr">
        <is>
          <t>%</t>
        </is>
      </c>
      <c r="F86" s="25" t="inlineStr">
        <is>
          <t>High</t>
        </is>
      </c>
      <c r="G86" s="49" t="inlineStr">
        <is>
          <t>LatAm | generic local govt curve</t>
        </is>
      </c>
    </row>
    <row r="87">
      <c r="A87" s="8" t="inlineStr">
        <is>
          <t>Colombia 10Y</t>
        </is>
      </c>
      <c r="B87" s="19" t="inlineStr">
        <is>
          <t>Local 10Y</t>
        </is>
      </c>
      <c r="C87" s="15" t="inlineStr">
        <is>
          <t>GTCOP10Y Govt</t>
        </is>
      </c>
      <c r="D87" s="60" t="inlineStr">
        <is>
          <t>PX_LAST</t>
        </is>
      </c>
      <c r="E87" s="19" t="inlineStr">
        <is>
          <t>%</t>
        </is>
      </c>
      <c r="F87" s="25" t="inlineStr">
        <is>
          <t>High</t>
        </is>
      </c>
      <c r="G87" s="49" t="inlineStr">
        <is>
          <t>LatAm | generic local govt curve</t>
        </is>
      </c>
    </row>
    <row r="88">
      <c r="A88" s="8" t="inlineStr">
        <is>
          <t>Peru 10Y</t>
        </is>
      </c>
      <c r="B88" s="19" t="inlineStr">
        <is>
          <t>Local 10Y</t>
        </is>
      </c>
      <c r="C88" s="15" t="inlineStr">
        <is>
          <t>GTPEN10Y Govt</t>
        </is>
      </c>
      <c r="D88" s="60" t="inlineStr">
        <is>
          <t>PX_LAST</t>
        </is>
      </c>
      <c r="E88" s="19" t="inlineStr">
        <is>
          <t>%</t>
        </is>
      </c>
      <c r="F88" s="25" t="inlineStr">
        <is>
          <t>High</t>
        </is>
      </c>
      <c r="G88" s="49" t="inlineStr">
        <is>
          <t>LatAm | generic local govt curve</t>
        </is>
      </c>
    </row>
    <row r="89">
      <c r="A89" s="8" t="inlineStr">
        <is>
          <t>Poland 10Y</t>
        </is>
      </c>
      <c r="B89" s="19" t="inlineStr">
        <is>
          <t>Local 10Y</t>
        </is>
      </c>
      <c r="C89" s="15" t="inlineStr">
        <is>
          <t>GTPLN10Y Govt</t>
        </is>
      </c>
      <c r="D89" s="60" t="inlineStr">
        <is>
          <t>PX_LAST</t>
        </is>
      </c>
      <c r="E89" s="19" t="inlineStr">
        <is>
          <t>%</t>
        </is>
      </c>
      <c r="F89" s="25" t="inlineStr">
        <is>
          <t>High</t>
        </is>
      </c>
      <c r="G89" s="49" t="inlineStr">
        <is>
          <t>EM Europe | generic local govt curve</t>
        </is>
      </c>
    </row>
    <row r="90">
      <c r="A90" s="8" t="inlineStr">
        <is>
          <t>Hungary 10Y</t>
        </is>
      </c>
      <c r="B90" s="19" t="inlineStr">
        <is>
          <t>Local 10Y</t>
        </is>
      </c>
      <c r="C90" s="15" t="inlineStr">
        <is>
          <t>GTHUF10Y Govt</t>
        </is>
      </c>
      <c r="D90" s="60" t="inlineStr">
        <is>
          <t>PX_LAST</t>
        </is>
      </c>
      <c r="E90" s="19" t="inlineStr">
        <is>
          <t>%</t>
        </is>
      </c>
      <c r="F90" s="25" t="inlineStr">
        <is>
          <t>High</t>
        </is>
      </c>
      <c r="G90" s="49" t="inlineStr">
        <is>
          <t>EM Europe | generic local govt curve</t>
        </is>
      </c>
    </row>
    <row r="91">
      <c r="A91" s="8" t="inlineStr">
        <is>
          <t>Czechia 10Y</t>
        </is>
      </c>
      <c r="B91" s="19" t="inlineStr">
        <is>
          <t>Local 10Y</t>
        </is>
      </c>
      <c r="C91" s="15" t="inlineStr">
        <is>
          <t>GTCZK10Y Govt</t>
        </is>
      </c>
      <c r="D91" s="60" t="inlineStr">
        <is>
          <t>PX_LAST</t>
        </is>
      </c>
      <c r="E91" s="19" t="inlineStr">
        <is>
          <t>%</t>
        </is>
      </c>
      <c r="F91" s="25" t="inlineStr">
        <is>
          <t>High</t>
        </is>
      </c>
      <c r="G91" s="49" t="inlineStr">
        <is>
          <t>EM Europe | generic local govt curve</t>
        </is>
      </c>
    </row>
    <row r="92">
      <c r="A92" s="8" t="inlineStr">
        <is>
          <t>Romania 10Y</t>
        </is>
      </c>
      <c r="B92" s="19" t="inlineStr">
        <is>
          <t>Local 10Y</t>
        </is>
      </c>
      <c r="C92" s="15" t="inlineStr">
        <is>
          <t>GTRON10Y Govt</t>
        </is>
      </c>
      <c r="D92" s="60" t="inlineStr">
        <is>
          <t>PX_LAST</t>
        </is>
      </c>
      <c r="E92" s="19" t="inlineStr">
        <is>
          <t>%</t>
        </is>
      </c>
      <c r="F92" s="25" t="inlineStr">
        <is>
          <t>High</t>
        </is>
      </c>
      <c r="G92" s="49" t="inlineStr">
        <is>
          <t>EM Europe | generic local govt curve</t>
        </is>
      </c>
    </row>
    <row r="93">
      <c r="A93" s="8" t="inlineStr">
        <is>
          <t>Turkiye 10Y</t>
        </is>
      </c>
      <c r="B93" s="19" t="inlineStr">
        <is>
          <t>Local 10Y</t>
        </is>
      </c>
      <c r="C93" s="15" t="inlineStr">
        <is>
          <t>GTTRY10Y Govt</t>
        </is>
      </c>
      <c r="D93" s="60" t="inlineStr">
        <is>
          <t>PX_LAST</t>
        </is>
      </c>
      <c r="E93" s="19" t="inlineStr">
        <is>
          <t>%</t>
        </is>
      </c>
      <c r="F93" s="25" t="inlineStr">
        <is>
          <t>High</t>
        </is>
      </c>
      <c r="G93" s="49" t="inlineStr">
        <is>
          <t>EM Europe | generic local govt curve</t>
        </is>
      </c>
    </row>
    <row r="94">
      <c r="A94" s="8" t="inlineStr">
        <is>
          <t>Israel 10Y</t>
        </is>
      </c>
      <c r="B94" s="19" t="inlineStr">
        <is>
          <t>Local 10Y</t>
        </is>
      </c>
      <c r="C94" s="15" t="inlineStr">
        <is>
          <t>GTILS10Y Govt</t>
        </is>
      </c>
      <c r="D94" s="60" t="inlineStr">
        <is>
          <t>PX_LAST</t>
        </is>
      </c>
      <c r="E94" s="19" t="inlineStr">
        <is>
          <t>%</t>
        </is>
      </c>
      <c r="F94" s="25" t="inlineStr">
        <is>
          <t>High</t>
        </is>
      </c>
      <c r="G94" s="49" t="inlineStr">
        <is>
          <t>Middle East &amp; Africa | generic local govt curve</t>
        </is>
      </c>
    </row>
    <row r="95">
      <c r="A95" s="8" t="inlineStr">
        <is>
          <t>South Africa 10Y</t>
        </is>
      </c>
      <c r="B95" s="19" t="inlineStr">
        <is>
          <t>Local 10Y</t>
        </is>
      </c>
      <c r="C95" s="15" t="inlineStr">
        <is>
          <t>GTZAR10Y Govt</t>
        </is>
      </c>
      <c r="D95" s="60" t="inlineStr">
        <is>
          <t>PX_LAST</t>
        </is>
      </c>
      <c r="E95" s="19" t="inlineStr">
        <is>
          <t>%</t>
        </is>
      </c>
      <c r="F95" s="25" t="inlineStr">
        <is>
          <t>High</t>
        </is>
      </c>
      <c r="G95" s="49" t="inlineStr">
        <is>
          <t>Middle East &amp; Africa | generic local govt curve</t>
        </is>
      </c>
    </row>
    <row r="96">
      <c r="A96" s="8" t="inlineStr">
        <is>
          <t>China 10Y</t>
        </is>
      </c>
      <c r="B96" s="19" t="inlineStr">
        <is>
          <t>Local 10Y</t>
        </is>
      </c>
      <c r="C96" s="15" t="inlineStr">
        <is>
          <t>GTCNY10Y Govt</t>
        </is>
      </c>
      <c r="D96" s="60" t="inlineStr">
        <is>
          <t>PX_LAST</t>
        </is>
      </c>
      <c r="E96" s="19" t="inlineStr">
        <is>
          <t>%</t>
        </is>
      </c>
      <c r="F96" s="25" t="inlineStr">
        <is>
          <t>High</t>
        </is>
      </c>
      <c r="G96" s="49" t="inlineStr">
        <is>
          <t>Asia | generic local govt curve</t>
        </is>
      </c>
    </row>
    <row r="97">
      <c r="A97" s="8" t="inlineStr">
        <is>
          <t>India 10Y</t>
        </is>
      </c>
      <c r="B97" s="19" t="inlineStr">
        <is>
          <t>Local 10Y</t>
        </is>
      </c>
      <c r="C97" s="15" t="inlineStr">
        <is>
          <t>GTINR10Y Govt</t>
        </is>
      </c>
      <c r="D97" s="60" t="inlineStr">
        <is>
          <t>PX_LAST</t>
        </is>
      </c>
      <c r="E97" s="19" t="inlineStr">
        <is>
          <t>%</t>
        </is>
      </c>
      <c r="F97" s="25" t="inlineStr">
        <is>
          <t>High</t>
        </is>
      </c>
      <c r="G97" s="49" t="inlineStr">
        <is>
          <t>Asia | generic local govt curve</t>
        </is>
      </c>
    </row>
    <row r="98">
      <c r="A98" s="8" t="inlineStr">
        <is>
          <t>Indonesia 10Y</t>
        </is>
      </c>
      <c r="B98" s="19" t="inlineStr">
        <is>
          <t>Local 10Y</t>
        </is>
      </c>
      <c r="C98" s="15" t="inlineStr">
        <is>
          <t>GTIDR10Y Govt</t>
        </is>
      </c>
      <c r="D98" s="60" t="inlineStr">
        <is>
          <t>PX_LAST</t>
        </is>
      </c>
      <c r="E98" s="19" t="inlineStr">
        <is>
          <t>%</t>
        </is>
      </c>
      <c r="F98" s="25" t="inlineStr">
        <is>
          <t>High</t>
        </is>
      </c>
      <c r="G98" s="49" t="inlineStr">
        <is>
          <t>Asia | generic local govt curve</t>
        </is>
      </c>
    </row>
    <row r="99">
      <c r="A99" s="8" t="inlineStr">
        <is>
          <t>Korea 10Y</t>
        </is>
      </c>
      <c r="B99" s="19" t="inlineStr">
        <is>
          <t>Local 10Y</t>
        </is>
      </c>
      <c r="C99" s="15" t="inlineStr">
        <is>
          <t>GTKRW10Y Govt</t>
        </is>
      </c>
      <c r="D99" s="60" t="inlineStr">
        <is>
          <t>PX_LAST</t>
        </is>
      </c>
      <c r="E99" s="19" t="inlineStr">
        <is>
          <t>%</t>
        </is>
      </c>
      <c r="F99" s="25" t="inlineStr">
        <is>
          <t>High</t>
        </is>
      </c>
      <c r="G99" s="49" t="inlineStr">
        <is>
          <t>Asia | generic local govt curve</t>
        </is>
      </c>
    </row>
    <row r="100">
      <c r="A100" s="8" t="inlineStr">
        <is>
          <t>Thailand 10Y</t>
        </is>
      </c>
      <c r="B100" s="19" t="inlineStr">
        <is>
          <t>Local 10Y</t>
        </is>
      </c>
      <c r="C100" s="15" t="inlineStr">
        <is>
          <t>GTTHB10Y Govt</t>
        </is>
      </c>
      <c r="D100" s="60" t="inlineStr">
        <is>
          <t>PX_LAST</t>
        </is>
      </c>
      <c r="E100" s="19" t="inlineStr">
        <is>
          <t>%</t>
        </is>
      </c>
      <c r="F100" s="25" t="inlineStr">
        <is>
          <t>High</t>
        </is>
      </c>
      <c r="G100" s="49" t="inlineStr">
        <is>
          <t>Asia | generic local govt curve</t>
        </is>
      </c>
    </row>
    <row r="101">
      <c r="A101" s="8" t="inlineStr">
        <is>
          <t>Philippines 10Y</t>
        </is>
      </c>
      <c r="B101" s="19" t="inlineStr">
        <is>
          <t>Local 10Y</t>
        </is>
      </c>
      <c r="C101" s="15" t="inlineStr">
        <is>
          <t>GTPHP10Y Govt</t>
        </is>
      </c>
      <c r="D101" s="60" t="inlineStr">
        <is>
          <t>PX_LAST</t>
        </is>
      </c>
      <c r="E101" s="19" t="inlineStr">
        <is>
          <t>%</t>
        </is>
      </c>
      <c r="F101" s="25" t="inlineStr">
        <is>
          <t>High</t>
        </is>
      </c>
      <c r="G101" s="49" t="inlineStr">
        <is>
          <t>Asia | generic local govt curve</t>
        </is>
      </c>
    </row>
    <row r="102">
      <c r="A102" s="8" t="inlineStr">
        <is>
          <t>Malaysia 10Y</t>
        </is>
      </c>
      <c r="B102" s="19" t="inlineStr">
        <is>
          <t>Local 10Y</t>
        </is>
      </c>
      <c r="C102" s="15" t="inlineStr">
        <is>
          <t>GTMYR10Y Govt</t>
        </is>
      </c>
      <c r="D102" s="60" t="inlineStr">
        <is>
          <t>PX_LAST</t>
        </is>
      </c>
      <c r="E102" s="19" t="inlineStr">
        <is>
          <t>%</t>
        </is>
      </c>
      <c r="F102" s="25" t="inlineStr">
        <is>
          <t>High</t>
        </is>
      </c>
      <c r="G102" s="49" t="inlineStr">
        <is>
          <t>Asia | generic local govt curve</t>
        </is>
      </c>
    </row>
    <row r="103">
      <c r="A103" s="8" t="inlineStr">
        <is>
          <t>Brazil 2Y</t>
        </is>
      </c>
      <c r="B103" s="19" t="inlineStr">
        <is>
          <t>Local 2Y</t>
        </is>
      </c>
      <c r="C103" s="15" t="inlineStr">
        <is>
          <t>GTBRL2Y Govt</t>
        </is>
      </c>
      <c r="D103" s="60" t="inlineStr">
        <is>
          <t>PX_LAST</t>
        </is>
      </c>
      <c r="E103" s="19" t="inlineStr">
        <is>
          <t>%</t>
        </is>
      </c>
      <c r="F103" s="25" t="inlineStr">
        <is>
          <t>High</t>
        </is>
      </c>
      <c r="G103" s="49" t="inlineStr">
        <is>
          <t>LatAm | generic local govt curve</t>
        </is>
      </c>
    </row>
    <row r="104">
      <c r="A104" s="8" t="inlineStr">
        <is>
          <t>Mexico 2Y</t>
        </is>
      </c>
      <c r="B104" s="19" t="inlineStr">
        <is>
          <t>Local 2Y</t>
        </is>
      </c>
      <c r="C104" s="15" t="inlineStr">
        <is>
          <t>GTMXN2Y Govt</t>
        </is>
      </c>
      <c r="D104" s="60" t="inlineStr">
        <is>
          <t>PX_LAST</t>
        </is>
      </c>
      <c r="E104" s="19" t="inlineStr">
        <is>
          <t>%</t>
        </is>
      </c>
      <c r="F104" s="25" t="inlineStr">
        <is>
          <t>High</t>
        </is>
      </c>
      <c r="G104" s="49" t="inlineStr">
        <is>
          <t>LatAm | generic local govt curve</t>
        </is>
      </c>
    </row>
    <row r="105">
      <c r="A105" s="8" t="inlineStr">
        <is>
          <t>Colombia 2Y</t>
        </is>
      </c>
      <c r="B105" s="19" t="inlineStr">
        <is>
          <t>Local 2Y</t>
        </is>
      </c>
      <c r="C105" s="15" t="inlineStr">
        <is>
          <t>GTCOP2Y Govt</t>
        </is>
      </c>
      <c r="D105" s="60" t="inlineStr">
        <is>
          <t>PX_LAST</t>
        </is>
      </c>
      <c r="E105" s="19" t="inlineStr">
        <is>
          <t>%</t>
        </is>
      </c>
      <c r="F105" s="25" t="inlineStr">
        <is>
          <t>High</t>
        </is>
      </c>
      <c r="G105" s="49" t="inlineStr">
        <is>
          <t>LatAm | generic local govt curve</t>
        </is>
      </c>
    </row>
    <row r="106">
      <c r="A106" s="8" t="inlineStr">
        <is>
          <t>Poland 2Y</t>
        </is>
      </c>
      <c r="B106" s="19" t="inlineStr">
        <is>
          <t>Local 2Y</t>
        </is>
      </c>
      <c r="C106" s="15" t="inlineStr">
        <is>
          <t>GTPLN2Y Govt</t>
        </is>
      </c>
      <c r="D106" s="60" t="inlineStr">
        <is>
          <t>PX_LAST</t>
        </is>
      </c>
      <c r="E106" s="19" t="inlineStr">
        <is>
          <t>%</t>
        </is>
      </c>
      <c r="F106" s="25" t="inlineStr">
        <is>
          <t>High</t>
        </is>
      </c>
      <c r="G106" s="49" t="inlineStr">
        <is>
          <t>EM Europe | generic local govt curve</t>
        </is>
      </c>
    </row>
    <row r="107">
      <c r="A107" s="8" t="inlineStr">
        <is>
          <t>Hungary 2Y</t>
        </is>
      </c>
      <c r="B107" s="19" t="inlineStr">
        <is>
          <t>Local 2Y</t>
        </is>
      </c>
      <c r="C107" s="15" t="inlineStr">
        <is>
          <t>GTHUF2Y Govt</t>
        </is>
      </c>
      <c r="D107" s="60" t="inlineStr">
        <is>
          <t>PX_LAST</t>
        </is>
      </c>
      <c r="E107" s="19" t="inlineStr">
        <is>
          <t>%</t>
        </is>
      </c>
      <c r="F107" s="25" t="inlineStr">
        <is>
          <t>High</t>
        </is>
      </c>
      <c r="G107" s="49" t="inlineStr">
        <is>
          <t>EM Europe | generic local govt curve</t>
        </is>
      </c>
    </row>
    <row r="108">
      <c r="A108" s="8" t="inlineStr">
        <is>
          <t>Turkiye 2Y</t>
        </is>
      </c>
      <c r="B108" s="19" t="inlineStr">
        <is>
          <t>Local 2Y</t>
        </is>
      </c>
      <c r="C108" s="15" t="inlineStr">
        <is>
          <t>GTTRY2Y Govt</t>
        </is>
      </c>
      <c r="D108" s="60" t="inlineStr">
        <is>
          <t>PX_LAST</t>
        </is>
      </c>
      <c r="E108" s="19" t="inlineStr">
        <is>
          <t>%</t>
        </is>
      </c>
      <c r="F108" s="25" t="inlineStr">
        <is>
          <t>High</t>
        </is>
      </c>
      <c r="G108" s="49" t="inlineStr">
        <is>
          <t>EM Europe | generic local govt curve</t>
        </is>
      </c>
    </row>
    <row r="109">
      <c r="A109" s="8" t="inlineStr">
        <is>
          <t>Israel 2Y</t>
        </is>
      </c>
      <c r="B109" s="19" t="inlineStr">
        <is>
          <t>Local 2Y</t>
        </is>
      </c>
      <c r="C109" s="15" t="inlineStr">
        <is>
          <t>GTILS2Y Govt</t>
        </is>
      </c>
      <c r="D109" s="60" t="inlineStr">
        <is>
          <t>PX_LAST</t>
        </is>
      </c>
      <c r="E109" s="19" t="inlineStr">
        <is>
          <t>%</t>
        </is>
      </c>
      <c r="F109" s="25" t="inlineStr">
        <is>
          <t>High</t>
        </is>
      </c>
      <c r="G109" s="49" t="inlineStr">
        <is>
          <t>Middle East &amp; Africa | generic local govt curve</t>
        </is>
      </c>
    </row>
    <row r="110">
      <c r="A110" s="8" t="inlineStr">
        <is>
          <t>South Africa 2Y</t>
        </is>
      </c>
      <c r="B110" s="19" t="inlineStr">
        <is>
          <t>Local 2Y</t>
        </is>
      </c>
      <c r="C110" s="15" t="inlineStr">
        <is>
          <t>GTZAR2Y Govt</t>
        </is>
      </c>
      <c r="D110" s="60" t="inlineStr">
        <is>
          <t>PX_LAST</t>
        </is>
      </c>
      <c r="E110" s="19" t="inlineStr">
        <is>
          <t>%</t>
        </is>
      </c>
      <c r="F110" s="25" t="inlineStr">
        <is>
          <t>High</t>
        </is>
      </c>
      <c r="G110" s="49" t="inlineStr">
        <is>
          <t>Middle East &amp; Africa | generic local govt curve</t>
        </is>
      </c>
    </row>
    <row r="111">
      <c r="A111" s="8" t="inlineStr">
        <is>
          <t>India 2Y</t>
        </is>
      </c>
      <c r="B111" s="19" t="inlineStr">
        <is>
          <t>Local 2Y</t>
        </is>
      </c>
      <c r="C111" s="15" t="inlineStr">
        <is>
          <t>GTINR2Y Govt</t>
        </is>
      </c>
      <c r="D111" s="60" t="inlineStr">
        <is>
          <t>PX_LAST</t>
        </is>
      </c>
      <c r="E111" s="19" t="inlineStr">
        <is>
          <t>%</t>
        </is>
      </c>
      <c r="F111" s="25" t="inlineStr">
        <is>
          <t>High</t>
        </is>
      </c>
      <c r="G111" s="49" t="inlineStr">
        <is>
          <t>Asia | generic local govt curve</t>
        </is>
      </c>
    </row>
    <row r="112">
      <c r="A112" s="8" t="inlineStr">
        <is>
          <t>Indonesia 2Y</t>
        </is>
      </c>
      <c r="B112" s="19" t="inlineStr">
        <is>
          <t>Local 2Y</t>
        </is>
      </c>
      <c r="C112" s="15" t="inlineStr">
        <is>
          <t>GTIDR2Y Govt</t>
        </is>
      </c>
      <c r="D112" s="60" t="inlineStr">
        <is>
          <t>PX_LAST</t>
        </is>
      </c>
      <c r="E112" s="19" t="inlineStr">
        <is>
          <t>%</t>
        </is>
      </c>
      <c r="F112" s="25" t="inlineStr">
        <is>
          <t>High</t>
        </is>
      </c>
      <c r="G112" s="49" t="inlineStr">
        <is>
          <t>Asia | generic local govt curve</t>
        </is>
      </c>
    </row>
    <row r="113">
      <c r="A113" s="8" t="inlineStr">
        <is>
          <t>Korea 2Y</t>
        </is>
      </c>
      <c r="B113" s="19" t="inlineStr">
        <is>
          <t>Local 2Y</t>
        </is>
      </c>
      <c r="C113" s="15" t="inlineStr">
        <is>
          <t>GTKRW2Y Govt</t>
        </is>
      </c>
      <c r="D113" s="60" t="inlineStr">
        <is>
          <t>PX_LAST</t>
        </is>
      </c>
      <c r="E113" s="19" t="inlineStr">
        <is>
          <t>%</t>
        </is>
      </c>
      <c r="F113" s="25" t="inlineStr">
        <is>
          <t>High</t>
        </is>
      </c>
      <c r="G113" s="49" t="inlineStr">
        <is>
          <t>Asia | generic local govt curve</t>
        </is>
      </c>
    </row>
    <row r="114">
      <c r="A114" s="8" t="inlineStr">
        <is>
          <t>Thailand 2Y</t>
        </is>
      </c>
      <c r="B114" s="19" t="inlineStr">
        <is>
          <t>Local 2Y</t>
        </is>
      </c>
      <c r="C114" s="15" t="inlineStr">
        <is>
          <t>GTTHB2Y Govt</t>
        </is>
      </c>
      <c r="D114" s="60" t="inlineStr">
        <is>
          <t>PX_LAST</t>
        </is>
      </c>
      <c r="E114" s="19" t="inlineStr">
        <is>
          <t>%</t>
        </is>
      </c>
      <c r="F114" s="25" t="inlineStr">
        <is>
          <t>High</t>
        </is>
      </c>
      <c r="G114" s="49" t="inlineStr">
        <is>
          <t>Asia | generic local govt curve</t>
        </is>
      </c>
    </row>
    <row r="117">
      <c r="A117" s="10" t="inlineStr">
        <is>
          <t>Verify = not confirmed in SECF/FLDS. PLACEHOLDER in the note means the ticker is a best guess at the index family and will almost certainly need replacing.</t>
        </is>
      </c>
    </row>
    <row r="118">
      <c r="A118" s="10" t="inlineStr">
        <is>
          <t>EMBIGD spread, duration and YTW are NOT pulled from Bloomberg — they come from embi_tracker.py and are entered on Control. That is deliberate.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C2617"/>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 width="13" customWidth="1" min="131" max="131"/>
    <col width="13" customWidth="1" min="132" max="132"/>
    <col width="13" customWidth="1" min="133" max="133"/>
  </cols>
  <sheetData>
    <row r="1">
      <c r="A1" s="1" t="inlineStr">
        <is>
          <t>DAILY HISTORY  —  10y weekday block, newest first</t>
        </is>
      </c>
    </row>
    <row r="2">
      <c r="A2" s="2" t="inlineStr">
        <is>
          <t>One BDH per series. Row 8 = most recent. Weekday calendar (Days=W) with previous-value fill (Fill=P) so every column is row-aligned. Column A and column B come from one BDH with Dts=S; every other pulled column uses Dts=H and inherits column A's calendar.</t>
        </is>
      </c>
    </row>
    <row r="4">
      <c r="A4" s="10" t="inlineStr">
        <is>
          <t>Pulled from Bloomberg</t>
        </is>
      </c>
    </row>
    <row r="5">
      <c r="A5" s="5" t="inlineStr">
        <is>
          <t>Date</t>
        </is>
      </c>
      <c r="B5" s="5" t="inlineStr">
        <is>
          <t>UST 2Y</t>
        </is>
      </c>
      <c r="C5" s="5" t="inlineStr">
        <is>
          <t>UST 5Y</t>
        </is>
      </c>
      <c r="D5" s="5" t="inlineStr">
        <is>
          <t>UST 10Y</t>
        </is>
      </c>
      <c r="E5" s="5" t="inlineStr">
        <is>
          <t>UST 30Y</t>
        </is>
      </c>
      <c r="F5" s="5" t="inlineStr">
        <is>
          <t>TIPS real 10Y</t>
        </is>
      </c>
      <c r="G5" s="5" t="inlineStr">
        <is>
          <t>Breakeven 10Y</t>
        </is>
      </c>
      <c r="H5" s="5" t="inlineStr">
        <is>
          <t>ACM term premium 10Y</t>
        </is>
      </c>
      <c r="I5" s="5" t="inlineStr">
        <is>
          <t>EFFR</t>
        </is>
      </c>
      <c r="J5" s="5" t="inlineStr">
        <is>
          <t>DXY</t>
        </is>
      </c>
      <c r="K5" s="5" t="inlineStr">
        <is>
          <t>MOVE index</t>
        </is>
      </c>
      <c r="L5" s="5" t="inlineStr">
        <is>
          <t>VIX</t>
        </is>
      </c>
      <c r="M5" s="5" t="inlineStr">
        <is>
          <t>S&amp;P 500</t>
        </is>
      </c>
      <c r="N5" s="5" t="inlineStr">
        <is>
          <t>Brent front</t>
        </is>
      </c>
      <c r="O5" s="5" t="inlineStr">
        <is>
          <t>US IG OAS</t>
        </is>
      </c>
      <c r="P5" s="5" t="inlineStr">
        <is>
          <t>US HY OAS</t>
        </is>
      </c>
      <c r="Q5" s="5" t="inlineStr">
        <is>
          <t>EM USD Aggregate OAS</t>
        </is>
      </c>
      <c r="R5" s="5" t="inlineStr">
        <is>
          <t>EM USD Aggregate TR idx</t>
        </is>
      </c>
      <c r="S5" s="5" t="inlineStr">
        <is>
          <t>EM USD Sovereign OAS</t>
        </is>
      </c>
      <c r="T5" s="5" t="inlineStr">
        <is>
          <t>EM USD Sovereign TR idx</t>
        </is>
      </c>
      <c r="U5" s="5" t="inlineStr">
        <is>
          <t>EMBIGD total return idx</t>
        </is>
      </c>
      <c r="V5" s="5" t="inlineStr">
        <is>
          <t>CEMBI Broad Div TR idx</t>
        </is>
      </c>
      <c r="W5" s="5" t="inlineStr">
        <is>
          <t>CDX EM 5Y</t>
        </is>
      </c>
      <c r="X5" s="5" t="inlineStr">
        <is>
          <t>Bbg-JPM Asia Dollar Index</t>
        </is>
      </c>
      <c r="Y5" s="5" t="inlineStr">
        <is>
          <t>JPM EM FX implied vol</t>
        </is>
      </c>
      <c r="Z5" s="5" t="inlineStr">
        <is>
          <t>JPM G7 FX implied vol</t>
        </is>
      </c>
      <c r="AA5" s="5" t="inlineStr">
        <is>
          <t>Brazil BRL</t>
        </is>
      </c>
      <c r="AB5" s="5" t="inlineStr">
        <is>
          <t>Mexico MXN</t>
        </is>
      </c>
      <c r="AC5" s="5" t="inlineStr">
        <is>
          <t>Chile CLP</t>
        </is>
      </c>
      <c r="AD5" s="5" t="inlineStr">
        <is>
          <t>Colombia COP</t>
        </is>
      </c>
      <c r="AE5" s="5" t="inlineStr">
        <is>
          <t>Peru PEN</t>
        </is>
      </c>
      <c r="AF5" s="5" t="inlineStr">
        <is>
          <t>Argentina ARS</t>
        </is>
      </c>
      <c r="AG5" s="5" t="inlineStr">
        <is>
          <t>Poland PLN</t>
        </is>
      </c>
      <c r="AH5" s="5" t="inlineStr">
        <is>
          <t>Hungary HUF</t>
        </is>
      </c>
      <c r="AI5" s="5" t="inlineStr">
        <is>
          <t>Czechia CZK</t>
        </is>
      </c>
      <c r="AJ5" s="5" t="inlineStr">
        <is>
          <t>Romania RON</t>
        </is>
      </c>
      <c r="AK5" s="5" t="inlineStr">
        <is>
          <t>Turkiye TRY</t>
        </is>
      </c>
      <c r="AL5" s="5" t="inlineStr">
        <is>
          <t>Israel ILS</t>
        </is>
      </c>
      <c r="AM5" s="5" t="inlineStr">
        <is>
          <t>South Africa ZAR</t>
        </is>
      </c>
      <c r="AN5" s="5" t="inlineStr">
        <is>
          <t>Egypt EGP</t>
        </is>
      </c>
      <c r="AO5" s="5" t="inlineStr">
        <is>
          <t>Saudi SAR (pegged)</t>
        </is>
      </c>
      <c r="AP5" s="5" t="inlineStr">
        <is>
          <t>UAE AED (pegged)</t>
        </is>
      </c>
      <c r="AQ5" s="5" t="inlineStr">
        <is>
          <t>Qatar QAR (pegged)</t>
        </is>
      </c>
      <c r="AR5" s="5" t="inlineStr">
        <is>
          <t>China CNH</t>
        </is>
      </c>
      <c r="AS5" s="5" t="inlineStr">
        <is>
          <t>India INR</t>
        </is>
      </c>
      <c r="AT5" s="5" t="inlineStr">
        <is>
          <t>Indonesia IDR</t>
        </is>
      </c>
      <c r="AU5" s="5" t="inlineStr">
        <is>
          <t>Korea KRW</t>
        </is>
      </c>
      <c r="AV5" s="5" t="inlineStr">
        <is>
          <t>Taiwan TWD</t>
        </is>
      </c>
      <c r="AW5" s="5" t="inlineStr">
        <is>
          <t>Thailand THB</t>
        </is>
      </c>
      <c r="AX5" s="5" t="inlineStr">
        <is>
          <t>Philippines PHP</t>
        </is>
      </c>
      <c r="AY5" s="5" t="inlineStr">
        <is>
          <t>Malaysia MYR</t>
        </is>
      </c>
      <c r="AZ5" s="5" t="inlineStr">
        <is>
          <t>MSCI EM (USD)</t>
        </is>
      </c>
      <c r="BA5" s="5" t="inlineStr">
        <is>
          <t>MSCI World (USD)</t>
        </is>
      </c>
      <c r="BB5" s="5" t="inlineStr">
        <is>
          <t>Brazil Ibovespa</t>
        </is>
      </c>
      <c r="BC5" s="5" t="inlineStr">
        <is>
          <t>Mexico S&amp;P/BMV IPC</t>
        </is>
      </c>
      <c r="BD5" s="5" t="inlineStr">
        <is>
          <t>Chile IPSA</t>
        </is>
      </c>
      <c r="BE5" s="5" t="inlineStr">
        <is>
          <t>Colombia COLCAP</t>
        </is>
      </c>
      <c r="BF5" s="5" t="inlineStr">
        <is>
          <t>Peru S&amp;P/BVL</t>
        </is>
      </c>
      <c r="BG5" s="5" t="inlineStr">
        <is>
          <t>Argentina Merval</t>
        </is>
      </c>
      <c r="BH5" s="5" t="inlineStr">
        <is>
          <t>Poland WIG</t>
        </is>
      </c>
      <c r="BI5" s="5" t="inlineStr">
        <is>
          <t>Hungary BUX</t>
        </is>
      </c>
      <c r="BJ5" s="5" t="inlineStr">
        <is>
          <t>Czechia PX</t>
        </is>
      </c>
      <c r="BK5" s="5" t="inlineStr">
        <is>
          <t>Romania BET</t>
        </is>
      </c>
      <c r="BL5" s="5" t="inlineStr">
        <is>
          <t>Turkiye BIST 100</t>
        </is>
      </c>
      <c r="BM5" s="5" t="inlineStr">
        <is>
          <t>Israel TA-35</t>
        </is>
      </c>
      <c r="BN5" s="5" t="inlineStr">
        <is>
          <t>South Africa All Share</t>
        </is>
      </c>
      <c r="BO5" s="5" t="inlineStr">
        <is>
          <t>Saudi Tadawul All Share</t>
        </is>
      </c>
      <c r="BP5" s="5" t="inlineStr">
        <is>
          <t>Abu Dhabi ADX General</t>
        </is>
      </c>
      <c r="BQ5" s="5" t="inlineStr">
        <is>
          <t>Qatar QE Index</t>
        </is>
      </c>
      <c r="BR5" s="5" t="inlineStr">
        <is>
          <t>Egypt EGX 30</t>
        </is>
      </c>
      <c r="BS5" s="5" t="inlineStr">
        <is>
          <t>China Shanghai Comp</t>
        </is>
      </c>
      <c r="BT5" s="5" t="inlineStr">
        <is>
          <t>Hong Kong Hang Seng</t>
        </is>
      </c>
      <c r="BU5" s="5" t="inlineStr">
        <is>
          <t>India Nifty 50</t>
        </is>
      </c>
      <c r="BV5" s="5" t="inlineStr">
        <is>
          <t>Indonesia JCI</t>
        </is>
      </c>
      <c r="BW5" s="5" t="inlineStr">
        <is>
          <t>Korea KOSPI</t>
        </is>
      </c>
      <c r="BX5" s="5" t="inlineStr">
        <is>
          <t>Taiwan TAIEX</t>
        </is>
      </c>
      <c r="BY5" s="5" t="inlineStr">
        <is>
          <t>Thailand SET</t>
        </is>
      </c>
      <c r="BZ5" s="5" t="inlineStr">
        <is>
          <t>Philippines PSEi</t>
        </is>
      </c>
      <c r="CA5" s="5" t="inlineStr">
        <is>
          <t>Malaysia KLCI</t>
        </is>
      </c>
      <c r="CB5" s="5" t="inlineStr">
        <is>
          <t>Brazil 10Y</t>
        </is>
      </c>
      <c r="CC5" s="5" t="inlineStr">
        <is>
          <t>Mexico 10Y</t>
        </is>
      </c>
      <c r="CD5" s="5" t="inlineStr">
        <is>
          <t>Chile 10Y</t>
        </is>
      </c>
      <c r="CE5" s="5" t="inlineStr">
        <is>
          <t>Colombia 10Y</t>
        </is>
      </c>
      <c r="CF5" s="5" t="inlineStr">
        <is>
          <t>Peru 10Y</t>
        </is>
      </c>
      <c r="CG5" s="5" t="inlineStr">
        <is>
          <t>Poland 10Y</t>
        </is>
      </c>
      <c r="CH5" s="5" t="inlineStr">
        <is>
          <t>Hungary 10Y</t>
        </is>
      </c>
      <c r="CI5" s="5" t="inlineStr">
        <is>
          <t>Czechia 10Y</t>
        </is>
      </c>
      <c r="CJ5" s="5" t="inlineStr">
        <is>
          <t>Romania 10Y</t>
        </is>
      </c>
      <c r="CK5" s="5" t="inlineStr">
        <is>
          <t>Turkiye 10Y</t>
        </is>
      </c>
      <c r="CL5" s="5" t="inlineStr">
        <is>
          <t>Israel 10Y</t>
        </is>
      </c>
      <c r="CM5" s="5" t="inlineStr">
        <is>
          <t>South Africa 10Y</t>
        </is>
      </c>
      <c r="CN5" s="5" t="inlineStr">
        <is>
          <t>China 10Y</t>
        </is>
      </c>
      <c r="CO5" s="5" t="inlineStr">
        <is>
          <t>India 10Y</t>
        </is>
      </c>
      <c r="CP5" s="5" t="inlineStr">
        <is>
          <t>Indonesia 10Y</t>
        </is>
      </c>
      <c r="CQ5" s="5" t="inlineStr">
        <is>
          <t>Korea 10Y</t>
        </is>
      </c>
      <c r="CR5" s="5" t="inlineStr">
        <is>
          <t>Thailand 10Y</t>
        </is>
      </c>
      <c r="CS5" s="5" t="inlineStr">
        <is>
          <t>Philippines 10Y</t>
        </is>
      </c>
      <c r="CT5" s="5" t="inlineStr">
        <is>
          <t>Malaysia 10Y</t>
        </is>
      </c>
      <c r="CU5" s="5" t="inlineStr">
        <is>
          <t>Brazil 2Y</t>
        </is>
      </c>
      <c r="CV5" s="5" t="inlineStr">
        <is>
          <t>Mexico 2Y</t>
        </is>
      </c>
      <c r="CW5" s="5" t="inlineStr">
        <is>
          <t>Colombia 2Y</t>
        </is>
      </c>
      <c r="CX5" s="5" t="inlineStr">
        <is>
          <t>Poland 2Y</t>
        </is>
      </c>
      <c r="CY5" s="5" t="inlineStr">
        <is>
          <t>Hungary 2Y</t>
        </is>
      </c>
      <c r="CZ5" s="5" t="inlineStr">
        <is>
          <t>Turkiye 2Y</t>
        </is>
      </c>
      <c r="DA5" s="5" t="inlineStr">
        <is>
          <t>Israel 2Y</t>
        </is>
      </c>
      <c r="DB5" s="5" t="inlineStr">
        <is>
          <t>South Africa 2Y</t>
        </is>
      </c>
      <c r="DC5" s="5" t="inlineStr">
        <is>
          <t>India 2Y</t>
        </is>
      </c>
      <c r="DD5" s="5" t="inlineStr">
        <is>
          <t>Indonesia 2Y</t>
        </is>
      </c>
      <c r="DE5" s="5" t="inlineStr">
        <is>
          <t>Korea 2Y</t>
        </is>
      </c>
      <c r="DF5" s="5" t="inlineStr">
        <is>
          <t>Thailand 2Y</t>
        </is>
      </c>
      <c r="DG5" s="5" t="inlineStr">
        <is>
          <t>d UST 2Y (1d)</t>
        </is>
      </c>
      <c r="DH5" s="5" t="inlineStr">
        <is>
          <t>d UST 10Y (1d)</t>
        </is>
      </c>
      <c r="DI5" s="5" t="inlineStr">
        <is>
          <t>d UST 30Y (1d)</t>
        </is>
      </c>
      <c r="DJ5" s="5" t="inlineStr">
        <is>
          <t>d ACM term premium (1d)</t>
        </is>
      </c>
      <c r="DK5" s="5" t="inlineStr">
        <is>
          <t>DXY return (1d)</t>
        </is>
      </c>
      <c r="DL5" s="5" t="inlineStr">
        <is>
          <t>d VIX (1d)</t>
        </is>
      </c>
      <c r="DM5" s="5" t="inlineStr">
        <is>
          <t>d MOVE (1d)</t>
        </is>
      </c>
      <c r="DN5" s="5" t="inlineStr">
        <is>
          <t>Brent return (1d)</t>
        </is>
      </c>
      <c r="DO5" s="5" t="inlineStr">
        <is>
          <t>S&amp;P 500 return (1d)</t>
        </is>
      </c>
      <c r="DP5" s="5" t="inlineStr">
        <is>
          <t>MSCI EM return (1d)</t>
        </is>
      </c>
      <c r="DQ5" s="5" t="inlineStr">
        <is>
          <t>MSCI World return (1d)</t>
        </is>
      </c>
      <c r="DR5" s="5" t="inlineStr">
        <is>
          <t>d US IG OAS (1d)</t>
        </is>
      </c>
      <c r="DS5" s="5" t="inlineStr">
        <is>
          <t>d US HY OAS (1d)</t>
        </is>
      </c>
      <c r="DT5" s="5" t="inlineStr">
        <is>
          <t>d EM USD Agg OAS (1d)</t>
        </is>
      </c>
      <c r="DU5" s="5" t="inlineStr">
        <is>
          <t>d EM USD Sov OAS (1d)</t>
        </is>
      </c>
      <c r="DV5" s="5" t="inlineStr">
        <is>
          <t>EM FX basket, ex ARS/TRY (1d)</t>
        </is>
      </c>
      <c r="DW5" s="5" t="inlineStr">
        <is>
          <t>EM local 10Y, eq-wgt ex TRY</t>
        </is>
      </c>
      <c r="DX5" s="5" t="inlineStr">
        <is>
          <t>EM high-beta local 10Y</t>
        </is>
      </c>
      <c r="DY5" s="5" t="inlineStr">
        <is>
          <t>d EM local 10Y (1d)</t>
        </is>
      </c>
      <c r="DZ5" s="5" t="inlineStr">
        <is>
          <t>d EM high-beta local 10Y (1d)</t>
        </is>
      </c>
      <c r="EA5" s="5" t="inlineStr">
        <is>
          <t>EM local 10Y less UST 10Y</t>
        </is>
      </c>
      <c r="EB5" s="5" t="inlineStr">
        <is>
          <t>EM USD Agg OAS less US IG</t>
        </is>
      </c>
      <c r="EC5" s="5" t="inlineStr">
        <is>
          <t>EM / US HY OAS ratio</t>
        </is>
      </c>
    </row>
    <row r="6">
      <c r="A6" s="5" t="inlineStr"/>
      <c r="B6" s="5">
        <f>Tickers!$C$6</f>
        <v/>
      </c>
      <c r="C6" s="5">
        <f>Tickers!$C$7</f>
        <v/>
      </c>
      <c r="D6" s="5">
        <f>Tickers!$C$8</f>
        <v/>
      </c>
      <c r="E6" s="5">
        <f>Tickers!$C$9</f>
        <v/>
      </c>
      <c r="F6" s="5">
        <f>Tickers!$C$10</f>
        <v/>
      </c>
      <c r="G6" s="5">
        <f>Tickers!$C$11</f>
        <v/>
      </c>
      <c r="H6" s="5">
        <f>Tickers!$C$12</f>
        <v/>
      </c>
      <c r="I6" s="5">
        <f>Tickers!$C$13</f>
        <v/>
      </c>
      <c r="J6" s="5">
        <f>Tickers!$C$14</f>
        <v/>
      </c>
      <c r="K6" s="5">
        <f>Tickers!$C$15</f>
        <v/>
      </c>
      <c r="L6" s="5">
        <f>Tickers!$C$16</f>
        <v/>
      </c>
      <c r="M6" s="5">
        <f>Tickers!$C$17</f>
        <v/>
      </c>
      <c r="N6" s="5">
        <f>Tickers!$C$18</f>
        <v/>
      </c>
      <c r="O6" s="5">
        <f>Tickers!$C$19</f>
        <v/>
      </c>
      <c r="P6" s="5">
        <f>Tickers!$C$20</f>
        <v/>
      </c>
      <c r="Q6" s="5">
        <f>Tickers!$C$21</f>
        <v/>
      </c>
      <c r="R6" s="5">
        <f>Tickers!$C$22</f>
        <v/>
      </c>
      <c r="S6" s="5">
        <f>Tickers!$C$23</f>
        <v/>
      </c>
      <c r="T6" s="5">
        <f>Tickers!$C$24</f>
        <v/>
      </c>
      <c r="U6" s="5">
        <f>Tickers!$C$25</f>
        <v/>
      </c>
      <c r="V6" s="5">
        <f>Tickers!$C$26</f>
        <v/>
      </c>
      <c r="W6" s="5">
        <f>Tickers!$C$27</f>
        <v/>
      </c>
      <c r="X6" s="5">
        <f>Tickers!$C$28</f>
        <v/>
      </c>
      <c r="Y6" s="5">
        <f>Tickers!$C$29</f>
        <v/>
      </c>
      <c r="Z6" s="5">
        <f>Tickers!$C$30</f>
        <v/>
      </c>
      <c r="AA6" s="5">
        <f>Tickers!$C$31</f>
        <v/>
      </c>
      <c r="AB6" s="5">
        <f>Tickers!$C$32</f>
        <v/>
      </c>
      <c r="AC6" s="5">
        <f>Tickers!$C$33</f>
        <v/>
      </c>
      <c r="AD6" s="5">
        <f>Tickers!$C$34</f>
        <v/>
      </c>
      <c r="AE6" s="5">
        <f>Tickers!$C$35</f>
        <v/>
      </c>
      <c r="AF6" s="5">
        <f>Tickers!$C$36</f>
        <v/>
      </c>
      <c r="AG6" s="5">
        <f>Tickers!$C$37</f>
        <v/>
      </c>
      <c r="AH6" s="5">
        <f>Tickers!$C$38</f>
        <v/>
      </c>
      <c r="AI6" s="5">
        <f>Tickers!$C$39</f>
        <v/>
      </c>
      <c r="AJ6" s="5">
        <f>Tickers!$C$40</f>
        <v/>
      </c>
      <c r="AK6" s="5">
        <f>Tickers!$C$41</f>
        <v/>
      </c>
      <c r="AL6" s="5">
        <f>Tickers!$C$42</f>
        <v/>
      </c>
      <c r="AM6" s="5">
        <f>Tickers!$C$43</f>
        <v/>
      </c>
      <c r="AN6" s="5">
        <f>Tickers!$C$44</f>
        <v/>
      </c>
      <c r="AO6" s="5">
        <f>Tickers!$C$45</f>
        <v/>
      </c>
      <c r="AP6" s="5">
        <f>Tickers!$C$46</f>
        <v/>
      </c>
      <c r="AQ6" s="5">
        <f>Tickers!$C$47</f>
        <v/>
      </c>
      <c r="AR6" s="5">
        <f>Tickers!$C$48</f>
        <v/>
      </c>
      <c r="AS6" s="5">
        <f>Tickers!$C$49</f>
        <v/>
      </c>
      <c r="AT6" s="5">
        <f>Tickers!$C$50</f>
        <v/>
      </c>
      <c r="AU6" s="5">
        <f>Tickers!$C$51</f>
        <v/>
      </c>
      <c r="AV6" s="5">
        <f>Tickers!$C$52</f>
        <v/>
      </c>
      <c r="AW6" s="5">
        <f>Tickers!$C$53</f>
        <v/>
      </c>
      <c r="AX6" s="5">
        <f>Tickers!$C$54</f>
        <v/>
      </c>
      <c r="AY6" s="5">
        <f>Tickers!$C$55</f>
        <v/>
      </c>
      <c r="AZ6" s="5">
        <f>Tickers!$C$56</f>
        <v/>
      </c>
      <c r="BA6" s="5">
        <f>Tickers!$C$57</f>
        <v/>
      </c>
      <c r="BB6" s="5">
        <f>Tickers!$C$58</f>
        <v/>
      </c>
      <c r="BC6" s="5">
        <f>Tickers!$C$59</f>
        <v/>
      </c>
      <c r="BD6" s="5">
        <f>Tickers!$C$60</f>
        <v/>
      </c>
      <c r="BE6" s="5">
        <f>Tickers!$C$61</f>
        <v/>
      </c>
      <c r="BF6" s="5">
        <f>Tickers!$C$62</f>
        <v/>
      </c>
      <c r="BG6" s="5">
        <f>Tickers!$C$63</f>
        <v/>
      </c>
      <c r="BH6" s="5">
        <f>Tickers!$C$64</f>
        <v/>
      </c>
      <c r="BI6" s="5">
        <f>Tickers!$C$65</f>
        <v/>
      </c>
      <c r="BJ6" s="5">
        <f>Tickers!$C$66</f>
        <v/>
      </c>
      <c r="BK6" s="5">
        <f>Tickers!$C$67</f>
        <v/>
      </c>
      <c r="BL6" s="5">
        <f>Tickers!$C$68</f>
        <v/>
      </c>
      <c r="BM6" s="5">
        <f>Tickers!$C$69</f>
        <v/>
      </c>
      <c r="BN6" s="5">
        <f>Tickers!$C$70</f>
        <v/>
      </c>
      <c r="BO6" s="5">
        <f>Tickers!$C$71</f>
        <v/>
      </c>
      <c r="BP6" s="5">
        <f>Tickers!$C$72</f>
        <v/>
      </c>
      <c r="BQ6" s="5">
        <f>Tickers!$C$73</f>
        <v/>
      </c>
      <c r="BR6" s="5">
        <f>Tickers!$C$74</f>
        <v/>
      </c>
      <c r="BS6" s="5">
        <f>Tickers!$C$75</f>
        <v/>
      </c>
      <c r="BT6" s="5">
        <f>Tickers!$C$76</f>
        <v/>
      </c>
      <c r="BU6" s="5">
        <f>Tickers!$C$77</f>
        <v/>
      </c>
      <c r="BV6" s="5">
        <f>Tickers!$C$78</f>
        <v/>
      </c>
      <c r="BW6" s="5">
        <f>Tickers!$C$79</f>
        <v/>
      </c>
      <c r="BX6" s="5">
        <f>Tickers!$C$80</f>
        <v/>
      </c>
      <c r="BY6" s="5">
        <f>Tickers!$C$81</f>
        <v/>
      </c>
      <c r="BZ6" s="5">
        <f>Tickers!$C$82</f>
        <v/>
      </c>
      <c r="CA6" s="5">
        <f>Tickers!$C$83</f>
        <v/>
      </c>
      <c r="CB6" s="5">
        <f>Tickers!$C$84</f>
        <v/>
      </c>
      <c r="CC6" s="5">
        <f>Tickers!$C$85</f>
        <v/>
      </c>
      <c r="CD6" s="5">
        <f>Tickers!$C$86</f>
        <v/>
      </c>
      <c r="CE6" s="5">
        <f>Tickers!$C$87</f>
        <v/>
      </c>
      <c r="CF6" s="5">
        <f>Tickers!$C$88</f>
        <v/>
      </c>
      <c r="CG6" s="5">
        <f>Tickers!$C$89</f>
        <v/>
      </c>
      <c r="CH6" s="5">
        <f>Tickers!$C$90</f>
        <v/>
      </c>
      <c r="CI6" s="5">
        <f>Tickers!$C$91</f>
        <v/>
      </c>
      <c r="CJ6" s="5">
        <f>Tickers!$C$92</f>
        <v/>
      </c>
      <c r="CK6" s="5">
        <f>Tickers!$C$93</f>
        <v/>
      </c>
      <c r="CL6" s="5">
        <f>Tickers!$C$94</f>
        <v/>
      </c>
      <c r="CM6" s="5">
        <f>Tickers!$C$95</f>
        <v/>
      </c>
      <c r="CN6" s="5">
        <f>Tickers!$C$96</f>
        <v/>
      </c>
      <c r="CO6" s="5">
        <f>Tickers!$C$97</f>
        <v/>
      </c>
      <c r="CP6" s="5">
        <f>Tickers!$C$98</f>
        <v/>
      </c>
      <c r="CQ6" s="5">
        <f>Tickers!$C$99</f>
        <v/>
      </c>
      <c r="CR6" s="5">
        <f>Tickers!$C$100</f>
        <v/>
      </c>
      <c r="CS6" s="5">
        <f>Tickers!$C$101</f>
        <v/>
      </c>
      <c r="CT6" s="5">
        <f>Tickers!$C$102</f>
        <v/>
      </c>
      <c r="CU6" s="5">
        <f>Tickers!$C$103</f>
        <v/>
      </c>
      <c r="CV6" s="5">
        <f>Tickers!$C$104</f>
        <v/>
      </c>
      <c r="CW6" s="5">
        <f>Tickers!$C$105</f>
        <v/>
      </c>
      <c r="CX6" s="5">
        <f>Tickers!$C$106</f>
        <v/>
      </c>
      <c r="CY6" s="5">
        <f>Tickers!$C$107</f>
        <v/>
      </c>
      <c r="CZ6" s="5">
        <f>Tickers!$C$108</f>
        <v/>
      </c>
      <c r="DA6" s="5">
        <f>Tickers!$C$109</f>
        <v/>
      </c>
      <c r="DB6" s="5">
        <f>Tickers!$C$110</f>
        <v/>
      </c>
      <c r="DC6" s="5">
        <f>Tickers!$C$111</f>
        <v/>
      </c>
      <c r="DD6" s="5">
        <f>Tickers!$C$112</f>
        <v/>
      </c>
      <c r="DE6" s="5">
        <f>Tickers!$C$113</f>
        <v/>
      </c>
      <c r="DF6" s="5">
        <f>Tickers!$C$114</f>
        <v/>
      </c>
      <c r="DG6" s="5" t="inlineStr">
        <is>
          <t>derived</t>
        </is>
      </c>
      <c r="DH6" s="5" t="inlineStr">
        <is>
          <t>derived</t>
        </is>
      </c>
      <c r="DI6" s="5" t="inlineStr">
        <is>
          <t>derived</t>
        </is>
      </c>
      <c r="DJ6" s="5" t="inlineStr">
        <is>
          <t>derived</t>
        </is>
      </c>
      <c r="DK6" s="5" t="inlineStr">
        <is>
          <t>derived</t>
        </is>
      </c>
      <c r="DL6" s="5" t="inlineStr">
        <is>
          <t>derived</t>
        </is>
      </c>
      <c r="DM6" s="5" t="inlineStr">
        <is>
          <t>derived</t>
        </is>
      </c>
      <c r="DN6" s="5" t="inlineStr">
        <is>
          <t>derived</t>
        </is>
      </c>
      <c r="DO6" s="5" t="inlineStr">
        <is>
          <t>derived</t>
        </is>
      </c>
      <c r="DP6" s="5" t="inlineStr">
        <is>
          <t>derived</t>
        </is>
      </c>
      <c r="DQ6" s="5" t="inlineStr">
        <is>
          <t>derived</t>
        </is>
      </c>
      <c r="DR6" s="5" t="inlineStr">
        <is>
          <t>derived</t>
        </is>
      </c>
      <c r="DS6" s="5" t="inlineStr">
        <is>
          <t>derived</t>
        </is>
      </c>
      <c r="DT6" s="5" t="inlineStr">
        <is>
          <t>derived</t>
        </is>
      </c>
      <c r="DU6" s="5" t="inlineStr">
        <is>
          <t>derived</t>
        </is>
      </c>
      <c r="DV6" s="5" t="inlineStr">
        <is>
          <t>derived</t>
        </is>
      </c>
      <c r="DW6" s="5" t="inlineStr">
        <is>
          <t>derived</t>
        </is>
      </c>
      <c r="DX6" s="5" t="inlineStr">
        <is>
          <t>derived</t>
        </is>
      </c>
      <c r="DY6" s="5" t="inlineStr">
        <is>
          <t>derived</t>
        </is>
      </c>
      <c r="DZ6" s="5" t="inlineStr">
        <is>
          <t>derived</t>
        </is>
      </c>
      <c r="EA6" s="5" t="inlineStr">
        <is>
          <t>derived</t>
        </is>
      </c>
      <c r="EB6" s="5" t="inlineStr">
        <is>
          <t>derived</t>
        </is>
      </c>
      <c r="EC6" s="5" t="inlineStr">
        <is>
          <t>derived</t>
        </is>
      </c>
    </row>
    <row r="7">
      <c r="A7" s="5" t="inlineStr">
        <is>
          <t>date</t>
        </is>
      </c>
      <c r="B7" s="5" t="inlineStr">
        <is>
          <t>%</t>
        </is>
      </c>
      <c r="C7" s="5" t="inlineStr">
        <is>
          <t>%</t>
        </is>
      </c>
      <c r="D7" s="5" t="inlineStr">
        <is>
          <t>%</t>
        </is>
      </c>
      <c r="E7" s="5" t="inlineStr">
        <is>
          <t>%</t>
        </is>
      </c>
      <c r="F7" s="5" t="inlineStr">
        <is>
          <t>%</t>
        </is>
      </c>
      <c r="G7" s="5" t="inlineStr">
        <is>
          <t>%</t>
        </is>
      </c>
      <c r="H7" s="5" t="inlineStr">
        <is>
          <t>%</t>
        </is>
      </c>
      <c r="I7" s="5" t="inlineStr">
        <is>
          <t>%</t>
        </is>
      </c>
      <c r="J7" s="5" t="inlineStr">
        <is>
          <t>pt</t>
        </is>
      </c>
      <c r="K7" s="5" t="inlineStr">
        <is>
          <t>bp</t>
        </is>
      </c>
      <c r="L7" s="5" t="inlineStr">
        <is>
          <t>pt</t>
        </is>
      </c>
      <c r="M7" s="5" t="inlineStr">
        <is>
          <t>pt</t>
        </is>
      </c>
      <c r="N7" s="5" t="inlineStr">
        <is>
          <t>px</t>
        </is>
      </c>
      <c r="O7" s="5" t="inlineStr">
        <is>
          <t>bp</t>
        </is>
      </c>
      <c r="P7" s="5" t="inlineStr">
        <is>
          <t>bp</t>
        </is>
      </c>
      <c r="Q7" s="5" t="inlineStr">
        <is>
          <t>bp</t>
        </is>
      </c>
      <c r="R7" s="5" t="inlineStr">
        <is>
          <t>idx</t>
        </is>
      </c>
      <c r="S7" s="5" t="inlineStr">
        <is>
          <t>bp</t>
        </is>
      </c>
      <c r="T7" s="5" t="inlineStr">
        <is>
          <t>idx</t>
        </is>
      </c>
      <c r="U7" s="5" t="inlineStr">
        <is>
          <t>idx</t>
        </is>
      </c>
      <c r="V7" s="5" t="inlineStr">
        <is>
          <t>idx</t>
        </is>
      </c>
      <c r="W7" s="5" t="inlineStr">
        <is>
          <t>bp</t>
        </is>
      </c>
      <c r="X7" s="5" t="inlineStr">
        <is>
          <t>idx</t>
        </is>
      </c>
      <c r="Y7" s="5" t="inlineStr">
        <is>
          <t>pt</t>
        </is>
      </c>
      <c r="Z7" s="5" t="inlineStr">
        <is>
          <t>pt</t>
        </is>
      </c>
      <c r="AA7" s="5" t="inlineStr">
        <is>
          <t>fx</t>
        </is>
      </c>
      <c r="AB7" s="5" t="inlineStr">
        <is>
          <t>fx</t>
        </is>
      </c>
      <c r="AC7" s="5" t="inlineStr">
        <is>
          <t>fx</t>
        </is>
      </c>
      <c r="AD7" s="5" t="inlineStr">
        <is>
          <t>fx</t>
        </is>
      </c>
      <c r="AE7" s="5" t="inlineStr">
        <is>
          <t>fx</t>
        </is>
      </c>
      <c r="AF7" s="5" t="inlineStr">
        <is>
          <t>fx</t>
        </is>
      </c>
      <c r="AG7" s="5" t="inlineStr">
        <is>
          <t>fx</t>
        </is>
      </c>
      <c r="AH7" s="5" t="inlineStr">
        <is>
          <t>fx</t>
        </is>
      </c>
      <c r="AI7" s="5" t="inlineStr">
        <is>
          <t>fx</t>
        </is>
      </c>
      <c r="AJ7" s="5" t="inlineStr">
        <is>
          <t>fx</t>
        </is>
      </c>
      <c r="AK7" s="5" t="inlineStr">
        <is>
          <t>fx</t>
        </is>
      </c>
      <c r="AL7" s="5" t="inlineStr">
        <is>
          <t>fx</t>
        </is>
      </c>
      <c r="AM7" s="5" t="inlineStr">
        <is>
          <t>fx</t>
        </is>
      </c>
      <c r="AN7" s="5" t="inlineStr">
        <is>
          <t>fx</t>
        </is>
      </c>
      <c r="AO7" s="5" t="inlineStr">
        <is>
          <t>fx</t>
        </is>
      </c>
      <c r="AP7" s="5" t="inlineStr">
        <is>
          <t>fx</t>
        </is>
      </c>
      <c r="AQ7" s="5" t="inlineStr">
        <is>
          <t>fx</t>
        </is>
      </c>
      <c r="AR7" s="5" t="inlineStr">
        <is>
          <t>fx</t>
        </is>
      </c>
      <c r="AS7" s="5" t="inlineStr">
        <is>
          <t>fx</t>
        </is>
      </c>
      <c r="AT7" s="5" t="inlineStr">
        <is>
          <t>fx</t>
        </is>
      </c>
      <c r="AU7" s="5" t="inlineStr">
        <is>
          <t>fx</t>
        </is>
      </c>
      <c r="AV7" s="5" t="inlineStr">
        <is>
          <t>fx</t>
        </is>
      </c>
      <c r="AW7" s="5" t="inlineStr">
        <is>
          <t>fx</t>
        </is>
      </c>
      <c r="AX7" s="5" t="inlineStr">
        <is>
          <t>fx</t>
        </is>
      </c>
      <c r="AY7" s="5" t="inlineStr">
        <is>
          <t>fx</t>
        </is>
      </c>
      <c r="AZ7" s="5" t="inlineStr">
        <is>
          <t>idx</t>
        </is>
      </c>
      <c r="BA7" s="5" t="inlineStr">
        <is>
          <t>idx</t>
        </is>
      </c>
      <c r="BB7" s="5" t="inlineStr">
        <is>
          <t>idx</t>
        </is>
      </c>
      <c r="BC7" s="5" t="inlineStr">
        <is>
          <t>idx</t>
        </is>
      </c>
      <c r="BD7" s="5" t="inlineStr">
        <is>
          <t>idx</t>
        </is>
      </c>
      <c r="BE7" s="5" t="inlineStr">
        <is>
          <t>idx</t>
        </is>
      </c>
      <c r="BF7" s="5" t="inlineStr">
        <is>
          <t>idx</t>
        </is>
      </c>
      <c r="BG7" s="5" t="inlineStr">
        <is>
          <t>idx</t>
        </is>
      </c>
      <c r="BH7" s="5" t="inlineStr">
        <is>
          <t>idx</t>
        </is>
      </c>
      <c r="BI7" s="5" t="inlineStr">
        <is>
          <t>idx</t>
        </is>
      </c>
      <c r="BJ7" s="5" t="inlineStr">
        <is>
          <t>idx</t>
        </is>
      </c>
      <c r="BK7" s="5" t="inlineStr">
        <is>
          <t>idx</t>
        </is>
      </c>
      <c r="BL7" s="5" t="inlineStr">
        <is>
          <t>idx</t>
        </is>
      </c>
      <c r="BM7" s="5" t="inlineStr">
        <is>
          <t>idx</t>
        </is>
      </c>
      <c r="BN7" s="5" t="inlineStr">
        <is>
          <t>idx</t>
        </is>
      </c>
      <c r="BO7" s="5" t="inlineStr">
        <is>
          <t>idx</t>
        </is>
      </c>
      <c r="BP7" s="5" t="inlineStr">
        <is>
          <t>idx</t>
        </is>
      </c>
      <c r="BQ7" s="5" t="inlineStr">
        <is>
          <t>idx</t>
        </is>
      </c>
      <c r="BR7" s="5" t="inlineStr">
        <is>
          <t>idx</t>
        </is>
      </c>
      <c r="BS7" s="5" t="inlineStr">
        <is>
          <t>idx</t>
        </is>
      </c>
      <c r="BT7" s="5" t="inlineStr">
        <is>
          <t>idx</t>
        </is>
      </c>
      <c r="BU7" s="5" t="inlineStr">
        <is>
          <t>idx</t>
        </is>
      </c>
      <c r="BV7" s="5" t="inlineStr">
        <is>
          <t>idx</t>
        </is>
      </c>
      <c r="BW7" s="5" t="inlineStr">
        <is>
          <t>idx</t>
        </is>
      </c>
      <c r="BX7" s="5" t="inlineStr">
        <is>
          <t>idx</t>
        </is>
      </c>
      <c r="BY7" s="5" t="inlineStr">
        <is>
          <t>idx</t>
        </is>
      </c>
      <c r="BZ7" s="5" t="inlineStr">
        <is>
          <t>idx</t>
        </is>
      </c>
      <c r="CA7" s="5" t="inlineStr">
        <is>
          <t>idx</t>
        </is>
      </c>
      <c r="CB7" s="5" t="inlineStr">
        <is>
          <t>%</t>
        </is>
      </c>
      <c r="CC7" s="5" t="inlineStr">
        <is>
          <t>%</t>
        </is>
      </c>
      <c r="CD7" s="5" t="inlineStr">
        <is>
          <t>%</t>
        </is>
      </c>
      <c r="CE7" s="5" t="inlineStr">
        <is>
          <t>%</t>
        </is>
      </c>
      <c r="CF7" s="5" t="inlineStr">
        <is>
          <t>%</t>
        </is>
      </c>
      <c r="CG7" s="5" t="inlineStr">
        <is>
          <t>%</t>
        </is>
      </c>
      <c r="CH7" s="5" t="inlineStr">
        <is>
          <t>%</t>
        </is>
      </c>
      <c r="CI7" s="5" t="inlineStr">
        <is>
          <t>%</t>
        </is>
      </c>
      <c r="CJ7" s="5" t="inlineStr">
        <is>
          <t>%</t>
        </is>
      </c>
      <c r="CK7" s="5" t="inlineStr">
        <is>
          <t>%</t>
        </is>
      </c>
      <c r="CL7" s="5" t="inlineStr">
        <is>
          <t>%</t>
        </is>
      </c>
      <c r="CM7" s="5" t="inlineStr">
        <is>
          <t>%</t>
        </is>
      </c>
      <c r="CN7" s="5" t="inlineStr">
        <is>
          <t>%</t>
        </is>
      </c>
      <c r="CO7" s="5" t="inlineStr">
        <is>
          <t>%</t>
        </is>
      </c>
      <c r="CP7" s="5" t="inlineStr">
        <is>
          <t>%</t>
        </is>
      </c>
      <c r="CQ7" s="5" t="inlineStr">
        <is>
          <t>%</t>
        </is>
      </c>
      <c r="CR7" s="5" t="inlineStr">
        <is>
          <t>%</t>
        </is>
      </c>
      <c r="CS7" s="5" t="inlineStr">
        <is>
          <t>%</t>
        </is>
      </c>
      <c r="CT7" s="5" t="inlineStr">
        <is>
          <t>%</t>
        </is>
      </c>
      <c r="CU7" s="5" t="inlineStr">
        <is>
          <t>%</t>
        </is>
      </c>
      <c r="CV7" s="5" t="inlineStr">
        <is>
          <t>%</t>
        </is>
      </c>
      <c r="CW7" s="5" t="inlineStr">
        <is>
          <t>%</t>
        </is>
      </c>
      <c r="CX7" s="5" t="inlineStr">
        <is>
          <t>%</t>
        </is>
      </c>
      <c r="CY7" s="5" t="inlineStr">
        <is>
          <t>%</t>
        </is>
      </c>
      <c r="CZ7" s="5" t="inlineStr">
        <is>
          <t>%</t>
        </is>
      </c>
      <c r="DA7" s="5" t="inlineStr">
        <is>
          <t>%</t>
        </is>
      </c>
      <c r="DB7" s="5" t="inlineStr">
        <is>
          <t>%</t>
        </is>
      </c>
      <c r="DC7" s="5" t="inlineStr">
        <is>
          <t>%</t>
        </is>
      </c>
      <c r="DD7" s="5" t="inlineStr">
        <is>
          <t>%</t>
        </is>
      </c>
      <c r="DE7" s="5" t="inlineStr">
        <is>
          <t>%</t>
        </is>
      </c>
      <c r="DF7" s="5" t="inlineStr">
        <is>
          <t>%</t>
        </is>
      </c>
      <c r="DG7" s="5" t="inlineStr">
        <is>
          <t>bp</t>
        </is>
      </c>
      <c r="DH7" s="5" t="inlineStr">
        <is>
          <t>bp</t>
        </is>
      </c>
      <c r="DI7" s="5" t="inlineStr">
        <is>
          <t>bp</t>
        </is>
      </c>
      <c r="DJ7" s="5" t="inlineStr">
        <is>
          <t>bp</t>
        </is>
      </c>
      <c r="DK7" s="5" t="inlineStr">
        <is>
          <t>ret</t>
        </is>
      </c>
      <c r="DL7" s="5" t="inlineStr">
        <is>
          <t>pt</t>
        </is>
      </c>
      <c r="DM7" s="5" t="inlineStr">
        <is>
          <t>pt</t>
        </is>
      </c>
      <c r="DN7" s="5" t="inlineStr">
        <is>
          <t>ret</t>
        </is>
      </c>
      <c r="DO7" s="5" t="inlineStr">
        <is>
          <t>ret</t>
        </is>
      </c>
      <c r="DP7" s="5" t="inlineStr">
        <is>
          <t>ret</t>
        </is>
      </c>
      <c r="DQ7" s="5" t="inlineStr">
        <is>
          <t>ret</t>
        </is>
      </c>
      <c r="DR7" s="5" t="inlineStr">
        <is>
          <t>bp</t>
        </is>
      </c>
      <c r="DS7" s="5" t="inlineStr">
        <is>
          <t>bp</t>
        </is>
      </c>
      <c r="DT7" s="5" t="inlineStr">
        <is>
          <t>bp</t>
        </is>
      </c>
      <c r="DU7" s="5" t="inlineStr">
        <is>
          <t>bp</t>
        </is>
      </c>
      <c r="DV7" s="5" t="inlineStr">
        <is>
          <t>ret</t>
        </is>
      </c>
      <c r="DW7" s="5" t="inlineStr">
        <is>
          <t>%</t>
        </is>
      </c>
      <c r="DX7" s="5" t="inlineStr">
        <is>
          <t>%</t>
        </is>
      </c>
      <c r="DY7" s="5" t="inlineStr">
        <is>
          <t>bp</t>
        </is>
      </c>
      <c r="DZ7" s="5" t="inlineStr">
        <is>
          <t>bp</t>
        </is>
      </c>
      <c r="EA7" s="5" t="inlineStr">
        <is>
          <t>bp</t>
        </is>
      </c>
      <c r="EB7" s="5" t="inlineStr">
        <is>
          <t>bp</t>
        </is>
      </c>
      <c r="EC7" s="5" t="inlineStr">
        <is>
          <t>x</t>
        </is>
      </c>
    </row>
    <row r="8">
      <c r="A8" s="62">
        <f>BDH(Tickers!$C$6,Tickers!$D$6,Control!$B$6,Control!$B$7,"Dir=V","Sort=D","Days=W","Fill=P","Dts=S")</f>
        <v/>
      </c>
      <c r="C8" s="63">
        <f>BDH(Tickers!$C$7,Tickers!$D$7,Control!$B$6,Control!$B$7,"Dir=V","Sort=D","Days=W","Fill=P","Dts=H")</f>
        <v/>
      </c>
      <c r="D8" s="63">
        <f>BDH(Tickers!$C$8,Tickers!$D$8,Control!$B$6,Control!$B$7,"Dir=V","Sort=D","Days=W","Fill=P","Dts=H")</f>
        <v/>
      </c>
      <c r="E8" s="63">
        <f>BDH(Tickers!$C$9,Tickers!$D$9,Control!$B$6,Control!$B$7,"Dir=V","Sort=D","Days=W","Fill=P","Dts=H")</f>
        <v/>
      </c>
      <c r="F8" s="63">
        <f>BDH(Tickers!$C$10,Tickers!$D$10,Control!$B$6,Control!$B$7,"Dir=V","Sort=D","Days=W","Fill=P","Dts=H")</f>
        <v/>
      </c>
      <c r="G8" s="63">
        <f>BDH(Tickers!$C$11,Tickers!$D$11,Control!$B$6,Control!$B$7,"Dir=V","Sort=D","Days=W","Fill=P","Dts=H")</f>
        <v/>
      </c>
      <c r="H8" s="63">
        <f>BDH(Tickers!$C$12,Tickers!$D$12,Control!$B$6,Control!$B$7,"Dir=V","Sort=D","Days=W","Fill=P","Dts=H")</f>
        <v/>
      </c>
      <c r="I8" s="63">
        <f>BDH(Tickers!$C$13,Tickers!$D$13,Control!$B$6,Control!$B$7,"Dir=V","Sort=D","Days=W","Fill=P","Dts=H")</f>
        <v/>
      </c>
      <c r="J8" s="63">
        <f>BDH(Tickers!$C$14,Tickers!$D$14,Control!$B$6,Control!$B$7,"Dir=V","Sort=D","Days=W","Fill=P","Dts=H")</f>
        <v/>
      </c>
      <c r="K8" s="63">
        <f>BDH(Tickers!$C$15,Tickers!$D$15,Control!$B$6,Control!$B$7,"Dir=V","Sort=D","Days=W","Fill=P","Dts=H")</f>
        <v/>
      </c>
      <c r="L8" s="63">
        <f>BDH(Tickers!$C$16,Tickers!$D$16,Control!$B$6,Control!$B$7,"Dir=V","Sort=D","Days=W","Fill=P","Dts=H")</f>
        <v/>
      </c>
      <c r="M8" s="63">
        <f>BDH(Tickers!$C$17,Tickers!$D$17,Control!$B$6,Control!$B$7,"Dir=V","Sort=D","Days=W","Fill=P","Dts=H")</f>
        <v/>
      </c>
      <c r="N8" s="63">
        <f>BDH(Tickers!$C$18,Tickers!$D$18,Control!$B$6,Control!$B$7,"Dir=V","Sort=D","Days=W","Fill=P","Dts=H")</f>
        <v/>
      </c>
      <c r="O8" s="63">
        <f>BDH(Tickers!$C$19,Tickers!$D$19,Control!$B$6,Control!$B$7,"Dir=V","Sort=D","Days=W","Fill=P","Dts=H")</f>
        <v/>
      </c>
      <c r="P8" s="63">
        <f>BDH(Tickers!$C$20,Tickers!$D$20,Control!$B$6,Control!$B$7,"Dir=V","Sort=D","Days=W","Fill=P","Dts=H")</f>
        <v/>
      </c>
      <c r="Q8" s="63">
        <f>BDH(Tickers!$C$21,Tickers!$D$21,Control!$B$6,Control!$B$7,"Dir=V","Sort=D","Days=W","Fill=P","Dts=H")</f>
        <v/>
      </c>
      <c r="R8" s="63">
        <f>BDH(Tickers!$C$22,Tickers!$D$22,Control!$B$6,Control!$B$7,"Dir=V","Sort=D","Days=W","Fill=P","Dts=H")</f>
        <v/>
      </c>
      <c r="S8" s="63">
        <f>BDH(Tickers!$C$23,Tickers!$D$23,Control!$B$6,Control!$B$7,"Dir=V","Sort=D","Days=W","Fill=P","Dts=H")</f>
        <v/>
      </c>
      <c r="T8" s="63">
        <f>BDH(Tickers!$C$24,Tickers!$D$24,Control!$B$6,Control!$B$7,"Dir=V","Sort=D","Days=W","Fill=P","Dts=H")</f>
        <v/>
      </c>
      <c r="U8" s="63">
        <f>BDH(Tickers!$C$25,Tickers!$D$25,Control!$B$6,Control!$B$7,"Dir=V","Sort=D","Days=W","Fill=P","Dts=H")</f>
        <v/>
      </c>
      <c r="V8" s="63">
        <f>BDH(Tickers!$C$26,Tickers!$D$26,Control!$B$6,Control!$B$7,"Dir=V","Sort=D","Days=W","Fill=P","Dts=H")</f>
        <v/>
      </c>
      <c r="W8" s="63">
        <f>BDH(Tickers!$C$27,Tickers!$D$27,Control!$B$6,Control!$B$7,"Dir=V","Sort=D","Days=W","Fill=P","Dts=H")</f>
        <v/>
      </c>
      <c r="X8" s="63">
        <f>BDH(Tickers!$C$28,Tickers!$D$28,Control!$B$6,Control!$B$7,"Dir=V","Sort=D","Days=W","Fill=P","Dts=H")</f>
        <v/>
      </c>
      <c r="Y8" s="63">
        <f>BDH(Tickers!$C$29,Tickers!$D$29,Control!$B$6,Control!$B$7,"Dir=V","Sort=D","Days=W","Fill=P","Dts=H")</f>
        <v/>
      </c>
      <c r="Z8" s="63">
        <f>BDH(Tickers!$C$30,Tickers!$D$30,Control!$B$6,Control!$B$7,"Dir=V","Sort=D","Days=W","Fill=P","Dts=H")</f>
        <v/>
      </c>
      <c r="AA8" s="63">
        <f>BDH(Tickers!$C$31,Tickers!$D$31,Control!$B$6,Control!$B$7,"Dir=V","Sort=D","Days=W","Fill=P","Dts=H")</f>
        <v/>
      </c>
      <c r="AB8" s="63">
        <f>BDH(Tickers!$C$32,Tickers!$D$32,Control!$B$6,Control!$B$7,"Dir=V","Sort=D","Days=W","Fill=P","Dts=H")</f>
        <v/>
      </c>
      <c r="AC8" s="63">
        <f>BDH(Tickers!$C$33,Tickers!$D$33,Control!$B$6,Control!$B$7,"Dir=V","Sort=D","Days=W","Fill=P","Dts=H")</f>
        <v/>
      </c>
      <c r="AD8" s="63">
        <f>BDH(Tickers!$C$34,Tickers!$D$34,Control!$B$6,Control!$B$7,"Dir=V","Sort=D","Days=W","Fill=P","Dts=H")</f>
        <v/>
      </c>
      <c r="AE8" s="63">
        <f>BDH(Tickers!$C$35,Tickers!$D$35,Control!$B$6,Control!$B$7,"Dir=V","Sort=D","Days=W","Fill=P","Dts=H")</f>
        <v/>
      </c>
      <c r="AF8" s="63">
        <f>BDH(Tickers!$C$36,Tickers!$D$36,Control!$B$6,Control!$B$7,"Dir=V","Sort=D","Days=W","Fill=P","Dts=H")</f>
        <v/>
      </c>
      <c r="AG8" s="63">
        <f>BDH(Tickers!$C$37,Tickers!$D$37,Control!$B$6,Control!$B$7,"Dir=V","Sort=D","Days=W","Fill=P","Dts=H")</f>
        <v/>
      </c>
      <c r="AH8" s="63">
        <f>BDH(Tickers!$C$38,Tickers!$D$38,Control!$B$6,Control!$B$7,"Dir=V","Sort=D","Days=W","Fill=P","Dts=H")</f>
        <v/>
      </c>
      <c r="AI8" s="63">
        <f>BDH(Tickers!$C$39,Tickers!$D$39,Control!$B$6,Control!$B$7,"Dir=V","Sort=D","Days=W","Fill=P","Dts=H")</f>
        <v/>
      </c>
      <c r="AJ8" s="63">
        <f>BDH(Tickers!$C$40,Tickers!$D$40,Control!$B$6,Control!$B$7,"Dir=V","Sort=D","Days=W","Fill=P","Dts=H")</f>
        <v/>
      </c>
      <c r="AK8" s="63">
        <f>BDH(Tickers!$C$41,Tickers!$D$41,Control!$B$6,Control!$B$7,"Dir=V","Sort=D","Days=W","Fill=P","Dts=H")</f>
        <v/>
      </c>
      <c r="AL8" s="63">
        <f>BDH(Tickers!$C$42,Tickers!$D$42,Control!$B$6,Control!$B$7,"Dir=V","Sort=D","Days=W","Fill=P","Dts=H")</f>
        <v/>
      </c>
      <c r="AM8" s="63">
        <f>BDH(Tickers!$C$43,Tickers!$D$43,Control!$B$6,Control!$B$7,"Dir=V","Sort=D","Days=W","Fill=P","Dts=H")</f>
        <v/>
      </c>
      <c r="AN8" s="63">
        <f>BDH(Tickers!$C$44,Tickers!$D$44,Control!$B$6,Control!$B$7,"Dir=V","Sort=D","Days=W","Fill=P","Dts=H")</f>
        <v/>
      </c>
      <c r="AO8" s="63">
        <f>BDH(Tickers!$C$45,Tickers!$D$45,Control!$B$6,Control!$B$7,"Dir=V","Sort=D","Days=W","Fill=P","Dts=H")</f>
        <v/>
      </c>
      <c r="AP8" s="63">
        <f>BDH(Tickers!$C$46,Tickers!$D$46,Control!$B$6,Control!$B$7,"Dir=V","Sort=D","Days=W","Fill=P","Dts=H")</f>
        <v/>
      </c>
      <c r="AQ8" s="63">
        <f>BDH(Tickers!$C$47,Tickers!$D$47,Control!$B$6,Control!$B$7,"Dir=V","Sort=D","Days=W","Fill=P","Dts=H")</f>
        <v/>
      </c>
      <c r="AR8" s="63">
        <f>BDH(Tickers!$C$48,Tickers!$D$48,Control!$B$6,Control!$B$7,"Dir=V","Sort=D","Days=W","Fill=P","Dts=H")</f>
        <v/>
      </c>
      <c r="AS8" s="63">
        <f>BDH(Tickers!$C$49,Tickers!$D$49,Control!$B$6,Control!$B$7,"Dir=V","Sort=D","Days=W","Fill=P","Dts=H")</f>
        <v/>
      </c>
      <c r="AT8" s="63">
        <f>BDH(Tickers!$C$50,Tickers!$D$50,Control!$B$6,Control!$B$7,"Dir=V","Sort=D","Days=W","Fill=P","Dts=H")</f>
        <v/>
      </c>
      <c r="AU8" s="63">
        <f>BDH(Tickers!$C$51,Tickers!$D$51,Control!$B$6,Control!$B$7,"Dir=V","Sort=D","Days=W","Fill=P","Dts=H")</f>
        <v/>
      </c>
      <c r="AV8" s="63">
        <f>BDH(Tickers!$C$52,Tickers!$D$52,Control!$B$6,Control!$B$7,"Dir=V","Sort=D","Days=W","Fill=P","Dts=H")</f>
        <v/>
      </c>
      <c r="AW8" s="63">
        <f>BDH(Tickers!$C$53,Tickers!$D$53,Control!$B$6,Control!$B$7,"Dir=V","Sort=D","Days=W","Fill=P","Dts=H")</f>
        <v/>
      </c>
      <c r="AX8" s="63">
        <f>BDH(Tickers!$C$54,Tickers!$D$54,Control!$B$6,Control!$B$7,"Dir=V","Sort=D","Days=W","Fill=P","Dts=H")</f>
        <v/>
      </c>
      <c r="AY8" s="63">
        <f>BDH(Tickers!$C$55,Tickers!$D$55,Control!$B$6,Control!$B$7,"Dir=V","Sort=D","Days=W","Fill=P","Dts=H")</f>
        <v/>
      </c>
      <c r="AZ8" s="63">
        <f>BDH(Tickers!$C$56,Tickers!$D$56,Control!$B$6,Control!$B$7,"Dir=V","Sort=D","Days=W","Fill=P","Dts=H")</f>
        <v/>
      </c>
      <c r="BA8" s="63">
        <f>BDH(Tickers!$C$57,Tickers!$D$57,Control!$B$6,Control!$B$7,"Dir=V","Sort=D","Days=W","Fill=P","Dts=H")</f>
        <v/>
      </c>
      <c r="BB8" s="63">
        <f>BDH(Tickers!$C$58,Tickers!$D$58,Control!$B$6,Control!$B$7,"Dir=V","Sort=D","Days=W","Fill=P","Dts=H")</f>
        <v/>
      </c>
      <c r="BC8" s="63">
        <f>BDH(Tickers!$C$59,Tickers!$D$59,Control!$B$6,Control!$B$7,"Dir=V","Sort=D","Days=W","Fill=P","Dts=H")</f>
        <v/>
      </c>
      <c r="BD8" s="63">
        <f>BDH(Tickers!$C$60,Tickers!$D$60,Control!$B$6,Control!$B$7,"Dir=V","Sort=D","Days=W","Fill=P","Dts=H")</f>
        <v/>
      </c>
      <c r="BE8" s="63">
        <f>BDH(Tickers!$C$61,Tickers!$D$61,Control!$B$6,Control!$B$7,"Dir=V","Sort=D","Days=W","Fill=P","Dts=H")</f>
        <v/>
      </c>
      <c r="BF8" s="63">
        <f>BDH(Tickers!$C$62,Tickers!$D$62,Control!$B$6,Control!$B$7,"Dir=V","Sort=D","Days=W","Fill=P","Dts=H")</f>
        <v/>
      </c>
      <c r="BG8" s="63">
        <f>BDH(Tickers!$C$63,Tickers!$D$63,Control!$B$6,Control!$B$7,"Dir=V","Sort=D","Days=W","Fill=P","Dts=H")</f>
        <v/>
      </c>
      <c r="BH8" s="63">
        <f>BDH(Tickers!$C$64,Tickers!$D$64,Control!$B$6,Control!$B$7,"Dir=V","Sort=D","Days=W","Fill=P","Dts=H")</f>
        <v/>
      </c>
      <c r="BI8" s="63">
        <f>BDH(Tickers!$C$65,Tickers!$D$65,Control!$B$6,Control!$B$7,"Dir=V","Sort=D","Days=W","Fill=P","Dts=H")</f>
        <v/>
      </c>
      <c r="BJ8" s="63">
        <f>BDH(Tickers!$C$66,Tickers!$D$66,Control!$B$6,Control!$B$7,"Dir=V","Sort=D","Days=W","Fill=P","Dts=H")</f>
        <v/>
      </c>
      <c r="BK8" s="63">
        <f>BDH(Tickers!$C$67,Tickers!$D$67,Control!$B$6,Control!$B$7,"Dir=V","Sort=D","Days=W","Fill=P","Dts=H")</f>
        <v/>
      </c>
      <c r="BL8" s="63">
        <f>BDH(Tickers!$C$68,Tickers!$D$68,Control!$B$6,Control!$B$7,"Dir=V","Sort=D","Days=W","Fill=P","Dts=H")</f>
        <v/>
      </c>
      <c r="BM8" s="63">
        <f>BDH(Tickers!$C$69,Tickers!$D$69,Control!$B$6,Control!$B$7,"Dir=V","Sort=D","Days=W","Fill=P","Dts=H")</f>
        <v/>
      </c>
      <c r="BN8" s="63">
        <f>BDH(Tickers!$C$70,Tickers!$D$70,Control!$B$6,Control!$B$7,"Dir=V","Sort=D","Days=W","Fill=P","Dts=H")</f>
        <v/>
      </c>
      <c r="BO8" s="63">
        <f>BDH(Tickers!$C$71,Tickers!$D$71,Control!$B$6,Control!$B$7,"Dir=V","Sort=D","Days=W","Fill=P","Dts=H")</f>
        <v/>
      </c>
      <c r="BP8" s="63">
        <f>BDH(Tickers!$C$72,Tickers!$D$72,Control!$B$6,Control!$B$7,"Dir=V","Sort=D","Days=W","Fill=P","Dts=H")</f>
        <v/>
      </c>
      <c r="BQ8" s="63">
        <f>BDH(Tickers!$C$73,Tickers!$D$73,Control!$B$6,Control!$B$7,"Dir=V","Sort=D","Days=W","Fill=P","Dts=H")</f>
        <v/>
      </c>
      <c r="BR8" s="63">
        <f>BDH(Tickers!$C$74,Tickers!$D$74,Control!$B$6,Control!$B$7,"Dir=V","Sort=D","Days=W","Fill=P","Dts=H")</f>
        <v/>
      </c>
      <c r="BS8" s="63">
        <f>BDH(Tickers!$C$75,Tickers!$D$75,Control!$B$6,Control!$B$7,"Dir=V","Sort=D","Days=W","Fill=P","Dts=H")</f>
        <v/>
      </c>
      <c r="BT8" s="63">
        <f>BDH(Tickers!$C$76,Tickers!$D$76,Control!$B$6,Control!$B$7,"Dir=V","Sort=D","Days=W","Fill=P","Dts=H")</f>
        <v/>
      </c>
      <c r="BU8" s="63">
        <f>BDH(Tickers!$C$77,Tickers!$D$77,Control!$B$6,Control!$B$7,"Dir=V","Sort=D","Days=W","Fill=P","Dts=H")</f>
        <v/>
      </c>
      <c r="BV8" s="63">
        <f>BDH(Tickers!$C$78,Tickers!$D$78,Control!$B$6,Control!$B$7,"Dir=V","Sort=D","Days=W","Fill=P","Dts=H")</f>
        <v/>
      </c>
      <c r="BW8" s="63">
        <f>BDH(Tickers!$C$79,Tickers!$D$79,Control!$B$6,Control!$B$7,"Dir=V","Sort=D","Days=W","Fill=P","Dts=H")</f>
        <v/>
      </c>
      <c r="BX8" s="63">
        <f>BDH(Tickers!$C$80,Tickers!$D$80,Control!$B$6,Control!$B$7,"Dir=V","Sort=D","Days=W","Fill=P","Dts=H")</f>
        <v/>
      </c>
      <c r="BY8" s="63">
        <f>BDH(Tickers!$C$81,Tickers!$D$81,Control!$B$6,Control!$B$7,"Dir=V","Sort=D","Days=W","Fill=P","Dts=H")</f>
        <v/>
      </c>
      <c r="BZ8" s="63">
        <f>BDH(Tickers!$C$82,Tickers!$D$82,Control!$B$6,Control!$B$7,"Dir=V","Sort=D","Days=W","Fill=P","Dts=H")</f>
        <v/>
      </c>
      <c r="CA8" s="63">
        <f>BDH(Tickers!$C$83,Tickers!$D$83,Control!$B$6,Control!$B$7,"Dir=V","Sort=D","Days=W","Fill=P","Dts=H")</f>
        <v/>
      </c>
      <c r="CB8" s="63">
        <f>BDH(Tickers!$C$84,Tickers!$D$84,Control!$B$6,Control!$B$7,"Dir=V","Sort=D","Days=W","Fill=P","Dts=H")</f>
        <v/>
      </c>
      <c r="CC8" s="63">
        <f>BDH(Tickers!$C$85,Tickers!$D$85,Control!$B$6,Control!$B$7,"Dir=V","Sort=D","Days=W","Fill=P","Dts=H")</f>
        <v/>
      </c>
      <c r="CD8" s="63">
        <f>BDH(Tickers!$C$86,Tickers!$D$86,Control!$B$6,Control!$B$7,"Dir=V","Sort=D","Days=W","Fill=P","Dts=H")</f>
        <v/>
      </c>
      <c r="CE8" s="63">
        <f>BDH(Tickers!$C$87,Tickers!$D$87,Control!$B$6,Control!$B$7,"Dir=V","Sort=D","Days=W","Fill=P","Dts=H")</f>
        <v/>
      </c>
      <c r="CF8" s="63">
        <f>BDH(Tickers!$C$88,Tickers!$D$88,Control!$B$6,Control!$B$7,"Dir=V","Sort=D","Days=W","Fill=P","Dts=H")</f>
        <v/>
      </c>
      <c r="CG8" s="63">
        <f>BDH(Tickers!$C$89,Tickers!$D$89,Control!$B$6,Control!$B$7,"Dir=V","Sort=D","Days=W","Fill=P","Dts=H")</f>
        <v/>
      </c>
      <c r="CH8" s="63">
        <f>BDH(Tickers!$C$90,Tickers!$D$90,Control!$B$6,Control!$B$7,"Dir=V","Sort=D","Days=W","Fill=P","Dts=H")</f>
        <v/>
      </c>
      <c r="CI8" s="63">
        <f>BDH(Tickers!$C$91,Tickers!$D$91,Control!$B$6,Control!$B$7,"Dir=V","Sort=D","Days=W","Fill=P","Dts=H")</f>
        <v/>
      </c>
      <c r="CJ8" s="63">
        <f>BDH(Tickers!$C$92,Tickers!$D$92,Control!$B$6,Control!$B$7,"Dir=V","Sort=D","Days=W","Fill=P","Dts=H")</f>
        <v/>
      </c>
      <c r="CK8" s="63">
        <f>BDH(Tickers!$C$93,Tickers!$D$93,Control!$B$6,Control!$B$7,"Dir=V","Sort=D","Days=W","Fill=P","Dts=H")</f>
        <v/>
      </c>
      <c r="CL8" s="63">
        <f>BDH(Tickers!$C$94,Tickers!$D$94,Control!$B$6,Control!$B$7,"Dir=V","Sort=D","Days=W","Fill=P","Dts=H")</f>
        <v/>
      </c>
      <c r="CM8" s="63">
        <f>BDH(Tickers!$C$95,Tickers!$D$95,Control!$B$6,Control!$B$7,"Dir=V","Sort=D","Days=W","Fill=P","Dts=H")</f>
        <v/>
      </c>
      <c r="CN8" s="63">
        <f>BDH(Tickers!$C$96,Tickers!$D$96,Control!$B$6,Control!$B$7,"Dir=V","Sort=D","Days=W","Fill=P","Dts=H")</f>
        <v/>
      </c>
      <c r="CO8" s="63">
        <f>BDH(Tickers!$C$97,Tickers!$D$97,Control!$B$6,Control!$B$7,"Dir=V","Sort=D","Days=W","Fill=P","Dts=H")</f>
        <v/>
      </c>
      <c r="CP8" s="63">
        <f>BDH(Tickers!$C$98,Tickers!$D$98,Control!$B$6,Control!$B$7,"Dir=V","Sort=D","Days=W","Fill=P","Dts=H")</f>
        <v/>
      </c>
      <c r="CQ8" s="63">
        <f>BDH(Tickers!$C$99,Tickers!$D$99,Control!$B$6,Control!$B$7,"Dir=V","Sort=D","Days=W","Fill=P","Dts=H")</f>
        <v/>
      </c>
      <c r="CR8" s="63">
        <f>BDH(Tickers!$C$100,Tickers!$D$100,Control!$B$6,Control!$B$7,"Dir=V","Sort=D","Days=W","Fill=P","Dts=H")</f>
        <v/>
      </c>
      <c r="CS8" s="63">
        <f>BDH(Tickers!$C$101,Tickers!$D$101,Control!$B$6,Control!$B$7,"Dir=V","Sort=D","Days=W","Fill=P","Dts=H")</f>
        <v/>
      </c>
      <c r="CT8" s="63">
        <f>BDH(Tickers!$C$102,Tickers!$D$102,Control!$B$6,Control!$B$7,"Dir=V","Sort=D","Days=W","Fill=P","Dts=H")</f>
        <v/>
      </c>
      <c r="CU8" s="63">
        <f>BDH(Tickers!$C$103,Tickers!$D$103,Control!$B$6,Control!$B$7,"Dir=V","Sort=D","Days=W","Fill=P","Dts=H")</f>
        <v/>
      </c>
      <c r="CV8" s="63">
        <f>BDH(Tickers!$C$104,Tickers!$D$104,Control!$B$6,Control!$B$7,"Dir=V","Sort=D","Days=W","Fill=P","Dts=H")</f>
        <v/>
      </c>
      <c r="CW8" s="63">
        <f>BDH(Tickers!$C$105,Tickers!$D$105,Control!$B$6,Control!$B$7,"Dir=V","Sort=D","Days=W","Fill=P","Dts=H")</f>
        <v/>
      </c>
      <c r="CX8" s="63">
        <f>BDH(Tickers!$C$106,Tickers!$D$106,Control!$B$6,Control!$B$7,"Dir=V","Sort=D","Days=W","Fill=P","Dts=H")</f>
        <v/>
      </c>
      <c r="CY8" s="63">
        <f>BDH(Tickers!$C$107,Tickers!$D$107,Control!$B$6,Control!$B$7,"Dir=V","Sort=D","Days=W","Fill=P","Dts=H")</f>
        <v/>
      </c>
      <c r="CZ8" s="63">
        <f>BDH(Tickers!$C$108,Tickers!$D$108,Control!$B$6,Control!$B$7,"Dir=V","Sort=D","Days=W","Fill=P","Dts=H")</f>
        <v/>
      </c>
      <c r="DA8" s="63">
        <f>BDH(Tickers!$C$109,Tickers!$D$109,Control!$B$6,Control!$B$7,"Dir=V","Sort=D","Days=W","Fill=P","Dts=H")</f>
        <v/>
      </c>
      <c r="DB8" s="63">
        <f>BDH(Tickers!$C$110,Tickers!$D$110,Control!$B$6,Control!$B$7,"Dir=V","Sort=D","Days=W","Fill=P","Dts=H")</f>
        <v/>
      </c>
      <c r="DC8" s="63">
        <f>BDH(Tickers!$C$111,Tickers!$D$111,Control!$B$6,Control!$B$7,"Dir=V","Sort=D","Days=W","Fill=P","Dts=H")</f>
        <v/>
      </c>
      <c r="DD8" s="63">
        <f>BDH(Tickers!$C$112,Tickers!$D$112,Control!$B$6,Control!$B$7,"Dir=V","Sort=D","Days=W","Fill=P","Dts=H")</f>
        <v/>
      </c>
      <c r="DE8" s="63">
        <f>BDH(Tickers!$C$113,Tickers!$D$113,Control!$B$6,Control!$B$7,"Dir=V","Sort=D","Days=W","Fill=P","Dts=H")</f>
        <v/>
      </c>
      <c r="DF8" s="63">
        <f>BDH(Tickers!$C$114,Tickers!$D$114,Control!$B$6,Control!$B$7,"Dir=V","Sort=D","Days=W","Fill=P","Dts=H")</f>
        <v/>
      </c>
      <c r="DG8" s="64">
        <f>($B8-$B9)*100</f>
        <v/>
      </c>
      <c r="DH8" s="64">
        <f>($D8-$D9)*100</f>
        <v/>
      </c>
      <c r="DI8" s="64">
        <f>($E8-$E9)*100</f>
        <v/>
      </c>
      <c r="DJ8" s="64">
        <f>($H8-$H9)*100</f>
        <v/>
      </c>
      <c r="DK8" s="65">
        <f>IFERROR($J8/$J9-1,"")</f>
        <v/>
      </c>
      <c r="DL8" s="64">
        <f>$L8-$L9</f>
        <v/>
      </c>
      <c r="DM8" s="64">
        <f>$K8-$K9</f>
        <v/>
      </c>
      <c r="DN8" s="65">
        <f>IFERROR($N8/$N9-1,"")</f>
        <v/>
      </c>
      <c r="DO8" s="65">
        <f>IFERROR($M8/$M9-1,"")</f>
        <v/>
      </c>
      <c r="DP8" s="65">
        <f>IFERROR($AZ8/$AZ9-1,"")</f>
        <v/>
      </c>
      <c r="DQ8" s="65">
        <f>IFERROR($BA8/$BA9-1,"")</f>
        <v/>
      </c>
      <c r="DR8" s="64">
        <f>$O8-$O9</f>
        <v/>
      </c>
      <c r="DS8" s="64">
        <f>$P8-$P9</f>
        <v/>
      </c>
      <c r="DT8" s="64">
        <f>$Q8-$Q9</f>
        <v/>
      </c>
      <c r="DU8" s="64">
        <f>$S8-$S9</f>
        <v/>
      </c>
      <c r="DV8" s="65">
        <f>IFERROR(AVERAGE($AA9/$AA8-1,$AB9/$AB8-1,$AC9/$AC8-1,$AD9/$AD8-1,$AE9/$AE8-1,$AG9/$AG8-1,$AH9/$AH8-1,$AI9/$AI8-1,$AJ9/$AJ8-1,$AL9/$AL8-1,$AM9/$AM8-1,$AR9/$AR8-1,$AS9/$AS8-1,$AT9/$AT8-1,$AU9/$AU8-1,$AV9/$AV8-1,$AW9/$AW8-1,$AX9/$AX8-1,$AY9/$AY8-1),"")</f>
        <v/>
      </c>
      <c r="DW8" s="66">
        <f>AVERAGE($CB8,$CC8,$CD8,$CE8,$CF8,$CG8,$CH8,$CI8,$CJ8,$CL8,$CM8,$CN8,$CO8,$CP8,$CQ8,$CR8,$CS8,$CT8)</f>
        <v/>
      </c>
      <c r="DX8" s="66">
        <f>AVERAGE($CB8,$CC8,$CM8,$CE8,$CP8)</f>
        <v/>
      </c>
      <c r="DY8" s="64">
        <f>($DW8-$DW9)*100</f>
        <v/>
      </c>
      <c r="DZ8" s="64">
        <f>($DX8-$DX9)*100</f>
        <v/>
      </c>
      <c r="EA8" s="64">
        <f>($DW8-$D8)*100</f>
        <v/>
      </c>
      <c r="EB8" s="64">
        <f>$Q8-$O8</f>
        <v/>
      </c>
      <c r="EC8" s="67">
        <f>IFERROR($Q8/$P8,"")</f>
        <v/>
      </c>
    </row>
    <row r="9">
      <c r="DG9" s="64">
        <f>($B9-$B10)*100</f>
        <v/>
      </c>
      <c r="DH9" s="64">
        <f>($D9-$D10)*100</f>
        <v/>
      </c>
      <c r="DI9" s="64">
        <f>($E9-$E10)*100</f>
        <v/>
      </c>
      <c r="DJ9" s="64">
        <f>($H9-$H10)*100</f>
        <v/>
      </c>
      <c r="DK9" s="65">
        <f>IFERROR($J9/$J10-1,"")</f>
        <v/>
      </c>
      <c r="DL9" s="64">
        <f>$L9-$L10</f>
        <v/>
      </c>
      <c r="DM9" s="64">
        <f>$K9-$K10</f>
        <v/>
      </c>
      <c r="DN9" s="65">
        <f>IFERROR($N9/$N10-1,"")</f>
        <v/>
      </c>
      <c r="DO9" s="65">
        <f>IFERROR($M9/$M10-1,"")</f>
        <v/>
      </c>
      <c r="DP9" s="65">
        <f>IFERROR($AZ9/$AZ10-1,"")</f>
        <v/>
      </c>
      <c r="DQ9" s="65">
        <f>IFERROR($BA9/$BA10-1,"")</f>
        <v/>
      </c>
      <c r="DR9" s="64">
        <f>$O9-$O10</f>
        <v/>
      </c>
      <c r="DS9" s="64">
        <f>$P9-$P10</f>
        <v/>
      </c>
      <c r="DT9" s="64">
        <f>$Q9-$Q10</f>
        <v/>
      </c>
      <c r="DU9" s="64">
        <f>$S9-$S10</f>
        <v/>
      </c>
      <c r="DV9" s="65">
        <f>IFERROR(AVERAGE($AA10/$AA9-1,$AB10/$AB9-1,$AC10/$AC9-1,$AD10/$AD9-1,$AE10/$AE9-1,$AG10/$AG9-1,$AH10/$AH9-1,$AI10/$AI9-1,$AJ10/$AJ9-1,$AL10/$AL9-1,$AM10/$AM9-1,$AR10/$AR9-1,$AS10/$AS9-1,$AT10/$AT9-1,$AU10/$AU9-1,$AV10/$AV9-1,$AW10/$AW9-1,$AX10/$AX9-1,$AY10/$AY9-1),"")</f>
        <v/>
      </c>
      <c r="DW9" s="66">
        <f>AVERAGE($CB9,$CC9,$CD9,$CE9,$CF9,$CG9,$CH9,$CI9,$CJ9,$CL9,$CM9,$CN9,$CO9,$CP9,$CQ9,$CR9,$CS9,$CT9)</f>
        <v/>
      </c>
      <c r="DX9" s="66">
        <f>AVERAGE($CB9,$CC9,$CM9,$CE9,$CP9)</f>
        <v/>
      </c>
      <c r="DY9" s="64">
        <f>($DW9-$DW10)*100</f>
        <v/>
      </c>
      <c r="DZ9" s="64">
        <f>($DX9-$DX10)*100</f>
        <v/>
      </c>
      <c r="EA9" s="64">
        <f>($DW9-$D9)*100</f>
        <v/>
      </c>
      <c r="EB9" s="64">
        <f>$Q9-$O9</f>
        <v/>
      </c>
      <c r="EC9" s="67">
        <f>IFERROR($Q9/$P9,"")</f>
        <v/>
      </c>
    </row>
    <row r="10">
      <c r="DG10" s="64">
        <f>($B10-$B11)*100</f>
        <v/>
      </c>
      <c r="DH10" s="64">
        <f>($D10-$D11)*100</f>
        <v/>
      </c>
      <c r="DI10" s="64">
        <f>($E10-$E11)*100</f>
        <v/>
      </c>
      <c r="DJ10" s="64">
        <f>($H10-$H11)*100</f>
        <v/>
      </c>
      <c r="DK10" s="65">
        <f>IFERROR($J10/$J11-1,"")</f>
        <v/>
      </c>
      <c r="DL10" s="64">
        <f>$L10-$L11</f>
        <v/>
      </c>
      <c r="DM10" s="64">
        <f>$K10-$K11</f>
        <v/>
      </c>
      <c r="DN10" s="65">
        <f>IFERROR($N10/$N11-1,"")</f>
        <v/>
      </c>
      <c r="DO10" s="65">
        <f>IFERROR($M10/$M11-1,"")</f>
        <v/>
      </c>
      <c r="DP10" s="65">
        <f>IFERROR($AZ10/$AZ11-1,"")</f>
        <v/>
      </c>
      <c r="DQ10" s="65">
        <f>IFERROR($BA10/$BA11-1,"")</f>
        <v/>
      </c>
      <c r="DR10" s="64">
        <f>$O10-$O11</f>
        <v/>
      </c>
      <c r="DS10" s="64">
        <f>$P10-$P11</f>
        <v/>
      </c>
      <c r="DT10" s="64">
        <f>$Q10-$Q11</f>
        <v/>
      </c>
      <c r="DU10" s="64">
        <f>$S10-$S11</f>
        <v/>
      </c>
      <c r="DV10" s="65">
        <f>IFERROR(AVERAGE($AA11/$AA10-1,$AB11/$AB10-1,$AC11/$AC10-1,$AD11/$AD10-1,$AE11/$AE10-1,$AG11/$AG10-1,$AH11/$AH10-1,$AI11/$AI10-1,$AJ11/$AJ10-1,$AL11/$AL10-1,$AM11/$AM10-1,$AR11/$AR10-1,$AS11/$AS10-1,$AT11/$AT10-1,$AU11/$AU10-1,$AV11/$AV10-1,$AW11/$AW10-1,$AX11/$AX10-1,$AY11/$AY10-1),"")</f>
        <v/>
      </c>
      <c r="DW10" s="66">
        <f>AVERAGE($CB10,$CC10,$CD10,$CE10,$CF10,$CG10,$CH10,$CI10,$CJ10,$CL10,$CM10,$CN10,$CO10,$CP10,$CQ10,$CR10,$CS10,$CT10)</f>
        <v/>
      </c>
      <c r="DX10" s="66">
        <f>AVERAGE($CB10,$CC10,$CM10,$CE10,$CP10)</f>
        <v/>
      </c>
      <c r="DY10" s="64">
        <f>($DW10-$DW11)*100</f>
        <v/>
      </c>
      <c r="DZ10" s="64">
        <f>($DX10-$DX11)*100</f>
        <v/>
      </c>
      <c r="EA10" s="64">
        <f>($DW10-$D10)*100</f>
        <v/>
      </c>
      <c r="EB10" s="64">
        <f>$Q10-$O10</f>
        <v/>
      </c>
      <c r="EC10" s="67">
        <f>IFERROR($Q10/$P10,"")</f>
        <v/>
      </c>
    </row>
    <row r="11">
      <c r="DG11" s="64">
        <f>($B11-$B12)*100</f>
        <v/>
      </c>
      <c r="DH11" s="64">
        <f>($D11-$D12)*100</f>
        <v/>
      </c>
      <c r="DI11" s="64">
        <f>($E11-$E12)*100</f>
        <v/>
      </c>
      <c r="DJ11" s="64">
        <f>($H11-$H12)*100</f>
        <v/>
      </c>
      <c r="DK11" s="65">
        <f>IFERROR($J11/$J12-1,"")</f>
        <v/>
      </c>
      <c r="DL11" s="64">
        <f>$L11-$L12</f>
        <v/>
      </c>
      <c r="DM11" s="64">
        <f>$K11-$K12</f>
        <v/>
      </c>
      <c r="DN11" s="65">
        <f>IFERROR($N11/$N12-1,"")</f>
        <v/>
      </c>
      <c r="DO11" s="65">
        <f>IFERROR($M11/$M12-1,"")</f>
        <v/>
      </c>
      <c r="DP11" s="65">
        <f>IFERROR($AZ11/$AZ12-1,"")</f>
        <v/>
      </c>
      <c r="DQ11" s="65">
        <f>IFERROR($BA11/$BA12-1,"")</f>
        <v/>
      </c>
      <c r="DR11" s="64">
        <f>$O11-$O12</f>
        <v/>
      </c>
      <c r="DS11" s="64">
        <f>$P11-$P12</f>
        <v/>
      </c>
      <c r="DT11" s="64">
        <f>$Q11-$Q12</f>
        <v/>
      </c>
      <c r="DU11" s="64">
        <f>$S11-$S12</f>
        <v/>
      </c>
      <c r="DV11" s="65">
        <f>IFERROR(AVERAGE($AA12/$AA11-1,$AB12/$AB11-1,$AC12/$AC11-1,$AD12/$AD11-1,$AE12/$AE11-1,$AG12/$AG11-1,$AH12/$AH11-1,$AI12/$AI11-1,$AJ12/$AJ11-1,$AL12/$AL11-1,$AM12/$AM11-1,$AR12/$AR11-1,$AS12/$AS11-1,$AT12/$AT11-1,$AU12/$AU11-1,$AV12/$AV11-1,$AW12/$AW11-1,$AX12/$AX11-1,$AY12/$AY11-1),"")</f>
        <v/>
      </c>
      <c r="DW11" s="66">
        <f>AVERAGE($CB11,$CC11,$CD11,$CE11,$CF11,$CG11,$CH11,$CI11,$CJ11,$CL11,$CM11,$CN11,$CO11,$CP11,$CQ11,$CR11,$CS11,$CT11)</f>
        <v/>
      </c>
      <c r="DX11" s="66">
        <f>AVERAGE($CB11,$CC11,$CM11,$CE11,$CP11)</f>
        <v/>
      </c>
      <c r="DY11" s="64">
        <f>($DW11-$DW12)*100</f>
        <v/>
      </c>
      <c r="DZ11" s="64">
        <f>($DX11-$DX12)*100</f>
        <v/>
      </c>
      <c r="EA11" s="64">
        <f>($DW11-$D11)*100</f>
        <v/>
      </c>
      <c r="EB11" s="64">
        <f>$Q11-$O11</f>
        <v/>
      </c>
      <c r="EC11" s="67">
        <f>IFERROR($Q11/$P11,"")</f>
        <v/>
      </c>
    </row>
    <row r="12">
      <c r="DG12" s="64">
        <f>($B12-$B13)*100</f>
        <v/>
      </c>
      <c r="DH12" s="64">
        <f>($D12-$D13)*100</f>
        <v/>
      </c>
      <c r="DI12" s="64">
        <f>($E12-$E13)*100</f>
        <v/>
      </c>
      <c r="DJ12" s="64">
        <f>($H12-$H13)*100</f>
        <v/>
      </c>
      <c r="DK12" s="65">
        <f>IFERROR($J12/$J13-1,"")</f>
        <v/>
      </c>
      <c r="DL12" s="64">
        <f>$L12-$L13</f>
        <v/>
      </c>
      <c r="DM12" s="64">
        <f>$K12-$K13</f>
        <v/>
      </c>
      <c r="DN12" s="65">
        <f>IFERROR($N12/$N13-1,"")</f>
        <v/>
      </c>
      <c r="DO12" s="65">
        <f>IFERROR($M12/$M13-1,"")</f>
        <v/>
      </c>
      <c r="DP12" s="65">
        <f>IFERROR($AZ12/$AZ13-1,"")</f>
        <v/>
      </c>
      <c r="DQ12" s="65">
        <f>IFERROR($BA12/$BA13-1,"")</f>
        <v/>
      </c>
      <c r="DR12" s="64">
        <f>$O12-$O13</f>
        <v/>
      </c>
      <c r="DS12" s="64">
        <f>$P12-$P13</f>
        <v/>
      </c>
      <c r="DT12" s="64">
        <f>$Q12-$Q13</f>
        <v/>
      </c>
      <c r="DU12" s="64">
        <f>$S12-$S13</f>
        <v/>
      </c>
      <c r="DV12" s="65">
        <f>IFERROR(AVERAGE($AA13/$AA12-1,$AB13/$AB12-1,$AC13/$AC12-1,$AD13/$AD12-1,$AE13/$AE12-1,$AG13/$AG12-1,$AH13/$AH12-1,$AI13/$AI12-1,$AJ13/$AJ12-1,$AL13/$AL12-1,$AM13/$AM12-1,$AR13/$AR12-1,$AS13/$AS12-1,$AT13/$AT12-1,$AU13/$AU12-1,$AV13/$AV12-1,$AW13/$AW12-1,$AX13/$AX12-1,$AY13/$AY12-1),"")</f>
        <v/>
      </c>
      <c r="DW12" s="66">
        <f>AVERAGE($CB12,$CC12,$CD12,$CE12,$CF12,$CG12,$CH12,$CI12,$CJ12,$CL12,$CM12,$CN12,$CO12,$CP12,$CQ12,$CR12,$CS12,$CT12)</f>
        <v/>
      </c>
      <c r="DX12" s="66">
        <f>AVERAGE($CB12,$CC12,$CM12,$CE12,$CP12)</f>
        <v/>
      </c>
      <c r="DY12" s="64">
        <f>($DW12-$DW13)*100</f>
        <v/>
      </c>
      <c r="DZ12" s="64">
        <f>($DX12-$DX13)*100</f>
        <v/>
      </c>
      <c r="EA12" s="64">
        <f>($DW12-$D12)*100</f>
        <v/>
      </c>
      <c r="EB12" s="64">
        <f>$Q12-$O12</f>
        <v/>
      </c>
      <c r="EC12" s="67">
        <f>IFERROR($Q12/$P12,"")</f>
        <v/>
      </c>
    </row>
    <row r="13">
      <c r="DG13" s="64">
        <f>($B13-$B14)*100</f>
        <v/>
      </c>
      <c r="DH13" s="64">
        <f>($D13-$D14)*100</f>
        <v/>
      </c>
      <c r="DI13" s="64">
        <f>($E13-$E14)*100</f>
        <v/>
      </c>
      <c r="DJ13" s="64">
        <f>($H13-$H14)*100</f>
        <v/>
      </c>
      <c r="DK13" s="65">
        <f>IFERROR($J13/$J14-1,"")</f>
        <v/>
      </c>
      <c r="DL13" s="64">
        <f>$L13-$L14</f>
        <v/>
      </c>
      <c r="DM13" s="64">
        <f>$K13-$K14</f>
        <v/>
      </c>
      <c r="DN13" s="65">
        <f>IFERROR($N13/$N14-1,"")</f>
        <v/>
      </c>
      <c r="DO13" s="65">
        <f>IFERROR($M13/$M14-1,"")</f>
        <v/>
      </c>
      <c r="DP13" s="65">
        <f>IFERROR($AZ13/$AZ14-1,"")</f>
        <v/>
      </c>
      <c r="DQ13" s="65">
        <f>IFERROR($BA13/$BA14-1,"")</f>
        <v/>
      </c>
      <c r="DR13" s="64">
        <f>$O13-$O14</f>
        <v/>
      </c>
      <c r="DS13" s="64">
        <f>$P13-$P14</f>
        <v/>
      </c>
      <c r="DT13" s="64">
        <f>$Q13-$Q14</f>
        <v/>
      </c>
      <c r="DU13" s="64">
        <f>$S13-$S14</f>
        <v/>
      </c>
      <c r="DV13" s="65">
        <f>IFERROR(AVERAGE($AA14/$AA13-1,$AB14/$AB13-1,$AC14/$AC13-1,$AD14/$AD13-1,$AE14/$AE13-1,$AG14/$AG13-1,$AH14/$AH13-1,$AI14/$AI13-1,$AJ14/$AJ13-1,$AL14/$AL13-1,$AM14/$AM13-1,$AR14/$AR13-1,$AS14/$AS13-1,$AT14/$AT13-1,$AU14/$AU13-1,$AV14/$AV13-1,$AW14/$AW13-1,$AX14/$AX13-1,$AY14/$AY13-1),"")</f>
        <v/>
      </c>
      <c r="DW13" s="66">
        <f>AVERAGE($CB13,$CC13,$CD13,$CE13,$CF13,$CG13,$CH13,$CI13,$CJ13,$CL13,$CM13,$CN13,$CO13,$CP13,$CQ13,$CR13,$CS13,$CT13)</f>
        <v/>
      </c>
      <c r="DX13" s="66">
        <f>AVERAGE($CB13,$CC13,$CM13,$CE13,$CP13)</f>
        <v/>
      </c>
      <c r="DY13" s="64">
        <f>($DW13-$DW14)*100</f>
        <v/>
      </c>
      <c r="DZ13" s="64">
        <f>($DX13-$DX14)*100</f>
        <v/>
      </c>
      <c r="EA13" s="64">
        <f>($DW13-$D13)*100</f>
        <v/>
      </c>
      <c r="EB13" s="64">
        <f>$Q13-$O13</f>
        <v/>
      </c>
      <c r="EC13" s="67">
        <f>IFERROR($Q13/$P13,"")</f>
        <v/>
      </c>
    </row>
    <row r="14">
      <c r="DG14" s="64">
        <f>($B14-$B15)*100</f>
        <v/>
      </c>
      <c r="DH14" s="64">
        <f>($D14-$D15)*100</f>
        <v/>
      </c>
      <c r="DI14" s="64">
        <f>($E14-$E15)*100</f>
        <v/>
      </c>
      <c r="DJ14" s="64">
        <f>($H14-$H15)*100</f>
        <v/>
      </c>
      <c r="DK14" s="65">
        <f>IFERROR($J14/$J15-1,"")</f>
        <v/>
      </c>
      <c r="DL14" s="64">
        <f>$L14-$L15</f>
        <v/>
      </c>
      <c r="DM14" s="64">
        <f>$K14-$K15</f>
        <v/>
      </c>
      <c r="DN14" s="65">
        <f>IFERROR($N14/$N15-1,"")</f>
        <v/>
      </c>
      <c r="DO14" s="65">
        <f>IFERROR($M14/$M15-1,"")</f>
        <v/>
      </c>
      <c r="DP14" s="65">
        <f>IFERROR($AZ14/$AZ15-1,"")</f>
        <v/>
      </c>
      <c r="DQ14" s="65">
        <f>IFERROR($BA14/$BA15-1,"")</f>
        <v/>
      </c>
      <c r="DR14" s="64">
        <f>$O14-$O15</f>
        <v/>
      </c>
      <c r="DS14" s="64">
        <f>$P14-$P15</f>
        <v/>
      </c>
      <c r="DT14" s="64">
        <f>$Q14-$Q15</f>
        <v/>
      </c>
      <c r="DU14" s="64">
        <f>$S14-$S15</f>
        <v/>
      </c>
      <c r="DV14" s="65">
        <f>IFERROR(AVERAGE($AA15/$AA14-1,$AB15/$AB14-1,$AC15/$AC14-1,$AD15/$AD14-1,$AE15/$AE14-1,$AG15/$AG14-1,$AH15/$AH14-1,$AI15/$AI14-1,$AJ15/$AJ14-1,$AL15/$AL14-1,$AM15/$AM14-1,$AR15/$AR14-1,$AS15/$AS14-1,$AT15/$AT14-1,$AU15/$AU14-1,$AV15/$AV14-1,$AW15/$AW14-1,$AX15/$AX14-1,$AY15/$AY14-1),"")</f>
        <v/>
      </c>
      <c r="DW14" s="66">
        <f>AVERAGE($CB14,$CC14,$CD14,$CE14,$CF14,$CG14,$CH14,$CI14,$CJ14,$CL14,$CM14,$CN14,$CO14,$CP14,$CQ14,$CR14,$CS14,$CT14)</f>
        <v/>
      </c>
      <c r="DX14" s="66">
        <f>AVERAGE($CB14,$CC14,$CM14,$CE14,$CP14)</f>
        <v/>
      </c>
      <c r="DY14" s="64">
        <f>($DW14-$DW15)*100</f>
        <v/>
      </c>
      <c r="DZ14" s="64">
        <f>($DX14-$DX15)*100</f>
        <v/>
      </c>
      <c r="EA14" s="64">
        <f>($DW14-$D14)*100</f>
        <v/>
      </c>
      <c r="EB14" s="64">
        <f>$Q14-$O14</f>
        <v/>
      </c>
      <c r="EC14" s="67">
        <f>IFERROR($Q14/$P14,"")</f>
        <v/>
      </c>
    </row>
    <row r="15">
      <c r="DG15" s="64">
        <f>($B15-$B16)*100</f>
        <v/>
      </c>
      <c r="DH15" s="64">
        <f>($D15-$D16)*100</f>
        <v/>
      </c>
      <c r="DI15" s="64">
        <f>($E15-$E16)*100</f>
        <v/>
      </c>
      <c r="DJ15" s="64">
        <f>($H15-$H16)*100</f>
        <v/>
      </c>
      <c r="DK15" s="65">
        <f>IFERROR($J15/$J16-1,"")</f>
        <v/>
      </c>
      <c r="DL15" s="64">
        <f>$L15-$L16</f>
        <v/>
      </c>
      <c r="DM15" s="64">
        <f>$K15-$K16</f>
        <v/>
      </c>
      <c r="DN15" s="65">
        <f>IFERROR($N15/$N16-1,"")</f>
        <v/>
      </c>
      <c r="DO15" s="65">
        <f>IFERROR($M15/$M16-1,"")</f>
        <v/>
      </c>
      <c r="DP15" s="65">
        <f>IFERROR($AZ15/$AZ16-1,"")</f>
        <v/>
      </c>
      <c r="DQ15" s="65">
        <f>IFERROR($BA15/$BA16-1,"")</f>
        <v/>
      </c>
      <c r="DR15" s="64">
        <f>$O15-$O16</f>
        <v/>
      </c>
      <c r="DS15" s="64">
        <f>$P15-$P16</f>
        <v/>
      </c>
      <c r="DT15" s="64">
        <f>$Q15-$Q16</f>
        <v/>
      </c>
      <c r="DU15" s="64">
        <f>$S15-$S16</f>
        <v/>
      </c>
      <c r="DV15" s="65">
        <f>IFERROR(AVERAGE($AA16/$AA15-1,$AB16/$AB15-1,$AC16/$AC15-1,$AD16/$AD15-1,$AE16/$AE15-1,$AG16/$AG15-1,$AH16/$AH15-1,$AI16/$AI15-1,$AJ16/$AJ15-1,$AL16/$AL15-1,$AM16/$AM15-1,$AR16/$AR15-1,$AS16/$AS15-1,$AT16/$AT15-1,$AU16/$AU15-1,$AV16/$AV15-1,$AW16/$AW15-1,$AX16/$AX15-1,$AY16/$AY15-1),"")</f>
        <v/>
      </c>
      <c r="DW15" s="66">
        <f>AVERAGE($CB15,$CC15,$CD15,$CE15,$CF15,$CG15,$CH15,$CI15,$CJ15,$CL15,$CM15,$CN15,$CO15,$CP15,$CQ15,$CR15,$CS15,$CT15)</f>
        <v/>
      </c>
      <c r="DX15" s="66">
        <f>AVERAGE($CB15,$CC15,$CM15,$CE15,$CP15)</f>
        <v/>
      </c>
      <c r="DY15" s="64">
        <f>($DW15-$DW16)*100</f>
        <v/>
      </c>
      <c r="DZ15" s="64">
        <f>($DX15-$DX16)*100</f>
        <v/>
      </c>
      <c r="EA15" s="64">
        <f>($DW15-$D15)*100</f>
        <v/>
      </c>
      <c r="EB15" s="64">
        <f>$Q15-$O15</f>
        <v/>
      </c>
      <c r="EC15" s="67">
        <f>IFERROR($Q15/$P15,"")</f>
        <v/>
      </c>
    </row>
    <row r="16">
      <c r="DG16" s="64">
        <f>($B16-$B17)*100</f>
        <v/>
      </c>
      <c r="DH16" s="64">
        <f>($D16-$D17)*100</f>
        <v/>
      </c>
      <c r="DI16" s="64">
        <f>($E16-$E17)*100</f>
        <v/>
      </c>
      <c r="DJ16" s="64">
        <f>($H16-$H17)*100</f>
        <v/>
      </c>
      <c r="DK16" s="65">
        <f>IFERROR($J16/$J17-1,"")</f>
        <v/>
      </c>
      <c r="DL16" s="64">
        <f>$L16-$L17</f>
        <v/>
      </c>
      <c r="DM16" s="64">
        <f>$K16-$K17</f>
        <v/>
      </c>
      <c r="DN16" s="65">
        <f>IFERROR($N16/$N17-1,"")</f>
        <v/>
      </c>
      <c r="DO16" s="65">
        <f>IFERROR($M16/$M17-1,"")</f>
        <v/>
      </c>
      <c r="DP16" s="65">
        <f>IFERROR($AZ16/$AZ17-1,"")</f>
        <v/>
      </c>
      <c r="DQ16" s="65">
        <f>IFERROR($BA16/$BA17-1,"")</f>
        <v/>
      </c>
      <c r="DR16" s="64">
        <f>$O16-$O17</f>
        <v/>
      </c>
      <c r="DS16" s="64">
        <f>$P16-$P17</f>
        <v/>
      </c>
      <c r="DT16" s="64">
        <f>$Q16-$Q17</f>
        <v/>
      </c>
      <c r="DU16" s="64">
        <f>$S16-$S17</f>
        <v/>
      </c>
      <c r="DV16" s="65">
        <f>IFERROR(AVERAGE($AA17/$AA16-1,$AB17/$AB16-1,$AC17/$AC16-1,$AD17/$AD16-1,$AE17/$AE16-1,$AG17/$AG16-1,$AH17/$AH16-1,$AI17/$AI16-1,$AJ17/$AJ16-1,$AL17/$AL16-1,$AM17/$AM16-1,$AR17/$AR16-1,$AS17/$AS16-1,$AT17/$AT16-1,$AU17/$AU16-1,$AV17/$AV16-1,$AW17/$AW16-1,$AX17/$AX16-1,$AY17/$AY16-1),"")</f>
        <v/>
      </c>
      <c r="DW16" s="66">
        <f>AVERAGE($CB16,$CC16,$CD16,$CE16,$CF16,$CG16,$CH16,$CI16,$CJ16,$CL16,$CM16,$CN16,$CO16,$CP16,$CQ16,$CR16,$CS16,$CT16)</f>
        <v/>
      </c>
      <c r="DX16" s="66">
        <f>AVERAGE($CB16,$CC16,$CM16,$CE16,$CP16)</f>
        <v/>
      </c>
      <c r="DY16" s="64">
        <f>($DW16-$DW17)*100</f>
        <v/>
      </c>
      <c r="DZ16" s="64">
        <f>($DX16-$DX17)*100</f>
        <v/>
      </c>
      <c r="EA16" s="64">
        <f>($DW16-$D16)*100</f>
        <v/>
      </c>
      <c r="EB16" s="64">
        <f>$Q16-$O16</f>
        <v/>
      </c>
      <c r="EC16" s="67">
        <f>IFERROR($Q16/$P16,"")</f>
        <v/>
      </c>
    </row>
    <row r="17">
      <c r="DG17" s="64">
        <f>($B17-$B18)*100</f>
        <v/>
      </c>
      <c r="DH17" s="64">
        <f>($D17-$D18)*100</f>
        <v/>
      </c>
      <c r="DI17" s="64">
        <f>($E17-$E18)*100</f>
        <v/>
      </c>
      <c r="DJ17" s="64">
        <f>($H17-$H18)*100</f>
        <v/>
      </c>
      <c r="DK17" s="65">
        <f>IFERROR($J17/$J18-1,"")</f>
        <v/>
      </c>
      <c r="DL17" s="64">
        <f>$L17-$L18</f>
        <v/>
      </c>
      <c r="DM17" s="64">
        <f>$K17-$K18</f>
        <v/>
      </c>
      <c r="DN17" s="65">
        <f>IFERROR($N17/$N18-1,"")</f>
        <v/>
      </c>
      <c r="DO17" s="65">
        <f>IFERROR($M17/$M18-1,"")</f>
        <v/>
      </c>
      <c r="DP17" s="65">
        <f>IFERROR($AZ17/$AZ18-1,"")</f>
        <v/>
      </c>
      <c r="DQ17" s="65">
        <f>IFERROR($BA17/$BA18-1,"")</f>
        <v/>
      </c>
      <c r="DR17" s="64">
        <f>$O17-$O18</f>
        <v/>
      </c>
      <c r="DS17" s="64">
        <f>$P17-$P18</f>
        <v/>
      </c>
      <c r="DT17" s="64">
        <f>$Q17-$Q18</f>
        <v/>
      </c>
      <c r="DU17" s="64">
        <f>$S17-$S18</f>
        <v/>
      </c>
      <c r="DV17" s="65">
        <f>IFERROR(AVERAGE($AA18/$AA17-1,$AB18/$AB17-1,$AC18/$AC17-1,$AD18/$AD17-1,$AE18/$AE17-1,$AG18/$AG17-1,$AH18/$AH17-1,$AI18/$AI17-1,$AJ18/$AJ17-1,$AL18/$AL17-1,$AM18/$AM17-1,$AR18/$AR17-1,$AS18/$AS17-1,$AT18/$AT17-1,$AU18/$AU17-1,$AV18/$AV17-1,$AW18/$AW17-1,$AX18/$AX17-1,$AY18/$AY17-1),"")</f>
        <v/>
      </c>
      <c r="DW17" s="66">
        <f>AVERAGE($CB17,$CC17,$CD17,$CE17,$CF17,$CG17,$CH17,$CI17,$CJ17,$CL17,$CM17,$CN17,$CO17,$CP17,$CQ17,$CR17,$CS17,$CT17)</f>
        <v/>
      </c>
      <c r="DX17" s="66">
        <f>AVERAGE($CB17,$CC17,$CM17,$CE17,$CP17)</f>
        <v/>
      </c>
      <c r="DY17" s="64">
        <f>($DW17-$DW18)*100</f>
        <v/>
      </c>
      <c r="DZ17" s="64">
        <f>($DX17-$DX18)*100</f>
        <v/>
      </c>
      <c r="EA17" s="64">
        <f>($DW17-$D17)*100</f>
        <v/>
      </c>
      <c r="EB17" s="64">
        <f>$Q17-$O17</f>
        <v/>
      </c>
      <c r="EC17" s="67">
        <f>IFERROR($Q17/$P17,"")</f>
        <v/>
      </c>
    </row>
    <row r="18">
      <c r="DG18" s="64">
        <f>($B18-$B19)*100</f>
        <v/>
      </c>
      <c r="DH18" s="64">
        <f>($D18-$D19)*100</f>
        <v/>
      </c>
      <c r="DI18" s="64">
        <f>($E18-$E19)*100</f>
        <v/>
      </c>
      <c r="DJ18" s="64">
        <f>($H18-$H19)*100</f>
        <v/>
      </c>
      <c r="DK18" s="65">
        <f>IFERROR($J18/$J19-1,"")</f>
        <v/>
      </c>
      <c r="DL18" s="64">
        <f>$L18-$L19</f>
        <v/>
      </c>
      <c r="DM18" s="64">
        <f>$K18-$K19</f>
        <v/>
      </c>
      <c r="DN18" s="65">
        <f>IFERROR($N18/$N19-1,"")</f>
        <v/>
      </c>
      <c r="DO18" s="65">
        <f>IFERROR($M18/$M19-1,"")</f>
        <v/>
      </c>
      <c r="DP18" s="65">
        <f>IFERROR($AZ18/$AZ19-1,"")</f>
        <v/>
      </c>
      <c r="DQ18" s="65">
        <f>IFERROR($BA18/$BA19-1,"")</f>
        <v/>
      </c>
      <c r="DR18" s="64">
        <f>$O18-$O19</f>
        <v/>
      </c>
      <c r="DS18" s="64">
        <f>$P18-$P19</f>
        <v/>
      </c>
      <c r="DT18" s="64">
        <f>$Q18-$Q19</f>
        <v/>
      </c>
      <c r="DU18" s="64">
        <f>$S18-$S19</f>
        <v/>
      </c>
      <c r="DV18" s="65">
        <f>IFERROR(AVERAGE($AA19/$AA18-1,$AB19/$AB18-1,$AC19/$AC18-1,$AD19/$AD18-1,$AE19/$AE18-1,$AG19/$AG18-1,$AH19/$AH18-1,$AI19/$AI18-1,$AJ19/$AJ18-1,$AL19/$AL18-1,$AM19/$AM18-1,$AR19/$AR18-1,$AS19/$AS18-1,$AT19/$AT18-1,$AU19/$AU18-1,$AV19/$AV18-1,$AW19/$AW18-1,$AX19/$AX18-1,$AY19/$AY18-1),"")</f>
        <v/>
      </c>
      <c r="DW18" s="66">
        <f>AVERAGE($CB18,$CC18,$CD18,$CE18,$CF18,$CG18,$CH18,$CI18,$CJ18,$CL18,$CM18,$CN18,$CO18,$CP18,$CQ18,$CR18,$CS18,$CT18)</f>
        <v/>
      </c>
      <c r="DX18" s="66">
        <f>AVERAGE($CB18,$CC18,$CM18,$CE18,$CP18)</f>
        <v/>
      </c>
      <c r="DY18" s="64">
        <f>($DW18-$DW19)*100</f>
        <v/>
      </c>
      <c r="DZ18" s="64">
        <f>($DX18-$DX19)*100</f>
        <v/>
      </c>
      <c r="EA18" s="64">
        <f>($DW18-$D18)*100</f>
        <v/>
      </c>
      <c r="EB18" s="64">
        <f>$Q18-$O18</f>
        <v/>
      </c>
      <c r="EC18" s="67">
        <f>IFERROR($Q18/$P18,"")</f>
        <v/>
      </c>
    </row>
    <row r="19">
      <c r="DG19" s="64">
        <f>($B19-$B20)*100</f>
        <v/>
      </c>
      <c r="DH19" s="64">
        <f>($D19-$D20)*100</f>
        <v/>
      </c>
      <c r="DI19" s="64">
        <f>($E19-$E20)*100</f>
        <v/>
      </c>
      <c r="DJ19" s="64">
        <f>($H19-$H20)*100</f>
        <v/>
      </c>
      <c r="DK19" s="65">
        <f>IFERROR($J19/$J20-1,"")</f>
        <v/>
      </c>
      <c r="DL19" s="64">
        <f>$L19-$L20</f>
        <v/>
      </c>
      <c r="DM19" s="64">
        <f>$K19-$K20</f>
        <v/>
      </c>
      <c r="DN19" s="65">
        <f>IFERROR($N19/$N20-1,"")</f>
        <v/>
      </c>
      <c r="DO19" s="65">
        <f>IFERROR($M19/$M20-1,"")</f>
        <v/>
      </c>
      <c r="DP19" s="65">
        <f>IFERROR($AZ19/$AZ20-1,"")</f>
        <v/>
      </c>
      <c r="DQ19" s="65">
        <f>IFERROR($BA19/$BA20-1,"")</f>
        <v/>
      </c>
      <c r="DR19" s="64">
        <f>$O19-$O20</f>
        <v/>
      </c>
      <c r="DS19" s="64">
        <f>$P19-$P20</f>
        <v/>
      </c>
      <c r="DT19" s="64">
        <f>$Q19-$Q20</f>
        <v/>
      </c>
      <c r="DU19" s="64">
        <f>$S19-$S20</f>
        <v/>
      </c>
      <c r="DV19" s="65">
        <f>IFERROR(AVERAGE($AA20/$AA19-1,$AB20/$AB19-1,$AC20/$AC19-1,$AD20/$AD19-1,$AE20/$AE19-1,$AG20/$AG19-1,$AH20/$AH19-1,$AI20/$AI19-1,$AJ20/$AJ19-1,$AL20/$AL19-1,$AM20/$AM19-1,$AR20/$AR19-1,$AS20/$AS19-1,$AT20/$AT19-1,$AU20/$AU19-1,$AV20/$AV19-1,$AW20/$AW19-1,$AX20/$AX19-1,$AY20/$AY19-1),"")</f>
        <v/>
      </c>
      <c r="DW19" s="66">
        <f>AVERAGE($CB19,$CC19,$CD19,$CE19,$CF19,$CG19,$CH19,$CI19,$CJ19,$CL19,$CM19,$CN19,$CO19,$CP19,$CQ19,$CR19,$CS19,$CT19)</f>
        <v/>
      </c>
      <c r="DX19" s="66">
        <f>AVERAGE($CB19,$CC19,$CM19,$CE19,$CP19)</f>
        <v/>
      </c>
      <c r="DY19" s="64">
        <f>($DW19-$DW20)*100</f>
        <v/>
      </c>
      <c r="DZ19" s="64">
        <f>($DX19-$DX20)*100</f>
        <v/>
      </c>
      <c r="EA19" s="64">
        <f>($DW19-$D19)*100</f>
        <v/>
      </c>
      <c r="EB19" s="64">
        <f>$Q19-$O19</f>
        <v/>
      </c>
      <c r="EC19" s="67">
        <f>IFERROR($Q19/$P19,"")</f>
        <v/>
      </c>
    </row>
    <row r="20">
      <c r="DG20" s="64">
        <f>($B20-$B21)*100</f>
        <v/>
      </c>
      <c r="DH20" s="64">
        <f>($D20-$D21)*100</f>
        <v/>
      </c>
      <c r="DI20" s="64">
        <f>($E20-$E21)*100</f>
        <v/>
      </c>
      <c r="DJ20" s="64">
        <f>($H20-$H21)*100</f>
        <v/>
      </c>
      <c r="DK20" s="65">
        <f>IFERROR($J20/$J21-1,"")</f>
        <v/>
      </c>
      <c r="DL20" s="64">
        <f>$L20-$L21</f>
        <v/>
      </c>
      <c r="DM20" s="64">
        <f>$K20-$K21</f>
        <v/>
      </c>
      <c r="DN20" s="65">
        <f>IFERROR($N20/$N21-1,"")</f>
        <v/>
      </c>
      <c r="DO20" s="65">
        <f>IFERROR($M20/$M21-1,"")</f>
        <v/>
      </c>
      <c r="DP20" s="65">
        <f>IFERROR($AZ20/$AZ21-1,"")</f>
        <v/>
      </c>
      <c r="DQ20" s="65">
        <f>IFERROR($BA20/$BA21-1,"")</f>
        <v/>
      </c>
      <c r="DR20" s="64">
        <f>$O20-$O21</f>
        <v/>
      </c>
      <c r="DS20" s="64">
        <f>$P20-$P21</f>
        <v/>
      </c>
      <c r="DT20" s="64">
        <f>$Q20-$Q21</f>
        <v/>
      </c>
      <c r="DU20" s="64">
        <f>$S20-$S21</f>
        <v/>
      </c>
      <c r="DV20" s="65">
        <f>IFERROR(AVERAGE($AA21/$AA20-1,$AB21/$AB20-1,$AC21/$AC20-1,$AD21/$AD20-1,$AE21/$AE20-1,$AG21/$AG20-1,$AH21/$AH20-1,$AI21/$AI20-1,$AJ21/$AJ20-1,$AL21/$AL20-1,$AM21/$AM20-1,$AR21/$AR20-1,$AS21/$AS20-1,$AT21/$AT20-1,$AU21/$AU20-1,$AV21/$AV20-1,$AW21/$AW20-1,$AX21/$AX20-1,$AY21/$AY20-1),"")</f>
        <v/>
      </c>
      <c r="DW20" s="66">
        <f>AVERAGE($CB20,$CC20,$CD20,$CE20,$CF20,$CG20,$CH20,$CI20,$CJ20,$CL20,$CM20,$CN20,$CO20,$CP20,$CQ20,$CR20,$CS20,$CT20)</f>
        <v/>
      </c>
      <c r="DX20" s="66">
        <f>AVERAGE($CB20,$CC20,$CM20,$CE20,$CP20)</f>
        <v/>
      </c>
      <c r="DY20" s="64">
        <f>($DW20-$DW21)*100</f>
        <v/>
      </c>
      <c r="DZ20" s="64">
        <f>($DX20-$DX21)*100</f>
        <v/>
      </c>
      <c r="EA20" s="64">
        <f>($DW20-$D20)*100</f>
        <v/>
      </c>
      <c r="EB20" s="64">
        <f>$Q20-$O20</f>
        <v/>
      </c>
      <c r="EC20" s="67">
        <f>IFERROR($Q20/$P20,"")</f>
        <v/>
      </c>
    </row>
    <row r="21">
      <c r="DG21" s="64">
        <f>($B21-$B22)*100</f>
        <v/>
      </c>
      <c r="DH21" s="64">
        <f>($D21-$D22)*100</f>
        <v/>
      </c>
      <c r="DI21" s="64">
        <f>($E21-$E22)*100</f>
        <v/>
      </c>
      <c r="DJ21" s="64">
        <f>($H21-$H22)*100</f>
        <v/>
      </c>
      <c r="DK21" s="65">
        <f>IFERROR($J21/$J22-1,"")</f>
        <v/>
      </c>
      <c r="DL21" s="64">
        <f>$L21-$L22</f>
        <v/>
      </c>
      <c r="DM21" s="64">
        <f>$K21-$K22</f>
        <v/>
      </c>
      <c r="DN21" s="65">
        <f>IFERROR($N21/$N22-1,"")</f>
        <v/>
      </c>
      <c r="DO21" s="65">
        <f>IFERROR($M21/$M22-1,"")</f>
        <v/>
      </c>
      <c r="DP21" s="65">
        <f>IFERROR($AZ21/$AZ22-1,"")</f>
        <v/>
      </c>
      <c r="DQ21" s="65">
        <f>IFERROR($BA21/$BA22-1,"")</f>
        <v/>
      </c>
      <c r="DR21" s="64">
        <f>$O21-$O22</f>
        <v/>
      </c>
      <c r="DS21" s="64">
        <f>$P21-$P22</f>
        <v/>
      </c>
      <c r="DT21" s="64">
        <f>$Q21-$Q22</f>
        <v/>
      </c>
      <c r="DU21" s="64">
        <f>$S21-$S22</f>
        <v/>
      </c>
      <c r="DV21" s="65">
        <f>IFERROR(AVERAGE($AA22/$AA21-1,$AB22/$AB21-1,$AC22/$AC21-1,$AD22/$AD21-1,$AE22/$AE21-1,$AG22/$AG21-1,$AH22/$AH21-1,$AI22/$AI21-1,$AJ22/$AJ21-1,$AL22/$AL21-1,$AM22/$AM21-1,$AR22/$AR21-1,$AS22/$AS21-1,$AT22/$AT21-1,$AU22/$AU21-1,$AV22/$AV21-1,$AW22/$AW21-1,$AX22/$AX21-1,$AY22/$AY21-1),"")</f>
        <v/>
      </c>
      <c r="DW21" s="66">
        <f>AVERAGE($CB21,$CC21,$CD21,$CE21,$CF21,$CG21,$CH21,$CI21,$CJ21,$CL21,$CM21,$CN21,$CO21,$CP21,$CQ21,$CR21,$CS21,$CT21)</f>
        <v/>
      </c>
      <c r="DX21" s="66">
        <f>AVERAGE($CB21,$CC21,$CM21,$CE21,$CP21)</f>
        <v/>
      </c>
      <c r="DY21" s="64">
        <f>($DW21-$DW22)*100</f>
        <v/>
      </c>
      <c r="DZ21" s="64">
        <f>($DX21-$DX22)*100</f>
        <v/>
      </c>
      <c r="EA21" s="64">
        <f>($DW21-$D21)*100</f>
        <v/>
      </c>
      <c r="EB21" s="64">
        <f>$Q21-$O21</f>
        <v/>
      </c>
      <c r="EC21" s="67">
        <f>IFERROR($Q21/$P21,"")</f>
        <v/>
      </c>
    </row>
    <row r="22">
      <c r="DG22" s="64">
        <f>($B22-$B23)*100</f>
        <v/>
      </c>
      <c r="DH22" s="64">
        <f>($D22-$D23)*100</f>
        <v/>
      </c>
      <c r="DI22" s="64">
        <f>($E22-$E23)*100</f>
        <v/>
      </c>
      <c r="DJ22" s="64">
        <f>($H22-$H23)*100</f>
        <v/>
      </c>
      <c r="DK22" s="65">
        <f>IFERROR($J22/$J23-1,"")</f>
        <v/>
      </c>
      <c r="DL22" s="64">
        <f>$L22-$L23</f>
        <v/>
      </c>
      <c r="DM22" s="64">
        <f>$K22-$K23</f>
        <v/>
      </c>
      <c r="DN22" s="65">
        <f>IFERROR($N22/$N23-1,"")</f>
        <v/>
      </c>
      <c r="DO22" s="65">
        <f>IFERROR($M22/$M23-1,"")</f>
        <v/>
      </c>
      <c r="DP22" s="65">
        <f>IFERROR($AZ22/$AZ23-1,"")</f>
        <v/>
      </c>
      <c r="DQ22" s="65">
        <f>IFERROR($BA22/$BA23-1,"")</f>
        <v/>
      </c>
      <c r="DR22" s="64">
        <f>$O22-$O23</f>
        <v/>
      </c>
      <c r="DS22" s="64">
        <f>$P22-$P23</f>
        <v/>
      </c>
      <c r="DT22" s="64">
        <f>$Q22-$Q23</f>
        <v/>
      </c>
      <c r="DU22" s="64">
        <f>$S22-$S23</f>
        <v/>
      </c>
      <c r="DV22" s="65">
        <f>IFERROR(AVERAGE($AA23/$AA22-1,$AB23/$AB22-1,$AC23/$AC22-1,$AD23/$AD22-1,$AE23/$AE22-1,$AG23/$AG22-1,$AH23/$AH22-1,$AI23/$AI22-1,$AJ23/$AJ22-1,$AL23/$AL22-1,$AM23/$AM22-1,$AR23/$AR22-1,$AS23/$AS22-1,$AT23/$AT22-1,$AU23/$AU22-1,$AV23/$AV22-1,$AW23/$AW22-1,$AX23/$AX22-1,$AY23/$AY22-1),"")</f>
        <v/>
      </c>
      <c r="DW22" s="66">
        <f>AVERAGE($CB22,$CC22,$CD22,$CE22,$CF22,$CG22,$CH22,$CI22,$CJ22,$CL22,$CM22,$CN22,$CO22,$CP22,$CQ22,$CR22,$CS22,$CT22)</f>
        <v/>
      </c>
      <c r="DX22" s="66">
        <f>AVERAGE($CB22,$CC22,$CM22,$CE22,$CP22)</f>
        <v/>
      </c>
      <c r="DY22" s="64">
        <f>($DW22-$DW23)*100</f>
        <v/>
      </c>
      <c r="DZ22" s="64">
        <f>($DX22-$DX23)*100</f>
        <v/>
      </c>
      <c r="EA22" s="64">
        <f>($DW22-$D22)*100</f>
        <v/>
      </c>
      <c r="EB22" s="64">
        <f>$Q22-$O22</f>
        <v/>
      </c>
      <c r="EC22" s="67">
        <f>IFERROR($Q22/$P22,"")</f>
        <v/>
      </c>
    </row>
    <row r="23">
      <c r="DG23" s="64">
        <f>($B23-$B24)*100</f>
        <v/>
      </c>
      <c r="DH23" s="64">
        <f>($D23-$D24)*100</f>
        <v/>
      </c>
      <c r="DI23" s="64">
        <f>($E23-$E24)*100</f>
        <v/>
      </c>
      <c r="DJ23" s="64">
        <f>($H23-$H24)*100</f>
        <v/>
      </c>
      <c r="DK23" s="65">
        <f>IFERROR($J23/$J24-1,"")</f>
        <v/>
      </c>
      <c r="DL23" s="64">
        <f>$L23-$L24</f>
        <v/>
      </c>
      <c r="DM23" s="64">
        <f>$K23-$K24</f>
        <v/>
      </c>
      <c r="DN23" s="65">
        <f>IFERROR($N23/$N24-1,"")</f>
        <v/>
      </c>
      <c r="DO23" s="65">
        <f>IFERROR($M23/$M24-1,"")</f>
        <v/>
      </c>
      <c r="DP23" s="65">
        <f>IFERROR($AZ23/$AZ24-1,"")</f>
        <v/>
      </c>
      <c r="DQ23" s="65">
        <f>IFERROR($BA23/$BA24-1,"")</f>
        <v/>
      </c>
      <c r="DR23" s="64">
        <f>$O23-$O24</f>
        <v/>
      </c>
      <c r="DS23" s="64">
        <f>$P23-$P24</f>
        <v/>
      </c>
      <c r="DT23" s="64">
        <f>$Q23-$Q24</f>
        <v/>
      </c>
      <c r="DU23" s="64">
        <f>$S23-$S24</f>
        <v/>
      </c>
      <c r="DV23" s="65">
        <f>IFERROR(AVERAGE($AA24/$AA23-1,$AB24/$AB23-1,$AC24/$AC23-1,$AD24/$AD23-1,$AE24/$AE23-1,$AG24/$AG23-1,$AH24/$AH23-1,$AI24/$AI23-1,$AJ24/$AJ23-1,$AL24/$AL23-1,$AM24/$AM23-1,$AR24/$AR23-1,$AS24/$AS23-1,$AT24/$AT23-1,$AU24/$AU23-1,$AV24/$AV23-1,$AW24/$AW23-1,$AX24/$AX23-1,$AY24/$AY23-1),"")</f>
        <v/>
      </c>
      <c r="DW23" s="66">
        <f>AVERAGE($CB23,$CC23,$CD23,$CE23,$CF23,$CG23,$CH23,$CI23,$CJ23,$CL23,$CM23,$CN23,$CO23,$CP23,$CQ23,$CR23,$CS23,$CT23)</f>
        <v/>
      </c>
      <c r="DX23" s="66">
        <f>AVERAGE($CB23,$CC23,$CM23,$CE23,$CP23)</f>
        <v/>
      </c>
      <c r="DY23" s="64">
        <f>($DW23-$DW24)*100</f>
        <v/>
      </c>
      <c r="DZ23" s="64">
        <f>($DX23-$DX24)*100</f>
        <v/>
      </c>
      <c r="EA23" s="64">
        <f>($DW23-$D23)*100</f>
        <v/>
      </c>
      <c r="EB23" s="64">
        <f>$Q23-$O23</f>
        <v/>
      </c>
      <c r="EC23" s="67">
        <f>IFERROR($Q23/$P23,"")</f>
        <v/>
      </c>
    </row>
    <row r="24">
      <c r="DG24" s="64">
        <f>($B24-$B25)*100</f>
        <v/>
      </c>
      <c r="DH24" s="64">
        <f>($D24-$D25)*100</f>
        <v/>
      </c>
      <c r="DI24" s="64">
        <f>($E24-$E25)*100</f>
        <v/>
      </c>
      <c r="DJ24" s="64">
        <f>($H24-$H25)*100</f>
        <v/>
      </c>
      <c r="DK24" s="65">
        <f>IFERROR($J24/$J25-1,"")</f>
        <v/>
      </c>
      <c r="DL24" s="64">
        <f>$L24-$L25</f>
        <v/>
      </c>
      <c r="DM24" s="64">
        <f>$K24-$K25</f>
        <v/>
      </c>
      <c r="DN24" s="65">
        <f>IFERROR($N24/$N25-1,"")</f>
        <v/>
      </c>
      <c r="DO24" s="65">
        <f>IFERROR($M24/$M25-1,"")</f>
        <v/>
      </c>
      <c r="DP24" s="65">
        <f>IFERROR($AZ24/$AZ25-1,"")</f>
        <v/>
      </c>
      <c r="DQ24" s="65">
        <f>IFERROR($BA24/$BA25-1,"")</f>
        <v/>
      </c>
      <c r="DR24" s="64">
        <f>$O24-$O25</f>
        <v/>
      </c>
      <c r="DS24" s="64">
        <f>$P24-$P25</f>
        <v/>
      </c>
      <c r="DT24" s="64">
        <f>$Q24-$Q25</f>
        <v/>
      </c>
      <c r="DU24" s="64">
        <f>$S24-$S25</f>
        <v/>
      </c>
      <c r="DV24" s="65">
        <f>IFERROR(AVERAGE($AA25/$AA24-1,$AB25/$AB24-1,$AC25/$AC24-1,$AD25/$AD24-1,$AE25/$AE24-1,$AG25/$AG24-1,$AH25/$AH24-1,$AI25/$AI24-1,$AJ25/$AJ24-1,$AL25/$AL24-1,$AM25/$AM24-1,$AR25/$AR24-1,$AS25/$AS24-1,$AT25/$AT24-1,$AU25/$AU24-1,$AV25/$AV24-1,$AW25/$AW24-1,$AX25/$AX24-1,$AY25/$AY24-1),"")</f>
        <v/>
      </c>
      <c r="DW24" s="66">
        <f>AVERAGE($CB24,$CC24,$CD24,$CE24,$CF24,$CG24,$CH24,$CI24,$CJ24,$CL24,$CM24,$CN24,$CO24,$CP24,$CQ24,$CR24,$CS24,$CT24)</f>
        <v/>
      </c>
      <c r="DX24" s="66">
        <f>AVERAGE($CB24,$CC24,$CM24,$CE24,$CP24)</f>
        <v/>
      </c>
      <c r="DY24" s="64">
        <f>($DW24-$DW25)*100</f>
        <v/>
      </c>
      <c r="DZ24" s="64">
        <f>($DX24-$DX25)*100</f>
        <v/>
      </c>
      <c r="EA24" s="64">
        <f>($DW24-$D24)*100</f>
        <v/>
      </c>
      <c r="EB24" s="64">
        <f>$Q24-$O24</f>
        <v/>
      </c>
      <c r="EC24" s="67">
        <f>IFERROR($Q24/$P24,"")</f>
        <v/>
      </c>
    </row>
    <row r="25">
      <c r="DG25" s="64">
        <f>($B25-$B26)*100</f>
        <v/>
      </c>
      <c r="DH25" s="64">
        <f>($D25-$D26)*100</f>
        <v/>
      </c>
      <c r="DI25" s="64">
        <f>($E25-$E26)*100</f>
        <v/>
      </c>
      <c r="DJ25" s="64">
        <f>($H25-$H26)*100</f>
        <v/>
      </c>
      <c r="DK25" s="65">
        <f>IFERROR($J25/$J26-1,"")</f>
        <v/>
      </c>
      <c r="DL25" s="64">
        <f>$L25-$L26</f>
        <v/>
      </c>
      <c r="DM25" s="64">
        <f>$K25-$K26</f>
        <v/>
      </c>
      <c r="DN25" s="65">
        <f>IFERROR($N25/$N26-1,"")</f>
        <v/>
      </c>
      <c r="DO25" s="65">
        <f>IFERROR($M25/$M26-1,"")</f>
        <v/>
      </c>
      <c r="DP25" s="65">
        <f>IFERROR($AZ25/$AZ26-1,"")</f>
        <v/>
      </c>
      <c r="DQ25" s="65">
        <f>IFERROR($BA25/$BA26-1,"")</f>
        <v/>
      </c>
      <c r="DR25" s="64">
        <f>$O25-$O26</f>
        <v/>
      </c>
      <c r="DS25" s="64">
        <f>$P25-$P26</f>
        <v/>
      </c>
      <c r="DT25" s="64">
        <f>$Q25-$Q26</f>
        <v/>
      </c>
      <c r="DU25" s="64">
        <f>$S25-$S26</f>
        <v/>
      </c>
      <c r="DV25" s="65">
        <f>IFERROR(AVERAGE($AA26/$AA25-1,$AB26/$AB25-1,$AC26/$AC25-1,$AD26/$AD25-1,$AE26/$AE25-1,$AG26/$AG25-1,$AH26/$AH25-1,$AI26/$AI25-1,$AJ26/$AJ25-1,$AL26/$AL25-1,$AM26/$AM25-1,$AR26/$AR25-1,$AS26/$AS25-1,$AT26/$AT25-1,$AU26/$AU25-1,$AV26/$AV25-1,$AW26/$AW25-1,$AX26/$AX25-1,$AY26/$AY25-1),"")</f>
        <v/>
      </c>
      <c r="DW25" s="66">
        <f>AVERAGE($CB25,$CC25,$CD25,$CE25,$CF25,$CG25,$CH25,$CI25,$CJ25,$CL25,$CM25,$CN25,$CO25,$CP25,$CQ25,$CR25,$CS25,$CT25)</f>
        <v/>
      </c>
      <c r="DX25" s="66">
        <f>AVERAGE($CB25,$CC25,$CM25,$CE25,$CP25)</f>
        <v/>
      </c>
      <c r="DY25" s="64">
        <f>($DW25-$DW26)*100</f>
        <v/>
      </c>
      <c r="DZ25" s="64">
        <f>($DX25-$DX26)*100</f>
        <v/>
      </c>
      <c r="EA25" s="64">
        <f>($DW25-$D25)*100</f>
        <v/>
      </c>
      <c r="EB25" s="64">
        <f>$Q25-$O25</f>
        <v/>
      </c>
      <c r="EC25" s="67">
        <f>IFERROR($Q25/$P25,"")</f>
        <v/>
      </c>
    </row>
    <row r="26">
      <c r="DG26" s="64">
        <f>($B26-$B27)*100</f>
        <v/>
      </c>
      <c r="DH26" s="64">
        <f>($D26-$D27)*100</f>
        <v/>
      </c>
      <c r="DI26" s="64">
        <f>($E26-$E27)*100</f>
        <v/>
      </c>
      <c r="DJ26" s="64">
        <f>($H26-$H27)*100</f>
        <v/>
      </c>
      <c r="DK26" s="65">
        <f>IFERROR($J26/$J27-1,"")</f>
        <v/>
      </c>
      <c r="DL26" s="64">
        <f>$L26-$L27</f>
        <v/>
      </c>
      <c r="DM26" s="64">
        <f>$K26-$K27</f>
        <v/>
      </c>
      <c r="DN26" s="65">
        <f>IFERROR($N26/$N27-1,"")</f>
        <v/>
      </c>
      <c r="DO26" s="65">
        <f>IFERROR($M26/$M27-1,"")</f>
        <v/>
      </c>
      <c r="DP26" s="65">
        <f>IFERROR($AZ26/$AZ27-1,"")</f>
        <v/>
      </c>
      <c r="DQ26" s="65">
        <f>IFERROR($BA26/$BA27-1,"")</f>
        <v/>
      </c>
      <c r="DR26" s="64">
        <f>$O26-$O27</f>
        <v/>
      </c>
      <c r="DS26" s="64">
        <f>$P26-$P27</f>
        <v/>
      </c>
      <c r="DT26" s="64">
        <f>$Q26-$Q27</f>
        <v/>
      </c>
      <c r="DU26" s="64">
        <f>$S26-$S27</f>
        <v/>
      </c>
      <c r="DV26" s="65">
        <f>IFERROR(AVERAGE($AA27/$AA26-1,$AB27/$AB26-1,$AC27/$AC26-1,$AD27/$AD26-1,$AE27/$AE26-1,$AG27/$AG26-1,$AH27/$AH26-1,$AI27/$AI26-1,$AJ27/$AJ26-1,$AL27/$AL26-1,$AM27/$AM26-1,$AR27/$AR26-1,$AS27/$AS26-1,$AT27/$AT26-1,$AU27/$AU26-1,$AV27/$AV26-1,$AW27/$AW26-1,$AX27/$AX26-1,$AY27/$AY26-1),"")</f>
        <v/>
      </c>
      <c r="DW26" s="66">
        <f>AVERAGE($CB26,$CC26,$CD26,$CE26,$CF26,$CG26,$CH26,$CI26,$CJ26,$CL26,$CM26,$CN26,$CO26,$CP26,$CQ26,$CR26,$CS26,$CT26)</f>
        <v/>
      </c>
      <c r="DX26" s="66">
        <f>AVERAGE($CB26,$CC26,$CM26,$CE26,$CP26)</f>
        <v/>
      </c>
      <c r="DY26" s="64">
        <f>($DW26-$DW27)*100</f>
        <v/>
      </c>
      <c r="DZ26" s="64">
        <f>($DX26-$DX27)*100</f>
        <v/>
      </c>
      <c r="EA26" s="64">
        <f>($DW26-$D26)*100</f>
        <v/>
      </c>
      <c r="EB26" s="64">
        <f>$Q26-$O26</f>
        <v/>
      </c>
      <c r="EC26" s="67">
        <f>IFERROR($Q26/$P26,"")</f>
        <v/>
      </c>
    </row>
    <row r="27">
      <c r="DG27" s="64">
        <f>($B27-$B28)*100</f>
        <v/>
      </c>
      <c r="DH27" s="64">
        <f>($D27-$D28)*100</f>
        <v/>
      </c>
      <c r="DI27" s="64">
        <f>($E27-$E28)*100</f>
        <v/>
      </c>
      <c r="DJ27" s="64">
        <f>($H27-$H28)*100</f>
        <v/>
      </c>
      <c r="DK27" s="65">
        <f>IFERROR($J27/$J28-1,"")</f>
        <v/>
      </c>
      <c r="DL27" s="64">
        <f>$L27-$L28</f>
        <v/>
      </c>
      <c r="DM27" s="64">
        <f>$K27-$K28</f>
        <v/>
      </c>
      <c r="DN27" s="65">
        <f>IFERROR($N27/$N28-1,"")</f>
        <v/>
      </c>
      <c r="DO27" s="65">
        <f>IFERROR($M27/$M28-1,"")</f>
        <v/>
      </c>
      <c r="DP27" s="65">
        <f>IFERROR($AZ27/$AZ28-1,"")</f>
        <v/>
      </c>
      <c r="DQ27" s="65">
        <f>IFERROR($BA27/$BA28-1,"")</f>
        <v/>
      </c>
      <c r="DR27" s="64">
        <f>$O27-$O28</f>
        <v/>
      </c>
      <c r="DS27" s="64">
        <f>$P27-$P28</f>
        <v/>
      </c>
      <c r="DT27" s="64">
        <f>$Q27-$Q28</f>
        <v/>
      </c>
      <c r="DU27" s="64">
        <f>$S27-$S28</f>
        <v/>
      </c>
      <c r="DV27" s="65">
        <f>IFERROR(AVERAGE($AA28/$AA27-1,$AB28/$AB27-1,$AC28/$AC27-1,$AD28/$AD27-1,$AE28/$AE27-1,$AG28/$AG27-1,$AH28/$AH27-1,$AI28/$AI27-1,$AJ28/$AJ27-1,$AL28/$AL27-1,$AM28/$AM27-1,$AR28/$AR27-1,$AS28/$AS27-1,$AT28/$AT27-1,$AU28/$AU27-1,$AV28/$AV27-1,$AW28/$AW27-1,$AX28/$AX27-1,$AY28/$AY27-1),"")</f>
        <v/>
      </c>
      <c r="DW27" s="66">
        <f>AVERAGE($CB27,$CC27,$CD27,$CE27,$CF27,$CG27,$CH27,$CI27,$CJ27,$CL27,$CM27,$CN27,$CO27,$CP27,$CQ27,$CR27,$CS27,$CT27)</f>
        <v/>
      </c>
      <c r="DX27" s="66">
        <f>AVERAGE($CB27,$CC27,$CM27,$CE27,$CP27)</f>
        <v/>
      </c>
      <c r="DY27" s="64">
        <f>($DW27-$DW28)*100</f>
        <v/>
      </c>
      <c r="DZ27" s="64">
        <f>($DX27-$DX28)*100</f>
        <v/>
      </c>
      <c r="EA27" s="64">
        <f>($DW27-$D27)*100</f>
        <v/>
      </c>
      <c r="EB27" s="64">
        <f>$Q27-$O27</f>
        <v/>
      </c>
      <c r="EC27" s="67">
        <f>IFERROR($Q27/$P27,"")</f>
        <v/>
      </c>
    </row>
    <row r="28">
      <c r="DG28" s="64">
        <f>($B28-$B29)*100</f>
        <v/>
      </c>
      <c r="DH28" s="64">
        <f>($D28-$D29)*100</f>
        <v/>
      </c>
      <c r="DI28" s="64">
        <f>($E28-$E29)*100</f>
        <v/>
      </c>
      <c r="DJ28" s="64">
        <f>($H28-$H29)*100</f>
        <v/>
      </c>
      <c r="DK28" s="65">
        <f>IFERROR($J28/$J29-1,"")</f>
        <v/>
      </c>
      <c r="DL28" s="64">
        <f>$L28-$L29</f>
        <v/>
      </c>
      <c r="DM28" s="64">
        <f>$K28-$K29</f>
        <v/>
      </c>
      <c r="DN28" s="65">
        <f>IFERROR($N28/$N29-1,"")</f>
        <v/>
      </c>
      <c r="DO28" s="65">
        <f>IFERROR($M28/$M29-1,"")</f>
        <v/>
      </c>
      <c r="DP28" s="65">
        <f>IFERROR($AZ28/$AZ29-1,"")</f>
        <v/>
      </c>
      <c r="DQ28" s="65">
        <f>IFERROR($BA28/$BA29-1,"")</f>
        <v/>
      </c>
      <c r="DR28" s="64">
        <f>$O28-$O29</f>
        <v/>
      </c>
      <c r="DS28" s="64">
        <f>$P28-$P29</f>
        <v/>
      </c>
      <c r="DT28" s="64">
        <f>$Q28-$Q29</f>
        <v/>
      </c>
      <c r="DU28" s="64">
        <f>$S28-$S29</f>
        <v/>
      </c>
      <c r="DV28" s="65">
        <f>IFERROR(AVERAGE($AA29/$AA28-1,$AB29/$AB28-1,$AC29/$AC28-1,$AD29/$AD28-1,$AE29/$AE28-1,$AG29/$AG28-1,$AH29/$AH28-1,$AI29/$AI28-1,$AJ29/$AJ28-1,$AL29/$AL28-1,$AM29/$AM28-1,$AR29/$AR28-1,$AS29/$AS28-1,$AT29/$AT28-1,$AU29/$AU28-1,$AV29/$AV28-1,$AW29/$AW28-1,$AX29/$AX28-1,$AY29/$AY28-1),"")</f>
        <v/>
      </c>
      <c r="DW28" s="66">
        <f>AVERAGE($CB28,$CC28,$CD28,$CE28,$CF28,$CG28,$CH28,$CI28,$CJ28,$CL28,$CM28,$CN28,$CO28,$CP28,$CQ28,$CR28,$CS28,$CT28)</f>
        <v/>
      </c>
      <c r="DX28" s="66">
        <f>AVERAGE($CB28,$CC28,$CM28,$CE28,$CP28)</f>
        <v/>
      </c>
      <c r="DY28" s="64">
        <f>($DW28-$DW29)*100</f>
        <v/>
      </c>
      <c r="DZ28" s="64">
        <f>($DX28-$DX29)*100</f>
        <v/>
      </c>
      <c r="EA28" s="64">
        <f>($DW28-$D28)*100</f>
        <v/>
      </c>
      <c r="EB28" s="64">
        <f>$Q28-$O28</f>
        <v/>
      </c>
      <c r="EC28" s="67">
        <f>IFERROR($Q28/$P28,"")</f>
        <v/>
      </c>
    </row>
    <row r="29">
      <c r="DG29" s="64">
        <f>($B29-$B30)*100</f>
        <v/>
      </c>
      <c r="DH29" s="64">
        <f>($D29-$D30)*100</f>
        <v/>
      </c>
      <c r="DI29" s="64">
        <f>($E29-$E30)*100</f>
        <v/>
      </c>
      <c r="DJ29" s="64">
        <f>($H29-$H30)*100</f>
        <v/>
      </c>
      <c r="DK29" s="65">
        <f>IFERROR($J29/$J30-1,"")</f>
        <v/>
      </c>
      <c r="DL29" s="64">
        <f>$L29-$L30</f>
        <v/>
      </c>
      <c r="DM29" s="64">
        <f>$K29-$K30</f>
        <v/>
      </c>
      <c r="DN29" s="65">
        <f>IFERROR($N29/$N30-1,"")</f>
        <v/>
      </c>
      <c r="DO29" s="65">
        <f>IFERROR($M29/$M30-1,"")</f>
        <v/>
      </c>
      <c r="DP29" s="65">
        <f>IFERROR($AZ29/$AZ30-1,"")</f>
        <v/>
      </c>
      <c r="DQ29" s="65">
        <f>IFERROR($BA29/$BA30-1,"")</f>
        <v/>
      </c>
      <c r="DR29" s="64">
        <f>$O29-$O30</f>
        <v/>
      </c>
      <c r="DS29" s="64">
        <f>$P29-$P30</f>
        <v/>
      </c>
      <c r="DT29" s="64">
        <f>$Q29-$Q30</f>
        <v/>
      </c>
      <c r="DU29" s="64">
        <f>$S29-$S30</f>
        <v/>
      </c>
      <c r="DV29" s="65">
        <f>IFERROR(AVERAGE($AA30/$AA29-1,$AB30/$AB29-1,$AC30/$AC29-1,$AD30/$AD29-1,$AE30/$AE29-1,$AG30/$AG29-1,$AH30/$AH29-1,$AI30/$AI29-1,$AJ30/$AJ29-1,$AL30/$AL29-1,$AM30/$AM29-1,$AR30/$AR29-1,$AS30/$AS29-1,$AT30/$AT29-1,$AU30/$AU29-1,$AV30/$AV29-1,$AW30/$AW29-1,$AX30/$AX29-1,$AY30/$AY29-1),"")</f>
        <v/>
      </c>
      <c r="DW29" s="66">
        <f>AVERAGE($CB29,$CC29,$CD29,$CE29,$CF29,$CG29,$CH29,$CI29,$CJ29,$CL29,$CM29,$CN29,$CO29,$CP29,$CQ29,$CR29,$CS29,$CT29)</f>
        <v/>
      </c>
      <c r="DX29" s="66">
        <f>AVERAGE($CB29,$CC29,$CM29,$CE29,$CP29)</f>
        <v/>
      </c>
      <c r="DY29" s="64">
        <f>($DW29-$DW30)*100</f>
        <v/>
      </c>
      <c r="DZ29" s="64">
        <f>($DX29-$DX30)*100</f>
        <v/>
      </c>
      <c r="EA29" s="64">
        <f>($DW29-$D29)*100</f>
        <v/>
      </c>
      <c r="EB29" s="64">
        <f>$Q29-$O29</f>
        <v/>
      </c>
      <c r="EC29" s="67">
        <f>IFERROR($Q29/$P29,"")</f>
        <v/>
      </c>
    </row>
    <row r="30">
      <c r="DG30" s="64">
        <f>($B30-$B31)*100</f>
        <v/>
      </c>
      <c r="DH30" s="64">
        <f>($D30-$D31)*100</f>
        <v/>
      </c>
      <c r="DI30" s="64">
        <f>($E30-$E31)*100</f>
        <v/>
      </c>
      <c r="DJ30" s="64">
        <f>($H30-$H31)*100</f>
        <v/>
      </c>
      <c r="DK30" s="65">
        <f>IFERROR($J30/$J31-1,"")</f>
        <v/>
      </c>
      <c r="DL30" s="64">
        <f>$L30-$L31</f>
        <v/>
      </c>
      <c r="DM30" s="64">
        <f>$K30-$K31</f>
        <v/>
      </c>
      <c r="DN30" s="65">
        <f>IFERROR($N30/$N31-1,"")</f>
        <v/>
      </c>
      <c r="DO30" s="65">
        <f>IFERROR($M30/$M31-1,"")</f>
        <v/>
      </c>
      <c r="DP30" s="65">
        <f>IFERROR($AZ30/$AZ31-1,"")</f>
        <v/>
      </c>
      <c r="DQ30" s="65">
        <f>IFERROR($BA30/$BA31-1,"")</f>
        <v/>
      </c>
      <c r="DR30" s="64">
        <f>$O30-$O31</f>
        <v/>
      </c>
      <c r="DS30" s="64">
        <f>$P30-$P31</f>
        <v/>
      </c>
      <c r="DT30" s="64">
        <f>$Q30-$Q31</f>
        <v/>
      </c>
      <c r="DU30" s="64">
        <f>$S30-$S31</f>
        <v/>
      </c>
      <c r="DV30" s="65">
        <f>IFERROR(AVERAGE($AA31/$AA30-1,$AB31/$AB30-1,$AC31/$AC30-1,$AD31/$AD30-1,$AE31/$AE30-1,$AG31/$AG30-1,$AH31/$AH30-1,$AI31/$AI30-1,$AJ31/$AJ30-1,$AL31/$AL30-1,$AM31/$AM30-1,$AR31/$AR30-1,$AS31/$AS30-1,$AT31/$AT30-1,$AU31/$AU30-1,$AV31/$AV30-1,$AW31/$AW30-1,$AX31/$AX30-1,$AY31/$AY30-1),"")</f>
        <v/>
      </c>
      <c r="DW30" s="66">
        <f>AVERAGE($CB30,$CC30,$CD30,$CE30,$CF30,$CG30,$CH30,$CI30,$CJ30,$CL30,$CM30,$CN30,$CO30,$CP30,$CQ30,$CR30,$CS30,$CT30)</f>
        <v/>
      </c>
      <c r="DX30" s="66">
        <f>AVERAGE($CB30,$CC30,$CM30,$CE30,$CP30)</f>
        <v/>
      </c>
      <c r="DY30" s="64">
        <f>($DW30-$DW31)*100</f>
        <v/>
      </c>
      <c r="DZ30" s="64">
        <f>($DX30-$DX31)*100</f>
        <v/>
      </c>
      <c r="EA30" s="64">
        <f>($DW30-$D30)*100</f>
        <v/>
      </c>
      <c r="EB30" s="64">
        <f>$Q30-$O30</f>
        <v/>
      </c>
      <c r="EC30" s="67">
        <f>IFERROR($Q30/$P30,"")</f>
        <v/>
      </c>
    </row>
    <row r="31">
      <c r="DG31" s="64">
        <f>($B31-$B32)*100</f>
        <v/>
      </c>
      <c r="DH31" s="64">
        <f>($D31-$D32)*100</f>
        <v/>
      </c>
      <c r="DI31" s="64">
        <f>($E31-$E32)*100</f>
        <v/>
      </c>
      <c r="DJ31" s="64">
        <f>($H31-$H32)*100</f>
        <v/>
      </c>
      <c r="DK31" s="65">
        <f>IFERROR($J31/$J32-1,"")</f>
        <v/>
      </c>
      <c r="DL31" s="64">
        <f>$L31-$L32</f>
        <v/>
      </c>
      <c r="DM31" s="64">
        <f>$K31-$K32</f>
        <v/>
      </c>
      <c r="DN31" s="65">
        <f>IFERROR($N31/$N32-1,"")</f>
        <v/>
      </c>
      <c r="DO31" s="65">
        <f>IFERROR($M31/$M32-1,"")</f>
        <v/>
      </c>
      <c r="DP31" s="65">
        <f>IFERROR($AZ31/$AZ32-1,"")</f>
        <v/>
      </c>
      <c r="DQ31" s="65">
        <f>IFERROR($BA31/$BA32-1,"")</f>
        <v/>
      </c>
      <c r="DR31" s="64">
        <f>$O31-$O32</f>
        <v/>
      </c>
      <c r="DS31" s="64">
        <f>$P31-$P32</f>
        <v/>
      </c>
      <c r="DT31" s="64">
        <f>$Q31-$Q32</f>
        <v/>
      </c>
      <c r="DU31" s="64">
        <f>$S31-$S32</f>
        <v/>
      </c>
      <c r="DV31" s="65">
        <f>IFERROR(AVERAGE($AA32/$AA31-1,$AB32/$AB31-1,$AC32/$AC31-1,$AD32/$AD31-1,$AE32/$AE31-1,$AG32/$AG31-1,$AH32/$AH31-1,$AI32/$AI31-1,$AJ32/$AJ31-1,$AL32/$AL31-1,$AM32/$AM31-1,$AR32/$AR31-1,$AS32/$AS31-1,$AT32/$AT31-1,$AU32/$AU31-1,$AV32/$AV31-1,$AW32/$AW31-1,$AX32/$AX31-1,$AY32/$AY31-1),"")</f>
        <v/>
      </c>
      <c r="DW31" s="66">
        <f>AVERAGE($CB31,$CC31,$CD31,$CE31,$CF31,$CG31,$CH31,$CI31,$CJ31,$CL31,$CM31,$CN31,$CO31,$CP31,$CQ31,$CR31,$CS31,$CT31)</f>
        <v/>
      </c>
      <c r="DX31" s="66">
        <f>AVERAGE($CB31,$CC31,$CM31,$CE31,$CP31)</f>
        <v/>
      </c>
      <c r="DY31" s="64">
        <f>($DW31-$DW32)*100</f>
        <v/>
      </c>
      <c r="DZ31" s="64">
        <f>($DX31-$DX32)*100</f>
        <v/>
      </c>
      <c r="EA31" s="64">
        <f>($DW31-$D31)*100</f>
        <v/>
      </c>
      <c r="EB31" s="64">
        <f>$Q31-$O31</f>
        <v/>
      </c>
      <c r="EC31" s="67">
        <f>IFERROR($Q31/$P31,"")</f>
        <v/>
      </c>
    </row>
    <row r="32">
      <c r="DG32" s="64">
        <f>($B32-$B33)*100</f>
        <v/>
      </c>
      <c r="DH32" s="64">
        <f>($D32-$D33)*100</f>
        <v/>
      </c>
      <c r="DI32" s="64">
        <f>($E32-$E33)*100</f>
        <v/>
      </c>
      <c r="DJ32" s="64">
        <f>($H32-$H33)*100</f>
        <v/>
      </c>
      <c r="DK32" s="65">
        <f>IFERROR($J32/$J33-1,"")</f>
        <v/>
      </c>
      <c r="DL32" s="64">
        <f>$L32-$L33</f>
        <v/>
      </c>
      <c r="DM32" s="64">
        <f>$K32-$K33</f>
        <v/>
      </c>
      <c r="DN32" s="65">
        <f>IFERROR($N32/$N33-1,"")</f>
        <v/>
      </c>
      <c r="DO32" s="65">
        <f>IFERROR($M32/$M33-1,"")</f>
        <v/>
      </c>
      <c r="DP32" s="65">
        <f>IFERROR($AZ32/$AZ33-1,"")</f>
        <v/>
      </c>
      <c r="DQ32" s="65">
        <f>IFERROR($BA32/$BA33-1,"")</f>
        <v/>
      </c>
      <c r="DR32" s="64">
        <f>$O32-$O33</f>
        <v/>
      </c>
      <c r="DS32" s="64">
        <f>$P32-$P33</f>
        <v/>
      </c>
      <c r="DT32" s="64">
        <f>$Q32-$Q33</f>
        <v/>
      </c>
      <c r="DU32" s="64">
        <f>$S32-$S33</f>
        <v/>
      </c>
      <c r="DV32" s="65">
        <f>IFERROR(AVERAGE($AA33/$AA32-1,$AB33/$AB32-1,$AC33/$AC32-1,$AD33/$AD32-1,$AE33/$AE32-1,$AG33/$AG32-1,$AH33/$AH32-1,$AI33/$AI32-1,$AJ33/$AJ32-1,$AL33/$AL32-1,$AM33/$AM32-1,$AR33/$AR32-1,$AS33/$AS32-1,$AT33/$AT32-1,$AU33/$AU32-1,$AV33/$AV32-1,$AW33/$AW32-1,$AX33/$AX32-1,$AY33/$AY32-1),"")</f>
        <v/>
      </c>
      <c r="DW32" s="66">
        <f>AVERAGE($CB32,$CC32,$CD32,$CE32,$CF32,$CG32,$CH32,$CI32,$CJ32,$CL32,$CM32,$CN32,$CO32,$CP32,$CQ32,$CR32,$CS32,$CT32)</f>
        <v/>
      </c>
      <c r="DX32" s="66">
        <f>AVERAGE($CB32,$CC32,$CM32,$CE32,$CP32)</f>
        <v/>
      </c>
      <c r="DY32" s="64">
        <f>($DW32-$DW33)*100</f>
        <v/>
      </c>
      <c r="DZ32" s="64">
        <f>($DX32-$DX33)*100</f>
        <v/>
      </c>
      <c r="EA32" s="64">
        <f>($DW32-$D32)*100</f>
        <v/>
      </c>
      <c r="EB32" s="64">
        <f>$Q32-$O32</f>
        <v/>
      </c>
      <c r="EC32" s="67">
        <f>IFERROR($Q32/$P32,"")</f>
        <v/>
      </c>
    </row>
    <row r="33">
      <c r="DG33" s="64">
        <f>($B33-$B34)*100</f>
        <v/>
      </c>
      <c r="DH33" s="64">
        <f>($D33-$D34)*100</f>
        <v/>
      </c>
      <c r="DI33" s="64">
        <f>($E33-$E34)*100</f>
        <v/>
      </c>
      <c r="DJ33" s="64">
        <f>($H33-$H34)*100</f>
        <v/>
      </c>
      <c r="DK33" s="65">
        <f>IFERROR($J33/$J34-1,"")</f>
        <v/>
      </c>
      <c r="DL33" s="64">
        <f>$L33-$L34</f>
        <v/>
      </c>
      <c r="DM33" s="64">
        <f>$K33-$K34</f>
        <v/>
      </c>
      <c r="DN33" s="65">
        <f>IFERROR($N33/$N34-1,"")</f>
        <v/>
      </c>
      <c r="DO33" s="65">
        <f>IFERROR($M33/$M34-1,"")</f>
        <v/>
      </c>
      <c r="DP33" s="65">
        <f>IFERROR($AZ33/$AZ34-1,"")</f>
        <v/>
      </c>
      <c r="DQ33" s="65">
        <f>IFERROR($BA33/$BA34-1,"")</f>
        <v/>
      </c>
      <c r="DR33" s="64">
        <f>$O33-$O34</f>
        <v/>
      </c>
      <c r="DS33" s="64">
        <f>$P33-$P34</f>
        <v/>
      </c>
      <c r="DT33" s="64">
        <f>$Q33-$Q34</f>
        <v/>
      </c>
      <c r="DU33" s="64">
        <f>$S33-$S34</f>
        <v/>
      </c>
      <c r="DV33" s="65">
        <f>IFERROR(AVERAGE($AA34/$AA33-1,$AB34/$AB33-1,$AC34/$AC33-1,$AD34/$AD33-1,$AE34/$AE33-1,$AG34/$AG33-1,$AH34/$AH33-1,$AI34/$AI33-1,$AJ34/$AJ33-1,$AL34/$AL33-1,$AM34/$AM33-1,$AR34/$AR33-1,$AS34/$AS33-1,$AT34/$AT33-1,$AU34/$AU33-1,$AV34/$AV33-1,$AW34/$AW33-1,$AX34/$AX33-1,$AY34/$AY33-1),"")</f>
        <v/>
      </c>
      <c r="DW33" s="66">
        <f>AVERAGE($CB33,$CC33,$CD33,$CE33,$CF33,$CG33,$CH33,$CI33,$CJ33,$CL33,$CM33,$CN33,$CO33,$CP33,$CQ33,$CR33,$CS33,$CT33)</f>
        <v/>
      </c>
      <c r="DX33" s="66">
        <f>AVERAGE($CB33,$CC33,$CM33,$CE33,$CP33)</f>
        <v/>
      </c>
      <c r="DY33" s="64">
        <f>($DW33-$DW34)*100</f>
        <v/>
      </c>
      <c r="DZ33" s="64">
        <f>($DX33-$DX34)*100</f>
        <v/>
      </c>
      <c r="EA33" s="64">
        <f>($DW33-$D33)*100</f>
        <v/>
      </c>
      <c r="EB33" s="64">
        <f>$Q33-$O33</f>
        <v/>
      </c>
      <c r="EC33" s="67">
        <f>IFERROR($Q33/$P33,"")</f>
        <v/>
      </c>
    </row>
    <row r="34">
      <c r="DG34" s="64">
        <f>($B34-$B35)*100</f>
        <v/>
      </c>
      <c r="DH34" s="64">
        <f>($D34-$D35)*100</f>
        <v/>
      </c>
      <c r="DI34" s="64">
        <f>($E34-$E35)*100</f>
        <v/>
      </c>
      <c r="DJ34" s="64">
        <f>($H34-$H35)*100</f>
        <v/>
      </c>
      <c r="DK34" s="65">
        <f>IFERROR($J34/$J35-1,"")</f>
        <v/>
      </c>
      <c r="DL34" s="64">
        <f>$L34-$L35</f>
        <v/>
      </c>
      <c r="DM34" s="64">
        <f>$K34-$K35</f>
        <v/>
      </c>
      <c r="DN34" s="65">
        <f>IFERROR($N34/$N35-1,"")</f>
        <v/>
      </c>
      <c r="DO34" s="65">
        <f>IFERROR($M34/$M35-1,"")</f>
        <v/>
      </c>
      <c r="DP34" s="65">
        <f>IFERROR($AZ34/$AZ35-1,"")</f>
        <v/>
      </c>
      <c r="DQ34" s="65">
        <f>IFERROR($BA34/$BA35-1,"")</f>
        <v/>
      </c>
      <c r="DR34" s="64">
        <f>$O34-$O35</f>
        <v/>
      </c>
      <c r="DS34" s="64">
        <f>$P34-$P35</f>
        <v/>
      </c>
      <c r="DT34" s="64">
        <f>$Q34-$Q35</f>
        <v/>
      </c>
      <c r="DU34" s="64">
        <f>$S34-$S35</f>
        <v/>
      </c>
      <c r="DV34" s="65">
        <f>IFERROR(AVERAGE($AA35/$AA34-1,$AB35/$AB34-1,$AC35/$AC34-1,$AD35/$AD34-1,$AE35/$AE34-1,$AG35/$AG34-1,$AH35/$AH34-1,$AI35/$AI34-1,$AJ35/$AJ34-1,$AL35/$AL34-1,$AM35/$AM34-1,$AR35/$AR34-1,$AS35/$AS34-1,$AT35/$AT34-1,$AU35/$AU34-1,$AV35/$AV34-1,$AW35/$AW34-1,$AX35/$AX34-1,$AY35/$AY34-1),"")</f>
        <v/>
      </c>
      <c r="DW34" s="66">
        <f>AVERAGE($CB34,$CC34,$CD34,$CE34,$CF34,$CG34,$CH34,$CI34,$CJ34,$CL34,$CM34,$CN34,$CO34,$CP34,$CQ34,$CR34,$CS34,$CT34)</f>
        <v/>
      </c>
      <c r="DX34" s="66">
        <f>AVERAGE($CB34,$CC34,$CM34,$CE34,$CP34)</f>
        <v/>
      </c>
      <c r="DY34" s="64">
        <f>($DW34-$DW35)*100</f>
        <v/>
      </c>
      <c r="DZ34" s="64">
        <f>($DX34-$DX35)*100</f>
        <v/>
      </c>
      <c r="EA34" s="64">
        <f>($DW34-$D34)*100</f>
        <v/>
      </c>
      <c r="EB34" s="64">
        <f>$Q34-$O34</f>
        <v/>
      </c>
      <c r="EC34" s="67">
        <f>IFERROR($Q34/$P34,"")</f>
        <v/>
      </c>
    </row>
    <row r="35">
      <c r="DG35" s="64">
        <f>($B35-$B36)*100</f>
        <v/>
      </c>
      <c r="DH35" s="64">
        <f>($D35-$D36)*100</f>
        <v/>
      </c>
      <c r="DI35" s="64">
        <f>($E35-$E36)*100</f>
        <v/>
      </c>
      <c r="DJ35" s="64">
        <f>($H35-$H36)*100</f>
        <v/>
      </c>
      <c r="DK35" s="65">
        <f>IFERROR($J35/$J36-1,"")</f>
        <v/>
      </c>
      <c r="DL35" s="64">
        <f>$L35-$L36</f>
        <v/>
      </c>
      <c r="DM35" s="64">
        <f>$K35-$K36</f>
        <v/>
      </c>
      <c r="DN35" s="65">
        <f>IFERROR($N35/$N36-1,"")</f>
        <v/>
      </c>
      <c r="DO35" s="65">
        <f>IFERROR($M35/$M36-1,"")</f>
        <v/>
      </c>
      <c r="DP35" s="65">
        <f>IFERROR($AZ35/$AZ36-1,"")</f>
        <v/>
      </c>
      <c r="DQ35" s="65">
        <f>IFERROR($BA35/$BA36-1,"")</f>
        <v/>
      </c>
      <c r="DR35" s="64">
        <f>$O35-$O36</f>
        <v/>
      </c>
      <c r="DS35" s="64">
        <f>$P35-$P36</f>
        <v/>
      </c>
      <c r="DT35" s="64">
        <f>$Q35-$Q36</f>
        <v/>
      </c>
      <c r="DU35" s="64">
        <f>$S35-$S36</f>
        <v/>
      </c>
      <c r="DV35" s="65">
        <f>IFERROR(AVERAGE($AA36/$AA35-1,$AB36/$AB35-1,$AC36/$AC35-1,$AD36/$AD35-1,$AE36/$AE35-1,$AG36/$AG35-1,$AH36/$AH35-1,$AI36/$AI35-1,$AJ36/$AJ35-1,$AL36/$AL35-1,$AM36/$AM35-1,$AR36/$AR35-1,$AS36/$AS35-1,$AT36/$AT35-1,$AU36/$AU35-1,$AV36/$AV35-1,$AW36/$AW35-1,$AX36/$AX35-1,$AY36/$AY35-1),"")</f>
        <v/>
      </c>
      <c r="DW35" s="66">
        <f>AVERAGE($CB35,$CC35,$CD35,$CE35,$CF35,$CG35,$CH35,$CI35,$CJ35,$CL35,$CM35,$CN35,$CO35,$CP35,$CQ35,$CR35,$CS35,$CT35)</f>
        <v/>
      </c>
      <c r="DX35" s="66">
        <f>AVERAGE($CB35,$CC35,$CM35,$CE35,$CP35)</f>
        <v/>
      </c>
      <c r="DY35" s="64">
        <f>($DW35-$DW36)*100</f>
        <v/>
      </c>
      <c r="DZ35" s="64">
        <f>($DX35-$DX36)*100</f>
        <v/>
      </c>
      <c r="EA35" s="64">
        <f>($DW35-$D35)*100</f>
        <v/>
      </c>
      <c r="EB35" s="64">
        <f>$Q35-$O35</f>
        <v/>
      </c>
      <c r="EC35" s="67">
        <f>IFERROR($Q35/$P35,"")</f>
        <v/>
      </c>
    </row>
    <row r="36">
      <c r="DG36" s="64">
        <f>($B36-$B37)*100</f>
        <v/>
      </c>
      <c r="DH36" s="64">
        <f>($D36-$D37)*100</f>
        <v/>
      </c>
      <c r="DI36" s="64">
        <f>($E36-$E37)*100</f>
        <v/>
      </c>
      <c r="DJ36" s="64">
        <f>($H36-$H37)*100</f>
        <v/>
      </c>
      <c r="DK36" s="65">
        <f>IFERROR($J36/$J37-1,"")</f>
        <v/>
      </c>
      <c r="DL36" s="64">
        <f>$L36-$L37</f>
        <v/>
      </c>
      <c r="DM36" s="64">
        <f>$K36-$K37</f>
        <v/>
      </c>
      <c r="DN36" s="65">
        <f>IFERROR($N36/$N37-1,"")</f>
        <v/>
      </c>
      <c r="DO36" s="65">
        <f>IFERROR($M36/$M37-1,"")</f>
        <v/>
      </c>
      <c r="DP36" s="65">
        <f>IFERROR($AZ36/$AZ37-1,"")</f>
        <v/>
      </c>
      <c r="DQ36" s="65">
        <f>IFERROR($BA36/$BA37-1,"")</f>
        <v/>
      </c>
      <c r="DR36" s="64">
        <f>$O36-$O37</f>
        <v/>
      </c>
      <c r="DS36" s="64">
        <f>$P36-$P37</f>
        <v/>
      </c>
      <c r="DT36" s="64">
        <f>$Q36-$Q37</f>
        <v/>
      </c>
      <c r="DU36" s="64">
        <f>$S36-$S37</f>
        <v/>
      </c>
      <c r="DV36" s="65">
        <f>IFERROR(AVERAGE($AA37/$AA36-1,$AB37/$AB36-1,$AC37/$AC36-1,$AD37/$AD36-1,$AE37/$AE36-1,$AG37/$AG36-1,$AH37/$AH36-1,$AI37/$AI36-1,$AJ37/$AJ36-1,$AL37/$AL36-1,$AM37/$AM36-1,$AR37/$AR36-1,$AS37/$AS36-1,$AT37/$AT36-1,$AU37/$AU36-1,$AV37/$AV36-1,$AW37/$AW36-1,$AX37/$AX36-1,$AY37/$AY36-1),"")</f>
        <v/>
      </c>
      <c r="DW36" s="66">
        <f>AVERAGE($CB36,$CC36,$CD36,$CE36,$CF36,$CG36,$CH36,$CI36,$CJ36,$CL36,$CM36,$CN36,$CO36,$CP36,$CQ36,$CR36,$CS36,$CT36)</f>
        <v/>
      </c>
      <c r="DX36" s="66">
        <f>AVERAGE($CB36,$CC36,$CM36,$CE36,$CP36)</f>
        <v/>
      </c>
      <c r="DY36" s="64">
        <f>($DW36-$DW37)*100</f>
        <v/>
      </c>
      <c r="DZ36" s="64">
        <f>($DX36-$DX37)*100</f>
        <v/>
      </c>
      <c r="EA36" s="64">
        <f>($DW36-$D36)*100</f>
        <v/>
      </c>
      <c r="EB36" s="64">
        <f>$Q36-$O36</f>
        <v/>
      </c>
      <c r="EC36" s="67">
        <f>IFERROR($Q36/$P36,"")</f>
        <v/>
      </c>
    </row>
    <row r="37">
      <c r="DG37" s="64">
        <f>($B37-$B38)*100</f>
        <v/>
      </c>
      <c r="DH37" s="64">
        <f>($D37-$D38)*100</f>
        <v/>
      </c>
      <c r="DI37" s="64">
        <f>($E37-$E38)*100</f>
        <v/>
      </c>
      <c r="DJ37" s="64">
        <f>($H37-$H38)*100</f>
        <v/>
      </c>
      <c r="DK37" s="65">
        <f>IFERROR($J37/$J38-1,"")</f>
        <v/>
      </c>
      <c r="DL37" s="64">
        <f>$L37-$L38</f>
        <v/>
      </c>
      <c r="DM37" s="64">
        <f>$K37-$K38</f>
        <v/>
      </c>
      <c r="DN37" s="65">
        <f>IFERROR($N37/$N38-1,"")</f>
        <v/>
      </c>
      <c r="DO37" s="65">
        <f>IFERROR($M37/$M38-1,"")</f>
        <v/>
      </c>
      <c r="DP37" s="65">
        <f>IFERROR($AZ37/$AZ38-1,"")</f>
        <v/>
      </c>
      <c r="DQ37" s="65">
        <f>IFERROR($BA37/$BA38-1,"")</f>
        <v/>
      </c>
      <c r="DR37" s="64">
        <f>$O37-$O38</f>
        <v/>
      </c>
      <c r="DS37" s="64">
        <f>$P37-$P38</f>
        <v/>
      </c>
      <c r="DT37" s="64">
        <f>$Q37-$Q38</f>
        <v/>
      </c>
      <c r="DU37" s="64">
        <f>$S37-$S38</f>
        <v/>
      </c>
      <c r="DV37" s="65">
        <f>IFERROR(AVERAGE($AA38/$AA37-1,$AB38/$AB37-1,$AC38/$AC37-1,$AD38/$AD37-1,$AE38/$AE37-1,$AG38/$AG37-1,$AH38/$AH37-1,$AI38/$AI37-1,$AJ38/$AJ37-1,$AL38/$AL37-1,$AM38/$AM37-1,$AR38/$AR37-1,$AS38/$AS37-1,$AT38/$AT37-1,$AU38/$AU37-1,$AV38/$AV37-1,$AW38/$AW37-1,$AX38/$AX37-1,$AY38/$AY37-1),"")</f>
        <v/>
      </c>
      <c r="DW37" s="66">
        <f>AVERAGE($CB37,$CC37,$CD37,$CE37,$CF37,$CG37,$CH37,$CI37,$CJ37,$CL37,$CM37,$CN37,$CO37,$CP37,$CQ37,$CR37,$CS37,$CT37)</f>
        <v/>
      </c>
      <c r="DX37" s="66">
        <f>AVERAGE($CB37,$CC37,$CM37,$CE37,$CP37)</f>
        <v/>
      </c>
      <c r="DY37" s="64">
        <f>($DW37-$DW38)*100</f>
        <v/>
      </c>
      <c r="DZ37" s="64">
        <f>($DX37-$DX38)*100</f>
        <v/>
      </c>
      <c r="EA37" s="64">
        <f>($DW37-$D37)*100</f>
        <v/>
      </c>
      <c r="EB37" s="64">
        <f>$Q37-$O37</f>
        <v/>
      </c>
      <c r="EC37" s="67">
        <f>IFERROR($Q37/$P37,"")</f>
        <v/>
      </c>
    </row>
    <row r="38">
      <c r="DG38" s="64">
        <f>($B38-$B39)*100</f>
        <v/>
      </c>
      <c r="DH38" s="64">
        <f>($D38-$D39)*100</f>
        <v/>
      </c>
      <c r="DI38" s="64">
        <f>($E38-$E39)*100</f>
        <v/>
      </c>
      <c r="DJ38" s="64">
        <f>($H38-$H39)*100</f>
        <v/>
      </c>
      <c r="DK38" s="65">
        <f>IFERROR($J38/$J39-1,"")</f>
        <v/>
      </c>
      <c r="DL38" s="64">
        <f>$L38-$L39</f>
        <v/>
      </c>
      <c r="DM38" s="64">
        <f>$K38-$K39</f>
        <v/>
      </c>
      <c r="DN38" s="65">
        <f>IFERROR($N38/$N39-1,"")</f>
        <v/>
      </c>
      <c r="DO38" s="65">
        <f>IFERROR($M38/$M39-1,"")</f>
        <v/>
      </c>
      <c r="DP38" s="65">
        <f>IFERROR($AZ38/$AZ39-1,"")</f>
        <v/>
      </c>
      <c r="DQ38" s="65">
        <f>IFERROR($BA38/$BA39-1,"")</f>
        <v/>
      </c>
      <c r="DR38" s="64">
        <f>$O38-$O39</f>
        <v/>
      </c>
      <c r="DS38" s="64">
        <f>$P38-$P39</f>
        <v/>
      </c>
      <c r="DT38" s="64">
        <f>$Q38-$Q39</f>
        <v/>
      </c>
      <c r="DU38" s="64">
        <f>$S38-$S39</f>
        <v/>
      </c>
      <c r="DV38" s="65">
        <f>IFERROR(AVERAGE($AA39/$AA38-1,$AB39/$AB38-1,$AC39/$AC38-1,$AD39/$AD38-1,$AE39/$AE38-1,$AG39/$AG38-1,$AH39/$AH38-1,$AI39/$AI38-1,$AJ39/$AJ38-1,$AL39/$AL38-1,$AM39/$AM38-1,$AR39/$AR38-1,$AS39/$AS38-1,$AT39/$AT38-1,$AU39/$AU38-1,$AV39/$AV38-1,$AW39/$AW38-1,$AX39/$AX38-1,$AY39/$AY38-1),"")</f>
        <v/>
      </c>
      <c r="DW38" s="66">
        <f>AVERAGE($CB38,$CC38,$CD38,$CE38,$CF38,$CG38,$CH38,$CI38,$CJ38,$CL38,$CM38,$CN38,$CO38,$CP38,$CQ38,$CR38,$CS38,$CT38)</f>
        <v/>
      </c>
      <c r="DX38" s="66">
        <f>AVERAGE($CB38,$CC38,$CM38,$CE38,$CP38)</f>
        <v/>
      </c>
      <c r="DY38" s="64">
        <f>($DW38-$DW39)*100</f>
        <v/>
      </c>
      <c r="DZ38" s="64">
        <f>($DX38-$DX39)*100</f>
        <v/>
      </c>
      <c r="EA38" s="64">
        <f>($DW38-$D38)*100</f>
        <v/>
      </c>
      <c r="EB38" s="64">
        <f>$Q38-$O38</f>
        <v/>
      </c>
      <c r="EC38" s="67">
        <f>IFERROR($Q38/$P38,"")</f>
        <v/>
      </c>
    </row>
    <row r="39">
      <c r="DG39" s="64">
        <f>($B39-$B40)*100</f>
        <v/>
      </c>
      <c r="DH39" s="64">
        <f>($D39-$D40)*100</f>
        <v/>
      </c>
      <c r="DI39" s="64">
        <f>($E39-$E40)*100</f>
        <v/>
      </c>
      <c r="DJ39" s="64">
        <f>($H39-$H40)*100</f>
        <v/>
      </c>
      <c r="DK39" s="65">
        <f>IFERROR($J39/$J40-1,"")</f>
        <v/>
      </c>
      <c r="DL39" s="64">
        <f>$L39-$L40</f>
        <v/>
      </c>
      <c r="DM39" s="64">
        <f>$K39-$K40</f>
        <v/>
      </c>
      <c r="DN39" s="65">
        <f>IFERROR($N39/$N40-1,"")</f>
        <v/>
      </c>
      <c r="DO39" s="65">
        <f>IFERROR($M39/$M40-1,"")</f>
        <v/>
      </c>
      <c r="DP39" s="65">
        <f>IFERROR($AZ39/$AZ40-1,"")</f>
        <v/>
      </c>
      <c r="DQ39" s="65">
        <f>IFERROR($BA39/$BA40-1,"")</f>
        <v/>
      </c>
      <c r="DR39" s="64">
        <f>$O39-$O40</f>
        <v/>
      </c>
      <c r="DS39" s="64">
        <f>$P39-$P40</f>
        <v/>
      </c>
      <c r="DT39" s="64">
        <f>$Q39-$Q40</f>
        <v/>
      </c>
      <c r="DU39" s="64">
        <f>$S39-$S40</f>
        <v/>
      </c>
      <c r="DV39" s="65">
        <f>IFERROR(AVERAGE($AA40/$AA39-1,$AB40/$AB39-1,$AC40/$AC39-1,$AD40/$AD39-1,$AE40/$AE39-1,$AG40/$AG39-1,$AH40/$AH39-1,$AI40/$AI39-1,$AJ40/$AJ39-1,$AL40/$AL39-1,$AM40/$AM39-1,$AR40/$AR39-1,$AS40/$AS39-1,$AT40/$AT39-1,$AU40/$AU39-1,$AV40/$AV39-1,$AW40/$AW39-1,$AX40/$AX39-1,$AY40/$AY39-1),"")</f>
        <v/>
      </c>
      <c r="DW39" s="66">
        <f>AVERAGE($CB39,$CC39,$CD39,$CE39,$CF39,$CG39,$CH39,$CI39,$CJ39,$CL39,$CM39,$CN39,$CO39,$CP39,$CQ39,$CR39,$CS39,$CT39)</f>
        <v/>
      </c>
      <c r="DX39" s="66">
        <f>AVERAGE($CB39,$CC39,$CM39,$CE39,$CP39)</f>
        <v/>
      </c>
      <c r="DY39" s="64">
        <f>($DW39-$DW40)*100</f>
        <v/>
      </c>
      <c r="DZ39" s="64">
        <f>($DX39-$DX40)*100</f>
        <v/>
      </c>
      <c r="EA39" s="64">
        <f>($DW39-$D39)*100</f>
        <v/>
      </c>
      <c r="EB39" s="64">
        <f>$Q39-$O39</f>
        <v/>
      </c>
      <c r="EC39" s="67">
        <f>IFERROR($Q39/$P39,"")</f>
        <v/>
      </c>
    </row>
    <row r="40">
      <c r="DG40" s="64">
        <f>($B40-$B41)*100</f>
        <v/>
      </c>
      <c r="DH40" s="64">
        <f>($D40-$D41)*100</f>
        <v/>
      </c>
      <c r="DI40" s="64">
        <f>($E40-$E41)*100</f>
        <v/>
      </c>
      <c r="DJ40" s="64">
        <f>($H40-$H41)*100</f>
        <v/>
      </c>
      <c r="DK40" s="65">
        <f>IFERROR($J40/$J41-1,"")</f>
        <v/>
      </c>
      <c r="DL40" s="64">
        <f>$L40-$L41</f>
        <v/>
      </c>
      <c r="DM40" s="64">
        <f>$K40-$K41</f>
        <v/>
      </c>
      <c r="DN40" s="65">
        <f>IFERROR($N40/$N41-1,"")</f>
        <v/>
      </c>
      <c r="DO40" s="65">
        <f>IFERROR($M40/$M41-1,"")</f>
        <v/>
      </c>
      <c r="DP40" s="65">
        <f>IFERROR($AZ40/$AZ41-1,"")</f>
        <v/>
      </c>
      <c r="DQ40" s="65">
        <f>IFERROR($BA40/$BA41-1,"")</f>
        <v/>
      </c>
      <c r="DR40" s="64">
        <f>$O40-$O41</f>
        <v/>
      </c>
      <c r="DS40" s="64">
        <f>$P40-$P41</f>
        <v/>
      </c>
      <c r="DT40" s="64">
        <f>$Q40-$Q41</f>
        <v/>
      </c>
      <c r="DU40" s="64">
        <f>$S40-$S41</f>
        <v/>
      </c>
      <c r="DV40" s="65">
        <f>IFERROR(AVERAGE($AA41/$AA40-1,$AB41/$AB40-1,$AC41/$AC40-1,$AD41/$AD40-1,$AE41/$AE40-1,$AG41/$AG40-1,$AH41/$AH40-1,$AI41/$AI40-1,$AJ41/$AJ40-1,$AL41/$AL40-1,$AM41/$AM40-1,$AR41/$AR40-1,$AS41/$AS40-1,$AT41/$AT40-1,$AU41/$AU40-1,$AV41/$AV40-1,$AW41/$AW40-1,$AX41/$AX40-1,$AY41/$AY40-1),"")</f>
        <v/>
      </c>
      <c r="DW40" s="66">
        <f>AVERAGE($CB40,$CC40,$CD40,$CE40,$CF40,$CG40,$CH40,$CI40,$CJ40,$CL40,$CM40,$CN40,$CO40,$CP40,$CQ40,$CR40,$CS40,$CT40)</f>
        <v/>
      </c>
      <c r="DX40" s="66">
        <f>AVERAGE($CB40,$CC40,$CM40,$CE40,$CP40)</f>
        <v/>
      </c>
      <c r="DY40" s="64">
        <f>($DW40-$DW41)*100</f>
        <v/>
      </c>
      <c r="DZ40" s="64">
        <f>($DX40-$DX41)*100</f>
        <v/>
      </c>
      <c r="EA40" s="64">
        <f>($DW40-$D40)*100</f>
        <v/>
      </c>
      <c r="EB40" s="64">
        <f>$Q40-$O40</f>
        <v/>
      </c>
      <c r="EC40" s="67">
        <f>IFERROR($Q40/$P40,"")</f>
        <v/>
      </c>
    </row>
    <row r="41">
      <c r="DG41" s="64">
        <f>($B41-$B42)*100</f>
        <v/>
      </c>
      <c r="DH41" s="64">
        <f>($D41-$D42)*100</f>
        <v/>
      </c>
      <c r="DI41" s="64">
        <f>($E41-$E42)*100</f>
        <v/>
      </c>
      <c r="DJ41" s="64">
        <f>($H41-$H42)*100</f>
        <v/>
      </c>
      <c r="DK41" s="65">
        <f>IFERROR($J41/$J42-1,"")</f>
        <v/>
      </c>
      <c r="DL41" s="64">
        <f>$L41-$L42</f>
        <v/>
      </c>
      <c r="DM41" s="64">
        <f>$K41-$K42</f>
        <v/>
      </c>
      <c r="DN41" s="65">
        <f>IFERROR($N41/$N42-1,"")</f>
        <v/>
      </c>
      <c r="DO41" s="65">
        <f>IFERROR($M41/$M42-1,"")</f>
        <v/>
      </c>
      <c r="DP41" s="65">
        <f>IFERROR($AZ41/$AZ42-1,"")</f>
        <v/>
      </c>
      <c r="DQ41" s="65">
        <f>IFERROR($BA41/$BA42-1,"")</f>
        <v/>
      </c>
      <c r="DR41" s="64">
        <f>$O41-$O42</f>
        <v/>
      </c>
      <c r="DS41" s="64">
        <f>$P41-$P42</f>
        <v/>
      </c>
      <c r="DT41" s="64">
        <f>$Q41-$Q42</f>
        <v/>
      </c>
      <c r="DU41" s="64">
        <f>$S41-$S42</f>
        <v/>
      </c>
      <c r="DV41" s="65">
        <f>IFERROR(AVERAGE($AA42/$AA41-1,$AB42/$AB41-1,$AC42/$AC41-1,$AD42/$AD41-1,$AE42/$AE41-1,$AG42/$AG41-1,$AH42/$AH41-1,$AI42/$AI41-1,$AJ42/$AJ41-1,$AL42/$AL41-1,$AM42/$AM41-1,$AR42/$AR41-1,$AS42/$AS41-1,$AT42/$AT41-1,$AU42/$AU41-1,$AV42/$AV41-1,$AW42/$AW41-1,$AX42/$AX41-1,$AY42/$AY41-1),"")</f>
        <v/>
      </c>
      <c r="DW41" s="66">
        <f>AVERAGE($CB41,$CC41,$CD41,$CE41,$CF41,$CG41,$CH41,$CI41,$CJ41,$CL41,$CM41,$CN41,$CO41,$CP41,$CQ41,$CR41,$CS41,$CT41)</f>
        <v/>
      </c>
      <c r="DX41" s="66">
        <f>AVERAGE($CB41,$CC41,$CM41,$CE41,$CP41)</f>
        <v/>
      </c>
      <c r="DY41" s="64">
        <f>($DW41-$DW42)*100</f>
        <v/>
      </c>
      <c r="DZ41" s="64">
        <f>($DX41-$DX42)*100</f>
        <v/>
      </c>
      <c r="EA41" s="64">
        <f>($DW41-$D41)*100</f>
        <v/>
      </c>
      <c r="EB41" s="64">
        <f>$Q41-$O41</f>
        <v/>
      </c>
      <c r="EC41" s="67">
        <f>IFERROR($Q41/$P41,"")</f>
        <v/>
      </c>
    </row>
    <row r="42">
      <c r="DG42" s="64">
        <f>($B42-$B43)*100</f>
        <v/>
      </c>
      <c r="DH42" s="64">
        <f>($D42-$D43)*100</f>
        <v/>
      </c>
      <c r="DI42" s="64">
        <f>($E42-$E43)*100</f>
        <v/>
      </c>
      <c r="DJ42" s="64">
        <f>($H42-$H43)*100</f>
        <v/>
      </c>
      <c r="DK42" s="65">
        <f>IFERROR($J42/$J43-1,"")</f>
        <v/>
      </c>
      <c r="DL42" s="64">
        <f>$L42-$L43</f>
        <v/>
      </c>
      <c r="DM42" s="64">
        <f>$K42-$K43</f>
        <v/>
      </c>
      <c r="DN42" s="65">
        <f>IFERROR($N42/$N43-1,"")</f>
        <v/>
      </c>
      <c r="DO42" s="65">
        <f>IFERROR($M42/$M43-1,"")</f>
        <v/>
      </c>
      <c r="DP42" s="65">
        <f>IFERROR($AZ42/$AZ43-1,"")</f>
        <v/>
      </c>
      <c r="DQ42" s="65">
        <f>IFERROR($BA42/$BA43-1,"")</f>
        <v/>
      </c>
      <c r="DR42" s="64">
        <f>$O42-$O43</f>
        <v/>
      </c>
      <c r="DS42" s="64">
        <f>$P42-$P43</f>
        <v/>
      </c>
      <c r="DT42" s="64">
        <f>$Q42-$Q43</f>
        <v/>
      </c>
      <c r="DU42" s="64">
        <f>$S42-$S43</f>
        <v/>
      </c>
      <c r="DV42" s="65">
        <f>IFERROR(AVERAGE($AA43/$AA42-1,$AB43/$AB42-1,$AC43/$AC42-1,$AD43/$AD42-1,$AE43/$AE42-1,$AG43/$AG42-1,$AH43/$AH42-1,$AI43/$AI42-1,$AJ43/$AJ42-1,$AL43/$AL42-1,$AM43/$AM42-1,$AR43/$AR42-1,$AS43/$AS42-1,$AT43/$AT42-1,$AU43/$AU42-1,$AV43/$AV42-1,$AW43/$AW42-1,$AX43/$AX42-1,$AY43/$AY42-1),"")</f>
        <v/>
      </c>
      <c r="DW42" s="66">
        <f>AVERAGE($CB42,$CC42,$CD42,$CE42,$CF42,$CG42,$CH42,$CI42,$CJ42,$CL42,$CM42,$CN42,$CO42,$CP42,$CQ42,$CR42,$CS42,$CT42)</f>
        <v/>
      </c>
      <c r="DX42" s="66">
        <f>AVERAGE($CB42,$CC42,$CM42,$CE42,$CP42)</f>
        <v/>
      </c>
      <c r="DY42" s="64">
        <f>($DW42-$DW43)*100</f>
        <v/>
      </c>
      <c r="DZ42" s="64">
        <f>($DX42-$DX43)*100</f>
        <v/>
      </c>
      <c r="EA42" s="64">
        <f>($DW42-$D42)*100</f>
        <v/>
      </c>
      <c r="EB42" s="64">
        <f>$Q42-$O42</f>
        <v/>
      </c>
      <c r="EC42" s="67">
        <f>IFERROR($Q42/$P42,"")</f>
        <v/>
      </c>
    </row>
    <row r="43">
      <c r="DG43" s="64">
        <f>($B43-$B44)*100</f>
        <v/>
      </c>
      <c r="DH43" s="64">
        <f>($D43-$D44)*100</f>
        <v/>
      </c>
      <c r="DI43" s="64">
        <f>($E43-$E44)*100</f>
        <v/>
      </c>
      <c r="DJ43" s="64">
        <f>($H43-$H44)*100</f>
        <v/>
      </c>
      <c r="DK43" s="65">
        <f>IFERROR($J43/$J44-1,"")</f>
        <v/>
      </c>
      <c r="DL43" s="64">
        <f>$L43-$L44</f>
        <v/>
      </c>
      <c r="DM43" s="64">
        <f>$K43-$K44</f>
        <v/>
      </c>
      <c r="DN43" s="65">
        <f>IFERROR($N43/$N44-1,"")</f>
        <v/>
      </c>
      <c r="DO43" s="65">
        <f>IFERROR($M43/$M44-1,"")</f>
        <v/>
      </c>
      <c r="DP43" s="65">
        <f>IFERROR($AZ43/$AZ44-1,"")</f>
        <v/>
      </c>
      <c r="DQ43" s="65">
        <f>IFERROR($BA43/$BA44-1,"")</f>
        <v/>
      </c>
      <c r="DR43" s="64">
        <f>$O43-$O44</f>
        <v/>
      </c>
      <c r="DS43" s="64">
        <f>$P43-$P44</f>
        <v/>
      </c>
      <c r="DT43" s="64">
        <f>$Q43-$Q44</f>
        <v/>
      </c>
      <c r="DU43" s="64">
        <f>$S43-$S44</f>
        <v/>
      </c>
      <c r="DV43" s="65">
        <f>IFERROR(AVERAGE($AA44/$AA43-1,$AB44/$AB43-1,$AC44/$AC43-1,$AD44/$AD43-1,$AE44/$AE43-1,$AG44/$AG43-1,$AH44/$AH43-1,$AI44/$AI43-1,$AJ44/$AJ43-1,$AL44/$AL43-1,$AM44/$AM43-1,$AR44/$AR43-1,$AS44/$AS43-1,$AT44/$AT43-1,$AU44/$AU43-1,$AV44/$AV43-1,$AW44/$AW43-1,$AX44/$AX43-1,$AY44/$AY43-1),"")</f>
        <v/>
      </c>
      <c r="DW43" s="66">
        <f>AVERAGE($CB43,$CC43,$CD43,$CE43,$CF43,$CG43,$CH43,$CI43,$CJ43,$CL43,$CM43,$CN43,$CO43,$CP43,$CQ43,$CR43,$CS43,$CT43)</f>
        <v/>
      </c>
      <c r="DX43" s="66">
        <f>AVERAGE($CB43,$CC43,$CM43,$CE43,$CP43)</f>
        <v/>
      </c>
      <c r="DY43" s="64">
        <f>($DW43-$DW44)*100</f>
        <v/>
      </c>
      <c r="DZ43" s="64">
        <f>($DX43-$DX44)*100</f>
        <v/>
      </c>
      <c r="EA43" s="64">
        <f>($DW43-$D43)*100</f>
        <v/>
      </c>
      <c r="EB43" s="64">
        <f>$Q43-$O43</f>
        <v/>
      </c>
      <c r="EC43" s="67">
        <f>IFERROR($Q43/$P43,"")</f>
        <v/>
      </c>
    </row>
    <row r="44">
      <c r="DG44" s="64">
        <f>($B44-$B45)*100</f>
        <v/>
      </c>
      <c r="DH44" s="64">
        <f>($D44-$D45)*100</f>
        <v/>
      </c>
      <c r="DI44" s="64">
        <f>($E44-$E45)*100</f>
        <v/>
      </c>
      <c r="DJ44" s="64">
        <f>($H44-$H45)*100</f>
        <v/>
      </c>
      <c r="DK44" s="65">
        <f>IFERROR($J44/$J45-1,"")</f>
        <v/>
      </c>
      <c r="DL44" s="64">
        <f>$L44-$L45</f>
        <v/>
      </c>
      <c r="DM44" s="64">
        <f>$K44-$K45</f>
        <v/>
      </c>
      <c r="DN44" s="65">
        <f>IFERROR($N44/$N45-1,"")</f>
        <v/>
      </c>
      <c r="DO44" s="65">
        <f>IFERROR($M44/$M45-1,"")</f>
        <v/>
      </c>
      <c r="DP44" s="65">
        <f>IFERROR($AZ44/$AZ45-1,"")</f>
        <v/>
      </c>
      <c r="DQ44" s="65">
        <f>IFERROR($BA44/$BA45-1,"")</f>
        <v/>
      </c>
      <c r="DR44" s="64">
        <f>$O44-$O45</f>
        <v/>
      </c>
      <c r="DS44" s="64">
        <f>$P44-$P45</f>
        <v/>
      </c>
      <c r="DT44" s="64">
        <f>$Q44-$Q45</f>
        <v/>
      </c>
      <c r="DU44" s="64">
        <f>$S44-$S45</f>
        <v/>
      </c>
      <c r="DV44" s="65">
        <f>IFERROR(AVERAGE($AA45/$AA44-1,$AB45/$AB44-1,$AC45/$AC44-1,$AD45/$AD44-1,$AE45/$AE44-1,$AG45/$AG44-1,$AH45/$AH44-1,$AI45/$AI44-1,$AJ45/$AJ44-1,$AL45/$AL44-1,$AM45/$AM44-1,$AR45/$AR44-1,$AS45/$AS44-1,$AT45/$AT44-1,$AU45/$AU44-1,$AV45/$AV44-1,$AW45/$AW44-1,$AX45/$AX44-1,$AY45/$AY44-1),"")</f>
        <v/>
      </c>
      <c r="DW44" s="66">
        <f>AVERAGE($CB44,$CC44,$CD44,$CE44,$CF44,$CG44,$CH44,$CI44,$CJ44,$CL44,$CM44,$CN44,$CO44,$CP44,$CQ44,$CR44,$CS44,$CT44)</f>
        <v/>
      </c>
      <c r="DX44" s="66">
        <f>AVERAGE($CB44,$CC44,$CM44,$CE44,$CP44)</f>
        <v/>
      </c>
      <c r="DY44" s="64">
        <f>($DW44-$DW45)*100</f>
        <v/>
      </c>
      <c r="DZ44" s="64">
        <f>($DX44-$DX45)*100</f>
        <v/>
      </c>
      <c r="EA44" s="64">
        <f>($DW44-$D44)*100</f>
        <v/>
      </c>
      <c r="EB44" s="64">
        <f>$Q44-$O44</f>
        <v/>
      </c>
      <c r="EC44" s="67">
        <f>IFERROR($Q44/$P44,"")</f>
        <v/>
      </c>
    </row>
    <row r="45">
      <c r="DG45" s="64">
        <f>($B45-$B46)*100</f>
        <v/>
      </c>
      <c r="DH45" s="64">
        <f>($D45-$D46)*100</f>
        <v/>
      </c>
      <c r="DI45" s="64">
        <f>($E45-$E46)*100</f>
        <v/>
      </c>
      <c r="DJ45" s="64">
        <f>($H45-$H46)*100</f>
        <v/>
      </c>
      <c r="DK45" s="65">
        <f>IFERROR($J45/$J46-1,"")</f>
        <v/>
      </c>
      <c r="DL45" s="64">
        <f>$L45-$L46</f>
        <v/>
      </c>
      <c r="DM45" s="64">
        <f>$K45-$K46</f>
        <v/>
      </c>
      <c r="DN45" s="65">
        <f>IFERROR($N45/$N46-1,"")</f>
        <v/>
      </c>
      <c r="DO45" s="65">
        <f>IFERROR($M45/$M46-1,"")</f>
        <v/>
      </c>
      <c r="DP45" s="65">
        <f>IFERROR($AZ45/$AZ46-1,"")</f>
        <v/>
      </c>
      <c r="DQ45" s="65">
        <f>IFERROR($BA45/$BA46-1,"")</f>
        <v/>
      </c>
      <c r="DR45" s="64">
        <f>$O45-$O46</f>
        <v/>
      </c>
      <c r="DS45" s="64">
        <f>$P45-$P46</f>
        <v/>
      </c>
      <c r="DT45" s="64">
        <f>$Q45-$Q46</f>
        <v/>
      </c>
      <c r="DU45" s="64">
        <f>$S45-$S46</f>
        <v/>
      </c>
      <c r="DV45" s="65">
        <f>IFERROR(AVERAGE($AA46/$AA45-1,$AB46/$AB45-1,$AC46/$AC45-1,$AD46/$AD45-1,$AE46/$AE45-1,$AG46/$AG45-1,$AH46/$AH45-1,$AI46/$AI45-1,$AJ46/$AJ45-1,$AL46/$AL45-1,$AM46/$AM45-1,$AR46/$AR45-1,$AS46/$AS45-1,$AT46/$AT45-1,$AU46/$AU45-1,$AV46/$AV45-1,$AW46/$AW45-1,$AX46/$AX45-1,$AY46/$AY45-1),"")</f>
        <v/>
      </c>
      <c r="DW45" s="66">
        <f>AVERAGE($CB45,$CC45,$CD45,$CE45,$CF45,$CG45,$CH45,$CI45,$CJ45,$CL45,$CM45,$CN45,$CO45,$CP45,$CQ45,$CR45,$CS45,$CT45)</f>
        <v/>
      </c>
      <c r="DX45" s="66">
        <f>AVERAGE($CB45,$CC45,$CM45,$CE45,$CP45)</f>
        <v/>
      </c>
      <c r="DY45" s="64">
        <f>($DW45-$DW46)*100</f>
        <v/>
      </c>
      <c r="DZ45" s="64">
        <f>($DX45-$DX46)*100</f>
        <v/>
      </c>
      <c r="EA45" s="64">
        <f>($DW45-$D45)*100</f>
        <v/>
      </c>
      <c r="EB45" s="64">
        <f>$Q45-$O45</f>
        <v/>
      </c>
      <c r="EC45" s="67">
        <f>IFERROR($Q45/$P45,"")</f>
        <v/>
      </c>
    </row>
    <row r="46">
      <c r="DG46" s="64">
        <f>($B46-$B47)*100</f>
        <v/>
      </c>
      <c r="DH46" s="64">
        <f>($D46-$D47)*100</f>
        <v/>
      </c>
      <c r="DI46" s="64">
        <f>($E46-$E47)*100</f>
        <v/>
      </c>
      <c r="DJ46" s="64">
        <f>($H46-$H47)*100</f>
        <v/>
      </c>
      <c r="DK46" s="65">
        <f>IFERROR($J46/$J47-1,"")</f>
        <v/>
      </c>
      <c r="DL46" s="64">
        <f>$L46-$L47</f>
        <v/>
      </c>
      <c r="DM46" s="64">
        <f>$K46-$K47</f>
        <v/>
      </c>
      <c r="DN46" s="65">
        <f>IFERROR($N46/$N47-1,"")</f>
        <v/>
      </c>
      <c r="DO46" s="65">
        <f>IFERROR($M46/$M47-1,"")</f>
        <v/>
      </c>
      <c r="DP46" s="65">
        <f>IFERROR($AZ46/$AZ47-1,"")</f>
        <v/>
      </c>
      <c r="DQ46" s="65">
        <f>IFERROR($BA46/$BA47-1,"")</f>
        <v/>
      </c>
      <c r="DR46" s="64">
        <f>$O46-$O47</f>
        <v/>
      </c>
      <c r="DS46" s="64">
        <f>$P46-$P47</f>
        <v/>
      </c>
      <c r="DT46" s="64">
        <f>$Q46-$Q47</f>
        <v/>
      </c>
      <c r="DU46" s="64">
        <f>$S46-$S47</f>
        <v/>
      </c>
      <c r="DV46" s="65">
        <f>IFERROR(AVERAGE($AA47/$AA46-1,$AB47/$AB46-1,$AC47/$AC46-1,$AD47/$AD46-1,$AE47/$AE46-1,$AG47/$AG46-1,$AH47/$AH46-1,$AI47/$AI46-1,$AJ47/$AJ46-1,$AL47/$AL46-1,$AM47/$AM46-1,$AR47/$AR46-1,$AS47/$AS46-1,$AT47/$AT46-1,$AU47/$AU46-1,$AV47/$AV46-1,$AW47/$AW46-1,$AX47/$AX46-1,$AY47/$AY46-1),"")</f>
        <v/>
      </c>
      <c r="DW46" s="66">
        <f>AVERAGE($CB46,$CC46,$CD46,$CE46,$CF46,$CG46,$CH46,$CI46,$CJ46,$CL46,$CM46,$CN46,$CO46,$CP46,$CQ46,$CR46,$CS46,$CT46)</f>
        <v/>
      </c>
      <c r="DX46" s="66">
        <f>AVERAGE($CB46,$CC46,$CM46,$CE46,$CP46)</f>
        <v/>
      </c>
      <c r="DY46" s="64">
        <f>($DW46-$DW47)*100</f>
        <v/>
      </c>
      <c r="DZ46" s="64">
        <f>($DX46-$DX47)*100</f>
        <v/>
      </c>
      <c r="EA46" s="64">
        <f>($DW46-$D46)*100</f>
        <v/>
      </c>
      <c r="EB46" s="64">
        <f>$Q46-$O46</f>
        <v/>
      </c>
      <c r="EC46" s="67">
        <f>IFERROR($Q46/$P46,"")</f>
        <v/>
      </c>
    </row>
    <row r="47">
      <c r="DG47" s="64">
        <f>($B47-$B48)*100</f>
        <v/>
      </c>
      <c r="DH47" s="64">
        <f>($D47-$D48)*100</f>
        <v/>
      </c>
      <c r="DI47" s="64">
        <f>($E47-$E48)*100</f>
        <v/>
      </c>
      <c r="DJ47" s="64">
        <f>($H47-$H48)*100</f>
        <v/>
      </c>
      <c r="DK47" s="65">
        <f>IFERROR($J47/$J48-1,"")</f>
        <v/>
      </c>
      <c r="DL47" s="64">
        <f>$L47-$L48</f>
        <v/>
      </c>
      <c r="DM47" s="64">
        <f>$K47-$K48</f>
        <v/>
      </c>
      <c r="DN47" s="65">
        <f>IFERROR($N47/$N48-1,"")</f>
        <v/>
      </c>
      <c r="DO47" s="65">
        <f>IFERROR($M47/$M48-1,"")</f>
        <v/>
      </c>
      <c r="DP47" s="65">
        <f>IFERROR($AZ47/$AZ48-1,"")</f>
        <v/>
      </c>
      <c r="DQ47" s="65">
        <f>IFERROR($BA47/$BA48-1,"")</f>
        <v/>
      </c>
      <c r="DR47" s="64">
        <f>$O47-$O48</f>
        <v/>
      </c>
      <c r="DS47" s="64">
        <f>$P47-$P48</f>
        <v/>
      </c>
      <c r="DT47" s="64">
        <f>$Q47-$Q48</f>
        <v/>
      </c>
      <c r="DU47" s="64">
        <f>$S47-$S48</f>
        <v/>
      </c>
      <c r="DV47" s="65">
        <f>IFERROR(AVERAGE($AA48/$AA47-1,$AB48/$AB47-1,$AC48/$AC47-1,$AD48/$AD47-1,$AE48/$AE47-1,$AG48/$AG47-1,$AH48/$AH47-1,$AI48/$AI47-1,$AJ48/$AJ47-1,$AL48/$AL47-1,$AM48/$AM47-1,$AR48/$AR47-1,$AS48/$AS47-1,$AT48/$AT47-1,$AU48/$AU47-1,$AV48/$AV47-1,$AW48/$AW47-1,$AX48/$AX47-1,$AY48/$AY47-1),"")</f>
        <v/>
      </c>
      <c r="DW47" s="66">
        <f>AVERAGE($CB47,$CC47,$CD47,$CE47,$CF47,$CG47,$CH47,$CI47,$CJ47,$CL47,$CM47,$CN47,$CO47,$CP47,$CQ47,$CR47,$CS47,$CT47)</f>
        <v/>
      </c>
      <c r="DX47" s="66">
        <f>AVERAGE($CB47,$CC47,$CM47,$CE47,$CP47)</f>
        <v/>
      </c>
      <c r="DY47" s="64">
        <f>($DW47-$DW48)*100</f>
        <v/>
      </c>
      <c r="DZ47" s="64">
        <f>($DX47-$DX48)*100</f>
        <v/>
      </c>
      <c r="EA47" s="64">
        <f>($DW47-$D47)*100</f>
        <v/>
      </c>
      <c r="EB47" s="64">
        <f>$Q47-$O47</f>
        <v/>
      </c>
      <c r="EC47" s="67">
        <f>IFERROR($Q47/$P47,"")</f>
        <v/>
      </c>
    </row>
    <row r="48">
      <c r="DG48" s="64">
        <f>($B48-$B49)*100</f>
        <v/>
      </c>
      <c r="DH48" s="64">
        <f>($D48-$D49)*100</f>
        <v/>
      </c>
      <c r="DI48" s="64">
        <f>($E48-$E49)*100</f>
        <v/>
      </c>
      <c r="DJ48" s="64">
        <f>($H48-$H49)*100</f>
        <v/>
      </c>
      <c r="DK48" s="65">
        <f>IFERROR($J48/$J49-1,"")</f>
        <v/>
      </c>
      <c r="DL48" s="64">
        <f>$L48-$L49</f>
        <v/>
      </c>
      <c r="DM48" s="64">
        <f>$K48-$K49</f>
        <v/>
      </c>
      <c r="DN48" s="65">
        <f>IFERROR($N48/$N49-1,"")</f>
        <v/>
      </c>
      <c r="DO48" s="65">
        <f>IFERROR($M48/$M49-1,"")</f>
        <v/>
      </c>
      <c r="DP48" s="65">
        <f>IFERROR($AZ48/$AZ49-1,"")</f>
        <v/>
      </c>
      <c r="DQ48" s="65">
        <f>IFERROR($BA48/$BA49-1,"")</f>
        <v/>
      </c>
      <c r="DR48" s="64">
        <f>$O48-$O49</f>
        <v/>
      </c>
      <c r="DS48" s="64">
        <f>$P48-$P49</f>
        <v/>
      </c>
      <c r="DT48" s="64">
        <f>$Q48-$Q49</f>
        <v/>
      </c>
      <c r="DU48" s="64">
        <f>$S48-$S49</f>
        <v/>
      </c>
      <c r="DV48" s="65">
        <f>IFERROR(AVERAGE($AA49/$AA48-1,$AB49/$AB48-1,$AC49/$AC48-1,$AD49/$AD48-1,$AE49/$AE48-1,$AG49/$AG48-1,$AH49/$AH48-1,$AI49/$AI48-1,$AJ49/$AJ48-1,$AL49/$AL48-1,$AM49/$AM48-1,$AR49/$AR48-1,$AS49/$AS48-1,$AT49/$AT48-1,$AU49/$AU48-1,$AV49/$AV48-1,$AW49/$AW48-1,$AX49/$AX48-1,$AY49/$AY48-1),"")</f>
        <v/>
      </c>
      <c r="DW48" s="66">
        <f>AVERAGE($CB48,$CC48,$CD48,$CE48,$CF48,$CG48,$CH48,$CI48,$CJ48,$CL48,$CM48,$CN48,$CO48,$CP48,$CQ48,$CR48,$CS48,$CT48)</f>
        <v/>
      </c>
      <c r="DX48" s="66">
        <f>AVERAGE($CB48,$CC48,$CM48,$CE48,$CP48)</f>
        <v/>
      </c>
      <c r="DY48" s="64">
        <f>($DW48-$DW49)*100</f>
        <v/>
      </c>
      <c r="DZ48" s="64">
        <f>($DX48-$DX49)*100</f>
        <v/>
      </c>
      <c r="EA48" s="64">
        <f>($DW48-$D48)*100</f>
        <v/>
      </c>
      <c r="EB48" s="64">
        <f>$Q48-$O48</f>
        <v/>
      </c>
      <c r="EC48" s="67">
        <f>IFERROR($Q48/$P48,"")</f>
        <v/>
      </c>
    </row>
    <row r="49">
      <c r="DG49" s="64">
        <f>($B49-$B50)*100</f>
        <v/>
      </c>
      <c r="DH49" s="64">
        <f>($D49-$D50)*100</f>
        <v/>
      </c>
      <c r="DI49" s="64">
        <f>($E49-$E50)*100</f>
        <v/>
      </c>
      <c r="DJ49" s="64">
        <f>($H49-$H50)*100</f>
        <v/>
      </c>
      <c r="DK49" s="65">
        <f>IFERROR($J49/$J50-1,"")</f>
        <v/>
      </c>
      <c r="DL49" s="64">
        <f>$L49-$L50</f>
        <v/>
      </c>
      <c r="DM49" s="64">
        <f>$K49-$K50</f>
        <v/>
      </c>
      <c r="DN49" s="65">
        <f>IFERROR($N49/$N50-1,"")</f>
        <v/>
      </c>
      <c r="DO49" s="65">
        <f>IFERROR($M49/$M50-1,"")</f>
        <v/>
      </c>
      <c r="DP49" s="65">
        <f>IFERROR($AZ49/$AZ50-1,"")</f>
        <v/>
      </c>
      <c r="DQ49" s="65">
        <f>IFERROR($BA49/$BA50-1,"")</f>
        <v/>
      </c>
      <c r="DR49" s="64">
        <f>$O49-$O50</f>
        <v/>
      </c>
      <c r="DS49" s="64">
        <f>$P49-$P50</f>
        <v/>
      </c>
      <c r="DT49" s="64">
        <f>$Q49-$Q50</f>
        <v/>
      </c>
      <c r="DU49" s="64">
        <f>$S49-$S50</f>
        <v/>
      </c>
      <c r="DV49" s="65">
        <f>IFERROR(AVERAGE($AA50/$AA49-1,$AB50/$AB49-1,$AC50/$AC49-1,$AD50/$AD49-1,$AE50/$AE49-1,$AG50/$AG49-1,$AH50/$AH49-1,$AI50/$AI49-1,$AJ50/$AJ49-1,$AL50/$AL49-1,$AM50/$AM49-1,$AR50/$AR49-1,$AS50/$AS49-1,$AT50/$AT49-1,$AU50/$AU49-1,$AV50/$AV49-1,$AW50/$AW49-1,$AX50/$AX49-1,$AY50/$AY49-1),"")</f>
        <v/>
      </c>
      <c r="DW49" s="66">
        <f>AVERAGE($CB49,$CC49,$CD49,$CE49,$CF49,$CG49,$CH49,$CI49,$CJ49,$CL49,$CM49,$CN49,$CO49,$CP49,$CQ49,$CR49,$CS49,$CT49)</f>
        <v/>
      </c>
      <c r="DX49" s="66">
        <f>AVERAGE($CB49,$CC49,$CM49,$CE49,$CP49)</f>
        <v/>
      </c>
      <c r="DY49" s="64">
        <f>($DW49-$DW50)*100</f>
        <v/>
      </c>
      <c r="DZ49" s="64">
        <f>($DX49-$DX50)*100</f>
        <v/>
      </c>
      <c r="EA49" s="64">
        <f>($DW49-$D49)*100</f>
        <v/>
      </c>
      <c r="EB49" s="64">
        <f>$Q49-$O49</f>
        <v/>
      </c>
      <c r="EC49" s="67">
        <f>IFERROR($Q49/$P49,"")</f>
        <v/>
      </c>
    </row>
    <row r="50">
      <c r="DG50" s="64">
        <f>($B50-$B51)*100</f>
        <v/>
      </c>
      <c r="DH50" s="64">
        <f>($D50-$D51)*100</f>
        <v/>
      </c>
      <c r="DI50" s="64">
        <f>($E50-$E51)*100</f>
        <v/>
      </c>
      <c r="DJ50" s="64">
        <f>($H50-$H51)*100</f>
        <v/>
      </c>
      <c r="DK50" s="65">
        <f>IFERROR($J50/$J51-1,"")</f>
        <v/>
      </c>
      <c r="DL50" s="64">
        <f>$L50-$L51</f>
        <v/>
      </c>
      <c r="DM50" s="64">
        <f>$K50-$K51</f>
        <v/>
      </c>
      <c r="DN50" s="65">
        <f>IFERROR($N50/$N51-1,"")</f>
        <v/>
      </c>
      <c r="DO50" s="65">
        <f>IFERROR($M50/$M51-1,"")</f>
        <v/>
      </c>
      <c r="DP50" s="65">
        <f>IFERROR($AZ50/$AZ51-1,"")</f>
        <v/>
      </c>
      <c r="DQ50" s="65">
        <f>IFERROR($BA50/$BA51-1,"")</f>
        <v/>
      </c>
      <c r="DR50" s="64">
        <f>$O50-$O51</f>
        <v/>
      </c>
      <c r="DS50" s="64">
        <f>$P50-$P51</f>
        <v/>
      </c>
      <c r="DT50" s="64">
        <f>$Q50-$Q51</f>
        <v/>
      </c>
      <c r="DU50" s="64">
        <f>$S50-$S51</f>
        <v/>
      </c>
      <c r="DV50" s="65">
        <f>IFERROR(AVERAGE($AA51/$AA50-1,$AB51/$AB50-1,$AC51/$AC50-1,$AD51/$AD50-1,$AE51/$AE50-1,$AG51/$AG50-1,$AH51/$AH50-1,$AI51/$AI50-1,$AJ51/$AJ50-1,$AL51/$AL50-1,$AM51/$AM50-1,$AR51/$AR50-1,$AS51/$AS50-1,$AT51/$AT50-1,$AU51/$AU50-1,$AV51/$AV50-1,$AW51/$AW50-1,$AX51/$AX50-1,$AY51/$AY50-1),"")</f>
        <v/>
      </c>
      <c r="DW50" s="66">
        <f>AVERAGE($CB50,$CC50,$CD50,$CE50,$CF50,$CG50,$CH50,$CI50,$CJ50,$CL50,$CM50,$CN50,$CO50,$CP50,$CQ50,$CR50,$CS50,$CT50)</f>
        <v/>
      </c>
      <c r="DX50" s="66">
        <f>AVERAGE($CB50,$CC50,$CM50,$CE50,$CP50)</f>
        <v/>
      </c>
      <c r="DY50" s="64">
        <f>($DW50-$DW51)*100</f>
        <v/>
      </c>
      <c r="DZ50" s="64">
        <f>($DX50-$DX51)*100</f>
        <v/>
      </c>
      <c r="EA50" s="64">
        <f>($DW50-$D50)*100</f>
        <v/>
      </c>
      <c r="EB50" s="64">
        <f>$Q50-$O50</f>
        <v/>
      </c>
      <c r="EC50" s="67">
        <f>IFERROR($Q50/$P50,"")</f>
        <v/>
      </c>
    </row>
    <row r="51">
      <c r="DG51" s="64">
        <f>($B51-$B52)*100</f>
        <v/>
      </c>
      <c r="DH51" s="64">
        <f>($D51-$D52)*100</f>
        <v/>
      </c>
      <c r="DI51" s="64">
        <f>($E51-$E52)*100</f>
        <v/>
      </c>
      <c r="DJ51" s="64">
        <f>($H51-$H52)*100</f>
        <v/>
      </c>
      <c r="DK51" s="65">
        <f>IFERROR($J51/$J52-1,"")</f>
        <v/>
      </c>
      <c r="DL51" s="64">
        <f>$L51-$L52</f>
        <v/>
      </c>
      <c r="DM51" s="64">
        <f>$K51-$K52</f>
        <v/>
      </c>
      <c r="DN51" s="65">
        <f>IFERROR($N51/$N52-1,"")</f>
        <v/>
      </c>
      <c r="DO51" s="65">
        <f>IFERROR($M51/$M52-1,"")</f>
        <v/>
      </c>
      <c r="DP51" s="65">
        <f>IFERROR($AZ51/$AZ52-1,"")</f>
        <v/>
      </c>
      <c r="DQ51" s="65">
        <f>IFERROR($BA51/$BA52-1,"")</f>
        <v/>
      </c>
      <c r="DR51" s="64">
        <f>$O51-$O52</f>
        <v/>
      </c>
      <c r="DS51" s="64">
        <f>$P51-$P52</f>
        <v/>
      </c>
      <c r="DT51" s="64">
        <f>$Q51-$Q52</f>
        <v/>
      </c>
      <c r="DU51" s="64">
        <f>$S51-$S52</f>
        <v/>
      </c>
      <c r="DV51" s="65">
        <f>IFERROR(AVERAGE($AA52/$AA51-1,$AB52/$AB51-1,$AC52/$AC51-1,$AD52/$AD51-1,$AE52/$AE51-1,$AG52/$AG51-1,$AH52/$AH51-1,$AI52/$AI51-1,$AJ52/$AJ51-1,$AL52/$AL51-1,$AM52/$AM51-1,$AR52/$AR51-1,$AS52/$AS51-1,$AT52/$AT51-1,$AU52/$AU51-1,$AV52/$AV51-1,$AW52/$AW51-1,$AX52/$AX51-1,$AY52/$AY51-1),"")</f>
        <v/>
      </c>
      <c r="DW51" s="66">
        <f>AVERAGE($CB51,$CC51,$CD51,$CE51,$CF51,$CG51,$CH51,$CI51,$CJ51,$CL51,$CM51,$CN51,$CO51,$CP51,$CQ51,$CR51,$CS51,$CT51)</f>
        <v/>
      </c>
      <c r="DX51" s="66">
        <f>AVERAGE($CB51,$CC51,$CM51,$CE51,$CP51)</f>
        <v/>
      </c>
      <c r="DY51" s="64">
        <f>($DW51-$DW52)*100</f>
        <v/>
      </c>
      <c r="DZ51" s="64">
        <f>($DX51-$DX52)*100</f>
        <v/>
      </c>
      <c r="EA51" s="64">
        <f>($DW51-$D51)*100</f>
        <v/>
      </c>
      <c r="EB51" s="64">
        <f>$Q51-$O51</f>
        <v/>
      </c>
      <c r="EC51" s="67">
        <f>IFERROR($Q51/$P51,"")</f>
        <v/>
      </c>
    </row>
    <row r="52">
      <c r="DG52" s="64">
        <f>($B52-$B53)*100</f>
        <v/>
      </c>
      <c r="DH52" s="64">
        <f>($D52-$D53)*100</f>
        <v/>
      </c>
      <c r="DI52" s="64">
        <f>($E52-$E53)*100</f>
        <v/>
      </c>
      <c r="DJ52" s="64">
        <f>($H52-$H53)*100</f>
        <v/>
      </c>
      <c r="DK52" s="65">
        <f>IFERROR($J52/$J53-1,"")</f>
        <v/>
      </c>
      <c r="DL52" s="64">
        <f>$L52-$L53</f>
        <v/>
      </c>
      <c r="DM52" s="64">
        <f>$K52-$K53</f>
        <v/>
      </c>
      <c r="DN52" s="65">
        <f>IFERROR($N52/$N53-1,"")</f>
        <v/>
      </c>
      <c r="DO52" s="65">
        <f>IFERROR($M52/$M53-1,"")</f>
        <v/>
      </c>
      <c r="DP52" s="65">
        <f>IFERROR($AZ52/$AZ53-1,"")</f>
        <v/>
      </c>
      <c r="DQ52" s="65">
        <f>IFERROR($BA52/$BA53-1,"")</f>
        <v/>
      </c>
      <c r="DR52" s="64">
        <f>$O52-$O53</f>
        <v/>
      </c>
      <c r="DS52" s="64">
        <f>$P52-$P53</f>
        <v/>
      </c>
      <c r="DT52" s="64">
        <f>$Q52-$Q53</f>
        <v/>
      </c>
      <c r="DU52" s="64">
        <f>$S52-$S53</f>
        <v/>
      </c>
      <c r="DV52" s="65">
        <f>IFERROR(AVERAGE($AA53/$AA52-1,$AB53/$AB52-1,$AC53/$AC52-1,$AD53/$AD52-1,$AE53/$AE52-1,$AG53/$AG52-1,$AH53/$AH52-1,$AI53/$AI52-1,$AJ53/$AJ52-1,$AL53/$AL52-1,$AM53/$AM52-1,$AR53/$AR52-1,$AS53/$AS52-1,$AT53/$AT52-1,$AU53/$AU52-1,$AV53/$AV52-1,$AW53/$AW52-1,$AX53/$AX52-1,$AY53/$AY52-1),"")</f>
        <v/>
      </c>
      <c r="DW52" s="66">
        <f>AVERAGE($CB52,$CC52,$CD52,$CE52,$CF52,$CG52,$CH52,$CI52,$CJ52,$CL52,$CM52,$CN52,$CO52,$CP52,$CQ52,$CR52,$CS52,$CT52)</f>
        <v/>
      </c>
      <c r="DX52" s="66">
        <f>AVERAGE($CB52,$CC52,$CM52,$CE52,$CP52)</f>
        <v/>
      </c>
      <c r="DY52" s="64">
        <f>($DW52-$DW53)*100</f>
        <v/>
      </c>
      <c r="DZ52" s="64">
        <f>($DX52-$DX53)*100</f>
        <v/>
      </c>
      <c r="EA52" s="64">
        <f>($DW52-$D52)*100</f>
        <v/>
      </c>
      <c r="EB52" s="64">
        <f>$Q52-$O52</f>
        <v/>
      </c>
      <c r="EC52" s="67">
        <f>IFERROR($Q52/$P52,"")</f>
        <v/>
      </c>
    </row>
    <row r="53">
      <c r="DG53" s="64">
        <f>($B53-$B54)*100</f>
        <v/>
      </c>
      <c r="DH53" s="64">
        <f>($D53-$D54)*100</f>
        <v/>
      </c>
      <c r="DI53" s="64">
        <f>($E53-$E54)*100</f>
        <v/>
      </c>
      <c r="DJ53" s="64">
        <f>($H53-$H54)*100</f>
        <v/>
      </c>
      <c r="DK53" s="65">
        <f>IFERROR($J53/$J54-1,"")</f>
        <v/>
      </c>
      <c r="DL53" s="64">
        <f>$L53-$L54</f>
        <v/>
      </c>
      <c r="DM53" s="64">
        <f>$K53-$K54</f>
        <v/>
      </c>
      <c r="DN53" s="65">
        <f>IFERROR($N53/$N54-1,"")</f>
        <v/>
      </c>
      <c r="DO53" s="65">
        <f>IFERROR($M53/$M54-1,"")</f>
        <v/>
      </c>
      <c r="DP53" s="65">
        <f>IFERROR($AZ53/$AZ54-1,"")</f>
        <v/>
      </c>
      <c r="DQ53" s="65">
        <f>IFERROR($BA53/$BA54-1,"")</f>
        <v/>
      </c>
      <c r="DR53" s="64">
        <f>$O53-$O54</f>
        <v/>
      </c>
      <c r="DS53" s="64">
        <f>$P53-$P54</f>
        <v/>
      </c>
      <c r="DT53" s="64">
        <f>$Q53-$Q54</f>
        <v/>
      </c>
      <c r="DU53" s="64">
        <f>$S53-$S54</f>
        <v/>
      </c>
      <c r="DV53" s="65">
        <f>IFERROR(AVERAGE($AA54/$AA53-1,$AB54/$AB53-1,$AC54/$AC53-1,$AD54/$AD53-1,$AE54/$AE53-1,$AG54/$AG53-1,$AH54/$AH53-1,$AI54/$AI53-1,$AJ54/$AJ53-1,$AL54/$AL53-1,$AM54/$AM53-1,$AR54/$AR53-1,$AS54/$AS53-1,$AT54/$AT53-1,$AU54/$AU53-1,$AV54/$AV53-1,$AW54/$AW53-1,$AX54/$AX53-1,$AY54/$AY53-1),"")</f>
        <v/>
      </c>
      <c r="DW53" s="66">
        <f>AVERAGE($CB53,$CC53,$CD53,$CE53,$CF53,$CG53,$CH53,$CI53,$CJ53,$CL53,$CM53,$CN53,$CO53,$CP53,$CQ53,$CR53,$CS53,$CT53)</f>
        <v/>
      </c>
      <c r="DX53" s="66">
        <f>AVERAGE($CB53,$CC53,$CM53,$CE53,$CP53)</f>
        <v/>
      </c>
      <c r="DY53" s="64">
        <f>($DW53-$DW54)*100</f>
        <v/>
      </c>
      <c r="DZ53" s="64">
        <f>($DX53-$DX54)*100</f>
        <v/>
      </c>
      <c r="EA53" s="64">
        <f>($DW53-$D53)*100</f>
        <v/>
      </c>
      <c r="EB53" s="64">
        <f>$Q53-$O53</f>
        <v/>
      </c>
      <c r="EC53" s="67">
        <f>IFERROR($Q53/$P53,"")</f>
        <v/>
      </c>
    </row>
    <row r="54">
      <c r="DG54" s="64">
        <f>($B54-$B55)*100</f>
        <v/>
      </c>
      <c r="DH54" s="64">
        <f>($D54-$D55)*100</f>
        <v/>
      </c>
      <c r="DI54" s="64">
        <f>($E54-$E55)*100</f>
        <v/>
      </c>
      <c r="DJ54" s="64">
        <f>($H54-$H55)*100</f>
        <v/>
      </c>
      <c r="DK54" s="65">
        <f>IFERROR($J54/$J55-1,"")</f>
        <v/>
      </c>
      <c r="DL54" s="64">
        <f>$L54-$L55</f>
        <v/>
      </c>
      <c r="DM54" s="64">
        <f>$K54-$K55</f>
        <v/>
      </c>
      <c r="DN54" s="65">
        <f>IFERROR($N54/$N55-1,"")</f>
        <v/>
      </c>
      <c r="DO54" s="65">
        <f>IFERROR($M54/$M55-1,"")</f>
        <v/>
      </c>
      <c r="DP54" s="65">
        <f>IFERROR($AZ54/$AZ55-1,"")</f>
        <v/>
      </c>
      <c r="DQ54" s="65">
        <f>IFERROR($BA54/$BA55-1,"")</f>
        <v/>
      </c>
      <c r="DR54" s="64">
        <f>$O54-$O55</f>
        <v/>
      </c>
      <c r="DS54" s="64">
        <f>$P54-$P55</f>
        <v/>
      </c>
      <c r="DT54" s="64">
        <f>$Q54-$Q55</f>
        <v/>
      </c>
      <c r="DU54" s="64">
        <f>$S54-$S55</f>
        <v/>
      </c>
      <c r="DV54" s="65">
        <f>IFERROR(AVERAGE($AA55/$AA54-1,$AB55/$AB54-1,$AC55/$AC54-1,$AD55/$AD54-1,$AE55/$AE54-1,$AG55/$AG54-1,$AH55/$AH54-1,$AI55/$AI54-1,$AJ55/$AJ54-1,$AL55/$AL54-1,$AM55/$AM54-1,$AR55/$AR54-1,$AS55/$AS54-1,$AT55/$AT54-1,$AU55/$AU54-1,$AV55/$AV54-1,$AW55/$AW54-1,$AX55/$AX54-1,$AY55/$AY54-1),"")</f>
        <v/>
      </c>
      <c r="DW54" s="66">
        <f>AVERAGE($CB54,$CC54,$CD54,$CE54,$CF54,$CG54,$CH54,$CI54,$CJ54,$CL54,$CM54,$CN54,$CO54,$CP54,$CQ54,$CR54,$CS54,$CT54)</f>
        <v/>
      </c>
      <c r="DX54" s="66">
        <f>AVERAGE($CB54,$CC54,$CM54,$CE54,$CP54)</f>
        <v/>
      </c>
      <c r="DY54" s="64">
        <f>($DW54-$DW55)*100</f>
        <v/>
      </c>
      <c r="DZ54" s="64">
        <f>($DX54-$DX55)*100</f>
        <v/>
      </c>
      <c r="EA54" s="64">
        <f>($DW54-$D54)*100</f>
        <v/>
      </c>
      <c r="EB54" s="64">
        <f>$Q54-$O54</f>
        <v/>
      </c>
      <c r="EC54" s="67">
        <f>IFERROR($Q54/$P54,"")</f>
        <v/>
      </c>
    </row>
    <row r="55">
      <c r="DG55" s="64">
        <f>($B55-$B56)*100</f>
        <v/>
      </c>
      <c r="DH55" s="64">
        <f>($D55-$D56)*100</f>
        <v/>
      </c>
      <c r="DI55" s="64">
        <f>($E55-$E56)*100</f>
        <v/>
      </c>
      <c r="DJ55" s="64">
        <f>($H55-$H56)*100</f>
        <v/>
      </c>
      <c r="DK55" s="65">
        <f>IFERROR($J55/$J56-1,"")</f>
        <v/>
      </c>
      <c r="DL55" s="64">
        <f>$L55-$L56</f>
        <v/>
      </c>
      <c r="DM55" s="64">
        <f>$K55-$K56</f>
        <v/>
      </c>
      <c r="DN55" s="65">
        <f>IFERROR($N55/$N56-1,"")</f>
        <v/>
      </c>
      <c r="DO55" s="65">
        <f>IFERROR($M55/$M56-1,"")</f>
        <v/>
      </c>
      <c r="DP55" s="65">
        <f>IFERROR($AZ55/$AZ56-1,"")</f>
        <v/>
      </c>
      <c r="DQ55" s="65">
        <f>IFERROR($BA55/$BA56-1,"")</f>
        <v/>
      </c>
      <c r="DR55" s="64">
        <f>$O55-$O56</f>
        <v/>
      </c>
      <c r="DS55" s="64">
        <f>$P55-$P56</f>
        <v/>
      </c>
      <c r="DT55" s="64">
        <f>$Q55-$Q56</f>
        <v/>
      </c>
      <c r="DU55" s="64">
        <f>$S55-$S56</f>
        <v/>
      </c>
      <c r="DV55" s="65">
        <f>IFERROR(AVERAGE($AA56/$AA55-1,$AB56/$AB55-1,$AC56/$AC55-1,$AD56/$AD55-1,$AE56/$AE55-1,$AG56/$AG55-1,$AH56/$AH55-1,$AI56/$AI55-1,$AJ56/$AJ55-1,$AL56/$AL55-1,$AM56/$AM55-1,$AR56/$AR55-1,$AS56/$AS55-1,$AT56/$AT55-1,$AU56/$AU55-1,$AV56/$AV55-1,$AW56/$AW55-1,$AX56/$AX55-1,$AY56/$AY55-1),"")</f>
        <v/>
      </c>
      <c r="DW55" s="66">
        <f>AVERAGE($CB55,$CC55,$CD55,$CE55,$CF55,$CG55,$CH55,$CI55,$CJ55,$CL55,$CM55,$CN55,$CO55,$CP55,$CQ55,$CR55,$CS55,$CT55)</f>
        <v/>
      </c>
      <c r="DX55" s="66">
        <f>AVERAGE($CB55,$CC55,$CM55,$CE55,$CP55)</f>
        <v/>
      </c>
      <c r="DY55" s="64">
        <f>($DW55-$DW56)*100</f>
        <v/>
      </c>
      <c r="DZ55" s="64">
        <f>($DX55-$DX56)*100</f>
        <v/>
      </c>
      <c r="EA55" s="64">
        <f>($DW55-$D55)*100</f>
        <v/>
      </c>
      <c r="EB55" s="64">
        <f>$Q55-$O55</f>
        <v/>
      </c>
      <c r="EC55" s="67">
        <f>IFERROR($Q55/$P55,"")</f>
        <v/>
      </c>
    </row>
    <row r="56">
      <c r="DG56" s="64">
        <f>($B56-$B57)*100</f>
        <v/>
      </c>
      <c r="DH56" s="64">
        <f>($D56-$D57)*100</f>
        <v/>
      </c>
      <c r="DI56" s="64">
        <f>($E56-$E57)*100</f>
        <v/>
      </c>
      <c r="DJ56" s="64">
        <f>($H56-$H57)*100</f>
        <v/>
      </c>
      <c r="DK56" s="65">
        <f>IFERROR($J56/$J57-1,"")</f>
        <v/>
      </c>
      <c r="DL56" s="64">
        <f>$L56-$L57</f>
        <v/>
      </c>
      <c r="DM56" s="64">
        <f>$K56-$K57</f>
        <v/>
      </c>
      <c r="DN56" s="65">
        <f>IFERROR($N56/$N57-1,"")</f>
        <v/>
      </c>
      <c r="DO56" s="65">
        <f>IFERROR($M56/$M57-1,"")</f>
        <v/>
      </c>
      <c r="DP56" s="65">
        <f>IFERROR($AZ56/$AZ57-1,"")</f>
        <v/>
      </c>
      <c r="DQ56" s="65">
        <f>IFERROR($BA56/$BA57-1,"")</f>
        <v/>
      </c>
      <c r="DR56" s="64">
        <f>$O56-$O57</f>
        <v/>
      </c>
      <c r="DS56" s="64">
        <f>$P56-$P57</f>
        <v/>
      </c>
      <c r="DT56" s="64">
        <f>$Q56-$Q57</f>
        <v/>
      </c>
      <c r="DU56" s="64">
        <f>$S56-$S57</f>
        <v/>
      </c>
      <c r="DV56" s="65">
        <f>IFERROR(AVERAGE($AA57/$AA56-1,$AB57/$AB56-1,$AC57/$AC56-1,$AD57/$AD56-1,$AE57/$AE56-1,$AG57/$AG56-1,$AH57/$AH56-1,$AI57/$AI56-1,$AJ57/$AJ56-1,$AL57/$AL56-1,$AM57/$AM56-1,$AR57/$AR56-1,$AS57/$AS56-1,$AT57/$AT56-1,$AU57/$AU56-1,$AV57/$AV56-1,$AW57/$AW56-1,$AX57/$AX56-1,$AY57/$AY56-1),"")</f>
        <v/>
      </c>
      <c r="DW56" s="66">
        <f>AVERAGE($CB56,$CC56,$CD56,$CE56,$CF56,$CG56,$CH56,$CI56,$CJ56,$CL56,$CM56,$CN56,$CO56,$CP56,$CQ56,$CR56,$CS56,$CT56)</f>
        <v/>
      </c>
      <c r="DX56" s="66">
        <f>AVERAGE($CB56,$CC56,$CM56,$CE56,$CP56)</f>
        <v/>
      </c>
      <c r="DY56" s="64">
        <f>($DW56-$DW57)*100</f>
        <v/>
      </c>
      <c r="DZ56" s="64">
        <f>($DX56-$DX57)*100</f>
        <v/>
      </c>
      <c r="EA56" s="64">
        <f>($DW56-$D56)*100</f>
        <v/>
      </c>
      <c r="EB56" s="64">
        <f>$Q56-$O56</f>
        <v/>
      </c>
      <c r="EC56" s="67">
        <f>IFERROR($Q56/$P56,"")</f>
        <v/>
      </c>
    </row>
    <row r="57">
      <c r="DG57" s="64">
        <f>($B57-$B58)*100</f>
        <v/>
      </c>
      <c r="DH57" s="64">
        <f>($D57-$D58)*100</f>
        <v/>
      </c>
      <c r="DI57" s="64">
        <f>($E57-$E58)*100</f>
        <v/>
      </c>
      <c r="DJ57" s="64">
        <f>($H57-$H58)*100</f>
        <v/>
      </c>
      <c r="DK57" s="65">
        <f>IFERROR($J57/$J58-1,"")</f>
        <v/>
      </c>
      <c r="DL57" s="64">
        <f>$L57-$L58</f>
        <v/>
      </c>
      <c r="DM57" s="64">
        <f>$K57-$K58</f>
        <v/>
      </c>
      <c r="DN57" s="65">
        <f>IFERROR($N57/$N58-1,"")</f>
        <v/>
      </c>
      <c r="DO57" s="65">
        <f>IFERROR($M57/$M58-1,"")</f>
        <v/>
      </c>
      <c r="DP57" s="65">
        <f>IFERROR($AZ57/$AZ58-1,"")</f>
        <v/>
      </c>
      <c r="DQ57" s="65">
        <f>IFERROR($BA57/$BA58-1,"")</f>
        <v/>
      </c>
      <c r="DR57" s="64">
        <f>$O57-$O58</f>
        <v/>
      </c>
      <c r="DS57" s="64">
        <f>$P57-$P58</f>
        <v/>
      </c>
      <c r="DT57" s="64">
        <f>$Q57-$Q58</f>
        <v/>
      </c>
      <c r="DU57" s="64">
        <f>$S57-$S58</f>
        <v/>
      </c>
      <c r="DV57" s="65">
        <f>IFERROR(AVERAGE($AA58/$AA57-1,$AB58/$AB57-1,$AC58/$AC57-1,$AD58/$AD57-1,$AE58/$AE57-1,$AG58/$AG57-1,$AH58/$AH57-1,$AI58/$AI57-1,$AJ58/$AJ57-1,$AL58/$AL57-1,$AM58/$AM57-1,$AR58/$AR57-1,$AS58/$AS57-1,$AT58/$AT57-1,$AU58/$AU57-1,$AV58/$AV57-1,$AW58/$AW57-1,$AX58/$AX57-1,$AY58/$AY57-1),"")</f>
        <v/>
      </c>
      <c r="DW57" s="66">
        <f>AVERAGE($CB57,$CC57,$CD57,$CE57,$CF57,$CG57,$CH57,$CI57,$CJ57,$CL57,$CM57,$CN57,$CO57,$CP57,$CQ57,$CR57,$CS57,$CT57)</f>
        <v/>
      </c>
      <c r="DX57" s="66">
        <f>AVERAGE($CB57,$CC57,$CM57,$CE57,$CP57)</f>
        <v/>
      </c>
      <c r="DY57" s="64">
        <f>($DW57-$DW58)*100</f>
        <v/>
      </c>
      <c r="DZ57" s="64">
        <f>($DX57-$DX58)*100</f>
        <v/>
      </c>
      <c r="EA57" s="64">
        <f>($DW57-$D57)*100</f>
        <v/>
      </c>
      <c r="EB57" s="64">
        <f>$Q57-$O57</f>
        <v/>
      </c>
      <c r="EC57" s="67">
        <f>IFERROR($Q57/$P57,"")</f>
        <v/>
      </c>
    </row>
    <row r="58">
      <c r="DG58" s="64">
        <f>($B58-$B59)*100</f>
        <v/>
      </c>
      <c r="DH58" s="64">
        <f>($D58-$D59)*100</f>
        <v/>
      </c>
      <c r="DI58" s="64">
        <f>($E58-$E59)*100</f>
        <v/>
      </c>
      <c r="DJ58" s="64">
        <f>($H58-$H59)*100</f>
        <v/>
      </c>
      <c r="DK58" s="65">
        <f>IFERROR($J58/$J59-1,"")</f>
        <v/>
      </c>
      <c r="DL58" s="64">
        <f>$L58-$L59</f>
        <v/>
      </c>
      <c r="DM58" s="64">
        <f>$K58-$K59</f>
        <v/>
      </c>
      <c r="DN58" s="65">
        <f>IFERROR($N58/$N59-1,"")</f>
        <v/>
      </c>
      <c r="DO58" s="65">
        <f>IFERROR($M58/$M59-1,"")</f>
        <v/>
      </c>
      <c r="DP58" s="65">
        <f>IFERROR($AZ58/$AZ59-1,"")</f>
        <v/>
      </c>
      <c r="DQ58" s="65">
        <f>IFERROR($BA58/$BA59-1,"")</f>
        <v/>
      </c>
      <c r="DR58" s="64">
        <f>$O58-$O59</f>
        <v/>
      </c>
      <c r="DS58" s="64">
        <f>$P58-$P59</f>
        <v/>
      </c>
      <c r="DT58" s="64">
        <f>$Q58-$Q59</f>
        <v/>
      </c>
      <c r="DU58" s="64">
        <f>$S58-$S59</f>
        <v/>
      </c>
      <c r="DV58" s="65">
        <f>IFERROR(AVERAGE($AA59/$AA58-1,$AB59/$AB58-1,$AC59/$AC58-1,$AD59/$AD58-1,$AE59/$AE58-1,$AG59/$AG58-1,$AH59/$AH58-1,$AI59/$AI58-1,$AJ59/$AJ58-1,$AL59/$AL58-1,$AM59/$AM58-1,$AR59/$AR58-1,$AS59/$AS58-1,$AT59/$AT58-1,$AU59/$AU58-1,$AV59/$AV58-1,$AW59/$AW58-1,$AX59/$AX58-1,$AY59/$AY58-1),"")</f>
        <v/>
      </c>
      <c r="DW58" s="66">
        <f>AVERAGE($CB58,$CC58,$CD58,$CE58,$CF58,$CG58,$CH58,$CI58,$CJ58,$CL58,$CM58,$CN58,$CO58,$CP58,$CQ58,$CR58,$CS58,$CT58)</f>
        <v/>
      </c>
      <c r="DX58" s="66">
        <f>AVERAGE($CB58,$CC58,$CM58,$CE58,$CP58)</f>
        <v/>
      </c>
      <c r="DY58" s="64">
        <f>($DW58-$DW59)*100</f>
        <v/>
      </c>
      <c r="DZ58" s="64">
        <f>($DX58-$DX59)*100</f>
        <v/>
      </c>
      <c r="EA58" s="64">
        <f>($DW58-$D58)*100</f>
        <v/>
      </c>
      <c r="EB58" s="64">
        <f>$Q58-$O58</f>
        <v/>
      </c>
      <c r="EC58" s="67">
        <f>IFERROR($Q58/$P58,"")</f>
        <v/>
      </c>
    </row>
    <row r="59">
      <c r="DG59" s="64">
        <f>($B59-$B60)*100</f>
        <v/>
      </c>
      <c r="DH59" s="64">
        <f>($D59-$D60)*100</f>
        <v/>
      </c>
      <c r="DI59" s="64">
        <f>($E59-$E60)*100</f>
        <v/>
      </c>
      <c r="DJ59" s="64">
        <f>($H59-$H60)*100</f>
        <v/>
      </c>
      <c r="DK59" s="65">
        <f>IFERROR($J59/$J60-1,"")</f>
        <v/>
      </c>
      <c r="DL59" s="64">
        <f>$L59-$L60</f>
        <v/>
      </c>
      <c r="DM59" s="64">
        <f>$K59-$K60</f>
        <v/>
      </c>
      <c r="DN59" s="65">
        <f>IFERROR($N59/$N60-1,"")</f>
        <v/>
      </c>
      <c r="DO59" s="65">
        <f>IFERROR($M59/$M60-1,"")</f>
        <v/>
      </c>
      <c r="DP59" s="65">
        <f>IFERROR($AZ59/$AZ60-1,"")</f>
        <v/>
      </c>
      <c r="DQ59" s="65">
        <f>IFERROR($BA59/$BA60-1,"")</f>
        <v/>
      </c>
      <c r="DR59" s="64">
        <f>$O59-$O60</f>
        <v/>
      </c>
      <c r="DS59" s="64">
        <f>$P59-$P60</f>
        <v/>
      </c>
      <c r="DT59" s="64">
        <f>$Q59-$Q60</f>
        <v/>
      </c>
      <c r="DU59" s="64">
        <f>$S59-$S60</f>
        <v/>
      </c>
      <c r="DV59" s="65">
        <f>IFERROR(AVERAGE($AA60/$AA59-1,$AB60/$AB59-1,$AC60/$AC59-1,$AD60/$AD59-1,$AE60/$AE59-1,$AG60/$AG59-1,$AH60/$AH59-1,$AI60/$AI59-1,$AJ60/$AJ59-1,$AL60/$AL59-1,$AM60/$AM59-1,$AR60/$AR59-1,$AS60/$AS59-1,$AT60/$AT59-1,$AU60/$AU59-1,$AV60/$AV59-1,$AW60/$AW59-1,$AX60/$AX59-1,$AY60/$AY59-1),"")</f>
        <v/>
      </c>
      <c r="DW59" s="66">
        <f>AVERAGE($CB59,$CC59,$CD59,$CE59,$CF59,$CG59,$CH59,$CI59,$CJ59,$CL59,$CM59,$CN59,$CO59,$CP59,$CQ59,$CR59,$CS59,$CT59)</f>
        <v/>
      </c>
      <c r="DX59" s="66">
        <f>AVERAGE($CB59,$CC59,$CM59,$CE59,$CP59)</f>
        <v/>
      </c>
      <c r="DY59" s="64">
        <f>($DW59-$DW60)*100</f>
        <v/>
      </c>
      <c r="DZ59" s="64">
        <f>($DX59-$DX60)*100</f>
        <v/>
      </c>
      <c r="EA59" s="64">
        <f>($DW59-$D59)*100</f>
        <v/>
      </c>
      <c r="EB59" s="64">
        <f>$Q59-$O59</f>
        <v/>
      </c>
      <c r="EC59" s="67">
        <f>IFERROR($Q59/$P59,"")</f>
        <v/>
      </c>
    </row>
    <row r="60">
      <c r="DG60" s="64">
        <f>($B60-$B61)*100</f>
        <v/>
      </c>
      <c r="DH60" s="64">
        <f>($D60-$D61)*100</f>
        <v/>
      </c>
      <c r="DI60" s="64">
        <f>($E60-$E61)*100</f>
        <v/>
      </c>
      <c r="DJ60" s="64">
        <f>($H60-$H61)*100</f>
        <v/>
      </c>
      <c r="DK60" s="65">
        <f>IFERROR($J60/$J61-1,"")</f>
        <v/>
      </c>
      <c r="DL60" s="64">
        <f>$L60-$L61</f>
        <v/>
      </c>
      <c r="DM60" s="64">
        <f>$K60-$K61</f>
        <v/>
      </c>
      <c r="DN60" s="65">
        <f>IFERROR($N60/$N61-1,"")</f>
        <v/>
      </c>
      <c r="DO60" s="65">
        <f>IFERROR($M60/$M61-1,"")</f>
        <v/>
      </c>
      <c r="DP60" s="65">
        <f>IFERROR($AZ60/$AZ61-1,"")</f>
        <v/>
      </c>
      <c r="DQ60" s="65">
        <f>IFERROR($BA60/$BA61-1,"")</f>
        <v/>
      </c>
      <c r="DR60" s="64">
        <f>$O60-$O61</f>
        <v/>
      </c>
      <c r="DS60" s="64">
        <f>$P60-$P61</f>
        <v/>
      </c>
      <c r="DT60" s="64">
        <f>$Q60-$Q61</f>
        <v/>
      </c>
      <c r="DU60" s="64">
        <f>$S60-$S61</f>
        <v/>
      </c>
      <c r="DV60" s="65">
        <f>IFERROR(AVERAGE($AA61/$AA60-1,$AB61/$AB60-1,$AC61/$AC60-1,$AD61/$AD60-1,$AE61/$AE60-1,$AG61/$AG60-1,$AH61/$AH60-1,$AI61/$AI60-1,$AJ61/$AJ60-1,$AL61/$AL60-1,$AM61/$AM60-1,$AR61/$AR60-1,$AS61/$AS60-1,$AT61/$AT60-1,$AU61/$AU60-1,$AV61/$AV60-1,$AW61/$AW60-1,$AX61/$AX60-1,$AY61/$AY60-1),"")</f>
        <v/>
      </c>
      <c r="DW60" s="66">
        <f>AVERAGE($CB60,$CC60,$CD60,$CE60,$CF60,$CG60,$CH60,$CI60,$CJ60,$CL60,$CM60,$CN60,$CO60,$CP60,$CQ60,$CR60,$CS60,$CT60)</f>
        <v/>
      </c>
      <c r="DX60" s="66">
        <f>AVERAGE($CB60,$CC60,$CM60,$CE60,$CP60)</f>
        <v/>
      </c>
      <c r="DY60" s="64">
        <f>($DW60-$DW61)*100</f>
        <v/>
      </c>
      <c r="DZ60" s="64">
        <f>($DX60-$DX61)*100</f>
        <v/>
      </c>
      <c r="EA60" s="64">
        <f>($DW60-$D60)*100</f>
        <v/>
      </c>
      <c r="EB60" s="64">
        <f>$Q60-$O60</f>
        <v/>
      </c>
      <c r="EC60" s="67">
        <f>IFERROR($Q60/$P60,"")</f>
        <v/>
      </c>
    </row>
    <row r="61">
      <c r="DG61" s="64">
        <f>($B61-$B62)*100</f>
        <v/>
      </c>
      <c r="DH61" s="64">
        <f>($D61-$D62)*100</f>
        <v/>
      </c>
      <c r="DI61" s="64">
        <f>($E61-$E62)*100</f>
        <v/>
      </c>
      <c r="DJ61" s="64">
        <f>($H61-$H62)*100</f>
        <v/>
      </c>
      <c r="DK61" s="65">
        <f>IFERROR($J61/$J62-1,"")</f>
        <v/>
      </c>
      <c r="DL61" s="64">
        <f>$L61-$L62</f>
        <v/>
      </c>
      <c r="DM61" s="64">
        <f>$K61-$K62</f>
        <v/>
      </c>
      <c r="DN61" s="65">
        <f>IFERROR($N61/$N62-1,"")</f>
        <v/>
      </c>
      <c r="DO61" s="65">
        <f>IFERROR($M61/$M62-1,"")</f>
        <v/>
      </c>
      <c r="DP61" s="65">
        <f>IFERROR($AZ61/$AZ62-1,"")</f>
        <v/>
      </c>
      <c r="DQ61" s="65">
        <f>IFERROR($BA61/$BA62-1,"")</f>
        <v/>
      </c>
      <c r="DR61" s="64">
        <f>$O61-$O62</f>
        <v/>
      </c>
      <c r="DS61" s="64">
        <f>$P61-$P62</f>
        <v/>
      </c>
      <c r="DT61" s="64">
        <f>$Q61-$Q62</f>
        <v/>
      </c>
      <c r="DU61" s="64">
        <f>$S61-$S62</f>
        <v/>
      </c>
      <c r="DV61" s="65">
        <f>IFERROR(AVERAGE($AA62/$AA61-1,$AB62/$AB61-1,$AC62/$AC61-1,$AD62/$AD61-1,$AE62/$AE61-1,$AG62/$AG61-1,$AH62/$AH61-1,$AI62/$AI61-1,$AJ62/$AJ61-1,$AL62/$AL61-1,$AM62/$AM61-1,$AR62/$AR61-1,$AS62/$AS61-1,$AT62/$AT61-1,$AU62/$AU61-1,$AV62/$AV61-1,$AW62/$AW61-1,$AX62/$AX61-1,$AY62/$AY61-1),"")</f>
        <v/>
      </c>
      <c r="DW61" s="66">
        <f>AVERAGE($CB61,$CC61,$CD61,$CE61,$CF61,$CG61,$CH61,$CI61,$CJ61,$CL61,$CM61,$CN61,$CO61,$CP61,$CQ61,$CR61,$CS61,$CT61)</f>
        <v/>
      </c>
      <c r="DX61" s="66">
        <f>AVERAGE($CB61,$CC61,$CM61,$CE61,$CP61)</f>
        <v/>
      </c>
      <c r="DY61" s="64">
        <f>($DW61-$DW62)*100</f>
        <v/>
      </c>
      <c r="DZ61" s="64">
        <f>($DX61-$DX62)*100</f>
        <v/>
      </c>
      <c r="EA61" s="64">
        <f>($DW61-$D61)*100</f>
        <v/>
      </c>
      <c r="EB61" s="64">
        <f>$Q61-$O61</f>
        <v/>
      </c>
      <c r="EC61" s="67">
        <f>IFERROR($Q61/$P61,"")</f>
        <v/>
      </c>
    </row>
    <row r="62">
      <c r="DG62" s="64">
        <f>($B62-$B63)*100</f>
        <v/>
      </c>
      <c r="DH62" s="64">
        <f>($D62-$D63)*100</f>
        <v/>
      </c>
      <c r="DI62" s="64">
        <f>($E62-$E63)*100</f>
        <v/>
      </c>
      <c r="DJ62" s="64">
        <f>($H62-$H63)*100</f>
        <v/>
      </c>
      <c r="DK62" s="65">
        <f>IFERROR($J62/$J63-1,"")</f>
        <v/>
      </c>
      <c r="DL62" s="64">
        <f>$L62-$L63</f>
        <v/>
      </c>
      <c r="DM62" s="64">
        <f>$K62-$K63</f>
        <v/>
      </c>
      <c r="DN62" s="65">
        <f>IFERROR($N62/$N63-1,"")</f>
        <v/>
      </c>
      <c r="DO62" s="65">
        <f>IFERROR($M62/$M63-1,"")</f>
        <v/>
      </c>
      <c r="DP62" s="65">
        <f>IFERROR($AZ62/$AZ63-1,"")</f>
        <v/>
      </c>
      <c r="DQ62" s="65">
        <f>IFERROR($BA62/$BA63-1,"")</f>
        <v/>
      </c>
      <c r="DR62" s="64">
        <f>$O62-$O63</f>
        <v/>
      </c>
      <c r="DS62" s="64">
        <f>$P62-$P63</f>
        <v/>
      </c>
      <c r="DT62" s="64">
        <f>$Q62-$Q63</f>
        <v/>
      </c>
      <c r="DU62" s="64">
        <f>$S62-$S63</f>
        <v/>
      </c>
      <c r="DV62" s="65">
        <f>IFERROR(AVERAGE($AA63/$AA62-1,$AB63/$AB62-1,$AC63/$AC62-1,$AD63/$AD62-1,$AE63/$AE62-1,$AG63/$AG62-1,$AH63/$AH62-1,$AI63/$AI62-1,$AJ63/$AJ62-1,$AL63/$AL62-1,$AM63/$AM62-1,$AR63/$AR62-1,$AS63/$AS62-1,$AT63/$AT62-1,$AU63/$AU62-1,$AV63/$AV62-1,$AW63/$AW62-1,$AX63/$AX62-1,$AY63/$AY62-1),"")</f>
        <v/>
      </c>
      <c r="DW62" s="66">
        <f>AVERAGE($CB62,$CC62,$CD62,$CE62,$CF62,$CG62,$CH62,$CI62,$CJ62,$CL62,$CM62,$CN62,$CO62,$CP62,$CQ62,$CR62,$CS62,$CT62)</f>
        <v/>
      </c>
      <c r="DX62" s="66">
        <f>AVERAGE($CB62,$CC62,$CM62,$CE62,$CP62)</f>
        <v/>
      </c>
      <c r="DY62" s="64">
        <f>($DW62-$DW63)*100</f>
        <v/>
      </c>
      <c r="DZ62" s="64">
        <f>($DX62-$DX63)*100</f>
        <v/>
      </c>
      <c r="EA62" s="64">
        <f>($DW62-$D62)*100</f>
        <v/>
      </c>
      <c r="EB62" s="64">
        <f>$Q62-$O62</f>
        <v/>
      </c>
      <c r="EC62" s="67">
        <f>IFERROR($Q62/$P62,"")</f>
        <v/>
      </c>
    </row>
    <row r="63">
      <c r="DG63" s="64">
        <f>($B63-$B64)*100</f>
        <v/>
      </c>
      <c r="DH63" s="64">
        <f>($D63-$D64)*100</f>
        <v/>
      </c>
      <c r="DI63" s="64">
        <f>($E63-$E64)*100</f>
        <v/>
      </c>
      <c r="DJ63" s="64">
        <f>($H63-$H64)*100</f>
        <v/>
      </c>
      <c r="DK63" s="65">
        <f>IFERROR($J63/$J64-1,"")</f>
        <v/>
      </c>
      <c r="DL63" s="64">
        <f>$L63-$L64</f>
        <v/>
      </c>
      <c r="DM63" s="64">
        <f>$K63-$K64</f>
        <v/>
      </c>
      <c r="DN63" s="65">
        <f>IFERROR($N63/$N64-1,"")</f>
        <v/>
      </c>
      <c r="DO63" s="65">
        <f>IFERROR($M63/$M64-1,"")</f>
        <v/>
      </c>
      <c r="DP63" s="65">
        <f>IFERROR($AZ63/$AZ64-1,"")</f>
        <v/>
      </c>
      <c r="DQ63" s="65">
        <f>IFERROR($BA63/$BA64-1,"")</f>
        <v/>
      </c>
      <c r="DR63" s="64">
        <f>$O63-$O64</f>
        <v/>
      </c>
      <c r="DS63" s="64">
        <f>$P63-$P64</f>
        <v/>
      </c>
      <c r="DT63" s="64">
        <f>$Q63-$Q64</f>
        <v/>
      </c>
      <c r="DU63" s="64">
        <f>$S63-$S64</f>
        <v/>
      </c>
      <c r="DV63" s="65">
        <f>IFERROR(AVERAGE($AA64/$AA63-1,$AB64/$AB63-1,$AC64/$AC63-1,$AD64/$AD63-1,$AE64/$AE63-1,$AG64/$AG63-1,$AH64/$AH63-1,$AI64/$AI63-1,$AJ64/$AJ63-1,$AL64/$AL63-1,$AM64/$AM63-1,$AR64/$AR63-1,$AS64/$AS63-1,$AT64/$AT63-1,$AU64/$AU63-1,$AV64/$AV63-1,$AW64/$AW63-1,$AX64/$AX63-1,$AY64/$AY63-1),"")</f>
        <v/>
      </c>
      <c r="DW63" s="66">
        <f>AVERAGE($CB63,$CC63,$CD63,$CE63,$CF63,$CG63,$CH63,$CI63,$CJ63,$CL63,$CM63,$CN63,$CO63,$CP63,$CQ63,$CR63,$CS63,$CT63)</f>
        <v/>
      </c>
      <c r="DX63" s="66">
        <f>AVERAGE($CB63,$CC63,$CM63,$CE63,$CP63)</f>
        <v/>
      </c>
      <c r="DY63" s="64">
        <f>($DW63-$DW64)*100</f>
        <v/>
      </c>
      <c r="DZ63" s="64">
        <f>($DX63-$DX64)*100</f>
        <v/>
      </c>
      <c r="EA63" s="64">
        <f>($DW63-$D63)*100</f>
        <v/>
      </c>
      <c r="EB63" s="64">
        <f>$Q63-$O63</f>
        <v/>
      </c>
      <c r="EC63" s="67">
        <f>IFERROR($Q63/$P63,"")</f>
        <v/>
      </c>
    </row>
    <row r="64">
      <c r="DG64" s="64">
        <f>($B64-$B65)*100</f>
        <v/>
      </c>
      <c r="DH64" s="64">
        <f>($D64-$D65)*100</f>
        <v/>
      </c>
      <c r="DI64" s="64">
        <f>($E64-$E65)*100</f>
        <v/>
      </c>
      <c r="DJ64" s="64">
        <f>($H64-$H65)*100</f>
        <v/>
      </c>
      <c r="DK64" s="65">
        <f>IFERROR($J64/$J65-1,"")</f>
        <v/>
      </c>
      <c r="DL64" s="64">
        <f>$L64-$L65</f>
        <v/>
      </c>
      <c r="DM64" s="64">
        <f>$K64-$K65</f>
        <v/>
      </c>
      <c r="DN64" s="65">
        <f>IFERROR($N64/$N65-1,"")</f>
        <v/>
      </c>
      <c r="DO64" s="65">
        <f>IFERROR($M64/$M65-1,"")</f>
        <v/>
      </c>
      <c r="DP64" s="65">
        <f>IFERROR($AZ64/$AZ65-1,"")</f>
        <v/>
      </c>
      <c r="DQ64" s="65">
        <f>IFERROR($BA64/$BA65-1,"")</f>
        <v/>
      </c>
      <c r="DR64" s="64">
        <f>$O64-$O65</f>
        <v/>
      </c>
      <c r="DS64" s="64">
        <f>$P64-$P65</f>
        <v/>
      </c>
      <c r="DT64" s="64">
        <f>$Q64-$Q65</f>
        <v/>
      </c>
      <c r="DU64" s="64">
        <f>$S64-$S65</f>
        <v/>
      </c>
      <c r="DV64" s="65">
        <f>IFERROR(AVERAGE($AA65/$AA64-1,$AB65/$AB64-1,$AC65/$AC64-1,$AD65/$AD64-1,$AE65/$AE64-1,$AG65/$AG64-1,$AH65/$AH64-1,$AI65/$AI64-1,$AJ65/$AJ64-1,$AL65/$AL64-1,$AM65/$AM64-1,$AR65/$AR64-1,$AS65/$AS64-1,$AT65/$AT64-1,$AU65/$AU64-1,$AV65/$AV64-1,$AW65/$AW64-1,$AX65/$AX64-1,$AY65/$AY64-1),"")</f>
        <v/>
      </c>
      <c r="DW64" s="66">
        <f>AVERAGE($CB64,$CC64,$CD64,$CE64,$CF64,$CG64,$CH64,$CI64,$CJ64,$CL64,$CM64,$CN64,$CO64,$CP64,$CQ64,$CR64,$CS64,$CT64)</f>
        <v/>
      </c>
      <c r="DX64" s="66">
        <f>AVERAGE($CB64,$CC64,$CM64,$CE64,$CP64)</f>
        <v/>
      </c>
      <c r="DY64" s="64">
        <f>($DW64-$DW65)*100</f>
        <v/>
      </c>
      <c r="DZ64" s="64">
        <f>($DX64-$DX65)*100</f>
        <v/>
      </c>
      <c r="EA64" s="64">
        <f>($DW64-$D64)*100</f>
        <v/>
      </c>
      <c r="EB64" s="64">
        <f>$Q64-$O64</f>
        <v/>
      </c>
      <c r="EC64" s="67">
        <f>IFERROR($Q64/$P64,"")</f>
        <v/>
      </c>
    </row>
    <row r="65">
      <c r="DG65" s="64">
        <f>($B65-$B66)*100</f>
        <v/>
      </c>
      <c r="DH65" s="64">
        <f>($D65-$D66)*100</f>
        <v/>
      </c>
      <c r="DI65" s="64">
        <f>($E65-$E66)*100</f>
        <v/>
      </c>
      <c r="DJ65" s="64">
        <f>($H65-$H66)*100</f>
        <v/>
      </c>
      <c r="DK65" s="65">
        <f>IFERROR($J65/$J66-1,"")</f>
        <v/>
      </c>
      <c r="DL65" s="64">
        <f>$L65-$L66</f>
        <v/>
      </c>
      <c r="DM65" s="64">
        <f>$K65-$K66</f>
        <v/>
      </c>
      <c r="DN65" s="65">
        <f>IFERROR($N65/$N66-1,"")</f>
        <v/>
      </c>
      <c r="DO65" s="65">
        <f>IFERROR($M65/$M66-1,"")</f>
        <v/>
      </c>
      <c r="DP65" s="65">
        <f>IFERROR($AZ65/$AZ66-1,"")</f>
        <v/>
      </c>
      <c r="DQ65" s="65">
        <f>IFERROR($BA65/$BA66-1,"")</f>
        <v/>
      </c>
      <c r="DR65" s="64">
        <f>$O65-$O66</f>
        <v/>
      </c>
      <c r="DS65" s="64">
        <f>$P65-$P66</f>
        <v/>
      </c>
      <c r="DT65" s="64">
        <f>$Q65-$Q66</f>
        <v/>
      </c>
      <c r="DU65" s="64">
        <f>$S65-$S66</f>
        <v/>
      </c>
      <c r="DV65" s="65">
        <f>IFERROR(AVERAGE($AA66/$AA65-1,$AB66/$AB65-1,$AC66/$AC65-1,$AD66/$AD65-1,$AE66/$AE65-1,$AG66/$AG65-1,$AH66/$AH65-1,$AI66/$AI65-1,$AJ66/$AJ65-1,$AL66/$AL65-1,$AM66/$AM65-1,$AR66/$AR65-1,$AS66/$AS65-1,$AT66/$AT65-1,$AU66/$AU65-1,$AV66/$AV65-1,$AW66/$AW65-1,$AX66/$AX65-1,$AY66/$AY65-1),"")</f>
        <v/>
      </c>
      <c r="DW65" s="66">
        <f>AVERAGE($CB65,$CC65,$CD65,$CE65,$CF65,$CG65,$CH65,$CI65,$CJ65,$CL65,$CM65,$CN65,$CO65,$CP65,$CQ65,$CR65,$CS65,$CT65)</f>
        <v/>
      </c>
      <c r="DX65" s="66">
        <f>AVERAGE($CB65,$CC65,$CM65,$CE65,$CP65)</f>
        <v/>
      </c>
      <c r="DY65" s="64">
        <f>($DW65-$DW66)*100</f>
        <v/>
      </c>
      <c r="DZ65" s="64">
        <f>($DX65-$DX66)*100</f>
        <v/>
      </c>
      <c r="EA65" s="64">
        <f>($DW65-$D65)*100</f>
        <v/>
      </c>
      <c r="EB65" s="64">
        <f>$Q65-$O65</f>
        <v/>
      </c>
      <c r="EC65" s="67">
        <f>IFERROR($Q65/$P65,"")</f>
        <v/>
      </c>
    </row>
    <row r="66">
      <c r="DG66" s="64">
        <f>($B66-$B67)*100</f>
        <v/>
      </c>
      <c r="DH66" s="64">
        <f>($D66-$D67)*100</f>
        <v/>
      </c>
      <c r="DI66" s="64">
        <f>($E66-$E67)*100</f>
        <v/>
      </c>
      <c r="DJ66" s="64">
        <f>($H66-$H67)*100</f>
        <v/>
      </c>
      <c r="DK66" s="65">
        <f>IFERROR($J66/$J67-1,"")</f>
        <v/>
      </c>
      <c r="DL66" s="64">
        <f>$L66-$L67</f>
        <v/>
      </c>
      <c r="DM66" s="64">
        <f>$K66-$K67</f>
        <v/>
      </c>
      <c r="DN66" s="65">
        <f>IFERROR($N66/$N67-1,"")</f>
        <v/>
      </c>
      <c r="DO66" s="65">
        <f>IFERROR($M66/$M67-1,"")</f>
        <v/>
      </c>
      <c r="DP66" s="65">
        <f>IFERROR($AZ66/$AZ67-1,"")</f>
        <v/>
      </c>
      <c r="DQ66" s="65">
        <f>IFERROR($BA66/$BA67-1,"")</f>
        <v/>
      </c>
      <c r="DR66" s="64">
        <f>$O66-$O67</f>
        <v/>
      </c>
      <c r="DS66" s="64">
        <f>$P66-$P67</f>
        <v/>
      </c>
      <c r="DT66" s="64">
        <f>$Q66-$Q67</f>
        <v/>
      </c>
      <c r="DU66" s="64">
        <f>$S66-$S67</f>
        <v/>
      </c>
      <c r="DV66" s="65">
        <f>IFERROR(AVERAGE($AA67/$AA66-1,$AB67/$AB66-1,$AC67/$AC66-1,$AD67/$AD66-1,$AE67/$AE66-1,$AG67/$AG66-1,$AH67/$AH66-1,$AI67/$AI66-1,$AJ67/$AJ66-1,$AL67/$AL66-1,$AM67/$AM66-1,$AR67/$AR66-1,$AS67/$AS66-1,$AT67/$AT66-1,$AU67/$AU66-1,$AV67/$AV66-1,$AW67/$AW66-1,$AX67/$AX66-1,$AY67/$AY66-1),"")</f>
        <v/>
      </c>
      <c r="DW66" s="66">
        <f>AVERAGE($CB66,$CC66,$CD66,$CE66,$CF66,$CG66,$CH66,$CI66,$CJ66,$CL66,$CM66,$CN66,$CO66,$CP66,$CQ66,$CR66,$CS66,$CT66)</f>
        <v/>
      </c>
      <c r="DX66" s="66">
        <f>AVERAGE($CB66,$CC66,$CM66,$CE66,$CP66)</f>
        <v/>
      </c>
      <c r="DY66" s="64">
        <f>($DW66-$DW67)*100</f>
        <v/>
      </c>
      <c r="DZ66" s="64">
        <f>($DX66-$DX67)*100</f>
        <v/>
      </c>
      <c r="EA66" s="64">
        <f>($DW66-$D66)*100</f>
        <v/>
      </c>
      <c r="EB66" s="64">
        <f>$Q66-$O66</f>
        <v/>
      </c>
      <c r="EC66" s="67">
        <f>IFERROR($Q66/$P66,"")</f>
        <v/>
      </c>
    </row>
    <row r="67">
      <c r="DG67" s="64">
        <f>($B67-$B68)*100</f>
        <v/>
      </c>
      <c r="DH67" s="64">
        <f>($D67-$D68)*100</f>
        <v/>
      </c>
      <c r="DI67" s="64">
        <f>($E67-$E68)*100</f>
        <v/>
      </c>
      <c r="DJ67" s="64">
        <f>($H67-$H68)*100</f>
        <v/>
      </c>
      <c r="DK67" s="65">
        <f>IFERROR($J67/$J68-1,"")</f>
        <v/>
      </c>
      <c r="DL67" s="64">
        <f>$L67-$L68</f>
        <v/>
      </c>
      <c r="DM67" s="64">
        <f>$K67-$K68</f>
        <v/>
      </c>
      <c r="DN67" s="65">
        <f>IFERROR($N67/$N68-1,"")</f>
        <v/>
      </c>
      <c r="DO67" s="65">
        <f>IFERROR($M67/$M68-1,"")</f>
        <v/>
      </c>
      <c r="DP67" s="65">
        <f>IFERROR($AZ67/$AZ68-1,"")</f>
        <v/>
      </c>
      <c r="DQ67" s="65">
        <f>IFERROR($BA67/$BA68-1,"")</f>
        <v/>
      </c>
      <c r="DR67" s="64">
        <f>$O67-$O68</f>
        <v/>
      </c>
      <c r="DS67" s="64">
        <f>$P67-$P68</f>
        <v/>
      </c>
      <c r="DT67" s="64">
        <f>$Q67-$Q68</f>
        <v/>
      </c>
      <c r="DU67" s="64">
        <f>$S67-$S68</f>
        <v/>
      </c>
      <c r="DV67" s="65">
        <f>IFERROR(AVERAGE($AA68/$AA67-1,$AB68/$AB67-1,$AC68/$AC67-1,$AD68/$AD67-1,$AE68/$AE67-1,$AG68/$AG67-1,$AH68/$AH67-1,$AI68/$AI67-1,$AJ68/$AJ67-1,$AL68/$AL67-1,$AM68/$AM67-1,$AR68/$AR67-1,$AS68/$AS67-1,$AT68/$AT67-1,$AU68/$AU67-1,$AV68/$AV67-1,$AW68/$AW67-1,$AX68/$AX67-1,$AY68/$AY67-1),"")</f>
        <v/>
      </c>
      <c r="DW67" s="66">
        <f>AVERAGE($CB67,$CC67,$CD67,$CE67,$CF67,$CG67,$CH67,$CI67,$CJ67,$CL67,$CM67,$CN67,$CO67,$CP67,$CQ67,$CR67,$CS67,$CT67)</f>
        <v/>
      </c>
      <c r="DX67" s="66">
        <f>AVERAGE($CB67,$CC67,$CM67,$CE67,$CP67)</f>
        <v/>
      </c>
      <c r="DY67" s="64">
        <f>($DW67-$DW68)*100</f>
        <v/>
      </c>
      <c r="DZ67" s="64">
        <f>($DX67-$DX68)*100</f>
        <v/>
      </c>
      <c r="EA67" s="64">
        <f>($DW67-$D67)*100</f>
        <v/>
      </c>
      <c r="EB67" s="64">
        <f>$Q67-$O67</f>
        <v/>
      </c>
      <c r="EC67" s="67">
        <f>IFERROR($Q67/$P67,"")</f>
        <v/>
      </c>
    </row>
    <row r="68">
      <c r="DG68" s="64">
        <f>($B68-$B69)*100</f>
        <v/>
      </c>
      <c r="DH68" s="64">
        <f>($D68-$D69)*100</f>
        <v/>
      </c>
      <c r="DI68" s="64">
        <f>($E68-$E69)*100</f>
        <v/>
      </c>
      <c r="DJ68" s="64">
        <f>($H68-$H69)*100</f>
        <v/>
      </c>
      <c r="DK68" s="65">
        <f>IFERROR($J68/$J69-1,"")</f>
        <v/>
      </c>
      <c r="DL68" s="64">
        <f>$L68-$L69</f>
        <v/>
      </c>
      <c r="DM68" s="64">
        <f>$K68-$K69</f>
        <v/>
      </c>
      <c r="DN68" s="65">
        <f>IFERROR($N68/$N69-1,"")</f>
        <v/>
      </c>
      <c r="DO68" s="65">
        <f>IFERROR($M68/$M69-1,"")</f>
        <v/>
      </c>
      <c r="DP68" s="65">
        <f>IFERROR($AZ68/$AZ69-1,"")</f>
        <v/>
      </c>
      <c r="DQ68" s="65">
        <f>IFERROR($BA68/$BA69-1,"")</f>
        <v/>
      </c>
      <c r="DR68" s="64">
        <f>$O68-$O69</f>
        <v/>
      </c>
      <c r="DS68" s="64">
        <f>$P68-$P69</f>
        <v/>
      </c>
      <c r="DT68" s="64">
        <f>$Q68-$Q69</f>
        <v/>
      </c>
      <c r="DU68" s="64">
        <f>$S68-$S69</f>
        <v/>
      </c>
      <c r="DV68" s="65">
        <f>IFERROR(AVERAGE($AA69/$AA68-1,$AB69/$AB68-1,$AC69/$AC68-1,$AD69/$AD68-1,$AE69/$AE68-1,$AG69/$AG68-1,$AH69/$AH68-1,$AI69/$AI68-1,$AJ69/$AJ68-1,$AL69/$AL68-1,$AM69/$AM68-1,$AR69/$AR68-1,$AS69/$AS68-1,$AT69/$AT68-1,$AU69/$AU68-1,$AV69/$AV68-1,$AW69/$AW68-1,$AX69/$AX68-1,$AY69/$AY68-1),"")</f>
        <v/>
      </c>
      <c r="DW68" s="66">
        <f>AVERAGE($CB68,$CC68,$CD68,$CE68,$CF68,$CG68,$CH68,$CI68,$CJ68,$CL68,$CM68,$CN68,$CO68,$CP68,$CQ68,$CR68,$CS68,$CT68)</f>
        <v/>
      </c>
      <c r="DX68" s="66">
        <f>AVERAGE($CB68,$CC68,$CM68,$CE68,$CP68)</f>
        <v/>
      </c>
      <c r="DY68" s="64">
        <f>($DW68-$DW69)*100</f>
        <v/>
      </c>
      <c r="DZ68" s="64">
        <f>($DX68-$DX69)*100</f>
        <v/>
      </c>
      <c r="EA68" s="64">
        <f>($DW68-$D68)*100</f>
        <v/>
      </c>
      <c r="EB68" s="64">
        <f>$Q68-$O68</f>
        <v/>
      </c>
      <c r="EC68" s="67">
        <f>IFERROR($Q68/$P68,"")</f>
        <v/>
      </c>
    </row>
    <row r="69">
      <c r="DG69" s="64">
        <f>($B69-$B70)*100</f>
        <v/>
      </c>
      <c r="DH69" s="64">
        <f>($D69-$D70)*100</f>
        <v/>
      </c>
      <c r="DI69" s="64">
        <f>($E69-$E70)*100</f>
        <v/>
      </c>
      <c r="DJ69" s="64">
        <f>($H69-$H70)*100</f>
        <v/>
      </c>
      <c r="DK69" s="65">
        <f>IFERROR($J69/$J70-1,"")</f>
        <v/>
      </c>
      <c r="DL69" s="64">
        <f>$L69-$L70</f>
        <v/>
      </c>
      <c r="DM69" s="64">
        <f>$K69-$K70</f>
        <v/>
      </c>
      <c r="DN69" s="65">
        <f>IFERROR($N69/$N70-1,"")</f>
        <v/>
      </c>
      <c r="DO69" s="65">
        <f>IFERROR($M69/$M70-1,"")</f>
        <v/>
      </c>
      <c r="DP69" s="65">
        <f>IFERROR($AZ69/$AZ70-1,"")</f>
        <v/>
      </c>
      <c r="DQ69" s="65">
        <f>IFERROR($BA69/$BA70-1,"")</f>
        <v/>
      </c>
      <c r="DR69" s="64">
        <f>$O69-$O70</f>
        <v/>
      </c>
      <c r="DS69" s="64">
        <f>$P69-$P70</f>
        <v/>
      </c>
      <c r="DT69" s="64">
        <f>$Q69-$Q70</f>
        <v/>
      </c>
      <c r="DU69" s="64">
        <f>$S69-$S70</f>
        <v/>
      </c>
      <c r="DV69" s="65">
        <f>IFERROR(AVERAGE($AA70/$AA69-1,$AB70/$AB69-1,$AC70/$AC69-1,$AD70/$AD69-1,$AE70/$AE69-1,$AG70/$AG69-1,$AH70/$AH69-1,$AI70/$AI69-1,$AJ70/$AJ69-1,$AL70/$AL69-1,$AM70/$AM69-1,$AR70/$AR69-1,$AS70/$AS69-1,$AT70/$AT69-1,$AU70/$AU69-1,$AV70/$AV69-1,$AW70/$AW69-1,$AX70/$AX69-1,$AY70/$AY69-1),"")</f>
        <v/>
      </c>
      <c r="DW69" s="66">
        <f>AVERAGE($CB69,$CC69,$CD69,$CE69,$CF69,$CG69,$CH69,$CI69,$CJ69,$CL69,$CM69,$CN69,$CO69,$CP69,$CQ69,$CR69,$CS69,$CT69)</f>
        <v/>
      </c>
      <c r="DX69" s="66">
        <f>AVERAGE($CB69,$CC69,$CM69,$CE69,$CP69)</f>
        <v/>
      </c>
      <c r="DY69" s="64">
        <f>($DW69-$DW70)*100</f>
        <v/>
      </c>
      <c r="DZ69" s="64">
        <f>($DX69-$DX70)*100</f>
        <v/>
      </c>
      <c r="EA69" s="64">
        <f>($DW69-$D69)*100</f>
        <v/>
      </c>
      <c r="EB69" s="64">
        <f>$Q69-$O69</f>
        <v/>
      </c>
      <c r="EC69" s="67">
        <f>IFERROR($Q69/$P69,"")</f>
        <v/>
      </c>
    </row>
    <row r="70">
      <c r="DG70" s="64">
        <f>($B70-$B71)*100</f>
        <v/>
      </c>
      <c r="DH70" s="64">
        <f>($D70-$D71)*100</f>
        <v/>
      </c>
      <c r="DI70" s="64">
        <f>($E70-$E71)*100</f>
        <v/>
      </c>
      <c r="DJ70" s="64">
        <f>($H70-$H71)*100</f>
        <v/>
      </c>
      <c r="DK70" s="65">
        <f>IFERROR($J70/$J71-1,"")</f>
        <v/>
      </c>
      <c r="DL70" s="64">
        <f>$L70-$L71</f>
        <v/>
      </c>
      <c r="DM70" s="64">
        <f>$K70-$K71</f>
        <v/>
      </c>
      <c r="DN70" s="65">
        <f>IFERROR($N70/$N71-1,"")</f>
        <v/>
      </c>
      <c r="DO70" s="65">
        <f>IFERROR($M70/$M71-1,"")</f>
        <v/>
      </c>
      <c r="DP70" s="65">
        <f>IFERROR($AZ70/$AZ71-1,"")</f>
        <v/>
      </c>
      <c r="DQ70" s="65">
        <f>IFERROR($BA70/$BA71-1,"")</f>
        <v/>
      </c>
      <c r="DR70" s="64">
        <f>$O70-$O71</f>
        <v/>
      </c>
      <c r="DS70" s="64">
        <f>$P70-$P71</f>
        <v/>
      </c>
      <c r="DT70" s="64">
        <f>$Q70-$Q71</f>
        <v/>
      </c>
      <c r="DU70" s="64">
        <f>$S70-$S71</f>
        <v/>
      </c>
      <c r="DV70" s="65">
        <f>IFERROR(AVERAGE($AA71/$AA70-1,$AB71/$AB70-1,$AC71/$AC70-1,$AD71/$AD70-1,$AE71/$AE70-1,$AG71/$AG70-1,$AH71/$AH70-1,$AI71/$AI70-1,$AJ71/$AJ70-1,$AL71/$AL70-1,$AM71/$AM70-1,$AR71/$AR70-1,$AS71/$AS70-1,$AT71/$AT70-1,$AU71/$AU70-1,$AV71/$AV70-1,$AW71/$AW70-1,$AX71/$AX70-1,$AY71/$AY70-1),"")</f>
        <v/>
      </c>
      <c r="DW70" s="66">
        <f>AVERAGE($CB70,$CC70,$CD70,$CE70,$CF70,$CG70,$CH70,$CI70,$CJ70,$CL70,$CM70,$CN70,$CO70,$CP70,$CQ70,$CR70,$CS70,$CT70)</f>
        <v/>
      </c>
      <c r="DX70" s="66">
        <f>AVERAGE($CB70,$CC70,$CM70,$CE70,$CP70)</f>
        <v/>
      </c>
      <c r="DY70" s="64">
        <f>($DW70-$DW71)*100</f>
        <v/>
      </c>
      <c r="DZ70" s="64">
        <f>($DX70-$DX71)*100</f>
        <v/>
      </c>
      <c r="EA70" s="64">
        <f>($DW70-$D70)*100</f>
        <v/>
      </c>
      <c r="EB70" s="64">
        <f>$Q70-$O70</f>
        <v/>
      </c>
      <c r="EC70" s="67">
        <f>IFERROR($Q70/$P70,"")</f>
        <v/>
      </c>
    </row>
    <row r="71">
      <c r="DG71" s="64">
        <f>($B71-$B72)*100</f>
        <v/>
      </c>
      <c r="DH71" s="64">
        <f>($D71-$D72)*100</f>
        <v/>
      </c>
      <c r="DI71" s="64">
        <f>($E71-$E72)*100</f>
        <v/>
      </c>
      <c r="DJ71" s="64">
        <f>($H71-$H72)*100</f>
        <v/>
      </c>
      <c r="DK71" s="65">
        <f>IFERROR($J71/$J72-1,"")</f>
        <v/>
      </c>
      <c r="DL71" s="64">
        <f>$L71-$L72</f>
        <v/>
      </c>
      <c r="DM71" s="64">
        <f>$K71-$K72</f>
        <v/>
      </c>
      <c r="DN71" s="65">
        <f>IFERROR($N71/$N72-1,"")</f>
        <v/>
      </c>
      <c r="DO71" s="65">
        <f>IFERROR($M71/$M72-1,"")</f>
        <v/>
      </c>
      <c r="DP71" s="65">
        <f>IFERROR($AZ71/$AZ72-1,"")</f>
        <v/>
      </c>
      <c r="DQ71" s="65">
        <f>IFERROR($BA71/$BA72-1,"")</f>
        <v/>
      </c>
      <c r="DR71" s="64">
        <f>$O71-$O72</f>
        <v/>
      </c>
      <c r="DS71" s="64">
        <f>$P71-$P72</f>
        <v/>
      </c>
      <c r="DT71" s="64">
        <f>$Q71-$Q72</f>
        <v/>
      </c>
      <c r="DU71" s="64">
        <f>$S71-$S72</f>
        <v/>
      </c>
      <c r="DV71" s="65">
        <f>IFERROR(AVERAGE($AA72/$AA71-1,$AB72/$AB71-1,$AC72/$AC71-1,$AD72/$AD71-1,$AE72/$AE71-1,$AG72/$AG71-1,$AH72/$AH71-1,$AI72/$AI71-1,$AJ72/$AJ71-1,$AL72/$AL71-1,$AM72/$AM71-1,$AR72/$AR71-1,$AS72/$AS71-1,$AT72/$AT71-1,$AU72/$AU71-1,$AV72/$AV71-1,$AW72/$AW71-1,$AX72/$AX71-1,$AY72/$AY71-1),"")</f>
        <v/>
      </c>
      <c r="DW71" s="66">
        <f>AVERAGE($CB71,$CC71,$CD71,$CE71,$CF71,$CG71,$CH71,$CI71,$CJ71,$CL71,$CM71,$CN71,$CO71,$CP71,$CQ71,$CR71,$CS71,$CT71)</f>
        <v/>
      </c>
      <c r="DX71" s="66">
        <f>AVERAGE($CB71,$CC71,$CM71,$CE71,$CP71)</f>
        <v/>
      </c>
      <c r="DY71" s="64">
        <f>($DW71-$DW72)*100</f>
        <v/>
      </c>
      <c r="DZ71" s="64">
        <f>($DX71-$DX72)*100</f>
        <v/>
      </c>
      <c r="EA71" s="64">
        <f>($DW71-$D71)*100</f>
        <v/>
      </c>
      <c r="EB71" s="64">
        <f>$Q71-$O71</f>
        <v/>
      </c>
      <c r="EC71" s="67">
        <f>IFERROR($Q71/$P71,"")</f>
        <v/>
      </c>
    </row>
    <row r="72">
      <c r="DG72" s="64">
        <f>($B72-$B73)*100</f>
        <v/>
      </c>
      <c r="DH72" s="64">
        <f>($D72-$D73)*100</f>
        <v/>
      </c>
      <c r="DI72" s="64">
        <f>($E72-$E73)*100</f>
        <v/>
      </c>
      <c r="DJ72" s="64">
        <f>($H72-$H73)*100</f>
        <v/>
      </c>
      <c r="DK72" s="65">
        <f>IFERROR($J72/$J73-1,"")</f>
        <v/>
      </c>
      <c r="DL72" s="64">
        <f>$L72-$L73</f>
        <v/>
      </c>
      <c r="DM72" s="64">
        <f>$K72-$K73</f>
        <v/>
      </c>
      <c r="DN72" s="65">
        <f>IFERROR($N72/$N73-1,"")</f>
        <v/>
      </c>
      <c r="DO72" s="65">
        <f>IFERROR($M72/$M73-1,"")</f>
        <v/>
      </c>
      <c r="DP72" s="65">
        <f>IFERROR($AZ72/$AZ73-1,"")</f>
        <v/>
      </c>
      <c r="DQ72" s="65">
        <f>IFERROR($BA72/$BA73-1,"")</f>
        <v/>
      </c>
      <c r="DR72" s="64">
        <f>$O72-$O73</f>
        <v/>
      </c>
      <c r="DS72" s="64">
        <f>$P72-$P73</f>
        <v/>
      </c>
      <c r="DT72" s="64">
        <f>$Q72-$Q73</f>
        <v/>
      </c>
      <c r="DU72" s="64">
        <f>$S72-$S73</f>
        <v/>
      </c>
      <c r="DV72" s="65">
        <f>IFERROR(AVERAGE($AA73/$AA72-1,$AB73/$AB72-1,$AC73/$AC72-1,$AD73/$AD72-1,$AE73/$AE72-1,$AG73/$AG72-1,$AH73/$AH72-1,$AI73/$AI72-1,$AJ73/$AJ72-1,$AL73/$AL72-1,$AM73/$AM72-1,$AR73/$AR72-1,$AS73/$AS72-1,$AT73/$AT72-1,$AU73/$AU72-1,$AV73/$AV72-1,$AW73/$AW72-1,$AX73/$AX72-1,$AY73/$AY72-1),"")</f>
        <v/>
      </c>
      <c r="DW72" s="66">
        <f>AVERAGE($CB72,$CC72,$CD72,$CE72,$CF72,$CG72,$CH72,$CI72,$CJ72,$CL72,$CM72,$CN72,$CO72,$CP72,$CQ72,$CR72,$CS72,$CT72)</f>
        <v/>
      </c>
      <c r="DX72" s="66">
        <f>AVERAGE($CB72,$CC72,$CM72,$CE72,$CP72)</f>
        <v/>
      </c>
      <c r="DY72" s="64">
        <f>($DW72-$DW73)*100</f>
        <v/>
      </c>
      <c r="DZ72" s="64">
        <f>($DX72-$DX73)*100</f>
        <v/>
      </c>
      <c r="EA72" s="64">
        <f>($DW72-$D72)*100</f>
        <v/>
      </c>
      <c r="EB72" s="64">
        <f>$Q72-$O72</f>
        <v/>
      </c>
      <c r="EC72" s="67">
        <f>IFERROR($Q72/$P72,"")</f>
        <v/>
      </c>
    </row>
    <row r="73">
      <c r="DG73" s="64">
        <f>($B73-$B74)*100</f>
        <v/>
      </c>
      <c r="DH73" s="64">
        <f>($D73-$D74)*100</f>
        <v/>
      </c>
      <c r="DI73" s="64">
        <f>($E73-$E74)*100</f>
        <v/>
      </c>
      <c r="DJ73" s="64">
        <f>($H73-$H74)*100</f>
        <v/>
      </c>
      <c r="DK73" s="65">
        <f>IFERROR($J73/$J74-1,"")</f>
        <v/>
      </c>
      <c r="DL73" s="64">
        <f>$L73-$L74</f>
        <v/>
      </c>
      <c r="DM73" s="64">
        <f>$K73-$K74</f>
        <v/>
      </c>
      <c r="DN73" s="65">
        <f>IFERROR($N73/$N74-1,"")</f>
        <v/>
      </c>
      <c r="DO73" s="65">
        <f>IFERROR($M73/$M74-1,"")</f>
        <v/>
      </c>
      <c r="DP73" s="65">
        <f>IFERROR($AZ73/$AZ74-1,"")</f>
        <v/>
      </c>
      <c r="DQ73" s="65">
        <f>IFERROR($BA73/$BA74-1,"")</f>
        <v/>
      </c>
      <c r="DR73" s="64">
        <f>$O73-$O74</f>
        <v/>
      </c>
      <c r="DS73" s="64">
        <f>$P73-$P74</f>
        <v/>
      </c>
      <c r="DT73" s="64">
        <f>$Q73-$Q74</f>
        <v/>
      </c>
      <c r="DU73" s="64">
        <f>$S73-$S74</f>
        <v/>
      </c>
      <c r="DV73" s="65">
        <f>IFERROR(AVERAGE($AA74/$AA73-1,$AB74/$AB73-1,$AC74/$AC73-1,$AD74/$AD73-1,$AE74/$AE73-1,$AG74/$AG73-1,$AH74/$AH73-1,$AI74/$AI73-1,$AJ74/$AJ73-1,$AL74/$AL73-1,$AM74/$AM73-1,$AR74/$AR73-1,$AS74/$AS73-1,$AT74/$AT73-1,$AU74/$AU73-1,$AV74/$AV73-1,$AW74/$AW73-1,$AX74/$AX73-1,$AY74/$AY73-1),"")</f>
        <v/>
      </c>
      <c r="DW73" s="66">
        <f>AVERAGE($CB73,$CC73,$CD73,$CE73,$CF73,$CG73,$CH73,$CI73,$CJ73,$CL73,$CM73,$CN73,$CO73,$CP73,$CQ73,$CR73,$CS73,$CT73)</f>
        <v/>
      </c>
      <c r="DX73" s="66">
        <f>AVERAGE($CB73,$CC73,$CM73,$CE73,$CP73)</f>
        <v/>
      </c>
      <c r="DY73" s="64">
        <f>($DW73-$DW74)*100</f>
        <v/>
      </c>
      <c r="DZ73" s="64">
        <f>($DX73-$DX74)*100</f>
        <v/>
      </c>
      <c r="EA73" s="64">
        <f>($DW73-$D73)*100</f>
        <v/>
      </c>
      <c r="EB73" s="64">
        <f>$Q73-$O73</f>
        <v/>
      </c>
      <c r="EC73" s="67">
        <f>IFERROR($Q73/$P73,"")</f>
        <v/>
      </c>
    </row>
    <row r="74">
      <c r="DG74" s="64">
        <f>($B74-$B75)*100</f>
        <v/>
      </c>
      <c r="DH74" s="64">
        <f>($D74-$D75)*100</f>
        <v/>
      </c>
      <c r="DI74" s="64">
        <f>($E74-$E75)*100</f>
        <v/>
      </c>
      <c r="DJ74" s="64">
        <f>($H74-$H75)*100</f>
        <v/>
      </c>
      <c r="DK74" s="65">
        <f>IFERROR($J74/$J75-1,"")</f>
        <v/>
      </c>
      <c r="DL74" s="64">
        <f>$L74-$L75</f>
        <v/>
      </c>
      <c r="DM74" s="64">
        <f>$K74-$K75</f>
        <v/>
      </c>
      <c r="DN74" s="65">
        <f>IFERROR($N74/$N75-1,"")</f>
        <v/>
      </c>
      <c r="DO74" s="65">
        <f>IFERROR($M74/$M75-1,"")</f>
        <v/>
      </c>
      <c r="DP74" s="65">
        <f>IFERROR($AZ74/$AZ75-1,"")</f>
        <v/>
      </c>
      <c r="DQ74" s="65">
        <f>IFERROR($BA74/$BA75-1,"")</f>
        <v/>
      </c>
      <c r="DR74" s="64">
        <f>$O74-$O75</f>
        <v/>
      </c>
      <c r="DS74" s="64">
        <f>$P74-$P75</f>
        <v/>
      </c>
      <c r="DT74" s="64">
        <f>$Q74-$Q75</f>
        <v/>
      </c>
      <c r="DU74" s="64">
        <f>$S74-$S75</f>
        <v/>
      </c>
      <c r="DV74" s="65">
        <f>IFERROR(AVERAGE($AA75/$AA74-1,$AB75/$AB74-1,$AC75/$AC74-1,$AD75/$AD74-1,$AE75/$AE74-1,$AG75/$AG74-1,$AH75/$AH74-1,$AI75/$AI74-1,$AJ75/$AJ74-1,$AL75/$AL74-1,$AM75/$AM74-1,$AR75/$AR74-1,$AS75/$AS74-1,$AT75/$AT74-1,$AU75/$AU74-1,$AV75/$AV74-1,$AW75/$AW74-1,$AX75/$AX74-1,$AY75/$AY74-1),"")</f>
        <v/>
      </c>
      <c r="DW74" s="66">
        <f>AVERAGE($CB74,$CC74,$CD74,$CE74,$CF74,$CG74,$CH74,$CI74,$CJ74,$CL74,$CM74,$CN74,$CO74,$CP74,$CQ74,$CR74,$CS74,$CT74)</f>
        <v/>
      </c>
      <c r="DX74" s="66">
        <f>AVERAGE($CB74,$CC74,$CM74,$CE74,$CP74)</f>
        <v/>
      </c>
      <c r="DY74" s="64">
        <f>($DW74-$DW75)*100</f>
        <v/>
      </c>
      <c r="DZ74" s="64">
        <f>($DX74-$DX75)*100</f>
        <v/>
      </c>
      <c r="EA74" s="64">
        <f>($DW74-$D74)*100</f>
        <v/>
      </c>
      <c r="EB74" s="64">
        <f>$Q74-$O74</f>
        <v/>
      </c>
      <c r="EC74" s="67">
        <f>IFERROR($Q74/$P74,"")</f>
        <v/>
      </c>
    </row>
    <row r="75">
      <c r="DG75" s="64">
        <f>($B75-$B76)*100</f>
        <v/>
      </c>
      <c r="DH75" s="64">
        <f>($D75-$D76)*100</f>
        <v/>
      </c>
      <c r="DI75" s="64">
        <f>($E75-$E76)*100</f>
        <v/>
      </c>
      <c r="DJ75" s="64">
        <f>($H75-$H76)*100</f>
        <v/>
      </c>
      <c r="DK75" s="65">
        <f>IFERROR($J75/$J76-1,"")</f>
        <v/>
      </c>
      <c r="DL75" s="64">
        <f>$L75-$L76</f>
        <v/>
      </c>
      <c r="DM75" s="64">
        <f>$K75-$K76</f>
        <v/>
      </c>
      <c r="DN75" s="65">
        <f>IFERROR($N75/$N76-1,"")</f>
        <v/>
      </c>
      <c r="DO75" s="65">
        <f>IFERROR($M75/$M76-1,"")</f>
        <v/>
      </c>
      <c r="DP75" s="65">
        <f>IFERROR($AZ75/$AZ76-1,"")</f>
        <v/>
      </c>
      <c r="DQ75" s="65">
        <f>IFERROR($BA75/$BA76-1,"")</f>
        <v/>
      </c>
      <c r="DR75" s="64">
        <f>$O75-$O76</f>
        <v/>
      </c>
      <c r="DS75" s="64">
        <f>$P75-$P76</f>
        <v/>
      </c>
      <c r="DT75" s="64">
        <f>$Q75-$Q76</f>
        <v/>
      </c>
      <c r="DU75" s="64">
        <f>$S75-$S76</f>
        <v/>
      </c>
      <c r="DV75" s="65">
        <f>IFERROR(AVERAGE($AA76/$AA75-1,$AB76/$AB75-1,$AC76/$AC75-1,$AD76/$AD75-1,$AE76/$AE75-1,$AG76/$AG75-1,$AH76/$AH75-1,$AI76/$AI75-1,$AJ76/$AJ75-1,$AL76/$AL75-1,$AM76/$AM75-1,$AR76/$AR75-1,$AS76/$AS75-1,$AT76/$AT75-1,$AU76/$AU75-1,$AV76/$AV75-1,$AW76/$AW75-1,$AX76/$AX75-1,$AY76/$AY75-1),"")</f>
        <v/>
      </c>
      <c r="DW75" s="66">
        <f>AVERAGE($CB75,$CC75,$CD75,$CE75,$CF75,$CG75,$CH75,$CI75,$CJ75,$CL75,$CM75,$CN75,$CO75,$CP75,$CQ75,$CR75,$CS75,$CT75)</f>
        <v/>
      </c>
      <c r="DX75" s="66">
        <f>AVERAGE($CB75,$CC75,$CM75,$CE75,$CP75)</f>
        <v/>
      </c>
      <c r="DY75" s="64">
        <f>($DW75-$DW76)*100</f>
        <v/>
      </c>
      <c r="DZ75" s="64">
        <f>($DX75-$DX76)*100</f>
        <v/>
      </c>
      <c r="EA75" s="64">
        <f>($DW75-$D75)*100</f>
        <v/>
      </c>
      <c r="EB75" s="64">
        <f>$Q75-$O75</f>
        <v/>
      </c>
      <c r="EC75" s="67">
        <f>IFERROR($Q75/$P75,"")</f>
        <v/>
      </c>
    </row>
    <row r="76">
      <c r="DG76" s="64">
        <f>($B76-$B77)*100</f>
        <v/>
      </c>
      <c r="DH76" s="64">
        <f>($D76-$D77)*100</f>
        <v/>
      </c>
      <c r="DI76" s="64">
        <f>($E76-$E77)*100</f>
        <v/>
      </c>
      <c r="DJ76" s="64">
        <f>($H76-$H77)*100</f>
        <v/>
      </c>
      <c r="DK76" s="65">
        <f>IFERROR($J76/$J77-1,"")</f>
        <v/>
      </c>
      <c r="DL76" s="64">
        <f>$L76-$L77</f>
        <v/>
      </c>
      <c r="DM76" s="64">
        <f>$K76-$K77</f>
        <v/>
      </c>
      <c r="DN76" s="65">
        <f>IFERROR($N76/$N77-1,"")</f>
        <v/>
      </c>
      <c r="DO76" s="65">
        <f>IFERROR($M76/$M77-1,"")</f>
        <v/>
      </c>
      <c r="DP76" s="65">
        <f>IFERROR($AZ76/$AZ77-1,"")</f>
        <v/>
      </c>
      <c r="DQ76" s="65">
        <f>IFERROR($BA76/$BA77-1,"")</f>
        <v/>
      </c>
      <c r="DR76" s="64">
        <f>$O76-$O77</f>
        <v/>
      </c>
      <c r="DS76" s="64">
        <f>$P76-$P77</f>
        <v/>
      </c>
      <c r="DT76" s="64">
        <f>$Q76-$Q77</f>
        <v/>
      </c>
      <c r="DU76" s="64">
        <f>$S76-$S77</f>
        <v/>
      </c>
      <c r="DV76" s="65">
        <f>IFERROR(AVERAGE($AA77/$AA76-1,$AB77/$AB76-1,$AC77/$AC76-1,$AD77/$AD76-1,$AE77/$AE76-1,$AG77/$AG76-1,$AH77/$AH76-1,$AI77/$AI76-1,$AJ77/$AJ76-1,$AL77/$AL76-1,$AM77/$AM76-1,$AR77/$AR76-1,$AS77/$AS76-1,$AT77/$AT76-1,$AU77/$AU76-1,$AV77/$AV76-1,$AW77/$AW76-1,$AX77/$AX76-1,$AY77/$AY76-1),"")</f>
        <v/>
      </c>
      <c r="DW76" s="66">
        <f>AVERAGE($CB76,$CC76,$CD76,$CE76,$CF76,$CG76,$CH76,$CI76,$CJ76,$CL76,$CM76,$CN76,$CO76,$CP76,$CQ76,$CR76,$CS76,$CT76)</f>
        <v/>
      </c>
      <c r="DX76" s="66">
        <f>AVERAGE($CB76,$CC76,$CM76,$CE76,$CP76)</f>
        <v/>
      </c>
      <c r="DY76" s="64">
        <f>($DW76-$DW77)*100</f>
        <v/>
      </c>
      <c r="DZ76" s="64">
        <f>($DX76-$DX77)*100</f>
        <v/>
      </c>
      <c r="EA76" s="64">
        <f>($DW76-$D76)*100</f>
        <v/>
      </c>
      <c r="EB76" s="64">
        <f>$Q76-$O76</f>
        <v/>
      </c>
      <c r="EC76" s="67">
        <f>IFERROR($Q76/$P76,"")</f>
        <v/>
      </c>
    </row>
    <row r="77">
      <c r="DG77" s="64">
        <f>($B77-$B78)*100</f>
        <v/>
      </c>
      <c r="DH77" s="64">
        <f>($D77-$D78)*100</f>
        <v/>
      </c>
      <c r="DI77" s="64">
        <f>($E77-$E78)*100</f>
        <v/>
      </c>
      <c r="DJ77" s="64">
        <f>($H77-$H78)*100</f>
        <v/>
      </c>
      <c r="DK77" s="65">
        <f>IFERROR($J77/$J78-1,"")</f>
        <v/>
      </c>
      <c r="DL77" s="64">
        <f>$L77-$L78</f>
        <v/>
      </c>
      <c r="DM77" s="64">
        <f>$K77-$K78</f>
        <v/>
      </c>
      <c r="DN77" s="65">
        <f>IFERROR($N77/$N78-1,"")</f>
        <v/>
      </c>
      <c r="DO77" s="65">
        <f>IFERROR($M77/$M78-1,"")</f>
        <v/>
      </c>
      <c r="DP77" s="65">
        <f>IFERROR($AZ77/$AZ78-1,"")</f>
        <v/>
      </c>
      <c r="DQ77" s="65">
        <f>IFERROR($BA77/$BA78-1,"")</f>
        <v/>
      </c>
      <c r="DR77" s="64">
        <f>$O77-$O78</f>
        <v/>
      </c>
      <c r="DS77" s="64">
        <f>$P77-$P78</f>
        <v/>
      </c>
      <c r="DT77" s="64">
        <f>$Q77-$Q78</f>
        <v/>
      </c>
      <c r="DU77" s="64">
        <f>$S77-$S78</f>
        <v/>
      </c>
      <c r="DV77" s="65">
        <f>IFERROR(AVERAGE($AA78/$AA77-1,$AB78/$AB77-1,$AC78/$AC77-1,$AD78/$AD77-1,$AE78/$AE77-1,$AG78/$AG77-1,$AH78/$AH77-1,$AI78/$AI77-1,$AJ78/$AJ77-1,$AL78/$AL77-1,$AM78/$AM77-1,$AR78/$AR77-1,$AS78/$AS77-1,$AT78/$AT77-1,$AU78/$AU77-1,$AV78/$AV77-1,$AW78/$AW77-1,$AX78/$AX77-1,$AY78/$AY77-1),"")</f>
        <v/>
      </c>
      <c r="DW77" s="66">
        <f>AVERAGE($CB77,$CC77,$CD77,$CE77,$CF77,$CG77,$CH77,$CI77,$CJ77,$CL77,$CM77,$CN77,$CO77,$CP77,$CQ77,$CR77,$CS77,$CT77)</f>
        <v/>
      </c>
      <c r="DX77" s="66">
        <f>AVERAGE($CB77,$CC77,$CM77,$CE77,$CP77)</f>
        <v/>
      </c>
      <c r="DY77" s="64">
        <f>($DW77-$DW78)*100</f>
        <v/>
      </c>
      <c r="DZ77" s="64">
        <f>($DX77-$DX78)*100</f>
        <v/>
      </c>
      <c r="EA77" s="64">
        <f>($DW77-$D77)*100</f>
        <v/>
      </c>
      <c r="EB77" s="64">
        <f>$Q77-$O77</f>
        <v/>
      </c>
      <c r="EC77" s="67">
        <f>IFERROR($Q77/$P77,"")</f>
        <v/>
      </c>
    </row>
    <row r="78">
      <c r="DG78" s="64">
        <f>($B78-$B79)*100</f>
        <v/>
      </c>
      <c r="DH78" s="64">
        <f>($D78-$D79)*100</f>
        <v/>
      </c>
      <c r="DI78" s="64">
        <f>($E78-$E79)*100</f>
        <v/>
      </c>
      <c r="DJ78" s="64">
        <f>($H78-$H79)*100</f>
        <v/>
      </c>
      <c r="DK78" s="65">
        <f>IFERROR($J78/$J79-1,"")</f>
        <v/>
      </c>
      <c r="DL78" s="64">
        <f>$L78-$L79</f>
        <v/>
      </c>
      <c r="DM78" s="64">
        <f>$K78-$K79</f>
        <v/>
      </c>
      <c r="DN78" s="65">
        <f>IFERROR($N78/$N79-1,"")</f>
        <v/>
      </c>
      <c r="DO78" s="65">
        <f>IFERROR($M78/$M79-1,"")</f>
        <v/>
      </c>
      <c r="DP78" s="65">
        <f>IFERROR($AZ78/$AZ79-1,"")</f>
        <v/>
      </c>
      <c r="DQ78" s="65">
        <f>IFERROR($BA78/$BA79-1,"")</f>
        <v/>
      </c>
      <c r="DR78" s="64">
        <f>$O78-$O79</f>
        <v/>
      </c>
      <c r="DS78" s="64">
        <f>$P78-$P79</f>
        <v/>
      </c>
      <c r="DT78" s="64">
        <f>$Q78-$Q79</f>
        <v/>
      </c>
      <c r="DU78" s="64">
        <f>$S78-$S79</f>
        <v/>
      </c>
      <c r="DV78" s="65">
        <f>IFERROR(AVERAGE($AA79/$AA78-1,$AB79/$AB78-1,$AC79/$AC78-1,$AD79/$AD78-1,$AE79/$AE78-1,$AG79/$AG78-1,$AH79/$AH78-1,$AI79/$AI78-1,$AJ79/$AJ78-1,$AL79/$AL78-1,$AM79/$AM78-1,$AR79/$AR78-1,$AS79/$AS78-1,$AT79/$AT78-1,$AU79/$AU78-1,$AV79/$AV78-1,$AW79/$AW78-1,$AX79/$AX78-1,$AY79/$AY78-1),"")</f>
        <v/>
      </c>
      <c r="DW78" s="66">
        <f>AVERAGE($CB78,$CC78,$CD78,$CE78,$CF78,$CG78,$CH78,$CI78,$CJ78,$CL78,$CM78,$CN78,$CO78,$CP78,$CQ78,$CR78,$CS78,$CT78)</f>
        <v/>
      </c>
      <c r="DX78" s="66">
        <f>AVERAGE($CB78,$CC78,$CM78,$CE78,$CP78)</f>
        <v/>
      </c>
      <c r="DY78" s="64">
        <f>($DW78-$DW79)*100</f>
        <v/>
      </c>
      <c r="DZ78" s="64">
        <f>($DX78-$DX79)*100</f>
        <v/>
      </c>
      <c r="EA78" s="64">
        <f>($DW78-$D78)*100</f>
        <v/>
      </c>
      <c r="EB78" s="64">
        <f>$Q78-$O78</f>
        <v/>
      </c>
      <c r="EC78" s="67">
        <f>IFERROR($Q78/$P78,"")</f>
        <v/>
      </c>
    </row>
    <row r="79">
      <c r="DG79" s="64">
        <f>($B79-$B80)*100</f>
        <v/>
      </c>
      <c r="DH79" s="64">
        <f>($D79-$D80)*100</f>
        <v/>
      </c>
      <c r="DI79" s="64">
        <f>($E79-$E80)*100</f>
        <v/>
      </c>
      <c r="DJ79" s="64">
        <f>($H79-$H80)*100</f>
        <v/>
      </c>
      <c r="DK79" s="65">
        <f>IFERROR($J79/$J80-1,"")</f>
        <v/>
      </c>
      <c r="DL79" s="64">
        <f>$L79-$L80</f>
        <v/>
      </c>
      <c r="DM79" s="64">
        <f>$K79-$K80</f>
        <v/>
      </c>
      <c r="DN79" s="65">
        <f>IFERROR($N79/$N80-1,"")</f>
        <v/>
      </c>
      <c r="DO79" s="65">
        <f>IFERROR($M79/$M80-1,"")</f>
        <v/>
      </c>
      <c r="DP79" s="65">
        <f>IFERROR($AZ79/$AZ80-1,"")</f>
        <v/>
      </c>
      <c r="DQ79" s="65">
        <f>IFERROR($BA79/$BA80-1,"")</f>
        <v/>
      </c>
      <c r="DR79" s="64">
        <f>$O79-$O80</f>
        <v/>
      </c>
      <c r="DS79" s="64">
        <f>$P79-$P80</f>
        <v/>
      </c>
      <c r="DT79" s="64">
        <f>$Q79-$Q80</f>
        <v/>
      </c>
      <c r="DU79" s="64">
        <f>$S79-$S80</f>
        <v/>
      </c>
      <c r="DV79" s="65">
        <f>IFERROR(AVERAGE($AA80/$AA79-1,$AB80/$AB79-1,$AC80/$AC79-1,$AD80/$AD79-1,$AE80/$AE79-1,$AG80/$AG79-1,$AH80/$AH79-1,$AI80/$AI79-1,$AJ80/$AJ79-1,$AL80/$AL79-1,$AM80/$AM79-1,$AR80/$AR79-1,$AS80/$AS79-1,$AT80/$AT79-1,$AU80/$AU79-1,$AV80/$AV79-1,$AW80/$AW79-1,$AX80/$AX79-1,$AY80/$AY79-1),"")</f>
        <v/>
      </c>
      <c r="DW79" s="66">
        <f>AVERAGE($CB79,$CC79,$CD79,$CE79,$CF79,$CG79,$CH79,$CI79,$CJ79,$CL79,$CM79,$CN79,$CO79,$CP79,$CQ79,$CR79,$CS79,$CT79)</f>
        <v/>
      </c>
      <c r="DX79" s="66">
        <f>AVERAGE($CB79,$CC79,$CM79,$CE79,$CP79)</f>
        <v/>
      </c>
      <c r="DY79" s="64">
        <f>($DW79-$DW80)*100</f>
        <v/>
      </c>
      <c r="DZ79" s="64">
        <f>($DX79-$DX80)*100</f>
        <v/>
      </c>
      <c r="EA79" s="64">
        <f>($DW79-$D79)*100</f>
        <v/>
      </c>
      <c r="EB79" s="64">
        <f>$Q79-$O79</f>
        <v/>
      </c>
      <c r="EC79" s="67">
        <f>IFERROR($Q79/$P79,"")</f>
        <v/>
      </c>
    </row>
    <row r="80">
      <c r="DG80" s="64">
        <f>($B80-$B81)*100</f>
        <v/>
      </c>
      <c r="DH80" s="64">
        <f>($D80-$D81)*100</f>
        <v/>
      </c>
      <c r="DI80" s="64">
        <f>($E80-$E81)*100</f>
        <v/>
      </c>
      <c r="DJ80" s="64">
        <f>($H80-$H81)*100</f>
        <v/>
      </c>
      <c r="DK80" s="65">
        <f>IFERROR($J80/$J81-1,"")</f>
        <v/>
      </c>
      <c r="DL80" s="64">
        <f>$L80-$L81</f>
        <v/>
      </c>
      <c r="DM80" s="64">
        <f>$K80-$K81</f>
        <v/>
      </c>
      <c r="DN80" s="65">
        <f>IFERROR($N80/$N81-1,"")</f>
        <v/>
      </c>
      <c r="DO80" s="65">
        <f>IFERROR($M80/$M81-1,"")</f>
        <v/>
      </c>
      <c r="DP80" s="65">
        <f>IFERROR($AZ80/$AZ81-1,"")</f>
        <v/>
      </c>
      <c r="DQ80" s="65">
        <f>IFERROR($BA80/$BA81-1,"")</f>
        <v/>
      </c>
      <c r="DR80" s="64">
        <f>$O80-$O81</f>
        <v/>
      </c>
      <c r="DS80" s="64">
        <f>$P80-$P81</f>
        <v/>
      </c>
      <c r="DT80" s="64">
        <f>$Q80-$Q81</f>
        <v/>
      </c>
      <c r="DU80" s="64">
        <f>$S80-$S81</f>
        <v/>
      </c>
      <c r="DV80" s="65">
        <f>IFERROR(AVERAGE($AA81/$AA80-1,$AB81/$AB80-1,$AC81/$AC80-1,$AD81/$AD80-1,$AE81/$AE80-1,$AG81/$AG80-1,$AH81/$AH80-1,$AI81/$AI80-1,$AJ81/$AJ80-1,$AL81/$AL80-1,$AM81/$AM80-1,$AR81/$AR80-1,$AS81/$AS80-1,$AT81/$AT80-1,$AU81/$AU80-1,$AV81/$AV80-1,$AW81/$AW80-1,$AX81/$AX80-1,$AY81/$AY80-1),"")</f>
        <v/>
      </c>
      <c r="DW80" s="66">
        <f>AVERAGE($CB80,$CC80,$CD80,$CE80,$CF80,$CG80,$CH80,$CI80,$CJ80,$CL80,$CM80,$CN80,$CO80,$CP80,$CQ80,$CR80,$CS80,$CT80)</f>
        <v/>
      </c>
      <c r="DX80" s="66">
        <f>AVERAGE($CB80,$CC80,$CM80,$CE80,$CP80)</f>
        <v/>
      </c>
      <c r="DY80" s="64">
        <f>($DW80-$DW81)*100</f>
        <v/>
      </c>
      <c r="DZ80" s="64">
        <f>($DX80-$DX81)*100</f>
        <v/>
      </c>
      <c r="EA80" s="64">
        <f>($DW80-$D80)*100</f>
        <v/>
      </c>
      <c r="EB80" s="64">
        <f>$Q80-$O80</f>
        <v/>
      </c>
      <c r="EC80" s="67">
        <f>IFERROR($Q80/$P80,"")</f>
        <v/>
      </c>
    </row>
    <row r="81">
      <c r="DG81" s="64">
        <f>($B81-$B82)*100</f>
        <v/>
      </c>
      <c r="DH81" s="64">
        <f>($D81-$D82)*100</f>
        <v/>
      </c>
      <c r="DI81" s="64">
        <f>($E81-$E82)*100</f>
        <v/>
      </c>
      <c r="DJ81" s="64">
        <f>($H81-$H82)*100</f>
        <v/>
      </c>
      <c r="DK81" s="65">
        <f>IFERROR($J81/$J82-1,"")</f>
        <v/>
      </c>
      <c r="DL81" s="64">
        <f>$L81-$L82</f>
        <v/>
      </c>
      <c r="DM81" s="64">
        <f>$K81-$K82</f>
        <v/>
      </c>
      <c r="DN81" s="65">
        <f>IFERROR($N81/$N82-1,"")</f>
        <v/>
      </c>
      <c r="DO81" s="65">
        <f>IFERROR($M81/$M82-1,"")</f>
        <v/>
      </c>
      <c r="DP81" s="65">
        <f>IFERROR($AZ81/$AZ82-1,"")</f>
        <v/>
      </c>
      <c r="DQ81" s="65">
        <f>IFERROR($BA81/$BA82-1,"")</f>
        <v/>
      </c>
      <c r="DR81" s="64">
        <f>$O81-$O82</f>
        <v/>
      </c>
      <c r="DS81" s="64">
        <f>$P81-$P82</f>
        <v/>
      </c>
      <c r="DT81" s="64">
        <f>$Q81-$Q82</f>
        <v/>
      </c>
      <c r="DU81" s="64">
        <f>$S81-$S82</f>
        <v/>
      </c>
      <c r="DV81" s="65">
        <f>IFERROR(AVERAGE($AA82/$AA81-1,$AB82/$AB81-1,$AC82/$AC81-1,$AD82/$AD81-1,$AE82/$AE81-1,$AG82/$AG81-1,$AH82/$AH81-1,$AI82/$AI81-1,$AJ82/$AJ81-1,$AL82/$AL81-1,$AM82/$AM81-1,$AR82/$AR81-1,$AS82/$AS81-1,$AT82/$AT81-1,$AU82/$AU81-1,$AV82/$AV81-1,$AW82/$AW81-1,$AX82/$AX81-1,$AY82/$AY81-1),"")</f>
        <v/>
      </c>
      <c r="DW81" s="66">
        <f>AVERAGE($CB81,$CC81,$CD81,$CE81,$CF81,$CG81,$CH81,$CI81,$CJ81,$CL81,$CM81,$CN81,$CO81,$CP81,$CQ81,$CR81,$CS81,$CT81)</f>
        <v/>
      </c>
      <c r="DX81" s="66">
        <f>AVERAGE($CB81,$CC81,$CM81,$CE81,$CP81)</f>
        <v/>
      </c>
      <c r="DY81" s="64">
        <f>($DW81-$DW82)*100</f>
        <v/>
      </c>
      <c r="DZ81" s="64">
        <f>($DX81-$DX82)*100</f>
        <v/>
      </c>
      <c r="EA81" s="64">
        <f>($DW81-$D81)*100</f>
        <v/>
      </c>
      <c r="EB81" s="64">
        <f>$Q81-$O81</f>
        <v/>
      </c>
      <c r="EC81" s="67">
        <f>IFERROR($Q81/$P81,"")</f>
        <v/>
      </c>
    </row>
    <row r="82">
      <c r="DG82" s="64">
        <f>($B82-$B83)*100</f>
        <v/>
      </c>
      <c r="DH82" s="64">
        <f>($D82-$D83)*100</f>
        <v/>
      </c>
      <c r="DI82" s="64">
        <f>($E82-$E83)*100</f>
        <v/>
      </c>
      <c r="DJ82" s="64">
        <f>($H82-$H83)*100</f>
        <v/>
      </c>
      <c r="DK82" s="65">
        <f>IFERROR($J82/$J83-1,"")</f>
        <v/>
      </c>
      <c r="DL82" s="64">
        <f>$L82-$L83</f>
        <v/>
      </c>
      <c r="DM82" s="64">
        <f>$K82-$K83</f>
        <v/>
      </c>
      <c r="DN82" s="65">
        <f>IFERROR($N82/$N83-1,"")</f>
        <v/>
      </c>
      <c r="DO82" s="65">
        <f>IFERROR($M82/$M83-1,"")</f>
        <v/>
      </c>
      <c r="DP82" s="65">
        <f>IFERROR($AZ82/$AZ83-1,"")</f>
        <v/>
      </c>
      <c r="DQ82" s="65">
        <f>IFERROR($BA82/$BA83-1,"")</f>
        <v/>
      </c>
      <c r="DR82" s="64">
        <f>$O82-$O83</f>
        <v/>
      </c>
      <c r="DS82" s="64">
        <f>$P82-$P83</f>
        <v/>
      </c>
      <c r="DT82" s="64">
        <f>$Q82-$Q83</f>
        <v/>
      </c>
      <c r="DU82" s="64">
        <f>$S82-$S83</f>
        <v/>
      </c>
      <c r="DV82" s="65">
        <f>IFERROR(AVERAGE($AA83/$AA82-1,$AB83/$AB82-1,$AC83/$AC82-1,$AD83/$AD82-1,$AE83/$AE82-1,$AG83/$AG82-1,$AH83/$AH82-1,$AI83/$AI82-1,$AJ83/$AJ82-1,$AL83/$AL82-1,$AM83/$AM82-1,$AR83/$AR82-1,$AS83/$AS82-1,$AT83/$AT82-1,$AU83/$AU82-1,$AV83/$AV82-1,$AW83/$AW82-1,$AX83/$AX82-1,$AY83/$AY82-1),"")</f>
        <v/>
      </c>
      <c r="DW82" s="66">
        <f>AVERAGE($CB82,$CC82,$CD82,$CE82,$CF82,$CG82,$CH82,$CI82,$CJ82,$CL82,$CM82,$CN82,$CO82,$CP82,$CQ82,$CR82,$CS82,$CT82)</f>
        <v/>
      </c>
      <c r="DX82" s="66">
        <f>AVERAGE($CB82,$CC82,$CM82,$CE82,$CP82)</f>
        <v/>
      </c>
      <c r="DY82" s="64">
        <f>($DW82-$DW83)*100</f>
        <v/>
      </c>
      <c r="DZ82" s="64">
        <f>($DX82-$DX83)*100</f>
        <v/>
      </c>
      <c r="EA82" s="64">
        <f>($DW82-$D82)*100</f>
        <v/>
      </c>
      <c r="EB82" s="64">
        <f>$Q82-$O82</f>
        <v/>
      </c>
      <c r="EC82" s="67">
        <f>IFERROR($Q82/$P82,"")</f>
        <v/>
      </c>
    </row>
    <row r="83">
      <c r="DG83" s="64">
        <f>($B83-$B84)*100</f>
        <v/>
      </c>
      <c r="DH83" s="64">
        <f>($D83-$D84)*100</f>
        <v/>
      </c>
      <c r="DI83" s="64">
        <f>($E83-$E84)*100</f>
        <v/>
      </c>
      <c r="DJ83" s="64">
        <f>($H83-$H84)*100</f>
        <v/>
      </c>
      <c r="DK83" s="65">
        <f>IFERROR($J83/$J84-1,"")</f>
        <v/>
      </c>
      <c r="DL83" s="64">
        <f>$L83-$L84</f>
        <v/>
      </c>
      <c r="DM83" s="64">
        <f>$K83-$K84</f>
        <v/>
      </c>
      <c r="DN83" s="65">
        <f>IFERROR($N83/$N84-1,"")</f>
        <v/>
      </c>
      <c r="DO83" s="65">
        <f>IFERROR($M83/$M84-1,"")</f>
        <v/>
      </c>
      <c r="DP83" s="65">
        <f>IFERROR($AZ83/$AZ84-1,"")</f>
        <v/>
      </c>
      <c r="DQ83" s="65">
        <f>IFERROR($BA83/$BA84-1,"")</f>
        <v/>
      </c>
      <c r="DR83" s="64">
        <f>$O83-$O84</f>
        <v/>
      </c>
      <c r="DS83" s="64">
        <f>$P83-$P84</f>
        <v/>
      </c>
      <c r="DT83" s="64">
        <f>$Q83-$Q84</f>
        <v/>
      </c>
      <c r="DU83" s="64">
        <f>$S83-$S84</f>
        <v/>
      </c>
      <c r="DV83" s="65">
        <f>IFERROR(AVERAGE($AA84/$AA83-1,$AB84/$AB83-1,$AC84/$AC83-1,$AD84/$AD83-1,$AE84/$AE83-1,$AG84/$AG83-1,$AH84/$AH83-1,$AI84/$AI83-1,$AJ84/$AJ83-1,$AL84/$AL83-1,$AM84/$AM83-1,$AR84/$AR83-1,$AS84/$AS83-1,$AT84/$AT83-1,$AU84/$AU83-1,$AV84/$AV83-1,$AW84/$AW83-1,$AX84/$AX83-1,$AY84/$AY83-1),"")</f>
        <v/>
      </c>
      <c r="DW83" s="66">
        <f>AVERAGE($CB83,$CC83,$CD83,$CE83,$CF83,$CG83,$CH83,$CI83,$CJ83,$CL83,$CM83,$CN83,$CO83,$CP83,$CQ83,$CR83,$CS83,$CT83)</f>
        <v/>
      </c>
      <c r="DX83" s="66">
        <f>AVERAGE($CB83,$CC83,$CM83,$CE83,$CP83)</f>
        <v/>
      </c>
      <c r="DY83" s="64">
        <f>($DW83-$DW84)*100</f>
        <v/>
      </c>
      <c r="DZ83" s="64">
        <f>($DX83-$DX84)*100</f>
        <v/>
      </c>
      <c r="EA83" s="64">
        <f>($DW83-$D83)*100</f>
        <v/>
      </c>
      <c r="EB83" s="64">
        <f>$Q83-$O83</f>
        <v/>
      </c>
      <c r="EC83" s="67">
        <f>IFERROR($Q83/$P83,"")</f>
        <v/>
      </c>
    </row>
    <row r="84">
      <c r="DG84" s="64">
        <f>($B84-$B85)*100</f>
        <v/>
      </c>
      <c r="DH84" s="64">
        <f>($D84-$D85)*100</f>
        <v/>
      </c>
      <c r="DI84" s="64">
        <f>($E84-$E85)*100</f>
        <v/>
      </c>
      <c r="DJ84" s="64">
        <f>($H84-$H85)*100</f>
        <v/>
      </c>
      <c r="DK84" s="65">
        <f>IFERROR($J84/$J85-1,"")</f>
        <v/>
      </c>
      <c r="DL84" s="64">
        <f>$L84-$L85</f>
        <v/>
      </c>
      <c r="DM84" s="64">
        <f>$K84-$K85</f>
        <v/>
      </c>
      <c r="DN84" s="65">
        <f>IFERROR($N84/$N85-1,"")</f>
        <v/>
      </c>
      <c r="DO84" s="65">
        <f>IFERROR($M84/$M85-1,"")</f>
        <v/>
      </c>
      <c r="DP84" s="65">
        <f>IFERROR($AZ84/$AZ85-1,"")</f>
        <v/>
      </c>
      <c r="DQ84" s="65">
        <f>IFERROR($BA84/$BA85-1,"")</f>
        <v/>
      </c>
      <c r="DR84" s="64">
        <f>$O84-$O85</f>
        <v/>
      </c>
      <c r="DS84" s="64">
        <f>$P84-$P85</f>
        <v/>
      </c>
      <c r="DT84" s="64">
        <f>$Q84-$Q85</f>
        <v/>
      </c>
      <c r="DU84" s="64">
        <f>$S84-$S85</f>
        <v/>
      </c>
      <c r="DV84" s="65">
        <f>IFERROR(AVERAGE($AA85/$AA84-1,$AB85/$AB84-1,$AC85/$AC84-1,$AD85/$AD84-1,$AE85/$AE84-1,$AG85/$AG84-1,$AH85/$AH84-1,$AI85/$AI84-1,$AJ85/$AJ84-1,$AL85/$AL84-1,$AM85/$AM84-1,$AR85/$AR84-1,$AS85/$AS84-1,$AT85/$AT84-1,$AU85/$AU84-1,$AV85/$AV84-1,$AW85/$AW84-1,$AX85/$AX84-1,$AY85/$AY84-1),"")</f>
        <v/>
      </c>
      <c r="DW84" s="66">
        <f>AVERAGE($CB84,$CC84,$CD84,$CE84,$CF84,$CG84,$CH84,$CI84,$CJ84,$CL84,$CM84,$CN84,$CO84,$CP84,$CQ84,$CR84,$CS84,$CT84)</f>
        <v/>
      </c>
      <c r="DX84" s="66">
        <f>AVERAGE($CB84,$CC84,$CM84,$CE84,$CP84)</f>
        <v/>
      </c>
      <c r="DY84" s="64">
        <f>($DW84-$DW85)*100</f>
        <v/>
      </c>
      <c r="DZ84" s="64">
        <f>($DX84-$DX85)*100</f>
        <v/>
      </c>
      <c r="EA84" s="64">
        <f>($DW84-$D84)*100</f>
        <v/>
      </c>
      <c r="EB84" s="64">
        <f>$Q84-$O84</f>
        <v/>
      </c>
      <c r="EC84" s="67">
        <f>IFERROR($Q84/$P84,"")</f>
        <v/>
      </c>
    </row>
    <row r="85">
      <c r="DG85" s="64">
        <f>($B85-$B86)*100</f>
        <v/>
      </c>
      <c r="DH85" s="64">
        <f>($D85-$D86)*100</f>
        <v/>
      </c>
      <c r="DI85" s="64">
        <f>($E85-$E86)*100</f>
        <v/>
      </c>
      <c r="DJ85" s="64">
        <f>($H85-$H86)*100</f>
        <v/>
      </c>
      <c r="DK85" s="65">
        <f>IFERROR($J85/$J86-1,"")</f>
        <v/>
      </c>
      <c r="DL85" s="64">
        <f>$L85-$L86</f>
        <v/>
      </c>
      <c r="DM85" s="64">
        <f>$K85-$K86</f>
        <v/>
      </c>
      <c r="DN85" s="65">
        <f>IFERROR($N85/$N86-1,"")</f>
        <v/>
      </c>
      <c r="DO85" s="65">
        <f>IFERROR($M85/$M86-1,"")</f>
        <v/>
      </c>
      <c r="DP85" s="65">
        <f>IFERROR($AZ85/$AZ86-1,"")</f>
        <v/>
      </c>
      <c r="DQ85" s="65">
        <f>IFERROR($BA85/$BA86-1,"")</f>
        <v/>
      </c>
      <c r="DR85" s="64">
        <f>$O85-$O86</f>
        <v/>
      </c>
      <c r="DS85" s="64">
        <f>$P85-$P86</f>
        <v/>
      </c>
      <c r="DT85" s="64">
        <f>$Q85-$Q86</f>
        <v/>
      </c>
      <c r="DU85" s="64">
        <f>$S85-$S86</f>
        <v/>
      </c>
      <c r="DV85" s="65">
        <f>IFERROR(AVERAGE($AA86/$AA85-1,$AB86/$AB85-1,$AC86/$AC85-1,$AD86/$AD85-1,$AE86/$AE85-1,$AG86/$AG85-1,$AH86/$AH85-1,$AI86/$AI85-1,$AJ86/$AJ85-1,$AL86/$AL85-1,$AM86/$AM85-1,$AR86/$AR85-1,$AS86/$AS85-1,$AT86/$AT85-1,$AU86/$AU85-1,$AV86/$AV85-1,$AW86/$AW85-1,$AX86/$AX85-1,$AY86/$AY85-1),"")</f>
        <v/>
      </c>
      <c r="DW85" s="66">
        <f>AVERAGE($CB85,$CC85,$CD85,$CE85,$CF85,$CG85,$CH85,$CI85,$CJ85,$CL85,$CM85,$CN85,$CO85,$CP85,$CQ85,$CR85,$CS85,$CT85)</f>
        <v/>
      </c>
      <c r="DX85" s="66">
        <f>AVERAGE($CB85,$CC85,$CM85,$CE85,$CP85)</f>
        <v/>
      </c>
      <c r="DY85" s="64">
        <f>($DW85-$DW86)*100</f>
        <v/>
      </c>
      <c r="DZ85" s="64">
        <f>($DX85-$DX86)*100</f>
        <v/>
      </c>
      <c r="EA85" s="64">
        <f>($DW85-$D85)*100</f>
        <v/>
      </c>
      <c r="EB85" s="64">
        <f>$Q85-$O85</f>
        <v/>
      </c>
      <c r="EC85" s="67">
        <f>IFERROR($Q85/$P85,"")</f>
        <v/>
      </c>
    </row>
    <row r="86">
      <c r="DG86" s="64">
        <f>($B86-$B87)*100</f>
        <v/>
      </c>
      <c r="DH86" s="64">
        <f>($D86-$D87)*100</f>
        <v/>
      </c>
      <c r="DI86" s="64">
        <f>($E86-$E87)*100</f>
        <v/>
      </c>
      <c r="DJ86" s="64">
        <f>($H86-$H87)*100</f>
        <v/>
      </c>
      <c r="DK86" s="65">
        <f>IFERROR($J86/$J87-1,"")</f>
        <v/>
      </c>
      <c r="DL86" s="64">
        <f>$L86-$L87</f>
        <v/>
      </c>
      <c r="DM86" s="64">
        <f>$K86-$K87</f>
        <v/>
      </c>
      <c r="DN86" s="65">
        <f>IFERROR($N86/$N87-1,"")</f>
        <v/>
      </c>
      <c r="DO86" s="65">
        <f>IFERROR($M86/$M87-1,"")</f>
        <v/>
      </c>
      <c r="DP86" s="65">
        <f>IFERROR($AZ86/$AZ87-1,"")</f>
        <v/>
      </c>
      <c r="DQ86" s="65">
        <f>IFERROR($BA86/$BA87-1,"")</f>
        <v/>
      </c>
      <c r="DR86" s="64">
        <f>$O86-$O87</f>
        <v/>
      </c>
      <c r="DS86" s="64">
        <f>$P86-$P87</f>
        <v/>
      </c>
      <c r="DT86" s="64">
        <f>$Q86-$Q87</f>
        <v/>
      </c>
      <c r="DU86" s="64">
        <f>$S86-$S87</f>
        <v/>
      </c>
      <c r="DV86" s="65">
        <f>IFERROR(AVERAGE($AA87/$AA86-1,$AB87/$AB86-1,$AC87/$AC86-1,$AD87/$AD86-1,$AE87/$AE86-1,$AG87/$AG86-1,$AH87/$AH86-1,$AI87/$AI86-1,$AJ87/$AJ86-1,$AL87/$AL86-1,$AM87/$AM86-1,$AR87/$AR86-1,$AS87/$AS86-1,$AT87/$AT86-1,$AU87/$AU86-1,$AV87/$AV86-1,$AW87/$AW86-1,$AX87/$AX86-1,$AY87/$AY86-1),"")</f>
        <v/>
      </c>
      <c r="DW86" s="66">
        <f>AVERAGE($CB86,$CC86,$CD86,$CE86,$CF86,$CG86,$CH86,$CI86,$CJ86,$CL86,$CM86,$CN86,$CO86,$CP86,$CQ86,$CR86,$CS86,$CT86)</f>
        <v/>
      </c>
      <c r="DX86" s="66">
        <f>AVERAGE($CB86,$CC86,$CM86,$CE86,$CP86)</f>
        <v/>
      </c>
      <c r="DY86" s="64">
        <f>($DW86-$DW87)*100</f>
        <v/>
      </c>
      <c r="DZ86" s="64">
        <f>($DX86-$DX87)*100</f>
        <v/>
      </c>
      <c r="EA86" s="64">
        <f>($DW86-$D86)*100</f>
        <v/>
      </c>
      <c r="EB86" s="64">
        <f>$Q86-$O86</f>
        <v/>
      </c>
      <c r="EC86" s="67">
        <f>IFERROR($Q86/$P86,"")</f>
        <v/>
      </c>
    </row>
    <row r="87">
      <c r="DG87" s="64">
        <f>($B87-$B88)*100</f>
        <v/>
      </c>
      <c r="DH87" s="64">
        <f>($D87-$D88)*100</f>
        <v/>
      </c>
      <c r="DI87" s="64">
        <f>($E87-$E88)*100</f>
        <v/>
      </c>
      <c r="DJ87" s="64">
        <f>($H87-$H88)*100</f>
        <v/>
      </c>
      <c r="DK87" s="65">
        <f>IFERROR($J87/$J88-1,"")</f>
        <v/>
      </c>
      <c r="DL87" s="64">
        <f>$L87-$L88</f>
        <v/>
      </c>
      <c r="DM87" s="64">
        <f>$K87-$K88</f>
        <v/>
      </c>
      <c r="DN87" s="65">
        <f>IFERROR($N87/$N88-1,"")</f>
        <v/>
      </c>
      <c r="DO87" s="65">
        <f>IFERROR($M87/$M88-1,"")</f>
        <v/>
      </c>
      <c r="DP87" s="65">
        <f>IFERROR($AZ87/$AZ88-1,"")</f>
        <v/>
      </c>
      <c r="DQ87" s="65">
        <f>IFERROR($BA87/$BA88-1,"")</f>
        <v/>
      </c>
      <c r="DR87" s="64">
        <f>$O87-$O88</f>
        <v/>
      </c>
      <c r="DS87" s="64">
        <f>$P87-$P88</f>
        <v/>
      </c>
      <c r="DT87" s="64">
        <f>$Q87-$Q88</f>
        <v/>
      </c>
      <c r="DU87" s="64">
        <f>$S87-$S88</f>
        <v/>
      </c>
      <c r="DV87" s="65">
        <f>IFERROR(AVERAGE($AA88/$AA87-1,$AB88/$AB87-1,$AC88/$AC87-1,$AD88/$AD87-1,$AE88/$AE87-1,$AG88/$AG87-1,$AH88/$AH87-1,$AI88/$AI87-1,$AJ88/$AJ87-1,$AL88/$AL87-1,$AM88/$AM87-1,$AR88/$AR87-1,$AS88/$AS87-1,$AT88/$AT87-1,$AU88/$AU87-1,$AV88/$AV87-1,$AW88/$AW87-1,$AX88/$AX87-1,$AY88/$AY87-1),"")</f>
        <v/>
      </c>
      <c r="DW87" s="66">
        <f>AVERAGE($CB87,$CC87,$CD87,$CE87,$CF87,$CG87,$CH87,$CI87,$CJ87,$CL87,$CM87,$CN87,$CO87,$CP87,$CQ87,$CR87,$CS87,$CT87)</f>
        <v/>
      </c>
      <c r="DX87" s="66">
        <f>AVERAGE($CB87,$CC87,$CM87,$CE87,$CP87)</f>
        <v/>
      </c>
      <c r="DY87" s="64">
        <f>($DW87-$DW88)*100</f>
        <v/>
      </c>
      <c r="DZ87" s="64">
        <f>($DX87-$DX88)*100</f>
        <v/>
      </c>
      <c r="EA87" s="64">
        <f>($DW87-$D87)*100</f>
        <v/>
      </c>
      <c r="EB87" s="64">
        <f>$Q87-$O87</f>
        <v/>
      </c>
      <c r="EC87" s="67">
        <f>IFERROR($Q87/$P87,"")</f>
        <v/>
      </c>
    </row>
    <row r="88">
      <c r="DG88" s="64">
        <f>($B88-$B89)*100</f>
        <v/>
      </c>
      <c r="DH88" s="64">
        <f>($D88-$D89)*100</f>
        <v/>
      </c>
      <c r="DI88" s="64">
        <f>($E88-$E89)*100</f>
        <v/>
      </c>
      <c r="DJ88" s="64">
        <f>($H88-$H89)*100</f>
        <v/>
      </c>
      <c r="DK88" s="65">
        <f>IFERROR($J88/$J89-1,"")</f>
        <v/>
      </c>
      <c r="DL88" s="64">
        <f>$L88-$L89</f>
        <v/>
      </c>
      <c r="DM88" s="64">
        <f>$K88-$K89</f>
        <v/>
      </c>
      <c r="DN88" s="65">
        <f>IFERROR($N88/$N89-1,"")</f>
        <v/>
      </c>
      <c r="DO88" s="65">
        <f>IFERROR($M88/$M89-1,"")</f>
        <v/>
      </c>
      <c r="DP88" s="65">
        <f>IFERROR($AZ88/$AZ89-1,"")</f>
        <v/>
      </c>
      <c r="DQ88" s="65">
        <f>IFERROR($BA88/$BA89-1,"")</f>
        <v/>
      </c>
      <c r="DR88" s="64">
        <f>$O88-$O89</f>
        <v/>
      </c>
      <c r="DS88" s="64">
        <f>$P88-$P89</f>
        <v/>
      </c>
      <c r="DT88" s="64">
        <f>$Q88-$Q89</f>
        <v/>
      </c>
      <c r="DU88" s="64">
        <f>$S88-$S89</f>
        <v/>
      </c>
      <c r="DV88" s="65">
        <f>IFERROR(AVERAGE($AA89/$AA88-1,$AB89/$AB88-1,$AC89/$AC88-1,$AD89/$AD88-1,$AE89/$AE88-1,$AG89/$AG88-1,$AH89/$AH88-1,$AI89/$AI88-1,$AJ89/$AJ88-1,$AL89/$AL88-1,$AM89/$AM88-1,$AR89/$AR88-1,$AS89/$AS88-1,$AT89/$AT88-1,$AU89/$AU88-1,$AV89/$AV88-1,$AW89/$AW88-1,$AX89/$AX88-1,$AY89/$AY88-1),"")</f>
        <v/>
      </c>
      <c r="DW88" s="66">
        <f>AVERAGE($CB88,$CC88,$CD88,$CE88,$CF88,$CG88,$CH88,$CI88,$CJ88,$CL88,$CM88,$CN88,$CO88,$CP88,$CQ88,$CR88,$CS88,$CT88)</f>
        <v/>
      </c>
      <c r="DX88" s="66">
        <f>AVERAGE($CB88,$CC88,$CM88,$CE88,$CP88)</f>
        <v/>
      </c>
      <c r="DY88" s="64">
        <f>($DW88-$DW89)*100</f>
        <v/>
      </c>
      <c r="DZ88" s="64">
        <f>($DX88-$DX89)*100</f>
        <v/>
      </c>
      <c r="EA88" s="64">
        <f>($DW88-$D88)*100</f>
        <v/>
      </c>
      <c r="EB88" s="64">
        <f>$Q88-$O88</f>
        <v/>
      </c>
      <c r="EC88" s="67">
        <f>IFERROR($Q88/$P88,"")</f>
        <v/>
      </c>
    </row>
    <row r="89">
      <c r="DG89" s="64">
        <f>($B89-$B90)*100</f>
        <v/>
      </c>
      <c r="DH89" s="64">
        <f>($D89-$D90)*100</f>
        <v/>
      </c>
      <c r="DI89" s="64">
        <f>($E89-$E90)*100</f>
        <v/>
      </c>
      <c r="DJ89" s="64">
        <f>($H89-$H90)*100</f>
        <v/>
      </c>
      <c r="DK89" s="65">
        <f>IFERROR($J89/$J90-1,"")</f>
        <v/>
      </c>
      <c r="DL89" s="64">
        <f>$L89-$L90</f>
        <v/>
      </c>
      <c r="DM89" s="64">
        <f>$K89-$K90</f>
        <v/>
      </c>
      <c r="DN89" s="65">
        <f>IFERROR($N89/$N90-1,"")</f>
        <v/>
      </c>
      <c r="DO89" s="65">
        <f>IFERROR($M89/$M90-1,"")</f>
        <v/>
      </c>
      <c r="DP89" s="65">
        <f>IFERROR($AZ89/$AZ90-1,"")</f>
        <v/>
      </c>
      <c r="DQ89" s="65">
        <f>IFERROR($BA89/$BA90-1,"")</f>
        <v/>
      </c>
      <c r="DR89" s="64">
        <f>$O89-$O90</f>
        <v/>
      </c>
      <c r="DS89" s="64">
        <f>$P89-$P90</f>
        <v/>
      </c>
      <c r="DT89" s="64">
        <f>$Q89-$Q90</f>
        <v/>
      </c>
      <c r="DU89" s="64">
        <f>$S89-$S90</f>
        <v/>
      </c>
      <c r="DV89" s="65">
        <f>IFERROR(AVERAGE($AA90/$AA89-1,$AB90/$AB89-1,$AC90/$AC89-1,$AD90/$AD89-1,$AE90/$AE89-1,$AG90/$AG89-1,$AH90/$AH89-1,$AI90/$AI89-1,$AJ90/$AJ89-1,$AL90/$AL89-1,$AM90/$AM89-1,$AR90/$AR89-1,$AS90/$AS89-1,$AT90/$AT89-1,$AU90/$AU89-1,$AV90/$AV89-1,$AW90/$AW89-1,$AX90/$AX89-1,$AY90/$AY89-1),"")</f>
        <v/>
      </c>
      <c r="DW89" s="66">
        <f>AVERAGE($CB89,$CC89,$CD89,$CE89,$CF89,$CG89,$CH89,$CI89,$CJ89,$CL89,$CM89,$CN89,$CO89,$CP89,$CQ89,$CR89,$CS89,$CT89)</f>
        <v/>
      </c>
      <c r="DX89" s="66">
        <f>AVERAGE($CB89,$CC89,$CM89,$CE89,$CP89)</f>
        <v/>
      </c>
      <c r="DY89" s="64">
        <f>($DW89-$DW90)*100</f>
        <v/>
      </c>
      <c r="DZ89" s="64">
        <f>($DX89-$DX90)*100</f>
        <v/>
      </c>
      <c r="EA89" s="64">
        <f>($DW89-$D89)*100</f>
        <v/>
      </c>
      <c r="EB89" s="64">
        <f>$Q89-$O89</f>
        <v/>
      </c>
      <c r="EC89" s="67">
        <f>IFERROR($Q89/$P89,"")</f>
        <v/>
      </c>
    </row>
    <row r="90">
      <c r="DG90" s="64">
        <f>($B90-$B91)*100</f>
        <v/>
      </c>
      <c r="DH90" s="64">
        <f>($D90-$D91)*100</f>
        <v/>
      </c>
      <c r="DI90" s="64">
        <f>($E90-$E91)*100</f>
        <v/>
      </c>
      <c r="DJ90" s="64">
        <f>($H90-$H91)*100</f>
        <v/>
      </c>
      <c r="DK90" s="65">
        <f>IFERROR($J90/$J91-1,"")</f>
        <v/>
      </c>
      <c r="DL90" s="64">
        <f>$L90-$L91</f>
        <v/>
      </c>
      <c r="DM90" s="64">
        <f>$K90-$K91</f>
        <v/>
      </c>
      <c r="DN90" s="65">
        <f>IFERROR($N90/$N91-1,"")</f>
        <v/>
      </c>
      <c r="DO90" s="65">
        <f>IFERROR($M90/$M91-1,"")</f>
        <v/>
      </c>
      <c r="DP90" s="65">
        <f>IFERROR($AZ90/$AZ91-1,"")</f>
        <v/>
      </c>
      <c r="DQ90" s="65">
        <f>IFERROR($BA90/$BA91-1,"")</f>
        <v/>
      </c>
      <c r="DR90" s="64">
        <f>$O90-$O91</f>
        <v/>
      </c>
      <c r="DS90" s="64">
        <f>$P90-$P91</f>
        <v/>
      </c>
      <c r="DT90" s="64">
        <f>$Q90-$Q91</f>
        <v/>
      </c>
      <c r="DU90" s="64">
        <f>$S90-$S91</f>
        <v/>
      </c>
      <c r="DV90" s="65">
        <f>IFERROR(AVERAGE($AA91/$AA90-1,$AB91/$AB90-1,$AC91/$AC90-1,$AD91/$AD90-1,$AE91/$AE90-1,$AG91/$AG90-1,$AH91/$AH90-1,$AI91/$AI90-1,$AJ91/$AJ90-1,$AL91/$AL90-1,$AM91/$AM90-1,$AR91/$AR90-1,$AS91/$AS90-1,$AT91/$AT90-1,$AU91/$AU90-1,$AV91/$AV90-1,$AW91/$AW90-1,$AX91/$AX90-1,$AY91/$AY90-1),"")</f>
        <v/>
      </c>
      <c r="DW90" s="66">
        <f>AVERAGE($CB90,$CC90,$CD90,$CE90,$CF90,$CG90,$CH90,$CI90,$CJ90,$CL90,$CM90,$CN90,$CO90,$CP90,$CQ90,$CR90,$CS90,$CT90)</f>
        <v/>
      </c>
      <c r="DX90" s="66">
        <f>AVERAGE($CB90,$CC90,$CM90,$CE90,$CP90)</f>
        <v/>
      </c>
      <c r="DY90" s="64">
        <f>($DW90-$DW91)*100</f>
        <v/>
      </c>
      <c r="DZ90" s="64">
        <f>($DX90-$DX91)*100</f>
        <v/>
      </c>
      <c r="EA90" s="64">
        <f>($DW90-$D90)*100</f>
        <v/>
      </c>
      <c r="EB90" s="64">
        <f>$Q90-$O90</f>
        <v/>
      </c>
      <c r="EC90" s="67">
        <f>IFERROR($Q90/$P90,"")</f>
        <v/>
      </c>
    </row>
    <row r="91">
      <c r="DG91" s="64">
        <f>($B91-$B92)*100</f>
        <v/>
      </c>
      <c r="DH91" s="64">
        <f>($D91-$D92)*100</f>
        <v/>
      </c>
      <c r="DI91" s="64">
        <f>($E91-$E92)*100</f>
        <v/>
      </c>
      <c r="DJ91" s="64">
        <f>($H91-$H92)*100</f>
        <v/>
      </c>
      <c r="DK91" s="65">
        <f>IFERROR($J91/$J92-1,"")</f>
        <v/>
      </c>
      <c r="DL91" s="64">
        <f>$L91-$L92</f>
        <v/>
      </c>
      <c r="DM91" s="64">
        <f>$K91-$K92</f>
        <v/>
      </c>
      <c r="DN91" s="65">
        <f>IFERROR($N91/$N92-1,"")</f>
        <v/>
      </c>
      <c r="DO91" s="65">
        <f>IFERROR($M91/$M92-1,"")</f>
        <v/>
      </c>
      <c r="DP91" s="65">
        <f>IFERROR($AZ91/$AZ92-1,"")</f>
        <v/>
      </c>
      <c r="DQ91" s="65">
        <f>IFERROR($BA91/$BA92-1,"")</f>
        <v/>
      </c>
      <c r="DR91" s="64">
        <f>$O91-$O92</f>
        <v/>
      </c>
      <c r="DS91" s="64">
        <f>$P91-$P92</f>
        <v/>
      </c>
      <c r="DT91" s="64">
        <f>$Q91-$Q92</f>
        <v/>
      </c>
      <c r="DU91" s="64">
        <f>$S91-$S92</f>
        <v/>
      </c>
      <c r="DV91" s="65">
        <f>IFERROR(AVERAGE($AA92/$AA91-1,$AB92/$AB91-1,$AC92/$AC91-1,$AD92/$AD91-1,$AE92/$AE91-1,$AG92/$AG91-1,$AH92/$AH91-1,$AI92/$AI91-1,$AJ92/$AJ91-1,$AL92/$AL91-1,$AM92/$AM91-1,$AR92/$AR91-1,$AS92/$AS91-1,$AT92/$AT91-1,$AU92/$AU91-1,$AV92/$AV91-1,$AW92/$AW91-1,$AX92/$AX91-1,$AY92/$AY91-1),"")</f>
        <v/>
      </c>
      <c r="DW91" s="66">
        <f>AVERAGE($CB91,$CC91,$CD91,$CE91,$CF91,$CG91,$CH91,$CI91,$CJ91,$CL91,$CM91,$CN91,$CO91,$CP91,$CQ91,$CR91,$CS91,$CT91)</f>
        <v/>
      </c>
      <c r="DX91" s="66">
        <f>AVERAGE($CB91,$CC91,$CM91,$CE91,$CP91)</f>
        <v/>
      </c>
      <c r="DY91" s="64">
        <f>($DW91-$DW92)*100</f>
        <v/>
      </c>
      <c r="DZ91" s="64">
        <f>($DX91-$DX92)*100</f>
        <v/>
      </c>
      <c r="EA91" s="64">
        <f>($DW91-$D91)*100</f>
        <v/>
      </c>
      <c r="EB91" s="64">
        <f>$Q91-$O91</f>
        <v/>
      </c>
      <c r="EC91" s="67">
        <f>IFERROR($Q91/$P91,"")</f>
        <v/>
      </c>
    </row>
    <row r="92">
      <c r="DG92" s="64">
        <f>($B92-$B93)*100</f>
        <v/>
      </c>
      <c r="DH92" s="64">
        <f>($D92-$D93)*100</f>
        <v/>
      </c>
      <c r="DI92" s="64">
        <f>($E92-$E93)*100</f>
        <v/>
      </c>
      <c r="DJ92" s="64">
        <f>($H92-$H93)*100</f>
        <v/>
      </c>
      <c r="DK92" s="65">
        <f>IFERROR($J92/$J93-1,"")</f>
        <v/>
      </c>
      <c r="DL92" s="64">
        <f>$L92-$L93</f>
        <v/>
      </c>
      <c r="DM92" s="64">
        <f>$K92-$K93</f>
        <v/>
      </c>
      <c r="DN92" s="65">
        <f>IFERROR($N92/$N93-1,"")</f>
        <v/>
      </c>
      <c r="DO92" s="65">
        <f>IFERROR($M92/$M93-1,"")</f>
        <v/>
      </c>
      <c r="DP92" s="65">
        <f>IFERROR($AZ92/$AZ93-1,"")</f>
        <v/>
      </c>
      <c r="DQ92" s="65">
        <f>IFERROR($BA92/$BA93-1,"")</f>
        <v/>
      </c>
      <c r="DR92" s="64">
        <f>$O92-$O93</f>
        <v/>
      </c>
      <c r="DS92" s="64">
        <f>$P92-$P93</f>
        <v/>
      </c>
      <c r="DT92" s="64">
        <f>$Q92-$Q93</f>
        <v/>
      </c>
      <c r="DU92" s="64">
        <f>$S92-$S93</f>
        <v/>
      </c>
      <c r="DV92" s="65">
        <f>IFERROR(AVERAGE($AA93/$AA92-1,$AB93/$AB92-1,$AC93/$AC92-1,$AD93/$AD92-1,$AE93/$AE92-1,$AG93/$AG92-1,$AH93/$AH92-1,$AI93/$AI92-1,$AJ93/$AJ92-1,$AL93/$AL92-1,$AM93/$AM92-1,$AR93/$AR92-1,$AS93/$AS92-1,$AT93/$AT92-1,$AU93/$AU92-1,$AV93/$AV92-1,$AW93/$AW92-1,$AX93/$AX92-1,$AY93/$AY92-1),"")</f>
        <v/>
      </c>
      <c r="DW92" s="66">
        <f>AVERAGE($CB92,$CC92,$CD92,$CE92,$CF92,$CG92,$CH92,$CI92,$CJ92,$CL92,$CM92,$CN92,$CO92,$CP92,$CQ92,$CR92,$CS92,$CT92)</f>
        <v/>
      </c>
      <c r="DX92" s="66">
        <f>AVERAGE($CB92,$CC92,$CM92,$CE92,$CP92)</f>
        <v/>
      </c>
      <c r="DY92" s="64">
        <f>($DW92-$DW93)*100</f>
        <v/>
      </c>
      <c r="DZ92" s="64">
        <f>($DX92-$DX93)*100</f>
        <v/>
      </c>
      <c r="EA92" s="64">
        <f>($DW92-$D92)*100</f>
        <v/>
      </c>
      <c r="EB92" s="64">
        <f>$Q92-$O92</f>
        <v/>
      </c>
      <c r="EC92" s="67">
        <f>IFERROR($Q92/$P92,"")</f>
        <v/>
      </c>
    </row>
    <row r="93">
      <c r="DG93" s="64">
        <f>($B93-$B94)*100</f>
        <v/>
      </c>
      <c r="DH93" s="64">
        <f>($D93-$D94)*100</f>
        <v/>
      </c>
      <c r="DI93" s="64">
        <f>($E93-$E94)*100</f>
        <v/>
      </c>
      <c r="DJ93" s="64">
        <f>($H93-$H94)*100</f>
        <v/>
      </c>
      <c r="DK93" s="65">
        <f>IFERROR($J93/$J94-1,"")</f>
        <v/>
      </c>
      <c r="DL93" s="64">
        <f>$L93-$L94</f>
        <v/>
      </c>
      <c r="DM93" s="64">
        <f>$K93-$K94</f>
        <v/>
      </c>
      <c r="DN93" s="65">
        <f>IFERROR($N93/$N94-1,"")</f>
        <v/>
      </c>
      <c r="DO93" s="65">
        <f>IFERROR($M93/$M94-1,"")</f>
        <v/>
      </c>
      <c r="DP93" s="65">
        <f>IFERROR($AZ93/$AZ94-1,"")</f>
        <v/>
      </c>
      <c r="DQ93" s="65">
        <f>IFERROR($BA93/$BA94-1,"")</f>
        <v/>
      </c>
      <c r="DR93" s="64">
        <f>$O93-$O94</f>
        <v/>
      </c>
      <c r="DS93" s="64">
        <f>$P93-$P94</f>
        <v/>
      </c>
      <c r="DT93" s="64">
        <f>$Q93-$Q94</f>
        <v/>
      </c>
      <c r="DU93" s="64">
        <f>$S93-$S94</f>
        <v/>
      </c>
      <c r="DV93" s="65">
        <f>IFERROR(AVERAGE($AA94/$AA93-1,$AB94/$AB93-1,$AC94/$AC93-1,$AD94/$AD93-1,$AE94/$AE93-1,$AG94/$AG93-1,$AH94/$AH93-1,$AI94/$AI93-1,$AJ94/$AJ93-1,$AL94/$AL93-1,$AM94/$AM93-1,$AR94/$AR93-1,$AS94/$AS93-1,$AT94/$AT93-1,$AU94/$AU93-1,$AV94/$AV93-1,$AW94/$AW93-1,$AX94/$AX93-1,$AY94/$AY93-1),"")</f>
        <v/>
      </c>
      <c r="DW93" s="66">
        <f>AVERAGE($CB93,$CC93,$CD93,$CE93,$CF93,$CG93,$CH93,$CI93,$CJ93,$CL93,$CM93,$CN93,$CO93,$CP93,$CQ93,$CR93,$CS93,$CT93)</f>
        <v/>
      </c>
      <c r="DX93" s="66">
        <f>AVERAGE($CB93,$CC93,$CM93,$CE93,$CP93)</f>
        <v/>
      </c>
      <c r="DY93" s="64">
        <f>($DW93-$DW94)*100</f>
        <v/>
      </c>
      <c r="DZ93" s="64">
        <f>($DX93-$DX94)*100</f>
        <v/>
      </c>
      <c r="EA93" s="64">
        <f>($DW93-$D93)*100</f>
        <v/>
      </c>
      <c r="EB93" s="64">
        <f>$Q93-$O93</f>
        <v/>
      </c>
      <c r="EC93" s="67">
        <f>IFERROR($Q93/$P93,"")</f>
        <v/>
      </c>
    </row>
    <row r="94">
      <c r="DG94" s="64">
        <f>($B94-$B95)*100</f>
        <v/>
      </c>
      <c r="DH94" s="64">
        <f>($D94-$D95)*100</f>
        <v/>
      </c>
      <c r="DI94" s="64">
        <f>($E94-$E95)*100</f>
        <v/>
      </c>
      <c r="DJ94" s="64">
        <f>($H94-$H95)*100</f>
        <v/>
      </c>
      <c r="DK94" s="65">
        <f>IFERROR($J94/$J95-1,"")</f>
        <v/>
      </c>
      <c r="DL94" s="64">
        <f>$L94-$L95</f>
        <v/>
      </c>
      <c r="DM94" s="64">
        <f>$K94-$K95</f>
        <v/>
      </c>
      <c r="DN94" s="65">
        <f>IFERROR($N94/$N95-1,"")</f>
        <v/>
      </c>
      <c r="DO94" s="65">
        <f>IFERROR($M94/$M95-1,"")</f>
        <v/>
      </c>
      <c r="DP94" s="65">
        <f>IFERROR($AZ94/$AZ95-1,"")</f>
        <v/>
      </c>
      <c r="DQ94" s="65">
        <f>IFERROR($BA94/$BA95-1,"")</f>
        <v/>
      </c>
      <c r="DR94" s="64">
        <f>$O94-$O95</f>
        <v/>
      </c>
      <c r="DS94" s="64">
        <f>$P94-$P95</f>
        <v/>
      </c>
      <c r="DT94" s="64">
        <f>$Q94-$Q95</f>
        <v/>
      </c>
      <c r="DU94" s="64">
        <f>$S94-$S95</f>
        <v/>
      </c>
      <c r="DV94" s="65">
        <f>IFERROR(AVERAGE($AA95/$AA94-1,$AB95/$AB94-1,$AC95/$AC94-1,$AD95/$AD94-1,$AE95/$AE94-1,$AG95/$AG94-1,$AH95/$AH94-1,$AI95/$AI94-1,$AJ95/$AJ94-1,$AL95/$AL94-1,$AM95/$AM94-1,$AR95/$AR94-1,$AS95/$AS94-1,$AT95/$AT94-1,$AU95/$AU94-1,$AV95/$AV94-1,$AW95/$AW94-1,$AX95/$AX94-1,$AY95/$AY94-1),"")</f>
        <v/>
      </c>
      <c r="DW94" s="66">
        <f>AVERAGE($CB94,$CC94,$CD94,$CE94,$CF94,$CG94,$CH94,$CI94,$CJ94,$CL94,$CM94,$CN94,$CO94,$CP94,$CQ94,$CR94,$CS94,$CT94)</f>
        <v/>
      </c>
      <c r="DX94" s="66">
        <f>AVERAGE($CB94,$CC94,$CM94,$CE94,$CP94)</f>
        <v/>
      </c>
      <c r="DY94" s="64">
        <f>($DW94-$DW95)*100</f>
        <v/>
      </c>
      <c r="DZ94" s="64">
        <f>($DX94-$DX95)*100</f>
        <v/>
      </c>
      <c r="EA94" s="64">
        <f>($DW94-$D94)*100</f>
        <v/>
      </c>
      <c r="EB94" s="64">
        <f>$Q94-$O94</f>
        <v/>
      </c>
      <c r="EC94" s="67">
        <f>IFERROR($Q94/$P94,"")</f>
        <v/>
      </c>
    </row>
    <row r="95">
      <c r="DG95" s="64">
        <f>($B95-$B96)*100</f>
        <v/>
      </c>
      <c r="DH95" s="64">
        <f>($D95-$D96)*100</f>
        <v/>
      </c>
      <c r="DI95" s="64">
        <f>($E95-$E96)*100</f>
        <v/>
      </c>
      <c r="DJ95" s="64">
        <f>($H95-$H96)*100</f>
        <v/>
      </c>
      <c r="DK95" s="65">
        <f>IFERROR($J95/$J96-1,"")</f>
        <v/>
      </c>
      <c r="DL95" s="64">
        <f>$L95-$L96</f>
        <v/>
      </c>
      <c r="DM95" s="64">
        <f>$K95-$K96</f>
        <v/>
      </c>
      <c r="DN95" s="65">
        <f>IFERROR($N95/$N96-1,"")</f>
        <v/>
      </c>
      <c r="DO95" s="65">
        <f>IFERROR($M95/$M96-1,"")</f>
        <v/>
      </c>
      <c r="DP95" s="65">
        <f>IFERROR($AZ95/$AZ96-1,"")</f>
        <v/>
      </c>
      <c r="DQ95" s="65">
        <f>IFERROR($BA95/$BA96-1,"")</f>
        <v/>
      </c>
      <c r="DR95" s="64">
        <f>$O95-$O96</f>
        <v/>
      </c>
      <c r="DS95" s="64">
        <f>$P95-$P96</f>
        <v/>
      </c>
      <c r="DT95" s="64">
        <f>$Q95-$Q96</f>
        <v/>
      </c>
      <c r="DU95" s="64">
        <f>$S95-$S96</f>
        <v/>
      </c>
      <c r="DV95" s="65">
        <f>IFERROR(AVERAGE($AA96/$AA95-1,$AB96/$AB95-1,$AC96/$AC95-1,$AD96/$AD95-1,$AE96/$AE95-1,$AG96/$AG95-1,$AH96/$AH95-1,$AI96/$AI95-1,$AJ96/$AJ95-1,$AL96/$AL95-1,$AM96/$AM95-1,$AR96/$AR95-1,$AS96/$AS95-1,$AT96/$AT95-1,$AU96/$AU95-1,$AV96/$AV95-1,$AW96/$AW95-1,$AX96/$AX95-1,$AY96/$AY95-1),"")</f>
        <v/>
      </c>
      <c r="DW95" s="66">
        <f>AVERAGE($CB95,$CC95,$CD95,$CE95,$CF95,$CG95,$CH95,$CI95,$CJ95,$CL95,$CM95,$CN95,$CO95,$CP95,$CQ95,$CR95,$CS95,$CT95)</f>
        <v/>
      </c>
      <c r="DX95" s="66">
        <f>AVERAGE($CB95,$CC95,$CM95,$CE95,$CP95)</f>
        <v/>
      </c>
      <c r="DY95" s="64">
        <f>($DW95-$DW96)*100</f>
        <v/>
      </c>
      <c r="DZ95" s="64">
        <f>($DX95-$DX96)*100</f>
        <v/>
      </c>
      <c r="EA95" s="64">
        <f>($DW95-$D95)*100</f>
        <v/>
      </c>
      <c r="EB95" s="64">
        <f>$Q95-$O95</f>
        <v/>
      </c>
      <c r="EC95" s="67">
        <f>IFERROR($Q95/$P95,"")</f>
        <v/>
      </c>
    </row>
    <row r="96">
      <c r="DG96" s="64">
        <f>($B96-$B97)*100</f>
        <v/>
      </c>
      <c r="DH96" s="64">
        <f>($D96-$D97)*100</f>
        <v/>
      </c>
      <c r="DI96" s="64">
        <f>($E96-$E97)*100</f>
        <v/>
      </c>
      <c r="DJ96" s="64">
        <f>($H96-$H97)*100</f>
        <v/>
      </c>
      <c r="DK96" s="65">
        <f>IFERROR($J96/$J97-1,"")</f>
        <v/>
      </c>
      <c r="DL96" s="64">
        <f>$L96-$L97</f>
        <v/>
      </c>
      <c r="DM96" s="64">
        <f>$K96-$K97</f>
        <v/>
      </c>
      <c r="DN96" s="65">
        <f>IFERROR($N96/$N97-1,"")</f>
        <v/>
      </c>
      <c r="DO96" s="65">
        <f>IFERROR($M96/$M97-1,"")</f>
        <v/>
      </c>
      <c r="DP96" s="65">
        <f>IFERROR($AZ96/$AZ97-1,"")</f>
        <v/>
      </c>
      <c r="DQ96" s="65">
        <f>IFERROR($BA96/$BA97-1,"")</f>
        <v/>
      </c>
      <c r="DR96" s="64">
        <f>$O96-$O97</f>
        <v/>
      </c>
      <c r="DS96" s="64">
        <f>$P96-$P97</f>
        <v/>
      </c>
      <c r="DT96" s="64">
        <f>$Q96-$Q97</f>
        <v/>
      </c>
      <c r="DU96" s="64">
        <f>$S96-$S97</f>
        <v/>
      </c>
      <c r="DV96" s="65">
        <f>IFERROR(AVERAGE($AA97/$AA96-1,$AB97/$AB96-1,$AC97/$AC96-1,$AD97/$AD96-1,$AE97/$AE96-1,$AG97/$AG96-1,$AH97/$AH96-1,$AI97/$AI96-1,$AJ97/$AJ96-1,$AL97/$AL96-1,$AM97/$AM96-1,$AR97/$AR96-1,$AS97/$AS96-1,$AT97/$AT96-1,$AU97/$AU96-1,$AV97/$AV96-1,$AW97/$AW96-1,$AX97/$AX96-1,$AY97/$AY96-1),"")</f>
        <v/>
      </c>
      <c r="DW96" s="66">
        <f>AVERAGE($CB96,$CC96,$CD96,$CE96,$CF96,$CG96,$CH96,$CI96,$CJ96,$CL96,$CM96,$CN96,$CO96,$CP96,$CQ96,$CR96,$CS96,$CT96)</f>
        <v/>
      </c>
      <c r="DX96" s="66">
        <f>AVERAGE($CB96,$CC96,$CM96,$CE96,$CP96)</f>
        <v/>
      </c>
      <c r="DY96" s="64">
        <f>($DW96-$DW97)*100</f>
        <v/>
      </c>
      <c r="DZ96" s="64">
        <f>($DX96-$DX97)*100</f>
        <v/>
      </c>
      <c r="EA96" s="64">
        <f>($DW96-$D96)*100</f>
        <v/>
      </c>
      <c r="EB96" s="64">
        <f>$Q96-$O96</f>
        <v/>
      </c>
      <c r="EC96" s="67">
        <f>IFERROR($Q96/$P96,"")</f>
        <v/>
      </c>
    </row>
    <row r="97">
      <c r="DG97" s="64">
        <f>($B97-$B98)*100</f>
        <v/>
      </c>
      <c r="DH97" s="64">
        <f>($D97-$D98)*100</f>
        <v/>
      </c>
      <c r="DI97" s="64">
        <f>($E97-$E98)*100</f>
        <v/>
      </c>
      <c r="DJ97" s="64">
        <f>($H97-$H98)*100</f>
        <v/>
      </c>
      <c r="DK97" s="65">
        <f>IFERROR($J97/$J98-1,"")</f>
        <v/>
      </c>
      <c r="DL97" s="64">
        <f>$L97-$L98</f>
        <v/>
      </c>
      <c r="DM97" s="64">
        <f>$K97-$K98</f>
        <v/>
      </c>
      <c r="DN97" s="65">
        <f>IFERROR($N97/$N98-1,"")</f>
        <v/>
      </c>
      <c r="DO97" s="65">
        <f>IFERROR($M97/$M98-1,"")</f>
        <v/>
      </c>
      <c r="DP97" s="65">
        <f>IFERROR($AZ97/$AZ98-1,"")</f>
        <v/>
      </c>
      <c r="DQ97" s="65">
        <f>IFERROR($BA97/$BA98-1,"")</f>
        <v/>
      </c>
      <c r="DR97" s="64">
        <f>$O97-$O98</f>
        <v/>
      </c>
      <c r="DS97" s="64">
        <f>$P97-$P98</f>
        <v/>
      </c>
      <c r="DT97" s="64">
        <f>$Q97-$Q98</f>
        <v/>
      </c>
      <c r="DU97" s="64">
        <f>$S97-$S98</f>
        <v/>
      </c>
      <c r="DV97" s="65">
        <f>IFERROR(AVERAGE($AA98/$AA97-1,$AB98/$AB97-1,$AC98/$AC97-1,$AD98/$AD97-1,$AE98/$AE97-1,$AG98/$AG97-1,$AH98/$AH97-1,$AI98/$AI97-1,$AJ98/$AJ97-1,$AL98/$AL97-1,$AM98/$AM97-1,$AR98/$AR97-1,$AS98/$AS97-1,$AT98/$AT97-1,$AU98/$AU97-1,$AV98/$AV97-1,$AW98/$AW97-1,$AX98/$AX97-1,$AY98/$AY97-1),"")</f>
        <v/>
      </c>
      <c r="DW97" s="66">
        <f>AVERAGE($CB97,$CC97,$CD97,$CE97,$CF97,$CG97,$CH97,$CI97,$CJ97,$CL97,$CM97,$CN97,$CO97,$CP97,$CQ97,$CR97,$CS97,$CT97)</f>
        <v/>
      </c>
      <c r="DX97" s="66">
        <f>AVERAGE($CB97,$CC97,$CM97,$CE97,$CP97)</f>
        <v/>
      </c>
      <c r="DY97" s="64">
        <f>($DW97-$DW98)*100</f>
        <v/>
      </c>
      <c r="DZ97" s="64">
        <f>($DX97-$DX98)*100</f>
        <v/>
      </c>
      <c r="EA97" s="64">
        <f>($DW97-$D97)*100</f>
        <v/>
      </c>
      <c r="EB97" s="64">
        <f>$Q97-$O97</f>
        <v/>
      </c>
      <c r="EC97" s="67">
        <f>IFERROR($Q97/$P97,"")</f>
        <v/>
      </c>
    </row>
    <row r="98">
      <c r="DG98" s="64">
        <f>($B98-$B99)*100</f>
        <v/>
      </c>
      <c r="DH98" s="64">
        <f>($D98-$D99)*100</f>
        <v/>
      </c>
      <c r="DI98" s="64">
        <f>($E98-$E99)*100</f>
        <v/>
      </c>
      <c r="DJ98" s="64">
        <f>($H98-$H99)*100</f>
        <v/>
      </c>
      <c r="DK98" s="65">
        <f>IFERROR($J98/$J99-1,"")</f>
        <v/>
      </c>
      <c r="DL98" s="64">
        <f>$L98-$L99</f>
        <v/>
      </c>
      <c r="DM98" s="64">
        <f>$K98-$K99</f>
        <v/>
      </c>
      <c r="DN98" s="65">
        <f>IFERROR($N98/$N99-1,"")</f>
        <v/>
      </c>
      <c r="DO98" s="65">
        <f>IFERROR($M98/$M99-1,"")</f>
        <v/>
      </c>
      <c r="DP98" s="65">
        <f>IFERROR($AZ98/$AZ99-1,"")</f>
        <v/>
      </c>
      <c r="DQ98" s="65">
        <f>IFERROR($BA98/$BA99-1,"")</f>
        <v/>
      </c>
      <c r="DR98" s="64">
        <f>$O98-$O99</f>
        <v/>
      </c>
      <c r="DS98" s="64">
        <f>$P98-$P99</f>
        <v/>
      </c>
      <c r="DT98" s="64">
        <f>$Q98-$Q99</f>
        <v/>
      </c>
      <c r="DU98" s="64">
        <f>$S98-$S99</f>
        <v/>
      </c>
      <c r="DV98" s="65">
        <f>IFERROR(AVERAGE($AA99/$AA98-1,$AB99/$AB98-1,$AC99/$AC98-1,$AD99/$AD98-1,$AE99/$AE98-1,$AG99/$AG98-1,$AH99/$AH98-1,$AI99/$AI98-1,$AJ99/$AJ98-1,$AL99/$AL98-1,$AM99/$AM98-1,$AR99/$AR98-1,$AS99/$AS98-1,$AT99/$AT98-1,$AU99/$AU98-1,$AV99/$AV98-1,$AW99/$AW98-1,$AX99/$AX98-1,$AY99/$AY98-1),"")</f>
        <v/>
      </c>
      <c r="DW98" s="66">
        <f>AVERAGE($CB98,$CC98,$CD98,$CE98,$CF98,$CG98,$CH98,$CI98,$CJ98,$CL98,$CM98,$CN98,$CO98,$CP98,$CQ98,$CR98,$CS98,$CT98)</f>
        <v/>
      </c>
      <c r="DX98" s="66">
        <f>AVERAGE($CB98,$CC98,$CM98,$CE98,$CP98)</f>
        <v/>
      </c>
      <c r="DY98" s="64">
        <f>($DW98-$DW99)*100</f>
        <v/>
      </c>
      <c r="DZ98" s="64">
        <f>($DX98-$DX99)*100</f>
        <v/>
      </c>
      <c r="EA98" s="64">
        <f>($DW98-$D98)*100</f>
        <v/>
      </c>
      <c r="EB98" s="64">
        <f>$Q98-$O98</f>
        <v/>
      </c>
      <c r="EC98" s="67">
        <f>IFERROR($Q98/$P98,"")</f>
        <v/>
      </c>
    </row>
    <row r="99">
      <c r="DG99" s="64">
        <f>($B99-$B100)*100</f>
        <v/>
      </c>
      <c r="DH99" s="64">
        <f>($D99-$D100)*100</f>
        <v/>
      </c>
      <c r="DI99" s="64">
        <f>($E99-$E100)*100</f>
        <v/>
      </c>
      <c r="DJ99" s="64">
        <f>($H99-$H100)*100</f>
        <v/>
      </c>
      <c r="DK99" s="65">
        <f>IFERROR($J99/$J100-1,"")</f>
        <v/>
      </c>
      <c r="DL99" s="64">
        <f>$L99-$L100</f>
        <v/>
      </c>
      <c r="DM99" s="64">
        <f>$K99-$K100</f>
        <v/>
      </c>
      <c r="DN99" s="65">
        <f>IFERROR($N99/$N100-1,"")</f>
        <v/>
      </c>
      <c r="DO99" s="65">
        <f>IFERROR($M99/$M100-1,"")</f>
        <v/>
      </c>
      <c r="DP99" s="65">
        <f>IFERROR($AZ99/$AZ100-1,"")</f>
        <v/>
      </c>
      <c r="DQ99" s="65">
        <f>IFERROR($BA99/$BA100-1,"")</f>
        <v/>
      </c>
      <c r="DR99" s="64">
        <f>$O99-$O100</f>
        <v/>
      </c>
      <c r="DS99" s="64">
        <f>$P99-$P100</f>
        <v/>
      </c>
      <c r="DT99" s="64">
        <f>$Q99-$Q100</f>
        <v/>
      </c>
      <c r="DU99" s="64">
        <f>$S99-$S100</f>
        <v/>
      </c>
      <c r="DV99" s="65">
        <f>IFERROR(AVERAGE($AA100/$AA99-1,$AB100/$AB99-1,$AC100/$AC99-1,$AD100/$AD99-1,$AE100/$AE99-1,$AG100/$AG99-1,$AH100/$AH99-1,$AI100/$AI99-1,$AJ100/$AJ99-1,$AL100/$AL99-1,$AM100/$AM99-1,$AR100/$AR99-1,$AS100/$AS99-1,$AT100/$AT99-1,$AU100/$AU99-1,$AV100/$AV99-1,$AW100/$AW99-1,$AX100/$AX99-1,$AY100/$AY99-1),"")</f>
        <v/>
      </c>
      <c r="DW99" s="66">
        <f>AVERAGE($CB99,$CC99,$CD99,$CE99,$CF99,$CG99,$CH99,$CI99,$CJ99,$CL99,$CM99,$CN99,$CO99,$CP99,$CQ99,$CR99,$CS99,$CT99)</f>
        <v/>
      </c>
      <c r="DX99" s="66">
        <f>AVERAGE($CB99,$CC99,$CM99,$CE99,$CP99)</f>
        <v/>
      </c>
      <c r="DY99" s="64">
        <f>($DW99-$DW100)*100</f>
        <v/>
      </c>
      <c r="DZ99" s="64">
        <f>($DX99-$DX100)*100</f>
        <v/>
      </c>
      <c r="EA99" s="64">
        <f>($DW99-$D99)*100</f>
        <v/>
      </c>
      <c r="EB99" s="64">
        <f>$Q99-$O99</f>
        <v/>
      </c>
      <c r="EC99" s="67">
        <f>IFERROR($Q99/$P99,"")</f>
        <v/>
      </c>
    </row>
    <row r="100">
      <c r="DG100" s="64">
        <f>($B100-$B101)*100</f>
        <v/>
      </c>
      <c r="DH100" s="64">
        <f>($D100-$D101)*100</f>
        <v/>
      </c>
      <c r="DI100" s="64">
        <f>($E100-$E101)*100</f>
        <v/>
      </c>
      <c r="DJ100" s="64">
        <f>($H100-$H101)*100</f>
        <v/>
      </c>
      <c r="DK100" s="65">
        <f>IFERROR($J100/$J101-1,"")</f>
        <v/>
      </c>
      <c r="DL100" s="64">
        <f>$L100-$L101</f>
        <v/>
      </c>
      <c r="DM100" s="64">
        <f>$K100-$K101</f>
        <v/>
      </c>
      <c r="DN100" s="65">
        <f>IFERROR($N100/$N101-1,"")</f>
        <v/>
      </c>
      <c r="DO100" s="65">
        <f>IFERROR($M100/$M101-1,"")</f>
        <v/>
      </c>
      <c r="DP100" s="65">
        <f>IFERROR($AZ100/$AZ101-1,"")</f>
        <v/>
      </c>
      <c r="DQ100" s="65">
        <f>IFERROR($BA100/$BA101-1,"")</f>
        <v/>
      </c>
      <c r="DR100" s="64">
        <f>$O100-$O101</f>
        <v/>
      </c>
      <c r="DS100" s="64">
        <f>$P100-$P101</f>
        <v/>
      </c>
      <c r="DT100" s="64">
        <f>$Q100-$Q101</f>
        <v/>
      </c>
      <c r="DU100" s="64">
        <f>$S100-$S101</f>
        <v/>
      </c>
      <c r="DV100" s="65">
        <f>IFERROR(AVERAGE($AA101/$AA100-1,$AB101/$AB100-1,$AC101/$AC100-1,$AD101/$AD100-1,$AE101/$AE100-1,$AG101/$AG100-1,$AH101/$AH100-1,$AI101/$AI100-1,$AJ101/$AJ100-1,$AL101/$AL100-1,$AM101/$AM100-1,$AR101/$AR100-1,$AS101/$AS100-1,$AT101/$AT100-1,$AU101/$AU100-1,$AV101/$AV100-1,$AW101/$AW100-1,$AX101/$AX100-1,$AY101/$AY100-1),"")</f>
        <v/>
      </c>
      <c r="DW100" s="66">
        <f>AVERAGE($CB100,$CC100,$CD100,$CE100,$CF100,$CG100,$CH100,$CI100,$CJ100,$CL100,$CM100,$CN100,$CO100,$CP100,$CQ100,$CR100,$CS100,$CT100)</f>
        <v/>
      </c>
      <c r="DX100" s="66">
        <f>AVERAGE($CB100,$CC100,$CM100,$CE100,$CP100)</f>
        <v/>
      </c>
      <c r="DY100" s="64">
        <f>($DW100-$DW101)*100</f>
        <v/>
      </c>
      <c r="DZ100" s="64">
        <f>($DX100-$DX101)*100</f>
        <v/>
      </c>
      <c r="EA100" s="64">
        <f>($DW100-$D100)*100</f>
        <v/>
      </c>
      <c r="EB100" s="64">
        <f>$Q100-$O100</f>
        <v/>
      </c>
      <c r="EC100" s="67">
        <f>IFERROR($Q100/$P100,"")</f>
        <v/>
      </c>
    </row>
    <row r="101">
      <c r="DG101" s="64">
        <f>($B101-$B102)*100</f>
        <v/>
      </c>
      <c r="DH101" s="64">
        <f>($D101-$D102)*100</f>
        <v/>
      </c>
      <c r="DI101" s="64">
        <f>($E101-$E102)*100</f>
        <v/>
      </c>
      <c r="DJ101" s="64">
        <f>($H101-$H102)*100</f>
        <v/>
      </c>
      <c r="DK101" s="65">
        <f>IFERROR($J101/$J102-1,"")</f>
        <v/>
      </c>
      <c r="DL101" s="64">
        <f>$L101-$L102</f>
        <v/>
      </c>
      <c r="DM101" s="64">
        <f>$K101-$K102</f>
        <v/>
      </c>
      <c r="DN101" s="65">
        <f>IFERROR($N101/$N102-1,"")</f>
        <v/>
      </c>
      <c r="DO101" s="65">
        <f>IFERROR($M101/$M102-1,"")</f>
        <v/>
      </c>
      <c r="DP101" s="65">
        <f>IFERROR($AZ101/$AZ102-1,"")</f>
        <v/>
      </c>
      <c r="DQ101" s="65">
        <f>IFERROR($BA101/$BA102-1,"")</f>
        <v/>
      </c>
      <c r="DR101" s="64">
        <f>$O101-$O102</f>
        <v/>
      </c>
      <c r="DS101" s="64">
        <f>$P101-$P102</f>
        <v/>
      </c>
      <c r="DT101" s="64">
        <f>$Q101-$Q102</f>
        <v/>
      </c>
      <c r="DU101" s="64">
        <f>$S101-$S102</f>
        <v/>
      </c>
      <c r="DV101" s="65">
        <f>IFERROR(AVERAGE($AA102/$AA101-1,$AB102/$AB101-1,$AC102/$AC101-1,$AD102/$AD101-1,$AE102/$AE101-1,$AG102/$AG101-1,$AH102/$AH101-1,$AI102/$AI101-1,$AJ102/$AJ101-1,$AL102/$AL101-1,$AM102/$AM101-1,$AR102/$AR101-1,$AS102/$AS101-1,$AT102/$AT101-1,$AU102/$AU101-1,$AV102/$AV101-1,$AW102/$AW101-1,$AX102/$AX101-1,$AY102/$AY101-1),"")</f>
        <v/>
      </c>
      <c r="DW101" s="66">
        <f>AVERAGE($CB101,$CC101,$CD101,$CE101,$CF101,$CG101,$CH101,$CI101,$CJ101,$CL101,$CM101,$CN101,$CO101,$CP101,$CQ101,$CR101,$CS101,$CT101)</f>
        <v/>
      </c>
      <c r="DX101" s="66">
        <f>AVERAGE($CB101,$CC101,$CM101,$CE101,$CP101)</f>
        <v/>
      </c>
      <c r="DY101" s="64">
        <f>($DW101-$DW102)*100</f>
        <v/>
      </c>
      <c r="DZ101" s="64">
        <f>($DX101-$DX102)*100</f>
        <v/>
      </c>
      <c r="EA101" s="64">
        <f>($DW101-$D101)*100</f>
        <v/>
      </c>
      <c r="EB101" s="64">
        <f>$Q101-$O101</f>
        <v/>
      </c>
      <c r="EC101" s="67">
        <f>IFERROR($Q101/$P101,"")</f>
        <v/>
      </c>
    </row>
    <row r="102">
      <c r="DG102" s="64">
        <f>($B102-$B103)*100</f>
        <v/>
      </c>
      <c r="DH102" s="64">
        <f>($D102-$D103)*100</f>
        <v/>
      </c>
      <c r="DI102" s="64">
        <f>($E102-$E103)*100</f>
        <v/>
      </c>
      <c r="DJ102" s="64">
        <f>($H102-$H103)*100</f>
        <v/>
      </c>
      <c r="DK102" s="65">
        <f>IFERROR($J102/$J103-1,"")</f>
        <v/>
      </c>
      <c r="DL102" s="64">
        <f>$L102-$L103</f>
        <v/>
      </c>
      <c r="DM102" s="64">
        <f>$K102-$K103</f>
        <v/>
      </c>
      <c r="DN102" s="65">
        <f>IFERROR($N102/$N103-1,"")</f>
        <v/>
      </c>
      <c r="DO102" s="65">
        <f>IFERROR($M102/$M103-1,"")</f>
        <v/>
      </c>
      <c r="DP102" s="65">
        <f>IFERROR($AZ102/$AZ103-1,"")</f>
        <v/>
      </c>
      <c r="DQ102" s="65">
        <f>IFERROR($BA102/$BA103-1,"")</f>
        <v/>
      </c>
      <c r="DR102" s="64">
        <f>$O102-$O103</f>
        <v/>
      </c>
      <c r="DS102" s="64">
        <f>$P102-$P103</f>
        <v/>
      </c>
      <c r="DT102" s="64">
        <f>$Q102-$Q103</f>
        <v/>
      </c>
      <c r="DU102" s="64">
        <f>$S102-$S103</f>
        <v/>
      </c>
      <c r="DV102" s="65">
        <f>IFERROR(AVERAGE($AA103/$AA102-1,$AB103/$AB102-1,$AC103/$AC102-1,$AD103/$AD102-1,$AE103/$AE102-1,$AG103/$AG102-1,$AH103/$AH102-1,$AI103/$AI102-1,$AJ103/$AJ102-1,$AL103/$AL102-1,$AM103/$AM102-1,$AR103/$AR102-1,$AS103/$AS102-1,$AT103/$AT102-1,$AU103/$AU102-1,$AV103/$AV102-1,$AW103/$AW102-1,$AX103/$AX102-1,$AY103/$AY102-1),"")</f>
        <v/>
      </c>
      <c r="DW102" s="66">
        <f>AVERAGE($CB102,$CC102,$CD102,$CE102,$CF102,$CG102,$CH102,$CI102,$CJ102,$CL102,$CM102,$CN102,$CO102,$CP102,$CQ102,$CR102,$CS102,$CT102)</f>
        <v/>
      </c>
      <c r="DX102" s="66">
        <f>AVERAGE($CB102,$CC102,$CM102,$CE102,$CP102)</f>
        <v/>
      </c>
      <c r="DY102" s="64">
        <f>($DW102-$DW103)*100</f>
        <v/>
      </c>
      <c r="DZ102" s="64">
        <f>($DX102-$DX103)*100</f>
        <v/>
      </c>
      <c r="EA102" s="64">
        <f>($DW102-$D102)*100</f>
        <v/>
      </c>
      <c r="EB102" s="64">
        <f>$Q102-$O102</f>
        <v/>
      </c>
      <c r="EC102" s="67">
        <f>IFERROR($Q102/$P102,"")</f>
        <v/>
      </c>
    </row>
    <row r="103">
      <c r="DG103" s="64">
        <f>($B103-$B104)*100</f>
        <v/>
      </c>
      <c r="DH103" s="64">
        <f>($D103-$D104)*100</f>
        <v/>
      </c>
      <c r="DI103" s="64">
        <f>($E103-$E104)*100</f>
        <v/>
      </c>
      <c r="DJ103" s="64">
        <f>($H103-$H104)*100</f>
        <v/>
      </c>
      <c r="DK103" s="65">
        <f>IFERROR($J103/$J104-1,"")</f>
        <v/>
      </c>
      <c r="DL103" s="64">
        <f>$L103-$L104</f>
        <v/>
      </c>
      <c r="DM103" s="64">
        <f>$K103-$K104</f>
        <v/>
      </c>
      <c r="DN103" s="65">
        <f>IFERROR($N103/$N104-1,"")</f>
        <v/>
      </c>
      <c r="DO103" s="65">
        <f>IFERROR($M103/$M104-1,"")</f>
        <v/>
      </c>
      <c r="DP103" s="65">
        <f>IFERROR($AZ103/$AZ104-1,"")</f>
        <v/>
      </c>
      <c r="DQ103" s="65">
        <f>IFERROR($BA103/$BA104-1,"")</f>
        <v/>
      </c>
      <c r="DR103" s="64">
        <f>$O103-$O104</f>
        <v/>
      </c>
      <c r="DS103" s="64">
        <f>$P103-$P104</f>
        <v/>
      </c>
      <c r="DT103" s="64">
        <f>$Q103-$Q104</f>
        <v/>
      </c>
      <c r="DU103" s="64">
        <f>$S103-$S104</f>
        <v/>
      </c>
      <c r="DV103" s="65">
        <f>IFERROR(AVERAGE($AA104/$AA103-1,$AB104/$AB103-1,$AC104/$AC103-1,$AD104/$AD103-1,$AE104/$AE103-1,$AG104/$AG103-1,$AH104/$AH103-1,$AI104/$AI103-1,$AJ104/$AJ103-1,$AL104/$AL103-1,$AM104/$AM103-1,$AR104/$AR103-1,$AS104/$AS103-1,$AT104/$AT103-1,$AU104/$AU103-1,$AV104/$AV103-1,$AW104/$AW103-1,$AX104/$AX103-1,$AY104/$AY103-1),"")</f>
        <v/>
      </c>
      <c r="DW103" s="66">
        <f>AVERAGE($CB103,$CC103,$CD103,$CE103,$CF103,$CG103,$CH103,$CI103,$CJ103,$CL103,$CM103,$CN103,$CO103,$CP103,$CQ103,$CR103,$CS103,$CT103)</f>
        <v/>
      </c>
      <c r="DX103" s="66">
        <f>AVERAGE($CB103,$CC103,$CM103,$CE103,$CP103)</f>
        <v/>
      </c>
      <c r="DY103" s="64">
        <f>($DW103-$DW104)*100</f>
        <v/>
      </c>
      <c r="DZ103" s="64">
        <f>($DX103-$DX104)*100</f>
        <v/>
      </c>
      <c r="EA103" s="64">
        <f>($DW103-$D103)*100</f>
        <v/>
      </c>
      <c r="EB103" s="64">
        <f>$Q103-$O103</f>
        <v/>
      </c>
      <c r="EC103" s="67">
        <f>IFERROR($Q103/$P103,"")</f>
        <v/>
      </c>
    </row>
    <row r="104">
      <c r="DG104" s="64">
        <f>($B104-$B105)*100</f>
        <v/>
      </c>
      <c r="DH104" s="64">
        <f>($D104-$D105)*100</f>
        <v/>
      </c>
      <c r="DI104" s="64">
        <f>($E104-$E105)*100</f>
        <v/>
      </c>
      <c r="DJ104" s="64">
        <f>($H104-$H105)*100</f>
        <v/>
      </c>
      <c r="DK104" s="65">
        <f>IFERROR($J104/$J105-1,"")</f>
        <v/>
      </c>
      <c r="DL104" s="64">
        <f>$L104-$L105</f>
        <v/>
      </c>
      <c r="DM104" s="64">
        <f>$K104-$K105</f>
        <v/>
      </c>
      <c r="DN104" s="65">
        <f>IFERROR($N104/$N105-1,"")</f>
        <v/>
      </c>
      <c r="DO104" s="65">
        <f>IFERROR($M104/$M105-1,"")</f>
        <v/>
      </c>
      <c r="DP104" s="65">
        <f>IFERROR($AZ104/$AZ105-1,"")</f>
        <v/>
      </c>
      <c r="DQ104" s="65">
        <f>IFERROR($BA104/$BA105-1,"")</f>
        <v/>
      </c>
      <c r="DR104" s="64">
        <f>$O104-$O105</f>
        <v/>
      </c>
      <c r="DS104" s="64">
        <f>$P104-$P105</f>
        <v/>
      </c>
      <c r="DT104" s="64">
        <f>$Q104-$Q105</f>
        <v/>
      </c>
      <c r="DU104" s="64">
        <f>$S104-$S105</f>
        <v/>
      </c>
      <c r="DV104" s="65">
        <f>IFERROR(AVERAGE($AA105/$AA104-1,$AB105/$AB104-1,$AC105/$AC104-1,$AD105/$AD104-1,$AE105/$AE104-1,$AG105/$AG104-1,$AH105/$AH104-1,$AI105/$AI104-1,$AJ105/$AJ104-1,$AL105/$AL104-1,$AM105/$AM104-1,$AR105/$AR104-1,$AS105/$AS104-1,$AT105/$AT104-1,$AU105/$AU104-1,$AV105/$AV104-1,$AW105/$AW104-1,$AX105/$AX104-1,$AY105/$AY104-1),"")</f>
        <v/>
      </c>
      <c r="DW104" s="66">
        <f>AVERAGE($CB104,$CC104,$CD104,$CE104,$CF104,$CG104,$CH104,$CI104,$CJ104,$CL104,$CM104,$CN104,$CO104,$CP104,$CQ104,$CR104,$CS104,$CT104)</f>
        <v/>
      </c>
      <c r="DX104" s="66">
        <f>AVERAGE($CB104,$CC104,$CM104,$CE104,$CP104)</f>
        <v/>
      </c>
      <c r="DY104" s="64">
        <f>($DW104-$DW105)*100</f>
        <v/>
      </c>
      <c r="DZ104" s="64">
        <f>($DX104-$DX105)*100</f>
        <v/>
      </c>
      <c r="EA104" s="64">
        <f>($DW104-$D104)*100</f>
        <v/>
      </c>
      <c r="EB104" s="64">
        <f>$Q104-$O104</f>
        <v/>
      </c>
      <c r="EC104" s="67">
        <f>IFERROR($Q104/$P104,"")</f>
        <v/>
      </c>
    </row>
    <row r="105">
      <c r="DG105" s="64">
        <f>($B105-$B106)*100</f>
        <v/>
      </c>
      <c r="DH105" s="64">
        <f>($D105-$D106)*100</f>
        <v/>
      </c>
      <c r="DI105" s="64">
        <f>($E105-$E106)*100</f>
        <v/>
      </c>
      <c r="DJ105" s="64">
        <f>($H105-$H106)*100</f>
        <v/>
      </c>
      <c r="DK105" s="65">
        <f>IFERROR($J105/$J106-1,"")</f>
        <v/>
      </c>
      <c r="DL105" s="64">
        <f>$L105-$L106</f>
        <v/>
      </c>
      <c r="DM105" s="64">
        <f>$K105-$K106</f>
        <v/>
      </c>
      <c r="DN105" s="65">
        <f>IFERROR($N105/$N106-1,"")</f>
        <v/>
      </c>
      <c r="DO105" s="65">
        <f>IFERROR($M105/$M106-1,"")</f>
        <v/>
      </c>
      <c r="DP105" s="65">
        <f>IFERROR($AZ105/$AZ106-1,"")</f>
        <v/>
      </c>
      <c r="DQ105" s="65">
        <f>IFERROR($BA105/$BA106-1,"")</f>
        <v/>
      </c>
      <c r="DR105" s="64">
        <f>$O105-$O106</f>
        <v/>
      </c>
      <c r="DS105" s="64">
        <f>$P105-$P106</f>
        <v/>
      </c>
      <c r="DT105" s="64">
        <f>$Q105-$Q106</f>
        <v/>
      </c>
      <c r="DU105" s="64">
        <f>$S105-$S106</f>
        <v/>
      </c>
      <c r="DV105" s="65">
        <f>IFERROR(AVERAGE($AA106/$AA105-1,$AB106/$AB105-1,$AC106/$AC105-1,$AD106/$AD105-1,$AE106/$AE105-1,$AG106/$AG105-1,$AH106/$AH105-1,$AI106/$AI105-1,$AJ106/$AJ105-1,$AL106/$AL105-1,$AM106/$AM105-1,$AR106/$AR105-1,$AS106/$AS105-1,$AT106/$AT105-1,$AU106/$AU105-1,$AV106/$AV105-1,$AW106/$AW105-1,$AX106/$AX105-1,$AY106/$AY105-1),"")</f>
        <v/>
      </c>
      <c r="DW105" s="66">
        <f>AVERAGE($CB105,$CC105,$CD105,$CE105,$CF105,$CG105,$CH105,$CI105,$CJ105,$CL105,$CM105,$CN105,$CO105,$CP105,$CQ105,$CR105,$CS105,$CT105)</f>
        <v/>
      </c>
      <c r="DX105" s="66">
        <f>AVERAGE($CB105,$CC105,$CM105,$CE105,$CP105)</f>
        <v/>
      </c>
      <c r="DY105" s="64">
        <f>($DW105-$DW106)*100</f>
        <v/>
      </c>
      <c r="DZ105" s="64">
        <f>($DX105-$DX106)*100</f>
        <v/>
      </c>
      <c r="EA105" s="64">
        <f>($DW105-$D105)*100</f>
        <v/>
      </c>
      <c r="EB105" s="64">
        <f>$Q105-$O105</f>
        <v/>
      </c>
      <c r="EC105" s="67">
        <f>IFERROR($Q105/$P105,"")</f>
        <v/>
      </c>
    </row>
    <row r="106">
      <c r="DG106" s="64">
        <f>($B106-$B107)*100</f>
        <v/>
      </c>
      <c r="DH106" s="64">
        <f>($D106-$D107)*100</f>
        <v/>
      </c>
      <c r="DI106" s="64">
        <f>($E106-$E107)*100</f>
        <v/>
      </c>
      <c r="DJ106" s="64">
        <f>($H106-$H107)*100</f>
        <v/>
      </c>
      <c r="DK106" s="65">
        <f>IFERROR($J106/$J107-1,"")</f>
        <v/>
      </c>
      <c r="DL106" s="64">
        <f>$L106-$L107</f>
        <v/>
      </c>
      <c r="DM106" s="64">
        <f>$K106-$K107</f>
        <v/>
      </c>
      <c r="DN106" s="65">
        <f>IFERROR($N106/$N107-1,"")</f>
        <v/>
      </c>
      <c r="DO106" s="65">
        <f>IFERROR($M106/$M107-1,"")</f>
        <v/>
      </c>
      <c r="DP106" s="65">
        <f>IFERROR($AZ106/$AZ107-1,"")</f>
        <v/>
      </c>
      <c r="DQ106" s="65">
        <f>IFERROR($BA106/$BA107-1,"")</f>
        <v/>
      </c>
      <c r="DR106" s="64">
        <f>$O106-$O107</f>
        <v/>
      </c>
      <c r="DS106" s="64">
        <f>$P106-$P107</f>
        <v/>
      </c>
      <c r="DT106" s="64">
        <f>$Q106-$Q107</f>
        <v/>
      </c>
      <c r="DU106" s="64">
        <f>$S106-$S107</f>
        <v/>
      </c>
      <c r="DV106" s="65">
        <f>IFERROR(AVERAGE($AA107/$AA106-1,$AB107/$AB106-1,$AC107/$AC106-1,$AD107/$AD106-1,$AE107/$AE106-1,$AG107/$AG106-1,$AH107/$AH106-1,$AI107/$AI106-1,$AJ107/$AJ106-1,$AL107/$AL106-1,$AM107/$AM106-1,$AR107/$AR106-1,$AS107/$AS106-1,$AT107/$AT106-1,$AU107/$AU106-1,$AV107/$AV106-1,$AW107/$AW106-1,$AX107/$AX106-1,$AY107/$AY106-1),"")</f>
        <v/>
      </c>
      <c r="DW106" s="66">
        <f>AVERAGE($CB106,$CC106,$CD106,$CE106,$CF106,$CG106,$CH106,$CI106,$CJ106,$CL106,$CM106,$CN106,$CO106,$CP106,$CQ106,$CR106,$CS106,$CT106)</f>
        <v/>
      </c>
      <c r="DX106" s="66">
        <f>AVERAGE($CB106,$CC106,$CM106,$CE106,$CP106)</f>
        <v/>
      </c>
      <c r="DY106" s="64">
        <f>($DW106-$DW107)*100</f>
        <v/>
      </c>
      <c r="DZ106" s="64">
        <f>($DX106-$DX107)*100</f>
        <v/>
      </c>
      <c r="EA106" s="64">
        <f>($DW106-$D106)*100</f>
        <v/>
      </c>
      <c r="EB106" s="64">
        <f>$Q106-$O106</f>
        <v/>
      </c>
      <c r="EC106" s="67">
        <f>IFERROR($Q106/$P106,"")</f>
        <v/>
      </c>
    </row>
    <row r="107">
      <c r="DG107" s="64">
        <f>($B107-$B108)*100</f>
        <v/>
      </c>
      <c r="DH107" s="64">
        <f>($D107-$D108)*100</f>
        <v/>
      </c>
      <c r="DI107" s="64">
        <f>($E107-$E108)*100</f>
        <v/>
      </c>
      <c r="DJ107" s="64">
        <f>($H107-$H108)*100</f>
        <v/>
      </c>
      <c r="DK107" s="65">
        <f>IFERROR($J107/$J108-1,"")</f>
        <v/>
      </c>
      <c r="DL107" s="64">
        <f>$L107-$L108</f>
        <v/>
      </c>
      <c r="DM107" s="64">
        <f>$K107-$K108</f>
        <v/>
      </c>
      <c r="DN107" s="65">
        <f>IFERROR($N107/$N108-1,"")</f>
        <v/>
      </c>
      <c r="DO107" s="65">
        <f>IFERROR($M107/$M108-1,"")</f>
        <v/>
      </c>
      <c r="DP107" s="65">
        <f>IFERROR($AZ107/$AZ108-1,"")</f>
        <v/>
      </c>
      <c r="DQ107" s="65">
        <f>IFERROR($BA107/$BA108-1,"")</f>
        <v/>
      </c>
      <c r="DR107" s="64">
        <f>$O107-$O108</f>
        <v/>
      </c>
      <c r="DS107" s="64">
        <f>$P107-$P108</f>
        <v/>
      </c>
      <c r="DT107" s="64">
        <f>$Q107-$Q108</f>
        <v/>
      </c>
      <c r="DU107" s="64">
        <f>$S107-$S108</f>
        <v/>
      </c>
      <c r="DV107" s="65">
        <f>IFERROR(AVERAGE($AA108/$AA107-1,$AB108/$AB107-1,$AC108/$AC107-1,$AD108/$AD107-1,$AE108/$AE107-1,$AG108/$AG107-1,$AH108/$AH107-1,$AI108/$AI107-1,$AJ108/$AJ107-1,$AL108/$AL107-1,$AM108/$AM107-1,$AR108/$AR107-1,$AS108/$AS107-1,$AT108/$AT107-1,$AU108/$AU107-1,$AV108/$AV107-1,$AW108/$AW107-1,$AX108/$AX107-1,$AY108/$AY107-1),"")</f>
        <v/>
      </c>
      <c r="DW107" s="66">
        <f>AVERAGE($CB107,$CC107,$CD107,$CE107,$CF107,$CG107,$CH107,$CI107,$CJ107,$CL107,$CM107,$CN107,$CO107,$CP107,$CQ107,$CR107,$CS107,$CT107)</f>
        <v/>
      </c>
      <c r="DX107" s="66">
        <f>AVERAGE($CB107,$CC107,$CM107,$CE107,$CP107)</f>
        <v/>
      </c>
      <c r="DY107" s="64">
        <f>($DW107-$DW108)*100</f>
        <v/>
      </c>
      <c r="DZ107" s="64">
        <f>($DX107-$DX108)*100</f>
        <v/>
      </c>
      <c r="EA107" s="64">
        <f>($DW107-$D107)*100</f>
        <v/>
      </c>
      <c r="EB107" s="64">
        <f>$Q107-$O107</f>
        <v/>
      </c>
      <c r="EC107" s="67">
        <f>IFERROR($Q107/$P107,"")</f>
        <v/>
      </c>
    </row>
    <row r="108">
      <c r="DG108" s="64">
        <f>($B108-$B109)*100</f>
        <v/>
      </c>
      <c r="DH108" s="64">
        <f>($D108-$D109)*100</f>
        <v/>
      </c>
      <c r="DI108" s="64">
        <f>($E108-$E109)*100</f>
        <v/>
      </c>
      <c r="DJ108" s="64">
        <f>($H108-$H109)*100</f>
        <v/>
      </c>
      <c r="DK108" s="65">
        <f>IFERROR($J108/$J109-1,"")</f>
        <v/>
      </c>
      <c r="DL108" s="64">
        <f>$L108-$L109</f>
        <v/>
      </c>
      <c r="DM108" s="64">
        <f>$K108-$K109</f>
        <v/>
      </c>
      <c r="DN108" s="65">
        <f>IFERROR($N108/$N109-1,"")</f>
        <v/>
      </c>
      <c r="DO108" s="65">
        <f>IFERROR($M108/$M109-1,"")</f>
        <v/>
      </c>
      <c r="DP108" s="65">
        <f>IFERROR($AZ108/$AZ109-1,"")</f>
        <v/>
      </c>
      <c r="DQ108" s="65">
        <f>IFERROR($BA108/$BA109-1,"")</f>
        <v/>
      </c>
      <c r="DR108" s="64">
        <f>$O108-$O109</f>
        <v/>
      </c>
      <c r="DS108" s="64">
        <f>$P108-$P109</f>
        <v/>
      </c>
      <c r="DT108" s="64">
        <f>$Q108-$Q109</f>
        <v/>
      </c>
      <c r="DU108" s="64">
        <f>$S108-$S109</f>
        <v/>
      </c>
      <c r="DV108" s="65">
        <f>IFERROR(AVERAGE($AA109/$AA108-1,$AB109/$AB108-1,$AC109/$AC108-1,$AD109/$AD108-1,$AE109/$AE108-1,$AG109/$AG108-1,$AH109/$AH108-1,$AI109/$AI108-1,$AJ109/$AJ108-1,$AL109/$AL108-1,$AM109/$AM108-1,$AR109/$AR108-1,$AS109/$AS108-1,$AT109/$AT108-1,$AU109/$AU108-1,$AV109/$AV108-1,$AW109/$AW108-1,$AX109/$AX108-1,$AY109/$AY108-1),"")</f>
        <v/>
      </c>
      <c r="DW108" s="66">
        <f>AVERAGE($CB108,$CC108,$CD108,$CE108,$CF108,$CG108,$CH108,$CI108,$CJ108,$CL108,$CM108,$CN108,$CO108,$CP108,$CQ108,$CR108,$CS108,$CT108)</f>
        <v/>
      </c>
      <c r="DX108" s="66">
        <f>AVERAGE($CB108,$CC108,$CM108,$CE108,$CP108)</f>
        <v/>
      </c>
      <c r="DY108" s="64">
        <f>($DW108-$DW109)*100</f>
        <v/>
      </c>
      <c r="DZ108" s="64">
        <f>($DX108-$DX109)*100</f>
        <v/>
      </c>
      <c r="EA108" s="64">
        <f>($DW108-$D108)*100</f>
        <v/>
      </c>
      <c r="EB108" s="64">
        <f>$Q108-$O108</f>
        <v/>
      </c>
      <c r="EC108" s="67">
        <f>IFERROR($Q108/$P108,"")</f>
        <v/>
      </c>
    </row>
    <row r="109">
      <c r="DG109" s="64">
        <f>($B109-$B110)*100</f>
        <v/>
      </c>
      <c r="DH109" s="64">
        <f>($D109-$D110)*100</f>
        <v/>
      </c>
      <c r="DI109" s="64">
        <f>($E109-$E110)*100</f>
        <v/>
      </c>
      <c r="DJ109" s="64">
        <f>($H109-$H110)*100</f>
        <v/>
      </c>
      <c r="DK109" s="65">
        <f>IFERROR($J109/$J110-1,"")</f>
        <v/>
      </c>
      <c r="DL109" s="64">
        <f>$L109-$L110</f>
        <v/>
      </c>
      <c r="DM109" s="64">
        <f>$K109-$K110</f>
        <v/>
      </c>
      <c r="DN109" s="65">
        <f>IFERROR($N109/$N110-1,"")</f>
        <v/>
      </c>
      <c r="DO109" s="65">
        <f>IFERROR($M109/$M110-1,"")</f>
        <v/>
      </c>
      <c r="DP109" s="65">
        <f>IFERROR($AZ109/$AZ110-1,"")</f>
        <v/>
      </c>
      <c r="DQ109" s="65">
        <f>IFERROR($BA109/$BA110-1,"")</f>
        <v/>
      </c>
      <c r="DR109" s="64">
        <f>$O109-$O110</f>
        <v/>
      </c>
      <c r="DS109" s="64">
        <f>$P109-$P110</f>
        <v/>
      </c>
      <c r="DT109" s="64">
        <f>$Q109-$Q110</f>
        <v/>
      </c>
      <c r="DU109" s="64">
        <f>$S109-$S110</f>
        <v/>
      </c>
      <c r="DV109" s="65">
        <f>IFERROR(AVERAGE($AA110/$AA109-1,$AB110/$AB109-1,$AC110/$AC109-1,$AD110/$AD109-1,$AE110/$AE109-1,$AG110/$AG109-1,$AH110/$AH109-1,$AI110/$AI109-1,$AJ110/$AJ109-1,$AL110/$AL109-1,$AM110/$AM109-1,$AR110/$AR109-1,$AS110/$AS109-1,$AT110/$AT109-1,$AU110/$AU109-1,$AV110/$AV109-1,$AW110/$AW109-1,$AX110/$AX109-1,$AY110/$AY109-1),"")</f>
        <v/>
      </c>
      <c r="DW109" s="66">
        <f>AVERAGE($CB109,$CC109,$CD109,$CE109,$CF109,$CG109,$CH109,$CI109,$CJ109,$CL109,$CM109,$CN109,$CO109,$CP109,$CQ109,$CR109,$CS109,$CT109)</f>
        <v/>
      </c>
      <c r="DX109" s="66">
        <f>AVERAGE($CB109,$CC109,$CM109,$CE109,$CP109)</f>
        <v/>
      </c>
      <c r="DY109" s="64">
        <f>($DW109-$DW110)*100</f>
        <v/>
      </c>
      <c r="DZ109" s="64">
        <f>($DX109-$DX110)*100</f>
        <v/>
      </c>
      <c r="EA109" s="64">
        <f>($DW109-$D109)*100</f>
        <v/>
      </c>
      <c r="EB109" s="64">
        <f>$Q109-$O109</f>
        <v/>
      </c>
      <c r="EC109" s="67">
        <f>IFERROR($Q109/$P109,"")</f>
        <v/>
      </c>
    </row>
    <row r="110">
      <c r="DG110" s="64">
        <f>($B110-$B111)*100</f>
        <v/>
      </c>
      <c r="DH110" s="64">
        <f>($D110-$D111)*100</f>
        <v/>
      </c>
      <c r="DI110" s="64">
        <f>($E110-$E111)*100</f>
        <v/>
      </c>
      <c r="DJ110" s="64">
        <f>($H110-$H111)*100</f>
        <v/>
      </c>
      <c r="DK110" s="65">
        <f>IFERROR($J110/$J111-1,"")</f>
        <v/>
      </c>
      <c r="DL110" s="64">
        <f>$L110-$L111</f>
        <v/>
      </c>
      <c r="DM110" s="64">
        <f>$K110-$K111</f>
        <v/>
      </c>
      <c r="DN110" s="65">
        <f>IFERROR($N110/$N111-1,"")</f>
        <v/>
      </c>
      <c r="DO110" s="65">
        <f>IFERROR($M110/$M111-1,"")</f>
        <v/>
      </c>
      <c r="DP110" s="65">
        <f>IFERROR($AZ110/$AZ111-1,"")</f>
        <v/>
      </c>
      <c r="DQ110" s="65">
        <f>IFERROR($BA110/$BA111-1,"")</f>
        <v/>
      </c>
      <c r="DR110" s="64">
        <f>$O110-$O111</f>
        <v/>
      </c>
      <c r="DS110" s="64">
        <f>$P110-$P111</f>
        <v/>
      </c>
      <c r="DT110" s="64">
        <f>$Q110-$Q111</f>
        <v/>
      </c>
      <c r="DU110" s="64">
        <f>$S110-$S111</f>
        <v/>
      </c>
      <c r="DV110" s="65">
        <f>IFERROR(AVERAGE($AA111/$AA110-1,$AB111/$AB110-1,$AC111/$AC110-1,$AD111/$AD110-1,$AE111/$AE110-1,$AG111/$AG110-1,$AH111/$AH110-1,$AI111/$AI110-1,$AJ111/$AJ110-1,$AL111/$AL110-1,$AM111/$AM110-1,$AR111/$AR110-1,$AS111/$AS110-1,$AT111/$AT110-1,$AU111/$AU110-1,$AV111/$AV110-1,$AW111/$AW110-1,$AX111/$AX110-1,$AY111/$AY110-1),"")</f>
        <v/>
      </c>
      <c r="DW110" s="66">
        <f>AVERAGE($CB110,$CC110,$CD110,$CE110,$CF110,$CG110,$CH110,$CI110,$CJ110,$CL110,$CM110,$CN110,$CO110,$CP110,$CQ110,$CR110,$CS110,$CT110)</f>
        <v/>
      </c>
      <c r="DX110" s="66">
        <f>AVERAGE($CB110,$CC110,$CM110,$CE110,$CP110)</f>
        <v/>
      </c>
      <c r="DY110" s="64">
        <f>($DW110-$DW111)*100</f>
        <v/>
      </c>
      <c r="DZ110" s="64">
        <f>($DX110-$DX111)*100</f>
        <v/>
      </c>
      <c r="EA110" s="64">
        <f>($DW110-$D110)*100</f>
        <v/>
      </c>
      <c r="EB110" s="64">
        <f>$Q110-$O110</f>
        <v/>
      </c>
      <c r="EC110" s="67">
        <f>IFERROR($Q110/$P110,"")</f>
        <v/>
      </c>
    </row>
    <row r="111">
      <c r="DG111" s="64">
        <f>($B111-$B112)*100</f>
        <v/>
      </c>
      <c r="DH111" s="64">
        <f>($D111-$D112)*100</f>
        <v/>
      </c>
      <c r="DI111" s="64">
        <f>($E111-$E112)*100</f>
        <v/>
      </c>
      <c r="DJ111" s="64">
        <f>($H111-$H112)*100</f>
        <v/>
      </c>
      <c r="DK111" s="65">
        <f>IFERROR($J111/$J112-1,"")</f>
        <v/>
      </c>
      <c r="DL111" s="64">
        <f>$L111-$L112</f>
        <v/>
      </c>
      <c r="DM111" s="64">
        <f>$K111-$K112</f>
        <v/>
      </c>
      <c r="DN111" s="65">
        <f>IFERROR($N111/$N112-1,"")</f>
        <v/>
      </c>
      <c r="DO111" s="65">
        <f>IFERROR($M111/$M112-1,"")</f>
        <v/>
      </c>
      <c r="DP111" s="65">
        <f>IFERROR($AZ111/$AZ112-1,"")</f>
        <v/>
      </c>
      <c r="DQ111" s="65">
        <f>IFERROR($BA111/$BA112-1,"")</f>
        <v/>
      </c>
      <c r="DR111" s="64">
        <f>$O111-$O112</f>
        <v/>
      </c>
      <c r="DS111" s="64">
        <f>$P111-$P112</f>
        <v/>
      </c>
      <c r="DT111" s="64">
        <f>$Q111-$Q112</f>
        <v/>
      </c>
      <c r="DU111" s="64">
        <f>$S111-$S112</f>
        <v/>
      </c>
      <c r="DV111" s="65">
        <f>IFERROR(AVERAGE($AA112/$AA111-1,$AB112/$AB111-1,$AC112/$AC111-1,$AD112/$AD111-1,$AE112/$AE111-1,$AG112/$AG111-1,$AH112/$AH111-1,$AI112/$AI111-1,$AJ112/$AJ111-1,$AL112/$AL111-1,$AM112/$AM111-1,$AR112/$AR111-1,$AS112/$AS111-1,$AT112/$AT111-1,$AU112/$AU111-1,$AV112/$AV111-1,$AW112/$AW111-1,$AX112/$AX111-1,$AY112/$AY111-1),"")</f>
        <v/>
      </c>
      <c r="DW111" s="66">
        <f>AVERAGE($CB111,$CC111,$CD111,$CE111,$CF111,$CG111,$CH111,$CI111,$CJ111,$CL111,$CM111,$CN111,$CO111,$CP111,$CQ111,$CR111,$CS111,$CT111)</f>
        <v/>
      </c>
      <c r="DX111" s="66">
        <f>AVERAGE($CB111,$CC111,$CM111,$CE111,$CP111)</f>
        <v/>
      </c>
      <c r="DY111" s="64">
        <f>($DW111-$DW112)*100</f>
        <v/>
      </c>
      <c r="DZ111" s="64">
        <f>($DX111-$DX112)*100</f>
        <v/>
      </c>
      <c r="EA111" s="64">
        <f>($DW111-$D111)*100</f>
        <v/>
      </c>
      <c r="EB111" s="64">
        <f>$Q111-$O111</f>
        <v/>
      </c>
      <c r="EC111" s="67">
        <f>IFERROR($Q111/$P111,"")</f>
        <v/>
      </c>
    </row>
    <row r="112">
      <c r="DG112" s="64">
        <f>($B112-$B113)*100</f>
        <v/>
      </c>
      <c r="DH112" s="64">
        <f>($D112-$D113)*100</f>
        <v/>
      </c>
      <c r="DI112" s="64">
        <f>($E112-$E113)*100</f>
        <v/>
      </c>
      <c r="DJ112" s="64">
        <f>($H112-$H113)*100</f>
        <v/>
      </c>
      <c r="DK112" s="65">
        <f>IFERROR($J112/$J113-1,"")</f>
        <v/>
      </c>
      <c r="DL112" s="64">
        <f>$L112-$L113</f>
        <v/>
      </c>
      <c r="DM112" s="64">
        <f>$K112-$K113</f>
        <v/>
      </c>
      <c r="DN112" s="65">
        <f>IFERROR($N112/$N113-1,"")</f>
        <v/>
      </c>
      <c r="DO112" s="65">
        <f>IFERROR($M112/$M113-1,"")</f>
        <v/>
      </c>
      <c r="DP112" s="65">
        <f>IFERROR($AZ112/$AZ113-1,"")</f>
        <v/>
      </c>
      <c r="DQ112" s="65">
        <f>IFERROR($BA112/$BA113-1,"")</f>
        <v/>
      </c>
      <c r="DR112" s="64">
        <f>$O112-$O113</f>
        <v/>
      </c>
      <c r="DS112" s="64">
        <f>$P112-$P113</f>
        <v/>
      </c>
      <c r="DT112" s="64">
        <f>$Q112-$Q113</f>
        <v/>
      </c>
      <c r="DU112" s="64">
        <f>$S112-$S113</f>
        <v/>
      </c>
      <c r="DV112" s="65">
        <f>IFERROR(AVERAGE($AA113/$AA112-1,$AB113/$AB112-1,$AC113/$AC112-1,$AD113/$AD112-1,$AE113/$AE112-1,$AG113/$AG112-1,$AH113/$AH112-1,$AI113/$AI112-1,$AJ113/$AJ112-1,$AL113/$AL112-1,$AM113/$AM112-1,$AR113/$AR112-1,$AS113/$AS112-1,$AT113/$AT112-1,$AU113/$AU112-1,$AV113/$AV112-1,$AW113/$AW112-1,$AX113/$AX112-1,$AY113/$AY112-1),"")</f>
        <v/>
      </c>
      <c r="DW112" s="66">
        <f>AVERAGE($CB112,$CC112,$CD112,$CE112,$CF112,$CG112,$CH112,$CI112,$CJ112,$CL112,$CM112,$CN112,$CO112,$CP112,$CQ112,$CR112,$CS112,$CT112)</f>
        <v/>
      </c>
      <c r="DX112" s="66">
        <f>AVERAGE($CB112,$CC112,$CM112,$CE112,$CP112)</f>
        <v/>
      </c>
      <c r="DY112" s="64">
        <f>($DW112-$DW113)*100</f>
        <v/>
      </c>
      <c r="DZ112" s="64">
        <f>($DX112-$DX113)*100</f>
        <v/>
      </c>
      <c r="EA112" s="64">
        <f>($DW112-$D112)*100</f>
        <v/>
      </c>
      <c r="EB112" s="64">
        <f>$Q112-$O112</f>
        <v/>
      </c>
      <c r="EC112" s="67">
        <f>IFERROR($Q112/$P112,"")</f>
        <v/>
      </c>
    </row>
    <row r="113">
      <c r="DG113" s="64">
        <f>($B113-$B114)*100</f>
        <v/>
      </c>
      <c r="DH113" s="64">
        <f>($D113-$D114)*100</f>
        <v/>
      </c>
      <c r="DI113" s="64">
        <f>($E113-$E114)*100</f>
        <v/>
      </c>
      <c r="DJ113" s="64">
        <f>($H113-$H114)*100</f>
        <v/>
      </c>
      <c r="DK113" s="65">
        <f>IFERROR($J113/$J114-1,"")</f>
        <v/>
      </c>
      <c r="DL113" s="64">
        <f>$L113-$L114</f>
        <v/>
      </c>
      <c r="DM113" s="64">
        <f>$K113-$K114</f>
        <v/>
      </c>
      <c r="DN113" s="65">
        <f>IFERROR($N113/$N114-1,"")</f>
        <v/>
      </c>
      <c r="DO113" s="65">
        <f>IFERROR($M113/$M114-1,"")</f>
        <v/>
      </c>
      <c r="DP113" s="65">
        <f>IFERROR($AZ113/$AZ114-1,"")</f>
        <v/>
      </c>
      <c r="DQ113" s="65">
        <f>IFERROR($BA113/$BA114-1,"")</f>
        <v/>
      </c>
      <c r="DR113" s="64">
        <f>$O113-$O114</f>
        <v/>
      </c>
      <c r="DS113" s="64">
        <f>$P113-$P114</f>
        <v/>
      </c>
      <c r="DT113" s="64">
        <f>$Q113-$Q114</f>
        <v/>
      </c>
      <c r="DU113" s="64">
        <f>$S113-$S114</f>
        <v/>
      </c>
      <c r="DV113" s="65">
        <f>IFERROR(AVERAGE($AA114/$AA113-1,$AB114/$AB113-1,$AC114/$AC113-1,$AD114/$AD113-1,$AE114/$AE113-1,$AG114/$AG113-1,$AH114/$AH113-1,$AI114/$AI113-1,$AJ114/$AJ113-1,$AL114/$AL113-1,$AM114/$AM113-1,$AR114/$AR113-1,$AS114/$AS113-1,$AT114/$AT113-1,$AU114/$AU113-1,$AV114/$AV113-1,$AW114/$AW113-1,$AX114/$AX113-1,$AY114/$AY113-1),"")</f>
        <v/>
      </c>
      <c r="DW113" s="66">
        <f>AVERAGE($CB113,$CC113,$CD113,$CE113,$CF113,$CG113,$CH113,$CI113,$CJ113,$CL113,$CM113,$CN113,$CO113,$CP113,$CQ113,$CR113,$CS113,$CT113)</f>
        <v/>
      </c>
      <c r="DX113" s="66">
        <f>AVERAGE($CB113,$CC113,$CM113,$CE113,$CP113)</f>
        <v/>
      </c>
      <c r="DY113" s="64">
        <f>($DW113-$DW114)*100</f>
        <v/>
      </c>
      <c r="DZ113" s="64">
        <f>($DX113-$DX114)*100</f>
        <v/>
      </c>
      <c r="EA113" s="64">
        <f>($DW113-$D113)*100</f>
        <v/>
      </c>
      <c r="EB113" s="64">
        <f>$Q113-$O113</f>
        <v/>
      </c>
      <c r="EC113" s="67">
        <f>IFERROR($Q113/$P113,"")</f>
        <v/>
      </c>
    </row>
    <row r="114">
      <c r="DG114" s="64">
        <f>($B114-$B115)*100</f>
        <v/>
      </c>
      <c r="DH114" s="64">
        <f>($D114-$D115)*100</f>
        <v/>
      </c>
      <c r="DI114" s="64">
        <f>($E114-$E115)*100</f>
        <v/>
      </c>
      <c r="DJ114" s="64">
        <f>($H114-$H115)*100</f>
        <v/>
      </c>
      <c r="DK114" s="65">
        <f>IFERROR($J114/$J115-1,"")</f>
        <v/>
      </c>
      <c r="DL114" s="64">
        <f>$L114-$L115</f>
        <v/>
      </c>
      <c r="DM114" s="64">
        <f>$K114-$K115</f>
        <v/>
      </c>
      <c r="DN114" s="65">
        <f>IFERROR($N114/$N115-1,"")</f>
        <v/>
      </c>
      <c r="DO114" s="65">
        <f>IFERROR($M114/$M115-1,"")</f>
        <v/>
      </c>
      <c r="DP114" s="65">
        <f>IFERROR($AZ114/$AZ115-1,"")</f>
        <v/>
      </c>
      <c r="DQ114" s="65">
        <f>IFERROR($BA114/$BA115-1,"")</f>
        <v/>
      </c>
      <c r="DR114" s="64">
        <f>$O114-$O115</f>
        <v/>
      </c>
      <c r="DS114" s="64">
        <f>$P114-$P115</f>
        <v/>
      </c>
      <c r="DT114" s="64">
        <f>$Q114-$Q115</f>
        <v/>
      </c>
      <c r="DU114" s="64">
        <f>$S114-$S115</f>
        <v/>
      </c>
      <c r="DV114" s="65">
        <f>IFERROR(AVERAGE($AA115/$AA114-1,$AB115/$AB114-1,$AC115/$AC114-1,$AD115/$AD114-1,$AE115/$AE114-1,$AG115/$AG114-1,$AH115/$AH114-1,$AI115/$AI114-1,$AJ115/$AJ114-1,$AL115/$AL114-1,$AM115/$AM114-1,$AR115/$AR114-1,$AS115/$AS114-1,$AT115/$AT114-1,$AU115/$AU114-1,$AV115/$AV114-1,$AW115/$AW114-1,$AX115/$AX114-1,$AY115/$AY114-1),"")</f>
        <v/>
      </c>
      <c r="DW114" s="66">
        <f>AVERAGE($CB114,$CC114,$CD114,$CE114,$CF114,$CG114,$CH114,$CI114,$CJ114,$CL114,$CM114,$CN114,$CO114,$CP114,$CQ114,$CR114,$CS114,$CT114)</f>
        <v/>
      </c>
      <c r="DX114" s="66">
        <f>AVERAGE($CB114,$CC114,$CM114,$CE114,$CP114)</f>
        <v/>
      </c>
      <c r="DY114" s="64">
        <f>($DW114-$DW115)*100</f>
        <v/>
      </c>
      <c r="DZ114" s="64">
        <f>($DX114-$DX115)*100</f>
        <v/>
      </c>
      <c r="EA114" s="64">
        <f>($DW114-$D114)*100</f>
        <v/>
      </c>
      <c r="EB114" s="64">
        <f>$Q114-$O114</f>
        <v/>
      </c>
      <c r="EC114" s="67">
        <f>IFERROR($Q114/$P114,"")</f>
        <v/>
      </c>
    </row>
    <row r="115">
      <c r="DG115" s="64">
        <f>($B115-$B116)*100</f>
        <v/>
      </c>
      <c r="DH115" s="64">
        <f>($D115-$D116)*100</f>
        <v/>
      </c>
      <c r="DI115" s="64">
        <f>($E115-$E116)*100</f>
        <v/>
      </c>
      <c r="DJ115" s="64">
        <f>($H115-$H116)*100</f>
        <v/>
      </c>
      <c r="DK115" s="65">
        <f>IFERROR($J115/$J116-1,"")</f>
        <v/>
      </c>
      <c r="DL115" s="64">
        <f>$L115-$L116</f>
        <v/>
      </c>
      <c r="DM115" s="64">
        <f>$K115-$K116</f>
        <v/>
      </c>
      <c r="DN115" s="65">
        <f>IFERROR($N115/$N116-1,"")</f>
        <v/>
      </c>
      <c r="DO115" s="65">
        <f>IFERROR($M115/$M116-1,"")</f>
        <v/>
      </c>
      <c r="DP115" s="65">
        <f>IFERROR($AZ115/$AZ116-1,"")</f>
        <v/>
      </c>
      <c r="DQ115" s="65">
        <f>IFERROR($BA115/$BA116-1,"")</f>
        <v/>
      </c>
      <c r="DR115" s="64">
        <f>$O115-$O116</f>
        <v/>
      </c>
      <c r="DS115" s="64">
        <f>$P115-$P116</f>
        <v/>
      </c>
      <c r="DT115" s="64">
        <f>$Q115-$Q116</f>
        <v/>
      </c>
      <c r="DU115" s="64">
        <f>$S115-$S116</f>
        <v/>
      </c>
      <c r="DV115" s="65">
        <f>IFERROR(AVERAGE($AA116/$AA115-1,$AB116/$AB115-1,$AC116/$AC115-1,$AD116/$AD115-1,$AE116/$AE115-1,$AG116/$AG115-1,$AH116/$AH115-1,$AI116/$AI115-1,$AJ116/$AJ115-1,$AL116/$AL115-1,$AM116/$AM115-1,$AR116/$AR115-1,$AS116/$AS115-1,$AT116/$AT115-1,$AU116/$AU115-1,$AV116/$AV115-1,$AW116/$AW115-1,$AX116/$AX115-1,$AY116/$AY115-1),"")</f>
        <v/>
      </c>
      <c r="DW115" s="66">
        <f>AVERAGE($CB115,$CC115,$CD115,$CE115,$CF115,$CG115,$CH115,$CI115,$CJ115,$CL115,$CM115,$CN115,$CO115,$CP115,$CQ115,$CR115,$CS115,$CT115)</f>
        <v/>
      </c>
      <c r="DX115" s="66">
        <f>AVERAGE($CB115,$CC115,$CM115,$CE115,$CP115)</f>
        <v/>
      </c>
      <c r="DY115" s="64">
        <f>($DW115-$DW116)*100</f>
        <v/>
      </c>
      <c r="DZ115" s="64">
        <f>($DX115-$DX116)*100</f>
        <v/>
      </c>
      <c r="EA115" s="64">
        <f>($DW115-$D115)*100</f>
        <v/>
      </c>
      <c r="EB115" s="64">
        <f>$Q115-$O115</f>
        <v/>
      </c>
      <c r="EC115" s="67">
        <f>IFERROR($Q115/$P115,"")</f>
        <v/>
      </c>
    </row>
    <row r="116">
      <c r="DG116" s="64">
        <f>($B116-$B117)*100</f>
        <v/>
      </c>
      <c r="DH116" s="64">
        <f>($D116-$D117)*100</f>
        <v/>
      </c>
      <c r="DI116" s="64">
        <f>($E116-$E117)*100</f>
        <v/>
      </c>
      <c r="DJ116" s="64">
        <f>($H116-$H117)*100</f>
        <v/>
      </c>
      <c r="DK116" s="65">
        <f>IFERROR($J116/$J117-1,"")</f>
        <v/>
      </c>
      <c r="DL116" s="64">
        <f>$L116-$L117</f>
        <v/>
      </c>
      <c r="DM116" s="64">
        <f>$K116-$K117</f>
        <v/>
      </c>
      <c r="DN116" s="65">
        <f>IFERROR($N116/$N117-1,"")</f>
        <v/>
      </c>
      <c r="DO116" s="65">
        <f>IFERROR($M116/$M117-1,"")</f>
        <v/>
      </c>
      <c r="DP116" s="65">
        <f>IFERROR($AZ116/$AZ117-1,"")</f>
        <v/>
      </c>
      <c r="DQ116" s="65">
        <f>IFERROR($BA116/$BA117-1,"")</f>
        <v/>
      </c>
      <c r="DR116" s="64">
        <f>$O116-$O117</f>
        <v/>
      </c>
      <c r="DS116" s="64">
        <f>$P116-$P117</f>
        <v/>
      </c>
      <c r="DT116" s="64">
        <f>$Q116-$Q117</f>
        <v/>
      </c>
      <c r="DU116" s="64">
        <f>$S116-$S117</f>
        <v/>
      </c>
      <c r="DV116" s="65">
        <f>IFERROR(AVERAGE($AA117/$AA116-1,$AB117/$AB116-1,$AC117/$AC116-1,$AD117/$AD116-1,$AE117/$AE116-1,$AG117/$AG116-1,$AH117/$AH116-1,$AI117/$AI116-1,$AJ117/$AJ116-1,$AL117/$AL116-1,$AM117/$AM116-1,$AR117/$AR116-1,$AS117/$AS116-1,$AT117/$AT116-1,$AU117/$AU116-1,$AV117/$AV116-1,$AW117/$AW116-1,$AX117/$AX116-1,$AY117/$AY116-1),"")</f>
        <v/>
      </c>
      <c r="DW116" s="66">
        <f>AVERAGE($CB116,$CC116,$CD116,$CE116,$CF116,$CG116,$CH116,$CI116,$CJ116,$CL116,$CM116,$CN116,$CO116,$CP116,$CQ116,$CR116,$CS116,$CT116)</f>
        <v/>
      </c>
      <c r="DX116" s="66">
        <f>AVERAGE($CB116,$CC116,$CM116,$CE116,$CP116)</f>
        <v/>
      </c>
      <c r="DY116" s="64">
        <f>($DW116-$DW117)*100</f>
        <v/>
      </c>
      <c r="DZ116" s="64">
        <f>($DX116-$DX117)*100</f>
        <v/>
      </c>
      <c r="EA116" s="64">
        <f>($DW116-$D116)*100</f>
        <v/>
      </c>
      <c r="EB116" s="64">
        <f>$Q116-$O116</f>
        <v/>
      </c>
      <c r="EC116" s="67">
        <f>IFERROR($Q116/$P116,"")</f>
        <v/>
      </c>
    </row>
    <row r="117">
      <c r="DG117" s="64">
        <f>($B117-$B118)*100</f>
        <v/>
      </c>
      <c r="DH117" s="64">
        <f>($D117-$D118)*100</f>
        <v/>
      </c>
      <c r="DI117" s="64">
        <f>($E117-$E118)*100</f>
        <v/>
      </c>
      <c r="DJ117" s="64">
        <f>($H117-$H118)*100</f>
        <v/>
      </c>
      <c r="DK117" s="65">
        <f>IFERROR($J117/$J118-1,"")</f>
        <v/>
      </c>
      <c r="DL117" s="64">
        <f>$L117-$L118</f>
        <v/>
      </c>
      <c r="DM117" s="64">
        <f>$K117-$K118</f>
        <v/>
      </c>
      <c r="DN117" s="65">
        <f>IFERROR($N117/$N118-1,"")</f>
        <v/>
      </c>
      <c r="DO117" s="65">
        <f>IFERROR($M117/$M118-1,"")</f>
        <v/>
      </c>
      <c r="DP117" s="65">
        <f>IFERROR($AZ117/$AZ118-1,"")</f>
        <v/>
      </c>
      <c r="DQ117" s="65">
        <f>IFERROR($BA117/$BA118-1,"")</f>
        <v/>
      </c>
      <c r="DR117" s="64">
        <f>$O117-$O118</f>
        <v/>
      </c>
      <c r="DS117" s="64">
        <f>$P117-$P118</f>
        <v/>
      </c>
      <c r="DT117" s="64">
        <f>$Q117-$Q118</f>
        <v/>
      </c>
      <c r="DU117" s="64">
        <f>$S117-$S118</f>
        <v/>
      </c>
      <c r="DV117" s="65">
        <f>IFERROR(AVERAGE($AA118/$AA117-1,$AB118/$AB117-1,$AC118/$AC117-1,$AD118/$AD117-1,$AE118/$AE117-1,$AG118/$AG117-1,$AH118/$AH117-1,$AI118/$AI117-1,$AJ118/$AJ117-1,$AL118/$AL117-1,$AM118/$AM117-1,$AR118/$AR117-1,$AS118/$AS117-1,$AT118/$AT117-1,$AU118/$AU117-1,$AV118/$AV117-1,$AW118/$AW117-1,$AX118/$AX117-1,$AY118/$AY117-1),"")</f>
        <v/>
      </c>
      <c r="DW117" s="66">
        <f>AVERAGE($CB117,$CC117,$CD117,$CE117,$CF117,$CG117,$CH117,$CI117,$CJ117,$CL117,$CM117,$CN117,$CO117,$CP117,$CQ117,$CR117,$CS117,$CT117)</f>
        <v/>
      </c>
      <c r="DX117" s="66">
        <f>AVERAGE($CB117,$CC117,$CM117,$CE117,$CP117)</f>
        <v/>
      </c>
      <c r="DY117" s="64">
        <f>($DW117-$DW118)*100</f>
        <v/>
      </c>
      <c r="DZ117" s="64">
        <f>($DX117-$DX118)*100</f>
        <v/>
      </c>
      <c r="EA117" s="64">
        <f>($DW117-$D117)*100</f>
        <v/>
      </c>
      <c r="EB117" s="64">
        <f>$Q117-$O117</f>
        <v/>
      </c>
      <c r="EC117" s="67">
        <f>IFERROR($Q117/$P117,"")</f>
        <v/>
      </c>
    </row>
    <row r="118">
      <c r="DG118" s="64">
        <f>($B118-$B119)*100</f>
        <v/>
      </c>
      <c r="DH118" s="64">
        <f>($D118-$D119)*100</f>
        <v/>
      </c>
      <c r="DI118" s="64">
        <f>($E118-$E119)*100</f>
        <v/>
      </c>
      <c r="DJ118" s="64">
        <f>($H118-$H119)*100</f>
        <v/>
      </c>
      <c r="DK118" s="65">
        <f>IFERROR($J118/$J119-1,"")</f>
        <v/>
      </c>
      <c r="DL118" s="64">
        <f>$L118-$L119</f>
        <v/>
      </c>
      <c r="DM118" s="64">
        <f>$K118-$K119</f>
        <v/>
      </c>
      <c r="DN118" s="65">
        <f>IFERROR($N118/$N119-1,"")</f>
        <v/>
      </c>
      <c r="DO118" s="65">
        <f>IFERROR($M118/$M119-1,"")</f>
        <v/>
      </c>
      <c r="DP118" s="65">
        <f>IFERROR($AZ118/$AZ119-1,"")</f>
        <v/>
      </c>
      <c r="DQ118" s="65">
        <f>IFERROR($BA118/$BA119-1,"")</f>
        <v/>
      </c>
      <c r="DR118" s="64">
        <f>$O118-$O119</f>
        <v/>
      </c>
      <c r="DS118" s="64">
        <f>$P118-$P119</f>
        <v/>
      </c>
      <c r="DT118" s="64">
        <f>$Q118-$Q119</f>
        <v/>
      </c>
      <c r="DU118" s="64">
        <f>$S118-$S119</f>
        <v/>
      </c>
      <c r="DV118" s="65">
        <f>IFERROR(AVERAGE($AA119/$AA118-1,$AB119/$AB118-1,$AC119/$AC118-1,$AD119/$AD118-1,$AE119/$AE118-1,$AG119/$AG118-1,$AH119/$AH118-1,$AI119/$AI118-1,$AJ119/$AJ118-1,$AL119/$AL118-1,$AM119/$AM118-1,$AR119/$AR118-1,$AS119/$AS118-1,$AT119/$AT118-1,$AU119/$AU118-1,$AV119/$AV118-1,$AW119/$AW118-1,$AX119/$AX118-1,$AY119/$AY118-1),"")</f>
        <v/>
      </c>
      <c r="DW118" s="66">
        <f>AVERAGE($CB118,$CC118,$CD118,$CE118,$CF118,$CG118,$CH118,$CI118,$CJ118,$CL118,$CM118,$CN118,$CO118,$CP118,$CQ118,$CR118,$CS118,$CT118)</f>
        <v/>
      </c>
      <c r="DX118" s="66">
        <f>AVERAGE($CB118,$CC118,$CM118,$CE118,$CP118)</f>
        <v/>
      </c>
      <c r="DY118" s="64">
        <f>($DW118-$DW119)*100</f>
        <v/>
      </c>
      <c r="DZ118" s="64">
        <f>($DX118-$DX119)*100</f>
        <v/>
      </c>
      <c r="EA118" s="64">
        <f>($DW118-$D118)*100</f>
        <v/>
      </c>
      <c r="EB118" s="64">
        <f>$Q118-$O118</f>
        <v/>
      </c>
      <c r="EC118" s="67">
        <f>IFERROR($Q118/$P118,"")</f>
        <v/>
      </c>
    </row>
    <row r="119">
      <c r="DG119" s="64">
        <f>($B119-$B120)*100</f>
        <v/>
      </c>
      <c r="DH119" s="64">
        <f>($D119-$D120)*100</f>
        <v/>
      </c>
      <c r="DI119" s="64">
        <f>($E119-$E120)*100</f>
        <v/>
      </c>
      <c r="DJ119" s="64">
        <f>($H119-$H120)*100</f>
        <v/>
      </c>
      <c r="DK119" s="65">
        <f>IFERROR($J119/$J120-1,"")</f>
        <v/>
      </c>
      <c r="DL119" s="64">
        <f>$L119-$L120</f>
        <v/>
      </c>
      <c r="DM119" s="64">
        <f>$K119-$K120</f>
        <v/>
      </c>
      <c r="DN119" s="65">
        <f>IFERROR($N119/$N120-1,"")</f>
        <v/>
      </c>
      <c r="DO119" s="65">
        <f>IFERROR($M119/$M120-1,"")</f>
        <v/>
      </c>
      <c r="DP119" s="65">
        <f>IFERROR($AZ119/$AZ120-1,"")</f>
        <v/>
      </c>
      <c r="DQ119" s="65">
        <f>IFERROR($BA119/$BA120-1,"")</f>
        <v/>
      </c>
      <c r="DR119" s="64">
        <f>$O119-$O120</f>
        <v/>
      </c>
      <c r="DS119" s="64">
        <f>$P119-$P120</f>
        <v/>
      </c>
      <c r="DT119" s="64">
        <f>$Q119-$Q120</f>
        <v/>
      </c>
      <c r="DU119" s="64">
        <f>$S119-$S120</f>
        <v/>
      </c>
      <c r="DV119" s="65">
        <f>IFERROR(AVERAGE($AA120/$AA119-1,$AB120/$AB119-1,$AC120/$AC119-1,$AD120/$AD119-1,$AE120/$AE119-1,$AG120/$AG119-1,$AH120/$AH119-1,$AI120/$AI119-1,$AJ120/$AJ119-1,$AL120/$AL119-1,$AM120/$AM119-1,$AR120/$AR119-1,$AS120/$AS119-1,$AT120/$AT119-1,$AU120/$AU119-1,$AV120/$AV119-1,$AW120/$AW119-1,$AX120/$AX119-1,$AY120/$AY119-1),"")</f>
        <v/>
      </c>
      <c r="DW119" s="66">
        <f>AVERAGE($CB119,$CC119,$CD119,$CE119,$CF119,$CG119,$CH119,$CI119,$CJ119,$CL119,$CM119,$CN119,$CO119,$CP119,$CQ119,$CR119,$CS119,$CT119)</f>
        <v/>
      </c>
      <c r="DX119" s="66">
        <f>AVERAGE($CB119,$CC119,$CM119,$CE119,$CP119)</f>
        <v/>
      </c>
      <c r="DY119" s="64">
        <f>($DW119-$DW120)*100</f>
        <v/>
      </c>
      <c r="DZ119" s="64">
        <f>($DX119-$DX120)*100</f>
        <v/>
      </c>
      <c r="EA119" s="64">
        <f>($DW119-$D119)*100</f>
        <v/>
      </c>
      <c r="EB119" s="64">
        <f>$Q119-$O119</f>
        <v/>
      </c>
      <c r="EC119" s="67">
        <f>IFERROR($Q119/$P119,"")</f>
        <v/>
      </c>
    </row>
    <row r="120">
      <c r="DG120" s="64">
        <f>($B120-$B121)*100</f>
        <v/>
      </c>
      <c r="DH120" s="64">
        <f>($D120-$D121)*100</f>
        <v/>
      </c>
      <c r="DI120" s="64">
        <f>($E120-$E121)*100</f>
        <v/>
      </c>
      <c r="DJ120" s="64">
        <f>($H120-$H121)*100</f>
        <v/>
      </c>
      <c r="DK120" s="65">
        <f>IFERROR($J120/$J121-1,"")</f>
        <v/>
      </c>
      <c r="DL120" s="64">
        <f>$L120-$L121</f>
        <v/>
      </c>
      <c r="DM120" s="64">
        <f>$K120-$K121</f>
        <v/>
      </c>
      <c r="DN120" s="65">
        <f>IFERROR($N120/$N121-1,"")</f>
        <v/>
      </c>
      <c r="DO120" s="65">
        <f>IFERROR($M120/$M121-1,"")</f>
        <v/>
      </c>
      <c r="DP120" s="65">
        <f>IFERROR($AZ120/$AZ121-1,"")</f>
        <v/>
      </c>
      <c r="DQ120" s="65">
        <f>IFERROR($BA120/$BA121-1,"")</f>
        <v/>
      </c>
      <c r="DR120" s="64">
        <f>$O120-$O121</f>
        <v/>
      </c>
      <c r="DS120" s="64">
        <f>$P120-$P121</f>
        <v/>
      </c>
      <c r="DT120" s="64">
        <f>$Q120-$Q121</f>
        <v/>
      </c>
      <c r="DU120" s="64">
        <f>$S120-$S121</f>
        <v/>
      </c>
      <c r="DV120" s="65">
        <f>IFERROR(AVERAGE($AA121/$AA120-1,$AB121/$AB120-1,$AC121/$AC120-1,$AD121/$AD120-1,$AE121/$AE120-1,$AG121/$AG120-1,$AH121/$AH120-1,$AI121/$AI120-1,$AJ121/$AJ120-1,$AL121/$AL120-1,$AM121/$AM120-1,$AR121/$AR120-1,$AS121/$AS120-1,$AT121/$AT120-1,$AU121/$AU120-1,$AV121/$AV120-1,$AW121/$AW120-1,$AX121/$AX120-1,$AY121/$AY120-1),"")</f>
        <v/>
      </c>
      <c r="DW120" s="66">
        <f>AVERAGE($CB120,$CC120,$CD120,$CE120,$CF120,$CG120,$CH120,$CI120,$CJ120,$CL120,$CM120,$CN120,$CO120,$CP120,$CQ120,$CR120,$CS120,$CT120)</f>
        <v/>
      </c>
      <c r="DX120" s="66">
        <f>AVERAGE($CB120,$CC120,$CM120,$CE120,$CP120)</f>
        <v/>
      </c>
      <c r="DY120" s="64">
        <f>($DW120-$DW121)*100</f>
        <v/>
      </c>
      <c r="DZ120" s="64">
        <f>($DX120-$DX121)*100</f>
        <v/>
      </c>
      <c r="EA120" s="64">
        <f>($DW120-$D120)*100</f>
        <v/>
      </c>
      <c r="EB120" s="64">
        <f>$Q120-$O120</f>
        <v/>
      </c>
      <c r="EC120" s="67">
        <f>IFERROR($Q120/$P120,"")</f>
        <v/>
      </c>
    </row>
    <row r="121">
      <c r="DG121" s="64">
        <f>($B121-$B122)*100</f>
        <v/>
      </c>
      <c r="DH121" s="64">
        <f>($D121-$D122)*100</f>
        <v/>
      </c>
      <c r="DI121" s="64">
        <f>($E121-$E122)*100</f>
        <v/>
      </c>
      <c r="DJ121" s="64">
        <f>($H121-$H122)*100</f>
        <v/>
      </c>
      <c r="DK121" s="65">
        <f>IFERROR($J121/$J122-1,"")</f>
        <v/>
      </c>
      <c r="DL121" s="64">
        <f>$L121-$L122</f>
        <v/>
      </c>
      <c r="DM121" s="64">
        <f>$K121-$K122</f>
        <v/>
      </c>
      <c r="DN121" s="65">
        <f>IFERROR($N121/$N122-1,"")</f>
        <v/>
      </c>
      <c r="DO121" s="65">
        <f>IFERROR($M121/$M122-1,"")</f>
        <v/>
      </c>
      <c r="DP121" s="65">
        <f>IFERROR($AZ121/$AZ122-1,"")</f>
        <v/>
      </c>
      <c r="DQ121" s="65">
        <f>IFERROR($BA121/$BA122-1,"")</f>
        <v/>
      </c>
      <c r="DR121" s="64">
        <f>$O121-$O122</f>
        <v/>
      </c>
      <c r="DS121" s="64">
        <f>$P121-$P122</f>
        <v/>
      </c>
      <c r="DT121" s="64">
        <f>$Q121-$Q122</f>
        <v/>
      </c>
      <c r="DU121" s="64">
        <f>$S121-$S122</f>
        <v/>
      </c>
      <c r="DV121" s="65">
        <f>IFERROR(AVERAGE($AA122/$AA121-1,$AB122/$AB121-1,$AC122/$AC121-1,$AD122/$AD121-1,$AE122/$AE121-1,$AG122/$AG121-1,$AH122/$AH121-1,$AI122/$AI121-1,$AJ122/$AJ121-1,$AL122/$AL121-1,$AM122/$AM121-1,$AR122/$AR121-1,$AS122/$AS121-1,$AT122/$AT121-1,$AU122/$AU121-1,$AV122/$AV121-1,$AW122/$AW121-1,$AX122/$AX121-1,$AY122/$AY121-1),"")</f>
        <v/>
      </c>
      <c r="DW121" s="66">
        <f>AVERAGE($CB121,$CC121,$CD121,$CE121,$CF121,$CG121,$CH121,$CI121,$CJ121,$CL121,$CM121,$CN121,$CO121,$CP121,$CQ121,$CR121,$CS121,$CT121)</f>
        <v/>
      </c>
      <c r="DX121" s="66">
        <f>AVERAGE($CB121,$CC121,$CM121,$CE121,$CP121)</f>
        <v/>
      </c>
      <c r="DY121" s="64">
        <f>($DW121-$DW122)*100</f>
        <v/>
      </c>
      <c r="DZ121" s="64">
        <f>($DX121-$DX122)*100</f>
        <v/>
      </c>
      <c r="EA121" s="64">
        <f>($DW121-$D121)*100</f>
        <v/>
      </c>
      <c r="EB121" s="64">
        <f>$Q121-$O121</f>
        <v/>
      </c>
      <c r="EC121" s="67">
        <f>IFERROR($Q121/$P121,"")</f>
        <v/>
      </c>
    </row>
    <row r="122">
      <c r="DG122" s="64">
        <f>($B122-$B123)*100</f>
        <v/>
      </c>
      <c r="DH122" s="64">
        <f>($D122-$D123)*100</f>
        <v/>
      </c>
      <c r="DI122" s="64">
        <f>($E122-$E123)*100</f>
        <v/>
      </c>
      <c r="DJ122" s="64">
        <f>($H122-$H123)*100</f>
        <v/>
      </c>
      <c r="DK122" s="65">
        <f>IFERROR($J122/$J123-1,"")</f>
        <v/>
      </c>
      <c r="DL122" s="64">
        <f>$L122-$L123</f>
        <v/>
      </c>
      <c r="DM122" s="64">
        <f>$K122-$K123</f>
        <v/>
      </c>
      <c r="DN122" s="65">
        <f>IFERROR($N122/$N123-1,"")</f>
        <v/>
      </c>
      <c r="DO122" s="65">
        <f>IFERROR($M122/$M123-1,"")</f>
        <v/>
      </c>
      <c r="DP122" s="65">
        <f>IFERROR($AZ122/$AZ123-1,"")</f>
        <v/>
      </c>
      <c r="DQ122" s="65">
        <f>IFERROR($BA122/$BA123-1,"")</f>
        <v/>
      </c>
      <c r="DR122" s="64">
        <f>$O122-$O123</f>
        <v/>
      </c>
      <c r="DS122" s="64">
        <f>$P122-$P123</f>
        <v/>
      </c>
      <c r="DT122" s="64">
        <f>$Q122-$Q123</f>
        <v/>
      </c>
      <c r="DU122" s="64">
        <f>$S122-$S123</f>
        <v/>
      </c>
      <c r="DV122" s="65">
        <f>IFERROR(AVERAGE($AA123/$AA122-1,$AB123/$AB122-1,$AC123/$AC122-1,$AD123/$AD122-1,$AE123/$AE122-1,$AG123/$AG122-1,$AH123/$AH122-1,$AI123/$AI122-1,$AJ123/$AJ122-1,$AL123/$AL122-1,$AM123/$AM122-1,$AR123/$AR122-1,$AS123/$AS122-1,$AT123/$AT122-1,$AU123/$AU122-1,$AV123/$AV122-1,$AW123/$AW122-1,$AX123/$AX122-1,$AY123/$AY122-1),"")</f>
        <v/>
      </c>
      <c r="DW122" s="66">
        <f>AVERAGE($CB122,$CC122,$CD122,$CE122,$CF122,$CG122,$CH122,$CI122,$CJ122,$CL122,$CM122,$CN122,$CO122,$CP122,$CQ122,$CR122,$CS122,$CT122)</f>
        <v/>
      </c>
      <c r="DX122" s="66">
        <f>AVERAGE($CB122,$CC122,$CM122,$CE122,$CP122)</f>
        <v/>
      </c>
      <c r="DY122" s="64">
        <f>($DW122-$DW123)*100</f>
        <v/>
      </c>
      <c r="DZ122" s="64">
        <f>($DX122-$DX123)*100</f>
        <v/>
      </c>
      <c r="EA122" s="64">
        <f>($DW122-$D122)*100</f>
        <v/>
      </c>
      <c r="EB122" s="64">
        <f>$Q122-$O122</f>
        <v/>
      </c>
      <c r="EC122" s="67">
        <f>IFERROR($Q122/$P122,"")</f>
        <v/>
      </c>
    </row>
    <row r="123">
      <c r="DG123" s="64">
        <f>($B123-$B124)*100</f>
        <v/>
      </c>
      <c r="DH123" s="64">
        <f>($D123-$D124)*100</f>
        <v/>
      </c>
      <c r="DI123" s="64">
        <f>($E123-$E124)*100</f>
        <v/>
      </c>
      <c r="DJ123" s="64">
        <f>($H123-$H124)*100</f>
        <v/>
      </c>
      <c r="DK123" s="65">
        <f>IFERROR($J123/$J124-1,"")</f>
        <v/>
      </c>
      <c r="DL123" s="64">
        <f>$L123-$L124</f>
        <v/>
      </c>
      <c r="DM123" s="64">
        <f>$K123-$K124</f>
        <v/>
      </c>
      <c r="DN123" s="65">
        <f>IFERROR($N123/$N124-1,"")</f>
        <v/>
      </c>
      <c r="DO123" s="65">
        <f>IFERROR($M123/$M124-1,"")</f>
        <v/>
      </c>
      <c r="DP123" s="65">
        <f>IFERROR($AZ123/$AZ124-1,"")</f>
        <v/>
      </c>
      <c r="DQ123" s="65">
        <f>IFERROR($BA123/$BA124-1,"")</f>
        <v/>
      </c>
      <c r="DR123" s="64">
        <f>$O123-$O124</f>
        <v/>
      </c>
      <c r="DS123" s="64">
        <f>$P123-$P124</f>
        <v/>
      </c>
      <c r="DT123" s="64">
        <f>$Q123-$Q124</f>
        <v/>
      </c>
      <c r="DU123" s="64">
        <f>$S123-$S124</f>
        <v/>
      </c>
      <c r="DV123" s="65">
        <f>IFERROR(AVERAGE($AA124/$AA123-1,$AB124/$AB123-1,$AC124/$AC123-1,$AD124/$AD123-1,$AE124/$AE123-1,$AG124/$AG123-1,$AH124/$AH123-1,$AI124/$AI123-1,$AJ124/$AJ123-1,$AL124/$AL123-1,$AM124/$AM123-1,$AR124/$AR123-1,$AS124/$AS123-1,$AT124/$AT123-1,$AU124/$AU123-1,$AV124/$AV123-1,$AW124/$AW123-1,$AX124/$AX123-1,$AY124/$AY123-1),"")</f>
        <v/>
      </c>
      <c r="DW123" s="66">
        <f>AVERAGE($CB123,$CC123,$CD123,$CE123,$CF123,$CG123,$CH123,$CI123,$CJ123,$CL123,$CM123,$CN123,$CO123,$CP123,$CQ123,$CR123,$CS123,$CT123)</f>
        <v/>
      </c>
      <c r="DX123" s="66">
        <f>AVERAGE($CB123,$CC123,$CM123,$CE123,$CP123)</f>
        <v/>
      </c>
      <c r="DY123" s="64">
        <f>($DW123-$DW124)*100</f>
        <v/>
      </c>
      <c r="DZ123" s="64">
        <f>($DX123-$DX124)*100</f>
        <v/>
      </c>
      <c r="EA123" s="64">
        <f>($DW123-$D123)*100</f>
        <v/>
      </c>
      <c r="EB123" s="64">
        <f>$Q123-$O123</f>
        <v/>
      </c>
      <c r="EC123" s="67">
        <f>IFERROR($Q123/$P123,"")</f>
        <v/>
      </c>
    </row>
    <row r="124">
      <c r="DG124" s="64">
        <f>($B124-$B125)*100</f>
        <v/>
      </c>
      <c r="DH124" s="64">
        <f>($D124-$D125)*100</f>
        <v/>
      </c>
      <c r="DI124" s="64">
        <f>($E124-$E125)*100</f>
        <v/>
      </c>
      <c r="DJ124" s="64">
        <f>($H124-$H125)*100</f>
        <v/>
      </c>
      <c r="DK124" s="65">
        <f>IFERROR($J124/$J125-1,"")</f>
        <v/>
      </c>
      <c r="DL124" s="64">
        <f>$L124-$L125</f>
        <v/>
      </c>
      <c r="DM124" s="64">
        <f>$K124-$K125</f>
        <v/>
      </c>
      <c r="DN124" s="65">
        <f>IFERROR($N124/$N125-1,"")</f>
        <v/>
      </c>
      <c r="DO124" s="65">
        <f>IFERROR($M124/$M125-1,"")</f>
        <v/>
      </c>
      <c r="DP124" s="65">
        <f>IFERROR($AZ124/$AZ125-1,"")</f>
        <v/>
      </c>
      <c r="DQ124" s="65">
        <f>IFERROR($BA124/$BA125-1,"")</f>
        <v/>
      </c>
      <c r="DR124" s="64">
        <f>$O124-$O125</f>
        <v/>
      </c>
      <c r="DS124" s="64">
        <f>$P124-$P125</f>
        <v/>
      </c>
      <c r="DT124" s="64">
        <f>$Q124-$Q125</f>
        <v/>
      </c>
      <c r="DU124" s="64">
        <f>$S124-$S125</f>
        <v/>
      </c>
      <c r="DV124" s="65">
        <f>IFERROR(AVERAGE($AA125/$AA124-1,$AB125/$AB124-1,$AC125/$AC124-1,$AD125/$AD124-1,$AE125/$AE124-1,$AG125/$AG124-1,$AH125/$AH124-1,$AI125/$AI124-1,$AJ125/$AJ124-1,$AL125/$AL124-1,$AM125/$AM124-1,$AR125/$AR124-1,$AS125/$AS124-1,$AT125/$AT124-1,$AU125/$AU124-1,$AV125/$AV124-1,$AW125/$AW124-1,$AX125/$AX124-1,$AY125/$AY124-1),"")</f>
        <v/>
      </c>
      <c r="DW124" s="66">
        <f>AVERAGE($CB124,$CC124,$CD124,$CE124,$CF124,$CG124,$CH124,$CI124,$CJ124,$CL124,$CM124,$CN124,$CO124,$CP124,$CQ124,$CR124,$CS124,$CT124)</f>
        <v/>
      </c>
      <c r="DX124" s="66">
        <f>AVERAGE($CB124,$CC124,$CM124,$CE124,$CP124)</f>
        <v/>
      </c>
      <c r="DY124" s="64">
        <f>($DW124-$DW125)*100</f>
        <v/>
      </c>
      <c r="DZ124" s="64">
        <f>($DX124-$DX125)*100</f>
        <v/>
      </c>
      <c r="EA124" s="64">
        <f>($DW124-$D124)*100</f>
        <v/>
      </c>
      <c r="EB124" s="64">
        <f>$Q124-$O124</f>
        <v/>
      </c>
      <c r="EC124" s="67">
        <f>IFERROR($Q124/$P124,"")</f>
        <v/>
      </c>
    </row>
    <row r="125">
      <c r="DG125" s="64">
        <f>($B125-$B126)*100</f>
        <v/>
      </c>
      <c r="DH125" s="64">
        <f>($D125-$D126)*100</f>
        <v/>
      </c>
      <c r="DI125" s="64">
        <f>($E125-$E126)*100</f>
        <v/>
      </c>
      <c r="DJ125" s="64">
        <f>($H125-$H126)*100</f>
        <v/>
      </c>
      <c r="DK125" s="65">
        <f>IFERROR($J125/$J126-1,"")</f>
        <v/>
      </c>
      <c r="DL125" s="64">
        <f>$L125-$L126</f>
        <v/>
      </c>
      <c r="DM125" s="64">
        <f>$K125-$K126</f>
        <v/>
      </c>
      <c r="DN125" s="65">
        <f>IFERROR($N125/$N126-1,"")</f>
        <v/>
      </c>
      <c r="DO125" s="65">
        <f>IFERROR($M125/$M126-1,"")</f>
        <v/>
      </c>
      <c r="DP125" s="65">
        <f>IFERROR($AZ125/$AZ126-1,"")</f>
        <v/>
      </c>
      <c r="DQ125" s="65">
        <f>IFERROR($BA125/$BA126-1,"")</f>
        <v/>
      </c>
      <c r="DR125" s="64">
        <f>$O125-$O126</f>
        <v/>
      </c>
      <c r="DS125" s="64">
        <f>$P125-$P126</f>
        <v/>
      </c>
      <c r="DT125" s="64">
        <f>$Q125-$Q126</f>
        <v/>
      </c>
      <c r="DU125" s="64">
        <f>$S125-$S126</f>
        <v/>
      </c>
      <c r="DV125" s="65">
        <f>IFERROR(AVERAGE($AA126/$AA125-1,$AB126/$AB125-1,$AC126/$AC125-1,$AD126/$AD125-1,$AE126/$AE125-1,$AG126/$AG125-1,$AH126/$AH125-1,$AI126/$AI125-1,$AJ126/$AJ125-1,$AL126/$AL125-1,$AM126/$AM125-1,$AR126/$AR125-1,$AS126/$AS125-1,$AT126/$AT125-1,$AU126/$AU125-1,$AV126/$AV125-1,$AW126/$AW125-1,$AX126/$AX125-1,$AY126/$AY125-1),"")</f>
        <v/>
      </c>
      <c r="DW125" s="66">
        <f>AVERAGE($CB125,$CC125,$CD125,$CE125,$CF125,$CG125,$CH125,$CI125,$CJ125,$CL125,$CM125,$CN125,$CO125,$CP125,$CQ125,$CR125,$CS125,$CT125)</f>
        <v/>
      </c>
      <c r="DX125" s="66">
        <f>AVERAGE($CB125,$CC125,$CM125,$CE125,$CP125)</f>
        <v/>
      </c>
      <c r="DY125" s="64">
        <f>($DW125-$DW126)*100</f>
        <v/>
      </c>
      <c r="DZ125" s="64">
        <f>($DX125-$DX126)*100</f>
        <v/>
      </c>
      <c r="EA125" s="64">
        <f>($DW125-$D125)*100</f>
        <v/>
      </c>
      <c r="EB125" s="64">
        <f>$Q125-$O125</f>
        <v/>
      </c>
      <c r="EC125" s="67">
        <f>IFERROR($Q125/$P125,"")</f>
        <v/>
      </c>
    </row>
    <row r="126">
      <c r="DG126" s="64">
        <f>($B126-$B127)*100</f>
        <v/>
      </c>
      <c r="DH126" s="64">
        <f>($D126-$D127)*100</f>
        <v/>
      </c>
      <c r="DI126" s="64">
        <f>($E126-$E127)*100</f>
        <v/>
      </c>
      <c r="DJ126" s="64">
        <f>($H126-$H127)*100</f>
        <v/>
      </c>
      <c r="DK126" s="65">
        <f>IFERROR($J126/$J127-1,"")</f>
        <v/>
      </c>
      <c r="DL126" s="64">
        <f>$L126-$L127</f>
        <v/>
      </c>
      <c r="DM126" s="64">
        <f>$K126-$K127</f>
        <v/>
      </c>
      <c r="DN126" s="65">
        <f>IFERROR($N126/$N127-1,"")</f>
        <v/>
      </c>
      <c r="DO126" s="65">
        <f>IFERROR($M126/$M127-1,"")</f>
        <v/>
      </c>
      <c r="DP126" s="65">
        <f>IFERROR($AZ126/$AZ127-1,"")</f>
        <v/>
      </c>
      <c r="DQ126" s="65">
        <f>IFERROR($BA126/$BA127-1,"")</f>
        <v/>
      </c>
      <c r="DR126" s="64">
        <f>$O126-$O127</f>
        <v/>
      </c>
      <c r="DS126" s="64">
        <f>$P126-$P127</f>
        <v/>
      </c>
      <c r="DT126" s="64">
        <f>$Q126-$Q127</f>
        <v/>
      </c>
      <c r="DU126" s="64">
        <f>$S126-$S127</f>
        <v/>
      </c>
      <c r="DV126" s="65">
        <f>IFERROR(AVERAGE($AA127/$AA126-1,$AB127/$AB126-1,$AC127/$AC126-1,$AD127/$AD126-1,$AE127/$AE126-1,$AG127/$AG126-1,$AH127/$AH126-1,$AI127/$AI126-1,$AJ127/$AJ126-1,$AL127/$AL126-1,$AM127/$AM126-1,$AR127/$AR126-1,$AS127/$AS126-1,$AT127/$AT126-1,$AU127/$AU126-1,$AV127/$AV126-1,$AW127/$AW126-1,$AX127/$AX126-1,$AY127/$AY126-1),"")</f>
        <v/>
      </c>
      <c r="DW126" s="66">
        <f>AVERAGE($CB126,$CC126,$CD126,$CE126,$CF126,$CG126,$CH126,$CI126,$CJ126,$CL126,$CM126,$CN126,$CO126,$CP126,$CQ126,$CR126,$CS126,$CT126)</f>
        <v/>
      </c>
      <c r="DX126" s="66">
        <f>AVERAGE($CB126,$CC126,$CM126,$CE126,$CP126)</f>
        <v/>
      </c>
      <c r="DY126" s="64">
        <f>($DW126-$DW127)*100</f>
        <v/>
      </c>
      <c r="DZ126" s="64">
        <f>($DX126-$DX127)*100</f>
        <v/>
      </c>
      <c r="EA126" s="64">
        <f>($DW126-$D126)*100</f>
        <v/>
      </c>
      <c r="EB126" s="64">
        <f>$Q126-$O126</f>
        <v/>
      </c>
      <c r="EC126" s="67">
        <f>IFERROR($Q126/$P126,"")</f>
        <v/>
      </c>
    </row>
    <row r="127">
      <c r="DG127" s="64">
        <f>($B127-$B128)*100</f>
        <v/>
      </c>
      <c r="DH127" s="64">
        <f>($D127-$D128)*100</f>
        <v/>
      </c>
      <c r="DI127" s="64">
        <f>($E127-$E128)*100</f>
        <v/>
      </c>
      <c r="DJ127" s="64">
        <f>($H127-$H128)*100</f>
        <v/>
      </c>
      <c r="DK127" s="65">
        <f>IFERROR($J127/$J128-1,"")</f>
        <v/>
      </c>
      <c r="DL127" s="64">
        <f>$L127-$L128</f>
        <v/>
      </c>
      <c r="DM127" s="64">
        <f>$K127-$K128</f>
        <v/>
      </c>
      <c r="DN127" s="65">
        <f>IFERROR($N127/$N128-1,"")</f>
        <v/>
      </c>
      <c r="DO127" s="65">
        <f>IFERROR($M127/$M128-1,"")</f>
        <v/>
      </c>
      <c r="DP127" s="65">
        <f>IFERROR($AZ127/$AZ128-1,"")</f>
        <v/>
      </c>
      <c r="DQ127" s="65">
        <f>IFERROR($BA127/$BA128-1,"")</f>
        <v/>
      </c>
      <c r="DR127" s="64">
        <f>$O127-$O128</f>
        <v/>
      </c>
      <c r="DS127" s="64">
        <f>$P127-$P128</f>
        <v/>
      </c>
      <c r="DT127" s="64">
        <f>$Q127-$Q128</f>
        <v/>
      </c>
      <c r="DU127" s="64">
        <f>$S127-$S128</f>
        <v/>
      </c>
      <c r="DV127" s="65">
        <f>IFERROR(AVERAGE($AA128/$AA127-1,$AB128/$AB127-1,$AC128/$AC127-1,$AD128/$AD127-1,$AE128/$AE127-1,$AG128/$AG127-1,$AH128/$AH127-1,$AI128/$AI127-1,$AJ128/$AJ127-1,$AL128/$AL127-1,$AM128/$AM127-1,$AR128/$AR127-1,$AS128/$AS127-1,$AT128/$AT127-1,$AU128/$AU127-1,$AV128/$AV127-1,$AW128/$AW127-1,$AX128/$AX127-1,$AY128/$AY127-1),"")</f>
        <v/>
      </c>
      <c r="DW127" s="66">
        <f>AVERAGE($CB127,$CC127,$CD127,$CE127,$CF127,$CG127,$CH127,$CI127,$CJ127,$CL127,$CM127,$CN127,$CO127,$CP127,$CQ127,$CR127,$CS127,$CT127)</f>
        <v/>
      </c>
      <c r="DX127" s="66">
        <f>AVERAGE($CB127,$CC127,$CM127,$CE127,$CP127)</f>
        <v/>
      </c>
      <c r="DY127" s="64">
        <f>($DW127-$DW128)*100</f>
        <v/>
      </c>
      <c r="DZ127" s="64">
        <f>($DX127-$DX128)*100</f>
        <v/>
      </c>
      <c r="EA127" s="64">
        <f>($DW127-$D127)*100</f>
        <v/>
      </c>
      <c r="EB127" s="64">
        <f>$Q127-$O127</f>
        <v/>
      </c>
      <c r="EC127" s="67">
        <f>IFERROR($Q127/$P127,"")</f>
        <v/>
      </c>
    </row>
    <row r="128">
      <c r="DG128" s="64">
        <f>($B128-$B129)*100</f>
        <v/>
      </c>
      <c r="DH128" s="64">
        <f>($D128-$D129)*100</f>
        <v/>
      </c>
      <c r="DI128" s="64">
        <f>($E128-$E129)*100</f>
        <v/>
      </c>
      <c r="DJ128" s="64">
        <f>($H128-$H129)*100</f>
        <v/>
      </c>
      <c r="DK128" s="65">
        <f>IFERROR($J128/$J129-1,"")</f>
        <v/>
      </c>
      <c r="DL128" s="64">
        <f>$L128-$L129</f>
        <v/>
      </c>
      <c r="DM128" s="64">
        <f>$K128-$K129</f>
        <v/>
      </c>
      <c r="DN128" s="65">
        <f>IFERROR($N128/$N129-1,"")</f>
        <v/>
      </c>
      <c r="DO128" s="65">
        <f>IFERROR($M128/$M129-1,"")</f>
        <v/>
      </c>
      <c r="DP128" s="65">
        <f>IFERROR($AZ128/$AZ129-1,"")</f>
        <v/>
      </c>
      <c r="DQ128" s="65">
        <f>IFERROR($BA128/$BA129-1,"")</f>
        <v/>
      </c>
      <c r="DR128" s="64">
        <f>$O128-$O129</f>
        <v/>
      </c>
      <c r="DS128" s="64">
        <f>$P128-$P129</f>
        <v/>
      </c>
      <c r="DT128" s="64">
        <f>$Q128-$Q129</f>
        <v/>
      </c>
      <c r="DU128" s="64">
        <f>$S128-$S129</f>
        <v/>
      </c>
      <c r="DV128" s="65">
        <f>IFERROR(AVERAGE($AA129/$AA128-1,$AB129/$AB128-1,$AC129/$AC128-1,$AD129/$AD128-1,$AE129/$AE128-1,$AG129/$AG128-1,$AH129/$AH128-1,$AI129/$AI128-1,$AJ129/$AJ128-1,$AL129/$AL128-1,$AM129/$AM128-1,$AR129/$AR128-1,$AS129/$AS128-1,$AT129/$AT128-1,$AU129/$AU128-1,$AV129/$AV128-1,$AW129/$AW128-1,$AX129/$AX128-1,$AY129/$AY128-1),"")</f>
        <v/>
      </c>
      <c r="DW128" s="66">
        <f>AVERAGE($CB128,$CC128,$CD128,$CE128,$CF128,$CG128,$CH128,$CI128,$CJ128,$CL128,$CM128,$CN128,$CO128,$CP128,$CQ128,$CR128,$CS128,$CT128)</f>
        <v/>
      </c>
      <c r="DX128" s="66">
        <f>AVERAGE($CB128,$CC128,$CM128,$CE128,$CP128)</f>
        <v/>
      </c>
      <c r="DY128" s="64">
        <f>($DW128-$DW129)*100</f>
        <v/>
      </c>
      <c r="DZ128" s="64">
        <f>($DX128-$DX129)*100</f>
        <v/>
      </c>
      <c r="EA128" s="64">
        <f>($DW128-$D128)*100</f>
        <v/>
      </c>
      <c r="EB128" s="64">
        <f>$Q128-$O128</f>
        <v/>
      </c>
      <c r="EC128" s="67">
        <f>IFERROR($Q128/$P128,"")</f>
        <v/>
      </c>
    </row>
    <row r="129">
      <c r="DG129" s="64">
        <f>($B129-$B130)*100</f>
        <v/>
      </c>
      <c r="DH129" s="64">
        <f>($D129-$D130)*100</f>
        <v/>
      </c>
      <c r="DI129" s="64">
        <f>($E129-$E130)*100</f>
        <v/>
      </c>
      <c r="DJ129" s="64">
        <f>($H129-$H130)*100</f>
        <v/>
      </c>
      <c r="DK129" s="65">
        <f>IFERROR($J129/$J130-1,"")</f>
        <v/>
      </c>
      <c r="DL129" s="64">
        <f>$L129-$L130</f>
        <v/>
      </c>
      <c r="DM129" s="64">
        <f>$K129-$K130</f>
        <v/>
      </c>
      <c r="DN129" s="65">
        <f>IFERROR($N129/$N130-1,"")</f>
        <v/>
      </c>
      <c r="DO129" s="65">
        <f>IFERROR($M129/$M130-1,"")</f>
        <v/>
      </c>
      <c r="DP129" s="65">
        <f>IFERROR($AZ129/$AZ130-1,"")</f>
        <v/>
      </c>
      <c r="DQ129" s="65">
        <f>IFERROR($BA129/$BA130-1,"")</f>
        <v/>
      </c>
      <c r="DR129" s="64">
        <f>$O129-$O130</f>
        <v/>
      </c>
      <c r="DS129" s="64">
        <f>$P129-$P130</f>
        <v/>
      </c>
      <c r="DT129" s="64">
        <f>$Q129-$Q130</f>
        <v/>
      </c>
      <c r="DU129" s="64">
        <f>$S129-$S130</f>
        <v/>
      </c>
      <c r="DV129" s="65">
        <f>IFERROR(AVERAGE($AA130/$AA129-1,$AB130/$AB129-1,$AC130/$AC129-1,$AD130/$AD129-1,$AE130/$AE129-1,$AG130/$AG129-1,$AH130/$AH129-1,$AI130/$AI129-1,$AJ130/$AJ129-1,$AL130/$AL129-1,$AM130/$AM129-1,$AR130/$AR129-1,$AS130/$AS129-1,$AT130/$AT129-1,$AU130/$AU129-1,$AV130/$AV129-1,$AW130/$AW129-1,$AX130/$AX129-1,$AY130/$AY129-1),"")</f>
        <v/>
      </c>
      <c r="DW129" s="66">
        <f>AVERAGE($CB129,$CC129,$CD129,$CE129,$CF129,$CG129,$CH129,$CI129,$CJ129,$CL129,$CM129,$CN129,$CO129,$CP129,$CQ129,$CR129,$CS129,$CT129)</f>
        <v/>
      </c>
      <c r="DX129" s="66">
        <f>AVERAGE($CB129,$CC129,$CM129,$CE129,$CP129)</f>
        <v/>
      </c>
      <c r="DY129" s="64">
        <f>($DW129-$DW130)*100</f>
        <v/>
      </c>
      <c r="DZ129" s="64">
        <f>($DX129-$DX130)*100</f>
        <v/>
      </c>
      <c r="EA129" s="64">
        <f>($DW129-$D129)*100</f>
        <v/>
      </c>
      <c r="EB129" s="64">
        <f>$Q129-$O129</f>
        <v/>
      </c>
      <c r="EC129" s="67">
        <f>IFERROR($Q129/$P129,"")</f>
        <v/>
      </c>
    </row>
    <row r="130">
      <c r="DG130" s="64">
        <f>($B130-$B131)*100</f>
        <v/>
      </c>
      <c r="DH130" s="64">
        <f>($D130-$D131)*100</f>
        <v/>
      </c>
      <c r="DI130" s="64">
        <f>($E130-$E131)*100</f>
        <v/>
      </c>
      <c r="DJ130" s="64">
        <f>($H130-$H131)*100</f>
        <v/>
      </c>
      <c r="DK130" s="65">
        <f>IFERROR($J130/$J131-1,"")</f>
        <v/>
      </c>
      <c r="DL130" s="64">
        <f>$L130-$L131</f>
        <v/>
      </c>
      <c r="DM130" s="64">
        <f>$K130-$K131</f>
        <v/>
      </c>
      <c r="DN130" s="65">
        <f>IFERROR($N130/$N131-1,"")</f>
        <v/>
      </c>
      <c r="DO130" s="65">
        <f>IFERROR($M130/$M131-1,"")</f>
        <v/>
      </c>
      <c r="DP130" s="65">
        <f>IFERROR($AZ130/$AZ131-1,"")</f>
        <v/>
      </c>
      <c r="DQ130" s="65">
        <f>IFERROR($BA130/$BA131-1,"")</f>
        <v/>
      </c>
      <c r="DR130" s="64">
        <f>$O130-$O131</f>
        <v/>
      </c>
      <c r="DS130" s="64">
        <f>$P130-$P131</f>
        <v/>
      </c>
      <c r="DT130" s="64">
        <f>$Q130-$Q131</f>
        <v/>
      </c>
      <c r="DU130" s="64">
        <f>$S130-$S131</f>
        <v/>
      </c>
      <c r="DV130" s="65">
        <f>IFERROR(AVERAGE($AA131/$AA130-1,$AB131/$AB130-1,$AC131/$AC130-1,$AD131/$AD130-1,$AE131/$AE130-1,$AG131/$AG130-1,$AH131/$AH130-1,$AI131/$AI130-1,$AJ131/$AJ130-1,$AL131/$AL130-1,$AM131/$AM130-1,$AR131/$AR130-1,$AS131/$AS130-1,$AT131/$AT130-1,$AU131/$AU130-1,$AV131/$AV130-1,$AW131/$AW130-1,$AX131/$AX130-1,$AY131/$AY130-1),"")</f>
        <v/>
      </c>
      <c r="DW130" s="66">
        <f>AVERAGE($CB130,$CC130,$CD130,$CE130,$CF130,$CG130,$CH130,$CI130,$CJ130,$CL130,$CM130,$CN130,$CO130,$CP130,$CQ130,$CR130,$CS130,$CT130)</f>
        <v/>
      </c>
      <c r="DX130" s="66">
        <f>AVERAGE($CB130,$CC130,$CM130,$CE130,$CP130)</f>
        <v/>
      </c>
      <c r="DY130" s="64">
        <f>($DW130-$DW131)*100</f>
        <v/>
      </c>
      <c r="DZ130" s="64">
        <f>($DX130-$DX131)*100</f>
        <v/>
      </c>
      <c r="EA130" s="64">
        <f>($DW130-$D130)*100</f>
        <v/>
      </c>
      <c r="EB130" s="64">
        <f>$Q130-$O130</f>
        <v/>
      </c>
      <c r="EC130" s="67">
        <f>IFERROR($Q130/$P130,"")</f>
        <v/>
      </c>
    </row>
    <row r="131">
      <c r="DG131" s="64">
        <f>($B131-$B132)*100</f>
        <v/>
      </c>
      <c r="DH131" s="64">
        <f>($D131-$D132)*100</f>
        <v/>
      </c>
      <c r="DI131" s="64">
        <f>($E131-$E132)*100</f>
        <v/>
      </c>
      <c r="DJ131" s="64">
        <f>($H131-$H132)*100</f>
        <v/>
      </c>
      <c r="DK131" s="65">
        <f>IFERROR($J131/$J132-1,"")</f>
        <v/>
      </c>
      <c r="DL131" s="64">
        <f>$L131-$L132</f>
        <v/>
      </c>
      <c r="DM131" s="64">
        <f>$K131-$K132</f>
        <v/>
      </c>
      <c r="DN131" s="65">
        <f>IFERROR($N131/$N132-1,"")</f>
        <v/>
      </c>
      <c r="DO131" s="65">
        <f>IFERROR($M131/$M132-1,"")</f>
        <v/>
      </c>
      <c r="DP131" s="65">
        <f>IFERROR($AZ131/$AZ132-1,"")</f>
        <v/>
      </c>
      <c r="DQ131" s="65">
        <f>IFERROR($BA131/$BA132-1,"")</f>
        <v/>
      </c>
      <c r="DR131" s="64">
        <f>$O131-$O132</f>
        <v/>
      </c>
      <c r="DS131" s="64">
        <f>$P131-$P132</f>
        <v/>
      </c>
      <c r="DT131" s="64">
        <f>$Q131-$Q132</f>
        <v/>
      </c>
      <c r="DU131" s="64">
        <f>$S131-$S132</f>
        <v/>
      </c>
      <c r="DV131" s="65">
        <f>IFERROR(AVERAGE($AA132/$AA131-1,$AB132/$AB131-1,$AC132/$AC131-1,$AD132/$AD131-1,$AE132/$AE131-1,$AG132/$AG131-1,$AH132/$AH131-1,$AI132/$AI131-1,$AJ132/$AJ131-1,$AL132/$AL131-1,$AM132/$AM131-1,$AR132/$AR131-1,$AS132/$AS131-1,$AT132/$AT131-1,$AU132/$AU131-1,$AV132/$AV131-1,$AW132/$AW131-1,$AX132/$AX131-1,$AY132/$AY131-1),"")</f>
        <v/>
      </c>
      <c r="DW131" s="66">
        <f>AVERAGE($CB131,$CC131,$CD131,$CE131,$CF131,$CG131,$CH131,$CI131,$CJ131,$CL131,$CM131,$CN131,$CO131,$CP131,$CQ131,$CR131,$CS131,$CT131)</f>
        <v/>
      </c>
      <c r="DX131" s="66">
        <f>AVERAGE($CB131,$CC131,$CM131,$CE131,$CP131)</f>
        <v/>
      </c>
      <c r="DY131" s="64">
        <f>($DW131-$DW132)*100</f>
        <v/>
      </c>
      <c r="DZ131" s="64">
        <f>($DX131-$DX132)*100</f>
        <v/>
      </c>
      <c r="EA131" s="64">
        <f>($DW131-$D131)*100</f>
        <v/>
      </c>
      <c r="EB131" s="64">
        <f>$Q131-$O131</f>
        <v/>
      </c>
      <c r="EC131" s="67">
        <f>IFERROR($Q131/$P131,"")</f>
        <v/>
      </c>
    </row>
    <row r="132">
      <c r="DG132" s="64">
        <f>($B132-$B133)*100</f>
        <v/>
      </c>
      <c r="DH132" s="64">
        <f>($D132-$D133)*100</f>
        <v/>
      </c>
      <c r="DI132" s="64">
        <f>($E132-$E133)*100</f>
        <v/>
      </c>
      <c r="DJ132" s="64">
        <f>($H132-$H133)*100</f>
        <v/>
      </c>
      <c r="DK132" s="65">
        <f>IFERROR($J132/$J133-1,"")</f>
        <v/>
      </c>
      <c r="DL132" s="64">
        <f>$L132-$L133</f>
        <v/>
      </c>
      <c r="DM132" s="64">
        <f>$K132-$K133</f>
        <v/>
      </c>
      <c r="DN132" s="65">
        <f>IFERROR($N132/$N133-1,"")</f>
        <v/>
      </c>
      <c r="DO132" s="65">
        <f>IFERROR($M132/$M133-1,"")</f>
        <v/>
      </c>
      <c r="DP132" s="65">
        <f>IFERROR($AZ132/$AZ133-1,"")</f>
        <v/>
      </c>
      <c r="DQ132" s="65">
        <f>IFERROR($BA132/$BA133-1,"")</f>
        <v/>
      </c>
      <c r="DR132" s="64">
        <f>$O132-$O133</f>
        <v/>
      </c>
      <c r="DS132" s="64">
        <f>$P132-$P133</f>
        <v/>
      </c>
      <c r="DT132" s="64">
        <f>$Q132-$Q133</f>
        <v/>
      </c>
      <c r="DU132" s="64">
        <f>$S132-$S133</f>
        <v/>
      </c>
      <c r="DV132" s="65">
        <f>IFERROR(AVERAGE($AA133/$AA132-1,$AB133/$AB132-1,$AC133/$AC132-1,$AD133/$AD132-1,$AE133/$AE132-1,$AG133/$AG132-1,$AH133/$AH132-1,$AI133/$AI132-1,$AJ133/$AJ132-1,$AL133/$AL132-1,$AM133/$AM132-1,$AR133/$AR132-1,$AS133/$AS132-1,$AT133/$AT132-1,$AU133/$AU132-1,$AV133/$AV132-1,$AW133/$AW132-1,$AX133/$AX132-1,$AY133/$AY132-1),"")</f>
        <v/>
      </c>
      <c r="DW132" s="66">
        <f>AVERAGE($CB132,$CC132,$CD132,$CE132,$CF132,$CG132,$CH132,$CI132,$CJ132,$CL132,$CM132,$CN132,$CO132,$CP132,$CQ132,$CR132,$CS132,$CT132)</f>
        <v/>
      </c>
      <c r="DX132" s="66">
        <f>AVERAGE($CB132,$CC132,$CM132,$CE132,$CP132)</f>
        <v/>
      </c>
      <c r="DY132" s="64">
        <f>($DW132-$DW133)*100</f>
        <v/>
      </c>
      <c r="DZ132" s="64">
        <f>($DX132-$DX133)*100</f>
        <v/>
      </c>
      <c r="EA132" s="64">
        <f>($DW132-$D132)*100</f>
        <v/>
      </c>
      <c r="EB132" s="64">
        <f>$Q132-$O132</f>
        <v/>
      </c>
      <c r="EC132" s="67">
        <f>IFERROR($Q132/$P132,"")</f>
        <v/>
      </c>
    </row>
    <row r="133">
      <c r="DG133" s="64">
        <f>($B133-$B134)*100</f>
        <v/>
      </c>
      <c r="DH133" s="64">
        <f>($D133-$D134)*100</f>
        <v/>
      </c>
      <c r="DI133" s="64">
        <f>($E133-$E134)*100</f>
        <v/>
      </c>
      <c r="DJ133" s="64">
        <f>($H133-$H134)*100</f>
        <v/>
      </c>
      <c r="DK133" s="65">
        <f>IFERROR($J133/$J134-1,"")</f>
        <v/>
      </c>
      <c r="DL133" s="64">
        <f>$L133-$L134</f>
        <v/>
      </c>
      <c r="DM133" s="64">
        <f>$K133-$K134</f>
        <v/>
      </c>
      <c r="DN133" s="65">
        <f>IFERROR($N133/$N134-1,"")</f>
        <v/>
      </c>
      <c r="DO133" s="65">
        <f>IFERROR($M133/$M134-1,"")</f>
        <v/>
      </c>
      <c r="DP133" s="65">
        <f>IFERROR($AZ133/$AZ134-1,"")</f>
        <v/>
      </c>
      <c r="DQ133" s="65">
        <f>IFERROR($BA133/$BA134-1,"")</f>
        <v/>
      </c>
      <c r="DR133" s="64">
        <f>$O133-$O134</f>
        <v/>
      </c>
      <c r="DS133" s="64">
        <f>$P133-$P134</f>
        <v/>
      </c>
      <c r="DT133" s="64">
        <f>$Q133-$Q134</f>
        <v/>
      </c>
      <c r="DU133" s="64">
        <f>$S133-$S134</f>
        <v/>
      </c>
      <c r="DV133" s="65">
        <f>IFERROR(AVERAGE($AA134/$AA133-1,$AB134/$AB133-1,$AC134/$AC133-1,$AD134/$AD133-1,$AE134/$AE133-1,$AG134/$AG133-1,$AH134/$AH133-1,$AI134/$AI133-1,$AJ134/$AJ133-1,$AL134/$AL133-1,$AM134/$AM133-1,$AR134/$AR133-1,$AS134/$AS133-1,$AT134/$AT133-1,$AU134/$AU133-1,$AV134/$AV133-1,$AW134/$AW133-1,$AX134/$AX133-1,$AY134/$AY133-1),"")</f>
        <v/>
      </c>
      <c r="DW133" s="66">
        <f>AVERAGE($CB133,$CC133,$CD133,$CE133,$CF133,$CG133,$CH133,$CI133,$CJ133,$CL133,$CM133,$CN133,$CO133,$CP133,$CQ133,$CR133,$CS133,$CT133)</f>
        <v/>
      </c>
      <c r="DX133" s="66">
        <f>AVERAGE($CB133,$CC133,$CM133,$CE133,$CP133)</f>
        <v/>
      </c>
      <c r="DY133" s="64">
        <f>($DW133-$DW134)*100</f>
        <v/>
      </c>
      <c r="DZ133" s="64">
        <f>($DX133-$DX134)*100</f>
        <v/>
      </c>
      <c r="EA133" s="64">
        <f>($DW133-$D133)*100</f>
        <v/>
      </c>
      <c r="EB133" s="64">
        <f>$Q133-$O133</f>
        <v/>
      </c>
      <c r="EC133" s="67">
        <f>IFERROR($Q133/$P133,"")</f>
        <v/>
      </c>
    </row>
    <row r="134">
      <c r="DG134" s="64">
        <f>($B134-$B135)*100</f>
        <v/>
      </c>
      <c r="DH134" s="64">
        <f>($D134-$D135)*100</f>
        <v/>
      </c>
      <c r="DI134" s="64">
        <f>($E134-$E135)*100</f>
        <v/>
      </c>
      <c r="DJ134" s="64">
        <f>($H134-$H135)*100</f>
        <v/>
      </c>
      <c r="DK134" s="65">
        <f>IFERROR($J134/$J135-1,"")</f>
        <v/>
      </c>
      <c r="DL134" s="64">
        <f>$L134-$L135</f>
        <v/>
      </c>
      <c r="DM134" s="64">
        <f>$K134-$K135</f>
        <v/>
      </c>
      <c r="DN134" s="65">
        <f>IFERROR($N134/$N135-1,"")</f>
        <v/>
      </c>
      <c r="DO134" s="65">
        <f>IFERROR($M134/$M135-1,"")</f>
        <v/>
      </c>
      <c r="DP134" s="65">
        <f>IFERROR($AZ134/$AZ135-1,"")</f>
        <v/>
      </c>
      <c r="DQ134" s="65">
        <f>IFERROR($BA134/$BA135-1,"")</f>
        <v/>
      </c>
      <c r="DR134" s="64">
        <f>$O134-$O135</f>
        <v/>
      </c>
      <c r="DS134" s="64">
        <f>$P134-$P135</f>
        <v/>
      </c>
      <c r="DT134" s="64">
        <f>$Q134-$Q135</f>
        <v/>
      </c>
      <c r="DU134" s="64">
        <f>$S134-$S135</f>
        <v/>
      </c>
      <c r="DV134" s="65">
        <f>IFERROR(AVERAGE($AA135/$AA134-1,$AB135/$AB134-1,$AC135/$AC134-1,$AD135/$AD134-1,$AE135/$AE134-1,$AG135/$AG134-1,$AH135/$AH134-1,$AI135/$AI134-1,$AJ135/$AJ134-1,$AL135/$AL134-1,$AM135/$AM134-1,$AR135/$AR134-1,$AS135/$AS134-1,$AT135/$AT134-1,$AU135/$AU134-1,$AV135/$AV134-1,$AW135/$AW134-1,$AX135/$AX134-1,$AY135/$AY134-1),"")</f>
        <v/>
      </c>
      <c r="DW134" s="66">
        <f>AVERAGE($CB134,$CC134,$CD134,$CE134,$CF134,$CG134,$CH134,$CI134,$CJ134,$CL134,$CM134,$CN134,$CO134,$CP134,$CQ134,$CR134,$CS134,$CT134)</f>
        <v/>
      </c>
      <c r="DX134" s="66">
        <f>AVERAGE($CB134,$CC134,$CM134,$CE134,$CP134)</f>
        <v/>
      </c>
      <c r="DY134" s="64">
        <f>($DW134-$DW135)*100</f>
        <v/>
      </c>
      <c r="DZ134" s="64">
        <f>($DX134-$DX135)*100</f>
        <v/>
      </c>
      <c r="EA134" s="64">
        <f>($DW134-$D134)*100</f>
        <v/>
      </c>
      <c r="EB134" s="64">
        <f>$Q134-$O134</f>
        <v/>
      </c>
      <c r="EC134" s="67">
        <f>IFERROR($Q134/$P134,"")</f>
        <v/>
      </c>
    </row>
    <row r="135">
      <c r="DG135" s="64">
        <f>($B135-$B136)*100</f>
        <v/>
      </c>
      <c r="DH135" s="64">
        <f>($D135-$D136)*100</f>
        <v/>
      </c>
      <c r="DI135" s="64">
        <f>($E135-$E136)*100</f>
        <v/>
      </c>
      <c r="DJ135" s="64">
        <f>($H135-$H136)*100</f>
        <v/>
      </c>
      <c r="DK135" s="65">
        <f>IFERROR($J135/$J136-1,"")</f>
        <v/>
      </c>
      <c r="DL135" s="64">
        <f>$L135-$L136</f>
        <v/>
      </c>
      <c r="DM135" s="64">
        <f>$K135-$K136</f>
        <v/>
      </c>
      <c r="DN135" s="65">
        <f>IFERROR($N135/$N136-1,"")</f>
        <v/>
      </c>
      <c r="DO135" s="65">
        <f>IFERROR($M135/$M136-1,"")</f>
        <v/>
      </c>
      <c r="DP135" s="65">
        <f>IFERROR($AZ135/$AZ136-1,"")</f>
        <v/>
      </c>
      <c r="DQ135" s="65">
        <f>IFERROR($BA135/$BA136-1,"")</f>
        <v/>
      </c>
      <c r="DR135" s="64">
        <f>$O135-$O136</f>
        <v/>
      </c>
      <c r="DS135" s="64">
        <f>$P135-$P136</f>
        <v/>
      </c>
      <c r="DT135" s="64">
        <f>$Q135-$Q136</f>
        <v/>
      </c>
      <c r="DU135" s="64">
        <f>$S135-$S136</f>
        <v/>
      </c>
      <c r="DV135" s="65">
        <f>IFERROR(AVERAGE($AA136/$AA135-1,$AB136/$AB135-1,$AC136/$AC135-1,$AD136/$AD135-1,$AE136/$AE135-1,$AG136/$AG135-1,$AH136/$AH135-1,$AI136/$AI135-1,$AJ136/$AJ135-1,$AL136/$AL135-1,$AM136/$AM135-1,$AR136/$AR135-1,$AS136/$AS135-1,$AT136/$AT135-1,$AU136/$AU135-1,$AV136/$AV135-1,$AW136/$AW135-1,$AX136/$AX135-1,$AY136/$AY135-1),"")</f>
        <v/>
      </c>
      <c r="DW135" s="66">
        <f>AVERAGE($CB135,$CC135,$CD135,$CE135,$CF135,$CG135,$CH135,$CI135,$CJ135,$CL135,$CM135,$CN135,$CO135,$CP135,$CQ135,$CR135,$CS135,$CT135)</f>
        <v/>
      </c>
      <c r="DX135" s="66">
        <f>AVERAGE($CB135,$CC135,$CM135,$CE135,$CP135)</f>
        <v/>
      </c>
      <c r="DY135" s="64">
        <f>($DW135-$DW136)*100</f>
        <v/>
      </c>
      <c r="DZ135" s="64">
        <f>($DX135-$DX136)*100</f>
        <v/>
      </c>
      <c r="EA135" s="64">
        <f>($DW135-$D135)*100</f>
        <v/>
      </c>
      <c r="EB135" s="64">
        <f>$Q135-$O135</f>
        <v/>
      </c>
      <c r="EC135" s="67">
        <f>IFERROR($Q135/$P135,"")</f>
        <v/>
      </c>
    </row>
    <row r="136">
      <c r="DG136" s="64">
        <f>($B136-$B137)*100</f>
        <v/>
      </c>
      <c r="DH136" s="64">
        <f>($D136-$D137)*100</f>
        <v/>
      </c>
      <c r="DI136" s="64">
        <f>($E136-$E137)*100</f>
        <v/>
      </c>
      <c r="DJ136" s="64">
        <f>($H136-$H137)*100</f>
        <v/>
      </c>
      <c r="DK136" s="65">
        <f>IFERROR($J136/$J137-1,"")</f>
        <v/>
      </c>
      <c r="DL136" s="64">
        <f>$L136-$L137</f>
        <v/>
      </c>
      <c r="DM136" s="64">
        <f>$K136-$K137</f>
        <v/>
      </c>
      <c r="DN136" s="65">
        <f>IFERROR($N136/$N137-1,"")</f>
        <v/>
      </c>
      <c r="DO136" s="65">
        <f>IFERROR($M136/$M137-1,"")</f>
        <v/>
      </c>
      <c r="DP136" s="65">
        <f>IFERROR($AZ136/$AZ137-1,"")</f>
        <v/>
      </c>
      <c r="DQ136" s="65">
        <f>IFERROR($BA136/$BA137-1,"")</f>
        <v/>
      </c>
      <c r="DR136" s="64">
        <f>$O136-$O137</f>
        <v/>
      </c>
      <c r="DS136" s="64">
        <f>$P136-$P137</f>
        <v/>
      </c>
      <c r="DT136" s="64">
        <f>$Q136-$Q137</f>
        <v/>
      </c>
      <c r="DU136" s="64">
        <f>$S136-$S137</f>
        <v/>
      </c>
      <c r="DV136" s="65">
        <f>IFERROR(AVERAGE($AA137/$AA136-1,$AB137/$AB136-1,$AC137/$AC136-1,$AD137/$AD136-1,$AE137/$AE136-1,$AG137/$AG136-1,$AH137/$AH136-1,$AI137/$AI136-1,$AJ137/$AJ136-1,$AL137/$AL136-1,$AM137/$AM136-1,$AR137/$AR136-1,$AS137/$AS136-1,$AT137/$AT136-1,$AU137/$AU136-1,$AV137/$AV136-1,$AW137/$AW136-1,$AX137/$AX136-1,$AY137/$AY136-1),"")</f>
        <v/>
      </c>
      <c r="DW136" s="66">
        <f>AVERAGE($CB136,$CC136,$CD136,$CE136,$CF136,$CG136,$CH136,$CI136,$CJ136,$CL136,$CM136,$CN136,$CO136,$CP136,$CQ136,$CR136,$CS136,$CT136)</f>
        <v/>
      </c>
      <c r="DX136" s="66">
        <f>AVERAGE($CB136,$CC136,$CM136,$CE136,$CP136)</f>
        <v/>
      </c>
      <c r="DY136" s="64">
        <f>($DW136-$DW137)*100</f>
        <v/>
      </c>
      <c r="DZ136" s="64">
        <f>($DX136-$DX137)*100</f>
        <v/>
      </c>
      <c r="EA136" s="64">
        <f>($DW136-$D136)*100</f>
        <v/>
      </c>
      <c r="EB136" s="64">
        <f>$Q136-$O136</f>
        <v/>
      </c>
      <c r="EC136" s="67">
        <f>IFERROR($Q136/$P136,"")</f>
        <v/>
      </c>
    </row>
    <row r="137">
      <c r="DG137" s="64">
        <f>($B137-$B138)*100</f>
        <v/>
      </c>
      <c r="DH137" s="64">
        <f>($D137-$D138)*100</f>
        <v/>
      </c>
      <c r="DI137" s="64">
        <f>($E137-$E138)*100</f>
        <v/>
      </c>
      <c r="DJ137" s="64">
        <f>($H137-$H138)*100</f>
        <v/>
      </c>
      <c r="DK137" s="65">
        <f>IFERROR($J137/$J138-1,"")</f>
        <v/>
      </c>
      <c r="DL137" s="64">
        <f>$L137-$L138</f>
        <v/>
      </c>
      <c r="DM137" s="64">
        <f>$K137-$K138</f>
        <v/>
      </c>
      <c r="DN137" s="65">
        <f>IFERROR($N137/$N138-1,"")</f>
        <v/>
      </c>
      <c r="DO137" s="65">
        <f>IFERROR($M137/$M138-1,"")</f>
        <v/>
      </c>
      <c r="DP137" s="65">
        <f>IFERROR($AZ137/$AZ138-1,"")</f>
        <v/>
      </c>
      <c r="DQ137" s="65">
        <f>IFERROR($BA137/$BA138-1,"")</f>
        <v/>
      </c>
      <c r="DR137" s="64">
        <f>$O137-$O138</f>
        <v/>
      </c>
      <c r="DS137" s="64">
        <f>$P137-$P138</f>
        <v/>
      </c>
      <c r="DT137" s="64">
        <f>$Q137-$Q138</f>
        <v/>
      </c>
      <c r="DU137" s="64">
        <f>$S137-$S138</f>
        <v/>
      </c>
      <c r="DV137" s="65">
        <f>IFERROR(AVERAGE($AA138/$AA137-1,$AB138/$AB137-1,$AC138/$AC137-1,$AD138/$AD137-1,$AE138/$AE137-1,$AG138/$AG137-1,$AH138/$AH137-1,$AI138/$AI137-1,$AJ138/$AJ137-1,$AL138/$AL137-1,$AM138/$AM137-1,$AR138/$AR137-1,$AS138/$AS137-1,$AT138/$AT137-1,$AU138/$AU137-1,$AV138/$AV137-1,$AW138/$AW137-1,$AX138/$AX137-1,$AY138/$AY137-1),"")</f>
        <v/>
      </c>
      <c r="DW137" s="66">
        <f>AVERAGE($CB137,$CC137,$CD137,$CE137,$CF137,$CG137,$CH137,$CI137,$CJ137,$CL137,$CM137,$CN137,$CO137,$CP137,$CQ137,$CR137,$CS137,$CT137)</f>
        <v/>
      </c>
      <c r="DX137" s="66">
        <f>AVERAGE($CB137,$CC137,$CM137,$CE137,$CP137)</f>
        <v/>
      </c>
      <c r="DY137" s="64">
        <f>($DW137-$DW138)*100</f>
        <v/>
      </c>
      <c r="DZ137" s="64">
        <f>($DX137-$DX138)*100</f>
        <v/>
      </c>
      <c r="EA137" s="64">
        <f>($DW137-$D137)*100</f>
        <v/>
      </c>
      <c r="EB137" s="64">
        <f>$Q137-$O137</f>
        <v/>
      </c>
      <c r="EC137" s="67">
        <f>IFERROR($Q137/$P137,"")</f>
        <v/>
      </c>
    </row>
    <row r="138">
      <c r="DG138" s="64">
        <f>($B138-$B139)*100</f>
        <v/>
      </c>
      <c r="DH138" s="64">
        <f>($D138-$D139)*100</f>
        <v/>
      </c>
      <c r="DI138" s="64">
        <f>($E138-$E139)*100</f>
        <v/>
      </c>
      <c r="DJ138" s="64">
        <f>($H138-$H139)*100</f>
        <v/>
      </c>
      <c r="DK138" s="65">
        <f>IFERROR($J138/$J139-1,"")</f>
        <v/>
      </c>
      <c r="DL138" s="64">
        <f>$L138-$L139</f>
        <v/>
      </c>
      <c r="DM138" s="64">
        <f>$K138-$K139</f>
        <v/>
      </c>
      <c r="DN138" s="65">
        <f>IFERROR($N138/$N139-1,"")</f>
        <v/>
      </c>
      <c r="DO138" s="65">
        <f>IFERROR($M138/$M139-1,"")</f>
        <v/>
      </c>
      <c r="DP138" s="65">
        <f>IFERROR($AZ138/$AZ139-1,"")</f>
        <v/>
      </c>
      <c r="DQ138" s="65">
        <f>IFERROR($BA138/$BA139-1,"")</f>
        <v/>
      </c>
      <c r="DR138" s="64">
        <f>$O138-$O139</f>
        <v/>
      </c>
      <c r="DS138" s="64">
        <f>$P138-$P139</f>
        <v/>
      </c>
      <c r="DT138" s="64">
        <f>$Q138-$Q139</f>
        <v/>
      </c>
      <c r="DU138" s="64">
        <f>$S138-$S139</f>
        <v/>
      </c>
      <c r="DV138" s="65">
        <f>IFERROR(AVERAGE($AA139/$AA138-1,$AB139/$AB138-1,$AC139/$AC138-1,$AD139/$AD138-1,$AE139/$AE138-1,$AG139/$AG138-1,$AH139/$AH138-1,$AI139/$AI138-1,$AJ139/$AJ138-1,$AL139/$AL138-1,$AM139/$AM138-1,$AR139/$AR138-1,$AS139/$AS138-1,$AT139/$AT138-1,$AU139/$AU138-1,$AV139/$AV138-1,$AW139/$AW138-1,$AX139/$AX138-1,$AY139/$AY138-1),"")</f>
        <v/>
      </c>
      <c r="DW138" s="66">
        <f>AVERAGE($CB138,$CC138,$CD138,$CE138,$CF138,$CG138,$CH138,$CI138,$CJ138,$CL138,$CM138,$CN138,$CO138,$CP138,$CQ138,$CR138,$CS138,$CT138)</f>
        <v/>
      </c>
      <c r="DX138" s="66">
        <f>AVERAGE($CB138,$CC138,$CM138,$CE138,$CP138)</f>
        <v/>
      </c>
      <c r="DY138" s="64">
        <f>($DW138-$DW139)*100</f>
        <v/>
      </c>
      <c r="DZ138" s="64">
        <f>($DX138-$DX139)*100</f>
        <v/>
      </c>
      <c r="EA138" s="64">
        <f>($DW138-$D138)*100</f>
        <v/>
      </c>
      <c r="EB138" s="64">
        <f>$Q138-$O138</f>
        <v/>
      </c>
      <c r="EC138" s="67">
        <f>IFERROR($Q138/$P138,"")</f>
        <v/>
      </c>
    </row>
    <row r="139">
      <c r="DG139" s="64">
        <f>($B139-$B140)*100</f>
        <v/>
      </c>
      <c r="DH139" s="64">
        <f>($D139-$D140)*100</f>
        <v/>
      </c>
      <c r="DI139" s="64">
        <f>($E139-$E140)*100</f>
        <v/>
      </c>
      <c r="DJ139" s="64">
        <f>($H139-$H140)*100</f>
        <v/>
      </c>
      <c r="DK139" s="65">
        <f>IFERROR($J139/$J140-1,"")</f>
        <v/>
      </c>
      <c r="DL139" s="64">
        <f>$L139-$L140</f>
        <v/>
      </c>
      <c r="DM139" s="64">
        <f>$K139-$K140</f>
        <v/>
      </c>
      <c r="DN139" s="65">
        <f>IFERROR($N139/$N140-1,"")</f>
        <v/>
      </c>
      <c r="DO139" s="65">
        <f>IFERROR($M139/$M140-1,"")</f>
        <v/>
      </c>
      <c r="DP139" s="65">
        <f>IFERROR($AZ139/$AZ140-1,"")</f>
        <v/>
      </c>
      <c r="DQ139" s="65">
        <f>IFERROR($BA139/$BA140-1,"")</f>
        <v/>
      </c>
      <c r="DR139" s="64">
        <f>$O139-$O140</f>
        <v/>
      </c>
      <c r="DS139" s="64">
        <f>$P139-$P140</f>
        <v/>
      </c>
      <c r="DT139" s="64">
        <f>$Q139-$Q140</f>
        <v/>
      </c>
      <c r="DU139" s="64">
        <f>$S139-$S140</f>
        <v/>
      </c>
      <c r="DV139" s="65">
        <f>IFERROR(AVERAGE($AA140/$AA139-1,$AB140/$AB139-1,$AC140/$AC139-1,$AD140/$AD139-1,$AE140/$AE139-1,$AG140/$AG139-1,$AH140/$AH139-1,$AI140/$AI139-1,$AJ140/$AJ139-1,$AL140/$AL139-1,$AM140/$AM139-1,$AR140/$AR139-1,$AS140/$AS139-1,$AT140/$AT139-1,$AU140/$AU139-1,$AV140/$AV139-1,$AW140/$AW139-1,$AX140/$AX139-1,$AY140/$AY139-1),"")</f>
        <v/>
      </c>
      <c r="DW139" s="66">
        <f>AVERAGE($CB139,$CC139,$CD139,$CE139,$CF139,$CG139,$CH139,$CI139,$CJ139,$CL139,$CM139,$CN139,$CO139,$CP139,$CQ139,$CR139,$CS139,$CT139)</f>
        <v/>
      </c>
      <c r="DX139" s="66">
        <f>AVERAGE($CB139,$CC139,$CM139,$CE139,$CP139)</f>
        <v/>
      </c>
      <c r="DY139" s="64">
        <f>($DW139-$DW140)*100</f>
        <v/>
      </c>
      <c r="DZ139" s="64">
        <f>($DX139-$DX140)*100</f>
        <v/>
      </c>
      <c r="EA139" s="64">
        <f>($DW139-$D139)*100</f>
        <v/>
      </c>
      <c r="EB139" s="64">
        <f>$Q139-$O139</f>
        <v/>
      </c>
      <c r="EC139" s="67">
        <f>IFERROR($Q139/$P139,"")</f>
        <v/>
      </c>
    </row>
    <row r="140">
      <c r="DG140" s="64">
        <f>($B140-$B141)*100</f>
        <v/>
      </c>
      <c r="DH140" s="64">
        <f>($D140-$D141)*100</f>
        <v/>
      </c>
      <c r="DI140" s="64">
        <f>($E140-$E141)*100</f>
        <v/>
      </c>
      <c r="DJ140" s="64">
        <f>($H140-$H141)*100</f>
        <v/>
      </c>
      <c r="DK140" s="65">
        <f>IFERROR($J140/$J141-1,"")</f>
        <v/>
      </c>
      <c r="DL140" s="64">
        <f>$L140-$L141</f>
        <v/>
      </c>
      <c r="DM140" s="64">
        <f>$K140-$K141</f>
        <v/>
      </c>
      <c r="DN140" s="65">
        <f>IFERROR($N140/$N141-1,"")</f>
        <v/>
      </c>
      <c r="DO140" s="65">
        <f>IFERROR($M140/$M141-1,"")</f>
        <v/>
      </c>
      <c r="DP140" s="65">
        <f>IFERROR($AZ140/$AZ141-1,"")</f>
        <v/>
      </c>
      <c r="DQ140" s="65">
        <f>IFERROR($BA140/$BA141-1,"")</f>
        <v/>
      </c>
      <c r="DR140" s="64">
        <f>$O140-$O141</f>
        <v/>
      </c>
      <c r="DS140" s="64">
        <f>$P140-$P141</f>
        <v/>
      </c>
      <c r="DT140" s="64">
        <f>$Q140-$Q141</f>
        <v/>
      </c>
      <c r="DU140" s="64">
        <f>$S140-$S141</f>
        <v/>
      </c>
      <c r="DV140" s="65">
        <f>IFERROR(AVERAGE($AA141/$AA140-1,$AB141/$AB140-1,$AC141/$AC140-1,$AD141/$AD140-1,$AE141/$AE140-1,$AG141/$AG140-1,$AH141/$AH140-1,$AI141/$AI140-1,$AJ141/$AJ140-1,$AL141/$AL140-1,$AM141/$AM140-1,$AR141/$AR140-1,$AS141/$AS140-1,$AT141/$AT140-1,$AU141/$AU140-1,$AV141/$AV140-1,$AW141/$AW140-1,$AX141/$AX140-1,$AY141/$AY140-1),"")</f>
        <v/>
      </c>
      <c r="DW140" s="66">
        <f>AVERAGE($CB140,$CC140,$CD140,$CE140,$CF140,$CG140,$CH140,$CI140,$CJ140,$CL140,$CM140,$CN140,$CO140,$CP140,$CQ140,$CR140,$CS140,$CT140)</f>
        <v/>
      </c>
      <c r="DX140" s="66">
        <f>AVERAGE($CB140,$CC140,$CM140,$CE140,$CP140)</f>
        <v/>
      </c>
      <c r="DY140" s="64">
        <f>($DW140-$DW141)*100</f>
        <v/>
      </c>
      <c r="DZ140" s="64">
        <f>($DX140-$DX141)*100</f>
        <v/>
      </c>
      <c r="EA140" s="64">
        <f>($DW140-$D140)*100</f>
        <v/>
      </c>
      <c r="EB140" s="64">
        <f>$Q140-$O140</f>
        <v/>
      </c>
      <c r="EC140" s="67">
        <f>IFERROR($Q140/$P140,"")</f>
        <v/>
      </c>
    </row>
    <row r="141">
      <c r="DG141" s="64">
        <f>($B141-$B142)*100</f>
        <v/>
      </c>
      <c r="DH141" s="64">
        <f>($D141-$D142)*100</f>
        <v/>
      </c>
      <c r="DI141" s="64">
        <f>($E141-$E142)*100</f>
        <v/>
      </c>
      <c r="DJ141" s="64">
        <f>($H141-$H142)*100</f>
        <v/>
      </c>
      <c r="DK141" s="65">
        <f>IFERROR($J141/$J142-1,"")</f>
        <v/>
      </c>
      <c r="DL141" s="64">
        <f>$L141-$L142</f>
        <v/>
      </c>
      <c r="DM141" s="64">
        <f>$K141-$K142</f>
        <v/>
      </c>
      <c r="DN141" s="65">
        <f>IFERROR($N141/$N142-1,"")</f>
        <v/>
      </c>
      <c r="DO141" s="65">
        <f>IFERROR($M141/$M142-1,"")</f>
        <v/>
      </c>
      <c r="DP141" s="65">
        <f>IFERROR($AZ141/$AZ142-1,"")</f>
        <v/>
      </c>
      <c r="DQ141" s="65">
        <f>IFERROR($BA141/$BA142-1,"")</f>
        <v/>
      </c>
      <c r="DR141" s="64">
        <f>$O141-$O142</f>
        <v/>
      </c>
      <c r="DS141" s="64">
        <f>$P141-$P142</f>
        <v/>
      </c>
      <c r="DT141" s="64">
        <f>$Q141-$Q142</f>
        <v/>
      </c>
      <c r="DU141" s="64">
        <f>$S141-$S142</f>
        <v/>
      </c>
      <c r="DV141" s="65">
        <f>IFERROR(AVERAGE($AA142/$AA141-1,$AB142/$AB141-1,$AC142/$AC141-1,$AD142/$AD141-1,$AE142/$AE141-1,$AG142/$AG141-1,$AH142/$AH141-1,$AI142/$AI141-1,$AJ142/$AJ141-1,$AL142/$AL141-1,$AM142/$AM141-1,$AR142/$AR141-1,$AS142/$AS141-1,$AT142/$AT141-1,$AU142/$AU141-1,$AV142/$AV141-1,$AW142/$AW141-1,$AX142/$AX141-1,$AY142/$AY141-1),"")</f>
        <v/>
      </c>
      <c r="DW141" s="66">
        <f>AVERAGE($CB141,$CC141,$CD141,$CE141,$CF141,$CG141,$CH141,$CI141,$CJ141,$CL141,$CM141,$CN141,$CO141,$CP141,$CQ141,$CR141,$CS141,$CT141)</f>
        <v/>
      </c>
      <c r="DX141" s="66">
        <f>AVERAGE($CB141,$CC141,$CM141,$CE141,$CP141)</f>
        <v/>
      </c>
      <c r="DY141" s="64">
        <f>($DW141-$DW142)*100</f>
        <v/>
      </c>
      <c r="DZ141" s="64">
        <f>($DX141-$DX142)*100</f>
        <v/>
      </c>
      <c r="EA141" s="64">
        <f>($DW141-$D141)*100</f>
        <v/>
      </c>
      <c r="EB141" s="64">
        <f>$Q141-$O141</f>
        <v/>
      </c>
      <c r="EC141" s="67">
        <f>IFERROR($Q141/$P141,"")</f>
        <v/>
      </c>
    </row>
    <row r="142">
      <c r="DG142" s="64">
        <f>($B142-$B143)*100</f>
        <v/>
      </c>
      <c r="DH142" s="64">
        <f>($D142-$D143)*100</f>
        <v/>
      </c>
      <c r="DI142" s="64">
        <f>($E142-$E143)*100</f>
        <v/>
      </c>
      <c r="DJ142" s="64">
        <f>($H142-$H143)*100</f>
        <v/>
      </c>
      <c r="DK142" s="65">
        <f>IFERROR($J142/$J143-1,"")</f>
        <v/>
      </c>
      <c r="DL142" s="64">
        <f>$L142-$L143</f>
        <v/>
      </c>
      <c r="DM142" s="64">
        <f>$K142-$K143</f>
        <v/>
      </c>
      <c r="DN142" s="65">
        <f>IFERROR($N142/$N143-1,"")</f>
        <v/>
      </c>
      <c r="DO142" s="65">
        <f>IFERROR($M142/$M143-1,"")</f>
        <v/>
      </c>
      <c r="DP142" s="65">
        <f>IFERROR($AZ142/$AZ143-1,"")</f>
        <v/>
      </c>
      <c r="DQ142" s="65">
        <f>IFERROR($BA142/$BA143-1,"")</f>
        <v/>
      </c>
      <c r="DR142" s="64">
        <f>$O142-$O143</f>
        <v/>
      </c>
      <c r="DS142" s="64">
        <f>$P142-$P143</f>
        <v/>
      </c>
      <c r="DT142" s="64">
        <f>$Q142-$Q143</f>
        <v/>
      </c>
      <c r="DU142" s="64">
        <f>$S142-$S143</f>
        <v/>
      </c>
      <c r="DV142" s="65">
        <f>IFERROR(AVERAGE($AA143/$AA142-1,$AB143/$AB142-1,$AC143/$AC142-1,$AD143/$AD142-1,$AE143/$AE142-1,$AG143/$AG142-1,$AH143/$AH142-1,$AI143/$AI142-1,$AJ143/$AJ142-1,$AL143/$AL142-1,$AM143/$AM142-1,$AR143/$AR142-1,$AS143/$AS142-1,$AT143/$AT142-1,$AU143/$AU142-1,$AV143/$AV142-1,$AW143/$AW142-1,$AX143/$AX142-1,$AY143/$AY142-1),"")</f>
        <v/>
      </c>
      <c r="DW142" s="66">
        <f>AVERAGE($CB142,$CC142,$CD142,$CE142,$CF142,$CG142,$CH142,$CI142,$CJ142,$CL142,$CM142,$CN142,$CO142,$CP142,$CQ142,$CR142,$CS142,$CT142)</f>
        <v/>
      </c>
      <c r="DX142" s="66">
        <f>AVERAGE($CB142,$CC142,$CM142,$CE142,$CP142)</f>
        <v/>
      </c>
      <c r="DY142" s="64">
        <f>($DW142-$DW143)*100</f>
        <v/>
      </c>
      <c r="DZ142" s="64">
        <f>($DX142-$DX143)*100</f>
        <v/>
      </c>
      <c r="EA142" s="64">
        <f>($DW142-$D142)*100</f>
        <v/>
      </c>
      <c r="EB142" s="64">
        <f>$Q142-$O142</f>
        <v/>
      </c>
      <c r="EC142" s="67">
        <f>IFERROR($Q142/$P142,"")</f>
        <v/>
      </c>
    </row>
    <row r="143">
      <c r="DG143" s="64">
        <f>($B143-$B144)*100</f>
        <v/>
      </c>
      <c r="DH143" s="64">
        <f>($D143-$D144)*100</f>
        <v/>
      </c>
      <c r="DI143" s="64">
        <f>($E143-$E144)*100</f>
        <v/>
      </c>
      <c r="DJ143" s="64">
        <f>($H143-$H144)*100</f>
        <v/>
      </c>
      <c r="DK143" s="65">
        <f>IFERROR($J143/$J144-1,"")</f>
        <v/>
      </c>
      <c r="DL143" s="64">
        <f>$L143-$L144</f>
        <v/>
      </c>
      <c r="DM143" s="64">
        <f>$K143-$K144</f>
        <v/>
      </c>
      <c r="DN143" s="65">
        <f>IFERROR($N143/$N144-1,"")</f>
        <v/>
      </c>
      <c r="DO143" s="65">
        <f>IFERROR($M143/$M144-1,"")</f>
        <v/>
      </c>
      <c r="DP143" s="65">
        <f>IFERROR($AZ143/$AZ144-1,"")</f>
        <v/>
      </c>
      <c r="DQ143" s="65">
        <f>IFERROR($BA143/$BA144-1,"")</f>
        <v/>
      </c>
      <c r="DR143" s="64">
        <f>$O143-$O144</f>
        <v/>
      </c>
      <c r="DS143" s="64">
        <f>$P143-$P144</f>
        <v/>
      </c>
      <c r="DT143" s="64">
        <f>$Q143-$Q144</f>
        <v/>
      </c>
      <c r="DU143" s="64">
        <f>$S143-$S144</f>
        <v/>
      </c>
      <c r="DV143" s="65">
        <f>IFERROR(AVERAGE($AA144/$AA143-1,$AB144/$AB143-1,$AC144/$AC143-1,$AD144/$AD143-1,$AE144/$AE143-1,$AG144/$AG143-1,$AH144/$AH143-1,$AI144/$AI143-1,$AJ144/$AJ143-1,$AL144/$AL143-1,$AM144/$AM143-1,$AR144/$AR143-1,$AS144/$AS143-1,$AT144/$AT143-1,$AU144/$AU143-1,$AV144/$AV143-1,$AW144/$AW143-1,$AX144/$AX143-1,$AY144/$AY143-1),"")</f>
        <v/>
      </c>
      <c r="DW143" s="66">
        <f>AVERAGE($CB143,$CC143,$CD143,$CE143,$CF143,$CG143,$CH143,$CI143,$CJ143,$CL143,$CM143,$CN143,$CO143,$CP143,$CQ143,$CR143,$CS143,$CT143)</f>
        <v/>
      </c>
      <c r="DX143" s="66">
        <f>AVERAGE($CB143,$CC143,$CM143,$CE143,$CP143)</f>
        <v/>
      </c>
      <c r="DY143" s="64">
        <f>($DW143-$DW144)*100</f>
        <v/>
      </c>
      <c r="DZ143" s="64">
        <f>($DX143-$DX144)*100</f>
        <v/>
      </c>
      <c r="EA143" s="64">
        <f>($DW143-$D143)*100</f>
        <v/>
      </c>
      <c r="EB143" s="64">
        <f>$Q143-$O143</f>
        <v/>
      </c>
      <c r="EC143" s="67">
        <f>IFERROR($Q143/$P143,"")</f>
        <v/>
      </c>
    </row>
    <row r="144">
      <c r="DG144" s="64">
        <f>($B144-$B145)*100</f>
        <v/>
      </c>
      <c r="DH144" s="64">
        <f>($D144-$D145)*100</f>
        <v/>
      </c>
      <c r="DI144" s="64">
        <f>($E144-$E145)*100</f>
        <v/>
      </c>
      <c r="DJ144" s="64">
        <f>($H144-$H145)*100</f>
        <v/>
      </c>
      <c r="DK144" s="65">
        <f>IFERROR($J144/$J145-1,"")</f>
        <v/>
      </c>
      <c r="DL144" s="64">
        <f>$L144-$L145</f>
        <v/>
      </c>
      <c r="DM144" s="64">
        <f>$K144-$K145</f>
        <v/>
      </c>
      <c r="DN144" s="65">
        <f>IFERROR($N144/$N145-1,"")</f>
        <v/>
      </c>
      <c r="DO144" s="65">
        <f>IFERROR($M144/$M145-1,"")</f>
        <v/>
      </c>
      <c r="DP144" s="65">
        <f>IFERROR($AZ144/$AZ145-1,"")</f>
        <v/>
      </c>
      <c r="DQ144" s="65">
        <f>IFERROR($BA144/$BA145-1,"")</f>
        <v/>
      </c>
      <c r="DR144" s="64">
        <f>$O144-$O145</f>
        <v/>
      </c>
      <c r="DS144" s="64">
        <f>$P144-$P145</f>
        <v/>
      </c>
      <c r="DT144" s="64">
        <f>$Q144-$Q145</f>
        <v/>
      </c>
      <c r="DU144" s="64">
        <f>$S144-$S145</f>
        <v/>
      </c>
      <c r="DV144" s="65">
        <f>IFERROR(AVERAGE($AA145/$AA144-1,$AB145/$AB144-1,$AC145/$AC144-1,$AD145/$AD144-1,$AE145/$AE144-1,$AG145/$AG144-1,$AH145/$AH144-1,$AI145/$AI144-1,$AJ145/$AJ144-1,$AL145/$AL144-1,$AM145/$AM144-1,$AR145/$AR144-1,$AS145/$AS144-1,$AT145/$AT144-1,$AU145/$AU144-1,$AV145/$AV144-1,$AW145/$AW144-1,$AX145/$AX144-1,$AY145/$AY144-1),"")</f>
        <v/>
      </c>
      <c r="DW144" s="66">
        <f>AVERAGE($CB144,$CC144,$CD144,$CE144,$CF144,$CG144,$CH144,$CI144,$CJ144,$CL144,$CM144,$CN144,$CO144,$CP144,$CQ144,$CR144,$CS144,$CT144)</f>
        <v/>
      </c>
      <c r="DX144" s="66">
        <f>AVERAGE($CB144,$CC144,$CM144,$CE144,$CP144)</f>
        <v/>
      </c>
      <c r="DY144" s="64">
        <f>($DW144-$DW145)*100</f>
        <v/>
      </c>
      <c r="DZ144" s="64">
        <f>($DX144-$DX145)*100</f>
        <v/>
      </c>
      <c r="EA144" s="64">
        <f>($DW144-$D144)*100</f>
        <v/>
      </c>
      <c r="EB144" s="64">
        <f>$Q144-$O144</f>
        <v/>
      </c>
      <c r="EC144" s="67">
        <f>IFERROR($Q144/$P144,"")</f>
        <v/>
      </c>
    </row>
    <row r="145">
      <c r="DG145" s="64">
        <f>($B145-$B146)*100</f>
        <v/>
      </c>
      <c r="DH145" s="64">
        <f>($D145-$D146)*100</f>
        <v/>
      </c>
      <c r="DI145" s="64">
        <f>($E145-$E146)*100</f>
        <v/>
      </c>
      <c r="DJ145" s="64">
        <f>($H145-$H146)*100</f>
        <v/>
      </c>
      <c r="DK145" s="65">
        <f>IFERROR($J145/$J146-1,"")</f>
        <v/>
      </c>
      <c r="DL145" s="64">
        <f>$L145-$L146</f>
        <v/>
      </c>
      <c r="DM145" s="64">
        <f>$K145-$K146</f>
        <v/>
      </c>
      <c r="DN145" s="65">
        <f>IFERROR($N145/$N146-1,"")</f>
        <v/>
      </c>
      <c r="DO145" s="65">
        <f>IFERROR($M145/$M146-1,"")</f>
        <v/>
      </c>
      <c r="DP145" s="65">
        <f>IFERROR($AZ145/$AZ146-1,"")</f>
        <v/>
      </c>
      <c r="DQ145" s="65">
        <f>IFERROR($BA145/$BA146-1,"")</f>
        <v/>
      </c>
      <c r="DR145" s="64">
        <f>$O145-$O146</f>
        <v/>
      </c>
      <c r="DS145" s="64">
        <f>$P145-$P146</f>
        <v/>
      </c>
      <c r="DT145" s="64">
        <f>$Q145-$Q146</f>
        <v/>
      </c>
      <c r="DU145" s="64">
        <f>$S145-$S146</f>
        <v/>
      </c>
      <c r="DV145" s="65">
        <f>IFERROR(AVERAGE($AA146/$AA145-1,$AB146/$AB145-1,$AC146/$AC145-1,$AD146/$AD145-1,$AE146/$AE145-1,$AG146/$AG145-1,$AH146/$AH145-1,$AI146/$AI145-1,$AJ146/$AJ145-1,$AL146/$AL145-1,$AM146/$AM145-1,$AR146/$AR145-1,$AS146/$AS145-1,$AT146/$AT145-1,$AU146/$AU145-1,$AV146/$AV145-1,$AW146/$AW145-1,$AX146/$AX145-1,$AY146/$AY145-1),"")</f>
        <v/>
      </c>
      <c r="DW145" s="66">
        <f>AVERAGE($CB145,$CC145,$CD145,$CE145,$CF145,$CG145,$CH145,$CI145,$CJ145,$CL145,$CM145,$CN145,$CO145,$CP145,$CQ145,$CR145,$CS145,$CT145)</f>
        <v/>
      </c>
      <c r="DX145" s="66">
        <f>AVERAGE($CB145,$CC145,$CM145,$CE145,$CP145)</f>
        <v/>
      </c>
      <c r="DY145" s="64">
        <f>($DW145-$DW146)*100</f>
        <v/>
      </c>
      <c r="DZ145" s="64">
        <f>($DX145-$DX146)*100</f>
        <v/>
      </c>
      <c r="EA145" s="64">
        <f>($DW145-$D145)*100</f>
        <v/>
      </c>
      <c r="EB145" s="64">
        <f>$Q145-$O145</f>
        <v/>
      </c>
      <c r="EC145" s="67">
        <f>IFERROR($Q145/$P145,"")</f>
        <v/>
      </c>
    </row>
    <row r="146">
      <c r="DG146" s="64">
        <f>($B146-$B147)*100</f>
        <v/>
      </c>
      <c r="DH146" s="64">
        <f>($D146-$D147)*100</f>
        <v/>
      </c>
      <c r="DI146" s="64">
        <f>($E146-$E147)*100</f>
        <v/>
      </c>
      <c r="DJ146" s="64">
        <f>($H146-$H147)*100</f>
        <v/>
      </c>
      <c r="DK146" s="65">
        <f>IFERROR($J146/$J147-1,"")</f>
        <v/>
      </c>
      <c r="DL146" s="64">
        <f>$L146-$L147</f>
        <v/>
      </c>
      <c r="DM146" s="64">
        <f>$K146-$K147</f>
        <v/>
      </c>
      <c r="DN146" s="65">
        <f>IFERROR($N146/$N147-1,"")</f>
        <v/>
      </c>
      <c r="DO146" s="65">
        <f>IFERROR($M146/$M147-1,"")</f>
        <v/>
      </c>
      <c r="DP146" s="65">
        <f>IFERROR($AZ146/$AZ147-1,"")</f>
        <v/>
      </c>
      <c r="DQ146" s="65">
        <f>IFERROR($BA146/$BA147-1,"")</f>
        <v/>
      </c>
      <c r="DR146" s="64">
        <f>$O146-$O147</f>
        <v/>
      </c>
      <c r="DS146" s="64">
        <f>$P146-$P147</f>
        <v/>
      </c>
      <c r="DT146" s="64">
        <f>$Q146-$Q147</f>
        <v/>
      </c>
      <c r="DU146" s="64">
        <f>$S146-$S147</f>
        <v/>
      </c>
      <c r="DV146" s="65">
        <f>IFERROR(AVERAGE($AA147/$AA146-1,$AB147/$AB146-1,$AC147/$AC146-1,$AD147/$AD146-1,$AE147/$AE146-1,$AG147/$AG146-1,$AH147/$AH146-1,$AI147/$AI146-1,$AJ147/$AJ146-1,$AL147/$AL146-1,$AM147/$AM146-1,$AR147/$AR146-1,$AS147/$AS146-1,$AT147/$AT146-1,$AU147/$AU146-1,$AV147/$AV146-1,$AW147/$AW146-1,$AX147/$AX146-1,$AY147/$AY146-1),"")</f>
        <v/>
      </c>
      <c r="DW146" s="66">
        <f>AVERAGE($CB146,$CC146,$CD146,$CE146,$CF146,$CG146,$CH146,$CI146,$CJ146,$CL146,$CM146,$CN146,$CO146,$CP146,$CQ146,$CR146,$CS146,$CT146)</f>
        <v/>
      </c>
      <c r="DX146" s="66">
        <f>AVERAGE($CB146,$CC146,$CM146,$CE146,$CP146)</f>
        <v/>
      </c>
      <c r="DY146" s="64">
        <f>($DW146-$DW147)*100</f>
        <v/>
      </c>
      <c r="DZ146" s="64">
        <f>($DX146-$DX147)*100</f>
        <v/>
      </c>
      <c r="EA146" s="64">
        <f>($DW146-$D146)*100</f>
        <v/>
      </c>
      <c r="EB146" s="64">
        <f>$Q146-$O146</f>
        <v/>
      </c>
      <c r="EC146" s="67">
        <f>IFERROR($Q146/$P146,"")</f>
        <v/>
      </c>
    </row>
    <row r="147">
      <c r="DG147" s="64">
        <f>($B147-$B148)*100</f>
        <v/>
      </c>
      <c r="DH147" s="64">
        <f>($D147-$D148)*100</f>
        <v/>
      </c>
      <c r="DI147" s="64">
        <f>($E147-$E148)*100</f>
        <v/>
      </c>
      <c r="DJ147" s="64">
        <f>($H147-$H148)*100</f>
        <v/>
      </c>
      <c r="DK147" s="65">
        <f>IFERROR($J147/$J148-1,"")</f>
        <v/>
      </c>
      <c r="DL147" s="64">
        <f>$L147-$L148</f>
        <v/>
      </c>
      <c r="DM147" s="64">
        <f>$K147-$K148</f>
        <v/>
      </c>
      <c r="DN147" s="65">
        <f>IFERROR($N147/$N148-1,"")</f>
        <v/>
      </c>
      <c r="DO147" s="65">
        <f>IFERROR($M147/$M148-1,"")</f>
        <v/>
      </c>
      <c r="DP147" s="65">
        <f>IFERROR($AZ147/$AZ148-1,"")</f>
        <v/>
      </c>
      <c r="DQ147" s="65">
        <f>IFERROR($BA147/$BA148-1,"")</f>
        <v/>
      </c>
      <c r="DR147" s="64">
        <f>$O147-$O148</f>
        <v/>
      </c>
      <c r="DS147" s="64">
        <f>$P147-$P148</f>
        <v/>
      </c>
      <c r="DT147" s="64">
        <f>$Q147-$Q148</f>
        <v/>
      </c>
      <c r="DU147" s="64">
        <f>$S147-$S148</f>
        <v/>
      </c>
      <c r="DV147" s="65">
        <f>IFERROR(AVERAGE($AA148/$AA147-1,$AB148/$AB147-1,$AC148/$AC147-1,$AD148/$AD147-1,$AE148/$AE147-1,$AG148/$AG147-1,$AH148/$AH147-1,$AI148/$AI147-1,$AJ148/$AJ147-1,$AL148/$AL147-1,$AM148/$AM147-1,$AR148/$AR147-1,$AS148/$AS147-1,$AT148/$AT147-1,$AU148/$AU147-1,$AV148/$AV147-1,$AW148/$AW147-1,$AX148/$AX147-1,$AY148/$AY147-1),"")</f>
        <v/>
      </c>
      <c r="DW147" s="66">
        <f>AVERAGE($CB147,$CC147,$CD147,$CE147,$CF147,$CG147,$CH147,$CI147,$CJ147,$CL147,$CM147,$CN147,$CO147,$CP147,$CQ147,$CR147,$CS147,$CT147)</f>
        <v/>
      </c>
      <c r="DX147" s="66">
        <f>AVERAGE($CB147,$CC147,$CM147,$CE147,$CP147)</f>
        <v/>
      </c>
      <c r="DY147" s="64">
        <f>($DW147-$DW148)*100</f>
        <v/>
      </c>
      <c r="DZ147" s="64">
        <f>($DX147-$DX148)*100</f>
        <v/>
      </c>
      <c r="EA147" s="64">
        <f>($DW147-$D147)*100</f>
        <v/>
      </c>
      <c r="EB147" s="64">
        <f>$Q147-$O147</f>
        <v/>
      </c>
      <c r="EC147" s="67">
        <f>IFERROR($Q147/$P147,"")</f>
        <v/>
      </c>
    </row>
    <row r="148">
      <c r="DG148" s="64">
        <f>($B148-$B149)*100</f>
        <v/>
      </c>
      <c r="DH148" s="64">
        <f>($D148-$D149)*100</f>
        <v/>
      </c>
      <c r="DI148" s="64">
        <f>($E148-$E149)*100</f>
        <v/>
      </c>
      <c r="DJ148" s="64">
        <f>($H148-$H149)*100</f>
        <v/>
      </c>
      <c r="DK148" s="65">
        <f>IFERROR($J148/$J149-1,"")</f>
        <v/>
      </c>
      <c r="DL148" s="64">
        <f>$L148-$L149</f>
        <v/>
      </c>
      <c r="DM148" s="64">
        <f>$K148-$K149</f>
        <v/>
      </c>
      <c r="DN148" s="65">
        <f>IFERROR($N148/$N149-1,"")</f>
        <v/>
      </c>
      <c r="DO148" s="65">
        <f>IFERROR($M148/$M149-1,"")</f>
        <v/>
      </c>
      <c r="DP148" s="65">
        <f>IFERROR($AZ148/$AZ149-1,"")</f>
        <v/>
      </c>
      <c r="DQ148" s="65">
        <f>IFERROR($BA148/$BA149-1,"")</f>
        <v/>
      </c>
      <c r="DR148" s="64">
        <f>$O148-$O149</f>
        <v/>
      </c>
      <c r="DS148" s="64">
        <f>$P148-$P149</f>
        <v/>
      </c>
      <c r="DT148" s="64">
        <f>$Q148-$Q149</f>
        <v/>
      </c>
      <c r="DU148" s="64">
        <f>$S148-$S149</f>
        <v/>
      </c>
      <c r="DV148" s="65">
        <f>IFERROR(AVERAGE($AA149/$AA148-1,$AB149/$AB148-1,$AC149/$AC148-1,$AD149/$AD148-1,$AE149/$AE148-1,$AG149/$AG148-1,$AH149/$AH148-1,$AI149/$AI148-1,$AJ149/$AJ148-1,$AL149/$AL148-1,$AM149/$AM148-1,$AR149/$AR148-1,$AS149/$AS148-1,$AT149/$AT148-1,$AU149/$AU148-1,$AV149/$AV148-1,$AW149/$AW148-1,$AX149/$AX148-1,$AY149/$AY148-1),"")</f>
        <v/>
      </c>
      <c r="DW148" s="66">
        <f>AVERAGE($CB148,$CC148,$CD148,$CE148,$CF148,$CG148,$CH148,$CI148,$CJ148,$CL148,$CM148,$CN148,$CO148,$CP148,$CQ148,$CR148,$CS148,$CT148)</f>
        <v/>
      </c>
      <c r="DX148" s="66">
        <f>AVERAGE($CB148,$CC148,$CM148,$CE148,$CP148)</f>
        <v/>
      </c>
      <c r="DY148" s="64">
        <f>($DW148-$DW149)*100</f>
        <v/>
      </c>
      <c r="DZ148" s="64">
        <f>($DX148-$DX149)*100</f>
        <v/>
      </c>
      <c r="EA148" s="64">
        <f>($DW148-$D148)*100</f>
        <v/>
      </c>
      <c r="EB148" s="64">
        <f>$Q148-$O148</f>
        <v/>
      </c>
      <c r="EC148" s="67">
        <f>IFERROR($Q148/$P148,"")</f>
        <v/>
      </c>
    </row>
    <row r="149">
      <c r="DG149" s="64">
        <f>($B149-$B150)*100</f>
        <v/>
      </c>
      <c r="DH149" s="64">
        <f>($D149-$D150)*100</f>
        <v/>
      </c>
      <c r="DI149" s="64">
        <f>($E149-$E150)*100</f>
        <v/>
      </c>
      <c r="DJ149" s="64">
        <f>($H149-$H150)*100</f>
        <v/>
      </c>
      <c r="DK149" s="65">
        <f>IFERROR($J149/$J150-1,"")</f>
        <v/>
      </c>
      <c r="DL149" s="64">
        <f>$L149-$L150</f>
        <v/>
      </c>
      <c r="DM149" s="64">
        <f>$K149-$K150</f>
        <v/>
      </c>
      <c r="DN149" s="65">
        <f>IFERROR($N149/$N150-1,"")</f>
        <v/>
      </c>
      <c r="DO149" s="65">
        <f>IFERROR($M149/$M150-1,"")</f>
        <v/>
      </c>
      <c r="DP149" s="65">
        <f>IFERROR($AZ149/$AZ150-1,"")</f>
        <v/>
      </c>
      <c r="DQ149" s="65">
        <f>IFERROR($BA149/$BA150-1,"")</f>
        <v/>
      </c>
      <c r="DR149" s="64">
        <f>$O149-$O150</f>
        <v/>
      </c>
      <c r="DS149" s="64">
        <f>$P149-$P150</f>
        <v/>
      </c>
      <c r="DT149" s="64">
        <f>$Q149-$Q150</f>
        <v/>
      </c>
      <c r="DU149" s="64">
        <f>$S149-$S150</f>
        <v/>
      </c>
      <c r="DV149" s="65">
        <f>IFERROR(AVERAGE($AA150/$AA149-1,$AB150/$AB149-1,$AC150/$AC149-1,$AD150/$AD149-1,$AE150/$AE149-1,$AG150/$AG149-1,$AH150/$AH149-1,$AI150/$AI149-1,$AJ150/$AJ149-1,$AL150/$AL149-1,$AM150/$AM149-1,$AR150/$AR149-1,$AS150/$AS149-1,$AT150/$AT149-1,$AU150/$AU149-1,$AV150/$AV149-1,$AW150/$AW149-1,$AX150/$AX149-1,$AY150/$AY149-1),"")</f>
        <v/>
      </c>
      <c r="DW149" s="66">
        <f>AVERAGE($CB149,$CC149,$CD149,$CE149,$CF149,$CG149,$CH149,$CI149,$CJ149,$CL149,$CM149,$CN149,$CO149,$CP149,$CQ149,$CR149,$CS149,$CT149)</f>
        <v/>
      </c>
      <c r="DX149" s="66">
        <f>AVERAGE($CB149,$CC149,$CM149,$CE149,$CP149)</f>
        <v/>
      </c>
      <c r="DY149" s="64">
        <f>($DW149-$DW150)*100</f>
        <v/>
      </c>
      <c r="DZ149" s="64">
        <f>($DX149-$DX150)*100</f>
        <v/>
      </c>
      <c r="EA149" s="64">
        <f>($DW149-$D149)*100</f>
        <v/>
      </c>
      <c r="EB149" s="64">
        <f>$Q149-$O149</f>
        <v/>
      </c>
      <c r="EC149" s="67">
        <f>IFERROR($Q149/$P149,"")</f>
        <v/>
      </c>
    </row>
    <row r="150">
      <c r="DG150" s="64">
        <f>($B150-$B151)*100</f>
        <v/>
      </c>
      <c r="DH150" s="64">
        <f>($D150-$D151)*100</f>
        <v/>
      </c>
      <c r="DI150" s="64">
        <f>($E150-$E151)*100</f>
        <v/>
      </c>
      <c r="DJ150" s="64">
        <f>($H150-$H151)*100</f>
        <v/>
      </c>
      <c r="DK150" s="65">
        <f>IFERROR($J150/$J151-1,"")</f>
        <v/>
      </c>
      <c r="DL150" s="64">
        <f>$L150-$L151</f>
        <v/>
      </c>
      <c r="DM150" s="64">
        <f>$K150-$K151</f>
        <v/>
      </c>
      <c r="DN150" s="65">
        <f>IFERROR($N150/$N151-1,"")</f>
        <v/>
      </c>
      <c r="DO150" s="65">
        <f>IFERROR($M150/$M151-1,"")</f>
        <v/>
      </c>
      <c r="DP150" s="65">
        <f>IFERROR($AZ150/$AZ151-1,"")</f>
        <v/>
      </c>
      <c r="DQ150" s="65">
        <f>IFERROR($BA150/$BA151-1,"")</f>
        <v/>
      </c>
      <c r="DR150" s="64">
        <f>$O150-$O151</f>
        <v/>
      </c>
      <c r="DS150" s="64">
        <f>$P150-$P151</f>
        <v/>
      </c>
      <c r="DT150" s="64">
        <f>$Q150-$Q151</f>
        <v/>
      </c>
      <c r="DU150" s="64">
        <f>$S150-$S151</f>
        <v/>
      </c>
      <c r="DV150" s="65">
        <f>IFERROR(AVERAGE($AA151/$AA150-1,$AB151/$AB150-1,$AC151/$AC150-1,$AD151/$AD150-1,$AE151/$AE150-1,$AG151/$AG150-1,$AH151/$AH150-1,$AI151/$AI150-1,$AJ151/$AJ150-1,$AL151/$AL150-1,$AM151/$AM150-1,$AR151/$AR150-1,$AS151/$AS150-1,$AT151/$AT150-1,$AU151/$AU150-1,$AV151/$AV150-1,$AW151/$AW150-1,$AX151/$AX150-1,$AY151/$AY150-1),"")</f>
        <v/>
      </c>
      <c r="DW150" s="66">
        <f>AVERAGE($CB150,$CC150,$CD150,$CE150,$CF150,$CG150,$CH150,$CI150,$CJ150,$CL150,$CM150,$CN150,$CO150,$CP150,$CQ150,$CR150,$CS150,$CT150)</f>
        <v/>
      </c>
      <c r="DX150" s="66">
        <f>AVERAGE($CB150,$CC150,$CM150,$CE150,$CP150)</f>
        <v/>
      </c>
      <c r="DY150" s="64">
        <f>($DW150-$DW151)*100</f>
        <v/>
      </c>
      <c r="DZ150" s="64">
        <f>($DX150-$DX151)*100</f>
        <v/>
      </c>
      <c r="EA150" s="64">
        <f>($DW150-$D150)*100</f>
        <v/>
      </c>
      <c r="EB150" s="64">
        <f>$Q150-$O150</f>
        <v/>
      </c>
      <c r="EC150" s="67">
        <f>IFERROR($Q150/$P150,"")</f>
        <v/>
      </c>
    </row>
    <row r="151">
      <c r="DG151" s="64">
        <f>($B151-$B152)*100</f>
        <v/>
      </c>
      <c r="DH151" s="64">
        <f>($D151-$D152)*100</f>
        <v/>
      </c>
      <c r="DI151" s="64">
        <f>($E151-$E152)*100</f>
        <v/>
      </c>
      <c r="DJ151" s="64">
        <f>($H151-$H152)*100</f>
        <v/>
      </c>
      <c r="DK151" s="65">
        <f>IFERROR($J151/$J152-1,"")</f>
        <v/>
      </c>
      <c r="DL151" s="64">
        <f>$L151-$L152</f>
        <v/>
      </c>
      <c r="DM151" s="64">
        <f>$K151-$K152</f>
        <v/>
      </c>
      <c r="DN151" s="65">
        <f>IFERROR($N151/$N152-1,"")</f>
        <v/>
      </c>
      <c r="DO151" s="65">
        <f>IFERROR($M151/$M152-1,"")</f>
        <v/>
      </c>
      <c r="DP151" s="65">
        <f>IFERROR($AZ151/$AZ152-1,"")</f>
        <v/>
      </c>
      <c r="DQ151" s="65">
        <f>IFERROR($BA151/$BA152-1,"")</f>
        <v/>
      </c>
      <c r="DR151" s="64">
        <f>$O151-$O152</f>
        <v/>
      </c>
      <c r="DS151" s="64">
        <f>$P151-$P152</f>
        <v/>
      </c>
      <c r="DT151" s="64">
        <f>$Q151-$Q152</f>
        <v/>
      </c>
      <c r="DU151" s="64">
        <f>$S151-$S152</f>
        <v/>
      </c>
      <c r="DV151" s="65">
        <f>IFERROR(AVERAGE($AA152/$AA151-1,$AB152/$AB151-1,$AC152/$AC151-1,$AD152/$AD151-1,$AE152/$AE151-1,$AG152/$AG151-1,$AH152/$AH151-1,$AI152/$AI151-1,$AJ152/$AJ151-1,$AL152/$AL151-1,$AM152/$AM151-1,$AR152/$AR151-1,$AS152/$AS151-1,$AT152/$AT151-1,$AU152/$AU151-1,$AV152/$AV151-1,$AW152/$AW151-1,$AX152/$AX151-1,$AY152/$AY151-1),"")</f>
        <v/>
      </c>
      <c r="DW151" s="66">
        <f>AVERAGE($CB151,$CC151,$CD151,$CE151,$CF151,$CG151,$CH151,$CI151,$CJ151,$CL151,$CM151,$CN151,$CO151,$CP151,$CQ151,$CR151,$CS151,$CT151)</f>
        <v/>
      </c>
      <c r="DX151" s="66">
        <f>AVERAGE($CB151,$CC151,$CM151,$CE151,$CP151)</f>
        <v/>
      </c>
      <c r="DY151" s="64">
        <f>($DW151-$DW152)*100</f>
        <v/>
      </c>
      <c r="DZ151" s="64">
        <f>($DX151-$DX152)*100</f>
        <v/>
      </c>
      <c r="EA151" s="64">
        <f>($DW151-$D151)*100</f>
        <v/>
      </c>
      <c r="EB151" s="64">
        <f>$Q151-$O151</f>
        <v/>
      </c>
      <c r="EC151" s="67">
        <f>IFERROR($Q151/$P151,"")</f>
        <v/>
      </c>
    </row>
    <row r="152">
      <c r="DG152" s="64">
        <f>($B152-$B153)*100</f>
        <v/>
      </c>
      <c r="DH152" s="64">
        <f>($D152-$D153)*100</f>
        <v/>
      </c>
      <c r="DI152" s="64">
        <f>($E152-$E153)*100</f>
        <v/>
      </c>
      <c r="DJ152" s="64">
        <f>($H152-$H153)*100</f>
        <v/>
      </c>
      <c r="DK152" s="65">
        <f>IFERROR($J152/$J153-1,"")</f>
        <v/>
      </c>
      <c r="DL152" s="64">
        <f>$L152-$L153</f>
        <v/>
      </c>
      <c r="DM152" s="64">
        <f>$K152-$K153</f>
        <v/>
      </c>
      <c r="DN152" s="65">
        <f>IFERROR($N152/$N153-1,"")</f>
        <v/>
      </c>
      <c r="DO152" s="65">
        <f>IFERROR($M152/$M153-1,"")</f>
        <v/>
      </c>
      <c r="DP152" s="65">
        <f>IFERROR($AZ152/$AZ153-1,"")</f>
        <v/>
      </c>
      <c r="DQ152" s="65">
        <f>IFERROR($BA152/$BA153-1,"")</f>
        <v/>
      </c>
      <c r="DR152" s="64">
        <f>$O152-$O153</f>
        <v/>
      </c>
      <c r="DS152" s="64">
        <f>$P152-$P153</f>
        <v/>
      </c>
      <c r="DT152" s="64">
        <f>$Q152-$Q153</f>
        <v/>
      </c>
      <c r="DU152" s="64">
        <f>$S152-$S153</f>
        <v/>
      </c>
      <c r="DV152" s="65">
        <f>IFERROR(AVERAGE($AA153/$AA152-1,$AB153/$AB152-1,$AC153/$AC152-1,$AD153/$AD152-1,$AE153/$AE152-1,$AG153/$AG152-1,$AH153/$AH152-1,$AI153/$AI152-1,$AJ153/$AJ152-1,$AL153/$AL152-1,$AM153/$AM152-1,$AR153/$AR152-1,$AS153/$AS152-1,$AT153/$AT152-1,$AU153/$AU152-1,$AV153/$AV152-1,$AW153/$AW152-1,$AX153/$AX152-1,$AY153/$AY152-1),"")</f>
        <v/>
      </c>
      <c r="DW152" s="66">
        <f>AVERAGE($CB152,$CC152,$CD152,$CE152,$CF152,$CG152,$CH152,$CI152,$CJ152,$CL152,$CM152,$CN152,$CO152,$CP152,$CQ152,$CR152,$CS152,$CT152)</f>
        <v/>
      </c>
      <c r="DX152" s="66">
        <f>AVERAGE($CB152,$CC152,$CM152,$CE152,$CP152)</f>
        <v/>
      </c>
      <c r="DY152" s="64">
        <f>($DW152-$DW153)*100</f>
        <v/>
      </c>
      <c r="DZ152" s="64">
        <f>($DX152-$DX153)*100</f>
        <v/>
      </c>
      <c r="EA152" s="64">
        <f>($DW152-$D152)*100</f>
        <v/>
      </c>
      <c r="EB152" s="64">
        <f>$Q152-$O152</f>
        <v/>
      </c>
      <c r="EC152" s="67">
        <f>IFERROR($Q152/$P152,"")</f>
        <v/>
      </c>
    </row>
    <row r="153">
      <c r="DG153" s="64">
        <f>($B153-$B154)*100</f>
        <v/>
      </c>
      <c r="DH153" s="64">
        <f>($D153-$D154)*100</f>
        <v/>
      </c>
      <c r="DI153" s="64">
        <f>($E153-$E154)*100</f>
        <v/>
      </c>
      <c r="DJ153" s="64">
        <f>($H153-$H154)*100</f>
        <v/>
      </c>
      <c r="DK153" s="65">
        <f>IFERROR($J153/$J154-1,"")</f>
        <v/>
      </c>
      <c r="DL153" s="64">
        <f>$L153-$L154</f>
        <v/>
      </c>
      <c r="DM153" s="64">
        <f>$K153-$K154</f>
        <v/>
      </c>
      <c r="DN153" s="65">
        <f>IFERROR($N153/$N154-1,"")</f>
        <v/>
      </c>
      <c r="DO153" s="65">
        <f>IFERROR($M153/$M154-1,"")</f>
        <v/>
      </c>
      <c r="DP153" s="65">
        <f>IFERROR($AZ153/$AZ154-1,"")</f>
        <v/>
      </c>
      <c r="DQ153" s="65">
        <f>IFERROR($BA153/$BA154-1,"")</f>
        <v/>
      </c>
      <c r="DR153" s="64">
        <f>$O153-$O154</f>
        <v/>
      </c>
      <c r="DS153" s="64">
        <f>$P153-$P154</f>
        <v/>
      </c>
      <c r="DT153" s="64">
        <f>$Q153-$Q154</f>
        <v/>
      </c>
      <c r="DU153" s="64">
        <f>$S153-$S154</f>
        <v/>
      </c>
      <c r="DV153" s="65">
        <f>IFERROR(AVERAGE($AA154/$AA153-1,$AB154/$AB153-1,$AC154/$AC153-1,$AD154/$AD153-1,$AE154/$AE153-1,$AG154/$AG153-1,$AH154/$AH153-1,$AI154/$AI153-1,$AJ154/$AJ153-1,$AL154/$AL153-1,$AM154/$AM153-1,$AR154/$AR153-1,$AS154/$AS153-1,$AT154/$AT153-1,$AU154/$AU153-1,$AV154/$AV153-1,$AW154/$AW153-1,$AX154/$AX153-1,$AY154/$AY153-1),"")</f>
        <v/>
      </c>
      <c r="DW153" s="66">
        <f>AVERAGE($CB153,$CC153,$CD153,$CE153,$CF153,$CG153,$CH153,$CI153,$CJ153,$CL153,$CM153,$CN153,$CO153,$CP153,$CQ153,$CR153,$CS153,$CT153)</f>
        <v/>
      </c>
      <c r="DX153" s="66">
        <f>AVERAGE($CB153,$CC153,$CM153,$CE153,$CP153)</f>
        <v/>
      </c>
      <c r="DY153" s="64">
        <f>($DW153-$DW154)*100</f>
        <v/>
      </c>
      <c r="DZ153" s="64">
        <f>($DX153-$DX154)*100</f>
        <v/>
      </c>
      <c r="EA153" s="64">
        <f>($DW153-$D153)*100</f>
        <v/>
      </c>
      <c r="EB153" s="64">
        <f>$Q153-$O153</f>
        <v/>
      </c>
      <c r="EC153" s="67">
        <f>IFERROR($Q153/$P153,"")</f>
        <v/>
      </c>
    </row>
    <row r="154">
      <c r="DG154" s="64">
        <f>($B154-$B155)*100</f>
        <v/>
      </c>
      <c r="DH154" s="64">
        <f>($D154-$D155)*100</f>
        <v/>
      </c>
      <c r="DI154" s="64">
        <f>($E154-$E155)*100</f>
        <v/>
      </c>
      <c r="DJ154" s="64">
        <f>($H154-$H155)*100</f>
        <v/>
      </c>
      <c r="DK154" s="65">
        <f>IFERROR($J154/$J155-1,"")</f>
        <v/>
      </c>
      <c r="DL154" s="64">
        <f>$L154-$L155</f>
        <v/>
      </c>
      <c r="DM154" s="64">
        <f>$K154-$K155</f>
        <v/>
      </c>
      <c r="DN154" s="65">
        <f>IFERROR($N154/$N155-1,"")</f>
        <v/>
      </c>
      <c r="DO154" s="65">
        <f>IFERROR($M154/$M155-1,"")</f>
        <v/>
      </c>
      <c r="DP154" s="65">
        <f>IFERROR($AZ154/$AZ155-1,"")</f>
        <v/>
      </c>
      <c r="DQ154" s="65">
        <f>IFERROR($BA154/$BA155-1,"")</f>
        <v/>
      </c>
      <c r="DR154" s="64">
        <f>$O154-$O155</f>
        <v/>
      </c>
      <c r="DS154" s="64">
        <f>$P154-$P155</f>
        <v/>
      </c>
      <c r="DT154" s="64">
        <f>$Q154-$Q155</f>
        <v/>
      </c>
      <c r="DU154" s="64">
        <f>$S154-$S155</f>
        <v/>
      </c>
      <c r="DV154" s="65">
        <f>IFERROR(AVERAGE($AA155/$AA154-1,$AB155/$AB154-1,$AC155/$AC154-1,$AD155/$AD154-1,$AE155/$AE154-1,$AG155/$AG154-1,$AH155/$AH154-1,$AI155/$AI154-1,$AJ155/$AJ154-1,$AL155/$AL154-1,$AM155/$AM154-1,$AR155/$AR154-1,$AS155/$AS154-1,$AT155/$AT154-1,$AU155/$AU154-1,$AV155/$AV154-1,$AW155/$AW154-1,$AX155/$AX154-1,$AY155/$AY154-1),"")</f>
        <v/>
      </c>
      <c r="DW154" s="66">
        <f>AVERAGE($CB154,$CC154,$CD154,$CE154,$CF154,$CG154,$CH154,$CI154,$CJ154,$CL154,$CM154,$CN154,$CO154,$CP154,$CQ154,$CR154,$CS154,$CT154)</f>
        <v/>
      </c>
      <c r="DX154" s="66">
        <f>AVERAGE($CB154,$CC154,$CM154,$CE154,$CP154)</f>
        <v/>
      </c>
      <c r="DY154" s="64">
        <f>($DW154-$DW155)*100</f>
        <v/>
      </c>
      <c r="DZ154" s="64">
        <f>($DX154-$DX155)*100</f>
        <v/>
      </c>
      <c r="EA154" s="64">
        <f>($DW154-$D154)*100</f>
        <v/>
      </c>
      <c r="EB154" s="64">
        <f>$Q154-$O154</f>
        <v/>
      </c>
      <c r="EC154" s="67">
        <f>IFERROR($Q154/$P154,"")</f>
        <v/>
      </c>
    </row>
    <row r="155">
      <c r="DG155" s="64">
        <f>($B155-$B156)*100</f>
        <v/>
      </c>
      <c r="DH155" s="64">
        <f>($D155-$D156)*100</f>
        <v/>
      </c>
      <c r="DI155" s="64">
        <f>($E155-$E156)*100</f>
        <v/>
      </c>
      <c r="DJ155" s="64">
        <f>($H155-$H156)*100</f>
        <v/>
      </c>
      <c r="DK155" s="65">
        <f>IFERROR($J155/$J156-1,"")</f>
        <v/>
      </c>
      <c r="DL155" s="64">
        <f>$L155-$L156</f>
        <v/>
      </c>
      <c r="DM155" s="64">
        <f>$K155-$K156</f>
        <v/>
      </c>
      <c r="DN155" s="65">
        <f>IFERROR($N155/$N156-1,"")</f>
        <v/>
      </c>
      <c r="DO155" s="65">
        <f>IFERROR($M155/$M156-1,"")</f>
        <v/>
      </c>
      <c r="DP155" s="65">
        <f>IFERROR($AZ155/$AZ156-1,"")</f>
        <v/>
      </c>
      <c r="DQ155" s="65">
        <f>IFERROR($BA155/$BA156-1,"")</f>
        <v/>
      </c>
      <c r="DR155" s="64">
        <f>$O155-$O156</f>
        <v/>
      </c>
      <c r="DS155" s="64">
        <f>$P155-$P156</f>
        <v/>
      </c>
      <c r="DT155" s="64">
        <f>$Q155-$Q156</f>
        <v/>
      </c>
      <c r="DU155" s="64">
        <f>$S155-$S156</f>
        <v/>
      </c>
      <c r="DV155" s="65">
        <f>IFERROR(AVERAGE($AA156/$AA155-1,$AB156/$AB155-1,$AC156/$AC155-1,$AD156/$AD155-1,$AE156/$AE155-1,$AG156/$AG155-1,$AH156/$AH155-1,$AI156/$AI155-1,$AJ156/$AJ155-1,$AL156/$AL155-1,$AM156/$AM155-1,$AR156/$AR155-1,$AS156/$AS155-1,$AT156/$AT155-1,$AU156/$AU155-1,$AV156/$AV155-1,$AW156/$AW155-1,$AX156/$AX155-1,$AY156/$AY155-1),"")</f>
        <v/>
      </c>
      <c r="DW155" s="66">
        <f>AVERAGE($CB155,$CC155,$CD155,$CE155,$CF155,$CG155,$CH155,$CI155,$CJ155,$CL155,$CM155,$CN155,$CO155,$CP155,$CQ155,$CR155,$CS155,$CT155)</f>
        <v/>
      </c>
      <c r="DX155" s="66">
        <f>AVERAGE($CB155,$CC155,$CM155,$CE155,$CP155)</f>
        <v/>
      </c>
      <c r="DY155" s="64">
        <f>($DW155-$DW156)*100</f>
        <v/>
      </c>
      <c r="DZ155" s="64">
        <f>($DX155-$DX156)*100</f>
        <v/>
      </c>
      <c r="EA155" s="64">
        <f>($DW155-$D155)*100</f>
        <v/>
      </c>
      <c r="EB155" s="64">
        <f>$Q155-$O155</f>
        <v/>
      </c>
      <c r="EC155" s="67">
        <f>IFERROR($Q155/$P155,"")</f>
        <v/>
      </c>
    </row>
    <row r="156">
      <c r="DG156" s="64">
        <f>($B156-$B157)*100</f>
        <v/>
      </c>
      <c r="DH156" s="64">
        <f>($D156-$D157)*100</f>
        <v/>
      </c>
      <c r="DI156" s="64">
        <f>($E156-$E157)*100</f>
        <v/>
      </c>
      <c r="DJ156" s="64">
        <f>($H156-$H157)*100</f>
        <v/>
      </c>
      <c r="DK156" s="65">
        <f>IFERROR($J156/$J157-1,"")</f>
        <v/>
      </c>
      <c r="DL156" s="64">
        <f>$L156-$L157</f>
        <v/>
      </c>
      <c r="DM156" s="64">
        <f>$K156-$K157</f>
        <v/>
      </c>
      <c r="DN156" s="65">
        <f>IFERROR($N156/$N157-1,"")</f>
        <v/>
      </c>
      <c r="DO156" s="65">
        <f>IFERROR($M156/$M157-1,"")</f>
        <v/>
      </c>
      <c r="DP156" s="65">
        <f>IFERROR($AZ156/$AZ157-1,"")</f>
        <v/>
      </c>
      <c r="DQ156" s="65">
        <f>IFERROR($BA156/$BA157-1,"")</f>
        <v/>
      </c>
      <c r="DR156" s="64">
        <f>$O156-$O157</f>
        <v/>
      </c>
      <c r="DS156" s="64">
        <f>$P156-$P157</f>
        <v/>
      </c>
      <c r="DT156" s="64">
        <f>$Q156-$Q157</f>
        <v/>
      </c>
      <c r="DU156" s="64">
        <f>$S156-$S157</f>
        <v/>
      </c>
      <c r="DV156" s="65">
        <f>IFERROR(AVERAGE($AA157/$AA156-1,$AB157/$AB156-1,$AC157/$AC156-1,$AD157/$AD156-1,$AE157/$AE156-1,$AG157/$AG156-1,$AH157/$AH156-1,$AI157/$AI156-1,$AJ157/$AJ156-1,$AL157/$AL156-1,$AM157/$AM156-1,$AR157/$AR156-1,$AS157/$AS156-1,$AT157/$AT156-1,$AU157/$AU156-1,$AV157/$AV156-1,$AW157/$AW156-1,$AX157/$AX156-1,$AY157/$AY156-1),"")</f>
        <v/>
      </c>
      <c r="DW156" s="66">
        <f>AVERAGE($CB156,$CC156,$CD156,$CE156,$CF156,$CG156,$CH156,$CI156,$CJ156,$CL156,$CM156,$CN156,$CO156,$CP156,$CQ156,$CR156,$CS156,$CT156)</f>
        <v/>
      </c>
      <c r="DX156" s="66">
        <f>AVERAGE($CB156,$CC156,$CM156,$CE156,$CP156)</f>
        <v/>
      </c>
      <c r="DY156" s="64">
        <f>($DW156-$DW157)*100</f>
        <v/>
      </c>
      <c r="DZ156" s="64">
        <f>($DX156-$DX157)*100</f>
        <v/>
      </c>
      <c r="EA156" s="64">
        <f>($DW156-$D156)*100</f>
        <v/>
      </c>
      <c r="EB156" s="64">
        <f>$Q156-$O156</f>
        <v/>
      </c>
      <c r="EC156" s="67">
        <f>IFERROR($Q156/$P156,"")</f>
        <v/>
      </c>
    </row>
    <row r="157">
      <c r="DG157" s="64">
        <f>($B157-$B158)*100</f>
        <v/>
      </c>
      <c r="DH157" s="64">
        <f>($D157-$D158)*100</f>
        <v/>
      </c>
      <c r="DI157" s="64">
        <f>($E157-$E158)*100</f>
        <v/>
      </c>
      <c r="DJ157" s="64">
        <f>($H157-$H158)*100</f>
        <v/>
      </c>
      <c r="DK157" s="65">
        <f>IFERROR($J157/$J158-1,"")</f>
        <v/>
      </c>
      <c r="DL157" s="64">
        <f>$L157-$L158</f>
        <v/>
      </c>
      <c r="DM157" s="64">
        <f>$K157-$K158</f>
        <v/>
      </c>
      <c r="DN157" s="65">
        <f>IFERROR($N157/$N158-1,"")</f>
        <v/>
      </c>
      <c r="DO157" s="65">
        <f>IFERROR($M157/$M158-1,"")</f>
        <v/>
      </c>
      <c r="DP157" s="65">
        <f>IFERROR($AZ157/$AZ158-1,"")</f>
        <v/>
      </c>
      <c r="DQ157" s="65">
        <f>IFERROR($BA157/$BA158-1,"")</f>
        <v/>
      </c>
      <c r="DR157" s="64">
        <f>$O157-$O158</f>
        <v/>
      </c>
      <c r="DS157" s="64">
        <f>$P157-$P158</f>
        <v/>
      </c>
      <c r="DT157" s="64">
        <f>$Q157-$Q158</f>
        <v/>
      </c>
      <c r="DU157" s="64">
        <f>$S157-$S158</f>
        <v/>
      </c>
      <c r="DV157" s="65">
        <f>IFERROR(AVERAGE($AA158/$AA157-1,$AB158/$AB157-1,$AC158/$AC157-1,$AD158/$AD157-1,$AE158/$AE157-1,$AG158/$AG157-1,$AH158/$AH157-1,$AI158/$AI157-1,$AJ158/$AJ157-1,$AL158/$AL157-1,$AM158/$AM157-1,$AR158/$AR157-1,$AS158/$AS157-1,$AT158/$AT157-1,$AU158/$AU157-1,$AV158/$AV157-1,$AW158/$AW157-1,$AX158/$AX157-1,$AY158/$AY157-1),"")</f>
        <v/>
      </c>
      <c r="DW157" s="66">
        <f>AVERAGE($CB157,$CC157,$CD157,$CE157,$CF157,$CG157,$CH157,$CI157,$CJ157,$CL157,$CM157,$CN157,$CO157,$CP157,$CQ157,$CR157,$CS157,$CT157)</f>
        <v/>
      </c>
      <c r="DX157" s="66">
        <f>AVERAGE($CB157,$CC157,$CM157,$CE157,$CP157)</f>
        <v/>
      </c>
      <c r="DY157" s="64">
        <f>($DW157-$DW158)*100</f>
        <v/>
      </c>
      <c r="DZ157" s="64">
        <f>($DX157-$DX158)*100</f>
        <v/>
      </c>
      <c r="EA157" s="64">
        <f>($DW157-$D157)*100</f>
        <v/>
      </c>
      <c r="EB157" s="64">
        <f>$Q157-$O157</f>
        <v/>
      </c>
      <c r="EC157" s="67">
        <f>IFERROR($Q157/$P157,"")</f>
        <v/>
      </c>
    </row>
    <row r="158">
      <c r="DG158" s="64">
        <f>($B158-$B159)*100</f>
        <v/>
      </c>
      <c r="DH158" s="64">
        <f>($D158-$D159)*100</f>
        <v/>
      </c>
      <c r="DI158" s="64">
        <f>($E158-$E159)*100</f>
        <v/>
      </c>
      <c r="DJ158" s="64">
        <f>($H158-$H159)*100</f>
        <v/>
      </c>
      <c r="DK158" s="65">
        <f>IFERROR($J158/$J159-1,"")</f>
        <v/>
      </c>
      <c r="DL158" s="64">
        <f>$L158-$L159</f>
        <v/>
      </c>
      <c r="DM158" s="64">
        <f>$K158-$K159</f>
        <v/>
      </c>
      <c r="DN158" s="65">
        <f>IFERROR($N158/$N159-1,"")</f>
        <v/>
      </c>
      <c r="DO158" s="65">
        <f>IFERROR($M158/$M159-1,"")</f>
        <v/>
      </c>
      <c r="DP158" s="65">
        <f>IFERROR($AZ158/$AZ159-1,"")</f>
        <v/>
      </c>
      <c r="DQ158" s="65">
        <f>IFERROR($BA158/$BA159-1,"")</f>
        <v/>
      </c>
      <c r="DR158" s="64">
        <f>$O158-$O159</f>
        <v/>
      </c>
      <c r="DS158" s="64">
        <f>$P158-$P159</f>
        <v/>
      </c>
      <c r="DT158" s="64">
        <f>$Q158-$Q159</f>
        <v/>
      </c>
      <c r="DU158" s="64">
        <f>$S158-$S159</f>
        <v/>
      </c>
      <c r="DV158" s="65">
        <f>IFERROR(AVERAGE($AA159/$AA158-1,$AB159/$AB158-1,$AC159/$AC158-1,$AD159/$AD158-1,$AE159/$AE158-1,$AG159/$AG158-1,$AH159/$AH158-1,$AI159/$AI158-1,$AJ159/$AJ158-1,$AL159/$AL158-1,$AM159/$AM158-1,$AR159/$AR158-1,$AS159/$AS158-1,$AT159/$AT158-1,$AU159/$AU158-1,$AV159/$AV158-1,$AW159/$AW158-1,$AX159/$AX158-1,$AY159/$AY158-1),"")</f>
        <v/>
      </c>
      <c r="DW158" s="66">
        <f>AVERAGE($CB158,$CC158,$CD158,$CE158,$CF158,$CG158,$CH158,$CI158,$CJ158,$CL158,$CM158,$CN158,$CO158,$CP158,$CQ158,$CR158,$CS158,$CT158)</f>
        <v/>
      </c>
      <c r="DX158" s="66">
        <f>AVERAGE($CB158,$CC158,$CM158,$CE158,$CP158)</f>
        <v/>
      </c>
      <c r="DY158" s="64">
        <f>($DW158-$DW159)*100</f>
        <v/>
      </c>
      <c r="DZ158" s="64">
        <f>($DX158-$DX159)*100</f>
        <v/>
      </c>
      <c r="EA158" s="64">
        <f>($DW158-$D158)*100</f>
        <v/>
      </c>
      <c r="EB158" s="64">
        <f>$Q158-$O158</f>
        <v/>
      </c>
      <c r="EC158" s="67">
        <f>IFERROR($Q158/$P158,"")</f>
        <v/>
      </c>
    </row>
    <row r="159">
      <c r="DG159" s="64">
        <f>($B159-$B160)*100</f>
        <v/>
      </c>
      <c r="DH159" s="64">
        <f>($D159-$D160)*100</f>
        <v/>
      </c>
      <c r="DI159" s="64">
        <f>($E159-$E160)*100</f>
        <v/>
      </c>
      <c r="DJ159" s="64">
        <f>($H159-$H160)*100</f>
        <v/>
      </c>
      <c r="DK159" s="65">
        <f>IFERROR($J159/$J160-1,"")</f>
        <v/>
      </c>
      <c r="DL159" s="64">
        <f>$L159-$L160</f>
        <v/>
      </c>
      <c r="DM159" s="64">
        <f>$K159-$K160</f>
        <v/>
      </c>
      <c r="DN159" s="65">
        <f>IFERROR($N159/$N160-1,"")</f>
        <v/>
      </c>
      <c r="DO159" s="65">
        <f>IFERROR($M159/$M160-1,"")</f>
        <v/>
      </c>
      <c r="DP159" s="65">
        <f>IFERROR($AZ159/$AZ160-1,"")</f>
        <v/>
      </c>
      <c r="DQ159" s="65">
        <f>IFERROR($BA159/$BA160-1,"")</f>
        <v/>
      </c>
      <c r="DR159" s="64">
        <f>$O159-$O160</f>
        <v/>
      </c>
      <c r="DS159" s="64">
        <f>$P159-$P160</f>
        <v/>
      </c>
      <c r="DT159" s="64">
        <f>$Q159-$Q160</f>
        <v/>
      </c>
      <c r="DU159" s="64">
        <f>$S159-$S160</f>
        <v/>
      </c>
      <c r="DV159" s="65">
        <f>IFERROR(AVERAGE($AA160/$AA159-1,$AB160/$AB159-1,$AC160/$AC159-1,$AD160/$AD159-1,$AE160/$AE159-1,$AG160/$AG159-1,$AH160/$AH159-1,$AI160/$AI159-1,$AJ160/$AJ159-1,$AL160/$AL159-1,$AM160/$AM159-1,$AR160/$AR159-1,$AS160/$AS159-1,$AT160/$AT159-1,$AU160/$AU159-1,$AV160/$AV159-1,$AW160/$AW159-1,$AX160/$AX159-1,$AY160/$AY159-1),"")</f>
        <v/>
      </c>
      <c r="DW159" s="66">
        <f>AVERAGE($CB159,$CC159,$CD159,$CE159,$CF159,$CG159,$CH159,$CI159,$CJ159,$CL159,$CM159,$CN159,$CO159,$CP159,$CQ159,$CR159,$CS159,$CT159)</f>
        <v/>
      </c>
      <c r="DX159" s="66">
        <f>AVERAGE($CB159,$CC159,$CM159,$CE159,$CP159)</f>
        <v/>
      </c>
      <c r="DY159" s="64">
        <f>($DW159-$DW160)*100</f>
        <v/>
      </c>
      <c r="DZ159" s="64">
        <f>($DX159-$DX160)*100</f>
        <v/>
      </c>
      <c r="EA159" s="64">
        <f>($DW159-$D159)*100</f>
        <v/>
      </c>
      <c r="EB159" s="64">
        <f>$Q159-$O159</f>
        <v/>
      </c>
      <c r="EC159" s="67">
        <f>IFERROR($Q159/$P159,"")</f>
        <v/>
      </c>
    </row>
    <row r="160">
      <c r="DG160" s="64">
        <f>($B160-$B161)*100</f>
        <v/>
      </c>
      <c r="DH160" s="64">
        <f>($D160-$D161)*100</f>
        <v/>
      </c>
      <c r="DI160" s="64">
        <f>($E160-$E161)*100</f>
        <v/>
      </c>
      <c r="DJ160" s="64">
        <f>($H160-$H161)*100</f>
        <v/>
      </c>
      <c r="DK160" s="65">
        <f>IFERROR($J160/$J161-1,"")</f>
        <v/>
      </c>
      <c r="DL160" s="64">
        <f>$L160-$L161</f>
        <v/>
      </c>
      <c r="DM160" s="64">
        <f>$K160-$K161</f>
        <v/>
      </c>
      <c r="DN160" s="65">
        <f>IFERROR($N160/$N161-1,"")</f>
        <v/>
      </c>
      <c r="DO160" s="65">
        <f>IFERROR($M160/$M161-1,"")</f>
        <v/>
      </c>
      <c r="DP160" s="65">
        <f>IFERROR($AZ160/$AZ161-1,"")</f>
        <v/>
      </c>
      <c r="DQ160" s="65">
        <f>IFERROR($BA160/$BA161-1,"")</f>
        <v/>
      </c>
      <c r="DR160" s="64">
        <f>$O160-$O161</f>
        <v/>
      </c>
      <c r="DS160" s="64">
        <f>$P160-$P161</f>
        <v/>
      </c>
      <c r="DT160" s="64">
        <f>$Q160-$Q161</f>
        <v/>
      </c>
      <c r="DU160" s="64">
        <f>$S160-$S161</f>
        <v/>
      </c>
      <c r="DV160" s="65">
        <f>IFERROR(AVERAGE($AA161/$AA160-1,$AB161/$AB160-1,$AC161/$AC160-1,$AD161/$AD160-1,$AE161/$AE160-1,$AG161/$AG160-1,$AH161/$AH160-1,$AI161/$AI160-1,$AJ161/$AJ160-1,$AL161/$AL160-1,$AM161/$AM160-1,$AR161/$AR160-1,$AS161/$AS160-1,$AT161/$AT160-1,$AU161/$AU160-1,$AV161/$AV160-1,$AW161/$AW160-1,$AX161/$AX160-1,$AY161/$AY160-1),"")</f>
        <v/>
      </c>
      <c r="DW160" s="66">
        <f>AVERAGE($CB160,$CC160,$CD160,$CE160,$CF160,$CG160,$CH160,$CI160,$CJ160,$CL160,$CM160,$CN160,$CO160,$CP160,$CQ160,$CR160,$CS160,$CT160)</f>
        <v/>
      </c>
      <c r="DX160" s="66">
        <f>AVERAGE($CB160,$CC160,$CM160,$CE160,$CP160)</f>
        <v/>
      </c>
      <c r="DY160" s="64">
        <f>($DW160-$DW161)*100</f>
        <v/>
      </c>
      <c r="DZ160" s="64">
        <f>($DX160-$DX161)*100</f>
        <v/>
      </c>
      <c r="EA160" s="64">
        <f>($DW160-$D160)*100</f>
        <v/>
      </c>
      <c r="EB160" s="64">
        <f>$Q160-$O160</f>
        <v/>
      </c>
      <c r="EC160" s="67">
        <f>IFERROR($Q160/$P160,"")</f>
        <v/>
      </c>
    </row>
    <row r="161">
      <c r="DG161" s="64">
        <f>($B161-$B162)*100</f>
        <v/>
      </c>
      <c r="DH161" s="64">
        <f>($D161-$D162)*100</f>
        <v/>
      </c>
      <c r="DI161" s="64">
        <f>($E161-$E162)*100</f>
        <v/>
      </c>
      <c r="DJ161" s="64">
        <f>($H161-$H162)*100</f>
        <v/>
      </c>
      <c r="DK161" s="65">
        <f>IFERROR($J161/$J162-1,"")</f>
        <v/>
      </c>
      <c r="DL161" s="64">
        <f>$L161-$L162</f>
        <v/>
      </c>
      <c r="DM161" s="64">
        <f>$K161-$K162</f>
        <v/>
      </c>
      <c r="DN161" s="65">
        <f>IFERROR($N161/$N162-1,"")</f>
        <v/>
      </c>
      <c r="DO161" s="65">
        <f>IFERROR($M161/$M162-1,"")</f>
        <v/>
      </c>
      <c r="DP161" s="65">
        <f>IFERROR($AZ161/$AZ162-1,"")</f>
        <v/>
      </c>
      <c r="DQ161" s="65">
        <f>IFERROR($BA161/$BA162-1,"")</f>
        <v/>
      </c>
      <c r="DR161" s="64">
        <f>$O161-$O162</f>
        <v/>
      </c>
      <c r="DS161" s="64">
        <f>$P161-$P162</f>
        <v/>
      </c>
      <c r="DT161" s="64">
        <f>$Q161-$Q162</f>
        <v/>
      </c>
      <c r="DU161" s="64">
        <f>$S161-$S162</f>
        <v/>
      </c>
      <c r="DV161" s="65">
        <f>IFERROR(AVERAGE($AA162/$AA161-1,$AB162/$AB161-1,$AC162/$AC161-1,$AD162/$AD161-1,$AE162/$AE161-1,$AG162/$AG161-1,$AH162/$AH161-1,$AI162/$AI161-1,$AJ162/$AJ161-1,$AL162/$AL161-1,$AM162/$AM161-1,$AR162/$AR161-1,$AS162/$AS161-1,$AT162/$AT161-1,$AU162/$AU161-1,$AV162/$AV161-1,$AW162/$AW161-1,$AX162/$AX161-1,$AY162/$AY161-1),"")</f>
        <v/>
      </c>
      <c r="DW161" s="66">
        <f>AVERAGE($CB161,$CC161,$CD161,$CE161,$CF161,$CG161,$CH161,$CI161,$CJ161,$CL161,$CM161,$CN161,$CO161,$CP161,$CQ161,$CR161,$CS161,$CT161)</f>
        <v/>
      </c>
      <c r="DX161" s="66">
        <f>AVERAGE($CB161,$CC161,$CM161,$CE161,$CP161)</f>
        <v/>
      </c>
      <c r="DY161" s="64">
        <f>($DW161-$DW162)*100</f>
        <v/>
      </c>
      <c r="DZ161" s="64">
        <f>($DX161-$DX162)*100</f>
        <v/>
      </c>
      <c r="EA161" s="64">
        <f>($DW161-$D161)*100</f>
        <v/>
      </c>
      <c r="EB161" s="64">
        <f>$Q161-$O161</f>
        <v/>
      </c>
      <c r="EC161" s="67">
        <f>IFERROR($Q161/$P161,"")</f>
        <v/>
      </c>
    </row>
    <row r="162">
      <c r="DG162" s="64">
        <f>($B162-$B163)*100</f>
        <v/>
      </c>
      <c r="DH162" s="64">
        <f>($D162-$D163)*100</f>
        <v/>
      </c>
      <c r="DI162" s="64">
        <f>($E162-$E163)*100</f>
        <v/>
      </c>
      <c r="DJ162" s="64">
        <f>($H162-$H163)*100</f>
        <v/>
      </c>
      <c r="DK162" s="65">
        <f>IFERROR($J162/$J163-1,"")</f>
        <v/>
      </c>
      <c r="DL162" s="64">
        <f>$L162-$L163</f>
        <v/>
      </c>
      <c r="DM162" s="64">
        <f>$K162-$K163</f>
        <v/>
      </c>
      <c r="DN162" s="65">
        <f>IFERROR($N162/$N163-1,"")</f>
        <v/>
      </c>
      <c r="DO162" s="65">
        <f>IFERROR($M162/$M163-1,"")</f>
        <v/>
      </c>
      <c r="DP162" s="65">
        <f>IFERROR($AZ162/$AZ163-1,"")</f>
        <v/>
      </c>
      <c r="DQ162" s="65">
        <f>IFERROR($BA162/$BA163-1,"")</f>
        <v/>
      </c>
      <c r="DR162" s="64">
        <f>$O162-$O163</f>
        <v/>
      </c>
      <c r="DS162" s="64">
        <f>$P162-$P163</f>
        <v/>
      </c>
      <c r="DT162" s="64">
        <f>$Q162-$Q163</f>
        <v/>
      </c>
      <c r="DU162" s="64">
        <f>$S162-$S163</f>
        <v/>
      </c>
      <c r="DV162" s="65">
        <f>IFERROR(AVERAGE($AA163/$AA162-1,$AB163/$AB162-1,$AC163/$AC162-1,$AD163/$AD162-1,$AE163/$AE162-1,$AG163/$AG162-1,$AH163/$AH162-1,$AI163/$AI162-1,$AJ163/$AJ162-1,$AL163/$AL162-1,$AM163/$AM162-1,$AR163/$AR162-1,$AS163/$AS162-1,$AT163/$AT162-1,$AU163/$AU162-1,$AV163/$AV162-1,$AW163/$AW162-1,$AX163/$AX162-1,$AY163/$AY162-1),"")</f>
        <v/>
      </c>
      <c r="DW162" s="66">
        <f>AVERAGE($CB162,$CC162,$CD162,$CE162,$CF162,$CG162,$CH162,$CI162,$CJ162,$CL162,$CM162,$CN162,$CO162,$CP162,$CQ162,$CR162,$CS162,$CT162)</f>
        <v/>
      </c>
      <c r="DX162" s="66">
        <f>AVERAGE($CB162,$CC162,$CM162,$CE162,$CP162)</f>
        <v/>
      </c>
      <c r="DY162" s="64">
        <f>($DW162-$DW163)*100</f>
        <v/>
      </c>
      <c r="DZ162" s="64">
        <f>($DX162-$DX163)*100</f>
        <v/>
      </c>
      <c r="EA162" s="64">
        <f>($DW162-$D162)*100</f>
        <v/>
      </c>
      <c r="EB162" s="64">
        <f>$Q162-$O162</f>
        <v/>
      </c>
      <c r="EC162" s="67">
        <f>IFERROR($Q162/$P162,"")</f>
        <v/>
      </c>
    </row>
    <row r="163">
      <c r="DG163" s="64">
        <f>($B163-$B164)*100</f>
        <v/>
      </c>
      <c r="DH163" s="64">
        <f>($D163-$D164)*100</f>
        <v/>
      </c>
      <c r="DI163" s="64">
        <f>($E163-$E164)*100</f>
        <v/>
      </c>
      <c r="DJ163" s="64">
        <f>($H163-$H164)*100</f>
        <v/>
      </c>
      <c r="DK163" s="65">
        <f>IFERROR($J163/$J164-1,"")</f>
        <v/>
      </c>
      <c r="DL163" s="64">
        <f>$L163-$L164</f>
        <v/>
      </c>
      <c r="DM163" s="64">
        <f>$K163-$K164</f>
        <v/>
      </c>
      <c r="DN163" s="65">
        <f>IFERROR($N163/$N164-1,"")</f>
        <v/>
      </c>
      <c r="DO163" s="65">
        <f>IFERROR($M163/$M164-1,"")</f>
        <v/>
      </c>
      <c r="DP163" s="65">
        <f>IFERROR($AZ163/$AZ164-1,"")</f>
        <v/>
      </c>
      <c r="DQ163" s="65">
        <f>IFERROR($BA163/$BA164-1,"")</f>
        <v/>
      </c>
      <c r="DR163" s="64">
        <f>$O163-$O164</f>
        <v/>
      </c>
      <c r="DS163" s="64">
        <f>$P163-$P164</f>
        <v/>
      </c>
      <c r="DT163" s="64">
        <f>$Q163-$Q164</f>
        <v/>
      </c>
      <c r="DU163" s="64">
        <f>$S163-$S164</f>
        <v/>
      </c>
      <c r="DV163" s="65">
        <f>IFERROR(AVERAGE($AA164/$AA163-1,$AB164/$AB163-1,$AC164/$AC163-1,$AD164/$AD163-1,$AE164/$AE163-1,$AG164/$AG163-1,$AH164/$AH163-1,$AI164/$AI163-1,$AJ164/$AJ163-1,$AL164/$AL163-1,$AM164/$AM163-1,$AR164/$AR163-1,$AS164/$AS163-1,$AT164/$AT163-1,$AU164/$AU163-1,$AV164/$AV163-1,$AW164/$AW163-1,$AX164/$AX163-1,$AY164/$AY163-1),"")</f>
        <v/>
      </c>
      <c r="DW163" s="66">
        <f>AVERAGE($CB163,$CC163,$CD163,$CE163,$CF163,$CG163,$CH163,$CI163,$CJ163,$CL163,$CM163,$CN163,$CO163,$CP163,$CQ163,$CR163,$CS163,$CT163)</f>
        <v/>
      </c>
      <c r="DX163" s="66">
        <f>AVERAGE($CB163,$CC163,$CM163,$CE163,$CP163)</f>
        <v/>
      </c>
      <c r="DY163" s="64">
        <f>($DW163-$DW164)*100</f>
        <v/>
      </c>
      <c r="DZ163" s="64">
        <f>($DX163-$DX164)*100</f>
        <v/>
      </c>
      <c r="EA163" s="64">
        <f>($DW163-$D163)*100</f>
        <v/>
      </c>
      <c r="EB163" s="64">
        <f>$Q163-$O163</f>
        <v/>
      </c>
      <c r="EC163" s="67">
        <f>IFERROR($Q163/$P163,"")</f>
        <v/>
      </c>
    </row>
    <row r="164">
      <c r="DG164" s="64">
        <f>($B164-$B165)*100</f>
        <v/>
      </c>
      <c r="DH164" s="64">
        <f>($D164-$D165)*100</f>
        <v/>
      </c>
      <c r="DI164" s="64">
        <f>($E164-$E165)*100</f>
        <v/>
      </c>
      <c r="DJ164" s="64">
        <f>($H164-$H165)*100</f>
        <v/>
      </c>
      <c r="DK164" s="65">
        <f>IFERROR($J164/$J165-1,"")</f>
        <v/>
      </c>
      <c r="DL164" s="64">
        <f>$L164-$L165</f>
        <v/>
      </c>
      <c r="DM164" s="64">
        <f>$K164-$K165</f>
        <v/>
      </c>
      <c r="DN164" s="65">
        <f>IFERROR($N164/$N165-1,"")</f>
        <v/>
      </c>
      <c r="DO164" s="65">
        <f>IFERROR($M164/$M165-1,"")</f>
        <v/>
      </c>
      <c r="DP164" s="65">
        <f>IFERROR($AZ164/$AZ165-1,"")</f>
        <v/>
      </c>
      <c r="DQ164" s="65">
        <f>IFERROR($BA164/$BA165-1,"")</f>
        <v/>
      </c>
      <c r="DR164" s="64">
        <f>$O164-$O165</f>
        <v/>
      </c>
      <c r="DS164" s="64">
        <f>$P164-$P165</f>
        <v/>
      </c>
      <c r="DT164" s="64">
        <f>$Q164-$Q165</f>
        <v/>
      </c>
      <c r="DU164" s="64">
        <f>$S164-$S165</f>
        <v/>
      </c>
      <c r="DV164" s="65">
        <f>IFERROR(AVERAGE($AA165/$AA164-1,$AB165/$AB164-1,$AC165/$AC164-1,$AD165/$AD164-1,$AE165/$AE164-1,$AG165/$AG164-1,$AH165/$AH164-1,$AI165/$AI164-1,$AJ165/$AJ164-1,$AL165/$AL164-1,$AM165/$AM164-1,$AR165/$AR164-1,$AS165/$AS164-1,$AT165/$AT164-1,$AU165/$AU164-1,$AV165/$AV164-1,$AW165/$AW164-1,$AX165/$AX164-1,$AY165/$AY164-1),"")</f>
        <v/>
      </c>
      <c r="DW164" s="66">
        <f>AVERAGE($CB164,$CC164,$CD164,$CE164,$CF164,$CG164,$CH164,$CI164,$CJ164,$CL164,$CM164,$CN164,$CO164,$CP164,$CQ164,$CR164,$CS164,$CT164)</f>
        <v/>
      </c>
      <c r="DX164" s="66">
        <f>AVERAGE($CB164,$CC164,$CM164,$CE164,$CP164)</f>
        <v/>
      </c>
      <c r="DY164" s="64">
        <f>($DW164-$DW165)*100</f>
        <v/>
      </c>
      <c r="DZ164" s="64">
        <f>($DX164-$DX165)*100</f>
        <v/>
      </c>
      <c r="EA164" s="64">
        <f>($DW164-$D164)*100</f>
        <v/>
      </c>
      <c r="EB164" s="64">
        <f>$Q164-$O164</f>
        <v/>
      </c>
      <c r="EC164" s="67">
        <f>IFERROR($Q164/$P164,"")</f>
        <v/>
      </c>
    </row>
    <row r="165">
      <c r="DG165" s="64">
        <f>($B165-$B166)*100</f>
        <v/>
      </c>
      <c r="DH165" s="64">
        <f>($D165-$D166)*100</f>
        <v/>
      </c>
      <c r="DI165" s="64">
        <f>($E165-$E166)*100</f>
        <v/>
      </c>
      <c r="DJ165" s="64">
        <f>($H165-$H166)*100</f>
        <v/>
      </c>
      <c r="DK165" s="65">
        <f>IFERROR($J165/$J166-1,"")</f>
        <v/>
      </c>
      <c r="DL165" s="64">
        <f>$L165-$L166</f>
        <v/>
      </c>
      <c r="DM165" s="64">
        <f>$K165-$K166</f>
        <v/>
      </c>
      <c r="DN165" s="65">
        <f>IFERROR($N165/$N166-1,"")</f>
        <v/>
      </c>
      <c r="DO165" s="65">
        <f>IFERROR($M165/$M166-1,"")</f>
        <v/>
      </c>
      <c r="DP165" s="65">
        <f>IFERROR($AZ165/$AZ166-1,"")</f>
        <v/>
      </c>
      <c r="DQ165" s="65">
        <f>IFERROR($BA165/$BA166-1,"")</f>
        <v/>
      </c>
      <c r="DR165" s="64">
        <f>$O165-$O166</f>
        <v/>
      </c>
      <c r="DS165" s="64">
        <f>$P165-$P166</f>
        <v/>
      </c>
      <c r="DT165" s="64">
        <f>$Q165-$Q166</f>
        <v/>
      </c>
      <c r="DU165" s="64">
        <f>$S165-$S166</f>
        <v/>
      </c>
      <c r="DV165" s="65">
        <f>IFERROR(AVERAGE($AA166/$AA165-1,$AB166/$AB165-1,$AC166/$AC165-1,$AD166/$AD165-1,$AE166/$AE165-1,$AG166/$AG165-1,$AH166/$AH165-1,$AI166/$AI165-1,$AJ166/$AJ165-1,$AL166/$AL165-1,$AM166/$AM165-1,$AR166/$AR165-1,$AS166/$AS165-1,$AT166/$AT165-1,$AU166/$AU165-1,$AV166/$AV165-1,$AW166/$AW165-1,$AX166/$AX165-1,$AY166/$AY165-1),"")</f>
        <v/>
      </c>
      <c r="DW165" s="66">
        <f>AVERAGE($CB165,$CC165,$CD165,$CE165,$CF165,$CG165,$CH165,$CI165,$CJ165,$CL165,$CM165,$CN165,$CO165,$CP165,$CQ165,$CR165,$CS165,$CT165)</f>
        <v/>
      </c>
      <c r="DX165" s="66">
        <f>AVERAGE($CB165,$CC165,$CM165,$CE165,$CP165)</f>
        <v/>
      </c>
      <c r="DY165" s="64">
        <f>($DW165-$DW166)*100</f>
        <v/>
      </c>
      <c r="DZ165" s="64">
        <f>($DX165-$DX166)*100</f>
        <v/>
      </c>
      <c r="EA165" s="64">
        <f>($DW165-$D165)*100</f>
        <v/>
      </c>
      <c r="EB165" s="64">
        <f>$Q165-$O165</f>
        <v/>
      </c>
      <c r="EC165" s="67">
        <f>IFERROR($Q165/$P165,"")</f>
        <v/>
      </c>
    </row>
    <row r="166">
      <c r="DG166" s="64">
        <f>($B166-$B167)*100</f>
        <v/>
      </c>
      <c r="DH166" s="64">
        <f>($D166-$D167)*100</f>
        <v/>
      </c>
      <c r="DI166" s="64">
        <f>($E166-$E167)*100</f>
        <v/>
      </c>
      <c r="DJ166" s="64">
        <f>($H166-$H167)*100</f>
        <v/>
      </c>
      <c r="DK166" s="65">
        <f>IFERROR($J166/$J167-1,"")</f>
        <v/>
      </c>
      <c r="DL166" s="64">
        <f>$L166-$L167</f>
        <v/>
      </c>
      <c r="DM166" s="64">
        <f>$K166-$K167</f>
        <v/>
      </c>
      <c r="DN166" s="65">
        <f>IFERROR($N166/$N167-1,"")</f>
        <v/>
      </c>
      <c r="DO166" s="65">
        <f>IFERROR($M166/$M167-1,"")</f>
        <v/>
      </c>
      <c r="DP166" s="65">
        <f>IFERROR($AZ166/$AZ167-1,"")</f>
        <v/>
      </c>
      <c r="DQ166" s="65">
        <f>IFERROR($BA166/$BA167-1,"")</f>
        <v/>
      </c>
      <c r="DR166" s="64">
        <f>$O166-$O167</f>
        <v/>
      </c>
      <c r="DS166" s="64">
        <f>$P166-$P167</f>
        <v/>
      </c>
      <c r="DT166" s="64">
        <f>$Q166-$Q167</f>
        <v/>
      </c>
      <c r="DU166" s="64">
        <f>$S166-$S167</f>
        <v/>
      </c>
      <c r="DV166" s="65">
        <f>IFERROR(AVERAGE($AA167/$AA166-1,$AB167/$AB166-1,$AC167/$AC166-1,$AD167/$AD166-1,$AE167/$AE166-1,$AG167/$AG166-1,$AH167/$AH166-1,$AI167/$AI166-1,$AJ167/$AJ166-1,$AL167/$AL166-1,$AM167/$AM166-1,$AR167/$AR166-1,$AS167/$AS166-1,$AT167/$AT166-1,$AU167/$AU166-1,$AV167/$AV166-1,$AW167/$AW166-1,$AX167/$AX166-1,$AY167/$AY166-1),"")</f>
        <v/>
      </c>
      <c r="DW166" s="66">
        <f>AVERAGE($CB166,$CC166,$CD166,$CE166,$CF166,$CG166,$CH166,$CI166,$CJ166,$CL166,$CM166,$CN166,$CO166,$CP166,$CQ166,$CR166,$CS166,$CT166)</f>
        <v/>
      </c>
      <c r="DX166" s="66">
        <f>AVERAGE($CB166,$CC166,$CM166,$CE166,$CP166)</f>
        <v/>
      </c>
      <c r="DY166" s="64">
        <f>($DW166-$DW167)*100</f>
        <v/>
      </c>
      <c r="DZ166" s="64">
        <f>($DX166-$DX167)*100</f>
        <v/>
      </c>
      <c r="EA166" s="64">
        <f>($DW166-$D166)*100</f>
        <v/>
      </c>
      <c r="EB166" s="64">
        <f>$Q166-$O166</f>
        <v/>
      </c>
      <c r="EC166" s="67">
        <f>IFERROR($Q166/$P166,"")</f>
        <v/>
      </c>
    </row>
    <row r="167">
      <c r="DG167" s="64">
        <f>($B167-$B168)*100</f>
        <v/>
      </c>
      <c r="DH167" s="64">
        <f>($D167-$D168)*100</f>
        <v/>
      </c>
      <c r="DI167" s="64">
        <f>($E167-$E168)*100</f>
        <v/>
      </c>
      <c r="DJ167" s="64">
        <f>($H167-$H168)*100</f>
        <v/>
      </c>
      <c r="DK167" s="65">
        <f>IFERROR($J167/$J168-1,"")</f>
        <v/>
      </c>
      <c r="DL167" s="64">
        <f>$L167-$L168</f>
        <v/>
      </c>
      <c r="DM167" s="64">
        <f>$K167-$K168</f>
        <v/>
      </c>
      <c r="DN167" s="65">
        <f>IFERROR($N167/$N168-1,"")</f>
        <v/>
      </c>
      <c r="DO167" s="65">
        <f>IFERROR($M167/$M168-1,"")</f>
        <v/>
      </c>
      <c r="DP167" s="65">
        <f>IFERROR($AZ167/$AZ168-1,"")</f>
        <v/>
      </c>
      <c r="DQ167" s="65">
        <f>IFERROR($BA167/$BA168-1,"")</f>
        <v/>
      </c>
      <c r="DR167" s="64">
        <f>$O167-$O168</f>
        <v/>
      </c>
      <c r="DS167" s="64">
        <f>$P167-$P168</f>
        <v/>
      </c>
      <c r="DT167" s="64">
        <f>$Q167-$Q168</f>
        <v/>
      </c>
      <c r="DU167" s="64">
        <f>$S167-$S168</f>
        <v/>
      </c>
      <c r="DV167" s="65">
        <f>IFERROR(AVERAGE($AA168/$AA167-1,$AB168/$AB167-1,$AC168/$AC167-1,$AD168/$AD167-1,$AE168/$AE167-1,$AG168/$AG167-1,$AH168/$AH167-1,$AI168/$AI167-1,$AJ168/$AJ167-1,$AL168/$AL167-1,$AM168/$AM167-1,$AR168/$AR167-1,$AS168/$AS167-1,$AT168/$AT167-1,$AU168/$AU167-1,$AV168/$AV167-1,$AW168/$AW167-1,$AX168/$AX167-1,$AY168/$AY167-1),"")</f>
        <v/>
      </c>
      <c r="DW167" s="66">
        <f>AVERAGE($CB167,$CC167,$CD167,$CE167,$CF167,$CG167,$CH167,$CI167,$CJ167,$CL167,$CM167,$CN167,$CO167,$CP167,$CQ167,$CR167,$CS167,$CT167)</f>
        <v/>
      </c>
      <c r="DX167" s="66">
        <f>AVERAGE($CB167,$CC167,$CM167,$CE167,$CP167)</f>
        <v/>
      </c>
      <c r="DY167" s="64">
        <f>($DW167-$DW168)*100</f>
        <v/>
      </c>
      <c r="DZ167" s="64">
        <f>($DX167-$DX168)*100</f>
        <v/>
      </c>
      <c r="EA167" s="64">
        <f>($DW167-$D167)*100</f>
        <v/>
      </c>
      <c r="EB167" s="64">
        <f>$Q167-$O167</f>
        <v/>
      </c>
      <c r="EC167" s="67">
        <f>IFERROR($Q167/$P167,"")</f>
        <v/>
      </c>
    </row>
    <row r="168">
      <c r="DG168" s="64">
        <f>($B168-$B169)*100</f>
        <v/>
      </c>
      <c r="DH168" s="64">
        <f>($D168-$D169)*100</f>
        <v/>
      </c>
      <c r="DI168" s="64">
        <f>($E168-$E169)*100</f>
        <v/>
      </c>
      <c r="DJ168" s="64">
        <f>($H168-$H169)*100</f>
        <v/>
      </c>
      <c r="DK168" s="65">
        <f>IFERROR($J168/$J169-1,"")</f>
        <v/>
      </c>
      <c r="DL168" s="64">
        <f>$L168-$L169</f>
        <v/>
      </c>
      <c r="DM168" s="64">
        <f>$K168-$K169</f>
        <v/>
      </c>
      <c r="DN168" s="65">
        <f>IFERROR($N168/$N169-1,"")</f>
        <v/>
      </c>
      <c r="DO168" s="65">
        <f>IFERROR($M168/$M169-1,"")</f>
        <v/>
      </c>
      <c r="DP168" s="65">
        <f>IFERROR($AZ168/$AZ169-1,"")</f>
        <v/>
      </c>
      <c r="DQ168" s="65">
        <f>IFERROR($BA168/$BA169-1,"")</f>
        <v/>
      </c>
      <c r="DR168" s="64">
        <f>$O168-$O169</f>
        <v/>
      </c>
      <c r="DS168" s="64">
        <f>$P168-$P169</f>
        <v/>
      </c>
      <c r="DT168" s="64">
        <f>$Q168-$Q169</f>
        <v/>
      </c>
      <c r="DU168" s="64">
        <f>$S168-$S169</f>
        <v/>
      </c>
      <c r="DV168" s="65">
        <f>IFERROR(AVERAGE($AA169/$AA168-1,$AB169/$AB168-1,$AC169/$AC168-1,$AD169/$AD168-1,$AE169/$AE168-1,$AG169/$AG168-1,$AH169/$AH168-1,$AI169/$AI168-1,$AJ169/$AJ168-1,$AL169/$AL168-1,$AM169/$AM168-1,$AR169/$AR168-1,$AS169/$AS168-1,$AT169/$AT168-1,$AU169/$AU168-1,$AV169/$AV168-1,$AW169/$AW168-1,$AX169/$AX168-1,$AY169/$AY168-1),"")</f>
        <v/>
      </c>
      <c r="DW168" s="66">
        <f>AVERAGE($CB168,$CC168,$CD168,$CE168,$CF168,$CG168,$CH168,$CI168,$CJ168,$CL168,$CM168,$CN168,$CO168,$CP168,$CQ168,$CR168,$CS168,$CT168)</f>
        <v/>
      </c>
      <c r="DX168" s="66">
        <f>AVERAGE($CB168,$CC168,$CM168,$CE168,$CP168)</f>
        <v/>
      </c>
      <c r="DY168" s="64">
        <f>($DW168-$DW169)*100</f>
        <v/>
      </c>
      <c r="DZ168" s="64">
        <f>($DX168-$DX169)*100</f>
        <v/>
      </c>
      <c r="EA168" s="64">
        <f>($DW168-$D168)*100</f>
        <v/>
      </c>
      <c r="EB168" s="64">
        <f>$Q168-$O168</f>
        <v/>
      </c>
      <c r="EC168" s="67">
        <f>IFERROR($Q168/$P168,"")</f>
        <v/>
      </c>
    </row>
    <row r="169">
      <c r="DG169" s="64">
        <f>($B169-$B170)*100</f>
        <v/>
      </c>
      <c r="DH169" s="64">
        <f>($D169-$D170)*100</f>
        <v/>
      </c>
      <c r="DI169" s="64">
        <f>($E169-$E170)*100</f>
        <v/>
      </c>
      <c r="DJ169" s="64">
        <f>($H169-$H170)*100</f>
        <v/>
      </c>
      <c r="DK169" s="65">
        <f>IFERROR($J169/$J170-1,"")</f>
        <v/>
      </c>
      <c r="DL169" s="64">
        <f>$L169-$L170</f>
        <v/>
      </c>
      <c r="DM169" s="64">
        <f>$K169-$K170</f>
        <v/>
      </c>
      <c r="DN169" s="65">
        <f>IFERROR($N169/$N170-1,"")</f>
        <v/>
      </c>
      <c r="DO169" s="65">
        <f>IFERROR($M169/$M170-1,"")</f>
        <v/>
      </c>
      <c r="DP169" s="65">
        <f>IFERROR($AZ169/$AZ170-1,"")</f>
        <v/>
      </c>
      <c r="DQ169" s="65">
        <f>IFERROR($BA169/$BA170-1,"")</f>
        <v/>
      </c>
      <c r="DR169" s="64">
        <f>$O169-$O170</f>
        <v/>
      </c>
      <c r="DS169" s="64">
        <f>$P169-$P170</f>
        <v/>
      </c>
      <c r="DT169" s="64">
        <f>$Q169-$Q170</f>
        <v/>
      </c>
      <c r="DU169" s="64">
        <f>$S169-$S170</f>
        <v/>
      </c>
      <c r="DV169" s="65">
        <f>IFERROR(AVERAGE($AA170/$AA169-1,$AB170/$AB169-1,$AC170/$AC169-1,$AD170/$AD169-1,$AE170/$AE169-1,$AG170/$AG169-1,$AH170/$AH169-1,$AI170/$AI169-1,$AJ170/$AJ169-1,$AL170/$AL169-1,$AM170/$AM169-1,$AR170/$AR169-1,$AS170/$AS169-1,$AT170/$AT169-1,$AU170/$AU169-1,$AV170/$AV169-1,$AW170/$AW169-1,$AX170/$AX169-1,$AY170/$AY169-1),"")</f>
        <v/>
      </c>
      <c r="DW169" s="66">
        <f>AVERAGE($CB169,$CC169,$CD169,$CE169,$CF169,$CG169,$CH169,$CI169,$CJ169,$CL169,$CM169,$CN169,$CO169,$CP169,$CQ169,$CR169,$CS169,$CT169)</f>
        <v/>
      </c>
      <c r="DX169" s="66">
        <f>AVERAGE($CB169,$CC169,$CM169,$CE169,$CP169)</f>
        <v/>
      </c>
      <c r="DY169" s="64">
        <f>($DW169-$DW170)*100</f>
        <v/>
      </c>
      <c r="DZ169" s="64">
        <f>($DX169-$DX170)*100</f>
        <v/>
      </c>
      <c r="EA169" s="64">
        <f>($DW169-$D169)*100</f>
        <v/>
      </c>
      <c r="EB169" s="64">
        <f>$Q169-$O169</f>
        <v/>
      </c>
      <c r="EC169" s="67">
        <f>IFERROR($Q169/$P169,"")</f>
        <v/>
      </c>
    </row>
    <row r="170">
      <c r="DG170" s="64">
        <f>($B170-$B171)*100</f>
        <v/>
      </c>
      <c r="DH170" s="64">
        <f>($D170-$D171)*100</f>
        <v/>
      </c>
      <c r="DI170" s="64">
        <f>($E170-$E171)*100</f>
        <v/>
      </c>
      <c r="DJ170" s="64">
        <f>($H170-$H171)*100</f>
        <v/>
      </c>
      <c r="DK170" s="65">
        <f>IFERROR($J170/$J171-1,"")</f>
        <v/>
      </c>
      <c r="DL170" s="64">
        <f>$L170-$L171</f>
        <v/>
      </c>
      <c r="DM170" s="64">
        <f>$K170-$K171</f>
        <v/>
      </c>
      <c r="DN170" s="65">
        <f>IFERROR($N170/$N171-1,"")</f>
        <v/>
      </c>
      <c r="DO170" s="65">
        <f>IFERROR($M170/$M171-1,"")</f>
        <v/>
      </c>
      <c r="DP170" s="65">
        <f>IFERROR($AZ170/$AZ171-1,"")</f>
        <v/>
      </c>
      <c r="DQ170" s="65">
        <f>IFERROR($BA170/$BA171-1,"")</f>
        <v/>
      </c>
      <c r="DR170" s="64">
        <f>$O170-$O171</f>
        <v/>
      </c>
      <c r="DS170" s="64">
        <f>$P170-$P171</f>
        <v/>
      </c>
      <c r="DT170" s="64">
        <f>$Q170-$Q171</f>
        <v/>
      </c>
      <c r="DU170" s="64">
        <f>$S170-$S171</f>
        <v/>
      </c>
      <c r="DV170" s="65">
        <f>IFERROR(AVERAGE($AA171/$AA170-1,$AB171/$AB170-1,$AC171/$AC170-1,$AD171/$AD170-1,$AE171/$AE170-1,$AG171/$AG170-1,$AH171/$AH170-1,$AI171/$AI170-1,$AJ171/$AJ170-1,$AL171/$AL170-1,$AM171/$AM170-1,$AR171/$AR170-1,$AS171/$AS170-1,$AT171/$AT170-1,$AU171/$AU170-1,$AV171/$AV170-1,$AW171/$AW170-1,$AX171/$AX170-1,$AY171/$AY170-1),"")</f>
        <v/>
      </c>
      <c r="DW170" s="66">
        <f>AVERAGE($CB170,$CC170,$CD170,$CE170,$CF170,$CG170,$CH170,$CI170,$CJ170,$CL170,$CM170,$CN170,$CO170,$CP170,$CQ170,$CR170,$CS170,$CT170)</f>
        <v/>
      </c>
      <c r="DX170" s="66">
        <f>AVERAGE($CB170,$CC170,$CM170,$CE170,$CP170)</f>
        <v/>
      </c>
      <c r="DY170" s="64">
        <f>($DW170-$DW171)*100</f>
        <v/>
      </c>
      <c r="DZ170" s="64">
        <f>($DX170-$DX171)*100</f>
        <v/>
      </c>
      <c r="EA170" s="64">
        <f>($DW170-$D170)*100</f>
        <v/>
      </c>
      <c r="EB170" s="64">
        <f>$Q170-$O170</f>
        <v/>
      </c>
      <c r="EC170" s="67">
        <f>IFERROR($Q170/$P170,"")</f>
        <v/>
      </c>
    </row>
    <row r="171">
      <c r="DG171" s="64">
        <f>($B171-$B172)*100</f>
        <v/>
      </c>
      <c r="DH171" s="64">
        <f>($D171-$D172)*100</f>
        <v/>
      </c>
      <c r="DI171" s="64">
        <f>($E171-$E172)*100</f>
        <v/>
      </c>
      <c r="DJ171" s="64">
        <f>($H171-$H172)*100</f>
        <v/>
      </c>
      <c r="DK171" s="65">
        <f>IFERROR($J171/$J172-1,"")</f>
        <v/>
      </c>
      <c r="DL171" s="64">
        <f>$L171-$L172</f>
        <v/>
      </c>
      <c r="DM171" s="64">
        <f>$K171-$K172</f>
        <v/>
      </c>
      <c r="DN171" s="65">
        <f>IFERROR($N171/$N172-1,"")</f>
        <v/>
      </c>
      <c r="DO171" s="65">
        <f>IFERROR($M171/$M172-1,"")</f>
        <v/>
      </c>
      <c r="DP171" s="65">
        <f>IFERROR($AZ171/$AZ172-1,"")</f>
        <v/>
      </c>
      <c r="DQ171" s="65">
        <f>IFERROR($BA171/$BA172-1,"")</f>
        <v/>
      </c>
      <c r="DR171" s="64">
        <f>$O171-$O172</f>
        <v/>
      </c>
      <c r="DS171" s="64">
        <f>$P171-$P172</f>
        <v/>
      </c>
      <c r="DT171" s="64">
        <f>$Q171-$Q172</f>
        <v/>
      </c>
      <c r="DU171" s="64">
        <f>$S171-$S172</f>
        <v/>
      </c>
      <c r="DV171" s="65">
        <f>IFERROR(AVERAGE($AA172/$AA171-1,$AB172/$AB171-1,$AC172/$AC171-1,$AD172/$AD171-1,$AE172/$AE171-1,$AG172/$AG171-1,$AH172/$AH171-1,$AI172/$AI171-1,$AJ172/$AJ171-1,$AL172/$AL171-1,$AM172/$AM171-1,$AR172/$AR171-1,$AS172/$AS171-1,$AT172/$AT171-1,$AU172/$AU171-1,$AV172/$AV171-1,$AW172/$AW171-1,$AX172/$AX171-1,$AY172/$AY171-1),"")</f>
        <v/>
      </c>
      <c r="DW171" s="66">
        <f>AVERAGE($CB171,$CC171,$CD171,$CE171,$CF171,$CG171,$CH171,$CI171,$CJ171,$CL171,$CM171,$CN171,$CO171,$CP171,$CQ171,$CR171,$CS171,$CT171)</f>
        <v/>
      </c>
      <c r="DX171" s="66">
        <f>AVERAGE($CB171,$CC171,$CM171,$CE171,$CP171)</f>
        <v/>
      </c>
      <c r="DY171" s="64">
        <f>($DW171-$DW172)*100</f>
        <v/>
      </c>
      <c r="DZ171" s="64">
        <f>($DX171-$DX172)*100</f>
        <v/>
      </c>
      <c r="EA171" s="64">
        <f>($DW171-$D171)*100</f>
        <v/>
      </c>
      <c r="EB171" s="64">
        <f>$Q171-$O171</f>
        <v/>
      </c>
      <c r="EC171" s="67">
        <f>IFERROR($Q171/$P171,"")</f>
        <v/>
      </c>
    </row>
    <row r="172">
      <c r="DG172" s="64">
        <f>($B172-$B173)*100</f>
        <v/>
      </c>
      <c r="DH172" s="64">
        <f>($D172-$D173)*100</f>
        <v/>
      </c>
      <c r="DI172" s="64">
        <f>($E172-$E173)*100</f>
        <v/>
      </c>
      <c r="DJ172" s="64">
        <f>($H172-$H173)*100</f>
        <v/>
      </c>
      <c r="DK172" s="65">
        <f>IFERROR($J172/$J173-1,"")</f>
        <v/>
      </c>
      <c r="DL172" s="64">
        <f>$L172-$L173</f>
        <v/>
      </c>
      <c r="DM172" s="64">
        <f>$K172-$K173</f>
        <v/>
      </c>
      <c r="DN172" s="65">
        <f>IFERROR($N172/$N173-1,"")</f>
        <v/>
      </c>
      <c r="DO172" s="65">
        <f>IFERROR($M172/$M173-1,"")</f>
        <v/>
      </c>
      <c r="DP172" s="65">
        <f>IFERROR($AZ172/$AZ173-1,"")</f>
        <v/>
      </c>
      <c r="DQ172" s="65">
        <f>IFERROR($BA172/$BA173-1,"")</f>
        <v/>
      </c>
      <c r="DR172" s="64">
        <f>$O172-$O173</f>
        <v/>
      </c>
      <c r="DS172" s="64">
        <f>$P172-$P173</f>
        <v/>
      </c>
      <c r="DT172" s="64">
        <f>$Q172-$Q173</f>
        <v/>
      </c>
      <c r="DU172" s="64">
        <f>$S172-$S173</f>
        <v/>
      </c>
      <c r="DV172" s="65">
        <f>IFERROR(AVERAGE($AA173/$AA172-1,$AB173/$AB172-1,$AC173/$AC172-1,$AD173/$AD172-1,$AE173/$AE172-1,$AG173/$AG172-1,$AH173/$AH172-1,$AI173/$AI172-1,$AJ173/$AJ172-1,$AL173/$AL172-1,$AM173/$AM172-1,$AR173/$AR172-1,$AS173/$AS172-1,$AT173/$AT172-1,$AU173/$AU172-1,$AV173/$AV172-1,$AW173/$AW172-1,$AX173/$AX172-1,$AY173/$AY172-1),"")</f>
        <v/>
      </c>
      <c r="DW172" s="66">
        <f>AVERAGE($CB172,$CC172,$CD172,$CE172,$CF172,$CG172,$CH172,$CI172,$CJ172,$CL172,$CM172,$CN172,$CO172,$CP172,$CQ172,$CR172,$CS172,$CT172)</f>
        <v/>
      </c>
      <c r="DX172" s="66">
        <f>AVERAGE($CB172,$CC172,$CM172,$CE172,$CP172)</f>
        <v/>
      </c>
      <c r="DY172" s="64">
        <f>($DW172-$DW173)*100</f>
        <v/>
      </c>
      <c r="DZ172" s="64">
        <f>($DX172-$DX173)*100</f>
        <v/>
      </c>
      <c r="EA172" s="64">
        <f>($DW172-$D172)*100</f>
        <v/>
      </c>
      <c r="EB172" s="64">
        <f>$Q172-$O172</f>
        <v/>
      </c>
      <c r="EC172" s="67">
        <f>IFERROR($Q172/$P172,"")</f>
        <v/>
      </c>
    </row>
    <row r="173">
      <c r="DG173" s="64">
        <f>($B173-$B174)*100</f>
        <v/>
      </c>
      <c r="DH173" s="64">
        <f>($D173-$D174)*100</f>
        <v/>
      </c>
      <c r="DI173" s="64">
        <f>($E173-$E174)*100</f>
        <v/>
      </c>
      <c r="DJ173" s="64">
        <f>($H173-$H174)*100</f>
        <v/>
      </c>
      <c r="DK173" s="65">
        <f>IFERROR($J173/$J174-1,"")</f>
        <v/>
      </c>
      <c r="DL173" s="64">
        <f>$L173-$L174</f>
        <v/>
      </c>
      <c r="DM173" s="64">
        <f>$K173-$K174</f>
        <v/>
      </c>
      <c r="DN173" s="65">
        <f>IFERROR($N173/$N174-1,"")</f>
        <v/>
      </c>
      <c r="DO173" s="65">
        <f>IFERROR($M173/$M174-1,"")</f>
        <v/>
      </c>
      <c r="DP173" s="65">
        <f>IFERROR($AZ173/$AZ174-1,"")</f>
        <v/>
      </c>
      <c r="DQ173" s="65">
        <f>IFERROR($BA173/$BA174-1,"")</f>
        <v/>
      </c>
      <c r="DR173" s="64">
        <f>$O173-$O174</f>
        <v/>
      </c>
      <c r="DS173" s="64">
        <f>$P173-$P174</f>
        <v/>
      </c>
      <c r="DT173" s="64">
        <f>$Q173-$Q174</f>
        <v/>
      </c>
      <c r="DU173" s="64">
        <f>$S173-$S174</f>
        <v/>
      </c>
      <c r="DV173" s="65">
        <f>IFERROR(AVERAGE($AA174/$AA173-1,$AB174/$AB173-1,$AC174/$AC173-1,$AD174/$AD173-1,$AE174/$AE173-1,$AG174/$AG173-1,$AH174/$AH173-1,$AI174/$AI173-1,$AJ174/$AJ173-1,$AL174/$AL173-1,$AM174/$AM173-1,$AR174/$AR173-1,$AS174/$AS173-1,$AT174/$AT173-1,$AU174/$AU173-1,$AV174/$AV173-1,$AW174/$AW173-1,$AX174/$AX173-1,$AY174/$AY173-1),"")</f>
        <v/>
      </c>
      <c r="DW173" s="66">
        <f>AVERAGE($CB173,$CC173,$CD173,$CE173,$CF173,$CG173,$CH173,$CI173,$CJ173,$CL173,$CM173,$CN173,$CO173,$CP173,$CQ173,$CR173,$CS173,$CT173)</f>
        <v/>
      </c>
      <c r="DX173" s="66">
        <f>AVERAGE($CB173,$CC173,$CM173,$CE173,$CP173)</f>
        <v/>
      </c>
      <c r="DY173" s="64">
        <f>($DW173-$DW174)*100</f>
        <v/>
      </c>
      <c r="DZ173" s="64">
        <f>($DX173-$DX174)*100</f>
        <v/>
      </c>
      <c r="EA173" s="64">
        <f>($DW173-$D173)*100</f>
        <v/>
      </c>
      <c r="EB173" s="64">
        <f>$Q173-$O173</f>
        <v/>
      </c>
      <c r="EC173" s="67">
        <f>IFERROR($Q173/$P173,"")</f>
        <v/>
      </c>
    </row>
    <row r="174">
      <c r="DG174" s="64">
        <f>($B174-$B175)*100</f>
        <v/>
      </c>
      <c r="DH174" s="64">
        <f>($D174-$D175)*100</f>
        <v/>
      </c>
      <c r="DI174" s="64">
        <f>($E174-$E175)*100</f>
        <v/>
      </c>
      <c r="DJ174" s="64">
        <f>($H174-$H175)*100</f>
        <v/>
      </c>
      <c r="DK174" s="65">
        <f>IFERROR($J174/$J175-1,"")</f>
        <v/>
      </c>
      <c r="DL174" s="64">
        <f>$L174-$L175</f>
        <v/>
      </c>
      <c r="DM174" s="64">
        <f>$K174-$K175</f>
        <v/>
      </c>
      <c r="DN174" s="65">
        <f>IFERROR($N174/$N175-1,"")</f>
        <v/>
      </c>
      <c r="DO174" s="65">
        <f>IFERROR($M174/$M175-1,"")</f>
        <v/>
      </c>
      <c r="DP174" s="65">
        <f>IFERROR($AZ174/$AZ175-1,"")</f>
        <v/>
      </c>
      <c r="DQ174" s="65">
        <f>IFERROR($BA174/$BA175-1,"")</f>
        <v/>
      </c>
      <c r="DR174" s="64">
        <f>$O174-$O175</f>
        <v/>
      </c>
      <c r="DS174" s="64">
        <f>$P174-$P175</f>
        <v/>
      </c>
      <c r="DT174" s="64">
        <f>$Q174-$Q175</f>
        <v/>
      </c>
      <c r="DU174" s="64">
        <f>$S174-$S175</f>
        <v/>
      </c>
      <c r="DV174" s="65">
        <f>IFERROR(AVERAGE($AA175/$AA174-1,$AB175/$AB174-1,$AC175/$AC174-1,$AD175/$AD174-1,$AE175/$AE174-1,$AG175/$AG174-1,$AH175/$AH174-1,$AI175/$AI174-1,$AJ175/$AJ174-1,$AL175/$AL174-1,$AM175/$AM174-1,$AR175/$AR174-1,$AS175/$AS174-1,$AT175/$AT174-1,$AU175/$AU174-1,$AV175/$AV174-1,$AW175/$AW174-1,$AX175/$AX174-1,$AY175/$AY174-1),"")</f>
        <v/>
      </c>
      <c r="DW174" s="66">
        <f>AVERAGE($CB174,$CC174,$CD174,$CE174,$CF174,$CG174,$CH174,$CI174,$CJ174,$CL174,$CM174,$CN174,$CO174,$CP174,$CQ174,$CR174,$CS174,$CT174)</f>
        <v/>
      </c>
      <c r="DX174" s="66">
        <f>AVERAGE($CB174,$CC174,$CM174,$CE174,$CP174)</f>
        <v/>
      </c>
      <c r="DY174" s="64">
        <f>($DW174-$DW175)*100</f>
        <v/>
      </c>
      <c r="DZ174" s="64">
        <f>($DX174-$DX175)*100</f>
        <v/>
      </c>
      <c r="EA174" s="64">
        <f>($DW174-$D174)*100</f>
        <v/>
      </c>
      <c r="EB174" s="64">
        <f>$Q174-$O174</f>
        <v/>
      </c>
      <c r="EC174" s="67">
        <f>IFERROR($Q174/$P174,"")</f>
        <v/>
      </c>
    </row>
    <row r="175">
      <c r="DG175" s="64">
        <f>($B175-$B176)*100</f>
        <v/>
      </c>
      <c r="DH175" s="64">
        <f>($D175-$D176)*100</f>
        <v/>
      </c>
      <c r="DI175" s="64">
        <f>($E175-$E176)*100</f>
        <v/>
      </c>
      <c r="DJ175" s="64">
        <f>($H175-$H176)*100</f>
        <v/>
      </c>
      <c r="DK175" s="65">
        <f>IFERROR($J175/$J176-1,"")</f>
        <v/>
      </c>
      <c r="DL175" s="64">
        <f>$L175-$L176</f>
        <v/>
      </c>
      <c r="DM175" s="64">
        <f>$K175-$K176</f>
        <v/>
      </c>
      <c r="DN175" s="65">
        <f>IFERROR($N175/$N176-1,"")</f>
        <v/>
      </c>
      <c r="DO175" s="65">
        <f>IFERROR($M175/$M176-1,"")</f>
        <v/>
      </c>
      <c r="DP175" s="65">
        <f>IFERROR($AZ175/$AZ176-1,"")</f>
        <v/>
      </c>
      <c r="DQ175" s="65">
        <f>IFERROR($BA175/$BA176-1,"")</f>
        <v/>
      </c>
      <c r="DR175" s="64">
        <f>$O175-$O176</f>
        <v/>
      </c>
      <c r="DS175" s="64">
        <f>$P175-$P176</f>
        <v/>
      </c>
      <c r="DT175" s="64">
        <f>$Q175-$Q176</f>
        <v/>
      </c>
      <c r="DU175" s="64">
        <f>$S175-$S176</f>
        <v/>
      </c>
      <c r="DV175" s="65">
        <f>IFERROR(AVERAGE($AA176/$AA175-1,$AB176/$AB175-1,$AC176/$AC175-1,$AD176/$AD175-1,$AE176/$AE175-1,$AG176/$AG175-1,$AH176/$AH175-1,$AI176/$AI175-1,$AJ176/$AJ175-1,$AL176/$AL175-1,$AM176/$AM175-1,$AR176/$AR175-1,$AS176/$AS175-1,$AT176/$AT175-1,$AU176/$AU175-1,$AV176/$AV175-1,$AW176/$AW175-1,$AX176/$AX175-1,$AY176/$AY175-1),"")</f>
        <v/>
      </c>
      <c r="DW175" s="66">
        <f>AVERAGE($CB175,$CC175,$CD175,$CE175,$CF175,$CG175,$CH175,$CI175,$CJ175,$CL175,$CM175,$CN175,$CO175,$CP175,$CQ175,$CR175,$CS175,$CT175)</f>
        <v/>
      </c>
      <c r="DX175" s="66">
        <f>AVERAGE($CB175,$CC175,$CM175,$CE175,$CP175)</f>
        <v/>
      </c>
      <c r="DY175" s="64">
        <f>($DW175-$DW176)*100</f>
        <v/>
      </c>
      <c r="DZ175" s="64">
        <f>($DX175-$DX176)*100</f>
        <v/>
      </c>
      <c r="EA175" s="64">
        <f>($DW175-$D175)*100</f>
        <v/>
      </c>
      <c r="EB175" s="64">
        <f>$Q175-$O175</f>
        <v/>
      </c>
      <c r="EC175" s="67">
        <f>IFERROR($Q175/$P175,"")</f>
        <v/>
      </c>
    </row>
    <row r="176">
      <c r="DG176" s="64">
        <f>($B176-$B177)*100</f>
        <v/>
      </c>
      <c r="DH176" s="64">
        <f>($D176-$D177)*100</f>
        <v/>
      </c>
      <c r="DI176" s="64">
        <f>($E176-$E177)*100</f>
        <v/>
      </c>
      <c r="DJ176" s="64">
        <f>($H176-$H177)*100</f>
        <v/>
      </c>
      <c r="DK176" s="65">
        <f>IFERROR($J176/$J177-1,"")</f>
        <v/>
      </c>
      <c r="DL176" s="64">
        <f>$L176-$L177</f>
        <v/>
      </c>
      <c r="DM176" s="64">
        <f>$K176-$K177</f>
        <v/>
      </c>
      <c r="DN176" s="65">
        <f>IFERROR($N176/$N177-1,"")</f>
        <v/>
      </c>
      <c r="DO176" s="65">
        <f>IFERROR($M176/$M177-1,"")</f>
        <v/>
      </c>
      <c r="DP176" s="65">
        <f>IFERROR($AZ176/$AZ177-1,"")</f>
        <v/>
      </c>
      <c r="DQ176" s="65">
        <f>IFERROR($BA176/$BA177-1,"")</f>
        <v/>
      </c>
      <c r="DR176" s="64">
        <f>$O176-$O177</f>
        <v/>
      </c>
      <c r="DS176" s="64">
        <f>$P176-$P177</f>
        <v/>
      </c>
      <c r="DT176" s="64">
        <f>$Q176-$Q177</f>
        <v/>
      </c>
      <c r="DU176" s="64">
        <f>$S176-$S177</f>
        <v/>
      </c>
      <c r="DV176" s="65">
        <f>IFERROR(AVERAGE($AA177/$AA176-1,$AB177/$AB176-1,$AC177/$AC176-1,$AD177/$AD176-1,$AE177/$AE176-1,$AG177/$AG176-1,$AH177/$AH176-1,$AI177/$AI176-1,$AJ177/$AJ176-1,$AL177/$AL176-1,$AM177/$AM176-1,$AR177/$AR176-1,$AS177/$AS176-1,$AT177/$AT176-1,$AU177/$AU176-1,$AV177/$AV176-1,$AW177/$AW176-1,$AX177/$AX176-1,$AY177/$AY176-1),"")</f>
        <v/>
      </c>
      <c r="DW176" s="66">
        <f>AVERAGE($CB176,$CC176,$CD176,$CE176,$CF176,$CG176,$CH176,$CI176,$CJ176,$CL176,$CM176,$CN176,$CO176,$CP176,$CQ176,$CR176,$CS176,$CT176)</f>
        <v/>
      </c>
      <c r="DX176" s="66">
        <f>AVERAGE($CB176,$CC176,$CM176,$CE176,$CP176)</f>
        <v/>
      </c>
      <c r="DY176" s="64">
        <f>($DW176-$DW177)*100</f>
        <v/>
      </c>
      <c r="DZ176" s="64">
        <f>($DX176-$DX177)*100</f>
        <v/>
      </c>
      <c r="EA176" s="64">
        <f>($DW176-$D176)*100</f>
        <v/>
      </c>
      <c r="EB176" s="64">
        <f>$Q176-$O176</f>
        <v/>
      </c>
      <c r="EC176" s="67">
        <f>IFERROR($Q176/$P176,"")</f>
        <v/>
      </c>
    </row>
    <row r="177">
      <c r="DG177" s="64">
        <f>($B177-$B178)*100</f>
        <v/>
      </c>
      <c r="DH177" s="64">
        <f>($D177-$D178)*100</f>
        <v/>
      </c>
      <c r="DI177" s="64">
        <f>($E177-$E178)*100</f>
        <v/>
      </c>
      <c r="DJ177" s="64">
        <f>($H177-$H178)*100</f>
        <v/>
      </c>
      <c r="DK177" s="65">
        <f>IFERROR($J177/$J178-1,"")</f>
        <v/>
      </c>
      <c r="DL177" s="64">
        <f>$L177-$L178</f>
        <v/>
      </c>
      <c r="DM177" s="64">
        <f>$K177-$K178</f>
        <v/>
      </c>
      <c r="DN177" s="65">
        <f>IFERROR($N177/$N178-1,"")</f>
        <v/>
      </c>
      <c r="DO177" s="65">
        <f>IFERROR($M177/$M178-1,"")</f>
        <v/>
      </c>
      <c r="DP177" s="65">
        <f>IFERROR($AZ177/$AZ178-1,"")</f>
        <v/>
      </c>
      <c r="DQ177" s="65">
        <f>IFERROR($BA177/$BA178-1,"")</f>
        <v/>
      </c>
      <c r="DR177" s="64">
        <f>$O177-$O178</f>
        <v/>
      </c>
      <c r="DS177" s="64">
        <f>$P177-$P178</f>
        <v/>
      </c>
      <c r="DT177" s="64">
        <f>$Q177-$Q178</f>
        <v/>
      </c>
      <c r="DU177" s="64">
        <f>$S177-$S178</f>
        <v/>
      </c>
      <c r="DV177" s="65">
        <f>IFERROR(AVERAGE($AA178/$AA177-1,$AB178/$AB177-1,$AC178/$AC177-1,$AD178/$AD177-1,$AE178/$AE177-1,$AG178/$AG177-1,$AH178/$AH177-1,$AI178/$AI177-1,$AJ178/$AJ177-1,$AL178/$AL177-1,$AM178/$AM177-1,$AR178/$AR177-1,$AS178/$AS177-1,$AT178/$AT177-1,$AU178/$AU177-1,$AV178/$AV177-1,$AW178/$AW177-1,$AX178/$AX177-1,$AY178/$AY177-1),"")</f>
        <v/>
      </c>
      <c r="DW177" s="66">
        <f>AVERAGE($CB177,$CC177,$CD177,$CE177,$CF177,$CG177,$CH177,$CI177,$CJ177,$CL177,$CM177,$CN177,$CO177,$CP177,$CQ177,$CR177,$CS177,$CT177)</f>
        <v/>
      </c>
      <c r="DX177" s="66">
        <f>AVERAGE($CB177,$CC177,$CM177,$CE177,$CP177)</f>
        <v/>
      </c>
      <c r="DY177" s="64">
        <f>($DW177-$DW178)*100</f>
        <v/>
      </c>
      <c r="DZ177" s="64">
        <f>($DX177-$DX178)*100</f>
        <v/>
      </c>
      <c r="EA177" s="64">
        <f>($DW177-$D177)*100</f>
        <v/>
      </c>
      <c r="EB177" s="64">
        <f>$Q177-$O177</f>
        <v/>
      </c>
      <c r="EC177" s="67">
        <f>IFERROR($Q177/$P177,"")</f>
        <v/>
      </c>
    </row>
    <row r="178">
      <c r="DG178" s="64">
        <f>($B178-$B179)*100</f>
        <v/>
      </c>
      <c r="DH178" s="64">
        <f>($D178-$D179)*100</f>
        <v/>
      </c>
      <c r="DI178" s="64">
        <f>($E178-$E179)*100</f>
        <v/>
      </c>
      <c r="DJ178" s="64">
        <f>($H178-$H179)*100</f>
        <v/>
      </c>
      <c r="DK178" s="65">
        <f>IFERROR($J178/$J179-1,"")</f>
        <v/>
      </c>
      <c r="DL178" s="64">
        <f>$L178-$L179</f>
        <v/>
      </c>
      <c r="DM178" s="64">
        <f>$K178-$K179</f>
        <v/>
      </c>
      <c r="DN178" s="65">
        <f>IFERROR($N178/$N179-1,"")</f>
        <v/>
      </c>
      <c r="DO178" s="65">
        <f>IFERROR($M178/$M179-1,"")</f>
        <v/>
      </c>
      <c r="DP178" s="65">
        <f>IFERROR($AZ178/$AZ179-1,"")</f>
        <v/>
      </c>
      <c r="DQ178" s="65">
        <f>IFERROR($BA178/$BA179-1,"")</f>
        <v/>
      </c>
      <c r="DR178" s="64">
        <f>$O178-$O179</f>
        <v/>
      </c>
      <c r="DS178" s="64">
        <f>$P178-$P179</f>
        <v/>
      </c>
      <c r="DT178" s="64">
        <f>$Q178-$Q179</f>
        <v/>
      </c>
      <c r="DU178" s="64">
        <f>$S178-$S179</f>
        <v/>
      </c>
      <c r="DV178" s="65">
        <f>IFERROR(AVERAGE($AA179/$AA178-1,$AB179/$AB178-1,$AC179/$AC178-1,$AD179/$AD178-1,$AE179/$AE178-1,$AG179/$AG178-1,$AH179/$AH178-1,$AI179/$AI178-1,$AJ179/$AJ178-1,$AL179/$AL178-1,$AM179/$AM178-1,$AR179/$AR178-1,$AS179/$AS178-1,$AT179/$AT178-1,$AU179/$AU178-1,$AV179/$AV178-1,$AW179/$AW178-1,$AX179/$AX178-1,$AY179/$AY178-1),"")</f>
        <v/>
      </c>
      <c r="DW178" s="66">
        <f>AVERAGE($CB178,$CC178,$CD178,$CE178,$CF178,$CG178,$CH178,$CI178,$CJ178,$CL178,$CM178,$CN178,$CO178,$CP178,$CQ178,$CR178,$CS178,$CT178)</f>
        <v/>
      </c>
      <c r="DX178" s="66">
        <f>AVERAGE($CB178,$CC178,$CM178,$CE178,$CP178)</f>
        <v/>
      </c>
      <c r="DY178" s="64">
        <f>($DW178-$DW179)*100</f>
        <v/>
      </c>
      <c r="DZ178" s="64">
        <f>($DX178-$DX179)*100</f>
        <v/>
      </c>
      <c r="EA178" s="64">
        <f>($DW178-$D178)*100</f>
        <v/>
      </c>
      <c r="EB178" s="64">
        <f>$Q178-$O178</f>
        <v/>
      </c>
      <c r="EC178" s="67">
        <f>IFERROR($Q178/$P178,"")</f>
        <v/>
      </c>
    </row>
    <row r="179">
      <c r="DG179" s="64">
        <f>($B179-$B180)*100</f>
        <v/>
      </c>
      <c r="DH179" s="64">
        <f>($D179-$D180)*100</f>
        <v/>
      </c>
      <c r="DI179" s="64">
        <f>($E179-$E180)*100</f>
        <v/>
      </c>
      <c r="DJ179" s="64">
        <f>($H179-$H180)*100</f>
        <v/>
      </c>
      <c r="DK179" s="65">
        <f>IFERROR($J179/$J180-1,"")</f>
        <v/>
      </c>
      <c r="DL179" s="64">
        <f>$L179-$L180</f>
        <v/>
      </c>
      <c r="DM179" s="64">
        <f>$K179-$K180</f>
        <v/>
      </c>
      <c r="DN179" s="65">
        <f>IFERROR($N179/$N180-1,"")</f>
        <v/>
      </c>
      <c r="DO179" s="65">
        <f>IFERROR($M179/$M180-1,"")</f>
        <v/>
      </c>
      <c r="DP179" s="65">
        <f>IFERROR($AZ179/$AZ180-1,"")</f>
        <v/>
      </c>
      <c r="DQ179" s="65">
        <f>IFERROR($BA179/$BA180-1,"")</f>
        <v/>
      </c>
      <c r="DR179" s="64">
        <f>$O179-$O180</f>
        <v/>
      </c>
      <c r="DS179" s="64">
        <f>$P179-$P180</f>
        <v/>
      </c>
      <c r="DT179" s="64">
        <f>$Q179-$Q180</f>
        <v/>
      </c>
      <c r="DU179" s="64">
        <f>$S179-$S180</f>
        <v/>
      </c>
      <c r="DV179" s="65">
        <f>IFERROR(AVERAGE($AA180/$AA179-1,$AB180/$AB179-1,$AC180/$AC179-1,$AD180/$AD179-1,$AE180/$AE179-1,$AG180/$AG179-1,$AH180/$AH179-1,$AI180/$AI179-1,$AJ180/$AJ179-1,$AL180/$AL179-1,$AM180/$AM179-1,$AR180/$AR179-1,$AS180/$AS179-1,$AT180/$AT179-1,$AU180/$AU179-1,$AV180/$AV179-1,$AW180/$AW179-1,$AX180/$AX179-1,$AY180/$AY179-1),"")</f>
        <v/>
      </c>
      <c r="DW179" s="66">
        <f>AVERAGE($CB179,$CC179,$CD179,$CE179,$CF179,$CG179,$CH179,$CI179,$CJ179,$CL179,$CM179,$CN179,$CO179,$CP179,$CQ179,$CR179,$CS179,$CT179)</f>
        <v/>
      </c>
      <c r="DX179" s="66">
        <f>AVERAGE($CB179,$CC179,$CM179,$CE179,$CP179)</f>
        <v/>
      </c>
      <c r="DY179" s="64">
        <f>($DW179-$DW180)*100</f>
        <v/>
      </c>
      <c r="DZ179" s="64">
        <f>($DX179-$DX180)*100</f>
        <v/>
      </c>
      <c r="EA179" s="64">
        <f>($DW179-$D179)*100</f>
        <v/>
      </c>
      <c r="EB179" s="64">
        <f>$Q179-$O179</f>
        <v/>
      </c>
      <c r="EC179" s="67">
        <f>IFERROR($Q179/$P179,"")</f>
        <v/>
      </c>
    </row>
    <row r="180">
      <c r="DG180" s="64">
        <f>($B180-$B181)*100</f>
        <v/>
      </c>
      <c r="DH180" s="64">
        <f>($D180-$D181)*100</f>
        <v/>
      </c>
      <c r="DI180" s="64">
        <f>($E180-$E181)*100</f>
        <v/>
      </c>
      <c r="DJ180" s="64">
        <f>($H180-$H181)*100</f>
        <v/>
      </c>
      <c r="DK180" s="65">
        <f>IFERROR($J180/$J181-1,"")</f>
        <v/>
      </c>
      <c r="DL180" s="64">
        <f>$L180-$L181</f>
        <v/>
      </c>
      <c r="DM180" s="64">
        <f>$K180-$K181</f>
        <v/>
      </c>
      <c r="DN180" s="65">
        <f>IFERROR($N180/$N181-1,"")</f>
        <v/>
      </c>
      <c r="DO180" s="65">
        <f>IFERROR($M180/$M181-1,"")</f>
        <v/>
      </c>
      <c r="DP180" s="65">
        <f>IFERROR($AZ180/$AZ181-1,"")</f>
        <v/>
      </c>
      <c r="DQ180" s="65">
        <f>IFERROR($BA180/$BA181-1,"")</f>
        <v/>
      </c>
      <c r="DR180" s="64">
        <f>$O180-$O181</f>
        <v/>
      </c>
      <c r="DS180" s="64">
        <f>$P180-$P181</f>
        <v/>
      </c>
      <c r="DT180" s="64">
        <f>$Q180-$Q181</f>
        <v/>
      </c>
      <c r="DU180" s="64">
        <f>$S180-$S181</f>
        <v/>
      </c>
      <c r="DV180" s="65">
        <f>IFERROR(AVERAGE($AA181/$AA180-1,$AB181/$AB180-1,$AC181/$AC180-1,$AD181/$AD180-1,$AE181/$AE180-1,$AG181/$AG180-1,$AH181/$AH180-1,$AI181/$AI180-1,$AJ181/$AJ180-1,$AL181/$AL180-1,$AM181/$AM180-1,$AR181/$AR180-1,$AS181/$AS180-1,$AT181/$AT180-1,$AU181/$AU180-1,$AV181/$AV180-1,$AW181/$AW180-1,$AX181/$AX180-1,$AY181/$AY180-1),"")</f>
        <v/>
      </c>
      <c r="DW180" s="66">
        <f>AVERAGE($CB180,$CC180,$CD180,$CE180,$CF180,$CG180,$CH180,$CI180,$CJ180,$CL180,$CM180,$CN180,$CO180,$CP180,$CQ180,$CR180,$CS180,$CT180)</f>
        <v/>
      </c>
      <c r="DX180" s="66">
        <f>AVERAGE($CB180,$CC180,$CM180,$CE180,$CP180)</f>
        <v/>
      </c>
      <c r="DY180" s="64">
        <f>($DW180-$DW181)*100</f>
        <v/>
      </c>
      <c r="DZ180" s="64">
        <f>($DX180-$DX181)*100</f>
        <v/>
      </c>
      <c r="EA180" s="64">
        <f>($DW180-$D180)*100</f>
        <v/>
      </c>
      <c r="EB180" s="64">
        <f>$Q180-$O180</f>
        <v/>
      </c>
      <c r="EC180" s="67">
        <f>IFERROR($Q180/$P180,"")</f>
        <v/>
      </c>
    </row>
    <row r="181">
      <c r="DG181" s="64">
        <f>($B181-$B182)*100</f>
        <v/>
      </c>
      <c r="DH181" s="64">
        <f>($D181-$D182)*100</f>
        <v/>
      </c>
      <c r="DI181" s="64">
        <f>($E181-$E182)*100</f>
        <v/>
      </c>
      <c r="DJ181" s="64">
        <f>($H181-$H182)*100</f>
        <v/>
      </c>
      <c r="DK181" s="65">
        <f>IFERROR($J181/$J182-1,"")</f>
        <v/>
      </c>
      <c r="DL181" s="64">
        <f>$L181-$L182</f>
        <v/>
      </c>
      <c r="DM181" s="64">
        <f>$K181-$K182</f>
        <v/>
      </c>
      <c r="DN181" s="65">
        <f>IFERROR($N181/$N182-1,"")</f>
        <v/>
      </c>
      <c r="DO181" s="65">
        <f>IFERROR($M181/$M182-1,"")</f>
        <v/>
      </c>
      <c r="DP181" s="65">
        <f>IFERROR($AZ181/$AZ182-1,"")</f>
        <v/>
      </c>
      <c r="DQ181" s="65">
        <f>IFERROR($BA181/$BA182-1,"")</f>
        <v/>
      </c>
      <c r="DR181" s="64">
        <f>$O181-$O182</f>
        <v/>
      </c>
      <c r="DS181" s="64">
        <f>$P181-$P182</f>
        <v/>
      </c>
      <c r="DT181" s="64">
        <f>$Q181-$Q182</f>
        <v/>
      </c>
      <c r="DU181" s="64">
        <f>$S181-$S182</f>
        <v/>
      </c>
      <c r="DV181" s="65">
        <f>IFERROR(AVERAGE($AA182/$AA181-1,$AB182/$AB181-1,$AC182/$AC181-1,$AD182/$AD181-1,$AE182/$AE181-1,$AG182/$AG181-1,$AH182/$AH181-1,$AI182/$AI181-1,$AJ182/$AJ181-1,$AL182/$AL181-1,$AM182/$AM181-1,$AR182/$AR181-1,$AS182/$AS181-1,$AT182/$AT181-1,$AU182/$AU181-1,$AV182/$AV181-1,$AW182/$AW181-1,$AX182/$AX181-1,$AY182/$AY181-1),"")</f>
        <v/>
      </c>
      <c r="DW181" s="66">
        <f>AVERAGE($CB181,$CC181,$CD181,$CE181,$CF181,$CG181,$CH181,$CI181,$CJ181,$CL181,$CM181,$CN181,$CO181,$CP181,$CQ181,$CR181,$CS181,$CT181)</f>
        <v/>
      </c>
      <c r="DX181" s="66">
        <f>AVERAGE($CB181,$CC181,$CM181,$CE181,$CP181)</f>
        <v/>
      </c>
      <c r="DY181" s="64">
        <f>($DW181-$DW182)*100</f>
        <v/>
      </c>
      <c r="DZ181" s="64">
        <f>($DX181-$DX182)*100</f>
        <v/>
      </c>
      <c r="EA181" s="64">
        <f>($DW181-$D181)*100</f>
        <v/>
      </c>
      <c r="EB181" s="64">
        <f>$Q181-$O181</f>
        <v/>
      </c>
      <c r="EC181" s="67">
        <f>IFERROR($Q181/$P181,"")</f>
        <v/>
      </c>
    </row>
    <row r="182">
      <c r="DG182" s="64">
        <f>($B182-$B183)*100</f>
        <v/>
      </c>
      <c r="DH182" s="64">
        <f>($D182-$D183)*100</f>
        <v/>
      </c>
      <c r="DI182" s="64">
        <f>($E182-$E183)*100</f>
        <v/>
      </c>
      <c r="DJ182" s="64">
        <f>($H182-$H183)*100</f>
        <v/>
      </c>
      <c r="DK182" s="65">
        <f>IFERROR($J182/$J183-1,"")</f>
        <v/>
      </c>
      <c r="DL182" s="64">
        <f>$L182-$L183</f>
        <v/>
      </c>
      <c r="DM182" s="64">
        <f>$K182-$K183</f>
        <v/>
      </c>
      <c r="DN182" s="65">
        <f>IFERROR($N182/$N183-1,"")</f>
        <v/>
      </c>
      <c r="DO182" s="65">
        <f>IFERROR($M182/$M183-1,"")</f>
        <v/>
      </c>
      <c r="DP182" s="65">
        <f>IFERROR($AZ182/$AZ183-1,"")</f>
        <v/>
      </c>
      <c r="DQ182" s="65">
        <f>IFERROR($BA182/$BA183-1,"")</f>
        <v/>
      </c>
      <c r="DR182" s="64">
        <f>$O182-$O183</f>
        <v/>
      </c>
      <c r="DS182" s="64">
        <f>$P182-$P183</f>
        <v/>
      </c>
      <c r="DT182" s="64">
        <f>$Q182-$Q183</f>
        <v/>
      </c>
      <c r="DU182" s="64">
        <f>$S182-$S183</f>
        <v/>
      </c>
      <c r="DV182" s="65">
        <f>IFERROR(AVERAGE($AA183/$AA182-1,$AB183/$AB182-1,$AC183/$AC182-1,$AD183/$AD182-1,$AE183/$AE182-1,$AG183/$AG182-1,$AH183/$AH182-1,$AI183/$AI182-1,$AJ183/$AJ182-1,$AL183/$AL182-1,$AM183/$AM182-1,$AR183/$AR182-1,$AS183/$AS182-1,$AT183/$AT182-1,$AU183/$AU182-1,$AV183/$AV182-1,$AW183/$AW182-1,$AX183/$AX182-1,$AY183/$AY182-1),"")</f>
        <v/>
      </c>
      <c r="DW182" s="66">
        <f>AVERAGE($CB182,$CC182,$CD182,$CE182,$CF182,$CG182,$CH182,$CI182,$CJ182,$CL182,$CM182,$CN182,$CO182,$CP182,$CQ182,$CR182,$CS182,$CT182)</f>
        <v/>
      </c>
      <c r="DX182" s="66">
        <f>AVERAGE($CB182,$CC182,$CM182,$CE182,$CP182)</f>
        <v/>
      </c>
      <c r="DY182" s="64">
        <f>($DW182-$DW183)*100</f>
        <v/>
      </c>
      <c r="DZ182" s="64">
        <f>($DX182-$DX183)*100</f>
        <v/>
      </c>
      <c r="EA182" s="64">
        <f>($DW182-$D182)*100</f>
        <v/>
      </c>
      <c r="EB182" s="64">
        <f>$Q182-$O182</f>
        <v/>
      </c>
      <c r="EC182" s="67">
        <f>IFERROR($Q182/$P182,"")</f>
        <v/>
      </c>
    </row>
    <row r="183">
      <c r="DG183" s="64">
        <f>($B183-$B184)*100</f>
        <v/>
      </c>
      <c r="DH183" s="64">
        <f>($D183-$D184)*100</f>
        <v/>
      </c>
      <c r="DI183" s="64">
        <f>($E183-$E184)*100</f>
        <v/>
      </c>
      <c r="DJ183" s="64">
        <f>($H183-$H184)*100</f>
        <v/>
      </c>
      <c r="DK183" s="65">
        <f>IFERROR($J183/$J184-1,"")</f>
        <v/>
      </c>
      <c r="DL183" s="64">
        <f>$L183-$L184</f>
        <v/>
      </c>
      <c r="DM183" s="64">
        <f>$K183-$K184</f>
        <v/>
      </c>
      <c r="DN183" s="65">
        <f>IFERROR($N183/$N184-1,"")</f>
        <v/>
      </c>
      <c r="DO183" s="65">
        <f>IFERROR($M183/$M184-1,"")</f>
        <v/>
      </c>
      <c r="DP183" s="65">
        <f>IFERROR($AZ183/$AZ184-1,"")</f>
        <v/>
      </c>
      <c r="DQ183" s="65">
        <f>IFERROR($BA183/$BA184-1,"")</f>
        <v/>
      </c>
      <c r="DR183" s="64">
        <f>$O183-$O184</f>
        <v/>
      </c>
      <c r="DS183" s="64">
        <f>$P183-$P184</f>
        <v/>
      </c>
      <c r="DT183" s="64">
        <f>$Q183-$Q184</f>
        <v/>
      </c>
      <c r="DU183" s="64">
        <f>$S183-$S184</f>
        <v/>
      </c>
      <c r="DV183" s="65">
        <f>IFERROR(AVERAGE($AA184/$AA183-1,$AB184/$AB183-1,$AC184/$AC183-1,$AD184/$AD183-1,$AE184/$AE183-1,$AG184/$AG183-1,$AH184/$AH183-1,$AI184/$AI183-1,$AJ184/$AJ183-1,$AL184/$AL183-1,$AM184/$AM183-1,$AR184/$AR183-1,$AS184/$AS183-1,$AT184/$AT183-1,$AU184/$AU183-1,$AV184/$AV183-1,$AW184/$AW183-1,$AX184/$AX183-1,$AY184/$AY183-1),"")</f>
        <v/>
      </c>
      <c r="DW183" s="66">
        <f>AVERAGE($CB183,$CC183,$CD183,$CE183,$CF183,$CG183,$CH183,$CI183,$CJ183,$CL183,$CM183,$CN183,$CO183,$CP183,$CQ183,$CR183,$CS183,$CT183)</f>
        <v/>
      </c>
      <c r="DX183" s="66">
        <f>AVERAGE($CB183,$CC183,$CM183,$CE183,$CP183)</f>
        <v/>
      </c>
      <c r="DY183" s="64">
        <f>($DW183-$DW184)*100</f>
        <v/>
      </c>
      <c r="DZ183" s="64">
        <f>($DX183-$DX184)*100</f>
        <v/>
      </c>
      <c r="EA183" s="64">
        <f>($DW183-$D183)*100</f>
        <v/>
      </c>
      <c r="EB183" s="64">
        <f>$Q183-$O183</f>
        <v/>
      </c>
      <c r="EC183" s="67">
        <f>IFERROR($Q183/$P183,"")</f>
        <v/>
      </c>
    </row>
    <row r="184">
      <c r="DG184" s="64">
        <f>($B184-$B185)*100</f>
        <v/>
      </c>
      <c r="DH184" s="64">
        <f>($D184-$D185)*100</f>
        <v/>
      </c>
      <c r="DI184" s="64">
        <f>($E184-$E185)*100</f>
        <v/>
      </c>
      <c r="DJ184" s="64">
        <f>($H184-$H185)*100</f>
        <v/>
      </c>
      <c r="DK184" s="65">
        <f>IFERROR($J184/$J185-1,"")</f>
        <v/>
      </c>
      <c r="DL184" s="64">
        <f>$L184-$L185</f>
        <v/>
      </c>
      <c r="DM184" s="64">
        <f>$K184-$K185</f>
        <v/>
      </c>
      <c r="DN184" s="65">
        <f>IFERROR($N184/$N185-1,"")</f>
        <v/>
      </c>
      <c r="DO184" s="65">
        <f>IFERROR($M184/$M185-1,"")</f>
        <v/>
      </c>
      <c r="DP184" s="65">
        <f>IFERROR($AZ184/$AZ185-1,"")</f>
        <v/>
      </c>
      <c r="DQ184" s="65">
        <f>IFERROR($BA184/$BA185-1,"")</f>
        <v/>
      </c>
      <c r="DR184" s="64">
        <f>$O184-$O185</f>
        <v/>
      </c>
      <c r="DS184" s="64">
        <f>$P184-$P185</f>
        <v/>
      </c>
      <c r="DT184" s="64">
        <f>$Q184-$Q185</f>
        <v/>
      </c>
      <c r="DU184" s="64">
        <f>$S184-$S185</f>
        <v/>
      </c>
      <c r="DV184" s="65">
        <f>IFERROR(AVERAGE($AA185/$AA184-1,$AB185/$AB184-1,$AC185/$AC184-1,$AD185/$AD184-1,$AE185/$AE184-1,$AG185/$AG184-1,$AH185/$AH184-1,$AI185/$AI184-1,$AJ185/$AJ184-1,$AL185/$AL184-1,$AM185/$AM184-1,$AR185/$AR184-1,$AS185/$AS184-1,$AT185/$AT184-1,$AU185/$AU184-1,$AV185/$AV184-1,$AW185/$AW184-1,$AX185/$AX184-1,$AY185/$AY184-1),"")</f>
        <v/>
      </c>
      <c r="DW184" s="66">
        <f>AVERAGE($CB184,$CC184,$CD184,$CE184,$CF184,$CG184,$CH184,$CI184,$CJ184,$CL184,$CM184,$CN184,$CO184,$CP184,$CQ184,$CR184,$CS184,$CT184)</f>
        <v/>
      </c>
      <c r="DX184" s="66">
        <f>AVERAGE($CB184,$CC184,$CM184,$CE184,$CP184)</f>
        <v/>
      </c>
      <c r="DY184" s="64">
        <f>($DW184-$DW185)*100</f>
        <v/>
      </c>
      <c r="DZ184" s="64">
        <f>($DX184-$DX185)*100</f>
        <v/>
      </c>
      <c r="EA184" s="64">
        <f>($DW184-$D184)*100</f>
        <v/>
      </c>
      <c r="EB184" s="64">
        <f>$Q184-$O184</f>
        <v/>
      </c>
      <c r="EC184" s="67">
        <f>IFERROR($Q184/$P184,"")</f>
        <v/>
      </c>
    </row>
    <row r="185">
      <c r="DG185" s="64">
        <f>($B185-$B186)*100</f>
        <v/>
      </c>
      <c r="DH185" s="64">
        <f>($D185-$D186)*100</f>
        <v/>
      </c>
      <c r="DI185" s="64">
        <f>($E185-$E186)*100</f>
        <v/>
      </c>
      <c r="DJ185" s="64">
        <f>($H185-$H186)*100</f>
        <v/>
      </c>
      <c r="DK185" s="65">
        <f>IFERROR($J185/$J186-1,"")</f>
        <v/>
      </c>
      <c r="DL185" s="64">
        <f>$L185-$L186</f>
        <v/>
      </c>
      <c r="DM185" s="64">
        <f>$K185-$K186</f>
        <v/>
      </c>
      <c r="DN185" s="65">
        <f>IFERROR($N185/$N186-1,"")</f>
        <v/>
      </c>
      <c r="DO185" s="65">
        <f>IFERROR($M185/$M186-1,"")</f>
        <v/>
      </c>
      <c r="DP185" s="65">
        <f>IFERROR($AZ185/$AZ186-1,"")</f>
        <v/>
      </c>
      <c r="DQ185" s="65">
        <f>IFERROR($BA185/$BA186-1,"")</f>
        <v/>
      </c>
      <c r="DR185" s="64">
        <f>$O185-$O186</f>
        <v/>
      </c>
      <c r="DS185" s="64">
        <f>$P185-$P186</f>
        <v/>
      </c>
      <c r="DT185" s="64">
        <f>$Q185-$Q186</f>
        <v/>
      </c>
      <c r="DU185" s="64">
        <f>$S185-$S186</f>
        <v/>
      </c>
      <c r="DV185" s="65">
        <f>IFERROR(AVERAGE($AA186/$AA185-1,$AB186/$AB185-1,$AC186/$AC185-1,$AD186/$AD185-1,$AE186/$AE185-1,$AG186/$AG185-1,$AH186/$AH185-1,$AI186/$AI185-1,$AJ186/$AJ185-1,$AL186/$AL185-1,$AM186/$AM185-1,$AR186/$AR185-1,$AS186/$AS185-1,$AT186/$AT185-1,$AU186/$AU185-1,$AV186/$AV185-1,$AW186/$AW185-1,$AX186/$AX185-1,$AY186/$AY185-1),"")</f>
        <v/>
      </c>
      <c r="DW185" s="66">
        <f>AVERAGE($CB185,$CC185,$CD185,$CE185,$CF185,$CG185,$CH185,$CI185,$CJ185,$CL185,$CM185,$CN185,$CO185,$CP185,$CQ185,$CR185,$CS185,$CT185)</f>
        <v/>
      </c>
      <c r="DX185" s="66">
        <f>AVERAGE($CB185,$CC185,$CM185,$CE185,$CP185)</f>
        <v/>
      </c>
      <c r="DY185" s="64">
        <f>($DW185-$DW186)*100</f>
        <v/>
      </c>
      <c r="DZ185" s="64">
        <f>($DX185-$DX186)*100</f>
        <v/>
      </c>
      <c r="EA185" s="64">
        <f>($DW185-$D185)*100</f>
        <v/>
      </c>
      <c r="EB185" s="64">
        <f>$Q185-$O185</f>
        <v/>
      </c>
      <c r="EC185" s="67">
        <f>IFERROR($Q185/$P185,"")</f>
        <v/>
      </c>
    </row>
    <row r="186">
      <c r="DG186" s="64">
        <f>($B186-$B187)*100</f>
        <v/>
      </c>
      <c r="DH186" s="64">
        <f>($D186-$D187)*100</f>
        <v/>
      </c>
      <c r="DI186" s="64">
        <f>($E186-$E187)*100</f>
        <v/>
      </c>
      <c r="DJ186" s="64">
        <f>($H186-$H187)*100</f>
        <v/>
      </c>
      <c r="DK186" s="65">
        <f>IFERROR($J186/$J187-1,"")</f>
        <v/>
      </c>
      <c r="DL186" s="64">
        <f>$L186-$L187</f>
        <v/>
      </c>
      <c r="DM186" s="64">
        <f>$K186-$K187</f>
        <v/>
      </c>
      <c r="DN186" s="65">
        <f>IFERROR($N186/$N187-1,"")</f>
        <v/>
      </c>
      <c r="DO186" s="65">
        <f>IFERROR($M186/$M187-1,"")</f>
        <v/>
      </c>
      <c r="DP186" s="65">
        <f>IFERROR($AZ186/$AZ187-1,"")</f>
        <v/>
      </c>
      <c r="DQ186" s="65">
        <f>IFERROR($BA186/$BA187-1,"")</f>
        <v/>
      </c>
      <c r="DR186" s="64">
        <f>$O186-$O187</f>
        <v/>
      </c>
      <c r="DS186" s="64">
        <f>$P186-$P187</f>
        <v/>
      </c>
      <c r="DT186" s="64">
        <f>$Q186-$Q187</f>
        <v/>
      </c>
      <c r="DU186" s="64">
        <f>$S186-$S187</f>
        <v/>
      </c>
      <c r="DV186" s="65">
        <f>IFERROR(AVERAGE($AA187/$AA186-1,$AB187/$AB186-1,$AC187/$AC186-1,$AD187/$AD186-1,$AE187/$AE186-1,$AG187/$AG186-1,$AH187/$AH186-1,$AI187/$AI186-1,$AJ187/$AJ186-1,$AL187/$AL186-1,$AM187/$AM186-1,$AR187/$AR186-1,$AS187/$AS186-1,$AT187/$AT186-1,$AU187/$AU186-1,$AV187/$AV186-1,$AW187/$AW186-1,$AX187/$AX186-1,$AY187/$AY186-1),"")</f>
        <v/>
      </c>
      <c r="DW186" s="66">
        <f>AVERAGE($CB186,$CC186,$CD186,$CE186,$CF186,$CG186,$CH186,$CI186,$CJ186,$CL186,$CM186,$CN186,$CO186,$CP186,$CQ186,$CR186,$CS186,$CT186)</f>
        <v/>
      </c>
      <c r="DX186" s="66">
        <f>AVERAGE($CB186,$CC186,$CM186,$CE186,$CP186)</f>
        <v/>
      </c>
      <c r="DY186" s="64">
        <f>($DW186-$DW187)*100</f>
        <v/>
      </c>
      <c r="DZ186" s="64">
        <f>($DX186-$DX187)*100</f>
        <v/>
      </c>
      <c r="EA186" s="64">
        <f>($DW186-$D186)*100</f>
        <v/>
      </c>
      <c r="EB186" s="64">
        <f>$Q186-$O186</f>
        <v/>
      </c>
      <c r="EC186" s="67">
        <f>IFERROR($Q186/$P186,"")</f>
        <v/>
      </c>
    </row>
    <row r="187">
      <c r="DG187" s="64">
        <f>($B187-$B188)*100</f>
        <v/>
      </c>
      <c r="DH187" s="64">
        <f>($D187-$D188)*100</f>
        <v/>
      </c>
      <c r="DI187" s="64">
        <f>($E187-$E188)*100</f>
        <v/>
      </c>
      <c r="DJ187" s="64">
        <f>($H187-$H188)*100</f>
        <v/>
      </c>
      <c r="DK187" s="65">
        <f>IFERROR($J187/$J188-1,"")</f>
        <v/>
      </c>
      <c r="DL187" s="64">
        <f>$L187-$L188</f>
        <v/>
      </c>
      <c r="DM187" s="64">
        <f>$K187-$K188</f>
        <v/>
      </c>
      <c r="DN187" s="65">
        <f>IFERROR($N187/$N188-1,"")</f>
        <v/>
      </c>
      <c r="DO187" s="65">
        <f>IFERROR($M187/$M188-1,"")</f>
        <v/>
      </c>
      <c r="DP187" s="65">
        <f>IFERROR($AZ187/$AZ188-1,"")</f>
        <v/>
      </c>
      <c r="DQ187" s="65">
        <f>IFERROR($BA187/$BA188-1,"")</f>
        <v/>
      </c>
      <c r="DR187" s="64">
        <f>$O187-$O188</f>
        <v/>
      </c>
      <c r="DS187" s="64">
        <f>$P187-$P188</f>
        <v/>
      </c>
      <c r="DT187" s="64">
        <f>$Q187-$Q188</f>
        <v/>
      </c>
      <c r="DU187" s="64">
        <f>$S187-$S188</f>
        <v/>
      </c>
      <c r="DV187" s="65">
        <f>IFERROR(AVERAGE($AA188/$AA187-1,$AB188/$AB187-1,$AC188/$AC187-1,$AD188/$AD187-1,$AE188/$AE187-1,$AG188/$AG187-1,$AH188/$AH187-1,$AI188/$AI187-1,$AJ188/$AJ187-1,$AL188/$AL187-1,$AM188/$AM187-1,$AR188/$AR187-1,$AS188/$AS187-1,$AT188/$AT187-1,$AU188/$AU187-1,$AV188/$AV187-1,$AW188/$AW187-1,$AX188/$AX187-1,$AY188/$AY187-1),"")</f>
        <v/>
      </c>
      <c r="DW187" s="66">
        <f>AVERAGE($CB187,$CC187,$CD187,$CE187,$CF187,$CG187,$CH187,$CI187,$CJ187,$CL187,$CM187,$CN187,$CO187,$CP187,$CQ187,$CR187,$CS187,$CT187)</f>
        <v/>
      </c>
      <c r="DX187" s="66">
        <f>AVERAGE($CB187,$CC187,$CM187,$CE187,$CP187)</f>
        <v/>
      </c>
      <c r="DY187" s="64">
        <f>($DW187-$DW188)*100</f>
        <v/>
      </c>
      <c r="DZ187" s="64">
        <f>($DX187-$DX188)*100</f>
        <v/>
      </c>
      <c r="EA187" s="64">
        <f>($DW187-$D187)*100</f>
        <v/>
      </c>
      <c r="EB187" s="64">
        <f>$Q187-$O187</f>
        <v/>
      </c>
      <c r="EC187" s="67">
        <f>IFERROR($Q187/$P187,"")</f>
        <v/>
      </c>
    </row>
    <row r="188">
      <c r="DG188" s="64">
        <f>($B188-$B189)*100</f>
        <v/>
      </c>
      <c r="DH188" s="64">
        <f>($D188-$D189)*100</f>
        <v/>
      </c>
      <c r="DI188" s="64">
        <f>($E188-$E189)*100</f>
        <v/>
      </c>
      <c r="DJ188" s="64">
        <f>($H188-$H189)*100</f>
        <v/>
      </c>
      <c r="DK188" s="65">
        <f>IFERROR($J188/$J189-1,"")</f>
        <v/>
      </c>
      <c r="DL188" s="64">
        <f>$L188-$L189</f>
        <v/>
      </c>
      <c r="DM188" s="64">
        <f>$K188-$K189</f>
        <v/>
      </c>
      <c r="DN188" s="65">
        <f>IFERROR($N188/$N189-1,"")</f>
        <v/>
      </c>
      <c r="DO188" s="65">
        <f>IFERROR($M188/$M189-1,"")</f>
        <v/>
      </c>
      <c r="DP188" s="65">
        <f>IFERROR($AZ188/$AZ189-1,"")</f>
        <v/>
      </c>
      <c r="DQ188" s="65">
        <f>IFERROR($BA188/$BA189-1,"")</f>
        <v/>
      </c>
      <c r="DR188" s="64">
        <f>$O188-$O189</f>
        <v/>
      </c>
      <c r="DS188" s="64">
        <f>$P188-$P189</f>
        <v/>
      </c>
      <c r="DT188" s="64">
        <f>$Q188-$Q189</f>
        <v/>
      </c>
      <c r="DU188" s="64">
        <f>$S188-$S189</f>
        <v/>
      </c>
      <c r="DV188" s="65">
        <f>IFERROR(AVERAGE($AA189/$AA188-1,$AB189/$AB188-1,$AC189/$AC188-1,$AD189/$AD188-1,$AE189/$AE188-1,$AG189/$AG188-1,$AH189/$AH188-1,$AI189/$AI188-1,$AJ189/$AJ188-1,$AL189/$AL188-1,$AM189/$AM188-1,$AR189/$AR188-1,$AS189/$AS188-1,$AT189/$AT188-1,$AU189/$AU188-1,$AV189/$AV188-1,$AW189/$AW188-1,$AX189/$AX188-1,$AY189/$AY188-1),"")</f>
        <v/>
      </c>
      <c r="DW188" s="66">
        <f>AVERAGE($CB188,$CC188,$CD188,$CE188,$CF188,$CG188,$CH188,$CI188,$CJ188,$CL188,$CM188,$CN188,$CO188,$CP188,$CQ188,$CR188,$CS188,$CT188)</f>
        <v/>
      </c>
      <c r="DX188" s="66">
        <f>AVERAGE($CB188,$CC188,$CM188,$CE188,$CP188)</f>
        <v/>
      </c>
      <c r="DY188" s="64">
        <f>($DW188-$DW189)*100</f>
        <v/>
      </c>
      <c r="DZ188" s="64">
        <f>($DX188-$DX189)*100</f>
        <v/>
      </c>
      <c r="EA188" s="64">
        <f>($DW188-$D188)*100</f>
        <v/>
      </c>
      <c r="EB188" s="64">
        <f>$Q188-$O188</f>
        <v/>
      </c>
      <c r="EC188" s="67">
        <f>IFERROR($Q188/$P188,"")</f>
        <v/>
      </c>
    </row>
    <row r="189">
      <c r="DG189" s="64">
        <f>($B189-$B190)*100</f>
        <v/>
      </c>
      <c r="DH189" s="64">
        <f>($D189-$D190)*100</f>
        <v/>
      </c>
      <c r="DI189" s="64">
        <f>($E189-$E190)*100</f>
        <v/>
      </c>
      <c r="DJ189" s="64">
        <f>($H189-$H190)*100</f>
        <v/>
      </c>
      <c r="DK189" s="65">
        <f>IFERROR($J189/$J190-1,"")</f>
        <v/>
      </c>
      <c r="DL189" s="64">
        <f>$L189-$L190</f>
        <v/>
      </c>
      <c r="DM189" s="64">
        <f>$K189-$K190</f>
        <v/>
      </c>
      <c r="DN189" s="65">
        <f>IFERROR($N189/$N190-1,"")</f>
        <v/>
      </c>
      <c r="DO189" s="65">
        <f>IFERROR($M189/$M190-1,"")</f>
        <v/>
      </c>
      <c r="DP189" s="65">
        <f>IFERROR($AZ189/$AZ190-1,"")</f>
        <v/>
      </c>
      <c r="DQ189" s="65">
        <f>IFERROR($BA189/$BA190-1,"")</f>
        <v/>
      </c>
      <c r="DR189" s="64">
        <f>$O189-$O190</f>
        <v/>
      </c>
      <c r="DS189" s="64">
        <f>$P189-$P190</f>
        <v/>
      </c>
      <c r="DT189" s="64">
        <f>$Q189-$Q190</f>
        <v/>
      </c>
      <c r="DU189" s="64">
        <f>$S189-$S190</f>
        <v/>
      </c>
      <c r="DV189" s="65">
        <f>IFERROR(AVERAGE($AA190/$AA189-1,$AB190/$AB189-1,$AC190/$AC189-1,$AD190/$AD189-1,$AE190/$AE189-1,$AG190/$AG189-1,$AH190/$AH189-1,$AI190/$AI189-1,$AJ190/$AJ189-1,$AL190/$AL189-1,$AM190/$AM189-1,$AR190/$AR189-1,$AS190/$AS189-1,$AT190/$AT189-1,$AU190/$AU189-1,$AV190/$AV189-1,$AW190/$AW189-1,$AX190/$AX189-1,$AY190/$AY189-1),"")</f>
        <v/>
      </c>
      <c r="DW189" s="66">
        <f>AVERAGE($CB189,$CC189,$CD189,$CE189,$CF189,$CG189,$CH189,$CI189,$CJ189,$CL189,$CM189,$CN189,$CO189,$CP189,$CQ189,$CR189,$CS189,$CT189)</f>
        <v/>
      </c>
      <c r="DX189" s="66">
        <f>AVERAGE($CB189,$CC189,$CM189,$CE189,$CP189)</f>
        <v/>
      </c>
      <c r="DY189" s="64">
        <f>($DW189-$DW190)*100</f>
        <v/>
      </c>
      <c r="DZ189" s="64">
        <f>($DX189-$DX190)*100</f>
        <v/>
      </c>
      <c r="EA189" s="64">
        <f>($DW189-$D189)*100</f>
        <v/>
      </c>
      <c r="EB189" s="64">
        <f>$Q189-$O189</f>
        <v/>
      </c>
      <c r="EC189" s="67">
        <f>IFERROR($Q189/$P189,"")</f>
        <v/>
      </c>
    </row>
    <row r="190">
      <c r="DG190" s="64">
        <f>($B190-$B191)*100</f>
        <v/>
      </c>
      <c r="DH190" s="64">
        <f>($D190-$D191)*100</f>
        <v/>
      </c>
      <c r="DI190" s="64">
        <f>($E190-$E191)*100</f>
        <v/>
      </c>
      <c r="DJ190" s="64">
        <f>($H190-$H191)*100</f>
        <v/>
      </c>
      <c r="DK190" s="65">
        <f>IFERROR($J190/$J191-1,"")</f>
        <v/>
      </c>
      <c r="DL190" s="64">
        <f>$L190-$L191</f>
        <v/>
      </c>
      <c r="DM190" s="64">
        <f>$K190-$K191</f>
        <v/>
      </c>
      <c r="DN190" s="65">
        <f>IFERROR($N190/$N191-1,"")</f>
        <v/>
      </c>
      <c r="DO190" s="65">
        <f>IFERROR($M190/$M191-1,"")</f>
        <v/>
      </c>
      <c r="DP190" s="65">
        <f>IFERROR($AZ190/$AZ191-1,"")</f>
        <v/>
      </c>
      <c r="DQ190" s="65">
        <f>IFERROR($BA190/$BA191-1,"")</f>
        <v/>
      </c>
      <c r="DR190" s="64">
        <f>$O190-$O191</f>
        <v/>
      </c>
      <c r="DS190" s="64">
        <f>$P190-$P191</f>
        <v/>
      </c>
      <c r="DT190" s="64">
        <f>$Q190-$Q191</f>
        <v/>
      </c>
      <c r="DU190" s="64">
        <f>$S190-$S191</f>
        <v/>
      </c>
      <c r="DV190" s="65">
        <f>IFERROR(AVERAGE($AA191/$AA190-1,$AB191/$AB190-1,$AC191/$AC190-1,$AD191/$AD190-1,$AE191/$AE190-1,$AG191/$AG190-1,$AH191/$AH190-1,$AI191/$AI190-1,$AJ191/$AJ190-1,$AL191/$AL190-1,$AM191/$AM190-1,$AR191/$AR190-1,$AS191/$AS190-1,$AT191/$AT190-1,$AU191/$AU190-1,$AV191/$AV190-1,$AW191/$AW190-1,$AX191/$AX190-1,$AY191/$AY190-1),"")</f>
        <v/>
      </c>
      <c r="DW190" s="66">
        <f>AVERAGE($CB190,$CC190,$CD190,$CE190,$CF190,$CG190,$CH190,$CI190,$CJ190,$CL190,$CM190,$CN190,$CO190,$CP190,$CQ190,$CR190,$CS190,$CT190)</f>
        <v/>
      </c>
      <c r="DX190" s="66">
        <f>AVERAGE($CB190,$CC190,$CM190,$CE190,$CP190)</f>
        <v/>
      </c>
      <c r="DY190" s="64">
        <f>($DW190-$DW191)*100</f>
        <v/>
      </c>
      <c r="DZ190" s="64">
        <f>($DX190-$DX191)*100</f>
        <v/>
      </c>
      <c r="EA190" s="64">
        <f>($DW190-$D190)*100</f>
        <v/>
      </c>
      <c r="EB190" s="64">
        <f>$Q190-$O190</f>
        <v/>
      </c>
      <c r="EC190" s="67">
        <f>IFERROR($Q190/$P190,"")</f>
        <v/>
      </c>
    </row>
    <row r="191">
      <c r="DG191" s="64">
        <f>($B191-$B192)*100</f>
        <v/>
      </c>
      <c r="DH191" s="64">
        <f>($D191-$D192)*100</f>
        <v/>
      </c>
      <c r="DI191" s="64">
        <f>($E191-$E192)*100</f>
        <v/>
      </c>
      <c r="DJ191" s="64">
        <f>($H191-$H192)*100</f>
        <v/>
      </c>
      <c r="DK191" s="65">
        <f>IFERROR($J191/$J192-1,"")</f>
        <v/>
      </c>
      <c r="DL191" s="64">
        <f>$L191-$L192</f>
        <v/>
      </c>
      <c r="DM191" s="64">
        <f>$K191-$K192</f>
        <v/>
      </c>
      <c r="DN191" s="65">
        <f>IFERROR($N191/$N192-1,"")</f>
        <v/>
      </c>
      <c r="DO191" s="65">
        <f>IFERROR($M191/$M192-1,"")</f>
        <v/>
      </c>
      <c r="DP191" s="65">
        <f>IFERROR($AZ191/$AZ192-1,"")</f>
        <v/>
      </c>
      <c r="DQ191" s="65">
        <f>IFERROR($BA191/$BA192-1,"")</f>
        <v/>
      </c>
      <c r="DR191" s="64">
        <f>$O191-$O192</f>
        <v/>
      </c>
      <c r="DS191" s="64">
        <f>$P191-$P192</f>
        <v/>
      </c>
      <c r="DT191" s="64">
        <f>$Q191-$Q192</f>
        <v/>
      </c>
      <c r="DU191" s="64">
        <f>$S191-$S192</f>
        <v/>
      </c>
      <c r="DV191" s="65">
        <f>IFERROR(AVERAGE($AA192/$AA191-1,$AB192/$AB191-1,$AC192/$AC191-1,$AD192/$AD191-1,$AE192/$AE191-1,$AG192/$AG191-1,$AH192/$AH191-1,$AI192/$AI191-1,$AJ192/$AJ191-1,$AL192/$AL191-1,$AM192/$AM191-1,$AR192/$AR191-1,$AS192/$AS191-1,$AT192/$AT191-1,$AU192/$AU191-1,$AV192/$AV191-1,$AW192/$AW191-1,$AX192/$AX191-1,$AY192/$AY191-1),"")</f>
        <v/>
      </c>
      <c r="DW191" s="66">
        <f>AVERAGE($CB191,$CC191,$CD191,$CE191,$CF191,$CG191,$CH191,$CI191,$CJ191,$CL191,$CM191,$CN191,$CO191,$CP191,$CQ191,$CR191,$CS191,$CT191)</f>
        <v/>
      </c>
      <c r="DX191" s="66">
        <f>AVERAGE($CB191,$CC191,$CM191,$CE191,$CP191)</f>
        <v/>
      </c>
      <c r="DY191" s="64">
        <f>($DW191-$DW192)*100</f>
        <v/>
      </c>
      <c r="DZ191" s="64">
        <f>($DX191-$DX192)*100</f>
        <v/>
      </c>
      <c r="EA191" s="64">
        <f>($DW191-$D191)*100</f>
        <v/>
      </c>
      <c r="EB191" s="64">
        <f>$Q191-$O191</f>
        <v/>
      </c>
      <c r="EC191" s="67">
        <f>IFERROR($Q191/$P191,"")</f>
        <v/>
      </c>
    </row>
    <row r="192">
      <c r="DG192" s="64">
        <f>($B192-$B193)*100</f>
        <v/>
      </c>
      <c r="DH192" s="64">
        <f>($D192-$D193)*100</f>
        <v/>
      </c>
      <c r="DI192" s="64">
        <f>($E192-$E193)*100</f>
        <v/>
      </c>
      <c r="DJ192" s="64">
        <f>($H192-$H193)*100</f>
        <v/>
      </c>
      <c r="DK192" s="65">
        <f>IFERROR($J192/$J193-1,"")</f>
        <v/>
      </c>
      <c r="DL192" s="64">
        <f>$L192-$L193</f>
        <v/>
      </c>
      <c r="DM192" s="64">
        <f>$K192-$K193</f>
        <v/>
      </c>
      <c r="DN192" s="65">
        <f>IFERROR($N192/$N193-1,"")</f>
        <v/>
      </c>
      <c r="DO192" s="65">
        <f>IFERROR($M192/$M193-1,"")</f>
        <v/>
      </c>
      <c r="DP192" s="65">
        <f>IFERROR($AZ192/$AZ193-1,"")</f>
        <v/>
      </c>
      <c r="DQ192" s="65">
        <f>IFERROR($BA192/$BA193-1,"")</f>
        <v/>
      </c>
      <c r="DR192" s="64">
        <f>$O192-$O193</f>
        <v/>
      </c>
      <c r="DS192" s="64">
        <f>$P192-$P193</f>
        <v/>
      </c>
      <c r="DT192" s="64">
        <f>$Q192-$Q193</f>
        <v/>
      </c>
      <c r="DU192" s="64">
        <f>$S192-$S193</f>
        <v/>
      </c>
      <c r="DV192" s="65">
        <f>IFERROR(AVERAGE($AA193/$AA192-1,$AB193/$AB192-1,$AC193/$AC192-1,$AD193/$AD192-1,$AE193/$AE192-1,$AG193/$AG192-1,$AH193/$AH192-1,$AI193/$AI192-1,$AJ193/$AJ192-1,$AL193/$AL192-1,$AM193/$AM192-1,$AR193/$AR192-1,$AS193/$AS192-1,$AT193/$AT192-1,$AU193/$AU192-1,$AV193/$AV192-1,$AW193/$AW192-1,$AX193/$AX192-1,$AY193/$AY192-1),"")</f>
        <v/>
      </c>
      <c r="DW192" s="66">
        <f>AVERAGE($CB192,$CC192,$CD192,$CE192,$CF192,$CG192,$CH192,$CI192,$CJ192,$CL192,$CM192,$CN192,$CO192,$CP192,$CQ192,$CR192,$CS192,$CT192)</f>
        <v/>
      </c>
      <c r="DX192" s="66">
        <f>AVERAGE($CB192,$CC192,$CM192,$CE192,$CP192)</f>
        <v/>
      </c>
      <c r="DY192" s="64">
        <f>($DW192-$DW193)*100</f>
        <v/>
      </c>
      <c r="DZ192" s="64">
        <f>($DX192-$DX193)*100</f>
        <v/>
      </c>
      <c r="EA192" s="64">
        <f>($DW192-$D192)*100</f>
        <v/>
      </c>
      <c r="EB192" s="64">
        <f>$Q192-$O192</f>
        <v/>
      </c>
      <c r="EC192" s="67">
        <f>IFERROR($Q192/$P192,"")</f>
        <v/>
      </c>
    </row>
    <row r="193">
      <c r="DG193" s="64">
        <f>($B193-$B194)*100</f>
        <v/>
      </c>
      <c r="DH193" s="64">
        <f>($D193-$D194)*100</f>
        <v/>
      </c>
      <c r="DI193" s="64">
        <f>($E193-$E194)*100</f>
        <v/>
      </c>
      <c r="DJ193" s="64">
        <f>($H193-$H194)*100</f>
        <v/>
      </c>
      <c r="DK193" s="65">
        <f>IFERROR($J193/$J194-1,"")</f>
        <v/>
      </c>
      <c r="DL193" s="64">
        <f>$L193-$L194</f>
        <v/>
      </c>
      <c r="DM193" s="64">
        <f>$K193-$K194</f>
        <v/>
      </c>
      <c r="DN193" s="65">
        <f>IFERROR($N193/$N194-1,"")</f>
        <v/>
      </c>
      <c r="DO193" s="65">
        <f>IFERROR($M193/$M194-1,"")</f>
        <v/>
      </c>
      <c r="DP193" s="65">
        <f>IFERROR($AZ193/$AZ194-1,"")</f>
        <v/>
      </c>
      <c r="DQ193" s="65">
        <f>IFERROR($BA193/$BA194-1,"")</f>
        <v/>
      </c>
      <c r="DR193" s="64">
        <f>$O193-$O194</f>
        <v/>
      </c>
      <c r="DS193" s="64">
        <f>$P193-$P194</f>
        <v/>
      </c>
      <c r="DT193" s="64">
        <f>$Q193-$Q194</f>
        <v/>
      </c>
      <c r="DU193" s="64">
        <f>$S193-$S194</f>
        <v/>
      </c>
      <c r="DV193" s="65">
        <f>IFERROR(AVERAGE($AA194/$AA193-1,$AB194/$AB193-1,$AC194/$AC193-1,$AD194/$AD193-1,$AE194/$AE193-1,$AG194/$AG193-1,$AH194/$AH193-1,$AI194/$AI193-1,$AJ194/$AJ193-1,$AL194/$AL193-1,$AM194/$AM193-1,$AR194/$AR193-1,$AS194/$AS193-1,$AT194/$AT193-1,$AU194/$AU193-1,$AV194/$AV193-1,$AW194/$AW193-1,$AX194/$AX193-1,$AY194/$AY193-1),"")</f>
        <v/>
      </c>
      <c r="DW193" s="66">
        <f>AVERAGE($CB193,$CC193,$CD193,$CE193,$CF193,$CG193,$CH193,$CI193,$CJ193,$CL193,$CM193,$CN193,$CO193,$CP193,$CQ193,$CR193,$CS193,$CT193)</f>
        <v/>
      </c>
      <c r="DX193" s="66">
        <f>AVERAGE($CB193,$CC193,$CM193,$CE193,$CP193)</f>
        <v/>
      </c>
      <c r="DY193" s="64">
        <f>($DW193-$DW194)*100</f>
        <v/>
      </c>
      <c r="DZ193" s="64">
        <f>($DX193-$DX194)*100</f>
        <v/>
      </c>
      <c r="EA193" s="64">
        <f>($DW193-$D193)*100</f>
        <v/>
      </c>
      <c r="EB193" s="64">
        <f>$Q193-$O193</f>
        <v/>
      </c>
      <c r="EC193" s="67">
        <f>IFERROR($Q193/$P193,"")</f>
        <v/>
      </c>
    </row>
    <row r="194">
      <c r="DG194" s="64">
        <f>($B194-$B195)*100</f>
        <v/>
      </c>
      <c r="DH194" s="64">
        <f>($D194-$D195)*100</f>
        <v/>
      </c>
      <c r="DI194" s="64">
        <f>($E194-$E195)*100</f>
        <v/>
      </c>
      <c r="DJ194" s="64">
        <f>($H194-$H195)*100</f>
        <v/>
      </c>
      <c r="DK194" s="65">
        <f>IFERROR($J194/$J195-1,"")</f>
        <v/>
      </c>
      <c r="DL194" s="64">
        <f>$L194-$L195</f>
        <v/>
      </c>
      <c r="DM194" s="64">
        <f>$K194-$K195</f>
        <v/>
      </c>
      <c r="DN194" s="65">
        <f>IFERROR($N194/$N195-1,"")</f>
        <v/>
      </c>
      <c r="DO194" s="65">
        <f>IFERROR($M194/$M195-1,"")</f>
        <v/>
      </c>
      <c r="DP194" s="65">
        <f>IFERROR($AZ194/$AZ195-1,"")</f>
        <v/>
      </c>
      <c r="DQ194" s="65">
        <f>IFERROR($BA194/$BA195-1,"")</f>
        <v/>
      </c>
      <c r="DR194" s="64">
        <f>$O194-$O195</f>
        <v/>
      </c>
      <c r="DS194" s="64">
        <f>$P194-$P195</f>
        <v/>
      </c>
      <c r="DT194" s="64">
        <f>$Q194-$Q195</f>
        <v/>
      </c>
      <c r="DU194" s="64">
        <f>$S194-$S195</f>
        <v/>
      </c>
      <c r="DV194" s="65">
        <f>IFERROR(AVERAGE($AA195/$AA194-1,$AB195/$AB194-1,$AC195/$AC194-1,$AD195/$AD194-1,$AE195/$AE194-1,$AG195/$AG194-1,$AH195/$AH194-1,$AI195/$AI194-1,$AJ195/$AJ194-1,$AL195/$AL194-1,$AM195/$AM194-1,$AR195/$AR194-1,$AS195/$AS194-1,$AT195/$AT194-1,$AU195/$AU194-1,$AV195/$AV194-1,$AW195/$AW194-1,$AX195/$AX194-1,$AY195/$AY194-1),"")</f>
        <v/>
      </c>
      <c r="DW194" s="66">
        <f>AVERAGE($CB194,$CC194,$CD194,$CE194,$CF194,$CG194,$CH194,$CI194,$CJ194,$CL194,$CM194,$CN194,$CO194,$CP194,$CQ194,$CR194,$CS194,$CT194)</f>
        <v/>
      </c>
      <c r="DX194" s="66">
        <f>AVERAGE($CB194,$CC194,$CM194,$CE194,$CP194)</f>
        <v/>
      </c>
      <c r="DY194" s="64">
        <f>($DW194-$DW195)*100</f>
        <v/>
      </c>
      <c r="DZ194" s="64">
        <f>($DX194-$DX195)*100</f>
        <v/>
      </c>
      <c r="EA194" s="64">
        <f>($DW194-$D194)*100</f>
        <v/>
      </c>
      <c r="EB194" s="64">
        <f>$Q194-$O194</f>
        <v/>
      </c>
      <c r="EC194" s="67">
        <f>IFERROR($Q194/$P194,"")</f>
        <v/>
      </c>
    </row>
    <row r="195">
      <c r="DG195" s="64">
        <f>($B195-$B196)*100</f>
        <v/>
      </c>
      <c r="DH195" s="64">
        <f>($D195-$D196)*100</f>
        <v/>
      </c>
      <c r="DI195" s="64">
        <f>($E195-$E196)*100</f>
        <v/>
      </c>
      <c r="DJ195" s="64">
        <f>($H195-$H196)*100</f>
        <v/>
      </c>
      <c r="DK195" s="65">
        <f>IFERROR($J195/$J196-1,"")</f>
        <v/>
      </c>
      <c r="DL195" s="64">
        <f>$L195-$L196</f>
        <v/>
      </c>
      <c r="DM195" s="64">
        <f>$K195-$K196</f>
        <v/>
      </c>
      <c r="DN195" s="65">
        <f>IFERROR($N195/$N196-1,"")</f>
        <v/>
      </c>
      <c r="DO195" s="65">
        <f>IFERROR($M195/$M196-1,"")</f>
        <v/>
      </c>
      <c r="DP195" s="65">
        <f>IFERROR($AZ195/$AZ196-1,"")</f>
        <v/>
      </c>
      <c r="DQ195" s="65">
        <f>IFERROR($BA195/$BA196-1,"")</f>
        <v/>
      </c>
      <c r="DR195" s="64">
        <f>$O195-$O196</f>
        <v/>
      </c>
      <c r="DS195" s="64">
        <f>$P195-$P196</f>
        <v/>
      </c>
      <c r="DT195" s="64">
        <f>$Q195-$Q196</f>
        <v/>
      </c>
      <c r="DU195" s="64">
        <f>$S195-$S196</f>
        <v/>
      </c>
      <c r="DV195" s="65">
        <f>IFERROR(AVERAGE($AA196/$AA195-1,$AB196/$AB195-1,$AC196/$AC195-1,$AD196/$AD195-1,$AE196/$AE195-1,$AG196/$AG195-1,$AH196/$AH195-1,$AI196/$AI195-1,$AJ196/$AJ195-1,$AL196/$AL195-1,$AM196/$AM195-1,$AR196/$AR195-1,$AS196/$AS195-1,$AT196/$AT195-1,$AU196/$AU195-1,$AV196/$AV195-1,$AW196/$AW195-1,$AX196/$AX195-1,$AY196/$AY195-1),"")</f>
        <v/>
      </c>
      <c r="DW195" s="66">
        <f>AVERAGE($CB195,$CC195,$CD195,$CE195,$CF195,$CG195,$CH195,$CI195,$CJ195,$CL195,$CM195,$CN195,$CO195,$CP195,$CQ195,$CR195,$CS195,$CT195)</f>
        <v/>
      </c>
      <c r="DX195" s="66">
        <f>AVERAGE($CB195,$CC195,$CM195,$CE195,$CP195)</f>
        <v/>
      </c>
      <c r="DY195" s="64">
        <f>($DW195-$DW196)*100</f>
        <v/>
      </c>
      <c r="DZ195" s="64">
        <f>($DX195-$DX196)*100</f>
        <v/>
      </c>
      <c r="EA195" s="64">
        <f>($DW195-$D195)*100</f>
        <v/>
      </c>
      <c r="EB195" s="64">
        <f>$Q195-$O195</f>
        <v/>
      </c>
      <c r="EC195" s="67">
        <f>IFERROR($Q195/$P195,"")</f>
        <v/>
      </c>
    </row>
    <row r="196">
      <c r="DG196" s="64">
        <f>($B196-$B197)*100</f>
        <v/>
      </c>
      <c r="DH196" s="64">
        <f>($D196-$D197)*100</f>
        <v/>
      </c>
      <c r="DI196" s="64">
        <f>($E196-$E197)*100</f>
        <v/>
      </c>
      <c r="DJ196" s="64">
        <f>($H196-$H197)*100</f>
        <v/>
      </c>
      <c r="DK196" s="65">
        <f>IFERROR($J196/$J197-1,"")</f>
        <v/>
      </c>
      <c r="DL196" s="64">
        <f>$L196-$L197</f>
        <v/>
      </c>
      <c r="DM196" s="64">
        <f>$K196-$K197</f>
        <v/>
      </c>
      <c r="DN196" s="65">
        <f>IFERROR($N196/$N197-1,"")</f>
        <v/>
      </c>
      <c r="DO196" s="65">
        <f>IFERROR($M196/$M197-1,"")</f>
        <v/>
      </c>
      <c r="DP196" s="65">
        <f>IFERROR($AZ196/$AZ197-1,"")</f>
        <v/>
      </c>
      <c r="DQ196" s="65">
        <f>IFERROR($BA196/$BA197-1,"")</f>
        <v/>
      </c>
      <c r="DR196" s="64">
        <f>$O196-$O197</f>
        <v/>
      </c>
      <c r="DS196" s="64">
        <f>$P196-$P197</f>
        <v/>
      </c>
      <c r="DT196" s="64">
        <f>$Q196-$Q197</f>
        <v/>
      </c>
      <c r="DU196" s="64">
        <f>$S196-$S197</f>
        <v/>
      </c>
      <c r="DV196" s="65">
        <f>IFERROR(AVERAGE($AA197/$AA196-1,$AB197/$AB196-1,$AC197/$AC196-1,$AD197/$AD196-1,$AE197/$AE196-1,$AG197/$AG196-1,$AH197/$AH196-1,$AI197/$AI196-1,$AJ197/$AJ196-1,$AL197/$AL196-1,$AM197/$AM196-1,$AR197/$AR196-1,$AS197/$AS196-1,$AT197/$AT196-1,$AU197/$AU196-1,$AV197/$AV196-1,$AW197/$AW196-1,$AX197/$AX196-1,$AY197/$AY196-1),"")</f>
        <v/>
      </c>
      <c r="DW196" s="66">
        <f>AVERAGE($CB196,$CC196,$CD196,$CE196,$CF196,$CG196,$CH196,$CI196,$CJ196,$CL196,$CM196,$CN196,$CO196,$CP196,$CQ196,$CR196,$CS196,$CT196)</f>
        <v/>
      </c>
      <c r="DX196" s="66">
        <f>AVERAGE($CB196,$CC196,$CM196,$CE196,$CP196)</f>
        <v/>
      </c>
      <c r="DY196" s="64">
        <f>($DW196-$DW197)*100</f>
        <v/>
      </c>
      <c r="DZ196" s="64">
        <f>($DX196-$DX197)*100</f>
        <v/>
      </c>
      <c r="EA196" s="64">
        <f>($DW196-$D196)*100</f>
        <v/>
      </c>
      <c r="EB196" s="64">
        <f>$Q196-$O196</f>
        <v/>
      </c>
      <c r="EC196" s="67">
        <f>IFERROR($Q196/$P196,"")</f>
        <v/>
      </c>
    </row>
    <row r="197">
      <c r="DG197" s="64">
        <f>($B197-$B198)*100</f>
        <v/>
      </c>
      <c r="DH197" s="64">
        <f>($D197-$D198)*100</f>
        <v/>
      </c>
      <c r="DI197" s="64">
        <f>($E197-$E198)*100</f>
        <v/>
      </c>
      <c r="DJ197" s="64">
        <f>($H197-$H198)*100</f>
        <v/>
      </c>
      <c r="DK197" s="65">
        <f>IFERROR($J197/$J198-1,"")</f>
        <v/>
      </c>
      <c r="DL197" s="64">
        <f>$L197-$L198</f>
        <v/>
      </c>
      <c r="DM197" s="64">
        <f>$K197-$K198</f>
        <v/>
      </c>
      <c r="DN197" s="65">
        <f>IFERROR($N197/$N198-1,"")</f>
        <v/>
      </c>
      <c r="DO197" s="65">
        <f>IFERROR($M197/$M198-1,"")</f>
        <v/>
      </c>
      <c r="DP197" s="65">
        <f>IFERROR($AZ197/$AZ198-1,"")</f>
        <v/>
      </c>
      <c r="DQ197" s="65">
        <f>IFERROR($BA197/$BA198-1,"")</f>
        <v/>
      </c>
      <c r="DR197" s="64">
        <f>$O197-$O198</f>
        <v/>
      </c>
      <c r="DS197" s="64">
        <f>$P197-$P198</f>
        <v/>
      </c>
      <c r="DT197" s="64">
        <f>$Q197-$Q198</f>
        <v/>
      </c>
      <c r="DU197" s="64">
        <f>$S197-$S198</f>
        <v/>
      </c>
      <c r="DV197" s="65">
        <f>IFERROR(AVERAGE($AA198/$AA197-1,$AB198/$AB197-1,$AC198/$AC197-1,$AD198/$AD197-1,$AE198/$AE197-1,$AG198/$AG197-1,$AH198/$AH197-1,$AI198/$AI197-1,$AJ198/$AJ197-1,$AL198/$AL197-1,$AM198/$AM197-1,$AR198/$AR197-1,$AS198/$AS197-1,$AT198/$AT197-1,$AU198/$AU197-1,$AV198/$AV197-1,$AW198/$AW197-1,$AX198/$AX197-1,$AY198/$AY197-1),"")</f>
        <v/>
      </c>
      <c r="DW197" s="66">
        <f>AVERAGE($CB197,$CC197,$CD197,$CE197,$CF197,$CG197,$CH197,$CI197,$CJ197,$CL197,$CM197,$CN197,$CO197,$CP197,$CQ197,$CR197,$CS197,$CT197)</f>
        <v/>
      </c>
      <c r="DX197" s="66">
        <f>AVERAGE($CB197,$CC197,$CM197,$CE197,$CP197)</f>
        <v/>
      </c>
      <c r="DY197" s="64">
        <f>($DW197-$DW198)*100</f>
        <v/>
      </c>
      <c r="DZ197" s="64">
        <f>($DX197-$DX198)*100</f>
        <v/>
      </c>
      <c r="EA197" s="64">
        <f>($DW197-$D197)*100</f>
        <v/>
      </c>
      <c r="EB197" s="64">
        <f>$Q197-$O197</f>
        <v/>
      </c>
      <c r="EC197" s="67">
        <f>IFERROR($Q197/$P197,"")</f>
        <v/>
      </c>
    </row>
    <row r="198">
      <c r="DG198" s="64">
        <f>($B198-$B199)*100</f>
        <v/>
      </c>
      <c r="DH198" s="64">
        <f>($D198-$D199)*100</f>
        <v/>
      </c>
      <c r="DI198" s="64">
        <f>($E198-$E199)*100</f>
        <v/>
      </c>
      <c r="DJ198" s="64">
        <f>($H198-$H199)*100</f>
        <v/>
      </c>
      <c r="DK198" s="65">
        <f>IFERROR($J198/$J199-1,"")</f>
        <v/>
      </c>
      <c r="DL198" s="64">
        <f>$L198-$L199</f>
        <v/>
      </c>
      <c r="DM198" s="64">
        <f>$K198-$K199</f>
        <v/>
      </c>
      <c r="DN198" s="65">
        <f>IFERROR($N198/$N199-1,"")</f>
        <v/>
      </c>
      <c r="DO198" s="65">
        <f>IFERROR($M198/$M199-1,"")</f>
        <v/>
      </c>
      <c r="DP198" s="65">
        <f>IFERROR($AZ198/$AZ199-1,"")</f>
        <v/>
      </c>
      <c r="DQ198" s="65">
        <f>IFERROR($BA198/$BA199-1,"")</f>
        <v/>
      </c>
      <c r="DR198" s="64">
        <f>$O198-$O199</f>
        <v/>
      </c>
      <c r="DS198" s="64">
        <f>$P198-$P199</f>
        <v/>
      </c>
      <c r="DT198" s="64">
        <f>$Q198-$Q199</f>
        <v/>
      </c>
      <c r="DU198" s="64">
        <f>$S198-$S199</f>
        <v/>
      </c>
      <c r="DV198" s="65">
        <f>IFERROR(AVERAGE($AA199/$AA198-1,$AB199/$AB198-1,$AC199/$AC198-1,$AD199/$AD198-1,$AE199/$AE198-1,$AG199/$AG198-1,$AH199/$AH198-1,$AI199/$AI198-1,$AJ199/$AJ198-1,$AL199/$AL198-1,$AM199/$AM198-1,$AR199/$AR198-1,$AS199/$AS198-1,$AT199/$AT198-1,$AU199/$AU198-1,$AV199/$AV198-1,$AW199/$AW198-1,$AX199/$AX198-1,$AY199/$AY198-1),"")</f>
        <v/>
      </c>
      <c r="DW198" s="66">
        <f>AVERAGE($CB198,$CC198,$CD198,$CE198,$CF198,$CG198,$CH198,$CI198,$CJ198,$CL198,$CM198,$CN198,$CO198,$CP198,$CQ198,$CR198,$CS198,$CT198)</f>
        <v/>
      </c>
      <c r="DX198" s="66">
        <f>AVERAGE($CB198,$CC198,$CM198,$CE198,$CP198)</f>
        <v/>
      </c>
      <c r="DY198" s="64">
        <f>($DW198-$DW199)*100</f>
        <v/>
      </c>
      <c r="DZ198" s="64">
        <f>($DX198-$DX199)*100</f>
        <v/>
      </c>
      <c r="EA198" s="64">
        <f>($DW198-$D198)*100</f>
        <v/>
      </c>
      <c r="EB198" s="64">
        <f>$Q198-$O198</f>
        <v/>
      </c>
      <c r="EC198" s="67">
        <f>IFERROR($Q198/$P198,"")</f>
        <v/>
      </c>
    </row>
    <row r="199">
      <c r="DG199" s="64">
        <f>($B199-$B200)*100</f>
        <v/>
      </c>
      <c r="DH199" s="64">
        <f>($D199-$D200)*100</f>
        <v/>
      </c>
      <c r="DI199" s="64">
        <f>($E199-$E200)*100</f>
        <v/>
      </c>
      <c r="DJ199" s="64">
        <f>($H199-$H200)*100</f>
        <v/>
      </c>
      <c r="DK199" s="65">
        <f>IFERROR($J199/$J200-1,"")</f>
        <v/>
      </c>
      <c r="DL199" s="64">
        <f>$L199-$L200</f>
        <v/>
      </c>
      <c r="DM199" s="64">
        <f>$K199-$K200</f>
        <v/>
      </c>
      <c r="DN199" s="65">
        <f>IFERROR($N199/$N200-1,"")</f>
        <v/>
      </c>
      <c r="DO199" s="65">
        <f>IFERROR($M199/$M200-1,"")</f>
        <v/>
      </c>
      <c r="DP199" s="65">
        <f>IFERROR($AZ199/$AZ200-1,"")</f>
        <v/>
      </c>
      <c r="DQ199" s="65">
        <f>IFERROR($BA199/$BA200-1,"")</f>
        <v/>
      </c>
      <c r="DR199" s="64">
        <f>$O199-$O200</f>
        <v/>
      </c>
      <c r="DS199" s="64">
        <f>$P199-$P200</f>
        <v/>
      </c>
      <c r="DT199" s="64">
        <f>$Q199-$Q200</f>
        <v/>
      </c>
      <c r="DU199" s="64">
        <f>$S199-$S200</f>
        <v/>
      </c>
      <c r="DV199" s="65">
        <f>IFERROR(AVERAGE($AA200/$AA199-1,$AB200/$AB199-1,$AC200/$AC199-1,$AD200/$AD199-1,$AE200/$AE199-1,$AG200/$AG199-1,$AH200/$AH199-1,$AI200/$AI199-1,$AJ200/$AJ199-1,$AL200/$AL199-1,$AM200/$AM199-1,$AR200/$AR199-1,$AS200/$AS199-1,$AT200/$AT199-1,$AU200/$AU199-1,$AV200/$AV199-1,$AW200/$AW199-1,$AX200/$AX199-1,$AY200/$AY199-1),"")</f>
        <v/>
      </c>
      <c r="DW199" s="66">
        <f>AVERAGE($CB199,$CC199,$CD199,$CE199,$CF199,$CG199,$CH199,$CI199,$CJ199,$CL199,$CM199,$CN199,$CO199,$CP199,$CQ199,$CR199,$CS199,$CT199)</f>
        <v/>
      </c>
      <c r="DX199" s="66">
        <f>AVERAGE($CB199,$CC199,$CM199,$CE199,$CP199)</f>
        <v/>
      </c>
      <c r="DY199" s="64">
        <f>($DW199-$DW200)*100</f>
        <v/>
      </c>
      <c r="DZ199" s="64">
        <f>($DX199-$DX200)*100</f>
        <v/>
      </c>
      <c r="EA199" s="64">
        <f>($DW199-$D199)*100</f>
        <v/>
      </c>
      <c r="EB199" s="64">
        <f>$Q199-$O199</f>
        <v/>
      </c>
      <c r="EC199" s="67">
        <f>IFERROR($Q199/$P199,"")</f>
        <v/>
      </c>
    </row>
    <row r="200">
      <c r="DG200" s="64">
        <f>($B200-$B201)*100</f>
        <v/>
      </c>
      <c r="DH200" s="64">
        <f>($D200-$D201)*100</f>
        <v/>
      </c>
      <c r="DI200" s="64">
        <f>($E200-$E201)*100</f>
        <v/>
      </c>
      <c r="DJ200" s="64">
        <f>($H200-$H201)*100</f>
        <v/>
      </c>
      <c r="DK200" s="65">
        <f>IFERROR($J200/$J201-1,"")</f>
        <v/>
      </c>
      <c r="DL200" s="64">
        <f>$L200-$L201</f>
        <v/>
      </c>
      <c r="DM200" s="64">
        <f>$K200-$K201</f>
        <v/>
      </c>
      <c r="DN200" s="65">
        <f>IFERROR($N200/$N201-1,"")</f>
        <v/>
      </c>
      <c r="DO200" s="65">
        <f>IFERROR($M200/$M201-1,"")</f>
        <v/>
      </c>
      <c r="DP200" s="65">
        <f>IFERROR($AZ200/$AZ201-1,"")</f>
        <v/>
      </c>
      <c r="DQ200" s="65">
        <f>IFERROR($BA200/$BA201-1,"")</f>
        <v/>
      </c>
      <c r="DR200" s="64">
        <f>$O200-$O201</f>
        <v/>
      </c>
      <c r="DS200" s="64">
        <f>$P200-$P201</f>
        <v/>
      </c>
      <c r="DT200" s="64">
        <f>$Q200-$Q201</f>
        <v/>
      </c>
      <c r="DU200" s="64">
        <f>$S200-$S201</f>
        <v/>
      </c>
      <c r="DV200" s="65">
        <f>IFERROR(AVERAGE($AA201/$AA200-1,$AB201/$AB200-1,$AC201/$AC200-1,$AD201/$AD200-1,$AE201/$AE200-1,$AG201/$AG200-1,$AH201/$AH200-1,$AI201/$AI200-1,$AJ201/$AJ200-1,$AL201/$AL200-1,$AM201/$AM200-1,$AR201/$AR200-1,$AS201/$AS200-1,$AT201/$AT200-1,$AU201/$AU200-1,$AV201/$AV200-1,$AW201/$AW200-1,$AX201/$AX200-1,$AY201/$AY200-1),"")</f>
        <v/>
      </c>
      <c r="DW200" s="66">
        <f>AVERAGE($CB200,$CC200,$CD200,$CE200,$CF200,$CG200,$CH200,$CI200,$CJ200,$CL200,$CM200,$CN200,$CO200,$CP200,$CQ200,$CR200,$CS200,$CT200)</f>
        <v/>
      </c>
      <c r="DX200" s="66">
        <f>AVERAGE($CB200,$CC200,$CM200,$CE200,$CP200)</f>
        <v/>
      </c>
      <c r="DY200" s="64">
        <f>($DW200-$DW201)*100</f>
        <v/>
      </c>
      <c r="DZ200" s="64">
        <f>($DX200-$DX201)*100</f>
        <v/>
      </c>
      <c r="EA200" s="64">
        <f>($DW200-$D200)*100</f>
        <v/>
      </c>
      <c r="EB200" s="64">
        <f>$Q200-$O200</f>
        <v/>
      </c>
      <c r="EC200" s="67">
        <f>IFERROR($Q200/$P200,"")</f>
        <v/>
      </c>
    </row>
    <row r="201">
      <c r="DG201" s="64">
        <f>($B201-$B202)*100</f>
        <v/>
      </c>
      <c r="DH201" s="64">
        <f>($D201-$D202)*100</f>
        <v/>
      </c>
      <c r="DI201" s="64">
        <f>($E201-$E202)*100</f>
        <v/>
      </c>
      <c r="DJ201" s="64">
        <f>($H201-$H202)*100</f>
        <v/>
      </c>
      <c r="DK201" s="65">
        <f>IFERROR($J201/$J202-1,"")</f>
        <v/>
      </c>
      <c r="DL201" s="64">
        <f>$L201-$L202</f>
        <v/>
      </c>
      <c r="DM201" s="64">
        <f>$K201-$K202</f>
        <v/>
      </c>
      <c r="DN201" s="65">
        <f>IFERROR($N201/$N202-1,"")</f>
        <v/>
      </c>
      <c r="DO201" s="65">
        <f>IFERROR($M201/$M202-1,"")</f>
        <v/>
      </c>
      <c r="DP201" s="65">
        <f>IFERROR($AZ201/$AZ202-1,"")</f>
        <v/>
      </c>
      <c r="DQ201" s="65">
        <f>IFERROR($BA201/$BA202-1,"")</f>
        <v/>
      </c>
      <c r="DR201" s="64">
        <f>$O201-$O202</f>
        <v/>
      </c>
      <c r="DS201" s="64">
        <f>$P201-$P202</f>
        <v/>
      </c>
      <c r="DT201" s="64">
        <f>$Q201-$Q202</f>
        <v/>
      </c>
      <c r="DU201" s="64">
        <f>$S201-$S202</f>
        <v/>
      </c>
      <c r="DV201" s="65">
        <f>IFERROR(AVERAGE($AA202/$AA201-1,$AB202/$AB201-1,$AC202/$AC201-1,$AD202/$AD201-1,$AE202/$AE201-1,$AG202/$AG201-1,$AH202/$AH201-1,$AI202/$AI201-1,$AJ202/$AJ201-1,$AL202/$AL201-1,$AM202/$AM201-1,$AR202/$AR201-1,$AS202/$AS201-1,$AT202/$AT201-1,$AU202/$AU201-1,$AV202/$AV201-1,$AW202/$AW201-1,$AX202/$AX201-1,$AY202/$AY201-1),"")</f>
        <v/>
      </c>
      <c r="DW201" s="66">
        <f>AVERAGE($CB201,$CC201,$CD201,$CE201,$CF201,$CG201,$CH201,$CI201,$CJ201,$CL201,$CM201,$CN201,$CO201,$CP201,$CQ201,$CR201,$CS201,$CT201)</f>
        <v/>
      </c>
      <c r="DX201" s="66">
        <f>AVERAGE($CB201,$CC201,$CM201,$CE201,$CP201)</f>
        <v/>
      </c>
      <c r="DY201" s="64">
        <f>($DW201-$DW202)*100</f>
        <v/>
      </c>
      <c r="DZ201" s="64">
        <f>($DX201-$DX202)*100</f>
        <v/>
      </c>
      <c r="EA201" s="64">
        <f>($DW201-$D201)*100</f>
        <v/>
      </c>
      <c r="EB201" s="64">
        <f>$Q201-$O201</f>
        <v/>
      </c>
      <c r="EC201" s="67">
        <f>IFERROR($Q201/$P201,"")</f>
        <v/>
      </c>
    </row>
    <row r="202">
      <c r="DG202" s="64">
        <f>($B202-$B203)*100</f>
        <v/>
      </c>
      <c r="DH202" s="64">
        <f>($D202-$D203)*100</f>
        <v/>
      </c>
      <c r="DI202" s="64">
        <f>($E202-$E203)*100</f>
        <v/>
      </c>
      <c r="DJ202" s="64">
        <f>($H202-$H203)*100</f>
        <v/>
      </c>
      <c r="DK202" s="65">
        <f>IFERROR($J202/$J203-1,"")</f>
        <v/>
      </c>
      <c r="DL202" s="64">
        <f>$L202-$L203</f>
        <v/>
      </c>
      <c r="DM202" s="64">
        <f>$K202-$K203</f>
        <v/>
      </c>
      <c r="DN202" s="65">
        <f>IFERROR($N202/$N203-1,"")</f>
        <v/>
      </c>
      <c r="DO202" s="65">
        <f>IFERROR($M202/$M203-1,"")</f>
        <v/>
      </c>
      <c r="DP202" s="65">
        <f>IFERROR($AZ202/$AZ203-1,"")</f>
        <v/>
      </c>
      <c r="DQ202" s="65">
        <f>IFERROR($BA202/$BA203-1,"")</f>
        <v/>
      </c>
      <c r="DR202" s="64">
        <f>$O202-$O203</f>
        <v/>
      </c>
      <c r="DS202" s="64">
        <f>$P202-$P203</f>
        <v/>
      </c>
      <c r="DT202" s="64">
        <f>$Q202-$Q203</f>
        <v/>
      </c>
      <c r="DU202" s="64">
        <f>$S202-$S203</f>
        <v/>
      </c>
      <c r="DV202" s="65">
        <f>IFERROR(AVERAGE($AA203/$AA202-1,$AB203/$AB202-1,$AC203/$AC202-1,$AD203/$AD202-1,$AE203/$AE202-1,$AG203/$AG202-1,$AH203/$AH202-1,$AI203/$AI202-1,$AJ203/$AJ202-1,$AL203/$AL202-1,$AM203/$AM202-1,$AR203/$AR202-1,$AS203/$AS202-1,$AT203/$AT202-1,$AU203/$AU202-1,$AV203/$AV202-1,$AW203/$AW202-1,$AX203/$AX202-1,$AY203/$AY202-1),"")</f>
        <v/>
      </c>
      <c r="DW202" s="66">
        <f>AVERAGE($CB202,$CC202,$CD202,$CE202,$CF202,$CG202,$CH202,$CI202,$CJ202,$CL202,$CM202,$CN202,$CO202,$CP202,$CQ202,$CR202,$CS202,$CT202)</f>
        <v/>
      </c>
      <c r="DX202" s="66">
        <f>AVERAGE($CB202,$CC202,$CM202,$CE202,$CP202)</f>
        <v/>
      </c>
      <c r="DY202" s="64">
        <f>($DW202-$DW203)*100</f>
        <v/>
      </c>
      <c r="DZ202" s="64">
        <f>($DX202-$DX203)*100</f>
        <v/>
      </c>
      <c r="EA202" s="64">
        <f>($DW202-$D202)*100</f>
        <v/>
      </c>
      <c r="EB202" s="64">
        <f>$Q202-$O202</f>
        <v/>
      </c>
      <c r="EC202" s="67">
        <f>IFERROR($Q202/$P202,"")</f>
        <v/>
      </c>
    </row>
    <row r="203">
      <c r="DG203" s="64">
        <f>($B203-$B204)*100</f>
        <v/>
      </c>
      <c r="DH203" s="64">
        <f>($D203-$D204)*100</f>
        <v/>
      </c>
      <c r="DI203" s="64">
        <f>($E203-$E204)*100</f>
        <v/>
      </c>
      <c r="DJ203" s="64">
        <f>($H203-$H204)*100</f>
        <v/>
      </c>
      <c r="DK203" s="65">
        <f>IFERROR($J203/$J204-1,"")</f>
        <v/>
      </c>
      <c r="DL203" s="64">
        <f>$L203-$L204</f>
        <v/>
      </c>
      <c r="DM203" s="64">
        <f>$K203-$K204</f>
        <v/>
      </c>
      <c r="DN203" s="65">
        <f>IFERROR($N203/$N204-1,"")</f>
        <v/>
      </c>
      <c r="DO203" s="65">
        <f>IFERROR($M203/$M204-1,"")</f>
        <v/>
      </c>
      <c r="DP203" s="65">
        <f>IFERROR($AZ203/$AZ204-1,"")</f>
        <v/>
      </c>
      <c r="DQ203" s="65">
        <f>IFERROR($BA203/$BA204-1,"")</f>
        <v/>
      </c>
      <c r="DR203" s="64">
        <f>$O203-$O204</f>
        <v/>
      </c>
      <c r="DS203" s="64">
        <f>$P203-$P204</f>
        <v/>
      </c>
      <c r="DT203" s="64">
        <f>$Q203-$Q204</f>
        <v/>
      </c>
      <c r="DU203" s="64">
        <f>$S203-$S204</f>
        <v/>
      </c>
      <c r="DV203" s="65">
        <f>IFERROR(AVERAGE($AA204/$AA203-1,$AB204/$AB203-1,$AC204/$AC203-1,$AD204/$AD203-1,$AE204/$AE203-1,$AG204/$AG203-1,$AH204/$AH203-1,$AI204/$AI203-1,$AJ204/$AJ203-1,$AL204/$AL203-1,$AM204/$AM203-1,$AR204/$AR203-1,$AS204/$AS203-1,$AT204/$AT203-1,$AU204/$AU203-1,$AV204/$AV203-1,$AW204/$AW203-1,$AX204/$AX203-1,$AY204/$AY203-1),"")</f>
        <v/>
      </c>
      <c r="DW203" s="66">
        <f>AVERAGE($CB203,$CC203,$CD203,$CE203,$CF203,$CG203,$CH203,$CI203,$CJ203,$CL203,$CM203,$CN203,$CO203,$CP203,$CQ203,$CR203,$CS203,$CT203)</f>
        <v/>
      </c>
      <c r="DX203" s="66">
        <f>AVERAGE($CB203,$CC203,$CM203,$CE203,$CP203)</f>
        <v/>
      </c>
      <c r="DY203" s="64">
        <f>($DW203-$DW204)*100</f>
        <v/>
      </c>
      <c r="DZ203" s="64">
        <f>($DX203-$DX204)*100</f>
        <v/>
      </c>
      <c r="EA203" s="64">
        <f>($DW203-$D203)*100</f>
        <v/>
      </c>
      <c r="EB203" s="64">
        <f>$Q203-$O203</f>
        <v/>
      </c>
      <c r="EC203" s="67">
        <f>IFERROR($Q203/$P203,"")</f>
        <v/>
      </c>
    </row>
    <row r="204">
      <c r="DG204" s="64">
        <f>($B204-$B205)*100</f>
        <v/>
      </c>
      <c r="DH204" s="64">
        <f>($D204-$D205)*100</f>
        <v/>
      </c>
      <c r="DI204" s="64">
        <f>($E204-$E205)*100</f>
        <v/>
      </c>
      <c r="DJ204" s="64">
        <f>($H204-$H205)*100</f>
        <v/>
      </c>
      <c r="DK204" s="65">
        <f>IFERROR($J204/$J205-1,"")</f>
        <v/>
      </c>
      <c r="DL204" s="64">
        <f>$L204-$L205</f>
        <v/>
      </c>
      <c r="DM204" s="64">
        <f>$K204-$K205</f>
        <v/>
      </c>
      <c r="DN204" s="65">
        <f>IFERROR($N204/$N205-1,"")</f>
        <v/>
      </c>
      <c r="DO204" s="65">
        <f>IFERROR($M204/$M205-1,"")</f>
        <v/>
      </c>
      <c r="DP204" s="65">
        <f>IFERROR($AZ204/$AZ205-1,"")</f>
        <v/>
      </c>
      <c r="DQ204" s="65">
        <f>IFERROR($BA204/$BA205-1,"")</f>
        <v/>
      </c>
      <c r="DR204" s="64">
        <f>$O204-$O205</f>
        <v/>
      </c>
      <c r="DS204" s="64">
        <f>$P204-$P205</f>
        <v/>
      </c>
      <c r="DT204" s="64">
        <f>$Q204-$Q205</f>
        <v/>
      </c>
      <c r="DU204" s="64">
        <f>$S204-$S205</f>
        <v/>
      </c>
      <c r="DV204" s="65">
        <f>IFERROR(AVERAGE($AA205/$AA204-1,$AB205/$AB204-1,$AC205/$AC204-1,$AD205/$AD204-1,$AE205/$AE204-1,$AG205/$AG204-1,$AH205/$AH204-1,$AI205/$AI204-1,$AJ205/$AJ204-1,$AL205/$AL204-1,$AM205/$AM204-1,$AR205/$AR204-1,$AS205/$AS204-1,$AT205/$AT204-1,$AU205/$AU204-1,$AV205/$AV204-1,$AW205/$AW204-1,$AX205/$AX204-1,$AY205/$AY204-1),"")</f>
        <v/>
      </c>
      <c r="DW204" s="66">
        <f>AVERAGE($CB204,$CC204,$CD204,$CE204,$CF204,$CG204,$CH204,$CI204,$CJ204,$CL204,$CM204,$CN204,$CO204,$CP204,$CQ204,$CR204,$CS204,$CT204)</f>
        <v/>
      </c>
      <c r="DX204" s="66">
        <f>AVERAGE($CB204,$CC204,$CM204,$CE204,$CP204)</f>
        <v/>
      </c>
      <c r="DY204" s="64">
        <f>($DW204-$DW205)*100</f>
        <v/>
      </c>
      <c r="DZ204" s="64">
        <f>($DX204-$DX205)*100</f>
        <v/>
      </c>
      <c r="EA204" s="64">
        <f>($DW204-$D204)*100</f>
        <v/>
      </c>
      <c r="EB204" s="64">
        <f>$Q204-$O204</f>
        <v/>
      </c>
      <c r="EC204" s="67">
        <f>IFERROR($Q204/$P204,"")</f>
        <v/>
      </c>
    </row>
    <row r="205">
      <c r="DG205" s="64">
        <f>($B205-$B206)*100</f>
        <v/>
      </c>
      <c r="DH205" s="64">
        <f>($D205-$D206)*100</f>
        <v/>
      </c>
      <c r="DI205" s="64">
        <f>($E205-$E206)*100</f>
        <v/>
      </c>
      <c r="DJ205" s="64">
        <f>($H205-$H206)*100</f>
        <v/>
      </c>
      <c r="DK205" s="65">
        <f>IFERROR($J205/$J206-1,"")</f>
        <v/>
      </c>
      <c r="DL205" s="64">
        <f>$L205-$L206</f>
        <v/>
      </c>
      <c r="DM205" s="64">
        <f>$K205-$K206</f>
        <v/>
      </c>
      <c r="DN205" s="65">
        <f>IFERROR($N205/$N206-1,"")</f>
        <v/>
      </c>
      <c r="DO205" s="65">
        <f>IFERROR($M205/$M206-1,"")</f>
        <v/>
      </c>
      <c r="DP205" s="65">
        <f>IFERROR($AZ205/$AZ206-1,"")</f>
        <v/>
      </c>
      <c r="DQ205" s="65">
        <f>IFERROR($BA205/$BA206-1,"")</f>
        <v/>
      </c>
      <c r="DR205" s="64">
        <f>$O205-$O206</f>
        <v/>
      </c>
      <c r="DS205" s="64">
        <f>$P205-$P206</f>
        <v/>
      </c>
      <c r="DT205" s="64">
        <f>$Q205-$Q206</f>
        <v/>
      </c>
      <c r="DU205" s="64">
        <f>$S205-$S206</f>
        <v/>
      </c>
      <c r="DV205" s="65">
        <f>IFERROR(AVERAGE($AA206/$AA205-1,$AB206/$AB205-1,$AC206/$AC205-1,$AD206/$AD205-1,$AE206/$AE205-1,$AG206/$AG205-1,$AH206/$AH205-1,$AI206/$AI205-1,$AJ206/$AJ205-1,$AL206/$AL205-1,$AM206/$AM205-1,$AR206/$AR205-1,$AS206/$AS205-1,$AT206/$AT205-1,$AU206/$AU205-1,$AV206/$AV205-1,$AW206/$AW205-1,$AX206/$AX205-1,$AY206/$AY205-1),"")</f>
        <v/>
      </c>
      <c r="DW205" s="66">
        <f>AVERAGE($CB205,$CC205,$CD205,$CE205,$CF205,$CG205,$CH205,$CI205,$CJ205,$CL205,$CM205,$CN205,$CO205,$CP205,$CQ205,$CR205,$CS205,$CT205)</f>
        <v/>
      </c>
      <c r="DX205" s="66">
        <f>AVERAGE($CB205,$CC205,$CM205,$CE205,$CP205)</f>
        <v/>
      </c>
      <c r="DY205" s="64">
        <f>($DW205-$DW206)*100</f>
        <v/>
      </c>
      <c r="DZ205" s="64">
        <f>($DX205-$DX206)*100</f>
        <v/>
      </c>
      <c r="EA205" s="64">
        <f>($DW205-$D205)*100</f>
        <v/>
      </c>
      <c r="EB205" s="64">
        <f>$Q205-$O205</f>
        <v/>
      </c>
      <c r="EC205" s="67">
        <f>IFERROR($Q205/$P205,"")</f>
        <v/>
      </c>
    </row>
    <row r="206">
      <c r="DG206" s="64">
        <f>($B206-$B207)*100</f>
        <v/>
      </c>
      <c r="DH206" s="64">
        <f>($D206-$D207)*100</f>
        <v/>
      </c>
      <c r="DI206" s="64">
        <f>($E206-$E207)*100</f>
        <v/>
      </c>
      <c r="DJ206" s="64">
        <f>($H206-$H207)*100</f>
        <v/>
      </c>
      <c r="DK206" s="65">
        <f>IFERROR($J206/$J207-1,"")</f>
        <v/>
      </c>
      <c r="DL206" s="64">
        <f>$L206-$L207</f>
        <v/>
      </c>
      <c r="DM206" s="64">
        <f>$K206-$K207</f>
        <v/>
      </c>
      <c r="DN206" s="65">
        <f>IFERROR($N206/$N207-1,"")</f>
        <v/>
      </c>
      <c r="DO206" s="65">
        <f>IFERROR($M206/$M207-1,"")</f>
        <v/>
      </c>
      <c r="DP206" s="65">
        <f>IFERROR($AZ206/$AZ207-1,"")</f>
        <v/>
      </c>
      <c r="DQ206" s="65">
        <f>IFERROR($BA206/$BA207-1,"")</f>
        <v/>
      </c>
      <c r="DR206" s="64">
        <f>$O206-$O207</f>
        <v/>
      </c>
      <c r="DS206" s="64">
        <f>$P206-$P207</f>
        <v/>
      </c>
      <c r="DT206" s="64">
        <f>$Q206-$Q207</f>
        <v/>
      </c>
      <c r="DU206" s="64">
        <f>$S206-$S207</f>
        <v/>
      </c>
      <c r="DV206" s="65">
        <f>IFERROR(AVERAGE($AA207/$AA206-1,$AB207/$AB206-1,$AC207/$AC206-1,$AD207/$AD206-1,$AE207/$AE206-1,$AG207/$AG206-1,$AH207/$AH206-1,$AI207/$AI206-1,$AJ207/$AJ206-1,$AL207/$AL206-1,$AM207/$AM206-1,$AR207/$AR206-1,$AS207/$AS206-1,$AT207/$AT206-1,$AU207/$AU206-1,$AV207/$AV206-1,$AW207/$AW206-1,$AX207/$AX206-1,$AY207/$AY206-1),"")</f>
        <v/>
      </c>
      <c r="DW206" s="66">
        <f>AVERAGE($CB206,$CC206,$CD206,$CE206,$CF206,$CG206,$CH206,$CI206,$CJ206,$CL206,$CM206,$CN206,$CO206,$CP206,$CQ206,$CR206,$CS206,$CT206)</f>
        <v/>
      </c>
      <c r="DX206" s="66">
        <f>AVERAGE($CB206,$CC206,$CM206,$CE206,$CP206)</f>
        <v/>
      </c>
      <c r="DY206" s="64">
        <f>($DW206-$DW207)*100</f>
        <v/>
      </c>
      <c r="DZ206" s="64">
        <f>($DX206-$DX207)*100</f>
        <v/>
      </c>
      <c r="EA206" s="64">
        <f>($DW206-$D206)*100</f>
        <v/>
      </c>
      <c r="EB206" s="64">
        <f>$Q206-$O206</f>
        <v/>
      </c>
      <c r="EC206" s="67">
        <f>IFERROR($Q206/$P206,"")</f>
        <v/>
      </c>
    </row>
    <row r="207">
      <c r="DG207" s="64">
        <f>($B207-$B208)*100</f>
        <v/>
      </c>
      <c r="DH207" s="64">
        <f>($D207-$D208)*100</f>
        <v/>
      </c>
      <c r="DI207" s="64">
        <f>($E207-$E208)*100</f>
        <v/>
      </c>
      <c r="DJ207" s="64">
        <f>($H207-$H208)*100</f>
        <v/>
      </c>
      <c r="DK207" s="65">
        <f>IFERROR($J207/$J208-1,"")</f>
        <v/>
      </c>
      <c r="DL207" s="64">
        <f>$L207-$L208</f>
        <v/>
      </c>
      <c r="DM207" s="64">
        <f>$K207-$K208</f>
        <v/>
      </c>
      <c r="DN207" s="65">
        <f>IFERROR($N207/$N208-1,"")</f>
        <v/>
      </c>
      <c r="DO207" s="65">
        <f>IFERROR($M207/$M208-1,"")</f>
        <v/>
      </c>
      <c r="DP207" s="65">
        <f>IFERROR($AZ207/$AZ208-1,"")</f>
        <v/>
      </c>
      <c r="DQ207" s="65">
        <f>IFERROR($BA207/$BA208-1,"")</f>
        <v/>
      </c>
      <c r="DR207" s="64">
        <f>$O207-$O208</f>
        <v/>
      </c>
      <c r="DS207" s="64">
        <f>$P207-$P208</f>
        <v/>
      </c>
      <c r="DT207" s="64">
        <f>$Q207-$Q208</f>
        <v/>
      </c>
      <c r="DU207" s="64">
        <f>$S207-$S208</f>
        <v/>
      </c>
      <c r="DV207" s="65">
        <f>IFERROR(AVERAGE($AA208/$AA207-1,$AB208/$AB207-1,$AC208/$AC207-1,$AD208/$AD207-1,$AE208/$AE207-1,$AG208/$AG207-1,$AH208/$AH207-1,$AI208/$AI207-1,$AJ208/$AJ207-1,$AL208/$AL207-1,$AM208/$AM207-1,$AR208/$AR207-1,$AS208/$AS207-1,$AT208/$AT207-1,$AU208/$AU207-1,$AV208/$AV207-1,$AW208/$AW207-1,$AX208/$AX207-1,$AY208/$AY207-1),"")</f>
        <v/>
      </c>
      <c r="DW207" s="66">
        <f>AVERAGE($CB207,$CC207,$CD207,$CE207,$CF207,$CG207,$CH207,$CI207,$CJ207,$CL207,$CM207,$CN207,$CO207,$CP207,$CQ207,$CR207,$CS207,$CT207)</f>
        <v/>
      </c>
      <c r="DX207" s="66">
        <f>AVERAGE($CB207,$CC207,$CM207,$CE207,$CP207)</f>
        <v/>
      </c>
      <c r="DY207" s="64">
        <f>($DW207-$DW208)*100</f>
        <v/>
      </c>
      <c r="DZ207" s="64">
        <f>($DX207-$DX208)*100</f>
        <v/>
      </c>
      <c r="EA207" s="64">
        <f>($DW207-$D207)*100</f>
        <v/>
      </c>
      <c r="EB207" s="64">
        <f>$Q207-$O207</f>
        <v/>
      </c>
      <c r="EC207" s="67">
        <f>IFERROR($Q207/$P207,"")</f>
        <v/>
      </c>
    </row>
    <row r="208">
      <c r="DG208" s="64">
        <f>($B208-$B209)*100</f>
        <v/>
      </c>
      <c r="DH208" s="64">
        <f>($D208-$D209)*100</f>
        <v/>
      </c>
      <c r="DI208" s="64">
        <f>($E208-$E209)*100</f>
        <v/>
      </c>
      <c r="DJ208" s="64">
        <f>($H208-$H209)*100</f>
        <v/>
      </c>
      <c r="DK208" s="65">
        <f>IFERROR($J208/$J209-1,"")</f>
        <v/>
      </c>
      <c r="DL208" s="64">
        <f>$L208-$L209</f>
        <v/>
      </c>
      <c r="DM208" s="64">
        <f>$K208-$K209</f>
        <v/>
      </c>
      <c r="DN208" s="65">
        <f>IFERROR($N208/$N209-1,"")</f>
        <v/>
      </c>
      <c r="DO208" s="65">
        <f>IFERROR($M208/$M209-1,"")</f>
        <v/>
      </c>
      <c r="DP208" s="65">
        <f>IFERROR($AZ208/$AZ209-1,"")</f>
        <v/>
      </c>
      <c r="DQ208" s="65">
        <f>IFERROR($BA208/$BA209-1,"")</f>
        <v/>
      </c>
      <c r="DR208" s="64">
        <f>$O208-$O209</f>
        <v/>
      </c>
      <c r="DS208" s="64">
        <f>$P208-$P209</f>
        <v/>
      </c>
      <c r="DT208" s="64">
        <f>$Q208-$Q209</f>
        <v/>
      </c>
      <c r="DU208" s="64">
        <f>$S208-$S209</f>
        <v/>
      </c>
      <c r="DV208" s="65">
        <f>IFERROR(AVERAGE($AA209/$AA208-1,$AB209/$AB208-1,$AC209/$AC208-1,$AD209/$AD208-1,$AE209/$AE208-1,$AG209/$AG208-1,$AH209/$AH208-1,$AI209/$AI208-1,$AJ209/$AJ208-1,$AL209/$AL208-1,$AM209/$AM208-1,$AR209/$AR208-1,$AS209/$AS208-1,$AT209/$AT208-1,$AU209/$AU208-1,$AV209/$AV208-1,$AW209/$AW208-1,$AX209/$AX208-1,$AY209/$AY208-1),"")</f>
        <v/>
      </c>
      <c r="DW208" s="66">
        <f>AVERAGE($CB208,$CC208,$CD208,$CE208,$CF208,$CG208,$CH208,$CI208,$CJ208,$CL208,$CM208,$CN208,$CO208,$CP208,$CQ208,$CR208,$CS208,$CT208)</f>
        <v/>
      </c>
      <c r="DX208" s="66">
        <f>AVERAGE($CB208,$CC208,$CM208,$CE208,$CP208)</f>
        <v/>
      </c>
      <c r="DY208" s="64">
        <f>($DW208-$DW209)*100</f>
        <v/>
      </c>
      <c r="DZ208" s="64">
        <f>($DX208-$DX209)*100</f>
        <v/>
      </c>
      <c r="EA208" s="64">
        <f>($DW208-$D208)*100</f>
        <v/>
      </c>
      <c r="EB208" s="64">
        <f>$Q208-$O208</f>
        <v/>
      </c>
      <c r="EC208" s="67">
        <f>IFERROR($Q208/$P208,"")</f>
        <v/>
      </c>
    </row>
    <row r="209">
      <c r="DG209" s="64">
        <f>($B209-$B210)*100</f>
        <v/>
      </c>
      <c r="DH209" s="64">
        <f>($D209-$D210)*100</f>
        <v/>
      </c>
      <c r="DI209" s="64">
        <f>($E209-$E210)*100</f>
        <v/>
      </c>
      <c r="DJ209" s="64">
        <f>($H209-$H210)*100</f>
        <v/>
      </c>
      <c r="DK209" s="65">
        <f>IFERROR($J209/$J210-1,"")</f>
        <v/>
      </c>
      <c r="DL209" s="64">
        <f>$L209-$L210</f>
        <v/>
      </c>
      <c r="DM209" s="64">
        <f>$K209-$K210</f>
        <v/>
      </c>
      <c r="DN209" s="65">
        <f>IFERROR($N209/$N210-1,"")</f>
        <v/>
      </c>
      <c r="DO209" s="65">
        <f>IFERROR($M209/$M210-1,"")</f>
        <v/>
      </c>
      <c r="DP209" s="65">
        <f>IFERROR($AZ209/$AZ210-1,"")</f>
        <v/>
      </c>
      <c r="DQ209" s="65">
        <f>IFERROR($BA209/$BA210-1,"")</f>
        <v/>
      </c>
      <c r="DR209" s="64">
        <f>$O209-$O210</f>
        <v/>
      </c>
      <c r="DS209" s="64">
        <f>$P209-$P210</f>
        <v/>
      </c>
      <c r="DT209" s="64">
        <f>$Q209-$Q210</f>
        <v/>
      </c>
      <c r="DU209" s="64">
        <f>$S209-$S210</f>
        <v/>
      </c>
      <c r="DV209" s="65">
        <f>IFERROR(AVERAGE($AA210/$AA209-1,$AB210/$AB209-1,$AC210/$AC209-1,$AD210/$AD209-1,$AE210/$AE209-1,$AG210/$AG209-1,$AH210/$AH209-1,$AI210/$AI209-1,$AJ210/$AJ209-1,$AL210/$AL209-1,$AM210/$AM209-1,$AR210/$AR209-1,$AS210/$AS209-1,$AT210/$AT209-1,$AU210/$AU209-1,$AV210/$AV209-1,$AW210/$AW209-1,$AX210/$AX209-1,$AY210/$AY209-1),"")</f>
        <v/>
      </c>
      <c r="DW209" s="66">
        <f>AVERAGE($CB209,$CC209,$CD209,$CE209,$CF209,$CG209,$CH209,$CI209,$CJ209,$CL209,$CM209,$CN209,$CO209,$CP209,$CQ209,$CR209,$CS209,$CT209)</f>
        <v/>
      </c>
      <c r="DX209" s="66">
        <f>AVERAGE($CB209,$CC209,$CM209,$CE209,$CP209)</f>
        <v/>
      </c>
      <c r="DY209" s="64">
        <f>($DW209-$DW210)*100</f>
        <v/>
      </c>
      <c r="DZ209" s="64">
        <f>($DX209-$DX210)*100</f>
        <v/>
      </c>
      <c r="EA209" s="64">
        <f>($DW209-$D209)*100</f>
        <v/>
      </c>
      <c r="EB209" s="64">
        <f>$Q209-$O209</f>
        <v/>
      </c>
      <c r="EC209" s="67">
        <f>IFERROR($Q209/$P209,"")</f>
        <v/>
      </c>
    </row>
    <row r="210">
      <c r="DG210" s="64">
        <f>($B210-$B211)*100</f>
        <v/>
      </c>
      <c r="DH210" s="64">
        <f>($D210-$D211)*100</f>
        <v/>
      </c>
      <c r="DI210" s="64">
        <f>($E210-$E211)*100</f>
        <v/>
      </c>
      <c r="DJ210" s="64">
        <f>($H210-$H211)*100</f>
        <v/>
      </c>
      <c r="DK210" s="65">
        <f>IFERROR($J210/$J211-1,"")</f>
        <v/>
      </c>
      <c r="DL210" s="64">
        <f>$L210-$L211</f>
        <v/>
      </c>
      <c r="DM210" s="64">
        <f>$K210-$K211</f>
        <v/>
      </c>
      <c r="DN210" s="65">
        <f>IFERROR($N210/$N211-1,"")</f>
        <v/>
      </c>
      <c r="DO210" s="65">
        <f>IFERROR($M210/$M211-1,"")</f>
        <v/>
      </c>
      <c r="DP210" s="65">
        <f>IFERROR($AZ210/$AZ211-1,"")</f>
        <v/>
      </c>
      <c r="DQ210" s="65">
        <f>IFERROR($BA210/$BA211-1,"")</f>
        <v/>
      </c>
      <c r="DR210" s="64">
        <f>$O210-$O211</f>
        <v/>
      </c>
      <c r="DS210" s="64">
        <f>$P210-$P211</f>
        <v/>
      </c>
      <c r="DT210" s="64">
        <f>$Q210-$Q211</f>
        <v/>
      </c>
      <c r="DU210" s="64">
        <f>$S210-$S211</f>
        <v/>
      </c>
      <c r="DV210" s="65">
        <f>IFERROR(AVERAGE($AA211/$AA210-1,$AB211/$AB210-1,$AC211/$AC210-1,$AD211/$AD210-1,$AE211/$AE210-1,$AG211/$AG210-1,$AH211/$AH210-1,$AI211/$AI210-1,$AJ211/$AJ210-1,$AL211/$AL210-1,$AM211/$AM210-1,$AR211/$AR210-1,$AS211/$AS210-1,$AT211/$AT210-1,$AU211/$AU210-1,$AV211/$AV210-1,$AW211/$AW210-1,$AX211/$AX210-1,$AY211/$AY210-1),"")</f>
        <v/>
      </c>
      <c r="DW210" s="66">
        <f>AVERAGE($CB210,$CC210,$CD210,$CE210,$CF210,$CG210,$CH210,$CI210,$CJ210,$CL210,$CM210,$CN210,$CO210,$CP210,$CQ210,$CR210,$CS210,$CT210)</f>
        <v/>
      </c>
      <c r="DX210" s="66">
        <f>AVERAGE($CB210,$CC210,$CM210,$CE210,$CP210)</f>
        <v/>
      </c>
      <c r="DY210" s="64">
        <f>($DW210-$DW211)*100</f>
        <v/>
      </c>
      <c r="DZ210" s="64">
        <f>($DX210-$DX211)*100</f>
        <v/>
      </c>
      <c r="EA210" s="64">
        <f>($DW210-$D210)*100</f>
        <v/>
      </c>
      <c r="EB210" s="64">
        <f>$Q210-$O210</f>
        <v/>
      </c>
      <c r="EC210" s="67">
        <f>IFERROR($Q210/$P210,"")</f>
        <v/>
      </c>
    </row>
    <row r="211">
      <c r="DG211" s="64">
        <f>($B211-$B212)*100</f>
        <v/>
      </c>
      <c r="DH211" s="64">
        <f>($D211-$D212)*100</f>
        <v/>
      </c>
      <c r="DI211" s="64">
        <f>($E211-$E212)*100</f>
        <v/>
      </c>
      <c r="DJ211" s="64">
        <f>($H211-$H212)*100</f>
        <v/>
      </c>
      <c r="DK211" s="65">
        <f>IFERROR($J211/$J212-1,"")</f>
        <v/>
      </c>
      <c r="DL211" s="64">
        <f>$L211-$L212</f>
        <v/>
      </c>
      <c r="DM211" s="64">
        <f>$K211-$K212</f>
        <v/>
      </c>
      <c r="DN211" s="65">
        <f>IFERROR($N211/$N212-1,"")</f>
        <v/>
      </c>
      <c r="DO211" s="65">
        <f>IFERROR($M211/$M212-1,"")</f>
        <v/>
      </c>
      <c r="DP211" s="65">
        <f>IFERROR($AZ211/$AZ212-1,"")</f>
        <v/>
      </c>
      <c r="DQ211" s="65">
        <f>IFERROR($BA211/$BA212-1,"")</f>
        <v/>
      </c>
      <c r="DR211" s="64">
        <f>$O211-$O212</f>
        <v/>
      </c>
      <c r="DS211" s="64">
        <f>$P211-$P212</f>
        <v/>
      </c>
      <c r="DT211" s="64">
        <f>$Q211-$Q212</f>
        <v/>
      </c>
      <c r="DU211" s="64">
        <f>$S211-$S212</f>
        <v/>
      </c>
      <c r="DV211" s="65">
        <f>IFERROR(AVERAGE($AA212/$AA211-1,$AB212/$AB211-1,$AC212/$AC211-1,$AD212/$AD211-1,$AE212/$AE211-1,$AG212/$AG211-1,$AH212/$AH211-1,$AI212/$AI211-1,$AJ212/$AJ211-1,$AL212/$AL211-1,$AM212/$AM211-1,$AR212/$AR211-1,$AS212/$AS211-1,$AT212/$AT211-1,$AU212/$AU211-1,$AV212/$AV211-1,$AW212/$AW211-1,$AX212/$AX211-1,$AY212/$AY211-1),"")</f>
        <v/>
      </c>
      <c r="DW211" s="66">
        <f>AVERAGE($CB211,$CC211,$CD211,$CE211,$CF211,$CG211,$CH211,$CI211,$CJ211,$CL211,$CM211,$CN211,$CO211,$CP211,$CQ211,$CR211,$CS211,$CT211)</f>
        <v/>
      </c>
      <c r="DX211" s="66">
        <f>AVERAGE($CB211,$CC211,$CM211,$CE211,$CP211)</f>
        <v/>
      </c>
      <c r="DY211" s="64">
        <f>($DW211-$DW212)*100</f>
        <v/>
      </c>
      <c r="DZ211" s="64">
        <f>($DX211-$DX212)*100</f>
        <v/>
      </c>
      <c r="EA211" s="64">
        <f>($DW211-$D211)*100</f>
        <v/>
      </c>
      <c r="EB211" s="64">
        <f>$Q211-$O211</f>
        <v/>
      </c>
      <c r="EC211" s="67">
        <f>IFERROR($Q211/$P211,"")</f>
        <v/>
      </c>
    </row>
    <row r="212">
      <c r="DG212" s="64">
        <f>($B212-$B213)*100</f>
        <v/>
      </c>
      <c r="DH212" s="64">
        <f>($D212-$D213)*100</f>
        <v/>
      </c>
      <c r="DI212" s="64">
        <f>($E212-$E213)*100</f>
        <v/>
      </c>
      <c r="DJ212" s="64">
        <f>($H212-$H213)*100</f>
        <v/>
      </c>
      <c r="DK212" s="65">
        <f>IFERROR($J212/$J213-1,"")</f>
        <v/>
      </c>
      <c r="DL212" s="64">
        <f>$L212-$L213</f>
        <v/>
      </c>
      <c r="DM212" s="64">
        <f>$K212-$K213</f>
        <v/>
      </c>
      <c r="DN212" s="65">
        <f>IFERROR($N212/$N213-1,"")</f>
        <v/>
      </c>
      <c r="DO212" s="65">
        <f>IFERROR($M212/$M213-1,"")</f>
        <v/>
      </c>
      <c r="DP212" s="65">
        <f>IFERROR($AZ212/$AZ213-1,"")</f>
        <v/>
      </c>
      <c r="DQ212" s="65">
        <f>IFERROR($BA212/$BA213-1,"")</f>
        <v/>
      </c>
      <c r="DR212" s="64">
        <f>$O212-$O213</f>
        <v/>
      </c>
      <c r="DS212" s="64">
        <f>$P212-$P213</f>
        <v/>
      </c>
      <c r="DT212" s="64">
        <f>$Q212-$Q213</f>
        <v/>
      </c>
      <c r="DU212" s="64">
        <f>$S212-$S213</f>
        <v/>
      </c>
      <c r="DV212" s="65">
        <f>IFERROR(AVERAGE($AA213/$AA212-1,$AB213/$AB212-1,$AC213/$AC212-1,$AD213/$AD212-1,$AE213/$AE212-1,$AG213/$AG212-1,$AH213/$AH212-1,$AI213/$AI212-1,$AJ213/$AJ212-1,$AL213/$AL212-1,$AM213/$AM212-1,$AR213/$AR212-1,$AS213/$AS212-1,$AT213/$AT212-1,$AU213/$AU212-1,$AV213/$AV212-1,$AW213/$AW212-1,$AX213/$AX212-1,$AY213/$AY212-1),"")</f>
        <v/>
      </c>
      <c r="DW212" s="66">
        <f>AVERAGE($CB212,$CC212,$CD212,$CE212,$CF212,$CG212,$CH212,$CI212,$CJ212,$CL212,$CM212,$CN212,$CO212,$CP212,$CQ212,$CR212,$CS212,$CT212)</f>
        <v/>
      </c>
      <c r="DX212" s="66">
        <f>AVERAGE($CB212,$CC212,$CM212,$CE212,$CP212)</f>
        <v/>
      </c>
      <c r="DY212" s="64">
        <f>($DW212-$DW213)*100</f>
        <v/>
      </c>
      <c r="DZ212" s="64">
        <f>($DX212-$DX213)*100</f>
        <v/>
      </c>
      <c r="EA212" s="64">
        <f>($DW212-$D212)*100</f>
        <v/>
      </c>
      <c r="EB212" s="64">
        <f>$Q212-$O212</f>
        <v/>
      </c>
      <c r="EC212" s="67">
        <f>IFERROR($Q212/$P212,"")</f>
        <v/>
      </c>
    </row>
    <row r="213">
      <c r="DG213" s="64">
        <f>($B213-$B214)*100</f>
        <v/>
      </c>
      <c r="DH213" s="64">
        <f>($D213-$D214)*100</f>
        <v/>
      </c>
      <c r="DI213" s="64">
        <f>($E213-$E214)*100</f>
        <v/>
      </c>
      <c r="DJ213" s="64">
        <f>($H213-$H214)*100</f>
        <v/>
      </c>
      <c r="DK213" s="65">
        <f>IFERROR($J213/$J214-1,"")</f>
        <v/>
      </c>
      <c r="DL213" s="64">
        <f>$L213-$L214</f>
        <v/>
      </c>
      <c r="DM213" s="64">
        <f>$K213-$K214</f>
        <v/>
      </c>
      <c r="DN213" s="65">
        <f>IFERROR($N213/$N214-1,"")</f>
        <v/>
      </c>
      <c r="DO213" s="65">
        <f>IFERROR($M213/$M214-1,"")</f>
        <v/>
      </c>
      <c r="DP213" s="65">
        <f>IFERROR($AZ213/$AZ214-1,"")</f>
        <v/>
      </c>
      <c r="DQ213" s="65">
        <f>IFERROR($BA213/$BA214-1,"")</f>
        <v/>
      </c>
      <c r="DR213" s="64">
        <f>$O213-$O214</f>
        <v/>
      </c>
      <c r="DS213" s="64">
        <f>$P213-$P214</f>
        <v/>
      </c>
      <c r="DT213" s="64">
        <f>$Q213-$Q214</f>
        <v/>
      </c>
      <c r="DU213" s="64">
        <f>$S213-$S214</f>
        <v/>
      </c>
      <c r="DV213" s="65">
        <f>IFERROR(AVERAGE($AA214/$AA213-1,$AB214/$AB213-1,$AC214/$AC213-1,$AD214/$AD213-1,$AE214/$AE213-1,$AG214/$AG213-1,$AH214/$AH213-1,$AI214/$AI213-1,$AJ214/$AJ213-1,$AL214/$AL213-1,$AM214/$AM213-1,$AR214/$AR213-1,$AS214/$AS213-1,$AT214/$AT213-1,$AU214/$AU213-1,$AV214/$AV213-1,$AW214/$AW213-1,$AX214/$AX213-1,$AY214/$AY213-1),"")</f>
        <v/>
      </c>
      <c r="DW213" s="66">
        <f>AVERAGE($CB213,$CC213,$CD213,$CE213,$CF213,$CG213,$CH213,$CI213,$CJ213,$CL213,$CM213,$CN213,$CO213,$CP213,$CQ213,$CR213,$CS213,$CT213)</f>
        <v/>
      </c>
      <c r="DX213" s="66">
        <f>AVERAGE($CB213,$CC213,$CM213,$CE213,$CP213)</f>
        <v/>
      </c>
      <c r="DY213" s="64">
        <f>($DW213-$DW214)*100</f>
        <v/>
      </c>
      <c r="DZ213" s="64">
        <f>($DX213-$DX214)*100</f>
        <v/>
      </c>
      <c r="EA213" s="64">
        <f>($DW213-$D213)*100</f>
        <v/>
      </c>
      <c r="EB213" s="64">
        <f>$Q213-$O213</f>
        <v/>
      </c>
      <c r="EC213" s="67">
        <f>IFERROR($Q213/$P213,"")</f>
        <v/>
      </c>
    </row>
    <row r="214">
      <c r="DG214" s="64">
        <f>($B214-$B215)*100</f>
        <v/>
      </c>
      <c r="DH214" s="64">
        <f>($D214-$D215)*100</f>
        <v/>
      </c>
      <c r="DI214" s="64">
        <f>($E214-$E215)*100</f>
        <v/>
      </c>
      <c r="DJ214" s="64">
        <f>($H214-$H215)*100</f>
        <v/>
      </c>
      <c r="DK214" s="65">
        <f>IFERROR($J214/$J215-1,"")</f>
        <v/>
      </c>
      <c r="DL214" s="64">
        <f>$L214-$L215</f>
        <v/>
      </c>
      <c r="DM214" s="64">
        <f>$K214-$K215</f>
        <v/>
      </c>
      <c r="DN214" s="65">
        <f>IFERROR($N214/$N215-1,"")</f>
        <v/>
      </c>
      <c r="DO214" s="65">
        <f>IFERROR($M214/$M215-1,"")</f>
        <v/>
      </c>
      <c r="DP214" s="65">
        <f>IFERROR($AZ214/$AZ215-1,"")</f>
        <v/>
      </c>
      <c r="DQ214" s="65">
        <f>IFERROR($BA214/$BA215-1,"")</f>
        <v/>
      </c>
      <c r="DR214" s="64">
        <f>$O214-$O215</f>
        <v/>
      </c>
      <c r="DS214" s="64">
        <f>$P214-$P215</f>
        <v/>
      </c>
      <c r="DT214" s="64">
        <f>$Q214-$Q215</f>
        <v/>
      </c>
      <c r="DU214" s="64">
        <f>$S214-$S215</f>
        <v/>
      </c>
      <c r="DV214" s="65">
        <f>IFERROR(AVERAGE($AA215/$AA214-1,$AB215/$AB214-1,$AC215/$AC214-1,$AD215/$AD214-1,$AE215/$AE214-1,$AG215/$AG214-1,$AH215/$AH214-1,$AI215/$AI214-1,$AJ215/$AJ214-1,$AL215/$AL214-1,$AM215/$AM214-1,$AR215/$AR214-1,$AS215/$AS214-1,$AT215/$AT214-1,$AU215/$AU214-1,$AV215/$AV214-1,$AW215/$AW214-1,$AX215/$AX214-1,$AY215/$AY214-1),"")</f>
        <v/>
      </c>
      <c r="DW214" s="66">
        <f>AVERAGE($CB214,$CC214,$CD214,$CE214,$CF214,$CG214,$CH214,$CI214,$CJ214,$CL214,$CM214,$CN214,$CO214,$CP214,$CQ214,$CR214,$CS214,$CT214)</f>
        <v/>
      </c>
      <c r="DX214" s="66">
        <f>AVERAGE($CB214,$CC214,$CM214,$CE214,$CP214)</f>
        <v/>
      </c>
      <c r="DY214" s="64">
        <f>($DW214-$DW215)*100</f>
        <v/>
      </c>
      <c r="DZ214" s="64">
        <f>($DX214-$DX215)*100</f>
        <v/>
      </c>
      <c r="EA214" s="64">
        <f>($DW214-$D214)*100</f>
        <v/>
      </c>
      <c r="EB214" s="64">
        <f>$Q214-$O214</f>
        <v/>
      </c>
      <c r="EC214" s="67">
        <f>IFERROR($Q214/$P214,"")</f>
        <v/>
      </c>
    </row>
    <row r="215">
      <c r="DG215" s="64">
        <f>($B215-$B216)*100</f>
        <v/>
      </c>
      <c r="DH215" s="64">
        <f>($D215-$D216)*100</f>
        <v/>
      </c>
      <c r="DI215" s="64">
        <f>($E215-$E216)*100</f>
        <v/>
      </c>
      <c r="DJ215" s="64">
        <f>($H215-$H216)*100</f>
        <v/>
      </c>
      <c r="DK215" s="65">
        <f>IFERROR($J215/$J216-1,"")</f>
        <v/>
      </c>
      <c r="DL215" s="64">
        <f>$L215-$L216</f>
        <v/>
      </c>
      <c r="DM215" s="64">
        <f>$K215-$K216</f>
        <v/>
      </c>
      <c r="DN215" s="65">
        <f>IFERROR($N215/$N216-1,"")</f>
        <v/>
      </c>
      <c r="DO215" s="65">
        <f>IFERROR($M215/$M216-1,"")</f>
        <v/>
      </c>
      <c r="DP215" s="65">
        <f>IFERROR($AZ215/$AZ216-1,"")</f>
        <v/>
      </c>
      <c r="DQ215" s="65">
        <f>IFERROR($BA215/$BA216-1,"")</f>
        <v/>
      </c>
      <c r="DR215" s="64">
        <f>$O215-$O216</f>
        <v/>
      </c>
      <c r="DS215" s="64">
        <f>$P215-$P216</f>
        <v/>
      </c>
      <c r="DT215" s="64">
        <f>$Q215-$Q216</f>
        <v/>
      </c>
      <c r="DU215" s="64">
        <f>$S215-$S216</f>
        <v/>
      </c>
      <c r="DV215" s="65">
        <f>IFERROR(AVERAGE($AA216/$AA215-1,$AB216/$AB215-1,$AC216/$AC215-1,$AD216/$AD215-1,$AE216/$AE215-1,$AG216/$AG215-1,$AH216/$AH215-1,$AI216/$AI215-1,$AJ216/$AJ215-1,$AL216/$AL215-1,$AM216/$AM215-1,$AR216/$AR215-1,$AS216/$AS215-1,$AT216/$AT215-1,$AU216/$AU215-1,$AV216/$AV215-1,$AW216/$AW215-1,$AX216/$AX215-1,$AY216/$AY215-1),"")</f>
        <v/>
      </c>
      <c r="DW215" s="66">
        <f>AVERAGE($CB215,$CC215,$CD215,$CE215,$CF215,$CG215,$CH215,$CI215,$CJ215,$CL215,$CM215,$CN215,$CO215,$CP215,$CQ215,$CR215,$CS215,$CT215)</f>
        <v/>
      </c>
      <c r="DX215" s="66">
        <f>AVERAGE($CB215,$CC215,$CM215,$CE215,$CP215)</f>
        <v/>
      </c>
      <c r="DY215" s="64">
        <f>($DW215-$DW216)*100</f>
        <v/>
      </c>
      <c r="DZ215" s="64">
        <f>($DX215-$DX216)*100</f>
        <v/>
      </c>
      <c r="EA215" s="64">
        <f>($DW215-$D215)*100</f>
        <v/>
      </c>
      <c r="EB215" s="64">
        <f>$Q215-$O215</f>
        <v/>
      </c>
      <c r="EC215" s="67">
        <f>IFERROR($Q215/$P215,"")</f>
        <v/>
      </c>
    </row>
    <row r="216">
      <c r="DG216" s="64">
        <f>($B216-$B217)*100</f>
        <v/>
      </c>
      <c r="DH216" s="64">
        <f>($D216-$D217)*100</f>
        <v/>
      </c>
      <c r="DI216" s="64">
        <f>($E216-$E217)*100</f>
        <v/>
      </c>
      <c r="DJ216" s="64">
        <f>($H216-$H217)*100</f>
        <v/>
      </c>
      <c r="DK216" s="65">
        <f>IFERROR($J216/$J217-1,"")</f>
        <v/>
      </c>
      <c r="DL216" s="64">
        <f>$L216-$L217</f>
        <v/>
      </c>
      <c r="DM216" s="64">
        <f>$K216-$K217</f>
        <v/>
      </c>
      <c r="DN216" s="65">
        <f>IFERROR($N216/$N217-1,"")</f>
        <v/>
      </c>
      <c r="DO216" s="65">
        <f>IFERROR($M216/$M217-1,"")</f>
        <v/>
      </c>
      <c r="DP216" s="65">
        <f>IFERROR($AZ216/$AZ217-1,"")</f>
        <v/>
      </c>
      <c r="DQ216" s="65">
        <f>IFERROR($BA216/$BA217-1,"")</f>
        <v/>
      </c>
      <c r="DR216" s="64">
        <f>$O216-$O217</f>
        <v/>
      </c>
      <c r="DS216" s="64">
        <f>$P216-$P217</f>
        <v/>
      </c>
      <c r="DT216" s="64">
        <f>$Q216-$Q217</f>
        <v/>
      </c>
      <c r="DU216" s="64">
        <f>$S216-$S217</f>
        <v/>
      </c>
      <c r="DV216" s="65">
        <f>IFERROR(AVERAGE($AA217/$AA216-1,$AB217/$AB216-1,$AC217/$AC216-1,$AD217/$AD216-1,$AE217/$AE216-1,$AG217/$AG216-1,$AH217/$AH216-1,$AI217/$AI216-1,$AJ217/$AJ216-1,$AL217/$AL216-1,$AM217/$AM216-1,$AR217/$AR216-1,$AS217/$AS216-1,$AT217/$AT216-1,$AU217/$AU216-1,$AV217/$AV216-1,$AW217/$AW216-1,$AX217/$AX216-1,$AY217/$AY216-1),"")</f>
        <v/>
      </c>
      <c r="DW216" s="66">
        <f>AVERAGE($CB216,$CC216,$CD216,$CE216,$CF216,$CG216,$CH216,$CI216,$CJ216,$CL216,$CM216,$CN216,$CO216,$CP216,$CQ216,$CR216,$CS216,$CT216)</f>
        <v/>
      </c>
      <c r="DX216" s="66">
        <f>AVERAGE($CB216,$CC216,$CM216,$CE216,$CP216)</f>
        <v/>
      </c>
      <c r="DY216" s="64">
        <f>($DW216-$DW217)*100</f>
        <v/>
      </c>
      <c r="DZ216" s="64">
        <f>($DX216-$DX217)*100</f>
        <v/>
      </c>
      <c r="EA216" s="64">
        <f>($DW216-$D216)*100</f>
        <v/>
      </c>
      <c r="EB216" s="64">
        <f>$Q216-$O216</f>
        <v/>
      </c>
      <c r="EC216" s="67">
        <f>IFERROR($Q216/$P216,"")</f>
        <v/>
      </c>
    </row>
    <row r="217">
      <c r="DG217" s="64">
        <f>($B217-$B218)*100</f>
        <v/>
      </c>
      <c r="DH217" s="64">
        <f>($D217-$D218)*100</f>
        <v/>
      </c>
      <c r="DI217" s="64">
        <f>($E217-$E218)*100</f>
        <v/>
      </c>
      <c r="DJ217" s="64">
        <f>($H217-$H218)*100</f>
        <v/>
      </c>
      <c r="DK217" s="65">
        <f>IFERROR($J217/$J218-1,"")</f>
        <v/>
      </c>
      <c r="DL217" s="64">
        <f>$L217-$L218</f>
        <v/>
      </c>
      <c r="DM217" s="64">
        <f>$K217-$K218</f>
        <v/>
      </c>
      <c r="DN217" s="65">
        <f>IFERROR($N217/$N218-1,"")</f>
        <v/>
      </c>
      <c r="DO217" s="65">
        <f>IFERROR($M217/$M218-1,"")</f>
        <v/>
      </c>
      <c r="DP217" s="65">
        <f>IFERROR($AZ217/$AZ218-1,"")</f>
        <v/>
      </c>
      <c r="DQ217" s="65">
        <f>IFERROR($BA217/$BA218-1,"")</f>
        <v/>
      </c>
      <c r="DR217" s="64">
        <f>$O217-$O218</f>
        <v/>
      </c>
      <c r="DS217" s="64">
        <f>$P217-$P218</f>
        <v/>
      </c>
      <c r="DT217" s="64">
        <f>$Q217-$Q218</f>
        <v/>
      </c>
      <c r="DU217" s="64">
        <f>$S217-$S218</f>
        <v/>
      </c>
      <c r="DV217" s="65">
        <f>IFERROR(AVERAGE($AA218/$AA217-1,$AB218/$AB217-1,$AC218/$AC217-1,$AD218/$AD217-1,$AE218/$AE217-1,$AG218/$AG217-1,$AH218/$AH217-1,$AI218/$AI217-1,$AJ218/$AJ217-1,$AL218/$AL217-1,$AM218/$AM217-1,$AR218/$AR217-1,$AS218/$AS217-1,$AT218/$AT217-1,$AU218/$AU217-1,$AV218/$AV217-1,$AW218/$AW217-1,$AX218/$AX217-1,$AY218/$AY217-1),"")</f>
        <v/>
      </c>
      <c r="DW217" s="66">
        <f>AVERAGE($CB217,$CC217,$CD217,$CE217,$CF217,$CG217,$CH217,$CI217,$CJ217,$CL217,$CM217,$CN217,$CO217,$CP217,$CQ217,$CR217,$CS217,$CT217)</f>
        <v/>
      </c>
      <c r="DX217" s="66">
        <f>AVERAGE($CB217,$CC217,$CM217,$CE217,$CP217)</f>
        <v/>
      </c>
      <c r="DY217" s="64">
        <f>($DW217-$DW218)*100</f>
        <v/>
      </c>
      <c r="DZ217" s="64">
        <f>($DX217-$DX218)*100</f>
        <v/>
      </c>
      <c r="EA217" s="64">
        <f>($DW217-$D217)*100</f>
        <v/>
      </c>
      <c r="EB217" s="64">
        <f>$Q217-$O217</f>
        <v/>
      </c>
      <c r="EC217" s="67">
        <f>IFERROR($Q217/$P217,"")</f>
        <v/>
      </c>
    </row>
    <row r="218">
      <c r="DG218" s="64">
        <f>($B218-$B219)*100</f>
        <v/>
      </c>
      <c r="DH218" s="64">
        <f>($D218-$D219)*100</f>
        <v/>
      </c>
      <c r="DI218" s="64">
        <f>($E218-$E219)*100</f>
        <v/>
      </c>
      <c r="DJ218" s="64">
        <f>($H218-$H219)*100</f>
        <v/>
      </c>
      <c r="DK218" s="65">
        <f>IFERROR($J218/$J219-1,"")</f>
        <v/>
      </c>
      <c r="DL218" s="64">
        <f>$L218-$L219</f>
        <v/>
      </c>
      <c r="DM218" s="64">
        <f>$K218-$K219</f>
        <v/>
      </c>
      <c r="DN218" s="65">
        <f>IFERROR($N218/$N219-1,"")</f>
        <v/>
      </c>
      <c r="DO218" s="65">
        <f>IFERROR($M218/$M219-1,"")</f>
        <v/>
      </c>
      <c r="DP218" s="65">
        <f>IFERROR($AZ218/$AZ219-1,"")</f>
        <v/>
      </c>
      <c r="DQ218" s="65">
        <f>IFERROR($BA218/$BA219-1,"")</f>
        <v/>
      </c>
      <c r="DR218" s="64">
        <f>$O218-$O219</f>
        <v/>
      </c>
      <c r="DS218" s="64">
        <f>$P218-$P219</f>
        <v/>
      </c>
      <c r="DT218" s="64">
        <f>$Q218-$Q219</f>
        <v/>
      </c>
      <c r="DU218" s="64">
        <f>$S218-$S219</f>
        <v/>
      </c>
      <c r="DV218" s="65">
        <f>IFERROR(AVERAGE($AA219/$AA218-1,$AB219/$AB218-1,$AC219/$AC218-1,$AD219/$AD218-1,$AE219/$AE218-1,$AG219/$AG218-1,$AH219/$AH218-1,$AI219/$AI218-1,$AJ219/$AJ218-1,$AL219/$AL218-1,$AM219/$AM218-1,$AR219/$AR218-1,$AS219/$AS218-1,$AT219/$AT218-1,$AU219/$AU218-1,$AV219/$AV218-1,$AW219/$AW218-1,$AX219/$AX218-1,$AY219/$AY218-1),"")</f>
        <v/>
      </c>
      <c r="DW218" s="66">
        <f>AVERAGE($CB218,$CC218,$CD218,$CE218,$CF218,$CG218,$CH218,$CI218,$CJ218,$CL218,$CM218,$CN218,$CO218,$CP218,$CQ218,$CR218,$CS218,$CT218)</f>
        <v/>
      </c>
      <c r="DX218" s="66">
        <f>AVERAGE($CB218,$CC218,$CM218,$CE218,$CP218)</f>
        <v/>
      </c>
      <c r="DY218" s="64">
        <f>($DW218-$DW219)*100</f>
        <v/>
      </c>
      <c r="DZ218" s="64">
        <f>($DX218-$DX219)*100</f>
        <v/>
      </c>
      <c r="EA218" s="64">
        <f>($DW218-$D218)*100</f>
        <v/>
      </c>
      <c r="EB218" s="64">
        <f>$Q218-$O218</f>
        <v/>
      </c>
      <c r="EC218" s="67">
        <f>IFERROR($Q218/$P218,"")</f>
        <v/>
      </c>
    </row>
    <row r="219">
      <c r="DG219" s="64">
        <f>($B219-$B220)*100</f>
        <v/>
      </c>
      <c r="DH219" s="64">
        <f>($D219-$D220)*100</f>
        <v/>
      </c>
      <c r="DI219" s="64">
        <f>($E219-$E220)*100</f>
        <v/>
      </c>
      <c r="DJ219" s="64">
        <f>($H219-$H220)*100</f>
        <v/>
      </c>
      <c r="DK219" s="65">
        <f>IFERROR($J219/$J220-1,"")</f>
        <v/>
      </c>
      <c r="DL219" s="64">
        <f>$L219-$L220</f>
        <v/>
      </c>
      <c r="DM219" s="64">
        <f>$K219-$K220</f>
        <v/>
      </c>
      <c r="DN219" s="65">
        <f>IFERROR($N219/$N220-1,"")</f>
        <v/>
      </c>
      <c r="DO219" s="65">
        <f>IFERROR($M219/$M220-1,"")</f>
        <v/>
      </c>
      <c r="DP219" s="65">
        <f>IFERROR($AZ219/$AZ220-1,"")</f>
        <v/>
      </c>
      <c r="DQ219" s="65">
        <f>IFERROR($BA219/$BA220-1,"")</f>
        <v/>
      </c>
      <c r="DR219" s="64">
        <f>$O219-$O220</f>
        <v/>
      </c>
      <c r="DS219" s="64">
        <f>$P219-$P220</f>
        <v/>
      </c>
      <c r="DT219" s="64">
        <f>$Q219-$Q220</f>
        <v/>
      </c>
      <c r="DU219" s="64">
        <f>$S219-$S220</f>
        <v/>
      </c>
      <c r="DV219" s="65">
        <f>IFERROR(AVERAGE($AA220/$AA219-1,$AB220/$AB219-1,$AC220/$AC219-1,$AD220/$AD219-1,$AE220/$AE219-1,$AG220/$AG219-1,$AH220/$AH219-1,$AI220/$AI219-1,$AJ220/$AJ219-1,$AL220/$AL219-1,$AM220/$AM219-1,$AR220/$AR219-1,$AS220/$AS219-1,$AT220/$AT219-1,$AU220/$AU219-1,$AV220/$AV219-1,$AW220/$AW219-1,$AX220/$AX219-1,$AY220/$AY219-1),"")</f>
        <v/>
      </c>
      <c r="DW219" s="66">
        <f>AVERAGE($CB219,$CC219,$CD219,$CE219,$CF219,$CG219,$CH219,$CI219,$CJ219,$CL219,$CM219,$CN219,$CO219,$CP219,$CQ219,$CR219,$CS219,$CT219)</f>
        <v/>
      </c>
      <c r="DX219" s="66">
        <f>AVERAGE($CB219,$CC219,$CM219,$CE219,$CP219)</f>
        <v/>
      </c>
      <c r="DY219" s="64">
        <f>($DW219-$DW220)*100</f>
        <v/>
      </c>
      <c r="DZ219" s="64">
        <f>($DX219-$DX220)*100</f>
        <v/>
      </c>
      <c r="EA219" s="64">
        <f>($DW219-$D219)*100</f>
        <v/>
      </c>
      <c r="EB219" s="64">
        <f>$Q219-$O219</f>
        <v/>
      </c>
      <c r="EC219" s="67">
        <f>IFERROR($Q219/$P219,"")</f>
        <v/>
      </c>
    </row>
    <row r="220">
      <c r="DG220" s="64">
        <f>($B220-$B221)*100</f>
        <v/>
      </c>
      <c r="DH220" s="64">
        <f>($D220-$D221)*100</f>
        <v/>
      </c>
      <c r="DI220" s="64">
        <f>($E220-$E221)*100</f>
        <v/>
      </c>
      <c r="DJ220" s="64">
        <f>($H220-$H221)*100</f>
        <v/>
      </c>
      <c r="DK220" s="65">
        <f>IFERROR($J220/$J221-1,"")</f>
        <v/>
      </c>
      <c r="DL220" s="64">
        <f>$L220-$L221</f>
        <v/>
      </c>
      <c r="DM220" s="64">
        <f>$K220-$K221</f>
        <v/>
      </c>
      <c r="DN220" s="65">
        <f>IFERROR($N220/$N221-1,"")</f>
        <v/>
      </c>
      <c r="DO220" s="65">
        <f>IFERROR($M220/$M221-1,"")</f>
        <v/>
      </c>
      <c r="DP220" s="65">
        <f>IFERROR($AZ220/$AZ221-1,"")</f>
        <v/>
      </c>
      <c r="DQ220" s="65">
        <f>IFERROR($BA220/$BA221-1,"")</f>
        <v/>
      </c>
      <c r="DR220" s="64">
        <f>$O220-$O221</f>
        <v/>
      </c>
      <c r="DS220" s="64">
        <f>$P220-$P221</f>
        <v/>
      </c>
      <c r="DT220" s="64">
        <f>$Q220-$Q221</f>
        <v/>
      </c>
      <c r="DU220" s="64">
        <f>$S220-$S221</f>
        <v/>
      </c>
      <c r="DV220" s="65">
        <f>IFERROR(AVERAGE($AA221/$AA220-1,$AB221/$AB220-1,$AC221/$AC220-1,$AD221/$AD220-1,$AE221/$AE220-1,$AG221/$AG220-1,$AH221/$AH220-1,$AI221/$AI220-1,$AJ221/$AJ220-1,$AL221/$AL220-1,$AM221/$AM220-1,$AR221/$AR220-1,$AS221/$AS220-1,$AT221/$AT220-1,$AU221/$AU220-1,$AV221/$AV220-1,$AW221/$AW220-1,$AX221/$AX220-1,$AY221/$AY220-1),"")</f>
        <v/>
      </c>
      <c r="DW220" s="66">
        <f>AVERAGE($CB220,$CC220,$CD220,$CE220,$CF220,$CG220,$CH220,$CI220,$CJ220,$CL220,$CM220,$CN220,$CO220,$CP220,$CQ220,$CR220,$CS220,$CT220)</f>
        <v/>
      </c>
      <c r="DX220" s="66">
        <f>AVERAGE($CB220,$CC220,$CM220,$CE220,$CP220)</f>
        <v/>
      </c>
      <c r="DY220" s="64">
        <f>($DW220-$DW221)*100</f>
        <v/>
      </c>
      <c r="DZ220" s="64">
        <f>($DX220-$DX221)*100</f>
        <v/>
      </c>
      <c r="EA220" s="64">
        <f>($DW220-$D220)*100</f>
        <v/>
      </c>
      <c r="EB220" s="64">
        <f>$Q220-$O220</f>
        <v/>
      </c>
      <c r="EC220" s="67">
        <f>IFERROR($Q220/$P220,"")</f>
        <v/>
      </c>
    </row>
    <row r="221">
      <c r="DG221" s="64">
        <f>($B221-$B222)*100</f>
        <v/>
      </c>
      <c r="DH221" s="64">
        <f>($D221-$D222)*100</f>
        <v/>
      </c>
      <c r="DI221" s="64">
        <f>($E221-$E222)*100</f>
        <v/>
      </c>
      <c r="DJ221" s="64">
        <f>($H221-$H222)*100</f>
        <v/>
      </c>
      <c r="DK221" s="65">
        <f>IFERROR($J221/$J222-1,"")</f>
        <v/>
      </c>
      <c r="DL221" s="64">
        <f>$L221-$L222</f>
        <v/>
      </c>
      <c r="DM221" s="64">
        <f>$K221-$K222</f>
        <v/>
      </c>
      <c r="DN221" s="65">
        <f>IFERROR($N221/$N222-1,"")</f>
        <v/>
      </c>
      <c r="DO221" s="65">
        <f>IFERROR($M221/$M222-1,"")</f>
        <v/>
      </c>
      <c r="DP221" s="65">
        <f>IFERROR($AZ221/$AZ222-1,"")</f>
        <v/>
      </c>
      <c r="DQ221" s="65">
        <f>IFERROR($BA221/$BA222-1,"")</f>
        <v/>
      </c>
      <c r="DR221" s="64">
        <f>$O221-$O222</f>
        <v/>
      </c>
      <c r="DS221" s="64">
        <f>$P221-$P222</f>
        <v/>
      </c>
      <c r="DT221" s="64">
        <f>$Q221-$Q222</f>
        <v/>
      </c>
      <c r="DU221" s="64">
        <f>$S221-$S222</f>
        <v/>
      </c>
      <c r="DV221" s="65">
        <f>IFERROR(AVERAGE($AA222/$AA221-1,$AB222/$AB221-1,$AC222/$AC221-1,$AD222/$AD221-1,$AE222/$AE221-1,$AG222/$AG221-1,$AH222/$AH221-1,$AI222/$AI221-1,$AJ222/$AJ221-1,$AL222/$AL221-1,$AM222/$AM221-1,$AR222/$AR221-1,$AS222/$AS221-1,$AT222/$AT221-1,$AU222/$AU221-1,$AV222/$AV221-1,$AW222/$AW221-1,$AX222/$AX221-1,$AY222/$AY221-1),"")</f>
        <v/>
      </c>
      <c r="DW221" s="66">
        <f>AVERAGE($CB221,$CC221,$CD221,$CE221,$CF221,$CG221,$CH221,$CI221,$CJ221,$CL221,$CM221,$CN221,$CO221,$CP221,$CQ221,$CR221,$CS221,$CT221)</f>
        <v/>
      </c>
      <c r="DX221" s="66">
        <f>AVERAGE($CB221,$CC221,$CM221,$CE221,$CP221)</f>
        <v/>
      </c>
      <c r="DY221" s="64">
        <f>($DW221-$DW222)*100</f>
        <v/>
      </c>
      <c r="DZ221" s="64">
        <f>($DX221-$DX222)*100</f>
        <v/>
      </c>
      <c r="EA221" s="64">
        <f>($DW221-$D221)*100</f>
        <v/>
      </c>
      <c r="EB221" s="64">
        <f>$Q221-$O221</f>
        <v/>
      </c>
      <c r="EC221" s="67">
        <f>IFERROR($Q221/$P221,"")</f>
        <v/>
      </c>
    </row>
    <row r="222">
      <c r="DG222" s="64">
        <f>($B222-$B223)*100</f>
        <v/>
      </c>
      <c r="DH222" s="64">
        <f>($D222-$D223)*100</f>
        <v/>
      </c>
      <c r="DI222" s="64">
        <f>($E222-$E223)*100</f>
        <v/>
      </c>
      <c r="DJ222" s="64">
        <f>($H222-$H223)*100</f>
        <v/>
      </c>
      <c r="DK222" s="65">
        <f>IFERROR($J222/$J223-1,"")</f>
        <v/>
      </c>
      <c r="DL222" s="64">
        <f>$L222-$L223</f>
        <v/>
      </c>
      <c r="DM222" s="64">
        <f>$K222-$K223</f>
        <v/>
      </c>
      <c r="DN222" s="65">
        <f>IFERROR($N222/$N223-1,"")</f>
        <v/>
      </c>
      <c r="DO222" s="65">
        <f>IFERROR($M222/$M223-1,"")</f>
        <v/>
      </c>
      <c r="DP222" s="65">
        <f>IFERROR($AZ222/$AZ223-1,"")</f>
        <v/>
      </c>
      <c r="DQ222" s="65">
        <f>IFERROR($BA222/$BA223-1,"")</f>
        <v/>
      </c>
      <c r="DR222" s="64">
        <f>$O222-$O223</f>
        <v/>
      </c>
      <c r="DS222" s="64">
        <f>$P222-$P223</f>
        <v/>
      </c>
      <c r="DT222" s="64">
        <f>$Q222-$Q223</f>
        <v/>
      </c>
      <c r="DU222" s="64">
        <f>$S222-$S223</f>
        <v/>
      </c>
      <c r="DV222" s="65">
        <f>IFERROR(AVERAGE($AA223/$AA222-1,$AB223/$AB222-1,$AC223/$AC222-1,$AD223/$AD222-1,$AE223/$AE222-1,$AG223/$AG222-1,$AH223/$AH222-1,$AI223/$AI222-1,$AJ223/$AJ222-1,$AL223/$AL222-1,$AM223/$AM222-1,$AR223/$AR222-1,$AS223/$AS222-1,$AT223/$AT222-1,$AU223/$AU222-1,$AV223/$AV222-1,$AW223/$AW222-1,$AX223/$AX222-1,$AY223/$AY222-1),"")</f>
        <v/>
      </c>
      <c r="DW222" s="66">
        <f>AVERAGE($CB222,$CC222,$CD222,$CE222,$CF222,$CG222,$CH222,$CI222,$CJ222,$CL222,$CM222,$CN222,$CO222,$CP222,$CQ222,$CR222,$CS222,$CT222)</f>
        <v/>
      </c>
      <c r="DX222" s="66">
        <f>AVERAGE($CB222,$CC222,$CM222,$CE222,$CP222)</f>
        <v/>
      </c>
      <c r="DY222" s="64">
        <f>($DW222-$DW223)*100</f>
        <v/>
      </c>
      <c r="DZ222" s="64">
        <f>($DX222-$DX223)*100</f>
        <v/>
      </c>
      <c r="EA222" s="64">
        <f>($DW222-$D222)*100</f>
        <v/>
      </c>
      <c r="EB222" s="64">
        <f>$Q222-$O222</f>
        <v/>
      </c>
      <c r="EC222" s="67">
        <f>IFERROR($Q222/$P222,"")</f>
        <v/>
      </c>
    </row>
    <row r="223">
      <c r="DG223" s="64">
        <f>($B223-$B224)*100</f>
        <v/>
      </c>
      <c r="DH223" s="64">
        <f>($D223-$D224)*100</f>
        <v/>
      </c>
      <c r="DI223" s="64">
        <f>($E223-$E224)*100</f>
        <v/>
      </c>
      <c r="DJ223" s="64">
        <f>($H223-$H224)*100</f>
        <v/>
      </c>
      <c r="DK223" s="65">
        <f>IFERROR($J223/$J224-1,"")</f>
        <v/>
      </c>
      <c r="DL223" s="64">
        <f>$L223-$L224</f>
        <v/>
      </c>
      <c r="DM223" s="64">
        <f>$K223-$K224</f>
        <v/>
      </c>
      <c r="DN223" s="65">
        <f>IFERROR($N223/$N224-1,"")</f>
        <v/>
      </c>
      <c r="DO223" s="65">
        <f>IFERROR($M223/$M224-1,"")</f>
        <v/>
      </c>
      <c r="DP223" s="65">
        <f>IFERROR($AZ223/$AZ224-1,"")</f>
        <v/>
      </c>
      <c r="DQ223" s="65">
        <f>IFERROR($BA223/$BA224-1,"")</f>
        <v/>
      </c>
      <c r="DR223" s="64">
        <f>$O223-$O224</f>
        <v/>
      </c>
      <c r="DS223" s="64">
        <f>$P223-$P224</f>
        <v/>
      </c>
      <c r="DT223" s="64">
        <f>$Q223-$Q224</f>
        <v/>
      </c>
      <c r="DU223" s="64">
        <f>$S223-$S224</f>
        <v/>
      </c>
      <c r="DV223" s="65">
        <f>IFERROR(AVERAGE($AA224/$AA223-1,$AB224/$AB223-1,$AC224/$AC223-1,$AD224/$AD223-1,$AE224/$AE223-1,$AG224/$AG223-1,$AH224/$AH223-1,$AI224/$AI223-1,$AJ224/$AJ223-1,$AL224/$AL223-1,$AM224/$AM223-1,$AR224/$AR223-1,$AS224/$AS223-1,$AT224/$AT223-1,$AU224/$AU223-1,$AV224/$AV223-1,$AW224/$AW223-1,$AX224/$AX223-1,$AY224/$AY223-1),"")</f>
        <v/>
      </c>
      <c r="DW223" s="66">
        <f>AVERAGE($CB223,$CC223,$CD223,$CE223,$CF223,$CG223,$CH223,$CI223,$CJ223,$CL223,$CM223,$CN223,$CO223,$CP223,$CQ223,$CR223,$CS223,$CT223)</f>
        <v/>
      </c>
      <c r="DX223" s="66">
        <f>AVERAGE($CB223,$CC223,$CM223,$CE223,$CP223)</f>
        <v/>
      </c>
      <c r="DY223" s="64">
        <f>($DW223-$DW224)*100</f>
        <v/>
      </c>
      <c r="DZ223" s="64">
        <f>($DX223-$DX224)*100</f>
        <v/>
      </c>
      <c r="EA223" s="64">
        <f>($DW223-$D223)*100</f>
        <v/>
      </c>
      <c r="EB223" s="64">
        <f>$Q223-$O223</f>
        <v/>
      </c>
      <c r="EC223" s="67">
        <f>IFERROR($Q223/$P223,"")</f>
        <v/>
      </c>
    </row>
    <row r="224">
      <c r="DG224" s="64">
        <f>($B224-$B225)*100</f>
        <v/>
      </c>
      <c r="DH224" s="64">
        <f>($D224-$D225)*100</f>
        <v/>
      </c>
      <c r="DI224" s="64">
        <f>($E224-$E225)*100</f>
        <v/>
      </c>
      <c r="DJ224" s="64">
        <f>($H224-$H225)*100</f>
        <v/>
      </c>
      <c r="DK224" s="65">
        <f>IFERROR($J224/$J225-1,"")</f>
        <v/>
      </c>
      <c r="DL224" s="64">
        <f>$L224-$L225</f>
        <v/>
      </c>
      <c r="DM224" s="64">
        <f>$K224-$K225</f>
        <v/>
      </c>
      <c r="DN224" s="65">
        <f>IFERROR($N224/$N225-1,"")</f>
        <v/>
      </c>
      <c r="DO224" s="65">
        <f>IFERROR($M224/$M225-1,"")</f>
        <v/>
      </c>
      <c r="DP224" s="65">
        <f>IFERROR($AZ224/$AZ225-1,"")</f>
        <v/>
      </c>
      <c r="DQ224" s="65">
        <f>IFERROR($BA224/$BA225-1,"")</f>
        <v/>
      </c>
      <c r="DR224" s="64">
        <f>$O224-$O225</f>
        <v/>
      </c>
      <c r="DS224" s="64">
        <f>$P224-$P225</f>
        <v/>
      </c>
      <c r="DT224" s="64">
        <f>$Q224-$Q225</f>
        <v/>
      </c>
      <c r="DU224" s="64">
        <f>$S224-$S225</f>
        <v/>
      </c>
      <c r="DV224" s="65">
        <f>IFERROR(AVERAGE($AA225/$AA224-1,$AB225/$AB224-1,$AC225/$AC224-1,$AD225/$AD224-1,$AE225/$AE224-1,$AG225/$AG224-1,$AH225/$AH224-1,$AI225/$AI224-1,$AJ225/$AJ224-1,$AL225/$AL224-1,$AM225/$AM224-1,$AR225/$AR224-1,$AS225/$AS224-1,$AT225/$AT224-1,$AU225/$AU224-1,$AV225/$AV224-1,$AW225/$AW224-1,$AX225/$AX224-1,$AY225/$AY224-1),"")</f>
        <v/>
      </c>
      <c r="DW224" s="66">
        <f>AVERAGE($CB224,$CC224,$CD224,$CE224,$CF224,$CG224,$CH224,$CI224,$CJ224,$CL224,$CM224,$CN224,$CO224,$CP224,$CQ224,$CR224,$CS224,$CT224)</f>
        <v/>
      </c>
      <c r="DX224" s="66">
        <f>AVERAGE($CB224,$CC224,$CM224,$CE224,$CP224)</f>
        <v/>
      </c>
      <c r="DY224" s="64">
        <f>($DW224-$DW225)*100</f>
        <v/>
      </c>
      <c r="DZ224" s="64">
        <f>($DX224-$DX225)*100</f>
        <v/>
      </c>
      <c r="EA224" s="64">
        <f>($DW224-$D224)*100</f>
        <v/>
      </c>
      <c r="EB224" s="64">
        <f>$Q224-$O224</f>
        <v/>
      </c>
      <c r="EC224" s="67">
        <f>IFERROR($Q224/$P224,"")</f>
        <v/>
      </c>
    </row>
    <row r="225">
      <c r="DG225" s="64">
        <f>($B225-$B226)*100</f>
        <v/>
      </c>
      <c r="DH225" s="64">
        <f>($D225-$D226)*100</f>
        <v/>
      </c>
      <c r="DI225" s="64">
        <f>($E225-$E226)*100</f>
        <v/>
      </c>
      <c r="DJ225" s="64">
        <f>($H225-$H226)*100</f>
        <v/>
      </c>
      <c r="DK225" s="65">
        <f>IFERROR($J225/$J226-1,"")</f>
        <v/>
      </c>
      <c r="DL225" s="64">
        <f>$L225-$L226</f>
        <v/>
      </c>
      <c r="DM225" s="64">
        <f>$K225-$K226</f>
        <v/>
      </c>
      <c r="DN225" s="65">
        <f>IFERROR($N225/$N226-1,"")</f>
        <v/>
      </c>
      <c r="DO225" s="65">
        <f>IFERROR($M225/$M226-1,"")</f>
        <v/>
      </c>
      <c r="DP225" s="65">
        <f>IFERROR($AZ225/$AZ226-1,"")</f>
        <v/>
      </c>
      <c r="DQ225" s="65">
        <f>IFERROR($BA225/$BA226-1,"")</f>
        <v/>
      </c>
      <c r="DR225" s="64">
        <f>$O225-$O226</f>
        <v/>
      </c>
      <c r="DS225" s="64">
        <f>$P225-$P226</f>
        <v/>
      </c>
      <c r="DT225" s="64">
        <f>$Q225-$Q226</f>
        <v/>
      </c>
      <c r="DU225" s="64">
        <f>$S225-$S226</f>
        <v/>
      </c>
      <c r="DV225" s="65">
        <f>IFERROR(AVERAGE($AA226/$AA225-1,$AB226/$AB225-1,$AC226/$AC225-1,$AD226/$AD225-1,$AE226/$AE225-1,$AG226/$AG225-1,$AH226/$AH225-1,$AI226/$AI225-1,$AJ226/$AJ225-1,$AL226/$AL225-1,$AM226/$AM225-1,$AR226/$AR225-1,$AS226/$AS225-1,$AT226/$AT225-1,$AU226/$AU225-1,$AV226/$AV225-1,$AW226/$AW225-1,$AX226/$AX225-1,$AY226/$AY225-1),"")</f>
        <v/>
      </c>
      <c r="DW225" s="66">
        <f>AVERAGE($CB225,$CC225,$CD225,$CE225,$CF225,$CG225,$CH225,$CI225,$CJ225,$CL225,$CM225,$CN225,$CO225,$CP225,$CQ225,$CR225,$CS225,$CT225)</f>
        <v/>
      </c>
      <c r="DX225" s="66">
        <f>AVERAGE($CB225,$CC225,$CM225,$CE225,$CP225)</f>
        <v/>
      </c>
      <c r="DY225" s="64">
        <f>($DW225-$DW226)*100</f>
        <v/>
      </c>
      <c r="DZ225" s="64">
        <f>($DX225-$DX226)*100</f>
        <v/>
      </c>
      <c r="EA225" s="64">
        <f>($DW225-$D225)*100</f>
        <v/>
      </c>
      <c r="EB225" s="64">
        <f>$Q225-$O225</f>
        <v/>
      </c>
      <c r="EC225" s="67">
        <f>IFERROR($Q225/$P225,"")</f>
        <v/>
      </c>
    </row>
    <row r="226">
      <c r="DG226" s="64">
        <f>($B226-$B227)*100</f>
        <v/>
      </c>
      <c r="DH226" s="64">
        <f>($D226-$D227)*100</f>
        <v/>
      </c>
      <c r="DI226" s="64">
        <f>($E226-$E227)*100</f>
        <v/>
      </c>
      <c r="DJ226" s="64">
        <f>($H226-$H227)*100</f>
        <v/>
      </c>
      <c r="DK226" s="65">
        <f>IFERROR($J226/$J227-1,"")</f>
        <v/>
      </c>
      <c r="DL226" s="64">
        <f>$L226-$L227</f>
        <v/>
      </c>
      <c r="DM226" s="64">
        <f>$K226-$K227</f>
        <v/>
      </c>
      <c r="DN226" s="65">
        <f>IFERROR($N226/$N227-1,"")</f>
        <v/>
      </c>
      <c r="DO226" s="65">
        <f>IFERROR($M226/$M227-1,"")</f>
        <v/>
      </c>
      <c r="DP226" s="65">
        <f>IFERROR($AZ226/$AZ227-1,"")</f>
        <v/>
      </c>
      <c r="DQ226" s="65">
        <f>IFERROR($BA226/$BA227-1,"")</f>
        <v/>
      </c>
      <c r="DR226" s="64">
        <f>$O226-$O227</f>
        <v/>
      </c>
      <c r="DS226" s="64">
        <f>$P226-$P227</f>
        <v/>
      </c>
      <c r="DT226" s="64">
        <f>$Q226-$Q227</f>
        <v/>
      </c>
      <c r="DU226" s="64">
        <f>$S226-$S227</f>
        <v/>
      </c>
      <c r="DV226" s="65">
        <f>IFERROR(AVERAGE($AA227/$AA226-1,$AB227/$AB226-1,$AC227/$AC226-1,$AD227/$AD226-1,$AE227/$AE226-1,$AG227/$AG226-1,$AH227/$AH226-1,$AI227/$AI226-1,$AJ227/$AJ226-1,$AL227/$AL226-1,$AM227/$AM226-1,$AR227/$AR226-1,$AS227/$AS226-1,$AT227/$AT226-1,$AU227/$AU226-1,$AV227/$AV226-1,$AW227/$AW226-1,$AX227/$AX226-1,$AY227/$AY226-1),"")</f>
        <v/>
      </c>
      <c r="DW226" s="66">
        <f>AVERAGE($CB226,$CC226,$CD226,$CE226,$CF226,$CG226,$CH226,$CI226,$CJ226,$CL226,$CM226,$CN226,$CO226,$CP226,$CQ226,$CR226,$CS226,$CT226)</f>
        <v/>
      </c>
      <c r="DX226" s="66">
        <f>AVERAGE($CB226,$CC226,$CM226,$CE226,$CP226)</f>
        <v/>
      </c>
      <c r="DY226" s="64">
        <f>($DW226-$DW227)*100</f>
        <v/>
      </c>
      <c r="DZ226" s="64">
        <f>($DX226-$DX227)*100</f>
        <v/>
      </c>
      <c r="EA226" s="64">
        <f>($DW226-$D226)*100</f>
        <v/>
      </c>
      <c r="EB226" s="64">
        <f>$Q226-$O226</f>
        <v/>
      </c>
      <c r="EC226" s="67">
        <f>IFERROR($Q226/$P226,"")</f>
        <v/>
      </c>
    </row>
    <row r="227">
      <c r="DG227" s="64">
        <f>($B227-$B228)*100</f>
        <v/>
      </c>
      <c r="DH227" s="64">
        <f>($D227-$D228)*100</f>
        <v/>
      </c>
      <c r="DI227" s="64">
        <f>($E227-$E228)*100</f>
        <v/>
      </c>
      <c r="DJ227" s="64">
        <f>($H227-$H228)*100</f>
        <v/>
      </c>
      <c r="DK227" s="65">
        <f>IFERROR($J227/$J228-1,"")</f>
        <v/>
      </c>
      <c r="DL227" s="64">
        <f>$L227-$L228</f>
        <v/>
      </c>
      <c r="DM227" s="64">
        <f>$K227-$K228</f>
        <v/>
      </c>
      <c r="DN227" s="65">
        <f>IFERROR($N227/$N228-1,"")</f>
        <v/>
      </c>
      <c r="DO227" s="65">
        <f>IFERROR($M227/$M228-1,"")</f>
        <v/>
      </c>
      <c r="DP227" s="65">
        <f>IFERROR($AZ227/$AZ228-1,"")</f>
        <v/>
      </c>
      <c r="DQ227" s="65">
        <f>IFERROR($BA227/$BA228-1,"")</f>
        <v/>
      </c>
      <c r="DR227" s="64">
        <f>$O227-$O228</f>
        <v/>
      </c>
      <c r="DS227" s="64">
        <f>$P227-$P228</f>
        <v/>
      </c>
      <c r="DT227" s="64">
        <f>$Q227-$Q228</f>
        <v/>
      </c>
      <c r="DU227" s="64">
        <f>$S227-$S228</f>
        <v/>
      </c>
      <c r="DV227" s="65">
        <f>IFERROR(AVERAGE($AA228/$AA227-1,$AB228/$AB227-1,$AC228/$AC227-1,$AD228/$AD227-1,$AE228/$AE227-1,$AG228/$AG227-1,$AH228/$AH227-1,$AI228/$AI227-1,$AJ228/$AJ227-1,$AL228/$AL227-1,$AM228/$AM227-1,$AR228/$AR227-1,$AS228/$AS227-1,$AT228/$AT227-1,$AU228/$AU227-1,$AV228/$AV227-1,$AW228/$AW227-1,$AX228/$AX227-1,$AY228/$AY227-1),"")</f>
        <v/>
      </c>
      <c r="DW227" s="66">
        <f>AVERAGE($CB227,$CC227,$CD227,$CE227,$CF227,$CG227,$CH227,$CI227,$CJ227,$CL227,$CM227,$CN227,$CO227,$CP227,$CQ227,$CR227,$CS227,$CT227)</f>
        <v/>
      </c>
      <c r="DX227" s="66">
        <f>AVERAGE($CB227,$CC227,$CM227,$CE227,$CP227)</f>
        <v/>
      </c>
      <c r="DY227" s="64">
        <f>($DW227-$DW228)*100</f>
        <v/>
      </c>
      <c r="DZ227" s="64">
        <f>($DX227-$DX228)*100</f>
        <v/>
      </c>
      <c r="EA227" s="64">
        <f>($DW227-$D227)*100</f>
        <v/>
      </c>
      <c r="EB227" s="64">
        <f>$Q227-$O227</f>
        <v/>
      </c>
      <c r="EC227" s="67">
        <f>IFERROR($Q227/$P227,"")</f>
        <v/>
      </c>
    </row>
    <row r="228">
      <c r="DG228" s="64">
        <f>($B228-$B229)*100</f>
        <v/>
      </c>
      <c r="DH228" s="64">
        <f>($D228-$D229)*100</f>
        <v/>
      </c>
      <c r="DI228" s="64">
        <f>($E228-$E229)*100</f>
        <v/>
      </c>
      <c r="DJ228" s="64">
        <f>($H228-$H229)*100</f>
        <v/>
      </c>
      <c r="DK228" s="65">
        <f>IFERROR($J228/$J229-1,"")</f>
        <v/>
      </c>
      <c r="DL228" s="64">
        <f>$L228-$L229</f>
        <v/>
      </c>
      <c r="DM228" s="64">
        <f>$K228-$K229</f>
        <v/>
      </c>
      <c r="DN228" s="65">
        <f>IFERROR($N228/$N229-1,"")</f>
        <v/>
      </c>
      <c r="DO228" s="65">
        <f>IFERROR($M228/$M229-1,"")</f>
        <v/>
      </c>
      <c r="DP228" s="65">
        <f>IFERROR($AZ228/$AZ229-1,"")</f>
        <v/>
      </c>
      <c r="DQ228" s="65">
        <f>IFERROR($BA228/$BA229-1,"")</f>
        <v/>
      </c>
      <c r="DR228" s="64">
        <f>$O228-$O229</f>
        <v/>
      </c>
      <c r="DS228" s="64">
        <f>$P228-$P229</f>
        <v/>
      </c>
      <c r="DT228" s="64">
        <f>$Q228-$Q229</f>
        <v/>
      </c>
      <c r="DU228" s="64">
        <f>$S228-$S229</f>
        <v/>
      </c>
      <c r="DV228" s="65">
        <f>IFERROR(AVERAGE($AA229/$AA228-1,$AB229/$AB228-1,$AC229/$AC228-1,$AD229/$AD228-1,$AE229/$AE228-1,$AG229/$AG228-1,$AH229/$AH228-1,$AI229/$AI228-1,$AJ229/$AJ228-1,$AL229/$AL228-1,$AM229/$AM228-1,$AR229/$AR228-1,$AS229/$AS228-1,$AT229/$AT228-1,$AU229/$AU228-1,$AV229/$AV228-1,$AW229/$AW228-1,$AX229/$AX228-1,$AY229/$AY228-1),"")</f>
        <v/>
      </c>
      <c r="DW228" s="66">
        <f>AVERAGE($CB228,$CC228,$CD228,$CE228,$CF228,$CG228,$CH228,$CI228,$CJ228,$CL228,$CM228,$CN228,$CO228,$CP228,$CQ228,$CR228,$CS228,$CT228)</f>
        <v/>
      </c>
      <c r="DX228" s="66">
        <f>AVERAGE($CB228,$CC228,$CM228,$CE228,$CP228)</f>
        <v/>
      </c>
      <c r="DY228" s="64">
        <f>($DW228-$DW229)*100</f>
        <v/>
      </c>
      <c r="DZ228" s="64">
        <f>($DX228-$DX229)*100</f>
        <v/>
      </c>
      <c r="EA228" s="64">
        <f>($DW228-$D228)*100</f>
        <v/>
      </c>
      <c r="EB228" s="64">
        <f>$Q228-$O228</f>
        <v/>
      </c>
      <c r="EC228" s="67">
        <f>IFERROR($Q228/$P228,"")</f>
        <v/>
      </c>
    </row>
    <row r="229">
      <c r="DG229" s="64">
        <f>($B229-$B230)*100</f>
        <v/>
      </c>
      <c r="DH229" s="64">
        <f>($D229-$D230)*100</f>
        <v/>
      </c>
      <c r="DI229" s="64">
        <f>($E229-$E230)*100</f>
        <v/>
      </c>
      <c r="DJ229" s="64">
        <f>($H229-$H230)*100</f>
        <v/>
      </c>
      <c r="DK229" s="65">
        <f>IFERROR($J229/$J230-1,"")</f>
        <v/>
      </c>
      <c r="DL229" s="64">
        <f>$L229-$L230</f>
        <v/>
      </c>
      <c r="DM229" s="64">
        <f>$K229-$K230</f>
        <v/>
      </c>
      <c r="DN229" s="65">
        <f>IFERROR($N229/$N230-1,"")</f>
        <v/>
      </c>
      <c r="DO229" s="65">
        <f>IFERROR($M229/$M230-1,"")</f>
        <v/>
      </c>
      <c r="DP229" s="65">
        <f>IFERROR($AZ229/$AZ230-1,"")</f>
        <v/>
      </c>
      <c r="DQ229" s="65">
        <f>IFERROR($BA229/$BA230-1,"")</f>
        <v/>
      </c>
      <c r="DR229" s="64">
        <f>$O229-$O230</f>
        <v/>
      </c>
      <c r="DS229" s="64">
        <f>$P229-$P230</f>
        <v/>
      </c>
      <c r="DT229" s="64">
        <f>$Q229-$Q230</f>
        <v/>
      </c>
      <c r="DU229" s="64">
        <f>$S229-$S230</f>
        <v/>
      </c>
      <c r="DV229" s="65">
        <f>IFERROR(AVERAGE($AA230/$AA229-1,$AB230/$AB229-1,$AC230/$AC229-1,$AD230/$AD229-1,$AE230/$AE229-1,$AG230/$AG229-1,$AH230/$AH229-1,$AI230/$AI229-1,$AJ230/$AJ229-1,$AL230/$AL229-1,$AM230/$AM229-1,$AR230/$AR229-1,$AS230/$AS229-1,$AT230/$AT229-1,$AU230/$AU229-1,$AV230/$AV229-1,$AW230/$AW229-1,$AX230/$AX229-1,$AY230/$AY229-1),"")</f>
        <v/>
      </c>
      <c r="DW229" s="66">
        <f>AVERAGE($CB229,$CC229,$CD229,$CE229,$CF229,$CG229,$CH229,$CI229,$CJ229,$CL229,$CM229,$CN229,$CO229,$CP229,$CQ229,$CR229,$CS229,$CT229)</f>
        <v/>
      </c>
      <c r="DX229" s="66">
        <f>AVERAGE($CB229,$CC229,$CM229,$CE229,$CP229)</f>
        <v/>
      </c>
      <c r="DY229" s="64">
        <f>($DW229-$DW230)*100</f>
        <v/>
      </c>
      <c r="DZ229" s="64">
        <f>($DX229-$DX230)*100</f>
        <v/>
      </c>
      <c r="EA229" s="64">
        <f>($DW229-$D229)*100</f>
        <v/>
      </c>
      <c r="EB229" s="64">
        <f>$Q229-$O229</f>
        <v/>
      </c>
      <c r="EC229" s="67">
        <f>IFERROR($Q229/$P229,"")</f>
        <v/>
      </c>
    </row>
    <row r="230">
      <c r="DG230" s="64">
        <f>($B230-$B231)*100</f>
        <v/>
      </c>
      <c r="DH230" s="64">
        <f>($D230-$D231)*100</f>
        <v/>
      </c>
      <c r="DI230" s="64">
        <f>($E230-$E231)*100</f>
        <v/>
      </c>
      <c r="DJ230" s="64">
        <f>($H230-$H231)*100</f>
        <v/>
      </c>
      <c r="DK230" s="65">
        <f>IFERROR($J230/$J231-1,"")</f>
        <v/>
      </c>
      <c r="DL230" s="64">
        <f>$L230-$L231</f>
        <v/>
      </c>
      <c r="DM230" s="64">
        <f>$K230-$K231</f>
        <v/>
      </c>
      <c r="DN230" s="65">
        <f>IFERROR($N230/$N231-1,"")</f>
        <v/>
      </c>
      <c r="DO230" s="65">
        <f>IFERROR($M230/$M231-1,"")</f>
        <v/>
      </c>
      <c r="DP230" s="65">
        <f>IFERROR($AZ230/$AZ231-1,"")</f>
        <v/>
      </c>
      <c r="DQ230" s="65">
        <f>IFERROR($BA230/$BA231-1,"")</f>
        <v/>
      </c>
      <c r="DR230" s="64">
        <f>$O230-$O231</f>
        <v/>
      </c>
      <c r="DS230" s="64">
        <f>$P230-$P231</f>
        <v/>
      </c>
      <c r="DT230" s="64">
        <f>$Q230-$Q231</f>
        <v/>
      </c>
      <c r="DU230" s="64">
        <f>$S230-$S231</f>
        <v/>
      </c>
      <c r="DV230" s="65">
        <f>IFERROR(AVERAGE($AA231/$AA230-1,$AB231/$AB230-1,$AC231/$AC230-1,$AD231/$AD230-1,$AE231/$AE230-1,$AG231/$AG230-1,$AH231/$AH230-1,$AI231/$AI230-1,$AJ231/$AJ230-1,$AL231/$AL230-1,$AM231/$AM230-1,$AR231/$AR230-1,$AS231/$AS230-1,$AT231/$AT230-1,$AU231/$AU230-1,$AV231/$AV230-1,$AW231/$AW230-1,$AX231/$AX230-1,$AY231/$AY230-1),"")</f>
        <v/>
      </c>
      <c r="DW230" s="66">
        <f>AVERAGE($CB230,$CC230,$CD230,$CE230,$CF230,$CG230,$CH230,$CI230,$CJ230,$CL230,$CM230,$CN230,$CO230,$CP230,$CQ230,$CR230,$CS230,$CT230)</f>
        <v/>
      </c>
      <c r="DX230" s="66">
        <f>AVERAGE($CB230,$CC230,$CM230,$CE230,$CP230)</f>
        <v/>
      </c>
      <c r="DY230" s="64">
        <f>($DW230-$DW231)*100</f>
        <v/>
      </c>
      <c r="DZ230" s="64">
        <f>($DX230-$DX231)*100</f>
        <v/>
      </c>
      <c r="EA230" s="64">
        <f>($DW230-$D230)*100</f>
        <v/>
      </c>
      <c r="EB230" s="64">
        <f>$Q230-$O230</f>
        <v/>
      </c>
      <c r="EC230" s="67">
        <f>IFERROR($Q230/$P230,"")</f>
        <v/>
      </c>
    </row>
    <row r="231">
      <c r="DG231" s="64">
        <f>($B231-$B232)*100</f>
        <v/>
      </c>
      <c r="DH231" s="64">
        <f>($D231-$D232)*100</f>
        <v/>
      </c>
      <c r="DI231" s="64">
        <f>($E231-$E232)*100</f>
        <v/>
      </c>
      <c r="DJ231" s="64">
        <f>($H231-$H232)*100</f>
        <v/>
      </c>
      <c r="DK231" s="65">
        <f>IFERROR($J231/$J232-1,"")</f>
        <v/>
      </c>
      <c r="DL231" s="64">
        <f>$L231-$L232</f>
        <v/>
      </c>
      <c r="DM231" s="64">
        <f>$K231-$K232</f>
        <v/>
      </c>
      <c r="DN231" s="65">
        <f>IFERROR($N231/$N232-1,"")</f>
        <v/>
      </c>
      <c r="DO231" s="65">
        <f>IFERROR($M231/$M232-1,"")</f>
        <v/>
      </c>
      <c r="DP231" s="65">
        <f>IFERROR($AZ231/$AZ232-1,"")</f>
        <v/>
      </c>
      <c r="DQ231" s="65">
        <f>IFERROR($BA231/$BA232-1,"")</f>
        <v/>
      </c>
      <c r="DR231" s="64">
        <f>$O231-$O232</f>
        <v/>
      </c>
      <c r="DS231" s="64">
        <f>$P231-$P232</f>
        <v/>
      </c>
      <c r="DT231" s="64">
        <f>$Q231-$Q232</f>
        <v/>
      </c>
      <c r="DU231" s="64">
        <f>$S231-$S232</f>
        <v/>
      </c>
      <c r="DV231" s="65">
        <f>IFERROR(AVERAGE($AA232/$AA231-1,$AB232/$AB231-1,$AC232/$AC231-1,$AD232/$AD231-1,$AE232/$AE231-1,$AG232/$AG231-1,$AH232/$AH231-1,$AI232/$AI231-1,$AJ232/$AJ231-1,$AL232/$AL231-1,$AM232/$AM231-1,$AR232/$AR231-1,$AS232/$AS231-1,$AT232/$AT231-1,$AU232/$AU231-1,$AV232/$AV231-1,$AW232/$AW231-1,$AX232/$AX231-1,$AY232/$AY231-1),"")</f>
        <v/>
      </c>
      <c r="DW231" s="66">
        <f>AVERAGE($CB231,$CC231,$CD231,$CE231,$CF231,$CG231,$CH231,$CI231,$CJ231,$CL231,$CM231,$CN231,$CO231,$CP231,$CQ231,$CR231,$CS231,$CT231)</f>
        <v/>
      </c>
      <c r="DX231" s="66">
        <f>AVERAGE($CB231,$CC231,$CM231,$CE231,$CP231)</f>
        <v/>
      </c>
      <c r="DY231" s="64">
        <f>($DW231-$DW232)*100</f>
        <v/>
      </c>
      <c r="DZ231" s="64">
        <f>($DX231-$DX232)*100</f>
        <v/>
      </c>
      <c r="EA231" s="64">
        <f>($DW231-$D231)*100</f>
        <v/>
      </c>
      <c r="EB231" s="64">
        <f>$Q231-$O231</f>
        <v/>
      </c>
      <c r="EC231" s="67">
        <f>IFERROR($Q231/$P231,"")</f>
        <v/>
      </c>
    </row>
    <row r="232">
      <c r="DG232" s="64">
        <f>($B232-$B233)*100</f>
        <v/>
      </c>
      <c r="DH232" s="64">
        <f>($D232-$D233)*100</f>
        <v/>
      </c>
      <c r="DI232" s="64">
        <f>($E232-$E233)*100</f>
        <v/>
      </c>
      <c r="DJ232" s="64">
        <f>($H232-$H233)*100</f>
        <v/>
      </c>
      <c r="DK232" s="65">
        <f>IFERROR($J232/$J233-1,"")</f>
        <v/>
      </c>
      <c r="DL232" s="64">
        <f>$L232-$L233</f>
        <v/>
      </c>
      <c r="DM232" s="64">
        <f>$K232-$K233</f>
        <v/>
      </c>
      <c r="DN232" s="65">
        <f>IFERROR($N232/$N233-1,"")</f>
        <v/>
      </c>
      <c r="DO232" s="65">
        <f>IFERROR($M232/$M233-1,"")</f>
        <v/>
      </c>
      <c r="DP232" s="65">
        <f>IFERROR($AZ232/$AZ233-1,"")</f>
        <v/>
      </c>
      <c r="DQ232" s="65">
        <f>IFERROR($BA232/$BA233-1,"")</f>
        <v/>
      </c>
      <c r="DR232" s="64">
        <f>$O232-$O233</f>
        <v/>
      </c>
      <c r="DS232" s="64">
        <f>$P232-$P233</f>
        <v/>
      </c>
      <c r="DT232" s="64">
        <f>$Q232-$Q233</f>
        <v/>
      </c>
      <c r="DU232" s="64">
        <f>$S232-$S233</f>
        <v/>
      </c>
      <c r="DV232" s="65">
        <f>IFERROR(AVERAGE($AA233/$AA232-1,$AB233/$AB232-1,$AC233/$AC232-1,$AD233/$AD232-1,$AE233/$AE232-1,$AG233/$AG232-1,$AH233/$AH232-1,$AI233/$AI232-1,$AJ233/$AJ232-1,$AL233/$AL232-1,$AM233/$AM232-1,$AR233/$AR232-1,$AS233/$AS232-1,$AT233/$AT232-1,$AU233/$AU232-1,$AV233/$AV232-1,$AW233/$AW232-1,$AX233/$AX232-1,$AY233/$AY232-1),"")</f>
        <v/>
      </c>
      <c r="DW232" s="66">
        <f>AVERAGE($CB232,$CC232,$CD232,$CE232,$CF232,$CG232,$CH232,$CI232,$CJ232,$CL232,$CM232,$CN232,$CO232,$CP232,$CQ232,$CR232,$CS232,$CT232)</f>
        <v/>
      </c>
      <c r="DX232" s="66">
        <f>AVERAGE($CB232,$CC232,$CM232,$CE232,$CP232)</f>
        <v/>
      </c>
      <c r="DY232" s="64">
        <f>($DW232-$DW233)*100</f>
        <v/>
      </c>
      <c r="DZ232" s="64">
        <f>($DX232-$DX233)*100</f>
        <v/>
      </c>
      <c r="EA232" s="64">
        <f>($DW232-$D232)*100</f>
        <v/>
      </c>
      <c r="EB232" s="64">
        <f>$Q232-$O232</f>
        <v/>
      </c>
      <c r="EC232" s="67">
        <f>IFERROR($Q232/$P232,"")</f>
        <v/>
      </c>
    </row>
    <row r="233">
      <c r="DG233" s="64">
        <f>($B233-$B234)*100</f>
        <v/>
      </c>
      <c r="DH233" s="64">
        <f>($D233-$D234)*100</f>
        <v/>
      </c>
      <c r="DI233" s="64">
        <f>($E233-$E234)*100</f>
        <v/>
      </c>
      <c r="DJ233" s="64">
        <f>($H233-$H234)*100</f>
        <v/>
      </c>
      <c r="DK233" s="65">
        <f>IFERROR($J233/$J234-1,"")</f>
        <v/>
      </c>
      <c r="DL233" s="64">
        <f>$L233-$L234</f>
        <v/>
      </c>
      <c r="DM233" s="64">
        <f>$K233-$K234</f>
        <v/>
      </c>
      <c r="DN233" s="65">
        <f>IFERROR($N233/$N234-1,"")</f>
        <v/>
      </c>
      <c r="DO233" s="65">
        <f>IFERROR($M233/$M234-1,"")</f>
        <v/>
      </c>
      <c r="DP233" s="65">
        <f>IFERROR($AZ233/$AZ234-1,"")</f>
        <v/>
      </c>
      <c r="DQ233" s="65">
        <f>IFERROR($BA233/$BA234-1,"")</f>
        <v/>
      </c>
      <c r="DR233" s="64">
        <f>$O233-$O234</f>
        <v/>
      </c>
      <c r="DS233" s="64">
        <f>$P233-$P234</f>
        <v/>
      </c>
      <c r="DT233" s="64">
        <f>$Q233-$Q234</f>
        <v/>
      </c>
      <c r="DU233" s="64">
        <f>$S233-$S234</f>
        <v/>
      </c>
      <c r="DV233" s="65">
        <f>IFERROR(AVERAGE($AA234/$AA233-1,$AB234/$AB233-1,$AC234/$AC233-1,$AD234/$AD233-1,$AE234/$AE233-1,$AG234/$AG233-1,$AH234/$AH233-1,$AI234/$AI233-1,$AJ234/$AJ233-1,$AL234/$AL233-1,$AM234/$AM233-1,$AR234/$AR233-1,$AS234/$AS233-1,$AT234/$AT233-1,$AU234/$AU233-1,$AV234/$AV233-1,$AW234/$AW233-1,$AX234/$AX233-1,$AY234/$AY233-1),"")</f>
        <v/>
      </c>
      <c r="DW233" s="66">
        <f>AVERAGE($CB233,$CC233,$CD233,$CE233,$CF233,$CG233,$CH233,$CI233,$CJ233,$CL233,$CM233,$CN233,$CO233,$CP233,$CQ233,$CR233,$CS233,$CT233)</f>
        <v/>
      </c>
      <c r="DX233" s="66">
        <f>AVERAGE($CB233,$CC233,$CM233,$CE233,$CP233)</f>
        <v/>
      </c>
      <c r="DY233" s="64">
        <f>($DW233-$DW234)*100</f>
        <v/>
      </c>
      <c r="DZ233" s="64">
        <f>($DX233-$DX234)*100</f>
        <v/>
      </c>
      <c r="EA233" s="64">
        <f>($DW233-$D233)*100</f>
        <v/>
      </c>
      <c r="EB233" s="64">
        <f>$Q233-$O233</f>
        <v/>
      </c>
      <c r="EC233" s="67">
        <f>IFERROR($Q233/$P233,"")</f>
        <v/>
      </c>
    </row>
    <row r="234">
      <c r="DG234" s="64">
        <f>($B234-$B235)*100</f>
        <v/>
      </c>
      <c r="DH234" s="64">
        <f>($D234-$D235)*100</f>
        <v/>
      </c>
      <c r="DI234" s="64">
        <f>($E234-$E235)*100</f>
        <v/>
      </c>
      <c r="DJ234" s="64">
        <f>($H234-$H235)*100</f>
        <v/>
      </c>
      <c r="DK234" s="65">
        <f>IFERROR($J234/$J235-1,"")</f>
        <v/>
      </c>
      <c r="DL234" s="64">
        <f>$L234-$L235</f>
        <v/>
      </c>
      <c r="DM234" s="64">
        <f>$K234-$K235</f>
        <v/>
      </c>
      <c r="DN234" s="65">
        <f>IFERROR($N234/$N235-1,"")</f>
        <v/>
      </c>
      <c r="DO234" s="65">
        <f>IFERROR($M234/$M235-1,"")</f>
        <v/>
      </c>
      <c r="DP234" s="65">
        <f>IFERROR($AZ234/$AZ235-1,"")</f>
        <v/>
      </c>
      <c r="DQ234" s="65">
        <f>IFERROR($BA234/$BA235-1,"")</f>
        <v/>
      </c>
      <c r="DR234" s="64">
        <f>$O234-$O235</f>
        <v/>
      </c>
      <c r="DS234" s="64">
        <f>$P234-$P235</f>
        <v/>
      </c>
      <c r="DT234" s="64">
        <f>$Q234-$Q235</f>
        <v/>
      </c>
      <c r="DU234" s="64">
        <f>$S234-$S235</f>
        <v/>
      </c>
      <c r="DV234" s="65">
        <f>IFERROR(AVERAGE($AA235/$AA234-1,$AB235/$AB234-1,$AC235/$AC234-1,$AD235/$AD234-1,$AE235/$AE234-1,$AG235/$AG234-1,$AH235/$AH234-1,$AI235/$AI234-1,$AJ235/$AJ234-1,$AL235/$AL234-1,$AM235/$AM234-1,$AR235/$AR234-1,$AS235/$AS234-1,$AT235/$AT234-1,$AU235/$AU234-1,$AV235/$AV234-1,$AW235/$AW234-1,$AX235/$AX234-1,$AY235/$AY234-1),"")</f>
        <v/>
      </c>
      <c r="DW234" s="66">
        <f>AVERAGE($CB234,$CC234,$CD234,$CE234,$CF234,$CG234,$CH234,$CI234,$CJ234,$CL234,$CM234,$CN234,$CO234,$CP234,$CQ234,$CR234,$CS234,$CT234)</f>
        <v/>
      </c>
      <c r="DX234" s="66">
        <f>AVERAGE($CB234,$CC234,$CM234,$CE234,$CP234)</f>
        <v/>
      </c>
      <c r="DY234" s="64">
        <f>($DW234-$DW235)*100</f>
        <v/>
      </c>
      <c r="DZ234" s="64">
        <f>($DX234-$DX235)*100</f>
        <v/>
      </c>
      <c r="EA234" s="64">
        <f>($DW234-$D234)*100</f>
        <v/>
      </c>
      <c r="EB234" s="64">
        <f>$Q234-$O234</f>
        <v/>
      </c>
      <c r="EC234" s="67">
        <f>IFERROR($Q234/$P234,"")</f>
        <v/>
      </c>
    </row>
    <row r="235">
      <c r="DG235" s="64">
        <f>($B235-$B236)*100</f>
        <v/>
      </c>
      <c r="DH235" s="64">
        <f>($D235-$D236)*100</f>
        <v/>
      </c>
      <c r="DI235" s="64">
        <f>($E235-$E236)*100</f>
        <v/>
      </c>
      <c r="DJ235" s="64">
        <f>($H235-$H236)*100</f>
        <v/>
      </c>
      <c r="DK235" s="65">
        <f>IFERROR($J235/$J236-1,"")</f>
        <v/>
      </c>
      <c r="DL235" s="64">
        <f>$L235-$L236</f>
        <v/>
      </c>
      <c r="DM235" s="64">
        <f>$K235-$K236</f>
        <v/>
      </c>
      <c r="DN235" s="65">
        <f>IFERROR($N235/$N236-1,"")</f>
        <v/>
      </c>
      <c r="DO235" s="65">
        <f>IFERROR($M235/$M236-1,"")</f>
        <v/>
      </c>
      <c r="DP235" s="65">
        <f>IFERROR($AZ235/$AZ236-1,"")</f>
        <v/>
      </c>
      <c r="DQ235" s="65">
        <f>IFERROR($BA235/$BA236-1,"")</f>
        <v/>
      </c>
      <c r="DR235" s="64">
        <f>$O235-$O236</f>
        <v/>
      </c>
      <c r="DS235" s="64">
        <f>$P235-$P236</f>
        <v/>
      </c>
      <c r="DT235" s="64">
        <f>$Q235-$Q236</f>
        <v/>
      </c>
      <c r="DU235" s="64">
        <f>$S235-$S236</f>
        <v/>
      </c>
      <c r="DV235" s="65">
        <f>IFERROR(AVERAGE($AA236/$AA235-1,$AB236/$AB235-1,$AC236/$AC235-1,$AD236/$AD235-1,$AE236/$AE235-1,$AG236/$AG235-1,$AH236/$AH235-1,$AI236/$AI235-1,$AJ236/$AJ235-1,$AL236/$AL235-1,$AM236/$AM235-1,$AR236/$AR235-1,$AS236/$AS235-1,$AT236/$AT235-1,$AU236/$AU235-1,$AV236/$AV235-1,$AW236/$AW235-1,$AX236/$AX235-1,$AY236/$AY235-1),"")</f>
        <v/>
      </c>
      <c r="DW235" s="66">
        <f>AVERAGE($CB235,$CC235,$CD235,$CE235,$CF235,$CG235,$CH235,$CI235,$CJ235,$CL235,$CM235,$CN235,$CO235,$CP235,$CQ235,$CR235,$CS235,$CT235)</f>
        <v/>
      </c>
      <c r="DX235" s="66">
        <f>AVERAGE($CB235,$CC235,$CM235,$CE235,$CP235)</f>
        <v/>
      </c>
      <c r="DY235" s="64">
        <f>($DW235-$DW236)*100</f>
        <v/>
      </c>
      <c r="DZ235" s="64">
        <f>($DX235-$DX236)*100</f>
        <v/>
      </c>
      <c r="EA235" s="64">
        <f>($DW235-$D235)*100</f>
        <v/>
      </c>
      <c r="EB235" s="64">
        <f>$Q235-$O235</f>
        <v/>
      </c>
      <c r="EC235" s="67">
        <f>IFERROR($Q235/$P235,"")</f>
        <v/>
      </c>
    </row>
    <row r="236">
      <c r="DG236" s="64">
        <f>($B236-$B237)*100</f>
        <v/>
      </c>
      <c r="DH236" s="64">
        <f>($D236-$D237)*100</f>
        <v/>
      </c>
      <c r="DI236" s="64">
        <f>($E236-$E237)*100</f>
        <v/>
      </c>
      <c r="DJ236" s="64">
        <f>($H236-$H237)*100</f>
        <v/>
      </c>
      <c r="DK236" s="65">
        <f>IFERROR($J236/$J237-1,"")</f>
        <v/>
      </c>
      <c r="DL236" s="64">
        <f>$L236-$L237</f>
        <v/>
      </c>
      <c r="DM236" s="64">
        <f>$K236-$K237</f>
        <v/>
      </c>
      <c r="DN236" s="65">
        <f>IFERROR($N236/$N237-1,"")</f>
        <v/>
      </c>
      <c r="DO236" s="65">
        <f>IFERROR($M236/$M237-1,"")</f>
        <v/>
      </c>
      <c r="DP236" s="65">
        <f>IFERROR($AZ236/$AZ237-1,"")</f>
        <v/>
      </c>
      <c r="DQ236" s="65">
        <f>IFERROR($BA236/$BA237-1,"")</f>
        <v/>
      </c>
      <c r="DR236" s="64">
        <f>$O236-$O237</f>
        <v/>
      </c>
      <c r="DS236" s="64">
        <f>$P236-$P237</f>
        <v/>
      </c>
      <c r="DT236" s="64">
        <f>$Q236-$Q237</f>
        <v/>
      </c>
      <c r="DU236" s="64">
        <f>$S236-$S237</f>
        <v/>
      </c>
      <c r="DV236" s="65">
        <f>IFERROR(AVERAGE($AA237/$AA236-1,$AB237/$AB236-1,$AC237/$AC236-1,$AD237/$AD236-1,$AE237/$AE236-1,$AG237/$AG236-1,$AH237/$AH236-1,$AI237/$AI236-1,$AJ237/$AJ236-1,$AL237/$AL236-1,$AM237/$AM236-1,$AR237/$AR236-1,$AS237/$AS236-1,$AT237/$AT236-1,$AU237/$AU236-1,$AV237/$AV236-1,$AW237/$AW236-1,$AX237/$AX236-1,$AY237/$AY236-1),"")</f>
        <v/>
      </c>
      <c r="DW236" s="66">
        <f>AVERAGE($CB236,$CC236,$CD236,$CE236,$CF236,$CG236,$CH236,$CI236,$CJ236,$CL236,$CM236,$CN236,$CO236,$CP236,$CQ236,$CR236,$CS236,$CT236)</f>
        <v/>
      </c>
      <c r="DX236" s="66">
        <f>AVERAGE($CB236,$CC236,$CM236,$CE236,$CP236)</f>
        <v/>
      </c>
      <c r="DY236" s="64">
        <f>($DW236-$DW237)*100</f>
        <v/>
      </c>
      <c r="DZ236" s="64">
        <f>($DX236-$DX237)*100</f>
        <v/>
      </c>
      <c r="EA236" s="64">
        <f>($DW236-$D236)*100</f>
        <v/>
      </c>
      <c r="EB236" s="64">
        <f>$Q236-$O236</f>
        <v/>
      </c>
      <c r="EC236" s="67">
        <f>IFERROR($Q236/$P236,"")</f>
        <v/>
      </c>
    </row>
    <row r="237">
      <c r="DG237" s="64">
        <f>($B237-$B238)*100</f>
        <v/>
      </c>
      <c r="DH237" s="64">
        <f>($D237-$D238)*100</f>
        <v/>
      </c>
      <c r="DI237" s="64">
        <f>($E237-$E238)*100</f>
        <v/>
      </c>
      <c r="DJ237" s="64">
        <f>($H237-$H238)*100</f>
        <v/>
      </c>
      <c r="DK237" s="65">
        <f>IFERROR($J237/$J238-1,"")</f>
        <v/>
      </c>
      <c r="DL237" s="64">
        <f>$L237-$L238</f>
        <v/>
      </c>
      <c r="DM237" s="64">
        <f>$K237-$K238</f>
        <v/>
      </c>
      <c r="DN237" s="65">
        <f>IFERROR($N237/$N238-1,"")</f>
        <v/>
      </c>
      <c r="DO237" s="65">
        <f>IFERROR($M237/$M238-1,"")</f>
        <v/>
      </c>
      <c r="DP237" s="65">
        <f>IFERROR($AZ237/$AZ238-1,"")</f>
        <v/>
      </c>
      <c r="DQ237" s="65">
        <f>IFERROR($BA237/$BA238-1,"")</f>
        <v/>
      </c>
      <c r="DR237" s="64">
        <f>$O237-$O238</f>
        <v/>
      </c>
      <c r="DS237" s="64">
        <f>$P237-$P238</f>
        <v/>
      </c>
      <c r="DT237" s="64">
        <f>$Q237-$Q238</f>
        <v/>
      </c>
      <c r="DU237" s="64">
        <f>$S237-$S238</f>
        <v/>
      </c>
      <c r="DV237" s="65">
        <f>IFERROR(AVERAGE($AA238/$AA237-1,$AB238/$AB237-1,$AC238/$AC237-1,$AD238/$AD237-1,$AE238/$AE237-1,$AG238/$AG237-1,$AH238/$AH237-1,$AI238/$AI237-1,$AJ238/$AJ237-1,$AL238/$AL237-1,$AM238/$AM237-1,$AR238/$AR237-1,$AS238/$AS237-1,$AT238/$AT237-1,$AU238/$AU237-1,$AV238/$AV237-1,$AW238/$AW237-1,$AX238/$AX237-1,$AY238/$AY237-1),"")</f>
        <v/>
      </c>
      <c r="DW237" s="66">
        <f>AVERAGE($CB237,$CC237,$CD237,$CE237,$CF237,$CG237,$CH237,$CI237,$CJ237,$CL237,$CM237,$CN237,$CO237,$CP237,$CQ237,$CR237,$CS237,$CT237)</f>
        <v/>
      </c>
      <c r="DX237" s="66">
        <f>AVERAGE($CB237,$CC237,$CM237,$CE237,$CP237)</f>
        <v/>
      </c>
      <c r="DY237" s="64">
        <f>($DW237-$DW238)*100</f>
        <v/>
      </c>
      <c r="DZ237" s="64">
        <f>($DX237-$DX238)*100</f>
        <v/>
      </c>
      <c r="EA237" s="64">
        <f>($DW237-$D237)*100</f>
        <v/>
      </c>
      <c r="EB237" s="64">
        <f>$Q237-$O237</f>
        <v/>
      </c>
      <c r="EC237" s="67">
        <f>IFERROR($Q237/$P237,"")</f>
        <v/>
      </c>
    </row>
    <row r="238">
      <c r="DG238" s="64">
        <f>($B238-$B239)*100</f>
        <v/>
      </c>
      <c r="DH238" s="64">
        <f>($D238-$D239)*100</f>
        <v/>
      </c>
      <c r="DI238" s="64">
        <f>($E238-$E239)*100</f>
        <v/>
      </c>
      <c r="DJ238" s="64">
        <f>($H238-$H239)*100</f>
        <v/>
      </c>
      <c r="DK238" s="65">
        <f>IFERROR($J238/$J239-1,"")</f>
        <v/>
      </c>
      <c r="DL238" s="64">
        <f>$L238-$L239</f>
        <v/>
      </c>
      <c r="DM238" s="64">
        <f>$K238-$K239</f>
        <v/>
      </c>
      <c r="DN238" s="65">
        <f>IFERROR($N238/$N239-1,"")</f>
        <v/>
      </c>
      <c r="DO238" s="65">
        <f>IFERROR($M238/$M239-1,"")</f>
        <v/>
      </c>
      <c r="DP238" s="65">
        <f>IFERROR($AZ238/$AZ239-1,"")</f>
        <v/>
      </c>
      <c r="DQ238" s="65">
        <f>IFERROR($BA238/$BA239-1,"")</f>
        <v/>
      </c>
      <c r="DR238" s="64">
        <f>$O238-$O239</f>
        <v/>
      </c>
      <c r="DS238" s="64">
        <f>$P238-$P239</f>
        <v/>
      </c>
      <c r="DT238" s="64">
        <f>$Q238-$Q239</f>
        <v/>
      </c>
      <c r="DU238" s="64">
        <f>$S238-$S239</f>
        <v/>
      </c>
      <c r="DV238" s="65">
        <f>IFERROR(AVERAGE($AA239/$AA238-1,$AB239/$AB238-1,$AC239/$AC238-1,$AD239/$AD238-1,$AE239/$AE238-1,$AG239/$AG238-1,$AH239/$AH238-1,$AI239/$AI238-1,$AJ239/$AJ238-1,$AL239/$AL238-1,$AM239/$AM238-1,$AR239/$AR238-1,$AS239/$AS238-1,$AT239/$AT238-1,$AU239/$AU238-1,$AV239/$AV238-1,$AW239/$AW238-1,$AX239/$AX238-1,$AY239/$AY238-1),"")</f>
        <v/>
      </c>
      <c r="DW238" s="66">
        <f>AVERAGE($CB238,$CC238,$CD238,$CE238,$CF238,$CG238,$CH238,$CI238,$CJ238,$CL238,$CM238,$CN238,$CO238,$CP238,$CQ238,$CR238,$CS238,$CT238)</f>
        <v/>
      </c>
      <c r="DX238" s="66">
        <f>AVERAGE($CB238,$CC238,$CM238,$CE238,$CP238)</f>
        <v/>
      </c>
      <c r="DY238" s="64">
        <f>($DW238-$DW239)*100</f>
        <v/>
      </c>
      <c r="DZ238" s="64">
        <f>($DX238-$DX239)*100</f>
        <v/>
      </c>
      <c r="EA238" s="64">
        <f>($DW238-$D238)*100</f>
        <v/>
      </c>
      <c r="EB238" s="64">
        <f>$Q238-$O238</f>
        <v/>
      </c>
      <c r="EC238" s="67">
        <f>IFERROR($Q238/$P238,"")</f>
        <v/>
      </c>
    </row>
    <row r="239">
      <c r="DG239" s="64">
        <f>($B239-$B240)*100</f>
        <v/>
      </c>
      <c r="DH239" s="64">
        <f>($D239-$D240)*100</f>
        <v/>
      </c>
      <c r="DI239" s="64">
        <f>($E239-$E240)*100</f>
        <v/>
      </c>
      <c r="DJ239" s="64">
        <f>($H239-$H240)*100</f>
        <v/>
      </c>
      <c r="DK239" s="65">
        <f>IFERROR($J239/$J240-1,"")</f>
        <v/>
      </c>
      <c r="DL239" s="64">
        <f>$L239-$L240</f>
        <v/>
      </c>
      <c r="DM239" s="64">
        <f>$K239-$K240</f>
        <v/>
      </c>
      <c r="DN239" s="65">
        <f>IFERROR($N239/$N240-1,"")</f>
        <v/>
      </c>
      <c r="DO239" s="65">
        <f>IFERROR($M239/$M240-1,"")</f>
        <v/>
      </c>
      <c r="DP239" s="65">
        <f>IFERROR($AZ239/$AZ240-1,"")</f>
        <v/>
      </c>
      <c r="DQ239" s="65">
        <f>IFERROR($BA239/$BA240-1,"")</f>
        <v/>
      </c>
      <c r="DR239" s="64">
        <f>$O239-$O240</f>
        <v/>
      </c>
      <c r="DS239" s="64">
        <f>$P239-$P240</f>
        <v/>
      </c>
      <c r="DT239" s="64">
        <f>$Q239-$Q240</f>
        <v/>
      </c>
      <c r="DU239" s="64">
        <f>$S239-$S240</f>
        <v/>
      </c>
      <c r="DV239" s="65">
        <f>IFERROR(AVERAGE($AA240/$AA239-1,$AB240/$AB239-1,$AC240/$AC239-1,$AD240/$AD239-1,$AE240/$AE239-1,$AG240/$AG239-1,$AH240/$AH239-1,$AI240/$AI239-1,$AJ240/$AJ239-1,$AL240/$AL239-1,$AM240/$AM239-1,$AR240/$AR239-1,$AS240/$AS239-1,$AT240/$AT239-1,$AU240/$AU239-1,$AV240/$AV239-1,$AW240/$AW239-1,$AX240/$AX239-1,$AY240/$AY239-1),"")</f>
        <v/>
      </c>
      <c r="DW239" s="66">
        <f>AVERAGE($CB239,$CC239,$CD239,$CE239,$CF239,$CG239,$CH239,$CI239,$CJ239,$CL239,$CM239,$CN239,$CO239,$CP239,$CQ239,$CR239,$CS239,$CT239)</f>
        <v/>
      </c>
      <c r="DX239" s="66">
        <f>AVERAGE($CB239,$CC239,$CM239,$CE239,$CP239)</f>
        <v/>
      </c>
      <c r="DY239" s="64">
        <f>($DW239-$DW240)*100</f>
        <v/>
      </c>
      <c r="DZ239" s="64">
        <f>($DX239-$DX240)*100</f>
        <v/>
      </c>
      <c r="EA239" s="64">
        <f>($DW239-$D239)*100</f>
        <v/>
      </c>
      <c r="EB239" s="64">
        <f>$Q239-$O239</f>
        <v/>
      </c>
      <c r="EC239" s="67">
        <f>IFERROR($Q239/$P239,"")</f>
        <v/>
      </c>
    </row>
    <row r="240">
      <c r="DG240" s="64">
        <f>($B240-$B241)*100</f>
        <v/>
      </c>
      <c r="DH240" s="64">
        <f>($D240-$D241)*100</f>
        <v/>
      </c>
      <c r="DI240" s="64">
        <f>($E240-$E241)*100</f>
        <v/>
      </c>
      <c r="DJ240" s="64">
        <f>($H240-$H241)*100</f>
        <v/>
      </c>
      <c r="DK240" s="65">
        <f>IFERROR($J240/$J241-1,"")</f>
        <v/>
      </c>
      <c r="DL240" s="64">
        <f>$L240-$L241</f>
        <v/>
      </c>
      <c r="DM240" s="64">
        <f>$K240-$K241</f>
        <v/>
      </c>
      <c r="DN240" s="65">
        <f>IFERROR($N240/$N241-1,"")</f>
        <v/>
      </c>
      <c r="DO240" s="65">
        <f>IFERROR($M240/$M241-1,"")</f>
        <v/>
      </c>
      <c r="DP240" s="65">
        <f>IFERROR($AZ240/$AZ241-1,"")</f>
        <v/>
      </c>
      <c r="DQ240" s="65">
        <f>IFERROR($BA240/$BA241-1,"")</f>
        <v/>
      </c>
      <c r="DR240" s="64">
        <f>$O240-$O241</f>
        <v/>
      </c>
      <c r="DS240" s="64">
        <f>$P240-$P241</f>
        <v/>
      </c>
      <c r="DT240" s="64">
        <f>$Q240-$Q241</f>
        <v/>
      </c>
      <c r="DU240" s="64">
        <f>$S240-$S241</f>
        <v/>
      </c>
      <c r="DV240" s="65">
        <f>IFERROR(AVERAGE($AA241/$AA240-1,$AB241/$AB240-1,$AC241/$AC240-1,$AD241/$AD240-1,$AE241/$AE240-1,$AG241/$AG240-1,$AH241/$AH240-1,$AI241/$AI240-1,$AJ241/$AJ240-1,$AL241/$AL240-1,$AM241/$AM240-1,$AR241/$AR240-1,$AS241/$AS240-1,$AT241/$AT240-1,$AU241/$AU240-1,$AV241/$AV240-1,$AW241/$AW240-1,$AX241/$AX240-1,$AY241/$AY240-1),"")</f>
        <v/>
      </c>
      <c r="DW240" s="66">
        <f>AVERAGE($CB240,$CC240,$CD240,$CE240,$CF240,$CG240,$CH240,$CI240,$CJ240,$CL240,$CM240,$CN240,$CO240,$CP240,$CQ240,$CR240,$CS240,$CT240)</f>
        <v/>
      </c>
      <c r="DX240" s="66">
        <f>AVERAGE($CB240,$CC240,$CM240,$CE240,$CP240)</f>
        <v/>
      </c>
      <c r="DY240" s="64">
        <f>($DW240-$DW241)*100</f>
        <v/>
      </c>
      <c r="DZ240" s="64">
        <f>($DX240-$DX241)*100</f>
        <v/>
      </c>
      <c r="EA240" s="64">
        <f>($DW240-$D240)*100</f>
        <v/>
      </c>
      <c r="EB240" s="64">
        <f>$Q240-$O240</f>
        <v/>
      </c>
      <c r="EC240" s="67">
        <f>IFERROR($Q240/$P240,"")</f>
        <v/>
      </c>
    </row>
    <row r="241">
      <c r="DG241" s="64">
        <f>($B241-$B242)*100</f>
        <v/>
      </c>
      <c r="DH241" s="64">
        <f>($D241-$D242)*100</f>
        <v/>
      </c>
      <c r="DI241" s="64">
        <f>($E241-$E242)*100</f>
        <v/>
      </c>
      <c r="DJ241" s="64">
        <f>($H241-$H242)*100</f>
        <v/>
      </c>
      <c r="DK241" s="65">
        <f>IFERROR($J241/$J242-1,"")</f>
        <v/>
      </c>
      <c r="DL241" s="64">
        <f>$L241-$L242</f>
        <v/>
      </c>
      <c r="DM241" s="64">
        <f>$K241-$K242</f>
        <v/>
      </c>
      <c r="DN241" s="65">
        <f>IFERROR($N241/$N242-1,"")</f>
        <v/>
      </c>
      <c r="DO241" s="65">
        <f>IFERROR($M241/$M242-1,"")</f>
        <v/>
      </c>
      <c r="DP241" s="65">
        <f>IFERROR($AZ241/$AZ242-1,"")</f>
        <v/>
      </c>
      <c r="DQ241" s="65">
        <f>IFERROR($BA241/$BA242-1,"")</f>
        <v/>
      </c>
      <c r="DR241" s="64">
        <f>$O241-$O242</f>
        <v/>
      </c>
      <c r="DS241" s="64">
        <f>$P241-$P242</f>
        <v/>
      </c>
      <c r="DT241" s="64">
        <f>$Q241-$Q242</f>
        <v/>
      </c>
      <c r="DU241" s="64">
        <f>$S241-$S242</f>
        <v/>
      </c>
      <c r="DV241" s="65">
        <f>IFERROR(AVERAGE($AA242/$AA241-1,$AB242/$AB241-1,$AC242/$AC241-1,$AD242/$AD241-1,$AE242/$AE241-1,$AG242/$AG241-1,$AH242/$AH241-1,$AI242/$AI241-1,$AJ242/$AJ241-1,$AL242/$AL241-1,$AM242/$AM241-1,$AR242/$AR241-1,$AS242/$AS241-1,$AT242/$AT241-1,$AU242/$AU241-1,$AV242/$AV241-1,$AW242/$AW241-1,$AX242/$AX241-1,$AY242/$AY241-1),"")</f>
        <v/>
      </c>
      <c r="DW241" s="66">
        <f>AVERAGE($CB241,$CC241,$CD241,$CE241,$CF241,$CG241,$CH241,$CI241,$CJ241,$CL241,$CM241,$CN241,$CO241,$CP241,$CQ241,$CR241,$CS241,$CT241)</f>
        <v/>
      </c>
      <c r="DX241" s="66">
        <f>AVERAGE($CB241,$CC241,$CM241,$CE241,$CP241)</f>
        <v/>
      </c>
      <c r="DY241" s="64">
        <f>($DW241-$DW242)*100</f>
        <v/>
      </c>
      <c r="DZ241" s="64">
        <f>($DX241-$DX242)*100</f>
        <v/>
      </c>
      <c r="EA241" s="64">
        <f>($DW241-$D241)*100</f>
        <v/>
      </c>
      <c r="EB241" s="64">
        <f>$Q241-$O241</f>
        <v/>
      </c>
      <c r="EC241" s="67">
        <f>IFERROR($Q241/$P241,"")</f>
        <v/>
      </c>
    </row>
    <row r="242">
      <c r="DG242" s="64">
        <f>($B242-$B243)*100</f>
        <v/>
      </c>
      <c r="DH242" s="64">
        <f>($D242-$D243)*100</f>
        <v/>
      </c>
      <c r="DI242" s="64">
        <f>($E242-$E243)*100</f>
        <v/>
      </c>
      <c r="DJ242" s="64">
        <f>($H242-$H243)*100</f>
        <v/>
      </c>
      <c r="DK242" s="65">
        <f>IFERROR($J242/$J243-1,"")</f>
        <v/>
      </c>
      <c r="DL242" s="64">
        <f>$L242-$L243</f>
        <v/>
      </c>
      <c r="DM242" s="64">
        <f>$K242-$K243</f>
        <v/>
      </c>
      <c r="DN242" s="65">
        <f>IFERROR($N242/$N243-1,"")</f>
        <v/>
      </c>
      <c r="DO242" s="65">
        <f>IFERROR($M242/$M243-1,"")</f>
        <v/>
      </c>
      <c r="DP242" s="65">
        <f>IFERROR($AZ242/$AZ243-1,"")</f>
        <v/>
      </c>
      <c r="DQ242" s="65">
        <f>IFERROR($BA242/$BA243-1,"")</f>
        <v/>
      </c>
      <c r="DR242" s="64">
        <f>$O242-$O243</f>
        <v/>
      </c>
      <c r="DS242" s="64">
        <f>$P242-$P243</f>
        <v/>
      </c>
      <c r="DT242" s="64">
        <f>$Q242-$Q243</f>
        <v/>
      </c>
      <c r="DU242" s="64">
        <f>$S242-$S243</f>
        <v/>
      </c>
      <c r="DV242" s="65">
        <f>IFERROR(AVERAGE($AA243/$AA242-1,$AB243/$AB242-1,$AC243/$AC242-1,$AD243/$AD242-1,$AE243/$AE242-1,$AG243/$AG242-1,$AH243/$AH242-1,$AI243/$AI242-1,$AJ243/$AJ242-1,$AL243/$AL242-1,$AM243/$AM242-1,$AR243/$AR242-1,$AS243/$AS242-1,$AT243/$AT242-1,$AU243/$AU242-1,$AV243/$AV242-1,$AW243/$AW242-1,$AX243/$AX242-1,$AY243/$AY242-1),"")</f>
        <v/>
      </c>
      <c r="DW242" s="66">
        <f>AVERAGE($CB242,$CC242,$CD242,$CE242,$CF242,$CG242,$CH242,$CI242,$CJ242,$CL242,$CM242,$CN242,$CO242,$CP242,$CQ242,$CR242,$CS242,$CT242)</f>
        <v/>
      </c>
      <c r="DX242" s="66">
        <f>AVERAGE($CB242,$CC242,$CM242,$CE242,$CP242)</f>
        <v/>
      </c>
      <c r="DY242" s="64">
        <f>($DW242-$DW243)*100</f>
        <v/>
      </c>
      <c r="DZ242" s="64">
        <f>($DX242-$DX243)*100</f>
        <v/>
      </c>
      <c r="EA242" s="64">
        <f>($DW242-$D242)*100</f>
        <v/>
      </c>
      <c r="EB242" s="64">
        <f>$Q242-$O242</f>
        <v/>
      </c>
      <c r="EC242" s="67">
        <f>IFERROR($Q242/$P242,"")</f>
        <v/>
      </c>
    </row>
    <row r="243">
      <c r="DG243" s="64">
        <f>($B243-$B244)*100</f>
        <v/>
      </c>
      <c r="DH243" s="64">
        <f>($D243-$D244)*100</f>
        <v/>
      </c>
      <c r="DI243" s="64">
        <f>($E243-$E244)*100</f>
        <v/>
      </c>
      <c r="DJ243" s="64">
        <f>($H243-$H244)*100</f>
        <v/>
      </c>
      <c r="DK243" s="65">
        <f>IFERROR($J243/$J244-1,"")</f>
        <v/>
      </c>
      <c r="DL243" s="64">
        <f>$L243-$L244</f>
        <v/>
      </c>
      <c r="DM243" s="64">
        <f>$K243-$K244</f>
        <v/>
      </c>
      <c r="DN243" s="65">
        <f>IFERROR($N243/$N244-1,"")</f>
        <v/>
      </c>
      <c r="DO243" s="65">
        <f>IFERROR($M243/$M244-1,"")</f>
        <v/>
      </c>
      <c r="DP243" s="65">
        <f>IFERROR($AZ243/$AZ244-1,"")</f>
        <v/>
      </c>
      <c r="DQ243" s="65">
        <f>IFERROR($BA243/$BA244-1,"")</f>
        <v/>
      </c>
      <c r="DR243" s="64">
        <f>$O243-$O244</f>
        <v/>
      </c>
      <c r="DS243" s="64">
        <f>$P243-$P244</f>
        <v/>
      </c>
      <c r="DT243" s="64">
        <f>$Q243-$Q244</f>
        <v/>
      </c>
      <c r="DU243" s="64">
        <f>$S243-$S244</f>
        <v/>
      </c>
      <c r="DV243" s="65">
        <f>IFERROR(AVERAGE($AA244/$AA243-1,$AB244/$AB243-1,$AC244/$AC243-1,$AD244/$AD243-1,$AE244/$AE243-1,$AG244/$AG243-1,$AH244/$AH243-1,$AI244/$AI243-1,$AJ244/$AJ243-1,$AL244/$AL243-1,$AM244/$AM243-1,$AR244/$AR243-1,$AS244/$AS243-1,$AT244/$AT243-1,$AU244/$AU243-1,$AV244/$AV243-1,$AW244/$AW243-1,$AX244/$AX243-1,$AY244/$AY243-1),"")</f>
        <v/>
      </c>
      <c r="DW243" s="66">
        <f>AVERAGE($CB243,$CC243,$CD243,$CE243,$CF243,$CG243,$CH243,$CI243,$CJ243,$CL243,$CM243,$CN243,$CO243,$CP243,$CQ243,$CR243,$CS243,$CT243)</f>
        <v/>
      </c>
      <c r="DX243" s="66">
        <f>AVERAGE($CB243,$CC243,$CM243,$CE243,$CP243)</f>
        <v/>
      </c>
      <c r="DY243" s="64">
        <f>($DW243-$DW244)*100</f>
        <v/>
      </c>
      <c r="DZ243" s="64">
        <f>($DX243-$DX244)*100</f>
        <v/>
      </c>
      <c r="EA243" s="64">
        <f>($DW243-$D243)*100</f>
        <v/>
      </c>
      <c r="EB243" s="64">
        <f>$Q243-$O243</f>
        <v/>
      </c>
      <c r="EC243" s="67">
        <f>IFERROR($Q243/$P243,"")</f>
        <v/>
      </c>
    </row>
    <row r="244">
      <c r="DG244" s="64">
        <f>($B244-$B245)*100</f>
        <v/>
      </c>
      <c r="DH244" s="64">
        <f>($D244-$D245)*100</f>
        <v/>
      </c>
      <c r="DI244" s="64">
        <f>($E244-$E245)*100</f>
        <v/>
      </c>
      <c r="DJ244" s="64">
        <f>($H244-$H245)*100</f>
        <v/>
      </c>
      <c r="DK244" s="65">
        <f>IFERROR($J244/$J245-1,"")</f>
        <v/>
      </c>
      <c r="DL244" s="64">
        <f>$L244-$L245</f>
        <v/>
      </c>
      <c r="DM244" s="64">
        <f>$K244-$K245</f>
        <v/>
      </c>
      <c r="DN244" s="65">
        <f>IFERROR($N244/$N245-1,"")</f>
        <v/>
      </c>
      <c r="DO244" s="65">
        <f>IFERROR($M244/$M245-1,"")</f>
        <v/>
      </c>
      <c r="DP244" s="65">
        <f>IFERROR($AZ244/$AZ245-1,"")</f>
        <v/>
      </c>
      <c r="DQ244" s="65">
        <f>IFERROR($BA244/$BA245-1,"")</f>
        <v/>
      </c>
      <c r="DR244" s="64">
        <f>$O244-$O245</f>
        <v/>
      </c>
      <c r="DS244" s="64">
        <f>$P244-$P245</f>
        <v/>
      </c>
      <c r="DT244" s="64">
        <f>$Q244-$Q245</f>
        <v/>
      </c>
      <c r="DU244" s="64">
        <f>$S244-$S245</f>
        <v/>
      </c>
      <c r="DV244" s="65">
        <f>IFERROR(AVERAGE($AA245/$AA244-1,$AB245/$AB244-1,$AC245/$AC244-1,$AD245/$AD244-1,$AE245/$AE244-1,$AG245/$AG244-1,$AH245/$AH244-1,$AI245/$AI244-1,$AJ245/$AJ244-1,$AL245/$AL244-1,$AM245/$AM244-1,$AR245/$AR244-1,$AS245/$AS244-1,$AT245/$AT244-1,$AU245/$AU244-1,$AV245/$AV244-1,$AW245/$AW244-1,$AX245/$AX244-1,$AY245/$AY244-1),"")</f>
        <v/>
      </c>
      <c r="DW244" s="66">
        <f>AVERAGE($CB244,$CC244,$CD244,$CE244,$CF244,$CG244,$CH244,$CI244,$CJ244,$CL244,$CM244,$CN244,$CO244,$CP244,$CQ244,$CR244,$CS244,$CT244)</f>
        <v/>
      </c>
      <c r="DX244" s="66">
        <f>AVERAGE($CB244,$CC244,$CM244,$CE244,$CP244)</f>
        <v/>
      </c>
      <c r="DY244" s="64">
        <f>($DW244-$DW245)*100</f>
        <v/>
      </c>
      <c r="DZ244" s="64">
        <f>($DX244-$DX245)*100</f>
        <v/>
      </c>
      <c r="EA244" s="64">
        <f>($DW244-$D244)*100</f>
        <v/>
      </c>
      <c r="EB244" s="64">
        <f>$Q244-$O244</f>
        <v/>
      </c>
      <c r="EC244" s="67">
        <f>IFERROR($Q244/$P244,"")</f>
        <v/>
      </c>
    </row>
    <row r="245">
      <c r="DG245" s="64">
        <f>($B245-$B246)*100</f>
        <v/>
      </c>
      <c r="DH245" s="64">
        <f>($D245-$D246)*100</f>
        <v/>
      </c>
      <c r="DI245" s="64">
        <f>($E245-$E246)*100</f>
        <v/>
      </c>
      <c r="DJ245" s="64">
        <f>($H245-$H246)*100</f>
        <v/>
      </c>
      <c r="DK245" s="65">
        <f>IFERROR($J245/$J246-1,"")</f>
        <v/>
      </c>
      <c r="DL245" s="64">
        <f>$L245-$L246</f>
        <v/>
      </c>
      <c r="DM245" s="64">
        <f>$K245-$K246</f>
        <v/>
      </c>
      <c r="DN245" s="65">
        <f>IFERROR($N245/$N246-1,"")</f>
        <v/>
      </c>
      <c r="DO245" s="65">
        <f>IFERROR($M245/$M246-1,"")</f>
        <v/>
      </c>
      <c r="DP245" s="65">
        <f>IFERROR($AZ245/$AZ246-1,"")</f>
        <v/>
      </c>
      <c r="DQ245" s="65">
        <f>IFERROR($BA245/$BA246-1,"")</f>
        <v/>
      </c>
      <c r="DR245" s="64">
        <f>$O245-$O246</f>
        <v/>
      </c>
      <c r="DS245" s="64">
        <f>$P245-$P246</f>
        <v/>
      </c>
      <c r="DT245" s="64">
        <f>$Q245-$Q246</f>
        <v/>
      </c>
      <c r="DU245" s="64">
        <f>$S245-$S246</f>
        <v/>
      </c>
      <c r="DV245" s="65">
        <f>IFERROR(AVERAGE($AA246/$AA245-1,$AB246/$AB245-1,$AC246/$AC245-1,$AD246/$AD245-1,$AE246/$AE245-1,$AG246/$AG245-1,$AH246/$AH245-1,$AI246/$AI245-1,$AJ246/$AJ245-1,$AL246/$AL245-1,$AM246/$AM245-1,$AR246/$AR245-1,$AS246/$AS245-1,$AT246/$AT245-1,$AU246/$AU245-1,$AV246/$AV245-1,$AW246/$AW245-1,$AX246/$AX245-1,$AY246/$AY245-1),"")</f>
        <v/>
      </c>
      <c r="DW245" s="66">
        <f>AVERAGE($CB245,$CC245,$CD245,$CE245,$CF245,$CG245,$CH245,$CI245,$CJ245,$CL245,$CM245,$CN245,$CO245,$CP245,$CQ245,$CR245,$CS245,$CT245)</f>
        <v/>
      </c>
      <c r="DX245" s="66">
        <f>AVERAGE($CB245,$CC245,$CM245,$CE245,$CP245)</f>
        <v/>
      </c>
      <c r="DY245" s="64">
        <f>($DW245-$DW246)*100</f>
        <v/>
      </c>
      <c r="DZ245" s="64">
        <f>($DX245-$DX246)*100</f>
        <v/>
      </c>
      <c r="EA245" s="64">
        <f>($DW245-$D245)*100</f>
        <v/>
      </c>
      <c r="EB245" s="64">
        <f>$Q245-$O245</f>
        <v/>
      </c>
      <c r="EC245" s="67">
        <f>IFERROR($Q245/$P245,"")</f>
        <v/>
      </c>
    </row>
    <row r="246">
      <c r="DG246" s="64">
        <f>($B246-$B247)*100</f>
        <v/>
      </c>
      <c r="DH246" s="64">
        <f>($D246-$D247)*100</f>
        <v/>
      </c>
      <c r="DI246" s="64">
        <f>($E246-$E247)*100</f>
        <v/>
      </c>
      <c r="DJ246" s="64">
        <f>($H246-$H247)*100</f>
        <v/>
      </c>
      <c r="DK246" s="65">
        <f>IFERROR($J246/$J247-1,"")</f>
        <v/>
      </c>
      <c r="DL246" s="64">
        <f>$L246-$L247</f>
        <v/>
      </c>
      <c r="DM246" s="64">
        <f>$K246-$K247</f>
        <v/>
      </c>
      <c r="DN246" s="65">
        <f>IFERROR($N246/$N247-1,"")</f>
        <v/>
      </c>
      <c r="DO246" s="65">
        <f>IFERROR($M246/$M247-1,"")</f>
        <v/>
      </c>
      <c r="DP246" s="65">
        <f>IFERROR($AZ246/$AZ247-1,"")</f>
        <v/>
      </c>
      <c r="DQ246" s="65">
        <f>IFERROR($BA246/$BA247-1,"")</f>
        <v/>
      </c>
      <c r="DR246" s="64">
        <f>$O246-$O247</f>
        <v/>
      </c>
      <c r="DS246" s="64">
        <f>$P246-$P247</f>
        <v/>
      </c>
      <c r="DT246" s="64">
        <f>$Q246-$Q247</f>
        <v/>
      </c>
      <c r="DU246" s="64">
        <f>$S246-$S247</f>
        <v/>
      </c>
      <c r="DV246" s="65">
        <f>IFERROR(AVERAGE($AA247/$AA246-1,$AB247/$AB246-1,$AC247/$AC246-1,$AD247/$AD246-1,$AE247/$AE246-1,$AG247/$AG246-1,$AH247/$AH246-1,$AI247/$AI246-1,$AJ247/$AJ246-1,$AL247/$AL246-1,$AM247/$AM246-1,$AR247/$AR246-1,$AS247/$AS246-1,$AT247/$AT246-1,$AU247/$AU246-1,$AV247/$AV246-1,$AW247/$AW246-1,$AX247/$AX246-1,$AY247/$AY246-1),"")</f>
        <v/>
      </c>
      <c r="DW246" s="66">
        <f>AVERAGE($CB246,$CC246,$CD246,$CE246,$CF246,$CG246,$CH246,$CI246,$CJ246,$CL246,$CM246,$CN246,$CO246,$CP246,$CQ246,$CR246,$CS246,$CT246)</f>
        <v/>
      </c>
      <c r="DX246" s="66">
        <f>AVERAGE($CB246,$CC246,$CM246,$CE246,$CP246)</f>
        <v/>
      </c>
      <c r="DY246" s="64">
        <f>($DW246-$DW247)*100</f>
        <v/>
      </c>
      <c r="DZ246" s="64">
        <f>($DX246-$DX247)*100</f>
        <v/>
      </c>
      <c r="EA246" s="64">
        <f>($DW246-$D246)*100</f>
        <v/>
      </c>
      <c r="EB246" s="64">
        <f>$Q246-$O246</f>
        <v/>
      </c>
      <c r="EC246" s="67">
        <f>IFERROR($Q246/$P246,"")</f>
        <v/>
      </c>
    </row>
    <row r="247">
      <c r="DG247" s="64">
        <f>($B247-$B248)*100</f>
        <v/>
      </c>
      <c r="DH247" s="64">
        <f>($D247-$D248)*100</f>
        <v/>
      </c>
      <c r="DI247" s="64">
        <f>($E247-$E248)*100</f>
        <v/>
      </c>
      <c r="DJ247" s="64">
        <f>($H247-$H248)*100</f>
        <v/>
      </c>
      <c r="DK247" s="65">
        <f>IFERROR($J247/$J248-1,"")</f>
        <v/>
      </c>
      <c r="DL247" s="64">
        <f>$L247-$L248</f>
        <v/>
      </c>
      <c r="DM247" s="64">
        <f>$K247-$K248</f>
        <v/>
      </c>
      <c r="DN247" s="65">
        <f>IFERROR($N247/$N248-1,"")</f>
        <v/>
      </c>
      <c r="DO247" s="65">
        <f>IFERROR($M247/$M248-1,"")</f>
        <v/>
      </c>
      <c r="DP247" s="65">
        <f>IFERROR($AZ247/$AZ248-1,"")</f>
        <v/>
      </c>
      <c r="DQ247" s="65">
        <f>IFERROR($BA247/$BA248-1,"")</f>
        <v/>
      </c>
      <c r="DR247" s="64">
        <f>$O247-$O248</f>
        <v/>
      </c>
      <c r="DS247" s="64">
        <f>$P247-$P248</f>
        <v/>
      </c>
      <c r="DT247" s="64">
        <f>$Q247-$Q248</f>
        <v/>
      </c>
      <c r="DU247" s="64">
        <f>$S247-$S248</f>
        <v/>
      </c>
      <c r="DV247" s="65">
        <f>IFERROR(AVERAGE($AA248/$AA247-1,$AB248/$AB247-1,$AC248/$AC247-1,$AD248/$AD247-1,$AE248/$AE247-1,$AG248/$AG247-1,$AH248/$AH247-1,$AI248/$AI247-1,$AJ248/$AJ247-1,$AL248/$AL247-1,$AM248/$AM247-1,$AR248/$AR247-1,$AS248/$AS247-1,$AT248/$AT247-1,$AU248/$AU247-1,$AV248/$AV247-1,$AW248/$AW247-1,$AX248/$AX247-1,$AY248/$AY247-1),"")</f>
        <v/>
      </c>
      <c r="DW247" s="66">
        <f>AVERAGE($CB247,$CC247,$CD247,$CE247,$CF247,$CG247,$CH247,$CI247,$CJ247,$CL247,$CM247,$CN247,$CO247,$CP247,$CQ247,$CR247,$CS247,$CT247)</f>
        <v/>
      </c>
      <c r="DX247" s="66">
        <f>AVERAGE($CB247,$CC247,$CM247,$CE247,$CP247)</f>
        <v/>
      </c>
      <c r="DY247" s="64">
        <f>($DW247-$DW248)*100</f>
        <v/>
      </c>
      <c r="DZ247" s="64">
        <f>($DX247-$DX248)*100</f>
        <v/>
      </c>
      <c r="EA247" s="64">
        <f>($DW247-$D247)*100</f>
        <v/>
      </c>
      <c r="EB247" s="64">
        <f>$Q247-$O247</f>
        <v/>
      </c>
      <c r="EC247" s="67">
        <f>IFERROR($Q247/$P247,"")</f>
        <v/>
      </c>
    </row>
    <row r="248">
      <c r="DG248" s="64">
        <f>($B248-$B249)*100</f>
        <v/>
      </c>
      <c r="DH248" s="64">
        <f>($D248-$D249)*100</f>
        <v/>
      </c>
      <c r="DI248" s="64">
        <f>($E248-$E249)*100</f>
        <v/>
      </c>
      <c r="DJ248" s="64">
        <f>($H248-$H249)*100</f>
        <v/>
      </c>
      <c r="DK248" s="65">
        <f>IFERROR($J248/$J249-1,"")</f>
        <v/>
      </c>
      <c r="DL248" s="64">
        <f>$L248-$L249</f>
        <v/>
      </c>
      <c r="DM248" s="64">
        <f>$K248-$K249</f>
        <v/>
      </c>
      <c r="DN248" s="65">
        <f>IFERROR($N248/$N249-1,"")</f>
        <v/>
      </c>
      <c r="DO248" s="65">
        <f>IFERROR($M248/$M249-1,"")</f>
        <v/>
      </c>
      <c r="DP248" s="65">
        <f>IFERROR($AZ248/$AZ249-1,"")</f>
        <v/>
      </c>
      <c r="DQ248" s="65">
        <f>IFERROR($BA248/$BA249-1,"")</f>
        <v/>
      </c>
      <c r="DR248" s="64">
        <f>$O248-$O249</f>
        <v/>
      </c>
      <c r="DS248" s="64">
        <f>$P248-$P249</f>
        <v/>
      </c>
      <c r="DT248" s="64">
        <f>$Q248-$Q249</f>
        <v/>
      </c>
      <c r="DU248" s="64">
        <f>$S248-$S249</f>
        <v/>
      </c>
      <c r="DV248" s="65">
        <f>IFERROR(AVERAGE($AA249/$AA248-1,$AB249/$AB248-1,$AC249/$AC248-1,$AD249/$AD248-1,$AE249/$AE248-1,$AG249/$AG248-1,$AH249/$AH248-1,$AI249/$AI248-1,$AJ249/$AJ248-1,$AL249/$AL248-1,$AM249/$AM248-1,$AR249/$AR248-1,$AS249/$AS248-1,$AT249/$AT248-1,$AU249/$AU248-1,$AV249/$AV248-1,$AW249/$AW248-1,$AX249/$AX248-1,$AY249/$AY248-1),"")</f>
        <v/>
      </c>
      <c r="DW248" s="66">
        <f>AVERAGE($CB248,$CC248,$CD248,$CE248,$CF248,$CG248,$CH248,$CI248,$CJ248,$CL248,$CM248,$CN248,$CO248,$CP248,$CQ248,$CR248,$CS248,$CT248)</f>
        <v/>
      </c>
      <c r="DX248" s="66">
        <f>AVERAGE($CB248,$CC248,$CM248,$CE248,$CP248)</f>
        <v/>
      </c>
      <c r="DY248" s="64">
        <f>($DW248-$DW249)*100</f>
        <v/>
      </c>
      <c r="DZ248" s="64">
        <f>($DX248-$DX249)*100</f>
        <v/>
      </c>
      <c r="EA248" s="64">
        <f>($DW248-$D248)*100</f>
        <v/>
      </c>
      <c r="EB248" s="64">
        <f>$Q248-$O248</f>
        <v/>
      </c>
      <c r="EC248" s="67">
        <f>IFERROR($Q248/$P248,"")</f>
        <v/>
      </c>
    </row>
    <row r="249">
      <c r="DG249" s="64">
        <f>($B249-$B250)*100</f>
        <v/>
      </c>
      <c r="DH249" s="64">
        <f>($D249-$D250)*100</f>
        <v/>
      </c>
      <c r="DI249" s="64">
        <f>($E249-$E250)*100</f>
        <v/>
      </c>
      <c r="DJ249" s="64">
        <f>($H249-$H250)*100</f>
        <v/>
      </c>
      <c r="DK249" s="65">
        <f>IFERROR($J249/$J250-1,"")</f>
        <v/>
      </c>
      <c r="DL249" s="64">
        <f>$L249-$L250</f>
        <v/>
      </c>
      <c r="DM249" s="64">
        <f>$K249-$K250</f>
        <v/>
      </c>
      <c r="DN249" s="65">
        <f>IFERROR($N249/$N250-1,"")</f>
        <v/>
      </c>
      <c r="DO249" s="65">
        <f>IFERROR($M249/$M250-1,"")</f>
        <v/>
      </c>
      <c r="DP249" s="65">
        <f>IFERROR($AZ249/$AZ250-1,"")</f>
        <v/>
      </c>
      <c r="DQ249" s="65">
        <f>IFERROR($BA249/$BA250-1,"")</f>
        <v/>
      </c>
      <c r="DR249" s="64">
        <f>$O249-$O250</f>
        <v/>
      </c>
      <c r="DS249" s="64">
        <f>$P249-$P250</f>
        <v/>
      </c>
      <c r="DT249" s="64">
        <f>$Q249-$Q250</f>
        <v/>
      </c>
      <c r="DU249" s="64">
        <f>$S249-$S250</f>
        <v/>
      </c>
      <c r="DV249" s="65">
        <f>IFERROR(AVERAGE($AA250/$AA249-1,$AB250/$AB249-1,$AC250/$AC249-1,$AD250/$AD249-1,$AE250/$AE249-1,$AG250/$AG249-1,$AH250/$AH249-1,$AI250/$AI249-1,$AJ250/$AJ249-1,$AL250/$AL249-1,$AM250/$AM249-1,$AR250/$AR249-1,$AS250/$AS249-1,$AT250/$AT249-1,$AU250/$AU249-1,$AV250/$AV249-1,$AW250/$AW249-1,$AX250/$AX249-1,$AY250/$AY249-1),"")</f>
        <v/>
      </c>
      <c r="DW249" s="66">
        <f>AVERAGE($CB249,$CC249,$CD249,$CE249,$CF249,$CG249,$CH249,$CI249,$CJ249,$CL249,$CM249,$CN249,$CO249,$CP249,$CQ249,$CR249,$CS249,$CT249)</f>
        <v/>
      </c>
      <c r="DX249" s="66">
        <f>AVERAGE($CB249,$CC249,$CM249,$CE249,$CP249)</f>
        <v/>
      </c>
      <c r="DY249" s="64">
        <f>($DW249-$DW250)*100</f>
        <v/>
      </c>
      <c r="DZ249" s="64">
        <f>($DX249-$DX250)*100</f>
        <v/>
      </c>
      <c r="EA249" s="64">
        <f>($DW249-$D249)*100</f>
        <v/>
      </c>
      <c r="EB249" s="64">
        <f>$Q249-$O249</f>
        <v/>
      </c>
      <c r="EC249" s="67">
        <f>IFERROR($Q249/$P249,"")</f>
        <v/>
      </c>
    </row>
    <row r="250">
      <c r="DG250" s="64">
        <f>($B250-$B251)*100</f>
        <v/>
      </c>
      <c r="DH250" s="64">
        <f>($D250-$D251)*100</f>
        <v/>
      </c>
      <c r="DI250" s="64">
        <f>($E250-$E251)*100</f>
        <v/>
      </c>
      <c r="DJ250" s="64">
        <f>($H250-$H251)*100</f>
        <v/>
      </c>
      <c r="DK250" s="65">
        <f>IFERROR($J250/$J251-1,"")</f>
        <v/>
      </c>
      <c r="DL250" s="64">
        <f>$L250-$L251</f>
        <v/>
      </c>
      <c r="DM250" s="64">
        <f>$K250-$K251</f>
        <v/>
      </c>
      <c r="DN250" s="65">
        <f>IFERROR($N250/$N251-1,"")</f>
        <v/>
      </c>
      <c r="DO250" s="65">
        <f>IFERROR($M250/$M251-1,"")</f>
        <v/>
      </c>
      <c r="DP250" s="65">
        <f>IFERROR($AZ250/$AZ251-1,"")</f>
        <v/>
      </c>
      <c r="DQ250" s="65">
        <f>IFERROR($BA250/$BA251-1,"")</f>
        <v/>
      </c>
      <c r="DR250" s="64">
        <f>$O250-$O251</f>
        <v/>
      </c>
      <c r="DS250" s="64">
        <f>$P250-$P251</f>
        <v/>
      </c>
      <c r="DT250" s="64">
        <f>$Q250-$Q251</f>
        <v/>
      </c>
      <c r="DU250" s="64">
        <f>$S250-$S251</f>
        <v/>
      </c>
      <c r="DV250" s="65">
        <f>IFERROR(AVERAGE($AA251/$AA250-1,$AB251/$AB250-1,$AC251/$AC250-1,$AD251/$AD250-1,$AE251/$AE250-1,$AG251/$AG250-1,$AH251/$AH250-1,$AI251/$AI250-1,$AJ251/$AJ250-1,$AL251/$AL250-1,$AM251/$AM250-1,$AR251/$AR250-1,$AS251/$AS250-1,$AT251/$AT250-1,$AU251/$AU250-1,$AV251/$AV250-1,$AW251/$AW250-1,$AX251/$AX250-1,$AY251/$AY250-1),"")</f>
        <v/>
      </c>
      <c r="DW250" s="66">
        <f>AVERAGE($CB250,$CC250,$CD250,$CE250,$CF250,$CG250,$CH250,$CI250,$CJ250,$CL250,$CM250,$CN250,$CO250,$CP250,$CQ250,$CR250,$CS250,$CT250)</f>
        <v/>
      </c>
      <c r="DX250" s="66">
        <f>AVERAGE($CB250,$CC250,$CM250,$CE250,$CP250)</f>
        <v/>
      </c>
      <c r="DY250" s="64">
        <f>($DW250-$DW251)*100</f>
        <v/>
      </c>
      <c r="DZ250" s="64">
        <f>($DX250-$DX251)*100</f>
        <v/>
      </c>
      <c r="EA250" s="64">
        <f>($DW250-$D250)*100</f>
        <v/>
      </c>
      <c r="EB250" s="64">
        <f>$Q250-$O250</f>
        <v/>
      </c>
      <c r="EC250" s="67">
        <f>IFERROR($Q250/$P250,"")</f>
        <v/>
      </c>
    </row>
    <row r="251">
      <c r="DG251" s="64">
        <f>($B251-$B252)*100</f>
        <v/>
      </c>
      <c r="DH251" s="64">
        <f>($D251-$D252)*100</f>
        <v/>
      </c>
      <c r="DI251" s="64">
        <f>($E251-$E252)*100</f>
        <v/>
      </c>
      <c r="DJ251" s="64">
        <f>($H251-$H252)*100</f>
        <v/>
      </c>
      <c r="DK251" s="65">
        <f>IFERROR($J251/$J252-1,"")</f>
        <v/>
      </c>
      <c r="DL251" s="64">
        <f>$L251-$L252</f>
        <v/>
      </c>
      <c r="DM251" s="64">
        <f>$K251-$K252</f>
        <v/>
      </c>
      <c r="DN251" s="65">
        <f>IFERROR($N251/$N252-1,"")</f>
        <v/>
      </c>
      <c r="DO251" s="65">
        <f>IFERROR($M251/$M252-1,"")</f>
        <v/>
      </c>
      <c r="DP251" s="65">
        <f>IFERROR($AZ251/$AZ252-1,"")</f>
        <v/>
      </c>
      <c r="DQ251" s="65">
        <f>IFERROR($BA251/$BA252-1,"")</f>
        <v/>
      </c>
      <c r="DR251" s="64">
        <f>$O251-$O252</f>
        <v/>
      </c>
      <c r="DS251" s="64">
        <f>$P251-$P252</f>
        <v/>
      </c>
      <c r="DT251" s="64">
        <f>$Q251-$Q252</f>
        <v/>
      </c>
      <c r="DU251" s="64">
        <f>$S251-$S252</f>
        <v/>
      </c>
      <c r="DV251" s="65">
        <f>IFERROR(AVERAGE($AA252/$AA251-1,$AB252/$AB251-1,$AC252/$AC251-1,$AD252/$AD251-1,$AE252/$AE251-1,$AG252/$AG251-1,$AH252/$AH251-1,$AI252/$AI251-1,$AJ252/$AJ251-1,$AL252/$AL251-1,$AM252/$AM251-1,$AR252/$AR251-1,$AS252/$AS251-1,$AT252/$AT251-1,$AU252/$AU251-1,$AV252/$AV251-1,$AW252/$AW251-1,$AX252/$AX251-1,$AY252/$AY251-1),"")</f>
        <v/>
      </c>
      <c r="DW251" s="66">
        <f>AVERAGE($CB251,$CC251,$CD251,$CE251,$CF251,$CG251,$CH251,$CI251,$CJ251,$CL251,$CM251,$CN251,$CO251,$CP251,$CQ251,$CR251,$CS251,$CT251)</f>
        <v/>
      </c>
      <c r="DX251" s="66">
        <f>AVERAGE($CB251,$CC251,$CM251,$CE251,$CP251)</f>
        <v/>
      </c>
      <c r="DY251" s="64">
        <f>($DW251-$DW252)*100</f>
        <v/>
      </c>
      <c r="DZ251" s="64">
        <f>($DX251-$DX252)*100</f>
        <v/>
      </c>
      <c r="EA251" s="64">
        <f>($DW251-$D251)*100</f>
        <v/>
      </c>
      <c r="EB251" s="64">
        <f>$Q251-$O251</f>
        <v/>
      </c>
      <c r="EC251" s="67">
        <f>IFERROR($Q251/$P251,"")</f>
        <v/>
      </c>
    </row>
    <row r="252">
      <c r="DG252" s="64">
        <f>($B252-$B253)*100</f>
        <v/>
      </c>
      <c r="DH252" s="64">
        <f>($D252-$D253)*100</f>
        <v/>
      </c>
      <c r="DI252" s="64">
        <f>($E252-$E253)*100</f>
        <v/>
      </c>
      <c r="DJ252" s="64">
        <f>($H252-$H253)*100</f>
        <v/>
      </c>
      <c r="DK252" s="65">
        <f>IFERROR($J252/$J253-1,"")</f>
        <v/>
      </c>
      <c r="DL252" s="64">
        <f>$L252-$L253</f>
        <v/>
      </c>
      <c r="DM252" s="64">
        <f>$K252-$K253</f>
        <v/>
      </c>
      <c r="DN252" s="65">
        <f>IFERROR($N252/$N253-1,"")</f>
        <v/>
      </c>
      <c r="DO252" s="65">
        <f>IFERROR($M252/$M253-1,"")</f>
        <v/>
      </c>
      <c r="DP252" s="65">
        <f>IFERROR($AZ252/$AZ253-1,"")</f>
        <v/>
      </c>
      <c r="DQ252" s="65">
        <f>IFERROR($BA252/$BA253-1,"")</f>
        <v/>
      </c>
      <c r="DR252" s="64">
        <f>$O252-$O253</f>
        <v/>
      </c>
      <c r="DS252" s="64">
        <f>$P252-$P253</f>
        <v/>
      </c>
      <c r="DT252" s="64">
        <f>$Q252-$Q253</f>
        <v/>
      </c>
      <c r="DU252" s="64">
        <f>$S252-$S253</f>
        <v/>
      </c>
      <c r="DV252" s="65">
        <f>IFERROR(AVERAGE($AA253/$AA252-1,$AB253/$AB252-1,$AC253/$AC252-1,$AD253/$AD252-1,$AE253/$AE252-1,$AG253/$AG252-1,$AH253/$AH252-1,$AI253/$AI252-1,$AJ253/$AJ252-1,$AL253/$AL252-1,$AM253/$AM252-1,$AR253/$AR252-1,$AS253/$AS252-1,$AT253/$AT252-1,$AU253/$AU252-1,$AV253/$AV252-1,$AW253/$AW252-1,$AX253/$AX252-1,$AY253/$AY252-1),"")</f>
        <v/>
      </c>
      <c r="DW252" s="66">
        <f>AVERAGE($CB252,$CC252,$CD252,$CE252,$CF252,$CG252,$CH252,$CI252,$CJ252,$CL252,$CM252,$CN252,$CO252,$CP252,$CQ252,$CR252,$CS252,$CT252)</f>
        <v/>
      </c>
      <c r="DX252" s="66">
        <f>AVERAGE($CB252,$CC252,$CM252,$CE252,$CP252)</f>
        <v/>
      </c>
      <c r="DY252" s="64">
        <f>($DW252-$DW253)*100</f>
        <v/>
      </c>
      <c r="DZ252" s="64">
        <f>($DX252-$DX253)*100</f>
        <v/>
      </c>
      <c r="EA252" s="64">
        <f>($DW252-$D252)*100</f>
        <v/>
      </c>
      <c r="EB252" s="64">
        <f>$Q252-$O252</f>
        <v/>
      </c>
      <c r="EC252" s="67">
        <f>IFERROR($Q252/$P252,"")</f>
        <v/>
      </c>
    </row>
    <row r="253">
      <c r="DG253" s="64">
        <f>($B253-$B254)*100</f>
        <v/>
      </c>
      <c r="DH253" s="64">
        <f>($D253-$D254)*100</f>
        <v/>
      </c>
      <c r="DI253" s="64">
        <f>($E253-$E254)*100</f>
        <v/>
      </c>
      <c r="DJ253" s="64">
        <f>($H253-$H254)*100</f>
        <v/>
      </c>
      <c r="DK253" s="65">
        <f>IFERROR($J253/$J254-1,"")</f>
        <v/>
      </c>
      <c r="DL253" s="64">
        <f>$L253-$L254</f>
        <v/>
      </c>
      <c r="DM253" s="64">
        <f>$K253-$K254</f>
        <v/>
      </c>
      <c r="DN253" s="65">
        <f>IFERROR($N253/$N254-1,"")</f>
        <v/>
      </c>
      <c r="DO253" s="65">
        <f>IFERROR($M253/$M254-1,"")</f>
        <v/>
      </c>
      <c r="DP253" s="65">
        <f>IFERROR($AZ253/$AZ254-1,"")</f>
        <v/>
      </c>
      <c r="DQ253" s="65">
        <f>IFERROR($BA253/$BA254-1,"")</f>
        <v/>
      </c>
      <c r="DR253" s="64">
        <f>$O253-$O254</f>
        <v/>
      </c>
      <c r="DS253" s="64">
        <f>$P253-$P254</f>
        <v/>
      </c>
      <c r="DT253" s="64">
        <f>$Q253-$Q254</f>
        <v/>
      </c>
      <c r="DU253" s="64">
        <f>$S253-$S254</f>
        <v/>
      </c>
      <c r="DV253" s="65">
        <f>IFERROR(AVERAGE($AA254/$AA253-1,$AB254/$AB253-1,$AC254/$AC253-1,$AD254/$AD253-1,$AE254/$AE253-1,$AG254/$AG253-1,$AH254/$AH253-1,$AI254/$AI253-1,$AJ254/$AJ253-1,$AL254/$AL253-1,$AM254/$AM253-1,$AR254/$AR253-1,$AS254/$AS253-1,$AT254/$AT253-1,$AU254/$AU253-1,$AV254/$AV253-1,$AW254/$AW253-1,$AX254/$AX253-1,$AY254/$AY253-1),"")</f>
        <v/>
      </c>
      <c r="DW253" s="66">
        <f>AVERAGE($CB253,$CC253,$CD253,$CE253,$CF253,$CG253,$CH253,$CI253,$CJ253,$CL253,$CM253,$CN253,$CO253,$CP253,$CQ253,$CR253,$CS253,$CT253)</f>
        <v/>
      </c>
      <c r="DX253" s="66">
        <f>AVERAGE($CB253,$CC253,$CM253,$CE253,$CP253)</f>
        <v/>
      </c>
      <c r="DY253" s="64">
        <f>($DW253-$DW254)*100</f>
        <v/>
      </c>
      <c r="DZ253" s="64">
        <f>($DX253-$DX254)*100</f>
        <v/>
      </c>
      <c r="EA253" s="64">
        <f>($DW253-$D253)*100</f>
        <v/>
      </c>
      <c r="EB253" s="64">
        <f>$Q253-$O253</f>
        <v/>
      </c>
      <c r="EC253" s="67">
        <f>IFERROR($Q253/$P253,"")</f>
        <v/>
      </c>
    </row>
    <row r="254">
      <c r="DG254" s="64">
        <f>($B254-$B255)*100</f>
        <v/>
      </c>
      <c r="DH254" s="64">
        <f>($D254-$D255)*100</f>
        <v/>
      </c>
      <c r="DI254" s="64">
        <f>($E254-$E255)*100</f>
        <v/>
      </c>
      <c r="DJ254" s="64">
        <f>($H254-$H255)*100</f>
        <v/>
      </c>
      <c r="DK254" s="65">
        <f>IFERROR($J254/$J255-1,"")</f>
        <v/>
      </c>
      <c r="DL254" s="64">
        <f>$L254-$L255</f>
        <v/>
      </c>
      <c r="DM254" s="64">
        <f>$K254-$K255</f>
        <v/>
      </c>
      <c r="DN254" s="65">
        <f>IFERROR($N254/$N255-1,"")</f>
        <v/>
      </c>
      <c r="DO254" s="65">
        <f>IFERROR($M254/$M255-1,"")</f>
        <v/>
      </c>
      <c r="DP254" s="65">
        <f>IFERROR($AZ254/$AZ255-1,"")</f>
        <v/>
      </c>
      <c r="DQ254" s="65">
        <f>IFERROR($BA254/$BA255-1,"")</f>
        <v/>
      </c>
      <c r="DR254" s="64">
        <f>$O254-$O255</f>
        <v/>
      </c>
      <c r="DS254" s="64">
        <f>$P254-$P255</f>
        <v/>
      </c>
      <c r="DT254" s="64">
        <f>$Q254-$Q255</f>
        <v/>
      </c>
      <c r="DU254" s="64">
        <f>$S254-$S255</f>
        <v/>
      </c>
      <c r="DV254" s="65">
        <f>IFERROR(AVERAGE($AA255/$AA254-1,$AB255/$AB254-1,$AC255/$AC254-1,$AD255/$AD254-1,$AE255/$AE254-1,$AG255/$AG254-1,$AH255/$AH254-1,$AI255/$AI254-1,$AJ255/$AJ254-1,$AL255/$AL254-1,$AM255/$AM254-1,$AR255/$AR254-1,$AS255/$AS254-1,$AT255/$AT254-1,$AU255/$AU254-1,$AV255/$AV254-1,$AW255/$AW254-1,$AX255/$AX254-1,$AY255/$AY254-1),"")</f>
        <v/>
      </c>
      <c r="DW254" s="66">
        <f>AVERAGE($CB254,$CC254,$CD254,$CE254,$CF254,$CG254,$CH254,$CI254,$CJ254,$CL254,$CM254,$CN254,$CO254,$CP254,$CQ254,$CR254,$CS254,$CT254)</f>
        <v/>
      </c>
      <c r="DX254" s="66">
        <f>AVERAGE($CB254,$CC254,$CM254,$CE254,$CP254)</f>
        <v/>
      </c>
      <c r="DY254" s="64">
        <f>($DW254-$DW255)*100</f>
        <v/>
      </c>
      <c r="DZ254" s="64">
        <f>($DX254-$DX255)*100</f>
        <v/>
      </c>
      <c r="EA254" s="64">
        <f>($DW254-$D254)*100</f>
        <v/>
      </c>
      <c r="EB254" s="64">
        <f>$Q254-$O254</f>
        <v/>
      </c>
      <c r="EC254" s="67">
        <f>IFERROR($Q254/$P254,"")</f>
        <v/>
      </c>
    </row>
    <row r="255">
      <c r="DG255" s="64">
        <f>($B255-$B256)*100</f>
        <v/>
      </c>
      <c r="DH255" s="64">
        <f>($D255-$D256)*100</f>
        <v/>
      </c>
      <c r="DI255" s="64">
        <f>($E255-$E256)*100</f>
        <v/>
      </c>
      <c r="DJ255" s="64">
        <f>($H255-$H256)*100</f>
        <v/>
      </c>
      <c r="DK255" s="65">
        <f>IFERROR($J255/$J256-1,"")</f>
        <v/>
      </c>
      <c r="DL255" s="64">
        <f>$L255-$L256</f>
        <v/>
      </c>
      <c r="DM255" s="64">
        <f>$K255-$K256</f>
        <v/>
      </c>
      <c r="DN255" s="65">
        <f>IFERROR($N255/$N256-1,"")</f>
        <v/>
      </c>
      <c r="DO255" s="65">
        <f>IFERROR($M255/$M256-1,"")</f>
        <v/>
      </c>
      <c r="DP255" s="65">
        <f>IFERROR($AZ255/$AZ256-1,"")</f>
        <v/>
      </c>
      <c r="DQ255" s="65">
        <f>IFERROR($BA255/$BA256-1,"")</f>
        <v/>
      </c>
      <c r="DR255" s="64">
        <f>$O255-$O256</f>
        <v/>
      </c>
      <c r="DS255" s="64">
        <f>$P255-$P256</f>
        <v/>
      </c>
      <c r="DT255" s="64">
        <f>$Q255-$Q256</f>
        <v/>
      </c>
      <c r="DU255" s="64">
        <f>$S255-$S256</f>
        <v/>
      </c>
      <c r="DV255" s="65">
        <f>IFERROR(AVERAGE($AA256/$AA255-1,$AB256/$AB255-1,$AC256/$AC255-1,$AD256/$AD255-1,$AE256/$AE255-1,$AG256/$AG255-1,$AH256/$AH255-1,$AI256/$AI255-1,$AJ256/$AJ255-1,$AL256/$AL255-1,$AM256/$AM255-1,$AR256/$AR255-1,$AS256/$AS255-1,$AT256/$AT255-1,$AU256/$AU255-1,$AV256/$AV255-1,$AW256/$AW255-1,$AX256/$AX255-1,$AY256/$AY255-1),"")</f>
        <v/>
      </c>
      <c r="DW255" s="66">
        <f>AVERAGE($CB255,$CC255,$CD255,$CE255,$CF255,$CG255,$CH255,$CI255,$CJ255,$CL255,$CM255,$CN255,$CO255,$CP255,$CQ255,$CR255,$CS255,$CT255)</f>
        <v/>
      </c>
      <c r="DX255" s="66">
        <f>AVERAGE($CB255,$CC255,$CM255,$CE255,$CP255)</f>
        <v/>
      </c>
      <c r="DY255" s="64">
        <f>($DW255-$DW256)*100</f>
        <v/>
      </c>
      <c r="DZ255" s="64">
        <f>($DX255-$DX256)*100</f>
        <v/>
      </c>
      <c r="EA255" s="64">
        <f>($DW255-$D255)*100</f>
        <v/>
      </c>
      <c r="EB255" s="64">
        <f>$Q255-$O255</f>
        <v/>
      </c>
      <c r="EC255" s="67">
        <f>IFERROR($Q255/$P255,"")</f>
        <v/>
      </c>
    </row>
    <row r="256">
      <c r="DG256" s="64">
        <f>($B256-$B257)*100</f>
        <v/>
      </c>
      <c r="DH256" s="64">
        <f>($D256-$D257)*100</f>
        <v/>
      </c>
      <c r="DI256" s="64">
        <f>($E256-$E257)*100</f>
        <v/>
      </c>
      <c r="DJ256" s="64">
        <f>($H256-$H257)*100</f>
        <v/>
      </c>
      <c r="DK256" s="65">
        <f>IFERROR($J256/$J257-1,"")</f>
        <v/>
      </c>
      <c r="DL256" s="64">
        <f>$L256-$L257</f>
        <v/>
      </c>
      <c r="DM256" s="64">
        <f>$K256-$K257</f>
        <v/>
      </c>
      <c r="DN256" s="65">
        <f>IFERROR($N256/$N257-1,"")</f>
        <v/>
      </c>
      <c r="DO256" s="65">
        <f>IFERROR($M256/$M257-1,"")</f>
        <v/>
      </c>
      <c r="DP256" s="65">
        <f>IFERROR($AZ256/$AZ257-1,"")</f>
        <v/>
      </c>
      <c r="DQ256" s="65">
        <f>IFERROR($BA256/$BA257-1,"")</f>
        <v/>
      </c>
      <c r="DR256" s="64">
        <f>$O256-$O257</f>
        <v/>
      </c>
      <c r="DS256" s="64">
        <f>$P256-$P257</f>
        <v/>
      </c>
      <c r="DT256" s="64">
        <f>$Q256-$Q257</f>
        <v/>
      </c>
      <c r="DU256" s="64">
        <f>$S256-$S257</f>
        <v/>
      </c>
      <c r="DV256" s="65">
        <f>IFERROR(AVERAGE($AA257/$AA256-1,$AB257/$AB256-1,$AC257/$AC256-1,$AD257/$AD256-1,$AE257/$AE256-1,$AG257/$AG256-1,$AH257/$AH256-1,$AI257/$AI256-1,$AJ257/$AJ256-1,$AL257/$AL256-1,$AM257/$AM256-1,$AR257/$AR256-1,$AS257/$AS256-1,$AT257/$AT256-1,$AU257/$AU256-1,$AV257/$AV256-1,$AW257/$AW256-1,$AX257/$AX256-1,$AY257/$AY256-1),"")</f>
        <v/>
      </c>
      <c r="DW256" s="66">
        <f>AVERAGE($CB256,$CC256,$CD256,$CE256,$CF256,$CG256,$CH256,$CI256,$CJ256,$CL256,$CM256,$CN256,$CO256,$CP256,$CQ256,$CR256,$CS256,$CT256)</f>
        <v/>
      </c>
      <c r="DX256" s="66">
        <f>AVERAGE($CB256,$CC256,$CM256,$CE256,$CP256)</f>
        <v/>
      </c>
      <c r="DY256" s="64">
        <f>($DW256-$DW257)*100</f>
        <v/>
      </c>
      <c r="DZ256" s="64">
        <f>($DX256-$DX257)*100</f>
        <v/>
      </c>
      <c r="EA256" s="64">
        <f>($DW256-$D256)*100</f>
        <v/>
      </c>
      <c r="EB256" s="64">
        <f>$Q256-$O256</f>
        <v/>
      </c>
      <c r="EC256" s="67">
        <f>IFERROR($Q256/$P256,"")</f>
        <v/>
      </c>
    </row>
    <row r="257">
      <c r="DG257" s="64">
        <f>($B257-$B258)*100</f>
        <v/>
      </c>
      <c r="DH257" s="64">
        <f>($D257-$D258)*100</f>
        <v/>
      </c>
      <c r="DI257" s="64">
        <f>($E257-$E258)*100</f>
        <v/>
      </c>
      <c r="DJ257" s="64">
        <f>($H257-$H258)*100</f>
        <v/>
      </c>
      <c r="DK257" s="65">
        <f>IFERROR($J257/$J258-1,"")</f>
        <v/>
      </c>
      <c r="DL257" s="64">
        <f>$L257-$L258</f>
        <v/>
      </c>
      <c r="DM257" s="64">
        <f>$K257-$K258</f>
        <v/>
      </c>
      <c r="DN257" s="65">
        <f>IFERROR($N257/$N258-1,"")</f>
        <v/>
      </c>
      <c r="DO257" s="65">
        <f>IFERROR($M257/$M258-1,"")</f>
        <v/>
      </c>
      <c r="DP257" s="65">
        <f>IFERROR($AZ257/$AZ258-1,"")</f>
        <v/>
      </c>
      <c r="DQ257" s="65">
        <f>IFERROR($BA257/$BA258-1,"")</f>
        <v/>
      </c>
      <c r="DR257" s="64">
        <f>$O257-$O258</f>
        <v/>
      </c>
      <c r="DS257" s="64">
        <f>$P257-$P258</f>
        <v/>
      </c>
      <c r="DT257" s="64">
        <f>$Q257-$Q258</f>
        <v/>
      </c>
      <c r="DU257" s="64">
        <f>$S257-$S258</f>
        <v/>
      </c>
      <c r="DV257" s="65">
        <f>IFERROR(AVERAGE($AA258/$AA257-1,$AB258/$AB257-1,$AC258/$AC257-1,$AD258/$AD257-1,$AE258/$AE257-1,$AG258/$AG257-1,$AH258/$AH257-1,$AI258/$AI257-1,$AJ258/$AJ257-1,$AL258/$AL257-1,$AM258/$AM257-1,$AR258/$AR257-1,$AS258/$AS257-1,$AT258/$AT257-1,$AU258/$AU257-1,$AV258/$AV257-1,$AW258/$AW257-1,$AX258/$AX257-1,$AY258/$AY257-1),"")</f>
        <v/>
      </c>
      <c r="DW257" s="66">
        <f>AVERAGE($CB257,$CC257,$CD257,$CE257,$CF257,$CG257,$CH257,$CI257,$CJ257,$CL257,$CM257,$CN257,$CO257,$CP257,$CQ257,$CR257,$CS257,$CT257)</f>
        <v/>
      </c>
      <c r="DX257" s="66">
        <f>AVERAGE($CB257,$CC257,$CM257,$CE257,$CP257)</f>
        <v/>
      </c>
      <c r="DY257" s="64">
        <f>($DW257-$DW258)*100</f>
        <v/>
      </c>
      <c r="DZ257" s="64">
        <f>($DX257-$DX258)*100</f>
        <v/>
      </c>
      <c r="EA257" s="64">
        <f>($DW257-$D257)*100</f>
        <v/>
      </c>
      <c r="EB257" s="64">
        <f>$Q257-$O257</f>
        <v/>
      </c>
      <c r="EC257" s="67">
        <f>IFERROR($Q257/$P257,"")</f>
        <v/>
      </c>
    </row>
    <row r="258">
      <c r="DG258" s="64">
        <f>($B258-$B259)*100</f>
        <v/>
      </c>
      <c r="DH258" s="64">
        <f>($D258-$D259)*100</f>
        <v/>
      </c>
      <c r="DI258" s="64">
        <f>($E258-$E259)*100</f>
        <v/>
      </c>
      <c r="DJ258" s="64">
        <f>($H258-$H259)*100</f>
        <v/>
      </c>
      <c r="DK258" s="65">
        <f>IFERROR($J258/$J259-1,"")</f>
        <v/>
      </c>
      <c r="DL258" s="64">
        <f>$L258-$L259</f>
        <v/>
      </c>
      <c r="DM258" s="64">
        <f>$K258-$K259</f>
        <v/>
      </c>
      <c r="DN258" s="65">
        <f>IFERROR($N258/$N259-1,"")</f>
        <v/>
      </c>
      <c r="DO258" s="65">
        <f>IFERROR($M258/$M259-1,"")</f>
        <v/>
      </c>
      <c r="DP258" s="65">
        <f>IFERROR($AZ258/$AZ259-1,"")</f>
        <v/>
      </c>
      <c r="DQ258" s="65">
        <f>IFERROR($BA258/$BA259-1,"")</f>
        <v/>
      </c>
      <c r="DR258" s="64">
        <f>$O258-$O259</f>
        <v/>
      </c>
      <c r="DS258" s="64">
        <f>$P258-$P259</f>
        <v/>
      </c>
      <c r="DT258" s="64">
        <f>$Q258-$Q259</f>
        <v/>
      </c>
      <c r="DU258" s="64">
        <f>$S258-$S259</f>
        <v/>
      </c>
      <c r="DV258" s="65">
        <f>IFERROR(AVERAGE($AA259/$AA258-1,$AB259/$AB258-1,$AC259/$AC258-1,$AD259/$AD258-1,$AE259/$AE258-1,$AG259/$AG258-1,$AH259/$AH258-1,$AI259/$AI258-1,$AJ259/$AJ258-1,$AL259/$AL258-1,$AM259/$AM258-1,$AR259/$AR258-1,$AS259/$AS258-1,$AT259/$AT258-1,$AU259/$AU258-1,$AV259/$AV258-1,$AW259/$AW258-1,$AX259/$AX258-1,$AY259/$AY258-1),"")</f>
        <v/>
      </c>
      <c r="DW258" s="66">
        <f>AVERAGE($CB258,$CC258,$CD258,$CE258,$CF258,$CG258,$CH258,$CI258,$CJ258,$CL258,$CM258,$CN258,$CO258,$CP258,$CQ258,$CR258,$CS258,$CT258)</f>
        <v/>
      </c>
      <c r="DX258" s="66">
        <f>AVERAGE($CB258,$CC258,$CM258,$CE258,$CP258)</f>
        <v/>
      </c>
      <c r="DY258" s="64">
        <f>($DW258-$DW259)*100</f>
        <v/>
      </c>
      <c r="DZ258" s="64">
        <f>($DX258-$DX259)*100</f>
        <v/>
      </c>
      <c r="EA258" s="64">
        <f>($DW258-$D258)*100</f>
        <v/>
      </c>
      <c r="EB258" s="64">
        <f>$Q258-$O258</f>
        <v/>
      </c>
      <c r="EC258" s="67">
        <f>IFERROR($Q258/$P258,"")</f>
        <v/>
      </c>
    </row>
    <row r="259">
      <c r="DG259" s="64">
        <f>($B259-$B260)*100</f>
        <v/>
      </c>
      <c r="DH259" s="64">
        <f>($D259-$D260)*100</f>
        <v/>
      </c>
      <c r="DI259" s="64">
        <f>($E259-$E260)*100</f>
        <v/>
      </c>
      <c r="DJ259" s="64">
        <f>($H259-$H260)*100</f>
        <v/>
      </c>
      <c r="DK259" s="65">
        <f>IFERROR($J259/$J260-1,"")</f>
        <v/>
      </c>
      <c r="DL259" s="64">
        <f>$L259-$L260</f>
        <v/>
      </c>
      <c r="DM259" s="64">
        <f>$K259-$K260</f>
        <v/>
      </c>
      <c r="DN259" s="65">
        <f>IFERROR($N259/$N260-1,"")</f>
        <v/>
      </c>
      <c r="DO259" s="65">
        <f>IFERROR($M259/$M260-1,"")</f>
        <v/>
      </c>
      <c r="DP259" s="65">
        <f>IFERROR($AZ259/$AZ260-1,"")</f>
        <v/>
      </c>
      <c r="DQ259" s="65">
        <f>IFERROR($BA259/$BA260-1,"")</f>
        <v/>
      </c>
      <c r="DR259" s="64">
        <f>$O259-$O260</f>
        <v/>
      </c>
      <c r="DS259" s="64">
        <f>$P259-$P260</f>
        <v/>
      </c>
      <c r="DT259" s="64">
        <f>$Q259-$Q260</f>
        <v/>
      </c>
      <c r="DU259" s="64">
        <f>$S259-$S260</f>
        <v/>
      </c>
      <c r="DV259" s="65">
        <f>IFERROR(AVERAGE($AA260/$AA259-1,$AB260/$AB259-1,$AC260/$AC259-1,$AD260/$AD259-1,$AE260/$AE259-1,$AG260/$AG259-1,$AH260/$AH259-1,$AI260/$AI259-1,$AJ260/$AJ259-1,$AL260/$AL259-1,$AM260/$AM259-1,$AR260/$AR259-1,$AS260/$AS259-1,$AT260/$AT259-1,$AU260/$AU259-1,$AV260/$AV259-1,$AW260/$AW259-1,$AX260/$AX259-1,$AY260/$AY259-1),"")</f>
        <v/>
      </c>
      <c r="DW259" s="66">
        <f>AVERAGE($CB259,$CC259,$CD259,$CE259,$CF259,$CG259,$CH259,$CI259,$CJ259,$CL259,$CM259,$CN259,$CO259,$CP259,$CQ259,$CR259,$CS259,$CT259)</f>
        <v/>
      </c>
      <c r="DX259" s="66">
        <f>AVERAGE($CB259,$CC259,$CM259,$CE259,$CP259)</f>
        <v/>
      </c>
      <c r="DY259" s="64">
        <f>($DW259-$DW260)*100</f>
        <v/>
      </c>
      <c r="DZ259" s="64">
        <f>($DX259-$DX260)*100</f>
        <v/>
      </c>
      <c r="EA259" s="64">
        <f>($DW259-$D259)*100</f>
        <v/>
      </c>
      <c r="EB259" s="64">
        <f>$Q259-$O259</f>
        <v/>
      </c>
      <c r="EC259" s="67">
        <f>IFERROR($Q259/$P259,"")</f>
        <v/>
      </c>
    </row>
    <row r="260">
      <c r="DG260" s="64">
        <f>($B260-$B261)*100</f>
        <v/>
      </c>
      <c r="DH260" s="64">
        <f>($D260-$D261)*100</f>
        <v/>
      </c>
      <c r="DI260" s="64">
        <f>($E260-$E261)*100</f>
        <v/>
      </c>
      <c r="DJ260" s="64">
        <f>($H260-$H261)*100</f>
        <v/>
      </c>
      <c r="DK260" s="65">
        <f>IFERROR($J260/$J261-1,"")</f>
        <v/>
      </c>
      <c r="DL260" s="64">
        <f>$L260-$L261</f>
        <v/>
      </c>
      <c r="DM260" s="64">
        <f>$K260-$K261</f>
        <v/>
      </c>
      <c r="DN260" s="65">
        <f>IFERROR($N260/$N261-1,"")</f>
        <v/>
      </c>
      <c r="DO260" s="65">
        <f>IFERROR($M260/$M261-1,"")</f>
        <v/>
      </c>
      <c r="DP260" s="65">
        <f>IFERROR($AZ260/$AZ261-1,"")</f>
        <v/>
      </c>
      <c r="DQ260" s="65">
        <f>IFERROR($BA260/$BA261-1,"")</f>
        <v/>
      </c>
      <c r="DR260" s="64">
        <f>$O260-$O261</f>
        <v/>
      </c>
      <c r="DS260" s="64">
        <f>$P260-$P261</f>
        <v/>
      </c>
      <c r="DT260" s="64">
        <f>$Q260-$Q261</f>
        <v/>
      </c>
      <c r="DU260" s="64">
        <f>$S260-$S261</f>
        <v/>
      </c>
      <c r="DV260" s="65">
        <f>IFERROR(AVERAGE($AA261/$AA260-1,$AB261/$AB260-1,$AC261/$AC260-1,$AD261/$AD260-1,$AE261/$AE260-1,$AG261/$AG260-1,$AH261/$AH260-1,$AI261/$AI260-1,$AJ261/$AJ260-1,$AL261/$AL260-1,$AM261/$AM260-1,$AR261/$AR260-1,$AS261/$AS260-1,$AT261/$AT260-1,$AU261/$AU260-1,$AV261/$AV260-1,$AW261/$AW260-1,$AX261/$AX260-1,$AY261/$AY260-1),"")</f>
        <v/>
      </c>
      <c r="DW260" s="66">
        <f>AVERAGE($CB260,$CC260,$CD260,$CE260,$CF260,$CG260,$CH260,$CI260,$CJ260,$CL260,$CM260,$CN260,$CO260,$CP260,$CQ260,$CR260,$CS260,$CT260)</f>
        <v/>
      </c>
      <c r="DX260" s="66">
        <f>AVERAGE($CB260,$CC260,$CM260,$CE260,$CP260)</f>
        <v/>
      </c>
      <c r="DY260" s="64">
        <f>($DW260-$DW261)*100</f>
        <v/>
      </c>
      <c r="DZ260" s="64">
        <f>($DX260-$DX261)*100</f>
        <v/>
      </c>
      <c r="EA260" s="64">
        <f>($DW260-$D260)*100</f>
        <v/>
      </c>
      <c r="EB260" s="64">
        <f>$Q260-$O260</f>
        <v/>
      </c>
      <c r="EC260" s="67">
        <f>IFERROR($Q260/$P260,"")</f>
        <v/>
      </c>
    </row>
    <row r="261">
      <c r="DG261" s="64">
        <f>($B261-$B262)*100</f>
        <v/>
      </c>
      <c r="DH261" s="64">
        <f>($D261-$D262)*100</f>
        <v/>
      </c>
      <c r="DI261" s="64">
        <f>($E261-$E262)*100</f>
        <v/>
      </c>
      <c r="DJ261" s="64">
        <f>($H261-$H262)*100</f>
        <v/>
      </c>
      <c r="DK261" s="65">
        <f>IFERROR($J261/$J262-1,"")</f>
        <v/>
      </c>
      <c r="DL261" s="64">
        <f>$L261-$L262</f>
        <v/>
      </c>
      <c r="DM261" s="64">
        <f>$K261-$K262</f>
        <v/>
      </c>
      <c r="DN261" s="65">
        <f>IFERROR($N261/$N262-1,"")</f>
        <v/>
      </c>
      <c r="DO261" s="65">
        <f>IFERROR($M261/$M262-1,"")</f>
        <v/>
      </c>
      <c r="DP261" s="65">
        <f>IFERROR($AZ261/$AZ262-1,"")</f>
        <v/>
      </c>
      <c r="DQ261" s="65">
        <f>IFERROR($BA261/$BA262-1,"")</f>
        <v/>
      </c>
      <c r="DR261" s="64">
        <f>$O261-$O262</f>
        <v/>
      </c>
      <c r="DS261" s="64">
        <f>$P261-$P262</f>
        <v/>
      </c>
      <c r="DT261" s="64">
        <f>$Q261-$Q262</f>
        <v/>
      </c>
      <c r="DU261" s="64">
        <f>$S261-$S262</f>
        <v/>
      </c>
      <c r="DV261" s="65">
        <f>IFERROR(AVERAGE($AA262/$AA261-1,$AB262/$AB261-1,$AC262/$AC261-1,$AD262/$AD261-1,$AE262/$AE261-1,$AG262/$AG261-1,$AH262/$AH261-1,$AI262/$AI261-1,$AJ262/$AJ261-1,$AL262/$AL261-1,$AM262/$AM261-1,$AR262/$AR261-1,$AS262/$AS261-1,$AT262/$AT261-1,$AU262/$AU261-1,$AV262/$AV261-1,$AW262/$AW261-1,$AX262/$AX261-1,$AY262/$AY261-1),"")</f>
        <v/>
      </c>
      <c r="DW261" s="66">
        <f>AVERAGE($CB261,$CC261,$CD261,$CE261,$CF261,$CG261,$CH261,$CI261,$CJ261,$CL261,$CM261,$CN261,$CO261,$CP261,$CQ261,$CR261,$CS261,$CT261)</f>
        <v/>
      </c>
      <c r="DX261" s="66">
        <f>AVERAGE($CB261,$CC261,$CM261,$CE261,$CP261)</f>
        <v/>
      </c>
      <c r="DY261" s="64">
        <f>($DW261-$DW262)*100</f>
        <v/>
      </c>
      <c r="DZ261" s="64">
        <f>($DX261-$DX262)*100</f>
        <v/>
      </c>
      <c r="EA261" s="64">
        <f>($DW261-$D261)*100</f>
        <v/>
      </c>
      <c r="EB261" s="64">
        <f>$Q261-$O261</f>
        <v/>
      </c>
      <c r="EC261" s="67">
        <f>IFERROR($Q261/$P261,"")</f>
        <v/>
      </c>
    </row>
    <row r="262">
      <c r="DG262" s="64">
        <f>($B262-$B263)*100</f>
        <v/>
      </c>
      <c r="DH262" s="64">
        <f>($D262-$D263)*100</f>
        <v/>
      </c>
      <c r="DI262" s="64">
        <f>($E262-$E263)*100</f>
        <v/>
      </c>
      <c r="DJ262" s="64">
        <f>($H262-$H263)*100</f>
        <v/>
      </c>
      <c r="DK262" s="65">
        <f>IFERROR($J262/$J263-1,"")</f>
        <v/>
      </c>
      <c r="DL262" s="64">
        <f>$L262-$L263</f>
        <v/>
      </c>
      <c r="DM262" s="64">
        <f>$K262-$K263</f>
        <v/>
      </c>
      <c r="DN262" s="65">
        <f>IFERROR($N262/$N263-1,"")</f>
        <v/>
      </c>
      <c r="DO262" s="65">
        <f>IFERROR($M262/$M263-1,"")</f>
        <v/>
      </c>
      <c r="DP262" s="65">
        <f>IFERROR($AZ262/$AZ263-1,"")</f>
        <v/>
      </c>
      <c r="DQ262" s="65">
        <f>IFERROR($BA262/$BA263-1,"")</f>
        <v/>
      </c>
      <c r="DR262" s="64">
        <f>$O262-$O263</f>
        <v/>
      </c>
      <c r="DS262" s="64">
        <f>$P262-$P263</f>
        <v/>
      </c>
      <c r="DT262" s="64">
        <f>$Q262-$Q263</f>
        <v/>
      </c>
      <c r="DU262" s="64">
        <f>$S262-$S263</f>
        <v/>
      </c>
      <c r="DV262" s="65">
        <f>IFERROR(AVERAGE($AA263/$AA262-1,$AB263/$AB262-1,$AC263/$AC262-1,$AD263/$AD262-1,$AE263/$AE262-1,$AG263/$AG262-1,$AH263/$AH262-1,$AI263/$AI262-1,$AJ263/$AJ262-1,$AL263/$AL262-1,$AM263/$AM262-1,$AR263/$AR262-1,$AS263/$AS262-1,$AT263/$AT262-1,$AU263/$AU262-1,$AV263/$AV262-1,$AW263/$AW262-1,$AX263/$AX262-1,$AY263/$AY262-1),"")</f>
        <v/>
      </c>
      <c r="DW262" s="66">
        <f>AVERAGE($CB262,$CC262,$CD262,$CE262,$CF262,$CG262,$CH262,$CI262,$CJ262,$CL262,$CM262,$CN262,$CO262,$CP262,$CQ262,$CR262,$CS262,$CT262)</f>
        <v/>
      </c>
      <c r="DX262" s="66">
        <f>AVERAGE($CB262,$CC262,$CM262,$CE262,$CP262)</f>
        <v/>
      </c>
      <c r="DY262" s="64">
        <f>($DW262-$DW263)*100</f>
        <v/>
      </c>
      <c r="DZ262" s="64">
        <f>($DX262-$DX263)*100</f>
        <v/>
      </c>
      <c r="EA262" s="64">
        <f>($DW262-$D262)*100</f>
        <v/>
      </c>
      <c r="EB262" s="64">
        <f>$Q262-$O262</f>
        <v/>
      </c>
      <c r="EC262" s="67">
        <f>IFERROR($Q262/$P262,"")</f>
        <v/>
      </c>
    </row>
    <row r="263">
      <c r="DG263" s="64">
        <f>($B263-$B264)*100</f>
        <v/>
      </c>
      <c r="DH263" s="64">
        <f>($D263-$D264)*100</f>
        <v/>
      </c>
      <c r="DI263" s="64">
        <f>($E263-$E264)*100</f>
        <v/>
      </c>
      <c r="DJ263" s="64">
        <f>($H263-$H264)*100</f>
        <v/>
      </c>
      <c r="DK263" s="65">
        <f>IFERROR($J263/$J264-1,"")</f>
        <v/>
      </c>
      <c r="DL263" s="64">
        <f>$L263-$L264</f>
        <v/>
      </c>
      <c r="DM263" s="64">
        <f>$K263-$K264</f>
        <v/>
      </c>
      <c r="DN263" s="65">
        <f>IFERROR($N263/$N264-1,"")</f>
        <v/>
      </c>
      <c r="DO263" s="65">
        <f>IFERROR($M263/$M264-1,"")</f>
        <v/>
      </c>
      <c r="DP263" s="65">
        <f>IFERROR($AZ263/$AZ264-1,"")</f>
        <v/>
      </c>
      <c r="DQ263" s="65">
        <f>IFERROR($BA263/$BA264-1,"")</f>
        <v/>
      </c>
      <c r="DR263" s="64">
        <f>$O263-$O264</f>
        <v/>
      </c>
      <c r="DS263" s="64">
        <f>$P263-$P264</f>
        <v/>
      </c>
      <c r="DT263" s="64">
        <f>$Q263-$Q264</f>
        <v/>
      </c>
      <c r="DU263" s="64">
        <f>$S263-$S264</f>
        <v/>
      </c>
      <c r="DV263" s="65">
        <f>IFERROR(AVERAGE($AA264/$AA263-1,$AB264/$AB263-1,$AC264/$AC263-1,$AD264/$AD263-1,$AE264/$AE263-1,$AG264/$AG263-1,$AH264/$AH263-1,$AI264/$AI263-1,$AJ264/$AJ263-1,$AL264/$AL263-1,$AM264/$AM263-1,$AR264/$AR263-1,$AS264/$AS263-1,$AT264/$AT263-1,$AU264/$AU263-1,$AV264/$AV263-1,$AW264/$AW263-1,$AX264/$AX263-1,$AY264/$AY263-1),"")</f>
        <v/>
      </c>
      <c r="DW263" s="66">
        <f>AVERAGE($CB263,$CC263,$CD263,$CE263,$CF263,$CG263,$CH263,$CI263,$CJ263,$CL263,$CM263,$CN263,$CO263,$CP263,$CQ263,$CR263,$CS263,$CT263)</f>
        <v/>
      </c>
      <c r="DX263" s="66">
        <f>AVERAGE($CB263,$CC263,$CM263,$CE263,$CP263)</f>
        <v/>
      </c>
      <c r="DY263" s="64">
        <f>($DW263-$DW264)*100</f>
        <v/>
      </c>
      <c r="DZ263" s="64">
        <f>($DX263-$DX264)*100</f>
        <v/>
      </c>
      <c r="EA263" s="64">
        <f>($DW263-$D263)*100</f>
        <v/>
      </c>
      <c r="EB263" s="64">
        <f>$Q263-$O263</f>
        <v/>
      </c>
      <c r="EC263" s="67">
        <f>IFERROR($Q263/$P263,"")</f>
        <v/>
      </c>
    </row>
    <row r="264">
      <c r="DG264" s="64">
        <f>($B264-$B265)*100</f>
        <v/>
      </c>
      <c r="DH264" s="64">
        <f>($D264-$D265)*100</f>
        <v/>
      </c>
      <c r="DI264" s="64">
        <f>($E264-$E265)*100</f>
        <v/>
      </c>
      <c r="DJ264" s="64">
        <f>($H264-$H265)*100</f>
        <v/>
      </c>
      <c r="DK264" s="65">
        <f>IFERROR($J264/$J265-1,"")</f>
        <v/>
      </c>
      <c r="DL264" s="64">
        <f>$L264-$L265</f>
        <v/>
      </c>
      <c r="DM264" s="64">
        <f>$K264-$K265</f>
        <v/>
      </c>
      <c r="DN264" s="65">
        <f>IFERROR($N264/$N265-1,"")</f>
        <v/>
      </c>
      <c r="DO264" s="65">
        <f>IFERROR($M264/$M265-1,"")</f>
        <v/>
      </c>
      <c r="DP264" s="65">
        <f>IFERROR($AZ264/$AZ265-1,"")</f>
        <v/>
      </c>
      <c r="DQ264" s="65">
        <f>IFERROR($BA264/$BA265-1,"")</f>
        <v/>
      </c>
      <c r="DR264" s="64">
        <f>$O264-$O265</f>
        <v/>
      </c>
      <c r="DS264" s="64">
        <f>$P264-$P265</f>
        <v/>
      </c>
      <c r="DT264" s="64">
        <f>$Q264-$Q265</f>
        <v/>
      </c>
      <c r="DU264" s="64">
        <f>$S264-$S265</f>
        <v/>
      </c>
      <c r="DV264" s="65">
        <f>IFERROR(AVERAGE($AA265/$AA264-1,$AB265/$AB264-1,$AC265/$AC264-1,$AD265/$AD264-1,$AE265/$AE264-1,$AG265/$AG264-1,$AH265/$AH264-1,$AI265/$AI264-1,$AJ265/$AJ264-1,$AL265/$AL264-1,$AM265/$AM264-1,$AR265/$AR264-1,$AS265/$AS264-1,$AT265/$AT264-1,$AU265/$AU264-1,$AV265/$AV264-1,$AW265/$AW264-1,$AX265/$AX264-1,$AY265/$AY264-1),"")</f>
        <v/>
      </c>
      <c r="DW264" s="66">
        <f>AVERAGE($CB264,$CC264,$CD264,$CE264,$CF264,$CG264,$CH264,$CI264,$CJ264,$CL264,$CM264,$CN264,$CO264,$CP264,$CQ264,$CR264,$CS264,$CT264)</f>
        <v/>
      </c>
      <c r="DX264" s="66">
        <f>AVERAGE($CB264,$CC264,$CM264,$CE264,$CP264)</f>
        <v/>
      </c>
      <c r="DY264" s="64">
        <f>($DW264-$DW265)*100</f>
        <v/>
      </c>
      <c r="DZ264" s="64">
        <f>($DX264-$DX265)*100</f>
        <v/>
      </c>
      <c r="EA264" s="64">
        <f>($DW264-$D264)*100</f>
        <v/>
      </c>
      <c r="EB264" s="64">
        <f>$Q264-$O264</f>
        <v/>
      </c>
      <c r="EC264" s="67">
        <f>IFERROR($Q264/$P264,"")</f>
        <v/>
      </c>
    </row>
    <row r="265">
      <c r="DG265" s="64">
        <f>($B265-$B266)*100</f>
        <v/>
      </c>
      <c r="DH265" s="64">
        <f>($D265-$D266)*100</f>
        <v/>
      </c>
      <c r="DI265" s="64">
        <f>($E265-$E266)*100</f>
        <v/>
      </c>
      <c r="DJ265" s="64">
        <f>($H265-$H266)*100</f>
        <v/>
      </c>
      <c r="DK265" s="65">
        <f>IFERROR($J265/$J266-1,"")</f>
        <v/>
      </c>
      <c r="DL265" s="64">
        <f>$L265-$L266</f>
        <v/>
      </c>
      <c r="DM265" s="64">
        <f>$K265-$K266</f>
        <v/>
      </c>
      <c r="DN265" s="65">
        <f>IFERROR($N265/$N266-1,"")</f>
        <v/>
      </c>
      <c r="DO265" s="65">
        <f>IFERROR($M265/$M266-1,"")</f>
        <v/>
      </c>
      <c r="DP265" s="65">
        <f>IFERROR($AZ265/$AZ266-1,"")</f>
        <v/>
      </c>
      <c r="DQ265" s="65">
        <f>IFERROR($BA265/$BA266-1,"")</f>
        <v/>
      </c>
      <c r="DR265" s="64">
        <f>$O265-$O266</f>
        <v/>
      </c>
      <c r="DS265" s="64">
        <f>$P265-$P266</f>
        <v/>
      </c>
      <c r="DT265" s="64">
        <f>$Q265-$Q266</f>
        <v/>
      </c>
      <c r="DU265" s="64">
        <f>$S265-$S266</f>
        <v/>
      </c>
      <c r="DV265" s="65">
        <f>IFERROR(AVERAGE($AA266/$AA265-1,$AB266/$AB265-1,$AC266/$AC265-1,$AD266/$AD265-1,$AE266/$AE265-1,$AG266/$AG265-1,$AH266/$AH265-1,$AI266/$AI265-1,$AJ266/$AJ265-1,$AL266/$AL265-1,$AM266/$AM265-1,$AR266/$AR265-1,$AS266/$AS265-1,$AT266/$AT265-1,$AU266/$AU265-1,$AV266/$AV265-1,$AW266/$AW265-1,$AX266/$AX265-1,$AY266/$AY265-1),"")</f>
        <v/>
      </c>
      <c r="DW265" s="66">
        <f>AVERAGE($CB265,$CC265,$CD265,$CE265,$CF265,$CG265,$CH265,$CI265,$CJ265,$CL265,$CM265,$CN265,$CO265,$CP265,$CQ265,$CR265,$CS265,$CT265)</f>
        <v/>
      </c>
      <c r="DX265" s="66">
        <f>AVERAGE($CB265,$CC265,$CM265,$CE265,$CP265)</f>
        <v/>
      </c>
      <c r="DY265" s="64">
        <f>($DW265-$DW266)*100</f>
        <v/>
      </c>
      <c r="DZ265" s="64">
        <f>($DX265-$DX266)*100</f>
        <v/>
      </c>
      <c r="EA265" s="64">
        <f>($DW265-$D265)*100</f>
        <v/>
      </c>
      <c r="EB265" s="64">
        <f>$Q265-$O265</f>
        <v/>
      </c>
      <c r="EC265" s="67">
        <f>IFERROR($Q265/$P265,"")</f>
        <v/>
      </c>
    </row>
    <row r="266">
      <c r="DG266" s="64">
        <f>($B266-$B267)*100</f>
        <v/>
      </c>
      <c r="DH266" s="64">
        <f>($D266-$D267)*100</f>
        <v/>
      </c>
      <c r="DI266" s="64">
        <f>($E266-$E267)*100</f>
        <v/>
      </c>
      <c r="DJ266" s="64">
        <f>($H266-$H267)*100</f>
        <v/>
      </c>
      <c r="DK266" s="65">
        <f>IFERROR($J266/$J267-1,"")</f>
        <v/>
      </c>
      <c r="DL266" s="64">
        <f>$L266-$L267</f>
        <v/>
      </c>
      <c r="DM266" s="64">
        <f>$K266-$K267</f>
        <v/>
      </c>
      <c r="DN266" s="65">
        <f>IFERROR($N266/$N267-1,"")</f>
        <v/>
      </c>
      <c r="DO266" s="65">
        <f>IFERROR($M266/$M267-1,"")</f>
        <v/>
      </c>
      <c r="DP266" s="65">
        <f>IFERROR($AZ266/$AZ267-1,"")</f>
        <v/>
      </c>
      <c r="DQ266" s="65">
        <f>IFERROR($BA266/$BA267-1,"")</f>
        <v/>
      </c>
      <c r="DR266" s="64">
        <f>$O266-$O267</f>
        <v/>
      </c>
      <c r="DS266" s="64">
        <f>$P266-$P267</f>
        <v/>
      </c>
      <c r="DT266" s="64">
        <f>$Q266-$Q267</f>
        <v/>
      </c>
      <c r="DU266" s="64">
        <f>$S266-$S267</f>
        <v/>
      </c>
      <c r="DV266" s="65">
        <f>IFERROR(AVERAGE($AA267/$AA266-1,$AB267/$AB266-1,$AC267/$AC266-1,$AD267/$AD266-1,$AE267/$AE266-1,$AG267/$AG266-1,$AH267/$AH266-1,$AI267/$AI266-1,$AJ267/$AJ266-1,$AL267/$AL266-1,$AM267/$AM266-1,$AR267/$AR266-1,$AS267/$AS266-1,$AT267/$AT266-1,$AU267/$AU266-1,$AV267/$AV266-1,$AW267/$AW266-1,$AX267/$AX266-1,$AY267/$AY266-1),"")</f>
        <v/>
      </c>
      <c r="DW266" s="66">
        <f>AVERAGE($CB266,$CC266,$CD266,$CE266,$CF266,$CG266,$CH266,$CI266,$CJ266,$CL266,$CM266,$CN266,$CO266,$CP266,$CQ266,$CR266,$CS266,$CT266)</f>
        <v/>
      </c>
      <c r="DX266" s="66">
        <f>AVERAGE($CB266,$CC266,$CM266,$CE266,$CP266)</f>
        <v/>
      </c>
      <c r="DY266" s="64">
        <f>($DW266-$DW267)*100</f>
        <v/>
      </c>
      <c r="DZ266" s="64">
        <f>($DX266-$DX267)*100</f>
        <v/>
      </c>
      <c r="EA266" s="64">
        <f>($DW266-$D266)*100</f>
        <v/>
      </c>
      <c r="EB266" s="64">
        <f>$Q266-$O266</f>
        <v/>
      </c>
      <c r="EC266" s="67">
        <f>IFERROR($Q266/$P266,"")</f>
        <v/>
      </c>
    </row>
    <row r="267">
      <c r="DG267" s="64">
        <f>($B267-$B268)*100</f>
        <v/>
      </c>
      <c r="DH267" s="64">
        <f>($D267-$D268)*100</f>
        <v/>
      </c>
      <c r="DI267" s="64">
        <f>($E267-$E268)*100</f>
        <v/>
      </c>
      <c r="DJ267" s="64">
        <f>($H267-$H268)*100</f>
        <v/>
      </c>
      <c r="DK267" s="65">
        <f>IFERROR($J267/$J268-1,"")</f>
        <v/>
      </c>
      <c r="DL267" s="64">
        <f>$L267-$L268</f>
        <v/>
      </c>
      <c r="DM267" s="64">
        <f>$K267-$K268</f>
        <v/>
      </c>
      <c r="DN267" s="65">
        <f>IFERROR($N267/$N268-1,"")</f>
        <v/>
      </c>
      <c r="DO267" s="65">
        <f>IFERROR($M267/$M268-1,"")</f>
        <v/>
      </c>
      <c r="DP267" s="65">
        <f>IFERROR($AZ267/$AZ268-1,"")</f>
        <v/>
      </c>
      <c r="DQ267" s="65">
        <f>IFERROR($BA267/$BA268-1,"")</f>
        <v/>
      </c>
      <c r="DR267" s="64">
        <f>$O267-$O268</f>
        <v/>
      </c>
      <c r="DS267" s="64">
        <f>$P267-$P268</f>
        <v/>
      </c>
      <c r="DT267" s="64">
        <f>$Q267-$Q268</f>
        <v/>
      </c>
      <c r="DU267" s="64">
        <f>$S267-$S268</f>
        <v/>
      </c>
      <c r="DV267" s="65">
        <f>IFERROR(AVERAGE($AA268/$AA267-1,$AB268/$AB267-1,$AC268/$AC267-1,$AD268/$AD267-1,$AE268/$AE267-1,$AG268/$AG267-1,$AH268/$AH267-1,$AI268/$AI267-1,$AJ268/$AJ267-1,$AL268/$AL267-1,$AM268/$AM267-1,$AR268/$AR267-1,$AS268/$AS267-1,$AT268/$AT267-1,$AU268/$AU267-1,$AV268/$AV267-1,$AW268/$AW267-1,$AX268/$AX267-1,$AY268/$AY267-1),"")</f>
        <v/>
      </c>
      <c r="DW267" s="66">
        <f>AVERAGE($CB267,$CC267,$CD267,$CE267,$CF267,$CG267,$CH267,$CI267,$CJ267,$CL267,$CM267,$CN267,$CO267,$CP267,$CQ267,$CR267,$CS267,$CT267)</f>
        <v/>
      </c>
      <c r="DX267" s="66">
        <f>AVERAGE($CB267,$CC267,$CM267,$CE267,$CP267)</f>
        <v/>
      </c>
      <c r="DY267" s="64">
        <f>($DW267-$DW268)*100</f>
        <v/>
      </c>
      <c r="DZ267" s="64">
        <f>($DX267-$DX268)*100</f>
        <v/>
      </c>
      <c r="EA267" s="64">
        <f>($DW267-$D267)*100</f>
        <v/>
      </c>
      <c r="EB267" s="64">
        <f>$Q267-$O267</f>
        <v/>
      </c>
      <c r="EC267" s="67">
        <f>IFERROR($Q267/$P267,"")</f>
        <v/>
      </c>
    </row>
    <row r="268">
      <c r="DG268" s="64">
        <f>($B268-$B269)*100</f>
        <v/>
      </c>
      <c r="DH268" s="64">
        <f>($D268-$D269)*100</f>
        <v/>
      </c>
      <c r="DI268" s="64">
        <f>($E268-$E269)*100</f>
        <v/>
      </c>
      <c r="DJ268" s="64">
        <f>($H268-$H269)*100</f>
        <v/>
      </c>
      <c r="DK268" s="65">
        <f>IFERROR($J268/$J269-1,"")</f>
        <v/>
      </c>
      <c r="DL268" s="64">
        <f>$L268-$L269</f>
        <v/>
      </c>
      <c r="DM268" s="64">
        <f>$K268-$K269</f>
        <v/>
      </c>
      <c r="DN268" s="65">
        <f>IFERROR($N268/$N269-1,"")</f>
        <v/>
      </c>
      <c r="DO268" s="65">
        <f>IFERROR($M268/$M269-1,"")</f>
        <v/>
      </c>
      <c r="DP268" s="65">
        <f>IFERROR($AZ268/$AZ269-1,"")</f>
        <v/>
      </c>
      <c r="DQ268" s="65">
        <f>IFERROR($BA268/$BA269-1,"")</f>
        <v/>
      </c>
      <c r="DR268" s="64">
        <f>$O268-$O269</f>
        <v/>
      </c>
      <c r="DS268" s="64">
        <f>$P268-$P269</f>
        <v/>
      </c>
      <c r="DT268" s="64">
        <f>$Q268-$Q269</f>
        <v/>
      </c>
      <c r="DU268" s="64">
        <f>$S268-$S269</f>
        <v/>
      </c>
      <c r="DV268" s="65">
        <f>IFERROR(AVERAGE($AA269/$AA268-1,$AB269/$AB268-1,$AC269/$AC268-1,$AD269/$AD268-1,$AE269/$AE268-1,$AG269/$AG268-1,$AH269/$AH268-1,$AI269/$AI268-1,$AJ269/$AJ268-1,$AL269/$AL268-1,$AM269/$AM268-1,$AR269/$AR268-1,$AS269/$AS268-1,$AT269/$AT268-1,$AU269/$AU268-1,$AV269/$AV268-1,$AW269/$AW268-1,$AX269/$AX268-1,$AY269/$AY268-1),"")</f>
        <v/>
      </c>
      <c r="DW268" s="66">
        <f>AVERAGE($CB268,$CC268,$CD268,$CE268,$CF268,$CG268,$CH268,$CI268,$CJ268,$CL268,$CM268,$CN268,$CO268,$CP268,$CQ268,$CR268,$CS268,$CT268)</f>
        <v/>
      </c>
      <c r="DX268" s="66">
        <f>AVERAGE($CB268,$CC268,$CM268,$CE268,$CP268)</f>
        <v/>
      </c>
      <c r="DY268" s="64">
        <f>($DW268-$DW269)*100</f>
        <v/>
      </c>
      <c r="DZ268" s="64">
        <f>($DX268-$DX269)*100</f>
        <v/>
      </c>
      <c r="EA268" s="64">
        <f>($DW268-$D268)*100</f>
        <v/>
      </c>
      <c r="EB268" s="64">
        <f>$Q268-$O268</f>
        <v/>
      </c>
      <c r="EC268" s="67">
        <f>IFERROR($Q268/$P268,"")</f>
        <v/>
      </c>
    </row>
    <row r="269">
      <c r="DG269" s="64">
        <f>($B269-$B270)*100</f>
        <v/>
      </c>
      <c r="DH269" s="64">
        <f>($D269-$D270)*100</f>
        <v/>
      </c>
      <c r="DI269" s="64">
        <f>($E269-$E270)*100</f>
        <v/>
      </c>
      <c r="DJ269" s="64">
        <f>($H269-$H270)*100</f>
        <v/>
      </c>
      <c r="DK269" s="65">
        <f>IFERROR($J269/$J270-1,"")</f>
        <v/>
      </c>
      <c r="DL269" s="64">
        <f>$L269-$L270</f>
        <v/>
      </c>
      <c r="DM269" s="64">
        <f>$K269-$K270</f>
        <v/>
      </c>
      <c r="DN269" s="65">
        <f>IFERROR($N269/$N270-1,"")</f>
        <v/>
      </c>
      <c r="DO269" s="65">
        <f>IFERROR($M269/$M270-1,"")</f>
        <v/>
      </c>
      <c r="DP269" s="65">
        <f>IFERROR($AZ269/$AZ270-1,"")</f>
        <v/>
      </c>
      <c r="DQ269" s="65">
        <f>IFERROR($BA269/$BA270-1,"")</f>
        <v/>
      </c>
      <c r="DR269" s="64">
        <f>$O269-$O270</f>
        <v/>
      </c>
      <c r="DS269" s="64">
        <f>$P269-$P270</f>
        <v/>
      </c>
      <c r="DT269" s="64">
        <f>$Q269-$Q270</f>
        <v/>
      </c>
      <c r="DU269" s="64">
        <f>$S269-$S270</f>
        <v/>
      </c>
      <c r="DV269" s="65">
        <f>IFERROR(AVERAGE($AA270/$AA269-1,$AB270/$AB269-1,$AC270/$AC269-1,$AD270/$AD269-1,$AE270/$AE269-1,$AG270/$AG269-1,$AH270/$AH269-1,$AI270/$AI269-1,$AJ270/$AJ269-1,$AL270/$AL269-1,$AM270/$AM269-1,$AR270/$AR269-1,$AS270/$AS269-1,$AT270/$AT269-1,$AU270/$AU269-1,$AV270/$AV269-1,$AW270/$AW269-1,$AX270/$AX269-1,$AY270/$AY269-1),"")</f>
        <v/>
      </c>
      <c r="DW269" s="66">
        <f>AVERAGE($CB269,$CC269,$CD269,$CE269,$CF269,$CG269,$CH269,$CI269,$CJ269,$CL269,$CM269,$CN269,$CO269,$CP269,$CQ269,$CR269,$CS269,$CT269)</f>
        <v/>
      </c>
      <c r="DX269" s="66">
        <f>AVERAGE($CB269,$CC269,$CM269,$CE269,$CP269)</f>
        <v/>
      </c>
      <c r="DY269" s="64">
        <f>($DW269-$DW270)*100</f>
        <v/>
      </c>
      <c r="DZ269" s="64">
        <f>($DX269-$DX270)*100</f>
        <v/>
      </c>
      <c r="EA269" s="64">
        <f>($DW269-$D269)*100</f>
        <v/>
      </c>
      <c r="EB269" s="64">
        <f>$Q269-$O269</f>
        <v/>
      </c>
      <c r="EC269" s="67">
        <f>IFERROR($Q269/$P269,"")</f>
        <v/>
      </c>
    </row>
    <row r="270">
      <c r="DG270" s="64">
        <f>($B270-$B271)*100</f>
        <v/>
      </c>
      <c r="DH270" s="64">
        <f>($D270-$D271)*100</f>
        <v/>
      </c>
      <c r="DI270" s="64">
        <f>($E270-$E271)*100</f>
        <v/>
      </c>
      <c r="DJ270" s="64">
        <f>($H270-$H271)*100</f>
        <v/>
      </c>
      <c r="DK270" s="65">
        <f>IFERROR($J270/$J271-1,"")</f>
        <v/>
      </c>
      <c r="DL270" s="64">
        <f>$L270-$L271</f>
        <v/>
      </c>
      <c r="DM270" s="64">
        <f>$K270-$K271</f>
        <v/>
      </c>
      <c r="DN270" s="65">
        <f>IFERROR($N270/$N271-1,"")</f>
        <v/>
      </c>
      <c r="DO270" s="65">
        <f>IFERROR($M270/$M271-1,"")</f>
        <v/>
      </c>
      <c r="DP270" s="65">
        <f>IFERROR($AZ270/$AZ271-1,"")</f>
        <v/>
      </c>
      <c r="DQ270" s="65">
        <f>IFERROR($BA270/$BA271-1,"")</f>
        <v/>
      </c>
      <c r="DR270" s="64">
        <f>$O270-$O271</f>
        <v/>
      </c>
      <c r="DS270" s="64">
        <f>$P270-$P271</f>
        <v/>
      </c>
      <c r="DT270" s="64">
        <f>$Q270-$Q271</f>
        <v/>
      </c>
      <c r="DU270" s="64">
        <f>$S270-$S271</f>
        <v/>
      </c>
      <c r="DV270" s="65">
        <f>IFERROR(AVERAGE($AA271/$AA270-1,$AB271/$AB270-1,$AC271/$AC270-1,$AD271/$AD270-1,$AE271/$AE270-1,$AG271/$AG270-1,$AH271/$AH270-1,$AI271/$AI270-1,$AJ271/$AJ270-1,$AL271/$AL270-1,$AM271/$AM270-1,$AR271/$AR270-1,$AS271/$AS270-1,$AT271/$AT270-1,$AU271/$AU270-1,$AV271/$AV270-1,$AW271/$AW270-1,$AX271/$AX270-1,$AY271/$AY270-1),"")</f>
        <v/>
      </c>
      <c r="DW270" s="66">
        <f>AVERAGE($CB270,$CC270,$CD270,$CE270,$CF270,$CG270,$CH270,$CI270,$CJ270,$CL270,$CM270,$CN270,$CO270,$CP270,$CQ270,$CR270,$CS270,$CT270)</f>
        <v/>
      </c>
      <c r="DX270" s="66">
        <f>AVERAGE($CB270,$CC270,$CM270,$CE270,$CP270)</f>
        <v/>
      </c>
      <c r="DY270" s="64">
        <f>($DW270-$DW271)*100</f>
        <v/>
      </c>
      <c r="DZ270" s="64">
        <f>($DX270-$DX271)*100</f>
        <v/>
      </c>
      <c r="EA270" s="64">
        <f>($DW270-$D270)*100</f>
        <v/>
      </c>
      <c r="EB270" s="64">
        <f>$Q270-$O270</f>
        <v/>
      </c>
      <c r="EC270" s="67">
        <f>IFERROR($Q270/$P270,"")</f>
        <v/>
      </c>
    </row>
    <row r="271">
      <c r="DG271" s="64">
        <f>($B271-$B272)*100</f>
        <v/>
      </c>
      <c r="DH271" s="64">
        <f>($D271-$D272)*100</f>
        <v/>
      </c>
      <c r="DI271" s="64">
        <f>($E271-$E272)*100</f>
        <v/>
      </c>
      <c r="DJ271" s="64">
        <f>($H271-$H272)*100</f>
        <v/>
      </c>
      <c r="DK271" s="65">
        <f>IFERROR($J271/$J272-1,"")</f>
        <v/>
      </c>
      <c r="DL271" s="64">
        <f>$L271-$L272</f>
        <v/>
      </c>
      <c r="DM271" s="64">
        <f>$K271-$K272</f>
        <v/>
      </c>
      <c r="DN271" s="65">
        <f>IFERROR($N271/$N272-1,"")</f>
        <v/>
      </c>
      <c r="DO271" s="65">
        <f>IFERROR($M271/$M272-1,"")</f>
        <v/>
      </c>
      <c r="DP271" s="65">
        <f>IFERROR($AZ271/$AZ272-1,"")</f>
        <v/>
      </c>
      <c r="DQ271" s="65">
        <f>IFERROR($BA271/$BA272-1,"")</f>
        <v/>
      </c>
      <c r="DR271" s="64">
        <f>$O271-$O272</f>
        <v/>
      </c>
      <c r="DS271" s="64">
        <f>$P271-$P272</f>
        <v/>
      </c>
      <c r="DT271" s="64">
        <f>$Q271-$Q272</f>
        <v/>
      </c>
      <c r="DU271" s="64">
        <f>$S271-$S272</f>
        <v/>
      </c>
      <c r="DV271" s="65">
        <f>IFERROR(AVERAGE($AA272/$AA271-1,$AB272/$AB271-1,$AC272/$AC271-1,$AD272/$AD271-1,$AE272/$AE271-1,$AG272/$AG271-1,$AH272/$AH271-1,$AI272/$AI271-1,$AJ272/$AJ271-1,$AL272/$AL271-1,$AM272/$AM271-1,$AR272/$AR271-1,$AS272/$AS271-1,$AT272/$AT271-1,$AU272/$AU271-1,$AV272/$AV271-1,$AW272/$AW271-1,$AX272/$AX271-1,$AY272/$AY271-1),"")</f>
        <v/>
      </c>
      <c r="DW271" s="66">
        <f>AVERAGE($CB271,$CC271,$CD271,$CE271,$CF271,$CG271,$CH271,$CI271,$CJ271,$CL271,$CM271,$CN271,$CO271,$CP271,$CQ271,$CR271,$CS271,$CT271)</f>
        <v/>
      </c>
      <c r="DX271" s="66">
        <f>AVERAGE($CB271,$CC271,$CM271,$CE271,$CP271)</f>
        <v/>
      </c>
      <c r="DY271" s="64">
        <f>($DW271-$DW272)*100</f>
        <v/>
      </c>
      <c r="DZ271" s="64">
        <f>($DX271-$DX272)*100</f>
        <v/>
      </c>
      <c r="EA271" s="64">
        <f>($DW271-$D271)*100</f>
        <v/>
      </c>
      <c r="EB271" s="64">
        <f>$Q271-$O271</f>
        <v/>
      </c>
      <c r="EC271" s="67">
        <f>IFERROR($Q271/$P271,"")</f>
        <v/>
      </c>
    </row>
    <row r="272">
      <c r="DG272" s="64">
        <f>($B272-$B273)*100</f>
        <v/>
      </c>
      <c r="DH272" s="64">
        <f>($D272-$D273)*100</f>
        <v/>
      </c>
      <c r="DI272" s="64">
        <f>($E272-$E273)*100</f>
        <v/>
      </c>
      <c r="DJ272" s="64">
        <f>($H272-$H273)*100</f>
        <v/>
      </c>
      <c r="DK272" s="65">
        <f>IFERROR($J272/$J273-1,"")</f>
        <v/>
      </c>
      <c r="DL272" s="64">
        <f>$L272-$L273</f>
        <v/>
      </c>
      <c r="DM272" s="64">
        <f>$K272-$K273</f>
        <v/>
      </c>
      <c r="DN272" s="65">
        <f>IFERROR($N272/$N273-1,"")</f>
        <v/>
      </c>
      <c r="DO272" s="65">
        <f>IFERROR($M272/$M273-1,"")</f>
        <v/>
      </c>
      <c r="DP272" s="65">
        <f>IFERROR($AZ272/$AZ273-1,"")</f>
        <v/>
      </c>
      <c r="DQ272" s="65">
        <f>IFERROR($BA272/$BA273-1,"")</f>
        <v/>
      </c>
      <c r="DR272" s="64">
        <f>$O272-$O273</f>
        <v/>
      </c>
      <c r="DS272" s="64">
        <f>$P272-$P273</f>
        <v/>
      </c>
      <c r="DT272" s="64">
        <f>$Q272-$Q273</f>
        <v/>
      </c>
      <c r="DU272" s="64">
        <f>$S272-$S273</f>
        <v/>
      </c>
      <c r="DV272" s="65">
        <f>IFERROR(AVERAGE($AA273/$AA272-1,$AB273/$AB272-1,$AC273/$AC272-1,$AD273/$AD272-1,$AE273/$AE272-1,$AG273/$AG272-1,$AH273/$AH272-1,$AI273/$AI272-1,$AJ273/$AJ272-1,$AL273/$AL272-1,$AM273/$AM272-1,$AR273/$AR272-1,$AS273/$AS272-1,$AT273/$AT272-1,$AU273/$AU272-1,$AV273/$AV272-1,$AW273/$AW272-1,$AX273/$AX272-1,$AY273/$AY272-1),"")</f>
        <v/>
      </c>
      <c r="DW272" s="66">
        <f>AVERAGE($CB272,$CC272,$CD272,$CE272,$CF272,$CG272,$CH272,$CI272,$CJ272,$CL272,$CM272,$CN272,$CO272,$CP272,$CQ272,$CR272,$CS272,$CT272)</f>
        <v/>
      </c>
      <c r="DX272" s="66">
        <f>AVERAGE($CB272,$CC272,$CM272,$CE272,$CP272)</f>
        <v/>
      </c>
      <c r="DY272" s="64">
        <f>($DW272-$DW273)*100</f>
        <v/>
      </c>
      <c r="DZ272" s="64">
        <f>($DX272-$DX273)*100</f>
        <v/>
      </c>
      <c r="EA272" s="64">
        <f>($DW272-$D272)*100</f>
        <v/>
      </c>
      <c r="EB272" s="64">
        <f>$Q272-$O272</f>
        <v/>
      </c>
      <c r="EC272" s="67">
        <f>IFERROR($Q272/$P272,"")</f>
        <v/>
      </c>
    </row>
    <row r="273">
      <c r="DG273" s="64">
        <f>($B273-$B274)*100</f>
        <v/>
      </c>
      <c r="DH273" s="64">
        <f>($D273-$D274)*100</f>
        <v/>
      </c>
      <c r="DI273" s="64">
        <f>($E273-$E274)*100</f>
        <v/>
      </c>
      <c r="DJ273" s="64">
        <f>($H273-$H274)*100</f>
        <v/>
      </c>
      <c r="DK273" s="65">
        <f>IFERROR($J273/$J274-1,"")</f>
        <v/>
      </c>
      <c r="DL273" s="64">
        <f>$L273-$L274</f>
        <v/>
      </c>
      <c r="DM273" s="64">
        <f>$K273-$K274</f>
        <v/>
      </c>
      <c r="DN273" s="65">
        <f>IFERROR($N273/$N274-1,"")</f>
        <v/>
      </c>
      <c r="DO273" s="65">
        <f>IFERROR($M273/$M274-1,"")</f>
        <v/>
      </c>
      <c r="DP273" s="65">
        <f>IFERROR($AZ273/$AZ274-1,"")</f>
        <v/>
      </c>
      <c r="DQ273" s="65">
        <f>IFERROR($BA273/$BA274-1,"")</f>
        <v/>
      </c>
      <c r="DR273" s="64">
        <f>$O273-$O274</f>
        <v/>
      </c>
      <c r="DS273" s="64">
        <f>$P273-$P274</f>
        <v/>
      </c>
      <c r="DT273" s="64">
        <f>$Q273-$Q274</f>
        <v/>
      </c>
      <c r="DU273" s="64">
        <f>$S273-$S274</f>
        <v/>
      </c>
      <c r="DV273" s="65">
        <f>IFERROR(AVERAGE($AA274/$AA273-1,$AB274/$AB273-1,$AC274/$AC273-1,$AD274/$AD273-1,$AE274/$AE273-1,$AG274/$AG273-1,$AH274/$AH273-1,$AI274/$AI273-1,$AJ274/$AJ273-1,$AL274/$AL273-1,$AM274/$AM273-1,$AR274/$AR273-1,$AS274/$AS273-1,$AT274/$AT273-1,$AU274/$AU273-1,$AV274/$AV273-1,$AW274/$AW273-1,$AX274/$AX273-1,$AY274/$AY273-1),"")</f>
        <v/>
      </c>
      <c r="DW273" s="66">
        <f>AVERAGE($CB273,$CC273,$CD273,$CE273,$CF273,$CG273,$CH273,$CI273,$CJ273,$CL273,$CM273,$CN273,$CO273,$CP273,$CQ273,$CR273,$CS273,$CT273)</f>
        <v/>
      </c>
      <c r="DX273" s="66">
        <f>AVERAGE($CB273,$CC273,$CM273,$CE273,$CP273)</f>
        <v/>
      </c>
      <c r="DY273" s="64">
        <f>($DW273-$DW274)*100</f>
        <v/>
      </c>
      <c r="DZ273" s="64">
        <f>($DX273-$DX274)*100</f>
        <v/>
      </c>
      <c r="EA273" s="64">
        <f>($DW273-$D273)*100</f>
        <v/>
      </c>
      <c r="EB273" s="64">
        <f>$Q273-$O273</f>
        <v/>
      </c>
      <c r="EC273" s="67">
        <f>IFERROR($Q273/$P273,"")</f>
        <v/>
      </c>
    </row>
    <row r="274">
      <c r="DG274" s="64">
        <f>($B274-$B275)*100</f>
        <v/>
      </c>
      <c r="DH274" s="64">
        <f>($D274-$D275)*100</f>
        <v/>
      </c>
      <c r="DI274" s="64">
        <f>($E274-$E275)*100</f>
        <v/>
      </c>
      <c r="DJ274" s="64">
        <f>($H274-$H275)*100</f>
        <v/>
      </c>
      <c r="DK274" s="65">
        <f>IFERROR($J274/$J275-1,"")</f>
        <v/>
      </c>
      <c r="DL274" s="64">
        <f>$L274-$L275</f>
        <v/>
      </c>
      <c r="DM274" s="64">
        <f>$K274-$K275</f>
        <v/>
      </c>
      <c r="DN274" s="65">
        <f>IFERROR($N274/$N275-1,"")</f>
        <v/>
      </c>
      <c r="DO274" s="65">
        <f>IFERROR($M274/$M275-1,"")</f>
        <v/>
      </c>
      <c r="DP274" s="65">
        <f>IFERROR($AZ274/$AZ275-1,"")</f>
        <v/>
      </c>
      <c r="DQ274" s="65">
        <f>IFERROR($BA274/$BA275-1,"")</f>
        <v/>
      </c>
      <c r="DR274" s="64">
        <f>$O274-$O275</f>
        <v/>
      </c>
      <c r="DS274" s="64">
        <f>$P274-$P275</f>
        <v/>
      </c>
      <c r="DT274" s="64">
        <f>$Q274-$Q275</f>
        <v/>
      </c>
      <c r="DU274" s="64">
        <f>$S274-$S275</f>
        <v/>
      </c>
      <c r="DV274" s="65">
        <f>IFERROR(AVERAGE($AA275/$AA274-1,$AB275/$AB274-1,$AC275/$AC274-1,$AD275/$AD274-1,$AE275/$AE274-1,$AG275/$AG274-1,$AH275/$AH274-1,$AI275/$AI274-1,$AJ275/$AJ274-1,$AL275/$AL274-1,$AM275/$AM274-1,$AR275/$AR274-1,$AS275/$AS274-1,$AT275/$AT274-1,$AU275/$AU274-1,$AV275/$AV274-1,$AW275/$AW274-1,$AX275/$AX274-1,$AY275/$AY274-1),"")</f>
        <v/>
      </c>
      <c r="DW274" s="66">
        <f>AVERAGE($CB274,$CC274,$CD274,$CE274,$CF274,$CG274,$CH274,$CI274,$CJ274,$CL274,$CM274,$CN274,$CO274,$CP274,$CQ274,$CR274,$CS274,$CT274)</f>
        <v/>
      </c>
      <c r="DX274" s="66">
        <f>AVERAGE($CB274,$CC274,$CM274,$CE274,$CP274)</f>
        <v/>
      </c>
      <c r="DY274" s="64">
        <f>($DW274-$DW275)*100</f>
        <v/>
      </c>
      <c r="DZ274" s="64">
        <f>($DX274-$DX275)*100</f>
        <v/>
      </c>
      <c r="EA274" s="64">
        <f>($DW274-$D274)*100</f>
        <v/>
      </c>
      <c r="EB274" s="64">
        <f>$Q274-$O274</f>
        <v/>
      </c>
      <c r="EC274" s="67">
        <f>IFERROR($Q274/$P274,"")</f>
        <v/>
      </c>
    </row>
    <row r="275">
      <c r="DG275" s="64">
        <f>($B275-$B276)*100</f>
        <v/>
      </c>
      <c r="DH275" s="64">
        <f>($D275-$D276)*100</f>
        <v/>
      </c>
      <c r="DI275" s="64">
        <f>($E275-$E276)*100</f>
        <v/>
      </c>
      <c r="DJ275" s="64">
        <f>($H275-$H276)*100</f>
        <v/>
      </c>
      <c r="DK275" s="65">
        <f>IFERROR($J275/$J276-1,"")</f>
        <v/>
      </c>
      <c r="DL275" s="64">
        <f>$L275-$L276</f>
        <v/>
      </c>
      <c r="DM275" s="64">
        <f>$K275-$K276</f>
        <v/>
      </c>
      <c r="DN275" s="65">
        <f>IFERROR($N275/$N276-1,"")</f>
        <v/>
      </c>
      <c r="DO275" s="65">
        <f>IFERROR($M275/$M276-1,"")</f>
        <v/>
      </c>
      <c r="DP275" s="65">
        <f>IFERROR($AZ275/$AZ276-1,"")</f>
        <v/>
      </c>
      <c r="DQ275" s="65">
        <f>IFERROR($BA275/$BA276-1,"")</f>
        <v/>
      </c>
      <c r="DR275" s="64">
        <f>$O275-$O276</f>
        <v/>
      </c>
      <c r="DS275" s="64">
        <f>$P275-$P276</f>
        <v/>
      </c>
      <c r="DT275" s="64">
        <f>$Q275-$Q276</f>
        <v/>
      </c>
      <c r="DU275" s="64">
        <f>$S275-$S276</f>
        <v/>
      </c>
      <c r="DV275" s="65">
        <f>IFERROR(AVERAGE($AA276/$AA275-1,$AB276/$AB275-1,$AC276/$AC275-1,$AD276/$AD275-1,$AE276/$AE275-1,$AG276/$AG275-1,$AH276/$AH275-1,$AI276/$AI275-1,$AJ276/$AJ275-1,$AL276/$AL275-1,$AM276/$AM275-1,$AR276/$AR275-1,$AS276/$AS275-1,$AT276/$AT275-1,$AU276/$AU275-1,$AV276/$AV275-1,$AW276/$AW275-1,$AX276/$AX275-1,$AY276/$AY275-1),"")</f>
        <v/>
      </c>
      <c r="DW275" s="66">
        <f>AVERAGE($CB275,$CC275,$CD275,$CE275,$CF275,$CG275,$CH275,$CI275,$CJ275,$CL275,$CM275,$CN275,$CO275,$CP275,$CQ275,$CR275,$CS275,$CT275)</f>
        <v/>
      </c>
      <c r="DX275" s="66">
        <f>AVERAGE($CB275,$CC275,$CM275,$CE275,$CP275)</f>
        <v/>
      </c>
      <c r="DY275" s="64">
        <f>($DW275-$DW276)*100</f>
        <v/>
      </c>
      <c r="DZ275" s="64">
        <f>($DX275-$DX276)*100</f>
        <v/>
      </c>
      <c r="EA275" s="64">
        <f>($DW275-$D275)*100</f>
        <v/>
      </c>
      <c r="EB275" s="64">
        <f>$Q275-$O275</f>
        <v/>
      </c>
      <c r="EC275" s="67">
        <f>IFERROR($Q275/$P275,"")</f>
        <v/>
      </c>
    </row>
    <row r="276">
      <c r="DG276" s="64">
        <f>($B276-$B277)*100</f>
        <v/>
      </c>
      <c r="DH276" s="64">
        <f>($D276-$D277)*100</f>
        <v/>
      </c>
      <c r="DI276" s="64">
        <f>($E276-$E277)*100</f>
        <v/>
      </c>
      <c r="DJ276" s="64">
        <f>($H276-$H277)*100</f>
        <v/>
      </c>
      <c r="DK276" s="65">
        <f>IFERROR($J276/$J277-1,"")</f>
        <v/>
      </c>
      <c r="DL276" s="64">
        <f>$L276-$L277</f>
        <v/>
      </c>
      <c r="DM276" s="64">
        <f>$K276-$K277</f>
        <v/>
      </c>
      <c r="DN276" s="65">
        <f>IFERROR($N276/$N277-1,"")</f>
        <v/>
      </c>
      <c r="DO276" s="65">
        <f>IFERROR($M276/$M277-1,"")</f>
        <v/>
      </c>
      <c r="DP276" s="65">
        <f>IFERROR($AZ276/$AZ277-1,"")</f>
        <v/>
      </c>
      <c r="DQ276" s="65">
        <f>IFERROR($BA276/$BA277-1,"")</f>
        <v/>
      </c>
      <c r="DR276" s="64">
        <f>$O276-$O277</f>
        <v/>
      </c>
      <c r="DS276" s="64">
        <f>$P276-$P277</f>
        <v/>
      </c>
      <c r="DT276" s="64">
        <f>$Q276-$Q277</f>
        <v/>
      </c>
      <c r="DU276" s="64">
        <f>$S276-$S277</f>
        <v/>
      </c>
      <c r="DV276" s="65">
        <f>IFERROR(AVERAGE($AA277/$AA276-1,$AB277/$AB276-1,$AC277/$AC276-1,$AD277/$AD276-1,$AE277/$AE276-1,$AG277/$AG276-1,$AH277/$AH276-1,$AI277/$AI276-1,$AJ277/$AJ276-1,$AL277/$AL276-1,$AM277/$AM276-1,$AR277/$AR276-1,$AS277/$AS276-1,$AT277/$AT276-1,$AU277/$AU276-1,$AV277/$AV276-1,$AW277/$AW276-1,$AX277/$AX276-1,$AY277/$AY276-1),"")</f>
        <v/>
      </c>
      <c r="DW276" s="66">
        <f>AVERAGE($CB276,$CC276,$CD276,$CE276,$CF276,$CG276,$CH276,$CI276,$CJ276,$CL276,$CM276,$CN276,$CO276,$CP276,$CQ276,$CR276,$CS276,$CT276)</f>
        <v/>
      </c>
      <c r="DX276" s="66">
        <f>AVERAGE($CB276,$CC276,$CM276,$CE276,$CP276)</f>
        <v/>
      </c>
      <c r="DY276" s="64">
        <f>($DW276-$DW277)*100</f>
        <v/>
      </c>
      <c r="DZ276" s="64">
        <f>($DX276-$DX277)*100</f>
        <v/>
      </c>
      <c r="EA276" s="64">
        <f>($DW276-$D276)*100</f>
        <v/>
      </c>
      <c r="EB276" s="64">
        <f>$Q276-$O276</f>
        <v/>
      </c>
      <c r="EC276" s="67">
        <f>IFERROR($Q276/$P276,"")</f>
        <v/>
      </c>
    </row>
    <row r="277">
      <c r="DG277" s="64">
        <f>($B277-$B278)*100</f>
        <v/>
      </c>
      <c r="DH277" s="64">
        <f>($D277-$D278)*100</f>
        <v/>
      </c>
      <c r="DI277" s="64">
        <f>($E277-$E278)*100</f>
        <v/>
      </c>
      <c r="DJ277" s="64">
        <f>($H277-$H278)*100</f>
        <v/>
      </c>
      <c r="DK277" s="65">
        <f>IFERROR($J277/$J278-1,"")</f>
        <v/>
      </c>
      <c r="DL277" s="64">
        <f>$L277-$L278</f>
        <v/>
      </c>
      <c r="DM277" s="64">
        <f>$K277-$K278</f>
        <v/>
      </c>
      <c r="DN277" s="65">
        <f>IFERROR($N277/$N278-1,"")</f>
        <v/>
      </c>
      <c r="DO277" s="65">
        <f>IFERROR($M277/$M278-1,"")</f>
        <v/>
      </c>
      <c r="DP277" s="65">
        <f>IFERROR($AZ277/$AZ278-1,"")</f>
        <v/>
      </c>
      <c r="DQ277" s="65">
        <f>IFERROR($BA277/$BA278-1,"")</f>
        <v/>
      </c>
      <c r="DR277" s="64">
        <f>$O277-$O278</f>
        <v/>
      </c>
      <c r="DS277" s="64">
        <f>$P277-$P278</f>
        <v/>
      </c>
      <c r="DT277" s="64">
        <f>$Q277-$Q278</f>
        <v/>
      </c>
      <c r="DU277" s="64">
        <f>$S277-$S278</f>
        <v/>
      </c>
      <c r="DV277" s="65">
        <f>IFERROR(AVERAGE($AA278/$AA277-1,$AB278/$AB277-1,$AC278/$AC277-1,$AD278/$AD277-1,$AE278/$AE277-1,$AG278/$AG277-1,$AH278/$AH277-1,$AI278/$AI277-1,$AJ278/$AJ277-1,$AL278/$AL277-1,$AM278/$AM277-1,$AR278/$AR277-1,$AS278/$AS277-1,$AT278/$AT277-1,$AU278/$AU277-1,$AV278/$AV277-1,$AW278/$AW277-1,$AX278/$AX277-1,$AY278/$AY277-1),"")</f>
        <v/>
      </c>
      <c r="DW277" s="66">
        <f>AVERAGE($CB277,$CC277,$CD277,$CE277,$CF277,$CG277,$CH277,$CI277,$CJ277,$CL277,$CM277,$CN277,$CO277,$CP277,$CQ277,$CR277,$CS277,$CT277)</f>
        <v/>
      </c>
      <c r="DX277" s="66">
        <f>AVERAGE($CB277,$CC277,$CM277,$CE277,$CP277)</f>
        <v/>
      </c>
      <c r="DY277" s="64">
        <f>($DW277-$DW278)*100</f>
        <v/>
      </c>
      <c r="DZ277" s="64">
        <f>($DX277-$DX278)*100</f>
        <v/>
      </c>
      <c r="EA277" s="64">
        <f>($DW277-$D277)*100</f>
        <v/>
      </c>
      <c r="EB277" s="64">
        <f>$Q277-$O277</f>
        <v/>
      </c>
      <c r="EC277" s="67">
        <f>IFERROR($Q277/$P277,"")</f>
        <v/>
      </c>
    </row>
    <row r="278">
      <c r="DG278" s="64">
        <f>($B278-$B279)*100</f>
        <v/>
      </c>
      <c r="DH278" s="64">
        <f>($D278-$D279)*100</f>
        <v/>
      </c>
      <c r="DI278" s="64">
        <f>($E278-$E279)*100</f>
        <v/>
      </c>
      <c r="DJ278" s="64">
        <f>($H278-$H279)*100</f>
        <v/>
      </c>
      <c r="DK278" s="65">
        <f>IFERROR($J278/$J279-1,"")</f>
        <v/>
      </c>
      <c r="DL278" s="64">
        <f>$L278-$L279</f>
        <v/>
      </c>
      <c r="DM278" s="64">
        <f>$K278-$K279</f>
        <v/>
      </c>
      <c r="DN278" s="65">
        <f>IFERROR($N278/$N279-1,"")</f>
        <v/>
      </c>
      <c r="DO278" s="65">
        <f>IFERROR($M278/$M279-1,"")</f>
        <v/>
      </c>
      <c r="DP278" s="65">
        <f>IFERROR($AZ278/$AZ279-1,"")</f>
        <v/>
      </c>
      <c r="DQ278" s="65">
        <f>IFERROR($BA278/$BA279-1,"")</f>
        <v/>
      </c>
      <c r="DR278" s="64">
        <f>$O278-$O279</f>
        <v/>
      </c>
      <c r="DS278" s="64">
        <f>$P278-$P279</f>
        <v/>
      </c>
      <c r="DT278" s="64">
        <f>$Q278-$Q279</f>
        <v/>
      </c>
      <c r="DU278" s="64">
        <f>$S278-$S279</f>
        <v/>
      </c>
      <c r="DV278" s="65">
        <f>IFERROR(AVERAGE($AA279/$AA278-1,$AB279/$AB278-1,$AC279/$AC278-1,$AD279/$AD278-1,$AE279/$AE278-1,$AG279/$AG278-1,$AH279/$AH278-1,$AI279/$AI278-1,$AJ279/$AJ278-1,$AL279/$AL278-1,$AM279/$AM278-1,$AR279/$AR278-1,$AS279/$AS278-1,$AT279/$AT278-1,$AU279/$AU278-1,$AV279/$AV278-1,$AW279/$AW278-1,$AX279/$AX278-1,$AY279/$AY278-1),"")</f>
        <v/>
      </c>
      <c r="DW278" s="66">
        <f>AVERAGE($CB278,$CC278,$CD278,$CE278,$CF278,$CG278,$CH278,$CI278,$CJ278,$CL278,$CM278,$CN278,$CO278,$CP278,$CQ278,$CR278,$CS278,$CT278)</f>
        <v/>
      </c>
      <c r="DX278" s="66">
        <f>AVERAGE($CB278,$CC278,$CM278,$CE278,$CP278)</f>
        <v/>
      </c>
      <c r="DY278" s="64">
        <f>($DW278-$DW279)*100</f>
        <v/>
      </c>
      <c r="DZ278" s="64">
        <f>($DX278-$DX279)*100</f>
        <v/>
      </c>
      <c r="EA278" s="64">
        <f>($DW278-$D278)*100</f>
        <v/>
      </c>
      <c r="EB278" s="64">
        <f>$Q278-$O278</f>
        <v/>
      </c>
      <c r="EC278" s="67">
        <f>IFERROR($Q278/$P278,"")</f>
        <v/>
      </c>
    </row>
    <row r="279">
      <c r="DG279" s="64">
        <f>($B279-$B280)*100</f>
        <v/>
      </c>
      <c r="DH279" s="64">
        <f>($D279-$D280)*100</f>
        <v/>
      </c>
      <c r="DI279" s="64">
        <f>($E279-$E280)*100</f>
        <v/>
      </c>
      <c r="DJ279" s="64">
        <f>($H279-$H280)*100</f>
        <v/>
      </c>
      <c r="DK279" s="65">
        <f>IFERROR($J279/$J280-1,"")</f>
        <v/>
      </c>
      <c r="DL279" s="64">
        <f>$L279-$L280</f>
        <v/>
      </c>
      <c r="DM279" s="64">
        <f>$K279-$K280</f>
        <v/>
      </c>
      <c r="DN279" s="65">
        <f>IFERROR($N279/$N280-1,"")</f>
        <v/>
      </c>
      <c r="DO279" s="65">
        <f>IFERROR($M279/$M280-1,"")</f>
        <v/>
      </c>
      <c r="DP279" s="65">
        <f>IFERROR($AZ279/$AZ280-1,"")</f>
        <v/>
      </c>
      <c r="DQ279" s="65">
        <f>IFERROR($BA279/$BA280-1,"")</f>
        <v/>
      </c>
      <c r="DR279" s="64">
        <f>$O279-$O280</f>
        <v/>
      </c>
      <c r="DS279" s="64">
        <f>$P279-$P280</f>
        <v/>
      </c>
      <c r="DT279" s="64">
        <f>$Q279-$Q280</f>
        <v/>
      </c>
      <c r="DU279" s="64">
        <f>$S279-$S280</f>
        <v/>
      </c>
      <c r="DV279" s="65">
        <f>IFERROR(AVERAGE($AA280/$AA279-1,$AB280/$AB279-1,$AC280/$AC279-1,$AD280/$AD279-1,$AE280/$AE279-1,$AG280/$AG279-1,$AH280/$AH279-1,$AI280/$AI279-1,$AJ280/$AJ279-1,$AL280/$AL279-1,$AM280/$AM279-1,$AR280/$AR279-1,$AS280/$AS279-1,$AT280/$AT279-1,$AU280/$AU279-1,$AV280/$AV279-1,$AW280/$AW279-1,$AX280/$AX279-1,$AY280/$AY279-1),"")</f>
        <v/>
      </c>
      <c r="DW279" s="66">
        <f>AVERAGE($CB279,$CC279,$CD279,$CE279,$CF279,$CG279,$CH279,$CI279,$CJ279,$CL279,$CM279,$CN279,$CO279,$CP279,$CQ279,$CR279,$CS279,$CT279)</f>
        <v/>
      </c>
      <c r="DX279" s="66">
        <f>AVERAGE($CB279,$CC279,$CM279,$CE279,$CP279)</f>
        <v/>
      </c>
      <c r="DY279" s="64">
        <f>($DW279-$DW280)*100</f>
        <v/>
      </c>
      <c r="DZ279" s="64">
        <f>($DX279-$DX280)*100</f>
        <v/>
      </c>
      <c r="EA279" s="64">
        <f>($DW279-$D279)*100</f>
        <v/>
      </c>
      <c r="EB279" s="64">
        <f>$Q279-$O279</f>
        <v/>
      </c>
      <c r="EC279" s="67">
        <f>IFERROR($Q279/$P279,"")</f>
        <v/>
      </c>
    </row>
    <row r="280">
      <c r="DG280" s="64">
        <f>($B280-$B281)*100</f>
        <v/>
      </c>
      <c r="DH280" s="64">
        <f>($D280-$D281)*100</f>
        <v/>
      </c>
      <c r="DI280" s="64">
        <f>($E280-$E281)*100</f>
        <v/>
      </c>
      <c r="DJ280" s="64">
        <f>($H280-$H281)*100</f>
        <v/>
      </c>
      <c r="DK280" s="65">
        <f>IFERROR($J280/$J281-1,"")</f>
        <v/>
      </c>
      <c r="DL280" s="64">
        <f>$L280-$L281</f>
        <v/>
      </c>
      <c r="DM280" s="64">
        <f>$K280-$K281</f>
        <v/>
      </c>
      <c r="DN280" s="65">
        <f>IFERROR($N280/$N281-1,"")</f>
        <v/>
      </c>
      <c r="DO280" s="65">
        <f>IFERROR($M280/$M281-1,"")</f>
        <v/>
      </c>
      <c r="DP280" s="65">
        <f>IFERROR($AZ280/$AZ281-1,"")</f>
        <v/>
      </c>
      <c r="DQ280" s="65">
        <f>IFERROR($BA280/$BA281-1,"")</f>
        <v/>
      </c>
      <c r="DR280" s="64">
        <f>$O280-$O281</f>
        <v/>
      </c>
      <c r="DS280" s="64">
        <f>$P280-$P281</f>
        <v/>
      </c>
      <c r="DT280" s="64">
        <f>$Q280-$Q281</f>
        <v/>
      </c>
      <c r="DU280" s="64">
        <f>$S280-$S281</f>
        <v/>
      </c>
      <c r="DV280" s="65">
        <f>IFERROR(AVERAGE($AA281/$AA280-1,$AB281/$AB280-1,$AC281/$AC280-1,$AD281/$AD280-1,$AE281/$AE280-1,$AG281/$AG280-1,$AH281/$AH280-1,$AI281/$AI280-1,$AJ281/$AJ280-1,$AL281/$AL280-1,$AM281/$AM280-1,$AR281/$AR280-1,$AS281/$AS280-1,$AT281/$AT280-1,$AU281/$AU280-1,$AV281/$AV280-1,$AW281/$AW280-1,$AX281/$AX280-1,$AY281/$AY280-1),"")</f>
        <v/>
      </c>
      <c r="DW280" s="66">
        <f>AVERAGE($CB280,$CC280,$CD280,$CE280,$CF280,$CG280,$CH280,$CI280,$CJ280,$CL280,$CM280,$CN280,$CO280,$CP280,$CQ280,$CR280,$CS280,$CT280)</f>
        <v/>
      </c>
      <c r="DX280" s="66">
        <f>AVERAGE($CB280,$CC280,$CM280,$CE280,$CP280)</f>
        <v/>
      </c>
      <c r="DY280" s="64">
        <f>($DW280-$DW281)*100</f>
        <v/>
      </c>
      <c r="DZ280" s="64">
        <f>($DX280-$DX281)*100</f>
        <v/>
      </c>
      <c r="EA280" s="64">
        <f>($DW280-$D280)*100</f>
        <v/>
      </c>
      <c r="EB280" s="64">
        <f>$Q280-$O280</f>
        <v/>
      </c>
      <c r="EC280" s="67">
        <f>IFERROR($Q280/$P280,"")</f>
        <v/>
      </c>
    </row>
    <row r="281">
      <c r="DG281" s="64">
        <f>($B281-$B282)*100</f>
        <v/>
      </c>
      <c r="DH281" s="64">
        <f>($D281-$D282)*100</f>
        <v/>
      </c>
      <c r="DI281" s="64">
        <f>($E281-$E282)*100</f>
        <v/>
      </c>
      <c r="DJ281" s="64">
        <f>($H281-$H282)*100</f>
        <v/>
      </c>
      <c r="DK281" s="65">
        <f>IFERROR($J281/$J282-1,"")</f>
        <v/>
      </c>
      <c r="DL281" s="64">
        <f>$L281-$L282</f>
        <v/>
      </c>
      <c r="DM281" s="64">
        <f>$K281-$K282</f>
        <v/>
      </c>
      <c r="DN281" s="65">
        <f>IFERROR($N281/$N282-1,"")</f>
        <v/>
      </c>
      <c r="DO281" s="65">
        <f>IFERROR($M281/$M282-1,"")</f>
        <v/>
      </c>
      <c r="DP281" s="65">
        <f>IFERROR($AZ281/$AZ282-1,"")</f>
        <v/>
      </c>
      <c r="DQ281" s="65">
        <f>IFERROR($BA281/$BA282-1,"")</f>
        <v/>
      </c>
      <c r="DR281" s="64">
        <f>$O281-$O282</f>
        <v/>
      </c>
      <c r="DS281" s="64">
        <f>$P281-$P282</f>
        <v/>
      </c>
      <c r="DT281" s="64">
        <f>$Q281-$Q282</f>
        <v/>
      </c>
      <c r="DU281" s="64">
        <f>$S281-$S282</f>
        <v/>
      </c>
      <c r="DV281" s="65">
        <f>IFERROR(AVERAGE($AA282/$AA281-1,$AB282/$AB281-1,$AC282/$AC281-1,$AD282/$AD281-1,$AE282/$AE281-1,$AG282/$AG281-1,$AH282/$AH281-1,$AI282/$AI281-1,$AJ282/$AJ281-1,$AL282/$AL281-1,$AM282/$AM281-1,$AR282/$AR281-1,$AS282/$AS281-1,$AT282/$AT281-1,$AU282/$AU281-1,$AV282/$AV281-1,$AW282/$AW281-1,$AX282/$AX281-1,$AY282/$AY281-1),"")</f>
        <v/>
      </c>
      <c r="DW281" s="66">
        <f>AVERAGE($CB281,$CC281,$CD281,$CE281,$CF281,$CG281,$CH281,$CI281,$CJ281,$CL281,$CM281,$CN281,$CO281,$CP281,$CQ281,$CR281,$CS281,$CT281)</f>
        <v/>
      </c>
      <c r="DX281" s="66">
        <f>AVERAGE($CB281,$CC281,$CM281,$CE281,$CP281)</f>
        <v/>
      </c>
      <c r="DY281" s="64">
        <f>($DW281-$DW282)*100</f>
        <v/>
      </c>
      <c r="DZ281" s="64">
        <f>($DX281-$DX282)*100</f>
        <v/>
      </c>
      <c r="EA281" s="64">
        <f>($DW281-$D281)*100</f>
        <v/>
      </c>
      <c r="EB281" s="64">
        <f>$Q281-$O281</f>
        <v/>
      </c>
      <c r="EC281" s="67">
        <f>IFERROR($Q281/$P281,"")</f>
        <v/>
      </c>
    </row>
    <row r="282">
      <c r="DG282" s="64">
        <f>($B282-$B283)*100</f>
        <v/>
      </c>
      <c r="DH282" s="64">
        <f>($D282-$D283)*100</f>
        <v/>
      </c>
      <c r="DI282" s="64">
        <f>($E282-$E283)*100</f>
        <v/>
      </c>
      <c r="DJ282" s="64">
        <f>($H282-$H283)*100</f>
        <v/>
      </c>
      <c r="DK282" s="65">
        <f>IFERROR($J282/$J283-1,"")</f>
        <v/>
      </c>
      <c r="DL282" s="64">
        <f>$L282-$L283</f>
        <v/>
      </c>
      <c r="DM282" s="64">
        <f>$K282-$K283</f>
        <v/>
      </c>
      <c r="DN282" s="65">
        <f>IFERROR($N282/$N283-1,"")</f>
        <v/>
      </c>
      <c r="DO282" s="65">
        <f>IFERROR($M282/$M283-1,"")</f>
        <v/>
      </c>
      <c r="DP282" s="65">
        <f>IFERROR($AZ282/$AZ283-1,"")</f>
        <v/>
      </c>
      <c r="DQ282" s="65">
        <f>IFERROR($BA282/$BA283-1,"")</f>
        <v/>
      </c>
      <c r="DR282" s="64">
        <f>$O282-$O283</f>
        <v/>
      </c>
      <c r="DS282" s="64">
        <f>$P282-$P283</f>
        <v/>
      </c>
      <c r="DT282" s="64">
        <f>$Q282-$Q283</f>
        <v/>
      </c>
      <c r="DU282" s="64">
        <f>$S282-$S283</f>
        <v/>
      </c>
      <c r="DV282" s="65">
        <f>IFERROR(AVERAGE($AA283/$AA282-1,$AB283/$AB282-1,$AC283/$AC282-1,$AD283/$AD282-1,$AE283/$AE282-1,$AG283/$AG282-1,$AH283/$AH282-1,$AI283/$AI282-1,$AJ283/$AJ282-1,$AL283/$AL282-1,$AM283/$AM282-1,$AR283/$AR282-1,$AS283/$AS282-1,$AT283/$AT282-1,$AU283/$AU282-1,$AV283/$AV282-1,$AW283/$AW282-1,$AX283/$AX282-1,$AY283/$AY282-1),"")</f>
        <v/>
      </c>
      <c r="DW282" s="66">
        <f>AVERAGE($CB282,$CC282,$CD282,$CE282,$CF282,$CG282,$CH282,$CI282,$CJ282,$CL282,$CM282,$CN282,$CO282,$CP282,$CQ282,$CR282,$CS282,$CT282)</f>
        <v/>
      </c>
      <c r="DX282" s="66">
        <f>AVERAGE($CB282,$CC282,$CM282,$CE282,$CP282)</f>
        <v/>
      </c>
      <c r="DY282" s="64">
        <f>($DW282-$DW283)*100</f>
        <v/>
      </c>
      <c r="DZ282" s="64">
        <f>($DX282-$DX283)*100</f>
        <v/>
      </c>
      <c r="EA282" s="64">
        <f>($DW282-$D282)*100</f>
        <v/>
      </c>
      <c r="EB282" s="64">
        <f>$Q282-$O282</f>
        <v/>
      </c>
      <c r="EC282" s="67">
        <f>IFERROR($Q282/$P282,"")</f>
        <v/>
      </c>
    </row>
    <row r="283">
      <c r="DG283" s="64">
        <f>($B283-$B284)*100</f>
        <v/>
      </c>
      <c r="DH283" s="64">
        <f>($D283-$D284)*100</f>
        <v/>
      </c>
      <c r="DI283" s="64">
        <f>($E283-$E284)*100</f>
        <v/>
      </c>
      <c r="DJ283" s="64">
        <f>($H283-$H284)*100</f>
        <v/>
      </c>
      <c r="DK283" s="65">
        <f>IFERROR($J283/$J284-1,"")</f>
        <v/>
      </c>
      <c r="DL283" s="64">
        <f>$L283-$L284</f>
        <v/>
      </c>
      <c r="DM283" s="64">
        <f>$K283-$K284</f>
        <v/>
      </c>
      <c r="DN283" s="65">
        <f>IFERROR($N283/$N284-1,"")</f>
        <v/>
      </c>
      <c r="DO283" s="65">
        <f>IFERROR($M283/$M284-1,"")</f>
        <v/>
      </c>
      <c r="DP283" s="65">
        <f>IFERROR($AZ283/$AZ284-1,"")</f>
        <v/>
      </c>
      <c r="DQ283" s="65">
        <f>IFERROR($BA283/$BA284-1,"")</f>
        <v/>
      </c>
      <c r="DR283" s="64">
        <f>$O283-$O284</f>
        <v/>
      </c>
      <c r="DS283" s="64">
        <f>$P283-$P284</f>
        <v/>
      </c>
      <c r="DT283" s="64">
        <f>$Q283-$Q284</f>
        <v/>
      </c>
      <c r="DU283" s="64">
        <f>$S283-$S284</f>
        <v/>
      </c>
      <c r="DV283" s="65">
        <f>IFERROR(AVERAGE($AA284/$AA283-1,$AB284/$AB283-1,$AC284/$AC283-1,$AD284/$AD283-1,$AE284/$AE283-1,$AG284/$AG283-1,$AH284/$AH283-1,$AI284/$AI283-1,$AJ284/$AJ283-1,$AL284/$AL283-1,$AM284/$AM283-1,$AR284/$AR283-1,$AS284/$AS283-1,$AT284/$AT283-1,$AU284/$AU283-1,$AV284/$AV283-1,$AW284/$AW283-1,$AX284/$AX283-1,$AY284/$AY283-1),"")</f>
        <v/>
      </c>
      <c r="DW283" s="66">
        <f>AVERAGE($CB283,$CC283,$CD283,$CE283,$CF283,$CG283,$CH283,$CI283,$CJ283,$CL283,$CM283,$CN283,$CO283,$CP283,$CQ283,$CR283,$CS283,$CT283)</f>
        <v/>
      </c>
      <c r="DX283" s="66">
        <f>AVERAGE($CB283,$CC283,$CM283,$CE283,$CP283)</f>
        <v/>
      </c>
      <c r="DY283" s="64">
        <f>($DW283-$DW284)*100</f>
        <v/>
      </c>
      <c r="DZ283" s="64">
        <f>($DX283-$DX284)*100</f>
        <v/>
      </c>
      <c r="EA283" s="64">
        <f>($DW283-$D283)*100</f>
        <v/>
      </c>
      <c r="EB283" s="64">
        <f>$Q283-$O283</f>
        <v/>
      </c>
      <c r="EC283" s="67">
        <f>IFERROR($Q283/$P283,"")</f>
        <v/>
      </c>
    </row>
    <row r="284">
      <c r="DG284" s="64">
        <f>($B284-$B285)*100</f>
        <v/>
      </c>
      <c r="DH284" s="64">
        <f>($D284-$D285)*100</f>
        <v/>
      </c>
      <c r="DI284" s="64">
        <f>($E284-$E285)*100</f>
        <v/>
      </c>
      <c r="DJ284" s="64">
        <f>($H284-$H285)*100</f>
        <v/>
      </c>
      <c r="DK284" s="65">
        <f>IFERROR($J284/$J285-1,"")</f>
        <v/>
      </c>
      <c r="DL284" s="64">
        <f>$L284-$L285</f>
        <v/>
      </c>
      <c r="DM284" s="64">
        <f>$K284-$K285</f>
        <v/>
      </c>
      <c r="DN284" s="65">
        <f>IFERROR($N284/$N285-1,"")</f>
        <v/>
      </c>
      <c r="DO284" s="65">
        <f>IFERROR($M284/$M285-1,"")</f>
        <v/>
      </c>
      <c r="DP284" s="65">
        <f>IFERROR($AZ284/$AZ285-1,"")</f>
        <v/>
      </c>
      <c r="DQ284" s="65">
        <f>IFERROR($BA284/$BA285-1,"")</f>
        <v/>
      </c>
      <c r="DR284" s="64">
        <f>$O284-$O285</f>
        <v/>
      </c>
      <c r="DS284" s="64">
        <f>$P284-$P285</f>
        <v/>
      </c>
      <c r="DT284" s="64">
        <f>$Q284-$Q285</f>
        <v/>
      </c>
      <c r="DU284" s="64">
        <f>$S284-$S285</f>
        <v/>
      </c>
      <c r="DV284" s="65">
        <f>IFERROR(AVERAGE($AA285/$AA284-1,$AB285/$AB284-1,$AC285/$AC284-1,$AD285/$AD284-1,$AE285/$AE284-1,$AG285/$AG284-1,$AH285/$AH284-1,$AI285/$AI284-1,$AJ285/$AJ284-1,$AL285/$AL284-1,$AM285/$AM284-1,$AR285/$AR284-1,$AS285/$AS284-1,$AT285/$AT284-1,$AU285/$AU284-1,$AV285/$AV284-1,$AW285/$AW284-1,$AX285/$AX284-1,$AY285/$AY284-1),"")</f>
        <v/>
      </c>
      <c r="DW284" s="66">
        <f>AVERAGE($CB284,$CC284,$CD284,$CE284,$CF284,$CG284,$CH284,$CI284,$CJ284,$CL284,$CM284,$CN284,$CO284,$CP284,$CQ284,$CR284,$CS284,$CT284)</f>
        <v/>
      </c>
      <c r="DX284" s="66">
        <f>AVERAGE($CB284,$CC284,$CM284,$CE284,$CP284)</f>
        <v/>
      </c>
      <c r="DY284" s="64">
        <f>($DW284-$DW285)*100</f>
        <v/>
      </c>
      <c r="DZ284" s="64">
        <f>($DX284-$DX285)*100</f>
        <v/>
      </c>
      <c r="EA284" s="64">
        <f>($DW284-$D284)*100</f>
        <v/>
      </c>
      <c r="EB284" s="64">
        <f>$Q284-$O284</f>
        <v/>
      </c>
      <c r="EC284" s="67">
        <f>IFERROR($Q284/$P284,"")</f>
        <v/>
      </c>
    </row>
    <row r="285">
      <c r="DG285" s="64">
        <f>($B285-$B286)*100</f>
        <v/>
      </c>
      <c r="DH285" s="64">
        <f>($D285-$D286)*100</f>
        <v/>
      </c>
      <c r="DI285" s="64">
        <f>($E285-$E286)*100</f>
        <v/>
      </c>
      <c r="DJ285" s="64">
        <f>($H285-$H286)*100</f>
        <v/>
      </c>
      <c r="DK285" s="65">
        <f>IFERROR($J285/$J286-1,"")</f>
        <v/>
      </c>
      <c r="DL285" s="64">
        <f>$L285-$L286</f>
        <v/>
      </c>
      <c r="DM285" s="64">
        <f>$K285-$K286</f>
        <v/>
      </c>
      <c r="DN285" s="65">
        <f>IFERROR($N285/$N286-1,"")</f>
        <v/>
      </c>
      <c r="DO285" s="65">
        <f>IFERROR($M285/$M286-1,"")</f>
        <v/>
      </c>
      <c r="DP285" s="65">
        <f>IFERROR($AZ285/$AZ286-1,"")</f>
        <v/>
      </c>
      <c r="DQ285" s="65">
        <f>IFERROR($BA285/$BA286-1,"")</f>
        <v/>
      </c>
      <c r="DR285" s="64">
        <f>$O285-$O286</f>
        <v/>
      </c>
      <c r="DS285" s="64">
        <f>$P285-$P286</f>
        <v/>
      </c>
      <c r="DT285" s="64">
        <f>$Q285-$Q286</f>
        <v/>
      </c>
      <c r="DU285" s="64">
        <f>$S285-$S286</f>
        <v/>
      </c>
      <c r="DV285" s="65">
        <f>IFERROR(AVERAGE($AA286/$AA285-1,$AB286/$AB285-1,$AC286/$AC285-1,$AD286/$AD285-1,$AE286/$AE285-1,$AG286/$AG285-1,$AH286/$AH285-1,$AI286/$AI285-1,$AJ286/$AJ285-1,$AL286/$AL285-1,$AM286/$AM285-1,$AR286/$AR285-1,$AS286/$AS285-1,$AT286/$AT285-1,$AU286/$AU285-1,$AV286/$AV285-1,$AW286/$AW285-1,$AX286/$AX285-1,$AY286/$AY285-1),"")</f>
        <v/>
      </c>
      <c r="DW285" s="66">
        <f>AVERAGE($CB285,$CC285,$CD285,$CE285,$CF285,$CG285,$CH285,$CI285,$CJ285,$CL285,$CM285,$CN285,$CO285,$CP285,$CQ285,$CR285,$CS285,$CT285)</f>
        <v/>
      </c>
      <c r="DX285" s="66">
        <f>AVERAGE($CB285,$CC285,$CM285,$CE285,$CP285)</f>
        <v/>
      </c>
      <c r="DY285" s="64">
        <f>($DW285-$DW286)*100</f>
        <v/>
      </c>
      <c r="DZ285" s="64">
        <f>($DX285-$DX286)*100</f>
        <v/>
      </c>
      <c r="EA285" s="64">
        <f>($DW285-$D285)*100</f>
        <v/>
      </c>
      <c r="EB285" s="64">
        <f>$Q285-$O285</f>
        <v/>
      </c>
      <c r="EC285" s="67">
        <f>IFERROR($Q285/$P285,"")</f>
        <v/>
      </c>
    </row>
    <row r="286">
      <c r="DG286" s="64">
        <f>($B286-$B287)*100</f>
        <v/>
      </c>
      <c r="DH286" s="64">
        <f>($D286-$D287)*100</f>
        <v/>
      </c>
      <c r="DI286" s="64">
        <f>($E286-$E287)*100</f>
        <v/>
      </c>
      <c r="DJ286" s="64">
        <f>($H286-$H287)*100</f>
        <v/>
      </c>
      <c r="DK286" s="65">
        <f>IFERROR($J286/$J287-1,"")</f>
        <v/>
      </c>
      <c r="DL286" s="64">
        <f>$L286-$L287</f>
        <v/>
      </c>
      <c r="DM286" s="64">
        <f>$K286-$K287</f>
        <v/>
      </c>
      <c r="DN286" s="65">
        <f>IFERROR($N286/$N287-1,"")</f>
        <v/>
      </c>
      <c r="DO286" s="65">
        <f>IFERROR($M286/$M287-1,"")</f>
        <v/>
      </c>
      <c r="DP286" s="65">
        <f>IFERROR($AZ286/$AZ287-1,"")</f>
        <v/>
      </c>
      <c r="DQ286" s="65">
        <f>IFERROR($BA286/$BA287-1,"")</f>
        <v/>
      </c>
      <c r="DR286" s="64">
        <f>$O286-$O287</f>
        <v/>
      </c>
      <c r="DS286" s="64">
        <f>$P286-$P287</f>
        <v/>
      </c>
      <c r="DT286" s="64">
        <f>$Q286-$Q287</f>
        <v/>
      </c>
      <c r="DU286" s="64">
        <f>$S286-$S287</f>
        <v/>
      </c>
      <c r="DV286" s="65">
        <f>IFERROR(AVERAGE($AA287/$AA286-1,$AB287/$AB286-1,$AC287/$AC286-1,$AD287/$AD286-1,$AE287/$AE286-1,$AG287/$AG286-1,$AH287/$AH286-1,$AI287/$AI286-1,$AJ287/$AJ286-1,$AL287/$AL286-1,$AM287/$AM286-1,$AR287/$AR286-1,$AS287/$AS286-1,$AT287/$AT286-1,$AU287/$AU286-1,$AV287/$AV286-1,$AW287/$AW286-1,$AX287/$AX286-1,$AY287/$AY286-1),"")</f>
        <v/>
      </c>
      <c r="DW286" s="66">
        <f>AVERAGE($CB286,$CC286,$CD286,$CE286,$CF286,$CG286,$CH286,$CI286,$CJ286,$CL286,$CM286,$CN286,$CO286,$CP286,$CQ286,$CR286,$CS286,$CT286)</f>
        <v/>
      </c>
      <c r="DX286" s="66">
        <f>AVERAGE($CB286,$CC286,$CM286,$CE286,$CP286)</f>
        <v/>
      </c>
      <c r="DY286" s="64">
        <f>($DW286-$DW287)*100</f>
        <v/>
      </c>
      <c r="DZ286" s="64">
        <f>($DX286-$DX287)*100</f>
        <v/>
      </c>
      <c r="EA286" s="64">
        <f>($DW286-$D286)*100</f>
        <v/>
      </c>
      <c r="EB286" s="64">
        <f>$Q286-$O286</f>
        <v/>
      </c>
      <c r="EC286" s="67">
        <f>IFERROR($Q286/$P286,"")</f>
        <v/>
      </c>
    </row>
    <row r="287">
      <c r="DG287" s="64">
        <f>($B287-$B288)*100</f>
        <v/>
      </c>
      <c r="DH287" s="64">
        <f>($D287-$D288)*100</f>
        <v/>
      </c>
      <c r="DI287" s="64">
        <f>($E287-$E288)*100</f>
        <v/>
      </c>
      <c r="DJ287" s="64">
        <f>($H287-$H288)*100</f>
        <v/>
      </c>
      <c r="DK287" s="65">
        <f>IFERROR($J287/$J288-1,"")</f>
        <v/>
      </c>
      <c r="DL287" s="64">
        <f>$L287-$L288</f>
        <v/>
      </c>
      <c r="DM287" s="64">
        <f>$K287-$K288</f>
        <v/>
      </c>
      <c r="DN287" s="65">
        <f>IFERROR($N287/$N288-1,"")</f>
        <v/>
      </c>
      <c r="DO287" s="65">
        <f>IFERROR($M287/$M288-1,"")</f>
        <v/>
      </c>
      <c r="DP287" s="65">
        <f>IFERROR($AZ287/$AZ288-1,"")</f>
        <v/>
      </c>
      <c r="DQ287" s="65">
        <f>IFERROR($BA287/$BA288-1,"")</f>
        <v/>
      </c>
      <c r="DR287" s="64">
        <f>$O287-$O288</f>
        <v/>
      </c>
      <c r="DS287" s="64">
        <f>$P287-$P288</f>
        <v/>
      </c>
      <c r="DT287" s="64">
        <f>$Q287-$Q288</f>
        <v/>
      </c>
      <c r="DU287" s="64">
        <f>$S287-$S288</f>
        <v/>
      </c>
      <c r="DV287" s="65">
        <f>IFERROR(AVERAGE($AA288/$AA287-1,$AB288/$AB287-1,$AC288/$AC287-1,$AD288/$AD287-1,$AE288/$AE287-1,$AG288/$AG287-1,$AH288/$AH287-1,$AI288/$AI287-1,$AJ288/$AJ287-1,$AL288/$AL287-1,$AM288/$AM287-1,$AR288/$AR287-1,$AS288/$AS287-1,$AT288/$AT287-1,$AU288/$AU287-1,$AV288/$AV287-1,$AW288/$AW287-1,$AX288/$AX287-1,$AY288/$AY287-1),"")</f>
        <v/>
      </c>
      <c r="DW287" s="66">
        <f>AVERAGE($CB287,$CC287,$CD287,$CE287,$CF287,$CG287,$CH287,$CI287,$CJ287,$CL287,$CM287,$CN287,$CO287,$CP287,$CQ287,$CR287,$CS287,$CT287)</f>
        <v/>
      </c>
      <c r="DX287" s="66">
        <f>AVERAGE($CB287,$CC287,$CM287,$CE287,$CP287)</f>
        <v/>
      </c>
      <c r="DY287" s="64">
        <f>($DW287-$DW288)*100</f>
        <v/>
      </c>
      <c r="DZ287" s="64">
        <f>($DX287-$DX288)*100</f>
        <v/>
      </c>
      <c r="EA287" s="64">
        <f>($DW287-$D287)*100</f>
        <v/>
      </c>
      <c r="EB287" s="64">
        <f>$Q287-$O287</f>
        <v/>
      </c>
      <c r="EC287" s="67">
        <f>IFERROR($Q287/$P287,"")</f>
        <v/>
      </c>
    </row>
    <row r="288">
      <c r="DG288" s="64">
        <f>($B288-$B289)*100</f>
        <v/>
      </c>
      <c r="DH288" s="64">
        <f>($D288-$D289)*100</f>
        <v/>
      </c>
      <c r="DI288" s="64">
        <f>($E288-$E289)*100</f>
        <v/>
      </c>
      <c r="DJ288" s="64">
        <f>($H288-$H289)*100</f>
        <v/>
      </c>
      <c r="DK288" s="65">
        <f>IFERROR($J288/$J289-1,"")</f>
        <v/>
      </c>
      <c r="DL288" s="64">
        <f>$L288-$L289</f>
        <v/>
      </c>
      <c r="DM288" s="64">
        <f>$K288-$K289</f>
        <v/>
      </c>
      <c r="DN288" s="65">
        <f>IFERROR($N288/$N289-1,"")</f>
        <v/>
      </c>
      <c r="DO288" s="65">
        <f>IFERROR($M288/$M289-1,"")</f>
        <v/>
      </c>
      <c r="DP288" s="65">
        <f>IFERROR($AZ288/$AZ289-1,"")</f>
        <v/>
      </c>
      <c r="DQ288" s="65">
        <f>IFERROR($BA288/$BA289-1,"")</f>
        <v/>
      </c>
      <c r="DR288" s="64">
        <f>$O288-$O289</f>
        <v/>
      </c>
      <c r="DS288" s="64">
        <f>$P288-$P289</f>
        <v/>
      </c>
      <c r="DT288" s="64">
        <f>$Q288-$Q289</f>
        <v/>
      </c>
      <c r="DU288" s="64">
        <f>$S288-$S289</f>
        <v/>
      </c>
      <c r="DV288" s="65">
        <f>IFERROR(AVERAGE($AA289/$AA288-1,$AB289/$AB288-1,$AC289/$AC288-1,$AD289/$AD288-1,$AE289/$AE288-1,$AG289/$AG288-1,$AH289/$AH288-1,$AI289/$AI288-1,$AJ289/$AJ288-1,$AL289/$AL288-1,$AM289/$AM288-1,$AR289/$AR288-1,$AS289/$AS288-1,$AT289/$AT288-1,$AU289/$AU288-1,$AV289/$AV288-1,$AW289/$AW288-1,$AX289/$AX288-1,$AY289/$AY288-1),"")</f>
        <v/>
      </c>
      <c r="DW288" s="66">
        <f>AVERAGE($CB288,$CC288,$CD288,$CE288,$CF288,$CG288,$CH288,$CI288,$CJ288,$CL288,$CM288,$CN288,$CO288,$CP288,$CQ288,$CR288,$CS288,$CT288)</f>
        <v/>
      </c>
      <c r="DX288" s="66">
        <f>AVERAGE($CB288,$CC288,$CM288,$CE288,$CP288)</f>
        <v/>
      </c>
      <c r="DY288" s="64">
        <f>($DW288-$DW289)*100</f>
        <v/>
      </c>
      <c r="DZ288" s="64">
        <f>($DX288-$DX289)*100</f>
        <v/>
      </c>
      <c r="EA288" s="64">
        <f>($DW288-$D288)*100</f>
        <v/>
      </c>
      <c r="EB288" s="64">
        <f>$Q288-$O288</f>
        <v/>
      </c>
      <c r="EC288" s="67">
        <f>IFERROR($Q288/$P288,"")</f>
        <v/>
      </c>
    </row>
    <row r="289">
      <c r="DG289" s="64">
        <f>($B289-$B290)*100</f>
        <v/>
      </c>
      <c r="DH289" s="64">
        <f>($D289-$D290)*100</f>
        <v/>
      </c>
      <c r="DI289" s="64">
        <f>($E289-$E290)*100</f>
        <v/>
      </c>
      <c r="DJ289" s="64">
        <f>($H289-$H290)*100</f>
        <v/>
      </c>
      <c r="DK289" s="65">
        <f>IFERROR($J289/$J290-1,"")</f>
        <v/>
      </c>
      <c r="DL289" s="64">
        <f>$L289-$L290</f>
        <v/>
      </c>
      <c r="DM289" s="64">
        <f>$K289-$K290</f>
        <v/>
      </c>
      <c r="DN289" s="65">
        <f>IFERROR($N289/$N290-1,"")</f>
        <v/>
      </c>
      <c r="DO289" s="65">
        <f>IFERROR($M289/$M290-1,"")</f>
        <v/>
      </c>
      <c r="DP289" s="65">
        <f>IFERROR($AZ289/$AZ290-1,"")</f>
        <v/>
      </c>
      <c r="DQ289" s="65">
        <f>IFERROR($BA289/$BA290-1,"")</f>
        <v/>
      </c>
      <c r="DR289" s="64">
        <f>$O289-$O290</f>
        <v/>
      </c>
      <c r="DS289" s="64">
        <f>$P289-$P290</f>
        <v/>
      </c>
      <c r="DT289" s="64">
        <f>$Q289-$Q290</f>
        <v/>
      </c>
      <c r="DU289" s="64">
        <f>$S289-$S290</f>
        <v/>
      </c>
      <c r="DV289" s="65">
        <f>IFERROR(AVERAGE($AA290/$AA289-1,$AB290/$AB289-1,$AC290/$AC289-1,$AD290/$AD289-1,$AE290/$AE289-1,$AG290/$AG289-1,$AH290/$AH289-1,$AI290/$AI289-1,$AJ290/$AJ289-1,$AL290/$AL289-1,$AM290/$AM289-1,$AR290/$AR289-1,$AS290/$AS289-1,$AT290/$AT289-1,$AU290/$AU289-1,$AV290/$AV289-1,$AW290/$AW289-1,$AX290/$AX289-1,$AY290/$AY289-1),"")</f>
        <v/>
      </c>
      <c r="DW289" s="66">
        <f>AVERAGE($CB289,$CC289,$CD289,$CE289,$CF289,$CG289,$CH289,$CI289,$CJ289,$CL289,$CM289,$CN289,$CO289,$CP289,$CQ289,$CR289,$CS289,$CT289)</f>
        <v/>
      </c>
      <c r="DX289" s="66">
        <f>AVERAGE($CB289,$CC289,$CM289,$CE289,$CP289)</f>
        <v/>
      </c>
      <c r="DY289" s="64">
        <f>($DW289-$DW290)*100</f>
        <v/>
      </c>
      <c r="DZ289" s="64">
        <f>($DX289-$DX290)*100</f>
        <v/>
      </c>
      <c r="EA289" s="64">
        <f>($DW289-$D289)*100</f>
        <v/>
      </c>
      <c r="EB289" s="64">
        <f>$Q289-$O289</f>
        <v/>
      </c>
      <c r="EC289" s="67">
        <f>IFERROR($Q289/$P289,"")</f>
        <v/>
      </c>
    </row>
    <row r="290">
      <c r="DG290" s="64">
        <f>($B290-$B291)*100</f>
        <v/>
      </c>
      <c r="DH290" s="64">
        <f>($D290-$D291)*100</f>
        <v/>
      </c>
      <c r="DI290" s="64">
        <f>($E290-$E291)*100</f>
        <v/>
      </c>
      <c r="DJ290" s="64">
        <f>($H290-$H291)*100</f>
        <v/>
      </c>
      <c r="DK290" s="65">
        <f>IFERROR($J290/$J291-1,"")</f>
        <v/>
      </c>
      <c r="DL290" s="64">
        <f>$L290-$L291</f>
        <v/>
      </c>
      <c r="DM290" s="64">
        <f>$K290-$K291</f>
        <v/>
      </c>
      <c r="DN290" s="65">
        <f>IFERROR($N290/$N291-1,"")</f>
        <v/>
      </c>
      <c r="DO290" s="65">
        <f>IFERROR($M290/$M291-1,"")</f>
        <v/>
      </c>
      <c r="DP290" s="65">
        <f>IFERROR($AZ290/$AZ291-1,"")</f>
        <v/>
      </c>
      <c r="DQ290" s="65">
        <f>IFERROR($BA290/$BA291-1,"")</f>
        <v/>
      </c>
      <c r="DR290" s="64">
        <f>$O290-$O291</f>
        <v/>
      </c>
      <c r="DS290" s="64">
        <f>$P290-$P291</f>
        <v/>
      </c>
      <c r="DT290" s="64">
        <f>$Q290-$Q291</f>
        <v/>
      </c>
      <c r="DU290" s="64">
        <f>$S290-$S291</f>
        <v/>
      </c>
      <c r="DV290" s="65">
        <f>IFERROR(AVERAGE($AA291/$AA290-1,$AB291/$AB290-1,$AC291/$AC290-1,$AD291/$AD290-1,$AE291/$AE290-1,$AG291/$AG290-1,$AH291/$AH290-1,$AI291/$AI290-1,$AJ291/$AJ290-1,$AL291/$AL290-1,$AM291/$AM290-1,$AR291/$AR290-1,$AS291/$AS290-1,$AT291/$AT290-1,$AU291/$AU290-1,$AV291/$AV290-1,$AW291/$AW290-1,$AX291/$AX290-1,$AY291/$AY290-1),"")</f>
        <v/>
      </c>
      <c r="DW290" s="66">
        <f>AVERAGE($CB290,$CC290,$CD290,$CE290,$CF290,$CG290,$CH290,$CI290,$CJ290,$CL290,$CM290,$CN290,$CO290,$CP290,$CQ290,$CR290,$CS290,$CT290)</f>
        <v/>
      </c>
      <c r="DX290" s="66">
        <f>AVERAGE($CB290,$CC290,$CM290,$CE290,$CP290)</f>
        <v/>
      </c>
      <c r="DY290" s="64">
        <f>($DW290-$DW291)*100</f>
        <v/>
      </c>
      <c r="DZ290" s="64">
        <f>($DX290-$DX291)*100</f>
        <v/>
      </c>
      <c r="EA290" s="64">
        <f>($DW290-$D290)*100</f>
        <v/>
      </c>
      <c r="EB290" s="64">
        <f>$Q290-$O290</f>
        <v/>
      </c>
      <c r="EC290" s="67">
        <f>IFERROR($Q290/$P290,"")</f>
        <v/>
      </c>
    </row>
    <row r="291">
      <c r="DG291" s="64">
        <f>($B291-$B292)*100</f>
        <v/>
      </c>
      <c r="DH291" s="64">
        <f>($D291-$D292)*100</f>
        <v/>
      </c>
      <c r="DI291" s="64">
        <f>($E291-$E292)*100</f>
        <v/>
      </c>
      <c r="DJ291" s="64">
        <f>($H291-$H292)*100</f>
        <v/>
      </c>
      <c r="DK291" s="65">
        <f>IFERROR($J291/$J292-1,"")</f>
        <v/>
      </c>
      <c r="DL291" s="64">
        <f>$L291-$L292</f>
        <v/>
      </c>
      <c r="DM291" s="64">
        <f>$K291-$K292</f>
        <v/>
      </c>
      <c r="DN291" s="65">
        <f>IFERROR($N291/$N292-1,"")</f>
        <v/>
      </c>
      <c r="DO291" s="65">
        <f>IFERROR($M291/$M292-1,"")</f>
        <v/>
      </c>
      <c r="DP291" s="65">
        <f>IFERROR($AZ291/$AZ292-1,"")</f>
        <v/>
      </c>
      <c r="DQ291" s="65">
        <f>IFERROR($BA291/$BA292-1,"")</f>
        <v/>
      </c>
      <c r="DR291" s="64">
        <f>$O291-$O292</f>
        <v/>
      </c>
      <c r="DS291" s="64">
        <f>$P291-$P292</f>
        <v/>
      </c>
      <c r="DT291" s="64">
        <f>$Q291-$Q292</f>
        <v/>
      </c>
      <c r="DU291" s="64">
        <f>$S291-$S292</f>
        <v/>
      </c>
      <c r="DV291" s="65">
        <f>IFERROR(AVERAGE($AA292/$AA291-1,$AB292/$AB291-1,$AC292/$AC291-1,$AD292/$AD291-1,$AE292/$AE291-1,$AG292/$AG291-1,$AH292/$AH291-1,$AI292/$AI291-1,$AJ292/$AJ291-1,$AL292/$AL291-1,$AM292/$AM291-1,$AR292/$AR291-1,$AS292/$AS291-1,$AT292/$AT291-1,$AU292/$AU291-1,$AV292/$AV291-1,$AW292/$AW291-1,$AX292/$AX291-1,$AY292/$AY291-1),"")</f>
        <v/>
      </c>
      <c r="DW291" s="66">
        <f>AVERAGE($CB291,$CC291,$CD291,$CE291,$CF291,$CG291,$CH291,$CI291,$CJ291,$CL291,$CM291,$CN291,$CO291,$CP291,$CQ291,$CR291,$CS291,$CT291)</f>
        <v/>
      </c>
      <c r="DX291" s="66">
        <f>AVERAGE($CB291,$CC291,$CM291,$CE291,$CP291)</f>
        <v/>
      </c>
      <c r="DY291" s="64">
        <f>($DW291-$DW292)*100</f>
        <v/>
      </c>
      <c r="DZ291" s="64">
        <f>($DX291-$DX292)*100</f>
        <v/>
      </c>
      <c r="EA291" s="64">
        <f>($DW291-$D291)*100</f>
        <v/>
      </c>
      <c r="EB291" s="64">
        <f>$Q291-$O291</f>
        <v/>
      </c>
      <c r="EC291" s="67">
        <f>IFERROR($Q291/$P291,"")</f>
        <v/>
      </c>
    </row>
    <row r="292">
      <c r="DG292" s="64">
        <f>($B292-$B293)*100</f>
        <v/>
      </c>
      <c r="DH292" s="64">
        <f>($D292-$D293)*100</f>
        <v/>
      </c>
      <c r="DI292" s="64">
        <f>($E292-$E293)*100</f>
        <v/>
      </c>
      <c r="DJ292" s="64">
        <f>($H292-$H293)*100</f>
        <v/>
      </c>
      <c r="DK292" s="65">
        <f>IFERROR($J292/$J293-1,"")</f>
        <v/>
      </c>
      <c r="DL292" s="64">
        <f>$L292-$L293</f>
        <v/>
      </c>
      <c r="DM292" s="64">
        <f>$K292-$K293</f>
        <v/>
      </c>
      <c r="DN292" s="65">
        <f>IFERROR($N292/$N293-1,"")</f>
        <v/>
      </c>
      <c r="DO292" s="65">
        <f>IFERROR($M292/$M293-1,"")</f>
        <v/>
      </c>
      <c r="DP292" s="65">
        <f>IFERROR($AZ292/$AZ293-1,"")</f>
        <v/>
      </c>
      <c r="DQ292" s="65">
        <f>IFERROR($BA292/$BA293-1,"")</f>
        <v/>
      </c>
      <c r="DR292" s="64">
        <f>$O292-$O293</f>
        <v/>
      </c>
      <c r="DS292" s="64">
        <f>$P292-$P293</f>
        <v/>
      </c>
      <c r="DT292" s="64">
        <f>$Q292-$Q293</f>
        <v/>
      </c>
      <c r="DU292" s="64">
        <f>$S292-$S293</f>
        <v/>
      </c>
      <c r="DV292" s="65">
        <f>IFERROR(AVERAGE($AA293/$AA292-1,$AB293/$AB292-1,$AC293/$AC292-1,$AD293/$AD292-1,$AE293/$AE292-1,$AG293/$AG292-1,$AH293/$AH292-1,$AI293/$AI292-1,$AJ293/$AJ292-1,$AL293/$AL292-1,$AM293/$AM292-1,$AR293/$AR292-1,$AS293/$AS292-1,$AT293/$AT292-1,$AU293/$AU292-1,$AV293/$AV292-1,$AW293/$AW292-1,$AX293/$AX292-1,$AY293/$AY292-1),"")</f>
        <v/>
      </c>
      <c r="DW292" s="66">
        <f>AVERAGE($CB292,$CC292,$CD292,$CE292,$CF292,$CG292,$CH292,$CI292,$CJ292,$CL292,$CM292,$CN292,$CO292,$CP292,$CQ292,$CR292,$CS292,$CT292)</f>
        <v/>
      </c>
      <c r="DX292" s="66">
        <f>AVERAGE($CB292,$CC292,$CM292,$CE292,$CP292)</f>
        <v/>
      </c>
      <c r="DY292" s="64">
        <f>($DW292-$DW293)*100</f>
        <v/>
      </c>
      <c r="DZ292" s="64">
        <f>($DX292-$DX293)*100</f>
        <v/>
      </c>
      <c r="EA292" s="64">
        <f>($DW292-$D292)*100</f>
        <v/>
      </c>
      <c r="EB292" s="64">
        <f>$Q292-$O292</f>
        <v/>
      </c>
      <c r="EC292" s="67">
        <f>IFERROR($Q292/$P292,"")</f>
        <v/>
      </c>
    </row>
    <row r="293">
      <c r="DG293" s="64">
        <f>($B293-$B294)*100</f>
        <v/>
      </c>
      <c r="DH293" s="64">
        <f>($D293-$D294)*100</f>
        <v/>
      </c>
      <c r="DI293" s="64">
        <f>($E293-$E294)*100</f>
        <v/>
      </c>
      <c r="DJ293" s="64">
        <f>($H293-$H294)*100</f>
        <v/>
      </c>
      <c r="DK293" s="65">
        <f>IFERROR($J293/$J294-1,"")</f>
        <v/>
      </c>
      <c r="DL293" s="64">
        <f>$L293-$L294</f>
        <v/>
      </c>
      <c r="DM293" s="64">
        <f>$K293-$K294</f>
        <v/>
      </c>
      <c r="DN293" s="65">
        <f>IFERROR($N293/$N294-1,"")</f>
        <v/>
      </c>
      <c r="DO293" s="65">
        <f>IFERROR($M293/$M294-1,"")</f>
        <v/>
      </c>
      <c r="DP293" s="65">
        <f>IFERROR($AZ293/$AZ294-1,"")</f>
        <v/>
      </c>
      <c r="DQ293" s="65">
        <f>IFERROR($BA293/$BA294-1,"")</f>
        <v/>
      </c>
      <c r="DR293" s="64">
        <f>$O293-$O294</f>
        <v/>
      </c>
      <c r="DS293" s="64">
        <f>$P293-$P294</f>
        <v/>
      </c>
      <c r="DT293" s="64">
        <f>$Q293-$Q294</f>
        <v/>
      </c>
      <c r="DU293" s="64">
        <f>$S293-$S294</f>
        <v/>
      </c>
      <c r="DV293" s="65">
        <f>IFERROR(AVERAGE($AA294/$AA293-1,$AB294/$AB293-1,$AC294/$AC293-1,$AD294/$AD293-1,$AE294/$AE293-1,$AG294/$AG293-1,$AH294/$AH293-1,$AI294/$AI293-1,$AJ294/$AJ293-1,$AL294/$AL293-1,$AM294/$AM293-1,$AR294/$AR293-1,$AS294/$AS293-1,$AT294/$AT293-1,$AU294/$AU293-1,$AV294/$AV293-1,$AW294/$AW293-1,$AX294/$AX293-1,$AY294/$AY293-1),"")</f>
        <v/>
      </c>
      <c r="DW293" s="66">
        <f>AVERAGE($CB293,$CC293,$CD293,$CE293,$CF293,$CG293,$CH293,$CI293,$CJ293,$CL293,$CM293,$CN293,$CO293,$CP293,$CQ293,$CR293,$CS293,$CT293)</f>
        <v/>
      </c>
      <c r="DX293" s="66">
        <f>AVERAGE($CB293,$CC293,$CM293,$CE293,$CP293)</f>
        <v/>
      </c>
      <c r="DY293" s="64">
        <f>($DW293-$DW294)*100</f>
        <v/>
      </c>
      <c r="DZ293" s="64">
        <f>($DX293-$DX294)*100</f>
        <v/>
      </c>
      <c r="EA293" s="64">
        <f>($DW293-$D293)*100</f>
        <v/>
      </c>
      <c r="EB293" s="64">
        <f>$Q293-$O293</f>
        <v/>
      </c>
      <c r="EC293" s="67">
        <f>IFERROR($Q293/$P293,"")</f>
        <v/>
      </c>
    </row>
    <row r="294">
      <c r="DG294" s="64">
        <f>($B294-$B295)*100</f>
        <v/>
      </c>
      <c r="DH294" s="64">
        <f>($D294-$D295)*100</f>
        <v/>
      </c>
      <c r="DI294" s="64">
        <f>($E294-$E295)*100</f>
        <v/>
      </c>
      <c r="DJ294" s="64">
        <f>($H294-$H295)*100</f>
        <v/>
      </c>
      <c r="DK294" s="65">
        <f>IFERROR($J294/$J295-1,"")</f>
        <v/>
      </c>
      <c r="DL294" s="64">
        <f>$L294-$L295</f>
        <v/>
      </c>
      <c r="DM294" s="64">
        <f>$K294-$K295</f>
        <v/>
      </c>
      <c r="DN294" s="65">
        <f>IFERROR($N294/$N295-1,"")</f>
        <v/>
      </c>
      <c r="DO294" s="65">
        <f>IFERROR($M294/$M295-1,"")</f>
        <v/>
      </c>
      <c r="DP294" s="65">
        <f>IFERROR($AZ294/$AZ295-1,"")</f>
        <v/>
      </c>
      <c r="DQ294" s="65">
        <f>IFERROR($BA294/$BA295-1,"")</f>
        <v/>
      </c>
      <c r="DR294" s="64">
        <f>$O294-$O295</f>
        <v/>
      </c>
      <c r="DS294" s="64">
        <f>$P294-$P295</f>
        <v/>
      </c>
      <c r="DT294" s="64">
        <f>$Q294-$Q295</f>
        <v/>
      </c>
      <c r="DU294" s="64">
        <f>$S294-$S295</f>
        <v/>
      </c>
      <c r="DV294" s="65">
        <f>IFERROR(AVERAGE($AA295/$AA294-1,$AB295/$AB294-1,$AC295/$AC294-1,$AD295/$AD294-1,$AE295/$AE294-1,$AG295/$AG294-1,$AH295/$AH294-1,$AI295/$AI294-1,$AJ295/$AJ294-1,$AL295/$AL294-1,$AM295/$AM294-1,$AR295/$AR294-1,$AS295/$AS294-1,$AT295/$AT294-1,$AU295/$AU294-1,$AV295/$AV294-1,$AW295/$AW294-1,$AX295/$AX294-1,$AY295/$AY294-1),"")</f>
        <v/>
      </c>
      <c r="DW294" s="66">
        <f>AVERAGE($CB294,$CC294,$CD294,$CE294,$CF294,$CG294,$CH294,$CI294,$CJ294,$CL294,$CM294,$CN294,$CO294,$CP294,$CQ294,$CR294,$CS294,$CT294)</f>
        <v/>
      </c>
      <c r="DX294" s="66">
        <f>AVERAGE($CB294,$CC294,$CM294,$CE294,$CP294)</f>
        <v/>
      </c>
      <c r="DY294" s="64">
        <f>($DW294-$DW295)*100</f>
        <v/>
      </c>
      <c r="DZ294" s="64">
        <f>($DX294-$DX295)*100</f>
        <v/>
      </c>
      <c r="EA294" s="64">
        <f>($DW294-$D294)*100</f>
        <v/>
      </c>
      <c r="EB294" s="64">
        <f>$Q294-$O294</f>
        <v/>
      </c>
      <c r="EC294" s="67">
        <f>IFERROR($Q294/$P294,"")</f>
        <v/>
      </c>
    </row>
    <row r="295">
      <c r="DG295" s="64">
        <f>($B295-$B296)*100</f>
        <v/>
      </c>
      <c r="DH295" s="64">
        <f>($D295-$D296)*100</f>
        <v/>
      </c>
      <c r="DI295" s="64">
        <f>($E295-$E296)*100</f>
        <v/>
      </c>
      <c r="DJ295" s="64">
        <f>($H295-$H296)*100</f>
        <v/>
      </c>
      <c r="DK295" s="65">
        <f>IFERROR($J295/$J296-1,"")</f>
        <v/>
      </c>
      <c r="DL295" s="64">
        <f>$L295-$L296</f>
        <v/>
      </c>
      <c r="DM295" s="64">
        <f>$K295-$K296</f>
        <v/>
      </c>
      <c r="DN295" s="65">
        <f>IFERROR($N295/$N296-1,"")</f>
        <v/>
      </c>
      <c r="DO295" s="65">
        <f>IFERROR($M295/$M296-1,"")</f>
        <v/>
      </c>
      <c r="DP295" s="65">
        <f>IFERROR($AZ295/$AZ296-1,"")</f>
        <v/>
      </c>
      <c r="DQ295" s="65">
        <f>IFERROR($BA295/$BA296-1,"")</f>
        <v/>
      </c>
      <c r="DR295" s="64">
        <f>$O295-$O296</f>
        <v/>
      </c>
      <c r="DS295" s="64">
        <f>$P295-$P296</f>
        <v/>
      </c>
      <c r="DT295" s="64">
        <f>$Q295-$Q296</f>
        <v/>
      </c>
      <c r="DU295" s="64">
        <f>$S295-$S296</f>
        <v/>
      </c>
      <c r="DV295" s="65">
        <f>IFERROR(AVERAGE($AA296/$AA295-1,$AB296/$AB295-1,$AC296/$AC295-1,$AD296/$AD295-1,$AE296/$AE295-1,$AG296/$AG295-1,$AH296/$AH295-1,$AI296/$AI295-1,$AJ296/$AJ295-1,$AL296/$AL295-1,$AM296/$AM295-1,$AR296/$AR295-1,$AS296/$AS295-1,$AT296/$AT295-1,$AU296/$AU295-1,$AV296/$AV295-1,$AW296/$AW295-1,$AX296/$AX295-1,$AY296/$AY295-1),"")</f>
        <v/>
      </c>
      <c r="DW295" s="66">
        <f>AVERAGE($CB295,$CC295,$CD295,$CE295,$CF295,$CG295,$CH295,$CI295,$CJ295,$CL295,$CM295,$CN295,$CO295,$CP295,$CQ295,$CR295,$CS295,$CT295)</f>
        <v/>
      </c>
      <c r="DX295" s="66">
        <f>AVERAGE($CB295,$CC295,$CM295,$CE295,$CP295)</f>
        <v/>
      </c>
      <c r="DY295" s="64">
        <f>($DW295-$DW296)*100</f>
        <v/>
      </c>
      <c r="DZ295" s="64">
        <f>($DX295-$DX296)*100</f>
        <v/>
      </c>
      <c r="EA295" s="64">
        <f>($DW295-$D295)*100</f>
        <v/>
      </c>
      <c r="EB295" s="64">
        <f>$Q295-$O295</f>
        <v/>
      </c>
      <c r="EC295" s="67">
        <f>IFERROR($Q295/$P295,"")</f>
        <v/>
      </c>
    </row>
    <row r="296">
      <c r="DG296" s="64">
        <f>($B296-$B297)*100</f>
        <v/>
      </c>
      <c r="DH296" s="64">
        <f>($D296-$D297)*100</f>
        <v/>
      </c>
      <c r="DI296" s="64">
        <f>($E296-$E297)*100</f>
        <v/>
      </c>
      <c r="DJ296" s="64">
        <f>($H296-$H297)*100</f>
        <v/>
      </c>
      <c r="DK296" s="65">
        <f>IFERROR($J296/$J297-1,"")</f>
        <v/>
      </c>
      <c r="DL296" s="64">
        <f>$L296-$L297</f>
        <v/>
      </c>
      <c r="DM296" s="64">
        <f>$K296-$K297</f>
        <v/>
      </c>
      <c r="DN296" s="65">
        <f>IFERROR($N296/$N297-1,"")</f>
        <v/>
      </c>
      <c r="DO296" s="65">
        <f>IFERROR($M296/$M297-1,"")</f>
        <v/>
      </c>
      <c r="DP296" s="65">
        <f>IFERROR($AZ296/$AZ297-1,"")</f>
        <v/>
      </c>
      <c r="DQ296" s="65">
        <f>IFERROR($BA296/$BA297-1,"")</f>
        <v/>
      </c>
      <c r="DR296" s="64">
        <f>$O296-$O297</f>
        <v/>
      </c>
      <c r="DS296" s="64">
        <f>$P296-$P297</f>
        <v/>
      </c>
      <c r="DT296" s="64">
        <f>$Q296-$Q297</f>
        <v/>
      </c>
      <c r="DU296" s="64">
        <f>$S296-$S297</f>
        <v/>
      </c>
      <c r="DV296" s="65">
        <f>IFERROR(AVERAGE($AA297/$AA296-1,$AB297/$AB296-1,$AC297/$AC296-1,$AD297/$AD296-1,$AE297/$AE296-1,$AG297/$AG296-1,$AH297/$AH296-1,$AI297/$AI296-1,$AJ297/$AJ296-1,$AL297/$AL296-1,$AM297/$AM296-1,$AR297/$AR296-1,$AS297/$AS296-1,$AT297/$AT296-1,$AU297/$AU296-1,$AV297/$AV296-1,$AW297/$AW296-1,$AX297/$AX296-1,$AY297/$AY296-1),"")</f>
        <v/>
      </c>
      <c r="DW296" s="66">
        <f>AVERAGE($CB296,$CC296,$CD296,$CE296,$CF296,$CG296,$CH296,$CI296,$CJ296,$CL296,$CM296,$CN296,$CO296,$CP296,$CQ296,$CR296,$CS296,$CT296)</f>
        <v/>
      </c>
      <c r="DX296" s="66">
        <f>AVERAGE($CB296,$CC296,$CM296,$CE296,$CP296)</f>
        <v/>
      </c>
      <c r="DY296" s="64">
        <f>($DW296-$DW297)*100</f>
        <v/>
      </c>
      <c r="DZ296" s="64">
        <f>($DX296-$DX297)*100</f>
        <v/>
      </c>
      <c r="EA296" s="64">
        <f>($DW296-$D296)*100</f>
        <v/>
      </c>
      <c r="EB296" s="64">
        <f>$Q296-$O296</f>
        <v/>
      </c>
      <c r="EC296" s="67">
        <f>IFERROR($Q296/$P296,"")</f>
        <v/>
      </c>
    </row>
    <row r="297">
      <c r="DG297" s="64">
        <f>($B297-$B298)*100</f>
        <v/>
      </c>
      <c r="DH297" s="64">
        <f>($D297-$D298)*100</f>
        <v/>
      </c>
      <c r="DI297" s="64">
        <f>($E297-$E298)*100</f>
        <v/>
      </c>
      <c r="DJ297" s="64">
        <f>($H297-$H298)*100</f>
        <v/>
      </c>
      <c r="DK297" s="65">
        <f>IFERROR($J297/$J298-1,"")</f>
        <v/>
      </c>
      <c r="DL297" s="64">
        <f>$L297-$L298</f>
        <v/>
      </c>
      <c r="DM297" s="64">
        <f>$K297-$K298</f>
        <v/>
      </c>
      <c r="DN297" s="65">
        <f>IFERROR($N297/$N298-1,"")</f>
        <v/>
      </c>
      <c r="DO297" s="65">
        <f>IFERROR($M297/$M298-1,"")</f>
        <v/>
      </c>
      <c r="DP297" s="65">
        <f>IFERROR($AZ297/$AZ298-1,"")</f>
        <v/>
      </c>
      <c r="DQ297" s="65">
        <f>IFERROR($BA297/$BA298-1,"")</f>
        <v/>
      </c>
      <c r="DR297" s="64">
        <f>$O297-$O298</f>
        <v/>
      </c>
      <c r="DS297" s="64">
        <f>$P297-$P298</f>
        <v/>
      </c>
      <c r="DT297" s="64">
        <f>$Q297-$Q298</f>
        <v/>
      </c>
      <c r="DU297" s="64">
        <f>$S297-$S298</f>
        <v/>
      </c>
      <c r="DV297" s="65">
        <f>IFERROR(AVERAGE($AA298/$AA297-1,$AB298/$AB297-1,$AC298/$AC297-1,$AD298/$AD297-1,$AE298/$AE297-1,$AG298/$AG297-1,$AH298/$AH297-1,$AI298/$AI297-1,$AJ298/$AJ297-1,$AL298/$AL297-1,$AM298/$AM297-1,$AR298/$AR297-1,$AS298/$AS297-1,$AT298/$AT297-1,$AU298/$AU297-1,$AV298/$AV297-1,$AW298/$AW297-1,$AX298/$AX297-1,$AY298/$AY297-1),"")</f>
        <v/>
      </c>
      <c r="DW297" s="66">
        <f>AVERAGE($CB297,$CC297,$CD297,$CE297,$CF297,$CG297,$CH297,$CI297,$CJ297,$CL297,$CM297,$CN297,$CO297,$CP297,$CQ297,$CR297,$CS297,$CT297)</f>
        <v/>
      </c>
      <c r="DX297" s="66">
        <f>AVERAGE($CB297,$CC297,$CM297,$CE297,$CP297)</f>
        <v/>
      </c>
      <c r="DY297" s="64">
        <f>($DW297-$DW298)*100</f>
        <v/>
      </c>
      <c r="DZ297" s="64">
        <f>($DX297-$DX298)*100</f>
        <v/>
      </c>
      <c r="EA297" s="64">
        <f>($DW297-$D297)*100</f>
        <v/>
      </c>
      <c r="EB297" s="64">
        <f>$Q297-$O297</f>
        <v/>
      </c>
      <c r="EC297" s="67">
        <f>IFERROR($Q297/$P297,"")</f>
        <v/>
      </c>
    </row>
    <row r="298">
      <c r="DG298" s="64">
        <f>($B298-$B299)*100</f>
        <v/>
      </c>
      <c r="DH298" s="64">
        <f>($D298-$D299)*100</f>
        <v/>
      </c>
      <c r="DI298" s="64">
        <f>($E298-$E299)*100</f>
        <v/>
      </c>
      <c r="DJ298" s="64">
        <f>($H298-$H299)*100</f>
        <v/>
      </c>
      <c r="DK298" s="65">
        <f>IFERROR($J298/$J299-1,"")</f>
        <v/>
      </c>
      <c r="DL298" s="64">
        <f>$L298-$L299</f>
        <v/>
      </c>
      <c r="DM298" s="64">
        <f>$K298-$K299</f>
        <v/>
      </c>
      <c r="DN298" s="65">
        <f>IFERROR($N298/$N299-1,"")</f>
        <v/>
      </c>
      <c r="DO298" s="65">
        <f>IFERROR($M298/$M299-1,"")</f>
        <v/>
      </c>
      <c r="DP298" s="65">
        <f>IFERROR($AZ298/$AZ299-1,"")</f>
        <v/>
      </c>
      <c r="DQ298" s="65">
        <f>IFERROR($BA298/$BA299-1,"")</f>
        <v/>
      </c>
      <c r="DR298" s="64">
        <f>$O298-$O299</f>
        <v/>
      </c>
      <c r="DS298" s="64">
        <f>$P298-$P299</f>
        <v/>
      </c>
      <c r="DT298" s="64">
        <f>$Q298-$Q299</f>
        <v/>
      </c>
      <c r="DU298" s="64">
        <f>$S298-$S299</f>
        <v/>
      </c>
      <c r="DV298" s="65">
        <f>IFERROR(AVERAGE($AA299/$AA298-1,$AB299/$AB298-1,$AC299/$AC298-1,$AD299/$AD298-1,$AE299/$AE298-1,$AG299/$AG298-1,$AH299/$AH298-1,$AI299/$AI298-1,$AJ299/$AJ298-1,$AL299/$AL298-1,$AM299/$AM298-1,$AR299/$AR298-1,$AS299/$AS298-1,$AT299/$AT298-1,$AU299/$AU298-1,$AV299/$AV298-1,$AW299/$AW298-1,$AX299/$AX298-1,$AY299/$AY298-1),"")</f>
        <v/>
      </c>
      <c r="DW298" s="66">
        <f>AVERAGE($CB298,$CC298,$CD298,$CE298,$CF298,$CG298,$CH298,$CI298,$CJ298,$CL298,$CM298,$CN298,$CO298,$CP298,$CQ298,$CR298,$CS298,$CT298)</f>
        <v/>
      </c>
      <c r="DX298" s="66">
        <f>AVERAGE($CB298,$CC298,$CM298,$CE298,$CP298)</f>
        <v/>
      </c>
      <c r="DY298" s="64">
        <f>($DW298-$DW299)*100</f>
        <v/>
      </c>
      <c r="DZ298" s="64">
        <f>($DX298-$DX299)*100</f>
        <v/>
      </c>
      <c r="EA298" s="64">
        <f>($DW298-$D298)*100</f>
        <v/>
      </c>
      <c r="EB298" s="64">
        <f>$Q298-$O298</f>
        <v/>
      </c>
      <c r="EC298" s="67">
        <f>IFERROR($Q298/$P298,"")</f>
        <v/>
      </c>
    </row>
    <row r="299">
      <c r="DG299" s="64">
        <f>($B299-$B300)*100</f>
        <v/>
      </c>
      <c r="DH299" s="64">
        <f>($D299-$D300)*100</f>
        <v/>
      </c>
      <c r="DI299" s="64">
        <f>($E299-$E300)*100</f>
        <v/>
      </c>
      <c r="DJ299" s="64">
        <f>($H299-$H300)*100</f>
        <v/>
      </c>
      <c r="DK299" s="65">
        <f>IFERROR($J299/$J300-1,"")</f>
        <v/>
      </c>
      <c r="DL299" s="64">
        <f>$L299-$L300</f>
        <v/>
      </c>
      <c r="DM299" s="64">
        <f>$K299-$K300</f>
        <v/>
      </c>
      <c r="DN299" s="65">
        <f>IFERROR($N299/$N300-1,"")</f>
        <v/>
      </c>
      <c r="DO299" s="65">
        <f>IFERROR($M299/$M300-1,"")</f>
        <v/>
      </c>
      <c r="DP299" s="65">
        <f>IFERROR($AZ299/$AZ300-1,"")</f>
        <v/>
      </c>
      <c r="DQ299" s="65">
        <f>IFERROR($BA299/$BA300-1,"")</f>
        <v/>
      </c>
      <c r="DR299" s="64">
        <f>$O299-$O300</f>
        <v/>
      </c>
      <c r="DS299" s="64">
        <f>$P299-$P300</f>
        <v/>
      </c>
      <c r="DT299" s="64">
        <f>$Q299-$Q300</f>
        <v/>
      </c>
      <c r="DU299" s="64">
        <f>$S299-$S300</f>
        <v/>
      </c>
      <c r="DV299" s="65">
        <f>IFERROR(AVERAGE($AA300/$AA299-1,$AB300/$AB299-1,$AC300/$AC299-1,$AD300/$AD299-1,$AE300/$AE299-1,$AG300/$AG299-1,$AH300/$AH299-1,$AI300/$AI299-1,$AJ300/$AJ299-1,$AL300/$AL299-1,$AM300/$AM299-1,$AR300/$AR299-1,$AS300/$AS299-1,$AT300/$AT299-1,$AU300/$AU299-1,$AV300/$AV299-1,$AW300/$AW299-1,$AX300/$AX299-1,$AY300/$AY299-1),"")</f>
        <v/>
      </c>
      <c r="DW299" s="66">
        <f>AVERAGE($CB299,$CC299,$CD299,$CE299,$CF299,$CG299,$CH299,$CI299,$CJ299,$CL299,$CM299,$CN299,$CO299,$CP299,$CQ299,$CR299,$CS299,$CT299)</f>
        <v/>
      </c>
      <c r="DX299" s="66">
        <f>AVERAGE($CB299,$CC299,$CM299,$CE299,$CP299)</f>
        <v/>
      </c>
      <c r="DY299" s="64">
        <f>($DW299-$DW300)*100</f>
        <v/>
      </c>
      <c r="DZ299" s="64">
        <f>($DX299-$DX300)*100</f>
        <v/>
      </c>
      <c r="EA299" s="64">
        <f>($DW299-$D299)*100</f>
        <v/>
      </c>
      <c r="EB299" s="64">
        <f>$Q299-$O299</f>
        <v/>
      </c>
      <c r="EC299" s="67">
        <f>IFERROR($Q299/$P299,"")</f>
        <v/>
      </c>
    </row>
    <row r="300">
      <c r="DG300" s="64">
        <f>($B300-$B301)*100</f>
        <v/>
      </c>
      <c r="DH300" s="64">
        <f>($D300-$D301)*100</f>
        <v/>
      </c>
      <c r="DI300" s="64">
        <f>($E300-$E301)*100</f>
        <v/>
      </c>
      <c r="DJ300" s="64">
        <f>($H300-$H301)*100</f>
        <v/>
      </c>
      <c r="DK300" s="65">
        <f>IFERROR($J300/$J301-1,"")</f>
        <v/>
      </c>
      <c r="DL300" s="64">
        <f>$L300-$L301</f>
        <v/>
      </c>
      <c r="DM300" s="64">
        <f>$K300-$K301</f>
        <v/>
      </c>
      <c r="DN300" s="65">
        <f>IFERROR($N300/$N301-1,"")</f>
        <v/>
      </c>
      <c r="DO300" s="65">
        <f>IFERROR($M300/$M301-1,"")</f>
        <v/>
      </c>
      <c r="DP300" s="65">
        <f>IFERROR($AZ300/$AZ301-1,"")</f>
        <v/>
      </c>
      <c r="DQ300" s="65">
        <f>IFERROR($BA300/$BA301-1,"")</f>
        <v/>
      </c>
      <c r="DR300" s="64">
        <f>$O300-$O301</f>
        <v/>
      </c>
      <c r="DS300" s="64">
        <f>$P300-$P301</f>
        <v/>
      </c>
      <c r="DT300" s="64">
        <f>$Q300-$Q301</f>
        <v/>
      </c>
      <c r="DU300" s="64">
        <f>$S300-$S301</f>
        <v/>
      </c>
      <c r="DV300" s="65">
        <f>IFERROR(AVERAGE($AA301/$AA300-1,$AB301/$AB300-1,$AC301/$AC300-1,$AD301/$AD300-1,$AE301/$AE300-1,$AG301/$AG300-1,$AH301/$AH300-1,$AI301/$AI300-1,$AJ301/$AJ300-1,$AL301/$AL300-1,$AM301/$AM300-1,$AR301/$AR300-1,$AS301/$AS300-1,$AT301/$AT300-1,$AU301/$AU300-1,$AV301/$AV300-1,$AW301/$AW300-1,$AX301/$AX300-1,$AY301/$AY300-1),"")</f>
        <v/>
      </c>
      <c r="DW300" s="66">
        <f>AVERAGE($CB300,$CC300,$CD300,$CE300,$CF300,$CG300,$CH300,$CI300,$CJ300,$CL300,$CM300,$CN300,$CO300,$CP300,$CQ300,$CR300,$CS300,$CT300)</f>
        <v/>
      </c>
      <c r="DX300" s="66">
        <f>AVERAGE($CB300,$CC300,$CM300,$CE300,$CP300)</f>
        <v/>
      </c>
      <c r="DY300" s="64">
        <f>($DW300-$DW301)*100</f>
        <v/>
      </c>
      <c r="DZ300" s="64">
        <f>($DX300-$DX301)*100</f>
        <v/>
      </c>
      <c r="EA300" s="64">
        <f>($DW300-$D300)*100</f>
        <v/>
      </c>
      <c r="EB300" s="64">
        <f>$Q300-$O300</f>
        <v/>
      </c>
      <c r="EC300" s="67">
        <f>IFERROR($Q300/$P300,"")</f>
        <v/>
      </c>
    </row>
    <row r="301">
      <c r="DG301" s="64">
        <f>($B301-$B302)*100</f>
        <v/>
      </c>
      <c r="DH301" s="64">
        <f>($D301-$D302)*100</f>
        <v/>
      </c>
      <c r="DI301" s="64">
        <f>($E301-$E302)*100</f>
        <v/>
      </c>
      <c r="DJ301" s="64">
        <f>($H301-$H302)*100</f>
        <v/>
      </c>
      <c r="DK301" s="65">
        <f>IFERROR($J301/$J302-1,"")</f>
        <v/>
      </c>
      <c r="DL301" s="64">
        <f>$L301-$L302</f>
        <v/>
      </c>
      <c r="DM301" s="64">
        <f>$K301-$K302</f>
        <v/>
      </c>
      <c r="DN301" s="65">
        <f>IFERROR($N301/$N302-1,"")</f>
        <v/>
      </c>
      <c r="DO301" s="65">
        <f>IFERROR($M301/$M302-1,"")</f>
        <v/>
      </c>
      <c r="DP301" s="65">
        <f>IFERROR($AZ301/$AZ302-1,"")</f>
        <v/>
      </c>
      <c r="DQ301" s="65">
        <f>IFERROR($BA301/$BA302-1,"")</f>
        <v/>
      </c>
      <c r="DR301" s="64">
        <f>$O301-$O302</f>
        <v/>
      </c>
      <c r="DS301" s="64">
        <f>$P301-$P302</f>
        <v/>
      </c>
      <c r="DT301" s="64">
        <f>$Q301-$Q302</f>
        <v/>
      </c>
      <c r="DU301" s="64">
        <f>$S301-$S302</f>
        <v/>
      </c>
      <c r="DV301" s="65">
        <f>IFERROR(AVERAGE($AA302/$AA301-1,$AB302/$AB301-1,$AC302/$AC301-1,$AD302/$AD301-1,$AE302/$AE301-1,$AG302/$AG301-1,$AH302/$AH301-1,$AI302/$AI301-1,$AJ302/$AJ301-1,$AL302/$AL301-1,$AM302/$AM301-1,$AR302/$AR301-1,$AS302/$AS301-1,$AT302/$AT301-1,$AU302/$AU301-1,$AV302/$AV301-1,$AW302/$AW301-1,$AX302/$AX301-1,$AY302/$AY301-1),"")</f>
        <v/>
      </c>
      <c r="DW301" s="66">
        <f>AVERAGE($CB301,$CC301,$CD301,$CE301,$CF301,$CG301,$CH301,$CI301,$CJ301,$CL301,$CM301,$CN301,$CO301,$CP301,$CQ301,$CR301,$CS301,$CT301)</f>
        <v/>
      </c>
      <c r="DX301" s="66">
        <f>AVERAGE($CB301,$CC301,$CM301,$CE301,$CP301)</f>
        <v/>
      </c>
      <c r="DY301" s="64">
        <f>($DW301-$DW302)*100</f>
        <v/>
      </c>
      <c r="DZ301" s="64">
        <f>($DX301-$DX302)*100</f>
        <v/>
      </c>
      <c r="EA301" s="64">
        <f>($DW301-$D301)*100</f>
        <v/>
      </c>
      <c r="EB301" s="64">
        <f>$Q301-$O301</f>
        <v/>
      </c>
      <c r="EC301" s="67">
        <f>IFERROR($Q301/$P301,"")</f>
        <v/>
      </c>
    </row>
    <row r="302">
      <c r="DG302" s="64">
        <f>($B302-$B303)*100</f>
        <v/>
      </c>
      <c r="DH302" s="64">
        <f>($D302-$D303)*100</f>
        <v/>
      </c>
      <c r="DI302" s="64">
        <f>($E302-$E303)*100</f>
        <v/>
      </c>
      <c r="DJ302" s="64">
        <f>($H302-$H303)*100</f>
        <v/>
      </c>
      <c r="DK302" s="65">
        <f>IFERROR($J302/$J303-1,"")</f>
        <v/>
      </c>
      <c r="DL302" s="64">
        <f>$L302-$L303</f>
        <v/>
      </c>
      <c r="DM302" s="64">
        <f>$K302-$K303</f>
        <v/>
      </c>
      <c r="DN302" s="65">
        <f>IFERROR($N302/$N303-1,"")</f>
        <v/>
      </c>
      <c r="DO302" s="65">
        <f>IFERROR($M302/$M303-1,"")</f>
        <v/>
      </c>
      <c r="DP302" s="65">
        <f>IFERROR($AZ302/$AZ303-1,"")</f>
        <v/>
      </c>
      <c r="DQ302" s="65">
        <f>IFERROR($BA302/$BA303-1,"")</f>
        <v/>
      </c>
      <c r="DR302" s="64">
        <f>$O302-$O303</f>
        <v/>
      </c>
      <c r="DS302" s="64">
        <f>$P302-$P303</f>
        <v/>
      </c>
      <c r="DT302" s="64">
        <f>$Q302-$Q303</f>
        <v/>
      </c>
      <c r="DU302" s="64">
        <f>$S302-$S303</f>
        <v/>
      </c>
      <c r="DV302" s="65">
        <f>IFERROR(AVERAGE($AA303/$AA302-1,$AB303/$AB302-1,$AC303/$AC302-1,$AD303/$AD302-1,$AE303/$AE302-1,$AG303/$AG302-1,$AH303/$AH302-1,$AI303/$AI302-1,$AJ303/$AJ302-1,$AL303/$AL302-1,$AM303/$AM302-1,$AR303/$AR302-1,$AS303/$AS302-1,$AT303/$AT302-1,$AU303/$AU302-1,$AV303/$AV302-1,$AW303/$AW302-1,$AX303/$AX302-1,$AY303/$AY302-1),"")</f>
        <v/>
      </c>
      <c r="DW302" s="66">
        <f>AVERAGE($CB302,$CC302,$CD302,$CE302,$CF302,$CG302,$CH302,$CI302,$CJ302,$CL302,$CM302,$CN302,$CO302,$CP302,$CQ302,$CR302,$CS302,$CT302)</f>
        <v/>
      </c>
      <c r="DX302" s="66">
        <f>AVERAGE($CB302,$CC302,$CM302,$CE302,$CP302)</f>
        <v/>
      </c>
      <c r="DY302" s="64">
        <f>($DW302-$DW303)*100</f>
        <v/>
      </c>
      <c r="DZ302" s="64">
        <f>($DX302-$DX303)*100</f>
        <v/>
      </c>
      <c r="EA302" s="64">
        <f>($DW302-$D302)*100</f>
        <v/>
      </c>
      <c r="EB302" s="64">
        <f>$Q302-$O302</f>
        <v/>
      </c>
      <c r="EC302" s="67">
        <f>IFERROR($Q302/$P302,"")</f>
        <v/>
      </c>
    </row>
    <row r="303">
      <c r="DG303" s="64">
        <f>($B303-$B304)*100</f>
        <v/>
      </c>
      <c r="DH303" s="64">
        <f>($D303-$D304)*100</f>
        <v/>
      </c>
      <c r="DI303" s="64">
        <f>($E303-$E304)*100</f>
        <v/>
      </c>
      <c r="DJ303" s="64">
        <f>($H303-$H304)*100</f>
        <v/>
      </c>
      <c r="DK303" s="65">
        <f>IFERROR($J303/$J304-1,"")</f>
        <v/>
      </c>
      <c r="DL303" s="64">
        <f>$L303-$L304</f>
        <v/>
      </c>
      <c r="DM303" s="64">
        <f>$K303-$K304</f>
        <v/>
      </c>
      <c r="DN303" s="65">
        <f>IFERROR($N303/$N304-1,"")</f>
        <v/>
      </c>
      <c r="DO303" s="65">
        <f>IFERROR($M303/$M304-1,"")</f>
        <v/>
      </c>
      <c r="DP303" s="65">
        <f>IFERROR($AZ303/$AZ304-1,"")</f>
        <v/>
      </c>
      <c r="DQ303" s="65">
        <f>IFERROR($BA303/$BA304-1,"")</f>
        <v/>
      </c>
      <c r="DR303" s="64">
        <f>$O303-$O304</f>
        <v/>
      </c>
      <c r="DS303" s="64">
        <f>$P303-$P304</f>
        <v/>
      </c>
      <c r="DT303" s="64">
        <f>$Q303-$Q304</f>
        <v/>
      </c>
      <c r="DU303" s="64">
        <f>$S303-$S304</f>
        <v/>
      </c>
      <c r="DV303" s="65">
        <f>IFERROR(AVERAGE($AA304/$AA303-1,$AB304/$AB303-1,$AC304/$AC303-1,$AD304/$AD303-1,$AE304/$AE303-1,$AG304/$AG303-1,$AH304/$AH303-1,$AI304/$AI303-1,$AJ304/$AJ303-1,$AL304/$AL303-1,$AM304/$AM303-1,$AR304/$AR303-1,$AS304/$AS303-1,$AT304/$AT303-1,$AU304/$AU303-1,$AV304/$AV303-1,$AW304/$AW303-1,$AX304/$AX303-1,$AY304/$AY303-1),"")</f>
        <v/>
      </c>
      <c r="DW303" s="66">
        <f>AVERAGE($CB303,$CC303,$CD303,$CE303,$CF303,$CG303,$CH303,$CI303,$CJ303,$CL303,$CM303,$CN303,$CO303,$CP303,$CQ303,$CR303,$CS303,$CT303)</f>
        <v/>
      </c>
      <c r="DX303" s="66">
        <f>AVERAGE($CB303,$CC303,$CM303,$CE303,$CP303)</f>
        <v/>
      </c>
      <c r="DY303" s="64">
        <f>($DW303-$DW304)*100</f>
        <v/>
      </c>
      <c r="DZ303" s="64">
        <f>($DX303-$DX304)*100</f>
        <v/>
      </c>
      <c r="EA303" s="64">
        <f>($DW303-$D303)*100</f>
        <v/>
      </c>
      <c r="EB303" s="64">
        <f>$Q303-$O303</f>
        <v/>
      </c>
      <c r="EC303" s="67">
        <f>IFERROR($Q303/$P303,"")</f>
        <v/>
      </c>
    </row>
    <row r="304">
      <c r="DG304" s="64">
        <f>($B304-$B305)*100</f>
        <v/>
      </c>
      <c r="DH304" s="64">
        <f>($D304-$D305)*100</f>
        <v/>
      </c>
      <c r="DI304" s="64">
        <f>($E304-$E305)*100</f>
        <v/>
      </c>
      <c r="DJ304" s="64">
        <f>($H304-$H305)*100</f>
        <v/>
      </c>
      <c r="DK304" s="65">
        <f>IFERROR($J304/$J305-1,"")</f>
        <v/>
      </c>
      <c r="DL304" s="64">
        <f>$L304-$L305</f>
        <v/>
      </c>
      <c r="DM304" s="64">
        <f>$K304-$K305</f>
        <v/>
      </c>
      <c r="DN304" s="65">
        <f>IFERROR($N304/$N305-1,"")</f>
        <v/>
      </c>
      <c r="DO304" s="65">
        <f>IFERROR($M304/$M305-1,"")</f>
        <v/>
      </c>
      <c r="DP304" s="65">
        <f>IFERROR($AZ304/$AZ305-1,"")</f>
        <v/>
      </c>
      <c r="DQ304" s="65">
        <f>IFERROR($BA304/$BA305-1,"")</f>
        <v/>
      </c>
      <c r="DR304" s="64">
        <f>$O304-$O305</f>
        <v/>
      </c>
      <c r="DS304" s="64">
        <f>$P304-$P305</f>
        <v/>
      </c>
      <c r="DT304" s="64">
        <f>$Q304-$Q305</f>
        <v/>
      </c>
      <c r="DU304" s="64">
        <f>$S304-$S305</f>
        <v/>
      </c>
      <c r="DV304" s="65">
        <f>IFERROR(AVERAGE($AA305/$AA304-1,$AB305/$AB304-1,$AC305/$AC304-1,$AD305/$AD304-1,$AE305/$AE304-1,$AG305/$AG304-1,$AH305/$AH304-1,$AI305/$AI304-1,$AJ305/$AJ304-1,$AL305/$AL304-1,$AM305/$AM304-1,$AR305/$AR304-1,$AS305/$AS304-1,$AT305/$AT304-1,$AU305/$AU304-1,$AV305/$AV304-1,$AW305/$AW304-1,$AX305/$AX304-1,$AY305/$AY304-1),"")</f>
        <v/>
      </c>
      <c r="DW304" s="66">
        <f>AVERAGE($CB304,$CC304,$CD304,$CE304,$CF304,$CG304,$CH304,$CI304,$CJ304,$CL304,$CM304,$CN304,$CO304,$CP304,$CQ304,$CR304,$CS304,$CT304)</f>
        <v/>
      </c>
      <c r="DX304" s="66">
        <f>AVERAGE($CB304,$CC304,$CM304,$CE304,$CP304)</f>
        <v/>
      </c>
      <c r="DY304" s="64">
        <f>($DW304-$DW305)*100</f>
        <v/>
      </c>
      <c r="DZ304" s="64">
        <f>($DX304-$DX305)*100</f>
        <v/>
      </c>
      <c r="EA304" s="64">
        <f>($DW304-$D304)*100</f>
        <v/>
      </c>
      <c r="EB304" s="64">
        <f>$Q304-$O304</f>
        <v/>
      </c>
      <c r="EC304" s="67">
        <f>IFERROR($Q304/$P304,"")</f>
        <v/>
      </c>
    </row>
    <row r="305">
      <c r="DG305" s="64">
        <f>($B305-$B306)*100</f>
        <v/>
      </c>
      <c r="DH305" s="64">
        <f>($D305-$D306)*100</f>
        <v/>
      </c>
      <c r="DI305" s="64">
        <f>($E305-$E306)*100</f>
        <v/>
      </c>
      <c r="DJ305" s="64">
        <f>($H305-$H306)*100</f>
        <v/>
      </c>
      <c r="DK305" s="65">
        <f>IFERROR($J305/$J306-1,"")</f>
        <v/>
      </c>
      <c r="DL305" s="64">
        <f>$L305-$L306</f>
        <v/>
      </c>
      <c r="DM305" s="64">
        <f>$K305-$K306</f>
        <v/>
      </c>
      <c r="DN305" s="65">
        <f>IFERROR($N305/$N306-1,"")</f>
        <v/>
      </c>
      <c r="DO305" s="65">
        <f>IFERROR($M305/$M306-1,"")</f>
        <v/>
      </c>
      <c r="DP305" s="65">
        <f>IFERROR($AZ305/$AZ306-1,"")</f>
        <v/>
      </c>
      <c r="DQ305" s="65">
        <f>IFERROR($BA305/$BA306-1,"")</f>
        <v/>
      </c>
      <c r="DR305" s="64">
        <f>$O305-$O306</f>
        <v/>
      </c>
      <c r="DS305" s="64">
        <f>$P305-$P306</f>
        <v/>
      </c>
      <c r="DT305" s="64">
        <f>$Q305-$Q306</f>
        <v/>
      </c>
      <c r="DU305" s="64">
        <f>$S305-$S306</f>
        <v/>
      </c>
      <c r="DV305" s="65">
        <f>IFERROR(AVERAGE($AA306/$AA305-1,$AB306/$AB305-1,$AC306/$AC305-1,$AD306/$AD305-1,$AE306/$AE305-1,$AG306/$AG305-1,$AH306/$AH305-1,$AI306/$AI305-1,$AJ306/$AJ305-1,$AL306/$AL305-1,$AM306/$AM305-1,$AR306/$AR305-1,$AS306/$AS305-1,$AT306/$AT305-1,$AU306/$AU305-1,$AV306/$AV305-1,$AW306/$AW305-1,$AX306/$AX305-1,$AY306/$AY305-1),"")</f>
        <v/>
      </c>
      <c r="DW305" s="66">
        <f>AVERAGE($CB305,$CC305,$CD305,$CE305,$CF305,$CG305,$CH305,$CI305,$CJ305,$CL305,$CM305,$CN305,$CO305,$CP305,$CQ305,$CR305,$CS305,$CT305)</f>
        <v/>
      </c>
      <c r="DX305" s="66">
        <f>AVERAGE($CB305,$CC305,$CM305,$CE305,$CP305)</f>
        <v/>
      </c>
      <c r="DY305" s="64">
        <f>($DW305-$DW306)*100</f>
        <v/>
      </c>
      <c r="DZ305" s="64">
        <f>($DX305-$DX306)*100</f>
        <v/>
      </c>
      <c r="EA305" s="64">
        <f>($DW305-$D305)*100</f>
        <v/>
      </c>
      <c r="EB305" s="64">
        <f>$Q305-$O305</f>
        <v/>
      </c>
      <c r="EC305" s="67">
        <f>IFERROR($Q305/$P305,"")</f>
        <v/>
      </c>
    </row>
    <row r="306">
      <c r="DG306" s="64">
        <f>($B306-$B307)*100</f>
        <v/>
      </c>
      <c r="DH306" s="64">
        <f>($D306-$D307)*100</f>
        <v/>
      </c>
      <c r="DI306" s="64">
        <f>($E306-$E307)*100</f>
        <v/>
      </c>
      <c r="DJ306" s="64">
        <f>($H306-$H307)*100</f>
        <v/>
      </c>
      <c r="DK306" s="65">
        <f>IFERROR($J306/$J307-1,"")</f>
        <v/>
      </c>
      <c r="DL306" s="64">
        <f>$L306-$L307</f>
        <v/>
      </c>
      <c r="DM306" s="64">
        <f>$K306-$K307</f>
        <v/>
      </c>
      <c r="DN306" s="65">
        <f>IFERROR($N306/$N307-1,"")</f>
        <v/>
      </c>
      <c r="DO306" s="65">
        <f>IFERROR($M306/$M307-1,"")</f>
        <v/>
      </c>
      <c r="DP306" s="65">
        <f>IFERROR($AZ306/$AZ307-1,"")</f>
        <v/>
      </c>
      <c r="DQ306" s="65">
        <f>IFERROR($BA306/$BA307-1,"")</f>
        <v/>
      </c>
      <c r="DR306" s="64">
        <f>$O306-$O307</f>
        <v/>
      </c>
      <c r="DS306" s="64">
        <f>$P306-$P307</f>
        <v/>
      </c>
      <c r="DT306" s="64">
        <f>$Q306-$Q307</f>
        <v/>
      </c>
      <c r="DU306" s="64">
        <f>$S306-$S307</f>
        <v/>
      </c>
      <c r="DV306" s="65">
        <f>IFERROR(AVERAGE($AA307/$AA306-1,$AB307/$AB306-1,$AC307/$AC306-1,$AD307/$AD306-1,$AE307/$AE306-1,$AG307/$AG306-1,$AH307/$AH306-1,$AI307/$AI306-1,$AJ307/$AJ306-1,$AL307/$AL306-1,$AM307/$AM306-1,$AR307/$AR306-1,$AS307/$AS306-1,$AT307/$AT306-1,$AU307/$AU306-1,$AV307/$AV306-1,$AW307/$AW306-1,$AX307/$AX306-1,$AY307/$AY306-1),"")</f>
        <v/>
      </c>
      <c r="DW306" s="66">
        <f>AVERAGE($CB306,$CC306,$CD306,$CE306,$CF306,$CG306,$CH306,$CI306,$CJ306,$CL306,$CM306,$CN306,$CO306,$CP306,$CQ306,$CR306,$CS306,$CT306)</f>
        <v/>
      </c>
      <c r="DX306" s="66">
        <f>AVERAGE($CB306,$CC306,$CM306,$CE306,$CP306)</f>
        <v/>
      </c>
      <c r="DY306" s="64">
        <f>($DW306-$DW307)*100</f>
        <v/>
      </c>
      <c r="DZ306" s="64">
        <f>($DX306-$DX307)*100</f>
        <v/>
      </c>
      <c r="EA306" s="64">
        <f>($DW306-$D306)*100</f>
        <v/>
      </c>
      <c r="EB306" s="64">
        <f>$Q306-$O306</f>
        <v/>
      </c>
      <c r="EC306" s="67">
        <f>IFERROR($Q306/$P306,"")</f>
        <v/>
      </c>
    </row>
    <row r="307">
      <c r="DG307" s="64">
        <f>($B307-$B308)*100</f>
        <v/>
      </c>
      <c r="DH307" s="64">
        <f>($D307-$D308)*100</f>
        <v/>
      </c>
      <c r="DI307" s="64">
        <f>($E307-$E308)*100</f>
        <v/>
      </c>
      <c r="DJ307" s="64">
        <f>($H307-$H308)*100</f>
        <v/>
      </c>
      <c r="DK307" s="65">
        <f>IFERROR($J307/$J308-1,"")</f>
        <v/>
      </c>
      <c r="DL307" s="64">
        <f>$L307-$L308</f>
        <v/>
      </c>
      <c r="DM307" s="64">
        <f>$K307-$K308</f>
        <v/>
      </c>
      <c r="DN307" s="65">
        <f>IFERROR($N307/$N308-1,"")</f>
        <v/>
      </c>
      <c r="DO307" s="65">
        <f>IFERROR($M307/$M308-1,"")</f>
        <v/>
      </c>
      <c r="DP307" s="65">
        <f>IFERROR($AZ307/$AZ308-1,"")</f>
        <v/>
      </c>
      <c r="DQ307" s="65">
        <f>IFERROR($BA307/$BA308-1,"")</f>
        <v/>
      </c>
      <c r="DR307" s="64">
        <f>$O307-$O308</f>
        <v/>
      </c>
      <c r="DS307" s="64">
        <f>$P307-$P308</f>
        <v/>
      </c>
      <c r="DT307" s="64">
        <f>$Q307-$Q308</f>
        <v/>
      </c>
      <c r="DU307" s="64">
        <f>$S307-$S308</f>
        <v/>
      </c>
      <c r="DV307" s="65">
        <f>IFERROR(AVERAGE($AA308/$AA307-1,$AB308/$AB307-1,$AC308/$AC307-1,$AD308/$AD307-1,$AE308/$AE307-1,$AG308/$AG307-1,$AH308/$AH307-1,$AI308/$AI307-1,$AJ308/$AJ307-1,$AL308/$AL307-1,$AM308/$AM307-1,$AR308/$AR307-1,$AS308/$AS307-1,$AT308/$AT307-1,$AU308/$AU307-1,$AV308/$AV307-1,$AW308/$AW307-1,$AX308/$AX307-1,$AY308/$AY307-1),"")</f>
        <v/>
      </c>
      <c r="DW307" s="66">
        <f>AVERAGE($CB307,$CC307,$CD307,$CE307,$CF307,$CG307,$CH307,$CI307,$CJ307,$CL307,$CM307,$CN307,$CO307,$CP307,$CQ307,$CR307,$CS307,$CT307)</f>
        <v/>
      </c>
      <c r="DX307" s="66">
        <f>AVERAGE($CB307,$CC307,$CM307,$CE307,$CP307)</f>
        <v/>
      </c>
      <c r="DY307" s="64">
        <f>($DW307-$DW308)*100</f>
        <v/>
      </c>
      <c r="DZ307" s="64">
        <f>($DX307-$DX308)*100</f>
        <v/>
      </c>
      <c r="EA307" s="64">
        <f>($DW307-$D307)*100</f>
        <v/>
      </c>
      <c r="EB307" s="64">
        <f>$Q307-$O307</f>
        <v/>
      </c>
      <c r="EC307" s="67">
        <f>IFERROR($Q307/$P307,"")</f>
        <v/>
      </c>
    </row>
    <row r="308">
      <c r="DG308" s="64">
        <f>($B308-$B309)*100</f>
        <v/>
      </c>
      <c r="DH308" s="64">
        <f>($D308-$D309)*100</f>
        <v/>
      </c>
      <c r="DI308" s="64">
        <f>($E308-$E309)*100</f>
        <v/>
      </c>
      <c r="DJ308" s="64">
        <f>($H308-$H309)*100</f>
        <v/>
      </c>
      <c r="DK308" s="65">
        <f>IFERROR($J308/$J309-1,"")</f>
        <v/>
      </c>
      <c r="DL308" s="64">
        <f>$L308-$L309</f>
        <v/>
      </c>
      <c r="DM308" s="64">
        <f>$K308-$K309</f>
        <v/>
      </c>
      <c r="DN308" s="65">
        <f>IFERROR($N308/$N309-1,"")</f>
        <v/>
      </c>
      <c r="DO308" s="65">
        <f>IFERROR($M308/$M309-1,"")</f>
        <v/>
      </c>
      <c r="DP308" s="65">
        <f>IFERROR($AZ308/$AZ309-1,"")</f>
        <v/>
      </c>
      <c r="DQ308" s="65">
        <f>IFERROR($BA308/$BA309-1,"")</f>
        <v/>
      </c>
      <c r="DR308" s="64">
        <f>$O308-$O309</f>
        <v/>
      </c>
      <c r="DS308" s="64">
        <f>$P308-$P309</f>
        <v/>
      </c>
      <c r="DT308" s="64">
        <f>$Q308-$Q309</f>
        <v/>
      </c>
      <c r="DU308" s="64">
        <f>$S308-$S309</f>
        <v/>
      </c>
      <c r="DV308" s="65">
        <f>IFERROR(AVERAGE($AA309/$AA308-1,$AB309/$AB308-1,$AC309/$AC308-1,$AD309/$AD308-1,$AE309/$AE308-1,$AG309/$AG308-1,$AH309/$AH308-1,$AI309/$AI308-1,$AJ309/$AJ308-1,$AL309/$AL308-1,$AM309/$AM308-1,$AR309/$AR308-1,$AS309/$AS308-1,$AT309/$AT308-1,$AU309/$AU308-1,$AV309/$AV308-1,$AW309/$AW308-1,$AX309/$AX308-1,$AY309/$AY308-1),"")</f>
        <v/>
      </c>
      <c r="DW308" s="66">
        <f>AVERAGE($CB308,$CC308,$CD308,$CE308,$CF308,$CG308,$CH308,$CI308,$CJ308,$CL308,$CM308,$CN308,$CO308,$CP308,$CQ308,$CR308,$CS308,$CT308)</f>
        <v/>
      </c>
      <c r="DX308" s="66">
        <f>AVERAGE($CB308,$CC308,$CM308,$CE308,$CP308)</f>
        <v/>
      </c>
      <c r="DY308" s="64">
        <f>($DW308-$DW309)*100</f>
        <v/>
      </c>
      <c r="DZ308" s="64">
        <f>($DX308-$DX309)*100</f>
        <v/>
      </c>
      <c r="EA308" s="64">
        <f>($DW308-$D308)*100</f>
        <v/>
      </c>
      <c r="EB308" s="64">
        <f>$Q308-$O308</f>
        <v/>
      </c>
      <c r="EC308" s="67">
        <f>IFERROR($Q308/$P308,"")</f>
        <v/>
      </c>
    </row>
    <row r="309">
      <c r="DG309" s="64">
        <f>($B309-$B310)*100</f>
        <v/>
      </c>
      <c r="DH309" s="64">
        <f>($D309-$D310)*100</f>
        <v/>
      </c>
      <c r="DI309" s="64">
        <f>($E309-$E310)*100</f>
        <v/>
      </c>
      <c r="DJ309" s="64">
        <f>($H309-$H310)*100</f>
        <v/>
      </c>
      <c r="DK309" s="65">
        <f>IFERROR($J309/$J310-1,"")</f>
        <v/>
      </c>
      <c r="DL309" s="64">
        <f>$L309-$L310</f>
        <v/>
      </c>
      <c r="DM309" s="64">
        <f>$K309-$K310</f>
        <v/>
      </c>
      <c r="DN309" s="65">
        <f>IFERROR($N309/$N310-1,"")</f>
        <v/>
      </c>
      <c r="DO309" s="65">
        <f>IFERROR($M309/$M310-1,"")</f>
        <v/>
      </c>
      <c r="DP309" s="65">
        <f>IFERROR($AZ309/$AZ310-1,"")</f>
        <v/>
      </c>
      <c r="DQ309" s="65">
        <f>IFERROR($BA309/$BA310-1,"")</f>
        <v/>
      </c>
      <c r="DR309" s="64">
        <f>$O309-$O310</f>
        <v/>
      </c>
      <c r="DS309" s="64">
        <f>$P309-$P310</f>
        <v/>
      </c>
      <c r="DT309" s="64">
        <f>$Q309-$Q310</f>
        <v/>
      </c>
      <c r="DU309" s="64">
        <f>$S309-$S310</f>
        <v/>
      </c>
      <c r="DV309" s="65">
        <f>IFERROR(AVERAGE($AA310/$AA309-1,$AB310/$AB309-1,$AC310/$AC309-1,$AD310/$AD309-1,$AE310/$AE309-1,$AG310/$AG309-1,$AH310/$AH309-1,$AI310/$AI309-1,$AJ310/$AJ309-1,$AL310/$AL309-1,$AM310/$AM309-1,$AR310/$AR309-1,$AS310/$AS309-1,$AT310/$AT309-1,$AU310/$AU309-1,$AV310/$AV309-1,$AW310/$AW309-1,$AX310/$AX309-1,$AY310/$AY309-1),"")</f>
        <v/>
      </c>
      <c r="DW309" s="66">
        <f>AVERAGE($CB309,$CC309,$CD309,$CE309,$CF309,$CG309,$CH309,$CI309,$CJ309,$CL309,$CM309,$CN309,$CO309,$CP309,$CQ309,$CR309,$CS309,$CT309)</f>
        <v/>
      </c>
      <c r="DX309" s="66">
        <f>AVERAGE($CB309,$CC309,$CM309,$CE309,$CP309)</f>
        <v/>
      </c>
      <c r="DY309" s="64">
        <f>($DW309-$DW310)*100</f>
        <v/>
      </c>
      <c r="DZ309" s="64">
        <f>($DX309-$DX310)*100</f>
        <v/>
      </c>
      <c r="EA309" s="64">
        <f>($DW309-$D309)*100</f>
        <v/>
      </c>
      <c r="EB309" s="64">
        <f>$Q309-$O309</f>
        <v/>
      </c>
      <c r="EC309" s="67">
        <f>IFERROR($Q309/$P309,"")</f>
        <v/>
      </c>
    </row>
    <row r="310">
      <c r="DG310" s="64">
        <f>($B310-$B311)*100</f>
        <v/>
      </c>
      <c r="DH310" s="64">
        <f>($D310-$D311)*100</f>
        <v/>
      </c>
      <c r="DI310" s="64">
        <f>($E310-$E311)*100</f>
        <v/>
      </c>
      <c r="DJ310" s="64">
        <f>($H310-$H311)*100</f>
        <v/>
      </c>
      <c r="DK310" s="65">
        <f>IFERROR($J310/$J311-1,"")</f>
        <v/>
      </c>
      <c r="DL310" s="64">
        <f>$L310-$L311</f>
        <v/>
      </c>
      <c r="DM310" s="64">
        <f>$K310-$K311</f>
        <v/>
      </c>
      <c r="DN310" s="65">
        <f>IFERROR($N310/$N311-1,"")</f>
        <v/>
      </c>
      <c r="DO310" s="65">
        <f>IFERROR($M310/$M311-1,"")</f>
        <v/>
      </c>
      <c r="DP310" s="65">
        <f>IFERROR($AZ310/$AZ311-1,"")</f>
        <v/>
      </c>
      <c r="DQ310" s="65">
        <f>IFERROR($BA310/$BA311-1,"")</f>
        <v/>
      </c>
      <c r="DR310" s="64">
        <f>$O310-$O311</f>
        <v/>
      </c>
      <c r="DS310" s="64">
        <f>$P310-$P311</f>
        <v/>
      </c>
      <c r="DT310" s="64">
        <f>$Q310-$Q311</f>
        <v/>
      </c>
      <c r="DU310" s="64">
        <f>$S310-$S311</f>
        <v/>
      </c>
      <c r="DV310" s="65">
        <f>IFERROR(AVERAGE($AA311/$AA310-1,$AB311/$AB310-1,$AC311/$AC310-1,$AD311/$AD310-1,$AE311/$AE310-1,$AG311/$AG310-1,$AH311/$AH310-1,$AI311/$AI310-1,$AJ311/$AJ310-1,$AL311/$AL310-1,$AM311/$AM310-1,$AR311/$AR310-1,$AS311/$AS310-1,$AT311/$AT310-1,$AU311/$AU310-1,$AV311/$AV310-1,$AW311/$AW310-1,$AX311/$AX310-1,$AY311/$AY310-1),"")</f>
        <v/>
      </c>
      <c r="DW310" s="66">
        <f>AVERAGE($CB310,$CC310,$CD310,$CE310,$CF310,$CG310,$CH310,$CI310,$CJ310,$CL310,$CM310,$CN310,$CO310,$CP310,$CQ310,$CR310,$CS310,$CT310)</f>
        <v/>
      </c>
      <c r="DX310" s="66">
        <f>AVERAGE($CB310,$CC310,$CM310,$CE310,$CP310)</f>
        <v/>
      </c>
      <c r="DY310" s="64">
        <f>($DW310-$DW311)*100</f>
        <v/>
      </c>
      <c r="DZ310" s="64">
        <f>($DX310-$DX311)*100</f>
        <v/>
      </c>
      <c r="EA310" s="64">
        <f>($DW310-$D310)*100</f>
        <v/>
      </c>
      <c r="EB310" s="64">
        <f>$Q310-$O310</f>
        <v/>
      </c>
      <c r="EC310" s="67">
        <f>IFERROR($Q310/$P310,"")</f>
        <v/>
      </c>
    </row>
    <row r="311">
      <c r="DG311" s="64">
        <f>($B311-$B312)*100</f>
        <v/>
      </c>
      <c r="DH311" s="64">
        <f>($D311-$D312)*100</f>
        <v/>
      </c>
      <c r="DI311" s="64">
        <f>($E311-$E312)*100</f>
        <v/>
      </c>
      <c r="DJ311" s="64">
        <f>($H311-$H312)*100</f>
        <v/>
      </c>
      <c r="DK311" s="65">
        <f>IFERROR($J311/$J312-1,"")</f>
        <v/>
      </c>
      <c r="DL311" s="64">
        <f>$L311-$L312</f>
        <v/>
      </c>
      <c r="DM311" s="64">
        <f>$K311-$K312</f>
        <v/>
      </c>
      <c r="DN311" s="65">
        <f>IFERROR($N311/$N312-1,"")</f>
        <v/>
      </c>
      <c r="DO311" s="65">
        <f>IFERROR($M311/$M312-1,"")</f>
        <v/>
      </c>
      <c r="DP311" s="65">
        <f>IFERROR($AZ311/$AZ312-1,"")</f>
        <v/>
      </c>
      <c r="DQ311" s="65">
        <f>IFERROR($BA311/$BA312-1,"")</f>
        <v/>
      </c>
      <c r="DR311" s="64">
        <f>$O311-$O312</f>
        <v/>
      </c>
      <c r="DS311" s="64">
        <f>$P311-$P312</f>
        <v/>
      </c>
      <c r="DT311" s="64">
        <f>$Q311-$Q312</f>
        <v/>
      </c>
      <c r="DU311" s="64">
        <f>$S311-$S312</f>
        <v/>
      </c>
      <c r="DV311" s="65">
        <f>IFERROR(AVERAGE($AA312/$AA311-1,$AB312/$AB311-1,$AC312/$AC311-1,$AD312/$AD311-1,$AE312/$AE311-1,$AG312/$AG311-1,$AH312/$AH311-1,$AI312/$AI311-1,$AJ312/$AJ311-1,$AL312/$AL311-1,$AM312/$AM311-1,$AR312/$AR311-1,$AS312/$AS311-1,$AT312/$AT311-1,$AU312/$AU311-1,$AV312/$AV311-1,$AW312/$AW311-1,$AX312/$AX311-1,$AY312/$AY311-1),"")</f>
        <v/>
      </c>
      <c r="DW311" s="66">
        <f>AVERAGE($CB311,$CC311,$CD311,$CE311,$CF311,$CG311,$CH311,$CI311,$CJ311,$CL311,$CM311,$CN311,$CO311,$CP311,$CQ311,$CR311,$CS311,$CT311)</f>
        <v/>
      </c>
      <c r="DX311" s="66">
        <f>AVERAGE($CB311,$CC311,$CM311,$CE311,$CP311)</f>
        <v/>
      </c>
      <c r="DY311" s="64">
        <f>($DW311-$DW312)*100</f>
        <v/>
      </c>
      <c r="DZ311" s="64">
        <f>($DX311-$DX312)*100</f>
        <v/>
      </c>
      <c r="EA311" s="64">
        <f>($DW311-$D311)*100</f>
        <v/>
      </c>
      <c r="EB311" s="64">
        <f>$Q311-$O311</f>
        <v/>
      </c>
      <c r="EC311" s="67">
        <f>IFERROR($Q311/$P311,"")</f>
        <v/>
      </c>
    </row>
    <row r="312">
      <c r="DG312" s="64">
        <f>($B312-$B313)*100</f>
        <v/>
      </c>
      <c r="DH312" s="64">
        <f>($D312-$D313)*100</f>
        <v/>
      </c>
      <c r="DI312" s="64">
        <f>($E312-$E313)*100</f>
        <v/>
      </c>
      <c r="DJ312" s="64">
        <f>($H312-$H313)*100</f>
        <v/>
      </c>
      <c r="DK312" s="65">
        <f>IFERROR($J312/$J313-1,"")</f>
        <v/>
      </c>
      <c r="DL312" s="64">
        <f>$L312-$L313</f>
        <v/>
      </c>
      <c r="DM312" s="64">
        <f>$K312-$K313</f>
        <v/>
      </c>
      <c r="DN312" s="65">
        <f>IFERROR($N312/$N313-1,"")</f>
        <v/>
      </c>
      <c r="DO312" s="65">
        <f>IFERROR($M312/$M313-1,"")</f>
        <v/>
      </c>
      <c r="DP312" s="65">
        <f>IFERROR($AZ312/$AZ313-1,"")</f>
        <v/>
      </c>
      <c r="DQ312" s="65">
        <f>IFERROR($BA312/$BA313-1,"")</f>
        <v/>
      </c>
      <c r="DR312" s="64">
        <f>$O312-$O313</f>
        <v/>
      </c>
      <c r="DS312" s="64">
        <f>$P312-$P313</f>
        <v/>
      </c>
      <c r="DT312" s="64">
        <f>$Q312-$Q313</f>
        <v/>
      </c>
      <c r="DU312" s="64">
        <f>$S312-$S313</f>
        <v/>
      </c>
      <c r="DV312" s="65">
        <f>IFERROR(AVERAGE($AA313/$AA312-1,$AB313/$AB312-1,$AC313/$AC312-1,$AD313/$AD312-1,$AE313/$AE312-1,$AG313/$AG312-1,$AH313/$AH312-1,$AI313/$AI312-1,$AJ313/$AJ312-1,$AL313/$AL312-1,$AM313/$AM312-1,$AR313/$AR312-1,$AS313/$AS312-1,$AT313/$AT312-1,$AU313/$AU312-1,$AV313/$AV312-1,$AW313/$AW312-1,$AX313/$AX312-1,$AY313/$AY312-1),"")</f>
        <v/>
      </c>
      <c r="DW312" s="66">
        <f>AVERAGE($CB312,$CC312,$CD312,$CE312,$CF312,$CG312,$CH312,$CI312,$CJ312,$CL312,$CM312,$CN312,$CO312,$CP312,$CQ312,$CR312,$CS312,$CT312)</f>
        <v/>
      </c>
      <c r="DX312" s="66">
        <f>AVERAGE($CB312,$CC312,$CM312,$CE312,$CP312)</f>
        <v/>
      </c>
      <c r="DY312" s="64">
        <f>($DW312-$DW313)*100</f>
        <v/>
      </c>
      <c r="DZ312" s="64">
        <f>($DX312-$DX313)*100</f>
        <v/>
      </c>
      <c r="EA312" s="64">
        <f>($DW312-$D312)*100</f>
        <v/>
      </c>
      <c r="EB312" s="64">
        <f>$Q312-$O312</f>
        <v/>
      </c>
      <c r="EC312" s="67">
        <f>IFERROR($Q312/$P312,"")</f>
        <v/>
      </c>
    </row>
    <row r="313">
      <c r="DG313" s="64">
        <f>($B313-$B314)*100</f>
        <v/>
      </c>
      <c r="DH313" s="64">
        <f>($D313-$D314)*100</f>
        <v/>
      </c>
      <c r="DI313" s="64">
        <f>($E313-$E314)*100</f>
        <v/>
      </c>
      <c r="DJ313" s="64">
        <f>($H313-$H314)*100</f>
        <v/>
      </c>
      <c r="DK313" s="65">
        <f>IFERROR($J313/$J314-1,"")</f>
        <v/>
      </c>
      <c r="DL313" s="64">
        <f>$L313-$L314</f>
        <v/>
      </c>
      <c r="DM313" s="64">
        <f>$K313-$K314</f>
        <v/>
      </c>
      <c r="DN313" s="65">
        <f>IFERROR($N313/$N314-1,"")</f>
        <v/>
      </c>
      <c r="DO313" s="65">
        <f>IFERROR($M313/$M314-1,"")</f>
        <v/>
      </c>
      <c r="DP313" s="65">
        <f>IFERROR($AZ313/$AZ314-1,"")</f>
        <v/>
      </c>
      <c r="DQ313" s="65">
        <f>IFERROR($BA313/$BA314-1,"")</f>
        <v/>
      </c>
      <c r="DR313" s="64">
        <f>$O313-$O314</f>
        <v/>
      </c>
      <c r="DS313" s="64">
        <f>$P313-$P314</f>
        <v/>
      </c>
      <c r="DT313" s="64">
        <f>$Q313-$Q314</f>
        <v/>
      </c>
      <c r="DU313" s="64">
        <f>$S313-$S314</f>
        <v/>
      </c>
      <c r="DV313" s="65">
        <f>IFERROR(AVERAGE($AA314/$AA313-1,$AB314/$AB313-1,$AC314/$AC313-1,$AD314/$AD313-1,$AE314/$AE313-1,$AG314/$AG313-1,$AH314/$AH313-1,$AI314/$AI313-1,$AJ314/$AJ313-1,$AL314/$AL313-1,$AM314/$AM313-1,$AR314/$AR313-1,$AS314/$AS313-1,$AT314/$AT313-1,$AU314/$AU313-1,$AV314/$AV313-1,$AW314/$AW313-1,$AX314/$AX313-1,$AY314/$AY313-1),"")</f>
        <v/>
      </c>
      <c r="DW313" s="66">
        <f>AVERAGE($CB313,$CC313,$CD313,$CE313,$CF313,$CG313,$CH313,$CI313,$CJ313,$CL313,$CM313,$CN313,$CO313,$CP313,$CQ313,$CR313,$CS313,$CT313)</f>
        <v/>
      </c>
      <c r="DX313" s="66">
        <f>AVERAGE($CB313,$CC313,$CM313,$CE313,$CP313)</f>
        <v/>
      </c>
      <c r="DY313" s="64">
        <f>($DW313-$DW314)*100</f>
        <v/>
      </c>
      <c r="DZ313" s="64">
        <f>($DX313-$DX314)*100</f>
        <v/>
      </c>
      <c r="EA313" s="64">
        <f>($DW313-$D313)*100</f>
        <v/>
      </c>
      <c r="EB313" s="64">
        <f>$Q313-$O313</f>
        <v/>
      </c>
      <c r="EC313" s="67">
        <f>IFERROR($Q313/$P313,"")</f>
        <v/>
      </c>
    </row>
    <row r="314">
      <c r="DG314" s="64">
        <f>($B314-$B315)*100</f>
        <v/>
      </c>
      <c r="DH314" s="64">
        <f>($D314-$D315)*100</f>
        <v/>
      </c>
      <c r="DI314" s="64">
        <f>($E314-$E315)*100</f>
        <v/>
      </c>
      <c r="DJ314" s="64">
        <f>($H314-$H315)*100</f>
        <v/>
      </c>
      <c r="DK314" s="65">
        <f>IFERROR($J314/$J315-1,"")</f>
        <v/>
      </c>
      <c r="DL314" s="64">
        <f>$L314-$L315</f>
        <v/>
      </c>
      <c r="DM314" s="64">
        <f>$K314-$K315</f>
        <v/>
      </c>
      <c r="DN314" s="65">
        <f>IFERROR($N314/$N315-1,"")</f>
        <v/>
      </c>
      <c r="DO314" s="65">
        <f>IFERROR($M314/$M315-1,"")</f>
        <v/>
      </c>
      <c r="DP314" s="65">
        <f>IFERROR($AZ314/$AZ315-1,"")</f>
        <v/>
      </c>
      <c r="DQ314" s="65">
        <f>IFERROR($BA314/$BA315-1,"")</f>
        <v/>
      </c>
      <c r="DR314" s="64">
        <f>$O314-$O315</f>
        <v/>
      </c>
      <c r="DS314" s="64">
        <f>$P314-$P315</f>
        <v/>
      </c>
      <c r="DT314" s="64">
        <f>$Q314-$Q315</f>
        <v/>
      </c>
      <c r="DU314" s="64">
        <f>$S314-$S315</f>
        <v/>
      </c>
      <c r="DV314" s="65">
        <f>IFERROR(AVERAGE($AA315/$AA314-1,$AB315/$AB314-1,$AC315/$AC314-1,$AD315/$AD314-1,$AE315/$AE314-1,$AG315/$AG314-1,$AH315/$AH314-1,$AI315/$AI314-1,$AJ315/$AJ314-1,$AL315/$AL314-1,$AM315/$AM314-1,$AR315/$AR314-1,$AS315/$AS314-1,$AT315/$AT314-1,$AU315/$AU314-1,$AV315/$AV314-1,$AW315/$AW314-1,$AX315/$AX314-1,$AY315/$AY314-1),"")</f>
        <v/>
      </c>
      <c r="DW314" s="66">
        <f>AVERAGE($CB314,$CC314,$CD314,$CE314,$CF314,$CG314,$CH314,$CI314,$CJ314,$CL314,$CM314,$CN314,$CO314,$CP314,$CQ314,$CR314,$CS314,$CT314)</f>
        <v/>
      </c>
      <c r="DX314" s="66">
        <f>AVERAGE($CB314,$CC314,$CM314,$CE314,$CP314)</f>
        <v/>
      </c>
      <c r="DY314" s="64">
        <f>($DW314-$DW315)*100</f>
        <v/>
      </c>
      <c r="DZ314" s="64">
        <f>($DX314-$DX315)*100</f>
        <v/>
      </c>
      <c r="EA314" s="64">
        <f>($DW314-$D314)*100</f>
        <v/>
      </c>
      <c r="EB314" s="64">
        <f>$Q314-$O314</f>
        <v/>
      </c>
      <c r="EC314" s="67">
        <f>IFERROR($Q314/$P314,"")</f>
        <v/>
      </c>
    </row>
    <row r="315">
      <c r="DG315" s="64">
        <f>($B315-$B316)*100</f>
        <v/>
      </c>
      <c r="DH315" s="64">
        <f>($D315-$D316)*100</f>
        <v/>
      </c>
      <c r="DI315" s="64">
        <f>($E315-$E316)*100</f>
        <v/>
      </c>
      <c r="DJ315" s="64">
        <f>($H315-$H316)*100</f>
        <v/>
      </c>
      <c r="DK315" s="65">
        <f>IFERROR($J315/$J316-1,"")</f>
        <v/>
      </c>
      <c r="DL315" s="64">
        <f>$L315-$L316</f>
        <v/>
      </c>
      <c r="DM315" s="64">
        <f>$K315-$K316</f>
        <v/>
      </c>
      <c r="DN315" s="65">
        <f>IFERROR($N315/$N316-1,"")</f>
        <v/>
      </c>
      <c r="DO315" s="65">
        <f>IFERROR($M315/$M316-1,"")</f>
        <v/>
      </c>
      <c r="DP315" s="65">
        <f>IFERROR($AZ315/$AZ316-1,"")</f>
        <v/>
      </c>
      <c r="DQ315" s="65">
        <f>IFERROR($BA315/$BA316-1,"")</f>
        <v/>
      </c>
      <c r="DR315" s="64">
        <f>$O315-$O316</f>
        <v/>
      </c>
      <c r="DS315" s="64">
        <f>$P315-$P316</f>
        <v/>
      </c>
      <c r="DT315" s="64">
        <f>$Q315-$Q316</f>
        <v/>
      </c>
      <c r="DU315" s="64">
        <f>$S315-$S316</f>
        <v/>
      </c>
      <c r="DV315" s="65">
        <f>IFERROR(AVERAGE($AA316/$AA315-1,$AB316/$AB315-1,$AC316/$AC315-1,$AD316/$AD315-1,$AE316/$AE315-1,$AG316/$AG315-1,$AH316/$AH315-1,$AI316/$AI315-1,$AJ316/$AJ315-1,$AL316/$AL315-1,$AM316/$AM315-1,$AR316/$AR315-1,$AS316/$AS315-1,$AT316/$AT315-1,$AU316/$AU315-1,$AV316/$AV315-1,$AW316/$AW315-1,$AX316/$AX315-1,$AY316/$AY315-1),"")</f>
        <v/>
      </c>
      <c r="DW315" s="66">
        <f>AVERAGE($CB315,$CC315,$CD315,$CE315,$CF315,$CG315,$CH315,$CI315,$CJ315,$CL315,$CM315,$CN315,$CO315,$CP315,$CQ315,$CR315,$CS315,$CT315)</f>
        <v/>
      </c>
      <c r="DX315" s="66">
        <f>AVERAGE($CB315,$CC315,$CM315,$CE315,$CP315)</f>
        <v/>
      </c>
      <c r="DY315" s="64">
        <f>($DW315-$DW316)*100</f>
        <v/>
      </c>
      <c r="DZ315" s="64">
        <f>($DX315-$DX316)*100</f>
        <v/>
      </c>
      <c r="EA315" s="64">
        <f>($DW315-$D315)*100</f>
        <v/>
      </c>
      <c r="EB315" s="64">
        <f>$Q315-$O315</f>
        <v/>
      </c>
      <c r="EC315" s="67">
        <f>IFERROR($Q315/$P315,"")</f>
        <v/>
      </c>
    </row>
    <row r="316">
      <c r="DG316" s="64">
        <f>($B316-$B317)*100</f>
        <v/>
      </c>
      <c r="DH316" s="64">
        <f>($D316-$D317)*100</f>
        <v/>
      </c>
      <c r="DI316" s="64">
        <f>($E316-$E317)*100</f>
        <v/>
      </c>
      <c r="DJ316" s="64">
        <f>($H316-$H317)*100</f>
        <v/>
      </c>
      <c r="DK316" s="65">
        <f>IFERROR($J316/$J317-1,"")</f>
        <v/>
      </c>
      <c r="DL316" s="64">
        <f>$L316-$L317</f>
        <v/>
      </c>
      <c r="DM316" s="64">
        <f>$K316-$K317</f>
        <v/>
      </c>
      <c r="DN316" s="65">
        <f>IFERROR($N316/$N317-1,"")</f>
        <v/>
      </c>
      <c r="DO316" s="65">
        <f>IFERROR($M316/$M317-1,"")</f>
        <v/>
      </c>
      <c r="DP316" s="65">
        <f>IFERROR($AZ316/$AZ317-1,"")</f>
        <v/>
      </c>
      <c r="DQ316" s="65">
        <f>IFERROR($BA316/$BA317-1,"")</f>
        <v/>
      </c>
      <c r="DR316" s="64">
        <f>$O316-$O317</f>
        <v/>
      </c>
      <c r="DS316" s="64">
        <f>$P316-$P317</f>
        <v/>
      </c>
      <c r="DT316" s="64">
        <f>$Q316-$Q317</f>
        <v/>
      </c>
      <c r="DU316" s="64">
        <f>$S316-$S317</f>
        <v/>
      </c>
      <c r="DV316" s="65">
        <f>IFERROR(AVERAGE($AA317/$AA316-1,$AB317/$AB316-1,$AC317/$AC316-1,$AD317/$AD316-1,$AE317/$AE316-1,$AG317/$AG316-1,$AH317/$AH316-1,$AI317/$AI316-1,$AJ317/$AJ316-1,$AL317/$AL316-1,$AM317/$AM316-1,$AR317/$AR316-1,$AS317/$AS316-1,$AT317/$AT316-1,$AU317/$AU316-1,$AV317/$AV316-1,$AW317/$AW316-1,$AX317/$AX316-1,$AY317/$AY316-1),"")</f>
        <v/>
      </c>
      <c r="DW316" s="66">
        <f>AVERAGE($CB316,$CC316,$CD316,$CE316,$CF316,$CG316,$CH316,$CI316,$CJ316,$CL316,$CM316,$CN316,$CO316,$CP316,$CQ316,$CR316,$CS316,$CT316)</f>
        <v/>
      </c>
      <c r="DX316" s="66">
        <f>AVERAGE($CB316,$CC316,$CM316,$CE316,$CP316)</f>
        <v/>
      </c>
      <c r="DY316" s="64">
        <f>($DW316-$DW317)*100</f>
        <v/>
      </c>
      <c r="DZ316" s="64">
        <f>($DX316-$DX317)*100</f>
        <v/>
      </c>
      <c r="EA316" s="64">
        <f>($DW316-$D316)*100</f>
        <v/>
      </c>
      <c r="EB316" s="64">
        <f>$Q316-$O316</f>
        <v/>
      </c>
      <c r="EC316" s="67">
        <f>IFERROR($Q316/$P316,"")</f>
        <v/>
      </c>
    </row>
    <row r="317">
      <c r="DG317" s="64">
        <f>($B317-$B318)*100</f>
        <v/>
      </c>
      <c r="DH317" s="64">
        <f>($D317-$D318)*100</f>
        <v/>
      </c>
      <c r="DI317" s="64">
        <f>($E317-$E318)*100</f>
        <v/>
      </c>
      <c r="DJ317" s="64">
        <f>($H317-$H318)*100</f>
        <v/>
      </c>
      <c r="DK317" s="65">
        <f>IFERROR($J317/$J318-1,"")</f>
        <v/>
      </c>
      <c r="DL317" s="64">
        <f>$L317-$L318</f>
        <v/>
      </c>
      <c r="DM317" s="64">
        <f>$K317-$K318</f>
        <v/>
      </c>
      <c r="DN317" s="65">
        <f>IFERROR($N317/$N318-1,"")</f>
        <v/>
      </c>
      <c r="DO317" s="65">
        <f>IFERROR($M317/$M318-1,"")</f>
        <v/>
      </c>
      <c r="DP317" s="65">
        <f>IFERROR($AZ317/$AZ318-1,"")</f>
        <v/>
      </c>
      <c r="DQ317" s="65">
        <f>IFERROR($BA317/$BA318-1,"")</f>
        <v/>
      </c>
      <c r="DR317" s="64">
        <f>$O317-$O318</f>
        <v/>
      </c>
      <c r="DS317" s="64">
        <f>$P317-$P318</f>
        <v/>
      </c>
      <c r="DT317" s="64">
        <f>$Q317-$Q318</f>
        <v/>
      </c>
      <c r="DU317" s="64">
        <f>$S317-$S318</f>
        <v/>
      </c>
      <c r="DV317" s="65">
        <f>IFERROR(AVERAGE($AA318/$AA317-1,$AB318/$AB317-1,$AC318/$AC317-1,$AD318/$AD317-1,$AE318/$AE317-1,$AG318/$AG317-1,$AH318/$AH317-1,$AI318/$AI317-1,$AJ318/$AJ317-1,$AL318/$AL317-1,$AM318/$AM317-1,$AR318/$AR317-1,$AS318/$AS317-1,$AT318/$AT317-1,$AU318/$AU317-1,$AV318/$AV317-1,$AW318/$AW317-1,$AX318/$AX317-1,$AY318/$AY317-1),"")</f>
        <v/>
      </c>
      <c r="DW317" s="66">
        <f>AVERAGE($CB317,$CC317,$CD317,$CE317,$CF317,$CG317,$CH317,$CI317,$CJ317,$CL317,$CM317,$CN317,$CO317,$CP317,$CQ317,$CR317,$CS317,$CT317)</f>
        <v/>
      </c>
      <c r="DX317" s="66">
        <f>AVERAGE($CB317,$CC317,$CM317,$CE317,$CP317)</f>
        <v/>
      </c>
      <c r="DY317" s="64">
        <f>($DW317-$DW318)*100</f>
        <v/>
      </c>
      <c r="DZ317" s="64">
        <f>($DX317-$DX318)*100</f>
        <v/>
      </c>
      <c r="EA317" s="64">
        <f>($DW317-$D317)*100</f>
        <v/>
      </c>
      <c r="EB317" s="64">
        <f>$Q317-$O317</f>
        <v/>
      </c>
      <c r="EC317" s="67">
        <f>IFERROR($Q317/$P317,"")</f>
        <v/>
      </c>
    </row>
    <row r="318">
      <c r="DG318" s="64">
        <f>($B318-$B319)*100</f>
        <v/>
      </c>
      <c r="DH318" s="64">
        <f>($D318-$D319)*100</f>
        <v/>
      </c>
      <c r="DI318" s="64">
        <f>($E318-$E319)*100</f>
        <v/>
      </c>
      <c r="DJ318" s="64">
        <f>($H318-$H319)*100</f>
        <v/>
      </c>
      <c r="DK318" s="65">
        <f>IFERROR($J318/$J319-1,"")</f>
        <v/>
      </c>
      <c r="DL318" s="64">
        <f>$L318-$L319</f>
        <v/>
      </c>
      <c r="DM318" s="64">
        <f>$K318-$K319</f>
        <v/>
      </c>
      <c r="DN318" s="65">
        <f>IFERROR($N318/$N319-1,"")</f>
        <v/>
      </c>
      <c r="DO318" s="65">
        <f>IFERROR($M318/$M319-1,"")</f>
        <v/>
      </c>
      <c r="DP318" s="65">
        <f>IFERROR($AZ318/$AZ319-1,"")</f>
        <v/>
      </c>
      <c r="DQ318" s="65">
        <f>IFERROR($BA318/$BA319-1,"")</f>
        <v/>
      </c>
      <c r="DR318" s="64">
        <f>$O318-$O319</f>
        <v/>
      </c>
      <c r="DS318" s="64">
        <f>$P318-$P319</f>
        <v/>
      </c>
      <c r="DT318" s="64">
        <f>$Q318-$Q319</f>
        <v/>
      </c>
      <c r="DU318" s="64">
        <f>$S318-$S319</f>
        <v/>
      </c>
      <c r="DV318" s="65">
        <f>IFERROR(AVERAGE($AA319/$AA318-1,$AB319/$AB318-1,$AC319/$AC318-1,$AD319/$AD318-1,$AE319/$AE318-1,$AG319/$AG318-1,$AH319/$AH318-1,$AI319/$AI318-1,$AJ319/$AJ318-1,$AL319/$AL318-1,$AM319/$AM318-1,$AR319/$AR318-1,$AS319/$AS318-1,$AT319/$AT318-1,$AU319/$AU318-1,$AV319/$AV318-1,$AW319/$AW318-1,$AX319/$AX318-1,$AY319/$AY318-1),"")</f>
        <v/>
      </c>
      <c r="DW318" s="66">
        <f>AVERAGE($CB318,$CC318,$CD318,$CE318,$CF318,$CG318,$CH318,$CI318,$CJ318,$CL318,$CM318,$CN318,$CO318,$CP318,$CQ318,$CR318,$CS318,$CT318)</f>
        <v/>
      </c>
      <c r="DX318" s="66">
        <f>AVERAGE($CB318,$CC318,$CM318,$CE318,$CP318)</f>
        <v/>
      </c>
      <c r="DY318" s="64">
        <f>($DW318-$DW319)*100</f>
        <v/>
      </c>
      <c r="DZ318" s="64">
        <f>($DX318-$DX319)*100</f>
        <v/>
      </c>
      <c r="EA318" s="64">
        <f>($DW318-$D318)*100</f>
        <v/>
      </c>
      <c r="EB318" s="64">
        <f>$Q318-$O318</f>
        <v/>
      </c>
      <c r="EC318" s="67">
        <f>IFERROR($Q318/$P318,"")</f>
        <v/>
      </c>
    </row>
    <row r="319">
      <c r="DG319" s="64">
        <f>($B319-$B320)*100</f>
        <v/>
      </c>
      <c r="DH319" s="64">
        <f>($D319-$D320)*100</f>
        <v/>
      </c>
      <c r="DI319" s="64">
        <f>($E319-$E320)*100</f>
        <v/>
      </c>
      <c r="DJ319" s="64">
        <f>($H319-$H320)*100</f>
        <v/>
      </c>
      <c r="DK319" s="65">
        <f>IFERROR($J319/$J320-1,"")</f>
        <v/>
      </c>
      <c r="DL319" s="64">
        <f>$L319-$L320</f>
        <v/>
      </c>
      <c r="DM319" s="64">
        <f>$K319-$K320</f>
        <v/>
      </c>
      <c r="DN319" s="65">
        <f>IFERROR($N319/$N320-1,"")</f>
        <v/>
      </c>
      <c r="DO319" s="65">
        <f>IFERROR($M319/$M320-1,"")</f>
        <v/>
      </c>
      <c r="DP319" s="65">
        <f>IFERROR($AZ319/$AZ320-1,"")</f>
        <v/>
      </c>
      <c r="DQ319" s="65">
        <f>IFERROR($BA319/$BA320-1,"")</f>
        <v/>
      </c>
      <c r="DR319" s="64">
        <f>$O319-$O320</f>
        <v/>
      </c>
      <c r="DS319" s="64">
        <f>$P319-$P320</f>
        <v/>
      </c>
      <c r="DT319" s="64">
        <f>$Q319-$Q320</f>
        <v/>
      </c>
      <c r="DU319" s="64">
        <f>$S319-$S320</f>
        <v/>
      </c>
      <c r="DV319" s="65">
        <f>IFERROR(AVERAGE($AA320/$AA319-1,$AB320/$AB319-1,$AC320/$AC319-1,$AD320/$AD319-1,$AE320/$AE319-1,$AG320/$AG319-1,$AH320/$AH319-1,$AI320/$AI319-1,$AJ320/$AJ319-1,$AL320/$AL319-1,$AM320/$AM319-1,$AR320/$AR319-1,$AS320/$AS319-1,$AT320/$AT319-1,$AU320/$AU319-1,$AV320/$AV319-1,$AW320/$AW319-1,$AX320/$AX319-1,$AY320/$AY319-1),"")</f>
        <v/>
      </c>
      <c r="DW319" s="66">
        <f>AVERAGE($CB319,$CC319,$CD319,$CE319,$CF319,$CG319,$CH319,$CI319,$CJ319,$CL319,$CM319,$CN319,$CO319,$CP319,$CQ319,$CR319,$CS319,$CT319)</f>
        <v/>
      </c>
      <c r="DX319" s="66">
        <f>AVERAGE($CB319,$CC319,$CM319,$CE319,$CP319)</f>
        <v/>
      </c>
      <c r="DY319" s="64">
        <f>($DW319-$DW320)*100</f>
        <v/>
      </c>
      <c r="DZ319" s="64">
        <f>($DX319-$DX320)*100</f>
        <v/>
      </c>
      <c r="EA319" s="64">
        <f>($DW319-$D319)*100</f>
        <v/>
      </c>
      <c r="EB319" s="64">
        <f>$Q319-$O319</f>
        <v/>
      </c>
      <c r="EC319" s="67">
        <f>IFERROR($Q319/$P319,"")</f>
        <v/>
      </c>
    </row>
    <row r="320">
      <c r="DG320" s="64">
        <f>($B320-$B321)*100</f>
        <v/>
      </c>
      <c r="DH320" s="64">
        <f>($D320-$D321)*100</f>
        <v/>
      </c>
      <c r="DI320" s="64">
        <f>($E320-$E321)*100</f>
        <v/>
      </c>
      <c r="DJ320" s="64">
        <f>($H320-$H321)*100</f>
        <v/>
      </c>
      <c r="DK320" s="65">
        <f>IFERROR($J320/$J321-1,"")</f>
        <v/>
      </c>
      <c r="DL320" s="64">
        <f>$L320-$L321</f>
        <v/>
      </c>
      <c r="DM320" s="64">
        <f>$K320-$K321</f>
        <v/>
      </c>
      <c r="DN320" s="65">
        <f>IFERROR($N320/$N321-1,"")</f>
        <v/>
      </c>
      <c r="DO320" s="65">
        <f>IFERROR($M320/$M321-1,"")</f>
        <v/>
      </c>
      <c r="DP320" s="65">
        <f>IFERROR($AZ320/$AZ321-1,"")</f>
        <v/>
      </c>
      <c r="DQ320" s="65">
        <f>IFERROR($BA320/$BA321-1,"")</f>
        <v/>
      </c>
      <c r="DR320" s="64">
        <f>$O320-$O321</f>
        <v/>
      </c>
      <c r="DS320" s="64">
        <f>$P320-$P321</f>
        <v/>
      </c>
      <c r="DT320" s="64">
        <f>$Q320-$Q321</f>
        <v/>
      </c>
      <c r="DU320" s="64">
        <f>$S320-$S321</f>
        <v/>
      </c>
      <c r="DV320" s="65">
        <f>IFERROR(AVERAGE($AA321/$AA320-1,$AB321/$AB320-1,$AC321/$AC320-1,$AD321/$AD320-1,$AE321/$AE320-1,$AG321/$AG320-1,$AH321/$AH320-1,$AI321/$AI320-1,$AJ321/$AJ320-1,$AL321/$AL320-1,$AM321/$AM320-1,$AR321/$AR320-1,$AS321/$AS320-1,$AT321/$AT320-1,$AU321/$AU320-1,$AV321/$AV320-1,$AW321/$AW320-1,$AX321/$AX320-1,$AY321/$AY320-1),"")</f>
        <v/>
      </c>
      <c r="DW320" s="66">
        <f>AVERAGE($CB320,$CC320,$CD320,$CE320,$CF320,$CG320,$CH320,$CI320,$CJ320,$CL320,$CM320,$CN320,$CO320,$CP320,$CQ320,$CR320,$CS320,$CT320)</f>
        <v/>
      </c>
      <c r="DX320" s="66">
        <f>AVERAGE($CB320,$CC320,$CM320,$CE320,$CP320)</f>
        <v/>
      </c>
      <c r="DY320" s="64">
        <f>($DW320-$DW321)*100</f>
        <v/>
      </c>
      <c r="DZ320" s="64">
        <f>($DX320-$DX321)*100</f>
        <v/>
      </c>
      <c r="EA320" s="64">
        <f>($DW320-$D320)*100</f>
        <v/>
      </c>
      <c r="EB320" s="64">
        <f>$Q320-$O320</f>
        <v/>
      </c>
      <c r="EC320" s="67">
        <f>IFERROR($Q320/$P320,"")</f>
        <v/>
      </c>
    </row>
    <row r="321">
      <c r="DG321" s="64">
        <f>($B321-$B322)*100</f>
        <v/>
      </c>
      <c r="DH321" s="64">
        <f>($D321-$D322)*100</f>
        <v/>
      </c>
      <c r="DI321" s="64">
        <f>($E321-$E322)*100</f>
        <v/>
      </c>
      <c r="DJ321" s="64">
        <f>($H321-$H322)*100</f>
        <v/>
      </c>
      <c r="DK321" s="65">
        <f>IFERROR($J321/$J322-1,"")</f>
        <v/>
      </c>
      <c r="DL321" s="64">
        <f>$L321-$L322</f>
        <v/>
      </c>
      <c r="DM321" s="64">
        <f>$K321-$K322</f>
        <v/>
      </c>
      <c r="DN321" s="65">
        <f>IFERROR($N321/$N322-1,"")</f>
        <v/>
      </c>
      <c r="DO321" s="65">
        <f>IFERROR($M321/$M322-1,"")</f>
        <v/>
      </c>
      <c r="DP321" s="65">
        <f>IFERROR($AZ321/$AZ322-1,"")</f>
        <v/>
      </c>
      <c r="DQ321" s="65">
        <f>IFERROR($BA321/$BA322-1,"")</f>
        <v/>
      </c>
      <c r="DR321" s="64">
        <f>$O321-$O322</f>
        <v/>
      </c>
      <c r="DS321" s="64">
        <f>$P321-$P322</f>
        <v/>
      </c>
      <c r="DT321" s="64">
        <f>$Q321-$Q322</f>
        <v/>
      </c>
      <c r="DU321" s="64">
        <f>$S321-$S322</f>
        <v/>
      </c>
      <c r="DV321" s="65">
        <f>IFERROR(AVERAGE($AA322/$AA321-1,$AB322/$AB321-1,$AC322/$AC321-1,$AD322/$AD321-1,$AE322/$AE321-1,$AG322/$AG321-1,$AH322/$AH321-1,$AI322/$AI321-1,$AJ322/$AJ321-1,$AL322/$AL321-1,$AM322/$AM321-1,$AR322/$AR321-1,$AS322/$AS321-1,$AT322/$AT321-1,$AU322/$AU321-1,$AV322/$AV321-1,$AW322/$AW321-1,$AX322/$AX321-1,$AY322/$AY321-1),"")</f>
        <v/>
      </c>
      <c r="DW321" s="66">
        <f>AVERAGE($CB321,$CC321,$CD321,$CE321,$CF321,$CG321,$CH321,$CI321,$CJ321,$CL321,$CM321,$CN321,$CO321,$CP321,$CQ321,$CR321,$CS321,$CT321)</f>
        <v/>
      </c>
      <c r="DX321" s="66">
        <f>AVERAGE($CB321,$CC321,$CM321,$CE321,$CP321)</f>
        <v/>
      </c>
      <c r="DY321" s="64">
        <f>($DW321-$DW322)*100</f>
        <v/>
      </c>
      <c r="DZ321" s="64">
        <f>($DX321-$DX322)*100</f>
        <v/>
      </c>
      <c r="EA321" s="64">
        <f>($DW321-$D321)*100</f>
        <v/>
      </c>
      <c r="EB321" s="64">
        <f>$Q321-$O321</f>
        <v/>
      </c>
      <c r="EC321" s="67">
        <f>IFERROR($Q321/$P321,"")</f>
        <v/>
      </c>
    </row>
    <row r="322">
      <c r="DG322" s="64">
        <f>($B322-$B323)*100</f>
        <v/>
      </c>
      <c r="DH322" s="64">
        <f>($D322-$D323)*100</f>
        <v/>
      </c>
      <c r="DI322" s="64">
        <f>($E322-$E323)*100</f>
        <v/>
      </c>
      <c r="DJ322" s="64">
        <f>($H322-$H323)*100</f>
        <v/>
      </c>
      <c r="DK322" s="65">
        <f>IFERROR($J322/$J323-1,"")</f>
        <v/>
      </c>
      <c r="DL322" s="64">
        <f>$L322-$L323</f>
        <v/>
      </c>
      <c r="DM322" s="64">
        <f>$K322-$K323</f>
        <v/>
      </c>
      <c r="DN322" s="65">
        <f>IFERROR($N322/$N323-1,"")</f>
        <v/>
      </c>
      <c r="DO322" s="65">
        <f>IFERROR($M322/$M323-1,"")</f>
        <v/>
      </c>
      <c r="DP322" s="65">
        <f>IFERROR($AZ322/$AZ323-1,"")</f>
        <v/>
      </c>
      <c r="DQ322" s="65">
        <f>IFERROR($BA322/$BA323-1,"")</f>
        <v/>
      </c>
      <c r="DR322" s="64">
        <f>$O322-$O323</f>
        <v/>
      </c>
      <c r="DS322" s="64">
        <f>$P322-$P323</f>
        <v/>
      </c>
      <c r="DT322" s="64">
        <f>$Q322-$Q323</f>
        <v/>
      </c>
      <c r="DU322" s="64">
        <f>$S322-$S323</f>
        <v/>
      </c>
      <c r="DV322" s="65">
        <f>IFERROR(AVERAGE($AA323/$AA322-1,$AB323/$AB322-1,$AC323/$AC322-1,$AD323/$AD322-1,$AE323/$AE322-1,$AG323/$AG322-1,$AH323/$AH322-1,$AI323/$AI322-1,$AJ323/$AJ322-1,$AL323/$AL322-1,$AM323/$AM322-1,$AR323/$AR322-1,$AS323/$AS322-1,$AT323/$AT322-1,$AU323/$AU322-1,$AV323/$AV322-1,$AW323/$AW322-1,$AX323/$AX322-1,$AY323/$AY322-1),"")</f>
        <v/>
      </c>
      <c r="DW322" s="66">
        <f>AVERAGE($CB322,$CC322,$CD322,$CE322,$CF322,$CG322,$CH322,$CI322,$CJ322,$CL322,$CM322,$CN322,$CO322,$CP322,$CQ322,$CR322,$CS322,$CT322)</f>
        <v/>
      </c>
      <c r="DX322" s="66">
        <f>AVERAGE($CB322,$CC322,$CM322,$CE322,$CP322)</f>
        <v/>
      </c>
      <c r="DY322" s="64">
        <f>($DW322-$DW323)*100</f>
        <v/>
      </c>
      <c r="DZ322" s="64">
        <f>($DX322-$DX323)*100</f>
        <v/>
      </c>
      <c r="EA322" s="64">
        <f>($DW322-$D322)*100</f>
        <v/>
      </c>
      <c r="EB322" s="64">
        <f>$Q322-$O322</f>
        <v/>
      </c>
      <c r="EC322" s="67">
        <f>IFERROR($Q322/$P322,"")</f>
        <v/>
      </c>
    </row>
    <row r="323">
      <c r="DG323" s="64">
        <f>($B323-$B324)*100</f>
        <v/>
      </c>
      <c r="DH323" s="64">
        <f>($D323-$D324)*100</f>
        <v/>
      </c>
      <c r="DI323" s="64">
        <f>($E323-$E324)*100</f>
        <v/>
      </c>
      <c r="DJ323" s="64">
        <f>($H323-$H324)*100</f>
        <v/>
      </c>
      <c r="DK323" s="65">
        <f>IFERROR($J323/$J324-1,"")</f>
        <v/>
      </c>
      <c r="DL323" s="64">
        <f>$L323-$L324</f>
        <v/>
      </c>
      <c r="DM323" s="64">
        <f>$K323-$K324</f>
        <v/>
      </c>
      <c r="DN323" s="65">
        <f>IFERROR($N323/$N324-1,"")</f>
        <v/>
      </c>
      <c r="DO323" s="65">
        <f>IFERROR($M323/$M324-1,"")</f>
        <v/>
      </c>
      <c r="DP323" s="65">
        <f>IFERROR($AZ323/$AZ324-1,"")</f>
        <v/>
      </c>
      <c r="DQ323" s="65">
        <f>IFERROR($BA323/$BA324-1,"")</f>
        <v/>
      </c>
      <c r="DR323" s="64">
        <f>$O323-$O324</f>
        <v/>
      </c>
      <c r="DS323" s="64">
        <f>$P323-$P324</f>
        <v/>
      </c>
      <c r="DT323" s="64">
        <f>$Q323-$Q324</f>
        <v/>
      </c>
      <c r="DU323" s="64">
        <f>$S323-$S324</f>
        <v/>
      </c>
      <c r="DV323" s="65">
        <f>IFERROR(AVERAGE($AA324/$AA323-1,$AB324/$AB323-1,$AC324/$AC323-1,$AD324/$AD323-1,$AE324/$AE323-1,$AG324/$AG323-1,$AH324/$AH323-1,$AI324/$AI323-1,$AJ324/$AJ323-1,$AL324/$AL323-1,$AM324/$AM323-1,$AR324/$AR323-1,$AS324/$AS323-1,$AT324/$AT323-1,$AU324/$AU323-1,$AV324/$AV323-1,$AW324/$AW323-1,$AX324/$AX323-1,$AY324/$AY323-1),"")</f>
        <v/>
      </c>
      <c r="DW323" s="66">
        <f>AVERAGE($CB323,$CC323,$CD323,$CE323,$CF323,$CG323,$CH323,$CI323,$CJ323,$CL323,$CM323,$CN323,$CO323,$CP323,$CQ323,$CR323,$CS323,$CT323)</f>
        <v/>
      </c>
      <c r="DX323" s="66">
        <f>AVERAGE($CB323,$CC323,$CM323,$CE323,$CP323)</f>
        <v/>
      </c>
      <c r="DY323" s="64">
        <f>($DW323-$DW324)*100</f>
        <v/>
      </c>
      <c r="DZ323" s="64">
        <f>($DX323-$DX324)*100</f>
        <v/>
      </c>
      <c r="EA323" s="64">
        <f>($DW323-$D323)*100</f>
        <v/>
      </c>
      <c r="EB323" s="64">
        <f>$Q323-$O323</f>
        <v/>
      </c>
      <c r="EC323" s="67">
        <f>IFERROR($Q323/$P323,"")</f>
        <v/>
      </c>
    </row>
    <row r="324">
      <c r="DG324" s="64">
        <f>($B324-$B325)*100</f>
        <v/>
      </c>
      <c r="DH324" s="64">
        <f>($D324-$D325)*100</f>
        <v/>
      </c>
      <c r="DI324" s="64">
        <f>($E324-$E325)*100</f>
        <v/>
      </c>
      <c r="DJ324" s="64">
        <f>($H324-$H325)*100</f>
        <v/>
      </c>
      <c r="DK324" s="65">
        <f>IFERROR($J324/$J325-1,"")</f>
        <v/>
      </c>
      <c r="DL324" s="64">
        <f>$L324-$L325</f>
        <v/>
      </c>
      <c r="DM324" s="64">
        <f>$K324-$K325</f>
        <v/>
      </c>
      <c r="DN324" s="65">
        <f>IFERROR($N324/$N325-1,"")</f>
        <v/>
      </c>
      <c r="DO324" s="65">
        <f>IFERROR($M324/$M325-1,"")</f>
        <v/>
      </c>
      <c r="DP324" s="65">
        <f>IFERROR($AZ324/$AZ325-1,"")</f>
        <v/>
      </c>
      <c r="DQ324" s="65">
        <f>IFERROR($BA324/$BA325-1,"")</f>
        <v/>
      </c>
      <c r="DR324" s="64">
        <f>$O324-$O325</f>
        <v/>
      </c>
      <c r="DS324" s="64">
        <f>$P324-$P325</f>
        <v/>
      </c>
      <c r="DT324" s="64">
        <f>$Q324-$Q325</f>
        <v/>
      </c>
      <c r="DU324" s="64">
        <f>$S324-$S325</f>
        <v/>
      </c>
      <c r="DV324" s="65">
        <f>IFERROR(AVERAGE($AA325/$AA324-1,$AB325/$AB324-1,$AC325/$AC324-1,$AD325/$AD324-1,$AE325/$AE324-1,$AG325/$AG324-1,$AH325/$AH324-1,$AI325/$AI324-1,$AJ325/$AJ324-1,$AL325/$AL324-1,$AM325/$AM324-1,$AR325/$AR324-1,$AS325/$AS324-1,$AT325/$AT324-1,$AU325/$AU324-1,$AV325/$AV324-1,$AW325/$AW324-1,$AX325/$AX324-1,$AY325/$AY324-1),"")</f>
        <v/>
      </c>
      <c r="DW324" s="66">
        <f>AVERAGE($CB324,$CC324,$CD324,$CE324,$CF324,$CG324,$CH324,$CI324,$CJ324,$CL324,$CM324,$CN324,$CO324,$CP324,$CQ324,$CR324,$CS324,$CT324)</f>
        <v/>
      </c>
      <c r="DX324" s="66">
        <f>AVERAGE($CB324,$CC324,$CM324,$CE324,$CP324)</f>
        <v/>
      </c>
      <c r="DY324" s="64">
        <f>($DW324-$DW325)*100</f>
        <v/>
      </c>
      <c r="DZ324" s="64">
        <f>($DX324-$DX325)*100</f>
        <v/>
      </c>
      <c r="EA324" s="64">
        <f>($DW324-$D324)*100</f>
        <v/>
      </c>
      <c r="EB324" s="64">
        <f>$Q324-$O324</f>
        <v/>
      </c>
      <c r="EC324" s="67">
        <f>IFERROR($Q324/$P324,"")</f>
        <v/>
      </c>
    </row>
    <row r="325">
      <c r="DG325" s="64">
        <f>($B325-$B326)*100</f>
        <v/>
      </c>
      <c r="DH325" s="64">
        <f>($D325-$D326)*100</f>
        <v/>
      </c>
      <c r="DI325" s="64">
        <f>($E325-$E326)*100</f>
        <v/>
      </c>
      <c r="DJ325" s="64">
        <f>($H325-$H326)*100</f>
        <v/>
      </c>
      <c r="DK325" s="65">
        <f>IFERROR($J325/$J326-1,"")</f>
        <v/>
      </c>
      <c r="DL325" s="64">
        <f>$L325-$L326</f>
        <v/>
      </c>
      <c r="DM325" s="64">
        <f>$K325-$K326</f>
        <v/>
      </c>
      <c r="DN325" s="65">
        <f>IFERROR($N325/$N326-1,"")</f>
        <v/>
      </c>
      <c r="DO325" s="65">
        <f>IFERROR($M325/$M326-1,"")</f>
        <v/>
      </c>
      <c r="DP325" s="65">
        <f>IFERROR($AZ325/$AZ326-1,"")</f>
        <v/>
      </c>
      <c r="DQ325" s="65">
        <f>IFERROR($BA325/$BA326-1,"")</f>
        <v/>
      </c>
      <c r="DR325" s="64">
        <f>$O325-$O326</f>
        <v/>
      </c>
      <c r="DS325" s="64">
        <f>$P325-$P326</f>
        <v/>
      </c>
      <c r="DT325" s="64">
        <f>$Q325-$Q326</f>
        <v/>
      </c>
      <c r="DU325" s="64">
        <f>$S325-$S326</f>
        <v/>
      </c>
      <c r="DV325" s="65">
        <f>IFERROR(AVERAGE($AA326/$AA325-1,$AB326/$AB325-1,$AC326/$AC325-1,$AD326/$AD325-1,$AE326/$AE325-1,$AG326/$AG325-1,$AH326/$AH325-1,$AI326/$AI325-1,$AJ326/$AJ325-1,$AL326/$AL325-1,$AM326/$AM325-1,$AR326/$AR325-1,$AS326/$AS325-1,$AT326/$AT325-1,$AU326/$AU325-1,$AV326/$AV325-1,$AW326/$AW325-1,$AX326/$AX325-1,$AY326/$AY325-1),"")</f>
        <v/>
      </c>
      <c r="DW325" s="66">
        <f>AVERAGE($CB325,$CC325,$CD325,$CE325,$CF325,$CG325,$CH325,$CI325,$CJ325,$CL325,$CM325,$CN325,$CO325,$CP325,$CQ325,$CR325,$CS325,$CT325)</f>
        <v/>
      </c>
      <c r="DX325" s="66">
        <f>AVERAGE($CB325,$CC325,$CM325,$CE325,$CP325)</f>
        <v/>
      </c>
      <c r="DY325" s="64">
        <f>($DW325-$DW326)*100</f>
        <v/>
      </c>
      <c r="DZ325" s="64">
        <f>($DX325-$DX326)*100</f>
        <v/>
      </c>
      <c r="EA325" s="64">
        <f>($DW325-$D325)*100</f>
        <v/>
      </c>
      <c r="EB325" s="64">
        <f>$Q325-$O325</f>
        <v/>
      </c>
      <c r="EC325" s="67">
        <f>IFERROR($Q325/$P325,"")</f>
        <v/>
      </c>
    </row>
    <row r="326">
      <c r="DG326" s="64">
        <f>($B326-$B327)*100</f>
        <v/>
      </c>
      <c r="DH326" s="64">
        <f>($D326-$D327)*100</f>
        <v/>
      </c>
      <c r="DI326" s="64">
        <f>($E326-$E327)*100</f>
        <v/>
      </c>
      <c r="DJ326" s="64">
        <f>($H326-$H327)*100</f>
        <v/>
      </c>
      <c r="DK326" s="65">
        <f>IFERROR($J326/$J327-1,"")</f>
        <v/>
      </c>
      <c r="DL326" s="64">
        <f>$L326-$L327</f>
        <v/>
      </c>
      <c r="DM326" s="64">
        <f>$K326-$K327</f>
        <v/>
      </c>
      <c r="DN326" s="65">
        <f>IFERROR($N326/$N327-1,"")</f>
        <v/>
      </c>
      <c r="DO326" s="65">
        <f>IFERROR($M326/$M327-1,"")</f>
        <v/>
      </c>
      <c r="DP326" s="65">
        <f>IFERROR($AZ326/$AZ327-1,"")</f>
        <v/>
      </c>
      <c r="DQ326" s="65">
        <f>IFERROR($BA326/$BA327-1,"")</f>
        <v/>
      </c>
      <c r="DR326" s="64">
        <f>$O326-$O327</f>
        <v/>
      </c>
      <c r="DS326" s="64">
        <f>$P326-$P327</f>
        <v/>
      </c>
      <c r="DT326" s="64">
        <f>$Q326-$Q327</f>
        <v/>
      </c>
      <c r="DU326" s="64">
        <f>$S326-$S327</f>
        <v/>
      </c>
      <c r="DV326" s="65">
        <f>IFERROR(AVERAGE($AA327/$AA326-1,$AB327/$AB326-1,$AC327/$AC326-1,$AD327/$AD326-1,$AE327/$AE326-1,$AG327/$AG326-1,$AH327/$AH326-1,$AI327/$AI326-1,$AJ327/$AJ326-1,$AL327/$AL326-1,$AM327/$AM326-1,$AR327/$AR326-1,$AS327/$AS326-1,$AT327/$AT326-1,$AU327/$AU326-1,$AV327/$AV326-1,$AW327/$AW326-1,$AX327/$AX326-1,$AY327/$AY326-1),"")</f>
        <v/>
      </c>
      <c r="DW326" s="66">
        <f>AVERAGE($CB326,$CC326,$CD326,$CE326,$CF326,$CG326,$CH326,$CI326,$CJ326,$CL326,$CM326,$CN326,$CO326,$CP326,$CQ326,$CR326,$CS326,$CT326)</f>
        <v/>
      </c>
      <c r="DX326" s="66">
        <f>AVERAGE($CB326,$CC326,$CM326,$CE326,$CP326)</f>
        <v/>
      </c>
      <c r="DY326" s="64">
        <f>($DW326-$DW327)*100</f>
        <v/>
      </c>
      <c r="DZ326" s="64">
        <f>($DX326-$DX327)*100</f>
        <v/>
      </c>
      <c r="EA326" s="64">
        <f>($DW326-$D326)*100</f>
        <v/>
      </c>
      <c r="EB326" s="64">
        <f>$Q326-$O326</f>
        <v/>
      </c>
      <c r="EC326" s="67">
        <f>IFERROR($Q326/$P326,"")</f>
        <v/>
      </c>
    </row>
    <row r="327">
      <c r="DG327" s="64">
        <f>($B327-$B328)*100</f>
        <v/>
      </c>
      <c r="DH327" s="64">
        <f>($D327-$D328)*100</f>
        <v/>
      </c>
      <c r="DI327" s="64">
        <f>($E327-$E328)*100</f>
        <v/>
      </c>
      <c r="DJ327" s="64">
        <f>($H327-$H328)*100</f>
        <v/>
      </c>
      <c r="DK327" s="65">
        <f>IFERROR($J327/$J328-1,"")</f>
        <v/>
      </c>
      <c r="DL327" s="64">
        <f>$L327-$L328</f>
        <v/>
      </c>
      <c r="DM327" s="64">
        <f>$K327-$K328</f>
        <v/>
      </c>
      <c r="DN327" s="65">
        <f>IFERROR($N327/$N328-1,"")</f>
        <v/>
      </c>
      <c r="DO327" s="65">
        <f>IFERROR($M327/$M328-1,"")</f>
        <v/>
      </c>
      <c r="DP327" s="65">
        <f>IFERROR($AZ327/$AZ328-1,"")</f>
        <v/>
      </c>
      <c r="DQ327" s="65">
        <f>IFERROR($BA327/$BA328-1,"")</f>
        <v/>
      </c>
      <c r="DR327" s="64">
        <f>$O327-$O328</f>
        <v/>
      </c>
      <c r="DS327" s="64">
        <f>$P327-$P328</f>
        <v/>
      </c>
      <c r="DT327" s="64">
        <f>$Q327-$Q328</f>
        <v/>
      </c>
      <c r="DU327" s="64">
        <f>$S327-$S328</f>
        <v/>
      </c>
      <c r="DV327" s="65">
        <f>IFERROR(AVERAGE($AA328/$AA327-1,$AB328/$AB327-1,$AC328/$AC327-1,$AD328/$AD327-1,$AE328/$AE327-1,$AG328/$AG327-1,$AH328/$AH327-1,$AI328/$AI327-1,$AJ328/$AJ327-1,$AL328/$AL327-1,$AM328/$AM327-1,$AR328/$AR327-1,$AS328/$AS327-1,$AT328/$AT327-1,$AU328/$AU327-1,$AV328/$AV327-1,$AW328/$AW327-1,$AX328/$AX327-1,$AY328/$AY327-1),"")</f>
        <v/>
      </c>
      <c r="DW327" s="66">
        <f>AVERAGE($CB327,$CC327,$CD327,$CE327,$CF327,$CG327,$CH327,$CI327,$CJ327,$CL327,$CM327,$CN327,$CO327,$CP327,$CQ327,$CR327,$CS327,$CT327)</f>
        <v/>
      </c>
      <c r="DX327" s="66">
        <f>AVERAGE($CB327,$CC327,$CM327,$CE327,$CP327)</f>
        <v/>
      </c>
      <c r="DY327" s="64">
        <f>($DW327-$DW328)*100</f>
        <v/>
      </c>
      <c r="DZ327" s="64">
        <f>($DX327-$DX328)*100</f>
        <v/>
      </c>
      <c r="EA327" s="64">
        <f>($DW327-$D327)*100</f>
        <v/>
      </c>
      <c r="EB327" s="64">
        <f>$Q327-$O327</f>
        <v/>
      </c>
      <c r="EC327" s="67">
        <f>IFERROR($Q327/$P327,"")</f>
        <v/>
      </c>
    </row>
    <row r="328">
      <c r="DG328" s="64">
        <f>($B328-$B329)*100</f>
        <v/>
      </c>
      <c r="DH328" s="64">
        <f>($D328-$D329)*100</f>
        <v/>
      </c>
      <c r="DI328" s="64">
        <f>($E328-$E329)*100</f>
        <v/>
      </c>
      <c r="DJ328" s="64">
        <f>($H328-$H329)*100</f>
        <v/>
      </c>
      <c r="DK328" s="65">
        <f>IFERROR($J328/$J329-1,"")</f>
        <v/>
      </c>
      <c r="DL328" s="64">
        <f>$L328-$L329</f>
        <v/>
      </c>
      <c r="DM328" s="64">
        <f>$K328-$K329</f>
        <v/>
      </c>
      <c r="DN328" s="65">
        <f>IFERROR($N328/$N329-1,"")</f>
        <v/>
      </c>
      <c r="DO328" s="65">
        <f>IFERROR($M328/$M329-1,"")</f>
        <v/>
      </c>
      <c r="DP328" s="65">
        <f>IFERROR($AZ328/$AZ329-1,"")</f>
        <v/>
      </c>
      <c r="DQ328" s="65">
        <f>IFERROR($BA328/$BA329-1,"")</f>
        <v/>
      </c>
      <c r="DR328" s="64">
        <f>$O328-$O329</f>
        <v/>
      </c>
      <c r="DS328" s="64">
        <f>$P328-$P329</f>
        <v/>
      </c>
      <c r="DT328" s="64">
        <f>$Q328-$Q329</f>
        <v/>
      </c>
      <c r="DU328" s="64">
        <f>$S328-$S329</f>
        <v/>
      </c>
      <c r="DV328" s="65">
        <f>IFERROR(AVERAGE($AA329/$AA328-1,$AB329/$AB328-1,$AC329/$AC328-1,$AD329/$AD328-1,$AE329/$AE328-1,$AG329/$AG328-1,$AH329/$AH328-1,$AI329/$AI328-1,$AJ329/$AJ328-1,$AL329/$AL328-1,$AM329/$AM328-1,$AR329/$AR328-1,$AS329/$AS328-1,$AT329/$AT328-1,$AU329/$AU328-1,$AV329/$AV328-1,$AW329/$AW328-1,$AX329/$AX328-1,$AY329/$AY328-1),"")</f>
        <v/>
      </c>
      <c r="DW328" s="66">
        <f>AVERAGE($CB328,$CC328,$CD328,$CE328,$CF328,$CG328,$CH328,$CI328,$CJ328,$CL328,$CM328,$CN328,$CO328,$CP328,$CQ328,$CR328,$CS328,$CT328)</f>
        <v/>
      </c>
      <c r="DX328" s="66">
        <f>AVERAGE($CB328,$CC328,$CM328,$CE328,$CP328)</f>
        <v/>
      </c>
      <c r="DY328" s="64">
        <f>($DW328-$DW329)*100</f>
        <v/>
      </c>
      <c r="DZ328" s="64">
        <f>($DX328-$DX329)*100</f>
        <v/>
      </c>
      <c r="EA328" s="64">
        <f>($DW328-$D328)*100</f>
        <v/>
      </c>
      <c r="EB328" s="64">
        <f>$Q328-$O328</f>
        <v/>
      </c>
      <c r="EC328" s="67">
        <f>IFERROR($Q328/$P328,"")</f>
        <v/>
      </c>
    </row>
    <row r="329">
      <c r="DG329" s="64">
        <f>($B329-$B330)*100</f>
        <v/>
      </c>
      <c r="DH329" s="64">
        <f>($D329-$D330)*100</f>
        <v/>
      </c>
      <c r="DI329" s="64">
        <f>($E329-$E330)*100</f>
        <v/>
      </c>
      <c r="DJ329" s="64">
        <f>($H329-$H330)*100</f>
        <v/>
      </c>
      <c r="DK329" s="65">
        <f>IFERROR($J329/$J330-1,"")</f>
        <v/>
      </c>
      <c r="DL329" s="64">
        <f>$L329-$L330</f>
        <v/>
      </c>
      <c r="DM329" s="64">
        <f>$K329-$K330</f>
        <v/>
      </c>
      <c r="DN329" s="65">
        <f>IFERROR($N329/$N330-1,"")</f>
        <v/>
      </c>
      <c r="DO329" s="65">
        <f>IFERROR($M329/$M330-1,"")</f>
        <v/>
      </c>
      <c r="DP329" s="65">
        <f>IFERROR($AZ329/$AZ330-1,"")</f>
        <v/>
      </c>
      <c r="DQ329" s="65">
        <f>IFERROR($BA329/$BA330-1,"")</f>
        <v/>
      </c>
      <c r="DR329" s="64">
        <f>$O329-$O330</f>
        <v/>
      </c>
      <c r="DS329" s="64">
        <f>$P329-$P330</f>
        <v/>
      </c>
      <c r="DT329" s="64">
        <f>$Q329-$Q330</f>
        <v/>
      </c>
      <c r="DU329" s="64">
        <f>$S329-$S330</f>
        <v/>
      </c>
      <c r="DV329" s="65">
        <f>IFERROR(AVERAGE($AA330/$AA329-1,$AB330/$AB329-1,$AC330/$AC329-1,$AD330/$AD329-1,$AE330/$AE329-1,$AG330/$AG329-1,$AH330/$AH329-1,$AI330/$AI329-1,$AJ330/$AJ329-1,$AL330/$AL329-1,$AM330/$AM329-1,$AR330/$AR329-1,$AS330/$AS329-1,$AT330/$AT329-1,$AU330/$AU329-1,$AV330/$AV329-1,$AW330/$AW329-1,$AX330/$AX329-1,$AY330/$AY329-1),"")</f>
        <v/>
      </c>
      <c r="DW329" s="66">
        <f>AVERAGE($CB329,$CC329,$CD329,$CE329,$CF329,$CG329,$CH329,$CI329,$CJ329,$CL329,$CM329,$CN329,$CO329,$CP329,$CQ329,$CR329,$CS329,$CT329)</f>
        <v/>
      </c>
      <c r="DX329" s="66">
        <f>AVERAGE($CB329,$CC329,$CM329,$CE329,$CP329)</f>
        <v/>
      </c>
      <c r="DY329" s="64">
        <f>($DW329-$DW330)*100</f>
        <v/>
      </c>
      <c r="DZ329" s="64">
        <f>($DX329-$DX330)*100</f>
        <v/>
      </c>
      <c r="EA329" s="64">
        <f>($DW329-$D329)*100</f>
        <v/>
      </c>
      <c r="EB329" s="64">
        <f>$Q329-$O329</f>
        <v/>
      </c>
      <c r="EC329" s="67">
        <f>IFERROR($Q329/$P329,"")</f>
        <v/>
      </c>
    </row>
    <row r="330">
      <c r="DG330" s="64">
        <f>($B330-$B331)*100</f>
        <v/>
      </c>
      <c r="DH330" s="64">
        <f>($D330-$D331)*100</f>
        <v/>
      </c>
      <c r="DI330" s="64">
        <f>($E330-$E331)*100</f>
        <v/>
      </c>
      <c r="DJ330" s="64">
        <f>($H330-$H331)*100</f>
        <v/>
      </c>
      <c r="DK330" s="65">
        <f>IFERROR($J330/$J331-1,"")</f>
        <v/>
      </c>
      <c r="DL330" s="64">
        <f>$L330-$L331</f>
        <v/>
      </c>
      <c r="DM330" s="64">
        <f>$K330-$K331</f>
        <v/>
      </c>
      <c r="DN330" s="65">
        <f>IFERROR($N330/$N331-1,"")</f>
        <v/>
      </c>
      <c r="DO330" s="65">
        <f>IFERROR($M330/$M331-1,"")</f>
        <v/>
      </c>
      <c r="DP330" s="65">
        <f>IFERROR($AZ330/$AZ331-1,"")</f>
        <v/>
      </c>
      <c r="DQ330" s="65">
        <f>IFERROR($BA330/$BA331-1,"")</f>
        <v/>
      </c>
      <c r="DR330" s="64">
        <f>$O330-$O331</f>
        <v/>
      </c>
      <c r="DS330" s="64">
        <f>$P330-$P331</f>
        <v/>
      </c>
      <c r="DT330" s="64">
        <f>$Q330-$Q331</f>
        <v/>
      </c>
      <c r="DU330" s="64">
        <f>$S330-$S331</f>
        <v/>
      </c>
      <c r="DV330" s="65">
        <f>IFERROR(AVERAGE($AA331/$AA330-1,$AB331/$AB330-1,$AC331/$AC330-1,$AD331/$AD330-1,$AE331/$AE330-1,$AG331/$AG330-1,$AH331/$AH330-1,$AI331/$AI330-1,$AJ331/$AJ330-1,$AL331/$AL330-1,$AM331/$AM330-1,$AR331/$AR330-1,$AS331/$AS330-1,$AT331/$AT330-1,$AU331/$AU330-1,$AV331/$AV330-1,$AW331/$AW330-1,$AX331/$AX330-1,$AY331/$AY330-1),"")</f>
        <v/>
      </c>
      <c r="DW330" s="66">
        <f>AVERAGE($CB330,$CC330,$CD330,$CE330,$CF330,$CG330,$CH330,$CI330,$CJ330,$CL330,$CM330,$CN330,$CO330,$CP330,$CQ330,$CR330,$CS330,$CT330)</f>
        <v/>
      </c>
      <c r="DX330" s="66">
        <f>AVERAGE($CB330,$CC330,$CM330,$CE330,$CP330)</f>
        <v/>
      </c>
      <c r="DY330" s="64">
        <f>($DW330-$DW331)*100</f>
        <v/>
      </c>
      <c r="DZ330" s="64">
        <f>($DX330-$DX331)*100</f>
        <v/>
      </c>
      <c r="EA330" s="64">
        <f>($DW330-$D330)*100</f>
        <v/>
      </c>
      <c r="EB330" s="64">
        <f>$Q330-$O330</f>
        <v/>
      </c>
      <c r="EC330" s="67">
        <f>IFERROR($Q330/$P330,"")</f>
        <v/>
      </c>
    </row>
    <row r="331">
      <c r="DG331" s="64">
        <f>($B331-$B332)*100</f>
        <v/>
      </c>
      <c r="DH331" s="64">
        <f>($D331-$D332)*100</f>
        <v/>
      </c>
      <c r="DI331" s="64">
        <f>($E331-$E332)*100</f>
        <v/>
      </c>
      <c r="DJ331" s="64">
        <f>($H331-$H332)*100</f>
        <v/>
      </c>
      <c r="DK331" s="65">
        <f>IFERROR($J331/$J332-1,"")</f>
        <v/>
      </c>
      <c r="DL331" s="64">
        <f>$L331-$L332</f>
        <v/>
      </c>
      <c r="DM331" s="64">
        <f>$K331-$K332</f>
        <v/>
      </c>
      <c r="DN331" s="65">
        <f>IFERROR($N331/$N332-1,"")</f>
        <v/>
      </c>
      <c r="DO331" s="65">
        <f>IFERROR($M331/$M332-1,"")</f>
        <v/>
      </c>
      <c r="DP331" s="65">
        <f>IFERROR($AZ331/$AZ332-1,"")</f>
        <v/>
      </c>
      <c r="DQ331" s="65">
        <f>IFERROR($BA331/$BA332-1,"")</f>
        <v/>
      </c>
      <c r="DR331" s="64">
        <f>$O331-$O332</f>
        <v/>
      </c>
      <c r="DS331" s="64">
        <f>$P331-$P332</f>
        <v/>
      </c>
      <c r="DT331" s="64">
        <f>$Q331-$Q332</f>
        <v/>
      </c>
      <c r="DU331" s="64">
        <f>$S331-$S332</f>
        <v/>
      </c>
      <c r="DV331" s="65">
        <f>IFERROR(AVERAGE($AA332/$AA331-1,$AB332/$AB331-1,$AC332/$AC331-1,$AD332/$AD331-1,$AE332/$AE331-1,$AG332/$AG331-1,$AH332/$AH331-1,$AI332/$AI331-1,$AJ332/$AJ331-1,$AL332/$AL331-1,$AM332/$AM331-1,$AR332/$AR331-1,$AS332/$AS331-1,$AT332/$AT331-1,$AU332/$AU331-1,$AV332/$AV331-1,$AW332/$AW331-1,$AX332/$AX331-1,$AY332/$AY331-1),"")</f>
        <v/>
      </c>
      <c r="DW331" s="66">
        <f>AVERAGE($CB331,$CC331,$CD331,$CE331,$CF331,$CG331,$CH331,$CI331,$CJ331,$CL331,$CM331,$CN331,$CO331,$CP331,$CQ331,$CR331,$CS331,$CT331)</f>
        <v/>
      </c>
      <c r="DX331" s="66">
        <f>AVERAGE($CB331,$CC331,$CM331,$CE331,$CP331)</f>
        <v/>
      </c>
      <c r="DY331" s="64">
        <f>($DW331-$DW332)*100</f>
        <v/>
      </c>
      <c r="DZ331" s="64">
        <f>($DX331-$DX332)*100</f>
        <v/>
      </c>
      <c r="EA331" s="64">
        <f>($DW331-$D331)*100</f>
        <v/>
      </c>
      <c r="EB331" s="64">
        <f>$Q331-$O331</f>
        <v/>
      </c>
      <c r="EC331" s="67">
        <f>IFERROR($Q331/$P331,"")</f>
        <v/>
      </c>
    </row>
    <row r="332">
      <c r="DG332" s="64">
        <f>($B332-$B333)*100</f>
        <v/>
      </c>
      <c r="DH332" s="64">
        <f>($D332-$D333)*100</f>
        <v/>
      </c>
      <c r="DI332" s="64">
        <f>($E332-$E333)*100</f>
        <v/>
      </c>
      <c r="DJ332" s="64">
        <f>($H332-$H333)*100</f>
        <v/>
      </c>
      <c r="DK332" s="65">
        <f>IFERROR($J332/$J333-1,"")</f>
        <v/>
      </c>
      <c r="DL332" s="64">
        <f>$L332-$L333</f>
        <v/>
      </c>
      <c r="DM332" s="64">
        <f>$K332-$K333</f>
        <v/>
      </c>
      <c r="DN332" s="65">
        <f>IFERROR($N332/$N333-1,"")</f>
        <v/>
      </c>
      <c r="DO332" s="65">
        <f>IFERROR($M332/$M333-1,"")</f>
        <v/>
      </c>
      <c r="DP332" s="65">
        <f>IFERROR($AZ332/$AZ333-1,"")</f>
        <v/>
      </c>
      <c r="DQ332" s="65">
        <f>IFERROR($BA332/$BA333-1,"")</f>
        <v/>
      </c>
      <c r="DR332" s="64">
        <f>$O332-$O333</f>
        <v/>
      </c>
      <c r="DS332" s="64">
        <f>$P332-$P333</f>
        <v/>
      </c>
      <c r="DT332" s="64">
        <f>$Q332-$Q333</f>
        <v/>
      </c>
      <c r="DU332" s="64">
        <f>$S332-$S333</f>
        <v/>
      </c>
      <c r="DV332" s="65">
        <f>IFERROR(AVERAGE($AA333/$AA332-1,$AB333/$AB332-1,$AC333/$AC332-1,$AD333/$AD332-1,$AE333/$AE332-1,$AG333/$AG332-1,$AH333/$AH332-1,$AI333/$AI332-1,$AJ333/$AJ332-1,$AL333/$AL332-1,$AM333/$AM332-1,$AR333/$AR332-1,$AS333/$AS332-1,$AT333/$AT332-1,$AU333/$AU332-1,$AV333/$AV332-1,$AW333/$AW332-1,$AX333/$AX332-1,$AY333/$AY332-1),"")</f>
        <v/>
      </c>
      <c r="DW332" s="66">
        <f>AVERAGE($CB332,$CC332,$CD332,$CE332,$CF332,$CG332,$CH332,$CI332,$CJ332,$CL332,$CM332,$CN332,$CO332,$CP332,$CQ332,$CR332,$CS332,$CT332)</f>
        <v/>
      </c>
      <c r="DX332" s="66">
        <f>AVERAGE($CB332,$CC332,$CM332,$CE332,$CP332)</f>
        <v/>
      </c>
      <c r="DY332" s="64">
        <f>($DW332-$DW333)*100</f>
        <v/>
      </c>
      <c r="DZ332" s="64">
        <f>($DX332-$DX333)*100</f>
        <v/>
      </c>
      <c r="EA332" s="64">
        <f>($DW332-$D332)*100</f>
        <v/>
      </c>
      <c r="EB332" s="64">
        <f>$Q332-$O332</f>
        <v/>
      </c>
      <c r="EC332" s="67">
        <f>IFERROR($Q332/$P332,"")</f>
        <v/>
      </c>
    </row>
    <row r="333">
      <c r="DG333" s="64">
        <f>($B333-$B334)*100</f>
        <v/>
      </c>
      <c r="DH333" s="64">
        <f>($D333-$D334)*100</f>
        <v/>
      </c>
      <c r="DI333" s="64">
        <f>($E333-$E334)*100</f>
        <v/>
      </c>
      <c r="DJ333" s="64">
        <f>($H333-$H334)*100</f>
        <v/>
      </c>
      <c r="DK333" s="65">
        <f>IFERROR($J333/$J334-1,"")</f>
        <v/>
      </c>
      <c r="DL333" s="64">
        <f>$L333-$L334</f>
        <v/>
      </c>
      <c r="DM333" s="64">
        <f>$K333-$K334</f>
        <v/>
      </c>
      <c r="DN333" s="65">
        <f>IFERROR($N333/$N334-1,"")</f>
        <v/>
      </c>
      <c r="DO333" s="65">
        <f>IFERROR($M333/$M334-1,"")</f>
        <v/>
      </c>
      <c r="DP333" s="65">
        <f>IFERROR($AZ333/$AZ334-1,"")</f>
        <v/>
      </c>
      <c r="DQ333" s="65">
        <f>IFERROR($BA333/$BA334-1,"")</f>
        <v/>
      </c>
      <c r="DR333" s="64">
        <f>$O333-$O334</f>
        <v/>
      </c>
      <c r="DS333" s="64">
        <f>$P333-$P334</f>
        <v/>
      </c>
      <c r="DT333" s="64">
        <f>$Q333-$Q334</f>
        <v/>
      </c>
      <c r="DU333" s="64">
        <f>$S333-$S334</f>
        <v/>
      </c>
      <c r="DV333" s="65">
        <f>IFERROR(AVERAGE($AA334/$AA333-1,$AB334/$AB333-1,$AC334/$AC333-1,$AD334/$AD333-1,$AE334/$AE333-1,$AG334/$AG333-1,$AH334/$AH333-1,$AI334/$AI333-1,$AJ334/$AJ333-1,$AL334/$AL333-1,$AM334/$AM333-1,$AR334/$AR333-1,$AS334/$AS333-1,$AT334/$AT333-1,$AU334/$AU333-1,$AV334/$AV333-1,$AW334/$AW333-1,$AX334/$AX333-1,$AY334/$AY333-1),"")</f>
        <v/>
      </c>
      <c r="DW333" s="66">
        <f>AVERAGE($CB333,$CC333,$CD333,$CE333,$CF333,$CG333,$CH333,$CI333,$CJ333,$CL333,$CM333,$CN333,$CO333,$CP333,$CQ333,$CR333,$CS333,$CT333)</f>
        <v/>
      </c>
      <c r="DX333" s="66">
        <f>AVERAGE($CB333,$CC333,$CM333,$CE333,$CP333)</f>
        <v/>
      </c>
      <c r="DY333" s="64">
        <f>($DW333-$DW334)*100</f>
        <v/>
      </c>
      <c r="DZ333" s="64">
        <f>($DX333-$DX334)*100</f>
        <v/>
      </c>
      <c r="EA333" s="64">
        <f>($DW333-$D333)*100</f>
        <v/>
      </c>
      <c r="EB333" s="64">
        <f>$Q333-$O333</f>
        <v/>
      </c>
      <c r="EC333" s="67">
        <f>IFERROR($Q333/$P333,"")</f>
        <v/>
      </c>
    </row>
    <row r="334">
      <c r="DG334" s="64">
        <f>($B334-$B335)*100</f>
        <v/>
      </c>
      <c r="DH334" s="64">
        <f>($D334-$D335)*100</f>
        <v/>
      </c>
      <c r="DI334" s="64">
        <f>($E334-$E335)*100</f>
        <v/>
      </c>
      <c r="DJ334" s="64">
        <f>($H334-$H335)*100</f>
        <v/>
      </c>
      <c r="DK334" s="65">
        <f>IFERROR($J334/$J335-1,"")</f>
        <v/>
      </c>
      <c r="DL334" s="64">
        <f>$L334-$L335</f>
        <v/>
      </c>
      <c r="DM334" s="64">
        <f>$K334-$K335</f>
        <v/>
      </c>
      <c r="DN334" s="65">
        <f>IFERROR($N334/$N335-1,"")</f>
        <v/>
      </c>
      <c r="DO334" s="65">
        <f>IFERROR($M334/$M335-1,"")</f>
        <v/>
      </c>
      <c r="DP334" s="65">
        <f>IFERROR($AZ334/$AZ335-1,"")</f>
        <v/>
      </c>
      <c r="DQ334" s="65">
        <f>IFERROR($BA334/$BA335-1,"")</f>
        <v/>
      </c>
      <c r="DR334" s="64">
        <f>$O334-$O335</f>
        <v/>
      </c>
      <c r="DS334" s="64">
        <f>$P334-$P335</f>
        <v/>
      </c>
      <c r="DT334" s="64">
        <f>$Q334-$Q335</f>
        <v/>
      </c>
      <c r="DU334" s="64">
        <f>$S334-$S335</f>
        <v/>
      </c>
      <c r="DV334" s="65">
        <f>IFERROR(AVERAGE($AA335/$AA334-1,$AB335/$AB334-1,$AC335/$AC334-1,$AD335/$AD334-1,$AE335/$AE334-1,$AG335/$AG334-1,$AH335/$AH334-1,$AI335/$AI334-1,$AJ335/$AJ334-1,$AL335/$AL334-1,$AM335/$AM334-1,$AR335/$AR334-1,$AS335/$AS334-1,$AT335/$AT334-1,$AU335/$AU334-1,$AV335/$AV334-1,$AW335/$AW334-1,$AX335/$AX334-1,$AY335/$AY334-1),"")</f>
        <v/>
      </c>
      <c r="DW334" s="66">
        <f>AVERAGE($CB334,$CC334,$CD334,$CE334,$CF334,$CG334,$CH334,$CI334,$CJ334,$CL334,$CM334,$CN334,$CO334,$CP334,$CQ334,$CR334,$CS334,$CT334)</f>
        <v/>
      </c>
      <c r="DX334" s="66">
        <f>AVERAGE($CB334,$CC334,$CM334,$CE334,$CP334)</f>
        <v/>
      </c>
      <c r="DY334" s="64">
        <f>($DW334-$DW335)*100</f>
        <v/>
      </c>
      <c r="DZ334" s="64">
        <f>($DX334-$DX335)*100</f>
        <v/>
      </c>
      <c r="EA334" s="64">
        <f>($DW334-$D334)*100</f>
        <v/>
      </c>
      <c r="EB334" s="64">
        <f>$Q334-$O334</f>
        <v/>
      </c>
      <c r="EC334" s="67">
        <f>IFERROR($Q334/$P334,"")</f>
        <v/>
      </c>
    </row>
    <row r="335">
      <c r="DG335" s="64">
        <f>($B335-$B336)*100</f>
        <v/>
      </c>
      <c r="DH335" s="64">
        <f>($D335-$D336)*100</f>
        <v/>
      </c>
      <c r="DI335" s="64">
        <f>($E335-$E336)*100</f>
        <v/>
      </c>
      <c r="DJ335" s="64">
        <f>($H335-$H336)*100</f>
        <v/>
      </c>
      <c r="DK335" s="65">
        <f>IFERROR($J335/$J336-1,"")</f>
        <v/>
      </c>
      <c r="DL335" s="64">
        <f>$L335-$L336</f>
        <v/>
      </c>
      <c r="DM335" s="64">
        <f>$K335-$K336</f>
        <v/>
      </c>
      <c r="DN335" s="65">
        <f>IFERROR($N335/$N336-1,"")</f>
        <v/>
      </c>
      <c r="DO335" s="65">
        <f>IFERROR($M335/$M336-1,"")</f>
        <v/>
      </c>
      <c r="DP335" s="65">
        <f>IFERROR($AZ335/$AZ336-1,"")</f>
        <v/>
      </c>
      <c r="DQ335" s="65">
        <f>IFERROR($BA335/$BA336-1,"")</f>
        <v/>
      </c>
      <c r="DR335" s="64">
        <f>$O335-$O336</f>
        <v/>
      </c>
      <c r="DS335" s="64">
        <f>$P335-$P336</f>
        <v/>
      </c>
      <c r="DT335" s="64">
        <f>$Q335-$Q336</f>
        <v/>
      </c>
      <c r="DU335" s="64">
        <f>$S335-$S336</f>
        <v/>
      </c>
      <c r="DV335" s="65">
        <f>IFERROR(AVERAGE($AA336/$AA335-1,$AB336/$AB335-1,$AC336/$AC335-1,$AD336/$AD335-1,$AE336/$AE335-1,$AG336/$AG335-1,$AH336/$AH335-1,$AI336/$AI335-1,$AJ336/$AJ335-1,$AL336/$AL335-1,$AM336/$AM335-1,$AR336/$AR335-1,$AS336/$AS335-1,$AT336/$AT335-1,$AU336/$AU335-1,$AV336/$AV335-1,$AW336/$AW335-1,$AX336/$AX335-1,$AY336/$AY335-1),"")</f>
        <v/>
      </c>
      <c r="DW335" s="66">
        <f>AVERAGE($CB335,$CC335,$CD335,$CE335,$CF335,$CG335,$CH335,$CI335,$CJ335,$CL335,$CM335,$CN335,$CO335,$CP335,$CQ335,$CR335,$CS335,$CT335)</f>
        <v/>
      </c>
      <c r="DX335" s="66">
        <f>AVERAGE($CB335,$CC335,$CM335,$CE335,$CP335)</f>
        <v/>
      </c>
      <c r="DY335" s="64">
        <f>($DW335-$DW336)*100</f>
        <v/>
      </c>
      <c r="DZ335" s="64">
        <f>($DX335-$DX336)*100</f>
        <v/>
      </c>
      <c r="EA335" s="64">
        <f>($DW335-$D335)*100</f>
        <v/>
      </c>
      <c r="EB335" s="64">
        <f>$Q335-$O335</f>
        <v/>
      </c>
      <c r="EC335" s="67">
        <f>IFERROR($Q335/$P335,"")</f>
        <v/>
      </c>
    </row>
    <row r="336">
      <c r="DG336" s="64">
        <f>($B336-$B337)*100</f>
        <v/>
      </c>
      <c r="DH336" s="64">
        <f>($D336-$D337)*100</f>
        <v/>
      </c>
      <c r="DI336" s="64">
        <f>($E336-$E337)*100</f>
        <v/>
      </c>
      <c r="DJ336" s="64">
        <f>($H336-$H337)*100</f>
        <v/>
      </c>
      <c r="DK336" s="65">
        <f>IFERROR($J336/$J337-1,"")</f>
        <v/>
      </c>
      <c r="DL336" s="64">
        <f>$L336-$L337</f>
        <v/>
      </c>
      <c r="DM336" s="64">
        <f>$K336-$K337</f>
        <v/>
      </c>
      <c r="DN336" s="65">
        <f>IFERROR($N336/$N337-1,"")</f>
        <v/>
      </c>
      <c r="DO336" s="65">
        <f>IFERROR($M336/$M337-1,"")</f>
        <v/>
      </c>
      <c r="DP336" s="65">
        <f>IFERROR($AZ336/$AZ337-1,"")</f>
        <v/>
      </c>
      <c r="DQ336" s="65">
        <f>IFERROR($BA336/$BA337-1,"")</f>
        <v/>
      </c>
      <c r="DR336" s="64">
        <f>$O336-$O337</f>
        <v/>
      </c>
      <c r="DS336" s="64">
        <f>$P336-$P337</f>
        <v/>
      </c>
      <c r="DT336" s="64">
        <f>$Q336-$Q337</f>
        <v/>
      </c>
      <c r="DU336" s="64">
        <f>$S336-$S337</f>
        <v/>
      </c>
      <c r="DV336" s="65">
        <f>IFERROR(AVERAGE($AA337/$AA336-1,$AB337/$AB336-1,$AC337/$AC336-1,$AD337/$AD336-1,$AE337/$AE336-1,$AG337/$AG336-1,$AH337/$AH336-1,$AI337/$AI336-1,$AJ337/$AJ336-1,$AL337/$AL336-1,$AM337/$AM336-1,$AR337/$AR336-1,$AS337/$AS336-1,$AT337/$AT336-1,$AU337/$AU336-1,$AV337/$AV336-1,$AW337/$AW336-1,$AX337/$AX336-1,$AY337/$AY336-1),"")</f>
        <v/>
      </c>
      <c r="DW336" s="66">
        <f>AVERAGE($CB336,$CC336,$CD336,$CE336,$CF336,$CG336,$CH336,$CI336,$CJ336,$CL336,$CM336,$CN336,$CO336,$CP336,$CQ336,$CR336,$CS336,$CT336)</f>
        <v/>
      </c>
      <c r="DX336" s="66">
        <f>AVERAGE($CB336,$CC336,$CM336,$CE336,$CP336)</f>
        <v/>
      </c>
      <c r="DY336" s="64">
        <f>($DW336-$DW337)*100</f>
        <v/>
      </c>
      <c r="DZ336" s="64">
        <f>($DX336-$DX337)*100</f>
        <v/>
      </c>
      <c r="EA336" s="64">
        <f>($DW336-$D336)*100</f>
        <v/>
      </c>
      <c r="EB336" s="64">
        <f>$Q336-$O336</f>
        <v/>
      </c>
      <c r="EC336" s="67">
        <f>IFERROR($Q336/$P336,"")</f>
        <v/>
      </c>
    </row>
    <row r="337">
      <c r="DG337" s="64">
        <f>($B337-$B338)*100</f>
        <v/>
      </c>
      <c r="DH337" s="64">
        <f>($D337-$D338)*100</f>
        <v/>
      </c>
      <c r="DI337" s="64">
        <f>($E337-$E338)*100</f>
        <v/>
      </c>
      <c r="DJ337" s="64">
        <f>($H337-$H338)*100</f>
        <v/>
      </c>
      <c r="DK337" s="65">
        <f>IFERROR($J337/$J338-1,"")</f>
        <v/>
      </c>
      <c r="DL337" s="64">
        <f>$L337-$L338</f>
        <v/>
      </c>
      <c r="DM337" s="64">
        <f>$K337-$K338</f>
        <v/>
      </c>
      <c r="DN337" s="65">
        <f>IFERROR($N337/$N338-1,"")</f>
        <v/>
      </c>
      <c r="DO337" s="65">
        <f>IFERROR($M337/$M338-1,"")</f>
        <v/>
      </c>
      <c r="DP337" s="65">
        <f>IFERROR($AZ337/$AZ338-1,"")</f>
        <v/>
      </c>
      <c r="DQ337" s="65">
        <f>IFERROR($BA337/$BA338-1,"")</f>
        <v/>
      </c>
      <c r="DR337" s="64">
        <f>$O337-$O338</f>
        <v/>
      </c>
      <c r="DS337" s="64">
        <f>$P337-$P338</f>
        <v/>
      </c>
      <c r="DT337" s="64">
        <f>$Q337-$Q338</f>
        <v/>
      </c>
      <c r="DU337" s="64">
        <f>$S337-$S338</f>
        <v/>
      </c>
      <c r="DV337" s="65">
        <f>IFERROR(AVERAGE($AA338/$AA337-1,$AB338/$AB337-1,$AC338/$AC337-1,$AD338/$AD337-1,$AE338/$AE337-1,$AG338/$AG337-1,$AH338/$AH337-1,$AI338/$AI337-1,$AJ338/$AJ337-1,$AL338/$AL337-1,$AM338/$AM337-1,$AR338/$AR337-1,$AS338/$AS337-1,$AT338/$AT337-1,$AU338/$AU337-1,$AV338/$AV337-1,$AW338/$AW337-1,$AX338/$AX337-1,$AY338/$AY337-1),"")</f>
        <v/>
      </c>
      <c r="DW337" s="66">
        <f>AVERAGE($CB337,$CC337,$CD337,$CE337,$CF337,$CG337,$CH337,$CI337,$CJ337,$CL337,$CM337,$CN337,$CO337,$CP337,$CQ337,$CR337,$CS337,$CT337)</f>
        <v/>
      </c>
      <c r="DX337" s="66">
        <f>AVERAGE($CB337,$CC337,$CM337,$CE337,$CP337)</f>
        <v/>
      </c>
      <c r="DY337" s="64">
        <f>($DW337-$DW338)*100</f>
        <v/>
      </c>
      <c r="DZ337" s="64">
        <f>($DX337-$DX338)*100</f>
        <v/>
      </c>
      <c r="EA337" s="64">
        <f>($DW337-$D337)*100</f>
        <v/>
      </c>
      <c r="EB337" s="64">
        <f>$Q337-$O337</f>
        <v/>
      </c>
      <c r="EC337" s="67">
        <f>IFERROR($Q337/$P337,"")</f>
        <v/>
      </c>
    </row>
    <row r="338">
      <c r="DG338" s="64">
        <f>($B338-$B339)*100</f>
        <v/>
      </c>
      <c r="DH338" s="64">
        <f>($D338-$D339)*100</f>
        <v/>
      </c>
      <c r="DI338" s="64">
        <f>($E338-$E339)*100</f>
        <v/>
      </c>
      <c r="DJ338" s="64">
        <f>($H338-$H339)*100</f>
        <v/>
      </c>
      <c r="DK338" s="65">
        <f>IFERROR($J338/$J339-1,"")</f>
        <v/>
      </c>
      <c r="DL338" s="64">
        <f>$L338-$L339</f>
        <v/>
      </c>
      <c r="DM338" s="64">
        <f>$K338-$K339</f>
        <v/>
      </c>
      <c r="DN338" s="65">
        <f>IFERROR($N338/$N339-1,"")</f>
        <v/>
      </c>
      <c r="DO338" s="65">
        <f>IFERROR($M338/$M339-1,"")</f>
        <v/>
      </c>
      <c r="DP338" s="65">
        <f>IFERROR($AZ338/$AZ339-1,"")</f>
        <v/>
      </c>
      <c r="DQ338" s="65">
        <f>IFERROR($BA338/$BA339-1,"")</f>
        <v/>
      </c>
      <c r="DR338" s="64">
        <f>$O338-$O339</f>
        <v/>
      </c>
      <c r="DS338" s="64">
        <f>$P338-$P339</f>
        <v/>
      </c>
      <c r="DT338" s="64">
        <f>$Q338-$Q339</f>
        <v/>
      </c>
      <c r="DU338" s="64">
        <f>$S338-$S339</f>
        <v/>
      </c>
      <c r="DV338" s="65">
        <f>IFERROR(AVERAGE($AA339/$AA338-1,$AB339/$AB338-1,$AC339/$AC338-1,$AD339/$AD338-1,$AE339/$AE338-1,$AG339/$AG338-1,$AH339/$AH338-1,$AI339/$AI338-1,$AJ339/$AJ338-1,$AL339/$AL338-1,$AM339/$AM338-1,$AR339/$AR338-1,$AS339/$AS338-1,$AT339/$AT338-1,$AU339/$AU338-1,$AV339/$AV338-1,$AW339/$AW338-1,$AX339/$AX338-1,$AY339/$AY338-1),"")</f>
        <v/>
      </c>
      <c r="DW338" s="66">
        <f>AVERAGE($CB338,$CC338,$CD338,$CE338,$CF338,$CG338,$CH338,$CI338,$CJ338,$CL338,$CM338,$CN338,$CO338,$CP338,$CQ338,$CR338,$CS338,$CT338)</f>
        <v/>
      </c>
      <c r="DX338" s="66">
        <f>AVERAGE($CB338,$CC338,$CM338,$CE338,$CP338)</f>
        <v/>
      </c>
      <c r="DY338" s="64">
        <f>($DW338-$DW339)*100</f>
        <v/>
      </c>
      <c r="DZ338" s="64">
        <f>($DX338-$DX339)*100</f>
        <v/>
      </c>
      <c r="EA338" s="64">
        <f>($DW338-$D338)*100</f>
        <v/>
      </c>
      <c r="EB338" s="64">
        <f>$Q338-$O338</f>
        <v/>
      </c>
      <c r="EC338" s="67">
        <f>IFERROR($Q338/$P338,"")</f>
        <v/>
      </c>
    </row>
    <row r="339">
      <c r="DG339" s="64">
        <f>($B339-$B340)*100</f>
        <v/>
      </c>
      <c r="DH339" s="64">
        <f>($D339-$D340)*100</f>
        <v/>
      </c>
      <c r="DI339" s="64">
        <f>($E339-$E340)*100</f>
        <v/>
      </c>
      <c r="DJ339" s="64">
        <f>($H339-$H340)*100</f>
        <v/>
      </c>
      <c r="DK339" s="65">
        <f>IFERROR($J339/$J340-1,"")</f>
        <v/>
      </c>
      <c r="DL339" s="64">
        <f>$L339-$L340</f>
        <v/>
      </c>
      <c r="DM339" s="64">
        <f>$K339-$K340</f>
        <v/>
      </c>
      <c r="DN339" s="65">
        <f>IFERROR($N339/$N340-1,"")</f>
        <v/>
      </c>
      <c r="DO339" s="65">
        <f>IFERROR($M339/$M340-1,"")</f>
        <v/>
      </c>
      <c r="DP339" s="65">
        <f>IFERROR($AZ339/$AZ340-1,"")</f>
        <v/>
      </c>
      <c r="DQ339" s="65">
        <f>IFERROR($BA339/$BA340-1,"")</f>
        <v/>
      </c>
      <c r="DR339" s="64">
        <f>$O339-$O340</f>
        <v/>
      </c>
      <c r="DS339" s="64">
        <f>$P339-$P340</f>
        <v/>
      </c>
      <c r="DT339" s="64">
        <f>$Q339-$Q340</f>
        <v/>
      </c>
      <c r="DU339" s="64">
        <f>$S339-$S340</f>
        <v/>
      </c>
      <c r="DV339" s="65">
        <f>IFERROR(AVERAGE($AA340/$AA339-1,$AB340/$AB339-1,$AC340/$AC339-1,$AD340/$AD339-1,$AE340/$AE339-1,$AG340/$AG339-1,$AH340/$AH339-1,$AI340/$AI339-1,$AJ340/$AJ339-1,$AL340/$AL339-1,$AM340/$AM339-1,$AR340/$AR339-1,$AS340/$AS339-1,$AT340/$AT339-1,$AU340/$AU339-1,$AV340/$AV339-1,$AW340/$AW339-1,$AX340/$AX339-1,$AY340/$AY339-1),"")</f>
        <v/>
      </c>
      <c r="DW339" s="66">
        <f>AVERAGE($CB339,$CC339,$CD339,$CE339,$CF339,$CG339,$CH339,$CI339,$CJ339,$CL339,$CM339,$CN339,$CO339,$CP339,$CQ339,$CR339,$CS339,$CT339)</f>
        <v/>
      </c>
      <c r="DX339" s="66">
        <f>AVERAGE($CB339,$CC339,$CM339,$CE339,$CP339)</f>
        <v/>
      </c>
      <c r="DY339" s="64">
        <f>($DW339-$DW340)*100</f>
        <v/>
      </c>
      <c r="DZ339" s="64">
        <f>($DX339-$DX340)*100</f>
        <v/>
      </c>
      <c r="EA339" s="64">
        <f>($DW339-$D339)*100</f>
        <v/>
      </c>
      <c r="EB339" s="64">
        <f>$Q339-$O339</f>
        <v/>
      </c>
      <c r="EC339" s="67">
        <f>IFERROR($Q339/$P339,"")</f>
        <v/>
      </c>
    </row>
    <row r="340">
      <c r="DG340" s="64">
        <f>($B340-$B341)*100</f>
        <v/>
      </c>
      <c r="DH340" s="64">
        <f>($D340-$D341)*100</f>
        <v/>
      </c>
      <c r="DI340" s="64">
        <f>($E340-$E341)*100</f>
        <v/>
      </c>
      <c r="DJ340" s="64">
        <f>($H340-$H341)*100</f>
        <v/>
      </c>
      <c r="DK340" s="65">
        <f>IFERROR($J340/$J341-1,"")</f>
        <v/>
      </c>
      <c r="DL340" s="64">
        <f>$L340-$L341</f>
        <v/>
      </c>
      <c r="DM340" s="64">
        <f>$K340-$K341</f>
        <v/>
      </c>
      <c r="DN340" s="65">
        <f>IFERROR($N340/$N341-1,"")</f>
        <v/>
      </c>
      <c r="DO340" s="65">
        <f>IFERROR($M340/$M341-1,"")</f>
        <v/>
      </c>
      <c r="DP340" s="65">
        <f>IFERROR($AZ340/$AZ341-1,"")</f>
        <v/>
      </c>
      <c r="DQ340" s="65">
        <f>IFERROR($BA340/$BA341-1,"")</f>
        <v/>
      </c>
      <c r="DR340" s="64">
        <f>$O340-$O341</f>
        <v/>
      </c>
      <c r="DS340" s="64">
        <f>$P340-$P341</f>
        <v/>
      </c>
      <c r="DT340" s="64">
        <f>$Q340-$Q341</f>
        <v/>
      </c>
      <c r="DU340" s="64">
        <f>$S340-$S341</f>
        <v/>
      </c>
      <c r="DV340" s="65">
        <f>IFERROR(AVERAGE($AA341/$AA340-1,$AB341/$AB340-1,$AC341/$AC340-1,$AD341/$AD340-1,$AE341/$AE340-1,$AG341/$AG340-1,$AH341/$AH340-1,$AI341/$AI340-1,$AJ341/$AJ340-1,$AL341/$AL340-1,$AM341/$AM340-1,$AR341/$AR340-1,$AS341/$AS340-1,$AT341/$AT340-1,$AU341/$AU340-1,$AV341/$AV340-1,$AW341/$AW340-1,$AX341/$AX340-1,$AY341/$AY340-1),"")</f>
        <v/>
      </c>
      <c r="DW340" s="66">
        <f>AVERAGE($CB340,$CC340,$CD340,$CE340,$CF340,$CG340,$CH340,$CI340,$CJ340,$CL340,$CM340,$CN340,$CO340,$CP340,$CQ340,$CR340,$CS340,$CT340)</f>
        <v/>
      </c>
      <c r="DX340" s="66">
        <f>AVERAGE($CB340,$CC340,$CM340,$CE340,$CP340)</f>
        <v/>
      </c>
      <c r="DY340" s="64">
        <f>($DW340-$DW341)*100</f>
        <v/>
      </c>
      <c r="DZ340" s="64">
        <f>($DX340-$DX341)*100</f>
        <v/>
      </c>
      <c r="EA340" s="64">
        <f>($DW340-$D340)*100</f>
        <v/>
      </c>
      <c r="EB340" s="64">
        <f>$Q340-$O340</f>
        <v/>
      </c>
      <c r="EC340" s="67">
        <f>IFERROR($Q340/$P340,"")</f>
        <v/>
      </c>
    </row>
    <row r="341">
      <c r="DG341" s="64">
        <f>($B341-$B342)*100</f>
        <v/>
      </c>
      <c r="DH341" s="64">
        <f>($D341-$D342)*100</f>
        <v/>
      </c>
      <c r="DI341" s="64">
        <f>($E341-$E342)*100</f>
        <v/>
      </c>
      <c r="DJ341" s="64">
        <f>($H341-$H342)*100</f>
        <v/>
      </c>
      <c r="DK341" s="65">
        <f>IFERROR($J341/$J342-1,"")</f>
        <v/>
      </c>
      <c r="DL341" s="64">
        <f>$L341-$L342</f>
        <v/>
      </c>
      <c r="DM341" s="64">
        <f>$K341-$K342</f>
        <v/>
      </c>
      <c r="DN341" s="65">
        <f>IFERROR($N341/$N342-1,"")</f>
        <v/>
      </c>
      <c r="DO341" s="65">
        <f>IFERROR($M341/$M342-1,"")</f>
        <v/>
      </c>
      <c r="DP341" s="65">
        <f>IFERROR($AZ341/$AZ342-1,"")</f>
        <v/>
      </c>
      <c r="DQ341" s="65">
        <f>IFERROR($BA341/$BA342-1,"")</f>
        <v/>
      </c>
      <c r="DR341" s="64">
        <f>$O341-$O342</f>
        <v/>
      </c>
      <c r="DS341" s="64">
        <f>$P341-$P342</f>
        <v/>
      </c>
      <c r="DT341" s="64">
        <f>$Q341-$Q342</f>
        <v/>
      </c>
      <c r="DU341" s="64">
        <f>$S341-$S342</f>
        <v/>
      </c>
      <c r="DV341" s="65">
        <f>IFERROR(AVERAGE($AA342/$AA341-1,$AB342/$AB341-1,$AC342/$AC341-1,$AD342/$AD341-1,$AE342/$AE341-1,$AG342/$AG341-1,$AH342/$AH341-1,$AI342/$AI341-1,$AJ342/$AJ341-1,$AL342/$AL341-1,$AM342/$AM341-1,$AR342/$AR341-1,$AS342/$AS341-1,$AT342/$AT341-1,$AU342/$AU341-1,$AV342/$AV341-1,$AW342/$AW341-1,$AX342/$AX341-1,$AY342/$AY341-1),"")</f>
        <v/>
      </c>
      <c r="DW341" s="66">
        <f>AVERAGE($CB341,$CC341,$CD341,$CE341,$CF341,$CG341,$CH341,$CI341,$CJ341,$CL341,$CM341,$CN341,$CO341,$CP341,$CQ341,$CR341,$CS341,$CT341)</f>
        <v/>
      </c>
      <c r="DX341" s="66">
        <f>AVERAGE($CB341,$CC341,$CM341,$CE341,$CP341)</f>
        <v/>
      </c>
      <c r="DY341" s="64">
        <f>($DW341-$DW342)*100</f>
        <v/>
      </c>
      <c r="DZ341" s="64">
        <f>($DX341-$DX342)*100</f>
        <v/>
      </c>
      <c r="EA341" s="64">
        <f>($DW341-$D341)*100</f>
        <v/>
      </c>
      <c r="EB341" s="64">
        <f>$Q341-$O341</f>
        <v/>
      </c>
      <c r="EC341" s="67">
        <f>IFERROR($Q341/$P341,"")</f>
        <v/>
      </c>
    </row>
    <row r="342">
      <c r="DG342" s="64">
        <f>($B342-$B343)*100</f>
        <v/>
      </c>
      <c r="DH342" s="64">
        <f>($D342-$D343)*100</f>
        <v/>
      </c>
      <c r="DI342" s="64">
        <f>($E342-$E343)*100</f>
        <v/>
      </c>
      <c r="DJ342" s="64">
        <f>($H342-$H343)*100</f>
        <v/>
      </c>
      <c r="DK342" s="65">
        <f>IFERROR($J342/$J343-1,"")</f>
        <v/>
      </c>
      <c r="DL342" s="64">
        <f>$L342-$L343</f>
        <v/>
      </c>
      <c r="DM342" s="64">
        <f>$K342-$K343</f>
        <v/>
      </c>
      <c r="DN342" s="65">
        <f>IFERROR($N342/$N343-1,"")</f>
        <v/>
      </c>
      <c r="DO342" s="65">
        <f>IFERROR($M342/$M343-1,"")</f>
        <v/>
      </c>
      <c r="DP342" s="65">
        <f>IFERROR($AZ342/$AZ343-1,"")</f>
        <v/>
      </c>
      <c r="DQ342" s="65">
        <f>IFERROR($BA342/$BA343-1,"")</f>
        <v/>
      </c>
      <c r="DR342" s="64">
        <f>$O342-$O343</f>
        <v/>
      </c>
      <c r="DS342" s="64">
        <f>$P342-$P343</f>
        <v/>
      </c>
      <c r="DT342" s="64">
        <f>$Q342-$Q343</f>
        <v/>
      </c>
      <c r="DU342" s="64">
        <f>$S342-$S343</f>
        <v/>
      </c>
      <c r="DV342" s="65">
        <f>IFERROR(AVERAGE($AA343/$AA342-1,$AB343/$AB342-1,$AC343/$AC342-1,$AD343/$AD342-1,$AE343/$AE342-1,$AG343/$AG342-1,$AH343/$AH342-1,$AI343/$AI342-1,$AJ343/$AJ342-1,$AL343/$AL342-1,$AM343/$AM342-1,$AR343/$AR342-1,$AS343/$AS342-1,$AT343/$AT342-1,$AU343/$AU342-1,$AV343/$AV342-1,$AW343/$AW342-1,$AX343/$AX342-1,$AY343/$AY342-1),"")</f>
        <v/>
      </c>
      <c r="DW342" s="66">
        <f>AVERAGE($CB342,$CC342,$CD342,$CE342,$CF342,$CG342,$CH342,$CI342,$CJ342,$CL342,$CM342,$CN342,$CO342,$CP342,$CQ342,$CR342,$CS342,$CT342)</f>
        <v/>
      </c>
      <c r="DX342" s="66">
        <f>AVERAGE($CB342,$CC342,$CM342,$CE342,$CP342)</f>
        <v/>
      </c>
      <c r="DY342" s="64">
        <f>($DW342-$DW343)*100</f>
        <v/>
      </c>
      <c r="DZ342" s="64">
        <f>($DX342-$DX343)*100</f>
        <v/>
      </c>
      <c r="EA342" s="64">
        <f>($DW342-$D342)*100</f>
        <v/>
      </c>
      <c r="EB342" s="64">
        <f>$Q342-$O342</f>
        <v/>
      </c>
      <c r="EC342" s="67">
        <f>IFERROR($Q342/$P342,"")</f>
        <v/>
      </c>
    </row>
    <row r="343">
      <c r="DG343" s="64">
        <f>($B343-$B344)*100</f>
        <v/>
      </c>
      <c r="DH343" s="64">
        <f>($D343-$D344)*100</f>
        <v/>
      </c>
      <c r="DI343" s="64">
        <f>($E343-$E344)*100</f>
        <v/>
      </c>
      <c r="DJ343" s="64">
        <f>($H343-$H344)*100</f>
        <v/>
      </c>
      <c r="DK343" s="65">
        <f>IFERROR($J343/$J344-1,"")</f>
        <v/>
      </c>
      <c r="DL343" s="64">
        <f>$L343-$L344</f>
        <v/>
      </c>
      <c r="DM343" s="64">
        <f>$K343-$K344</f>
        <v/>
      </c>
      <c r="DN343" s="65">
        <f>IFERROR($N343/$N344-1,"")</f>
        <v/>
      </c>
      <c r="DO343" s="65">
        <f>IFERROR($M343/$M344-1,"")</f>
        <v/>
      </c>
      <c r="DP343" s="65">
        <f>IFERROR($AZ343/$AZ344-1,"")</f>
        <v/>
      </c>
      <c r="DQ343" s="65">
        <f>IFERROR($BA343/$BA344-1,"")</f>
        <v/>
      </c>
      <c r="DR343" s="64">
        <f>$O343-$O344</f>
        <v/>
      </c>
      <c r="DS343" s="64">
        <f>$P343-$P344</f>
        <v/>
      </c>
      <c r="DT343" s="64">
        <f>$Q343-$Q344</f>
        <v/>
      </c>
      <c r="DU343" s="64">
        <f>$S343-$S344</f>
        <v/>
      </c>
      <c r="DV343" s="65">
        <f>IFERROR(AVERAGE($AA344/$AA343-1,$AB344/$AB343-1,$AC344/$AC343-1,$AD344/$AD343-1,$AE344/$AE343-1,$AG344/$AG343-1,$AH344/$AH343-1,$AI344/$AI343-1,$AJ344/$AJ343-1,$AL344/$AL343-1,$AM344/$AM343-1,$AR344/$AR343-1,$AS344/$AS343-1,$AT344/$AT343-1,$AU344/$AU343-1,$AV344/$AV343-1,$AW344/$AW343-1,$AX344/$AX343-1,$AY344/$AY343-1),"")</f>
        <v/>
      </c>
      <c r="DW343" s="66">
        <f>AVERAGE($CB343,$CC343,$CD343,$CE343,$CF343,$CG343,$CH343,$CI343,$CJ343,$CL343,$CM343,$CN343,$CO343,$CP343,$CQ343,$CR343,$CS343,$CT343)</f>
        <v/>
      </c>
      <c r="DX343" s="66">
        <f>AVERAGE($CB343,$CC343,$CM343,$CE343,$CP343)</f>
        <v/>
      </c>
      <c r="DY343" s="64">
        <f>($DW343-$DW344)*100</f>
        <v/>
      </c>
      <c r="DZ343" s="64">
        <f>($DX343-$DX344)*100</f>
        <v/>
      </c>
      <c r="EA343" s="64">
        <f>($DW343-$D343)*100</f>
        <v/>
      </c>
      <c r="EB343" s="64">
        <f>$Q343-$O343</f>
        <v/>
      </c>
      <c r="EC343" s="67">
        <f>IFERROR($Q343/$P343,"")</f>
        <v/>
      </c>
    </row>
    <row r="344">
      <c r="DG344" s="64">
        <f>($B344-$B345)*100</f>
        <v/>
      </c>
      <c r="DH344" s="64">
        <f>($D344-$D345)*100</f>
        <v/>
      </c>
      <c r="DI344" s="64">
        <f>($E344-$E345)*100</f>
        <v/>
      </c>
      <c r="DJ344" s="64">
        <f>($H344-$H345)*100</f>
        <v/>
      </c>
      <c r="DK344" s="65">
        <f>IFERROR($J344/$J345-1,"")</f>
        <v/>
      </c>
      <c r="DL344" s="64">
        <f>$L344-$L345</f>
        <v/>
      </c>
      <c r="DM344" s="64">
        <f>$K344-$K345</f>
        <v/>
      </c>
      <c r="DN344" s="65">
        <f>IFERROR($N344/$N345-1,"")</f>
        <v/>
      </c>
      <c r="DO344" s="65">
        <f>IFERROR($M344/$M345-1,"")</f>
        <v/>
      </c>
      <c r="DP344" s="65">
        <f>IFERROR($AZ344/$AZ345-1,"")</f>
        <v/>
      </c>
      <c r="DQ344" s="65">
        <f>IFERROR($BA344/$BA345-1,"")</f>
        <v/>
      </c>
      <c r="DR344" s="64">
        <f>$O344-$O345</f>
        <v/>
      </c>
      <c r="DS344" s="64">
        <f>$P344-$P345</f>
        <v/>
      </c>
      <c r="DT344" s="64">
        <f>$Q344-$Q345</f>
        <v/>
      </c>
      <c r="DU344" s="64">
        <f>$S344-$S345</f>
        <v/>
      </c>
      <c r="DV344" s="65">
        <f>IFERROR(AVERAGE($AA345/$AA344-1,$AB345/$AB344-1,$AC345/$AC344-1,$AD345/$AD344-1,$AE345/$AE344-1,$AG345/$AG344-1,$AH345/$AH344-1,$AI345/$AI344-1,$AJ345/$AJ344-1,$AL345/$AL344-1,$AM345/$AM344-1,$AR345/$AR344-1,$AS345/$AS344-1,$AT345/$AT344-1,$AU345/$AU344-1,$AV345/$AV344-1,$AW345/$AW344-1,$AX345/$AX344-1,$AY345/$AY344-1),"")</f>
        <v/>
      </c>
      <c r="DW344" s="66">
        <f>AVERAGE($CB344,$CC344,$CD344,$CE344,$CF344,$CG344,$CH344,$CI344,$CJ344,$CL344,$CM344,$CN344,$CO344,$CP344,$CQ344,$CR344,$CS344,$CT344)</f>
        <v/>
      </c>
      <c r="DX344" s="66">
        <f>AVERAGE($CB344,$CC344,$CM344,$CE344,$CP344)</f>
        <v/>
      </c>
      <c r="DY344" s="64">
        <f>($DW344-$DW345)*100</f>
        <v/>
      </c>
      <c r="DZ344" s="64">
        <f>($DX344-$DX345)*100</f>
        <v/>
      </c>
      <c r="EA344" s="64">
        <f>($DW344-$D344)*100</f>
        <v/>
      </c>
      <c r="EB344" s="64">
        <f>$Q344-$O344</f>
        <v/>
      </c>
      <c r="EC344" s="67">
        <f>IFERROR($Q344/$P344,"")</f>
        <v/>
      </c>
    </row>
    <row r="345">
      <c r="DG345" s="64">
        <f>($B345-$B346)*100</f>
        <v/>
      </c>
      <c r="DH345" s="64">
        <f>($D345-$D346)*100</f>
        <v/>
      </c>
      <c r="DI345" s="64">
        <f>($E345-$E346)*100</f>
        <v/>
      </c>
      <c r="DJ345" s="64">
        <f>($H345-$H346)*100</f>
        <v/>
      </c>
      <c r="DK345" s="65">
        <f>IFERROR($J345/$J346-1,"")</f>
        <v/>
      </c>
      <c r="DL345" s="64">
        <f>$L345-$L346</f>
        <v/>
      </c>
      <c r="DM345" s="64">
        <f>$K345-$K346</f>
        <v/>
      </c>
      <c r="DN345" s="65">
        <f>IFERROR($N345/$N346-1,"")</f>
        <v/>
      </c>
      <c r="DO345" s="65">
        <f>IFERROR($M345/$M346-1,"")</f>
        <v/>
      </c>
      <c r="DP345" s="65">
        <f>IFERROR($AZ345/$AZ346-1,"")</f>
        <v/>
      </c>
      <c r="DQ345" s="65">
        <f>IFERROR($BA345/$BA346-1,"")</f>
        <v/>
      </c>
      <c r="DR345" s="64">
        <f>$O345-$O346</f>
        <v/>
      </c>
      <c r="DS345" s="64">
        <f>$P345-$P346</f>
        <v/>
      </c>
      <c r="DT345" s="64">
        <f>$Q345-$Q346</f>
        <v/>
      </c>
      <c r="DU345" s="64">
        <f>$S345-$S346</f>
        <v/>
      </c>
      <c r="DV345" s="65">
        <f>IFERROR(AVERAGE($AA346/$AA345-1,$AB346/$AB345-1,$AC346/$AC345-1,$AD346/$AD345-1,$AE346/$AE345-1,$AG346/$AG345-1,$AH346/$AH345-1,$AI346/$AI345-1,$AJ346/$AJ345-1,$AL346/$AL345-1,$AM346/$AM345-1,$AR346/$AR345-1,$AS346/$AS345-1,$AT346/$AT345-1,$AU346/$AU345-1,$AV346/$AV345-1,$AW346/$AW345-1,$AX346/$AX345-1,$AY346/$AY345-1),"")</f>
        <v/>
      </c>
      <c r="DW345" s="66">
        <f>AVERAGE($CB345,$CC345,$CD345,$CE345,$CF345,$CG345,$CH345,$CI345,$CJ345,$CL345,$CM345,$CN345,$CO345,$CP345,$CQ345,$CR345,$CS345,$CT345)</f>
        <v/>
      </c>
      <c r="DX345" s="66">
        <f>AVERAGE($CB345,$CC345,$CM345,$CE345,$CP345)</f>
        <v/>
      </c>
      <c r="DY345" s="64">
        <f>($DW345-$DW346)*100</f>
        <v/>
      </c>
      <c r="DZ345" s="64">
        <f>($DX345-$DX346)*100</f>
        <v/>
      </c>
      <c r="EA345" s="64">
        <f>($DW345-$D345)*100</f>
        <v/>
      </c>
      <c r="EB345" s="64">
        <f>$Q345-$O345</f>
        <v/>
      </c>
      <c r="EC345" s="67">
        <f>IFERROR($Q345/$P345,"")</f>
        <v/>
      </c>
    </row>
    <row r="346">
      <c r="DG346" s="64">
        <f>($B346-$B347)*100</f>
        <v/>
      </c>
      <c r="DH346" s="64">
        <f>($D346-$D347)*100</f>
        <v/>
      </c>
      <c r="DI346" s="64">
        <f>($E346-$E347)*100</f>
        <v/>
      </c>
      <c r="DJ346" s="64">
        <f>($H346-$H347)*100</f>
        <v/>
      </c>
      <c r="DK346" s="65">
        <f>IFERROR($J346/$J347-1,"")</f>
        <v/>
      </c>
      <c r="DL346" s="64">
        <f>$L346-$L347</f>
        <v/>
      </c>
      <c r="DM346" s="64">
        <f>$K346-$K347</f>
        <v/>
      </c>
      <c r="DN346" s="65">
        <f>IFERROR($N346/$N347-1,"")</f>
        <v/>
      </c>
      <c r="DO346" s="65">
        <f>IFERROR($M346/$M347-1,"")</f>
        <v/>
      </c>
      <c r="DP346" s="65">
        <f>IFERROR($AZ346/$AZ347-1,"")</f>
        <v/>
      </c>
      <c r="DQ346" s="65">
        <f>IFERROR($BA346/$BA347-1,"")</f>
        <v/>
      </c>
      <c r="DR346" s="64">
        <f>$O346-$O347</f>
        <v/>
      </c>
      <c r="DS346" s="64">
        <f>$P346-$P347</f>
        <v/>
      </c>
      <c r="DT346" s="64">
        <f>$Q346-$Q347</f>
        <v/>
      </c>
      <c r="DU346" s="64">
        <f>$S346-$S347</f>
        <v/>
      </c>
      <c r="DV346" s="65">
        <f>IFERROR(AVERAGE($AA347/$AA346-1,$AB347/$AB346-1,$AC347/$AC346-1,$AD347/$AD346-1,$AE347/$AE346-1,$AG347/$AG346-1,$AH347/$AH346-1,$AI347/$AI346-1,$AJ347/$AJ346-1,$AL347/$AL346-1,$AM347/$AM346-1,$AR347/$AR346-1,$AS347/$AS346-1,$AT347/$AT346-1,$AU347/$AU346-1,$AV347/$AV346-1,$AW347/$AW346-1,$AX347/$AX346-1,$AY347/$AY346-1),"")</f>
        <v/>
      </c>
      <c r="DW346" s="66">
        <f>AVERAGE($CB346,$CC346,$CD346,$CE346,$CF346,$CG346,$CH346,$CI346,$CJ346,$CL346,$CM346,$CN346,$CO346,$CP346,$CQ346,$CR346,$CS346,$CT346)</f>
        <v/>
      </c>
      <c r="DX346" s="66">
        <f>AVERAGE($CB346,$CC346,$CM346,$CE346,$CP346)</f>
        <v/>
      </c>
      <c r="DY346" s="64">
        <f>($DW346-$DW347)*100</f>
        <v/>
      </c>
      <c r="DZ346" s="64">
        <f>($DX346-$DX347)*100</f>
        <v/>
      </c>
      <c r="EA346" s="64">
        <f>($DW346-$D346)*100</f>
        <v/>
      </c>
      <c r="EB346" s="64">
        <f>$Q346-$O346</f>
        <v/>
      </c>
      <c r="EC346" s="67">
        <f>IFERROR($Q346/$P346,"")</f>
        <v/>
      </c>
    </row>
    <row r="347">
      <c r="DG347" s="64">
        <f>($B347-$B348)*100</f>
        <v/>
      </c>
      <c r="DH347" s="64">
        <f>($D347-$D348)*100</f>
        <v/>
      </c>
      <c r="DI347" s="64">
        <f>($E347-$E348)*100</f>
        <v/>
      </c>
      <c r="DJ347" s="64">
        <f>($H347-$H348)*100</f>
        <v/>
      </c>
      <c r="DK347" s="65">
        <f>IFERROR($J347/$J348-1,"")</f>
        <v/>
      </c>
      <c r="DL347" s="64">
        <f>$L347-$L348</f>
        <v/>
      </c>
      <c r="DM347" s="64">
        <f>$K347-$K348</f>
        <v/>
      </c>
      <c r="DN347" s="65">
        <f>IFERROR($N347/$N348-1,"")</f>
        <v/>
      </c>
      <c r="DO347" s="65">
        <f>IFERROR($M347/$M348-1,"")</f>
        <v/>
      </c>
      <c r="DP347" s="65">
        <f>IFERROR($AZ347/$AZ348-1,"")</f>
        <v/>
      </c>
      <c r="DQ347" s="65">
        <f>IFERROR($BA347/$BA348-1,"")</f>
        <v/>
      </c>
      <c r="DR347" s="64">
        <f>$O347-$O348</f>
        <v/>
      </c>
      <c r="DS347" s="64">
        <f>$P347-$P348</f>
        <v/>
      </c>
      <c r="DT347" s="64">
        <f>$Q347-$Q348</f>
        <v/>
      </c>
      <c r="DU347" s="64">
        <f>$S347-$S348</f>
        <v/>
      </c>
      <c r="DV347" s="65">
        <f>IFERROR(AVERAGE($AA348/$AA347-1,$AB348/$AB347-1,$AC348/$AC347-1,$AD348/$AD347-1,$AE348/$AE347-1,$AG348/$AG347-1,$AH348/$AH347-1,$AI348/$AI347-1,$AJ348/$AJ347-1,$AL348/$AL347-1,$AM348/$AM347-1,$AR348/$AR347-1,$AS348/$AS347-1,$AT348/$AT347-1,$AU348/$AU347-1,$AV348/$AV347-1,$AW348/$AW347-1,$AX348/$AX347-1,$AY348/$AY347-1),"")</f>
        <v/>
      </c>
      <c r="DW347" s="66">
        <f>AVERAGE($CB347,$CC347,$CD347,$CE347,$CF347,$CG347,$CH347,$CI347,$CJ347,$CL347,$CM347,$CN347,$CO347,$CP347,$CQ347,$CR347,$CS347,$CT347)</f>
        <v/>
      </c>
      <c r="DX347" s="66">
        <f>AVERAGE($CB347,$CC347,$CM347,$CE347,$CP347)</f>
        <v/>
      </c>
      <c r="DY347" s="64">
        <f>($DW347-$DW348)*100</f>
        <v/>
      </c>
      <c r="DZ347" s="64">
        <f>($DX347-$DX348)*100</f>
        <v/>
      </c>
      <c r="EA347" s="64">
        <f>($DW347-$D347)*100</f>
        <v/>
      </c>
      <c r="EB347" s="64">
        <f>$Q347-$O347</f>
        <v/>
      </c>
      <c r="EC347" s="67">
        <f>IFERROR($Q347/$P347,"")</f>
        <v/>
      </c>
    </row>
    <row r="348">
      <c r="DG348" s="64">
        <f>($B348-$B349)*100</f>
        <v/>
      </c>
      <c r="DH348" s="64">
        <f>($D348-$D349)*100</f>
        <v/>
      </c>
      <c r="DI348" s="64">
        <f>($E348-$E349)*100</f>
        <v/>
      </c>
      <c r="DJ348" s="64">
        <f>($H348-$H349)*100</f>
        <v/>
      </c>
      <c r="DK348" s="65">
        <f>IFERROR($J348/$J349-1,"")</f>
        <v/>
      </c>
      <c r="DL348" s="64">
        <f>$L348-$L349</f>
        <v/>
      </c>
      <c r="DM348" s="64">
        <f>$K348-$K349</f>
        <v/>
      </c>
      <c r="DN348" s="65">
        <f>IFERROR($N348/$N349-1,"")</f>
        <v/>
      </c>
      <c r="DO348" s="65">
        <f>IFERROR($M348/$M349-1,"")</f>
        <v/>
      </c>
      <c r="DP348" s="65">
        <f>IFERROR($AZ348/$AZ349-1,"")</f>
        <v/>
      </c>
      <c r="DQ348" s="65">
        <f>IFERROR($BA348/$BA349-1,"")</f>
        <v/>
      </c>
      <c r="DR348" s="64">
        <f>$O348-$O349</f>
        <v/>
      </c>
      <c r="DS348" s="64">
        <f>$P348-$P349</f>
        <v/>
      </c>
      <c r="DT348" s="64">
        <f>$Q348-$Q349</f>
        <v/>
      </c>
      <c r="DU348" s="64">
        <f>$S348-$S349</f>
        <v/>
      </c>
      <c r="DV348" s="65">
        <f>IFERROR(AVERAGE($AA349/$AA348-1,$AB349/$AB348-1,$AC349/$AC348-1,$AD349/$AD348-1,$AE349/$AE348-1,$AG349/$AG348-1,$AH349/$AH348-1,$AI349/$AI348-1,$AJ349/$AJ348-1,$AL349/$AL348-1,$AM349/$AM348-1,$AR349/$AR348-1,$AS349/$AS348-1,$AT349/$AT348-1,$AU349/$AU348-1,$AV349/$AV348-1,$AW349/$AW348-1,$AX349/$AX348-1,$AY349/$AY348-1),"")</f>
        <v/>
      </c>
      <c r="DW348" s="66">
        <f>AVERAGE($CB348,$CC348,$CD348,$CE348,$CF348,$CG348,$CH348,$CI348,$CJ348,$CL348,$CM348,$CN348,$CO348,$CP348,$CQ348,$CR348,$CS348,$CT348)</f>
        <v/>
      </c>
      <c r="DX348" s="66">
        <f>AVERAGE($CB348,$CC348,$CM348,$CE348,$CP348)</f>
        <v/>
      </c>
      <c r="DY348" s="64">
        <f>($DW348-$DW349)*100</f>
        <v/>
      </c>
      <c r="DZ348" s="64">
        <f>($DX348-$DX349)*100</f>
        <v/>
      </c>
      <c r="EA348" s="64">
        <f>($DW348-$D348)*100</f>
        <v/>
      </c>
      <c r="EB348" s="64">
        <f>$Q348-$O348</f>
        <v/>
      </c>
      <c r="EC348" s="67">
        <f>IFERROR($Q348/$P348,"")</f>
        <v/>
      </c>
    </row>
    <row r="349">
      <c r="DG349" s="64">
        <f>($B349-$B350)*100</f>
        <v/>
      </c>
      <c r="DH349" s="64">
        <f>($D349-$D350)*100</f>
        <v/>
      </c>
      <c r="DI349" s="64">
        <f>($E349-$E350)*100</f>
        <v/>
      </c>
      <c r="DJ349" s="64">
        <f>($H349-$H350)*100</f>
        <v/>
      </c>
      <c r="DK349" s="65">
        <f>IFERROR($J349/$J350-1,"")</f>
        <v/>
      </c>
      <c r="DL349" s="64">
        <f>$L349-$L350</f>
        <v/>
      </c>
      <c r="DM349" s="64">
        <f>$K349-$K350</f>
        <v/>
      </c>
      <c r="DN349" s="65">
        <f>IFERROR($N349/$N350-1,"")</f>
        <v/>
      </c>
      <c r="DO349" s="65">
        <f>IFERROR($M349/$M350-1,"")</f>
        <v/>
      </c>
      <c r="DP349" s="65">
        <f>IFERROR($AZ349/$AZ350-1,"")</f>
        <v/>
      </c>
      <c r="DQ349" s="65">
        <f>IFERROR($BA349/$BA350-1,"")</f>
        <v/>
      </c>
      <c r="DR349" s="64">
        <f>$O349-$O350</f>
        <v/>
      </c>
      <c r="DS349" s="64">
        <f>$P349-$P350</f>
        <v/>
      </c>
      <c r="DT349" s="64">
        <f>$Q349-$Q350</f>
        <v/>
      </c>
      <c r="DU349" s="64">
        <f>$S349-$S350</f>
        <v/>
      </c>
      <c r="DV349" s="65">
        <f>IFERROR(AVERAGE($AA350/$AA349-1,$AB350/$AB349-1,$AC350/$AC349-1,$AD350/$AD349-1,$AE350/$AE349-1,$AG350/$AG349-1,$AH350/$AH349-1,$AI350/$AI349-1,$AJ350/$AJ349-1,$AL350/$AL349-1,$AM350/$AM349-1,$AR350/$AR349-1,$AS350/$AS349-1,$AT350/$AT349-1,$AU350/$AU349-1,$AV350/$AV349-1,$AW350/$AW349-1,$AX350/$AX349-1,$AY350/$AY349-1),"")</f>
        <v/>
      </c>
      <c r="DW349" s="66">
        <f>AVERAGE($CB349,$CC349,$CD349,$CE349,$CF349,$CG349,$CH349,$CI349,$CJ349,$CL349,$CM349,$CN349,$CO349,$CP349,$CQ349,$CR349,$CS349,$CT349)</f>
        <v/>
      </c>
      <c r="DX349" s="66">
        <f>AVERAGE($CB349,$CC349,$CM349,$CE349,$CP349)</f>
        <v/>
      </c>
      <c r="DY349" s="64">
        <f>($DW349-$DW350)*100</f>
        <v/>
      </c>
      <c r="DZ349" s="64">
        <f>($DX349-$DX350)*100</f>
        <v/>
      </c>
      <c r="EA349" s="64">
        <f>($DW349-$D349)*100</f>
        <v/>
      </c>
      <c r="EB349" s="64">
        <f>$Q349-$O349</f>
        <v/>
      </c>
      <c r="EC349" s="67">
        <f>IFERROR($Q349/$P349,"")</f>
        <v/>
      </c>
    </row>
    <row r="350">
      <c r="DG350" s="64">
        <f>($B350-$B351)*100</f>
        <v/>
      </c>
      <c r="DH350" s="64">
        <f>($D350-$D351)*100</f>
        <v/>
      </c>
      <c r="DI350" s="64">
        <f>($E350-$E351)*100</f>
        <v/>
      </c>
      <c r="DJ350" s="64">
        <f>($H350-$H351)*100</f>
        <v/>
      </c>
      <c r="DK350" s="65">
        <f>IFERROR($J350/$J351-1,"")</f>
        <v/>
      </c>
      <c r="DL350" s="64">
        <f>$L350-$L351</f>
        <v/>
      </c>
      <c r="DM350" s="64">
        <f>$K350-$K351</f>
        <v/>
      </c>
      <c r="DN350" s="65">
        <f>IFERROR($N350/$N351-1,"")</f>
        <v/>
      </c>
      <c r="DO350" s="65">
        <f>IFERROR($M350/$M351-1,"")</f>
        <v/>
      </c>
      <c r="DP350" s="65">
        <f>IFERROR($AZ350/$AZ351-1,"")</f>
        <v/>
      </c>
      <c r="DQ350" s="65">
        <f>IFERROR($BA350/$BA351-1,"")</f>
        <v/>
      </c>
      <c r="DR350" s="64">
        <f>$O350-$O351</f>
        <v/>
      </c>
      <c r="DS350" s="64">
        <f>$P350-$P351</f>
        <v/>
      </c>
      <c r="DT350" s="64">
        <f>$Q350-$Q351</f>
        <v/>
      </c>
      <c r="DU350" s="64">
        <f>$S350-$S351</f>
        <v/>
      </c>
      <c r="DV350" s="65">
        <f>IFERROR(AVERAGE($AA351/$AA350-1,$AB351/$AB350-1,$AC351/$AC350-1,$AD351/$AD350-1,$AE351/$AE350-1,$AG351/$AG350-1,$AH351/$AH350-1,$AI351/$AI350-1,$AJ351/$AJ350-1,$AL351/$AL350-1,$AM351/$AM350-1,$AR351/$AR350-1,$AS351/$AS350-1,$AT351/$AT350-1,$AU351/$AU350-1,$AV351/$AV350-1,$AW351/$AW350-1,$AX351/$AX350-1,$AY351/$AY350-1),"")</f>
        <v/>
      </c>
      <c r="DW350" s="66">
        <f>AVERAGE($CB350,$CC350,$CD350,$CE350,$CF350,$CG350,$CH350,$CI350,$CJ350,$CL350,$CM350,$CN350,$CO350,$CP350,$CQ350,$CR350,$CS350,$CT350)</f>
        <v/>
      </c>
      <c r="DX350" s="66">
        <f>AVERAGE($CB350,$CC350,$CM350,$CE350,$CP350)</f>
        <v/>
      </c>
      <c r="DY350" s="64">
        <f>($DW350-$DW351)*100</f>
        <v/>
      </c>
      <c r="DZ350" s="64">
        <f>($DX350-$DX351)*100</f>
        <v/>
      </c>
      <c r="EA350" s="64">
        <f>($DW350-$D350)*100</f>
        <v/>
      </c>
      <c r="EB350" s="64">
        <f>$Q350-$O350</f>
        <v/>
      </c>
      <c r="EC350" s="67">
        <f>IFERROR($Q350/$P350,"")</f>
        <v/>
      </c>
    </row>
    <row r="351">
      <c r="DG351" s="64">
        <f>($B351-$B352)*100</f>
        <v/>
      </c>
      <c r="DH351" s="64">
        <f>($D351-$D352)*100</f>
        <v/>
      </c>
      <c r="DI351" s="64">
        <f>($E351-$E352)*100</f>
        <v/>
      </c>
      <c r="DJ351" s="64">
        <f>($H351-$H352)*100</f>
        <v/>
      </c>
      <c r="DK351" s="65">
        <f>IFERROR($J351/$J352-1,"")</f>
        <v/>
      </c>
      <c r="DL351" s="64">
        <f>$L351-$L352</f>
        <v/>
      </c>
      <c r="DM351" s="64">
        <f>$K351-$K352</f>
        <v/>
      </c>
      <c r="DN351" s="65">
        <f>IFERROR($N351/$N352-1,"")</f>
        <v/>
      </c>
      <c r="DO351" s="65">
        <f>IFERROR($M351/$M352-1,"")</f>
        <v/>
      </c>
      <c r="DP351" s="65">
        <f>IFERROR($AZ351/$AZ352-1,"")</f>
        <v/>
      </c>
      <c r="DQ351" s="65">
        <f>IFERROR($BA351/$BA352-1,"")</f>
        <v/>
      </c>
      <c r="DR351" s="64">
        <f>$O351-$O352</f>
        <v/>
      </c>
      <c r="DS351" s="64">
        <f>$P351-$P352</f>
        <v/>
      </c>
      <c r="DT351" s="64">
        <f>$Q351-$Q352</f>
        <v/>
      </c>
      <c r="DU351" s="64">
        <f>$S351-$S352</f>
        <v/>
      </c>
      <c r="DV351" s="65">
        <f>IFERROR(AVERAGE($AA352/$AA351-1,$AB352/$AB351-1,$AC352/$AC351-1,$AD352/$AD351-1,$AE352/$AE351-1,$AG352/$AG351-1,$AH352/$AH351-1,$AI352/$AI351-1,$AJ352/$AJ351-1,$AL352/$AL351-1,$AM352/$AM351-1,$AR352/$AR351-1,$AS352/$AS351-1,$AT352/$AT351-1,$AU352/$AU351-1,$AV352/$AV351-1,$AW352/$AW351-1,$AX352/$AX351-1,$AY352/$AY351-1),"")</f>
        <v/>
      </c>
      <c r="DW351" s="66">
        <f>AVERAGE($CB351,$CC351,$CD351,$CE351,$CF351,$CG351,$CH351,$CI351,$CJ351,$CL351,$CM351,$CN351,$CO351,$CP351,$CQ351,$CR351,$CS351,$CT351)</f>
        <v/>
      </c>
      <c r="DX351" s="66">
        <f>AVERAGE($CB351,$CC351,$CM351,$CE351,$CP351)</f>
        <v/>
      </c>
      <c r="DY351" s="64">
        <f>($DW351-$DW352)*100</f>
        <v/>
      </c>
      <c r="DZ351" s="64">
        <f>($DX351-$DX352)*100</f>
        <v/>
      </c>
      <c r="EA351" s="64">
        <f>($DW351-$D351)*100</f>
        <v/>
      </c>
      <c r="EB351" s="64">
        <f>$Q351-$O351</f>
        <v/>
      </c>
      <c r="EC351" s="67">
        <f>IFERROR($Q351/$P351,"")</f>
        <v/>
      </c>
    </row>
    <row r="352">
      <c r="DG352" s="64">
        <f>($B352-$B353)*100</f>
        <v/>
      </c>
      <c r="DH352" s="64">
        <f>($D352-$D353)*100</f>
        <v/>
      </c>
      <c r="DI352" s="64">
        <f>($E352-$E353)*100</f>
        <v/>
      </c>
      <c r="DJ352" s="64">
        <f>($H352-$H353)*100</f>
        <v/>
      </c>
      <c r="DK352" s="65">
        <f>IFERROR($J352/$J353-1,"")</f>
        <v/>
      </c>
      <c r="DL352" s="64">
        <f>$L352-$L353</f>
        <v/>
      </c>
      <c r="DM352" s="64">
        <f>$K352-$K353</f>
        <v/>
      </c>
      <c r="DN352" s="65">
        <f>IFERROR($N352/$N353-1,"")</f>
        <v/>
      </c>
      <c r="DO352" s="65">
        <f>IFERROR($M352/$M353-1,"")</f>
        <v/>
      </c>
      <c r="DP352" s="65">
        <f>IFERROR($AZ352/$AZ353-1,"")</f>
        <v/>
      </c>
      <c r="DQ352" s="65">
        <f>IFERROR($BA352/$BA353-1,"")</f>
        <v/>
      </c>
      <c r="DR352" s="64">
        <f>$O352-$O353</f>
        <v/>
      </c>
      <c r="DS352" s="64">
        <f>$P352-$P353</f>
        <v/>
      </c>
      <c r="DT352" s="64">
        <f>$Q352-$Q353</f>
        <v/>
      </c>
      <c r="DU352" s="64">
        <f>$S352-$S353</f>
        <v/>
      </c>
      <c r="DV352" s="65">
        <f>IFERROR(AVERAGE($AA353/$AA352-1,$AB353/$AB352-1,$AC353/$AC352-1,$AD353/$AD352-1,$AE353/$AE352-1,$AG353/$AG352-1,$AH353/$AH352-1,$AI353/$AI352-1,$AJ353/$AJ352-1,$AL353/$AL352-1,$AM353/$AM352-1,$AR353/$AR352-1,$AS353/$AS352-1,$AT353/$AT352-1,$AU353/$AU352-1,$AV353/$AV352-1,$AW353/$AW352-1,$AX353/$AX352-1,$AY353/$AY352-1),"")</f>
        <v/>
      </c>
      <c r="DW352" s="66">
        <f>AVERAGE($CB352,$CC352,$CD352,$CE352,$CF352,$CG352,$CH352,$CI352,$CJ352,$CL352,$CM352,$CN352,$CO352,$CP352,$CQ352,$CR352,$CS352,$CT352)</f>
        <v/>
      </c>
      <c r="DX352" s="66">
        <f>AVERAGE($CB352,$CC352,$CM352,$CE352,$CP352)</f>
        <v/>
      </c>
      <c r="DY352" s="64">
        <f>($DW352-$DW353)*100</f>
        <v/>
      </c>
      <c r="DZ352" s="64">
        <f>($DX352-$DX353)*100</f>
        <v/>
      </c>
      <c r="EA352" s="64">
        <f>($DW352-$D352)*100</f>
        <v/>
      </c>
      <c r="EB352" s="64">
        <f>$Q352-$O352</f>
        <v/>
      </c>
      <c r="EC352" s="67">
        <f>IFERROR($Q352/$P352,"")</f>
        <v/>
      </c>
    </row>
    <row r="353">
      <c r="DG353" s="64">
        <f>($B353-$B354)*100</f>
        <v/>
      </c>
      <c r="DH353" s="64">
        <f>($D353-$D354)*100</f>
        <v/>
      </c>
      <c r="DI353" s="64">
        <f>($E353-$E354)*100</f>
        <v/>
      </c>
      <c r="DJ353" s="64">
        <f>($H353-$H354)*100</f>
        <v/>
      </c>
      <c r="DK353" s="65">
        <f>IFERROR($J353/$J354-1,"")</f>
        <v/>
      </c>
      <c r="DL353" s="64">
        <f>$L353-$L354</f>
        <v/>
      </c>
      <c r="DM353" s="64">
        <f>$K353-$K354</f>
        <v/>
      </c>
      <c r="DN353" s="65">
        <f>IFERROR($N353/$N354-1,"")</f>
        <v/>
      </c>
      <c r="DO353" s="65">
        <f>IFERROR($M353/$M354-1,"")</f>
        <v/>
      </c>
      <c r="DP353" s="65">
        <f>IFERROR($AZ353/$AZ354-1,"")</f>
        <v/>
      </c>
      <c r="DQ353" s="65">
        <f>IFERROR($BA353/$BA354-1,"")</f>
        <v/>
      </c>
      <c r="DR353" s="64">
        <f>$O353-$O354</f>
        <v/>
      </c>
      <c r="DS353" s="64">
        <f>$P353-$P354</f>
        <v/>
      </c>
      <c r="DT353" s="64">
        <f>$Q353-$Q354</f>
        <v/>
      </c>
      <c r="DU353" s="64">
        <f>$S353-$S354</f>
        <v/>
      </c>
      <c r="DV353" s="65">
        <f>IFERROR(AVERAGE($AA354/$AA353-1,$AB354/$AB353-1,$AC354/$AC353-1,$AD354/$AD353-1,$AE354/$AE353-1,$AG354/$AG353-1,$AH354/$AH353-1,$AI354/$AI353-1,$AJ354/$AJ353-1,$AL354/$AL353-1,$AM354/$AM353-1,$AR354/$AR353-1,$AS354/$AS353-1,$AT354/$AT353-1,$AU354/$AU353-1,$AV354/$AV353-1,$AW354/$AW353-1,$AX354/$AX353-1,$AY354/$AY353-1),"")</f>
        <v/>
      </c>
      <c r="DW353" s="66">
        <f>AVERAGE($CB353,$CC353,$CD353,$CE353,$CF353,$CG353,$CH353,$CI353,$CJ353,$CL353,$CM353,$CN353,$CO353,$CP353,$CQ353,$CR353,$CS353,$CT353)</f>
        <v/>
      </c>
      <c r="DX353" s="66">
        <f>AVERAGE($CB353,$CC353,$CM353,$CE353,$CP353)</f>
        <v/>
      </c>
      <c r="DY353" s="64">
        <f>($DW353-$DW354)*100</f>
        <v/>
      </c>
      <c r="DZ353" s="64">
        <f>($DX353-$DX354)*100</f>
        <v/>
      </c>
      <c r="EA353" s="64">
        <f>($DW353-$D353)*100</f>
        <v/>
      </c>
      <c r="EB353" s="64">
        <f>$Q353-$O353</f>
        <v/>
      </c>
      <c r="EC353" s="67">
        <f>IFERROR($Q353/$P353,"")</f>
        <v/>
      </c>
    </row>
    <row r="354">
      <c r="DG354" s="64">
        <f>($B354-$B355)*100</f>
        <v/>
      </c>
      <c r="DH354" s="64">
        <f>($D354-$D355)*100</f>
        <v/>
      </c>
      <c r="DI354" s="64">
        <f>($E354-$E355)*100</f>
        <v/>
      </c>
      <c r="DJ354" s="64">
        <f>($H354-$H355)*100</f>
        <v/>
      </c>
      <c r="DK354" s="65">
        <f>IFERROR($J354/$J355-1,"")</f>
        <v/>
      </c>
      <c r="DL354" s="64">
        <f>$L354-$L355</f>
        <v/>
      </c>
      <c r="DM354" s="64">
        <f>$K354-$K355</f>
        <v/>
      </c>
      <c r="DN354" s="65">
        <f>IFERROR($N354/$N355-1,"")</f>
        <v/>
      </c>
      <c r="DO354" s="65">
        <f>IFERROR($M354/$M355-1,"")</f>
        <v/>
      </c>
      <c r="DP354" s="65">
        <f>IFERROR($AZ354/$AZ355-1,"")</f>
        <v/>
      </c>
      <c r="DQ354" s="65">
        <f>IFERROR($BA354/$BA355-1,"")</f>
        <v/>
      </c>
      <c r="DR354" s="64">
        <f>$O354-$O355</f>
        <v/>
      </c>
      <c r="DS354" s="64">
        <f>$P354-$P355</f>
        <v/>
      </c>
      <c r="DT354" s="64">
        <f>$Q354-$Q355</f>
        <v/>
      </c>
      <c r="DU354" s="64">
        <f>$S354-$S355</f>
        <v/>
      </c>
      <c r="DV354" s="65">
        <f>IFERROR(AVERAGE($AA355/$AA354-1,$AB355/$AB354-1,$AC355/$AC354-1,$AD355/$AD354-1,$AE355/$AE354-1,$AG355/$AG354-1,$AH355/$AH354-1,$AI355/$AI354-1,$AJ355/$AJ354-1,$AL355/$AL354-1,$AM355/$AM354-1,$AR355/$AR354-1,$AS355/$AS354-1,$AT355/$AT354-1,$AU355/$AU354-1,$AV355/$AV354-1,$AW355/$AW354-1,$AX355/$AX354-1,$AY355/$AY354-1),"")</f>
        <v/>
      </c>
      <c r="DW354" s="66">
        <f>AVERAGE($CB354,$CC354,$CD354,$CE354,$CF354,$CG354,$CH354,$CI354,$CJ354,$CL354,$CM354,$CN354,$CO354,$CP354,$CQ354,$CR354,$CS354,$CT354)</f>
        <v/>
      </c>
      <c r="DX354" s="66">
        <f>AVERAGE($CB354,$CC354,$CM354,$CE354,$CP354)</f>
        <v/>
      </c>
      <c r="DY354" s="64">
        <f>($DW354-$DW355)*100</f>
        <v/>
      </c>
      <c r="DZ354" s="64">
        <f>($DX354-$DX355)*100</f>
        <v/>
      </c>
      <c r="EA354" s="64">
        <f>($DW354-$D354)*100</f>
        <v/>
      </c>
      <c r="EB354" s="64">
        <f>$Q354-$O354</f>
        <v/>
      </c>
      <c r="EC354" s="67">
        <f>IFERROR($Q354/$P354,"")</f>
        <v/>
      </c>
    </row>
    <row r="355">
      <c r="DG355" s="64">
        <f>($B355-$B356)*100</f>
        <v/>
      </c>
      <c r="DH355" s="64">
        <f>($D355-$D356)*100</f>
        <v/>
      </c>
      <c r="DI355" s="64">
        <f>($E355-$E356)*100</f>
        <v/>
      </c>
      <c r="DJ355" s="64">
        <f>($H355-$H356)*100</f>
        <v/>
      </c>
      <c r="DK355" s="65">
        <f>IFERROR($J355/$J356-1,"")</f>
        <v/>
      </c>
      <c r="DL355" s="64">
        <f>$L355-$L356</f>
        <v/>
      </c>
      <c r="DM355" s="64">
        <f>$K355-$K356</f>
        <v/>
      </c>
      <c r="DN355" s="65">
        <f>IFERROR($N355/$N356-1,"")</f>
        <v/>
      </c>
      <c r="DO355" s="65">
        <f>IFERROR($M355/$M356-1,"")</f>
        <v/>
      </c>
      <c r="DP355" s="65">
        <f>IFERROR($AZ355/$AZ356-1,"")</f>
        <v/>
      </c>
      <c r="DQ355" s="65">
        <f>IFERROR($BA355/$BA356-1,"")</f>
        <v/>
      </c>
      <c r="DR355" s="64">
        <f>$O355-$O356</f>
        <v/>
      </c>
      <c r="DS355" s="64">
        <f>$P355-$P356</f>
        <v/>
      </c>
      <c r="DT355" s="64">
        <f>$Q355-$Q356</f>
        <v/>
      </c>
      <c r="DU355" s="64">
        <f>$S355-$S356</f>
        <v/>
      </c>
      <c r="DV355" s="65">
        <f>IFERROR(AVERAGE($AA356/$AA355-1,$AB356/$AB355-1,$AC356/$AC355-1,$AD356/$AD355-1,$AE356/$AE355-1,$AG356/$AG355-1,$AH356/$AH355-1,$AI356/$AI355-1,$AJ356/$AJ355-1,$AL356/$AL355-1,$AM356/$AM355-1,$AR356/$AR355-1,$AS356/$AS355-1,$AT356/$AT355-1,$AU356/$AU355-1,$AV356/$AV355-1,$AW356/$AW355-1,$AX356/$AX355-1,$AY356/$AY355-1),"")</f>
        <v/>
      </c>
      <c r="DW355" s="66">
        <f>AVERAGE($CB355,$CC355,$CD355,$CE355,$CF355,$CG355,$CH355,$CI355,$CJ355,$CL355,$CM355,$CN355,$CO355,$CP355,$CQ355,$CR355,$CS355,$CT355)</f>
        <v/>
      </c>
      <c r="DX355" s="66">
        <f>AVERAGE($CB355,$CC355,$CM355,$CE355,$CP355)</f>
        <v/>
      </c>
      <c r="DY355" s="64">
        <f>($DW355-$DW356)*100</f>
        <v/>
      </c>
      <c r="DZ355" s="64">
        <f>($DX355-$DX356)*100</f>
        <v/>
      </c>
      <c r="EA355" s="64">
        <f>($DW355-$D355)*100</f>
        <v/>
      </c>
      <c r="EB355" s="64">
        <f>$Q355-$O355</f>
        <v/>
      </c>
      <c r="EC355" s="67">
        <f>IFERROR($Q355/$P355,"")</f>
        <v/>
      </c>
    </row>
    <row r="356">
      <c r="DG356" s="64">
        <f>($B356-$B357)*100</f>
        <v/>
      </c>
      <c r="DH356" s="64">
        <f>($D356-$D357)*100</f>
        <v/>
      </c>
      <c r="DI356" s="64">
        <f>($E356-$E357)*100</f>
        <v/>
      </c>
      <c r="DJ356" s="64">
        <f>($H356-$H357)*100</f>
        <v/>
      </c>
      <c r="DK356" s="65">
        <f>IFERROR($J356/$J357-1,"")</f>
        <v/>
      </c>
      <c r="DL356" s="64">
        <f>$L356-$L357</f>
        <v/>
      </c>
      <c r="DM356" s="64">
        <f>$K356-$K357</f>
        <v/>
      </c>
      <c r="DN356" s="65">
        <f>IFERROR($N356/$N357-1,"")</f>
        <v/>
      </c>
      <c r="DO356" s="65">
        <f>IFERROR($M356/$M357-1,"")</f>
        <v/>
      </c>
      <c r="DP356" s="65">
        <f>IFERROR($AZ356/$AZ357-1,"")</f>
        <v/>
      </c>
      <c r="DQ356" s="65">
        <f>IFERROR($BA356/$BA357-1,"")</f>
        <v/>
      </c>
      <c r="DR356" s="64">
        <f>$O356-$O357</f>
        <v/>
      </c>
      <c r="DS356" s="64">
        <f>$P356-$P357</f>
        <v/>
      </c>
      <c r="DT356" s="64">
        <f>$Q356-$Q357</f>
        <v/>
      </c>
      <c r="DU356" s="64">
        <f>$S356-$S357</f>
        <v/>
      </c>
      <c r="DV356" s="65">
        <f>IFERROR(AVERAGE($AA357/$AA356-1,$AB357/$AB356-1,$AC357/$AC356-1,$AD357/$AD356-1,$AE357/$AE356-1,$AG357/$AG356-1,$AH357/$AH356-1,$AI357/$AI356-1,$AJ357/$AJ356-1,$AL357/$AL356-1,$AM357/$AM356-1,$AR357/$AR356-1,$AS357/$AS356-1,$AT357/$AT356-1,$AU357/$AU356-1,$AV357/$AV356-1,$AW357/$AW356-1,$AX357/$AX356-1,$AY357/$AY356-1),"")</f>
        <v/>
      </c>
      <c r="DW356" s="66">
        <f>AVERAGE($CB356,$CC356,$CD356,$CE356,$CF356,$CG356,$CH356,$CI356,$CJ356,$CL356,$CM356,$CN356,$CO356,$CP356,$CQ356,$CR356,$CS356,$CT356)</f>
        <v/>
      </c>
      <c r="DX356" s="66">
        <f>AVERAGE($CB356,$CC356,$CM356,$CE356,$CP356)</f>
        <v/>
      </c>
      <c r="DY356" s="64">
        <f>($DW356-$DW357)*100</f>
        <v/>
      </c>
      <c r="DZ356" s="64">
        <f>($DX356-$DX357)*100</f>
        <v/>
      </c>
      <c r="EA356" s="64">
        <f>($DW356-$D356)*100</f>
        <v/>
      </c>
      <c r="EB356" s="64">
        <f>$Q356-$O356</f>
        <v/>
      </c>
      <c r="EC356" s="67">
        <f>IFERROR($Q356/$P356,"")</f>
        <v/>
      </c>
    </row>
    <row r="357">
      <c r="DG357" s="64">
        <f>($B357-$B358)*100</f>
        <v/>
      </c>
      <c r="DH357" s="64">
        <f>($D357-$D358)*100</f>
        <v/>
      </c>
      <c r="DI357" s="64">
        <f>($E357-$E358)*100</f>
        <v/>
      </c>
      <c r="DJ357" s="64">
        <f>($H357-$H358)*100</f>
        <v/>
      </c>
      <c r="DK357" s="65">
        <f>IFERROR($J357/$J358-1,"")</f>
        <v/>
      </c>
      <c r="DL357" s="64">
        <f>$L357-$L358</f>
        <v/>
      </c>
      <c r="DM357" s="64">
        <f>$K357-$K358</f>
        <v/>
      </c>
      <c r="DN357" s="65">
        <f>IFERROR($N357/$N358-1,"")</f>
        <v/>
      </c>
      <c r="DO357" s="65">
        <f>IFERROR($M357/$M358-1,"")</f>
        <v/>
      </c>
      <c r="DP357" s="65">
        <f>IFERROR($AZ357/$AZ358-1,"")</f>
        <v/>
      </c>
      <c r="DQ357" s="65">
        <f>IFERROR($BA357/$BA358-1,"")</f>
        <v/>
      </c>
      <c r="DR357" s="64">
        <f>$O357-$O358</f>
        <v/>
      </c>
      <c r="DS357" s="64">
        <f>$P357-$P358</f>
        <v/>
      </c>
      <c r="DT357" s="64">
        <f>$Q357-$Q358</f>
        <v/>
      </c>
      <c r="DU357" s="64">
        <f>$S357-$S358</f>
        <v/>
      </c>
      <c r="DV357" s="65">
        <f>IFERROR(AVERAGE($AA358/$AA357-1,$AB358/$AB357-1,$AC358/$AC357-1,$AD358/$AD357-1,$AE358/$AE357-1,$AG358/$AG357-1,$AH358/$AH357-1,$AI358/$AI357-1,$AJ358/$AJ357-1,$AL358/$AL357-1,$AM358/$AM357-1,$AR358/$AR357-1,$AS358/$AS357-1,$AT358/$AT357-1,$AU358/$AU357-1,$AV358/$AV357-1,$AW358/$AW357-1,$AX358/$AX357-1,$AY358/$AY357-1),"")</f>
        <v/>
      </c>
      <c r="DW357" s="66">
        <f>AVERAGE($CB357,$CC357,$CD357,$CE357,$CF357,$CG357,$CH357,$CI357,$CJ357,$CL357,$CM357,$CN357,$CO357,$CP357,$CQ357,$CR357,$CS357,$CT357)</f>
        <v/>
      </c>
      <c r="DX357" s="66">
        <f>AVERAGE($CB357,$CC357,$CM357,$CE357,$CP357)</f>
        <v/>
      </c>
      <c r="DY357" s="64">
        <f>($DW357-$DW358)*100</f>
        <v/>
      </c>
      <c r="DZ357" s="64">
        <f>($DX357-$DX358)*100</f>
        <v/>
      </c>
      <c r="EA357" s="64">
        <f>($DW357-$D357)*100</f>
        <v/>
      </c>
      <c r="EB357" s="64">
        <f>$Q357-$O357</f>
        <v/>
      </c>
      <c r="EC357" s="67">
        <f>IFERROR($Q357/$P357,"")</f>
        <v/>
      </c>
    </row>
    <row r="358">
      <c r="DG358" s="64">
        <f>($B358-$B359)*100</f>
        <v/>
      </c>
      <c r="DH358" s="64">
        <f>($D358-$D359)*100</f>
        <v/>
      </c>
      <c r="DI358" s="64">
        <f>($E358-$E359)*100</f>
        <v/>
      </c>
      <c r="DJ358" s="64">
        <f>($H358-$H359)*100</f>
        <v/>
      </c>
      <c r="DK358" s="65">
        <f>IFERROR($J358/$J359-1,"")</f>
        <v/>
      </c>
      <c r="DL358" s="64">
        <f>$L358-$L359</f>
        <v/>
      </c>
      <c r="DM358" s="64">
        <f>$K358-$K359</f>
        <v/>
      </c>
      <c r="DN358" s="65">
        <f>IFERROR($N358/$N359-1,"")</f>
        <v/>
      </c>
      <c r="DO358" s="65">
        <f>IFERROR($M358/$M359-1,"")</f>
        <v/>
      </c>
      <c r="DP358" s="65">
        <f>IFERROR($AZ358/$AZ359-1,"")</f>
        <v/>
      </c>
      <c r="DQ358" s="65">
        <f>IFERROR($BA358/$BA359-1,"")</f>
        <v/>
      </c>
      <c r="DR358" s="64">
        <f>$O358-$O359</f>
        <v/>
      </c>
      <c r="DS358" s="64">
        <f>$P358-$P359</f>
        <v/>
      </c>
      <c r="DT358" s="64">
        <f>$Q358-$Q359</f>
        <v/>
      </c>
      <c r="DU358" s="64">
        <f>$S358-$S359</f>
        <v/>
      </c>
      <c r="DV358" s="65">
        <f>IFERROR(AVERAGE($AA359/$AA358-1,$AB359/$AB358-1,$AC359/$AC358-1,$AD359/$AD358-1,$AE359/$AE358-1,$AG359/$AG358-1,$AH359/$AH358-1,$AI359/$AI358-1,$AJ359/$AJ358-1,$AL359/$AL358-1,$AM359/$AM358-1,$AR359/$AR358-1,$AS359/$AS358-1,$AT359/$AT358-1,$AU359/$AU358-1,$AV359/$AV358-1,$AW359/$AW358-1,$AX359/$AX358-1,$AY359/$AY358-1),"")</f>
        <v/>
      </c>
      <c r="DW358" s="66">
        <f>AVERAGE($CB358,$CC358,$CD358,$CE358,$CF358,$CG358,$CH358,$CI358,$CJ358,$CL358,$CM358,$CN358,$CO358,$CP358,$CQ358,$CR358,$CS358,$CT358)</f>
        <v/>
      </c>
      <c r="DX358" s="66">
        <f>AVERAGE($CB358,$CC358,$CM358,$CE358,$CP358)</f>
        <v/>
      </c>
      <c r="DY358" s="64">
        <f>($DW358-$DW359)*100</f>
        <v/>
      </c>
      <c r="DZ358" s="64">
        <f>($DX358-$DX359)*100</f>
        <v/>
      </c>
      <c r="EA358" s="64">
        <f>($DW358-$D358)*100</f>
        <v/>
      </c>
      <c r="EB358" s="64">
        <f>$Q358-$O358</f>
        <v/>
      </c>
      <c r="EC358" s="67">
        <f>IFERROR($Q358/$P358,"")</f>
        <v/>
      </c>
    </row>
    <row r="359">
      <c r="DG359" s="64">
        <f>($B359-$B360)*100</f>
        <v/>
      </c>
      <c r="DH359" s="64">
        <f>($D359-$D360)*100</f>
        <v/>
      </c>
      <c r="DI359" s="64">
        <f>($E359-$E360)*100</f>
        <v/>
      </c>
      <c r="DJ359" s="64">
        <f>($H359-$H360)*100</f>
        <v/>
      </c>
      <c r="DK359" s="65">
        <f>IFERROR($J359/$J360-1,"")</f>
        <v/>
      </c>
      <c r="DL359" s="64">
        <f>$L359-$L360</f>
        <v/>
      </c>
      <c r="DM359" s="64">
        <f>$K359-$K360</f>
        <v/>
      </c>
      <c r="DN359" s="65">
        <f>IFERROR($N359/$N360-1,"")</f>
        <v/>
      </c>
      <c r="DO359" s="65">
        <f>IFERROR($M359/$M360-1,"")</f>
        <v/>
      </c>
      <c r="DP359" s="65">
        <f>IFERROR($AZ359/$AZ360-1,"")</f>
        <v/>
      </c>
      <c r="DQ359" s="65">
        <f>IFERROR($BA359/$BA360-1,"")</f>
        <v/>
      </c>
      <c r="DR359" s="64">
        <f>$O359-$O360</f>
        <v/>
      </c>
      <c r="DS359" s="64">
        <f>$P359-$P360</f>
        <v/>
      </c>
      <c r="DT359" s="64">
        <f>$Q359-$Q360</f>
        <v/>
      </c>
      <c r="DU359" s="64">
        <f>$S359-$S360</f>
        <v/>
      </c>
      <c r="DV359" s="65">
        <f>IFERROR(AVERAGE($AA360/$AA359-1,$AB360/$AB359-1,$AC360/$AC359-1,$AD360/$AD359-1,$AE360/$AE359-1,$AG360/$AG359-1,$AH360/$AH359-1,$AI360/$AI359-1,$AJ360/$AJ359-1,$AL360/$AL359-1,$AM360/$AM359-1,$AR360/$AR359-1,$AS360/$AS359-1,$AT360/$AT359-1,$AU360/$AU359-1,$AV360/$AV359-1,$AW360/$AW359-1,$AX360/$AX359-1,$AY360/$AY359-1),"")</f>
        <v/>
      </c>
      <c r="DW359" s="66">
        <f>AVERAGE($CB359,$CC359,$CD359,$CE359,$CF359,$CG359,$CH359,$CI359,$CJ359,$CL359,$CM359,$CN359,$CO359,$CP359,$CQ359,$CR359,$CS359,$CT359)</f>
        <v/>
      </c>
      <c r="DX359" s="66">
        <f>AVERAGE($CB359,$CC359,$CM359,$CE359,$CP359)</f>
        <v/>
      </c>
      <c r="DY359" s="64">
        <f>($DW359-$DW360)*100</f>
        <v/>
      </c>
      <c r="DZ359" s="64">
        <f>($DX359-$DX360)*100</f>
        <v/>
      </c>
      <c r="EA359" s="64">
        <f>($DW359-$D359)*100</f>
        <v/>
      </c>
      <c r="EB359" s="64">
        <f>$Q359-$O359</f>
        <v/>
      </c>
      <c r="EC359" s="67">
        <f>IFERROR($Q359/$P359,"")</f>
        <v/>
      </c>
    </row>
    <row r="360">
      <c r="DG360" s="64">
        <f>($B360-$B361)*100</f>
        <v/>
      </c>
      <c r="DH360" s="64">
        <f>($D360-$D361)*100</f>
        <v/>
      </c>
      <c r="DI360" s="64">
        <f>($E360-$E361)*100</f>
        <v/>
      </c>
      <c r="DJ360" s="64">
        <f>($H360-$H361)*100</f>
        <v/>
      </c>
      <c r="DK360" s="65">
        <f>IFERROR($J360/$J361-1,"")</f>
        <v/>
      </c>
      <c r="DL360" s="64">
        <f>$L360-$L361</f>
        <v/>
      </c>
      <c r="DM360" s="64">
        <f>$K360-$K361</f>
        <v/>
      </c>
      <c r="DN360" s="65">
        <f>IFERROR($N360/$N361-1,"")</f>
        <v/>
      </c>
      <c r="DO360" s="65">
        <f>IFERROR($M360/$M361-1,"")</f>
        <v/>
      </c>
      <c r="DP360" s="65">
        <f>IFERROR($AZ360/$AZ361-1,"")</f>
        <v/>
      </c>
      <c r="DQ360" s="65">
        <f>IFERROR($BA360/$BA361-1,"")</f>
        <v/>
      </c>
      <c r="DR360" s="64">
        <f>$O360-$O361</f>
        <v/>
      </c>
      <c r="DS360" s="64">
        <f>$P360-$P361</f>
        <v/>
      </c>
      <c r="DT360" s="64">
        <f>$Q360-$Q361</f>
        <v/>
      </c>
      <c r="DU360" s="64">
        <f>$S360-$S361</f>
        <v/>
      </c>
      <c r="DV360" s="65">
        <f>IFERROR(AVERAGE($AA361/$AA360-1,$AB361/$AB360-1,$AC361/$AC360-1,$AD361/$AD360-1,$AE361/$AE360-1,$AG361/$AG360-1,$AH361/$AH360-1,$AI361/$AI360-1,$AJ361/$AJ360-1,$AL361/$AL360-1,$AM361/$AM360-1,$AR361/$AR360-1,$AS361/$AS360-1,$AT361/$AT360-1,$AU361/$AU360-1,$AV361/$AV360-1,$AW361/$AW360-1,$AX361/$AX360-1,$AY361/$AY360-1),"")</f>
        <v/>
      </c>
      <c r="DW360" s="66">
        <f>AVERAGE($CB360,$CC360,$CD360,$CE360,$CF360,$CG360,$CH360,$CI360,$CJ360,$CL360,$CM360,$CN360,$CO360,$CP360,$CQ360,$CR360,$CS360,$CT360)</f>
        <v/>
      </c>
      <c r="DX360" s="66">
        <f>AVERAGE($CB360,$CC360,$CM360,$CE360,$CP360)</f>
        <v/>
      </c>
      <c r="DY360" s="64">
        <f>($DW360-$DW361)*100</f>
        <v/>
      </c>
      <c r="DZ360" s="64">
        <f>($DX360-$DX361)*100</f>
        <v/>
      </c>
      <c r="EA360" s="64">
        <f>($DW360-$D360)*100</f>
        <v/>
      </c>
      <c r="EB360" s="64">
        <f>$Q360-$O360</f>
        <v/>
      </c>
      <c r="EC360" s="67">
        <f>IFERROR($Q360/$P360,"")</f>
        <v/>
      </c>
    </row>
    <row r="361">
      <c r="DG361" s="64">
        <f>($B361-$B362)*100</f>
        <v/>
      </c>
      <c r="DH361" s="64">
        <f>($D361-$D362)*100</f>
        <v/>
      </c>
      <c r="DI361" s="64">
        <f>($E361-$E362)*100</f>
        <v/>
      </c>
      <c r="DJ361" s="64">
        <f>($H361-$H362)*100</f>
        <v/>
      </c>
      <c r="DK361" s="65">
        <f>IFERROR($J361/$J362-1,"")</f>
        <v/>
      </c>
      <c r="DL361" s="64">
        <f>$L361-$L362</f>
        <v/>
      </c>
      <c r="DM361" s="64">
        <f>$K361-$K362</f>
        <v/>
      </c>
      <c r="DN361" s="65">
        <f>IFERROR($N361/$N362-1,"")</f>
        <v/>
      </c>
      <c r="DO361" s="65">
        <f>IFERROR($M361/$M362-1,"")</f>
        <v/>
      </c>
      <c r="DP361" s="65">
        <f>IFERROR($AZ361/$AZ362-1,"")</f>
        <v/>
      </c>
      <c r="DQ361" s="65">
        <f>IFERROR($BA361/$BA362-1,"")</f>
        <v/>
      </c>
      <c r="DR361" s="64">
        <f>$O361-$O362</f>
        <v/>
      </c>
      <c r="DS361" s="64">
        <f>$P361-$P362</f>
        <v/>
      </c>
      <c r="DT361" s="64">
        <f>$Q361-$Q362</f>
        <v/>
      </c>
      <c r="DU361" s="64">
        <f>$S361-$S362</f>
        <v/>
      </c>
      <c r="DV361" s="65">
        <f>IFERROR(AVERAGE($AA362/$AA361-1,$AB362/$AB361-1,$AC362/$AC361-1,$AD362/$AD361-1,$AE362/$AE361-1,$AG362/$AG361-1,$AH362/$AH361-1,$AI362/$AI361-1,$AJ362/$AJ361-1,$AL362/$AL361-1,$AM362/$AM361-1,$AR362/$AR361-1,$AS362/$AS361-1,$AT362/$AT361-1,$AU362/$AU361-1,$AV362/$AV361-1,$AW362/$AW361-1,$AX362/$AX361-1,$AY362/$AY361-1),"")</f>
        <v/>
      </c>
      <c r="DW361" s="66">
        <f>AVERAGE($CB361,$CC361,$CD361,$CE361,$CF361,$CG361,$CH361,$CI361,$CJ361,$CL361,$CM361,$CN361,$CO361,$CP361,$CQ361,$CR361,$CS361,$CT361)</f>
        <v/>
      </c>
      <c r="DX361" s="66">
        <f>AVERAGE($CB361,$CC361,$CM361,$CE361,$CP361)</f>
        <v/>
      </c>
      <c r="DY361" s="64">
        <f>($DW361-$DW362)*100</f>
        <v/>
      </c>
      <c r="DZ361" s="64">
        <f>($DX361-$DX362)*100</f>
        <v/>
      </c>
      <c r="EA361" s="64">
        <f>($DW361-$D361)*100</f>
        <v/>
      </c>
      <c r="EB361" s="64">
        <f>$Q361-$O361</f>
        <v/>
      </c>
      <c r="EC361" s="67">
        <f>IFERROR($Q361/$P361,"")</f>
        <v/>
      </c>
    </row>
    <row r="362">
      <c r="DG362" s="64">
        <f>($B362-$B363)*100</f>
        <v/>
      </c>
      <c r="DH362" s="64">
        <f>($D362-$D363)*100</f>
        <v/>
      </c>
      <c r="DI362" s="64">
        <f>($E362-$E363)*100</f>
        <v/>
      </c>
      <c r="DJ362" s="64">
        <f>($H362-$H363)*100</f>
        <v/>
      </c>
      <c r="DK362" s="65">
        <f>IFERROR($J362/$J363-1,"")</f>
        <v/>
      </c>
      <c r="DL362" s="64">
        <f>$L362-$L363</f>
        <v/>
      </c>
      <c r="DM362" s="64">
        <f>$K362-$K363</f>
        <v/>
      </c>
      <c r="DN362" s="65">
        <f>IFERROR($N362/$N363-1,"")</f>
        <v/>
      </c>
      <c r="DO362" s="65">
        <f>IFERROR($M362/$M363-1,"")</f>
        <v/>
      </c>
      <c r="DP362" s="65">
        <f>IFERROR($AZ362/$AZ363-1,"")</f>
        <v/>
      </c>
      <c r="DQ362" s="65">
        <f>IFERROR($BA362/$BA363-1,"")</f>
        <v/>
      </c>
      <c r="DR362" s="64">
        <f>$O362-$O363</f>
        <v/>
      </c>
      <c r="DS362" s="64">
        <f>$P362-$P363</f>
        <v/>
      </c>
      <c r="DT362" s="64">
        <f>$Q362-$Q363</f>
        <v/>
      </c>
      <c r="DU362" s="64">
        <f>$S362-$S363</f>
        <v/>
      </c>
      <c r="DV362" s="65">
        <f>IFERROR(AVERAGE($AA363/$AA362-1,$AB363/$AB362-1,$AC363/$AC362-1,$AD363/$AD362-1,$AE363/$AE362-1,$AG363/$AG362-1,$AH363/$AH362-1,$AI363/$AI362-1,$AJ363/$AJ362-1,$AL363/$AL362-1,$AM363/$AM362-1,$AR363/$AR362-1,$AS363/$AS362-1,$AT363/$AT362-1,$AU363/$AU362-1,$AV363/$AV362-1,$AW363/$AW362-1,$AX363/$AX362-1,$AY363/$AY362-1),"")</f>
        <v/>
      </c>
      <c r="DW362" s="66">
        <f>AVERAGE($CB362,$CC362,$CD362,$CE362,$CF362,$CG362,$CH362,$CI362,$CJ362,$CL362,$CM362,$CN362,$CO362,$CP362,$CQ362,$CR362,$CS362,$CT362)</f>
        <v/>
      </c>
      <c r="DX362" s="66">
        <f>AVERAGE($CB362,$CC362,$CM362,$CE362,$CP362)</f>
        <v/>
      </c>
      <c r="DY362" s="64">
        <f>($DW362-$DW363)*100</f>
        <v/>
      </c>
      <c r="DZ362" s="64">
        <f>($DX362-$DX363)*100</f>
        <v/>
      </c>
      <c r="EA362" s="64">
        <f>($DW362-$D362)*100</f>
        <v/>
      </c>
      <c r="EB362" s="64">
        <f>$Q362-$O362</f>
        <v/>
      </c>
      <c r="EC362" s="67">
        <f>IFERROR($Q362/$P362,"")</f>
        <v/>
      </c>
    </row>
    <row r="363">
      <c r="DG363" s="64">
        <f>($B363-$B364)*100</f>
        <v/>
      </c>
      <c r="DH363" s="64">
        <f>($D363-$D364)*100</f>
        <v/>
      </c>
      <c r="DI363" s="64">
        <f>($E363-$E364)*100</f>
        <v/>
      </c>
      <c r="DJ363" s="64">
        <f>($H363-$H364)*100</f>
        <v/>
      </c>
      <c r="DK363" s="65">
        <f>IFERROR($J363/$J364-1,"")</f>
        <v/>
      </c>
      <c r="DL363" s="64">
        <f>$L363-$L364</f>
        <v/>
      </c>
      <c r="DM363" s="64">
        <f>$K363-$K364</f>
        <v/>
      </c>
      <c r="DN363" s="65">
        <f>IFERROR($N363/$N364-1,"")</f>
        <v/>
      </c>
      <c r="DO363" s="65">
        <f>IFERROR($M363/$M364-1,"")</f>
        <v/>
      </c>
      <c r="DP363" s="65">
        <f>IFERROR($AZ363/$AZ364-1,"")</f>
        <v/>
      </c>
      <c r="DQ363" s="65">
        <f>IFERROR($BA363/$BA364-1,"")</f>
        <v/>
      </c>
      <c r="DR363" s="64">
        <f>$O363-$O364</f>
        <v/>
      </c>
      <c r="DS363" s="64">
        <f>$P363-$P364</f>
        <v/>
      </c>
      <c r="DT363" s="64">
        <f>$Q363-$Q364</f>
        <v/>
      </c>
      <c r="DU363" s="64">
        <f>$S363-$S364</f>
        <v/>
      </c>
      <c r="DV363" s="65">
        <f>IFERROR(AVERAGE($AA364/$AA363-1,$AB364/$AB363-1,$AC364/$AC363-1,$AD364/$AD363-1,$AE364/$AE363-1,$AG364/$AG363-1,$AH364/$AH363-1,$AI364/$AI363-1,$AJ364/$AJ363-1,$AL364/$AL363-1,$AM364/$AM363-1,$AR364/$AR363-1,$AS364/$AS363-1,$AT364/$AT363-1,$AU364/$AU363-1,$AV364/$AV363-1,$AW364/$AW363-1,$AX364/$AX363-1,$AY364/$AY363-1),"")</f>
        <v/>
      </c>
      <c r="DW363" s="66">
        <f>AVERAGE($CB363,$CC363,$CD363,$CE363,$CF363,$CG363,$CH363,$CI363,$CJ363,$CL363,$CM363,$CN363,$CO363,$CP363,$CQ363,$CR363,$CS363,$CT363)</f>
        <v/>
      </c>
      <c r="DX363" s="66">
        <f>AVERAGE($CB363,$CC363,$CM363,$CE363,$CP363)</f>
        <v/>
      </c>
      <c r="DY363" s="64">
        <f>($DW363-$DW364)*100</f>
        <v/>
      </c>
      <c r="DZ363" s="64">
        <f>($DX363-$DX364)*100</f>
        <v/>
      </c>
      <c r="EA363" s="64">
        <f>($DW363-$D363)*100</f>
        <v/>
      </c>
      <c r="EB363" s="64">
        <f>$Q363-$O363</f>
        <v/>
      </c>
      <c r="EC363" s="67">
        <f>IFERROR($Q363/$P363,"")</f>
        <v/>
      </c>
    </row>
    <row r="364">
      <c r="DG364" s="64">
        <f>($B364-$B365)*100</f>
        <v/>
      </c>
      <c r="DH364" s="64">
        <f>($D364-$D365)*100</f>
        <v/>
      </c>
      <c r="DI364" s="64">
        <f>($E364-$E365)*100</f>
        <v/>
      </c>
      <c r="DJ364" s="64">
        <f>($H364-$H365)*100</f>
        <v/>
      </c>
      <c r="DK364" s="65">
        <f>IFERROR($J364/$J365-1,"")</f>
        <v/>
      </c>
      <c r="DL364" s="64">
        <f>$L364-$L365</f>
        <v/>
      </c>
      <c r="DM364" s="64">
        <f>$K364-$K365</f>
        <v/>
      </c>
      <c r="DN364" s="65">
        <f>IFERROR($N364/$N365-1,"")</f>
        <v/>
      </c>
      <c r="DO364" s="65">
        <f>IFERROR($M364/$M365-1,"")</f>
        <v/>
      </c>
      <c r="DP364" s="65">
        <f>IFERROR($AZ364/$AZ365-1,"")</f>
        <v/>
      </c>
      <c r="DQ364" s="65">
        <f>IFERROR($BA364/$BA365-1,"")</f>
        <v/>
      </c>
      <c r="DR364" s="64">
        <f>$O364-$O365</f>
        <v/>
      </c>
      <c r="DS364" s="64">
        <f>$P364-$P365</f>
        <v/>
      </c>
      <c r="DT364" s="64">
        <f>$Q364-$Q365</f>
        <v/>
      </c>
      <c r="DU364" s="64">
        <f>$S364-$S365</f>
        <v/>
      </c>
      <c r="DV364" s="65">
        <f>IFERROR(AVERAGE($AA365/$AA364-1,$AB365/$AB364-1,$AC365/$AC364-1,$AD365/$AD364-1,$AE365/$AE364-1,$AG365/$AG364-1,$AH365/$AH364-1,$AI365/$AI364-1,$AJ365/$AJ364-1,$AL365/$AL364-1,$AM365/$AM364-1,$AR365/$AR364-1,$AS365/$AS364-1,$AT365/$AT364-1,$AU365/$AU364-1,$AV365/$AV364-1,$AW365/$AW364-1,$AX365/$AX364-1,$AY365/$AY364-1),"")</f>
        <v/>
      </c>
      <c r="DW364" s="66">
        <f>AVERAGE($CB364,$CC364,$CD364,$CE364,$CF364,$CG364,$CH364,$CI364,$CJ364,$CL364,$CM364,$CN364,$CO364,$CP364,$CQ364,$CR364,$CS364,$CT364)</f>
        <v/>
      </c>
      <c r="DX364" s="66">
        <f>AVERAGE($CB364,$CC364,$CM364,$CE364,$CP364)</f>
        <v/>
      </c>
      <c r="DY364" s="64">
        <f>($DW364-$DW365)*100</f>
        <v/>
      </c>
      <c r="DZ364" s="64">
        <f>($DX364-$DX365)*100</f>
        <v/>
      </c>
      <c r="EA364" s="64">
        <f>($DW364-$D364)*100</f>
        <v/>
      </c>
      <c r="EB364" s="64">
        <f>$Q364-$O364</f>
        <v/>
      </c>
      <c r="EC364" s="67">
        <f>IFERROR($Q364/$P364,"")</f>
        <v/>
      </c>
    </row>
    <row r="365">
      <c r="DG365" s="64">
        <f>($B365-$B366)*100</f>
        <v/>
      </c>
      <c r="DH365" s="64">
        <f>($D365-$D366)*100</f>
        <v/>
      </c>
      <c r="DI365" s="64">
        <f>($E365-$E366)*100</f>
        <v/>
      </c>
      <c r="DJ365" s="64">
        <f>($H365-$H366)*100</f>
        <v/>
      </c>
      <c r="DK365" s="65">
        <f>IFERROR($J365/$J366-1,"")</f>
        <v/>
      </c>
      <c r="DL365" s="64">
        <f>$L365-$L366</f>
        <v/>
      </c>
      <c r="DM365" s="64">
        <f>$K365-$K366</f>
        <v/>
      </c>
      <c r="DN365" s="65">
        <f>IFERROR($N365/$N366-1,"")</f>
        <v/>
      </c>
      <c r="DO365" s="65">
        <f>IFERROR($M365/$M366-1,"")</f>
        <v/>
      </c>
      <c r="DP365" s="65">
        <f>IFERROR($AZ365/$AZ366-1,"")</f>
        <v/>
      </c>
      <c r="DQ365" s="65">
        <f>IFERROR($BA365/$BA366-1,"")</f>
        <v/>
      </c>
      <c r="DR365" s="64">
        <f>$O365-$O366</f>
        <v/>
      </c>
      <c r="DS365" s="64">
        <f>$P365-$P366</f>
        <v/>
      </c>
      <c r="DT365" s="64">
        <f>$Q365-$Q366</f>
        <v/>
      </c>
      <c r="DU365" s="64">
        <f>$S365-$S366</f>
        <v/>
      </c>
      <c r="DV365" s="65">
        <f>IFERROR(AVERAGE($AA366/$AA365-1,$AB366/$AB365-1,$AC366/$AC365-1,$AD366/$AD365-1,$AE366/$AE365-1,$AG366/$AG365-1,$AH366/$AH365-1,$AI366/$AI365-1,$AJ366/$AJ365-1,$AL366/$AL365-1,$AM366/$AM365-1,$AR366/$AR365-1,$AS366/$AS365-1,$AT366/$AT365-1,$AU366/$AU365-1,$AV366/$AV365-1,$AW366/$AW365-1,$AX366/$AX365-1,$AY366/$AY365-1),"")</f>
        <v/>
      </c>
      <c r="DW365" s="66">
        <f>AVERAGE($CB365,$CC365,$CD365,$CE365,$CF365,$CG365,$CH365,$CI365,$CJ365,$CL365,$CM365,$CN365,$CO365,$CP365,$CQ365,$CR365,$CS365,$CT365)</f>
        <v/>
      </c>
      <c r="DX365" s="66">
        <f>AVERAGE($CB365,$CC365,$CM365,$CE365,$CP365)</f>
        <v/>
      </c>
      <c r="DY365" s="64">
        <f>($DW365-$DW366)*100</f>
        <v/>
      </c>
      <c r="DZ365" s="64">
        <f>($DX365-$DX366)*100</f>
        <v/>
      </c>
      <c r="EA365" s="64">
        <f>($DW365-$D365)*100</f>
        <v/>
      </c>
      <c r="EB365" s="64">
        <f>$Q365-$O365</f>
        <v/>
      </c>
      <c r="EC365" s="67">
        <f>IFERROR($Q365/$P365,"")</f>
        <v/>
      </c>
    </row>
    <row r="366">
      <c r="DG366" s="64">
        <f>($B366-$B367)*100</f>
        <v/>
      </c>
      <c r="DH366" s="64">
        <f>($D366-$D367)*100</f>
        <v/>
      </c>
      <c r="DI366" s="64">
        <f>($E366-$E367)*100</f>
        <v/>
      </c>
      <c r="DJ366" s="64">
        <f>($H366-$H367)*100</f>
        <v/>
      </c>
      <c r="DK366" s="65">
        <f>IFERROR($J366/$J367-1,"")</f>
        <v/>
      </c>
      <c r="DL366" s="64">
        <f>$L366-$L367</f>
        <v/>
      </c>
      <c r="DM366" s="64">
        <f>$K366-$K367</f>
        <v/>
      </c>
      <c r="DN366" s="65">
        <f>IFERROR($N366/$N367-1,"")</f>
        <v/>
      </c>
      <c r="DO366" s="65">
        <f>IFERROR($M366/$M367-1,"")</f>
        <v/>
      </c>
      <c r="DP366" s="65">
        <f>IFERROR($AZ366/$AZ367-1,"")</f>
        <v/>
      </c>
      <c r="DQ366" s="65">
        <f>IFERROR($BA366/$BA367-1,"")</f>
        <v/>
      </c>
      <c r="DR366" s="64">
        <f>$O366-$O367</f>
        <v/>
      </c>
      <c r="DS366" s="64">
        <f>$P366-$P367</f>
        <v/>
      </c>
      <c r="DT366" s="64">
        <f>$Q366-$Q367</f>
        <v/>
      </c>
      <c r="DU366" s="64">
        <f>$S366-$S367</f>
        <v/>
      </c>
      <c r="DV366" s="65">
        <f>IFERROR(AVERAGE($AA367/$AA366-1,$AB367/$AB366-1,$AC367/$AC366-1,$AD367/$AD366-1,$AE367/$AE366-1,$AG367/$AG366-1,$AH367/$AH366-1,$AI367/$AI366-1,$AJ367/$AJ366-1,$AL367/$AL366-1,$AM367/$AM366-1,$AR367/$AR366-1,$AS367/$AS366-1,$AT367/$AT366-1,$AU367/$AU366-1,$AV367/$AV366-1,$AW367/$AW366-1,$AX367/$AX366-1,$AY367/$AY366-1),"")</f>
        <v/>
      </c>
      <c r="DW366" s="66">
        <f>AVERAGE($CB366,$CC366,$CD366,$CE366,$CF366,$CG366,$CH366,$CI366,$CJ366,$CL366,$CM366,$CN366,$CO366,$CP366,$CQ366,$CR366,$CS366,$CT366)</f>
        <v/>
      </c>
      <c r="DX366" s="66">
        <f>AVERAGE($CB366,$CC366,$CM366,$CE366,$CP366)</f>
        <v/>
      </c>
      <c r="DY366" s="64">
        <f>($DW366-$DW367)*100</f>
        <v/>
      </c>
      <c r="DZ366" s="64">
        <f>($DX366-$DX367)*100</f>
        <v/>
      </c>
      <c r="EA366" s="64">
        <f>($DW366-$D366)*100</f>
        <v/>
      </c>
      <c r="EB366" s="64">
        <f>$Q366-$O366</f>
        <v/>
      </c>
      <c r="EC366" s="67">
        <f>IFERROR($Q366/$P366,"")</f>
        <v/>
      </c>
    </row>
    <row r="367">
      <c r="DG367" s="64">
        <f>($B367-$B368)*100</f>
        <v/>
      </c>
      <c r="DH367" s="64">
        <f>($D367-$D368)*100</f>
        <v/>
      </c>
      <c r="DI367" s="64">
        <f>($E367-$E368)*100</f>
        <v/>
      </c>
      <c r="DJ367" s="64">
        <f>($H367-$H368)*100</f>
        <v/>
      </c>
      <c r="DK367" s="65">
        <f>IFERROR($J367/$J368-1,"")</f>
        <v/>
      </c>
      <c r="DL367" s="64">
        <f>$L367-$L368</f>
        <v/>
      </c>
      <c r="DM367" s="64">
        <f>$K367-$K368</f>
        <v/>
      </c>
      <c r="DN367" s="65">
        <f>IFERROR($N367/$N368-1,"")</f>
        <v/>
      </c>
      <c r="DO367" s="65">
        <f>IFERROR($M367/$M368-1,"")</f>
        <v/>
      </c>
      <c r="DP367" s="65">
        <f>IFERROR($AZ367/$AZ368-1,"")</f>
        <v/>
      </c>
      <c r="DQ367" s="65">
        <f>IFERROR($BA367/$BA368-1,"")</f>
        <v/>
      </c>
      <c r="DR367" s="64">
        <f>$O367-$O368</f>
        <v/>
      </c>
      <c r="DS367" s="64">
        <f>$P367-$P368</f>
        <v/>
      </c>
      <c r="DT367" s="64">
        <f>$Q367-$Q368</f>
        <v/>
      </c>
      <c r="DU367" s="64">
        <f>$S367-$S368</f>
        <v/>
      </c>
      <c r="DV367" s="65">
        <f>IFERROR(AVERAGE($AA368/$AA367-1,$AB368/$AB367-1,$AC368/$AC367-1,$AD368/$AD367-1,$AE368/$AE367-1,$AG368/$AG367-1,$AH368/$AH367-1,$AI368/$AI367-1,$AJ368/$AJ367-1,$AL368/$AL367-1,$AM368/$AM367-1,$AR368/$AR367-1,$AS368/$AS367-1,$AT368/$AT367-1,$AU368/$AU367-1,$AV368/$AV367-1,$AW368/$AW367-1,$AX368/$AX367-1,$AY368/$AY367-1),"")</f>
        <v/>
      </c>
      <c r="DW367" s="66">
        <f>AVERAGE($CB367,$CC367,$CD367,$CE367,$CF367,$CG367,$CH367,$CI367,$CJ367,$CL367,$CM367,$CN367,$CO367,$CP367,$CQ367,$CR367,$CS367,$CT367)</f>
        <v/>
      </c>
      <c r="DX367" s="66">
        <f>AVERAGE($CB367,$CC367,$CM367,$CE367,$CP367)</f>
        <v/>
      </c>
      <c r="DY367" s="64">
        <f>($DW367-$DW368)*100</f>
        <v/>
      </c>
      <c r="DZ367" s="64">
        <f>($DX367-$DX368)*100</f>
        <v/>
      </c>
      <c r="EA367" s="64">
        <f>($DW367-$D367)*100</f>
        <v/>
      </c>
      <c r="EB367" s="64">
        <f>$Q367-$O367</f>
        <v/>
      </c>
      <c r="EC367" s="67">
        <f>IFERROR($Q367/$P367,"")</f>
        <v/>
      </c>
    </row>
    <row r="368">
      <c r="DG368" s="64">
        <f>($B368-$B369)*100</f>
        <v/>
      </c>
      <c r="DH368" s="64">
        <f>($D368-$D369)*100</f>
        <v/>
      </c>
      <c r="DI368" s="64">
        <f>($E368-$E369)*100</f>
        <v/>
      </c>
      <c r="DJ368" s="64">
        <f>($H368-$H369)*100</f>
        <v/>
      </c>
      <c r="DK368" s="65">
        <f>IFERROR($J368/$J369-1,"")</f>
        <v/>
      </c>
      <c r="DL368" s="64">
        <f>$L368-$L369</f>
        <v/>
      </c>
      <c r="DM368" s="64">
        <f>$K368-$K369</f>
        <v/>
      </c>
      <c r="DN368" s="65">
        <f>IFERROR($N368/$N369-1,"")</f>
        <v/>
      </c>
      <c r="DO368" s="65">
        <f>IFERROR($M368/$M369-1,"")</f>
        <v/>
      </c>
      <c r="DP368" s="65">
        <f>IFERROR($AZ368/$AZ369-1,"")</f>
        <v/>
      </c>
      <c r="DQ368" s="65">
        <f>IFERROR($BA368/$BA369-1,"")</f>
        <v/>
      </c>
      <c r="DR368" s="64">
        <f>$O368-$O369</f>
        <v/>
      </c>
      <c r="DS368" s="64">
        <f>$P368-$P369</f>
        <v/>
      </c>
      <c r="DT368" s="64">
        <f>$Q368-$Q369</f>
        <v/>
      </c>
      <c r="DU368" s="64">
        <f>$S368-$S369</f>
        <v/>
      </c>
      <c r="DV368" s="65">
        <f>IFERROR(AVERAGE($AA369/$AA368-1,$AB369/$AB368-1,$AC369/$AC368-1,$AD369/$AD368-1,$AE369/$AE368-1,$AG369/$AG368-1,$AH369/$AH368-1,$AI369/$AI368-1,$AJ369/$AJ368-1,$AL369/$AL368-1,$AM369/$AM368-1,$AR369/$AR368-1,$AS369/$AS368-1,$AT369/$AT368-1,$AU369/$AU368-1,$AV369/$AV368-1,$AW369/$AW368-1,$AX369/$AX368-1,$AY369/$AY368-1),"")</f>
        <v/>
      </c>
      <c r="DW368" s="66">
        <f>AVERAGE($CB368,$CC368,$CD368,$CE368,$CF368,$CG368,$CH368,$CI368,$CJ368,$CL368,$CM368,$CN368,$CO368,$CP368,$CQ368,$CR368,$CS368,$CT368)</f>
        <v/>
      </c>
      <c r="DX368" s="66">
        <f>AVERAGE($CB368,$CC368,$CM368,$CE368,$CP368)</f>
        <v/>
      </c>
      <c r="DY368" s="64">
        <f>($DW368-$DW369)*100</f>
        <v/>
      </c>
      <c r="DZ368" s="64">
        <f>($DX368-$DX369)*100</f>
        <v/>
      </c>
      <c r="EA368" s="64">
        <f>($DW368-$D368)*100</f>
        <v/>
      </c>
      <c r="EB368" s="64">
        <f>$Q368-$O368</f>
        <v/>
      </c>
      <c r="EC368" s="67">
        <f>IFERROR($Q368/$P368,"")</f>
        <v/>
      </c>
    </row>
    <row r="369">
      <c r="DG369" s="64">
        <f>($B369-$B370)*100</f>
        <v/>
      </c>
      <c r="DH369" s="64">
        <f>($D369-$D370)*100</f>
        <v/>
      </c>
      <c r="DI369" s="64">
        <f>($E369-$E370)*100</f>
        <v/>
      </c>
      <c r="DJ369" s="64">
        <f>($H369-$H370)*100</f>
        <v/>
      </c>
      <c r="DK369" s="65">
        <f>IFERROR($J369/$J370-1,"")</f>
        <v/>
      </c>
      <c r="DL369" s="64">
        <f>$L369-$L370</f>
        <v/>
      </c>
      <c r="DM369" s="64">
        <f>$K369-$K370</f>
        <v/>
      </c>
      <c r="DN369" s="65">
        <f>IFERROR($N369/$N370-1,"")</f>
        <v/>
      </c>
      <c r="DO369" s="65">
        <f>IFERROR($M369/$M370-1,"")</f>
        <v/>
      </c>
      <c r="DP369" s="65">
        <f>IFERROR($AZ369/$AZ370-1,"")</f>
        <v/>
      </c>
      <c r="DQ369" s="65">
        <f>IFERROR($BA369/$BA370-1,"")</f>
        <v/>
      </c>
      <c r="DR369" s="64">
        <f>$O369-$O370</f>
        <v/>
      </c>
      <c r="DS369" s="64">
        <f>$P369-$P370</f>
        <v/>
      </c>
      <c r="DT369" s="64">
        <f>$Q369-$Q370</f>
        <v/>
      </c>
      <c r="DU369" s="64">
        <f>$S369-$S370</f>
        <v/>
      </c>
      <c r="DV369" s="65">
        <f>IFERROR(AVERAGE($AA370/$AA369-1,$AB370/$AB369-1,$AC370/$AC369-1,$AD370/$AD369-1,$AE370/$AE369-1,$AG370/$AG369-1,$AH370/$AH369-1,$AI370/$AI369-1,$AJ370/$AJ369-1,$AL370/$AL369-1,$AM370/$AM369-1,$AR370/$AR369-1,$AS370/$AS369-1,$AT370/$AT369-1,$AU370/$AU369-1,$AV370/$AV369-1,$AW370/$AW369-1,$AX370/$AX369-1,$AY370/$AY369-1),"")</f>
        <v/>
      </c>
      <c r="DW369" s="66">
        <f>AVERAGE($CB369,$CC369,$CD369,$CE369,$CF369,$CG369,$CH369,$CI369,$CJ369,$CL369,$CM369,$CN369,$CO369,$CP369,$CQ369,$CR369,$CS369,$CT369)</f>
        <v/>
      </c>
      <c r="DX369" s="66">
        <f>AVERAGE($CB369,$CC369,$CM369,$CE369,$CP369)</f>
        <v/>
      </c>
      <c r="DY369" s="64">
        <f>($DW369-$DW370)*100</f>
        <v/>
      </c>
      <c r="DZ369" s="64">
        <f>($DX369-$DX370)*100</f>
        <v/>
      </c>
      <c r="EA369" s="64">
        <f>($DW369-$D369)*100</f>
        <v/>
      </c>
      <c r="EB369" s="64">
        <f>$Q369-$O369</f>
        <v/>
      </c>
      <c r="EC369" s="67">
        <f>IFERROR($Q369/$P369,"")</f>
        <v/>
      </c>
    </row>
    <row r="370">
      <c r="DG370" s="64">
        <f>($B370-$B371)*100</f>
        <v/>
      </c>
      <c r="DH370" s="64">
        <f>($D370-$D371)*100</f>
        <v/>
      </c>
      <c r="DI370" s="64">
        <f>($E370-$E371)*100</f>
        <v/>
      </c>
      <c r="DJ370" s="64">
        <f>($H370-$H371)*100</f>
        <v/>
      </c>
      <c r="DK370" s="65">
        <f>IFERROR($J370/$J371-1,"")</f>
        <v/>
      </c>
      <c r="DL370" s="64">
        <f>$L370-$L371</f>
        <v/>
      </c>
      <c r="DM370" s="64">
        <f>$K370-$K371</f>
        <v/>
      </c>
      <c r="DN370" s="65">
        <f>IFERROR($N370/$N371-1,"")</f>
        <v/>
      </c>
      <c r="DO370" s="65">
        <f>IFERROR($M370/$M371-1,"")</f>
        <v/>
      </c>
      <c r="DP370" s="65">
        <f>IFERROR($AZ370/$AZ371-1,"")</f>
        <v/>
      </c>
      <c r="DQ370" s="65">
        <f>IFERROR($BA370/$BA371-1,"")</f>
        <v/>
      </c>
      <c r="DR370" s="64">
        <f>$O370-$O371</f>
        <v/>
      </c>
      <c r="DS370" s="64">
        <f>$P370-$P371</f>
        <v/>
      </c>
      <c r="DT370" s="64">
        <f>$Q370-$Q371</f>
        <v/>
      </c>
      <c r="DU370" s="64">
        <f>$S370-$S371</f>
        <v/>
      </c>
      <c r="DV370" s="65">
        <f>IFERROR(AVERAGE($AA371/$AA370-1,$AB371/$AB370-1,$AC371/$AC370-1,$AD371/$AD370-1,$AE371/$AE370-1,$AG371/$AG370-1,$AH371/$AH370-1,$AI371/$AI370-1,$AJ371/$AJ370-1,$AL371/$AL370-1,$AM371/$AM370-1,$AR371/$AR370-1,$AS371/$AS370-1,$AT371/$AT370-1,$AU371/$AU370-1,$AV371/$AV370-1,$AW371/$AW370-1,$AX371/$AX370-1,$AY371/$AY370-1),"")</f>
        <v/>
      </c>
      <c r="DW370" s="66">
        <f>AVERAGE($CB370,$CC370,$CD370,$CE370,$CF370,$CG370,$CH370,$CI370,$CJ370,$CL370,$CM370,$CN370,$CO370,$CP370,$CQ370,$CR370,$CS370,$CT370)</f>
        <v/>
      </c>
      <c r="DX370" s="66">
        <f>AVERAGE($CB370,$CC370,$CM370,$CE370,$CP370)</f>
        <v/>
      </c>
      <c r="DY370" s="64">
        <f>($DW370-$DW371)*100</f>
        <v/>
      </c>
      <c r="DZ370" s="64">
        <f>($DX370-$DX371)*100</f>
        <v/>
      </c>
      <c r="EA370" s="64">
        <f>($DW370-$D370)*100</f>
        <v/>
      </c>
      <c r="EB370" s="64">
        <f>$Q370-$O370</f>
        <v/>
      </c>
      <c r="EC370" s="67">
        <f>IFERROR($Q370/$P370,"")</f>
        <v/>
      </c>
    </row>
    <row r="371">
      <c r="DG371" s="64">
        <f>($B371-$B372)*100</f>
        <v/>
      </c>
      <c r="DH371" s="64">
        <f>($D371-$D372)*100</f>
        <v/>
      </c>
      <c r="DI371" s="64">
        <f>($E371-$E372)*100</f>
        <v/>
      </c>
      <c r="DJ371" s="64">
        <f>($H371-$H372)*100</f>
        <v/>
      </c>
      <c r="DK371" s="65">
        <f>IFERROR($J371/$J372-1,"")</f>
        <v/>
      </c>
      <c r="DL371" s="64">
        <f>$L371-$L372</f>
        <v/>
      </c>
      <c r="DM371" s="64">
        <f>$K371-$K372</f>
        <v/>
      </c>
      <c r="DN371" s="65">
        <f>IFERROR($N371/$N372-1,"")</f>
        <v/>
      </c>
      <c r="DO371" s="65">
        <f>IFERROR($M371/$M372-1,"")</f>
        <v/>
      </c>
      <c r="DP371" s="65">
        <f>IFERROR($AZ371/$AZ372-1,"")</f>
        <v/>
      </c>
      <c r="DQ371" s="65">
        <f>IFERROR($BA371/$BA372-1,"")</f>
        <v/>
      </c>
      <c r="DR371" s="64">
        <f>$O371-$O372</f>
        <v/>
      </c>
      <c r="DS371" s="64">
        <f>$P371-$P372</f>
        <v/>
      </c>
      <c r="DT371" s="64">
        <f>$Q371-$Q372</f>
        <v/>
      </c>
      <c r="DU371" s="64">
        <f>$S371-$S372</f>
        <v/>
      </c>
      <c r="DV371" s="65">
        <f>IFERROR(AVERAGE($AA372/$AA371-1,$AB372/$AB371-1,$AC372/$AC371-1,$AD372/$AD371-1,$AE372/$AE371-1,$AG372/$AG371-1,$AH372/$AH371-1,$AI372/$AI371-1,$AJ372/$AJ371-1,$AL372/$AL371-1,$AM372/$AM371-1,$AR372/$AR371-1,$AS372/$AS371-1,$AT372/$AT371-1,$AU372/$AU371-1,$AV372/$AV371-1,$AW372/$AW371-1,$AX372/$AX371-1,$AY372/$AY371-1),"")</f>
        <v/>
      </c>
      <c r="DW371" s="66">
        <f>AVERAGE($CB371,$CC371,$CD371,$CE371,$CF371,$CG371,$CH371,$CI371,$CJ371,$CL371,$CM371,$CN371,$CO371,$CP371,$CQ371,$CR371,$CS371,$CT371)</f>
        <v/>
      </c>
      <c r="DX371" s="66">
        <f>AVERAGE($CB371,$CC371,$CM371,$CE371,$CP371)</f>
        <v/>
      </c>
      <c r="DY371" s="64">
        <f>($DW371-$DW372)*100</f>
        <v/>
      </c>
      <c r="DZ371" s="64">
        <f>($DX371-$DX372)*100</f>
        <v/>
      </c>
      <c r="EA371" s="64">
        <f>($DW371-$D371)*100</f>
        <v/>
      </c>
      <c r="EB371" s="64">
        <f>$Q371-$O371</f>
        <v/>
      </c>
      <c r="EC371" s="67">
        <f>IFERROR($Q371/$P371,"")</f>
        <v/>
      </c>
    </row>
    <row r="372">
      <c r="DG372" s="64">
        <f>($B372-$B373)*100</f>
        <v/>
      </c>
      <c r="DH372" s="64">
        <f>($D372-$D373)*100</f>
        <v/>
      </c>
      <c r="DI372" s="64">
        <f>($E372-$E373)*100</f>
        <v/>
      </c>
      <c r="DJ372" s="64">
        <f>($H372-$H373)*100</f>
        <v/>
      </c>
      <c r="DK372" s="65">
        <f>IFERROR($J372/$J373-1,"")</f>
        <v/>
      </c>
      <c r="DL372" s="64">
        <f>$L372-$L373</f>
        <v/>
      </c>
      <c r="DM372" s="64">
        <f>$K372-$K373</f>
        <v/>
      </c>
      <c r="DN372" s="65">
        <f>IFERROR($N372/$N373-1,"")</f>
        <v/>
      </c>
      <c r="DO372" s="65">
        <f>IFERROR($M372/$M373-1,"")</f>
        <v/>
      </c>
      <c r="DP372" s="65">
        <f>IFERROR($AZ372/$AZ373-1,"")</f>
        <v/>
      </c>
      <c r="DQ372" s="65">
        <f>IFERROR($BA372/$BA373-1,"")</f>
        <v/>
      </c>
      <c r="DR372" s="64">
        <f>$O372-$O373</f>
        <v/>
      </c>
      <c r="DS372" s="64">
        <f>$P372-$P373</f>
        <v/>
      </c>
      <c r="DT372" s="64">
        <f>$Q372-$Q373</f>
        <v/>
      </c>
      <c r="DU372" s="64">
        <f>$S372-$S373</f>
        <v/>
      </c>
      <c r="DV372" s="65">
        <f>IFERROR(AVERAGE($AA373/$AA372-1,$AB373/$AB372-1,$AC373/$AC372-1,$AD373/$AD372-1,$AE373/$AE372-1,$AG373/$AG372-1,$AH373/$AH372-1,$AI373/$AI372-1,$AJ373/$AJ372-1,$AL373/$AL372-1,$AM373/$AM372-1,$AR373/$AR372-1,$AS373/$AS372-1,$AT373/$AT372-1,$AU373/$AU372-1,$AV373/$AV372-1,$AW373/$AW372-1,$AX373/$AX372-1,$AY373/$AY372-1),"")</f>
        <v/>
      </c>
      <c r="DW372" s="66">
        <f>AVERAGE($CB372,$CC372,$CD372,$CE372,$CF372,$CG372,$CH372,$CI372,$CJ372,$CL372,$CM372,$CN372,$CO372,$CP372,$CQ372,$CR372,$CS372,$CT372)</f>
        <v/>
      </c>
      <c r="DX372" s="66">
        <f>AVERAGE($CB372,$CC372,$CM372,$CE372,$CP372)</f>
        <v/>
      </c>
      <c r="DY372" s="64">
        <f>($DW372-$DW373)*100</f>
        <v/>
      </c>
      <c r="DZ372" s="64">
        <f>($DX372-$DX373)*100</f>
        <v/>
      </c>
      <c r="EA372" s="64">
        <f>($DW372-$D372)*100</f>
        <v/>
      </c>
      <c r="EB372" s="64">
        <f>$Q372-$O372</f>
        <v/>
      </c>
      <c r="EC372" s="67">
        <f>IFERROR($Q372/$P372,"")</f>
        <v/>
      </c>
    </row>
    <row r="373">
      <c r="DG373" s="64">
        <f>($B373-$B374)*100</f>
        <v/>
      </c>
      <c r="DH373" s="64">
        <f>($D373-$D374)*100</f>
        <v/>
      </c>
      <c r="DI373" s="64">
        <f>($E373-$E374)*100</f>
        <v/>
      </c>
      <c r="DJ373" s="64">
        <f>($H373-$H374)*100</f>
        <v/>
      </c>
      <c r="DK373" s="65">
        <f>IFERROR($J373/$J374-1,"")</f>
        <v/>
      </c>
      <c r="DL373" s="64">
        <f>$L373-$L374</f>
        <v/>
      </c>
      <c r="DM373" s="64">
        <f>$K373-$K374</f>
        <v/>
      </c>
      <c r="DN373" s="65">
        <f>IFERROR($N373/$N374-1,"")</f>
        <v/>
      </c>
      <c r="DO373" s="65">
        <f>IFERROR($M373/$M374-1,"")</f>
        <v/>
      </c>
      <c r="DP373" s="65">
        <f>IFERROR($AZ373/$AZ374-1,"")</f>
        <v/>
      </c>
      <c r="DQ373" s="65">
        <f>IFERROR($BA373/$BA374-1,"")</f>
        <v/>
      </c>
      <c r="DR373" s="64">
        <f>$O373-$O374</f>
        <v/>
      </c>
      <c r="DS373" s="64">
        <f>$P373-$P374</f>
        <v/>
      </c>
      <c r="DT373" s="64">
        <f>$Q373-$Q374</f>
        <v/>
      </c>
      <c r="DU373" s="64">
        <f>$S373-$S374</f>
        <v/>
      </c>
      <c r="DV373" s="65">
        <f>IFERROR(AVERAGE($AA374/$AA373-1,$AB374/$AB373-1,$AC374/$AC373-1,$AD374/$AD373-1,$AE374/$AE373-1,$AG374/$AG373-1,$AH374/$AH373-1,$AI374/$AI373-1,$AJ374/$AJ373-1,$AL374/$AL373-1,$AM374/$AM373-1,$AR374/$AR373-1,$AS374/$AS373-1,$AT374/$AT373-1,$AU374/$AU373-1,$AV374/$AV373-1,$AW374/$AW373-1,$AX374/$AX373-1,$AY374/$AY373-1),"")</f>
        <v/>
      </c>
      <c r="DW373" s="66">
        <f>AVERAGE($CB373,$CC373,$CD373,$CE373,$CF373,$CG373,$CH373,$CI373,$CJ373,$CL373,$CM373,$CN373,$CO373,$CP373,$CQ373,$CR373,$CS373,$CT373)</f>
        <v/>
      </c>
      <c r="DX373" s="66">
        <f>AVERAGE($CB373,$CC373,$CM373,$CE373,$CP373)</f>
        <v/>
      </c>
      <c r="DY373" s="64">
        <f>($DW373-$DW374)*100</f>
        <v/>
      </c>
      <c r="DZ373" s="64">
        <f>($DX373-$DX374)*100</f>
        <v/>
      </c>
      <c r="EA373" s="64">
        <f>($DW373-$D373)*100</f>
        <v/>
      </c>
      <c r="EB373" s="64">
        <f>$Q373-$O373</f>
        <v/>
      </c>
      <c r="EC373" s="67">
        <f>IFERROR($Q373/$P373,"")</f>
        <v/>
      </c>
    </row>
    <row r="374">
      <c r="DG374" s="64">
        <f>($B374-$B375)*100</f>
        <v/>
      </c>
      <c r="DH374" s="64">
        <f>($D374-$D375)*100</f>
        <v/>
      </c>
      <c r="DI374" s="64">
        <f>($E374-$E375)*100</f>
        <v/>
      </c>
      <c r="DJ374" s="64">
        <f>($H374-$H375)*100</f>
        <v/>
      </c>
      <c r="DK374" s="65">
        <f>IFERROR($J374/$J375-1,"")</f>
        <v/>
      </c>
      <c r="DL374" s="64">
        <f>$L374-$L375</f>
        <v/>
      </c>
      <c r="DM374" s="64">
        <f>$K374-$K375</f>
        <v/>
      </c>
      <c r="DN374" s="65">
        <f>IFERROR($N374/$N375-1,"")</f>
        <v/>
      </c>
      <c r="DO374" s="65">
        <f>IFERROR($M374/$M375-1,"")</f>
        <v/>
      </c>
      <c r="DP374" s="65">
        <f>IFERROR($AZ374/$AZ375-1,"")</f>
        <v/>
      </c>
      <c r="DQ374" s="65">
        <f>IFERROR($BA374/$BA375-1,"")</f>
        <v/>
      </c>
      <c r="DR374" s="64">
        <f>$O374-$O375</f>
        <v/>
      </c>
      <c r="DS374" s="64">
        <f>$P374-$P375</f>
        <v/>
      </c>
      <c r="DT374" s="64">
        <f>$Q374-$Q375</f>
        <v/>
      </c>
      <c r="DU374" s="64">
        <f>$S374-$S375</f>
        <v/>
      </c>
      <c r="DV374" s="65">
        <f>IFERROR(AVERAGE($AA375/$AA374-1,$AB375/$AB374-1,$AC375/$AC374-1,$AD375/$AD374-1,$AE375/$AE374-1,$AG375/$AG374-1,$AH375/$AH374-1,$AI375/$AI374-1,$AJ375/$AJ374-1,$AL375/$AL374-1,$AM375/$AM374-1,$AR375/$AR374-1,$AS375/$AS374-1,$AT375/$AT374-1,$AU375/$AU374-1,$AV375/$AV374-1,$AW375/$AW374-1,$AX375/$AX374-1,$AY375/$AY374-1),"")</f>
        <v/>
      </c>
      <c r="DW374" s="66">
        <f>AVERAGE($CB374,$CC374,$CD374,$CE374,$CF374,$CG374,$CH374,$CI374,$CJ374,$CL374,$CM374,$CN374,$CO374,$CP374,$CQ374,$CR374,$CS374,$CT374)</f>
        <v/>
      </c>
      <c r="DX374" s="66">
        <f>AVERAGE($CB374,$CC374,$CM374,$CE374,$CP374)</f>
        <v/>
      </c>
      <c r="DY374" s="64">
        <f>($DW374-$DW375)*100</f>
        <v/>
      </c>
      <c r="DZ374" s="64">
        <f>($DX374-$DX375)*100</f>
        <v/>
      </c>
      <c r="EA374" s="64">
        <f>($DW374-$D374)*100</f>
        <v/>
      </c>
      <c r="EB374" s="64">
        <f>$Q374-$O374</f>
        <v/>
      </c>
      <c r="EC374" s="67">
        <f>IFERROR($Q374/$P374,"")</f>
        <v/>
      </c>
    </row>
    <row r="375">
      <c r="DG375" s="64">
        <f>($B375-$B376)*100</f>
        <v/>
      </c>
      <c r="DH375" s="64">
        <f>($D375-$D376)*100</f>
        <v/>
      </c>
      <c r="DI375" s="64">
        <f>($E375-$E376)*100</f>
        <v/>
      </c>
      <c r="DJ375" s="64">
        <f>($H375-$H376)*100</f>
        <v/>
      </c>
      <c r="DK375" s="65">
        <f>IFERROR($J375/$J376-1,"")</f>
        <v/>
      </c>
      <c r="DL375" s="64">
        <f>$L375-$L376</f>
        <v/>
      </c>
      <c r="DM375" s="64">
        <f>$K375-$K376</f>
        <v/>
      </c>
      <c r="DN375" s="65">
        <f>IFERROR($N375/$N376-1,"")</f>
        <v/>
      </c>
      <c r="DO375" s="65">
        <f>IFERROR($M375/$M376-1,"")</f>
        <v/>
      </c>
      <c r="DP375" s="65">
        <f>IFERROR($AZ375/$AZ376-1,"")</f>
        <v/>
      </c>
      <c r="DQ375" s="65">
        <f>IFERROR($BA375/$BA376-1,"")</f>
        <v/>
      </c>
      <c r="DR375" s="64">
        <f>$O375-$O376</f>
        <v/>
      </c>
      <c r="DS375" s="64">
        <f>$P375-$P376</f>
        <v/>
      </c>
      <c r="DT375" s="64">
        <f>$Q375-$Q376</f>
        <v/>
      </c>
      <c r="DU375" s="64">
        <f>$S375-$S376</f>
        <v/>
      </c>
      <c r="DV375" s="65">
        <f>IFERROR(AVERAGE($AA376/$AA375-1,$AB376/$AB375-1,$AC376/$AC375-1,$AD376/$AD375-1,$AE376/$AE375-1,$AG376/$AG375-1,$AH376/$AH375-1,$AI376/$AI375-1,$AJ376/$AJ375-1,$AL376/$AL375-1,$AM376/$AM375-1,$AR376/$AR375-1,$AS376/$AS375-1,$AT376/$AT375-1,$AU376/$AU375-1,$AV376/$AV375-1,$AW376/$AW375-1,$AX376/$AX375-1,$AY376/$AY375-1),"")</f>
        <v/>
      </c>
      <c r="DW375" s="66">
        <f>AVERAGE($CB375,$CC375,$CD375,$CE375,$CF375,$CG375,$CH375,$CI375,$CJ375,$CL375,$CM375,$CN375,$CO375,$CP375,$CQ375,$CR375,$CS375,$CT375)</f>
        <v/>
      </c>
      <c r="DX375" s="66">
        <f>AVERAGE($CB375,$CC375,$CM375,$CE375,$CP375)</f>
        <v/>
      </c>
      <c r="DY375" s="64">
        <f>($DW375-$DW376)*100</f>
        <v/>
      </c>
      <c r="DZ375" s="64">
        <f>($DX375-$DX376)*100</f>
        <v/>
      </c>
      <c r="EA375" s="64">
        <f>($DW375-$D375)*100</f>
        <v/>
      </c>
      <c r="EB375" s="64">
        <f>$Q375-$O375</f>
        <v/>
      </c>
      <c r="EC375" s="67">
        <f>IFERROR($Q375/$P375,"")</f>
        <v/>
      </c>
    </row>
    <row r="376">
      <c r="DG376" s="64">
        <f>($B376-$B377)*100</f>
        <v/>
      </c>
      <c r="DH376" s="64">
        <f>($D376-$D377)*100</f>
        <v/>
      </c>
      <c r="DI376" s="64">
        <f>($E376-$E377)*100</f>
        <v/>
      </c>
      <c r="DJ376" s="64">
        <f>($H376-$H377)*100</f>
        <v/>
      </c>
      <c r="DK376" s="65">
        <f>IFERROR($J376/$J377-1,"")</f>
        <v/>
      </c>
      <c r="DL376" s="64">
        <f>$L376-$L377</f>
        <v/>
      </c>
      <c r="DM376" s="64">
        <f>$K376-$K377</f>
        <v/>
      </c>
      <c r="DN376" s="65">
        <f>IFERROR($N376/$N377-1,"")</f>
        <v/>
      </c>
      <c r="DO376" s="65">
        <f>IFERROR($M376/$M377-1,"")</f>
        <v/>
      </c>
      <c r="DP376" s="65">
        <f>IFERROR($AZ376/$AZ377-1,"")</f>
        <v/>
      </c>
      <c r="DQ376" s="65">
        <f>IFERROR($BA376/$BA377-1,"")</f>
        <v/>
      </c>
      <c r="DR376" s="64">
        <f>$O376-$O377</f>
        <v/>
      </c>
      <c r="DS376" s="64">
        <f>$P376-$P377</f>
        <v/>
      </c>
      <c r="DT376" s="64">
        <f>$Q376-$Q377</f>
        <v/>
      </c>
      <c r="DU376" s="64">
        <f>$S376-$S377</f>
        <v/>
      </c>
      <c r="DV376" s="65">
        <f>IFERROR(AVERAGE($AA377/$AA376-1,$AB377/$AB376-1,$AC377/$AC376-1,$AD377/$AD376-1,$AE377/$AE376-1,$AG377/$AG376-1,$AH377/$AH376-1,$AI377/$AI376-1,$AJ377/$AJ376-1,$AL377/$AL376-1,$AM377/$AM376-1,$AR377/$AR376-1,$AS377/$AS376-1,$AT377/$AT376-1,$AU377/$AU376-1,$AV377/$AV376-1,$AW377/$AW376-1,$AX377/$AX376-1,$AY377/$AY376-1),"")</f>
        <v/>
      </c>
      <c r="DW376" s="66">
        <f>AVERAGE($CB376,$CC376,$CD376,$CE376,$CF376,$CG376,$CH376,$CI376,$CJ376,$CL376,$CM376,$CN376,$CO376,$CP376,$CQ376,$CR376,$CS376,$CT376)</f>
        <v/>
      </c>
      <c r="DX376" s="66">
        <f>AVERAGE($CB376,$CC376,$CM376,$CE376,$CP376)</f>
        <v/>
      </c>
      <c r="DY376" s="64">
        <f>($DW376-$DW377)*100</f>
        <v/>
      </c>
      <c r="DZ376" s="64">
        <f>($DX376-$DX377)*100</f>
        <v/>
      </c>
      <c r="EA376" s="64">
        <f>($DW376-$D376)*100</f>
        <v/>
      </c>
      <c r="EB376" s="64">
        <f>$Q376-$O376</f>
        <v/>
      </c>
      <c r="EC376" s="67">
        <f>IFERROR($Q376/$P376,"")</f>
        <v/>
      </c>
    </row>
    <row r="377">
      <c r="DG377" s="64">
        <f>($B377-$B378)*100</f>
        <v/>
      </c>
      <c r="DH377" s="64">
        <f>($D377-$D378)*100</f>
        <v/>
      </c>
      <c r="DI377" s="64">
        <f>($E377-$E378)*100</f>
        <v/>
      </c>
      <c r="DJ377" s="64">
        <f>($H377-$H378)*100</f>
        <v/>
      </c>
      <c r="DK377" s="65">
        <f>IFERROR($J377/$J378-1,"")</f>
        <v/>
      </c>
      <c r="DL377" s="64">
        <f>$L377-$L378</f>
        <v/>
      </c>
      <c r="DM377" s="64">
        <f>$K377-$K378</f>
        <v/>
      </c>
      <c r="DN377" s="65">
        <f>IFERROR($N377/$N378-1,"")</f>
        <v/>
      </c>
      <c r="DO377" s="65">
        <f>IFERROR($M377/$M378-1,"")</f>
        <v/>
      </c>
      <c r="DP377" s="65">
        <f>IFERROR($AZ377/$AZ378-1,"")</f>
        <v/>
      </c>
      <c r="DQ377" s="65">
        <f>IFERROR($BA377/$BA378-1,"")</f>
        <v/>
      </c>
      <c r="DR377" s="64">
        <f>$O377-$O378</f>
        <v/>
      </c>
      <c r="DS377" s="64">
        <f>$P377-$P378</f>
        <v/>
      </c>
      <c r="DT377" s="64">
        <f>$Q377-$Q378</f>
        <v/>
      </c>
      <c r="DU377" s="64">
        <f>$S377-$S378</f>
        <v/>
      </c>
      <c r="DV377" s="65">
        <f>IFERROR(AVERAGE($AA378/$AA377-1,$AB378/$AB377-1,$AC378/$AC377-1,$AD378/$AD377-1,$AE378/$AE377-1,$AG378/$AG377-1,$AH378/$AH377-1,$AI378/$AI377-1,$AJ378/$AJ377-1,$AL378/$AL377-1,$AM378/$AM377-1,$AR378/$AR377-1,$AS378/$AS377-1,$AT378/$AT377-1,$AU378/$AU377-1,$AV378/$AV377-1,$AW378/$AW377-1,$AX378/$AX377-1,$AY378/$AY377-1),"")</f>
        <v/>
      </c>
      <c r="DW377" s="66">
        <f>AVERAGE($CB377,$CC377,$CD377,$CE377,$CF377,$CG377,$CH377,$CI377,$CJ377,$CL377,$CM377,$CN377,$CO377,$CP377,$CQ377,$CR377,$CS377,$CT377)</f>
        <v/>
      </c>
      <c r="DX377" s="66">
        <f>AVERAGE($CB377,$CC377,$CM377,$CE377,$CP377)</f>
        <v/>
      </c>
      <c r="DY377" s="64">
        <f>($DW377-$DW378)*100</f>
        <v/>
      </c>
      <c r="DZ377" s="64">
        <f>($DX377-$DX378)*100</f>
        <v/>
      </c>
      <c r="EA377" s="64">
        <f>($DW377-$D377)*100</f>
        <v/>
      </c>
      <c r="EB377" s="64">
        <f>$Q377-$O377</f>
        <v/>
      </c>
      <c r="EC377" s="67">
        <f>IFERROR($Q377/$P377,"")</f>
        <v/>
      </c>
    </row>
    <row r="378">
      <c r="DG378" s="64">
        <f>($B378-$B379)*100</f>
        <v/>
      </c>
      <c r="DH378" s="64">
        <f>($D378-$D379)*100</f>
        <v/>
      </c>
      <c r="DI378" s="64">
        <f>($E378-$E379)*100</f>
        <v/>
      </c>
      <c r="DJ378" s="64">
        <f>($H378-$H379)*100</f>
        <v/>
      </c>
      <c r="DK378" s="65">
        <f>IFERROR($J378/$J379-1,"")</f>
        <v/>
      </c>
      <c r="DL378" s="64">
        <f>$L378-$L379</f>
        <v/>
      </c>
      <c r="DM378" s="64">
        <f>$K378-$K379</f>
        <v/>
      </c>
      <c r="DN378" s="65">
        <f>IFERROR($N378/$N379-1,"")</f>
        <v/>
      </c>
      <c r="DO378" s="65">
        <f>IFERROR($M378/$M379-1,"")</f>
        <v/>
      </c>
      <c r="DP378" s="65">
        <f>IFERROR($AZ378/$AZ379-1,"")</f>
        <v/>
      </c>
      <c r="DQ378" s="65">
        <f>IFERROR($BA378/$BA379-1,"")</f>
        <v/>
      </c>
      <c r="DR378" s="64">
        <f>$O378-$O379</f>
        <v/>
      </c>
      <c r="DS378" s="64">
        <f>$P378-$P379</f>
        <v/>
      </c>
      <c r="DT378" s="64">
        <f>$Q378-$Q379</f>
        <v/>
      </c>
      <c r="DU378" s="64">
        <f>$S378-$S379</f>
        <v/>
      </c>
      <c r="DV378" s="65">
        <f>IFERROR(AVERAGE($AA379/$AA378-1,$AB379/$AB378-1,$AC379/$AC378-1,$AD379/$AD378-1,$AE379/$AE378-1,$AG379/$AG378-1,$AH379/$AH378-1,$AI379/$AI378-1,$AJ379/$AJ378-1,$AL379/$AL378-1,$AM379/$AM378-1,$AR379/$AR378-1,$AS379/$AS378-1,$AT379/$AT378-1,$AU379/$AU378-1,$AV379/$AV378-1,$AW379/$AW378-1,$AX379/$AX378-1,$AY379/$AY378-1),"")</f>
        <v/>
      </c>
      <c r="DW378" s="66">
        <f>AVERAGE($CB378,$CC378,$CD378,$CE378,$CF378,$CG378,$CH378,$CI378,$CJ378,$CL378,$CM378,$CN378,$CO378,$CP378,$CQ378,$CR378,$CS378,$CT378)</f>
        <v/>
      </c>
      <c r="DX378" s="66">
        <f>AVERAGE($CB378,$CC378,$CM378,$CE378,$CP378)</f>
        <v/>
      </c>
      <c r="DY378" s="64">
        <f>($DW378-$DW379)*100</f>
        <v/>
      </c>
      <c r="DZ378" s="64">
        <f>($DX378-$DX379)*100</f>
        <v/>
      </c>
      <c r="EA378" s="64">
        <f>($DW378-$D378)*100</f>
        <v/>
      </c>
      <c r="EB378" s="64">
        <f>$Q378-$O378</f>
        <v/>
      </c>
      <c r="EC378" s="67">
        <f>IFERROR($Q378/$P378,"")</f>
        <v/>
      </c>
    </row>
    <row r="379">
      <c r="DG379" s="64">
        <f>($B379-$B380)*100</f>
        <v/>
      </c>
      <c r="DH379" s="64">
        <f>($D379-$D380)*100</f>
        <v/>
      </c>
      <c r="DI379" s="64">
        <f>($E379-$E380)*100</f>
        <v/>
      </c>
      <c r="DJ379" s="64">
        <f>($H379-$H380)*100</f>
        <v/>
      </c>
      <c r="DK379" s="65">
        <f>IFERROR($J379/$J380-1,"")</f>
        <v/>
      </c>
      <c r="DL379" s="64">
        <f>$L379-$L380</f>
        <v/>
      </c>
      <c r="DM379" s="64">
        <f>$K379-$K380</f>
        <v/>
      </c>
      <c r="DN379" s="65">
        <f>IFERROR($N379/$N380-1,"")</f>
        <v/>
      </c>
      <c r="DO379" s="65">
        <f>IFERROR($M379/$M380-1,"")</f>
        <v/>
      </c>
      <c r="DP379" s="65">
        <f>IFERROR($AZ379/$AZ380-1,"")</f>
        <v/>
      </c>
      <c r="DQ379" s="65">
        <f>IFERROR($BA379/$BA380-1,"")</f>
        <v/>
      </c>
      <c r="DR379" s="64">
        <f>$O379-$O380</f>
        <v/>
      </c>
      <c r="DS379" s="64">
        <f>$P379-$P380</f>
        <v/>
      </c>
      <c r="DT379" s="64">
        <f>$Q379-$Q380</f>
        <v/>
      </c>
      <c r="DU379" s="64">
        <f>$S379-$S380</f>
        <v/>
      </c>
      <c r="DV379" s="65">
        <f>IFERROR(AVERAGE($AA380/$AA379-1,$AB380/$AB379-1,$AC380/$AC379-1,$AD380/$AD379-1,$AE380/$AE379-1,$AG380/$AG379-1,$AH380/$AH379-1,$AI380/$AI379-1,$AJ380/$AJ379-1,$AL380/$AL379-1,$AM380/$AM379-1,$AR380/$AR379-1,$AS380/$AS379-1,$AT380/$AT379-1,$AU380/$AU379-1,$AV380/$AV379-1,$AW380/$AW379-1,$AX380/$AX379-1,$AY380/$AY379-1),"")</f>
        <v/>
      </c>
      <c r="DW379" s="66">
        <f>AVERAGE($CB379,$CC379,$CD379,$CE379,$CF379,$CG379,$CH379,$CI379,$CJ379,$CL379,$CM379,$CN379,$CO379,$CP379,$CQ379,$CR379,$CS379,$CT379)</f>
        <v/>
      </c>
      <c r="DX379" s="66">
        <f>AVERAGE($CB379,$CC379,$CM379,$CE379,$CP379)</f>
        <v/>
      </c>
      <c r="DY379" s="64">
        <f>($DW379-$DW380)*100</f>
        <v/>
      </c>
      <c r="DZ379" s="64">
        <f>($DX379-$DX380)*100</f>
        <v/>
      </c>
      <c r="EA379" s="64">
        <f>($DW379-$D379)*100</f>
        <v/>
      </c>
      <c r="EB379" s="64">
        <f>$Q379-$O379</f>
        <v/>
      </c>
      <c r="EC379" s="67">
        <f>IFERROR($Q379/$P379,"")</f>
        <v/>
      </c>
    </row>
    <row r="380">
      <c r="DG380" s="64">
        <f>($B380-$B381)*100</f>
        <v/>
      </c>
      <c r="DH380" s="64">
        <f>($D380-$D381)*100</f>
        <v/>
      </c>
      <c r="DI380" s="64">
        <f>($E380-$E381)*100</f>
        <v/>
      </c>
      <c r="DJ380" s="64">
        <f>($H380-$H381)*100</f>
        <v/>
      </c>
      <c r="DK380" s="65">
        <f>IFERROR($J380/$J381-1,"")</f>
        <v/>
      </c>
      <c r="DL380" s="64">
        <f>$L380-$L381</f>
        <v/>
      </c>
      <c r="DM380" s="64">
        <f>$K380-$K381</f>
        <v/>
      </c>
      <c r="DN380" s="65">
        <f>IFERROR($N380/$N381-1,"")</f>
        <v/>
      </c>
      <c r="DO380" s="65">
        <f>IFERROR($M380/$M381-1,"")</f>
        <v/>
      </c>
      <c r="DP380" s="65">
        <f>IFERROR($AZ380/$AZ381-1,"")</f>
        <v/>
      </c>
      <c r="DQ380" s="65">
        <f>IFERROR($BA380/$BA381-1,"")</f>
        <v/>
      </c>
      <c r="DR380" s="64">
        <f>$O380-$O381</f>
        <v/>
      </c>
      <c r="DS380" s="64">
        <f>$P380-$P381</f>
        <v/>
      </c>
      <c r="DT380" s="64">
        <f>$Q380-$Q381</f>
        <v/>
      </c>
      <c r="DU380" s="64">
        <f>$S380-$S381</f>
        <v/>
      </c>
      <c r="DV380" s="65">
        <f>IFERROR(AVERAGE($AA381/$AA380-1,$AB381/$AB380-1,$AC381/$AC380-1,$AD381/$AD380-1,$AE381/$AE380-1,$AG381/$AG380-1,$AH381/$AH380-1,$AI381/$AI380-1,$AJ381/$AJ380-1,$AL381/$AL380-1,$AM381/$AM380-1,$AR381/$AR380-1,$AS381/$AS380-1,$AT381/$AT380-1,$AU381/$AU380-1,$AV381/$AV380-1,$AW381/$AW380-1,$AX381/$AX380-1,$AY381/$AY380-1),"")</f>
        <v/>
      </c>
      <c r="DW380" s="66">
        <f>AVERAGE($CB380,$CC380,$CD380,$CE380,$CF380,$CG380,$CH380,$CI380,$CJ380,$CL380,$CM380,$CN380,$CO380,$CP380,$CQ380,$CR380,$CS380,$CT380)</f>
        <v/>
      </c>
      <c r="DX380" s="66">
        <f>AVERAGE($CB380,$CC380,$CM380,$CE380,$CP380)</f>
        <v/>
      </c>
      <c r="DY380" s="64">
        <f>($DW380-$DW381)*100</f>
        <v/>
      </c>
      <c r="DZ380" s="64">
        <f>($DX380-$DX381)*100</f>
        <v/>
      </c>
      <c r="EA380" s="64">
        <f>($DW380-$D380)*100</f>
        <v/>
      </c>
      <c r="EB380" s="64">
        <f>$Q380-$O380</f>
        <v/>
      </c>
      <c r="EC380" s="67">
        <f>IFERROR($Q380/$P380,"")</f>
        <v/>
      </c>
    </row>
    <row r="381">
      <c r="DG381" s="64">
        <f>($B381-$B382)*100</f>
        <v/>
      </c>
      <c r="DH381" s="64">
        <f>($D381-$D382)*100</f>
        <v/>
      </c>
      <c r="DI381" s="64">
        <f>($E381-$E382)*100</f>
        <v/>
      </c>
      <c r="DJ381" s="64">
        <f>($H381-$H382)*100</f>
        <v/>
      </c>
      <c r="DK381" s="65">
        <f>IFERROR($J381/$J382-1,"")</f>
        <v/>
      </c>
      <c r="DL381" s="64">
        <f>$L381-$L382</f>
        <v/>
      </c>
      <c r="DM381" s="64">
        <f>$K381-$K382</f>
        <v/>
      </c>
      <c r="DN381" s="65">
        <f>IFERROR($N381/$N382-1,"")</f>
        <v/>
      </c>
      <c r="DO381" s="65">
        <f>IFERROR($M381/$M382-1,"")</f>
        <v/>
      </c>
      <c r="DP381" s="65">
        <f>IFERROR($AZ381/$AZ382-1,"")</f>
        <v/>
      </c>
      <c r="DQ381" s="65">
        <f>IFERROR($BA381/$BA382-1,"")</f>
        <v/>
      </c>
      <c r="DR381" s="64">
        <f>$O381-$O382</f>
        <v/>
      </c>
      <c r="DS381" s="64">
        <f>$P381-$P382</f>
        <v/>
      </c>
      <c r="DT381" s="64">
        <f>$Q381-$Q382</f>
        <v/>
      </c>
      <c r="DU381" s="64">
        <f>$S381-$S382</f>
        <v/>
      </c>
      <c r="DV381" s="65">
        <f>IFERROR(AVERAGE($AA382/$AA381-1,$AB382/$AB381-1,$AC382/$AC381-1,$AD382/$AD381-1,$AE382/$AE381-1,$AG382/$AG381-1,$AH382/$AH381-1,$AI382/$AI381-1,$AJ382/$AJ381-1,$AL382/$AL381-1,$AM382/$AM381-1,$AR382/$AR381-1,$AS382/$AS381-1,$AT382/$AT381-1,$AU382/$AU381-1,$AV382/$AV381-1,$AW382/$AW381-1,$AX382/$AX381-1,$AY382/$AY381-1),"")</f>
        <v/>
      </c>
      <c r="DW381" s="66">
        <f>AVERAGE($CB381,$CC381,$CD381,$CE381,$CF381,$CG381,$CH381,$CI381,$CJ381,$CL381,$CM381,$CN381,$CO381,$CP381,$CQ381,$CR381,$CS381,$CT381)</f>
        <v/>
      </c>
      <c r="DX381" s="66">
        <f>AVERAGE($CB381,$CC381,$CM381,$CE381,$CP381)</f>
        <v/>
      </c>
      <c r="DY381" s="64">
        <f>($DW381-$DW382)*100</f>
        <v/>
      </c>
      <c r="DZ381" s="64">
        <f>($DX381-$DX382)*100</f>
        <v/>
      </c>
      <c r="EA381" s="64">
        <f>($DW381-$D381)*100</f>
        <v/>
      </c>
      <c r="EB381" s="64">
        <f>$Q381-$O381</f>
        <v/>
      </c>
      <c r="EC381" s="67">
        <f>IFERROR($Q381/$P381,"")</f>
        <v/>
      </c>
    </row>
    <row r="382">
      <c r="DG382" s="64">
        <f>($B382-$B383)*100</f>
        <v/>
      </c>
      <c r="DH382" s="64">
        <f>($D382-$D383)*100</f>
        <v/>
      </c>
      <c r="DI382" s="64">
        <f>($E382-$E383)*100</f>
        <v/>
      </c>
      <c r="DJ382" s="64">
        <f>($H382-$H383)*100</f>
        <v/>
      </c>
      <c r="DK382" s="65">
        <f>IFERROR($J382/$J383-1,"")</f>
        <v/>
      </c>
      <c r="DL382" s="64">
        <f>$L382-$L383</f>
        <v/>
      </c>
      <c r="DM382" s="64">
        <f>$K382-$K383</f>
        <v/>
      </c>
      <c r="DN382" s="65">
        <f>IFERROR($N382/$N383-1,"")</f>
        <v/>
      </c>
      <c r="DO382" s="65">
        <f>IFERROR($M382/$M383-1,"")</f>
        <v/>
      </c>
      <c r="DP382" s="65">
        <f>IFERROR($AZ382/$AZ383-1,"")</f>
        <v/>
      </c>
      <c r="DQ382" s="65">
        <f>IFERROR($BA382/$BA383-1,"")</f>
        <v/>
      </c>
      <c r="DR382" s="64">
        <f>$O382-$O383</f>
        <v/>
      </c>
      <c r="DS382" s="64">
        <f>$P382-$P383</f>
        <v/>
      </c>
      <c r="DT382" s="64">
        <f>$Q382-$Q383</f>
        <v/>
      </c>
      <c r="DU382" s="64">
        <f>$S382-$S383</f>
        <v/>
      </c>
      <c r="DV382" s="65">
        <f>IFERROR(AVERAGE($AA383/$AA382-1,$AB383/$AB382-1,$AC383/$AC382-1,$AD383/$AD382-1,$AE383/$AE382-1,$AG383/$AG382-1,$AH383/$AH382-1,$AI383/$AI382-1,$AJ383/$AJ382-1,$AL383/$AL382-1,$AM383/$AM382-1,$AR383/$AR382-1,$AS383/$AS382-1,$AT383/$AT382-1,$AU383/$AU382-1,$AV383/$AV382-1,$AW383/$AW382-1,$AX383/$AX382-1,$AY383/$AY382-1),"")</f>
        <v/>
      </c>
      <c r="DW382" s="66">
        <f>AVERAGE($CB382,$CC382,$CD382,$CE382,$CF382,$CG382,$CH382,$CI382,$CJ382,$CL382,$CM382,$CN382,$CO382,$CP382,$CQ382,$CR382,$CS382,$CT382)</f>
        <v/>
      </c>
      <c r="DX382" s="66">
        <f>AVERAGE($CB382,$CC382,$CM382,$CE382,$CP382)</f>
        <v/>
      </c>
      <c r="DY382" s="64">
        <f>($DW382-$DW383)*100</f>
        <v/>
      </c>
      <c r="DZ382" s="64">
        <f>($DX382-$DX383)*100</f>
        <v/>
      </c>
      <c r="EA382" s="64">
        <f>($DW382-$D382)*100</f>
        <v/>
      </c>
      <c r="EB382" s="64">
        <f>$Q382-$O382</f>
        <v/>
      </c>
      <c r="EC382" s="67">
        <f>IFERROR($Q382/$P382,"")</f>
        <v/>
      </c>
    </row>
    <row r="383">
      <c r="DG383" s="64">
        <f>($B383-$B384)*100</f>
        <v/>
      </c>
      <c r="DH383" s="64">
        <f>($D383-$D384)*100</f>
        <v/>
      </c>
      <c r="DI383" s="64">
        <f>($E383-$E384)*100</f>
        <v/>
      </c>
      <c r="DJ383" s="64">
        <f>($H383-$H384)*100</f>
        <v/>
      </c>
      <c r="DK383" s="65">
        <f>IFERROR($J383/$J384-1,"")</f>
        <v/>
      </c>
      <c r="DL383" s="64">
        <f>$L383-$L384</f>
        <v/>
      </c>
      <c r="DM383" s="64">
        <f>$K383-$K384</f>
        <v/>
      </c>
      <c r="DN383" s="65">
        <f>IFERROR($N383/$N384-1,"")</f>
        <v/>
      </c>
      <c r="DO383" s="65">
        <f>IFERROR($M383/$M384-1,"")</f>
        <v/>
      </c>
      <c r="DP383" s="65">
        <f>IFERROR($AZ383/$AZ384-1,"")</f>
        <v/>
      </c>
      <c r="DQ383" s="65">
        <f>IFERROR($BA383/$BA384-1,"")</f>
        <v/>
      </c>
      <c r="DR383" s="64">
        <f>$O383-$O384</f>
        <v/>
      </c>
      <c r="DS383" s="64">
        <f>$P383-$P384</f>
        <v/>
      </c>
      <c r="DT383" s="64">
        <f>$Q383-$Q384</f>
        <v/>
      </c>
      <c r="DU383" s="64">
        <f>$S383-$S384</f>
        <v/>
      </c>
      <c r="DV383" s="65">
        <f>IFERROR(AVERAGE($AA384/$AA383-1,$AB384/$AB383-1,$AC384/$AC383-1,$AD384/$AD383-1,$AE384/$AE383-1,$AG384/$AG383-1,$AH384/$AH383-1,$AI384/$AI383-1,$AJ384/$AJ383-1,$AL384/$AL383-1,$AM384/$AM383-1,$AR384/$AR383-1,$AS384/$AS383-1,$AT384/$AT383-1,$AU384/$AU383-1,$AV384/$AV383-1,$AW384/$AW383-1,$AX384/$AX383-1,$AY384/$AY383-1),"")</f>
        <v/>
      </c>
      <c r="DW383" s="66">
        <f>AVERAGE($CB383,$CC383,$CD383,$CE383,$CF383,$CG383,$CH383,$CI383,$CJ383,$CL383,$CM383,$CN383,$CO383,$CP383,$CQ383,$CR383,$CS383,$CT383)</f>
        <v/>
      </c>
      <c r="DX383" s="66">
        <f>AVERAGE($CB383,$CC383,$CM383,$CE383,$CP383)</f>
        <v/>
      </c>
      <c r="DY383" s="64">
        <f>($DW383-$DW384)*100</f>
        <v/>
      </c>
      <c r="DZ383" s="64">
        <f>($DX383-$DX384)*100</f>
        <v/>
      </c>
      <c r="EA383" s="64">
        <f>($DW383-$D383)*100</f>
        <v/>
      </c>
      <c r="EB383" s="64">
        <f>$Q383-$O383</f>
        <v/>
      </c>
      <c r="EC383" s="67">
        <f>IFERROR($Q383/$P383,"")</f>
        <v/>
      </c>
    </row>
    <row r="384">
      <c r="DG384" s="64">
        <f>($B384-$B385)*100</f>
        <v/>
      </c>
      <c r="DH384" s="64">
        <f>($D384-$D385)*100</f>
        <v/>
      </c>
      <c r="DI384" s="64">
        <f>($E384-$E385)*100</f>
        <v/>
      </c>
      <c r="DJ384" s="64">
        <f>($H384-$H385)*100</f>
        <v/>
      </c>
      <c r="DK384" s="65">
        <f>IFERROR($J384/$J385-1,"")</f>
        <v/>
      </c>
      <c r="DL384" s="64">
        <f>$L384-$L385</f>
        <v/>
      </c>
      <c r="DM384" s="64">
        <f>$K384-$K385</f>
        <v/>
      </c>
      <c r="DN384" s="65">
        <f>IFERROR($N384/$N385-1,"")</f>
        <v/>
      </c>
      <c r="DO384" s="65">
        <f>IFERROR($M384/$M385-1,"")</f>
        <v/>
      </c>
      <c r="DP384" s="65">
        <f>IFERROR($AZ384/$AZ385-1,"")</f>
        <v/>
      </c>
      <c r="DQ384" s="65">
        <f>IFERROR($BA384/$BA385-1,"")</f>
        <v/>
      </c>
      <c r="DR384" s="64">
        <f>$O384-$O385</f>
        <v/>
      </c>
      <c r="DS384" s="64">
        <f>$P384-$P385</f>
        <v/>
      </c>
      <c r="DT384" s="64">
        <f>$Q384-$Q385</f>
        <v/>
      </c>
      <c r="DU384" s="64">
        <f>$S384-$S385</f>
        <v/>
      </c>
      <c r="DV384" s="65">
        <f>IFERROR(AVERAGE($AA385/$AA384-1,$AB385/$AB384-1,$AC385/$AC384-1,$AD385/$AD384-1,$AE385/$AE384-1,$AG385/$AG384-1,$AH385/$AH384-1,$AI385/$AI384-1,$AJ385/$AJ384-1,$AL385/$AL384-1,$AM385/$AM384-1,$AR385/$AR384-1,$AS385/$AS384-1,$AT385/$AT384-1,$AU385/$AU384-1,$AV385/$AV384-1,$AW385/$AW384-1,$AX385/$AX384-1,$AY385/$AY384-1),"")</f>
        <v/>
      </c>
      <c r="DW384" s="66">
        <f>AVERAGE($CB384,$CC384,$CD384,$CE384,$CF384,$CG384,$CH384,$CI384,$CJ384,$CL384,$CM384,$CN384,$CO384,$CP384,$CQ384,$CR384,$CS384,$CT384)</f>
        <v/>
      </c>
      <c r="DX384" s="66">
        <f>AVERAGE($CB384,$CC384,$CM384,$CE384,$CP384)</f>
        <v/>
      </c>
      <c r="DY384" s="64">
        <f>($DW384-$DW385)*100</f>
        <v/>
      </c>
      <c r="DZ384" s="64">
        <f>($DX384-$DX385)*100</f>
        <v/>
      </c>
      <c r="EA384" s="64">
        <f>($DW384-$D384)*100</f>
        <v/>
      </c>
      <c r="EB384" s="64">
        <f>$Q384-$O384</f>
        <v/>
      </c>
      <c r="EC384" s="67">
        <f>IFERROR($Q384/$P384,"")</f>
        <v/>
      </c>
    </row>
    <row r="385">
      <c r="DG385" s="64">
        <f>($B385-$B386)*100</f>
        <v/>
      </c>
      <c r="DH385" s="64">
        <f>($D385-$D386)*100</f>
        <v/>
      </c>
      <c r="DI385" s="64">
        <f>($E385-$E386)*100</f>
        <v/>
      </c>
      <c r="DJ385" s="64">
        <f>($H385-$H386)*100</f>
        <v/>
      </c>
      <c r="DK385" s="65">
        <f>IFERROR($J385/$J386-1,"")</f>
        <v/>
      </c>
      <c r="DL385" s="64">
        <f>$L385-$L386</f>
        <v/>
      </c>
      <c r="DM385" s="64">
        <f>$K385-$K386</f>
        <v/>
      </c>
      <c r="DN385" s="65">
        <f>IFERROR($N385/$N386-1,"")</f>
        <v/>
      </c>
      <c r="DO385" s="65">
        <f>IFERROR($M385/$M386-1,"")</f>
        <v/>
      </c>
      <c r="DP385" s="65">
        <f>IFERROR($AZ385/$AZ386-1,"")</f>
        <v/>
      </c>
      <c r="DQ385" s="65">
        <f>IFERROR($BA385/$BA386-1,"")</f>
        <v/>
      </c>
      <c r="DR385" s="64">
        <f>$O385-$O386</f>
        <v/>
      </c>
      <c r="DS385" s="64">
        <f>$P385-$P386</f>
        <v/>
      </c>
      <c r="DT385" s="64">
        <f>$Q385-$Q386</f>
        <v/>
      </c>
      <c r="DU385" s="64">
        <f>$S385-$S386</f>
        <v/>
      </c>
      <c r="DV385" s="65">
        <f>IFERROR(AVERAGE($AA386/$AA385-1,$AB386/$AB385-1,$AC386/$AC385-1,$AD386/$AD385-1,$AE386/$AE385-1,$AG386/$AG385-1,$AH386/$AH385-1,$AI386/$AI385-1,$AJ386/$AJ385-1,$AL386/$AL385-1,$AM386/$AM385-1,$AR386/$AR385-1,$AS386/$AS385-1,$AT386/$AT385-1,$AU386/$AU385-1,$AV386/$AV385-1,$AW386/$AW385-1,$AX386/$AX385-1,$AY386/$AY385-1),"")</f>
        <v/>
      </c>
      <c r="DW385" s="66">
        <f>AVERAGE($CB385,$CC385,$CD385,$CE385,$CF385,$CG385,$CH385,$CI385,$CJ385,$CL385,$CM385,$CN385,$CO385,$CP385,$CQ385,$CR385,$CS385,$CT385)</f>
        <v/>
      </c>
      <c r="DX385" s="66">
        <f>AVERAGE($CB385,$CC385,$CM385,$CE385,$CP385)</f>
        <v/>
      </c>
      <c r="DY385" s="64">
        <f>($DW385-$DW386)*100</f>
        <v/>
      </c>
      <c r="DZ385" s="64">
        <f>($DX385-$DX386)*100</f>
        <v/>
      </c>
      <c r="EA385" s="64">
        <f>($DW385-$D385)*100</f>
        <v/>
      </c>
      <c r="EB385" s="64">
        <f>$Q385-$O385</f>
        <v/>
      </c>
      <c r="EC385" s="67">
        <f>IFERROR($Q385/$P385,"")</f>
        <v/>
      </c>
    </row>
    <row r="386">
      <c r="DG386" s="64">
        <f>($B386-$B387)*100</f>
        <v/>
      </c>
      <c r="DH386" s="64">
        <f>($D386-$D387)*100</f>
        <v/>
      </c>
      <c r="DI386" s="64">
        <f>($E386-$E387)*100</f>
        <v/>
      </c>
      <c r="DJ386" s="64">
        <f>($H386-$H387)*100</f>
        <v/>
      </c>
      <c r="DK386" s="65">
        <f>IFERROR($J386/$J387-1,"")</f>
        <v/>
      </c>
      <c r="DL386" s="64">
        <f>$L386-$L387</f>
        <v/>
      </c>
      <c r="DM386" s="64">
        <f>$K386-$K387</f>
        <v/>
      </c>
      <c r="DN386" s="65">
        <f>IFERROR($N386/$N387-1,"")</f>
        <v/>
      </c>
      <c r="DO386" s="65">
        <f>IFERROR($M386/$M387-1,"")</f>
        <v/>
      </c>
      <c r="DP386" s="65">
        <f>IFERROR($AZ386/$AZ387-1,"")</f>
        <v/>
      </c>
      <c r="DQ386" s="65">
        <f>IFERROR($BA386/$BA387-1,"")</f>
        <v/>
      </c>
      <c r="DR386" s="64">
        <f>$O386-$O387</f>
        <v/>
      </c>
      <c r="DS386" s="64">
        <f>$P386-$P387</f>
        <v/>
      </c>
      <c r="DT386" s="64">
        <f>$Q386-$Q387</f>
        <v/>
      </c>
      <c r="DU386" s="64">
        <f>$S386-$S387</f>
        <v/>
      </c>
      <c r="DV386" s="65">
        <f>IFERROR(AVERAGE($AA387/$AA386-1,$AB387/$AB386-1,$AC387/$AC386-1,$AD387/$AD386-1,$AE387/$AE386-1,$AG387/$AG386-1,$AH387/$AH386-1,$AI387/$AI386-1,$AJ387/$AJ386-1,$AL387/$AL386-1,$AM387/$AM386-1,$AR387/$AR386-1,$AS387/$AS386-1,$AT387/$AT386-1,$AU387/$AU386-1,$AV387/$AV386-1,$AW387/$AW386-1,$AX387/$AX386-1,$AY387/$AY386-1),"")</f>
        <v/>
      </c>
      <c r="DW386" s="66">
        <f>AVERAGE($CB386,$CC386,$CD386,$CE386,$CF386,$CG386,$CH386,$CI386,$CJ386,$CL386,$CM386,$CN386,$CO386,$CP386,$CQ386,$CR386,$CS386,$CT386)</f>
        <v/>
      </c>
      <c r="DX386" s="66">
        <f>AVERAGE($CB386,$CC386,$CM386,$CE386,$CP386)</f>
        <v/>
      </c>
      <c r="DY386" s="64">
        <f>($DW386-$DW387)*100</f>
        <v/>
      </c>
      <c r="DZ386" s="64">
        <f>($DX386-$DX387)*100</f>
        <v/>
      </c>
      <c r="EA386" s="64">
        <f>($DW386-$D386)*100</f>
        <v/>
      </c>
      <c r="EB386" s="64">
        <f>$Q386-$O386</f>
        <v/>
      </c>
      <c r="EC386" s="67">
        <f>IFERROR($Q386/$P386,"")</f>
        <v/>
      </c>
    </row>
    <row r="387">
      <c r="DG387" s="64">
        <f>($B387-$B388)*100</f>
        <v/>
      </c>
      <c r="DH387" s="64">
        <f>($D387-$D388)*100</f>
        <v/>
      </c>
      <c r="DI387" s="64">
        <f>($E387-$E388)*100</f>
        <v/>
      </c>
      <c r="DJ387" s="64">
        <f>($H387-$H388)*100</f>
        <v/>
      </c>
      <c r="DK387" s="65">
        <f>IFERROR($J387/$J388-1,"")</f>
        <v/>
      </c>
      <c r="DL387" s="64">
        <f>$L387-$L388</f>
        <v/>
      </c>
      <c r="DM387" s="64">
        <f>$K387-$K388</f>
        <v/>
      </c>
      <c r="DN387" s="65">
        <f>IFERROR($N387/$N388-1,"")</f>
        <v/>
      </c>
      <c r="DO387" s="65">
        <f>IFERROR($M387/$M388-1,"")</f>
        <v/>
      </c>
      <c r="DP387" s="65">
        <f>IFERROR($AZ387/$AZ388-1,"")</f>
        <v/>
      </c>
      <c r="DQ387" s="65">
        <f>IFERROR($BA387/$BA388-1,"")</f>
        <v/>
      </c>
      <c r="DR387" s="64">
        <f>$O387-$O388</f>
        <v/>
      </c>
      <c r="DS387" s="64">
        <f>$P387-$P388</f>
        <v/>
      </c>
      <c r="DT387" s="64">
        <f>$Q387-$Q388</f>
        <v/>
      </c>
      <c r="DU387" s="64">
        <f>$S387-$S388</f>
        <v/>
      </c>
      <c r="DV387" s="65">
        <f>IFERROR(AVERAGE($AA388/$AA387-1,$AB388/$AB387-1,$AC388/$AC387-1,$AD388/$AD387-1,$AE388/$AE387-1,$AG388/$AG387-1,$AH388/$AH387-1,$AI388/$AI387-1,$AJ388/$AJ387-1,$AL388/$AL387-1,$AM388/$AM387-1,$AR388/$AR387-1,$AS388/$AS387-1,$AT388/$AT387-1,$AU388/$AU387-1,$AV388/$AV387-1,$AW388/$AW387-1,$AX388/$AX387-1,$AY388/$AY387-1),"")</f>
        <v/>
      </c>
      <c r="DW387" s="66">
        <f>AVERAGE($CB387,$CC387,$CD387,$CE387,$CF387,$CG387,$CH387,$CI387,$CJ387,$CL387,$CM387,$CN387,$CO387,$CP387,$CQ387,$CR387,$CS387,$CT387)</f>
        <v/>
      </c>
      <c r="DX387" s="66">
        <f>AVERAGE($CB387,$CC387,$CM387,$CE387,$CP387)</f>
        <v/>
      </c>
      <c r="DY387" s="64">
        <f>($DW387-$DW388)*100</f>
        <v/>
      </c>
      <c r="DZ387" s="64">
        <f>($DX387-$DX388)*100</f>
        <v/>
      </c>
      <c r="EA387" s="64">
        <f>($DW387-$D387)*100</f>
        <v/>
      </c>
      <c r="EB387" s="64">
        <f>$Q387-$O387</f>
        <v/>
      </c>
      <c r="EC387" s="67">
        <f>IFERROR($Q387/$P387,"")</f>
        <v/>
      </c>
    </row>
    <row r="388">
      <c r="DG388" s="64">
        <f>($B388-$B389)*100</f>
        <v/>
      </c>
      <c r="DH388" s="64">
        <f>($D388-$D389)*100</f>
        <v/>
      </c>
      <c r="DI388" s="64">
        <f>($E388-$E389)*100</f>
        <v/>
      </c>
      <c r="DJ388" s="64">
        <f>($H388-$H389)*100</f>
        <v/>
      </c>
      <c r="DK388" s="65">
        <f>IFERROR($J388/$J389-1,"")</f>
        <v/>
      </c>
      <c r="DL388" s="64">
        <f>$L388-$L389</f>
        <v/>
      </c>
      <c r="DM388" s="64">
        <f>$K388-$K389</f>
        <v/>
      </c>
      <c r="DN388" s="65">
        <f>IFERROR($N388/$N389-1,"")</f>
        <v/>
      </c>
      <c r="DO388" s="65">
        <f>IFERROR($M388/$M389-1,"")</f>
        <v/>
      </c>
      <c r="DP388" s="65">
        <f>IFERROR($AZ388/$AZ389-1,"")</f>
        <v/>
      </c>
      <c r="DQ388" s="65">
        <f>IFERROR($BA388/$BA389-1,"")</f>
        <v/>
      </c>
      <c r="DR388" s="64">
        <f>$O388-$O389</f>
        <v/>
      </c>
      <c r="DS388" s="64">
        <f>$P388-$P389</f>
        <v/>
      </c>
      <c r="DT388" s="64">
        <f>$Q388-$Q389</f>
        <v/>
      </c>
      <c r="DU388" s="64">
        <f>$S388-$S389</f>
        <v/>
      </c>
      <c r="DV388" s="65">
        <f>IFERROR(AVERAGE($AA389/$AA388-1,$AB389/$AB388-1,$AC389/$AC388-1,$AD389/$AD388-1,$AE389/$AE388-1,$AG389/$AG388-1,$AH389/$AH388-1,$AI389/$AI388-1,$AJ389/$AJ388-1,$AL389/$AL388-1,$AM389/$AM388-1,$AR389/$AR388-1,$AS389/$AS388-1,$AT389/$AT388-1,$AU389/$AU388-1,$AV389/$AV388-1,$AW389/$AW388-1,$AX389/$AX388-1,$AY389/$AY388-1),"")</f>
        <v/>
      </c>
      <c r="DW388" s="66">
        <f>AVERAGE($CB388,$CC388,$CD388,$CE388,$CF388,$CG388,$CH388,$CI388,$CJ388,$CL388,$CM388,$CN388,$CO388,$CP388,$CQ388,$CR388,$CS388,$CT388)</f>
        <v/>
      </c>
      <c r="DX388" s="66">
        <f>AVERAGE($CB388,$CC388,$CM388,$CE388,$CP388)</f>
        <v/>
      </c>
      <c r="DY388" s="64">
        <f>($DW388-$DW389)*100</f>
        <v/>
      </c>
      <c r="DZ388" s="64">
        <f>($DX388-$DX389)*100</f>
        <v/>
      </c>
      <c r="EA388" s="64">
        <f>($DW388-$D388)*100</f>
        <v/>
      </c>
      <c r="EB388" s="64">
        <f>$Q388-$O388</f>
        <v/>
      </c>
      <c r="EC388" s="67">
        <f>IFERROR($Q388/$P388,"")</f>
        <v/>
      </c>
    </row>
    <row r="389">
      <c r="DG389" s="64">
        <f>($B389-$B390)*100</f>
        <v/>
      </c>
      <c r="DH389" s="64">
        <f>($D389-$D390)*100</f>
        <v/>
      </c>
      <c r="DI389" s="64">
        <f>($E389-$E390)*100</f>
        <v/>
      </c>
      <c r="DJ389" s="64">
        <f>($H389-$H390)*100</f>
        <v/>
      </c>
      <c r="DK389" s="65">
        <f>IFERROR($J389/$J390-1,"")</f>
        <v/>
      </c>
      <c r="DL389" s="64">
        <f>$L389-$L390</f>
        <v/>
      </c>
      <c r="DM389" s="64">
        <f>$K389-$K390</f>
        <v/>
      </c>
      <c r="DN389" s="65">
        <f>IFERROR($N389/$N390-1,"")</f>
        <v/>
      </c>
      <c r="DO389" s="65">
        <f>IFERROR($M389/$M390-1,"")</f>
        <v/>
      </c>
      <c r="DP389" s="65">
        <f>IFERROR($AZ389/$AZ390-1,"")</f>
        <v/>
      </c>
      <c r="DQ389" s="65">
        <f>IFERROR($BA389/$BA390-1,"")</f>
        <v/>
      </c>
      <c r="DR389" s="64">
        <f>$O389-$O390</f>
        <v/>
      </c>
      <c r="DS389" s="64">
        <f>$P389-$P390</f>
        <v/>
      </c>
      <c r="DT389" s="64">
        <f>$Q389-$Q390</f>
        <v/>
      </c>
      <c r="DU389" s="64">
        <f>$S389-$S390</f>
        <v/>
      </c>
      <c r="DV389" s="65">
        <f>IFERROR(AVERAGE($AA390/$AA389-1,$AB390/$AB389-1,$AC390/$AC389-1,$AD390/$AD389-1,$AE390/$AE389-1,$AG390/$AG389-1,$AH390/$AH389-1,$AI390/$AI389-1,$AJ390/$AJ389-1,$AL390/$AL389-1,$AM390/$AM389-1,$AR390/$AR389-1,$AS390/$AS389-1,$AT390/$AT389-1,$AU390/$AU389-1,$AV390/$AV389-1,$AW390/$AW389-1,$AX390/$AX389-1,$AY390/$AY389-1),"")</f>
        <v/>
      </c>
      <c r="DW389" s="66">
        <f>AVERAGE($CB389,$CC389,$CD389,$CE389,$CF389,$CG389,$CH389,$CI389,$CJ389,$CL389,$CM389,$CN389,$CO389,$CP389,$CQ389,$CR389,$CS389,$CT389)</f>
        <v/>
      </c>
      <c r="DX389" s="66">
        <f>AVERAGE($CB389,$CC389,$CM389,$CE389,$CP389)</f>
        <v/>
      </c>
      <c r="DY389" s="64">
        <f>($DW389-$DW390)*100</f>
        <v/>
      </c>
      <c r="DZ389" s="64">
        <f>($DX389-$DX390)*100</f>
        <v/>
      </c>
      <c r="EA389" s="64">
        <f>($DW389-$D389)*100</f>
        <v/>
      </c>
      <c r="EB389" s="64">
        <f>$Q389-$O389</f>
        <v/>
      </c>
      <c r="EC389" s="67">
        <f>IFERROR($Q389/$P389,"")</f>
        <v/>
      </c>
    </row>
    <row r="390">
      <c r="DG390" s="64">
        <f>($B390-$B391)*100</f>
        <v/>
      </c>
      <c r="DH390" s="64">
        <f>($D390-$D391)*100</f>
        <v/>
      </c>
      <c r="DI390" s="64">
        <f>($E390-$E391)*100</f>
        <v/>
      </c>
      <c r="DJ390" s="64">
        <f>($H390-$H391)*100</f>
        <v/>
      </c>
      <c r="DK390" s="65">
        <f>IFERROR($J390/$J391-1,"")</f>
        <v/>
      </c>
      <c r="DL390" s="64">
        <f>$L390-$L391</f>
        <v/>
      </c>
      <c r="DM390" s="64">
        <f>$K390-$K391</f>
        <v/>
      </c>
      <c r="DN390" s="65">
        <f>IFERROR($N390/$N391-1,"")</f>
        <v/>
      </c>
      <c r="DO390" s="65">
        <f>IFERROR($M390/$M391-1,"")</f>
        <v/>
      </c>
      <c r="DP390" s="65">
        <f>IFERROR($AZ390/$AZ391-1,"")</f>
        <v/>
      </c>
      <c r="DQ390" s="65">
        <f>IFERROR($BA390/$BA391-1,"")</f>
        <v/>
      </c>
      <c r="DR390" s="64">
        <f>$O390-$O391</f>
        <v/>
      </c>
      <c r="DS390" s="64">
        <f>$P390-$P391</f>
        <v/>
      </c>
      <c r="DT390" s="64">
        <f>$Q390-$Q391</f>
        <v/>
      </c>
      <c r="DU390" s="64">
        <f>$S390-$S391</f>
        <v/>
      </c>
      <c r="DV390" s="65">
        <f>IFERROR(AVERAGE($AA391/$AA390-1,$AB391/$AB390-1,$AC391/$AC390-1,$AD391/$AD390-1,$AE391/$AE390-1,$AG391/$AG390-1,$AH391/$AH390-1,$AI391/$AI390-1,$AJ391/$AJ390-1,$AL391/$AL390-1,$AM391/$AM390-1,$AR391/$AR390-1,$AS391/$AS390-1,$AT391/$AT390-1,$AU391/$AU390-1,$AV391/$AV390-1,$AW391/$AW390-1,$AX391/$AX390-1,$AY391/$AY390-1),"")</f>
        <v/>
      </c>
      <c r="DW390" s="66">
        <f>AVERAGE($CB390,$CC390,$CD390,$CE390,$CF390,$CG390,$CH390,$CI390,$CJ390,$CL390,$CM390,$CN390,$CO390,$CP390,$CQ390,$CR390,$CS390,$CT390)</f>
        <v/>
      </c>
      <c r="DX390" s="66">
        <f>AVERAGE($CB390,$CC390,$CM390,$CE390,$CP390)</f>
        <v/>
      </c>
      <c r="DY390" s="64">
        <f>($DW390-$DW391)*100</f>
        <v/>
      </c>
      <c r="DZ390" s="64">
        <f>($DX390-$DX391)*100</f>
        <v/>
      </c>
      <c r="EA390" s="64">
        <f>($DW390-$D390)*100</f>
        <v/>
      </c>
      <c r="EB390" s="64">
        <f>$Q390-$O390</f>
        <v/>
      </c>
      <c r="EC390" s="67">
        <f>IFERROR($Q390/$P390,"")</f>
        <v/>
      </c>
    </row>
    <row r="391">
      <c r="DG391" s="64">
        <f>($B391-$B392)*100</f>
        <v/>
      </c>
      <c r="DH391" s="64">
        <f>($D391-$D392)*100</f>
        <v/>
      </c>
      <c r="DI391" s="64">
        <f>($E391-$E392)*100</f>
        <v/>
      </c>
      <c r="DJ391" s="64">
        <f>($H391-$H392)*100</f>
        <v/>
      </c>
      <c r="DK391" s="65">
        <f>IFERROR($J391/$J392-1,"")</f>
        <v/>
      </c>
      <c r="DL391" s="64">
        <f>$L391-$L392</f>
        <v/>
      </c>
      <c r="DM391" s="64">
        <f>$K391-$K392</f>
        <v/>
      </c>
      <c r="DN391" s="65">
        <f>IFERROR($N391/$N392-1,"")</f>
        <v/>
      </c>
      <c r="DO391" s="65">
        <f>IFERROR($M391/$M392-1,"")</f>
        <v/>
      </c>
      <c r="DP391" s="65">
        <f>IFERROR($AZ391/$AZ392-1,"")</f>
        <v/>
      </c>
      <c r="DQ391" s="65">
        <f>IFERROR($BA391/$BA392-1,"")</f>
        <v/>
      </c>
      <c r="DR391" s="64">
        <f>$O391-$O392</f>
        <v/>
      </c>
      <c r="DS391" s="64">
        <f>$P391-$P392</f>
        <v/>
      </c>
      <c r="DT391" s="64">
        <f>$Q391-$Q392</f>
        <v/>
      </c>
      <c r="DU391" s="64">
        <f>$S391-$S392</f>
        <v/>
      </c>
      <c r="DV391" s="65">
        <f>IFERROR(AVERAGE($AA392/$AA391-1,$AB392/$AB391-1,$AC392/$AC391-1,$AD392/$AD391-1,$AE392/$AE391-1,$AG392/$AG391-1,$AH392/$AH391-1,$AI392/$AI391-1,$AJ392/$AJ391-1,$AL392/$AL391-1,$AM392/$AM391-1,$AR392/$AR391-1,$AS392/$AS391-1,$AT392/$AT391-1,$AU392/$AU391-1,$AV392/$AV391-1,$AW392/$AW391-1,$AX392/$AX391-1,$AY392/$AY391-1),"")</f>
        <v/>
      </c>
      <c r="DW391" s="66">
        <f>AVERAGE($CB391,$CC391,$CD391,$CE391,$CF391,$CG391,$CH391,$CI391,$CJ391,$CL391,$CM391,$CN391,$CO391,$CP391,$CQ391,$CR391,$CS391,$CT391)</f>
        <v/>
      </c>
      <c r="DX391" s="66">
        <f>AVERAGE($CB391,$CC391,$CM391,$CE391,$CP391)</f>
        <v/>
      </c>
      <c r="DY391" s="64">
        <f>($DW391-$DW392)*100</f>
        <v/>
      </c>
      <c r="DZ391" s="64">
        <f>($DX391-$DX392)*100</f>
        <v/>
      </c>
      <c r="EA391" s="64">
        <f>($DW391-$D391)*100</f>
        <v/>
      </c>
      <c r="EB391" s="64">
        <f>$Q391-$O391</f>
        <v/>
      </c>
      <c r="EC391" s="67">
        <f>IFERROR($Q391/$P391,"")</f>
        <v/>
      </c>
    </row>
    <row r="392">
      <c r="DG392" s="64">
        <f>($B392-$B393)*100</f>
        <v/>
      </c>
      <c r="DH392" s="64">
        <f>($D392-$D393)*100</f>
        <v/>
      </c>
      <c r="DI392" s="64">
        <f>($E392-$E393)*100</f>
        <v/>
      </c>
      <c r="DJ392" s="64">
        <f>($H392-$H393)*100</f>
        <v/>
      </c>
      <c r="DK392" s="65">
        <f>IFERROR($J392/$J393-1,"")</f>
        <v/>
      </c>
      <c r="DL392" s="64">
        <f>$L392-$L393</f>
        <v/>
      </c>
      <c r="DM392" s="64">
        <f>$K392-$K393</f>
        <v/>
      </c>
      <c r="DN392" s="65">
        <f>IFERROR($N392/$N393-1,"")</f>
        <v/>
      </c>
      <c r="DO392" s="65">
        <f>IFERROR($M392/$M393-1,"")</f>
        <v/>
      </c>
      <c r="DP392" s="65">
        <f>IFERROR($AZ392/$AZ393-1,"")</f>
        <v/>
      </c>
      <c r="DQ392" s="65">
        <f>IFERROR($BA392/$BA393-1,"")</f>
        <v/>
      </c>
      <c r="DR392" s="64">
        <f>$O392-$O393</f>
        <v/>
      </c>
      <c r="DS392" s="64">
        <f>$P392-$P393</f>
        <v/>
      </c>
      <c r="DT392" s="64">
        <f>$Q392-$Q393</f>
        <v/>
      </c>
      <c r="DU392" s="64">
        <f>$S392-$S393</f>
        <v/>
      </c>
      <c r="DV392" s="65">
        <f>IFERROR(AVERAGE($AA393/$AA392-1,$AB393/$AB392-1,$AC393/$AC392-1,$AD393/$AD392-1,$AE393/$AE392-1,$AG393/$AG392-1,$AH393/$AH392-1,$AI393/$AI392-1,$AJ393/$AJ392-1,$AL393/$AL392-1,$AM393/$AM392-1,$AR393/$AR392-1,$AS393/$AS392-1,$AT393/$AT392-1,$AU393/$AU392-1,$AV393/$AV392-1,$AW393/$AW392-1,$AX393/$AX392-1,$AY393/$AY392-1),"")</f>
        <v/>
      </c>
      <c r="DW392" s="66">
        <f>AVERAGE($CB392,$CC392,$CD392,$CE392,$CF392,$CG392,$CH392,$CI392,$CJ392,$CL392,$CM392,$CN392,$CO392,$CP392,$CQ392,$CR392,$CS392,$CT392)</f>
        <v/>
      </c>
      <c r="DX392" s="66">
        <f>AVERAGE($CB392,$CC392,$CM392,$CE392,$CP392)</f>
        <v/>
      </c>
      <c r="DY392" s="64">
        <f>($DW392-$DW393)*100</f>
        <v/>
      </c>
      <c r="DZ392" s="64">
        <f>($DX392-$DX393)*100</f>
        <v/>
      </c>
      <c r="EA392" s="64">
        <f>($DW392-$D392)*100</f>
        <v/>
      </c>
      <c r="EB392" s="64">
        <f>$Q392-$O392</f>
        <v/>
      </c>
      <c r="EC392" s="67">
        <f>IFERROR($Q392/$P392,"")</f>
        <v/>
      </c>
    </row>
    <row r="393">
      <c r="DG393" s="64">
        <f>($B393-$B394)*100</f>
        <v/>
      </c>
      <c r="DH393" s="64">
        <f>($D393-$D394)*100</f>
        <v/>
      </c>
      <c r="DI393" s="64">
        <f>($E393-$E394)*100</f>
        <v/>
      </c>
      <c r="DJ393" s="64">
        <f>($H393-$H394)*100</f>
        <v/>
      </c>
      <c r="DK393" s="65">
        <f>IFERROR($J393/$J394-1,"")</f>
        <v/>
      </c>
      <c r="DL393" s="64">
        <f>$L393-$L394</f>
        <v/>
      </c>
      <c r="DM393" s="64">
        <f>$K393-$K394</f>
        <v/>
      </c>
      <c r="DN393" s="65">
        <f>IFERROR($N393/$N394-1,"")</f>
        <v/>
      </c>
      <c r="DO393" s="65">
        <f>IFERROR($M393/$M394-1,"")</f>
        <v/>
      </c>
      <c r="DP393" s="65">
        <f>IFERROR($AZ393/$AZ394-1,"")</f>
        <v/>
      </c>
      <c r="DQ393" s="65">
        <f>IFERROR($BA393/$BA394-1,"")</f>
        <v/>
      </c>
      <c r="DR393" s="64">
        <f>$O393-$O394</f>
        <v/>
      </c>
      <c r="DS393" s="64">
        <f>$P393-$P394</f>
        <v/>
      </c>
      <c r="DT393" s="64">
        <f>$Q393-$Q394</f>
        <v/>
      </c>
      <c r="DU393" s="64">
        <f>$S393-$S394</f>
        <v/>
      </c>
      <c r="DV393" s="65">
        <f>IFERROR(AVERAGE($AA394/$AA393-1,$AB394/$AB393-1,$AC394/$AC393-1,$AD394/$AD393-1,$AE394/$AE393-1,$AG394/$AG393-1,$AH394/$AH393-1,$AI394/$AI393-1,$AJ394/$AJ393-1,$AL394/$AL393-1,$AM394/$AM393-1,$AR394/$AR393-1,$AS394/$AS393-1,$AT394/$AT393-1,$AU394/$AU393-1,$AV394/$AV393-1,$AW394/$AW393-1,$AX394/$AX393-1,$AY394/$AY393-1),"")</f>
        <v/>
      </c>
      <c r="DW393" s="66">
        <f>AVERAGE($CB393,$CC393,$CD393,$CE393,$CF393,$CG393,$CH393,$CI393,$CJ393,$CL393,$CM393,$CN393,$CO393,$CP393,$CQ393,$CR393,$CS393,$CT393)</f>
        <v/>
      </c>
      <c r="DX393" s="66">
        <f>AVERAGE($CB393,$CC393,$CM393,$CE393,$CP393)</f>
        <v/>
      </c>
      <c r="DY393" s="64">
        <f>($DW393-$DW394)*100</f>
        <v/>
      </c>
      <c r="DZ393" s="64">
        <f>($DX393-$DX394)*100</f>
        <v/>
      </c>
      <c r="EA393" s="64">
        <f>($DW393-$D393)*100</f>
        <v/>
      </c>
      <c r="EB393" s="64">
        <f>$Q393-$O393</f>
        <v/>
      </c>
      <c r="EC393" s="67">
        <f>IFERROR($Q393/$P393,"")</f>
        <v/>
      </c>
    </row>
    <row r="394">
      <c r="DG394" s="64">
        <f>($B394-$B395)*100</f>
        <v/>
      </c>
      <c r="DH394" s="64">
        <f>($D394-$D395)*100</f>
        <v/>
      </c>
      <c r="DI394" s="64">
        <f>($E394-$E395)*100</f>
        <v/>
      </c>
      <c r="DJ394" s="64">
        <f>($H394-$H395)*100</f>
        <v/>
      </c>
      <c r="DK394" s="65">
        <f>IFERROR($J394/$J395-1,"")</f>
        <v/>
      </c>
      <c r="DL394" s="64">
        <f>$L394-$L395</f>
        <v/>
      </c>
      <c r="DM394" s="64">
        <f>$K394-$K395</f>
        <v/>
      </c>
      <c r="DN394" s="65">
        <f>IFERROR($N394/$N395-1,"")</f>
        <v/>
      </c>
      <c r="DO394" s="65">
        <f>IFERROR($M394/$M395-1,"")</f>
        <v/>
      </c>
      <c r="DP394" s="65">
        <f>IFERROR($AZ394/$AZ395-1,"")</f>
        <v/>
      </c>
      <c r="DQ394" s="65">
        <f>IFERROR($BA394/$BA395-1,"")</f>
        <v/>
      </c>
      <c r="DR394" s="64">
        <f>$O394-$O395</f>
        <v/>
      </c>
      <c r="DS394" s="64">
        <f>$P394-$P395</f>
        <v/>
      </c>
      <c r="DT394" s="64">
        <f>$Q394-$Q395</f>
        <v/>
      </c>
      <c r="DU394" s="64">
        <f>$S394-$S395</f>
        <v/>
      </c>
      <c r="DV394" s="65">
        <f>IFERROR(AVERAGE($AA395/$AA394-1,$AB395/$AB394-1,$AC395/$AC394-1,$AD395/$AD394-1,$AE395/$AE394-1,$AG395/$AG394-1,$AH395/$AH394-1,$AI395/$AI394-1,$AJ395/$AJ394-1,$AL395/$AL394-1,$AM395/$AM394-1,$AR395/$AR394-1,$AS395/$AS394-1,$AT395/$AT394-1,$AU395/$AU394-1,$AV395/$AV394-1,$AW395/$AW394-1,$AX395/$AX394-1,$AY395/$AY394-1),"")</f>
        <v/>
      </c>
      <c r="DW394" s="66">
        <f>AVERAGE($CB394,$CC394,$CD394,$CE394,$CF394,$CG394,$CH394,$CI394,$CJ394,$CL394,$CM394,$CN394,$CO394,$CP394,$CQ394,$CR394,$CS394,$CT394)</f>
        <v/>
      </c>
      <c r="DX394" s="66">
        <f>AVERAGE($CB394,$CC394,$CM394,$CE394,$CP394)</f>
        <v/>
      </c>
      <c r="DY394" s="64">
        <f>($DW394-$DW395)*100</f>
        <v/>
      </c>
      <c r="DZ394" s="64">
        <f>($DX394-$DX395)*100</f>
        <v/>
      </c>
      <c r="EA394" s="64">
        <f>($DW394-$D394)*100</f>
        <v/>
      </c>
      <c r="EB394" s="64">
        <f>$Q394-$O394</f>
        <v/>
      </c>
      <c r="EC394" s="67">
        <f>IFERROR($Q394/$P394,"")</f>
        <v/>
      </c>
    </row>
    <row r="395">
      <c r="DG395" s="64">
        <f>($B395-$B396)*100</f>
        <v/>
      </c>
      <c r="DH395" s="64">
        <f>($D395-$D396)*100</f>
        <v/>
      </c>
      <c r="DI395" s="64">
        <f>($E395-$E396)*100</f>
        <v/>
      </c>
      <c r="DJ395" s="64">
        <f>($H395-$H396)*100</f>
        <v/>
      </c>
      <c r="DK395" s="65">
        <f>IFERROR($J395/$J396-1,"")</f>
        <v/>
      </c>
      <c r="DL395" s="64">
        <f>$L395-$L396</f>
        <v/>
      </c>
      <c r="DM395" s="64">
        <f>$K395-$K396</f>
        <v/>
      </c>
      <c r="DN395" s="65">
        <f>IFERROR($N395/$N396-1,"")</f>
        <v/>
      </c>
      <c r="DO395" s="65">
        <f>IFERROR($M395/$M396-1,"")</f>
        <v/>
      </c>
      <c r="DP395" s="65">
        <f>IFERROR($AZ395/$AZ396-1,"")</f>
        <v/>
      </c>
      <c r="DQ395" s="65">
        <f>IFERROR($BA395/$BA396-1,"")</f>
        <v/>
      </c>
      <c r="DR395" s="64">
        <f>$O395-$O396</f>
        <v/>
      </c>
      <c r="DS395" s="64">
        <f>$P395-$P396</f>
        <v/>
      </c>
      <c r="DT395" s="64">
        <f>$Q395-$Q396</f>
        <v/>
      </c>
      <c r="DU395" s="64">
        <f>$S395-$S396</f>
        <v/>
      </c>
      <c r="DV395" s="65">
        <f>IFERROR(AVERAGE($AA396/$AA395-1,$AB396/$AB395-1,$AC396/$AC395-1,$AD396/$AD395-1,$AE396/$AE395-1,$AG396/$AG395-1,$AH396/$AH395-1,$AI396/$AI395-1,$AJ396/$AJ395-1,$AL396/$AL395-1,$AM396/$AM395-1,$AR396/$AR395-1,$AS396/$AS395-1,$AT396/$AT395-1,$AU396/$AU395-1,$AV396/$AV395-1,$AW396/$AW395-1,$AX396/$AX395-1,$AY396/$AY395-1),"")</f>
        <v/>
      </c>
      <c r="DW395" s="66">
        <f>AVERAGE($CB395,$CC395,$CD395,$CE395,$CF395,$CG395,$CH395,$CI395,$CJ395,$CL395,$CM395,$CN395,$CO395,$CP395,$CQ395,$CR395,$CS395,$CT395)</f>
        <v/>
      </c>
      <c r="DX395" s="66">
        <f>AVERAGE($CB395,$CC395,$CM395,$CE395,$CP395)</f>
        <v/>
      </c>
      <c r="DY395" s="64">
        <f>($DW395-$DW396)*100</f>
        <v/>
      </c>
      <c r="DZ395" s="64">
        <f>($DX395-$DX396)*100</f>
        <v/>
      </c>
      <c r="EA395" s="64">
        <f>($DW395-$D395)*100</f>
        <v/>
      </c>
      <c r="EB395" s="64">
        <f>$Q395-$O395</f>
        <v/>
      </c>
      <c r="EC395" s="67">
        <f>IFERROR($Q395/$P395,"")</f>
        <v/>
      </c>
    </row>
    <row r="396">
      <c r="DG396" s="64">
        <f>($B396-$B397)*100</f>
        <v/>
      </c>
      <c r="DH396" s="64">
        <f>($D396-$D397)*100</f>
        <v/>
      </c>
      <c r="DI396" s="64">
        <f>($E396-$E397)*100</f>
        <v/>
      </c>
      <c r="DJ396" s="64">
        <f>($H396-$H397)*100</f>
        <v/>
      </c>
      <c r="DK396" s="65">
        <f>IFERROR($J396/$J397-1,"")</f>
        <v/>
      </c>
      <c r="DL396" s="64">
        <f>$L396-$L397</f>
        <v/>
      </c>
      <c r="DM396" s="64">
        <f>$K396-$K397</f>
        <v/>
      </c>
      <c r="DN396" s="65">
        <f>IFERROR($N396/$N397-1,"")</f>
        <v/>
      </c>
      <c r="DO396" s="65">
        <f>IFERROR($M396/$M397-1,"")</f>
        <v/>
      </c>
      <c r="DP396" s="65">
        <f>IFERROR($AZ396/$AZ397-1,"")</f>
        <v/>
      </c>
      <c r="DQ396" s="65">
        <f>IFERROR($BA396/$BA397-1,"")</f>
        <v/>
      </c>
      <c r="DR396" s="64">
        <f>$O396-$O397</f>
        <v/>
      </c>
      <c r="DS396" s="64">
        <f>$P396-$P397</f>
        <v/>
      </c>
      <c r="DT396" s="64">
        <f>$Q396-$Q397</f>
        <v/>
      </c>
      <c r="DU396" s="64">
        <f>$S396-$S397</f>
        <v/>
      </c>
      <c r="DV396" s="65">
        <f>IFERROR(AVERAGE($AA397/$AA396-1,$AB397/$AB396-1,$AC397/$AC396-1,$AD397/$AD396-1,$AE397/$AE396-1,$AG397/$AG396-1,$AH397/$AH396-1,$AI397/$AI396-1,$AJ397/$AJ396-1,$AL397/$AL396-1,$AM397/$AM396-1,$AR397/$AR396-1,$AS397/$AS396-1,$AT397/$AT396-1,$AU397/$AU396-1,$AV397/$AV396-1,$AW397/$AW396-1,$AX397/$AX396-1,$AY397/$AY396-1),"")</f>
        <v/>
      </c>
      <c r="DW396" s="66">
        <f>AVERAGE($CB396,$CC396,$CD396,$CE396,$CF396,$CG396,$CH396,$CI396,$CJ396,$CL396,$CM396,$CN396,$CO396,$CP396,$CQ396,$CR396,$CS396,$CT396)</f>
        <v/>
      </c>
      <c r="DX396" s="66">
        <f>AVERAGE($CB396,$CC396,$CM396,$CE396,$CP396)</f>
        <v/>
      </c>
      <c r="DY396" s="64">
        <f>($DW396-$DW397)*100</f>
        <v/>
      </c>
      <c r="DZ396" s="64">
        <f>($DX396-$DX397)*100</f>
        <v/>
      </c>
      <c r="EA396" s="64">
        <f>($DW396-$D396)*100</f>
        <v/>
      </c>
      <c r="EB396" s="64">
        <f>$Q396-$O396</f>
        <v/>
      </c>
      <c r="EC396" s="67">
        <f>IFERROR($Q396/$P396,"")</f>
        <v/>
      </c>
    </row>
    <row r="397">
      <c r="DG397" s="64">
        <f>($B397-$B398)*100</f>
        <v/>
      </c>
      <c r="DH397" s="64">
        <f>($D397-$D398)*100</f>
        <v/>
      </c>
      <c r="DI397" s="64">
        <f>($E397-$E398)*100</f>
        <v/>
      </c>
      <c r="DJ397" s="64">
        <f>($H397-$H398)*100</f>
        <v/>
      </c>
      <c r="DK397" s="65">
        <f>IFERROR($J397/$J398-1,"")</f>
        <v/>
      </c>
      <c r="DL397" s="64">
        <f>$L397-$L398</f>
        <v/>
      </c>
      <c r="DM397" s="64">
        <f>$K397-$K398</f>
        <v/>
      </c>
      <c r="DN397" s="65">
        <f>IFERROR($N397/$N398-1,"")</f>
        <v/>
      </c>
      <c r="DO397" s="65">
        <f>IFERROR($M397/$M398-1,"")</f>
        <v/>
      </c>
      <c r="DP397" s="65">
        <f>IFERROR($AZ397/$AZ398-1,"")</f>
        <v/>
      </c>
      <c r="DQ397" s="65">
        <f>IFERROR($BA397/$BA398-1,"")</f>
        <v/>
      </c>
      <c r="DR397" s="64">
        <f>$O397-$O398</f>
        <v/>
      </c>
      <c r="DS397" s="64">
        <f>$P397-$P398</f>
        <v/>
      </c>
      <c r="DT397" s="64">
        <f>$Q397-$Q398</f>
        <v/>
      </c>
      <c r="DU397" s="64">
        <f>$S397-$S398</f>
        <v/>
      </c>
      <c r="DV397" s="65">
        <f>IFERROR(AVERAGE($AA398/$AA397-1,$AB398/$AB397-1,$AC398/$AC397-1,$AD398/$AD397-1,$AE398/$AE397-1,$AG398/$AG397-1,$AH398/$AH397-1,$AI398/$AI397-1,$AJ398/$AJ397-1,$AL398/$AL397-1,$AM398/$AM397-1,$AR398/$AR397-1,$AS398/$AS397-1,$AT398/$AT397-1,$AU398/$AU397-1,$AV398/$AV397-1,$AW398/$AW397-1,$AX398/$AX397-1,$AY398/$AY397-1),"")</f>
        <v/>
      </c>
      <c r="DW397" s="66">
        <f>AVERAGE($CB397,$CC397,$CD397,$CE397,$CF397,$CG397,$CH397,$CI397,$CJ397,$CL397,$CM397,$CN397,$CO397,$CP397,$CQ397,$CR397,$CS397,$CT397)</f>
        <v/>
      </c>
      <c r="DX397" s="66">
        <f>AVERAGE($CB397,$CC397,$CM397,$CE397,$CP397)</f>
        <v/>
      </c>
      <c r="DY397" s="64">
        <f>($DW397-$DW398)*100</f>
        <v/>
      </c>
      <c r="DZ397" s="64">
        <f>($DX397-$DX398)*100</f>
        <v/>
      </c>
      <c r="EA397" s="64">
        <f>($DW397-$D397)*100</f>
        <v/>
      </c>
      <c r="EB397" s="64">
        <f>$Q397-$O397</f>
        <v/>
      </c>
      <c r="EC397" s="67">
        <f>IFERROR($Q397/$P397,"")</f>
        <v/>
      </c>
    </row>
    <row r="398">
      <c r="DG398" s="64">
        <f>($B398-$B399)*100</f>
        <v/>
      </c>
      <c r="DH398" s="64">
        <f>($D398-$D399)*100</f>
        <v/>
      </c>
      <c r="DI398" s="64">
        <f>($E398-$E399)*100</f>
        <v/>
      </c>
      <c r="DJ398" s="64">
        <f>($H398-$H399)*100</f>
        <v/>
      </c>
      <c r="DK398" s="65">
        <f>IFERROR($J398/$J399-1,"")</f>
        <v/>
      </c>
      <c r="DL398" s="64">
        <f>$L398-$L399</f>
        <v/>
      </c>
      <c r="DM398" s="64">
        <f>$K398-$K399</f>
        <v/>
      </c>
      <c r="DN398" s="65">
        <f>IFERROR($N398/$N399-1,"")</f>
        <v/>
      </c>
      <c r="DO398" s="65">
        <f>IFERROR($M398/$M399-1,"")</f>
        <v/>
      </c>
      <c r="DP398" s="65">
        <f>IFERROR($AZ398/$AZ399-1,"")</f>
        <v/>
      </c>
      <c r="DQ398" s="65">
        <f>IFERROR($BA398/$BA399-1,"")</f>
        <v/>
      </c>
      <c r="DR398" s="64">
        <f>$O398-$O399</f>
        <v/>
      </c>
      <c r="DS398" s="64">
        <f>$P398-$P399</f>
        <v/>
      </c>
      <c r="DT398" s="64">
        <f>$Q398-$Q399</f>
        <v/>
      </c>
      <c r="DU398" s="64">
        <f>$S398-$S399</f>
        <v/>
      </c>
      <c r="DV398" s="65">
        <f>IFERROR(AVERAGE($AA399/$AA398-1,$AB399/$AB398-1,$AC399/$AC398-1,$AD399/$AD398-1,$AE399/$AE398-1,$AG399/$AG398-1,$AH399/$AH398-1,$AI399/$AI398-1,$AJ399/$AJ398-1,$AL399/$AL398-1,$AM399/$AM398-1,$AR399/$AR398-1,$AS399/$AS398-1,$AT399/$AT398-1,$AU399/$AU398-1,$AV399/$AV398-1,$AW399/$AW398-1,$AX399/$AX398-1,$AY399/$AY398-1),"")</f>
        <v/>
      </c>
      <c r="DW398" s="66">
        <f>AVERAGE($CB398,$CC398,$CD398,$CE398,$CF398,$CG398,$CH398,$CI398,$CJ398,$CL398,$CM398,$CN398,$CO398,$CP398,$CQ398,$CR398,$CS398,$CT398)</f>
        <v/>
      </c>
      <c r="DX398" s="66">
        <f>AVERAGE($CB398,$CC398,$CM398,$CE398,$CP398)</f>
        <v/>
      </c>
      <c r="DY398" s="64">
        <f>($DW398-$DW399)*100</f>
        <v/>
      </c>
      <c r="DZ398" s="64">
        <f>($DX398-$DX399)*100</f>
        <v/>
      </c>
      <c r="EA398" s="64">
        <f>($DW398-$D398)*100</f>
        <v/>
      </c>
      <c r="EB398" s="64">
        <f>$Q398-$O398</f>
        <v/>
      </c>
      <c r="EC398" s="67">
        <f>IFERROR($Q398/$P398,"")</f>
        <v/>
      </c>
    </row>
    <row r="399">
      <c r="DG399" s="64">
        <f>($B399-$B400)*100</f>
        <v/>
      </c>
      <c r="DH399" s="64">
        <f>($D399-$D400)*100</f>
        <v/>
      </c>
      <c r="DI399" s="64">
        <f>($E399-$E400)*100</f>
        <v/>
      </c>
      <c r="DJ399" s="64">
        <f>($H399-$H400)*100</f>
        <v/>
      </c>
      <c r="DK399" s="65">
        <f>IFERROR($J399/$J400-1,"")</f>
        <v/>
      </c>
      <c r="DL399" s="64">
        <f>$L399-$L400</f>
        <v/>
      </c>
      <c r="DM399" s="64">
        <f>$K399-$K400</f>
        <v/>
      </c>
      <c r="DN399" s="65">
        <f>IFERROR($N399/$N400-1,"")</f>
        <v/>
      </c>
      <c r="DO399" s="65">
        <f>IFERROR($M399/$M400-1,"")</f>
        <v/>
      </c>
      <c r="DP399" s="65">
        <f>IFERROR($AZ399/$AZ400-1,"")</f>
        <v/>
      </c>
      <c r="DQ399" s="65">
        <f>IFERROR($BA399/$BA400-1,"")</f>
        <v/>
      </c>
      <c r="DR399" s="64">
        <f>$O399-$O400</f>
        <v/>
      </c>
      <c r="DS399" s="64">
        <f>$P399-$P400</f>
        <v/>
      </c>
      <c r="DT399" s="64">
        <f>$Q399-$Q400</f>
        <v/>
      </c>
      <c r="DU399" s="64">
        <f>$S399-$S400</f>
        <v/>
      </c>
      <c r="DV399" s="65">
        <f>IFERROR(AVERAGE($AA400/$AA399-1,$AB400/$AB399-1,$AC400/$AC399-1,$AD400/$AD399-1,$AE400/$AE399-1,$AG400/$AG399-1,$AH400/$AH399-1,$AI400/$AI399-1,$AJ400/$AJ399-1,$AL400/$AL399-1,$AM400/$AM399-1,$AR400/$AR399-1,$AS400/$AS399-1,$AT400/$AT399-1,$AU400/$AU399-1,$AV400/$AV399-1,$AW400/$AW399-1,$AX400/$AX399-1,$AY400/$AY399-1),"")</f>
        <v/>
      </c>
      <c r="DW399" s="66">
        <f>AVERAGE($CB399,$CC399,$CD399,$CE399,$CF399,$CG399,$CH399,$CI399,$CJ399,$CL399,$CM399,$CN399,$CO399,$CP399,$CQ399,$CR399,$CS399,$CT399)</f>
        <v/>
      </c>
      <c r="DX399" s="66">
        <f>AVERAGE($CB399,$CC399,$CM399,$CE399,$CP399)</f>
        <v/>
      </c>
      <c r="DY399" s="64">
        <f>($DW399-$DW400)*100</f>
        <v/>
      </c>
      <c r="DZ399" s="64">
        <f>($DX399-$DX400)*100</f>
        <v/>
      </c>
      <c r="EA399" s="64">
        <f>($DW399-$D399)*100</f>
        <v/>
      </c>
      <c r="EB399" s="64">
        <f>$Q399-$O399</f>
        <v/>
      </c>
      <c r="EC399" s="67">
        <f>IFERROR($Q399/$P399,"")</f>
        <v/>
      </c>
    </row>
    <row r="400">
      <c r="DG400" s="64">
        <f>($B400-$B401)*100</f>
        <v/>
      </c>
      <c r="DH400" s="64">
        <f>($D400-$D401)*100</f>
        <v/>
      </c>
      <c r="DI400" s="64">
        <f>($E400-$E401)*100</f>
        <v/>
      </c>
      <c r="DJ400" s="64">
        <f>($H400-$H401)*100</f>
        <v/>
      </c>
      <c r="DK400" s="65">
        <f>IFERROR($J400/$J401-1,"")</f>
        <v/>
      </c>
      <c r="DL400" s="64">
        <f>$L400-$L401</f>
        <v/>
      </c>
      <c r="DM400" s="64">
        <f>$K400-$K401</f>
        <v/>
      </c>
      <c r="DN400" s="65">
        <f>IFERROR($N400/$N401-1,"")</f>
        <v/>
      </c>
      <c r="DO400" s="65">
        <f>IFERROR($M400/$M401-1,"")</f>
        <v/>
      </c>
      <c r="DP400" s="65">
        <f>IFERROR($AZ400/$AZ401-1,"")</f>
        <v/>
      </c>
      <c r="DQ400" s="65">
        <f>IFERROR($BA400/$BA401-1,"")</f>
        <v/>
      </c>
      <c r="DR400" s="64">
        <f>$O400-$O401</f>
        <v/>
      </c>
      <c r="DS400" s="64">
        <f>$P400-$P401</f>
        <v/>
      </c>
      <c r="DT400" s="64">
        <f>$Q400-$Q401</f>
        <v/>
      </c>
      <c r="DU400" s="64">
        <f>$S400-$S401</f>
        <v/>
      </c>
      <c r="DV400" s="65">
        <f>IFERROR(AVERAGE($AA401/$AA400-1,$AB401/$AB400-1,$AC401/$AC400-1,$AD401/$AD400-1,$AE401/$AE400-1,$AG401/$AG400-1,$AH401/$AH400-1,$AI401/$AI400-1,$AJ401/$AJ400-1,$AL401/$AL400-1,$AM401/$AM400-1,$AR401/$AR400-1,$AS401/$AS400-1,$AT401/$AT400-1,$AU401/$AU400-1,$AV401/$AV400-1,$AW401/$AW400-1,$AX401/$AX400-1,$AY401/$AY400-1),"")</f>
        <v/>
      </c>
      <c r="DW400" s="66">
        <f>AVERAGE($CB400,$CC400,$CD400,$CE400,$CF400,$CG400,$CH400,$CI400,$CJ400,$CL400,$CM400,$CN400,$CO400,$CP400,$CQ400,$CR400,$CS400,$CT400)</f>
        <v/>
      </c>
      <c r="DX400" s="66">
        <f>AVERAGE($CB400,$CC400,$CM400,$CE400,$CP400)</f>
        <v/>
      </c>
      <c r="DY400" s="64">
        <f>($DW400-$DW401)*100</f>
        <v/>
      </c>
      <c r="DZ400" s="64">
        <f>($DX400-$DX401)*100</f>
        <v/>
      </c>
      <c r="EA400" s="64">
        <f>($DW400-$D400)*100</f>
        <v/>
      </c>
      <c r="EB400" s="64">
        <f>$Q400-$O400</f>
        <v/>
      </c>
      <c r="EC400" s="67">
        <f>IFERROR($Q400/$P400,"")</f>
        <v/>
      </c>
    </row>
    <row r="401">
      <c r="DG401" s="64">
        <f>($B401-$B402)*100</f>
        <v/>
      </c>
      <c r="DH401" s="64">
        <f>($D401-$D402)*100</f>
        <v/>
      </c>
      <c r="DI401" s="64">
        <f>($E401-$E402)*100</f>
        <v/>
      </c>
      <c r="DJ401" s="64">
        <f>($H401-$H402)*100</f>
        <v/>
      </c>
      <c r="DK401" s="65">
        <f>IFERROR($J401/$J402-1,"")</f>
        <v/>
      </c>
      <c r="DL401" s="64">
        <f>$L401-$L402</f>
        <v/>
      </c>
      <c r="DM401" s="64">
        <f>$K401-$K402</f>
        <v/>
      </c>
      <c r="DN401" s="65">
        <f>IFERROR($N401/$N402-1,"")</f>
        <v/>
      </c>
      <c r="DO401" s="65">
        <f>IFERROR($M401/$M402-1,"")</f>
        <v/>
      </c>
      <c r="DP401" s="65">
        <f>IFERROR($AZ401/$AZ402-1,"")</f>
        <v/>
      </c>
      <c r="DQ401" s="65">
        <f>IFERROR($BA401/$BA402-1,"")</f>
        <v/>
      </c>
      <c r="DR401" s="64">
        <f>$O401-$O402</f>
        <v/>
      </c>
      <c r="DS401" s="64">
        <f>$P401-$P402</f>
        <v/>
      </c>
      <c r="DT401" s="64">
        <f>$Q401-$Q402</f>
        <v/>
      </c>
      <c r="DU401" s="64">
        <f>$S401-$S402</f>
        <v/>
      </c>
      <c r="DV401" s="65">
        <f>IFERROR(AVERAGE($AA402/$AA401-1,$AB402/$AB401-1,$AC402/$AC401-1,$AD402/$AD401-1,$AE402/$AE401-1,$AG402/$AG401-1,$AH402/$AH401-1,$AI402/$AI401-1,$AJ402/$AJ401-1,$AL402/$AL401-1,$AM402/$AM401-1,$AR402/$AR401-1,$AS402/$AS401-1,$AT402/$AT401-1,$AU402/$AU401-1,$AV402/$AV401-1,$AW402/$AW401-1,$AX402/$AX401-1,$AY402/$AY401-1),"")</f>
        <v/>
      </c>
      <c r="DW401" s="66">
        <f>AVERAGE($CB401,$CC401,$CD401,$CE401,$CF401,$CG401,$CH401,$CI401,$CJ401,$CL401,$CM401,$CN401,$CO401,$CP401,$CQ401,$CR401,$CS401,$CT401)</f>
        <v/>
      </c>
      <c r="DX401" s="66">
        <f>AVERAGE($CB401,$CC401,$CM401,$CE401,$CP401)</f>
        <v/>
      </c>
      <c r="DY401" s="64">
        <f>($DW401-$DW402)*100</f>
        <v/>
      </c>
      <c r="DZ401" s="64">
        <f>($DX401-$DX402)*100</f>
        <v/>
      </c>
      <c r="EA401" s="64">
        <f>($DW401-$D401)*100</f>
        <v/>
      </c>
      <c r="EB401" s="64">
        <f>$Q401-$O401</f>
        <v/>
      </c>
      <c r="EC401" s="67">
        <f>IFERROR($Q401/$P401,"")</f>
        <v/>
      </c>
    </row>
    <row r="402">
      <c r="DG402" s="64">
        <f>($B402-$B403)*100</f>
        <v/>
      </c>
      <c r="DH402" s="64">
        <f>($D402-$D403)*100</f>
        <v/>
      </c>
      <c r="DI402" s="64">
        <f>($E402-$E403)*100</f>
        <v/>
      </c>
      <c r="DJ402" s="64">
        <f>($H402-$H403)*100</f>
        <v/>
      </c>
      <c r="DK402" s="65">
        <f>IFERROR($J402/$J403-1,"")</f>
        <v/>
      </c>
      <c r="DL402" s="64">
        <f>$L402-$L403</f>
        <v/>
      </c>
      <c r="DM402" s="64">
        <f>$K402-$K403</f>
        <v/>
      </c>
      <c r="DN402" s="65">
        <f>IFERROR($N402/$N403-1,"")</f>
        <v/>
      </c>
      <c r="DO402" s="65">
        <f>IFERROR($M402/$M403-1,"")</f>
        <v/>
      </c>
      <c r="DP402" s="65">
        <f>IFERROR($AZ402/$AZ403-1,"")</f>
        <v/>
      </c>
      <c r="DQ402" s="65">
        <f>IFERROR($BA402/$BA403-1,"")</f>
        <v/>
      </c>
      <c r="DR402" s="64">
        <f>$O402-$O403</f>
        <v/>
      </c>
      <c r="DS402" s="64">
        <f>$P402-$P403</f>
        <v/>
      </c>
      <c r="DT402" s="64">
        <f>$Q402-$Q403</f>
        <v/>
      </c>
      <c r="DU402" s="64">
        <f>$S402-$S403</f>
        <v/>
      </c>
      <c r="DV402" s="65">
        <f>IFERROR(AVERAGE($AA403/$AA402-1,$AB403/$AB402-1,$AC403/$AC402-1,$AD403/$AD402-1,$AE403/$AE402-1,$AG403/$AG402-1,$AH403/$AH402-1,$AI403/$AI402-1,$AJ403/$AJ402-1,$AL403/$AL402-1,$AM403/$AM402-1,$AR403/$AR402-1,$AS403/$AS402-1,$AT403/$AT402-1,$AU403/$AU402-1,$AV403/$AV402-1,$AW403/$AW402-1,$AX403/$AX402-1,$AY403/$AY402-1),"")</f>
        <v/>
      </c>
      <c r="DW402" s="66">
        <f>AVERAGE($CB402,$CC402,$CD402,$CE402,$CF402,$CG402,$CH402,$CI402,$CJ402,$CL402,$CM402,$CN402,$CO402,$CP402,$CQ402,$CR402,$CS402,$CT402)</f>
        <v/>
      </c>
      <c r="DX402" s="66">
        <f>AVERAGE($CB402,$CC402,$CM402,$CE402,$CP402)</f>
        <v/>
      </c>
      <c r="DY402" s="64">
        <f>($DW402-$DW403)*100</f>
        <v/>
      </c>
      <c r="DZ402" s="64">
        <f>($DX402-$DX403)*100</f>
        <v/>
      </c>
      <c r="EA402" s="64">
        <f>($DW402-$D402)*100</f>
        <v/>
      </c>
      <c r="EB402" s="64">
        <f>$Q402-$O402</f>
        <v/>
      </c>
      <c r="EC402" s="67">
        <f>IFERROR($Q402/$P402,"")</f>
        <v/>
      </c>
    </row>
    <row r="403">
      <c r="DG403" s="64">
        <f>($B403-$B404)*100</f>
        <v/>
      </c>
      <c r="DH403" s="64">
        <f>($D403-$D404)*100</f>
        <v/>
      </c>
      <c r="DI403" s="64">
        <f>($E403-$E404)*100</f>
        <v/>
      </c>
      <c r="DJ403" s="64">
        <f>($H403-$H404)*100</f>
        <v/>
      </c>
      <c r="DK403" s="65">
        <f>IFERROR($J403/$J404-1,"")</f>
        <v/>
      </c>
      <c r="DL403" s="64">
        <f>$L403-$L404</f>
        <v/>
      </c>
      <c r="DM403" s="64">
        <f>$K403-$K404</f>
        <v/>
      </c>
      <c r="DN403" s="65">
        <f>IFERROR($N403/$N404-1,"")</f>
        <v/>
      </c>
      <c r="DO403" s="65">
        <f>IFERROR($M403/$M404-1,"")</f>
        <v/>
      </c>
      <c r="DP403" s="65">
        <f>IFERROR($AZ403/$AZ404-1,"")</f>
        <v/>
      </c>
      <c r="DQ403" s="65">
        <f>IFERROR($BA403/$BA404-1,"")</f>
        <v/>
      </c>
      <c r="DR403" s="64">
        <f>$O403-$O404</f>
        <v/>
      </c>
      <c r="DS403" s="64">
        <f>$P403-$P404</f>
        <v/>
      </c>
      <c r="DT403" s="64">
        <f>$Q403-$Q404</f>
        <v/>
      </c>
      <c r="DU403" s="64">
        <f>$S403-$S404</f>
        <v/>
      </c>
      <c r="DV403" s="65">
        <f>IFERROR(AVERAGE($AA404/$AA403-1,$AB404/$AB403-1,$AC404/$AC403-1,$AD404/$AD403-1,$AE404/$AE403-1,$AG404/$AG403-1,$AH404/$AH403-1,$AI404/$AI403-1,$AJ404/$AJ403-1,$AL404/$AL403-1,$AM404/$AM403-1,$AR404/$AR403-1,$AS404/$AS403-1,$AT404/$AT403-1,$AU404/$AU403-1,$AV404/$AV403-1,$AW404/$AW403-1,$AX404/$AX403-1,$AY404/$AY403-1),"")</f>
        <v/>
      </c>
      <c r="DW403" s="66">
        <f>AVERAGE($CB403,$CC403,$CD403,$CE403,$CF403,$CG403,$CH403,$CI403,$CJ403,$CL403,$CM403,$CN403,$CO403,$CP403,$CQ403,$CR403,$CS403,$CT403)</f>
        <v/>
      </c>
      <c r="DX403" s="66">
        <f>AVERAGE($CB403,$CC403,$CM403,$CE403,$CP403)</f>
        <v/>
      </c>
      <c r="DY403" s="64">
        <f>($DW403-$DW404)*100</f>
        <v/>
      </c>
      <c r="DZ403" s="64">
        <f>($DX403-$DX404)*100</f>
        <v/>
      </c>
      <c r="EA403" s="64">
        <f>($DW403-$D403)*100</f>
        <v/>
      </c>
      <c r="EB403" s="64">
        <f>$Q403-$O403</f>
        <v/>
      </c>
      <c r="EC403" s="67">
        <f>IFERROR($Q403/$P403,"")</f>
        <v/>
      </c>
    </row>
    <row r="404">
      <c r="DG404" s="64">
        <f>($B404-$B405)*100</f>
        <v/>
      </c>
      <c r="DH404" s="64">
        <f>($D404-$D405)*100</f>
        <v/>
      </c>
      <c r="DI404" s="64">
        <f>($E404-$E405)*100</f>
        <v/>
      </c>
      <c r="DJ404" s="64">
        <f>($H404-$H405)*100</f>
        <v/>
      </c>
      <c r="DK404" s="65">
        <f>IFERROR($J404/$J405-1,"")</f>
        <v/>
      </c>
      <c r="DL404" s="64">
        <f>$L404-$L405</f>
        <v/>
      </c>
      <c r="DM404" s="64">
        <f>$K404-$K405</f>
        <v/>
      </c>
      <c r="DN404" s="65">
        <f>IFERROR($N404/$N405-1,"")</f>
        <v/>
      </c>
      <c r="DO404" s="65">
        <f>IFERROR($M404/$M405-1,"")</f>
        <v/>
      </c>
      <c r="DP404" s="65">
        <f>IFERROR($AZ404/$AZ405-1,"")</f>
        <v/>
      </c>
      <c r="DQ404" s="65">
        <f>IFERROR($BA404/$BA405-1,"")</f>
        <v/>
      </c>
      <c r="DR404" s="64">
        <f>$O404-$O405</f>
        <v/>
      </c>
      <c r="DS404" s="64">
        <f>$P404-$P405</f>
        <v/>
      </c>
      <c r="DT404" s="64">
        <f>$Q404-$Q405</f>
        <v/>
      </c>
      <c r="DU404" s="64">
        <f>$S404-$S405</f>
        <v/>
      </c>
      <c r="DV404" s="65">
        <f>IFERROR(AVERAGE($AA405/$AA404-1,$AB405/$AB404-1,$AC405/$AC404-1,$AD405/$AD404-1,$AE405/$AE404-1,$AG405/$AG404-1,$AH405/$AH404-1,$AI405/$AI404-1,$AJ405/$AJ404-1,$AL405/$AL404-1,$AM405/$AM404-1,$AR405/$AR404-1,$AS405/$AS404-1,$AT405/$AT404-1,$AU405/$AU404-1,$AV405/$AV404-1,$AW405/$AW404-1,$AX405/$AX404-1,$AY405/$AY404-1),"")</f>
        <v/>
      </c>
      <c r="DW404" s="66">
        <f>AVERAGE($CB404,$CC404,$CD404,$CE404,$CF404,$CG404,$CH404,$CI404,$CJ404,$CL404,$CM404,$CN404,$CO404,$CP404,$CQ404,$CR404,$CS404,$CT404)</f>
        <v/>
      </c>
      <c r="DX404" s="66">
        <f>AVERAGE($CB404,$CC404,$CM404,$CE404,$CP404)</f>
        <v/>
      </c>
      <c r="DY404" s="64">
        <f>($DW404-$DW405)*100</f>
        <v/>
      </c>
      <c r="DZ404" s="64">
        <f>($DX404-$DX405)*100</f>
        <v/>
      </c>
      <c r="EA404" s="64">
        <f>($DW404-$D404)*100</f>
        <v/>
      </c>
      <c r="EB404" s="64">
        <f>$Q404-$O404</f>
        <v/>
      </c>
      <c r="EC404" s="67">
        <f>IFERROR($Q404/$P404,"")</f>
        <v/>
      </c>
    </row>
    <row r="405">
      <c r="DG405" s="64">
        <f>($B405-$B406)*100</f>
        <v/>
      </c>
      <c r="DH405" s="64">
        <f>($D405-$D406)*100</f>
        <v/>
      </c>
      <c r="DI405" s="64">
        <f>($E405-$E406)*100</f>
        <v/>
      </c>
      <c r="DJ405" s="64">
        <f>($H405-$H406)*100</f>
        <v/>
      </c>
      <c r="DK405" s="65">
        <f>IFERROR($J405/$J406-1,"")</f>
        <v/>
      </c>
      <c r="DL405" s="64">
        <f>$L405-$L406</f>
        <v/>
      </c>
      <c r="DM405" s="64">
        <f>$K405-$K406</f>
        <v/>
      </c>
      <c r="DN405" s="65">
        <f>IFERROR($N405/$N406-1,"")</f>
        <v/>
      </c>
      <c r="DO405" s="65">
        <f>IFERROR($M405/$M406-1,"")</f>
        <v/>
      </c>
      <c r="DP405" s="65">
        <f>IFERROR($AZ405/$AZ406-1,"")</f>
        <v/>
      </c>
      <c r="DQ405" s="65">
        <f>IFERROR($BA405/$BA406-1,"")</f>
        <v/>
      </c>
      <c r="DR405" s="64">
        <f>$O405-$O406</f>
        <v/>
      </c>
      <c r="DS405" s="64">
        <f>$P405-$P406</f>
        <v/>
      </c>
      <c r="DT405" s="64">
        <f>$Q405-$Q406</f>
        <v/>
      </c>
      <c r="DU405" s="64">
        <f>$S405-$S406</f>
        <v/>
      </c>
      <c r="DV405" s="65">
        <f>IFERROR(AVERAGE($AA406/$AA405-1,$AB406/$AB405-1,$AC406/$AC405-1,$AD406/$AD405-1,$AE406/$AE405-1,$AG406/$AG405-1,$AH406/$AH405-1,$AI406/$AI405-1,$AJ406/$AJ405-1,$AL406/$AL405-1,$AM406/$AM405-1,$AR406/$AR405-1,$AS406/$AS405-1,$AT406/$AT405-1,$AU406/$AU405-1,$AV406/$AV405-1,$AW406/$AW405-1,$AX406/$AX405-1,$AY406/$AY405-1),"")</f>
        <v/>
      </c>
      <c r="DW405" s="66">
        <f>AVERAGE($CB405,$CC405,$CD405,$CE405,$CF405,$CG405,$CH405,$CI405,$CJ405,$CL405,$CM405,$CN405,$CO405,$CP405,$CQ405,$CR405,$CS405,$CT405)</f>
        <v/>
      </c>
      <c r="DX405" s="66">
        <f>AVERAGE($CB405,$CC405,$CM405,$CE405,$CP405)</f>
        <v/>
      </c>
      <c r="DY405" s="64">
        <f>($DW405-$DW406)*100</f>
        <v/>
      </c>
      <c r="DZ405" s="64">
        <f>($DX405-$DX406)*100</f>
        <v/>
      </c>
      <c r="EA405" s="64">
        <f>($DW405-$D405)*100</f>
        <v/>
      </c>
      <c r="EB405" s="64">
        <f>$Q405-$O405</f>
        <v/>
      </c>
      <c r="EC405" s="67">
        <f>IFERROR($Q405/$P405,"")</f>
        <v/>
      </c>
    </row>
    <row r="406">
      <c r="DG406" s="64">
        <f>($B406-$B407)*100</f>
        <v/>
      </c>
      <c r="DH406" s="64">
        <f>($D406-$D407)*100</f>
        <v/>
      </c>
      <c r="DI406" s="64">
        <f>($E406-$E407)*100</f>
        <v/>
      </c>
      <c r="DJ406" s="64">
        <f>($H406-$H407)*100</f>
        <v/>
      </c>
      <c r="DK406" s="65">
        <f>IFERROR($J406/$J407-1,"")</f>
        <v/>
      </c>
      <c r="DL406" s="64">
        <f>$L406-$L407</f>
        <v/>
      </c>
      <c r="DM406" s="64">
        <f>$K406-$K407</f>
        <v/>
      </c>
      <c r="DN406" s="65">
        <f>IFERROR($N406/$N407-1,"")</f>
        <v/>
      </c>
      <c r="DO406" s="65">
        <f>IFERROR($M406/$M407-1,"")</f>
        <v/>
      </c>
      <c r="DP406" s="65">
        <f>IFERROR($AZ406/$AZ407-1,"")</f>
        <v/>
      </c>
      <c r="DQ406" s="65">
        <f>IFERROR($BA406/$BA407-1,"")</f>
        <v/>
      </c>
      <c r="DR406" s="64">
        <f>$O406-$O407</f>
        <v/>
      </c>
      <c r="DS406" s="64">
        <f>$P406-$P407</f>
        <v/>
      </c>
      <c r="DT406" s="64">
        <f>$Q406-$Q407</f>
        <v/>
      </c>
      <c r="DU406" s="64">
        <f>$S406-$S407</f>
        <v/>
      </c>
      <c r="DV406" s="65">
        <f>IFERROR(AVERAGE($AA407/$AA406-1,$AB407/$AB406-1,$AC407/$AC406-1,$AD407/$AD406-1,$AE407/$AE406-1,$AG407/$AG406-1,$AH407/$AH406-1,$AI407/$AI406-1,$AJ407/$AJ406-1,$AL407/$AL406-1,$AM407/$AM406-1,$AR407/$AR406-1,$AS407/$AS406-1,$AT407/$AT406-1,$AU407/$AU406-1,$AV407/$AV406-1,$AW407/$AW406-1,$AX407/$AX406-1,$AY407/$AY406-1),"")</f>
        <v/>
      </c>
      <c r="DW406" s="66">
        <f>AVERAGE($CB406,$CC406,$CD406,$CE406,$CF406,$CG406,$CH406,$CI406,$CJ406,$CL406,$CM406,$CN406,$CO406,$CP406,$CQ406,$CR406,$CS406,$CT406)</f>
        <v/>
      </c>
      <c r="DX406" s="66">
        <f>AVERAGE($CB406,$CC406,$CM406,$CE406,$CP406)</f>
        <v/>
      </c>
      <c r="DY406" s="64">
        <f>($DW406-$DW407)*100</f>
        <v/>
      </c>
      <c r="DZ406" s="64">
        <f>($DX406-$DX407)*100</f>
        <v/>
      </c>
      <c r="EA406" s="64">
        <f>($DW406-$D406)*100</f>
        <v/>
      </c>
      <c r="EB406" s="64">
        <f>$Q406-$O406</f>
        <v/>
      </c>
      <c r="EC406" s="67">
        <f>IFERROR($Q406/$P406,"")</f>
        <v/>
      </c>
    </row>
    <row r="407">
      <c r="DG407" s="64">
        <f>($B407-$B408)*100</f>
        <v/>
      </c>
      <c r="DH407" s="64">
        <f>($D407-$D408)*100</f>
        <v/>
      </c>
      <c r="DI407" s="64">
        <f>($E407-$E408)*100</f>
        <v/>
      </c>
      <c r="DJ407" s="64">
        <f>($H407-$H408)*100</f>
        <v/>
      </c>
      <c r="DK407" s="65">
        <f>IFERROR($J407/$J408-1,"")</f>
        <v/>
      </c>
      <c r="DL407" s="64">
        <f>$L407-$L408</f>
        <v/>
      </c>
      <c r="DM407" s="64">
        <f>$K407-$K408</f>
        <v/>
      </c>
      <c r="DN407" s="65">
        <f>IFERROR($N407/$N408-1,"")</f>
        <v/>
      </c>
      <c r="DO407" s="65">
        <f>IFERROR($M407/$M408-1,"")</f>
        <v/>
      </c>
      <c r="DP407" s="65">
        <f>IFERROR($AZ407/$AZ408-1,"")</f>
        <v/>
      </c>
      <c r="DQ407" s="65">
        <f>IFERROR($BA407/$BA408-1,"")</f>
        <v/>
      </c>
      <c r="DR407" s="64">
        <f>$O407-$O408</f>
        <v/>
      </c>
      <c r="DS407" s="64">
        <f>$P407-$P408</f>
        <v/>
      </c>
      <c r="DT407" s="64">
        <f>$Q407-$Q408</f>
        <v/>
      </c>
      <c r="DU407" s="64">
        <f>$S407-$S408</f>
        <v/>
      </c>
      <c r="DV407" s="65">
        <f>IFERROR(AVERAGE($AA408/$AA407-1,$AB408/$AB407-1,$AC408/$AC407-1,$AD408/$AD407-1,$AE408/$AE407-1,$AG408/$AG407-1,$AH408/$AH407-1,$AI408/$AI407-1,$AJ408/$AJ407-1,$AL408/$AL407-1,$AM408/$AM407-1,$AR408/$AR407-1,$AS408/$AS407-1,$AT408/$AT407-1,$AU408/$AU407-1,$AV408/$AV407-1,$AW408/$AW407-1,$AX408/$AX407-1,$AY408/$AY407-1),"")</f>
        <v/>
      </c>
      <c r="DW407" s="66">
        <f>AVERAGE($CB407,$CC407,$CD407,$CE407,$CF407,$CG407,$CH407,$CI407,$CJ407,$CL407,$CM407,$CN407,$CO407,$CP407,$CQ407,$CR407,$CS407,$CT407)</f>
        <v/>
      </c>
      <c r="DX407" s="66">
        <f>AVERAGE($CB407,$CC407,$CM407,$CE407,$CP407)</f>
        <v/>
      </c>
      <c r="DY407" s="64">
        <f>($DW407-$DW408)*100</f>
        <v/>
      </c>
      <c r="DZ407" s="64">
        <f>($DX407-$DX408)*100</f>
        <v/>
      </c>
      <c r="EA407" s="64">
        <f>($DW407-$D407)*100</f>
        <v/>
      </c>
      <c r="EB407" s="64">
        <f>$Q407-$O407</f>
        <v/>
      </c>
      <c r="EC407" s="67">
        <f>IFERROR($Q407/$P407,"")</f>
        <v/>
      </c>
    </row>
    <row r="408">
      <c r="DG408" s="64">
        <f>($B408-$B409)*100</f>
        <v/>
      </c>
      <c r="DH408" s="64">
        <f>($D408-$D409)*100</f>
        <v/>
      </c>
      <c r="DI408" s="64">
        <f>($E408-$E409)*100</f>
        <v/>
      </c>
      <c r="DJ408" s="64">
        <f>($H408-$H409)*100</f>
        <v/>
      </c>
      <c r="DK408" s="65">
        <f>IFERROR($J408/$J409-1,"")</f>
        <v/>
      </c>
      <c r="DL408" s="64">
        <f>$L408-$L409</f>
        <v/>
      </c>
      <c r="DM408" s="64">
        <f>$K408-$K409</f>
        <v/>
      </c>
      <c r="DN408" s="65">
        <f>IFERROR($N408/$N409-1,"")</f>
        <v/>
      </c>
      <c r="DO408" s="65">
        <f>IFERROR($M408/$M409-1,"")</f>
        <v/>
      </c>
      <c r="DP408" s="65">
        <f>IFERROR($AZ408/$AZ409-1,"")</f>
        <v/>
      </c>
      <c r="DQ408" s="65">
        <f>IFERROR($BA408/$BA409-1,"")</f>
        <v/>
      </c>
      <c r="DR408" s="64">
        <f>$O408-$O409</f>
        <v/>
      </c>
      <c r="DS408" s="64">
        <f>$P408-$P409</f>
        <v/>
      </c>
      <c r="DT408" s="64">
        <f>$Q408-$Q409</f>
        <v/>
      </c>
      <c r="DU408" s="64">
        <f>$S408-$S409</f>
        <v/>
      </c>
      <c r="DV408" s="65">
        <f>IFERROR(AVERAGE($AA409/$AA408-1,$AB409/$AB408-1,$AC409/$AC408-1,$AD409/$AD408-1,$AE409/$AE408-1,$AG409/$AG408-1,$AH409/$AH408-1,$AI409/$AI408-1,$AJ409/$AJ408-1,$AL409/$AL408-1,$AM409/$AM408-1,$AR409/$AR408-1,$AS409/$AS408-1,$AT409/$AT408-1,$AU409/$AU408-1,$AV409/$AV408-1,$AW409/$AW408-1,$AX409/$AX408-1,$AY409/$AY408-1),"")</f>
        <v/>
      </c>
      <c r="DW408" s="66">
        <f>AVERAGE($CB408,$CC408,$CD408,$CE408,$CF408,$CG408,$CH408,$CI408,$CJ408,$CL408,$CM408,$CN408,$CO408,$CP408,$CQ408,$CR408,$CS408,$CT408)</f>
        <v/>
      </c>
      <c r="DX408" s="66">
        <f>AVERAGE($CB408,$CC408,$CM408,$CE408,$CP408)</f>
        <v/>
      </c>
      <c r="DY408" s="64">
        <f>($DW408-$DW409)*100</f>
        <v/>
      </c>
      <c r="DZ408" s="64">
        <f>($DX408-$DX409)*100</f>
        <v/>
      </c>
      <c r="EA408" s="64">
        <f>($DW408-$D408)*100</f>
        <v/>
      </c>
      <c r="EB408" s="64">
        <f>$Q408-$O408</f>
        <v/>
      </c>
      <c r="EC408" s="67">
        <f>IFERROR($Q408/$P408,"")</f>
        <v/>
      </c>
    </row>
    <row r="409">
      <c r="DG409" s="64">
        <f>($B409-$B410)*100</f>
        <v/>
      </c>
      <c r="DH409" s="64">
        <f>($D409-$D410)*100</f>
        <v/>
      </c>
      <c r="DI409" s="64">
        <f>($E409-$E410)*100</f>
        <v/>
      </c>
      <c r="DJ409" s="64">
        <f>($H409-$H410)*100</f>
        <v/>
      </c>
      <c r="DK409" s="65">
        <f>IFERROR($J409/$J410-1,"")</f>
        <v/>
      </c>
      <c r="DL409" s="64">
        <f>$L409-$L410</f>
        <v/>
      </c>
      <c r="DM409" s="64">
        <f>$K409-$K410</f>
        <v/>
      </c>
      <c r="DN409" s="65">
        <f>IFERROR($N409/$N410-1,"")</f>
        <v/>
      </c>
      <c r="DO409" s="65">
        <f>IFERROR($M409/$M410-1,"")</f>
        <v/>
      </c>
      <c r="DP409" s="65">
        <f>IFERROR($AZ409/$AZ410-1,"")</f>
        <v/>
      </c>
      <c r="DQ409" s="65">
        <f>IFERROR($BA409/$BA410-1,"")</f>
        <v/>
      </c>
      <c r="DR409" s="64">
        <f>$O409-$O410</f>
        <v/>
      </c>
      <c r="DS409" s="64">
        <f>$P409-$P410</f>
        <v/>
      </c>
      <c r="DT409" s="64">
        <f>$Q409-$Q410</f>
        <v/>
      </c>
      <c r="DU409" s="64">
        <f>$S409-$S410</f>
        <v/>
      </c>
      <c r="DV409" s="65">
        <f>IFERROR(AVERAGE($AA410/$AA409-1,$AB410/$AB409-1,$AC410/$AC409-1,$AD410/$AD409-1,$AE410/$AE409-1,$AG410/$AG409-1,$AH410/$AH409-1,$AI410/$AI409-1,$AJ410/$AJ409-1,$AL410/$AL409-1,$AM410/$AM409-1,$AR410/$AR409-1,$AS410/$AS409-1,$AT410/$AT409-1,$AU410/$AU409-1,$AV410/$AV409-1,$AW410/$AW409-1,$AX410/$AX409-1,$AY410/$AY409-1),"")</f>
        <v/>
      </c>
      <c r="DW409" s="66">
        <f>AVERAGE($CB409,$CC409,$CD409,$CE409,$CF409,$CG409,$CH409,$CI409,$CJ409,$CL409,$CM409,$CN409,$CO409,$CP409,$CQ409,$CR409,$CS409,$CT409)</f>
        <v/>
      </c>
      <c r="DX409" s="66">
        <f>AVERAGE($CB409,$CC409,$CM409,$CE409,$CP409)</f>
        <v/>
      </c>
      <c r="DY409" s="64">
        <f>($DW409-$DW410)*100</f>
        <v/>
      </c>
      <c r="DZ409" s="64">
        <f>($DX409-$DX410)*100</f>
        <v/>
      </c>
      <c r="EA409" s="64">
        <f>($DW409-$D409)*100</f>
        <v/>
      </c>
      <c r="EB409" s="64">
        <f>$Q409-$O409</f>
        <v/>
      </c>
      <c r="EC409" s="67">
        <f>IFERROR($Q409/$P409,"")</f>
        <v/>
      </c>
    </row>
    <row r="410">
      <c r="DG410" s="64">
        <f>($B410-$B411)*100</f>
        <v/>
      </c>
      <c r="DH410" s="64">
        <f>($D410-$D411)*100</f>
        <v/>
      </c>
      <c r="DI410" s="64">
        <f>($E410-$E411)*100</f>
        <v/>
      </c>
      <c r="DJ410" s="64">
        <f>($H410-$H411)*100</f>
        <v/>
      </c>
      <c r="DK410" s="65">
        <f>IFERROR($J410/$J411-1,"")</f>
        <v/>
      </c>
      <c r="DL410" s="64">
        <f>$L410-$L411</f>
        <v/>
      </c>
      <c r="DM410" s="64">
        <f>$K410-$K411</f>
        <v/>
      </c>
      <c r="DN410" s="65">
        <f>IFERROR($N410/$N411-1,"")</f>
        <v/>
      </c>
      <c r="DO410" s="65">
        <f>IFERROR($M410/$M411-1,"")</f>
        <v/>
      </c>
      <c r="DP410" s="65">
        <f>IFERROR($AZ410/$AZ411-1,"")</f>
        <v/>
      </c>
      <c r="DQ410" s="65">
        <f>IFERROR($BA410/$BA411-1,"")</f>
        <v/>
      </c>
      <c r="DR410" s="64">
        <f>$O410-$O411</f>
        <v/>
      </c>
      <c r="DS410" s="64">
        <f>$P410-$P411</f>
        <v/>
      </c>
      <c r="DT410" s="64">
        <f>$Q410-$Q411</f>
        <v/>
      </c>
      <c r="DU410" s="64">
        <f>$S410-$S411</f>
        <v/>
      </c>
      <c r="DV410" s="65">
        <f>IFERROR(AVERAGE($AA411/$AA410-1,$AB411/$AB410-1,$AC411/$AC410-1,$AD411/$AD410-1,$AE411/$AE410-1,$AG411/$AG410-1,$AH411/$AH410-1,$AI411/$AI410-1,$AJ411/$AJ410-1,$AL411/$AL410-1,$AM411/$AM410-1,$AR411/$AR410-1,$AS411/$AS410-1,$AT411/$AT410-1,$AU411/$AU410-1,$AV411/$AV410-1,$AW411/$AW410-1,$AX411/$AX410-1,$AY411/$AY410-1),"")</f>
        <v/>
      </c>
      <c r="DW410" s="66">
        <f>AVERAGE($CB410,$CC410,$CD410,$CE410,$CF410,$CG410,$CH410,$CI410,$CJ410,$CL410,$CM410,$CN410,$CO410,$CP410,$CQ410,$CR410,$CS410,$CT410)</f>
        <v/>
      </c>
      <c r="DX410" s="66">
        <f>AVERAGE($CB410,$CC410,$CM410,$CE410,$CP410)</f>
        <v/>
      </c>
      <c r="DY410" s="64">
        <f>($DW410-$DW411)*100</f>
        <v/>
      </c>
      <c r="DZ410" s="64">
        <f>($DX410-$DX411)*100</f>
        <v/>
      </c>
      <c r="EA410" s="64">
        <f>($DW410-$D410)*100</f>
        <v/>
      </c>
      <c r="EB410" s="64">
        <f>$Q410-$O410</f>
        <v/>
      </c>
      <c r="EC410" s="67">
        <f>IFERROR($Q410/$P410,"")</f>
        <v/>
      </c>
    </row>
    <row r="411">
      <c r="DG411" s="64">
        <f>($B411-$B412)*100</f>
        <v/>
      </c>
      <c r="DH411" s="64">
        <f>($D411-$D412)*100</f>
        <v/>
      </c>
      <c r="DI411" s="64">
        <f>($E411-$E412)*100</f>
        <v/>
      </c>
      <c r="DJ411" s="64">
        <f>($H411-$H412)*100</f>
        <v/>
      </c>
      <c r="DK411" s="65">
        <f>IFERROR($J411/$J412-1,"")</f>
        <v/>
      </c>
      <c r="DL411" s="64">
        <f>$L411-$L412</f>
        <v/>
      </c>
      <c r="DM411" s="64">
        <f>$K411-$K412</f>
        <v/>
      </c>
      <c r="DN411" s="65">
        <f>IFERROR($N411/$N412-1,"")</f>
        <v/>
      </c>
      <c r="DO411" s="65">
        <f>IFERROR($M411/$M412-1,"")</f>
        <v/>
      </c>
      <c r="DP411" s="65">
        <f>IFERROR($AZ411/$AZ412-1,"")</f>
        <v/>
      </c>
      <c r="DQ411" s="65">
        <f>IFERROR($BA411/$BA412-1,"")</f>
        <v/>
      </c>
      <c r="DR411" s="64">
        <f>$O411-$O412</f>
        <v/>
      </c>
      <c r="DS411" s="64">
        <f>$P411-$P412</f>
        <v/>
      </c>
      <c r="DT411" s="64">
        <f>$Q411-$Q412</f>
        <v/>
      </c>
      <c r="DU411" s="64">
        <f>$S411-$S412</f>
        <v/>
      </c>
      <c r="DV411" s="65">
        <f>IFERROR(AVERAGE($AA412/$AA411-1,$AB412/$AB411-1,$AC412/$AC411-1,$AD412/$AD411-1,$AE412/$AE411-1,$AG412/$AG411-1,$AH412/$AH411-1,$AI412/$AI411-1,$AJ412/$AJ411-1,$AL412/$AL411-1,$AM412/$AM411-1,$AR412/$AR411-1,$AS412/$AS411-1,$AT412/$AT411-1,$AU412/$AU411-1,$AV412/$AV411-1,$AW412/$AW411-1,$AX412/$AX411-1,$AY412/$AY411-1),"")</f>
        <v/>
      </c>
      <c r="DW411" s="66">
        <f>AVERAGE($CB411,$CC411,$CD411,$CE411,$CF411,$CG411,$CH411,$CI411,$CJ411,$CL411,$CM411,$CN411,$CO411,$CP411,$CQ411,$CR411,$CS411,$CT411)</f>
        <v/>
      </c>
      <c r="DX411" s="66">
        <f>AVERAGE($CB411,$CC411,$CM411,$CE411,$CP411)</f>
        <v/>
      </c>
      <c r="DY411" s="64">
        <f>($DW411-$DW412)*100</f>
        <v/>
      </c>
      <c r="DZ411" s="64">
        <f>($DX411-$DX412)*100</f>
        <v/>
      </c>
      <c r="EA411" s="64">
        <f>($DW411-$D411)*100</f>
        <v/>
      </c>
      <c r="EB411" s="64">
        <f>$Q411-$O411</f>
        <v/>
      </c>
      <c r="EC411" s="67">
        <f>IFERROR($Q411/$P411,"")</f>
        <v/>
      </c>
    </row>
    <row r="412">
      <c r="DG412" s="64">
        <f>($B412-$B413)*100</f>
        <v/>
      </c>
      <c r="DH412" s="64">
        <f>($D412-$D413)*100</f>
        <v/>
      </c>
      <c r="DI412" s="64">
        <f>($E412-$E413)*100</f>
        <v/>
      </c>
      <c r="DJ412" s="64">
        <f>($H412-$H413)*100</f>
        <v/>
      </c>
      <c r="DK412" s="65">
        <f>IFERROR($J412/$J413-1,"")</f>
        <v/>
      </c>
      <c r="DL412" s="64">
        <f>$L412-$L413</f>
        <v/>
      </c>
      <c r="DM412" s="64">
        <f>$K412-$K413</f>
        <v/>
      </c>
      <c r="DN412" s="65">
        <f>IFERROR($N412/$N413-1,"")</f>
        <v/>
      </c>
      <c r="DO412" s="65">
        <f>IFERROR($M412/$M413-1,"")</f>
        <v/>
      </c>
      <c r="DP412" s="65">
        <f>IFERROR($AZ412/$AZ413-1,"")</f>
        <v/>
      </c>
      <c r="DQ412" s="65">
        <f>IFERROR($BA412/$BA413-1,"")</f>
        <v/>
      </c>
      <c r="DR412" s="64">
        <f>$O412-$O413</f>
        <v/>
      </c>
      <c r="DS412" s="64">
        <f>$P412-$P413</f>
        <v/>
      </c>
      <c r="DT412" s="64">
        <f>$Q412-$Q413</f>
        <v/>
      </c>
      <c r="DU412" s="64">
        <f>$S412-$S413</f>
        <v/>
      </c>
      <c r="DV412" s="65">
        <f>IFERROR(AVERAGE($AA413/$AA412-1,$AB413/$AB412-1,$AC413/$AC412-1,$AD413/$AD412-1,$AE413/$AE412-1,$AG413/$AG412-1,$AH413/$AH412-1,$AI413/$AI412-1,$AJ413/$AJ412-1,$AL413/$AL412-1,$AM413/$AM412-1,$AR413/$AR412-1,$AS413/$AS412-1,$AT413/$AT412-1,$AU413/$AU412-1,$AV413/$AV412-1,$AW413/$AW412-1,$AX413/$AX412-1,$AY413/$AY412-1),"")</f>
        <v/>
      </c>
      <c r="DW412" s="66">
        <f>AVERAGE($CB412,$CC412,$CD412,$CE412,$CF412,$CG412,$CH412,$CI412,$CJ412,$CL412,$CM412,$CN412,$CO412,$CP412,$CQ412,$CR412,$CS412,$CT412)</f>
        <v/>
      </c>
      <c r="DX412" s="66">
        <f>AVERAGE($CB412,$CC412,$CM412,$CE412,$CP412)</f>
        <v/>
      </c>
      <c r="DY412" s="64">
        <f>($DW412-$DW413)*100</f>
        <v/>
      </c>
      <c r="DZ412" s="64">
        <f>($DX412-$DX413)*100</f>
        <v/>
      </c>
      <c r="EA412" s="64">
        <f>($DW412-$D412)*100</f>
        <v/>
      </c>
      <c r="EB412" s="64">
        <f>$Q412-$O412</f>
        <v/>
      </c>
      <c r="EC412" s="67">
        <f>IFERROR($Q412/$P412,"")</f>
        <v/>
      </c>
    </row>
    <row r="413">
      <c r="DG413" s="64">
        <f>($B413-$B414)*100</f>
        <v/>
      </c>
      <c r="DH413" s="64">
        <f>($D413-$D414)*100</f>
        <v/>
      </c>
      <c r="DI413" s="64">
        <f>($E413-$E414)*100</f>
        <v/>
      </c>
      <c r="DJ413" s="64">
        <f>($H413-$H414)*100</f>
        <v/>
      </c>
      <c r="DK413" s="65">
        <f>IFERROR($J413/$J414-1,"")</f>
        <v/>
      </c>
      <c r="DL413" s="64">
        <f>$L413-$L414</f>
        <v/>
      </c>
      <c r="DM413" s="64">
        <f>$K413-$K414</f>
        <v/>
      </c>
      <c r="DN413" s="65">
        <f>IFERROR($N413/$N414-1,"")</f>
        <v/>
      </c>
      <c r="DO413" s="65">
        <f>IFERROR($M413/$M414-1,"")</f>
        <v/>
      </c>
      <c r="DP413" s="65">
        <f>IFERROR($AZ413/$AZ414-1,"")</f>
        <v/>
      </c>
      <c r="DQ413" s="65">
        <f>IFERROR($BA413/$BA414-1,"")</f>
        <v/>
      </c>
      <c r="DR413" s="64">
        <f>$O413-$O414</f>
        <v/>
      </c>
      <c r="DS413" s="64">
        <f>$P413-$P414</f>
        <v/>
      </c>
      <c r="DT413" s="64">
        <f>$Q413-$Q414</f>
        <v/>
      </c>
      <c r="DU413" s="64">
        <f>$S413-$S414</f>
        <v/>
      </c>
      <c r="DV413" s="65">
        <f>IFERROR(AVERAGE($AA414/$AA413-1,$AB414/$AB413-1,$AC414/$AC413-1,$AD414/$AD413-1,$AE414/$AE413-1,$AG414/$AG413-1,$AH414/$AH413-1,$AI414/$AI413-1,$AJ414/$AJ413-1,$AL414/$AL413-1,$AM414/$AM413-1,$AR414/$AR413-1,$AS414/$AS413-1,$AT414/$AT413-1,$AU414/$AU413-1,$AV414/$AV413-1,$AW414/$AW413-1,$AX414/$AX413-1,$AY414/$AY413-1),"")</f>
        <v/>
      </c>
      <c r="DW413" s="66">
        <f>AVERAGE($CB413,$CC413,$CD413,$CE413,$CF413,$CG413,$CH413,$CI413,$CJ413,$CL413,$CM413,$CN413,$CO413,$CP413,$CQ413,$CR413,$CS413,$CT413)</f>
        <v/>
      </c>
      <c r="DX413" s="66">
        <f>AVERAGE($CB413,$CC413,$CM413,$CE413,$CP413)</f>
        <v/>
      </c>
      <c r="DY413" s="64">
        <f>($DW413-$DW414)*100</f>
        <v/>
      </c>
      <c r="DZ413" s="64">
        <f>($DX413-$DX414)*100</f>
        <v/>
      </c>
      <c r="EA413" s="64">
        <f>($DW413-$D413)*100</f>
        <v/>
      </c>
      <c r="EB413" s="64">
        <f>$Q413-$O413</f>
        <v/>
      </c>
      <c r="EC413" s="67">
        <f>IFERROR($Q413/$P413,"")</f>
        <v/>
      </c>
    </row>
    <row r="414">
      <c r="DG414" s="64">
        <f>($B414-$B415)*100</f>
        <v/>
      </c>
      <c r="DH414" s="64">
        <f>($D414-$D415)*100</f>
        <v/>
      </c>
      <c r="DI414" s="64">
        <f>($E414-$E415)*100</f>
        <v/>
      </c>
      <c r="DJ414" s="64">
        <f>($H414-$H415)*100</f>
        <v/>
      </c>
      <c r="DK414" s="65">
        <f>IFERROR($J414/$J415-1,"")</f>
        <v/>
      </c>
      <c r="DL414" s="64">
        <f>$L414-$L415</f>
        <v/>
      </c>
      <c r="DM414" s="64">
        <f>$K414-$K415</f>
        <v/>
      </c>
      <c r="DN414" s="65">
        <f>IFERROR($N414/$N415-1,"")</f>
        <v/>
      </c>
      <c r="DO414" s="65">
        <f>IFERROR($M414/$M415-1,"")</f>
        <v/>
      </c>
      <c r="DP414" s="65">
        <f>IFERROR($AZ414/$AZ415-1,"")</f>
        <v/>
      </c>
      <c r="DQ414" s="65">
        <f>IFERROR($BA414/$BA415-1,"")</f>
        <v/>
      </c>
      <c r="DR414" s="64">
        <f>$O414-$O415</f>
        <v/>
      </c>
      <c r="DS414" s="64">
        <f>$P414-$P415</f>
        <v/>
      </c>
      <c r="DT414" s="64">
        <f>$Q414-$Q415</f>
        <v/>
      </c>
      <c r="DU414" s="64">
        <f>$S414-$S415</f>
        <v/>
      </c>
      <c r="DV414" s="65">
        <f>IFERROR(AVERAGE($AA415/$AA414-1,$AB415/$AB414-1,$AC415/$AC414-1,$AD415/$AD414-1,$AE415/$AE414-1,$AG415/$AG414-1,$AH415/$AH414-1,$AI415/$AI414-1,$AJ415/$AJ414-1,$AL415/$AL414-1,$AM415/$AM414-1,$AR415/$AR414-1,$AS415/$AS414-1,$AT415/$AT414-1,$AU415/$AU414-1,$AV415/$AV414-1,$AW415/$AW414-1,$AX415/$AX414-1,$AY415/$AY414-1),"")</f>
        <v/>
      </c>
      <c r="DW414" s="66">
        <f>AVERAGE($CB414,$CC414,$CD414,$CE414,$CF414,$CG414,$CH414,$CI414,$CJ414,$CL414,$CM414,$CN414,$CO414,$CP414,$CQ414,$CR414,$CS414,$CT414)</f>
        <v/>
      </c>
      <c r="DX414" s="66">
        <f>AVERAGE($CB414,$CC414,$CM414,$CE414,$CP414)</f>
        <v/>
      </c>
      <c r="DY414" s="64">
        <f>($DW414-$DW415)*100</f>
        <v/>
      </c>
      <c r="DZ414" s="64">
        <f>($DX414-$DX415)*100</f>
        <v/>
      </c>
      <c r="EA414" s="64">
        <f>($DW414-$D414)*100</f>
        <v/>
      </c>
      <c r="EB414" s="64">
        <f>$Q414-$O414</f>
        <v/>
      </c>
      <c r="EC414" s="67">
        <f>IFERROR($Q414/$P414,"")</f>
        <v/>
      </c>
    </row>
    <row r="415">
      <c r="DG415" s="64">
        <f>($B415-$B416)*100</f>
        <v/>
      </c>
      <c r="DH415" s="64">
        <f>($D415-$D416)*100</f>
        <v/>
      </c>
      <c r="DI415" s="64">
        <f>($E415-$E416)*100</f>
        <v/>
      </c>
      <c r="DJ415" s="64">
        <f>($H415-$H416)*100</f>
        <v/>
      </c>
      <c r="DK415" s="65">
        <f>IFERROR($J415/$J416-1,"")</f>
        <v/>
      </c>
      <c r="DL415" s="64">
        <f>$L415-$L416</f>
        <v/>
      </c>
      <c r="DM415" s="64">
        <f>$K415-$K416</f>
        <v/>
      </c>
      <c r="DN415" s="65">
        <f>IFERROR($N415/$N416-1,"")</f>
        <v/>
      </c>
      <c r="DO415" s="65">
        <f>IFERROR($M415/$M416-1,"")</f>
        <v/>
      </c>
      <c r="DP415" s="65">
        <f>IFERROR($AZ415/$AZ416-1,"")</f>
        <v/>
      </c>
      <c r="DQ415" s="65">
        <f>IFERROR($BA415/$BA416-1,"")</f>
        <v/>
      </c>
      <c r="DR415" s="64">
        <f>$O415-$O416</f>
        <v/>
      </c>
      <c r="DS415" s="64">
        <f>$P415-$P416</f>
        <v/>
      </c>
      <c r="DT415" s="64">
        <f>$Q415-$Q416</f>
        <v/>
      </c>
      <c r="DU415" s="64">
        <f>$S415-$S416</f>
        <v/>
      </c>
      <c r="DV415" s="65">
        <f>IFERROR(AVERAGE($AA416/$AA415-1,$AB416/$AB415-1,$AC416/$AC415-1,$AD416/$AD415-1,$AE416/$AE415-1,$AG416/$AG415-1,$AH416/$AH415-1,$AI416/$AI415-1,$AJ416/$AJ415-1,$AL416/$AL415-1,$AM416/$AM415-1,$AR416/$AR415-1,$AS416/$AS415-1,$AT416/$AT415-1,$AU416/$AU415-1,$AV416/$AV415-1,$AW416/$AW415-1,$AX416/$AX415-1,$AY416/$AY415-1),"")</f>
        <v/>
      </c>
      <c r="DW415" s="66">
        <f>AVERAGE($CB415,$CC415,$CD415,$CE415,$CF415,$CG415,$CH415,$CI415,$CJ415,$CL415,$CM415,$CN415,$CO415,$CP415,$CQ415,$CR415,$CS415,$CT415)</f>
        <v/>
      </c>
      <c r="DX415" s="66">
        <f>AVERAGE($CB415,$CC415,$CM415,$CE415,$CP415)</f>
        <v/>
      </c>
      <c r="DY415" s="64">
        <f>($DW415-$DW416)*100</f>
        <v/>
      </c>
      <c r="DZ415" s="64">
        <f>($DX415-$DX416)*100</f>
        <v/>
      </c>
      <c r="EA415" s="64">
        <f>($DW415-$D415)*100</f>
        <v/>
      </c>
      <c r="EB415" s="64">
        <f>$Q415-$O415</f>
        <v/>
      </c>
      <c r="EC415" s="67">
        <f>IFERROR($Q415/$P415,"")</f>
        <v/>
      </c>
    </row>
    <row r="416">
      <c r="DG416" s="64">
        <f>($B416-$B417)*100</f>
        <v/>
      </c>
      <c r="DH416" s="64">
        <f>($D416-$D417)*100</f>
        <v/>
      </c>
      <c r="DI416" s="64">
        <f>($E416-$E417)*100</f>
        <v/>
      </c>
      <c r="DJ416" s="64">
        <f>($H416-$H417)*100</f>
        <v/>
      </c>
      <c r="DK416" s="65">
        <f>IFERROR($J416/$J417-1,"")</f>
        <v/>
      </c>
      <c r="DL416" s="64">
        <f>$L416-$L417</f>
        <v/>
      </c>
      <c r="DM416" s="64">
        <f>$K416-$K417</f>
        <v/>
      </c>
      <c r="DN416" s="65">
        <f>IFERROR($N416/$N417-1,"")</f>
        <v/>
      </c>
      <c r="DO416" s="65">
        <f>IFERROR($M416/$M417-1,"")</f>
        <v/>
      </c>
      <c r="DP416" s="65">
        <f>IFERROR($AZ416/$AZ417-1,"")</f>
        <v/>
      </c>
      <c r="DQ416" s="65">
        <f>IFERROR($BA416/$BA417-1,"")</f>
        <v/>
      </c>
      <c r="DR416" s="64">
        <f>$O416-$O417</f>
        <v/>
      </c>
      <c r="DS416" s="64">
        <f>$P416-$P417</f>
        <v/>
      </c>
      <c r="DT416" s="64">
        <f>$Q416-$Q417</f>
        <v/>
      </c>
      <c r="DU416" s="64">
        <f>$S416-$S417</f>
        <v/>
      </c>
      <c r="DV416" s="65">
        <f>IFERROR(AVERAGE($AA417/$AA416-1,$AB417/$AB416-1,$AC417/$AC416-1,$AD417/$AD416-1,$AE417/$AE416-1,$AG417/$AG416-1,$AH417/$AH416-1,$AI417/$AI416-1,$AJ417/$AJ416-1,$AL417/$AL416-1,$AM417/$AM416-1,$AR417/$AR416-1,$AS417/$AS416-1,$AT417/$AT416-1,$AU417/$AU416-1,$AV417/$AV416-1,$AW417/$AW416-1,$AX417/$AX416-1,$AY417/$AY416-1),"")</f>
        <v/>
      </c>
      <c r="DW416" s="66">
        <f>AVERAGE($CB416,$CC416,$CD416,$CE416,$CF416,$CG416,$CH416,$CI416,$CJ416,$CL416,$CM416,$CN416,$CO416,$CP416,$CQ416,$CR416,$CS416,$CT416)</f>
        <v/>
      </c>
      <c r="DX416" s="66">
        <f>AVERAGE($CB416,$CC416,$CM416,$CE416,$CP416)</f>
        <v/>
      </c>
      <c r="DY416" s="64">
        <f>($DW416-$DW417)*100</f>
        <v/>
      </c>
      <c r="DZ416" s="64">
        <f>($DX416-$DX417)*100</f>
        <v/>
      </c>
      <c r="EA416" s="64">
        <f>($DW416-$D416)*100</f>
        <v/>
      </c>
      <c r="EB416" s="64">
        <f>$Q416-$O416</f>
        <v/>
      </c>
      <c r="EC416" s="67">
        <f>IFERROR($Q416/$P416,"")</f>
        <v/>
      </c>
    </row>
    <row r="417">
      <c r="DG417" s="64">
        <f>($B417-$B418)*100</f>
        <v/>
      </c>
      <c r="DH417" s="64">
        <f>($D417-$D418)*100</f>
        <v/>
      </c>
      <c r="DI417" s="64">
        <f>($E417-$E418)*100</f>
        <v/>
      </c>
      <c r="DJ417" s="64">
        <f>($H417-$H418)*100</f>
        <v/>
      </c>
      <c r="DK417" s="65">
        <f>IFERROR($J417/$J418-1,"")</f>
        <v/>
      </c>
      <c r="DL417" s="64">
        <f>$L417-$L418</f>
        <v/>
      </c>
      <c r="DM417" s="64">
        <f>$K417-$K418</f>
        <v/>
      </c>
      <c r="DN417" s="65">
        <f>IFERROR($N417/$N418-1,"")</f>
        <v/>
      </c>
      <c r="DO417" s="65">
        <f>IFERROR($M417/$M418-1,"")</f>
        <v/>
      </c>
      <c r="DP417" s="65">
        <f>IFERROR($AZ417/$AZ418-1,"")</f>
        <v/>
      </c>
      <c r="DQ417" s="65">
        <f>IFERROR($BA417/$BA418-1,"")</f>
        <v/>
      </c>
      <c r="DR417" s="64">
        <f>$O417-$O418</f>
        <v/>
      </c>
      <c r="DS417" s="64">
        <f>$P417-$P418</f>
        <v/>
      </c>
      <c r="DT417" s="64">
        <f>$Q417-$Q418</f>
        <v/>
      </c>
      <c r="DU417" s="64">
        <f>$S417-$S418</f>
        <v/>
      </c>
      <c r="DV417" s="65">
        <f>IFERROR(AVERAGE($AA418/$AA417-1,$AB418/$AB417-1,$AC418/$AC417-1,$AD418/$AD417-1,$AE418/$AE417-1,$AG418/$AG417-1,$AH418/$AH417-1,$AI418/$AI417-1,$AJ418/$AJ417-1,$AL418/$AL417-1,$AM418/$AM417-1,$AR418/$AR417-1,$AS418/$AS417-1,$AT418/$AT417-1,$AU418/$AU417-1,$AV418/$AV417-1,$AW418/$AW417-1,$AX418/$AX417-1,$AY418/$AY417-1),"")</f>
        <v/>
      </c>
      <c r="DW417" s="66">
        <f>AVERAGE($CB417,$CC417,$CD417,$CE417,$CF417,$CG417,$CH417,$CI417,$CJ417,$CL417,$CM417,$CN417,$CO417,$CP417,$CQ417,$CR417,$CS417,$CT417)</f>
        <v/>
      </c>
      <c r="DX417" s="66">
        <f>AVERAGE($CB417,$CC417,$CM417,$CE417,$CP417)</f>
        <v/>
      </c>
      <c r="DY417" s="64">
        <f>($DW417-$DW418)*100</f>
        <v/>
      </c>
      <c r="DZ417" s="64">
        <f>($DX417-$DX418)*100</f>
        <v/>
      </c>
      <c r="EA417" s="64">
        <f>($DW417-$D417)*100</f>
        <v/>
      </c>
      <c r="EB417" s="64">
        <f>$Q417-$O417</f>
        <v/>
      </c>
      <c r="EC417" s="67">
        <f>IFERROR($Q417/$P417,"")</f>
        <v/>
      </c>
    </row>
    <row r="418">
      <c r="DG418" s="64">
        <f>($B418-$B419)*100</f>
        <v/>
      </c>
      <c r="DH418" s="64">
        <f>($D418-$D419)*100</f>
        <v/>
      </c>
      <c r="DI418" s="64">
        <f>($E418-$E419)*100</f>
        <v/>
      </c>
      <c r="DJ418" s="64">
        <f>($H418-$H419)*100</f>
        <v/>
      </c>
      <c r="DK418" s="65">
        <f>IFERROR($J418/$J419-1,"")</f>
        <v/>
      </c>
      <c r="DL418" s="64">
        <f>$L418-$L419</f>
        <v/>
      </c>
      <c r="DM418" s="64">
        <f>$K418-$K419</f>
        <v/>
      </c>
      <c r="DN418" s="65">
        <f>IFERROR($N418/$N419-1,"")</f>
        <v/>
      </c>
      <c r="DO418" s="65">
        <f>IFERROR($M418/$M419-1,"")</f>
        <v/>
      </c>
      <c r="DP418" s="65">
        <f>IFERROR($AZ418/$AZ419-1,"")</f>
        <v/>
      </c>
      <c r="DQ418" s="65">
        <f>IFERROR($BA418/$BA419-1,"")</f>
        <v/>
      </c>
      <c r="DR418" s="64">
        <f>$O418-$O419</f>
        <v/>
      </c>
      <c r="DS418" s="64">
        <f>$P418-$P419</f>
        <v/>
      </c>
      <c r="DT418" s="64">
        <f>$Q418-$Q419</f>
        <v/>
      </c>
      <c r="DU418" s="64">
        <f>$S418-$S419</f>
        <v/>
      </c>
      <c r="DV418" s="65">
        <f>IFERROR(AVERAGE($AA419/$AA418-1,$AB419/$AB418-1,$AC419/$AC418-1,$AD419/$AD418-1,$AE419/$AE418-1,$AG419/$AG418-1,$AH419/$AH418-1,$AI419/$AI418-1,$AJ419/$AJ418-1,$AL419/$AL418-1,$AM419/$AM418-1,$AR419/$AR418-1,$AS419/$AS418-1,$AT419/$AT418-1,$AU419/$AU418-1,$AV419/$AV418-1,$AW419/$AW418-1,$AX419/$AX418-1,$AY419/$AY418-1),"")</f>
        <v/>
      </c>
      <c r="DW418" s="66">
        <f>AVERAGE($CB418,$CC418,$CD418,$CE418,$CF418,$CG418,$CH418,$CI418,$CJ418,$CL418,$CM418,$CN418,$CO418,$CP418,$CQ418,$CR418,$CS418,$CT418)</f>
        <v/>
      </c>
      <c r="DX418" s="66">
        <f>AVERAGE($CB418,$CC418,$CM418,$CE418,$CP418)</f>
        <v/>
      </c>
      <c r="DY418" s="64">
        <f>($DW418-$DW419)*100</f>
        <v/>
      </c>
      <c r="DZ418" s="64">
        <f>($DX418-$DX419)*100</f>
        <v/>
      </c>
      <c r="EA418" s="64">
        <f>($DW418-$D418)*100</f>
        <v/>
      </c>
      <c r="EB418" s="64">
        <f>$Q418-$O418</f>
        <v/>
      </c>
      <c r="EC418" s="67">
        <f>IFERROR($Q418/$P418,"")</f>
        <v/>
      </c>
    </row>
    <row r="419">
      <c r="DG419" s="64">
        <f>($B419-$B420)*100</f>
        <v/>
      </c>
      <c r="DH419" s="64">
        <f>($D419-$D420)*100</f>
        <v/>
      </c>
      <c r="DI419" s="64">
        <f>($E419-$E420)*100</f>
        <v/>
      </c>
      <c r="DJ419" s="64">
        <f>($H419-$H420)*100</f>
        <v/>
      </c>
      <c r="DK419" s="65">
        <f>IFERROR($J419/$J420-1,"")</f>
        <v/>
      </c>
      <c r="DL419" s="64">
        <f>$L419-$L420</f>
        <v/>
      </c>
      <c r="DM419" s="64">
        <f>$K419-$K420</f>
        <v/>
      </c>
      <c r="DN419" s="65">
        <f>IFERROR($N419/$N420-1,"")</f>
        <v/>
      </c>
      <c r="DO419" s="65">
        <f>IFERROR($M419/$M420-1,"")</f>
        <v/>
      </c>
      <c r="DP419" s="65">
        <f>IFERROR($AZ419/$AZ420-1,"")</f>
        <v/>
      </c>
      <c r="DQ419" s="65">
        <f>IFERROR($BA419/$BA420-1,"")</f>
        <v/>
      </c>
      <c r="DR419" s="64">
        <f>$O419-$O420</f>
        <v/>
      </c>
      <c r="DS419" s="64">
        <f>$P419-$P420</f>
        <v/>
      </c>
      <c r="DT419" s="64">
        <f>$Q419-$Q420</f>
        <v/>
      </c>
      <c r="DU419" s="64">
        <f>$S419-$S420</f>
        <v/>
      </c>
      <c r="DV419" s="65">
        <f>IFERROR(AVERAGE($AA420/$AA419-1,$AB420/$AB419-1,$AC420/$AC419-1,$AD420/$AD419-1,$AE420/$AE419-1,$AG420/$AG419-1,$AH420/$AH419-1,$AI420/$AI419-1,$AJ420/$AJ419-1,$AL420/$AL419-1,$AM420/$AM419-1,$AR420/$AR419-1,$AS420/$AS419-1,$AT420/$AT419-1,$AU420/$AU419-1,$AV420/$AV419-1,$AW420/$AW419-1,$AX420/$AX419-1,$AY420/$AY419-1),"")</f>
        <v/>
      </c>
      <c r="DW419" s="66">
        <f>AVERAGE($CB419,$CC419,$CD419,$CE419,$CF419,$CG419,$CH419,$CI419,$CJ419,$CL419,$CM419,$CN419,$CO419,$CP419,$CQ419,$CR419,$CS419,$CT419)</f>
        <v/>
      </c>
      <c r="DX419" s="66">
        <f>AVERAGE($CB419,$CC419,$CM419,$CE419,$CP419)</f>
        <v/>
      </c>
      <c r="DY419" s="64">
        <f>($DW419-$DW420)*100</f>
        <v/>
      </c>
      <c r="DZ419" s="64">
        <f>($DX419-$DX420)*100</f>
        <v/>
      </c>
      <c r="EA419" s="64">
        <f>($DW419-$D419)*100</f>
        <v/>
      </c>
      <c r="EB419" s="64">
        <f>$Q419-$O419</f>
        <v/>
      </c>
      <c r="EC419" s="67">
        <f>IFERROR($Q419/$P419,"")</f>
        <v/>
      </c>
    </row>
    <row r="420">
      <c r="DG420" s="64">
        <f>($B420-$B421)*100</f>
        <v/>
      </c>
      <c r="DH420" s="64">
        <f>($D420-$D421)*100</f>
        <v/>
      </c>
      <c r="DI420" s="64">
        <f>($E420-$E421)*100</f>
        <v/>
      </c>
      <c r="DJ420" s="64">
        <f>($H420-$H421)*100</f>
        <v/>
      </c>
      <c r="DK420" s="65">
        <f>IFERROR($J420/$J421-1,"")</f>
        <v/>
      </c>
      <c r="DL420" s="64">
        <f>$L420-$L421</f>
        <v/>
      </c>
      <c r="DM420" s="64">
        <f>$K420-$K421</f>
        <v/>
      </c>
      <c r="DN420" s="65">
        <f>IFERROR($N420/$N421-1,"")</f>
        <v/>
      </c>
      <c r="DO420" s="65">
        <f>IFERROR($M420/$M421-1,"")</f>
        <v/>
      </c>
      <c r="DP420" s="65">
        <f>IFERROR($AZ420/$AZ421-1,"")</f>
        <v/>
      </c>
      <c r="DQ420" s="65">
        <f>IFERROR($BA420/$BA421-1,"")</f>
        <v/>
      </c>
      <c r="DR420" s="64">
        <f>$O420-$O421</f>
        <v/>
      </c>
      <c r="DS420" s="64">
        <f>$P420-$P421</f>
        <v/>
      </c>
      <c r="DT420" s="64">
        <f>$Q420-$Q421</f>
        <v/>
      </c>
      <c r="DU420" s="64">
        <f>$S420-$S421</f>
        <v/>
      </c>
      <c r="DV420" s="65">
        <f>IFERROR(AVERAGE($AA421/$AA420-1,$AB421/$AB420-1,$AC421/$AC420-1,$AD421/$AD420-1,$AE421/$AE420-1,$AG421/$AG420-1,$AH421/$AH420-1,$AI421/$AI420-1,$AJ421/$AJ420-1,$AL421/$AL420-1,$AM421/$AM420-1,$AR421/$AR420-1,$AS421/$AS420-1,$AT421/$AT420-1,$AU421/$AU420-1,$AV421/$AV420-1,$AW421/$AW420-1,$AX421/$AX420-1,$AY421/$AY420-1),"")</f>
        <v/>
      </c>
      <c r="DW420" s="66">
        <f>AVERAGE($CB420,$CC420,$CD420,$CE420,$CF420,$CG420,$CH420,$CI420,$CJ420,$CL420,$CM420,$CN420,$CO420,$CP420,$CQ420,$CR420,$CS420,$CT420)</f>
        <v/>
      </c>
      <c r="DX420" s="66">
        <f>AVERAGE($CB420,$CC420,$CM420,$CE420,$CP420)</f>
        <v/>
      </c>
      <c r="DY420" s="64">
        <f>($DW420-$DW421)*100</f>
        <v/>
      </c>
      <c r="DZ420" s="64">
        <f>($DX420-$DX421)*100</f>
        <v/>
      </c>
      <c r="EA420" s="64">
        <f>($DW420-$D420)*100</f>
        <v/>
      </c>
      <c r="EB420" s="64">
        <f>$Q420-$O420</f>
        <v/>
      </c>
      <c r="EC420" s="67">
        <f>IFERROR($Q420/$P420,"")</f>
        <v/>
      </c>
    </row>
    <row r="421">
      <c r="DG421" s="64">
        <f>($B421-$B422)*100</f>
        <v/>
      </c>
      <c r="DH421" s="64">
        <f>($D421-$D422)*100</f>
        <v/>
      </c>
      <c r="DI421" s="64">
        <f>($E421-$E422)*100</f>
        <v/>
      </c>
      <c r="DJ421" s="64">
        <f>($H421-$H422)*100</f>
        <v/>
      </c>
      <c r="DK421" s="65">
        <f>IFERROR($J421/$J422-1,"")</f>
        <v/>
      </c>
      <c r="DL421" s="64">
        <f>$L421-$L422</f>
        <v/>
      </c>
      <c r="DM421" s="64">
        <f>$K421-$K422</f>
        <v/>
      </c>
      <c r="DN421" s="65">
        <f>IFERROR($N421/$N422-1,"")</f>
        <v/>
      </c>
      <c r="DO421" s="65">
        <f>IFERROR($M421/$M422-1,"")</f>
        <v/>
      </c>
      <c r="DP421" s="65">
        <f>IFERROR($AZ421/$AZ422-1,"")</f>
        <v/>
      </c>
      <c r="DQ421" s="65">
        <f>IFERROR($BA421/$BA422-1,"")</f>
        <v/>
      </c>
      <c r="DR421" s="64">
        <f>$O421-$O422</f>
        <v/>
      </c>
      <c r="DS421" s="64">
        <f>$P421-$P422</f>
        <v/>
      </c>
      <c r="DT421" s="64">
        <f>$Q421-$Q422</f>
        <v/>
      </c>
      <c r="DU421" s="64">
        <f>$S421-$S422</f>
        <v/>
      </c>
      <c r="DV421" s="65">
        <f>IFERROR(AVERAGE($AA422/$AA421-1,$AB422/$AB421-1,$AC422/$AC421-1,$AD422/$AD421-1,$AE422/$AE421-1,$AG422/$AG421-1,$AH422/$AH421-1,$AI422/$AI421-1,$AJ422/$AJ421-1,$AL422/$AL421-1,$AM422/$AM421-1,$AR422/$AR421-1,$AS422/$AS421-1,$AT422/$AT421-1,$AU422/$AU421-1,$AV422/$AV421-1,$AW422/$AW421-1,$AX422/$AX421-1,$AY422/$AY421-1),"")</f>
        <v/>
      </c>
      <c r="DW421" s="66">
        <f>AVERAGE($CB421,$CC421,$CD421,$CE421,$CF421,$CG421,$CH421,$CI421,$CJ421,$CL421,$CM421,$CN421,$CO421,$CP421,$CQ421,$CR421,$CS421,$CT421)</f>
        <v/>
      </c>
      <c r="DX421" s="66">
        <f>AVERAGE($CB421,$CC421,$CM421,$CE421,$CP421)</f>
        <v/>
      </c>
      <c r="DY421" s="64">
        <f>($DW421-$DW422)*100</f>
        <v/>
      </c>
      <c r="DZ421" s="64">
        <f>($DX421-$DX422)*100</f>
        <v/>
      </c>
      <c r="EA421" s="64">
        <f>($DW421-$D421)*100</f>
        <v/>
      </c>
      <c r="EB421" s="64">
        <f>$Q421-$O421</f>
        <v/>
      </c>
      <c r="EC421" s="67">
        <f>IFERROR($Q421/$P421,"")</f>
        <v/>
      </c>
    </row>
    <row r="422">
      <c r="DG422" s="64">
        <f>($B422-$B423)*100</f>
        <v/>
      </c>
      <c r="DH422" s="64">
        <f>($D422-$D423)*100</f>
        <v/>
      </c>
      <c r="DI422" s="64">
        <f>($E422-$E423)*100</f>
        <v/>
      </c>
      <c r="DJ422" s="64">
        <f>($H422-$H423)*100</f>
        <v/>
      </c>
      <c r="DK422" s="65">
        <f>IFERROR($J422/$J423-1,"")</f>
        <v/>
      </c>
      <c r="DL422" s="64">
        <f>$L422-$L423</f>
        <v/>
      </c>
      <c r="DM422" s="64">
        <f>$K422-$K423</f>
        <v/>
      </c>
      <c r="DN422" s="65">
        <f>IFERROR($N422/$N423-1,"")</f>
        <v/>
      </c>
      <c r="DO422" s="65">
        <f>IFERROR($M422/$M423-1,"")</f>
        <v/>
      </c>
      <c r="DP422" s="65">
        <f>IFERROR($AZ422/$AZ423-1,"")</f>
        <v/>
      </c>
      <c r="DQ422" s="65">
        <f>IFERROR($BA422/$BA423-1,"")</f>
        <v/>
      </c>
      <c r="DR422" s="64">
        <f>$O422-$O423</f>
        <v/>
      </c>
      <c r="DS422" s="64">
        <f>$P422-$P423</f>
        <v/>
      </c>
      <c r="DT422" s="64">
        <f>$Q422-$Q423</f>
        <v/>
      </c>
      <c r="DU422" s="64">
        <f>$S422-$S423</f>
        <v/>
      </c>
      <c r="DV422" s="65">
        <f>IFERROR(AVERAGE($AA423/$AA422-1,$AB423/$AB422-1,$AC423/$AC422-1,$AD423/$AD422-1,$AE423/$AE422-1,$AG423/$AG422-1,$AH423/$AH422-1,$AI423/$AI422-1,$AJ423/$AJ422-1,$AL423/$AL422-1,$AM423/$AM422-1,$AR423/$AR422-1,$AS423/$AS422-1,$AT423/$AT422-1,$AU423/$AU422-1,$AV423/$AV422-1,$AW423/$AW422-1,$AX423/$AX422-1,$AY423/$AY422-1),"")</f>
        <v/>
      </c>
      <c r="DW422" s="66">
        <f>AVERAGE($CB422,$CC422,$CD422,$CE422,$CF422,$CG422,$CH422,$CI422,$CJ422,$CL422,$CM422,$CN422,$CO422,$CP422,$CQ422,$CR422,$CS422,$CT422)</f>
        <v/>
      </c>
      <c r="DX422" s="66">
        <f>AVERAGE($CB422,$CC422,$CM422,$CE422,$CP422)</f>
        <v/>
      </c>
      <c r="DY422" s="64">
        <f>($DW422-$DW423)*100</f>
        <v/>
      </c>
      <c r="DZ422" s="64">
        <f>($DX422-$DX423)*100</f>
        <v/>
      </c>
      <c r="EA422" s="64">
        <f>($DW422-$D422)*100</f>
        <v/>
      </c>
      <c r="EB422" s="64">
        <f>$Q422-$O422</f>
        <v/>
      </c>
      <c r="EC422" s="67">
        <f>IFERROR($Q422/$P422,"")</f>
        <v/>
      </c>
    </row>
    <row r="423">
      <c r="DG423" s="64">
        <f>($B423-$B424)*100</f>
        <v/>
      </c>
      <c r="DH423" s="64">
        <f>($D423-$D424)*100</f>
        <v/>
      </c>
      <c r="DI423" s="64">
        <f>($E423-$E424)*100</f>
        <v/>
      </c>
      <c r="DJ423" s="64">
        <f>($H423-$H424)*100</f>
        <v/>
      </c>
      <c r="DK423" s="65">
        <f>IFERROR($J423/$J424-1,"")</f>
        <v/>
      </c>
      <c r="DL423" s="64">
        <f>$L423-$L424</f>
        <v/>
      </c>
      <c r="DM423" s="64">
        <f>$K423-$K424</f>
        <v/>
      </c>
      <c r="DN423" s="65">
        <f>IFERROR($N423/$N424-1,"")</f>
        <v/>
      </c>
      <c r="DO423" s="65">
        <f>IFERROR($M423/$M424-1,"")</f>
        <v/>
      </c>
      <c r="DP423" s="65">
        <f>IFERROR($AZ423/$AZ424-1,"")</f>
        <v/>
      </c>
      <c r="DQ423" s="65">
        <f>IFERROR($BA423/$BA424-1,"")</f>
        <v/>
      </c>
      <c r="DR423" s="64">
        <f>$O423-$O424</f>
        <v/>
      </c>
      <c r="DS423" s="64">
        <f>$P423-$P424</f>
        <v/>
      </c>
      <c r="DT423" s="64">
        <f>$Q423-$Q424</f>
        <v/>
      </c>
      <c r="DU423" s="64">
        <f>$S423-$S424</f>
        <v/>
      </c>
      <c r="DV423" s="65">
        <f>IFERROR(AVERAGE($AA424/$AA423-1,$AB424/$AB423-1,$AC424/$AC423-1,$AD424/$AD423-1,$AE424/$AE423-1,$AG424/$AG423-1,$AH424/$AH423-1,$AI424/$AI423-1,$AJ424/$AJ423-1,$AL424/$AL423-1,$AM424/$AM423-1,$AR424/$AR423-1,$AS424/$AS423-1,$AT424/$AT423-1,$AU424/$AU423-1,$AV424/$AV423-1,$AW424/$AW423-1,$AX424/$AX423-1,$AY424/$AY423-1),"")</f>
        <v/>
      </c>
      <c r="DW423" s="66">
        <f>AVERAGE($CB423,$CC423,$CD423,$CE423,$CF423,$CG423,$CH423,$CI423,$CJ423,$CL423,$CM423,$CN423,$CO423,$CP423,$CQ423,$CR423,$CS423,$CT423)</f>
        <v/>
      </c>
      <c r="DX423" s="66">
        <f>AVERAGE($CB423,$CC423,$CM423,$CE423,$CP423)</f>
        <v/>
      </c>
      <c r="DY423" s="64">
        <f>($DW423-$DW424)*100</f>
        <v/>
      </c>
      <c r="DZ423" s="64">
        <f>($DX423-$DX424)*100</f>
        <v/>
      </c>
      <c r="EA423" s="64">
        <f>($DW423-$D423)*100</f>
        <v/>
      </c>
      <c r="EB423" s="64">
        <f>$Q423-$O423</f>
        <v/>
      </c>
      <c r="EC423" s="67">
        <f>IFERROR($Q423/$P423,"")</f>
        <v/>
      </c>
    </row>
    <row r="424">
      <c r="DG424" s="64">
        <f>($B424-$B425)*100</f>
        <v/>
      </c>
      <c r="DH424" s="64">
        <f>($D424-$D425)*100</f>
        <v/>
      </c>
      <c r="DI424" s="64">
        <f>($E424-$E425)*100</f>
        <v/>
      </c>
      <c r="DJ424" s="64">
        <f>($H424-$H425)*100</f>
        <v/>
      </c>
      <c r="DK424" s="65">
        <f>IFERROR($J424/$J425-1,"")</f>
        <v/>
      </c>
      <c r="DL424" s="64">
        <f>$L424-$L425</f>
        <v/>
      </c>
      <c r="DM424" s="64">
        <f>$K424-$K425</f>
        <v/>
      </c>
      <c r="DN424" s="65">
        <f>IFERROR($N424/$N425-1,"")</f>
        <v/>
      </c>
      <c r="DO424" s="65">
        <f>IFERROR($M424/$M425-1,"")</f>
        <v/>
      </c>
      <c r="DP424" s="65">
        <f>IFERROR($AZ424/$AZ425-1,"")</f>
        <v/>
      </c>
      <c r="DQ424" s="65">
        <f>IFERROR($BA424/$BA425-1,"")</f>
        <v/>
      </c>
      <c r="DR424" s="64">
        <f>$O424-$O425</f>
        <v/>
      </c>
      <c r="DS424" s="64">
        <f>$P424-$P425</f>
        <v/>
      </c>
      <c r="DT424" s="64">
        <f>$Q424-$Q425</f>
        <v/>
      </c>
      <c r="DU424" s="64">
        <f>$S424-$S425</f>
        <v/>
      </c>
      <c r="DV424" s="65">
        <f>IFERROR(AVERAGE($AA425/$AA424-1,$AB425/$AB424-1,$AC425/$AC424-1,$AD425/$AD424-1,$AE425/$AE424-1,$AG425/$AG424-1,$AH425/$AH424-1,$AI425/$AI424-1,$AJ425/$AJ424-1,$AL425/$AL424-1,$AM425/$AM424-1,$AR425/$AR424-1,$AS425/$AS424-1,$AT425/$AT424-1,$AU425/$AU424-1,$AV425/$AV424-1,$AW425/$AW424-1,$AX425/$AX424-1,$AY425/$AY424-1),"")</f>
        <v/>
      </c>
      <c r="DW424" s="66">
        <f>AVERAGE($CB424,$CC424,$CD424,$CE424,$CF424,$CG424,$CH424,$CI424,$CJ424,$CL424,$CM424,$CN424,$CO424,$CP424,$CQ424,$CR424,$CS424,$CT424)</f>
        <v/>
      </c>
      <c r="DX424" s="66">
        <f>AVERAGE($CB424,$CC424,$CM424,$CE424,$CP424)</f>
        <v/>
      </c>
      <c r="DY424" s="64">
        <f>($DW424-$DW425)*100</f>
        <v/>
      </c>
      <c r="DZ424" s="64">
        <f>($DX424-$DX425)*100</f>
        <v/>
      </c>
      <c r="EA424" s="64">
        <f>($DW424-$D424)*100</f>
        <v/>
      </c>
      <c r="EB424" s="64">
        <f>$Q424-$O424</f>
        <v/>
      </c>
      <c r="EC424" s="67">
        <f>IFERROR($Q424/$P424,"")</f>
        <v/>
      </c>
    </row>
    <row r="425">
      <c r="DG425" s="64">
        <f>($B425-$B426)*100</f>
        <v/>
      </c>
      <c r="DH425" s="64">
        <f>($D425-$D426)*100</f>
        <v/>
      </c>
      <c r="DI425" s="64">
        <f>($E425-$E426)*100</f>
        <v/>
      </c>
      <c r="DJ425" s="64">
        <f>($H425-$H426)*100</f>
        <v/>
      </c>
      <c r="DK425" s="65">
        <f>IFERROR($J425/$J426-1,"")</f>
        <v/>
      </c>
      <c r="DL425" s="64">
        <f>$L425-$L426</f>
        <v/>
      </c>
      <c r="DM425" s="64">
        <f>$K425-$K426</f>
        <v/>
      </c>
      <c r="DN425" s="65">
        <f>IFERROR($N425/$N426-1,"")</f>
        <v/>
      </c>
      <c r="DO425" s="65">
        <f>IFERROR($M425/$M426-1,"")</f>
        <v/>
      </c>
      <c r="DP425" s="65">
        <f>IFERROR($AZ425/$AZ426-1,"")</f>
        <v/>
      </c>
      <c r="DQ425" s="65">
        <f>IFERROR($BA425/$BA426-1,"")</f>
        <v/>
      </c>
      <c r="DR425" s="64">
        <f>$O425-$O426</f>
        <v/>
      </c>
      <c r="DS425" s="64">
        <f>$P425-$P426</f>
        <v/>
      </c>
      <c r="DT425" s="64">
        <f>$Q425-$Q426</f>
        <v/>
      </c>
      <c r="DU425" s="64">
        <f>$S425-$S426</f>
        <v/>
      </c>
      <c r="DV425" s="65">
        <f>IFERROR(AVERAGE($AA426/$AA425-1,$AB426/$AB425-1,$AC426/$AC425-1,$AD426/$AD425-1,$AE426/$AE425-1,$AG426/$AG425-1,$AH426/$AH425-1,$AI426/$AI425-1,$AJ426/$AJ425-1,$AL426/$AL425-1,$AM426/$AM425-1,$AR426/$AR425-1,$AS426/$AS425-1,$AT426/$AT425-1,$AU426/$AU425-1,$AV426/$AV425-1,$AW426/$AW425-1,$AX426/$AX425-1,$AY426/$AY425-1),"")</f>
        <v/>
      </c>
      <c r="DW425" s="66">
        <f>AVERAGE($CB425,$CC425,$CD425,$CE425,$CF425,$CG425,$CH425,$CI425,$CJ425,$CL425,$CM425,$CN425,$CO425,$CP425,$CQ425,$CR425,$CS425,$CT425)</f>
        <v/>
      </c>
      <c r="DX425" s="66">
        <f>AVERAGE($CB425,$CC425,$CM425,$CE425,$CP425)</f>
        <v/>
      </c>
      <c r="DY425" s="64">
        <f>($DW425-$DW426)*100</f>
        <v/>
      </c>
      <c r="DZ425" s="64">
        <f>($DX425-$DX426)*100</f>
        <v/>
      </c>
      <c r="EA425" s="64">
        <f>($DW425-$D425)*100</f>
        <v/>
      </c>
      <c r="EB425" s="64">
        <f>$Q425-$O425</f>
        <v/>
      </c>
      <c r="EC425" s="67">
        <f>IFERROR($Q425/$P425,"")</f>
        <v/>
      </c>
    </row>
    <row r="426">
      <c r="DG426" s="64">
        <f>($B426-$B427)*100</f>
        <v/>
      </c>
      <c r="DH426" s="64">
        <f>($D426-$D427)*100</f>
        <v/>
      </c>
      <c r="DI426" s="64">
        <f>($E426-$E427)*100</f>
        <v/>
      </c>
      <c r="DJ426" s="64">
        <f>($H426-$H427)*100</f>
        <v/>
      </c>
      <c r="DK426" s="65">
        <f>IFERROR($J426/$J427-1,"")</f>
        <v/>
      </c>
      <c r="DL426" s="64">
        <f>$L426-$L427</f>
        <v/>
      </c>
      <c r="DM426" s="64">
        <f>$K426-$K427</f>
        <v/>
      </c>
      <c r="DN426" s="65">
        <f>IFERROR($N426/$N427-1,"")</f>
        <v/>
      </c>
      <c r="DO426" s="65">
        <f>IFERROR($M426/$M427-1,"")</f>
        <v/>
      </c>
      <c r="DP426" s="65">
        <f>IFERROR($AZ426/$AZ427-1,"")</f>
        <v/>
      </c>
      <c r="DQ426" s="65">
        <f>IFERROR($BA426/$BA427-1,"")</f>
        <v/>
      </c>
      <c r="DR426" s="64">
        <f>$O426-$O427</f>
        <v/>
      </c>
      <c r="DS426" s="64">
        <f>$P426-$P427</f>
        <v/>
      </c>
      <c r="DT426" s="64">
        <f>$Q426-$Q427</f>
        <v/>
      </c>
      <c r="DU426" s="64">
        <f>$S426-$S427</f>
        <v/>
      </c>
      <c r="DV426" s="65">
        <f>IFERROR(AVERAGE($AA427/$AA426-1,$AB427/$AB426-1,$AC427/$AC426-1,$AD427/$AD426-1,$AE427/$AE426-1,$AG427/$AG426-1,$AH427/$AH426-1,$AI427/$AI426-1,$AJ427/$AJ426-1,$AL427/$AL426-1,$AM427/$AM426-1,$AR427/$AR426-1,$AS427/$AS426-1,$AT427/$AT426-1,$AU427/$AU426-1,$AV427/$AV426-1,$AW427/$AW426-1,$AX427/$AX426-1,$AY427/$AY426-1),"")</f>
        <v/>
      </c>
      <c r="DW426" s="66">
        <f>AVERAGE($CB426,$CC426,$CD426,$CE426,$CF426,$CG426,$CH426,$CI426,$CJ426,$CL426,$CM426,$CN426,$CO426,$CP426,$CQ426,$CR426,$CS426,$CT426)</f>
        <v/>
      </c>
      <c r="DX426" s="66">
        <f>AVERAGE($CB426,$CC426,$CM426,$CE426,$CP426)</f>
        <v/>
      </c>
      <c r="DY426" s="64">
        <f>($DW426-$DW427)*100</f>
        <v/>
      </c>
      <c r="DZ426" s="64">
        <f>($DX426-$DX427)*100</f>
        <v/>
      </c>
      <c r="EA426" s="64">
        <f>($DW426-$D426)*100</f>
        <v/>
      </c>
      <c r="EB426" s="64">
        <f>$Q426-$O426</f>
        <v/>
      </c>
      <c r="EC426" s="67">
        <f>IFERROR($Q426/$P426,"")</f>
        <v/>
      </c>
    </row>
    <row r="427">
      <c r="DG427" s="64">
        <f>($B427-$B428)*100</f>
        <v/>
      </c>
      <c r="DH427" s="64">
        <f>($D427-$D428)*100</f>
        <v/>
      </c>
      <c r="DI427" s="64">
        <f>($E427-$E428)*100</f>
        <v/>
      </c>
      <c r="DJ427" s="64">
        <f>($H427-$H428)*100</f>
        <v/>
      </c>
      <c r="DK427" s="65">
        <f>IFERROR($J427/$J428-1,"")</f>
        <v/>
      </c>
      <c r="DL427" s="64">
        <f>$L427-$L428</f>
        <v/>
      </c>
      <c r="DM427" s="64">
        <f>$K427-$K428</f>
        <v/>
      </c>
      <c r="DN427" s="65">
        <f>IFERROR($N427/$N428-1,"")</f>
        <v/>
      </c>
      <c r="DO427" s="65">
        <f>IFERROR($M427/$M428-1,"")</f>
        <v/>
      </c>
      <c r="DP427" s="65">
        <f>IFERROR($AZ427/$AZ428-1,"")</f>
        <v/>
      </c>
      <c r="DQ427" s="65">
        <f>IFERROR($BA427/$BA428-1,"")</f>
        <v/>
      </c>
      <c r="DR427" s="64">
        <f>$O427-$O428</f>
        <v/>
      </c>
      <c r="DS427" s="64">
        <f>$P427-$P428</f>
        <v/>
      </c>
      <c r="DT427" s="64">
        <f>$Q427-$Q428</f>
        <v/>
      </c>
      <c r="DU427" s="64">
        <f>$S427-$S428</f>
        <v/>
      </c>
      <c r="DV427" s="65">
        <f>IFERROR(AVERAGE($AA428/$AA427-1,$AB428/$AB427-1,$AC428/$AC427-1,$AD428/$AD427-1,$AE428/$AE427-1,$AG428/$AG427-1,$AH428/$AH427-1,$AI428/$AI427-1,$AJ428/$AJ427-1,$AL428/$AL427-1,$AM428/$AM427-1,$AR428/$AR427-1,$AS428/$AS427-1,$AT428/$AT427-1,$AU428/$AU427-1,$AV428/$AV427-1,$AW428/$AW427-1,$AX428/$AX427-1,$AY428/$AY427-1),"")</f>
        <v/>
      </c>
      <c r="DW427" s="66">
        <f>AVERAGE($CB427,$CC427,$CD427,$CE427,$CF427,$CG427,$CH427,$CI427,$CJ427,$CL427,$CM427,$CN427,$CO427,$CP427,$CQ427,$CR427,$CS427,$CT427)</f>
        <v/>
      </c>
      <c r="DX427" s="66">
        <f>AVERAGE($CB427,$CC427,$CM427,$CE427,$CP427)</f>
        <v/>
      </c>
      <c r="DY427" s="64">
        <f>($DW427-$DW428)*100</f>
        <v/>
      </c>
      <c r="DZ427" s="64">
        <f>($DX427-$DX428)*100</f>
        <v/>
      </c>
      <c r="EA427" s="64">
        <f>($DW427-$D427)*100</f>
        <v/>
      </c>
      <c r="EB427" s="64">
        <f>$Q427-$O427</f>
        <v/>
      </c>
      <c r="EC427" s="67">
        <f>IFERROR($Q427/$P427,"")</f>
        <v/>
      </c>
    </row>
    <row r="428">
      <c r="DG428" s="64">
        <f>($B428-$B429)*100</f>
        <v/>
      </c>
      <c r="DH428" s="64">
        <f>($D428-$D429)*100</f>
        <v/>
      </c>
      <c r="DI428" s="64">
        <f>($E428-$E429)*100</f>
        <v/>
      </c>
      <c r="DJ428" s="64">
        <f>($H428-$H429)*100</f>
        <v/>
      </c>
      <c r="DK428" s="65">
        <f>IFERROR($J428/$J429-1,"")</f>
        <v/>
      </c>
      <c r="DL428" s="64">
        <f>$L428-$L429</f>
        <v/>
      </c>
      <c r="DM428" s="64">
        <f>$K428-$K429</f>
        <v/>
      </c>
      <c r="DN428" s="65">
        <f>IFERROR($N428/$N429-1,"")</f>
        <v/>
      </c>
      <c r="DO428" s="65">
        <f>IFERROR($M428/$M429-1,"")</f>
        <v/>
      </c>
      <c r="DP428" s="65">
        <f>IFERROR($AZ428/$AZ429-1,"")</f>
        <v/>
      </c>
      <c r="DQ428" s="65">
        <f>IFERROR($BA428/$BA429-1,"")</f>
        <v/>
      </c>
      <c r="DR428" s="64">
        <f>$O428-$O429</f>
        <v/>
      </c>
      <c r="DS428" s="64">
        <f>$P428-$P429</f>
        <v/>
      </c>
      <c r="DT428" s="64">
        <f>$Q428-$Q429</f>
        <v/>
      </c>
      <c r="DU428" s="64">
        <f>$S428-$S429</f>
        <v/>
      </c>
      <c r="DV428" s="65">
        <f>IFERROR(AVERAGE($AA429/$AA428-1,$AB429/$AB428-1,$AC429/$AC428-1,$AD429/$AD428-1,$AE429/$AE428-1,$AG429/$AG428-1,$AH429/$AH428-1,$AI429/$AI428-1,$AJ429/$AJ428-1,$AL429/$AL428-1,$AM429/$AM428-1,$AR429/$AR428-1,$AS429/$AS428-1,$AT429/$AT428-1,$AU429/$AU428-1,$AV429/$AV428-1,$AW429/$AW428-1,$AX429/$AX428-1,$AY429/$AY428-1),"")</f>
        <v/>
      </c>
      <c r="DW428" s="66">
        <f>AVERAGE($CB428,$CC428,$CD428,$CE428,$CF428,$CG428,$CH428,$CI428,$CJ428,$CL428,$CM428,$CN428,$CO428,$CP428,$CQ428,$CR428,$CS428,$CT428)</f>
        <v/>
      </c>
      <c r="DX428" s="66">
        <f>AVERAGE($CB428,$CC428,$CM428,$CE428,$CP428)</f>
        <v/>
      </c>
      <c r="DY428" s="64">
        <f>($DW428-$DW429)*100</f>
        <v/>
      </c>
      <c r="DZ428" s="64">
        <f>($DX428-$DX429)*100</f>
        <v/>
      </c>
      <c r="EA428" s="64">
        <f>($DW428-$D428)*100</f>
        <v/>
      </c>
      <c r="EB428" s="64">
        <f>$Q428-$O428</f>
        <v/>
      </c>
      <c r="EC428" s="67">
        <f>IFERROR($Q428/$P428,"")</f>
        <v/>
      </c>
    </row>
    <row r="429">
      <c r="DG429" s="64">
        <f>($B429-$B430)*100</f>
        <v/>
      </c>
      <c r="DH429" s="64">
        <f>($D429-$D430)*100</f>
        <v/>
      </c>
      <c r="DI429" s="64">
        <f>($E429-$E430)*100</f>
        <v/>
      </c>
      <c r="DJ429" s="64">
        <f>($H429-$H430)*100</f>
        <v/>
      </c>
      <c r="DK429" s="65">
        <f>IFERROR($J429/$J430-1,"")</f>
        <v/>
      </c>
      <c r="DL429" s="64">
        <f>$L429-$L430</f>
        <v/>
      </c>
      <c r="DM429" s="64">
        <f>$K429-$K430</f>
        <v/>
      </c>
      <c r="DN429" s="65">
        <f>IFERROR($N429/$N430-1,"")</f>
        <v/>
      </c>
      <c r="DO429" s="65">
        <f>IFERROR($M429/$M430-1,"")</f>
        <v/>
      </c>
      <c r="DP429" s="65">
        <f>IFERROR($AZ429/$AZ430-1,"")</f>
        <v/>
      </c>
      <c r="DQ429" s="65">
        <f>IFERROR($BA429/$BA430-1,"")</f>
        <v/>
      </c>
      <c r="DR429" s="64">
        <f>$O429-$O430</f>
        <v/>
      </c>
      <c r="DS429" s="64">
        <f>$P429-$P430</f>
        <v/>
      </c>
      <c r="DT429" s="64">
        <f>$Q429-$Q430</f>
        <v/>
      </c>
      <c r="DU429" s="64">
        <f>$S429-$S430</f>
        <v/>
      </c>
      <c r="DV429" s="65">
        <f>IFERROR(AVERAGE($AA430/$AA429-1,$AB430/$AB429-1,$AC430/$AC429-1,$AD430/$AD429-1,$AE430/$AE429-1,$AG430/$AG429-1,$AH430/$AH429-1,$AI430/$AI429-1,$AJ430/$AJ429-1,$AL430/$AL429-1,$AM430/$AM429-1,$AR430/$AR429-1,$AS430/$AS429-1,$AT430/$AT429-1,$AU430/$AU429-1,$AV430/$AV429-1,$AW430/$AW429-1,$AX430/$AX429-1,$AY430/$AY429-1),"")</f>
        <v/>
      </c>
      <c r="DW429" s="66">
        <f>AVERAGE($CB429,$CC429,$CD429,$CE429,$CF429,$CG429,$CH429,$CI429,$CJ429,$CL429,$CM429,$CN429,$CO429,$CP429,$CQ429,$CR429,$CS429,$CT429)</f>
        <v/>
      </c>
      <c r="DX429" s="66">
        <f>AVERAGE($CB429,$CC429,$CM429,$CE429,$CP429)</f>
        <v/>
      </c>
      <c r="DY429" s="64">
        <f>($DW429-$DW430)*100</f>
        <v/>
      </c>
      <c r="DZ429" s="64">
        <f>($DX429-$DX430)*100</f>
        <v/>
      </c>
      <c r="EA429" s="64">
        <f>($DW429-$D429)*100</f>
        <v/>
      </c>
      <c r="EB429" s="64">
        <f>$Q429-$O429</f>
        <v/>
      </c>
      <c r="EC429" s="67">
        <f>IFERROR($Q429/$P429,"")</f>
        <v/>
      </c>
    </row>
    <row r="430">
      <c r="DG430" s="64">
        <f>($B430-$B431)*100</f>
        <v/>
      </c>
      <c r="DH430" s="64">
        <f>($D430-$D431)*100</f>
        <v/>
      </c>
      <c r="DI430" s="64">
        <f>($E430-$E431)*100</f>
        <v/>
      </c>
      <c r="DJ430" s="64">
        <f>($H430-$H431)*100</f>
        <v/>
      </c>
      <c r="DK430" s="65">
        <f>IFERROR($J430/$J431-1,"")</f>
        <v/>
      </c>
      <c r="DL430" s="64">
        <f>$L430-$L431</f>
        <v/>
      </c>
      <c r="DM430" s="64">
        <f>$K430-$K431</f>
        <v/>
      </c>
      <c r="DN430" s="65">
        <f>IFERROR($N430/$N431-1,"")</f>
        <v/>
      </c>
      <c r="DO430" s="65">
        <f>IFERROR($M430/$M431-1,"")</f>
        <v/>
      </c>
      <c r="DP430" s="65">
        <f>IFERROR($AZ430/$AZ431-1,"")</f>
        <v/>
      </c>
      <c r="DQ430" s="65">
        <f>IFERROR($BA430/$BA431-1,"")</f>
        <v/>
      </c>
      <c r="DR430" s="64">
        <f>$O430-$O431</f>
        <v/>
      </c>
      <c r="DS430" s="64">
        <f>$P430-$P431</f>
        <v/>
      </c>
      <c r="DT430" s="64">
        <f>$Q430-$Q431</f>
        <v/>
      </c>
      <c r="DU430" s="64">
        <f>$S430-$S431</f>
        <v/>
      </c>
      <c r="DV430" s="65">
        <f>IFERROR(AVERAGE($AA431/$AA430-1,$AB431/$AB430-1,$AC431/$AC430-1,$AD431/$AD430-1,$AE431/$AE430-1,$AG431/$AG430-1,$AH431/$AH430-1,$AI431/$AI430-1,$AJ431/$AJ430-1,$AL431/$AL430-1,$AM431/$AM430-1,$AR431/$AR430-1,$AS431/$AS430-1,$AT431/$AT430-1,$AU431/$AU430-1,$AV431/$AV430-1,$AW431/$AW430-1,$AX431/$AX430-1,$AY431/$AY430-1),"")</f>
        <v/>
      </c>
      <c r="DW430" s="66">
        <f>AVERAGE($CB430,$CC430,$CD430,$CE430,$CF430,$CG430,$CH430,$CI430,$CJ430,$CL430,$CM430,$CN430,$CO430,$CP430,$CQ430,$CR430,$CS430,$CT430)</f>
        <v/>
      </c>
      <c r="DX430" s="66">
        <f>AVERAGE($CB430,$CC430,$CM430,$CE430,$CP430)</f>
        <v/>
      </c>
      <c r="DY430" s="64">
        <f>($DW430-$DW431)*100</f>
        <v/>
      </c>
      <c r="DZ430" s="64">
        <f>($DX430-$DX431)*100</f>
        <v/>
      </c>
      <c r="EA430" s="64">
        <f>($DW430-$D430)*100</f>
        <v/>
      </c>
      <c r="EB430" s="64">
        <f>$Q430-$O430</f>
        <v/>
      </c>
      <c r="EC430" s="67">
        <f>IFERROR($Q430/$P430,"")</f>
        <v/>
      </c>
    </row>
    <row r="431">
      <c r="DG431" s="64">
        <f>($B431-$B432)*100</f>
        <v/>
      </c>
      <c r="DH431" s="64">
        <f>($D431-$D432)*100</f>
        <v/>
      </c>
      <c r="DI431" s="64">
        <f>($E431-$E432)*100</f>
        <v/>
      </c>
      <c r="DJ431" s="64">
        <f>($H431-$H432)*100</f>
        <v/>
      </c>
      <c r="DK431" s="65">
        <f>IFERROR($J431/$J432-1,"")</f>
        <v/>
      </c>
      <c r="DL431" s="64">
        <f>$L431-$L432</f>
        <v/>
      </c>
      <c r="DM431" s="64">
        <f>$K431-$K432</f>
        <v/>
      </c>
      <c r="DN431" s="65">
        <f>IFERROR($N431/$N432-1,"")</f>
        <v/>
      </c>
      <c r="DO431" s="65">
        <f>IFERROR($M431/$M432-1,"")</f>
        <v/>
      </c>
      <c r="DP431" s="65">
        <f>IFERROR($AZ431/$AZ432-1,"")</f>
        <v/>
      </c>
      <c r="DQ431" s="65">
        <f>IFERROR($BA431/$BA432-1,"")</f>
        <v/>
      </c>
      <c r="DR431" s="64">
        <f>$O431-$O432</f>
        <v/>
      </c>
      <c r="DS431" s="64">
        <f>$P431-$P432</f>
        <v/>
      </c>
      <c r="DT431" s="64">
        <f>$Q431-$Q432</f>
        <v/>
      </c>
      <c r="DU431" s="64">
        <f>$S431-$S432</f>
        <v/>
      </c>
      <c r="DV431" s="65">
        <f>IFERROR(AVERAGE($AA432/$AA431-1,$AB432/$AB431-1,$AC432/$AC431-1,$AD432/$AD431-1,$AE432/$AE431-1,$AG432/$AG431-1,$AH432/$AH431-1,$AI432/$AI431-1,$AJ432/$AJ431-1,$AL432/$AL431-1,$AM432/$AM431-1,$AR432/$AR431-1,$AS432/$AS431-1,$AT432/$AT431-1,$AU432/$AU431-1,$AV432/$AV431-1,$AW432/$AW431-1,$AX432/$AX431-1,$AY432/$AY431-1),"")</f>
        <v/>
      </c>
      <c r="DW431" s="66">
        <f>AVERAGE($CB431,$CC431,$CD431,$CE431,$CF431,$CG431,$CH431,$CI431,$CJ431,$CL431,$CM431,$CN431,$CO431,$CP431,$CQ431,$CR431,$CS431,$CT431)</f>
        <v/>
      </c>
      <c r="DX431" s="66">
        <f>AVERAGE($CB431,$CC431,$CM431,$CE431,$CP431)</f>
        <v/>
      </c>
      <c r="DY431" s="64">
        <f>($DW431-$DW432)*100</f>
        <v/>
      </c>
      <c r="DZ431" s="64">
        <f>($DX431-$DX432)*100</f>
        <v/>
      </c>
      <c r="EA431" s="64">
        <f>($DW431-$D431)*100</f>
        <v/>
      </c>
      <c r="EB431" s="64">
        <f>$Q431-$O431</f>
        <v/>
      </c>
      <c r="EC431" s="67">
        <f>IFERROR($Q431/$P431,"")</f>
        <v/>
      </c>
    </row>
    <row r="432">
      <c r="DG432" s="64">
        <f>($B432-$B433)*100</f>
        <v/>
      </c>
      <c r="DH432" s="64">
        <f>($D432-$D433)*100</f>
        <v/>
      </c>
      <c r="DI432" s="64">
        <f>($E432-$E433)*100</f>
        <v/>
      </c>
      <c r="DJ432" s="64">
        <f>($H432-$H433)*100</f>
        <v/>
      </c>
      <c r="DK432" s="65">
        <f>IFERROR($J432/$J433-1,"")</f>
        <v/>
      </c>
      <c r="DL432" s="64">
        <f>$L432-$L433</f>
        <v/>
      </c>
      <c r="DM432" s="64">
        <f>$K432-$K433</f>
        <v/>
      </c>
      <c r="DN432" s="65">
        <f>IFERROR($N432/$N433-1,"")</f>
        <v/>
      </c>
      <c r="DO432" s="65">
        <f>IFERROR($M432/$M433-1,"")</f>
        <v/>
      </c>
      <c r="DP432" s="65">
        <f>IFERROR($AZ432/$AZ433-1,"")</f>
        <v/>
      </c>
      <c r="DQ432" s="65">
        <f>IFERROR($BA432/$BA433-1,"")</f>
        <v/>
      </c>
      <c r="DR432" s="64">
        <f>$O432-$O433</f>
        <v/>
      </c>
      <c r="DS432" s="64">
        <f>$P432-$P433</f>
        <v/>
      </c>
      <c r="DT432" s="64">
        <f>$Q432-$Q433</f>
        <v/>
      </c>
      <c r="DU432" s="64">
        <f>$S432-$S433</f>
        <v/>
      </c>
      <c r="DV432" s="65">
        <f>IFERROR(AVERAGE($AA433/$AA432-1,$AB433/$AB432-1,$AC433/$AC432-1,$AD433/$AD432-1,$AE433/$AE432-1,$AG433/$AG432-1,$AH433/$AH432-1,$AI433/$AI432-1,$AJ433/$AJ432-1,$AL433/$AL432-1,$AM433/$AM432-1,$AR433/$AR432-1,$AS433/$AS432-1,$AT433/$AT432-1,$AU433/$AU432-1,$AV433/$AV432-1,$AW433/$AW432-1,$AX433/$AX432-1,$AY433/$AY432-1),"")</f>
        <v/>
      </c>
      <c r="DW432" s="66">
        <f>AVERAGE($CB432,$CC432,$CD432,$CE432,$CF432,$CG432,$CH432,$CI432,$CJ432,$CL432,$CM432,$CN432,$CO432,$CP432,$CQ432,$CR432,$CS432,$CT432)</f>
        <v/>
      </c>
      <c r="DX432" s="66">
        <f>AVERAGE($CB432,$CC432,$CM432,$CE432,$CP432)</f>
        <v/>
      </c>
      <c r="DY432" s="64">
        <f>($DW432-$DW433)*100</f>
        <v/>
      </c>
      <c r="DZ432" s="64">
        <f>($DX432-$DX433)*100</f>
        <v/>
      </c>
      <c r="EA432" s="64">
        <f>($DW432-$D432)*100</f>
        <v/>
      </c>
      <c r="EB432" s="64">
        <f>$Q432-$O432</f>
        <v/>
      </c>
      <c r="EC432" s="67">
        <f>IFERROR($Q432/$P432,"")</f>
        <v/>
      </c>
    </row>
    <row r="433">
      <c r="DG433" s="64">
        <f>($B433-$B434)*100</f>
        <v/>
      </c>
      <c r="DH433" s="64">
        <f>($D433-$D434)*100</f>
        <v/>
      </c>
      <c r="DI433" s="64">
        <f>($E433-$E434)*100</f>
        <v/>
      </c>
      <c r="DJ433" s="64">
        <f>($H433-$H434)*100</f>
        <v/>
      </c>
      <c r="DK433" s="65">
        <f>IFERROR($J433/$J434-1,"")</f>
        <v/>
      </c>
      <c r="DL433" s="64">
        <f>$L433-$L434</f>
        <v/>
      </c>
      <c r="DM433" s="64">
        <f>$K433-$K434</f>
        <v/>
      </c>
      <c r="DN433" s="65">
        <f>IFERROR($N433/$N434-1,"")</f>
        <v/>
      </c>
      <c r="DO433" s="65">
        <f>IFERROR($M433/$M434-1,"")</f>
        <v/>
      </c>
      <c r="DP433" s="65">
        <f>IFERROR($AZ433/$AZ434-1,"")</f>
        <v/>
      </c>
      <c r="DQ433" s="65">
        <f>IFERROR($BA433/$BA434-1,"")</f>
        <v/>
      </c>
      <c r="DR433" s="64">
        <f>$O433-$O434</f>
        <v/>
      </c>
      <c r="DS433" s="64">
        <f>$P433-$P434</f>
        <v/>
      </c>
      <c r="DT433" s="64">
        <f>$Q433-$Q434</f>
        <v/>
      </c>
      <c r="DU433" s="64">
        <f>$S433-$S434</f>
        <v/>
      </c>
      <c r="DV433" s="65">
        <f>IFERROR(AVERAGE($AA434/$AA433-1,$AB434/$AB433-1,$AC434/$AC433-1,$AD434/$AD433-1,$AE434/$AE433-1,$AG434/$AG433-1,$AH434/$AH433-1,$AI434/$AI433-1,$AJ434/$AJ433-1,$AL434/$AL433-1,$AM434/$AM433-1,$AR434/$AR433-1,$AS434/$AS433-1,$AT434/$AT433-1,$AU434/$AU433-1,$AV434/$AV433-1,$AW434/$AW433-1,$AX434/$AX433-1,$AY434/$AY433-1),"")</f>
        <v/>
      </c>
      <c r="DW433" s="66">
        <f>AVERAGE($CB433,$CC433,$CD433,$CE433,$CF433,$CG433,$CH433,$CI433,$CJ433,$CL433,$CM433,$CN433,$CO433,$CP433,$CQ433,$CR433,$CS433,$CT433)</f>
        <v/>
      </c>
      <c r="DX433" s="66">
        <f>AVERAGE($CB433,$CC433,$CM433,$CE433,$CP433)</f>
        <v/>
      </c>
      <c r="DY433" s="64">
        <f>($DW433-$DW434)*100</f>
        <v/>
      </c>
      <c r="DZ433" s="64">
        <f>($DX433-$DX434)*100</f>
        <v/>
      </c>
      <c r="EA433" s="64">
        <f>($DW433-$D433)*100</f>
        <v/>
      </c>
      <c r="EB433" s="64">
        <f>$Q433-$O433</f>
        <v/>
      </c>
      <c r="EC433" s="67">
        <f>IFERROR($Q433/$P433,"")</f>
        <v/>
      </c>
    </row>
    <row r="434">
      <c r="DG434" s="64">
        <f>($B434-$B435)*100</f>
        <v/>
      </c>
      <c r="DH434" s="64">
        <f>($D434-$D435)*100</f>
        <v/>
      </c>
      <c r="DI434" s="64">
        <f>($E434-$E435)*100</f>
        <v/>
      </c>
      <c r="DJ434" s="64">
        <f>($H434-$H435)*100</f>
        <v/>
      </c>
      <c r="DK434" s="65">
        <f>IFERROR($J434/$J435-1,"")</f>
        <v/>
      </c>
      <c r="DL434" s="64">
        <f>$L434-$L435</f>
        <v/>
      </c>
      <c r="DM434" s="64">
        <f>$K434-$K435</f>
        <v/>
      </c>
      <c r="DN434" s="65">
        <f>IFERROR($N434/$N435-1,"")</f>
        <v/>
      </c>
      <c r="DO434" s="65">
        <f>IFERROR($M434/$M435-1,"")</f>
        <v/>
      </c>
      <c r="DP434" s="65">
        <f>IFERROR($AZ434/$AZ435-1,"")</f>
        <v/>
      </c>
      <c r="DQ434" s="65">
        <f>IFERROR($BA434/$BA435-1,"")</f>
        <v/>
      </c>
      <c r="DR434" s="64">
        <f>$O434-$O435</f>
        <v/>
      </c>
      <c r="DS434" s="64">
        <f>$P434-$P435</f>
        <v/>
      </c>
      <c r="DT434" s="64">
        <f>$Q434-$Q435</f>
        <v/>
      </c>
      <c r="DU434" s="64">
        <f>$S434-$S435</f>
        <v/>
      </c>
      <c r="DV434" s="65">
        <f>IFERROR(AVERAGE($AA435/$AA434-1,$AB435/$AB434-1,$AC435/$AC434-1,$AD435/$AD434-1,$AE435/$AE434-1,$AG435/$AG434-1,$AH435/$AH434-1,$AI435/$AI434-1,$AJ435/$AJ434-1,$AL435/$AL434-1,$AM435/$AM434-1,$AR435/$AR434-1,$AS435/$AS434-1,$AT435/$AT434-1,$AU435/$AU434-1,$AV435/$AV434-1,$AW435/$AW434-1,$AX435/$AX434-1,$AY435/$AY434-1),"")</f>
        <v/>
      </c>
      <c r="DW434" s="66">
        <f>AVERAGE($CB434,$CC434,$CD434,$CE434,$CF434,$CG434,$CH434,$CI434,$CJ434,$CL434,$CM434,$CN434,$CO434,$CP434,$CQ434,$CR434,$CS434,$CT434)</f>
        <v/>
      </c>
      <c r="DX434" s="66">
        <f>AVERAGE($CB434,$CC434,$CM434,$CE434,$CP434)</f>
        <v/>
      </c>
      <c r="DY434" s="64">
        <f>($DW434-$DW435)*100</f>
        <v/>
      </c>
      <c r="DZ434" s="64">
        <f>($DX434-$DX435)*100</f>
        <v/>
      </c>
      <c r="EA434" s="64">
        <f>($DW434-$D434)*100</f>
        <v/>
      </c>
      <c r="EB434" s="64">
        <f>$Q434-$O434</f>
        <v/>
      </c>
      <c r="EC434" s="67">
        <f>IFERROR($Q434/$P434,"")</f>
        <v/>
      </c>
    </row>
    <row r="435">
      <c r="DG435" s="64">
        <f>($B435-$B436)*100</f>
        <v/>
      </c>
      <c r="DH435" s="64">
        <f>($D435-$D436)*100</f>
        <v/>
      </c>
      <c r="DI435" s="64">
        <f>($E435-$E436)*100</f>
        <v/>
      </c>
      <c r="DJ435" s="64">
        <f>($H435-$H436)*100</f>
        <v/>
      </c>
      <c r="DK435" s="65">
        <f>IFERROR($J435/$J436-1,"")</f>
        <v/>
      </c>
      <c r="DL435" s="64">
        <f>$L435-$L436</f>
        <v/>
      </c>
      <c r="DM435" s="64">
        <f>$K435-$K436</f>
        <v/>
      </c>
      <c r="DN435" s="65">
        <f>IFERROR($N435/$N436-1,"")</f>
        <v/>
      </c>
      <c r="DO435" s="65">
        <f>IFERROR($M435/$M436-1,"")</f>
        <v/>
      </c>
      <c r="DP435" s="65">
        <f>IFERROR($AZ435/$AZ436-1,"")</f>
        <v/>
      </c>
      <c r="DQ435" s="65">
        <f>IFERROR($BA435/$BA436-1,"")</f>
        <v/>
      </c>
      <c r="DR435" s="64">
        <f>$O435-$O436</f>
        <v/>
      </c>
      <c r="DS435" s="64">
        <f>$P435-$P436</f>
        <v/>
      </c>
      <c r="DT435" s="64">
        <f>$Q435-$Q436</f>
        <v/>
      </c>
      <c r="DU435" s="64">
        <f>$S435-$S436</f>
        <v/>
      </c>
      <c r="DV435" s="65">
        <f>IFERROR(AVERAGE($AA436/$AA435-1,$AB436/$AB435-1,$AC436/$AC435-1,$AD436/$AD435-1,$AE436/$AE435-1,$AG436/$AG435-1,$AH436/$AH435-1,$AI436/$AI435-1,$AJ436/$AJ435-1,$AL436/$AL435-1,$AM436/$AM435-1,$AR436/$AR435-1,$AS436/$AS435-1,$AT436/$AT435-1,$AU436/$AU435-1,$AV436/$AV435-1,$AW436/$AW435-1,$AX436/$AX435-1,$AY436/$AY435-1),"")</f>
        <v/>
      </c>
      <c r="DW435" s="66">
        <f>AVERAGE($CB435,$CC435,$CD435,$CE435,$CF435,$CG435,$CH435,$CI435,$CJ435,$CL435,$CM435,$CN435,$CO435,$CP435,$CQ435,$CR435,$CS435,$CT435)</f>
        <v/>
      </c>
      <c r="DX435" s="66">
        <f>AVERAGE($CB435,$CC435,$CM435,$CE435,$CP435)</f>
        <v/>
      </c>
      <c r="DY435" s="64">
        <f>($DW435-$DW436)*100</f>
        <v/>
      </c>
      <c r="DZ435" s="64">
        <f>($DX435-$DX436)*100</f>
        <v/>
      </c>
      <c r="EA435" s="64">
        <f>($DW435-$D435)*100</f>
        <v/>
      </c>
      <c r="EB435" s="64">
        <f>$Q435-$O435</f>
        <v/>
      </c>
      <c r="EC435" s="67">
        <f>IFERROR($Q435/$P435,"")</f>
        <v/>
      </c>
    </row>
    <row r="436">
      <c r="DG436" s="64">
        <f>($B436-$B437)*100</f>
        <v/>
      </c>
      <c r="DH436" s="64">
        <f>($D436-$D437)*100</f>
        <v/>
      </c>
      <c r="DI436" s="64">
        <f>($E436-$E437)*100</f>
        <v/>
      </c>
      <c r="DJ436" s="64">
        <f>($H436-$H437)*100</f>
        <v/>
      </c>
      <c r="DK436" s="65">
        <f>IFERROR($J436/$J437-1,"")</f>
        <v/>
      </c>
      <c r="DL436" s="64">
        <f>$L436-$L437</f>
        <v/>
      </c>
      <c r="DM436" s="64">
        <f>$K436-$K437</f>
        <v/>
      </c>
      <c r="DN436" s="65">
        <f>IFERROR($N436/$N437-1,"")</f>
        <v/>
      </c>
      <c r="DO436" s="65">
        <f>IFERROR($M436/$M437-1,"")</f>
        <v/>
      </c>
      <c r="DP436" s="65">
        <f>IFERROR($AZ436/$AZ437-1,"")</f>
        <v/>
      </c>
      <c r="DQ436" s="65">
        <f>IFERROR($BA436/$BA437-1,"")</f>
        <v/>
      </c>
      <c r="DR436" s="64">
        <f>$O436-$O437</f>
        <v/>
      </c>
      <c r="DS436" s="64">
        <f>$P436-$P437</f>
        <v/>
      </c>
      <c r="DT436" s="64">
        <f>$Q436-$Q437</f>
        <v/>
      </c>
      <c r="DU436" s="64">
        <f>$S436-$S437</f>
        <v/>
      </c>
      <c r="DV436" s="65">
        <f>IFERROR(AVERAGE($AA437/$AA436-1,$AB437/$AB436-1,$AC437/$AC436-1,$AD437/$AD436-1,$AE437/$AE436-1,$AG437/$AG436-1,$AH437/$AH436-1,$AI437/$AI436-1,$AJ437/$AJ436-1,$AL437/$AL436-1,$AM437/$AM436-1,$AR437/$AR436-1,$AS437/$AS436-1,$AT437/$AT436-1,$AU437/$AU436-1,$AV437/$AV436-1,$AW437/$AW436-1,$AX437/$AX436-1,$AY437/$AY436-1),"")</f>
        <v/>
      </c>
      <c r="DW436" s="66">
        <f>AVERAGE($CB436,$CC436,$CD436,$CE436,$CF436,$CG436,$CH436,$CI436,$CJ436,$CL436,$CM436,$CN436,$CO436,$CP436,$CQ436,$CR436,$CS436,$CT436)</f>
        <v/>
      </c>
      <c r="DX436" s="66">
        <f>AVERAGE($CB436,$CC436,$CM436,$CE436,$CP436)</f>
        <v/>
      </c>
      <c r="DY436" s="64">
        <f>($DW436-$DW437)*100</f>
        <v/>
      </c>
      <c r="DZ436" s="64">
        <f>($DX436-$DX437)*100</f>
        <v/>
      </c>
      <c r="EA436" s="64">
        <f>($DW436-$D436)*100</f>
        <v/>
      </c>
      <c r="EB436" s="64">
        <f>$Q436-$O436</f>
        <v/>
      </c>
      <c r="EC436" s="67">
        <f>IFERROR($Q436/$P436,"")</f>
        <v/>
      </c>
    </row>
    <row r="437">
      <c r="DG437" s="64">
        <f>($B437-$B438)*100</f>
        <v/>
      </c>
      <c r="DH437" s="64">
        <f>($D437-$D438)*100</f>
        <v/>
      </c>
      <c r="DI437" s="64">
        <f>($E437-$E438)*100</f>
        <v/>
      </c>
      <c r="DJ437" s="64">
        <f>($H437-$H438)*100</f>
        <v/>
      </c>
      <c r="DK437" s="65">
        <f>IFERROR($J437/$J438-1,"")</f>
        <v/>
      </c>
      <c r="DL437" s="64">
        <f>$L437-$L438</f>
        <v/>
      </c>
      <c r="DM437" s="64">
        <f>$K437-$K438</f>
        <v/>
      </c>
      <c r="DN437" s="65">
        <f>IFERROR($N437/$N438-1,"")</f>
        <v/>
      </c>
      <c r="DO437" s="65">
        <f>IFERROR($M437/$M438-1,"")</f>
        <v/>
      </c>
      <c r="DP437" s="65">
        <f>IFERROR($AZ437/$AZ438-1,"")</f>
        <v/>
      </c>
      <c r="DQ437" s="65">
        <f>IFERROR($BA437/$BA438-1,"")</f>
        <v/>
      </c>
      <c r="DR437" s="64">
        <f>$O437-$O438</f>
        <v/>
      </c>
      <c r="DS437" s="64">
        <f>$P437-$P438</f>
        <v/>
      </c>
      <c r="DT437" s="64">
        <f>$Q437-$Q438</f>
        <v/>
      </c>
      <c r="DU437" s="64">
        <f>$S437-$S438</f>
        <v/>
      </c>
      <c r="DV437" s="65">
        <f>IFERROR(AVERAGE($AA438/$AA437-1,$AB438/$AB437-1,$AC438/$AC437-1,$AD438/$AD437-1,$AE438/$AE437-1,$AG438/$AG437-1,$AH438/$AH437-1,$AI438/$AI437-1,$AJ438/$AJ437-1,$AL438/$AL437-1,$AM438/$AM437-1,$AR438/$AR437-1,$AS438/$AS437-1,$AT438/$AT437-1,$AU438/$AU437-1,$AV438/$AV437-1,$AW438/$AW437-1,$AX438/$AX437-1,$AY438/$AY437-1),"")</f>
        <v/>
      </c>
      <c r="DW437" s="66">
        <f>AVERAGE($CB437,$CC437,$CD437,$CE437,$CF437,$CG437,$CH437,$CI437,$CJ437,$CL437,$CM437,$CN437,$CO437,$CP437,$CQ437,$CR437,$CS437,$CT437)</f>
        <v/>
      </c>
      <c r="DX437" s="66">
        <f>AVERAGE($CB437,$CC437,$CM437,$CE437,$CP437)</f>
        <v/>
      </c>
      <c r="DY437" s="64">
        <f>($DW437-$DW438)*100</f>
        <v/>
      </c>
      <c r="DZ437" s="64">
        <f>($DX437-$DX438)*100</f>
        <v/>
      </c>
      <c r="EA437" s="64">
        <f>($DW437-$D437)*100</f>
        <v/>
      </c>
      <c r="EB437" s="64">
        <f>$Q437-$O437</f>
        <v/>
      </c>
      <c r="EC437" s="67">
        <f>IFERROR($Q437/$P437,"")</f>
        <v/>
      </c>
    </row>
    <row r="438">
      <c r="DG438" s="64">
        <f>($B438-$B439)*100</f>
        <v/>
      </c>
      <c r="DH438" s="64">
        <f>($D438-$D439)*100</f>
        <v/>
      </c>
      <c r="DI438" s="64">
        <f>($E438-$E439)*100</f>
        <v/>
      </c>
      <c r="DJ438" s="64">
        <f>($H438-$H439)*100</f>
        <v/>
      </c>
      <c r="DK438" s="65">
        <f>IFERROR($J438/$J439-1,"")</f>
        <v/>
      </c>
      <c r="DL438" s="64">
        <f>$L438-$L439</f>
        <v/>
      </c>
      <c r="DM438" s="64">
        <f>$K438-$K439</f>
        <v/>
      </c>
      <c r="DN438" s="65">
        <f>IFERROR($N438/$N439-1,"")</f>
        <v/>
      </c>
      <c r="DO438" s="65">
        <f>IFERROR($M438/$M439-1,"")</f>
        <v/>
      </c>
      <c r="DP438" s="65">
        <f>IFERROR($AZ438/$AZ439-1,"")</f>
        <v/>
      </c>
      <c r="DQ438" s="65">
        <f>IFERROR($BA438/$BA439-1,"")</f>
        <v/>
      </c>
      <c r="DR438" s="64">
        <f>$O438-$O439</f>
        <v/>
      </c>
      <c r="DS438" s="64">
        <f>$P438-$P439</f>
        <v/>
      </c>
      <c r="DT438" s="64">
        <f>$Q438-$Q439</f>
        <v/>
      </c>
      <c r="DU438" s="64">
        <f>$S438-$S439</f>
        <v/>
      </c>
      <c r="DV438" s="65">
        <f>IFERROR(AVERAGE($AA439/$AA438-1,$AB439/$AB438-1,$AC439/$AC438-1,$AD439/$AD438-1,$AE439/$AE438-1,$AG439/$AG438-1,$AH439/$AH438-1,$AI439/$AI438-1,$AJ439/$AJ438-1,$AL439/$AL438-1,$AM439/$AM438-1,$AR439/$AR438-1,$AS439/$AS438-1,$AT439/$AT438-1,$AU439/$AU438-1,$AV439/$AV438-1,$AW439/$AW438-1,$AX439/$AX438-1,$AY439/$AY438-1),"")</f>
        <v/>
      </c>
      <c r="DW438" s="66">
        <f>AVERAGE($CB438,$CC438,$CD438,$CE438,$CF438,$CG438,$CH438,$CI438,$CJ438,$CL438,$CM438,$CN438,$CO438,$CP438,$CQ438,$CR438,$CS438,$CT438)</f>
        <v/>
      </c>
      <c r="DX438" s="66">
        <f>AVERAGE($CB438,$CC438,$CM438,$CE438,$CP438)</f>
        <v/>
      </c>
      <c r="DY438" s="64">
        <f>($DW438-$DW439)*100</f>
        <v/>
      </c>
      <c r="DZ438" s="64">
        <f>($DX438-$DX439)*100</f>
        <v/>
      </c>
      <c r="EA438" s="64">
        <f>($DW438-$D438)*100</f>
        <v/>
      </c>
      <c r="EB438" s="64">
        <f>$Q438-$O438</f>
        <v/>
      </c>
      <c r="EC438" s="67">
        <f>IFERROR($Q438/$P438,"")</f>
        <v/>
      </c>
    </row>
    <row r="439">
      <c r="DG439" s="64">
        <f>($B439-$B440)*100</f>
        <v/>
      </c>
      <c r="DH439" s="64">
        <f>($D439-$D440)*100</f>
        <v/>
      </c>
      <c r="DI439" s="64">
        <f>($E439-$E440)*100</f>
        <v/>
      </c>
      <c r="DJ439" s="64">
        <f>($H439-$H440)*100</f>
        <v/>
      </c>
      <c r="DK439" s="65">
        <f>IFERROR($J439/$J440-1,"")</f>
        <v/>
      </c>
      <c r="DL439" s="64">
        <f>$L439-$L440</f>
        <v/>
      </c>
      <c r="DM439" s="64">
        <f>$K439-$K440</f>
        <v/>
      </c>
      <c r="DN439" s="65">
        <f>IFERROR($N439/$N440-1,"")</f>
        <v/>
      </c>
      <c r="DO439" s="65">
        <f>IFERROR($M439/$M440-1,"")</f>
        <v/>
      </c>
      <c r="DP439" s="65">
        <f>IFERROR($AZ439/$AZ440-1,"")</f>
        <v/>
      </c>
      <c r="DQ439" s="65">
        <f>IFERROR($BA439/$BA440-1,"")</f>
        <v/>
      </c>
      <c r="DR439" s="64">
        <f>$O439-$O440</f>
        <v/>
      </c>
      <c r="DS439" s="64">
        <f>$P439-$P440</f>
        <v/>
      </c>
      <c r="DT439" s="64">
        <f>$Q439-$Q440</f>
        <v/>
      </c>
      <c r="DU439" s="64">
        <f>$S439-$S440</f>
        <v/>
      </c>
      <c r="DV439" s="65">
        <f>IFERROR(AVERAGE($AA440/$AA439-1,$AB440/$AB439-1,$AC440/$AC439-1,$AD440/$AD439-1,$AE440/$AE439-1,$AG440/$AG439-1,$AH440/$AH439-1,$AI440/$AI439-1,$AJ440/$AJ439-1,$AL440/$AL439-1,$AM440/$AM439-1,$AR440/$AR439-1,$AS440/$AS439-1,$AT440/$AT439-1,$AU440/$AU439-1,$AV440/$AV439-1,$AW440/$AW439-1,$AX440/$AX439-1,$AY440/$AY439-1),"")</f>
        <v/>
      </c>
      <c r="DW439" s="66">
        <f>AVERAGE($CB439,$CC439,$CD439,$CE439,$CF439,$CG439,$CH439,$CI439,$CJ439,$CL439,$CM439,$CN439,$CO439,$CP439,$CQ439,$CR439,$CS439,$CT439)</f>
        <v/>
      </c>
      <c r="DX439" s="66">
        <f>AVERAGE($CB439,$CC439,$CM439,$CE439,$CP439)</f>
        <v/>
      </c>
      <c r="DY439" s="64">
        <f>($DW439-$DW440)*100</f>
        <v/>
      </c>
      <c r="DZ439" s="64">
        <f>($DX439-$DX440)*100</f>
        <v/>
      </c>
      <c r="EA439" s="64">
        <f>($DW439-$D439)*100</f>
        <v/>
      </c>
      <c r="EB439" s="64">
        <f>$Q439-$O439</f>
        <v/>
      </c>
      <c r="EC439" s="67">
        <f>IFERROR($Q439/$P439,"")</f>
        <v/>
      </c>
    </row>
    <row r="440">
      <c r="DG440" s="64">
        <f>($B440-$B441)*100</f>
        <v/>
      </c>
      <c r="DH440" s="64">
        <f>($D440-$D441)*100</f>
        <v/>
      </c>
      <c r="DI440" s="64">
        <f>($E440-$E441)*100</f>
        <v/>
      </c>
      <c r="DJ440" s="64">
        <f>($H440-$H441)*100</f>
        <v/>
      </c>
      <c r="DK440" s="65">
        <f>IFERROR($J440/$J441-1,"")</f>
        <v/>
      </c>
      <c r="DL440" s="64">
        <f>$L440-$L441</f>
        <v/>
      </c>
      <c r="DM440" s="64">
        <f>$K440-$K441</f>
        <v/>
      </c>
      <c r="DN440" s="65">
        <f>IFERROR($N440/$N441-1,"")</f>
        <v/>
      </c>
      <c r="DO440" s="65">
        <f>IFERROR($M440/$M441-1,"")</f>
        <v/>
      </c>
      <c r="DP440" s="65">
        <f>IFERROR($AZ440/$AZ441-1,"")</f>
        <v/>
      </c>
      <c r="DQ440" s="65">
        <f>IFERROR($BA440/$BA441-1,"")</f>
        <v/>
      </c>
      <c r="DR440" s="64">
        <f>$O440-$O441</f>
        <v/>
      </c>
      <c r="DS440" s="64">
        <f>$P440-$P441</f>
        <v/>
      </c>
      <c r="DT440" s="64">
        <f>$Q440-$Q441</f>
        <v/>
      </c>
      <c r="DU440" s="64">
        <f>$S440-$S441</f>
        <v/>
      </c>
      <c r="DV440" s="65">
        <f>IFERROR(AVERAGE($AA441/$AA440-1,$AB441/$AB440-1,$AC441/$AC440-1,$AD441/$AD440-1,$AE441/$AE440-1,$AG441/$AG440-1,$AH441/$AH440-1,$AI441/$AI440-1,$AJ441/$AJ440-1,$AL441/$AL440-1,$AM441/$AM440-1,$AR441/$AR440-1,$AS441/$AS440-1,$AT441/$AT440-1,$AU441/$AU440-1,$AV441/$AV440-1,$AW441/$AW440-1,$AX441/$AX440-1,$AY441/$AY440-1),"")</f>
        <v/>
      </c>
      <c r="DW440" s="66">
        <f>AVERAGE($CB440,$CC440,$CD440,$CE440,$CF440,$CG440,$CH440,$CI440,$CJ440,$CL440,$CM440,$CN440,$CO440,$CP440,$CQ440,$CR440,$CS440,$CT440)</f>
        <v/>
      </c>
      <c r="DX440" s="66">
        <f>AVERAGE($CB440,$CC440,$CM440,$CE440,$CP440)</f>
        <v/>
      </c>
      <c r="DY440" s="64">
        <f>($DW440-$DW441)*100</f>
        <v/>
      </c>
      <c r="DZ440" s="64">
        <f>($DX440-$DX441)*100</f>
        <v/>
      </c>
      <c r="EA440" s="64">
        <f>($DW440-$D440)*100</f>
        <v/>
      </c>
      <c r="EB440" s="64">
        <f>$Q440-$O440</f>
        <v/>
      </c>
      <c r="EC440" s="67">
        <f>IFERROR($Q440/$P440,"")</f>
        <v/>
      </c>
    </row>
    <row r="441">
      <c r="DG441" s="64">
        <f>($B441-$B442)*100</f>
        <v/>
      </c>
      <c r="DH441" s="64">
        <f>($D441-$D442)*100</f>
        <v/>
      </c>
      <c r="DI441" s="64">
        <f>($E441-$E442)*100</f>
        <v/>
      </c>
      <c r="DJ441" s="64">
        <f>($H441-$H442)*100</f>
        <v/>
      </c>
      <c r="DK441" s="65">
        <f>IFERROR($J441/$J442-1,"")</f>
        <v/>
      </c>
      <c r="DL441" s="64">
        <f>$L441-$L442</f>
        <v/>
      </c>
      <c r="DM441" s="64">
        <f>$K441-$K442</f>
        <v/>
      </c>
      <c r="DN441" s="65">
        <f>IFERROR($N441/$N442-1,"")</f>
        <v/>
      </c>
      <c r="DO441" s="65">
        <f>IFERROR($M441/$M442-1,"")</f>
        <v/>
      </c>
      <c r="DP441" s="65">
        <f>IFERROR($AZ441/$AZ442-1,"")</f>
        <v/>
      </c>
      <c r="DQ441" s="65">
        <f>IFERROR($BA441/$BA442-1,"")</f>
        <v/>
      </c>
      <c r="DR441" s="64">
        <f>$O441-$O442</f>
        <v/>
      </c>
      <c r="DS441" s="64">
        <f>$P441-$P442</f>
        <v/>
      </c>
      <c r="DT441" s="64">
        <f>$Q441-$Q442</f>
        <v/>
      </c>
      <c r="DU441" s="64">
        <f>$S441-$S442</f>
        <v/>
      </c>
      <c r="DV441" s="65">
        <f>IFERROR(AVERAGE($AA442/$AA441-1,$AB442/$AB441-1,$AC442/$AC441-1,$AD442/$AD441-1,$AE442/$AE441-1,$AG442/$AG441-1,$AH442/$AH441-1,$AI442/$AI441-1,$AJ442/$AJ441-1,$AL442/$AL441-1,$AM442/$AM441-1,$AR442/$AR441-1,$AS442/$AS441-1,$AT442/$AT441-1,$AU442/$AU441-1,$AV442/$AV441-1,$AW442/$AW441-1,$AX442/$AX441-1,$AY442/$AY441-1),"")</f>
        <v/>
      </c>
      <c r="DW441" s="66">
        <f>AVERAGE($CB441,$CC441,$CD441,$CE441,$CF441,$CG441,$CH441,$CI441,$CJ441,$CL441,$CM441,$CN441,$CO441,$CP441,$CQ441,$CR441,$CS441,$CT441)</f>
        <v/>
      </c>
      <c r="DX441" s="66">
        <f>AVERAGE($CB441,$CC441,$CM441,$CE441,$CP441)</f>
        <v/>
      </c>
      <c r="DY441" s="64">
        <f>($DW441-$DW442)*100</f>
        <v/>
      </c>
      <c r="DZ441" s="64">
        <f>($DX441-$DX442)*100</f>
        <v/>
      </c>
      <c r="EA441" s="64">
        <f>($DW441-$D441)*100</f>
        <v/>
      </c>
      <c r="EB441" s="64">
        <f>$Q441-$O441</f>
        <v/>
      </c>
      <c r="EC441" s="67">
        <f>IFERROR($Q441/$P441,"")</f>
        <v/>
      </c>
    </row>
    <row r="442">
      <c r="DG442" s="64">
        <f>($B442-$B443)*100</f>
        <v/>
      </c>
      <c r="DH442" s="64">
        <f>($D442-$D443)*100</f>
        <v/>
      </c>
      <c r="DI442" s="64">
        <f>($E442-$E443)*100</f>
        <v/>
      </c>
      <c r="DJ442" s="64">
        <f>($H442-$H443)*100</f>
        <v/>
      </c>
      <c r="DK442" s="65">
        <f>IFERROR($J442/$J443-1,"")</f>
        <v/>
      </c>
      <c r="DL442" s="64">
        <f>$L442-$L443</f>
        <v/>
      </c>
      <c r="DM442" s="64">
        <f>$K442-$K443</f>
        <v/>
      </c>
      <c r="DN442" s="65">
        <f>IFERROR($N442/$N443-1,"")</f>
        <v/>
      </c>
      <c r="DO442" s="65">
        <f>IFERROR($M442/$M443-1,"")</f>
        <v/>
      </c>
      <c r="DP442" s="65">
        <f>IFERROR($AZ442/$AZ443-1,"")</f>
        <v/>
      </c>
      <c r="DQ442" s="65">
        <f>IFERROR($BA442/$BA443-1,"")</f>
        <v/>
      </c>
      <c r="DR442" s="64">
        <f>$O442-$O443</f>
        <v/>
      </c>
      <c r="DS442" s="64">
        <f>$P442-$P443</f>
        <v/>
      </c>
      <c r="DT442" s="64">
        <f>$Q442-$Q443</f>
        <v/>
      </c>
      <c r="DU442" s="64">
        <f>$S442-$S443</f>
        <v/>
      </c>
      <c r="DV442" s="65">
        <f>IFERROR(AVERAGE($AA443/$AA442-1,$AB443/$AB442-1,$AC443/$AC442-1,$AD443/$AD442-1,$AE443/$AE442-1,$AG443/$AG442-1,$AH443/$AH442-1,$AI443/$AI442-1,$AJ443/$AJ442-1,$AL443/$AL442-1,$AM443/$AM442-1,$AR443/$AR442-1,$AS443/$AS442-1,$AT443/$AT442-1,$AU443/$AU442-1,$AV443/$AV442-1,$AW443/$AW442-1,$AX443/$AX442-1,$AY443/$AY442-1),"")</f>
        <v/>
      </c>
      <c r="DW442" s="66">
        <f>AVERAGE($CB442,$CC442,$CD442,$CE442,$CF442,$CG442,$CH442,$CI442,$CJ442,$CL442,$CM442,$CN442,$CO442,$CP442,$CQ442,$CR442,$CS442,$CT442)</f>
        <v/>
      </c>
      <c r="DX442" s="66">
        <f>AVERAGE($CB442,$CC442,$CM442,$CE442,$CP442)</f>
        <v/>
      </c>
      <c r="DY442" s="64">
        <f>($DW442-$DW443)*100</f>
        <v/>
      </c>
      <c r="DZ442" s="64">
        <f>($DX442-$DX443)*100</f>
        <v/>
      </c>
      <c r="EA442" s="64">
        <f>($DW442-$D442)*100</f>
        <v/>
      </c>
      <c r="EB442" s="64">
        <f>$Q442-$O442</f>
        <v/>
      </c>
      <c r="EC442" s="67">
        <f>IFERROR($Q442/$P442,"")</f>
        <v/>
      </c>
    </row>
    <row r="443">
      <c r="DG443" s="64">
        <f>($B443-$B444)*100</f>
        <v/>
      </c>
      <c r="DH443" s="64">
        <f>($D443-$D444)*100</f>
        <v/>
      </c>
      <c r="DI443" s="64">
        <f>($E443-$E444)*100</f>
        <v/>
      </c>
      <c r="DJ443" s="64">
        <f>($H443-$H444)*100</f>
        <v/>
      </c>
      <c r="DK443" s="65">
        <f>IFERROR($J443/$J444-1,"")</f>
        <v/>
      </c>
      <c r="DL443" s="64">
        <f>$L443-$L444</f>
        <v/>
      </c>
      <c r="DM443" s="64">
        <f>$K443-$K444</f>
        <v/>
      </c>
      <c r="DN443" s="65">
        <f>IFERROR($N443/$N444-1,"")</f>
        <v/>
      </c>
      <c r="DO443" s="65">
        <f>IFERROR($M443/$M444-1,"")</f>
        <v/>
      </c>
      <c r="DP443" s="65">
        <f>IFERROR($AZ443/$AZ444-1,"")</f>
        <v/>
      </c>
      <c r="DQ443" s="65">
        <f>IFERROR($BA443/$BA444-1,"")</f>
        <v/>
      </c>
      <c r="DR443" s="64">
        <f>$O443-$O444</f>
        <v/>
      </c>
      <c r="DS443" s="64">
        <f>$P443-$P444</f>
        <v/>
      </c>
      <c r="DT443" s="64">
        <f>$Q443-$Q444</f>
        <v/>
      </c>
      <c r="DU443" s="64">
        <f>$S443-$S444</f>
        <v/>
      </c>
      <c r="DV443" s="65">
        <f>IFERROR(AVERAGE($AA444/$AA443-1,$AB444/$AB443-1,$AC444/$AC443-1,$AD444/$AD443-1,$AE444/$AE443-1,$AG444/$AG443-1,$AH444/$AH443-1,$AI444/$AI443-1,$AJ444/$AJ443-1,$AL444/$AL443-1,$AM444/$AM443-1,$AR444/$AR443-1,$AS444/$AS443-1,$AT444/$AT443-1,$AU444/$AU443-1,$AV444/$AV443-1,$AW444/$AW443-1,$AX444/$AX443-1,$AY444/$AY443-1),"")</f>
        <v/>
      </c>
      <c r="DW443" s="66">
        <f>AVERAGE($CB443,$CC443,$CD443,$CE443,$CF443,$CG443,$CH443,$CI443,$CJ443,$CL443,$CM443,$CN443,$CO443,$CP443,$CQ443,$CR443,$CS443,$CT443)</f>
        <v/>
      </c>
      <c r="DX443" s="66">
        <f>AVERAGE($CB443,$CC443,$CM443,$CE443,$CP443)</f>
        <v/>
      </c>
      <c r="DY443" s="64">
        <f>($DW443-$DW444)*100</f>
        <v/>
      </c>
      <c r="DZ443" s="64">
        <f>($DX443-$DX444)*100</f>
        <v/>
      </c>
      <c r="EA443" s="64">
        <f>($DW443-$D443)*100</f>
        <v/>
      </c>
      <c r="EB443" s="64">
        <f>$Q443-$O443</f>
        <v/>
      </c>
      <c r="EC443" s="67">
        <f>IFERROR($Q443/$P443,"")</f>
        <v/>
      </c>
    </row>
    <row r="444">
      <c r="DG444" s="64">
        <f>($B444-$B445)*100</f>
        <v/>
      </c>
      <c r="DH444" s="64">
        <f>($D444-$D445)*100</f>
        <v/>
      </c>
      <c r="DI444" s="64">
        <f>($E444-$E445)*100</f>
        <v/>
      </c>
      <c r="DJ444" s="64">
        <f>($H444-$H445)*100</f>
        <v/>
      </c>
      <c r="DK444" s="65">
        <f>IFERROR($J444/$J445-1,"")</f>
        <v/>
      </c>
      <c r="DL444" s="64">
        <f>$L444-$L445</f>
        <v/>
      </c>
      <c r="DM444" s="64">
        <f>$K444-$K445</f>
        <v/>
      </c>
      <c r="DN444" s="65">
        <f>IFERROR($N444/$N445-1,"")</f>
        <v/>
      </c>
      <c r="DO444" s="65">
        <f>IFERROR($M444/$M445-1,"")</f>
        <v/>
      </c>
      <c r="DP444" s="65">
        <f>IFERROR($AZ444/$AZ445-1,"")</f>
        <v/>
      </c>
      <c r="DQ444" s="65">
        <f>IFERROR($BA444/$BA445-1,"")</f>
        <v/>
      </c>
      <c r="DR444" s="64">
        <f>$O444-$O445</f>
        <v/>
      </c>
      <c r="DS444" s="64">
        <f>$P444-$P445</f>
        <v/>
      </c>
      <c r="DT444" s="64">
        <f>$Q444-$Q445</f>
        <v/>
      </c>
      <c r="DU444" s="64">
        <f>$S444-$S445</f>
        <v/>
      </c>
      <c r="DV444" s="65">
        <f>IFERROR(AVERAGE($AA445/$AA444-1,$AB445/$AB444-1,$AC445/$AC444-1,$AD445/$AD444-1,$AE445/$AE444-1,$AG445/$AG444-1,$AH445/$AH444-1,$AI445/$AI444-1,$AJ445/$AJ444-1,$AL445/$AL444-1,$AM445/$AM444-1,$AR445/$AR444-1,$AS445/$AS444-1,$AT445/$AT444-1,$AU445/$AU444-1,$AV445/$AV444-1,$AW445/$AW444-1,$AX445/$AX444-1,$AY445/$AY444-1),"")</f>
        <v/>
      </c>
      <c r="DW444" s="66">
        <f>AVERAGE($CB444,$CC444,$CD444,$CE444,$CF444,$CG444,$CH444,$CI444,$CJ444,$CL444,$CM444,$CN444,$CO444,$CP444,$CQ444,$CR444,$CS444,$CT444)</f>
        <v/>
      </c>
      <c r="DX444" s="66">
        <f>AVERAGE($CB444,$CC444,$CM444,$CE444,$CP444)</f>
        <v/>
      </c>
      <c r="DY444" s="64">
        <f>($DW444-$DW445)*100</f>
        <v/>
      </c>
      <c r="DZ444" s="64">
        <f>($DX444-$DX445)*100</f>
        <v/>
      </c>
      <c r="EA444" s="64">
        <f>($DW444-$D444)*100</f>
        <v/>
      </c>
      <c r="EB444" s="64">
        <f>$Q444-$O444</f>
        <v/>
      </c>
      <c r="EC444" s="67">
        <f>IFERROR($Q444/$P444,"")</f>
        <v/>
      </c>
    </row>
    <row r="445">
      <c r="DG445" s="64">
        <f>($B445-$B446)*100</f>
        <v/>
      </c>
      <c r="DH445" s="64">
        <f>($D445-$D446)*100</f>
        <v/>
      </c>
      <c r="DI445" s="64">
        <f>($E445-$E446)*100</f>
        <v/>
      </c>
      <c r="DJ445" s="64">
        <f>($H445-$H446)*100</f>
        <v/>
      </c>
      <c r="DK445" s="65">
        <f>IFERROR($J445/$J446-1,"")</f>
        <v/>
      </c>
      <c r="DL445" s="64">
        <f>$L445-$L446</f>
        <v/>
      </c>
      <c r="DM445" s="64">
        <f>$K445-$K446</f>
        <v/>
      </c>
      <c r="DN445" s="65">
        <f>IFERROR($N445/$N446-1,"")</f>
        <v/>
      </c>
      <c r="DO445" s="65">
        <f>IFERROR($M445/$M446-1,"")</f>
        <v/>
      </c>
      <c r="DP445" s="65">
        <f>IFERROR($AZ445/$AZ446-1,"")</f>
        <v/>
      </c>
      <c r="DQ445" s="65">
        <f>IFERROR($BA445/$BA446-1,"")</f>
        <v/>
      </c>
      <c r="DR445" s="64">
        <f>$O445-$O446</f>
        <v/>
      </c>
      <c r="DS445" s="64">
        <f>$P445-$P446</f>
        <v/>
      </c>
      <c r="DT445" s="64">
        <f>$Q445-$Q446</f>
        <v/>
      </c>
      <c r="DU445" s="64">
        <f>$S445-$S446</f>
        <v/>
      </c>
      <c r="DV445" s="65">
        <f>IFERROR(AVERAGE($AA446/$AA445-1,$AB446/$AB445-1,$AC446/$AC445-1,$AD446/$AD445-1,$AE446/$AE445-1,$AG446/$AG445-1,$AH446/$AH445-1,$AI446/$AI445-1,$AJ446/$AJ445-1,$AL446/$AL445-1,$AM446/$AM445-1,$AR446/$AR445-1,$AS446/$AS445-1,$AT446/$AT445-1,$AU446/$AU445-1,$AV446/$AV445-1,$AW446/$AW445-1,$AX446/$AX445-1,$AY446/$AY445-1),"")</f>
        <v/>
      </c>
      <c r="DW445" s="66">
        <f>AVERAGE($CB445,$CC445,$CD445,$CE445,$CF445,$CG445,$CH445,$CI445,$CJ445,$CL445,$CM445,$CN445,$CO445,$CP445,$CQ445,$CR445,$CS445,$CT445)</f>
        <v/>
      </c>
      <c r="DX445" s="66">
        <f>AVERAGE($CB445,$CC445,$CM445,$CE445,$CP445)</f>
        <v/>
      </c>
      <c r="DY445" s="64">
        <f>($DW445-$DW446)*100</f>
        <v/>
      </c>
      <c r="DZ445" s="64">
        <f>($DX445-$DX446)*100</f>
        <v/>
      </c>
      <c r="EA445" s="64">
        <f>($DW445-$D445)*100</f>
        <v/>
      </c>
      <c r="EB445" s="64">
        <f>$Q445-$O445</f>
        <v/>
      </c>
      <c r="EC445" s="67">
        <f>IFERROR($Q445/$P445,"")</f>
        <v/>
      </c>
    </row>
    <row r="446">
      <c r="DG446" s="64">
        <f>($B446-$B447)*100</f>
        <v/>
      </c>
      <c r="DH446" s="64">
        <f>($D446-$D447)*100</f>
        <v/>
      </c>
      <c r="DI446" s="64">
        <f>($E446-$E447)*100</f>
        <v/>
      </c>
      <c r="DJ446" s="64">
        <f>($H446-$H447)*100</f>
        <v/>
      </c>
      <c r="DK446" s="65">
        <f>IFERROR($J446/$J447-1,"")</f>
        <v/>
      </c>
      <c r="DL446" s="64">
        <f>$L446-$L447</f>
        <v/>
      </c>
      <c r="DM446" s="64">
        <f>$K446-$K447</f>
        <v/>
      </c>
      <c r="DN446" s="65">
        <f>IFERROR($N446/$N447-1,"")</f>
        <v/>
      </c>
      <c r="DO446" s="65">
        <f>IFERROR($M446/$M447-1,"")</f>
        <v/>
      </c>
      <c r="DP446" s="65">
        <f>IFERROR($AZ446/$AZ447-1,"")</f>
        <v/>
      </c>
      <c r="DQ446" s="65">
        <f>IFERROR($BA446/$BA447-1,"")</f>
        <v/>
      </c>
      <c r="DR446" s="64">
        <f>$O446-$O447</f>
        <v/>
      </c>
      <c r="DS446" s="64">
        <f>$P446-$P447</f>
        <v/>
      </c>
      <c r="DT446" s="64">
        <f>$Q446-$Q447</f>
        <v/>
      </c>
      <c r="DU446" s="64">
        <f>$S446-$S447</f>
        <v/>
      </c>
      <c r="DV446" s="65">
        <f>IFERROR(AVERAGE($AA447/$AA446-1,$AB447/$AB446-1,$AC447/$AC446-1,$AD447/$AD446-1,$AE447/$AE446-1,$AG447/$AG446-1,$AH447/$AH446-1,$AI447/$AI446-1,$AJ447/$AJ446-1,$AL447/$AL446-1,$AM447/$AM446-1,$AR447/$AR446-1,$AS447/$AS446-1,$AT447/$AT446-1,$AU447/$AU446-1,$AV447/$AV446-1,$AW447/$AW446-1,$AX447/$AX446-1,$AY447/$AY446-1),"")</f>
        <v/>
      </c>
      <c r="DW446" s="66">
        <f>AVERAGE($CB446,$CC446,$CD446,$CE446,$CF446,$CG446,$CH446,$CI446,$CJ446,$CL446,$CM446,$CN446,$CO446,$CP446,$CQ446,$CR446,$CS446,$CT446)</f>
        <v/>
      </c>
      <c r="DX446" s="66">
        <f>AVERAGE($CB446,$CC446,$CM446,$CE446,$CP446)</f>
        <v/>
      </c>
      <c r="DY446" s="64">
        <f>($DW446-$DW447)*100</f>
        <v/>
      </c>
      <c r="DZ446" s="64">
        <f>($DX446-$DX447)*100</f>
        <v/>
      </c>
      <c r="EA446" s="64">
        <f>($DW446-$D446)*100</f>
        <v/>
      </c>
      <c r="EB446" s="64">
        <f>$Q446-$O446</f>
        <v/>
      </c>
      <c r="EC446" s="67">
        <f>IFERROR($Q446/$P446,"")</f>
        <v/>
      </c>
    </row>
    <row r="447">
      <c r="DG447" s="64">
        <f>($B447-$B448)*100</f>
        <v/>
      </c>
      <c r="DH447" s="64">
        <f>($D447-$D448)*100</f>
        <v/>
      </c>
      <c r="DI447" s="64">
        <f>($E447-$E448)*100</f>
        <v/>
      </c>
      <c r="DJ447" s="64">
        <f>($H447-$H448)*100</f>
        <v/>
      </c>
      <c r="DK447" s="65">
        <f>IFERROR($J447/$J448-1,"")</f>
        <v/>
      </c>
      <c r="DL447" s="64">
        <f>$L447-$L448</f>
        <v/>
      </c>
      <c r="DM447" s="64">
        <f>$K447-$K448</f>
        <v/>
      </c>
      <c r="DN447" s="65">
        <f>IFERROR($N447/$N448-1,"")</f>
        <v/>
      </c>
      <c r="DO447" s="65">
        <f>IFERROR($M447/$M448-1,"")</f>
        <v/>
      </c>
      <c r="DP447" s="65">
        <f>IFERROR($AZ447/$AZ448-1,"")</f>
        <v/>
      </c>
      <c r="DQ447" s="65">
        <f>IFERROR($BA447/$BA448-1,"")</f>
        <v/>
      </c>
      <c r="DR447" s="64">
        <f>$O447-$O448</f>
        <v/>
      </c>
      <c r="DS447" s="64">
        <f>$P447-$P448</f>
        <v/>
      </c>
      <c r="DT447" s="64">
        <f>$Q447-$Q448</f>
        <v/>
      </c>
      <c r="DU447" s="64">
        <f>$S447-$S448</f>
        <v/>
      </c>
      <c r="DV447" s="65">
        <f>IFERROR(AVERAGE($AA448/$AA447-1,$AB448/$AB447-1,$AC448/$AC447-1,$AD448/$AD447-1,$AE448/$AE447-1,$AG448/$AG447-1,$AH448/$AH447-1,$AI448/$AI447-1,$AJ448/$AJ447-1,$AL448/$AL447-1,$AM448/$AM447-1,$AR448/$AR447-1,$AS448/$AS447-1,$AT448/$AT447-1,$AU448/$AU447-1,$AV448/$AV447-1,$AW448/$AW447-1,$AX448/$AX447-1,$AY448/$AY447-1),"")</f>
        <v/>
      </c>
      <c r="DW447" s="66">
        <f>AVERAGE($CB447,$CC447,$CD447,$CE447,$CF447,$CG447,$CH447,$CI447,$CJ447,$CL447,$CM447,$CN447,$CO447,$CP447,$CQ447,$CR447,$CS447,$CT447)</f>
        <v/>
      </c>
      <c r="DX447" s="66">
        <f>AVERAGE($CB447,$CC447,$CM447,$CE447,$CP447)</f>
        <v/>
      </c>
      <c r="DY447" s="64">
        <f>($DW447-$DW448)*100</f>
        <v/>
      </c>
      <c r="DZ447" s="64">
        <f>($DX447-$DX448)*100</f>
        <v/>
      </c>
      <c r="EA447" s="64">
        <f>($DW447-$D447)*100</f>
        <v/>
      </c>
      <c r="EB447" s="64">
        <f>$Q447-$O447</f>
        <v/>
      </c>
      <c r="EC447" s="67">
        <f>IFERROR($Q447/$P447,"")</f>
        <v/>
      </c>
    </row>
    <row r="448">
      <c r="DG448" s="64">
        <f>($B448-$B449)*100</f>
        <v/>
      </c>
      <c r="DH448" s="64">
        <f>($D448-$D449)*100</f>
        <v/>
      </c>
      <c r="DI448" s="64">
        <f>($E448-$E449)*100</f>
        <v/>
      </c>
      <c r="DJ448" s="64">
        <f>($H448-$H449)*100</f>
        <v/>
      </c>
      <c r="DK448" s="65">
        <f>IFERROR($J448/$J449-1,"")</f>
        <v/>
      </c>
      <c r="DL448" s="64">
        <f>$L448-$L449</f>
        <v/>
      </c>
      <c r="DM448" s="64">
        <f>$K448-$K449</f>
        <v/>
      </c>
      <c r="DN448" s="65">
        <f>IFERROR($N448/$N449-1,"")</f>
        <v/>
      </c>
      <c r="DO448" s="65">
        <f>IFERROR($M448/$M449-1,"")</f>
        <v/>
      </c>
      <c r="DP448" s="65">
        <f>IFERROR($AZ448/$AZ449-1,"")</f>
        <v/>
      </c>
      <c r="DQ448" s="65">
        <f>IFERROR($BA448/$BA449-1,"")</f>
        <v/>
      </c>
      <c r="DR448" s="64">
        <f>$O448-$O449</f>
        <v/>
      </c>
      <c r="DS448" s="64">
        <f>$P448-$P449</f>
        <v/>
      </c>
      <c r="DT448" s="64">
        <f>$Q448-$Q449</f>
        <v/>
      </c>
      <c r="DU448" s="64">
        <f>$S448-$S449</f>
        <v/>
      </c>
      <c r="DV448" s="65">
        <f>IFERROR(AVERAGE($AA449/$AA448-1,$AB449/$AB448-1,$AC449/$AC448-1,$AD449/$AD448-1,$AE449/$AE448-1,$AG449/$AG448-1,$AH449/$AH448-1,$AI449/$AI448-1,$AJ449/$AJ448-1,$AL449/$AL448-1,$AM449/$AM448-1,$AR449/$AR448-1,$AS449/$AS448-1,$AT449/$AT448-1,$AU449/$AU448-1,$AV449/$AV448-1,$AW449/$AW448-1,$AX449/$AX448-1,$AY449/$AY448-1),"")</f>
        <v/>
      </c>
      <c r="DW448" s="66">
        <f>AVERAGE($CB448,$CC448,$CD448,$CE448,$CF448,$CG448,$CH448,$CI448,$CJ448,$CL448,$CM448,$CN448,$CO448,$CP448,$CQ448,$CR448,$CS448,$CT448)</f>
        <v/>
      </c>
      <c r="DX448" s="66">
        <f>AVERAGE($CB448,$CC448,$CM448,$CE448,$CP448)</f>
        <v/>
      </c>
      <c r="DY448" s="64">
        <f>($DW448-$DW449)*100</f>
        <v/>
      </c>
      <c r="DZ448" s="64">
        <f>($DX448-$DX449)*100</f>
        <v/>
      </c>
      <c r="EA448" s="64">
        <f>($DW448-$D448)*100</f>
        <v/>
      </c>
      <c r="EB448" s="64">
        <f>$Q448-$O448</f>
        <v/>
      </c>
      <c r="EC448" s="67">
        <f>IFERROR($Q448/$P448,"")</f>
        <v/>
      </c>
    </row>
    <row r="449">
      <c r="DG449" s="64">
        <f>($B449-$B450)*100</f>
        <v/>
      </c>
      <c r="DH449" s="64">
        <f>($D449-$D450)*100</f>
        <v/>
      </c>
      <c r="DI449" s="64">
        <f>($E449-$E450)*100</f>
        <v/>
      </c>
      <c r="DJ449" s="64">
        <f>($H449-$H450)*100</f>
        <v/>
      </c>
      <c r="DK449" s="65">
        <f>IFERROR($J449/$J450-1,"")</f>
        <v/>
      </c>
      <c r="DL449" s="64">
        <f>$L449-$L450</f>
        <v/>
      </c>
      <c r="DM449" s="64">
        <f>$K449-$K450</f>
        <v/>
      </c>
      <c r="DN449" s="65">
        <f>IFERROR($N449/$N450-1,"")</f>
        <v/>
      </c>
      <c r="DO449" s="65">
        <f>IFERROR($M449/$M450-1,"")</f>
        <v/>
      </c>
      <c r="DP449" s="65">
        <f>IFERROR($AZ449/$AZ450-1,"")</f>
        <v/>
      </c>
      <c r="DQ449" s="65">
        <f>IFERROR($BA449/$BA450-1,"")</f>
        <v/>
      </c>
      <c r="DR449" s="64">
        <f>$O449-$O450</f>
        <v/>
      </c>
      <c r="DS449" s="64">
        <f>$P449-$P450</f>
        <v/>
      </c>
      <c r="DT449" s="64">
        <f>$Q449-$Q450</f>
        <v/>
      </c>
      <c r="DU449" s="64">
        <f>$S449-$S450</f>
        <v/>
      </c>
      <c r="DV449" s="65">
        <f>IFERROR(AVERAGE($AA450/$AA449-1,$AB450/$AB449-1,$AC450/$AC449-1,$AD450/$AD449-1,$AE450/$AE449-1,$AG450/$AG449-1,$AH450/$AH449-1,$AI450/$AI449-1,$AJ450/$AJ449-1,$AL450/$AL449-1,$AM450/$AM449-1,$AR450/$AR449-1,$AS450/$AS449-1,$AT450/$AT449-1,$AU450/$AU449-1,$AV450/$AV449-1,$AW450/$AW449-1,$AX450/$AX449-1,$AY450/$AY449-1),"")</f>
        <v/>
      </c>
      <c r="DW449" s="66">
        <f>AVERAGE($CB449,$CC449,$CD449,$CE449,$CF449,$CG449,$CH449,$CI449,$CJ449,$CL449,$CM449,$CN449,$CO449,$CP449,$CQ449,$CR449,$CS449,$CT449)</f>
        <v/>
      </c>
      <c r="DX449" s="66">
        <f>AVERAGE($CB449,$CC449,$CM449,$CE449,$CP449)</f>
        <v/>
      </c>
      <c r="DY449" s="64">
        <f>($DW449-$DW450)*100</f>
        <v/>
      </c>
      <c r="DZ449" s="64">
        <f>($DX449-$DX450)*100</f>
        <v/>
      </c>
      <c r="EA449" s="64">
        <f>($DW449-$D449)*100</f>
        <v/>
      </c>
      <c r="EB449" s="64">
        <f>$Q449-$O449</f>
        <v/>
      </c>
      <c r="EC449" s="67">
        <f>IFERROR($Q449/$P449,"")</f>
        <v/>
      </c>
    </row>
    <row r="450">
      <c r="DG450" s="64">
        <f>($B450-$B451)*100</f>
        <v/>
      </c>
      <c r="DH450" s="64">
        <f>($D450-$D451)*100</f>
        <v/>
      </c>
      <c r="DI450" s="64">
        <f>($E450-$E451)*100</f>
        <v/>
      </c>
      <c r="DJ450" s="64">
        <f>($H450-$H451)*100</f>
        <v/>
      </c>
      <c r="DK450" s="65">
        <f>IFERROR($J450/$J451-1,"")</f>
        <v/>
      </c>
      <c r="DL450" s="64">
        <f>$L450-$L451</f>
        <v/>
      </c>
      <c r="DM450" s="64">
        <f>$K450-$K451</f>
        <v/>
      </c>
      <c r="DN450" s="65">
        <f>IFERROR($N450/$N451-1,"")</f>
        <v/>
      </c>
      <c r="DO450" s="65">
        <f>IFERROR($M450/$M451-1,"")</f>
        <v/>
      </c>
      <c r="DP450" s="65">
        <f>IFERROR($AZ450/$AZ451-1,"")</f>
        <v/>
      </c>
      <c r="DQ450" s="65">
        <f>IFERROR($BA450/$BA451-1,"")</f>
        <v/>
      </c>
      <c r="DR450" s="64">
        <f>$O450-$O451</f>
        <v/>
      </c>
      <c r="DS450" s="64">
        <f>$P450-$P451</f>
        <v/>
      </c>
      <c r="DT450" s="64">
        <f>$Q450-$Q451</f>
        <v/>
      </c>
      <c r="DU450" s="64">
        <f>$S450-$S451</f>
        <v/>
      </c>
      <c r="DV450" s="65">
        <f>IFERROR(AVERAGE($AA451/$AA450-1,$AB451/$AB450-1,$AC451/$AC450-1,$AD451/$AD450-1,$AE451/$AE450-1,$AG451/$AG450-1,$AH451/$AH450-1,$AI451/$AI450-1,$AJ451/$AJ450-1,$AL451/$AL450-1,$AM451/$AM450-1,$AR451/$AR450-1,$AS451/$AS450-1,$AT451/$AT450-1,$AU451/$AU450-1,$AV451/$AV450-1,$AW451/$AW450-1,$AX451/$AX450-1,$AY451/$AY450-1),"")</f>
        <v/>
      </c>
      <c r="DW450" s="66">
        <f>AVERAGE($CB450,$CC450,$CD450,$CE450,$CF450,$CG450,$CH450,$CI450,$CJ450,$CL450,$CM450,$CN450,$CO450,$CP450,$CQ450,$CR450,$CS450,$CT450)</f>
        <v/>
      </c>
      <c r="DX450" s="66">
        <f>AVERAGE($CB450,$CC450,$CM450,$CE450,$CP450)</f>
        <v/>
      </c>
      <c r="DY450" s="64">
        <f>($DW450-$DW451)*100</f>
        <v/>
      </c>
      <c r="DZ450" s="64">
        <f>($DX450-$DX451)*100</f>
        <v/>
      </c>
      <c r="EA450" s="64">
        <f>($DW450-$D450)*100</f>
        <v/>
      </c>
      <c r="EB450" s="64">
        <f>$Q450-$O450</f>
        <v/>
      </c>
      <c r="EC450" s="67">
        <f>IFERROR($Q450/$P450,"")</f>
        <v/>
      </c>
    </row>
    <row r="451">
      <c r="DG451" s="64">
        <f>($B451-$B452)*100</f>
        <v/>
      </c>
      <c r="DH451" s="64">
        <f>($D451-$D452)*100</f>
        <v/>
      </c>
      <c r="DI451" s="64">
        <f>($E451-$E452)*100</f>
        <v/>
      </c>
      <c r="DJ451" s="64">
        <f>($H451-$H452)*100</f>
        <v/>
      </c>
      <c r="DK451" s="65">
        <f>IFERROR($J451/$J452-1,"")</f>
        <v/>
      </c>
      <c r="DL451" s="64">
        <f>$L451-$L452</f>
        <v/>
      </c>
      <c r="DM451" s="64">
        <f>$K451-$K452</f>
        <v/>
      </c>
      <c r="DN451" s="65">
        <f>IFERROR($N451/$N452-1,"")</f>
        <v/>
      </c>
      <c r="DO451" s="65">
        <f>IFERROR($M451/$M452-1,"")</f>
        <v/>
      </c>
      <c r="DP451" s="65">
        <f>IFERROR($AZ451/$AZ452-1,"")</f>
        <v/>
      </c>
      <c r="DQ451" s="65">
        <f>IFERROR($BA451/$BA452-1,"")</f>
        <v/>
      </c>
      <c r="DR451" s="64">
        <f>$O451-$O452</f>
        <v/>
      </c>
      <c r="DS451" s="64">
        <f>$P451-$P452</f>
        <v/>
      </c>
      <c r="DT451" s="64">
        <f>$Q451-$Q452</f>
        <v/>
      </c>
      <c r="DU451" s="64">
        <f>$S451-$S452</f>
        <v/>
      </c>
      <c r="DV451" s="65">
        <f>IFERROR(AVERAGE($AA452/$AA451-1,$AB452/$AB451-1,$AC452/$AC451-1,$AD452/$AD451-1,$AE452/$AE451-1,$AG452/$AG451-1,$AH452/$AH451-1,$AI452/$AI451-1,$AJ452/$AJ451-1,$AL452/$AL451-1,$AM452/$AM451-1,$AR452/$AR451-1,$AS452/$AS451-1,$AT452/$AT451-1,$AU452/$AU451-1,$AV452/$AV451-1,$AW452/$AW451-1,$AX452/$AX451-1,$AY452/$AY451-1),"")</f>
        <v/>
      </c>
      <c r="DW451" s="66">
        <f>AVERAGE($CB451,$CC451,$CD451,$CE451,$CF451,$CG451,$CH451,$CI451,$CJ451,$CL451,$CM451,$CN451,$CO451,$CP451,$CQ451,$CR451,$CS451,$CT451)</f>
        <v/>
      </c>
      <c r="DX451" s="66">
        <f>AVERAGE($CB451,$CC451,$CM451,$CE451,$CP451)</f>
        <v/>
      </c>
      <c r="DY451" s="64">
        <f>($DW451-$DW452)*100</f>
        <v/>
      </c>
      <c r="DZ451" s="64">
        <f>($DX451-$DX452)*100</f>
        <v/>
      </c>
      <c r="EA451" s="64">
        <f>($DW451-$D451)*100</f>
        <v/>
      </c>
      <c r="EB451" s="64">
        <f>$Q451-$O451</f>
        <v/>
      </c>
      <c r="EC451" s="67">
        <f>IFERROR($Q451/$P451,"")</f>
        <v/>
      </c>
    </row>
    <row r="452">
      <c r="DG452" s="64">
        <f>($B452-$B453)*100</f>
        <v/>
      </c>
      <c r="DH452" s="64">
        <f>($D452-$D453)*100</f>
        <v/>
      </c>
      <c r="DI452" s="64">
        <f>($E452-$E453)*100</f>
        <v/>
      </c>
      <c r="DJ452" s="64">
        <f>($H452-$H453)*100</f>
        <v/>
      </c>
      <c r="DK452" s="65">
        <f>IFERROR($J452/$J453-1,"")</f>
        <v/>
      </c>
      <c r="DL452" s="64">
        <f>$L452-$L453</f>
        <v/>
      </c>
      <c r="DM452" s="64">
        <f>$K452-$K453</f>
        <v/>
      </c>
      <c r="DN452" s="65">
        <f>IFERROR($N452/$N453-1,"")</f>
        <v/>
      </c>
      <c r="DO452" s="65">
        <f>IFERROR($M452/$M453-1,"")</f>
        <v/>
      </c>
      <c r="DP452" s="65">
        <f>IFERROR($AZ452/$AZ453-1,"")</f>
        <v/>
      </c>
      <c r="DQ452" s="65">
        <f>IFERROR($BA452/$BA453-1,"")</f>
        <v/>
      </c>
      <c r="DR452" s="64">
        <f>$O452-$O453</f>
        <v/>
      </c>
      <c r="DS452" s="64">
        <f>$P452-$P453</f>
        <v/>
      </c>
      <c r="DT452" s="64">
        <f>$Q452-$Q453</f>
        <v/>
      </c>
      <c r="DU452" s="64">
        <f>$S452-$S453</f>
        <v/>
      </c>
      <c r="DV452" s="65">
        <f>IFERROR(AVERAGE($AA453/$AA452-1,$AB453/$AB452-1,$AC453/$AC452-1,$AD453/$AD452-1,$AE453/$AE452-1,$AG453/$AG452-1,$AH453/$AH452-1,$AI453/$AI452-1,$AJ453/$AJ452-1,$AL453/$AL452-1,$AM453/$AM452-1,$AR453/$AR452-1,$AS453/$AS452-1,$AT453/$AT452-1,$AU453/$AU452-1,$AV453/$AV452-1,$AW453/$AW452-1,$AX453/$AX452-1,$AY453/$AY452-1),"")</f>
        <v/>
      </c>
      <c r="DW452" s="66">
        <f>AVERAGE($CB452,$CC452,$CD452,$CE452,$CF452,$CG452,$CH452,$CI452,$CJ452,$CL452,$CM452,$CN452,$CO452,$CP452,$CQ452,$CR452,$CS452,$CT452)</f>
        <v/>
      </c>
      <c r="DX452" s="66">
        <f>AVERAGE($CB452,$CC452,$CM452,$CE452,$CP452)</f>
        <v/>
      </c>
      <c r="DY452" s="64">
        <f>($DW452-$DW453)*100</f>
        <v/>
      </c>
      <c r="DZ452" s="64">
        <f>($DX452-$DX453)*100</f>
        <v/>
      </c>
      <c r="EA452" s="64">
        <f>($DW452-$D452)*100</f>
        <v/>
      </c>
      <c r="EB452" s="64">
        <f>$Q452-$O452</f>
        <v/>
      </c>
      <c r="EC452" s="67">
        <f>IFERROR($Q452/$P452,"")</f>
        <v/>
      </c>
    </row>
    <row r="453">
      <c r="DG453" s="64">
        <f>($B453-$B454)*100</f>
        <v/>
      </c>
      <c r="DH453" s="64">
        <f>($D453-$D454)*100</f>
        <v/>
      </c>
      <c r="DI453" s="64">
        <f>($E453-$E454)*100</f>
        <v/>
      </c>
      <c r="DJ453" s="64">
        <f>($H453-$H454)*100</f>
        <v/>
      </c>
      <c r="DK453" s="65">
        <f>IFERROR($J453/$J454-1,"")</f>
        <v/>
      </c>
      <c r="DL453" s="64">
        <f>$L453-$L454</f>
        <v/>
      </c>
      <c r="DM453" s="64">
        <f>$K453-$K454</f>
        <v/>
      </c>
      <c r="DN453" s="65">
        <f>IFERROR($N453/$N454-1,"")</f>
        <v/>
      </c>
      <c r="DO453" s="65">
        <f>IFERROR($M453/$M454-1,"")</f>
        <v/>
      </c>
      <c r="DP453" s="65">
        <f>IFERROR($AZ453/$AZ454-1,"")</f>
        <v/>
      </c>
      <c r="DQ453" s="65">
        <f>IFERROR($BA453/$BA454-1,"")</f>
        <v/>
      </c>
      <c r="DR453" s="64">
        <f>$O453-$O454</f>
        <v/>
      </c>
      <c r="DS453" s="64">
        <f>$P453-$P454</f>
        <v/>
      </c>
      <c r="DT453" s="64">
        <f>$Q453-$Q454</f>
        <v/>
      </c>
      <c r="DU453" s="64">
        <f>$S453-$S454</f>
        <v/>
      </c>
      <c r="DV453" s="65">
        <f>IFERROR(AVERAGE($AA454/$AA453-1,$AB454/$AB453-1,$AC454/$AC453-1,$AD454/$AD453-1,$AE454/$AE453-1,$AG454/$AG453-1,$AH454/$AH453-1,$AI454/$AI453-1,$AJ454/$AJ453-1,$AL454/$AL453-1,$AM454/$AM453-1,$AR454/$AR453-1,$AS454/$AS453-1,$AT454/$AT453-1,$AU454/$AU453-1,$AV454/$AV453-1,$AW454/$AW453-1,$AX454/$AX453-1,$AY454/$AY453-1),"")</f>
        <v/>
      </c>
      <c r="DW453" s="66">
        <f>AVERAGE($CB453,$CC453,$CD453,$CE453,$CF453,$CG453,$CH453,$CI453,$CJ453,$CL453,$CM453,$CN453,$CO453,$CP453,$CQ453,$CR453,$CS453,$CT453)</f>
        <v/>
      </c>
      <c r="DX453" s="66">
        <f>AVERAGE($CB453,$CC453,$CM453,$CE453,$CP453)</f>
        <v/>
      </c>
      <c r="DY453" s="64">
        <f>($DW453-$DW454)*100</f>
        <v/>
      </c>
      <c r="DZ453" s="64">
        <f>($DX453-$DX454)*100</f>
        <v/>
      </c>
      <c r="EA453" s="64">
        <f>($DW453-$D453)*100</f>
        <v/>
      </c>
      <c r="EB453" s="64">
        <f>$Q453-$O453</f>
        <v/>
      </c>
      <c r="EC453" s="67">
        <f>IFERROR($Q453/$P453,"")</f>
        <v/>
      </c>
    </row>
    <row r="454">
      <c r="DG454" s="64">
        <f>($B454-$B455)*100</f>
        <v/>
      </c>
      <c r="DH454" s="64">
        <f>($D454-$D455)*100</f>
        <v/>
      </c>
      <c r="DI454" s="64">
        <f>($E454-$E455)*100</f>
        <v/>
      </c>
      <c r="DJ454" s="64">
        <f>($H454-$H455)*100</f>
        <v/>
      </c>
      <c r="DK454" s="65">
        <f>IFERROR($J454/$J455-1,"")</f>
        <v/>
      </c>
      <c r="DL454" s="64">
        <f>$L454-$L455</f>
        <v/>
      </c>
      <c r="DM454" s="64">
        <f>$K454-$K455</f>
        <v/>
      </c>
      <c r="DN454" s="65">
        <f>IFERROR($N454/$N455-1,"")</f>
        <v/>
      </c>
      <c r="DO454" s="65">
        <f>IFERROR($M454/$M455-1,"")</f>
        <v/>
      </c>
      <c r="DP454" s="65">
        <f>IFERROR($AZ454/$AZ455-1,"")</f>
        <v/>
      </c>
      <c r="DQ454" s="65">
        <f>IFERROR($BA454/$BA455-1,"")</f>
        <v/>
      </c>
      <c r="DR454" s="64">
        <f>$O454-$O455</f>
        <v/>
      </c>
      <c r="DS454" s="64">
        <f>$P454-$P455</f>
        <v/>
      </c>
      <c r="DT454" s="64">
        <f>$Q454-$Q455</f>
        <v/>
      </c>
      <c r="DU454" s="64">
        <f>$S454-$S455</f>
        <v/>
      </c>
      <c r="DV454" s="65">
        <f>IFERROR(AVERAGE($AA455/$AA454-1,$AB455/$AB454-1,$AC455/$AC454-1,$AD455/$AD454-1,$AE455/$AE454-1,$AG455/$AG454-1,$AH455/$AH454-1,$AI455/$AI454-1,$AJ455/$AJ454-1,$AL455/$AL454-1,$AM455/$AM454-1,$AR455/$AR454-1,$AS455/$AS454-1,$AT455/$AT454-1,$AU455/$AU454-1,$AV455/$AV454-1,$AW455/$AW454-1,$AX455/$AX454-1,$AY455/$AY454-1),"")</f>
        <v/>
      </c>
      <c r="DW454" s="66">
        <f>AVERAGE($CB454,$CC454,$CD454,$CE454,$CF454,$CG454,$CH454,$CI454,$CJ454,$CL454,$CM454,$CN454,$CO454,$CP454,$CQ454,$CR454,$CS454,$CT454)</f>
        <v/>
      </c>
      <c r="DX454" s="66">
        <f>AVERAGE($CB454,$CC454,$CM454,$CE454,$CP454)</f>
        <v/>
      </c>
      <c r="DY454" s="64">
        <f>($DW454-$DW455)*100</f>
        <v/>
      </c>
      <c r="DZ454" s="64">
        <f>($DX454-$DX455)*100</f>
        <v/>
      </c>
      <c r="EA454" s="64">
        <f>($DW454-$D454)*100</f>
        <v/>
      </c>
      <c r="EB454" s="64">
        <f>$Q454-$O454</f>
        <v/>
      </c>
      <c r="EC454" s="67">
        <f>IFERROR($Q454/$P454,"")</f>
        <v/>
      </c>
    </row>
    <row r="455">
      <c r="DG455" s="64">
        <f>($B455-$B456)*100</f>
        <v/>
      </c>
      <c r="DH455" s="64">
        <f>($D455-$D456)*100</f>
        <v/>
      </c>
      <c r="DI455" s="64">
        <f>($E455-$E456)*100</f>
        <v/>
      </c>
      <c r="DJ455" s="64">
        <f>($H455-$H456)*100</f>
        <v/>
      </c>
      <c r="DK455" s="65">
        <f>IFERROR($J455/$J456-1,"")</f>
        <v/>
      </c>
      <c r="DL455" s="64">
        <f>$L455-$L456</f>
        <v/>
      </c>
      <c r="DM455" s="64">
        <f>$K455-$K456</f>
        <v/>
      </c>
      <c r="DN455" s="65">
        <f>IFERROR($N455/$N456-1,"")</f>
        <v/>
      </c>
      <c r="DO455" s="65">
        <f>IFERROR($M455/$M456-1,"")</f>
        <v/>
      </c>
      <c r="DP455" s="65">
        <f>IFERROR($AZ455/$AZ456-1,"")</f>
        <v/>
      </c>
      <c r="DQ455" s="65">
        <f>IFERROR($BA455/$BA456-1,"")</f>
        <v/>
      </c>
      <c r="DR455" s="64">
        <f>$O455-$O456</f>
        <v/>
      </c>
      <c r="DS455" s="64">
        <f>$P455-$P456</f>
        <v/>
      </c>
      <c r="DT455" s="64">
        <f>$Q455-$Q456</f>
        <v/>
      </c>
      <c r="DU455" s="64">
        <f>$S455-$S456</f>
        <v/>
      </c>
      <c r="DV455" s="65">
        <f>IFERROR(AVERAGE($AA456/$AA455-1,$AB456/$AB455-1,$AC456/$AC455-1,$AD456/$AD455-1,$AE456/$AE455-1,$AG456/$AG455-1,$AH456/$AH455-1,$AI456/$AI455-1,$AJ456/$AJ455-1,$AL456/$AL455-1,$AM456/$AM455-1,$AR456/$AR455-1,$AS456/$AS455-1,$AT456/$AT455-1,$AU456/$AU455-1,$AV456/$AV455-1,$AW456/$AW455-1,$AX456/$AX455-1,$AY456/$AY455-1),"")</f>
        <v/>
      </c>
      <c r="DW455" s="66">
        <f>AVERAGE($CB455,$CC455,$CD455,$CE455,$CF455,$CG455,$CH455,$CI455,$CJ455,$CL455,$CM455,$CN455,$CO455,$CP455,$CQ455,$CR455,$CS455,$CT455)</f>
        <v/>
      </c>
      <c r="DX455" s="66">
        <f>AVERAGE($CB455,$CC455,$CM455,$CE455,$CP455)</f>
        <v/>
      </c>
      <c r="DY455" s="64">
        <f>($DW455-$DW456)*100</f>
        <v/>
      </c>
      <c r="DZ455" s="64">
        <f>($DX455-$DX456)*100</f>
        <v/>
      </c>
      <c r="EA455" s="64">
        <f>($DW455-$D455)*100</f>
        <v/>
      </c>
      <c r="EB455" s="64">
        <f>$Q455-$O455</f>
        <v/>
      </c>
      <c r="EC455" s="67">
        <f>IFERROR($Q455/$P455,"")</f>
        <v/>
      </c>
    </row>
    <row r="456">
      <c r="DG456" s="64">
        <f>($B456-$B457)*100</f>
        <v/>
      </c>
      <c r="DH456" s="64">
        <f>($D456-$D457)*100</f>
        <v/>
      </c>
      <c r="DI456" s="64">
        <f>($E456-$E457)*100</f>
        <v/>
      </c>
      <c r="DJ456" s="64">
        <f>($H456-$H457)*100</f>
        <v/>
      </c>
      <c r="DK456" s="65">
        <f>IFERROR($J456/$J457-1,"")</f>
        <v/>
      </c>
      <c r="DL456" s="64">
        <f>$L456-$L457</f>
        <v/>
      </c>
      <c r="DM456" s="64">
        <f>$K456-$K457</f>
        <v/>
      </c>
      <c r="DN456" s="65">
        <f>IFERROR($N456/$N457-1,"")</f>
        <v/>
      </c>
      <c r="DO456" s="65">
        <f>IFERROR($M456/$M457-1,"")</f>
        <v/>
      </c>
      <c r="DP456" s="65">
        <f>IFERROR($AZ456/$AZ457-1,"")</f>
        <v/>
      </c>
      <c r="DQ456" s="65">
        <f>IFERROR($BA456/$BA457-1,"")</f>
        <v/>
      </c>
      <c r="DR456" s="64">
        <f>$O456-$O457</f>
        <v/>
      </c>
      <c r="DS456" s="64">
        <f>$P456-$P457</f>
        <v/>
      </c>
      <c r="DT456" s="64">
        <f>$Q456-$Q457</f>
        <v/>
      </c>
      <c r="DU456" s="64">
        <f>$S456-$S457</f>
        <v/>
      </c>
      <c r="DV456" s="65">
        <f>IFERROR(AVERAGE($AA457/$AA456-1,$AB457/$AB456-1,$AC457/$AC456-1,$AD457/$AD456-1,$AE457/$AE456-1,$AG457/$AG456-1,$AH457/$AH456-1,$AI457/$AI456-1,$AJ457/$AJ456-1,$AL457/$AL456-1,$AM457/$AM456-1,$AR457/$AR456-1,$AS457/$AS456-1,$AT457/$AT456-1,$AU457/$AU456-1,$AV457/$AV456-1,$AW457/$AW456-1,$AX457/$AX456-1,$AY457/$AY456-1),"")</f>
        <v/>
      </c>
      <c r="DW456" s="66">
        <f>AVERAGE($CB456,$CC456,$CD456,$CE456,$CF456,$CG456,$CH456,$CI456,$CJ456,$CL456,$CM456,$CN456,$CO456,$CP456,$CQ456,$CR456,$CS456,$CT456)</f>
        <v/>
      </c>
      <c r="DX456" s="66">
        <f>AVERAGE($CB456,$CC456,$CM456,$CE456,$CP456)</f>
        <v/>
      </c>
      <c r="DY456" s="64">
        <f>($DW456-$DW457)*100</f>
        <v/>
      </c>
      <c r="DZ456" s="64">
        <f>($DX456-$DX457)*100</f>
        <v/>
      </c>
      <c r="EA456" s="64">
        <f>($DW456-$D456)*100</f>
        <v/>
      </c>
      <c r="EB456" s="64">
        <f>$Q456-$O456</f>
        <v/>
      </c>
      <c r="EC456" s="67">
        <f>IFERROR($Q456/$P456,"")</f>
        <v/>
      </c>
    </row>
    <row r="457">
      <c r="DG457" s="64">
        <f>($B457-$B458)*100</f>
        <v/>
      </c>
      <c r="DH457" s="64">
        <f>($D457-$D458)*100</f>
        <v/>
      </c>
      <c r="DI457" s="64">
        <f>($E457-$E458)*100</f>
        <v/>
      </c>
      <c r="DJ457" s="64">
        <f>($H457-$H458)*100</f>
        <v/>
      </c>
      <c r="DK457" s="65">
        <f>IFERROR($J457/$J458-1,"")</f>
        <v/>
      </c>
      <c r="DL457" s="64">
        <f>$L457-$L458</f>
        <v/>
      </c>
      <c r="DM457" s="64">
        <f>$K457-$K458</f>
        <v/>
      </c>
      <c r="DN457" s="65">
        <f>IFERROR($N457/$N458-1,"")</f>
        <v/>
      </c>
      <c r="DO457" s="65">
        <f>IFERROR($M457/$M458-1,"")</f>
        <v/>
      </c>
      <c r="DP457" s="65">
        <f>IFERROR($AZ457/$AZ458-1,"")</f>
        <v/>
      </c>
      <c r="DQ457" s="65">
        <f>IFERROR($BA457/$BA458-1,"")</f>
        <v/>
      </c>
      <c r="DR457" s="64">
        <f>$O457-$O458</f>
        <v/>
      </c>
      <c r="DS457" s="64">
        <f>$P457-$P458</f>
        <v/>
      </c>
      <c r="DT457" s="64">
        <f>$Q457-$Q458</f>
        <v/>
      </c>
      <c r="DU457" s="64">
        <f>$S457-$S458</f>
        <v/>
      </c>
      <c r="DV457" s="65">
        <f>IFERROR(AVERAGE($AA458/$AA457-1,$AB458/$AB457-1,$AC458/$AC457-1,$AD458/$AD457-1,$AE458/$AE457-1,$AG458/$AG457-1,$AH458/$AH457-1,$AI458/$AI457-1,$AJ458/$AJ457-1,$AL458/$AL457-1,$AM458/$AM457-1,$AR458/$AR457-1,$AS458/$AS457-1,$AT458/$AT457-1,$AU458/$AU457-1,$AV458/$AV457-1,$AW458/$AW457-1,$AX458/$AX457-1,$AY458/$AY457-1),"")</f>
        <v/>
      </c>
      <c r="DW457" s="66">
        <f>AVERAGE($CB457,$CC457,$CD457,$CE457,$CF457,$CG457,$CH457,$CI457,$CJ457,$CL457,$CM457,$CN457,$CO457,$CP457,$CQ457,$CR457,$CS457,$CT457)</f>
        <v/>
      </c>
      <c r="DX457" s="66">
        <f>AVERAGE($CB457,$CC457,$CM457,$CE457,$CP457)</f>
        <v/>
      </c>
      <c r="DY457" s="64">
        <f>($DW457-$DW458)*100</f>
        <v/>
      </c>
      <c r="DZ457" s="64">
        <f>($DX457-$DX458)*100</f>
        <v/>
      </c>
      <c r="EA457" s="64">
        <f>($DW457-$D457)*100</f>
        <v/>
      </c>
      <c r="EB457" s="64">
        <f>$Q457-$O457</f>
        <v/>
      </c>
      <c r="EC457" s="67">
        <f>IFERROR($Q457/$P457,"")</f>
        <v/>
      </c>
    </row>
    <row r="458">
      <c r="DG458" s="64">
        <f>($B458-$B459)*100</f>
        <v/>
      </c>
      <c r="DH458" s="64">
        <f>($D458-$D459)*100</f>
        <v/>
      </c>
      <c r="DI458" s="64">
        <f>($E458-$E459)*100</f>
        <v/>
      </c>
      <c r="DJ458" s="64">
        <f>($H458-$H459)*100</f>
        <v/>
      </c>
      <c r="DK458" s="65">
        <f>IFERROR($J458/$J459-1,"")</f>
        <v/>
      </c>
      <c r="DL458" s="64">
        <f>$L458-$L459</f>
        <v/>
      </c>
      <c r="DM458" s="64">
        <f>$K458-$K459</f>
        <v/>
      </c>
      <c r="DN458" s="65">
        <f>IFERROR($N458/$N459-1,"")</f>
        <v/>
      </c>
      <c r="DO458" s="65">
        <f>IFERROR($M458/$M459-1,"")</f>
        <v/>
      </c>
      <c r="DP458" s="65">
        <f>IFERROR($AZ458/$AZ459-1,"")</f>
        <v/>
      </c>
      <c r="DQ458" s="65">
        <f>IFERROR($BA458/$BA459-1,"")</f>
        <v/>
      </c>
      <c r="DR458" s="64">
        <f>$O458-$O459</f>
        <v/>
      </c>
      <c r="DS458" s="64">
        <f>$P458-$P459</f>
        <v/>
      </c>
      <c r="DT458" s="64">
        <f>$Q458-$Q459</f>
        <v/>
      </c>
      <c r="DU458" s="64">
        <f>$S458-$S459</f>
        <v/>
      </c>
      <c r="DV458" s="65">
        <f>IFERROR(AVERAGE($AA459/$AA458-1,$AB459/$AB458-1,$AC459/$AC458-1,$AD459/$AD458-1,$AE459/$AE458-1,$AG459/$AG458-1,$AH459/$AH458-1,$AI459/$AI458-1,$AJ459/$AJ458-1,$AL459/$AL458-1,$AM459/$AM458-1,$AR459/$AR458-1,$AS459/$AS458-1,$AT459/$AT458-1,$AU459/$AU458-1,$AV459/$AV458-1,$AW459/$AW458-1,$AX459/$AX458-1,$AY459/$AY458-1),"")</f>
        <v/>
      </c>
      <c r="DW458" s="66">
        <f>AVERAGE($CB458,$CC458,$CD458,$CE458,$CF458,$CG458,$CH458,$CI458,$CJ458,$CL458,$CM458,$CN458,$CO458,$CP458,$CQ458,$CR458,$CS458,$CT458)</f>
        <v/>
      </c>
      <c r="DX458" s="66">
        <f>AVERAGE($CB458,$CC458,$CM458,$CE458,$CP458)</f>
        <v/>
      </c>
      <c r="DY458" s="64">
        <f>($DW458-$DW459)*100</f>
        <v/>
      </c>
      <c r="DZ458" s="64">
        <f>($DX458-$DX459)*100</f>
        <v/>
      </c>
      <c r="EA458" s="64">
        <f>($DW458-$D458)*100</f>
        <v/>
      </c>
      <c r="EB458" s="64">
        <f>$Q458-$O458</f>
        <v/>
      </c>
      <c r="EC458" s="67">
        <f>IFERROR($Q458/$P458,"")</f>
        <v/>
      </c>
    </row>
    <row r="459">
      <c r="DG459" s="64">
        <f>($B459-$B460)*100</f>
        <v/>
      </c>
      <c r="DH459" s="64">
        <f>($D459-$D460)*100</f>
        <v/>
      </c>
      <c r="DI459" s="64">
        <f>($E459-$E460)*100</f>
        <v/>
      </c>
      <c r="DJ459" s="64">
        <f>($H459-$H460)*100</f>
        <v/>
      </c>
      <c r="DK459" s="65">
        <f>IFERROR($J459/$J460-1,"")</f>
        <v/>
      </c>
      <c r="DL459" s="64">
        <f>$L459-$L460</f>
        <v/>
      </c>
      <c r="DM459" s="64">
        <f>$K459-$K460</f>
        <v/>
      </c>
      <c r="DN459" s="65">
        <f>IFERROR($N459/$N460-1,"")</f>
        <v/>
      </c>
      <c r="DO459" s="65">
        <f>IFERROR($M459/$M460-1,"")</f>
        <v/>
      </c>
      <c r="DP459" s="65">
        <f>IFERROR($AZ459/$AZ460-1,"")</f>
        <v/>
      </c>
      <c r="DQ459" s="65">
        <f>IFERROR($BA459/$BA460-1,"")</f>
        <v/>
      </c>
      <c r="DR459" s="64">
        <f>$O459-$O460</f>
        <v/>
      </c>
      <c r="DS459" s="64">
        <f>$P459-$P460</f>
        <v/>
      </c>
      <c r="DT459" s="64">
        <f>$Q459-$Q460</f>
        <v/>
      </c>
      <c r="DU459" s="64">
        <f>$S459-$S460</f>
        <v/>
      </c>
      <c r="DV459" s="65">
        <f>IFERROR(AVERAGE($AA460/$AA459-1,$AB460/$AB459-1,$AC460/$AC459-1,$AD460/$AD459-1,$AE460/$AE459-1,$AG460/$AG459-1,$AH460/$AH459-1,$AI460/$AI459-1,$AJ460/$AJ459-1,$AL460/$AL459-1,$AM460/$AM459-1,$AR460/$AR459-1,$AS460/$AS459-1,$AT460/$AT459-1,$AU460/$AU459-1,$AV460/$AV459-1,$AW460/$AW459-1,$AX460/$AX459-1,$AY460/$AY459-1),"")</f>
        <v/>
      </c>
      <c r="DW459" s="66">
        <f>AVERAGE($CB459,$CC459,$CD459,$CE459,$CF459,$CG459,$CH459,$CI459,$CJ459,$CL459,$CM459,$CN459,$CO459,$CP459,$CQ459,$CR459,$CS459,$CT459)</f>
        <v/>
      </c>
      <c r="DX459" s="66">
        <f>AVERAGE($CB459,$CC459,$CM459,$CE459,$CP459)</f>
        <v/>
      </c>
      <c r="DY459" s="64">
        <f>($DW459-$DW460)*100</f>
        <v/>
      </c>
      <c r="DZ459" s="64">
        <f>($DX459-$DX460)*100</f>
        <v/>
      </c>
      <c r="EA459" s="64">
        <f>($DW459-$D459)*100</f>
        <v/>
      </c>
      <c r="EB459" s="64">
        <f>$Q459-$O459</f>
        <v/>
      </c>
      <c r="EC459" s="67">
        <f>IFERROR($Q459/$P459,"")</f>
        <v/>
      </c>
    </row>
    <row r="460">
      <c r="DG460" s="64">
        <f>($B460-$B461)*100</f>
        <v/>
      </c>
      <c r="DH460" s="64">
        <f>($D460-$D461)*100</f>
        <v/>
      </c>
      <c r="DI460" s="64">
        <f>($E460-$E461)*100</f>
        <v/>
      </c>
      <c r="DJ460" s="64">
        <f>($H460-$H461)*100</f>
        <v/>
      </c>
      <c r="DK460" s="65">
        <f>IFERROR($J460/$J461-1,"")</f>
        <v/>
      </c>
      <c r="DL460" s="64">
        <f>$L460-$L461</f>
        <v/>
      </c>
      <c r="DM460" s="64">
        <f>$K460-$K461</f>
        <v/>
      </c>
      <c r="DN460" s="65">
        <f>IFERROR($N460/$N461-1,"")</f>
        <v/>
      </c>
      <c r="DO460" s="65">
        <f>IFERROR($M460/$M461-1,"")</f>
        <v/>
      </c>
      <c r="DP460" s="65">
        <f>IFERROR($AZ460/$AZ461-1,"")</f>
        <v/>
      </c>
      <c r="DQ460" s="65">
        <f>IFERROR($BA460/$BA461-1,"")</f>
        <v/>
      </c>
      <c r="DR460" s="64">
        <f>$O460-$O461</f>
        <v/>
      </c>
      <c r="DS460" s="64">
        <f>$P460-$P461</f>
        <v/>
      </c>
      <c r="DT460" s="64">
        <f>$Q460-$Q461</f>
        <v/>
      </c>
      <c r="DU460" s="64">
        <f>$S460-$S461</f>
        <v/>
      </c>
      <c r="DV460" s="65">
        <f>IFERROR(AVERAGE($AA461/$AA460-1,$AB461/$AB460-1,$AC461/$AC460-1,$AD461/$AD460-1,$AE461/$AE460-1,$AG461/$AG460-1,$AH461/$AH460-1,$AI461/$AI460-1,$AJ461/$AJ460-1,$AL461/$AL460-1,$AM461/$AM460-1,$AR461/$AR460-1,$AS461/$AS460-1,$AT461/$AT460-1,$AU461/$AU460-1,$AV461/$AV460-1,$AW461/$AW460-1,$AX461/$AX460-1,$AY461/$AY460-1),"")</f>
        <v/>
      </c>
      <c r="DW460" s="66">
        <f>AVERAGE($CB460,$CC460,$CD460,$CE460,$CF460,$CG460,$CH460,$CI460,$CJ460,$CL460,$CM460,$CN460,$CO460,$CP460,$CQ460,$CR460,$CS460,$CT460)</f>
        <v/>
      </c>
      <c r="DX460" s="66">
        <f>AVERAGE($CB460,$CC460,$CM460,$CE460,$CP460)</f>
        <v/>
      </c>
      <c r="DY460" s="64">
        <f>($DW460-$DW461)*100</f>
        <v/>
      </c>
      <c r="DZ460" s="64">
        <f>($DX460-$DX461)*100</f>
        <v/>
      </c>
      <c r="EA460" s="64">
        <f>($DW460-$D460)*100</f>
        <v/>
      </c>
      <c r="EB460" s="64">
        <f>$Q460-$O460</f>
        <v/>
      </c>
      <c r="EC460" s="67">
        <f>IFERROR($Q460/$P460,"")</f>
        <v/>
      </c>
    </row>
    <row r="461">
      <c r="DG461" s="64">
        <f>($B461-$B462)*100</f>
        <v/>
      </c>
      <c r="DH461" s="64">
        <f>($D461-$D462)*100</f>
        <v/>
      </c>
      <c r="DI461" s="64">
        <f>($E461-$E462)*100</f>
        <v/>
      </c>
      <c r="DJ461" s="64">
        <f>($H461-$H462)*100</f>
        <v/>
      </c>
      <c r="DK461" s="65">
        <f>IFERROR($J461/$J462-1,"")</f>
        <v/>
      </c>
      <c r="DL461" s="64">
        <f>$L461-$L462</f>
        <v/>
      </c>
      <c r="DM461" s="64">
        <f>$K461-$K462</f>
        <v/>
      </c>
      <c r="DN461" s="65">
        <f>IFERROR($N461/$N462-1,"")</f>
        <v/>
      </c>
      <c r="DO461" s="65">
        <f>IFERROR($M461/$M462-1,"")</f>
        <v/>
      </c>
      <c r="DP461" s="65">
        <f>IFERROR($AZ461/$AZ462-1,"")</f>
        <v/>
      </c>
      <c r="DQ461" s="65">
        <f>IFERROR($BA461/$BA462-1,"")</f>
        <v/>
      </c>
      <c r="DR461" s="64">
        <f>$O461-$O462</f>
        <v/>
      </c>
      <c r="DS461" s="64">
        <f>$P461-$P462</f>
        <v/>
      </c>
      <c r="DT461" s="64">
        <f>$Q461-$Q462</f>
        <v/>
      </c>
      <c r="DU461" s="64">
        <f>$S461-$S462</f>
        <v/>
      </c>
      <c r="DV461" s="65">
        <f>IFERROR(AVERAGE($AA462/$AA461-1,$AB462/$AB461-1,$AC462/$AC461-1,$AD462/$AD461-1,$AE462/$AE461-1,$AG462/$AG461-1,$AH462/$AH461-1,$AI462/$AI461-1,$AJ462/$AJ461-1,$AL462/$AL461-1,$AM462/$AM461-1,$AR462/$AR461-1,$AS462/$AS461-1,$AT462/$AT461-1,$AU462/$AU461-1,$AV462/$AV461-1,$AW462/$AW461-1,$AX462/$AX461-1,$AY462/$AY461-1),"")</f>
        <v/>
      </c>
      <c r="DW461" s="66">
        <f>AVERAGE($CB461,$CC461,$CD461,$CE461,$CF461,$CG461,$CH461,$CI461,$CJ461,$CL461,$CM461,$CN461,$CO461,$CP461,$CQ461,$CR461,$CS461,$CT461)</f>
        <v/>
      </c>
      <c r="DX461" s="66">
        <f>AVERAGE($CB461,$CC461,$CM461,$CE461,$CP461)</f>
        <v/>
      </c>
      <c r="DY461" s="64">
        <f>($DW461-$DW462)*100</f>
        <v/>
      </c>
      <c r="DZ461" s="64">
        <f>($DX461-$DX462)*100</f>
        <v/>
      </c>
      <c r="EA461" s="64">
        <f>($DW461-$D461)*100</f>
        <v/>
      </c>
      <c r="EB461" s="64">
        <f>$Q461-$O461</f>
        <v/>
      </c>
      <c r="EC461" s="67">
        <f>IFERROR($Q461/$P461,"")</f>
        <v/>
      </c>
    </row>
    <row r="462">
      <c r="DG462" s="64">
        <f>($B462-$B463)*100</f>
        <v/>
      </c>
      <c r="DH462" s="64">
        <f>($D462-$D463)*100</f>
        <v/>
      </c>
      <c r="DI462" s="64">
        <f>($E462-$E463)*100</f>
        <v/>
      </c>
      <c r="DJ462" s="64">
        <f>($H462-$H463)*100</f>
        <v/>
      </c>
      <c r="DK462" s="65">
        <f>IFERROR($J462/$J463-1,"")</f>
        <v/>
      </c>
      <c r="DL462" s="64">
        <f>$L462-$L463</f>
        <v/>
      </c>
      <c r="DM462" s="64">
        <f>$K462-$K463</f>
        <v/>
      </c>
      <c r="DN462" s="65">
        <f>IFERROR($N462/$N463-1,"")</f>
        <v/>
      </c>
      <c r="DO462" s="65">
        <f>IFERROR($M462/$M463-1,"")</f>
        <v/>
      </c>
      <c r="DP462" s="65">
        <f>IFERROR($AZ462/$AZ463-1,"")</f>
        <v/>
      </c>
      <c r="DQ462" s="65">
        <f>IFERROR($BA462/$BA463-1,"")</f>
        <v/>
      </c>
      <c r="DR462" s="64">
        <f>$O462-$O463</f>
        <v/>
      </c>
      <c r="DS462" s="64">
        <f>$P462-$P463</f>
        <v/>
      </c>
      <c r="DT462" s="64">
        <f>$Q462-$Q463</f>
        <v/>
      </c>
      <c r="DU462" s="64">
        <f>$S462-$S463</f>
        <v/>
      </c>
      <c r="DV462" s="65">
        <f>IFERROR(AVERAGE($AA463/$AA462-1,$AB463/$AB462-1,$AC463/$AC462-1,$AD463/$AD462-1,$AE463/$AE462-1,$AG463/$AG462-1,$AH463/$AH462-1,$AI463/$AI462-1,$AJ463/$AJ462-1,$AL463/$AL462-1,$AM463/$AM462-1,$AR463/$AR462-1,$AS463/$AS462-1,$AT463/$AT462-1,$AU463/$AU462-1,$AV463/$AV462-1,$AW463/$AW462-1,$AX463/$AX462-1,$AY463/$AY462-1),"")</f>
        <v/>
      </c>
      <c r="DW462" s="66">
        <f>AVERAGE($CB462,$CC462,$CD462,$CE462,$CF462,$CG462,$CH462,$CI462,$CJ462,$CL462,$CM462,$CN462,$CO462,$CP462,$CQ462,$CR462,$CS462,$CT462)</f>
        <v/>
      </c>
      <c r="DX462" s="66">
        <f>AVERAGE($CB462,$CC462,$CM462,$CE462,$CP462)</f>
        <v/>
      </c>
      <c r="DY462" s="64">
        <f>($DW462-$DW463)*100</f>
        <v/>
      </c>
      <c r="DZ462" s="64">
        <f>($DX462-$DX463)*100</f>
        <v/>
      </c>
      <c r="EA462" s="64">
        <f>($DW462-$D462)*100</f>
        <v/>
      </c>
      <c r="EB462" s="64">
        <f>$Q462-$O462</f>
        <v/>
      </c>
      <c r="EC462" s="67">
        <f>IFERROR($Q462/$P462,"")</f>
        <v/>
      </c>
    </row>
    <row r="463">
      <c r="DG463" s="64">
        <f>($B463-$B464)*100</f>
        <v/>
      </c>
      <c r="DH463" s="64">
        <f>($D463-$D464)*100</f>
        <v/>
      </c>
      <c r="DI463" s="64">
        <f>($E463-$E464)*100</f>
        <v/>
      </c>
      <c r="DJ463" s="64">
        <f>($H463-$H464)*100</f>
        <v/>
      </c>
      <c r="DK463" s="65">
        <f>IFERROR($J463/$J464-1,"")</f>
        <v/>
      </c>
      <c r="DL463" s="64">
        <f>$L463-$L464</f>
        <v/>
      </c>
      <c r="DM463" s="64">
        <f>$K463-$K464</f>
        <v/>
      </c>
      <c r="DN463" s="65">
        <f>IFERROR($N463/$N464-1,"")</f>
        <v/>
      </c>
      <c r="DO463" s="65">
        <f>IFERROR($M463/$M464-1,"")</f>
        <v/>
      </c>
      <c r="DP463" s="65">
        <f>IFERROR($AZ463/$AZ464-1,"")</f>
        <v/>
      </c>
      <c r="DQ463" s="65">
        <f>IFERROR($BA463/$BA464-1,"")</f>
        <v/>
      </c>
      <c r="DR463" s="64">
        <f>$O463-$O464</f>
        <v/>
      </c>
      <c r="DS463" s="64">
        <f>$P463-$P464</f>
        <v/>
      </c>
      <c r="DT463" s="64">
        <f>$Q463-$Q464</f>
        <v/>
      </c>
      <c r="DU463" s="64">
        <f>$S463-$S464</f>
        <v/>
      </c>
      <c r="DV463" s="65">
        <f>IFERROR(AVERAGE($AA464/$AA463-1,$AB464/$AB463-1,$AC464/$AC463-1,$AD464/$AD463-1,$AE464/$AE463-1,$AG464/$AG463-1,$AH464/$AH463-1,$AI464/$AI463-1,$AJ464/$AJ463-1,$AL464/$AL463-1,$AM464/$AM463-1,$AR464/$AR463-1,$AS464/$AS463-1,$AT464/$AT463-1,$AU464/$AU463-1,$AV464/$AV463-1,$AW464/$AW463-1,$AX464/$AX463-1,$AY464/$AY463-1),"")</f>
        <v/>
      </c>
      <c r="DW463" s="66">
        <f>AVERAGE($CB463,$CC463,$CD463,$CE463,$CF463,$CG463,$CH463,$CI463,$CJ463,$CL463,$CM463,$CN463,$CO463,$CP463,$CQ463,$CR463,$CS463,$CT463)</f>
        <v/>
      </c>
      <c r="DX463" s="66">
        <f>AVERAGE($CB463,$CC463,$CM463,$CE463,$CP463)</f>
        <v/>
      </c>
      <c r="DY463" s="64">
        <f>($DW463-$DW464)*100</f>
        <v/>
      </c>
      <c r="DZ463" s="64">
        <f>($DX463-$DX464)*100</f>
        <v/>
      </c>
      <c r="EA463" s="64">
        <f>($DW463-$D463)*100</f>
        <v/>
      </c>
      <c r="EB463" s="64">
        <f>$Q463-$O463</f>
        <v/>
      </c>
      <c r="EC463" s="67">
        <f>IFERROR($Q463/$P463,"")</f>
        <v/>
      </c>
    </row>
    <row r="464">
      <c r="DG464" s="64">
        <f>($B464-$B465)*100</f>
        <v/>
      </c>
      <c r="DH464" s="64">
        <f>($D464-$D465)*100</f>
        <v/>
      </c>
      <c r="DI464" s="64">
        <f>($E464-$E465)*100</f>
        <v/>
      </c>
      <c r="DJ464" s="64">
        <f>($H464-$H465)*100</f>
        <v/>
      </c>
      <c r="DK464" s="65">
        <f>IFERROR($J464/$J465-1,"")</f>
        <v/>
      </c>
      <c r="DL464" s="64">
        <f>$L464-$L465</f>
        <v/>
      </c>
      <c r="DM464" s="64">
        <f>$K464-$K465</f>
        <v/>
      </c>
      <c r="DN464" s="65">
        <f>IFERROR($N464/$N465-1,"")</f>
        <v/>
      </c>
      <c r="DO464" s="65">
        <f>IFERROR($M464/$M465-1,"")</f>
        <v/>
      </c>
      <c r="DP464" s="65">
        <f>IFERROR($AZ464/$AZ465-1,"")</f>
        <v/>
      </c>
      <c r="DQ464" s="65">
        <f>IFERROR($BA464/$BA465-1,"")</f>
        <v/>
      </c>
      <c r="DR464" s="64">
        <f>$O464-$O465</f>
        <v/>
      </c>
      <c r="DS464" s="64">
        <f>$P464-$P465</f>
        <v/>
      </c>
      <c r="DT464" s="64">
        <f>$Q464-$Q465</f>
        <v/>
      </c>
      <c r="DU464" s="64">
        <f>$S464-$S465</f>
        <v/>
      </c>
      <c r="DV464" s="65">
        <f>IFERROR(AVERAGE($AA465/$AA464-1,$AB465/$AB464-1,$AC465/$AC464-1,$AD465/$AD464-1,$AE465/$AE464-1,$AG465/$AG464-1,$AH465/$AH464-1,$AI465/$AI464-1,$AJ465/$AJ464-1,$AL465/$AL464-1,$AM465/$AM464-1,$AR465/$AR464-1,$AS465/$AS464-1,$AT465/$AT464-1,$AU465/$AU464-1,$AV465/$AV464-1,$AW465/$AW464-1,$AX465/$AX464-1,$AY465/$AY464-1),"")</f>
        <v/>
      </c>
      <c r="DW464" s="66">
        <f>AVERAGE($CB464,$CC464,$CD464,$CE464,$CF464,$CG464,$CH464,$CI464,$CJ464,$CL464,$CM464,$CN464,$CO464,$CP464,$CQ464,$CR464,$CS464,$CT464)</f>
        <v/>
      </c>
      <c r="DX464" s="66">
        <f>AVERAGE($CB464,$CC464,$CM464,$CE464,$CP464)</f>
        <v/>
      </c>
      <c r="DY464" s="64">
        <f>($DW464-$DW465)*100</f>
        <v/>
      </c>
      <c r="DZ464" s="64">
        <f>($DX464-$DX465)*100</f>
        <v/>
      </c>
      <c r="EA464" s="64">
        <f>($DW464-$D464)*100</f>
        <v/>
      </c>
      <c r="EB464" s="64">
        <f>$Q464-$O464</f>
        <v/>
      </c>
      <c r="EC464" s="67">
        <f>IFERROR($Q464/$P464,"")</f>
        <v/>
      </c>
    </row>
    <row r="465">
      <c r="DG465" s="64">
        <f>($B465-$B466)*100</f>
        <v/>
      </c>
      <c r="DH465" s="64">
        <f>($D465-$D466)*100</f>
        <v/>
      </c>
      <c r="DI465" s="64">
        <f>($E465-$E466)*100</f>
        <v/>
      </c>
      <c r="DJ465" s="64">
        <f>($H465-$H466)*100</f>
        <v/>
      </c>
      <c r="DK465" s="65">
        <f>IFERROR($J465/$J466-1,"")</f>
        <v/>
      </c>
      <c r="DL465" s="64">
        <f>$L465-$L466</f>
        <v/>
      </c>
      <c r="DM465" s="64">
        <f>$K465-$K466</f>
        <v/>
      </c>
      <c r="DN465" s="65">
        <f>IFERROR($N465/$N466-1,"")</f>
        <v/>
      </c>
      <c r="DO465" s="65">
        <f>IFERROR($M465/$M466-1,"")</f>
        <v/>
      </c>
      <c r="DP465" s="65">
        <f>IFERROR($AZ465/$AZ466-1,"")</f>
        <v/>
      </c>
      <c r="DQ465" s="65">
        <f>IFERROR($BA465/$BA466-1,"")</f>
        <v/>
      </c>
      <c r="DR465" s="64">
        <f>$O465-$O466</f>
        <v/>
      </c>
      <c r="DS465" s="64">
        <f>$P465-$P466</f>
        <v/>
      </c>
      <c r="DT465" s="64">
        <f>$Q465-$Q466</f>
        <v/>
      </c>
      <c r="DU465" s="64">
        <f>$S465-$S466</f>
        <v/>
      </c>
      <c r="DV465" s="65">
        <f>IFERROR(AVERAGE($AA466/$AA465-1,$AB466/$AB465-1,$AC466/$AC465-1,$AD466/$AD465-1,$AE466/$AE465-1,$AG466/$AG465-1,$AH466/$AH465-1,$AI466/$AI465-1,$AJ466/$AJ465-1,$AL466/$AL465-1,$AM466/$AM465-1,$AR466/$AR465-1,$AS466/$AS465-1,$AT466/$AT465-1,$AU466/$AU465-1,$AV466/$AV465-1,$AW466/$AW465-1,$AX466/$AX465-1,$AY466/$AY465-1),"")</f>
        <v/>
      </c>
      <c r="DW465" s="66">
        <f>AVERAGE($CB465,$CC465,$CD465,$CE465,$CF465,$CG465,$CH465,$CI465,$CJ465,$CL465,$CM465,$CN465,$CO465,$CP465,$CQ465,$CR465,$CS465,$CT465)</f>
        <v/>
      </c>
      <c r="DX465" s="66">
        <f>AVERAGE($CB465,$CC465,$CM465,$CE465,$CP465)</f>
        <v/>
      </c>
      <c r="DY465" s="64">
        <f>($DW465-$DW466)*100</f>
        <v/>
      </c>
      <c r="DZ465" s="64">
        <f>($DX465-$DX466)*100</f>
        <v/>
      </c>
      <c r="EA465" s="64">
        <f>($DW465-$D465)*100</f>
        <v/>
      </c>
      <c r="EB465" s="64">
        <f>$Q465-$O465</f>
        <v/>
      </c>
      <c r="EC465" s="67">
        <f>IFERROR($Q465/$P465,"")</f>
        <v/>
      </c>
    </row>
    <row r="466">
      <c r="DG466" s="64">
        <f>($B466-$B467)*100</f>
        <v/>
      </c>
      <c r="DH466" s="64">
        <f>($D466-$D467)*100</f>
        <v/>
      </c>
      <c r="DI466" s="64">
        <f>($E466-$E467)*100</f>
        <v/>
      </c>
      <c r="DJ466" s="64">
        <f>($H466-$H467)*100</f>
        <v/>
      </c>
      <c r="DK466" s="65">
        <f>IFERROR($J466/$J467-1,"")</f>
        <v/>
      </c>
      <c r="DL466" s="64">
        <f>$L466-$L467</f>
        <v/>
      </c>
      <c r="DM466" s="64">
        <f>$K466-$K467</f>
        <v/>
      </c>
      <c r="DN466" s="65">
        <f>IFERROR($N466/$N467-1,"")</f>
        <v/>
      </c>
      <c r="DO466" s="65">
        <f>IFERROR($M466/$M467-1,"")</f>
        <v/>
      </c>
      <c r="DP466" s="65">
        <f>IFERROR($AZ466/$AZ467-1,"")</f>
        <v/>
      </c>
      <c r="DQ466" s="65">
        <f>IFERROR($BA466/$BA467-1,"")</f>
        <v/>
      </c>
      <c r="DR466" s="64">
        <f>$O466-$O467</f>
        <v/>
      </c>
      <c r="DS466" s="64">
        <f>$P466-$P467</f>
        <v/>
      </c>
      <c r="DT466" s="64">
        <f>$Q466-$Q467</f>
        <v/>
      </c>
      <c r="DU466" s="64">
        <f>$S466-$S467</f>
        <v/>
      </c>
      <c r="DV466" s="65">
        <f>IFERROR(AVERAGE($AA467/$AA466-1,$AB467/$AB466-1,$AC467/$AC466-1,$AD467/$AD466-1,$AE467/$AE466-1,$AG467/$AG466-1,$AH467/$AH466-1,$AI467/$AI466-1,$AJ467/$AJ466-1,$AL467/$AL466-1,$AM467/$AM466-1,$AR467/$AR466-1,$AS467/$AS466-1,$AT467/$AT466-1,$AU467/$AU466-1,$AV467/$AV466-1,$AW467/$AW466-1,$AX467/$AX466-1,$AY467/$AY466-1),"")</f>
        <v/>
      </c>
      <c r="DW466" s="66">
        <f>AVERAGE($CB466,$CC466,$CD466,$CE466,$CF466,$CG466,$CH466,$CI466,$CJ466,$CL466,$CM466,$CN466,$CO466,$CP466,$CQ466,$CR466,$CS466,$CT466)</f>
        <v/>
      </c>
      <c r="DX466" s="66">
        <f>AVERAGE($CB466,$CC466,$CM466,$CE466,$CP466)</f>
        <v/>
      </c>
      <c r="DY466" s="64">
        <f>($DW466-$DW467)*100</f>
        <v/>
      </c>
      <c r="DZ466" s="64">
        <f>($DX466-$DX467)*100</f>
        <v/>
      </c>
      <c r="EA466" s="64">
        <f>($DW466-$D466)*100</f>
        <v/>
      </c>
      <c r="EB466" s="64">
        <f>$Q466-$O466</f>
        <v/>
      </c>
      <c r="EC466" s="67">
        <f>IFERROR($Q466/$P466,"")</f>
        <v/>
      </c>
    </row>
    <row r="467">
      <c r="DG467" s="64">
        <f>($B467-$B468)*100</f>
        <v/>
      </c>
      <c r="DH467" s="64">
        <f>($D467-$D468)*100</f>
        <v/>
      </c>
      <c r="DI467" s="64">
        <f>($E467-$E468)*100</f>
        <v/>
      </c>
      <c r="DJ467" s="64">
        <f>($H467-$H468)*100</f>
        <v/>
      </c>
      <c r="DK467" s="65">
        <f>IFERROR($J467/$J468-1,"")</f>
        <v/>
      </c>
      <c r="DL467" s="64">
        <f>$L467-$L468</f>
        <v/>
      </c>
      <c r="DM467" s="64">
        <f>$K467-$K468</f>
        <v/>
      </c>
      <c r="DN467" s="65">
        <f>IFERROR($N467/$N468-1,"")</f>
        <v/>
      </c>
      <c r="DO467" s="65">
        <f>IFERROR($M467/$M468-1,"")</f>
        <v/>
      </c>
      <c r="DP467" s="65">
        <f>IFERROR($AZ467/$AZ468-1,"")</f>
        <v/>
      </c>
      <c r="DQ467" s="65">
        <f>IFERROR($BA467/$BA468-1,"")</f>
        <v/>
      </c>
      <c r="DR467" s="64">
        <f>$O467-$O468</f>
        <v/>
      </c>
      <c r="DS467" s="64">
        <f>$P467-$P468</f>
        <v/>
      </c>
      <c r="DT467" s="64">
        <f>$Q467-$Q468</f>
        <v/>
      </c>
      <c r="DU467" s="64">
        <f>$S467-$S468</f>
        <v/>
      </c>
      <c r="DV467" s="65">
        <f>IFERROR(AVERAGE($AA468/$AA467-1,$AB468/$AB467-1,$AC468/$AC467-1,$AD468/$AD467-1,$AE468/$AE467-1,$AG468/$AG467-1,$AH468/$AH467-1,$AI468/$AI467-1,$AJ468/$AJ467-1,$AL468/$AL467-1,$AM468/$AM467-1,$AR468/$AR467-1,$AS468/$AS467-1,$AT468/$AT467-1,$AU468/$AU467-1,$AV468/$AV467-1,$AW468/$AW467-1,$AX468/$AX467-1,$AY468/$AY467-1),"")</f>
        <v/>
      </c>
      <c r="DW467" s="66">
        <f>AVERAGE($CB467,$CC467,$CD467,$CE467,$CF467,$CG467,$CH467,$CI467,$CJ467,$CL467,$CM467,$CN467,$CO467,$CP467,$CQ467,$CR467,$CS467,$CT467)</f>
        <v/>
      </c>
      <c r="DX467" s="66">
        <f>AVERAGE($CB467,$CC467,$CM467,$CE467,$CP467)</f>
        <v/>
      </c>
      <c r="DY467" s="64">
        <f>($DW467-$DW468)*100</f>
        <v/>
      </c>
      <c r="DZ467" s="64">
        <f>($DX467-$DX468)*100</f>
        <v/>
      </c>
      <c r="EA467" s="64">
        <f>($DW467-$D467)*100</f>
        <v/>
      </c>
      <c r="EB467" s="64">
        <f>$Q467-$O467</f>
        <v/>
      </c>
      <c r="EC467" s="67">
        <f>IFERROR($Q467/$P467,"")</f>
        <v/>
      </c>
    </row>
    <row r="468">
      <c r="DG468" s="64">
        <f>($B468-$B469)*100</f>
        <v/>
      </c>
      <c r="DH468" s="64">
        <f>($D468-$D469)*100</f>
        <v/>
      </c>
      <c r="DI468" s="64">
        <f>($E468-$E469)*100</f>
        <v/>
      </c>
      <c r="DJ468" s="64">
        <f>($H468-$H469)*100</f>
        <v/>
      </c>
      <c r="DK468" s="65">
        <f>IFERROR($J468/$J469-1,"")</f>
        <v/>
      </c>
      <c r="DL468" s="64">
        <f>$L468-$L469</f>
        <v/>
      </c>
      <c r="DM468" s="64">
        <f>$K468-$K469</f>
        <v/>
      </c>
      <c r="DN468" s="65">
        <f>IFERROR($N468/$N469-1,"")</f>
        <v/>
      </c>
      <c r="DO468" s="65">
        <f>IFERROR($M468/$M469-1,"")</f>
        <v/>
      </c>
      <c r="DP468" s="65">
        <f>IFERROR($AZ468/$AZ469-1,"")</f>
        <v/>
      </c>
      <c r="DQ468" s="65">
        <f>IFERROR($BA468/$BA469-1,"")</f>
        <v/>
      </c>
      <c r="DR468" s="64">
        <f>$O468-$O469</f>
        <v/>
      </c>
      <c r="DS468" s="64">
        <f>$P468-$P469</f>
        <v/>
      </c>
      <c r="DT468" s="64">
        <f>$Q468-$Q469</f>
        <v/>
      </c>
      <c r="DU468" s="64">
        <f>$S468-$S469</f>
        <v/>
      </c>
      <c r="DV468" s="65">
        <f>IFERROR(AVERAGE($AA469/$AA468-1,$AB469/$AB468-1,$AC469/$AC468-1,$AD469/$AD468-1,$AE469/$AE468-1,$AG469/$AG468-1,$AH469/$AH468-1,$AI469/$AI468-1,$AJ469/$AJ468-1,$AL469/$AL468-1,$AM469/$AM468-1,$AR469/$AR468-1,$AS469/$AS468-1,$AT469/$AT468-1,$AU469/$AU468-1,$AV469/$AV468-1,$AW469/$AW468-1,$AX469/$AX468-1,$AY469/$AY468-1),"")</f>
        <v/>
      </c>
      <c r="DW468" s="66">
        <f>AVERAGE($CB468,$CC468,$CD468,$CE468,$CF468,$CG468,$CH468,$CI468,$CJ468,$CL468,$CM468,$CN468,$CO468,$CP468,$CQ468,$CR468,$CS468,$CT468)</f>
        <v/>
      </c>
      <c r="DX468" s="66">
        <f>AVERAGE($CB468,$CC468,$CM468,$CE468,$CP468)</f>
        <v/>
      </c>
      <c r="DY468" s="64">
        <f>($DW468-$DW469)*100</f>
        <v/>
      </c>
      <c r="DZ468" s="64">
        <f>($DX468-$DX469)*100</f>
        <v/>
      </c>
      <c r="EA468" s="64">
        <f>($DW468-$D468)*100</f>
        <v/>
      </c>
      <c r="EB468" s="64">
        <f>$Q468-$O468</f>
        <v/>
      </c>
      <c r="EC468" s="67">
        <f>IFERROR($Q468/$P468,"")</f>
        <v/>
      </c>
    </row>
    <row r="469">
      <c r="DG469" s="64">
        <f>($B469-$B470)*100</f>
        <v/>
      </c>
      <c r="DH469" s="64">
        <f>($D469-$D470)*100</f>
        <v/>
      </c>
      <c r="DI469" s="64">
        <f>($E469-$E470)*100</f>
        <v/>
      </c>
      <c r="DJ469" s="64">
        <f>($H469-$H470)*100</f>
        <v/>
      </c>
      <c r="DK469" s="65">
        <f>IFERROR($J469/$J470-1,"")</f>
        <v/>
      </c>
      <c r="DL469" s="64">
        <f>$L469-$L470</f>
        <v/>
      </c>
      <c r="DM469" s="64">
        <f>$K469-$K470</f>
        <v/>
      </c>
      <c r="DN469" s="65">
        <f>IFERROR($N469/$N470-1,"")</f>
        <v/>
      </c>
      <c r="DO469" s="65">
        <f>IFERROR($M469/$M470-1,"")</f>
        <v/>
      </c>
      <c r="DP469" s="65">
        <f>IFERROR($AZ469/$AZ470-1,"")</f>
        <v/>
      </c>
      <c r="DQ469" s="65">
        <f>IFERROR($BA469/$BA470-1,"")</f>
        <v/>
      </c>
      <c r="DR469" s="64">
        <f>$O469-$O470</f>
        <v/>
      </c>
      <c r="DS469" s="64">
        <f>$P469-$P470</f>
        <v/>
      </c>
      <c r="DT469" s="64">
        <f>$Q469-$Q470</f>
        <v/>
      </c>
      <c r="DU469" s="64">
        <f>$S469-$S470</f>
        <v/>
      </c>
      <c r="DV469" s="65">
        <f>IFERROR(AVERAGE($AA470/$AA469-1,$AB470/$AB469-1,$AC470/$AC469-1,$AD470/$AD469-1,$AE470/$AE469-1,$AG470/$AG469-1,$AH470/$AH469-1,$AI470/$AI469-1,$AJ470/$AJ469-1,$AL470/$AL469-1,$AM470/$AM469-1,$AR470/$AR469-1,$AS470/$AS469-1,$AT470/$AT469-1,$AU470/$AU469-1,$AV470/$AV469-1,$AW470/$AW469-1,$AX470/$AX469-1,$AY470/$AY469-1),"")</f>
        <v/>
      </c>
      <c r="DW469" s="66">
        <f>AVERAGE($CB469,$CC469,$CD469,$CE469,$CF469,$CG469,$CH469,$CI469,$CJ469,$CL469,$CM469,$CN469,$CO469,$CP469,$CQ469,$CR469,$CS469,$CT469)</f>
        <v/>
      </c>
      <c r="DX469" s="66">
        <f>AVERAGE($CB469,$CC469,$CM469,$CE469,$CP469)</f>
        <v/>
      </c>
      <c r="DY469" s="64">
        <f>($DW469-$DW470)*100</f>
        <v/>
      </c>
      <c r="DZ469" s="64">
        <f>($DX469-$DX470)*100</f>
        <v/>
      </c>
      <c r="EA469" s="64">
        <f>($DW469-$D469)*100</f>
        <v/>
      </c>
      <c r="EB469" s="64">
        <f>$Q469-$O469</f>
        <v/>
      </c>
      <c r="EC469" s="67">
        <f>IFERROR($Q469/$P469,"")</f>
        <v/>
      </c>
    </row>
    <row r="470">
      <c r="DG470" s="64">
        <f>($B470-$B471)*100</f>
        <v/>
      </c>
      <c r="DH470" s="64">
        <f>($D470-$D471)*100</f>
        <v/>
      </c>
      <c r="DI470" s="64">
        <f>($E470-$E471)*100</f>
        <v/>
      </c>
      <c r="DJ470" s="64">
        <f>($H470-$H471)*100</f>
        <v/>
      </c>
      <c r="DK470" s="65">
        <f>IFERROR($J470/$J471-1,"")</f>
        <v/>
      </c>
      <c r="DL470" s="64">
        <f>$L470-$L471</f>
        <v/>
      </c>
      <c r="DM470" s="64">
        <f>$K470-$K471</f>
        <v/>
      </c>
      <c r="DN470" s="65">
        <f>IFERROR($N470/$N471-1,"")</f>
        <v/>
      </c>
      <c r="DO470" s="65">
        <f>IFERROR($M470/$M471-1,"")</f>
        <v/>
      </c>
      <c r="DP470" s="65">
        <f>IFERROR($AZ470/$AZ471-1,"")</f>
        <v/>
      </c>
      <c r="DQ470" s="65">
        <f>IFERROR($BA470/$BA471-1,"")</f>
        <v/>
      </c>
      <c r="DR470" s="64">
        <f>$O470-$O471</f>
        <v/>
      </c>
      <c r="DS470" s="64">
        <f>$P470-$P471</f>
        <v/>
      </c>
      <c r="DT470" s="64">
        <f>$Q470-$Q471</f>
        <v/>
      </c>
      <c r="DU470" s="64">
        <f>$S470-$S471</f>
        <v/>
      </c>
      <c r="DV470" s="65">
        <f>IFERROR(AVERAGE($AA471/$AA470-1,$AB471/$AB470-1,$AC471/$AC470-1,$AD471/$AD470-1,$AE471/$AE470-1,$AG471/$AG470-1,$AH471/$AH470-1,$AI471/$AI470-1,$AJ471/$AJ470-1,$AL471/$AL470-1,$AM471/$AM470-1,$AR471/$AR470-1,$AS471/$AS470-1,$AT471/$AT470-1,$AU471/$AU470-1,$AV471/$AV470-1,$AW471/$AW470-1,$AX471/$AX470-1,$AY471/$AY470-1),"")</f>
        <v/>
      </c>
      <c r="DW470" s="66">
        <f>AVERAGE($CB470,$CC470,$CD470,$CE470,$CF470,$CG470,$CH470,$CI470,$CJ470,$CL470,$CM470,$CN470,$CO470,$CP470,$CQ470,$CR470,$CS470,$CT470)</f>
        <v/>
      </c>
      <c r="DX470" s="66">
        <f>AVERAGE($CB470,$CC470,$CM470,$CE470,$CP470)</f>
        <v/>
      </c>
      <c r="DY470" s="64">
        <f>($DW470-$DW471)*100</f>
        <v/>
      </c>
      <c r="DZ470" s="64">
        <f>($DX470-$DX471)*100</f>
        <v/>
      </c>
      <c r="EA470" s="64">
        <f>($DW470-$D470)*100</f>
        <v/>
      </c>
      <c r="EB470" s="64">
        <f>$Q470-$O470</f>
        <v/>
      </c>
      <c r="EC470" s="67">
        <f>IFERROR($Q470/$P470,"")</f>
        <v/>
      </c>
    </row>
    <row r="471">
      <c r="DG471" s="64">
        <f>($B471-$B472)*100</f>
        <v/>
      </c>
      <c r="DH471" s="64">
        <f>($D471-$D472)*100</f>
        <v/>
      </c>
      <c r="DI471" s="64">
        <f>($E471-$E472)*100</f>
        <v/>
      </c>
      <c r="DJ471" s="64">
        <f>($H471-$H472)*100</f>
        <v/>
      </c>
      <c r="DK471" s="65">
        <f>IFERROR($J471/$J472-1,"")</f>
        <v/>
      </c>
      <c r="DL471" s="64">
        <f>$L471-$L472</f>
        <v/>
      </c>
      <c r="DM471" s="64">
        <f>$K471-$K472</f>
        <v/>
      </c>
      <c r="DN471" s="65">
        <f>IFERROR($N471/$N472-1,"")</f>
        <v/>
      </c>
      <c r="DO471" s="65">
        <f>IFERROR($M471/$M472-1,"")</f>
        <v/>
      </c>
      <c r="DP471" s="65">
        <f>IFERROR($AZ471/$AZ472-1,"")</f>
        <v/>
      </c>
      <c r="DQ471" s="65">
        <f>IFERROR($BA471/$BA472-1,"")</f>
        <v/>
      </c>
      <c r="DR471" s="64">
        <f>$O471-$O472</f>
        <v/>
      </c>
      <c r="DS471" s="64">
        <f>$P471-$P472</f>
        <v/>
      </c>
      <c r="DT471" s="64">
        <f>$Q471-$Q472</f>
        <v/>
      </c>
      <c r="DU471" s="64">
        <f>$S471-$S472</f>
        <v/>
      </c>
      <c r="DV471" s="65">
        <f>IFERROR(AVERAGE($AA472/$AA471-1,$AB472/$AB471-1,$AC472/$AC471-1,$AD472/$AD471-1,$AE472/$AE471-1,$AG472/$AG471-1,$AH472/$AH471-1,$AI472/$AI471-1,$AJ472/$AJ471-1,$AL472/$AL471-1,$AM472/$AM471-1,$AR472/$AR471-1,$AS472/$AS471-1,$AT472/$AT471-1,$AU472/$AU471-1,$AV472/$AV471-1,$AW472/$AW471-1,$AX472/$AX471-1,$AY472/$AY471-1),"")</f>
        <v/>
      </c>
      <c r="DW471" s="66">
        <f>AVERAGE($CB471,$CC471,$CD471,$CE471,$CF471,$CG471,$CH471,$CI471,$CJ471,$CL471,$CM471,$CN471,$CO471,$CP471,$CQ471,$CR471,$CS471,$CT471)</f>
        <v/>
      </c>
      <c r="DX471" s="66">
        <f>AVERAGE($CB471,$CC471,$CM471,$CE471,$CP471)</f>
        <v/>
      </c>
      <c r="DY471" s="64">
        <f>($DW471-$DW472)*100</f>
        <v/>
      </c>
      <c r="DZ471" s="64">
        <f>($DX471-$DX472)*100</f>
        <v/>
      </c>
      <c r="EA471" s="64">
        <f>($DW471-$D471)*100</f>
        <v/>
      </c>
      <c r="EB471" s="64">
        <f>$Q471-$O471</f>
        <v/>
      </c>
      <c r="EC471" s="67">
        <f>IFERROR($Q471/$P471,"")</f>
        <v/>
      </c>
    </row>
    <row r="472">
      <c r="DG472" s="64">
        <f>($B472-$B473)*100</f>
        <v/>
      </c>
      <c r="DH472" s="64">
        <f>($D472-$D473)*100</f>
        <v/>
      </c>
      <c r="DI472" s="64">
        <f>($E472-$E473)*100</f>
        <v/>
      </c>
      <c r="DJ472" s="64">
        <f>($H472-$H473)*100</f>
        <v/>
      </c>
      <c r="DK472" s="65">
        <f>IFERROR($J472/$J473-1,"")</f>
        <v/>
      </c>
      <c r="DL472" s="64">
        <f>$L472-$L473</f>
        <v/>
      </c>
      <c r="DM472" s="64">
        <f>$K472-$K473</f>
        <v/>
      </c>
      <c r="DN472" s="65">
        <f>IFERROR($N472/$N473-1,"")</f>
        <v/>
      </c>
      <c r="DO472" s="65">
        <f>IFERROR($M472/$M473-1,"")</f>
        <v/>
      </c>
      <c r="DP472" s="65">
        <f>IFERROR($AZ472/$AZ473-1,"")</f>
        <v/>
      </c>
      <c r="DQ472" s="65">
        <f>IFERROR($BA472/$BA473-1,"")</f>
        <v/>
      </c>
      <c r="DR472" s="64">
        <f>$O472-$O473</f>
        <v/>
      </c>
      <c r="DS472" s="64">
        <f>$P472-$P473</f>
        <v/>
      </c>
      <c r="DT472" s="64">
        <f>$Q472-$Q473</f>
        <v/>
      </c>
      <c r="DU472" s="64">
        <f>$S472-$S473</f>
        <v/>
      </c>
      <c r="DV472" s="65">
        <f>IFERROR(AVERAGE($AA473/$AA472-1,$AB473/$AB472-1,$AC473/$AC472-1,$AD473/$AD472-1,$AE473/$AE472-1,$AG473/$AG472-1,$AH473/$AH472-1,$AI473/$AI472-1,$AJ473/$AJ472-1,$AL473/$AL472-1,$AM473/$AM472-1,$AR473/$AR472-1,$AS473/$AS472-1,$AT473/$AT472-1,$AU473/$AU472-1,$AV473/$AV472-1,$AW473/$AW472-1,$AX473/$AX472-1,$AY473/$AY472-1),"")</f>
        <v/>
      </c>
      <c r="DW472" s="66">
        <f>AVERAGE($CB472,$CC472,$CD472,$CE472,$CF472,$CG472,$CH472,$CI472,$CJ472,$CL472,$CM472,$CN472,$CO472,$CP472,$CQ472,$CR472,$CS472,$CT472)</f>
        <v/>
      </c>
      <c r="DX472" s="66">
        <f>AVERAGE($CB472,$CC472,$CM472,$CE472,$CP472)</f>
        <v/>
      </c>
      <c r="DY472" s="64">
        <f>($DW472-$DW473)*100</f>
        <v/>
      </c>
      <c r="DZ472" s="64">
        <f>($DX472-$DX473)*100</f>
        <v/>
      </c>
      <c r="EA472" s="64">
        <f>($DW472-$D472)*100</f>
        <v/>
      </c>
      <c r="EB472" s="64">
        <f>$Q472-$O472</f>
        <v/>
      </c>
      <c r="EC472" s="67">
        <f>IFERROR($Q472/$P472,"")</f>
        <v/>
      </c>
    </row>
    <row r="473">
      <c r="DG473" s="64">
        <f>($B473-$B474)*100</f>
        <v/>
      </c>
      <c r="DH473" s="64">
        <f>($D473-$D474)*100</f>
        <v/>
      </c>
      <c r="DI473" s="64">
        <f>($E473-$E474)*100</f>
        <v/>
      </c>
      <c r="DJ473" s="64">
        <f>($H473-$H474)*100</f>
        <v/>
      </c>
      <c r="DK473" s="65">
        <f>IFERROR($J473/$J474-1,"")</f>
        <v/>
      </c>
      <c r="DL473" s="64">
        <f>$L473-$L474</f>
        <v/>
      </c>
      <c r="DM473" s="64">
        <f>$K473-$K474</f>
        <v/>
      </c>
      <c r="DN473" s="65">
        <f>IFERROR($N473/$N474-1,"")</f>
        <v/>
      </c>
      <c r="DO473" s="65">
        <f>IFERROR($M473/$M474-1,"")</f>
        <v/>
      </c>
      <c r="DP473" s="65">
        <f>IFERROR($AZ473/$AZ474-1,"")</f>
        <v/>
      </c>
      <c r="DQ473" s="65">
        <f>IFERROR($BA473/$BA474-1,"")</f>
        <v/>
      </c>
      <c r="DR473" s="64">
        <f>$O473-$O474</f>
        <v/>
      </c>
      <c r="DS473" s="64">
        <f>$P473-$P474</f>
        <v/>
      </c>
      <c r="DT473" s="64">
        <f>$Q473-$Q474</f>
        <v/>
      </c>
      <c r="DU473" s="64">
        <f>$S473-$S474</f>
        <v/>
      </c>
      <c r="DV473" s="65">
        <f>IFERROR(AVERAGE($AA474/$AA473-1,$AB474/$AB473-1,$AC474/$AC473-1,$AD474/$AD473-1,$AE474/$AE473-1,$AG474/$AG473-1,$AH474/$AH473-1,$AI474/$AI473-1,$AJ474/$AJ473-1,$AL474/$AL473-1,$AM474/$AM473-1,$AR474/$AR473-1,$AS474/$AS473-1,$AT474/$AT473-1,$AU474/$AU473-1,$AV474/$AV473-1,$AW474/$AW473-1,$AX474/$AX473-1,$AY474/$AY473-1),"")</f>
        <v/>
      </c>
      <c r="DW473" s="66">
        <f>AVERAGE($CB473,$CC473,$CD473,$CE473,$CF473,$CG473,$CH473,$CI473,$CJ473,$CL473,$CM473,$CN473,$CO473,$CP473,$CQ473,$CR473,$CS473,$CT473)</f>
        <v/>
      </c>
      <c r="DX473" s="66">
        <f>AVERAGE($CB473,$CC473,$CM473,$CE473,$CP473)</f>
        <v/>
      </c>
      <c r="DY473" s="64">
        <f>($DW473-$DW474)*100</f>
        <v/>
      </c>
      <c r="DZ473" s="64">
        <f>($DX473-$DX474)*100</f>
        <v/>
      </c>
      <c r="EA473" s="64">
        <f>($DW473-$D473)*100</f>
        <v/>
      </c>
      <c r="EB473" s="64">
        <f>$Q473-$O473</f>
        <v/>
      </c>
      <c r="EC473" s="67">
        <f>IFERROR($Q473/$P473,"")</f>
        <v/>
      </c>
    </row>
    <row r="474">
      <c r="DG474" s="64">
        <f>($B474-$B475)*100</f>
        <v/>
      </c>
      <c r="DH474" s="64">
        <f>($D474-$D475)*100</f>
        <v/>
      </c>
      <c r="DI474" s="64">
        <f>($E474-$E475)*100</f>
        <v/>
      </c>
      <c r="DJ474" s="64">
        <f>($H474-$H475)*100</f>
        <v/>
      </c>
      <c r="DK474" s="65">
        <f>IFERROR($J474/$J475-1,"")</f>
        <v/>
      </c>
      <c r="DL474" s="64">
        <f>$L474-$L475</f>
        <v/>
      </c>
      <c r="DM474" s="64">
        <f>$K474-$K475</f>
        <v/>
      </c>
      <c r="DN474" s="65">
        <f>IFERROR($N474/$N475-1,"")</f>
        <v/>
      </c>
      <c r="DO474" s="65">
        <f>IFERROR($M474/$M475-1,"")</f>
        <v/>
      </c>
      <c r="DP474" s="65">
        <f>IFERROR($AZ474/$AZ475-1,"")</f>
        <v/>
      </c>
      <c r="DQ474" s="65">
        <f>IFERROR($BA474/$BA475-1,"")</f>
        <v/>
      </c>
      <c r="DR474" s="64">
        <f>$O474-$O475</f>
        <v/>
      </c>
      <c r="DS474" s="64">
        <f>$P474-$P475</f>
        <v/>
      </c>
      <c r="DT474" s="64">
        <f>$Q474-$Q475</f>
        <v/>
      </c>
      <c r="DU474" s="64">
        <f>$S474-$S475</f>
        <v/>
      </c>
      <c r="DV474" s="65">
        <f>IFERROR(AVERAGE($AA475/$AA474-1,$AB475/$AB474-1,$AC475/$AC474-1,$AD475/$AD474-1,$AE475/$AE474-1,$AG475/$AG474-1,$AH475/$AH474-1,$AI475/$AI474-1,$AJ475/$AJ474-1,$AL475/$AL474-1,$AM475/$AM474-1,$AR475/$AR474-1,$AS475/$AS474-1,$AT475/$AT474-1,$AU475/$AU474-1,$AV475/$AV474-1,$AW475/$AW474-1,$AX475/$AX474-1,$AY475/$AY474-1),"")</f>
        <v/>
      </c>
      <c r="DW474" s="66">
        <f>AVERAGE($CB474,$CC474,$CD474,$CE474,$CF474,$CG474,$CH474,$CI474,$CJ474,$CL474,$CM474,$CN474,$CO474,$CP474,$CQ474,$CR474,$CS474,$CT474)</f>
        <v/>
      </c>
      <c r="DX474" s="66">
        <f>AVERAGE($CB474,$CC474,$CM474,$CE474,$CP474)</f>
        <v/>
      </c>
      <c r="DY474" s="64">
        <f>($DW474-$DW475)*100</f>
        <v/>
      </c>
      <c r="DZ474" s="64">
        <f>($DX474-$DX475)*100</f>
        <v/>
      </c>
      <c r="EA474" s="64">
        <f>($DW474-$D474)*100</f>
        <v/>
      </c>
      <c r="EB474" s="64">
        <f>$Q474-$O474</f>
        <v/>
      </c>
      <c r="EC474" s="67">
        <f>IFERROR($Q474/$P474,"")</f>
        <v/>
      </c>
    </row>
    <row r="475">
      <c r="DG475" s="64">
        <f>($B475-$B476)*100</f>
        <v/>
      </c>
      <c r="DH475" s="64">
        <f>($D475-$D476)*100</f>
        <v/>
      </c>
      <c r="DI475" s="64">
        <f>($E475-$E476)*100</f>
        <v/>
      </c>
      <c r="DJ475" s="64">
        <f>($H475-$H476)*100</f>
        <v/>
      </c>
      <c r="DK475" s="65">
        <f>IFERROR($J475/$J476-1,"")</f>
        <v/>
      </c>
      <c r="DL475" s="64">
        <f>$L475-$L476</f>
        <v/>
      </c>
      <c r="DM475" s="64">
        <f>$K475-$K476</f>
        <v/>
      </c>
      <c r="DN475" s="65">
        <f>IFERROR($N475/$N476-1,"")</f>
        <v/>
      </c>
      <c r="DO475" s="65">
        <f>IFERROR($M475/$M476-1,"")</f>
        <v/>
      </c>
      <c r="DP475" s="65">
        <f>IFERROR($AZ475/$AZ476-1,"")</f>
        <v/>
      </c>
      <c r="DQ475" s="65">
        <f>IFERROR($BA475/$BA476-1,"")</f>
        <v/>
      </c>
      <c r="DR475" s="64">
        <f>$O475-$O476</f>
        <v/>
      </c>
      <c r="DS475" s="64">
        <f>$P475-$P476</f>
        <v/>
      </c>
      <c r="DT475" s="64">
        <f>$Q475-$Q476</f>
        <v/>
      </c>
      <c r="DU475" s="64">
        <f>$S475-$S476</f>
        <v/>
      </c>
      <c r="DV475" s="65">
        <f>IFERROR(AVERAGE($AA476/$AA475-1,$AB476/$AB475-1,$AC476/$AC475-1,$AD476/$AD475-1,$AE476/$AE475-1,$AG476/$AG475-1,$AH476/$AH475-1,$AI476/$AI475-1,$AJ476/$AJ475-1,$AL476/$AL475-1,$AM476/$AM475-1,$AR476/$AR475-1,$AS476/$AS475-1,$AT476/$AT475-1,$AU476/$AU475-1,$AV476/$AV475-1,$AW476/$AW475-1,$AX476/$AX475-1,$AY476/$AY475-1),"")</f>
        <v/>
      </c>
      <c r="DW475" s="66">
        <f>AVERAGE($CB475,$CC475,$CD475,$CE475,$CF475,$CG475,$CH475,$CI475,$CJ475,$CL475,$CM475,$CN475,$CO475,$CP475,$CQ475,$CR475,$CS475,$CT475)</f>
        <v/>
      </c>
      <c r="DX475" s="66">
        <f>AVERAGE($CB475,$CC475,$CM475,$CE475,$CP475)</f>
        <v/>
      </c>
      <c r="DY475" s="64">
        <f>($DW475-$DW476)*100</f>
        <v/>
      </c>
      <c r="DZ475" s="64">
        <f>($DX475-$DX476)*100</f>
        <v/>
      </c>
      <c r="EA475" s="64">
        <f>($DW475-$D475)*100</f>
        <v/>
      </c>
      <c r="EB475" s="64">
        <f>$Q475-$O475</f>
        <v/>
      </c>
      <c r="EC475" s="67">
        <f>IFERROR($Q475/$P475,"")</f>
        <v/>
      </c>
    </row>
    <row r="476">
      <c r="DG476" s="64">
        <f>($B476-$B477)*100</f>
        <v/>
      </c>
      <c r="DH476" s="64">
        <f>($D476-$D477)*100</f>
        <v/>
      </c>
      <c r="DI476" s="64">
        <f>($E476-$E477)*100</f>
        <v/>
      </c>
      <c r="DJ476" s="64">
        <f>($H476-$H477)*100</f>
        <v/>
      </c>
      <c r="DK476" s="65">
        <f>IFERROR($J476/$J477-1,"")</f>
        <v/>
      </c>
      <c r="DL476" s="64">
        <f>$L476-$L477</f>
        <v/>
      </c>
      <c r="DM476" s="64">
        <f>$K476-$K477</f>
        <v/>
      </c>
      <c r="DN476" s="65">
        <f>IFERROR($N476/$N477-1,"")</f>
        <v/>
      </c>
      <c r="DO476" s="65">
        <f>IFERROR($M476/$M477-1,"")</f>
        <v/>
      </c>
      <c r="DP476" s="65">
        <f>IFERROR($AZ476/$AZ477-1,"")</f>
        <v/>
      </c>
      <c r="DQ476" s="65">
        <f>IFERROR($BA476/$BA477-1,"")</f>
        <v/>
      </c>
      <c r="DR476" s="64">
        <f>$O476-$O477</f>
        <v/>
      </c>
      <c r="DS476" s="64">
        <f>$P476-$P477</f>
        <v/>
      </c>
      <c r="DT476" s="64">
        <f>$Q476-$Q477</f>
        <v/>
      </c>
      <c r="DU476" s="64">
        <f>$S476-$S477</f>
        <v/>
      </c>
      <c r="DV476" s="65">
        <f>IFERROR(AVERAGE($AA477/$AA476-1,$AB477/$AB476-1,$AC477/$AC476-1,$AD477/$AD476-1,$AE477/$AE476-1,$AG477/$AG476-1,$AH477/$AH476-1,$AI477/$AI476-1,$AJ477/$AJ476-1,$AL477/$AL476-1,$AM477/$AM476-1,$AR477/$AR476-1,$AS477/$AS476-1,$AT477/$AT476-1,$AU477/$AU476-1,$AV477/$AV476-1,$AW477/$AW476-1,$AX477/$AX476-1,$AY477/$AY476-1),"")</f>
        <v/>
      </c>
      <c r="DW476" s="66">
        <f>AVERAGE($CB476,$CC476,$CD476,$CE476,$CF476,$CG476,$CH476,$CI476,$CJ476,$CL476,$CM476,$CN476,$CO476,$CP476,$CQ476,$CR476,$CS476,$CT476)</f>
        <v/>
      </c>
      <c r="DX476" s="66">
        <f>AVERAGE($CB476,$CC476,$CM476,$CE476,$CP476)</f>
        <v/>
      </c>
      <c r="DY476" s="64">
        <f>($DW476-$DW477)*100</f>
        <v/>
      </c>
      <c r="DZ476" s="64">
        <f>($DX476-$DX477)*100</f>
        <v/>
      </c>
      <c r="EA476" s="64">
        <f>($DW476-$D476)*100</f>
        <v/>
      </c>
      <c r="EB476" s="64">
        <f>$Q476-$O476</f>
        <v/>
      </c>
      <c r="EC476" s="67">
        <f>IFERROR($Q476/$P476,"")</f>
        <v/>
      </c>
    </row>
    <row r="477">
      <c r="DG477" s="64">
        <f>($B477-$B478)*100</f>
        <v/>
      </c>
      <c r="DH477" s="64">
        <f>($D477-$D478)*100</f>
        <v/>
      </c>
      <c r="DI477" s="64">
        <f>($E477-$E478)*100</f>
        <v/>
      </c>
      <c r="DJ477" s="64">
        <f>($H477-$H478)*100</f>
        <v/>
      </c>
      <c r="DK477" s="65">
        <f>IFERROR($J477/$J478-1,"")</f>
        <v/>
      </c>
      <c r="DL477" s="64">
        <f>$L477-$L478</f>
        <v/>
      </c>
      <c r="DM477" s="64">
        <f>$K477-$K478</f>
        <v/>
      </c>
      <c r="DN477" s="65">
        <f>IFERROR($N477/$N478-1,"")</f>
        <v/>
      </c>
      <c r="DO477" s="65">
        <f>IFERROR($M477/$M478-1,"")</f>
        <v/>
      </c>
      <c r="DP477" s="65">
        <f>IFERROR($AZ477/$AZ478-1,"")</f>
        <v/>
      </c>
      <c r="DQ477" s="65">
        <f>IFERROR($BA477/$BA478-1,"")</f>
        <v/>
      </c>
      <c r="DR477" s="64">
        <f>$O477-$O478</f>
        <v/>
      </c>
      <c r="DS477" s="64">
        <f>$P477-$P478</f>
        <v/>
      </c>
      <c r="DT477" s="64">
        <f>$Q477-$Q478</f>
        <v/>
      </c>
      <c r="DU477" s="64">
        <f>$S477-$S478</f>
        <v/>
      </c>
      <c r="DV477" s="65">
        <f>IFERROR(AVERAGE($AA478/$AA477-1,$AB478/$AB477-1,$AC478/$AC477-1,$AD478/$AD477-1,$AE478/$AE477-1,$AG478/$AG477-1,$AH478/$AH477-1,$AI478/$AI477-1,$AJ478/$AJ477-1,$AL478/$AL477-1,$AM478/$AM477-1,$AR478/$AR477-1,$AS478/$AS477-1,$AT478/$AT477-1,$AU478/$AU477-1,$AV478/$AV477-1,$AW478/$AW477-1,$AX478/$AX477-1,$AY478/$AY477-1),"")</f>
        <v/>
      </c>
      <c r="DW477" s="66">
        <f>AVERAGE($CB477,$CC477,$CD477,$CE477,$CF477,$CG477,$CH477,$CI477,$CJ477,$CL477,$CM477,$CN477,$CO477,$CP477,$CQ477,$CR477,$CS477,$CT477)</f>
        <v/>
      </c>
      <c r="DX477" s="66">
        <f>AVERAGE($CB477,$CC477,$CM477,$CE477,$CP477)</f>
        <v/>
      </c>
      <c r="DY477" s="64">
        <f>($DW477-$DW478)*100</f>
        <v/>
      </c>
      <c r="DZ477" s="64">
        <f>($DX477-$DX478)*100</f>
        <v/>
      </c>
      <c r="EA477" s="64">
        <f>($DW477-$D477)*100</f>
        <v/>
      </c>
      <c r="EB477" s="64">
        <f>$Q477-$O477</f>
        <v/>
      </c>
      <c r="EC477" s="67">
        <f>IFERROR($Q477/$P477,"")</f>
        <v/>
      </c>
    </row>
    <row r="478">
      <c r="DG478" s="64">
        <f>($B478-$B479)*100</f>
        <v/>
      </c>
      <c r="DH478" s="64">
        <f>($D478-$D479)*100</f>
        <v/>
      </c>
      <c r="DI478" s="64">
        <f>($E478-$E479)*100</f>
        <v/>
      </c>
      <c r="DJ478" s="64">
        <f>($H478-$H479)*100</f>
        <v/>
      </c>
      <c r="DK478" s="65">
        <f>IFERROR($J478/$J479-1,"")</f>
        <v/>
      </c>
      <c r="DL478" s="64">
        <f>$L478-$L479</f>
        <v/>
      </c>
      <c r="DM478" s="64">
        <f>$K478-$K479</f>
        <v/>
      </c>
      <c r="DN478" s="65">
        <f>IFERROR($N478/$N479-1,"")</f>
        <v/>
      </c>
      <c r="DO478" s="65">
        <f>IFERROR($M478/$M479-1,"")</f>
        <v/>
      </c>
      <c r="DP478" s="65">
        <f>IFERROR($AZ478/$AZ479-1,"")</f>
        <v/>
      </c>
      <c r="DQ478" s="65">
        <f>IFERROR($BA478/$BA479-1,"")</f>
        <v/>
      </c>
      <c r="DR478" s="64">
        <f>$O478-$O479</f>
        <v/>
      </c>
      <c r="DS478" s="64">
        <f>$P478-$P479</f>
        <v/>
      </c>
      <c r="DT478" s="64">
        <f>$Q478-$Q479</f>
        <v/>
      </c>
      <c r="DU478" s="64">
        <f>$S478-$S479</f>
        <v/>
      </c>
      <c r="DV478" s="65">
        <f>IFERROR(AVERAGE($AA479/$AA478-1,$AB479/$AB478-1,$AC479/$AC478-1,$AD479/$AD478-1,$AE479/$AE478-1,$AG479/$AG478-1,$AH479/$AH478-1,$AI479/$AI478-1,$AJ479/$AJ478-1,$AL479/$AL478-1,$AM479/$AM478-1,$AR479/$AR478-1,$AS479/$AS478-1,$AT479/$AT478-1,$AU479/$AU478-1,$AV479/$AV478-1,$AW479/$AW478-1,$AX479/$AX478-1,$AY479/$AY478-1),"")</f>
        <v/>
      </c>
      <c r="DW478" s="66">
        <f>AVERAGE($CB478,$CC478,$CD478,$CE478,$CF478,$CG478,$CH478,$CI478,$CJ478,$CL478,$CM478,$CN478,$CO478,$CP478,$CQ478,$CR478,$CS478,$CT478)</f>
        <v/>
      </c>
      <c r="DX478" s="66">
        <f>AVERAGE($CB478,$CC478,$CM478,$CE478,$CP478)</f>
        <v/>
      </c>
      <c r="DY478" s="64">
        <f>($DW478-$DW479)*100</f>
        <v/>
      </c>
      <c r="DZ478" s="64">
        <f>($DX478-$DX479)*100</f>
        <v/>
      </c>
      <c r="EA478" s="64">
        <f>($DW478-$D478)*100</f>
        <v/>
      </c>
      <c r="EB478" s="64">
        <f>$Q478-$O478</f>
        <v/>
      </c>
      <c r="EC478" s="67">
        <f>IFERROR($Q478/$P478,"")</f>
        <v/>
      </c>
    </row>
    <row r="479">
      <c r="DG479" s="64">
        <f>($B479-$B480)*100</f>
        <v/>
      </c>
      <c r="DH479" s="64">
        <f>($D479-$D480)*100</f>
        <v/>
      </c>
      <c r="DI479" s="64">
        <f>($E479-$E480)*100</f>
        <v/>
      </c>
      <c r="DJ479" s="64">
        <f>($H479-$H480)*100</f>
        <v/>
      </c>
      <c r="DK479" s="65">
        <f>IFERROR($J479/$J480-1,"")</f>
        <v/>
      </c>
      <c r="DL479" s="64">
        <f>$L479-$L480</f>
        <v/>
      </c>
      <c r="DM479" s="64">
        <f>$K479-$K480</f>
        <v/>
      </c>
      <c r="DN479" s="65">
        <f>IFERROR($N479/$N480-1,"")</f>
        <v/>
      </c>
      <c r="DO479" s="65">
        <f>IFERROR($M479/$M480-1,"")</f>
        <v/>
      </c>
      <c r="DP479" s="65">
        <f>IFERROR($AZ479/$AZ480-1,"")</f>
        <v/>
      </c>
      <c r="DQ479" s="65">
        <f>IFERROR($BA479/$BA480-1,"")</f>
        <v/>
      </c>
      <c r="DR479" s="64">
        <f>$O479-$O480</f>
        <v/>
      </c>
      <c r="DS479" s="64">
        <f>$P479-$P480</f>
        <v/>
      </c>
      <c r="DT479" s="64">
        <f>$Q479-$Q480</f>
        <v/>
      </c>
      <c r="DU479" s="64">
        <f>$S479-$S480</f>
        <v/>
      </c>
      <c r="DV479" s="65">
        <f>IFERROR(AVERAGE($AA480/$AA479-1,$AB480/$AB479-1,$AC480/$AC479-1,$AD480/$AD479-1,$AE480/$AE479-1,$AG480/$AG479-1,$AH480/$AH479-1,$AI480/$AI479-1,$AJ480/$AJ479-1,$AL480/$AL479-1,$AM480/$AM479-1,$AR480/$AR479-1,$AS480/$AS479-1,$AT480/$AT479-1,$AU480/$AU479-1,$AV480/$AV479-1,$AW480/$AW479-1,$AX480/$AX479-1,$AY480/$AY479-1),"")</f>
        <v/>
      </c>
      <c r="DW479" s="66">
        <f>AVERAGE($CB479,$CC479,$CD479,$CE479,$CF479,$CG479,$CH479,$CI479,$CJ479,$CL479,$CM479,$CN479,$CO479,$CP479,$CQ479,$CR479,$CS479,$CT479)</f>
        <v/>
      </c>
      <c r="DX479" s="66">
        <f>AVERAGE($CB479,$CC479,$CM479,$CE479,$CP479)</f>
        <v/>
      </c>
      <c r="DY479" s="64">
        <f>($DW479-$DW480)*100</f>
        <v/>
      </c>
      <c r="DZ479" s="64">
        <f>($DX479-$DX480)*100</f>
        <v/>
      </c>
      <c r="EA479" s="64">
        <f>($DW479-$D479)*100</f>
        <v/>
      </c>
      <c r="EB479" s="64">
        <f>$Q479-$O479</f>
        <v/>
      </c>
      <c r="EC479" s="67">
        <f>IFERROR($Q479/$P479,"")</f>
        <v/>
      </c>
    </row>
    <row r="480">
      <c r="DG480" s="64">
        <f>($B480-$B481)*100</f>
        <v/>
      </c>
      <c r="DH480" s="64">
        <f>($D480-$D481)*100</f>
        <v/>
      </c>
      <c r="DI480" s="64">
        <f>($E480-$E481)*100</f>
        <v/>
      </c>
      <c r="DJ480" s="64">
        <f>($H480-$H481)*100</f>
        <v/>
      </c>
      <c r="DK480" s="65">
        <f>IFERROR($J480/$J481-1,"")</f>
        <v/>
      </c>
      <c r="DL480" s="64">
        <f>$L480-$L481</f>
        <v/>
      </c>
      <c r="DM480" s="64">
        <f>$K480-$K481</f>
        <v/>
      </c>
      <c r="DN480" s="65">
        <f>IFERROR($N480/$N481-1,"")</f>
        <v/>
      </c>
      <c r="DO480" s="65">
        <f>IFERROR($M480/$M481-1,"")</f>
        <v/>
      </c>
      <c r="DP480" s="65">
        <f>IFERROR($AZ480/$AZ481-1,"")</f>
        <v/>
      </c>
      <c r="DQ480" s="65">
        <f>IFERROR($BA480/$BA481-1,"")</f>
        <v/>
      </c>
      <c r="DR480" s="64">
        <f>$O480-$O481</f>
        <v/>
      </c>
      <c r="DS480" s="64">
        <f>$P480-$P481</f>
        <v/>
      </c>
      <c r="DT480" s="64">
        <f>$Q480-$Q481</f>
        <v/>
      </c>
      <c r="DU480" s="64">
        <f>$S480-$S481</f>
        <v/>
      </c>
      <c r="DV480" s="65">
        <f>IFERROR(AVERAGE($AA481/$AA480-1,$AB481/$AB480-1,$AC481/$AC480-1,$AD481/$AD480-1,$AE481/$AE480-1,$AG481/$AG480-1,$AH481/$AH480-1,$AI481/$AI480-1,$AJ481/$AJ480-1,$AL481/$AL480-1,$AM481/$AM480-1,$AR481/$AR480-1,$AS481/$AS480-1,$AT481/$AT480-1,$AU481/$AU480-1,$AV481/$AV480-1,$AW481/$AW480-1,$AX481/$AX480-1,$AY481/$AY480-1),"")</f>
        <v/>
      </c>
      <c r="DW480" s="66">
        <f>AVERAGE($CB480,$CC480,$CD480,$CE480,$CF480,$CG480,$CH480,$CI480,$CJ480,$CL480,$CM480,$CN480,$CO480,$CP480,$CQ480,$CR480,$CS480,$CT480)</f>
        <v/>
      </c>
      <c r="DX480" s="66">
        <f>AVERAGE($CB480,$CC480,$CM480,$CE480,$CP480)</f>
        <v/>
      </c>
      <c r="DY480" s="64">
        <f>($DW480-$DW481)*100</f>
        <v/>
      </c>
      <c r="DZ480" s="64">
        <f>($DX480-$DX481)*100</f>
        <v/>
      </c>
      <c r="EA480" s="64">
        <f>($DW480-$D480)*100</f>
        <v/>
      </c>
      <c r="EB480" s="64">
        <f>$Q480-$O480</f>
        <v/>
      </c>
      <c r="EC480" s="67">
        <f>IFERROR($Q480/$P480,"")</f>
        <v/>
      </c>
    </row>
    <row r="481">
      <c r="DG481" s="64">
        <f>($B481-$B482)*100</f>
        <v/>
      </c>
      <c r="DH481" s="64">
        <f>($D481-$D482)*100</f>
        <v/>
      </c>
      <c r="DI481" s="64">
        <f>($E481-$E482)*100</f>
        <v/>
      </c>
      <c r="DJ481" s="64">
        <f>($H481-$H482)*100</f>
        <v/>
      </c>
      <c r="DK481" s="65">
        <f>IFERROR($J481/$J482-1,"")</f>
        <v/>
      </c>
      <c r="DL481" s="64">
        <f>$L481-$L482</f>
        <v/>
      </c>
      <c r="DM481" s="64">
        <f>$K481-$K482</f>
        <v/>
      </c>
      <c r="DN481" s="65">
        <f>IFERROR($N481/$N482-1,"")</f>
        <v/>
      </c>
      <c r="DO481" s="65">
        <f>IFERROR($M481/$M482-1,"")</f>
        <v/>
      </c>
      <c r="DP481" s="65">
        <f>IFERROR($AZ481/$AZ482-1,"")</f>
        <v/>
      </c>
      <c r="DQ481" s="65">
        <f>IFERROR($BA481/$BA482-1,"")</f>
        <v/>
      </c>
      <c r="DR481" s="64">
        <f>$O481-$O482</f>
        <v/>
      </c>
      <c r="DS481" s="64">
        <f>$P481-$P482</f>
        <v/>
      </c>
      <c r="DT481" s="64">
        <f>$Q481-$Q482</f>
        <v/>
      </c>
      <c r="DU481" s="64">
        <f>$S481-$S482</f>
        <v/>
      </c>
      <c r="DV481" s="65">
        <f>IFERROR(AVERAGE($AA482/$AA481-1,$AB482/$AB481-1,$AC482/$AC481-1,$AD482/$AD481-1,$AE482/$AE481-1,$AG482/$AG481-1,$AH482/$AH481-1,$AI482/$AI481-1,$AJ482/$AJ481-1,$AL482/$AL481-1,$AM482/$AM481-1,$AR482/$AR481-1,$AS482/$AS481-1,$AT482/$AT481-1,$AU482/$AU481-1,$AV482/$AV481-1,$AW482/$AW481-1,$AX482/$AX481-1,$AY482/$AY481-1),"")</f>
        <v/>
      </c>
      <c r="DW481" s="66">
        <f>AVERAGE($CB481,$CC481,$CD481,$CE481,$CF481,$CG481,$CH481,$CI481,$CJ481,$CL481,$CM481,$CN481,$CO481,$CP481,$CQ481,$CR481,$CS481,$CT481)</f>
        <v/>
      </c>
      <c r="DX481" s="66">
        <f>AVERAGE($CB481,$CC481,$CM481,$CE481,$CP481)</f>
        <v/>
      </c>
      <c r="DY481" s="64">
        <f>($DW481-$DW482)*100</f>
        <v/>
      </c>
      <c r="DZ481" s="64">
        <f>($DX481-$DX482)*100</f>
        <v/>
      </c>
      <c r="EA481" s="64">
        <f>($DW481-$D481)*100</f>
        <v/>
      </c>
      <c r="EB481" s="64">
        <f>$Q481-$O481</f>
        <v/>
      </c>
      <c r="EC481" s="67">
        <f>IFERROR($Q481/$P481,"")</f>
        <v/>
      </c>
    </row>
    <row r="482">
      <c r="DG482" s="64">
        <f>($B482-$B483)*100</f>
        <v/>
      </c>
      <c r="DH482" s="64">
        <f>($D482-$D483)*100</f>
        <v/>
      </c>
      <c r="DI482" s="64">
        <f>($E482-$E483)*100</f>
        <v/>
      </c>
      <c r="DJ482" s="64">
        <f>($H482-$H483)*100</f>
        <v/>
      </c>
      <c r="DK482" s="65">
        <f>IFERROR($J482/$J483-1,"")</f>
        <v/>
      </c>
      <c r="DL482" s="64">
        <f>$L482-$L483</f>
        <v/>
      </c>
      <c r="DM482" s="64">
        <f>$K482-$K483</f>
        <v/>
      </c>
      <c r="DN482" s="65">
        <f>IFERROR($N482/$N483-1,"")</f>
        <v/>
      </c>
      <c r="DO482" s="65">
        <f>IFERROR($M482/$M483-1,"")</f>
        <v/>
      </c>
      <c r="DP482" s="65">
        <f>IFERROR($AZ482/$AZ483-1,"")</f>
        <v/>
      </c>
      <c r="DQ482" s="65">
        <f>IFERROR($BA482/$BA483-1,"")</f>
        <v/>
      </c>
      <c r="DR482" s="64">
        <f>$O482-$O483</f>
        <v/>
      </c>
      <c r="DS482" s="64">
        <f>$P482-$P483</f>
        <v/>
      </c>
      <c r="DT482" s="64">
        <f>$Q482-$Q483</f>
        <v/>
      </c>
      <c r="DU482" s="64">
        <f>$S482-$S483</f>
        <v/>
      </c>
      <c r="DV482" s="65">
        <f>IFERROR(AVERAGE($AA483/$AA482-1,$AB483/$AB482-1,$AC483/$AC482-1,$AD483/$AD482-1,$AE483/$AE482-1,$AG483/$AG482-1,$AH483/$AH482-1,$AI483/$AI482-1,$AJ483/$AJ482-1,$AL483/$AL482-1,$AM483/$AM482-1,$AR483/$AR482-1,$AS483/$AS482-1,$AT483/$AT482-1,$AU483/$AU482-1,$AV483/$AV482-1,$AW483/$AW482-1,$AX483/$AX482-1,$AY483/$AY482-1),"")</f>
        <v/>
      </c>
      <c r="DW482" s="66">
        <f>AVERAGE($CB482,$CC482,$CD482,$CE482,$CF482,$CG482,$CH482,$CI482,$CJ482,$CL482,$CM482,$CN482,$CO482,$CP482,$CQ482,$CR482,$CS482,$CT482)</f>
        <v/>
      </c>
      <c r="DX482" s="66">
        <f>AVERAGE($CB482,$CC482,$CM482,$CE482,$CP482)</f>
        <v/>
      </c>
      <c r="DY482" s="64">
        <f>($DW482-$DW483)*100</f>
        <v/>
      </c>
      <c r="DZ482" s="64">
        <f>($DX482-$DX483)*100</f>
        <v/>
      </c>
      <c r="EA482" s="64">
        <f>($DW482-$D482)*100</f>
        <v/>
      </c>
      <c r="EB482" s="64">
        <f>$Q482-$O482</f>
        <v/>
      </c>
      <c r="EC482" s="67">
        <f>IFERROR($Q482/$P482,"")</f>
        <v/>
      </c>
    </row>
    <row r="483">
      <c r="DG483" s="64">
        <f>($B483-$B484)*100</f>
        <v/>
      </c>
      <c r="DH483" s="64">
        <f>($D483-$D484)*100</f>
        <v/>
      </c>
      <c r="DI483" s="64">
        <f>($E483-$E484)*100</f>
        <v/>
      </c>
      <c r="DJ483" s="64">
        <f>($H483-$H484)*100</f>
        <v/>
      </c>
      <c r="DK483" s="65">
        <f>IFERROR($J483/$J484-1,"")</f>
        <v/>
      </c>
      <c r="DL483" s="64">
        <f>$L483-$L484</f>
        <v/>
      </c>
      <c r="DM483" s="64">
        <f>$K483-$K484</f>
        <v/>
      </c>
      <c r="DN483" s="65">
        <f>IFERROR($N483/$N484-1,"")</f>
        <v/>
      </c>
      <c r="DO483" s="65">
        <f>IFERROR($M483/$M484-1,"")</f>
        <v/>
      </c>
      <c r="DP483" s="65">
        <f>IFERROR($AZ483/$AZ484-1,"")</f>
        <v/>
      </c>
      <c r="DQ483" s="65">
        <f>IFERROR($BA483/$BA484-1,"")</f>
        <v/>
      </c>
      <c r="DR483" s="64">
        <f>$O483-$O484</f>
        <v/>
      </c>
      <c r="DS483" s="64">
        <f>$P483-$P484</f>
        <v/>
      </c>
      <c r="DT483" s="64">
        <f>$Q483-$Q484</f>
        <v/>
      </c>
      <c r="DU483" s="64">
        <f>$S483-$S484</f>
        <v/>
      </c>
      <c r="DV483" s="65">
        <f>IFERROR(AVERAGE($AA484/$AA483-1,$AB484/$AB483-1,$AC484/$AC483-1,$AD484/$AD483-1,$AE484/$AE483-1,$AG484/$AG483-1,$AH484/$AH483-1,$AI484/$AI483-1,$AJ484/$AJ483-1,$AL484/$AL483-1,$AM484/$AM483-1,$AR484/$AR483-1,$AS484/$AS483-1,$AT484/$AT483-1,$AU484/$AU483-1,$AV484/$AV483-1,$AW484/$AW483-1,$AX484/$AX483-1,$AY484/$AY483-1),"")</f>
        <v/>
      </c>
      <c r="DW483" s="66">
        <f>AVERAGE($CB483,$CC483,$CD483,$CE483,$CF483,$CG483,$CH483,$CI483,$CJ483,$CL483,$CM483,$CN483,$CO483,$CP483,$CQ483,$CR483,$CS483,$CT483)</f>
        <v/>
      </c>
      <c r="DX483" s="66">
        <f>AVERAGE($CB483,$CC483,$CM483,$CE483,$CP483)</f>
        <v/>
      </c>
      <c r="DY483" s="64">
        <f>($DW483-$DW484)*100</f>
        <v/>
      </c>
      <c r="DZ483" s="64">
        <f>($DX483-$DX484)*100</f>
        <v/>
      </c>
      <c r="EA483" s="64">
        <f>($DW483-$D483)*100</f>
        <v/>
      </c>
      <c r="EB483" s="64">
        <f>$Q483-$O483</f>
        <v/>
      </c>
      <c r="EC483" s="67">
        <f>IFERROR($Q483/$P483,"")</f>
        <v/>
      </c>
    </row>
    <row r="484">
      <c r="DG484" s="64">
        <f>($B484-$B485)*100</f>
        <v/>
      </c>
      <c r="DH484" s="64">
        <f>($D484-$D485)*100</f>
        <v/>
      </c>
      <c r="DI484" s="64">
        <f>($E484-$E485)*100</f>
        <v/>
      </c>
      <c r="DJ484" s="64">
        <f>($H484-$H485)*100</f>
        <v/>
      </c>
      <c r="DK484" s="65">
        <f>IFERROR($J484/$J485-1,"")</f>
        <v/>
      </c>
      <c r="DL484" s="64">
        <f>$L484-$L485</f>
        <v/>
      </c>
      <c r="DM484" s="64">
        <f>$K484-$K485</f>
        <v/>
      </c>
      <c r="DN484" s="65">
        <f>IFERROR($N484/$N485-1,"")</f>
        <v/>
      </c>
      <c r="DO484" s="65">
        <f>IFERROR($M484/$M485-1,"")</f>
        <v/>
      </c>
      <c r="DP484" s="65">
        <f>IFERROR($AZ484/$AZ485-1,"")</f>
        <v/>
      </c>
      <c r="DQ484" s="65">
        <f>IFERROR($BA484/$BA485-1,"")</f>
        <v/>
      </c>
      <c r="DR484" s="64">
        <f>$O484-$O485</f>
        <v/>
      </c>
      <c r="DS484" s="64">
        <f>$P484-$P485</f>
        <v/>
      </c>
      <c r="DT484" s="64">
        <f>$Q484-$Q485</f>
        <v/>
      </c>
      <c r="DU484" s="64">
        <f>$S484-$S485</f>
        <v/>
      </c>
      <c r="DV484" s="65">
        <f>IFERROR(AVERAGE($AA485/$AA484-1,$AB485/$AB484-1,$AC485/$AC484-1,$AD485/$AD484-1,$AE485/$AE484-1,$AG485/$AG484-1,$AH485/$AH484-1,$AI485/$AI484-1,$AJ485/$AJ484-1,$AL485/$AL484-1,$AM485/$AM484-1,$AR485/$AR484-1,$AS485/$AS484-1,$AT485/$AT484-1,$AU485/$AU484-1,$AV485/$AV484-1,$AW485/$AW484-1,$AX485/$AX484-1,$AY485/$AY484-1),"")</f>
        <v/>
      </c>
      <c r="DW484" s="66">
        <f>AVERAGE($CB484,$CC484,$CD484,$CE484,$CF484,$CG484,$CH484,$CI484,$CJ484,$CL484,$CM484,$CN484,$CO484,$CP484,$CQ484,$CR484,$CS484,$CT484)</f>
        <v/>
      </c>
      <c r="DX484" s="66">
        <f>AVERAGE($CB484,$CC484,$CM484,$CE484,$CP484)</f>
        <v/>
      </c>
      <c r="DY484" s="64">
        <f>($DW484-$DW485)*100</f>
        <v/>
      </c>
      <c r="DZ484" s="64">
        <f>($DX484-$DX485)*100</f>
        <v/>
      </c>
      <c r="EA484" s="64">
        <f>($DW484-$D484)*100</f>
        <v/>
      </c>
      <c r="EB484" s="64">
        <f>$Q484-$O484</f>
        <v/>
      </c>
      <c r="EC484" s="67">
        <f>IFERROR($Q484/$P484,"")</f>
        <v/>
      </c>
    </row>
    <row r="485">
      <c r="DG485" s="64">
        <f>($B485-$B486)*100</f>
        <v/>
      </c>
      <c r="DH485" s="64">
        <f>($D485-$D486)*100</f>
        <v/>
      </c>
      <c r="DI485" s="64">
        <f>($E485-$E486)*100</f>
        <v/>
      </c>
      <c r="DJ485" s="64">
        <f>($H485-$H486)*100</f>
        <v/>
      </c>
      <c r="DK485" s="65">
        <f>IFERROR($J485/$J486-1,"")</f>
        <v/>
      </c>
      <c r="DL485" s="64">
        <f>$L485-$L486</f>
        <v/>
      </c>
      <c r="DM485" s="64">
        <f>$K485-$K486</f>
        <v/>
      </c>
      <c r="DN485" s="65">
        <f>IFERROR($N485/$N486-1,"")</f>
        <v/>
      </c>
      <c r="DO485" s="65">
        <f>IFERROR($M485/$M486-1,"")</f>
        <v/>
      </c>
      <c r="DP485" s="65">
        <f>IFERROR($AZ485/$AZ486-1,"")</f>
        <v/>
      </c>
      <c r="DQ485" s="65">
        <f>IFERROR($BA485/$BA486-1,"")</f>
        <v/>
      </c>
      <c r="DR485" s="64">
        <f>$O485-$O486</f>
        <v/>
      </c>
      <c r="DS485" s="64">
        <f>$P485-$P486</f>
        <v/>
      </c>
      <c r="DT485" s="64">
        <f>$Q485-$Q486</f>
        <v/>
      </c>
      <c r="DU485" s="64">
        <f>$S485-$S486</f>
        <v/>
      </c>
      <c r="DV485" s="65">
        <f>IFERROR(AVERAGE($AA486/$AA485-1,$AB486/$AB485-1,$AC486/$AC485-1,$AD486/$AD485-1,$AE486/$AE485-1,$AG486/$AG485-1,$AH486/$AH485-1,$AI486/$AI485-1,$AJ486/$AJ485-1,$AL486/$AL485-1,$AM486/$AM485-1,$AR486/$AR485-1,$AS486/$AS485-1,$AT486/$AT485-1,$AU486/$AU485-1,$AV486/$AV485-1,$AW486/$AW485-1,$AX486/$AX485-1,$AY486/$AY485-1),"")</f>
        <v/>
      </c>
      <c r="DW485" s="66">
        <f>AVERAGE($CB485,$CC485,$CD485,$CE485,$CF485,$CG485,$CH485,$CI485,$CJ485,$CL485,$CM485,$CN485,$CO485,$CP485,$CQ485,$CR485,$CS485,$CT485)</f>
        <v/>
      </c>
      <c r="DX485" s="66">
        <f>AVERAGE($CB485,$CC485,$CM485,$CE485,$CP485)</f>
        <v/>
      </c>
      <c r="DY485" s="64">
        <f>($DW485-$DW486)*100</f>
        <v/>
      </c>
      <c r="DZ485" s="64">
        <f>($DX485-$DX486)*100</f>
        <v/>
      </c>
      <c r="EA485" s="64">
        <f>($DW485-$D485)*100</f>
        <v/>
      </c>
      <c r="EB485" s="64">
        <f>$Q485-$O485</f>
        <v/>
      </c>
      <c r="EC485" s="67">
        <f>IFERROR($Q485/$P485,"")</f>
        <v/>
      </c>
    </row>
    <row r="486">
      <c r="DG486" s="64">
        <f>($B486-$B487)*100</f>
        <v/>
      </c>
      <c r="DH486" s="64">
        <f>($D486-$D487)*100</f>
        <v/>
      </c>
      <c r="DI486" s="64">
        <f>($E486-$E487)*100</f>
        <v/>
      </c>
      <c r="DJ486" s="64">
        <f>($H486-$H487)*100</f>
        <v/>
      </c>
      <c r="DK486" s="65">
        <f>IFERROR($J486/$J487-1,"")</f>
        <v/>
      </c>
      <c r="DL486" s="64">
        <f>$L486-$L487</f>
        <v/>
      </c>
      <c r="DM486" s="64">
        <f>$K486-$K487</f>
        <v/>
      </c>
      <c r="DN486" s="65">
        <f>IFERROR($N486/$N487-1,"")</f>
        <v/>
      </c>
      <c r="DO486" s="65">
        <f>IFERROR($M486/$M487-1,"")</f>
        <v/>
      </c>
      <c r="DP486" s="65">
        <f>IFERROR($AZ486/$AZ487-1,"")</f>
        <v/>
      </c>
      <c r="DQ486" s="65">
        <f>IFERROR($BA486/$BA487-1,"")</f>
        <v/>
      </c>
      <c r="DR486" s="64">
        <f>$O486-$O487</f>
        <v/>
      </c>
      <c r="DS486" s="64">
        <f>$P486-$P487</f>
        <v/>
      </c>
      <c r="DT486" s="64">
        <f>$Q486-$Q487</f>
        <v/>
      </c>
      <c r="DU486" s="64">
        <f>$S486-$S487</f>
        <v/>
      </c>
      <c r="DV486" s="65">
        <f>IFERROR(AVERAGE($AA487/$AA486-1,$AB487/$AB486-1,$AC487/$AC486-1,$AD487/$AD486-1,$AE487/$AE486-1,$AG487/$AG486-1,$AH487/$AH486-1,$AI487/$AI486-1,$AJ487/$AJ486-1,$AL487/$AL486-1,$AM487/$AM486-1,$AR487/$AR486-1,$AS487/$AS486-1,$AT487/$AT486-1,$AU487/$AU486-1,$AV487/$AV486-1,$AW487/$AW486-1,$AX487/$AX486-1,$AY487/$AY486-1),"")</f>
        <v/>
      </c>
      <c r="DW486" s="66">
        <f>AVERAGE($CB486,$CC486,$CD486,$CE486,$CF486,$CG486,$CH486,$CI486,$CJ486,$CL486,$CM486,$CN486,$CO486,$CP486,$CQ486,$CR486,$CS486,$CT486)</f>
        <v/>
      </c>
      <c r="DX486" s="66">
        <f>AVERAGE($CB486,$CC486,$CM486,$CE486,$CP486)</f>
        <v/>
      </c>
      <c r="DY486" s="64">
        <f>($DW486-$DW487)*100</f>
        <v/>
      </c>
      <c r="DZ486" s="64">
        <f>($DX486-$DX487)*100</f>
        <v/>
      </c>
      <c r="EA486" s="64">
        <f>($DW486-$D486)*100</f>
        <v/>
      </c>
      <c r="EB486" s="64">
        <f>$Q486-$O486</f>
        <v/>
      </c>
      <c r="EC486" s="67">
        <f>IFERROR($Q486/$P486,"")</f>
        <v/>
      </c>
    </row>
    <row r="487">
      <c r="DG487" s="64">
        <f>($B487-$B488)*100</f>
        <v/>
      </c>
      <c r="DH487" s="64">
        <f>($D487-$D488)*100</f>
        <v/>
      </c>
      <c r="DI487" s="64">
        <f>($E487-$E488)*100</f>
        <v/>
      </c>
      <c r="DJ487" s="64">
        <f>($H487-$H488)*100</f>
        <v/>
      </c>
      <c r="DK487" s="65">
        <f>IFERROR($J487/$J488-1,"")</f>
        <v/>
      </c>
      <c r="DL487" s="64">
        <f>$L487-$L488</f>
        <v/>
      </c>
      <c r="DM487" s="64">
        <f>$K487-$K488</f>
        <v/>
      </c>
      <c r="DN487" s="65">
        <f>IFERROR($N487/$N488-1,"")</f>
        <v/>
      </c>
      <c r="DO487" s="65">
        <f>IFERROR($M487/$M488-1,"")</f>
        <v/>
      </c>
      <c r="DP487" s="65">
        <f>IFERROR($AZ487/$AZ488-1,"")</f>
        <v/>
      </c>
      <c r="DQ487" s="65">
        <f>IFERROR($BA487/$BA488-1,"")</f>
        <v/>
      </c>
      <c r="DR487" s="64">
        <f>$O487-$O488</f>
        <v/>
      </c>
      <c r="DS487" s="64">
        <f>$P487-$P488</f>
        <v/>
      </c>
      <c r="DT487" s="64">
        <f>$Q487-$Q488</f>
        <v/>
      </c>
      <c r="DU487" s="64">
        <f>$S487-$S488</f>
        <v/>
      </c>
      <c r="DV487" s="65">
        <f>IFERROR(AVERAGE($AA488/$AA487-1,$AB488/$AB487-1,$AC488/$AC487-1,$AD488/$AD487-1,$AE488/$AE487-1,$AG488/$AG487-1,$AH488/$AH487-1,$AI488/$AI487-1,$AJ488/$AJ487-1,$AL488/$AL487-1,$AM488/$AM487-1,$AR488/$AR487-1,$AS488/$AS487-1,$AT488/$AT487-1,$AU488/$AU487-1,$AV488/$AV487-1,$AW488/$AW487-1,$AX488/$AX487-1,$AY488/$AY487-1),"")</f>
        <v/>
      </c>
      <c r="DW487" s="66">
        <f>AVERAGE($CB487,$CC487,$CD487,$CE487,$CF487,$CG487,$CH487,$CI487,$CJ487,$CL487,$CM487,$CN487,$CO487,$CP487,$CQ487,$CR487,$CS487,$CT487)</f>
        <v/>
      </c>
      <c r="DX487" s="66">
        <f>AVERAGE($CB487,$CC487,$CM487,$CE487,$CP487)</f>
        <v/>
      </c>
      <c r="DY487" s="64">
        <f>($DW487-$DW488)*100</f>
        <v/>
      </c>
      <c r="DZ487" s="64">
        <f>($DX487-$DX488)*100</f>
        <v/>
      </c>
      <c r="EA487" s="64">
        <f>($DW487-$D487)*100</f>
        <v/>
      </c>
      <c r="EB487" s="64">
        <f>$Q487-$O487</f>
        <v/>
      </c>
      <c r="EC487" s="67">
        <f>IFERROR($Q487/$P487,"")</f>
        <v/>
      </c>
    </row>
    <row r="488">
      <c r="DG488" s="64">
        <f>($B488-$B489)*100</f>
        <v/>
      </c>
      <c r="DH488" s="64">
        <f>($D488-$D489)*100</f>
        <v/>
      </c>
      <c r="DI488" s="64">
        <f>($E488-$E489)*100</f>
        <v/>
      </c>
      <c r="DJ488" s="64">
        <f>($H488-$H489)*100</f>
        <v/>
      </c>
      <c r="DK488" s="65">
        <f>IFERROR($J488/$J489-1,"")</f>
        <v/>
      </c>
      <c r="DL488" s="64">
        <f>$L488-$L489</f>
        <v/>
      </c>
      <c r="DM488" s="64">
        <f>$K488-$K489</f>
        <v/>
      </c>
      <c r="DN488" s="65">
        <f>IFERROR($N488/$N489-1,"")</f>
        <v/>
      </c>
      <c r="DO488" s="65">
        <f>IFERROR($M488/$M489-1,"")</f>
        <v/>
      </c>
      <c r="DP488" s="65">
        <f>IFERROR($AZ488/$AZ489-1,"")</f>
        <v/>
      </c>
      <c r="DQ488" s="65">
        <f>IFERROR($BA488/$BA489-1,"")</f>
        <v/>
      </c>
      <c r="DR488" s="64">
        <f>$O488-$O489</f>
        <v/>
      </c>
      <c r="DS488" s="64">
        <f>$P488-$P489</f>
        <v/>
      </c>
      <c r="DT488" s="64">
        <f>$Q488-$Q489</f>
        <v/>
      </c>
      <c r="DU488" s="64">
        <f>$S488-$S489</f>
        <v/>
      </c>
      <c r="DV488" s="65">
        <f>IFERROR(AVERAGE($AA489/$AA488-1,$AB489/$AB488-1,$AC489/$AC488-1,$AD489/$AD488-1,$AE489/$AE488-1,$AG489/$AG488-1,$AH489/$AH488-1,$AI489/$AI488-1,$AJ489/$AJ488-1,$AL489/$AL488-1,$AM489/$AM488-1,$AR489/$AR488-1,$AS489/$AS488-1,$AT489/$AT488-1,$AU489/$AU488-1,$AV489/$AV488-1,$AW489/$AW488-1,$AX489/$AX488-1,$AY489/$AY488-1),"")</f>
        <v/>
      </c>
      <c r="DW488" s="66">
        <f>AVERAGE($CB488,$CC488,$CD488,$CE488,$CF488,$CG488,$CH488,$CI488,$CJ488,$CL488,$CM488,$CN488,$CO488,$CP488,$CQ488,$CR488,$CS488,$CT488)</f>
        <v/>
      </c>
      <c r="DX488" s="66">
        <f>AVERAGE($CB488,$CC488,$CM488,$CE488,$CP488)</f>
        <v/>
      </c>
      <c r="DY488" s="64">
        <f>($DW488-$DW489)*100</f>
        <v/>
      </c>
      <c r="DZ488" s="64">
        <f>($DX488-$DX489)*100</f>
        <v/>
      </c>
      <c r="EA488" s="64">
        <f>($DW488-$D488)*100</f>
        <v/>
      </c>
      <c r="EB488" s="64">
        <f>$Q488-$O488</f>
        <v/>
      </c>
      <c r="EC488" s="67">
        <f>IFERROR($Q488/$P488,"")</f>
        <v/>
      </c>
    </row>
    <row r="489">
      <c r="DG489" s="64">
        <f>($B489-$B490)*100</f>
        <v/>
      </c>
      <c r="DH489" s="64">
        <f>($D489-$D490)*100</f>
        <v/>
      </c>
      <c r="DI489" s="64">
        <f>($E489-$E490)*100</f>
        <v/>
      </c>
      <c r="DJ489" s="64">
        <f>($H489-$H490)*100</f>
        <v/>
      </c>
      <c r="DK489" s="65">
        <f>IFERROR($J489/$J490-1,"")</f>
        <v/>
      </c>
      <c r="DL489" s="64">
        <f>$L489-$L490</f>
        <v/>
      </c>
      <c r="DM489" s="64">
        <f>$K489-$K490</f>
        <v/>
      </c>
      <c r="DN489" s="65">
        <f>IFERROR($N489/$N490-1,"")</f>
        <v/>
      </c>
      <c r="DO489" s="65">
        <f>IFERROR($M489/$M490-1,"")</f>
        <v/>
      </c>
      <c r="DP489" s="65">
        <f>IFERROR($AZ489/$AZ490-1,"")</f>
        <v/>
      </c>
      <c r="DQ489" s="65">
        <f>IFERROR($BA489/$BA490-1,"")</f>
        <v/>
      </c>
      <c r="DR489" s="64">
        <f>$O489-$O490</f>
        <v/>
      </c>
      <c r="DS489" s="64">
        <f>$P489-$P490</f>
        <v/>
      </c>
      <c r="DT489" s="64">
        <f>$Q489-$Q490</f>
        <v/>
      </c>
      <c r="DU489" s="64">
        <f>$S489-$S490</f>
        <v/>
      </c>
      <c r="DV489" s="65">
        <f>IFERROR(AVERAGE($AA490/$AA489-1,$AB490/$AB489-1,$AC490/$AC489-1,$AD490/$AD489-1,$AE490/$AE489-1,$AG490/$AG489-1,$AH490/$AH489-1,$AI490/$AI489-1,$AJ490/$AJ489-1,$AL490/$AL489-1,$AM490/$AM489-1,$AR490/$AR489-1,$AS490/$AS489-1,$AT490/$AT489-1,$AU490/$AU489-1,$AV490/$AV489-1,$AW490/$AW489-1,$AX490/$AX489-1,$AY490/$AY489-1),"")</f>
        <v/>
      </c>
      <c r="DW489" s="66">
        <f>AVERAGE($CB489,$CC489,$CD489,$CE489,$CF489,$CG489,$CH489,$CI489,$CJ489,$CL489,$CM489,$CN489,$CO489,$CP489,$CQ489,$CR489,$CS489,$CT489)</f>
        <v/>
      </c>
      <c r="DX489" s="66">
        <f>AVERAGE($CB489,$CC489,$CM489,$CE489,$CP489)</f>
        <v/>
      </c>
      <c r="DY489" s="64">
        <f>($DW489-$DW490)*100</f>
        <v/>
      </c>
      <c r="DZ489" s="64">
        <f>($DX489-$DX490)*100</f>
        <v/>
      </c>
      <c r="EA489" s="64">
        <f>($DW489-$D489)*100</f>
        <v/>
      </c>
      <c r="EB489" s="64">
        <f>$Q489-$O489</f>
        <v/>
      </c>
      <c r="EC489" s="67">
        <f>IFERROR($Q489/$P489,"")</f>
        <v/>
      </c>
    </row>
    <row r="490">
      <c r="DG490" s="64">
        <f>($B490-$B491)*100</f>
        <v/>
      </c>
      <c r="DH490" s="64">
        <f>($D490-$D491)*100</f>
        <v/>
      </c>
      <c r="DI490" s="64">
        <f>($E490-$E491)*100</f>
        <v/>
      </c>
      <c r="DJ490" s="64">
        <f>($H490-$H491)*100</f>
        <v/>
      </c>
      <c r="DK490" s="65">
        <f>IFERROR($J490/$J491-1,"")</f>
        <v/>
      </c>
      <c r="DL490" s="64">
        <f>$L490-$L491</f>
        <v/>
      </c>
      <c r="DM490" s="64">
        <f>$K490-$K491</f>
        <v/>
      </c>
      <c r="DN490" s="65">
        <f>IFERROR($N490/$N491-1,"")</f>
        <v/>
      </c>
      <c r="DO490" s="65">
        <f>IFERROR($M490/$M491-1,"")</f>
        <v/>
      </c>
      <c r="DP490" s="65">
        <f>IFERROR($AZ490/$AZ491-1,"")</f>
        <v/>
      </c>
      <c r="DQ490" s="65">
        <f>IFERROR($BA490/$BA491-1,"")</f>
        <v/>
      </c>
      <c r="DR490" s="64">
        <f>$O490-$O491</f>
        <v/>
      </c>
      <c r="DS490" s="64">
        <f>$P490-$P491</f>
        <v/>
      </c>
      <c r="DT490" s="64">
        <f>$Q490-$Q491</f>
        <v/>
      </c>
      <c r="DU490" s="64">
        <f>$S490-$S491</f>
        <v/>
      </c>
      <c r="DV490" s="65">
        <f>IFERROR(AVERAGE($AA491/$AA490-1,$AB491/$AB490-1,$AC491/$AC490-1,$AD491/$AD490-1,$AE491/$AE490-1,$AG491/$AG490-1,$AH491/$AH490-1,$AI491/$AI490-1,$AJ491/$AJ490-1,$AL491/$AL490-1,$AM491/$AM490-1,$AR491/$AR490-1,$AS491/$AS490-1,$AT491/$AT490-1,$AU491/$AU490-1,$AV491/$AV490-1,$AW491/$AW490-1,$AX491/$AX490-1,$AY491/$AY490-1),"")</f>
        <v/>
      </c>
      <c r="DW490" s="66">
        <f>AVERAGE($CB490,$CC490,$CD490,$CE490,$CF490,$CG490,$CH490,$CI490,$CJ490,$CL490,$CM490,$CN490,$CO490,$CP490,$CQ490,$CR490,$CS490,$CT490)</f>
        <v/>
      </c>
      <c r="DX490" s="66">
        <f>AVERAGE($CB490,$CC490,$CM490,$CE490,$CP490)</f>
        <v/>
      </c>
      <c r="DY490" s="64">
        <f>($DW490-$DW491)*100</f>
        <v/>
      </c>
      <c r="DZ490" s="64">
        <f>($DX490-$DX491)*100</f>
        <v/>
      </c>
      <c r="EA490" s="64">
        <f>($DW490-$D490)*100</f>
        <v/>
      </c>
      <c r="EB490" s="64">
        <f>$Q490-$O490</f>
        <v/>
      </c>
      <c r="EC490" s="67">
        <f>IFERROR($Q490/$P490,"")</f>
        <v/>
      </c>
    </row>
    <row r="491">
      <c r="DG491" s="64">
        <f>($B491-$B492)*100</f>
        <v/>
      </c>
      <c r="DH491" s="64">
        <f>($D491-$D492)*100</f>
        <v/>
      </c>
      <c r="DI491" s="64">
        <f>($E491-$E492)*100</f>
        <v/>
      </c>
      <c r="DJ491" s="64">
        <f>($H491-$H492)*100</f>
        <v/>
      </c>
      <c r="DK491" s="65">
        <f>IFERROR($J491/$J492-1,"")</f>
        <v/>
      </c>
      <c r="DL491" s="64">
        <f>$L491-$L492</f>
        <v/>
      </c>
      <c r="DM491" s="64">
        <f>$K491-$K492</f>
        <v/>
      </c>
      <c r="DN491" s="65">
        <f>IFERROR($N491/$N492-1,"")</f>
        <v/>
      </c>
      <c r="DO491" s="65">
        <f>IFERROR($M491/$M492-1,"")</f>
        <v/>
      </c>
      <c r="DP491" s="65">
        <f>IFERROR($AZ491/$AZ492-1,"")</f>
        <v/>
      </c>
      <c r="DQ491" s="65">
        <f>IFERROR($BA491/$BA492-1,"")</f>
        <v/>
      </c>
      <c r="DR491" s="64">
        <f>$O491-$O492</f>
        <v/>
      </c>
      <c r="DS491" s="64">
        <f>$P491-$P492</f>
        <v/>
      </c>
      <c r="DT491" s="64">
        <f>$Q491-$Q492</f>
        <v/>
      </c>
      <c r="DU491" s="64">
        <f>$S491-$S492</f>
        <v/>
      </c>
      <c r="DV491" s="65">
        <f>IFERROR(AVERAGE($AA492/$AA491-1,$AB492/$AB491-1,$AC492/$AC491-1,$AD492/$AD491-1,$AE492/$AE491-1,$AG492/$AG491-1,$AH492/$AH491-1,$AI492/$AI491-1,$AJ492/$AJ491-1,$AL492/$AL491-1,$AM492/$AM491-1,$AR492/$AR491-1,$AS492/$AS491-1,$AT492/$AT491-1,$AU492/$AU491-1,$AV492/$AV491-1,$AW492/$AW491-1,$AX492/$AX491-1,$AY492/$AY491-1),"")</f>
        <v/>
      </c>
      <c r="DW491" s="66">
        <f>AVERAGE($CB491,$CC491,$CD491,$CE491,$CF491,$CG491,$CH491,$CI491,$CJ491,$CL491,$CM491,$CN491,$CO491,$CP491,$CQ491,$CR491,$CS491,$CT491)</f>
        <v/>
      </c>
      <c r="DX491" s="66">
        <f>AVERAGE($CB491,$CC491,$CM491,$CE491,$CP491)</f>
        <v/>
      </c>
      <c r="DY491" s="64">
        <f>($DW491-$DW492)*100</f>
        <v/>
      </c>
      <c r="DZ491" s="64">
        <f>($DX491-$DX492)*100</f>
        <v/>
      </c>
      <c r="EA491" s="64">
        <f>($DW491-$D491)*100</f>
        <v/>
      </c>
      <c r="EB491" s="64">
        <f>$Q491-$O491</f>
        <v/>
      </c>
      <c r="EC491" s="67">
        <f>IFERROR($Q491/$P491,"")</f>
        <v/>
      </c>
    </row>
    <row r="492">
      <c r="DG492" s="64">
        <f>($B492-$B493)*100</f>
        <v/>
      </c>
      <c r="DH492" s="64">
        <f>($D492-$D493)*100</f>
        <v/>
      </c>
      <c r="DI492" s="64">
        <f>($E492-$E493)*100</f>
        <v/>
      </c>
      <c r="DJ492" s="64">
        <f>($H492-$H493)*100</f>
        <v/>
      </c>
      <c r="DK492" s="65">
        <f>IFERROR($J492/$J493-1,"")</f>
        <v/>
      </c>
      <c r="DL492" s="64">
        <f>$L492-$L493</f>
        <v/>
      </c>
      <c r="DM492" s="64">
        <f>$K492-$K493</f>
        <v/>
      </c>
      <c r="DN492" s="65">
        <f>IFERROR($N492/$N493-1,"")</f>
        <v/>
      </c>
      <c r="DO492" s="65">
        <f>IFERROR($M492/$M493-1,"")</f>
        <v/>
      </c>
      <c r="DP492" s="65">
        <f>IFERROR($AZ492/$AZ493-1,"")</f>
        <v/>
      </c>
      <c r="DQ492" s="65">
        <f>IFERROR($BA492/$BA493-1,"")</f>
        <v/>
      </c>
      <c r="DR492" s="64">
        <f>$O492-$O493</f>
        <v/>
      </c>
      <c r="DS492" s="64">
        <f>$P492-$P493</f>
        <v/>
      </c>
      <c r="DT492" s="64">
        <f>$Q492-$Q493</f>
        <v/>
      </c>
      <c r="DU492" s="64">
        <f>$S492-$S493</f>
        <v/>
      </c>
      <c r="DV492" s="65">
        <f>IFERROR(AVERAGE($AA493/$AA492-1,$AB493/$AB492-1,$AC493/$AC492-1,$AD493/$AD492-1,$AE493/$AE492-1,$AG493/$AG492-1,$AH493/$AH492-1,$AI493/$AI492-1,$AJ493/$AJ492-1,$AL493/$AL492-1,$AM493/$AM492-1,$AR493/$AR492-1,$AS493/$AS492-1,$AT493/$AT492-1,$AU493/$AU492-1,$AV493/$AV492-1,$AW493/$AW492-1,$AX493/$AX492-1,$AY493/$AY492-1),"")</f>
        <v/>
      </c>
      <c r="DW492" s="66">
        <f>AVERAGE($CB492,$CC492,$CD492,$CE492,$CF492,$CG492,$CH492,$CI492,$CJ492,$CL492,$CM492,$CN492,$CO492,$CP492,$CQ492,$CR492,$CS492,$CT492)</f>
        <v/>
      </c>
      <c r="DX492" s="66">
        <f>AVERAGE($CB492,$CC492,$CM492,$CE492,$CP492)</f>
        <v/>
      </c>
      <c r="DY492" s="64">
        <f>($DW492-$DW493)*100</f>
        <v/>
      </c>
      <c r="DZ492" s="64">
        <f>($DX492-$DX493)*100</f>
        <v/>
      </c>
      <c r="EA492" s="64">
        <f>($DW492-$D492)*100</f>
        <v/>
      </c>
      <c r="EB492" s="64">
        <f>$Q492-$O492</f>
        <v/>
      </c>
      <c r="EC492" s="67">
        <f>IFERROR($Q492/$P492,"")</f>
        <v/>
      </c>
    </row>
    <row r="493">
      <c r="DG493" s="64">
        <f>($B493-$B494)*100</f>
        <v/>
      </c>
      <c r="DH493" s="64">
        <f>($D493-$D494)*100</f>
        <v/>
      </c>
      <c r="DI493" s="64">
        <f>($E493-$E494)*100</f>
        <v/>
      </c>
      <c r="DJ493" s="64">
        <f>($H493-$H494)*100</f>
        <v/>
      </c>
      <c r="DK493" s="65">
        <f>IFERROR($J493/$J494-1,"")</f>
        <v/>
      </c>
      <c r="DL493" s="64">
        <f>$L493-$L494</f>
        <v/>
      </c>
      <c r="DM493" s="64">
        <f>$K493-$K494</f>
        <v/>
      </c>
      <c r="DN493" s="65">
        <f>IFERROR($N493/$N494-1,"")</f>
        <v/>
      </c>
      <c r="DO493" s="65">
        <f>IFERROR($M493/$M494-1,"")</f>
        <v/>
      </c>
      <c r="DP493" s="65">
        <f>IFERROR($AZ493/$AZ494-1,"")</f>
        <v/>
      </c>
      <c r="DQ493" s="65">
        <f>IFERROR($BA493/$BA494-1,"")</f>
        <v/>
      </c>
      <c r="DR493" s="64">
        <f>$O493-$O494</f>
        <v/>
      </c>
      <c r="DS493" s="64">
        <f>$P493-$P494</f>
        <v/>
      </c>
      <c r="DT493" s="64">
        <f>$Q493-$Q494</f>
        <v/>
      </c>
      <c r="DU493" s="64">
        <f>$S493-$S494</f>
        <v/>
      </c>
      <c r="DV493" s="65">
        <f>IFERROR(AVERAGE($AA494/$AA493-1,$AB494/$AB493-1,$AC494/$AC493-1,$AD494/$AD493-1,$AE494/$AE493-1,$AG494/$AG493-1,$AH494/$AH493-1,$AI494/$AI493-1,$AJ494/$AJ493-1,$AL494/$AL493-1,$AM494/$AM493-1,$AR494/$AR493-1,$AS494/$AS493-1,$AT494/$AT493-1,$AU494/$AU493-1,$AV494/$AV493-1,$AW494/$AW493-1,$AX494/$AX493-1,$AY494/$AY493-1),"")</f>
        <v/>
      </c>
      <c r="DW493" s="66">
        <f>AVERAGE($CB493,$CC493,$CD493,$CE493,$CF493,$CG493,$CH493,$CI493,$CJ493,$CL493,$CM493,$CN493,$CO493,$CP493,$CQ493,$CR493,$CS493,$CT493)</f>
        <v/>
      </c>
      <c r="DX493" s="66">
        <f>AVERAGE($CB493,$CC493,$CM493,$CE493,$CP493)</f>
        <v/>
      </c>
      <c r="DY493" s="64">
        <f>($DW493-$DW494)*100</f>
        <v/>
      </c>
      <c r="DZ493" s="64">
        <f>($DX493-$DX494)*100</f>
        <v/>
      </c>
      <c r="EA493" s="64">
        <f>($DW493-$D493)*100</f>
        <v/>
      </c>
      <c r="EB493" s="64">
        <f>$Q493-$O493</f>
        <v/>
      </c>
      <c r="EC493" s="67">
        <f>IFERROR($Q493/$P493,"")</f>
        <v/>
      </c>
    </row>
    <row r="494">
      <c r="DG494" s="64">
        <f>($B494-$B495)*100</f>
        <v/>
      </c>
      <c r="DH494" s="64">
        <f>($D494-$D495)*100</f>
        <v/>
      </c>
      <c r="DI494" s="64">
        <f>($E494-$E495)*100</f>
        <v/>
      </c>
      <c r="DJ494" s="64">
        <f>($H494-$H495)*100</f>
        <v/>
      </c>
      <c r="DK494" s="65">
        <f>IFERROR($J494/$J495-1,"")</f>
        <v/>
      </c>
      <c r="DL494" s="64">
        <f>$L494-$L495</f>
        <v/>
      </c>
      <c r="DM494" s="64">
        <f>$K494-$K495</f>
        <v/>
      </c>
      <c r="DN494" s="65">
        <f>IFERROR($N494/$N495-1,"")</f>
        <v/>
      </c>
      <c r="DO494" s="65">
        <f>IFERROR($M494/$M495-1,"")</f>
        <v/>
      </c>
      <c r="DP494" s="65">
        <f>IFERROR($AZ494/$AZ495-1,"")</f>
        <v/>
      </c>
      <c r="DQ494" s="65">
        <f>IFERROR($BA494/$BA495-1,"")</f>
        <v/>
      </c>
      <c r="DR494" s="64">
        <f>$O494-$O495</f>
        <v/>
      </c>
      <c r="DS494" s="64">
        <f>$P494-$P495</f>
        <v/>
      </c>
      <c r="DT494" s="64">
        <f>$Q494-$Q495</f>
        <v/>
      </c>
      <c r="DU494" s="64">
        <f>$S494-$S495</f>
        <v/>
      </c>
      <c r="DV494" s="65">
        <f>IFERROR(AVERAGE($AA495/$AA494-1,$AB495/$AB494-1,$AC495/$AC494-1,$AD495/$AD494-1,$AE495/$AE494-1,$AG495/$AG494-1,$AH495/$AH494-1,$AI495/$AI494-1,$AJ495/$AJ494-1,$AL495/$AL494-1,$AM495/$AM494-1,$AR495/$AR494-1,$AS495/$AS494-1,$AT495/$AT494-1,$AU495/$AU494-1,$AV495/$AV494-1,$AW495/$AW494-1,$AX495/$AX494-1,$AY495/$AY494-1),"")</f>
        <v/>
      </c>
      <c r="DW494" s="66">
        <f>AVERAGE($CB494,$CC494,$CD494,$CE494,$CF494,$CG494,$CH494,$CI494,$CJ494,$CL494,$CM494,$CN494,$CO494,$CP494,$CQ494,$CR494,$CS494,$CT494)</f>
        <v/>
      </c>
      <c r="DX494" s="66">
        <f>AVERAGE($CB494,$CC494,$CM494,$CE494,$CP494)</f>
        <v/>
      </c>
      <c r="DY494" s="64">
        <f>($DW494-$DW495)*100</f>
        <v/>
      </c>
      <c r="DZ494" s="64">
        <f>($DX494-$DX495)*100</f>
        <v/>
      </c>
      <c r="EA494" s="64">
        <f>($DW494-$D494)*100</f>
        <v/>
      </c>
      <c r="EB494" s="64">
        <f>$Q494-$O494</f>
        <v/>
      </c>
      <c r="EC494" s="67">
        <f>IFERROR($Q494/$P494,"")</f>
        <v/>
      </c>
    </row>
    <row r="495">
      <c r="DG495" s="64">
        <f>($B495-$B496)*100</f>
        <v/>
      </c>
      <c r="DH495" s="64">
        <f>($D495-$D496)*100</f>
        <v/>
      </c>
      <c r="DI495" s="64">
        <f>($E495-$E496)*100</f>
        <v/>
      </c>
      <c r="DJ495" s="64">
        <f>($H495-$H496)*100</f>
        <v/>
      </c>
      <c r="DK495" s="65">
        <f>IFERROR($J495/$J496-1,"")</f>
        <v/>
      </c>
      <c r="DL495" s="64">
        <f>$L495-$L496</f>
        <v/>
      </c>
      <c r="DM495" s="64">
        <f>$K495-$K496</f>
        <v/>
      </c>
      <c r="DN495" s="65">
        <f>IFERROR($N495/$N496-1,"")</f>
        <v/>
      </c>
      <c r="DO495" s="65">
        <f>IFERROR($M495/$M496-1,"")</f>
        <v/>
      </c>
      <c r="DP495" s="65">
        <f>IFERROR($AZ495/$AZ496-1,"")</f>
        <v/>
      </c>
      <c r="DQ495" s="65">
        <f>IFERROR($BA495/$BA496-1,"")</f>
        <v/>
      </c>
      <c r="DR495" s="64">
        <f>$O495-$O496</f>
        <v/>
      </c>
      <c r="DS495" s="64">
        <f>$P495-$P496</f>
        <v/>
      </c>
      <c r="DT495" s="64">
        <f>$Q495-$Q496</f>
        <v/>
      </c>
      <c r="DU495" s="64">
        <f>$S495-$S496</f>
        <v/>
      </c>
      <c r="DV495" s="65">
        <f>IFERROR(AVERAGE($AA496/$AA495-1,$AB496/$AB495-1,$AC496/$AC495-1,$AD496/$AD495-1,$AE496/$AE495-1,$AG496/$AG495-1,$AH496/$AH495-1,$AI496/$AI495-1,$AJ496/$AJ495-1,$AL496/$AL495-1,$AM496/$AM495-1,$AR496/$AR495-1,$AS496/$AS495-1,$AT496/$AT495-1,$AU496/$AU495-1,$AV496/$AV495-1,$AW496/$AW495-1,$AX496/$AX495-1,$AY496/$AY495-1),"")</f>
        <v/>
      </c>
      <c r="DW495" s="66">
        <f>AVERAGE($CB495,$CC495,$CD495,$CE495,$CF495,$CG495,$CH495,$CI495,$CJ495,$CL495,$CM495,$CN495,$CO495,$CP495,$CQ495,$CR495,$CS495,$CT495)</f>
        <v/>
      </c>
      <c r="DX495" s="66">
        <f>AVERAGE($CB495,$CC495,$CM495,$CE495,$CP495)</f>
        <v/>
      </c>
      <c r="DY495" s="64">
        <f>($DW495-$DW496)*100</f>
        <v/>
      </c>
      <c r="DZ495" s="64">
        <f>($DX495-$DX496)*100</f>
        <v/>
      </c>
      <c r="EA495" s="64">
        <f>($DW495-$D495)*100</f>
        <v/>
      </c>
      <c r="EB495" s="64">
        <f>$Q495-$O495</f>
        <v/>
      </c>
      <c r="EC495" s="67">
        <f>IFERROR($Q495/$P495,"")</f>
        <v/>
      </c>
    </row>
    <row r="496">
      <c r="DG496" s="64">
        <f>($B496-$B497)*100</f>
        <v/>
      </c>
      <c r="DH496" s="64">
        <f>($D496-$D497)*100</f>
        <v/>
      </c>
      <c r="DI496" s="64">
        <f>($E496-$E497)*100</f>
        <v/>
      </c>
      <c r="DJ496" s="64">
        <f>($H496-$H497)*100</f>
        <v/>
      </c>
      <c r="DK496" s="65">
        <f>IFERROR($J496/$J497-1,"")</f>
        <v/>
      </c>
      <c r="DL496" s="64">
        <f>$L496-$L497</f>
        <v/>
      </c>
      <c r="DM496" s="64">
        <f>$K496-$K497</f>
        <v/>
      </c>
      <c r="DN496" s="65">
        <f>IFERROR($N496/$N497-1,"")</f>
        <v/>
      </c>
      <c r="DO496" s="65">
        <f>IFERROR($M496/$M497-1,"")</f>
        <v/>
      </c>
      <c r="DP496" s="65">
        <f>IFERROR($AZ496/$AZ497-1,"")</f>
        <v/>
      </c>
      <c r="DQ496" s="65">
        <f>IFERROR($BA496/$BA497-1,"")</f>
        <v/>
      </c>
      <c r="DR496" s="64">
        <f>$O496-$O497</f>
        <v/>
      </c>
      <c r="DS496" s="64">
        <f>$P496-$P497</f>
        <v/>
      </c>
      <c r="DT496" s="64">
        <f>$Q496-$Q497</f>
        <v/>
      </c>
      <c r="DU496" s="64">
        <f>$S496-$S497</f>
        <v/>
      </c>
      <c r="DV496" s="65">
        <f>IFERROR(AVERAGE($AA497/$AA496-1,$AB497/$AB496-1,$AC497/$AC496-1,$AD497/$AD496-1,$AE497/$AE496-1,$AG497/$AG496-1,$AH497/$AH496-1,$AI497/$AI496-1,$AJ497/$AJ496-1,$AL497/$AL496-1,$AM497/$AM496-1,$AR497/$AR496-1,$AS497/$AS496-1,$AT497/$AT496-1,$AU497/$AU496-1,$AV497/$AV496-1,$AW497/$AW496-1,$AX497/$AX496-1,$AY497/$AY496-1),"")</f>
        <v/>
      </c>
      <c r="DW496" s="66">
        <f>AVERAGE($CB496,$CC496,$CD496,$CE496,$CF496,$CG496,$CH496,$CI496,$CJ496,$CL496,$CM496,$CN496,$CO496,$CP496,$CQ496,$CR496,$CS496,$CT496)</f>
        <v/>
      </c>
      <c r="DX496" s="66">
        <f>AVERAGE($CB496,$CC496,$CM496,$CE496,$CP496)</f>
        <v/>
      </c>
      <c r="DY496" s="64">
        <f>($DW496-$DW497)*100</f>
        <v/>
      </c>
      <c r="DZ496" s="64">
        <f>($DX496-$DX497)*100</f>
        <v/>
      </c>
      <c r="EA496" s="64">
        <f>($DW496-$D496)*100</f>
        <v/>
      </c>
      <c r="EB496" s="64">
        <f>$Q496-$O496</f>
        <v/>
      </c>
      <c r="EC496" s="67">
        <f>IFERROR($Q496/$P496,"")</f>
        <v/>
      </c>
    </row>
    <row r="497">
      <c r="DG497" s="64">
        <f>($B497-$B498)*100</f>
        <v/>
      </c>
      <c r="DH497" s="64">
        <f>($D497-$D498)*100</f>
        <v/>
      </c>
      <c r="DI497" s="64">
        <f>($E497-$E498)*100</f>
        <v/>
      </c>
      <c r="DJ497" s="64">
        <f>($H497-$H498)*100</f>
        <v/>
      </c>
      <c r="DK497" s="65">
        <f>IFERROR($J497/$J498-1,"")</f>
        <v/>
      </c>
      <c r="DL497" s="64">
        <f>$L497-$L498</f>
        <v/>
      </c>
      <c r="DM497" s="64">
        <f>$K497-$K498</f>
        <v/>
      </c>
      <c r="DN497" s="65">
        <f>IFERROR($N497/$N498-1,"")</f>
        <v/>
      </c>
      <c r="DO497" s="65">
        <f>IFERROR($M497/$M498-1,"")</f>
        <v/>
      </c>
      <c r="DP497" s="65">
        <f>IFERROR($AZ497/$AZ498-1,"")</f>
        <v/>
      </c>
      <c r="DQ497" s="65">
        <f>IFERROR($BA497/$BA498-1,"")</f>
        <v/>
      </c>
      <c r="DR497" s="64">
        <f>$O497-$O498</f>
        <v/>
      </c>
      <c r="DS497" s="64">
        <f>$P497-$P498</f>
        <v/>
      </c>
      <c r="DT497" s="64">
        <f>$Q497-$Q498</f>
        <v/>
      </c>
      <c r="DU497" s="64">
        <f>$S497-$S498</f>
        <v/>
      </c>
      <c r="DV497" s="65">
        <f>IFERROR(AVERAGE($AA498/$AA497-1,$AB498/$AB497-1,$AC498/$AC497-1,$AD498/$AD497-1,$AE498/$AE497-1,$AG498/$AG497-1,$AH498/$AH497-1,$AI498/$AI497-1,$AJ498/$AJ497-1,$AL498/$AL497-1,$AM498/$AM497-1,$AR498/$AR497-1,$AS498/$AS497-1,$AT498/$AT497-1,$AU498/$AU497-1,$AV498/$AV497-1,$AW498/$AW497-1,$AX498/$AX497-1,$AY498/$AY497-1),"")</f>
        <v/>
      </c>
      <c r="DW497" s="66">
        <f>AVERAGE($CB497,$CC497,$CD497,$CE497,$CF497,$CG497,$CH497,$CI497,$CJ497,$CL497,$CM497,$CN497,$CO497,$CP497,$CQ497,$CR497,$CS497,$CT497)</f>
        <v/>
      </c>
      <c r="DX497" s="66">
        <f>AVERAGE($CB497,$CC497,$CM497,$CE497,$CP497)</f>
        <v/>
      </c>
      <c r="DY497" s="64">
        <f>($DW497-$DW498)*100</f>
        <v/>
      </c>
      <c r="DZ497" s="64">
        <f>($DX497-$DX498)*100</f>
        <v/>
      </c>
      <c r="EA497" s="64">
        <f>($DW497-$D497)*100</f>
        <v/>
      </c>
      <c r="EB497" s="64">
        <f>$Q497-$O497</f>
        <v/>
      </c>
      <c r="EC497" s="67">
        <f>IFERROR($Q497/$P497,"")</f>
        <v/>
      </c>
    </row>
    <row r="498">
      <c r="DG498" s="64">
        <f>($B498-$B499)*100</f>
        <v/>
      </c>
      <c r="DH498" s="64">
        <f>($D498-$D499)*100</f>
        <v/>
      </c>
      <c r="DI498" s="64">
        <f>($E498-$E499)*100</f>
        <v/>
      </c>
      <c r="DJ498" s="64">
        <f>($H498-$H499)*100</f>
        <v/>
      </c>
      <c r="DK498" s="65">
        <f>IFERROR($J498/$J499-1,"")</f>
        <v/>
      </c>
      <c r="DL498" s="64">
        <f>$L498-$L499</f>
        <v/>
      </c>
      <c r="DM498" s="64">
        <f>$K498-$K499</f>
        <v/>
      </c>
      <c r="DN498" s="65">
        <f>IFERROR($N498/$N499-1,"")</f>
        <v/>
      </c>
      <c r="DO498" s="65">
        <f>IFERROR($M498/$M499-1,"")</f>
        <v/>
      </c>
      <c r="DP498" s="65">
        <f>IFERROR($AZ498/$AZ499-1,"")</f>
        <v/>
      </c>
      <c r="DQ498" s="65">
        <f>IFERROR($BA498/$BA499-1,"")</f>
        <v/>
      </c>
      <c r="DR498" s="64">
        <f>$O498-$O499</f>
        <v/>
      </c>
      <c r="DS498" s="64">
        <f>$P498-$P499</f>
        <v/>
      </c>
      <c r="DT498" s="64">
        <f>$Q498-$Q499</f>
        <v/>
      </c>
      <c r="DU498" s="64">
        <f>$S498-$S499</f>
        <v/>
      </c>
      <c r="DV498" s="65">
        <f>IFERROR(AVERAGE($AA499/$AA498-1,$AB499/$AB498-1,$AC499/$AC498-1,$AD499/$AD498-1,$AE499/$AE498-1,$AG499/$AG498-1,$AH499/$AH498-1,$AI499/$AI498-1,$AJ499/$AJ498-1,$AL499/$AL498-1,$AM499/$AM498-1,$AR499/$AR498-1,$AS499/$AS498-1,$AT499/$AT498-1,$AU499/$AU498-1,$AV499/$AV498-1,$AW499/$AW498-1,$AX499/$AX498-1,$AY499/$AY498-1),"")</f>
        <v/>
      </c>
      <c r="DW498" s="66">
        <f>AVERAGE($CB498,$CC498,$CD498,$CE498,$CF498,$CG498,$CH498,$CI498,$CJ498,$CL498,$CM498,$CN498,$CO498,$CP498,$CQ498,$CR498,$CS498,$CT498)</f>
        <v/>
      </c>
      <c r="DX498" s="66">
        <f>AVERAGE($CB498,$CC498,$CM498,$CE498,$CP498)</f>
        <v/>
      </c>
      <c r="DY498" s="64">
        <f>($DW498-$DW499)*100</f>
        <v/>
      </c>
      <c r="DZ498" s="64">
        <f>($DX498-$DX499)*100</f>
        <v/>
      </c>
      <c r="EA498" s="64">
        <f>($DW498-$D498)*100</f>
        <v/>
      </c>
      <c r="EB498" s="64">
        <f>$Q498-$O498</f>
        <v/>
      </c>
      <c r="EC498" s="67">
        <f>IFERROR($Q498/$P498,"")</f>
        <v/>
      </c>
    </row>
    <row r="499">
      <c r="DG499" s="64">
        <f>($B499-$B500)*100</f>
        <v/>
      </c>
      <c r="DH499" s="64">
        <f>($D499-$D500)*100</f>
        <v/>
      </c>
      <c r="DI499" s="64">
        <f>($E499-$E500)*100</f>
        <v/>
      </c>
      <c r="DJ499" s="64">
        <f>($H499-$H500)*100</f>
        <v/>
      </c>
      <c r="DK499" s="65">
        <f>IFERROR($J499/$J500-1,"")</f>
        <v/>
      </c>
      <c r="DL499" s="64">
        <f>$L499-$L500</f>
        <v/>
      </c>
      <c r="DM499" s="64">
        <f>$K499-$K500</f>
        <v/>
      </c>
      <c r="DN499" s="65">
        <f>IFERROR($N499/$N500-1,"")</f>
        <v/>
      </c>
      <c r="DO499" s="65">
        <f>IFERROR($M499/$M500-1,"")</f>
        <v/>
      </c>
      <c r="DP499" s="65">
        <f>IFERROR($AZ499/$AZ500-1,"")</f>
        <v/>
      </c>
      <c r="DQ499" s="65">
        <f>IFERROR($BA499/$BA500-1,"")</f>
        <v/>
      </c>
      <c r="DR499" s="64">
        <f>$O499-$O500</f>
        <v/>
      </c>
      <c r="DS499" s="64">
        <f>$P499-$P500</f>
        <v/>
      </c>
      <c r="DT499" s="64">
        <f>$Q499-$Q500</f>
        <v/>
      </c>
      <c r="DU499" s="64">
        <f>$S499-$S500</f>
        <v/>
      </c>
      <c r="DV499" s="65">
        <f>IFERROR(AVERAGE($AA500/$AA499-1,$AB500/$AB499-1,$AC500/$AC499-1,$AD500/$AD499-1,$AE500/$AE499-1,$AG500/$AG499-1,$AH500/$AH499-1,$AI500/$AI499-1,$AJ500/$AJ499-1,$AL500/$AL499-1,$AM500/$AM499-1,$AR500/$AR499-1,$AS500/$AS499-1,$AT500/$AT499-1,$AU500/$AU499-1,$AV500/$AV499-1,$AW500/$AW499-1,$AX500/$AX499-1,$AY500/$AY499-1),"")</f>
        <v/>
      </c>
      <c r="DW499" s="66">
        <f>AVERAGE($CB499,$CC499,$CD499,$CE499,$CF499,$CG499,$CH499,$CI499,$CJ499,$CL499,$CM499,$CN499,$CO499,$CP499,$CQ499,$CR499,$CS499,$CT499)</f>
        <v/>
      </c>
      <c r="DX499" s="66">
        <f>AVERAGE($CB499,$CC499,$CM499,$CE499,$CP499)</f>
        <v/>
      </c>
      <c r="DY499" s="64">
        <f>($DW499-$DW500)*100</f>
        <v/>
      </c>
      <c r="DZ499" s="64">
        <f>($DX499-$DX500)*100</f>
        <v/>
      </c>
      <c r="EA499" s="64">
        <f>($DW499-$D499)*100</f>
        <v/>
      </c>
      <c r="EB499" s="64">
        <f>$Q499-$O499</f>
        <v/>
      </c>
      <c r="EC499" s="67">
        <f>IFERROR($Q499/$P499,"")</f>
        <v/>
      </c>
    </row>
    <row r="500">
      <c r="DG500" s="64">
        <f>($B500-$B501)*100</f>
        <v/>
      </c>
      <c r="DH500" s="64">
        <f>($D500-$D501)*100</f>
        <v/>
      </c>
      <c r="DI500" s="64">
        <f>($E500-$E501)*100</f>
        <v/>
      </c>
      <c r="DJ500" s="64">
        <f>($H500-$H501)*100</f>
        <v/>
      </c>
      <c r="DK500" s="65">
        <f>IFERROR($J500/$J501-1,"")</f>
        <v/>
      </c>
      <c r="DL500" s="64">
        <f>$L500-$L501</f>
        <v/>
      </c>
      <c r="DM500" s="64">
        <f>$K500-$K501</f>
        <v/>
      </c>
      <c r="DN500" s="65">
        <f>IFERROR($N500/$N501-1,"")</f>
        <v/>
      </c>
      <c r="DO500" s="65">
        <f>IFERROR($M500/$M501-1,"")</f>
        <v/>
      </c>
      <c r="DP500" s="65">
        <f>IFERROR($AZ500/$AZ501-1,"")</f>
        <v/>
      </c>
      <c r="DQ500" s="65">
        <f>IFERROR($BA500/$BA501-1,"")</f>
        <v/>
      </c>
      <c r="DR500" s="64">
        <f>$O500-$O501</f>
        <v/>
      </c>
      <c r="DS500" s="64">
        <f>$P500-$P501</f>
        <v/>
      </c>
      <c r="DT500" s="64">
        <f>$Q500-$Q501</f>
        <v/>
      </c>
      <c r="DU500" s="64">
        <f>$S500-$S501</f>
        <v/>
      </c>
      <c r="DV500" s="65">
        <f>IFERROR(AVERAGE($AA501/$AA500-1,$AB501/$AB500-1,$AC501/$AC500-1,$AD501/$AD500-1,$AE501/$AE500-1,$AG501/$AG500-1,$AH501/$AH500-1,$AI501/$AI500-1,$AJ501/$AJ500-1,$AL501/$AL500-1,$AM501/$AM500-1,$AR501/$AR500-1,$AS501/$AS500-1,$AT501/$AT500-1,$AU501/$AU500-1,$AV501/$AV500-1,$AW501/$AW500-1,$AX501/$AX500-1,$AY501/$AY500-1),"")</f>
        <v/>
      </c>
      <c r="DW500" s="66">
        <f>AVERAGE($CB500,$CC500,$CD500,$CE500,$CF500,$CG500,$CH500,$CI500,$CJ500,$CL500,$CM500,$CN500,$CO500,$CP500,$CQ500,$CR500,$CS500,$CT500)</f>
        <v/>
      </c>
      <c r="DX500" s="66">
        <f>AVERAGE($CB500,$CC500,$CM500,$CE500,$CP500)</f>
        <v/>
      </c>
      <c r="DY500" s="64">
        <f>($DW500-$DW501)*100</f>
        <v/>
      </c>
      <c r="DZ500" s="64">
        <f>($DX500-$DX501)*100</f>
        <v/>
      </c>
      <c r="EA500" s="64">
        <f>($DW500-$D500)*100</f>
        <v/>
      </c>
      <c r="EB500" s="64">
        <f>$Q500-$O500</f>
        <v/>
      </c>
      <c r="EC500" s="67">
        <f>IFERROR($Q500/$P500,"")</f>
        <v/>
      </c>
    </row>
    <row r="501">
      <c r="DG501" s="64">
        <f>($B501-$B502)*100</f>
        <v/>
      </c>
      <c r="DH501" s="64">
        <f>($D501-$D502)*100</f>
        <v/>
      </c>
      <c r="DI501" s="64">
        <f>($E501-$E502)*100</f>
        <v/>
      </c>
      <c r="DJ501" s="64">
        <f>($H501-$H502)*100</f>
        <v/>
      </c>
      <c r="DK501" s="65">
        <f>IFERROR($J501/$J502-1,"")</f>
        <v/>
      </c>
      <c r="DL501" s="64">
        <f>$L501-$L502</f>
        <v/>
      </c>
      <c r="DM501" s="64">
        <f>$K501-$K502</f>
        <v/>
      </c>
      <c r="DN501" s="65">
        <f>IFERROR($N501/$N502-1,"")</f>
        <v/>
      </c>
      <c r="DO501" s="65">
        <f>IFERROR($M501/$M502-1,"")</f>
        <v/>
      </c>
      <c r="DP501" s="65">
        <f>IFERROR($AZ501/$AZ502-1,"")</f>
        <v/>
      </c>
      <c r="DQ501" s="65">
        <f>IFERROR($BA501/$BA502-1,"")</f>
        <v/>
      </c>
      <c r="DR501" s="64">
        <f>$O501-$O502</f>
        <v/>
      </c>
      <c r="DS501" s="64">
        <f>$P501-$P502</f>
        <v/>
      </c>
      <c r="DT501" s="64">
        <f>$Q501-$Q502</f>
        <v/>
      </c>
      <c r="DU501" s="64">
        <f>$S501-$S502</f>
        <v/>
      </c>
      <c r="DV501" s="65">
        <f>IFERROR(AVERAGE($AA502/$AA501-1,$AB502/$AB501-1,$AC502/$AC501-1,$AD502/$AD501-1,$AE502/$AE501-1,$AG502/$AG501-1,$AH502/$AH501-1,$AI502/$AI501-1,$AJ502/$AJ501-1,$AL502/$AL501-1,$AM502/$AM501-1,$AR502/$AR501-1,$AS502/$AS501-1,$AT502/$AT501-1,$AU502/$AU501-1,$AV502/$AV501-1,$AW502/$AW501-1,$AX502/$AX501-1,$AY502/$AY501-1),"")</f>
        <v/>
      </c>
      <c r="DW501" s="66">
        <f>AVERAGE($CB501,$CC501,$CD501,$CE501,$CF501,$CG501,$CH501,$CI501,$CJ501,$CL501,$CM501,$CN501,$CO501,$CP501,$CQ501,$CR501,$CS501,$CT501)</f>
        <v/>
      </c>
      <c r="DX501" s="66">
        <f>AVERAGE($CB501,$CC501,$CM501,$CE501,$CP501)</f>
        <v/>
      </c>
      <c r="DY501" s="64">
        <f>($DW501-$DW502)*100</f>
        <v/>
      </c>
      <c r="DZ501" s="64">
        <f>($DX501-$DX502)*100</f>
        <v/>
      </c>
      <c r="EA501" s="64">
        <f>($DW501-$D501)*100</f>
        <v/>
      </c>
      <c r="EB501" s="64">
        <f>$Q501-$O501</f>
        <v/>
      </c>
      <c r="EC501" s="67">
        <f>IFERROR($Q501/$P501,"")</f>
        <v/>
      </c>
    </row>
    <row r="502">
      <c r="DG502" s="64">
        <f>($B502-$B503)*100</f>
        <v/>
      </c>
      <c r="DH502" s="64">
        <f>($D502-$D503)*100</f>
        <v/>
      </c>
      <c r="DI502" s="64">
        <f>($E502-$E503)*100</f>
        <v/>
      </c>
      <c r="DJ502" s="64">
        <f>($H502-$H503)*100</f>
        <v/>
      </c>
      <c r="DK502" s="65">
        <f>IFERROR($J502/$J503-1,"")</f>
        <v/>
      </c>
      <c r="DL502" s="64">
        <f>$L502-$L503</f>
        <v/>
      </c>
      <c r="DM502" s="64">
        <f>$K502-$K503</f>
        <v/>
      </c>
      <c r="DN502" s="65">
        <f>IFERROR($N502/$N503-1,"")</f>
        <v/>
      </c>
      <c r="DO502" s="65">
        <f>IFERROR($M502/$M503-1,"")</f>
        <v/>
      </c>
      <c r="DP502" s="65">
        <f>IFERROR($AZ502/$AZ503-1,"")</f>
        <v/>
      </c>
      <c r="DQ502" s="65">
        <f>IFERROR($BA502/$BA503-1,"")</f>
        <v/>
      </c>
      <c r="DR502" s="64">
        <f>$O502-$O503</f>
        <v/>
      </c>
      <c r="DS502" s="64">
        <f>$P502-$P503</f>
        <v/>
      </c>
      <c r="DT502" s="64">
        <f>$Q502-$Q503</f>
        <v/>
      </c>
      <c r="DU502" s="64">
        <f>$S502-$S503</f>
        <v/>
      </c>
      <c r="DV502" s="65">
        <f>IFERROR(AVERAGE($AA503/$AA502-1,$AB503/$AB502-1,$AC503/$AC502-1,$AD503/$AD502-1,$AE503/$AE502-1,$AG503/$AG502-1,$AH503/$AH502-1,$AI503/$AI502-1,$AJ503/$AJ502-1,$AL503/$AL502-1,$AM503/$AM502-1,$AR503/$AR502-1,$AS503/$AS502-1,$AT503/$AT502-1,$AU503/$AU502-1,$AV503/$AV502-1,$AW503/$AW502-1,$AX503/$AX502-1,$AY503/$AY502-1),"")</f>
        <v/>
      </c>
      <c r="DW502" s="66">
        <f>AVERAGE($CB502,$CC502,$CD502,$CE502,$CF502,$CG502,$CH502,$CI502,$CJ502,$CL502,$CM502,$CN502,$CO502,$CP502,$CQ502,$CR502,$CS502,$CT502)</f>
        <v/>
      </c>
      <c r="DX502" s="66">
        <f>AVERAGE($CB502,$CC502,$CM502,$CE502,$CP502)</f>
        <v/>
      </c>
      <c r="DY502" s="64">
        <f>($DW502-$DW503)*100</f>
        <v/>
      </c>
      <c r="DZ502" s="64">
        <f>($DX502-$DX503)*100</f>
        <v/>
      </c>
      <c r="EA502" s="64">
        <f>($DW502-$D502)*100</f>
        <v/>
      </c>
      <c r="EB502" s="64">
        <f>$Q502-$O502</f>
        <v/>
      </c>
      <c r="EC502" s="67">
        <f>IFERROR($Q502/$P502,"")</f>
        <v/>
      </c>
    </row>
    <row r="503">
      <c r="DG503" s="64">
        <f>($B503-$B504)*100</f>
        <v/>
      </c>
      <c r="DH503" s="64">
        <f>($D503-$D504)*100</f>
        <v/>
      </c>
      <c r="DI503" s="64">
        <f>($E503-$E504)*100</f>
        <v/>
      </c>
      <c r="DJ503" s="64">
        <f>($H503-$H504)*100</f>
        <v/>
      </c>
      <c r="DK503" s="65">
        <f>IFERROR($J503/$J504-1,"")</f>
        <v/>
      </c>
      <c r="DL503" s="64">
        <f>$L503-$L504</f>
        <v/>
      </c>
      <c r="DM503" s="64">
        <f>$K503-$K504</f>
        <v/>
      </c>
      <c r="DN503" s="65">
        <f>IFERROR($N503/$N504-1,"")</f>
        <v/>
      </c>
      <c r="DO503" s="65">
        <f>IFERROR($M503/$M504-1,"")</f>
        <v/>
      </c>
      <c r="DP503" s="65">
        <f>IFERROR($AZ503/$AZ504-1,"")</f>
        <v/>
      </c>
      <c r="DQ503" s="65">
        <f>IFERROR($BA503/$BA504-1,"")</f>
        <v/>
      </c>
      <c r="DR503" s="64">
        <f>$O503-$O504</f>
        <v/>
      </c>
      <c r="DS503" s="64">
        <f>$P503-$P504</f>
        <v/>
      </c>
      <c r="DT503" s="64">
        <f>$Q503-$Q504</f>
        <v/>
      </c>
      <c r="DU503" s="64">
        <f>$S503-$S504</f>
        <v/>
      </c>
      <c r="DV503" s="65">
        <f>IFERROR(AVERAGE($AA504/$AA503-1,$AB504/$AB503-1,$AC504/$AC503-1,$AD504/$AD503-1,$AE504/$AE503-1,$AG504/$AG503-1,$AH504/$AH503-1,$AI504/$AI503-1,$AJ504/$AJ503-1,$AL504/$AL503-1,$AM504/$AM503-1,$AR504/$AR503-1,$AS504/$AS503-1,$AT504/$AT503-1,$AU504/$AU503-1,$AV504/$AV503-1,$AW504/$AW503-1,$AX504/$AX503-1,$AY504/$AY503-1),"")</f>
        <v/>
      </c>
      <c r="DW503" s="66">
        <f>AVERAGE($CB503,$CC503,$CD503,$CE503,$CF503,$CG503,$CH503,$CI503,$CJ503,$CL503,$CM503,$CN503,$CO503,$CP503,$CQ503,$CR503,$CS503,$CT503)</f>
        <v/>
      </c>
      <c r="DX503" s="66">
        <f>AVERAGE($CB503,$CC503,$CM503,$CE503,$CP503)</f>
        <v/>
      </c>
      <c r="DY503" s="64">
        <f>($DW503-$DW504)*100</f>
        <v/>
      </c>
      <c r="DZ503" s="64">
        <f>($DX503-$DX504)*100</f>
        <v/>
      </c>
      <c r="EA503" s="64">
        <f>($DW503-$D503)*100</f>
        <v/>
      </c>
      <c r="EB503" s="64">
        <f>$Q503-$O503</f>
        <v/>
      </c>
      <c r="EC503" s="67">
        <f>IFERROR($Q503/$P503,"")</f>
        <v/>
      </c>
    </row>
    <row r="504">
      <c r="DG504" s="64">
        <f>($B504-$B505)*100</f>
        <v/>
      </c>
      <c r="DH504" s="64">
        <f>($D504-$D505)*100</f>
        <v/>
      </c>
      <c r="DI504" s="64">
        <f>($E504-$E505)*100</f>
        <v/>
      </c>
      <c r="DJ504" s="64">
        <f>($H504-$H505)*100</f>
        <v/>
      </c>
      <c r="DK504" s="65">
        <f>IFERROR($J504/$J505-1,"")</f>
        <v/>
      </c>
      <c r="DL504" s="64">
        <f>$L504-$L505</f>
        <v/>
      </c>
      <c r="DM504" s="64">
        <f>$K504-$K505</f>
        <v/>
      </c>
      <c r="DN504" s="65">
        <f>IFERROR($N504/$N505-1,"")</f>
        <v/>
      </c>
      <c r="DO504" s="65">
        <f>IFERROR($M504/$M505-1,"")</f>
        <v/>
      </c>
      <c r="DP504" s="65">
        <f>IFERROR($AZ504/$AZ505-1,"")</f>
        <v/>
      </c>
      <c r="DQ504" s="65">
        <f>IFERROR($BA504/$BA505-1,"")</f>
        <v/>
      </c>
      <c r="DR504" s="64">
        <f>$O504-$O505</f>
        <v/>
      </c>
      <c r="DS504" s="64">
        <f>$P504-$P505</f>
        <v/>
      </c>
      <c r="DT504" s="64">
        <f>$Q504-$Q505</f>
        <v/>
      </c>
      <c r="DU504" s="64">
        <f>$S504-$S505</f>
        <v/>
      </c>
      <c r="DV504" s="65">
        <f>IFERROR(AVERAGE($AA505/$AA504-1,$AB505/$AB504-1,$AC505/$AC504-1,$AD505/$AD504-1,$AE505/$AE504-1,$AG505/$AG504-1,$AH505/$AH504-1,$AI505/$AI504-1,$AJ505/$AJ504-1,$AL505/$AL504-1,$AM505/$AM504-1,$AR505/$AR504-1,$AS505/$AS504-1,$AT505/$AT504-1,$AU505/$AU504-1,$AV505/$AV504-1,$AW505/$AW504-1,$AX505/$AX504-1,$AY505/$AY504-1),"")</f>
        <v/>
      </c>
      <c r="DW504" s="66">
        <f>AVERAGE($CB504,$CC504,$CD504,$CE504,$CF504,$CG504,$CH504,$CI504,$CJ504,$CL504,$CM504,$CN504,$CO504,$CP504,$CQ504,$CR504,$CS504,$CT504)</f>
        <v/>
      </c>
      <c r="DX504" s="66">
        <f>AVERAGE($CB504,$CC504,$CM504,$CE504,$CP504)</f>
        <v/>
      </c>
      <c r="DY504" s="64">
        <f>($DW504-$DW505)*100</f>
        <v/>
      </c>
      <c r="DZ504" s="64">
        <f>($DX504-$DX505)*100</f>
        <v/>
      </c>
      <c r="EA504" s="64">
        <f>($DW504-$D504)*100</f>
        <v/>
      </c>
      <c r="EB504" s="64">
        <f>$Q504-$O504</f>
        <v/>
      </c>
      <c r="EC504" s="67">
        <f>IFERROR($Q504/$P504,"")</f>
        <v/>
      </c>
    </row>
    <row r="505">
      <c r="DG505" s="64">
        <f>($B505-$B506)*100</f>
        <v/>
      </c>
      <c r="DH505" s="64">
        <f>($D505-$D506)*100</f>
        <v/>
      </c>
      <c r="DI505" s="64">
        <f>($E505-$E506)*100</f>
        <v/>
      </c>
      <c r="DJ505" s="64">
        <f>($H505-$H506)*100</f>
        <v/>
      </c>
      <c r="DK505" s="65">
        <f>IFERROR($J505/$J506-1,"")</f>
        <v/>
      </c>
      <c r="DL505" s="64">
        <f>$L505-$L506</f>
        <v/>
      </c>
      <c r="DM505" s="64">
        <f>$K505-$K506</f>
        <v/>
      </c>
      <c r="DN505" s="65">
        <f>IFERROR($N505/$N506-1,"")</f>
        <v/>
      </c>
      <c r="DO505" s="65">
        <f>IFERROR($M505/$M506-1,"")</f>
        <v/>
      </c>
      <c r="DP505" s="65">
        <f>IFERROR($AZ505/$AZ506-1,"")</f>
        <v/>
      </c>
      <c r="DQ505" s="65">
        <f>IFERROR($BA505/$BA506-1,"")</f>
        <v/>
      </c>
      <c r="DR505" s="64">
        <f>$O505-$O506</f>
        <v/>
      </c>
      <c r="DS505" s="64">
        <f>$P505-$P506</f>
        <v/>
      </c>
      <c r="DT505" s="64">
        <f>$Q505-$Q506</f>
        <v/>
      </c>
      <c r="DU505" s="64">
        <f>$S505-$S506</f>
        <v/>
      </c>
      <c r="DV505" s="65">
        <f>IFERROR(AVERAGE($AA506/$AA505-1,$AB506/$AB505-1,$AC506/$AC505-1,$AD506/$AD505-1,$AE506/$AE505-1,$AG506/$AG505-1,$AH506/$AH505-1,$AI506/$AI505-1,$AJ506/$AJ505-1,$AL506/$AL505-1,$AM506/$AM505-1,$AR506/$AR505-1,$AS506/$AS505-1,$AT506/$AT505-1,$AU506/$AU505-1,$AV506/$AV505-1,$AW506/$AW505-1,$AX506/$AX505-1,$AY506/$AY505-1),"")</f>
        <v/>
      </c>
      <c r="DW505" s="66">
        <f>AVERAGE($CB505,$CC505,$CD505,$CE505,$CF505,$CG505,$CH505,$CI505,$CJ505,$CL505,$CM505,$CN505,$CO505,$CP505,$CQ505,$CR505,$CS505,$CT505)</f>
        <v/>
      </c>
      <c r="DX505" s="66">
        <f>AVERAGE($CB505,$CC505,$CM505,$CE505,$CP505)</f>
        <v/>
      </c>
      <c r="DY505" s="64">
        <f>($DW505-$DW506)*100</f>
        <v/>
      </c>
      <c r="DZ505" s="64">
        <f>($DX505-$DX506)*100</f>
        <v/>
      </c>
      <c r="EA505" s="64">
        <f>($DW505-$D505)*100</f>
        <v/>
      </c>
      <c r="EB505" s="64">
        <f>$Q505-$O505</f>
        <v/>
      </c>
      <c r="EC505" s="67">
        <f>IFERROR($Q505/$P505,"")</f>
        <v/>
      </c>
    </row>
    <row r="506">
      <c r="DG506" s="64">
        <f>($B506-$B507)*100</f>
        <v/>
      </c>
      <c r="DH506" s="64">
        <f>($D506-$D507)*100</f>
        <v/>
      </c>
      <c r="DI506" s="64">
        <f>($E506-$E507)*100</f>
        <v/>
      </c>
      <c r="DJ506" s="64">
        <f>($H506-$H507)*100</f>
        <v/>
      </c>
      <c r="DK506" s="65">
        <f>IFERROR($J506/$J507-1,"")</f>
        <v/>
      </c>
      <c r="DL506" s="64">
        <f>$L506-$L507</f>
        <v/>
      </c>
      <c r="DM506" s="64">
        <f>$K506-$K507</f>
        <v/>
      </c>
      <c r="DN506" s="65">
        <f>IFERROR($N506/$N507-1,"")</f>
        <v/>
      </c>
      <c r="DO506" s="65">
        <f>IFERROR($M506/$M507-1,"")</f>
        <v/>
      </c>
      <c r="DP506" s="65">
        <f>IFERROR($AZ506/$AZ507-1,"")</f>
        <v/>
      </c>
      <c r="DQ506" s="65">
        <f>IFERROR($BA506/$BA507-1,"")</f>
        <v/>
      </c>
      <c r="DR506" s="64">
        <f>$O506-$O507</f>
        <v/>
      </c>
      <c r="DS506" s="64">
        <f>$P506-$P507</f>
        <v/>
      </c>
      <c r="DT506" s="64">
        <f>$Q506-$Q507</f>
        <v/>
      </c>
      <c r="DU506" s="64">
        <f>$S506-$S507</f>
        <v/>
      </c>
      <c r="DV506" s="65">
        <f>IFERROR(AVERAGE($AA507/$AA506-1,$AB507/$AB506-1,$AC507/$AC506-1,$AD507/$AD506-1,$AE507/$AE506-1,$AG507/$AG506-1,$AH507/$AH506-1,$AI507/$AI506-1,$AJ507/$AJ506-1,$AL507/$AL506-1,$AM507/$AM506-1,$AR507/$AR506-1,$AS507/$AS506-1,$AT507/$AT506-1,$AU507/$AU506-1,$AV507/$AV506-1,$AW507/$AW506-1,$AX507/$AX506-1,$AY507/$AY506-1),"")</f>
        <v/>
      </c>
      <c r="DW506" s="66">
        <f>AVERAGE($CB506,$CC506,$CD506,$CE506,$CF506,$CG506,$CH506,$CI506,$CJ506,$CL506,$CM506,$CN506,$CO506,$CP506,$CQ506,$CR506,$CS506,$CT506)</f>
        <v/>
      </c>
      <c r="DX506" s="66">
        <f>AVERAGE($CB506,$CC506,$CM506,$CE506,$CP506)</f>
        <v/>
      </c>
      <c r="DY506" s="64">
        <f>($DW506-$DW507)*100</f>
        <v/>
      </c>
      <c r="DZ506" s="64">
        <f>($DX506-$DX507)*100</f>
        <v/>
      </c>
      <c r="EA506" s="64">
        <f>($DW506-$D506)*100</f>
        <v/>
      </c>
      <c r="EB506" s="64">
        <f>$Q506-$O506</f>
        <v/>
      </c>
      <c r="EC506" s="67">
        <f>IFERROR($Q506/$P506,"")</f>
        <v/>
      </c>
    </row>
    <row r="507">
      <c r="DG507" s="64">
        <f>($B507-$B508)*100</f>
        <v/>
      </c>
      <c r="DH507" s="64">
        <f>($D507-$D508)*100</f>
        <v/>
      </c>
      <c r="DI507" s="64">
        <f>($E507-$E508)*100</f>
        <v/>
      </c>
      <c r="DJ507" s="64">
        <f>($H507-$H508)*100</f>
        <v/>
      </c>
      <c r="DK507" s="65">
        <f>IFERROR($J507/$J508-1,"")</f>
        <v/>
      </c>
      <c r="DL507" s="64">
        <f>$L507-$L508</f>
        <v/>
      </c>
      <c r="DM507" s="64">
        <f>$K507-$K508</f>
        <v/>
      </c>
      <c r="DN507" s="65">
        <f>IFERROR($N507/$N508-1,"")</f>
        <v/>
      </c>
      <c r="DO507" s="65">
        <f>IFERROR($M507/$M508-1,"")</f>
        <v/>
      </c>
      <c r="DP507" s="65">
        <f>IFERROR($AZ507/$AZ508-1,"")</f>
        <v/>
      </c>
      <c r="DQ507" s="65">
        <f>IFERROR($BA507/$BA508-1,"")</f>
        <v/>
      </c>
      <c r="DR507" s="64">
        <f>$O507-$O508</f>
        <v/>
      </c>
      <c r="DS507" s="64">
        <f>$P507-$P508</f>
        <v/>
      </c>
      <c r="DT507" s="64">
        <f>$Q507-$Q508</f>
        <v/>
      </c>
      <c r="DU507" s="64">
        <f>$S507-$S508</f>
        <v/>
      </c>
      <c r="DV507" s="65">
        <f>IFERROR(AVERAGE($AA508/$AA507-1,$AB508/$AB507-1,$AC508/$AC507-1,$AD508/$AD507-1,$AE508/$AE507-1,$AG508/$AG507-1,$AH508/$AH507-1,$AI508/$AI507-1,$AJ508/$AJ507-1,$AL508/$AL507-1,$AM508/$AM507-1,$AR508/$AR507-1,$AS508/$AS507-1,$AT508/$AT507-1,$AU508/$AU507-1,$AV508/$AV507-1,$AW508/$AW507-1,$AX508/$AX507-1,$AY508/$AY507-1),"")</f>
        <v/>
      </c>
      <c r="DW507" s="66">
        <f>AVERAGE($CB507,$CC507,$CD507,$CE507,$CF507,$CG507,$CH507,$CI507,$CJ507,$CL507,$CM507,$CN507,$CO507,$CP507,$CQ507,$CR507,$CS507,$CT507)</f>
        <v/>
      </c>
      <c r="DX507" s="66">
        <f>AVERAGE($CB507,$CC507,$CM507,$CE507,$CP507)</f>
        <v/>
      </c>
      <c r="DY507" s="64">
        <f>($DW507-$DW508)*100</f>
        <v/>
      </c>
      <c r="DZ507" s="64">
        <f>($DX507-$DX508)*100</f>
        <v/>
      </c>
      <c r="EA507" s="64">
        <f>($DW507-$D507)*100</f>
        <v/>
      </c>
      <c r="EB507" s="64">
        <f>$Q507-$O507</f>
        <v/>
      </c>
      <c r="EC507" s="67">
        <f>IFERROR($Q507/$P507,"")</f>
        <v/>
      </c>
    </row>
    <row r="508">
      <c r="DG508" s="64">
        <f>($B508-$B509)*100</f>
        <v/>
      </c>
      <c r="DH508" s="64">
        <f>($D508-$D509)*100</f>
        <v/>
      </c>
      <c r="DI508" s="64">
        <f>($E508-$E509)*100</f>
        <v/>
      </c>
      <c r="DJ508" s="64">
        <f>($H508-$H509)*100</f>
        <v/>
      </c>
      <c r="DK508" s="65">
        <f>IFERROR($J508/$J509-1,"")</f>
        <v/>
      </c>
      <c r="DL508" s="64">
        <f>$L508-$L509</f>
        <v/>
      </c>
      <c r="DM508" s="64">
        <f>$K508-$K509</f>
        <v/>
      </c>
      <c r="DN508" s="65">
        <f>IFERROR($N508/$N509-1,"")</f>
        <v/>
      </c>
      <c r="DO508" s="65">
        <f>IFERROR($M508/$M509-1,"")</f>
        <v/>
      </c>
      <c r="DP508" s="65">
        <f>IFERROR($AZ508/$AZ509-1,"")</f>
        <v/>
      </c>
      <c r="DQ508" s="65">
        <f>IFERROR($BA508/$BA509-1,"")</f>
        <v/>
      </c>
      <c r="DR508" s="64">
        <f>$O508-$O509</f>
        <v/>
      </c>
      <c r="DS508" s="64">
        <f>$P508-$P509</f>
        <v/>
      </c>
      <c r="DT508" s="64">
        <f>$Q508-$Q509</f>
        <v/>
      </c>
      <c r="DU508" s="64">
        <f>$S508-$S509</f>
        <v/>
      </c>
      <c r="DV508" s="65">
        <f>IFERROR(AVERAGE($AA509/$AA508-1,$AB509/$AB508-1,$AC509/$AC508-1,$AD509/$AD508-1,$AE509/$AE508-1,$AG509/$AG508-1,$AH509/$AH508-1,$AI509/$AI508-1,$AJ509/$AJ508-1,$AL509/$AL508-1,$AM509/$AM508-1,$AR509/$AR508-1,$AS509/$AS508-1,$AT509/$AT508-1,$AU509/$AU508-1,$AV509/$AV508-1,$AW509/$AW508-1,$AX509/$AX508-1,$AY509/$AY508-1),"")</f>
        <v/>
      </c>
      <c r="DW508" s="66">
        <f>AVERAGE($CB508,$CC508,$CD508,$CE508,$CF508,$CG508,$CH508,$CI508,$CJ508,$CL508,$CM508,$CN508,$CO508,$CP508,$CQ508,$CR508,$CS508,$CT508)</f>
        <v/>
      </c>
      <c r="DX508" s="66">
        <f>AVERAGE($CB508,$CC508,$CM508,$CE508,$CP508)</f>
        <v/>
      </c>
      <c r="DY508" s="64">
        <f>($DW508-$DW509)*100</f>
        <v/>
      </c>
      <c r="DZ508" s="64">
        <f>($DX508-$DX509)*100</f>
        <v/>
      </c>
      <c r="EA508" s="64">
        <f>($DW508-$D508)*100</f>
        <v/>
      </c>
      <c r="EB508" s="64">
        <f>$Q508-$O508</f>
        <v/>
      </c>
      <c r="EC508" s="67">
        <f>IFERROR($Q508/$P508,"")</f>
        <v/>
      </c>
    </row>
    <row r="509">
      <c r="DG509" s="64">
        <f>($B509-$B510)*100</f>
        <v/>
      </c>
      <c r="DH509" s="64">
        <f>($D509-$D510)*100</f>
        <v/>
      </c>
      <c r="DI509" s="64">
        <f>($E509-$E510)*100</f>
        <v/>
      </c>
      <c r="DJ509" s="64">
        <f>($H509-$H510)*100</f>
        <v/>
      </c>
      <c r="DK509" s="65">
        <f>IFERROR($J509/$J510-1,"")</f>
        <v/>
      </c>
      <c r="DL509" s="64">
        <f>$L509-$L510</f>
        <v/>
      </c>
      <c r="DM509" s="64">
        <f>$K509-$K510</f>
        <v/>
      </c>
      <c r="DN509" s="65">
        <f>IFERROR($N509/$N510-1,"")</f>
        <v/>
      </c>
      <c r="DO509" s="65">
        <f>IFERROR($M509/$M510-1,"")</f>
        <v/>
      </c>
      <c r="DP509" s="65">
        <f>IFERROR($AZ509/$AZ510-1,"")</f>
        <v/>
      </c>
      <c r="DQ509" s="65">
        <f>IFERROR($BA509/$BA510-1,"")</f>
        <v/>
      </c>
      <c r="DR509" s="64">
        <f>$O509-$O510</f>
        <v/>
      </c>
      <c r="DS509" s="64">
        <f>$P509-$P510</f>
        <v/>
      </c>
      <c r="DT509" s="64">
        <f>$Q509-$Q510</f>
        <v/>
      </c>
      <c r="DU509" s="64">
        <f>$S509-$S510</f>
        <v/>
      </c>
      <c r="DV509" s="65">
        <f>IFERROR(AVERAGE($AA510/$AA509-1,$AB510/$AB509-1,$AC510/$AC509-1,$AD510/$AD509-1,$AE510/$AE509-1,$AG510/$AG509-1,$AH510/$AH509-1,$AI510/$AI509-1,$AJ510/$AJ509-1,$AL510/$AL509-1,$AM510/$AM509-1,$AR510/$AR509-1,$AS510/$AS509-1,$AT510/$AT509-1,$AU510/$AU509-1,$AV510/$AV509-1,$AW510/$AW509-1,$AX510/$AX509-1,$AY510/$AY509-1),"")</f>
        <v/>
      </c>
      <c r="DW509" s="66">
        <f>AVERAGE($CB509,$CC509,$CD509,$CE509,$CF509,$CG509,$CH509,$CI509,$CJ509,$CL509,$CM509,$CN509,$CO509,$CP509,$CQ509,$CR509,$CS509,$CT509)</f>
        <v/>
      </c>
      <c r="DX509" s="66">
        <f>AVERAGE($CB509,$CC509,$CM509,$CE509,$CP509)</f>
        <v/>
      </c>
      <c r="DY509" s="64">
        <f>($DW509-$DW510)*100</f>
        <v/>
      </c>
      <c r="DZ509" s="64">
        <f>($DX509-$DX510)*100</f>
        <v/>
      </c>
      <c r="EA509" s="64">
        <f>($DW509-$D509)*100</f>
        <v/>
      </c>
      <c r="EB509" s="64">
        <f>$Q509-$O509</f>
        <v/>
      </c>
      <c r="EC509" s="67">
        <f>IFERROR($Q509/$P509,"")</f>
        <v/>
      </c>
    </row>
    <row r="510">
      <c r="DG510" s="64">
        <f>($B510-$B511)*100</f>
        <v/>
      </c>
      <c r="DH510" s="64">
        <f>($D510-$D511)*100</f>
        <v/>
      </c>
      <c r="DI510" s="64">
        <f>($E510-$E511)*100</f>
        <v/>
      </c>
      <c r="DJ510" s="64">
        <f>($H510-$H511)*100</f>
        <v/>
      </c>
      <c r="DK510" s="65">
        <f>IFERROR($J510/$J511-1,"")</f>
        <v/>
      </c>
      <c r="DL510" s="64">
        <f>$L510-$L511</f>
        <v/>
      </c>
      <c r="DM510" s="64">
        <f>$K510-$K511</f>
        <v/>
      </c>
      <c r="DN510" s="65">
        <f>IFERROR($N510/$N511-1,"")</f>
        <v/>
      </c>
      <c r="DO510" s="65">
        <f>IFERROR($M510/$M511-1,"")</f>
        <v/>
      </c>
      <c r="DP510" s="65">
        <f>IFERROR($AZ510/$AZ511-1,"")</f>
        <v/>
      </c>
      <c r="DQ510" s="65">
        <f>IFERROR($BA510/$BA511-1,"")</f>
        <v/>
      </c>
      <c r="DR510" s="64">
        <f>$O510-$O511</f>
        <v/>
      </c>
      <c r="DS510" s="64">
        <f>$P510-$P511</f>
        <v/>
      </c>
      <c r="DT510" s="64">
        <f>$Q510-$Q511</f>
        <v/>
      </c>
      <c r="DU510" s="64">
        <f>$S510-$S511</f>
        <v/>
      </c>
      <c r="DV510" s="65">
        <f>IFERROR(AVERAGE($AA511/$AA510-1,$AB511/$AB510-1,$AC511/$AC510-1,$AD511/$AD510-1,$AE511/$AE510-1,$AG511/$AG510-1,$AH511/$AH510-1,$AI511/$AI510-1,$AJ511/$AJ510-1,$AL511/$AL510-1,$AM511/$AM510-1,$AR511/$AR510-1,$AS511/$AS510-1,$AT511/$AT510-1,$AU511/$AU510-1,$AV511/$AV510-1,$AW511/$AW510-1,$AX511/$AX510-1,$AY511/$AY510-1),"")</f>
        <v/>
      </c>
      <c r="DW510" s="66">
        <f>AVERAGE($CB510,$CC510,$CD510,$CE510,$CF510,$CG510,$CH510,$CI510,$CJ510,$CL510,$CM510,$CN510,$CO510,$CP510,$CQ510,$CR510,$CS510,$CT510)</f>
        <v/>
      </c>
      <c r="DX510" s="66">
        <f>AVERAGE($CB510,$CC510,$CM510,$CE510,$CP510)</f>
        <v/>
      </c>
      <c r="DY510" s="64">
        <f>($DW510-$DW511)*100</f>
        <v/>
      </c>
      <c r="DZ510" s="64">
        <f>($DX510-$DX511)*100</f>
        <v/>
      </c>
      <c r="EA510" s="64">
        <f>($DW510-$D510)*100</f>
        <v/>
      </c>
      <c r="EB510" s="64">
        <f>$Q510-$O510</f>
        <v/>
      </c>
      <c r="EC510" s="67">
        <f>IFERROR($Q510/$P510,"")</f>
        <v/>
      </c>
    </row>
    <row r="511">
      <c r="DG511" s="64">
        <f>($B511-$B512)*100</f>
        <v/>
      </c>
      <c r="DH511" s="64">
        <f>($D511-$D512)*100</f>
        <v/>
      </c>
      <c r="DI511" s="64">
        <f>($E511-$E512)*100</f>
        <v/>
      </c>
      <c r="DJ511" s="64">
        <f>($H511-$H512)*100</f>
        <v/>
      </c>
      <c r="DK511" s="65">
        <f>IFERROR($J511/$J512-1,"")</f>
        <v/>
      </c>
      <c r="DL511" s="64">
        <f>$L511-$L512</f>
        <v/>
      </c>
      <c r="DM511" s="64">
        <f>$K511-$K512</f>
        <v/>
      </c>
      <c r="DN511" s="65">
        <f>IFERROR($N511/$N512-1,"")</f>
        <v/>
      </c>
      <c r="DO511" s="65">
        <f>IFERROR($M511/$M512-1,"")</f>
        <v/>
      </c>
      <c r="DP511" s="65">
        <f>IFERROR($AZ511/$AZ512-1,"")</f>
        <v/>
      </c>
      <c r="DQ511" s="65">
        <f>IFERROR($BA511/$BA512-1,"")</f>
        <v/>
      </c>
      <c r="DR511" s="64">
        <f>$O511-$O512</f>
        <v/>
      </c>
      <c r="DS511" s="64">
        <f>$P511-$P512</f>
        <v/>
      </c>
      <c r="DT511" s="64">
        <f>$Q511-$Q512</f>
        <v/>
      </c>
      <c r="DU511" s="64">
        <f>$S511-$S512</f>
        <v/>
      </c>
      <c r="DV511" s="65">
        <f>IFERROR(AVERAGE($AA512/$AA511-1,$AB512/$AB511-1,$AC512/$AC511-1,$AD512/$AD511-1,$AE512/$AE511-1,$AG512/$AG511-1,$AH512/$AH511-1,$AI512/$AI511-1,$AJ512/$AJ511-1,$AL512/$AL511-1,$AM512/$AM511-1,$AR512/$AR511-1,$AS512/$AS511-1,$AT512/$AT511-1,$AU512/$AU511-1,$AV512/$AV511-1,$AW512/$AW511-1,$AX512/$AX511-1,$AY512/$AY511-1),"")</f>
        <v/>
      </c>
      <c r="DW511" s="66">
        <f>AVERAGE($CB511,$CC511,$CD511,$CE511,$CF511,$CG511,$CH511,$CI511,$CJ511,$CL511,$CM511,$CN511,$CO511,$CP511,$CQ511,$CR511,$CS511,$CT511)</f>
        <v/>
      </c>
      <c r="DX511" s="66">
        <f>AVERAGE($CB511,$CC511,$CM511,$CE511,$CP511)</f>
        <v/>
      </c>
      <c r="DY511" s="64">
        <f>($DW511-$DW512)*100</f>
        <v/>
      </c>
      <c r="DZ511" s="64">
        <f>($DX511-$DX512)*100</f>
        <v/>
      </c>
      <c r="EA511" s="64">
        <f>($DW511-$D511)*100</f>
        <v/>
      </c>
      <c r="EB511" s="64">
        <f>$Q511-$O511</f>
        <v/>
      </c>
      <c r="EC511" s="67">
        <f>IFERROR($Q511/$P511,"")</f>
        <v/>
      </c>
    </row>
    <row r="512">
      <c r="DG512" s="64">
        <f>($B512-$B513)*100</f>
        <v/>
      </c>
      <c r="DH512" s="64">
        <f>($D512-$D513)*100</f>
        <v/>
      </c>
      <c r="DI512" s="64">
        <f>($E512-$E513)*100</f>
        <v/>
      </c>
      <c r="DJ512" s="64">
        <f>($H512-$H513)*100</f>
        <v/>
      </c>
      <c r="DK512" s="65">
        <f>IFERROR($J512/$J513-1,"")</f>
        <v/>
      </c>
      <c r="DL512" s="64">
        <f>$L512-$L513</f>
        <v/>
      </c>
      <c r="DM512" s="64">
        <f>$K512-$K513</f>
        <v/>
      </c>
      <c r="DN512" s="65">
        <f>IFERROR($N512/$N513-1,"")</f>
        <v/>
      </c>
      <c r="DO512" s="65">
        <f>IFERROR($M512/$M513-1,"")</f>
        <v/>
      </c>
      <c r="DP512" s="65">
        <f>IFERROR($AZ512/$AZ513-1,"")</f>
        <v/>
      </c>
      <c r="DQ512" s="65">
        <f>IFERROR($BA512/$BA513-1,"")</f>
        <v/>
      </c>
      <c r="DR512" s="64">
        <f>$O512-$O513</f>
        <v/>
      </c>
      <c r="DS512" s="64">
        <f>$P512-$P513</f>
        <v/>
      </c>
      <c r="DT512" s="64">
        <f>$Q512-$Q513</f>
        <v/>
      </c>
      <c r="DU512" s="64">
        <f>$S512-$S513</f>
        <v/>
      </c>
      <c r="DV512" s="65">
        <f>IFERROR(AVERAGE($AA513/$AA512-1,$AB513/$AB512-1,$AC513/$AC512-1,$AD513/$AD512-1,$AE513/$AE512-1,$AG513/$AG512-1,$AH513/$AH512-1,$AI513/$AI512-1,$AJ513/$AJ512-1,$AL513/$AL512-1,$AM513/$AM512-1,$AR513/$AR512-1,$AS513/$AS512-1,$AT513/$AT512-1,$AU513/$AU512-1,$AV513/$AV512-1,$AW513/$AW512-1,$AX513/$AX512-1,$AY513/$AY512-1),"")</f>
        <v/>
      </c>
      <c r="DW512" s="66">
        <f>AVERAGE($CB512,$CC512,$CD512,$CE512,$CF512,$CG512,$CH512,$CI512,$CJ512,$CL512,$CM512,$CN512,$CO512,$CP512,$CQ512,$CR512,$CS512,$CT512)</f>
        <v/>
      </c>
      <c r="DX512" s="66">
        <f>AVERAGE($CB512,$CC512,$CM512,$CE512,$CP512)</f>
        <v/>
      </c>
      <c r="DY512" s="64">
        <f>($DW512-$DW513)*100</f>
        <v/>
      </c>
      <c r="DZ512" s="64">
        <f>($DX512-$DX513)*100</f>
        <v/>
      </c>
      <c r="EA512" s="64">
        <f>($DW512-$D512)*100</f>
        <v/>
      </c>
      <c r="EB512" s="64">
        <f>$Q512-$O512</f>
        <v/>
      </c>
      <c r="EC512" s="67">
        <f>IFERROR($Q512/$P512,"")</f>
        <v/>
      </c>
    </row>
    <row r="513">
      <c r="DG513" s="64">
        <f>($B513-$B514)*100</f>
        <v/>
      </c>
      <c r="DH513" s="64">
        <f>($D513-$D514)*100</f>
        <v/>
      </c>
      <c r="DI513" s="64">
        <f>($E513-$E514)*100</f>
        <v/>
      </c>
      <c r="DJ513" s="64">
        <f>($H513-$H514)*100</f>
        <v/>
      </c>
      <c r="DK513" s="65">
        <f>IFERROR($J513/$J514-1,"")</f>
        <v/>
      </c>
      <c r="DL513" s="64">
        <f>$L513-$L514</f>
        <v/>
      </c>
      <c r="DM513" s="64">
        <f>$K513-$K514</f>
        <v/>
      </c>
      <c r="DN513" s="65">
        <f>IFERROR($N513/$N514-1,"")</f>
        <v/>
      </c>
      <c r="DO513" s="65">
        <f>IFERROR($M513/$M514-1,"")</f>
        <v/>
      </c>
      <c r="DP513" s="65">
        <f>IFERROR($AZ513/$AZ514-1,"")</f>
        <v/>
      </c>
      <c r="DQ513" s="65">
        <f>IFERROR($BA513/$BA514-1,"")</f>
        <v/>
      </c>
      <c r="DR513" s="64">
        <f>$O513-$O514</f>
        <v/>
      </c>
      <c r="DS513" s="64">
        <f>$P513-$P514</f>
        <v/>
      </c>
      <c r="DT513" s="64">
        <f>$Q513-$Q514</f>
        <v/>
      </c>
      <c r="DU513" s="64">
        <f>$S513-$S514</f>
        <v/>
      </c>
      <c r="DV513" s="65">
        <f>IFERROR(AVERAGE($AA514/$AA513-1,$AB514/$AB513-1,$AC514/$AC513-1,$AD514/$AD513-1,$AE514/$AE513-1,$AG514/$AG513-1,$AH514/$AH513-1,$AI514/$AI513-1,$AJ514/$AJ513-1,$AL514/$AL513-1,$AM514/$AM513-1,$AR514/$AR513-1,$AS514/$AS513-1,$AT514/$AT513-1,$AU514/$AU513-1,$AV514/$AV513-1,$AW514/$AW513-1,$AX514/$AX513-1,$AY514/$AY513-1),"")</f>
        <v/>
      </c>
      <c r="DW513" s="66">
        <f>AVERAGE($CB513,$CC513,$CD513,$CE513,$CF513,$CG513,$CH513,$CI513,$CJ513,$CL513,$CM513,$CN513,$CO513,$CP513,$CQ513,$CR513,$CS513,$CT513)</f>
        <v/>
      </c>
      <c r="DX513" s="66">
        <f>AVERAGE($CB513,$CC513,$CM513,$CE513,$CP513)</f>
        <v/>
      </c>
      <c r="DY513" s="64">
        <f>($DW513-$DW514)*100</f>
        <v/>
      </c>
      <c r="DZ513" s="64">
        <f>($DX513-$DX514)*100</f>
        <v/>
      </c>
      <c r="EA513" s="64">
        <f>($DW513-$D513)*100</f>
        <v/>
      </c>
      <c r="EB513" s="64">
        <f>$Q513-$O513</f>
        <v/>
      </c>
      <c r="EC513" s="67">
        <f>IFERROR($Q513/$P513,"")</f>
        <v/>
      </c>
    </row>
    <row r="514">
      <c r="DG514" s="64">
        <f>($B514-$B515)*100</f>
        <v/>
      </c>
      <c r="DH514" s="64">
        <f>($D514-$D515)*100</f>
        <v/>
      </c>
      <c r="DI514" s="64">
        <f>($E514-$E515)*100</f>
        <v/>
      </c>
      <c r="DJ514" s="64">
        <f>($H514-$H515)*100</f>
        <v/>
      </c>
      <c r="DK514" s="65">
        <f>IFERROR($J514/$J515-1,"")</f>
        <v/>
      </c>
      <c r="DL514" s="64">
        <f>$L514-$L515</f>
        <v/>
      </c>
      <c r="DM514" s="64">
        <f>$K514-$K515</f>
        <v/>
      </c>
      <c r="DN514" s="65">
        <f>IFERROR($N514/$N515-1,"")</f>
        <v/>
      </c>
      <c r="DO514" s="65">
        <f>IFERROR($M514/$M515-1,"")</f>
        <v/>
      </c>
      <c r="DP514" s="65">
        <f>IFERROR($AZ514/$AZ515-1,"")</f>
        <v/>
      </c>
      <c r="DQ514" s="65">
        <f>IFERROR($BA514/$BA515-1,"")</f>
        <v/>
      </c>
      <c r="DR514" s="64">
        <f>$O514-$O515</f>
        <v/>
      </c>
      <c r="DS514" s="64">
        <f>$P514-$P515</f>
        <v/>
      </c>
      <c r="DT514" s="64">
        <f>$Q514-$Q515</f>
        <v/>
      </c>
      <c r="DU514" s="64">
        <f>$S514-$S515</f>
        <v/>
      </c>
      <c r="DV514" s="65">
        <f>IFERROR(AVERAGE($AA515/$AA514-1,$AB515/$AB514-1,$AC515/$AC514-1,$AD515/$AD514-1,$AE515/$AE514-1,$AG515/$AG514-1,$AH515/$AH514-1,$AI515/$AI514-1,$AJ515/$AJ514-1,$AL515/$AL514-1,$AM515/$AM514-1,$AR515/$AR514-1,$AS515/$AS514-1,$AT515/$AT514-1,$AU515/$AU514-1,$AV515/$AV514-1,$AW515/$AW514-1,$AX515/$AX514-1,$AY515/$AY514-1),"")</f>
        <v/>
      </c>
      <c r="DW514" s="66">
        <f>AVERAGE($CB514,$CC514,$CD514,$CE514,$CF514,$CG514,$CH514,$CI514,$CJ514,$CL514,$CM514,$CN514,$CO514,$CP514,$CQ514,$CR514,$CS514,$CT514)</f>
        <v/>
      </c>
      <c r="DX514" s="66">
        <f>AVERAGE($CB514,$CC514,$CM514,$CE514,$CP514)</f>
        <v/>
      </c>
      <c r="DY514" s="64">
        <f>($DW514-$DW515)*100</f>
        <v/>
      </c>
      <c r="DZ514" s="64">
        <f>($DX514-$DX515)*100</f>
        <v/>
      </c>
      <c r="EA514" s="64">
        <f>($DW514-$D514)*100</f>
        <v/>
      </c>
      <c r="EB514" s="64">
        <f>$Q514-$O514</f>
        <v/>
      </c>
      <c r="EC514" s="67">
        <f>IFERROR($Q514/$P514,"")</f>
        <v/>
      </c>
    </row>
    <row r="515">
      <c r="DG515" s="64">
        <f>($B515-$B516)*100</f>
        <v/>
      </c>
      <c r="DH515" s="64">
        <f>($D515-$D516)*100</f>
        <v/>
      </c>
      <c r="DI515" s="64">
        <f>($E515-$E516)*100</f>
        <v/>
      </c>
      <c r="DJ515" s="64">
        <f>($H515-$H516)*100</f>
        <v/>
      </c>
      <c r="DK515" s="65">
        <f>IFERROR($J515/$J516-1,"")</f>
        <v/>
      </c>
      <c r="DL515" s="64">
        <f>$L515-$L516</f>
        <v/>
      </c>
      <c r="DM515" s="64">
        <f>$K515-$K516</f>
        <v/>
      </c>
      <c r="DN515" s="65">
        <f>IFERROR($N515/$N516-1,"")</f>
        <v/>
      </c>
      <c r="DO515" s="65">
        <f>IFERROR($M515/$M516-1,"")</f>
        <v/>
      </c>
      <c r="DP515" s="65">
        <f>IFERROR($AZ515/$AZ516-1,"")</f>
        <v/>
      </c>
      <c r="DQ515" s="65">
        <f>IFERROR($BA515/$BA516-1,"")</f>
        <v/>
      </c>
      <c r="DR515" s="64">
        <f>$O515-$O516</f>
        <v/>
      </c>
      <c r="DS515" s="64">
        <f>$P515-$P516</f>
        <v/>
      </c>
      <c r="DT515" s="64">
        <f>$Q515-$Q516</f>
        <v/>
      </c>
      <c r="DU515" s="64">
        <f>$S515-$S516</f>
        <v/>
      </c>
      <c r="DV515" s="65">
        <f>IFERROR(AVERAGE($AA516/$AA515-1,$AB516/$AB515-1,$AC516/$AC515-1,$AD516/$AD515-1,$AE516/$AE515-1,$AG516/$AG515-1,$AH516/$AH515-1,$AI516/$AI515-1,$AJ516/$AJ515-1,$AL516/$AL515-1,$AM516/$AM515-1,$AR516/$AR515-1,$AS516/$AS515-1,$AT516/$AT515-1,$AU516/$AU515-1,$AV516/$AV515-1,$AW516/$AW515-1,$AX516/$AX515-1,$AY516/$AY515-1),"")</f>
        <v/>
      </c>
      <c r="DW515" s="66">
        <f>AVERAGE($CB515,$CC515,$CD515,$CE515,$CF515,$CG515,$CH515,$CI515,$CJ515,$CL515,$CM515,$CN515,$CO515,$CP515,$CQ515,$CR515,$CS515,$CT515)</f>
        <v/>
      </c>
      <c r="DX515" s="66">
        <f>AVERAGE($CB515,$CC515,$CM515,$CE515,$CP515)</f>
        <v/>
      </c>
      <c r="DY515" s="64">
        <f>($DW515-$DW516)*100</f>
        <v/>
      </c>
      <c r="DZ515" s="64">
        <f>($DX515-$DX516)*100</f>
        <v/>
      </c>
      <c r="EA515" s="64">
        <f>($DW515-$D515)*100</f>
        <v/>
      </c>
      <c r="EB515" s="64">
        <f>$Q515-$O515</f>
        <v/>
      </c>
      <c r="EC515" s="67">
        <f>IFERROR($Q515/$P515,"")</f>
        <v/>
      </c>
    </row>
    <row r="516">
      <c r="DG516" s="64">
        <f>($B516-$B517)*100</f>
        <v/>
      </c>
      <c r="DH516" s="64">
        <f>($D516-$D517)*100</f>
        <v/>
      </c>
      <c r="DI516" s="64">
        <f>($E516-$E517)*100</f>
        <v/>
      </c>
      <c r="DJ516" s="64">
        <f>($H516-$H517)*100</f>
        <v/>
      </c>
      <c r="DK516" s="65">
        <f>IFERROR($J516/$J517-1,"")</f>
        <v/>
      </c>
      <c r="DL516" s="64">
        <f>$L516-$L517</f>
        <v/>
      </c>
      <c r="DM516" s="64">
        <f>$K516-$K517</f>
        <v/>
      </c>
      <c r="DN516" s="65">
        <f>IFERROR($N516/$N517-1,"")</f>
        <v/>
      </c>
      <c r="DO516" s="65">
        <f>IFERROR($M516/$M517-1,"")</f>
        <v/>
      </c>
      <c r="DP516" s="65">
        <f>IFERROR($AZ516/$AZ517-1,"")</f>
        <v/>
      </c>
      <c r="DQ516" s="65">
        <f>IFERROR($BA516/$BA517-1,"")</f>
        <v/>
      </c>
      <c r="DR516" s="64">
        <f>$O516-$O517</f>
        <v/>
      </c>
      <c r="DS516" s="64">
        <f>$P516-$P517</f>
        <v/>
      </c>
      <c r="DT516" s="64">
        <f>$Q516-$Q517</f>
        <v/>
      </c>
      <c r="DU516" s="64">
        <f>$S516-$S517</f>
        <v/>
      </c>
      <c r="DV516" s="65">
        <f>IFERROR(AVERAGE($AA517/$AA516-1,$AB517/$AB516-1,$AC517/$AC516-1,$AD517/$AD516-1,$AE517/$AE516-1,$AG517/$AG516-1,$AH517/$AH516-1,$AI517/$AI516-1,$AJ517/$AJ516-1,$AL517/$AL516-1,$AM517/$AM516-1,$AR517/$AR516-1,$AS517/$AS516-1,$AT517/$AT516-1,$AU517/$AU516-1,$AV517/$AV516-1,$AW517/$AW516-1,$AX517/$AX516-1,$AY517/$AY516-1),"")</f>
        <v/>
      </c>
      <c r="DW516" s="66">
        <f>AVERAGE($CB516,$CC516,$CD516,$CE516,$CF516,$CG516,$CH516,$CI516,$CJ516,$CL516,$CM516,$CN516,$CO516,$CP516,$CQ516,$CR516,$CS516,$CT516)</f>
        <v/>
      </c>
      <c r="DX516" s="66">
        <f>AVERAGE($CB516,$CC516,$CM516,$CE516,$CP516)</f>
        <v/>
      </c>
      <c r="DY516" s="64">
        <f>($DW516-$DW517)*100</f>
        <v/>
      </c>
      <c r="DZ516" s="64">
        <f>($DX516-$DX517)*100</f>
        <v/>
      </c>
      <c r="EA516" s="64">
        <f>($DW516-$D516)*100</f>
        <v/>
      </c>
      <c r="EB516" s="64">
        <f>$Q516-$O516</f>
        <v/>
      </c>
      <c r="EC516" s="67">
        <f>IFERROR($Q516/$P516,"")</f>
        <v/>
      </c>
    </row>
    <row r="517">
      <c r="DG517" s="64">
        <f>($B517-$B518)*100</f>
        <v/>
      </c>
      <c r="DH517" s="64">
        <f>($D517-$D518)*100</f>
        <v/>
      </c>
      <c r="DI517" s="64">
        <f>($E517-$E518)*100</f>
        <v/>
      </c>
      <c r="DJ517" s="64">
        <f>($H517-$H518)*100</f>
        <v/>
      </c>
      <c r="DK517" s="65">
        <f>IFERROR($J517/$J518-1,"")</f>
        <v/>
      </c>
      <c r="DL517" s="64">
        <f>$L517-$L518</f>
        <v/>
      </c>
      <c r="DM517" s="64">
        <f>$K517-$K518</f>
        <v/>
      </c>
      <c r="DN517" s="65">
        <f>IFERROR($N517/$N518-1,"")</f>
        <v/>
      </c>
      <c r="DO517" s="65">
        <f>IFERROR($M517/$M518-1,"")</f>
        <v/>
      </c>
      <c r="DP517" s="65">
        <f>IFERROR($AZ517/$AZ518-1,"")</f>
        <v/>
      </c>
      <c r="DQ517" s="65">
        <f>IFERROR($BA517/$BA518-1,"")</f>
        <v/>
      </c>
      <c r="DR517" s="64">
        <f>$O517-$O518</f>
        <v/>
      </c>
      <c r="DS517" s="64">
        <f>$P517-$P518</f>
        <v/>
      </c>
      <c r="DT517" s="64">
        <f>$Q517-$Q518</f>
        <v/>
      </c>
      <c r="DU517" s="64">
        <f>$S517-$S518</f>
        <v/>
      </c>
      <c r="DV517" s="65">
        <f>IFERROR(AVERAGE($AA518/$AA517-1,$AB518/$AB517-1,$AC518/$AC517-1,$AD518/$AD517-1,$AE518/$AE517-1,$AG518/$AG517-1,$AH518/$AH517-1,$AI518/$AI517-1,$AJ518/$AJ517-1,$AL518/$AL517-1,$AM518/$AM517-1,$AR518/$AR517-1,$AS518/$AS517-1,$AT518/$AT517-1,$AU518/$AU517-1,$AV518/$AV517-1,$AW518/$AW517-1,$AX518/$AX517-1,$AY518/$AY517-1),"")</f>
        <v/>
      </c>
      <c r="DW517" s="66">
        <f>AVERAGE($CB517,$CC517,$CD517,$CE517,$CF517,$CG517,$CH517,$CI517,$CJ517,$CL517,$CM517,$CN517,$CO517,$CP517,$CQ517,$CR517,$CS517,$CT517)</f>
        <v/>
      </c>
      <c r="DX517" s="66">
        <f>AVERAGE($CB517,$CC517,$CM517,$CE517,$CP517)</f>
        <v/>
      </c>
      <c r="DY517" s="64">
        <f>($DW517-$DW518)*100</f>
        <v/>
      </c>
      <c r="DZ517" s="64">
        <f>($DX517-$DX518)*100</f>
        <v/>
      </c>
      <c r="EA517" s="64">
        <f>($DW517-$D517)*100</f>
        <v/>
      </c>
      <c r="EB517" s="64">
        <f>$Q517-$O517</f>
        <v/>
      </c>
      <c r="EC517" s="67">
        <f>IFERROR($Q517/$P517,"")</f>
        <v/>
      </c>
    </row>
    <row r="518">
      <c r="DG518" s="64">
        <f>($B518-$B519)*100</f>
        <v/>
      </c>
      <c r="DH518" s="64">
        <f>($D518-$D519)*100</f>
        <v/>
      </c>
      <c r="DI518" s="64">
        <f>($E518-$E519)*100</f>
        <v/>
      </c>
      <c r="DJ518" s="64">
        <f>($H518-$H519)*100</f>
        <v/>
      </c>
      <c r="DK518" s="65">
        <f>IFERROR($J518/$J519-1,"")</f>
        <v/>
      </c>
      <c r="DL518" s="64">
        <f>$L518-$L519</f>
        <v/>
      </c>
      <c r="DM518" s="64">
        <f>$K518-$K519</f>
        <v/>
      </c>
      <c r="DN518" s="65">
        <f>IFERROR($N518/$N519-1,"")</f>
        <v/>
      </c>
      <c r="DO518" s="65">
        <f>IFERROR($M518/$M519-1,"")</f>
        <v/>
      </c>
      <c r="DP518" s="65">
        <f>IFERROR($AZ518/$AZ519-1,"")</f>
        <v/>
      </c>
      <c r="DQ518" s="65">
        <f>IFERROR($BA518/$BA519-1,"")</f>
        <v/>
      </c>
      <c r="DR518" s="64">
        <f>$O518-$O519</f>
        <v/>
      </c>
      <c r="DS518" s="64">
        <f>$P518-$P519</f>
        <v/>
      </c>
      <c r="DT518" s="64">
        <f>$Q518-$Q519</f>
        <v/>
      </c>
      <c r="DU518" s="64">
        <f>$S518-$S519</f>
        <v/>
      </c>
      <c r="DV518" s="65">
        <f>IFERROR(AVERAGE($AA519/$AA518-1,$AB519/$AB518-1,$AC519/$AC518-1,$AD519/$AD518-1,$AE519/$AE518-1,$AG519/$AG518-1,$AH519/$AH518-1,$AI519/$AI518-1,$AJ519/$AJ518-1,$AL519/$AL518-1,$AM519/$AM518-1,$AR519/$AR518-1,$AS519/$AS518-1,$AT519/$AT518-1,$AU519/$AU518-1,$AV519/$AV518-1,$AW519/$AW518-1,$AX519/$AX518-1,$AY519/$AY518-1),"")</f>
        <v/>
      </c>
      <c r="DW518" s="66">
        <f>AVERAGE($CB518,$CC518,$CD518,$CE518,$CF518,$CG518,$CH518,$CI518,$CJ518,$CL518,$CM518,$CN518,$CO518,$CP518,$CQ518,$CR518,$CS518,$CT518)</f>
        <v/>
      </c>
      <c r="DX518" s="66">
        <f>AVERAGE($CB518,$CC518,$CM518,$CE518,$CP518)</f>
        <v/>
      </c>
      <c r="DY518" s="64">
        <f>($DW518-$DW519)*100</f>
        <v/>
      </c>
      <c r="DZ518" s="64">
        <f>($DX518-$DX519)*100</f>
        <v/>
      </c>
      <c r="EA518" s="64">
        <f>($DW518-$D518)*100</f>
        <v/>
      </c>
      <c r="EB518" s="64">
        <f>$Q518-$O518</f>
        <v/>
      </c>
      <c r="EC518" s="67">
        <f>IFERROR($Q518/$P518,"")</f>
        <v/>
      </c>
    </row>
    <row r="519">
      <c r="DG519" s="64">
        <f>($B519-$B520)*100</f>
        <v/>
      </c>
      <c r="DH519" s="64">
        <f>($D519-$D520)*100</f>
        <v/>
      </c>
      <c r="DI519" s="64">
        <f>($E519-$E520)*100</f>
        <v/>
      </c>
      <c r="DJ519" s="64">
        <f>($H519-$H520)*100</f>
        <v/>
      </c>
      <c r="DK519" s="65">
        <f>IFERROR($J519/$J520-1,"")</f>
        <v/>
      </c>
      <c r="DL519" s="64">
        <f>$L519-$L520</f>
        <v/>
      </c>
      <c r="DM519" s="64">
        <f>$K519-$K520</f>
        <v/>
      </c>
      <c r="DN519" s="65">
        <f>IFERROR($N519/$N520-1,"")</f>
        <v/>
      </c>
      <c r="DO519" s="65">
        <f>IFERROR($M519/$M520-1,"")</f>
        <v/>
      </c>
      <c r="DP519" s="65">
        <f>IFERROR($AZ519/$AZ520-1,"")</f>
        <v/>
      </c>
      <c r="DQ519" s="65">
        <f>IFERROR($BA519/$BA520-1,"")</f>
        <v/>
      </c>
      <c r="DR519" s="64">
        <f>$O519-$O520</f>
        <v/>
      </c>
      <c r="DS519" s="64">
        <f>$P519-$P520</f>
        <v/>
      </c>
      <c r="DT519" s="64">
        <f>$Q519-$Q520</f>
        <v/>
      </c>
      <c r="DU519" s="64">
        <f>$S519-$S520</f>
        <v/>
      </c>
      <c r="DV519" s="65">
        <f>IFERROR(AVERAGE($AA520/$AA519-1,$AB520/$AB519-1,$AC520/$AC519-1,$AD520/$AD519-1,$AE520/$AE519-1,$AG520/$AG519-1,$AH520/$AH519-1,$AI520/$AI519-1,$AJ520/$AJ519-1,$AL520/$AL519-1,$AM520/$AM519-1,$AR520/$AR519-1,$AS520/$AS519-1,$AT520/$AT519-1,$AU520/$AU519-1,$AV520/$AV519-1,$AW520/$AW519-1,$AX520/$AX519-1,$AY520/$AY519-1),"")</f>
        <v/>
      </c>
      <c r="DW519" s="66">
        <f>AVERAGE($CB519,$CC519,$CD519,$CE519,$CF519,$CG519,$CH519,$CI519,$CJ519,$CL519,$CM519,$CN519,$CO519,$CP519,$CQ519,$CR519,$CS519,$CT519)</f>
        <v/>
      </c>
      <c r="DX519" s="66">
        <f>AVERAGE($CB519,$CC519,$CM519,$CE519,$CP519)</f>
        <v/>
      </c>
      <c r="DY519" s="64">
        <f>($DW519-$DW520)*100</f>
        <v/>
      </c>
      <c r="DZ519" s="64">
        <f>($DX519-$DX520)*100</f>
        <v/>
      </c>
      <c r="EA519" s="64">
        <f>($DW519-$D519)*100</f>
        <v/>
      </c>
      <c r="EB519" s="64">
        <f>$Q519-$O519</f>
        <v/>
      </c>
      <c r="EC519" s="67">
        <f>IFERROR($Q519/$P519,"")</f>
        <v/>
      </c>
    </row>
    <row r="520">
      <c r="DG520" s="64">
        <f>($B520-$B521)*100</f>
        <v/>
      </c>
      <c r="DH520" s="64">
        <f>($D520-$D521)*100</f>
        <v/>
      </c>
      <c r="DI520" s="64">
        <f>($E520-$E521)*100</f>
        <v/>
      </c>
      <c r="DJ520" s="64">
        <f>($H520-$H521)*100</f>
        <v/>
      </c>
      <c r="DK520" s="65">
        <f>IFERROR($J520/$J521-1,"")</f>
        <v/>
      </c>
      <c r="DL520" s="64">
        <f>$L520-$L521</f>
        <v/>
      </c>
      <c r="DM520" s="64">
        <f>$K520-$K521</f>
        <v/>
      </c>
      <c r="DN520" s="65">
        <f>IFERROR($N520/$N521-1,"")</f>
        <v/>
      </c>
      <c r="DO520" s="65">
        <f>IFERROR($M520/$M521-1,"")</f>
        <v/>
      </c>
      <c r="DP520" s="65">
        <f>IFERROR($AZ520/$AZ521-1,"")</f>
        <v/>
      </c>
      <c r="DQ520" s="65">
        <f>IFERROR($BA520/$BA521-1,"")</f>
        <v/>
      </c>
      <c r="DR520" s="64">
        <f>$O520-$O521</f>
        <v/>
      </c>
      <c r="DS520" s="64">
        <f>$P520-$P521</f>
        <v/>
      </c>
      <c r="DT520" s="64">
        <f>$Q520-$Q521</f>
        <v/>
      </c>
      <c r="DU520" s="64">
        <f>$S520-$S521</f>
        <v/>
      </c>
      <c r="DV520" s="65">
        <f>IFERROR(AVERAGE($AA521/$AA520-1,$AB521/$AB520-1,$AC521/$AC520-1,$AD521/$AD520-1,$AE521/$AE520-1,$AG521/$AG520-1,$AH521/$AH520-1,$AI521/$AI520-1,$AJ521/$AJ520-1,$AL521/$AL520-1,$AM521/$AM520-1,$AR521/$AR520-1,$AS521/$AS520-1,$AT521/$AT520-1,$AU521/$AU520-1,$AV521/$AV520-1,$AW521/$AW520-1,$AX521/$AX520-1,$AY521/$AY520-1),"")</f>
        <v/>
      </c>
      <c r="DW520" s="66">
        <f>AVERAGE($CB520,$CC520,$CD520,$CE520,$CF520,$CG520,$CH520,$CI520,$CJ520,$CL520,$CM520,$CN520,$CO520,$CP520,$CQ520,$CR520,$CS520,$CT520)</f>
        <v/>
      </c>
      <c r="DX520" s="66">
        <f>AVERAGE($CB520,$CC520,$CM520,$CE520,$CP520)</f>
        <v/>
      </c>
      <c r="DY520" s="64">
        <f>($DW520-$DW521)*100</f>
        <v/>
      </c>
      <c r="DZ520" s="64">
        <f>($DX520-$DX521)*100</f>
        <v/>
      </c>
      <c r="EA520" s="64">
        <f>($DW520-$D520)*100</f>
        <v/>
      </c>
      <c r="EB520" s="64">
        <f>$Q520-$O520</f>
        <v/>
      </c>
      <c r="EC520" s="67">
        <f>IFERROR($Q520/$P520,"")</f>
        <v/>
      </c>
    </row>
    <row r="521">
      <c r="DG521" s="64">
        <f>($B521-$B522)*100</f>
        <v/>
      </c>
      <c r="DH521" s="64">
        <f>($D521-$D522)*100</f>
        <v/>
      </c>
      <c r="DI521" s="64">
        <f>($E521-$E522)*100</f>
        <v/>
      </c>
      <c r="DJ521" s="64">
        <f>($H521-$H522)*100</f>
        <v/>
      </c>
      <c r="DK521" s="65">
        <f>IFERROR($J521/$J522-1,"")</f>
        <v/>
      </c>
      <c r="DL521" s="64">
        <f>$L521-$L522</f>
        <v/>
      </c>
      <c r="DM521" s="64">
        <f>$K521-$K522</f>
        <v/>
      </c>
      <c r="DN521" s="65">
        <f>IFERROR($N521/$N522-1,"")</f>
        <v/>
      </c>
      <c r="DO521" s="65">
        <f>IFERROR($M521/$M522-1,"")</f>
        <v/>
      </c>
      <c r="DP521" s="65">
        <f>IFERROR($AZ521/$AZ522-1,"")</f>
        <v/>
      </c>
      <c r="DQ521" s="65">
        <f>IFERROR($BA521/$BA522-1,"")</f>
        <v/>
      </c>
      <c r="DR521" s="64">
        <f>$O521-$O522</f>
        <v/>
      </c>
      <c r="DS521" s="64">
        <f>$P521-$P522</f>
        <v/>
      </c>
      <c r="DT521" s="64">
        <f>$Q521-$Q522</f>
        <v/>
      </c>
      <c r="DU521" s="64">
        <f>$S521-$S522</f>
        <v/>
      </c>
      <c r="DV521" s="65">
        <f>IFERROR(AVERAGE($AA522/$AA521-1,$AB522/$AB521-1,$AC522/$AC521-1,$AD522/$AD521-1,$AE522/$AE521-1,$AG522/$AG521-1,$AH522/$AH521-1,$AI522/$AI521-1,$AJ522/$AJ521-1,$AL522/$AL521-1,$AM522/$AM521-1,$AR522/$AR521-1,$AS522/$AS521-1,$AT522/$AT521-1,$AU522/$AU521-1,$AV522/$AV521-1,$AW522/$AW521-1,$AX522/$AX521-1,$AY522/$AY521-1),"")</f>
        <v/>
      </c>
      <c r="DW521" s="66">
        <f>AVERAGE($CB521,$CC521,$CD521,$CE521,$CF521,$CG521,$CH521,$CI521,$CJ521,$CL521,$CM521,$CN521,$CO521,$CP521,$CQ521,$CR521,$CS521,$CT521)</f>
        <v/>
      </c>
      <c r="DX521" s="66">
        <f>AVERAGE($CB521,$CC521,$CM521,$CE521,$CP521)</f>
        <v/>
      </c>
      <c r="DY521" s="64">
        <f>($DW521-$DW522)*100</f>
        <v/>
      </c>
      <c r="DZ521" s="64">
        <f>($DX521-$DX522)*100</f>
        <v/>
      </c>
      <c r="EA521" s="64">
        <f>($DW521-$D521)*100</f>
        <v/>
      </c>
      <c r="EB521" s="64">
        <f>$Q521-$O521</f>
        <v/>
      </c>
      <c r="EC521" s="67">
        <f>IFERROR($Q521/$P521,"")</f>
        <v/>
      </c>
    </row>
    <row r="522">
      <c r="DG522" s="64">
        <f>($B522-$B523)*100</f>
        <v/>
      </c>
      <c r="DH522" s="64">
        <f>($D522-$D523)*100</f>
        <v/>
      </c>
      <c r="DI522" s="64">
        <f>($E522-$E523)*100</f>
        <v/>
      </c>
      <c r="DJ522" s="64">
        <f>($H522-$H523)*100</f>
        <v/>
      </c>
      <c r="DK522" s="65">
        <f>IFERROR($J522/$J523-1,"")</f>
        <v/>
      </c>
      <c r="DL522" s="64">
        <f>$L522-$L523</f>
        <v/>
      </c>
      <c r="DM522" s="64">
        <f>$K522-$K523</f>
        <v/>
      </c>
      <c r="DN522" s="65">
        <f>IFERROR($N522/$N523-1,"")</f>
        <v/>
      </c>
      <c r="DO522" s="65">
        <f>IFERROR($M522/$M523-1,"")</f>
        <v/>
      </c>
      <c r="DP522" s="65">
        <f>IFERROR($AZ522/$AZ523-1,"")</f>
        <v/>
      </c>
      <c r="DQ522" s="65">
        <f>IFERROR($BA522/$BA523-1,"")</f>
        <v/>
      </c>
      <c r="DR522" s="64">
        <f>$O522-$O523</f>
        <v/>
      </c>
      <c r="DS522" s="64">
        <f>$P522-$P523</f>
        <v/>
      </c>
      <c r="DT522" s="64">
        <f>$Q522-$Q523</f>
        <v/>
      </c>
      <c r="DU522" s="64">
        <f>$S522-$S523</f>
        <v/>
      </c>
      <c r="DV522" s="65">
        <f>IFERROR(AVERAGE($AA523/$AA522-1,$AB523/$AB522-1,$AC523/$AC522-1,$AD523/$AD522-1,$AE523/$AE522-1,$AG523/$AG522-1,$AH523/$AH522-1,$AI523/$AI522-1,$AJ523/$AJ522-1,$AL523/$AL522-1,$AM523/$AM522-1,$AR523/$AR522-1,$AS523/$AS522-1,$AT523/$AT522-1,$AU523/$AU522-1,$AV523/$AV522-1,$AW523/$AW522-1,$AX523/$AX522-1,$AY523/$AY522-1),"")</f>
        <v/>
      </c>
      <c r="DW522" s="66">
        <f>AVERAGE($CB522,$CC522,$CD522,$CE522,$CF522,$CG522,$CH522,$CI522,$CJ522,$CL522,$CM522,$CN522,$CO522,$CP522,$CQ522,$CR522,$CS522,$CT522)</f>
        <v/>
      </c>
      <c r="DX522" s="66">
        <f>AVERAGE($CB522,$CC522,$CM522,$CE522,$CP522)</f>
        <v/>
      </c>
      <c r="DY522" s="64">
        <f>($DW522-$DW523)*100</f>
        <v/>
      </c>
      <c r="DZ522" s="64">
        <f>($DX522-$DX523)*100</f>
        <v/>
      </c>
      <c r="EA522" s="64">
        <f>($DW522-$D522)*100</f>
        <v/>
      </c>
      <c r="EB522" s="64">
        <f>$Q522-$O522</f>
        <v/>
      </c>
      <c r="EC522" s="67">
        <f>IFERROR($Q522/$P522,"")</f>
        <v/>
      </c>
    </row>
    <row r="523">
      <c r="DG523" s="64">
        <f>($B523-$B524)*100</f>
        <v/>
      </c>
      <c r="DH523" s="64">
        <f>($D523-$D524)*100</f>
        <v/>
      </c>
      <c r="DI523" s="64">
        <f>($E523-$E524)*100</f>
        <v/>
      </c>
      <c r="DJ523" s="64">
        <f>($H523-$H524)*100</f>
        <v/>
      </c>
      <c r="DK523" s="65">
        <f>IFERROR($J523/$J524-1,"")</f>
        <v/>
      </c>
      <c r="DL523" s="64">
        <f>$L523-$L524</f>
        <v/>
      </c>
      <c r="DM523" s="64">
        <f>$K523-$K524</f>
        <v/>
      </c>
      <c r="DN523" s="65">
        <f>IFERROR($N523/$N524-1,"")</f>
        <v/>
      </c>
      <c r="DO523" s="65">
        <f>IFERROR($M523/$M524-1,"")</f>
        <v/>
      </c>
      <c r="DP523" s="65">
        <f>IFERROR($AZ523/$AZ524-1,"")</f>
        <v/>
      </c>
      <c r="DQ523" s="65">
        <f>IFERROR($BA523/$BA524-1,"")</f>
        <v/>
      </c>
      <c r="DR523" s="64">
        <f>$O523-$O524</f>
        <v/>
      </c>
      <c r="DS523" s="64">
        <f>$P523-$P524</f>
        <v/>
      </c>
      <c r="DT523" s="64">
        <f>$Q523-$Q524</f>
        <v/>
      </c>
      <c r="DU523" s="64">
        <f>$S523-$S524</f>
        <v/>
      </c>
      <c r="DV523" s="65">
        <f>IFERROR(AVERAGE($AA524/$AA523-1,$AB524/$AB523-1,$AC524/$AC523-1,$AD524/$AD523-1,$AE524/$AE523-1,$AG524/$AG523-1,$AH524/$AH523-1,$AI524/$AI523-1,$AJ524/$AJ523-1,$AL524/$AL523-1,$AM524/$AM523-1,$AR524/$AR523-1,$AS524/$AS523-1,$AT524/$AT523-1,$AU524/$AU523-1,$AV524/$AV523-1,$AW524/$AW523-1,$AX524/$AX523-1,$AY524/$AY523-1),"")</f>
        <v/>
      </c>
      <c r="DW523" s="66">
        <f>AVERAGE($CB523,$CC523,$CD523,$CE523,$CF523,$CG523,$CH523,$CI523,$CJ523,$CL523,$CM523,$CN523,$CO523,$CP523,$CQ523,$CR523,$CS523,$CT523)</f>
        <v/>
      </c>
      <c r="DX523" s="66">
        <f>AVERAGE($CB523,$CC523,$CM523,$CE523,$CP523)</f>
        <v/>
      </c>
      <c r="DY523" s="64">
        <f>($DW523-$DW524)*100</f>
        <v/>
      </c>
      <c r="DZ523" s="64">
        <f>($DX523-$DX524)*100</f>
        <v/>
      </c>
      <c r="EA523" s="64">
        <f>($DW523-$D523)*100</f>
        <v/>
      </c>
      <c r="EB523" s="64">
        <f>$Q523-$O523</f>
        <v/>
      </c>
      <c r="EC523" s="67">
        <f>IFERROR($Q523/$P523,"")</f>
        <v/>
      </c>
    </row>
    <row r="524">
      <c r="DG524" s="64">
        <f>($B524-$B525)*100</f>
        <v/>
      </c>
      <c r="DH524" s="64">
        <f>($D524-$D525)*100</f>
        <v/>
      </c>
      <c r="DI524" s="64">
        <f>($E524-$E525)*100</f>
        <v/>
      </c>
      <c r="DJ524" s="64">
        <f>($H524-$H525)*100</f>
        <v/>
      </c>
      <c r="DK524" s="65">
        <f>IFERROR($J524/$J525-1,"")</f>
        <v/>
      </c>
      <c r="DL524" s="64">
        <f>$L524-$L525</f>
        <v/>
      </c>
      <c r="DM524" s="64">
        <f>$K524-$K525</f>
        <v/>
      </c>
      <c r="DN524" s="65">
        <f>IFERROR($N524/$N525-1,"")</f>
        <v/>
      </c>
      <c r="DO524" s="65">
        <f>IFERROR($M524/$M525-1,"")</f>
        <v/>
      </c>
      <c r="DP524" s="65">
        <f>IFERROR($AZ524/$AZ525-1,"")</f>
        <v/>
      </c>
      <c r="DQ524" s="65">
        <f>IFERROR($BA524/$BA525-1,"")</f>
        <v/>
      </c>
      <c r="DR524" s="64">
        <f>$O524-$O525</f>
        <v/>
      </c>
      <c r="DS524" s="64">
        <f>$P524-$P525</f>
        <v/>
      </c>
      <c r="DT524" s="64">
        <f>$Q524-$Q525</f>
        <v/>
      </c>
      <c r="DU524" s="64">
        <f>$S524-$S525</f>
        <v/>
      </c>
      <c r="DV524" s="65">
        <f>IFERROR(AVERAGE($AA525/$AA524-1,$AB525/$AB524-1,$AC525/$AC524-1,$AD525/$AD524-1,$AE525/$AE524-1,$AG525/$AG524-1,$AH525/$AH524-1,$AI525/$AI524-1,$AJ525/$AJ524-1,$AL525/$AL524-1,$AM525/$AM524-1,$AR525/$AR524-1,$AS525/$AS524-1,$AT525/$AT524-1,$AU525/$AU524-1,$AV525/$AV524-1,$AW525/$AW524-1,$AX525/$AX524-1,$AY525/$AY524-1),"")</f>
        <v/>
      </c>
      <c r="DW524" s="66">
        <f>AVERAGE($CB524,$CC524,$CD524,$CE524,$CF524,$CG524,$CH524,$CI524,$CJ524,$CL524,$CM524,$CN524,$CO524,$CP524,$CQ524,$CR524,$CS524,$CT524)</f>
        <v/>
      </c>
      <c r="DX524" s="66">
        <f>AVERAGE($CB524,$CC524,$CM524,$CE524,$CP524)</f>
        <v/>
      </c>
      <c r="DY524" s="64">
        <f>($DW524-$DW525)*100</f>
        <v/>
      </c>
      <c r="DZ524" s="64">
        <f>($DX524-$DX525)*100</f>
        <v/>
      </c>
      <c r="EA524" s="64">
        <f>($DW524-$D524)*100</f>
        <v/>
      </c>
      <c r="EB524" s="64">
        <f>$Q524-$O524</f>
        <v/>
      </c>
      <c r="EC524" s="67">
        <f>IFERROR($Q524/$P524,"")</f>
        <v/>
      </c>
    </row>
    <row r="525">
      <c r="DG525" s="64">
        <f>($B525-$B526)*100</f>
        <v/>
      </c>
      <c r="DH525" s="64">
        <f>($D525-$D526)*100</f>
        <v/>
      </c>
      <c r="DI525" s="64">
        <f>($E525-$E526)*100</f>
        <v/>
      </c>
      <c r="DJ525" s="64">
        <f>($H525-$H526)*100</f>
        <v/>
      </c>
      <c r="DK525" s="65">
        <f>IFERROR($J525/$J526-1,"")</f>
        <v/>
      </c>
      <c r="DL525" s="64">
        <f>$L525-$L526</f>
        <v/>
      </c>
      <c r="DM525" s="64">
        <f>$K525-$K526</f>
        <v/>
      </c>
      <c r="DN525" s="65">
        <f>IFERROR($N525/$N526-1,"")</f>
        <v/>
      </c>
      <c r="DO525" s="65">
        <f>IFERROR($M525/$M526-1,"")</f>
        <v/>
      </c>
      <c r="DP525" s="65">
        <f>IFERROR($AZ525/$AZ526-1,"")</f>
        <v/>
      </c>
      <c r="DQ525" s="65">
        <f>IFERROR($BA525/$BA526-1,"")</f>
        <v/>
      </c>
      <c r="DR525" s="64">
        <f>$O525-$O526</f>
        <v/>
      </c>
      <c r="DS525" s="64">
        <f>$P525-$P526</f>
        <v/>
      </c>
      <c r="DT525" s="64">
        <f>$Q525-$Q526</f>
        <v/>
      </c>
      <c r="DU525" s="64">
        <f>$S525-$S526</f>
        <v/>
      </c>
      <c r="DV525" s="65">
        <f>IFERROR(AVERAGE($AA526/$AA525-1,$AB526/$AB525-1,$AC526/$AC525-1,$AD526/$AD525-1,$AE526/$AE525-1,$AG526/$AG525-1,$AH526/$AH525-1,$AI526/$AI525-1,$AJ526/$AJ525-1,$AL526/$AL525-1,$AM526/$AM525-1,$AR526/$AR525-1,$AS526/$AS525-1,$AT526/$AT525-1,$AU526/$AU525-1,$AV526/$AV525-1,$AW526/$AW525-1,$AX526/$AX525-1,$AY526/$AY525-1),"")</f>
        <v/>
      </c>
      <c r="DW525" s="66">
        <f>AVERAGE($CB525,$CC525,$CD525,$CE525,$CF525,$CG525,$CH525,$CI525,$CJ525,$CL525,$CM525,$CN525,$CO525,$CP525,$CQ525,$CR525,$CS525,$CT525)</f>
        <v/>
      </c>
      <c r="DX525" s="66">
        <f>AVERAGE($CB525,$CC525,$CM525,$CE525,$CP525)</f>
        <v/>
      </c>
      <c r="DY525" s="64">
        <f>($DW525-$DW526)*100</f>
        <v/>
      </c>
      <c r="DZ525" s="64">
        <f>($DX525-$DX526)*100</f>
        <v/>
      </c>
      <c r="EA525" s="64">
        <f>($DW525-$D525)*100</f>
        <v/>
      </c>
      <c r="EB525" s="64">
        <f>$Q525-$O525</f>
        <v/>
      </c>
      <c r="EC525" s="67">
        <f>IFERROR($Q525/$P525,"")</f>
        <v/>
      </c>
    </row>
    <row r="526">
      <c r="DG526" s="64">
        <f>($B526-$B527)*100</f>
        <v/>
      </c>
      <c r="DH526" s="64">
        <f>($D526-$D527)*100</f>
        <v/>
      </c>
      <c r="DI526" s="64">
        <f>($E526-$E527)*100</f>
        <v/>
      </c>
      <c r="DJ526" s="64">
        <f>($H526-$H527)*100</f>
        <v/>
      </c>
      <c r="DK526" s="65">
        <f>IFERROR($J526/$J527-1,"")</f>
        <v/>
      </c>
      <c r="DL526" s="64">
        <f>$L526-$L527</f>
        <v/>
      </c>
      <c r="DM526" s="64">
        <f>$K526-$K527</f>
        <v/>
      </c>
      <c r="DN526" s="65">
        <f>IFERROR($N526/$N527-1,"")</f>
        <v/>
      </c>
      <c r="DO526" s="65">
        <f>IFERROR($M526/$M527-1,"")</f>
        <v/>
      </c>
      <c r="DP526" s="65">
        <f>IFERROR($AZ526/$AZ527-1,"")</f>
        <v/>
      </c>
      <c r="DQ526" s="65">
        <f>IFERROR($BA526/$BA527-1,"")</f>
        <v/>
      </c>
      <c r="DR526" s="64">
        <f>$O526-$O527</f>
        <v/>
      </c>
      <c r="DS526" s="64">
        <f>$P526-$P527</f>
        <v/>
      </c>
      <c r="DT526" s="64">
        <f>$Q526-$Q527</f>
        <v/>
      </c>
      <c r="DU526" s="64">
        <f>$S526-$S527</f>
        <v/>
      </c>
      <c r="DV526" s="65">
        <f>IFERROR(AVERAGE($AA527/$AA526-1,$AB527/$AB526-1,$AC527/$AC526-1,$AD527/$AD526-1,$AE527/$AE526-1,$AG527/$AG526-1,$AH527/$AH526-1,$AI527/$AI526-1,$AJ527/$AJ526-1,$AL527/$AL526-1,$AM527/$AM526-1,$AR527/$AR526-1,$AS527/$AS526-1,$AT527/$AT526-1,$AU527/$AU526-1,$AV527/$AV526-1,$AW527/$AW526-1,$AX527/$AX526-1,$AY527/$AY526-1),"")</f>
        <v/>
      </c>
      <c r="DW526" s="66">
        <f>AVERAGE($CB526,$CC526,$CD526,$CE526,$CF526,$CG526,$CH526,$CI526,$CJ526,$CL526,$CM526,$CN526,$CO526,$CP526,$CQ526,$CR526,$CS526,$CT526)</f>
        <v/>
      </c>
      <c r="DX526" s="66">
        <f>AVERAGE($CB526,$CC526,$CM526,$CE526,$CP526)</f>
        <v/>
      </c>
      <c r="DY526" s="64">
        <f>($DW526-$DW527)*100</f>
        <v/>
      </c>
      <c r="DZ526" s="64">
        <f>($DX526-$DX527)*100</f>
        <v/>
      </c>
      <c r="EA526" s="64">
        <f>($DW526-$D526)*100</f>
        <v/>
      </c>
      <c r="EB526" s="64">
        <f>$Q526-$O526</f>
        <v/>
      </c>
      <c r="EC526" s="67">
        <f>IFERROR($Q526/$P526,"")</f>
        <v/>
      </c>
    </row>
    <row r="527">
      <c r="DG527" s="64">
        <f>($B527-$B528)*100</f>
        <v/>
      </c>
      <c r="DH527" s="64">
        <f>($D527-$D528)*100</f>
        <v/>
      </c>
      <c r="DI527" s="64">
        <f>($E527-$E528)*100</f>
        <v/>
      </c>
      <c r="DJ527" s="64">
        <f>($H527-$H528)*100</f>
        <v/>
      </c>
      <c r="DK527" s="65">
        <f>IFERROR($J527/$J528-1,"")</f>
        <v/>
      </c>
      <c r="DL527" s="64">
        <f>$L527-$L528</f>
        <v/>
      </c>
      <c r="DM527" s="64">
        <f>$K527-$K528</f>
        <v/>
      </c>
      <c r="DN527" s="65">
        <f>IFERROR($N527/$N528-1,"")</f>
        <v/>
      </c>
      <c r="DO527" s="65">
        <f>IFERROR($M527/$M528-1,"")</f>
        <v/>
      </c>
      <c r="DP527" s="65">
        <f>IFERROR($AZ527/$AZ528-1,"")</f>
        <v/>
      </c>
      <c r="DQ527" s="65">
        <f>IFERROR($BA527/$BA528-1,"")</f>
        <v/>
      </c>
      <c r="DR527" s="64">
        <f>$O527-$O528</f>
        <v/>
      </c>
      <c r="DS527" s="64">
        <f>$P527-$P528</f>
        <v/>
      </c>
      <c r="DT527" s="64">
        <f>$Q527-$Q528</f>
        <v/>
      </c>
      <c r="DU527" s="64">
        <f>$S527-$S528</f>
        <v/>
      </c>
      <c r="DV527" s="65">
        <f>IFERROR(AVERAGE($AA528/$AA527-1,$AB528/$AB527-1,$AC528/$AC527-1,$AD528/$AD527-1,$AE528/$AE527-1,$AG528/$AG527-1,$AH528/$AH527-1,$AI528/$AI527-1,$AJ528/$AJ527-1,$AL528/$AL527-1,$AM528/$AM527-1,$AR528/$AR527-1,$AS528/$AS527-1,$AT528/$AT527-1,$AU528/$AU527-1,$AV528/$AV527-1,$AW528/$AW527-1,$AX528/$AX527-1,$AY528/$AY527-1),"")</f>
        <v/>
      </c>
      <c r="DW527" s="66">
        <f>AVERAGE($CB527,$CC527,$CD527,$CE527,$CF527,$CG527,$CH527,$CI527,$CJ527,$CL527,$CM527,$CN527,$CO527,$CP527,$CQ527,$CR527,$CS527,$CT527)</f>
        <v/>
      </c>
      <c r="DX527" s="66">
        <f>AVERAGE($CB527,$CC527,$CM527,$CE527,$CP527)</f>
        <v/>
      </c>
      <c r="DY527" s="64">
        <f>($DW527-$DW528)*100</f>
        <v/>
      </c>
      <c r="DZ527" s="64">
        <f>($DX527-$DX528)*100</f>
        <v/>
      </c>
      <c r="EA527" s="64">
        <f>($DW527-$D527)*100</f>
        <v/>
      </c>
      <c r="EB527" s="64">
        <f>$Q527-$O527</f>
        <v/>
      </c>
      <c r="EC527" s="67">
        <f>IFERROR($Q527/$P527,"")</f>
        <v/>
      </c>
    </row>
    <row r="528">
      <c r="DG528" s="64">
        <f>($B528-$B529)*100</f>
        <v/>
      </c>
      <c r="DH528" s="64">
        <f>($D528-$D529)*100</f>
        <v/>
      </c>
      <c r="DI528" s="64">
        <f>($E528-$E529)*100</f>
        <v/>
      </c>
      <c r="DJ528" s="64">
        <f>($H528-$H529)*100</f>
        <v/>
      </c>
      <c r="DK528" s="65">
        <f>IFERROR($J528/$J529-1,"")</f>
        <v/>
      </c>
      <c r="DL528" s="64">
        <f>$L528-$L529</f>
        <v/>
      </c>
      <c r="DM528" s="64">
        <f>$K528-$K529</f>
        <v/>
      </c>
      <c r="DN528" s="65">
        <f>IFERROR($N528/$N529-1,"")</f>
        <v/>
      </c>
      <c r="DO528" s="65">
        <f>IFERROR($M528/$M529-1,"")</f>
        <v/>
      </c>
      <c r="DP528" s="65">
        <f>IFERROR($AZ528/$AZ529-1,"")</f>
        <v/>
      </c>
      <c r="DQ528" s="65">
        <f>IFERROR($BA528/$BA529-1,"")</f>
        <v/>
      </c>
      <c r="DR528" s="64">
        <f>$O528-$O529</f>
        <v/>
      </c>
      <c r="DS528" s="64">
        <f>$P528-$P529</f>
        <v/>
      </c>
      <c r="DT528" s="64">
        <f>$Q528-$Q529</f>
        <v/>
      </c>
      <c r="DU528" s="64">
        <f>$S528-$S529</f>
        <v/>
      </c>
      <c r="DV528" s="65">
        <f>IFERROR(AVERAGE($AA529/$AA528-1,$AB529/$AB528-1,$AC529/$AC528-1,$AD529/$AD528-1,$AE529/$AE528-1,$AG529/$AG528-1,$AH529/$AH528-1,$AI529/$AI528-1,$AJ529/$AJ528-1,$AL529/$AL528-1,$AM529/$AM528-1,$AR529/$AR528-1,$AS529/$AS528-1,$AT529/$AT528-1,$AU529/$AU528-1,$AV529/$AV528-1,$AW529/$AW528-1,$AX529/$AX528-1,$AY529/$AY528-1),"")</f>
        <v/>
      </c>
      <c r="DW528" s="66">
        <f>AVERAGE($CB528,$CC528,$CD528,$CE528,$CF528,$CG528,$CH528,$CI528,$CJ528,$CL528,$CM528,$CN528,$CO528,$CP528,$CQ528,$CR528,$CS528,$CT528)</f>
        <v/>
      </c>
      <c r="DX528" s="66">
        <f>AVERAGE($CB528,$CC528,$CM528,$CE528,$CP528)</f>
        <v/>
      </c>
      <c r="DY528" s="64">
        <f>($DW528-$DW529)*100</f>
        <v/>
      </c>
      <c r="DZ528" s="64">
        <f>($DX528-$DX529)*100</f>
        <v/>
      </c>
      <c r="EA528" s="64">
        <f>($DW528-$D528)*100</f>
        <v/>
      </c>
      <c r="EB528" s="64">
        <f>$Q528-$O528</f>
        <v/>
      </c>
      <c r="EC528" s="67">
        <f>IFERROR($Q528/$P528,"")</f>
        <v/>
      </c>
    </row>
    <row r="529">
      <c r="DG529" s="64">
        <f>($B529-$B530)*100</f>
        <v/>
      </c>
      <c r="DH529" s="64">
        <f>($D529-$D530)*100</f>
        <v/>
      </c>
      <c r="DI529" s="64">
        <f>($E529-$E530)*100</f>
        <v/>
      </c>
      <c r="DJ529" s="64">
        <f>($H529-$H530)*100</f>
        <v/>
      </c>
      <c r="DK529" s="65">
        <f>IFERROR($J529/$J530-1,"")</f>
        <v/>
      </c>
      <c r="DL529" s="64">
        <f>$L529-$L530</f>
        <v/>
      </c>
      <c r="DM529" s="64">
        <f>$K529-$K530</f>
        <v/>
      </c>
      <c r="DN529" s="65">
        <f>IFERROR($N529/$N530-1,"")</f>
        <v/>
      </c>
      <c r="DO529" s="65">
        <f>IFERROR($M529/$M530-1,"")</f>
        <v/>
      </c>
      <c r="DP529" s="65">
        <f>IFERROR($AZ529/$AZ530-1,"")</f>
        <v/>
      </c>
      <c r="DQ529" s="65">
        <f>IFERROR($BA529/$BA530-1,"")</f>
        <v/>
      </c>
      <c r="DR529" s="64">
        <f>$O529-$O530</f>
        <v/>
      </c>
      <c r="DS529" s="64">
        <f>$P529-$P530</f>
        <v/>
      </c>
      <c r="DT529" s="64">
        <f>$Q529-$Q530</f>
        <v/>
      </c>
      <c r="DU529" s="64">
        <f>$S529-$S530</f>
        <v/>
      </c>
      <c r="DV529" s="65">
        <f>IFERROR(AVERAGE($AA530/$AA529-1,$AB530/$AB529-1,$AC530/$AC529-1,$AD530/$AD529-1,$AE530/$AE529-1,$AG530/$AG529-1,$AH530/$AH529-1,$AI530/$AI529-1,$AJ530/$AJ529-1,$AL530/$AL529-1,$AM530/$AM529-1,$AR530/$AR529-1,$AS530/$AS529-1,$AT530/$AT529-1,$AU530/$AU529-1,$AV530/$AV529-1,$AW530/$AW529-1,$AX530/$AX529-1,$AY530/$AY529-1),"")</f>
        <v/>
      </c>
      <c r="DW529" s="66">
        <f>AVERAGE($CB529,$CC529,$CD529,$CE529,$CF529,$CG529,$CH529,$CI529,$CJ529,$CL529,$CM529,$CN529,$CO529,$CP529,$CQ529,$CR529,$CS529,$CT529)</f>
        <v/>
      </c>
      <c r="DX529" s="66">
        <f>AVERAGE($CB529,$CC529,$CM529,$CE529,$CP529)</f>
        <v/>
      </c>
      <c r="DY529" s="64">
        <f>($DW529-$DW530)*100</f>
        <v/>
      </c>
      <c r="DZ529" s="64">
        <f>($DX529-$DX530)*100</f>
        <v/>
      </c>
      <c r="EA529" s="64">
        <f>($DW529-$D529)*100</f>
        <v/>
      </c>
      <c r="EB529" s="64">
        <f>$Q529-$O529</f>
        <v/>
      </c>
      <c r="EC529" s="67">
        <f>IFERROR($Q529/$P529,"")</f>
        <v/>
      </c>
    </row>
    <row r="530">
      <c r="DG530" s="64">
        <f>($B530-$B531)*100</f>
        <v/>
      </c>
      <c r="DH530" s="64">
        <f>($D530-$D531)*100</f>
        <v/>
      </c>
      <c r="DI530" s="64">
        <f>($E530-$E531)*100</f>
        <v/>
      </c>
      <c r="DJ530" s="64">
        <f>($H530-$H531)*100</f>
        <v/>
      </c>
      <c r="DK530" s="65">
        <f>IFERROR($J530/$J531-1,"")</f>
        <v/>
      </c>
      <c r="DL530" s="64">
        <f>$L530-$L531</f>
        <v/>
      </c>
      <c r="DM530" s="64">
        <f>$K530-$K531</f>
        <v/>
      </c>
      <c r="DN530" s="65">
        <f>IFERROR($N530/$N531-1,"")</f>
        <v/>
      </c>
      <c r="DO530" s="65">
        <f>IFERROR($M530/$M531-1,"")</f>
        <v/>
      </c>
      <c r="DP530" s="65">
        <f>IFERROR($AZ530/$AZ531-1,"")</f>
        <v/>
      </c>
      <c r="DQ530" s="65">
        <f>IFERROR($BA530/$BA531-1,"")</f>
        <v/>
      </c>
      <c r="DR530" s="64">
        <f>$O530-$O531</f>
        <v/>
      </c>
      <c r="DS530" s="64">
        <f>$P530-$P531</f>
        <v/>
      </c>
      <c r="DT530" s="64">
        <f>$Q530-$Q531</f>
        <v/>
      </c>
      <c r="DU530" s="64">
        <f>$S530-$S531</f>
        <v/>
      </c>
      <c r="DV530" s="65">
        <f>IFERROR(AVERAGE($AA531/$AA530-1,$AB531/$AB530-1,$AC531/$AC530-1,$AD531/$AD530-1,$AE531/$AE530-1,$AG531/$AG530-1,$AH531/$AH530-1,$AI531/$AI530-1,$AJ531/$AJ530-1,$AL531/$AL530-1,$AM531/$AM530-1,$AR531/$AR530-1,$AS531/$AS530-1,$AT531/$AT530-1,$AU531/$AU530-1,$AV531/$AV530-1,$AW531/$AW530-1,$AX531/$AX530-1,$AY531/$AY530-1),"")</f>
        <v/>
      </c>
      <c r="DW530" s="66">
        <f>AVERAGE($CB530,$CC530,$CD530,$CE530,$CF530,$CG530,$CH530,$CI530,$CJ530,$CL530,$CM530,$CN530,$CO530,$CP530,$CQ530,$CR530,$CS530,$CT530)</f>
        <v/>
      </c>
      <c r="DX530" s="66">
        <f>AVERAGE($CB530,$CC530,$CM530,$CE530,$CP530)</f>
        <v/>
      </c>
      <c r="DY530" s="64">
        <f>($DW530-$DW531)*100</f>
        <v/>
      </c>
      <c r="DZ530" s="64">
        <f>($DX530-$DX531)*100</f>
        <v/>
      </c>
      <c r="EA530" s="64">
        <f>($DW530-$D530)*100</f>
        <v/>
      </c>
      <c r="EB530" s="64">
        <f>$Q530-$O530</f>
        <v/>
      </c>
      <c r="EC530" s="67">
        <f>IFERROR($Q530/$P530,"")</f>
        <v/>
      </c>
    </row>
    <row r="531">
      <c r="DG531" s="64">
        <f>($B531-$B532)*100</f>
        <v/>
      </c>
      <c r="DH531" s="64">
        <f>($D531-$D532)*100</f>
        <v/>
      </c>
      <c r="DI531" s="64">
        <f>($E531-$E532)*100</f>
        <v/>
      </c>
      <c r="DJ531" s="64">
        <f>($H531-$H532)*100</f>
        <v/>
      </c>
      <c r="DK531" s="65">
        <f>IFERROR($J531/$J532-1,"")</f>
        <v/>
      </c>
      <c r="DL531" s="64">
        <f>$L531-$L532</f>
        <v/>
      </c>
      <c r="DM531" s="64">
        <f>$K531-$K532</f>
        <v/>
      </c>
      <c r="DN531" s="65">
        <f>IFERROR($N531/$N532-1,"")</f>
        <v/>
      </c>
      <c r="DO531" s="65">
        <f>IFERROR($M531/$M532-1,"")</f>
        <v/>
      </c>
      <c r="DP531" s="65">
        <f>IFERROR($AZ531/$AZ532-1,"")</f>
        <v/>
      </c>
      <c r="DQ531" s="65">
        <f>IFERROR($BA531/$BA532-1,"")</f>
        <v/>
      </c>
      <c r="DR531" s="64">
        <f>$O531-$O532</f>
        <v/>
      </c>
      <c r="DS531" s="64">
        <f>$P531-$P532</f>
        <v/>
      </c>
      <c r="DT531" s="64">
        <f>$Q531-$Q532</f>
        <v/>
      </c>
      <c r="DU531" s="64">
        <f>$S531-$S532</f>
        <v/>
      </c>
      <c r="DV531" s="65">
        <f>IFERROR(AVERAGE($AA532/$AA531-1,$AB532/$AB531-1,$AC532/$AC531-1,$AD532/$AD531-1,$AE532/$AE531-1,$AG532/$AG531-1,$AH532/$AH531-1,$AI532/$AI531-1,$AJ532/$AJ531-1,$AL532/$AL531-1,$AM532/$AM531-1,$AR532/$AR531-1,$AS532/$AS531-1,$AT532/$AT531-1,$AU532/$AU531-1,$AV532/$AV531-1,$AW532/$AW531-1,$AX532/$AX531-1,$AY532/$AY531-1),"")</f>
        <v/>
      </c>
      <c r="DW531" s="66">
        <f>AVERAGE($CB531,$CC531,$CD531,$CE531,$CF531,$CG531,$CH531,$CI531,$CJ531,$CL531,$CM531,$CN531,$CO531,$CP531,$CQ531,$CR531,$CS531,$CT531)</f>
        <v/>
      </c>
      <c r="DX531" s="66">
        <f>AVERAGE($CB531,$CC531,$CM531,$CE531,$CP531)</f>
        <v/>
      </c>
      <c r="DY531" s="64">
        <f>($DW531-$DW532)*100</f>
        <v/>
      </c>
      <c r="DZ531" s="64">
        <f>($DX531-$DX532)*100</f>
        <v/>
      </c>
      <c r="EA531" s="64">
        <f>($DW531-$D531)*100</f>
        <v/>
      </c>
      <c r="EB531" s="64">
        <f>$Q531-$O531</f>
        <v/>
      </c>
      <c r="EC531" s="67">
        <f>IFERROR($Q531/$P531,"")</f>
        <v/>
      </c>
    </row>
    <row r="532">
      <c r="DG532" s="64">
        <f>($B532-$B533)*100</f>
        <v/>
      </c>
      <c r="DH532" s="64">
        <f>($D532-$D533)*100</f>
        <v/>
      </c>
      <c r="DI532" s="64">
        <f>($E532-$E533)*100</f>
        <v/>
      </c>
      <c r="DJ532" s="64">
        <f>($H532-$H533)*100</f>
        <v/>
      </c>
      <c r="DK532" s="65">
        <f>IFERROR($J532/$J533-1,"")</f>
        <v/>
      </c>
      <c r="DL532" s="64">
        <f>$L532-$L533</f>
        <v/>
      </c>
      <c r="DM532" s="64">
        <f>$K532-$K533</f>
        <v/>
      </c>
      <c r="DN532" s="65">
        <f>IFERROR($N532/$N533-1,"")</f>
        <v/>
      </c>
      <c r="DO532" s="65">
        <f>IFERROR($M532/$M533-1,"")</f>
        <v/>
      </c>
      <c r="DP532" s="65">
        <f>IFERROR($AZ532/$AZ533-1,"")</f>
        <v/>
      </c>
      <c r="DQ532" s="65">
        <f>IFERROR($BA532/$BA533-1,"")</f>
        <v/>
      </c>
      <c r="DR532" s="64">
        <f>$O532-$O533</f>
        <v/>
      </c>
      <c r="DS532" s="64">
        <f>$P532-$P533</f>
        <v/>
      </c>
      <c r="DT532" s="64">
        <f>$Q532-$Q533</f>
        <v/>
      </c>
      <c r="DU532" s="64">
        <f>$S532-$S533</f>
        <v/>
      </c>
      <c r="DV532" s="65">
        <f>IFERROR(AVERAGE($AA533/$AA532-1,$AB533/$AB532-1,$AC533/$AC532-1,$AD533/$AD532-1,$AE533/$AE532-1,$AG533/$AG532-1,$AH533/$AH532-1,$AI533/$AI532-1,$AJ533/$AJ532-1,$AL533/$AL532-1,$AM533/$AM532-1,$AR533/$AR532-1,$AS533/$AS532-1,$AT533/$AT532-1,$AU533/$AU532-1,$AV533/$AV532-1,$AW533/$AW532-1,$AX533/$AX532-1,$AY533/$AY532-1),"")</f>
        <v/>
      </c>
      <c r="DW532" s="66">
        <f>AVERAGE($CB532,$CC532,$CD532,$CE532,$CF532,$CG532,$CH532,$CI532,$CJ532,$CL532,$CM532,$CN532,$CO532,$CP532,$CQ532,$CR532,$CS532,$CT532)</f>
        <v/>
      </c>
      <c r="DX532" s="66">
        <f>AVERAGE($CB532,$CC532,$CM532,$CE532,$CP532)</f>
        <v/>
      </c>
      <c r="DY532" s="64">
        <f>($DW532-$DW533)*100</f>
        <v/>
      </c>
      <c r="DZ532" s="64">
        <f>($DX532-$DX533)*100</f>
        <v/>
      </c>
      <c r="EA532" s="64">
        <f>($DW532-$D532)*100</f>
        <v/>
      </c>
      <c r="EB532" s="64">
        <f>$Q532-$O532</f>
        <v/>
      </c>
      <c r="EC532" s="67">
        <f>IFERROR($Q532/$P532,"")</f>
        <v/>
      </c>
    </row>
    <row r="533">
      <c r="DG533" s="64">
        <f>($B533-$B534)*100</f>
        <v/>
      </c>
      <c r="DH533" s="64">
        <f>($D533-$D534)*100</f>
        <v/>
      </c>
      <c r="DI533" s="64">
        <f>($E533-$E534)*100</f>
        <v/>
      </c>
      <c r="DJ533" s="64">
        <f>($H533-$H534)*100</f>
        <v/>
      </c>
      <c r="DK533" s="65">
        <f>IFERROR($J533/$J534-1,"")</f>
        <v/>
      </c>
      <c r="DL533" s="64">
        <f>$L533-$L534</f>
        <v/>
      </c>
      <c r="DM533" s="64">
        <f>$K533-$K534</f>
        <v/>
      </c>
      <c r="DN533" s="65">
        <f>IFERROR($N533/$N534-1,"")</f>
        <v/>
      </c>
      <c r="DO533" s="65">
        <f>IFERROR($M533/$M534-1,"")</f>
        <v/>
      </c>
      <c r="DP533" s="65">
        <f>IFERROR($AZ533/$AZ534-1,"")</f>
        <v/>
      </c>
      <c r="DQ533" s="65">
        <f>IFERROR($BA533/$BA534-1,"")</f>
        <v/>
      </c>
      <c r="DR533" s="64">
        <f>$O533-$O534</f>
        <v/>
      </c>
      <c r="DS533" s="64">
        <f>$P533-$P534</f>
        <v/>
      </c>
      <c r="DT533" s="64">
        <f>$Q533-$Q534</f>
        <v/>
      </c>
      <c r="DU533" s="64">
        <f>$S533-$S534</f>
        <v/>
      </c>
      <c r="DV533" s="65">
        <f>IFERROR(AVERAGE($AA534/$AA533-1,$AB534/$AB533-1,$AC534/$AC533-1,$AD534/$AD533-1,$AE534/$AE533-1,$AG534/$AG533-1,$AH534/$AH533-1,$AI534/$AI533-1,$AJ534/$AJ533-1,$AL534/$AL533-1,$AM534/$AM533-1,$AR534/$AR533-1,$AS534/$AS533-1,$AT534/$AT533-1,$AU534/$AU533-1,$AV534/$AV533-1,$AW534/$AW533-1,$AX534/$AX533-1,$AY534/$AY533-1),"")</f>
        <v/>
      </c>
      <c r="DW533" s="66">
        <f>AVERAGE($CB533,$CC533,$CD533,$CE533,$CF533,$CG533,$CH533,$CI533,$CJ533,$CL533,$CM533,$CN533,$CO533,$CP533,$CQ533,$CR533,$CS533,$CT533)</f>
        <v/>
      </c>
      <c r="DX533" s="66">
        <f>AVERAGE($CB533,$CC533,$CM533,$CE533,$CP533)</f>
        <v/>
      </c>
      <c r="DY533" s="64">
        <f>($DW533-$DW534)*100</f>
        <v/>
      </c>
      <c r="DZ533" s="64">
        <f>($DX533-$DX534)*100</f>
        <v/>
      </c>
      <c r="EA533" s="64">
        <f>($DW533-$D533)*100</f>
        <v/>
      </c>
      <c r="EB533" s="64">
        <f>$Q533-$O533</f>
        <v/>
      </c>
      <c r="EC533" s="67">
        <f>IFERROR($Q533/$P533,"")</f>
        <v/>
      </c>
    </row>
    <row r="534">
      <c r="DG534" s="64">
        <f>($B534-$B535)*100</f>
        <v/>
      </c>
      <c r="DH534" s="64">
        <f>($D534-$D535)*100</f>
        <v/>
      </c>
      <c r="DI534" s="64">
        <f>($E534-$E535)*100</f>
        <v/>
      </c>
      <c r="DJ534" s="64">
        <f>($H534-$H535)*100</f>
        <v/>
      </c>
      <c r="DK534" s="65">
        <f>IFERROR($J534/$J535-1,"")</f>
        <v/>
      </c>
      <c r="DL534" s="64">
        <f>$L534-$L535</f>
        <v/>
      </c>
      <c r="DM534" s="64">
        <f>$K534-$K535</f>
        <v/>
      </c>
      <c r="DN534" s="65">
        <f>IFERROR($N534/$N535-1,"")</f>
        <v/>
      </c>
      <c r="DO534" s="65">
        <f>IFERROR($M534/$M535-1,"")</f>
        <v/>
      </c>
      <c r="DP534" s="65">
        <f>IFERROR($AZ534/$AZ535-1,"")</f>
        <v/>
      </c>
      <c r="DQ534" s="65">
        <f>IFERROR($BA534/$BA535-1,"")</f>
        <v/>
      </c>
      <c r="DR534" s="64">
        <f>$O534-$O535</f>
        <v/>
      </c>
      <c r="DS534" s="64">
        <f>$P534-$P535</f>
        <v/>
      </c>
      <c r="DT534" s="64">
        <f>$Q534-$Q535</f>
        <v/>
      </c>
      <c r="DU534" s="64">
        <f>$S534-$S535</f>
        <v/>
      </c>
      <c r="DV534" s="65">
        <f>IFERROR(AVERAGE($AA535/$AA534-1,$AB535/$AB534-1,$AC535/$AC534-1,$AD535/$AD534-1,$AE535/$AE534-1,$AG535/$AG534-1,$AH535/$AH534-1,$AI535/$AI534-1,$AJ535/$AJ534-1,$AL535/$AL534-1,$AM535/$AM534-1,$AR535/$AR534-1,$AS535/$AS534-1,$AT535/$AT534-1,$AU535/$AU534-1,$AV535/$AV534-1,$AW535/$AW534-1,$AX535/$AX534-1,$AY535/$AY534-1),"")</f>
        <v/>
      </c>
      <c r="DW534" s="66">
        <f>AVERAGE($CB534,$CC534,$CD534,$CE534,$CF534,$CG534,$CH534,$CI534,$CJ534,$CL534,$CM534,$CN534,$CO534,$CP534,$CQ534,$CR534,$CS534,$CT534)</f>
        <v/>
      </c>
      <c r="DX534" s="66">
        <f>AVERAGE($CB534,$CC534,$CM534,$CE534,$CP534)</f>
        <v/>
      </c>
      <c r="DY534" s="64">
        <f>($DW534-$DW535)*100</f>
        <v/>
      </c>
      <c r="DZ534" s="64">
        <f>($DX534-$DX535)*100</f>
        <v/>
      </c>
      <c r="EA534" s="64">
        <f>($DW534-$D534)*100</f>
        <v/>
      </c>
      <c r="EB534" s="64">
        <f>$Q534-$O534</f>
        <v/>
      </c>
      <c r="EC534" s="67">
        <f>IFERROR($Q534/$P534,"")</f>
        <v/>
      </c>
    </row>
    <row r="535">
      <c r="DG535" s="64">
        <f>($B535-$B536)*100</f>
        <v/>
      </c>
      <c r="DH535" s="64">
        <f>($D535-$D536)*100</f>
        <v/>
      </c>
      <c r="DI535" s="64">
        <f>($E535-$E536)*100</f>
        <v/>
      </c>
      <c r="DJ535" s="64">
        <f>($H535-$H536)*100</f>
        <v/>
      </c>
      <c r="DK535" s="65">
        <f>IFERROR($J535/$J536-1,"")</f>
        <v/>
      </c>
      <c r="DL535" s="64">
        <f>$L535-$L536</f>
        <v/>
      </c>
      <c r="DM535" s="64">
        <f>$K535-$K536</f>
        <v/>
      </c>
      <c r="DN535" s="65">
        <f>IFERROR($N535/$N536-1,"")</f>
        <v/>
      </c>
      <c r="DO535" s="65">
        <f>IFERROR($M535/$M536-1,"")</f>
        <v/>
      </c>
      <c r="DP535" s="65">
        <f>IFERROR($AZ535/$AZ536-1,"")</f>
        <v/>
      </c>
      <c r="DQ535" s="65">
        <f>IFERROR($BA535/$BA536-1,"")</f>
        <v/>
      </c>
      <c r="DR535" s="64">
        <f>$O535-$O536</f>
        <v/>
      </c>
      <c r="DS535" s="64">
        <f>$P535-$P536</f>
        <v/>
      </c>
      <c r="DT535" s="64">
        <f>$Q535-$Q536</f>
        <v/>
      </c>
      <c r="DU535" s="64">
        <f>$S535-$S536</f>
        <v/>
      </c>
      <c r="DV535" s="65">
        <f>IFERROR(AVERAGE($AA536/$AA535-1,$AB536/$AB535-1,$AC536/$AC535-1,$AD536/$AD535-1,$AE536/$AE535-1,$AG536/$AG535-1,$AH536/$AH535-1,$AI536/$AI535-1,$AJ536/$AJ535-1,$AL536/$AL535-1,$AM536/$AM535-1,$AR536/$AR535-1,$AS536/$AS535-1,$AT536/$AT535-1,$AU536/$AU535-1,$AV536/$AV535-1,$AW536/$AW535-1,$AX536/$AX535-1,$AY536/$AY535-1),"")</f>
        <v/>
      </c>
      <c r="DW535" s="66">
        <f>AVERAGE($CB535,$CC535,$CD535,$CE535,$CF535,$CG535,$CH535,$CI535,$CJ535,$CL535,$CM535,$CN535,$CO535,$CP535,$CQ535,$CR535,$CS535,$CT535)</f>
        <v/>
      </c>
      <c r="DX535" s="66">
        <f>AVERAGE($CB535,$CC535,$CM535,$CE535,$CP535)</f>
        <v/>
      </c>
      <c r="DY535" s="64">
        <f>($DW535-$DW536)*100</f>
        <v/>
      </c>
      <c r="DZ535" s="64">
        <f>($DX535-$DX536)*100</f>
        <v/>
      </c>
      <c r="EA535" s="64">
        <f>($DW535-$D535)*100</f>
        <v/>
      </c>
      <c r="EB535" s="64">
        <f>$Q535-$O535</f>
        <v/>
      </c>
      <c r="EC535" s="67">
        <f>IFERROR($Q535/$P535,"")</f>
        <v/>
      </c>
    </row>
    <row r="536">
      <c r="DG536" s="64">
        <f>($B536-$B537)*100</f>
        <v/>
      </c>
      <c r="DH536" s="64">
        <f>($D536-$D537)*100</f>
        <v/>
      </c>
      <c r="DI536" s="64">
        <f>($E536-$E537)*100</f>
        <v/>
      </c>
      <c r="DJ536" s="64">
        <f>($H536-$H537)*100</f>
        <v/>
      </c>
      <c r="DK536" s="65">
        <f>IFERROR($J536/$J537-1,"")</f>
        <v/>
      </c>
      <c r="DL536" s="64">
        <f>$L536-$L537</f>
        <v/>
      </c>
      <c r="DM536" s="64">
        <f>$K536-$K537</f>
        <v/>
      </c>
      <c r="DN536" s="65">
        <f>IFERROR($N536/$N537-1,"")</f>
        <v/>
      </c>
      <c r="DO536" s="65">
        <f>IFERROR($M536/$M537-1,"")</f>
        <v/>
      </c>
      <c r="DP536" s="65">
        <f>IFERROR($AZ536/$AZ537-1,"")</f>
        <v/>
      </c>
      <c r="DQ536" s="65">
        <f>IFERROR($BA536/$BA537-1,"")</f>
        <v/>
      </c>
      <c r="DR536" s="64">
        <f>$O536-$O537</f>
        <v/>
      </c>
      <c r="DS536" s="64">
        <f>$P536-$P537</f>
        <v/>
      </c>
      <c r="DT536" s="64">
        <f>$Q536-$Q537</f>
        <v/>
      </c>
      <c r="DU536" s="64">
        <f>$S536-$S537</f>
        <v/>
      </c>
      <c r="DV536" s="65">
        <f>IFERROR(AVERAGE($AA537/$AA536-1,$AB537/$AB536-1,$AC537/$AC536-1,$AD537/$AD536-1,$AE537/$AE536-1,$AG537/$AG536-1,$AH537/$AH536-1,$AI537/$AI536-1,$AJ537/$AJ536-1,$AL537/$AL536-1,$AM537/$AM536-1,$AR537/$AR536-1,$AS537/$AS536-1,$AT537/$AT536-1,$AU537/$AU536-1,$AV537/$AV536-1,$AW537/$AW536-1,$AX537/$AX536-1,$AY537/$AY536-1),"")</f>
        <v/>
      </c>
      <c r="DW536" s="66">
        <f>AVERAGE($CB536,$CC536,$CD536,$CE536,$CF536,$CG536,$CH536,$CI536,$CJ536,$CL536,$CM536,$CN536,$CO536,$CP536,$CQ536,$CR536,$CS536,$CT536)</f>
        <v/>
      </c>
      <c r="DX536" s="66">
        <f>AVERAGE($CB536,$CC536,$CM536,$CE536,$CP536)</f>
        <v/>
      </c>
      <c r="DY536" s="64">
        <f>($DW536-$DW537)*100</f>
        <v/>
      </c>
      <c r="DZ536" s="64">
        <f>($DX536-$DX537)*100</f>
        <v/>
      </c>
      <c r="EA536" s="64">
        <f>($DW536-$D536)*100</f>
        <v/>
      </c>
      <c r="EB536" s="64">
        <f>$Q536-$O536</f>
        <v/>
      </c>
      <c r="EC536" s="67">
        <f>IFERROR($Q536/$P536,"")</f>
        <v/>
      </c>
    </row>
    <row r="537">
      <c r="DG537" s="64">
        <f>($B537-$B538)*100</f>
        <v/>
      </c>
      <c r="DH537" s="64">
        <f>($D537-$D538)*100</f>
        <v/>
      </c>
      <c r="DI537" s="64">
        <f>($E537-$E538)*100</f>
        <v/>
      </c>
      <c r="DJ537" s="64">
        <f>($H537-$H538)*100</f>
        <v/>
      </c>
      <c r="DK537" s="65">
        <f>IFERROR($J537/$J538-1,"")</f>
        <v/>
      </c>
      <c r="DL537" s="64">
        <f>$L537-$L538</f>
        <v/>
      </c>
      <c r="DM537" s="64">
        <f>$K537-$K538</f>
        <v/>
      </c>
      <c r="DN537" s="65">
        <f>IFERROR($N537/$N538-1,"")</f>
        <v/>
      </c>
      <c r="DO537" s="65">
        <f>IFERROR($M537/$M538-1,"")</f>
        <v/>
      </c>
      <c r="DP537" s="65">
        <f>IFERROR($AZ537/$AZ538-1,"")</f>
        <v/>
      </c>
      <c r="DQ537" s="65">
        <f>IFERROR($BA537/$BA538-1,"")</f>
        <v/>
      </c>
      <c r="DR537" s="64">
        <f>$O537-$O538</f>
        <v/>
      </c>
      <c r="DS537" s="64">
        <f>$P537-$P538</f>
        <v/>
      </c>
      <c r="DT537" s="64">
        <f>$Q537-$Q538</f>
        <v/>
      </c>
      <c r="DU537" s="64">
        <f>$S537-$S538</f>
        <v/>
      </c>
      <c r="DV537" s="65">
        <f>IFERROR(AVERAGE($AA538/$AA537-1,$AB538/$AB537-1,$AC538/$AC537-1,$AD538/$AD537-1,$AE538/$AE537-1,$AG538/$AG537-1,$AH538/$AH537-1,$AI538/$AI537-1,$AJ538/$AJ537-1,$AL538/$AL537-1,$AM538/$AM537-1,$AR538/$AR537-1,$AS538/$AS537-1,$AT538/$AT537-1,$AU538/$AU537-1,$AV538/$AV537-1,$AW538/$AW537-1,$AX538/$AX537-1,$AY538/$AY537-1),"")</f>
        <v/>
      </c>
      <c r="DW537" s="66">
        <f>AVERAGE($CB537,$CC537,$CD537,$CE537,$CF537,$CG537,$CH537,$CI537,$CJ537,$CL537,$CM537,$CN537,$CO537,$CP537,$CQ537,$CR537,$CS537,$CT537)</f>
        <v/>
      </c>
      <c r="DX537" s="66">
        <f>AVERAGE($CB537,$CC537,$CM537,$CE537,$CP537)</f>
        <v/>
      </c>
      <c r="DY537" s="64">
        <f>($DW537-$DW538)*100</f>
        <v/>
      </c>
      <c r="DZ537" s="64">
        <f>($DX537-$DX538)*100</f>
        <v/>
      </c>
      <c r="EA537" s="64">
        <f>($DW537-$D537)*100</f>
        <v/>
      </c>
      <c r="EB537" s="64">
        <f>$Q537-$O537</f>
        <v/>
      </c>
      <c r="EC537" s="67">
        <f>IFERROR($Q537/$P537,"")</f>
        <v/>
      </c>
    </row>
    <row r="538">
      <c r="DG538" s="64">
        <f>($B538-$B539)*100</f>
        <v/>
      </c>
      <c r="DH538" s="64">
        <f>($D538-$D539)*100</f>
        <v/>
      </c>
      <c r="DI538" s="64">
        <f>($E538-$E539)*100</f>
        <v/>
      </c>
      <c r="DJ538" s="64">
        <f>($H538-$H539)*100</f>
        <v/>
      </c>
      <c r="DK538" s="65">
        <f>IFERROR($J538/$J539-1,"")</f>
        <v/>
      </c>
      <c r="DL538" s="64">
        <f>$L538-$L539</f>
        <v/>
      </c>
      <c r="DM538" s="64">
        <f>$K538-$K539</f>
        <v/>
      </c>
      <c r="DN538" s="65">
        <f>IFERROR($N538/$N539-1,"")</f>
        <v/>
      </c>
      <c r="DO538" s="65">
        <f>IFERROR($M538/$M539-1,"")</f>
        <v/>
      </c>
      <c r="DP538" s="65">
        <f>IFERROR($AZ538/$AZ539-1,"")</f>
        <v/>
      </c>
      <c r="DQ538" s="65">
        <f>IFERROR($BA538/$BA539-1,"")</f>
        <v/>
      </c>
      <c r="DR538" s="64">
        <f>$O538-$O539</f>
        <v/>
      </c>
      <c r="DS538" s="64">
        <f>$P538-$P539</f>
        <v/>
      </c>
      <c r="DT538" s="64">
        <f>$Q538-$Q539</f>
        <v/>
      </c>
      <c r="DU538" s="64">
        <f>$S538-$S539</f>
        <v/>
      </c>
      <c r="DV538" s="65">
        <f>IFERROR(AVERAGE($AA539/$AA538-1,$AB539/$AB538-1,$AC539/$AC538-1,$AD539/$AD538-1,$AE539/$AE538-1,$AG539/$AG538-1,$AH539/$AH538-1,$AI539/$AI538-1,$AJ539/$AJ538-1,$AL539/$AL538-1,$AM539/$AM538-1,$AR539/$AR538-1,$AS539/$AS538-1,$AT539/$AT538-1,$AU539/$AU538-1,$AV539/$AV538-1,$AW539/$AW538-1,$AX539/$AX538-1,$AY539/$AY538-1),"")</f>
        <v/>
      </c>
      <c r="DW538" s="66">
        <f>AVERAGE($CB538,$CC538,$CD538,$CE538,$CF538,$CG538,$CH538,$CI538,$CJ538,$CL538,$CM538,$CN538,$CO538,$CP538,$CQ538,$CR538,$CS538,$CT538)</f>
        <v/>
      </c>
      <c r="DX538" s="66">
        <f>AVERAGE($CB538,$CC538,$CM538,$CE538,$CP538)</f>
        <v/>
      </c>
      <c r="DY538" s="64">
        <f>($DW538-$DW539)*100</f>
        <v/>
      </c>
      <c r="DZ538" s="64">
        <f>($DX538-$DX539)*100</f>
        <v/>
      </c>
      <c r="EA538" s="64">
        <f>($DW538-$D538)*100</f>
        <v/>
      </c>
      <c r="EB538" s="64">
        <f>$Q538-$O538</f>
        <v/>
      </c>
      <c r="EC538" s="67">
        <f>IFERROR($Q538/$P538,"")</f>
        <v/>
      </c>
    </row>
    <row r="539">
      <c r="DG539" s="64">
        <f>($B539-$B540)*100</f>
        <v/>
      </c>
      <c r="DH539" s="64">
        <f>($D539-$D540)*100</f>
        <v/>
      </c>
      <c r="DI539" s="64">
        <f>($E539-$E540)*100</f>
        <v/>
      </c>
      <c r="DJ539" s="64">
        <f>($H539-$H540)*100</f>
        <v/>
      </c>
      <c r="DK539" s="65">
        <f>IFERROR($J539/$J540-1,"")</f>
        <v/>
      </c>
      <c r="DL539" s="64">
        <f>$L539-$L540</f>
        <v/>
      </c>
      <c r="DM539" s="64">
        <f>$K539-$K540</f>
        <v/>
      </c>
      <c r="DN539" s="65">
        <f>IFERROR($N539/$N540-1,"")</f>
        <v/>
      </c>
      <c r="DO539" s="65">
        <f>IFERROR($M539/$M540-1,"")</f>
        <v/>
      </c>
      <c r="DP539" s="65">
        <f>IFERROR($AZ539/$AZ540-1,"")</f>
        <v/>
      </c>
      <c r="DQ539" s="65">
        <f>IFERROR($BA539/$BA540-1,"")</f>
        <v/>
      </c>
      <c r="DR539" s="64">
        <f>$O539-$O540</f>
        <v/>
      </c>
      <c r="DS539" s="64">
        <f>$P539-$P540</f>
        <v/>
      </c>
      <c r="DT539" s="64">
        <f>$Q539-$Q540</f>
        <v/>
      </c>
      <c r="DU539" s="64">
        <f>$S539-$S540</f>
        <v/>
      </c>
      <c r="DV539" s="65">
        <f>IFERROR(AVERAGE($AA540/$AA539-1,$AB540/$AB539-1,$AC540/$AC539-1,$AD540/$AD539-1,$AE540/$AE539-1,$AG540/$AG539-1,$AH540/$AH539-1,$AI540/$AI539-1,$AJ540/$AJ539-1,$AL540/$AL539-1,$AM540/$AM539-1,$AR540/$AR539-1,$AS540/$AS539-1,$AT540/$AT539-1,$AU540/$AU539-1,$AV540/$AV539-1,$AW540/$AW539-1,$AX540/$AX539-1,$AY540/$AY539-1),"")</f>
        <v/>
      </c>
      <c r="DW539" s="66">
        <f>AVERAGE($CB539,$CC539,$CD539,$CE539,$CF539,$CG539,$CH539,$CI539,$CJ539,$CL539,$CM539,$CN539,$CO539,$CP539,$CQ539,$CR539,$CS539,$CT539)</f>
        <v/>
      </c>
      <c r="DX539" s="66">
        <f>AVERAGE($CB539,$CC539,$CM539,$CE539,$CP539)</f>
        <v/>
      </c>
      <c r="DY539" s="64">
        <f>($DW539-$DW540)*100</f>
        <v/>
      </c>
      <c r="DZ539" s="64">
        <f>($DX539-$DX540)*100</f>
        <v/>
      </c>
      <c r="EA539" s="64">
        <f>($DW539-$D539)*100</f>
        <v/>
      </c>
      <c r="EB539" s="64">
        <f>$Q539-$O539</f>
        <v/>
      </c>
      <c r="EC539" s="67">
        <f>IFERROR($Q539/$P539,"")</f>
        <v/>
      </c>
    </row>
    <row r="540">
      <c r="DG540" s="64">
        <f>($B540-$B541)*100</f>
        <v/>
      </c>
      <c r="DH540" s="64">
        <f>($D540-$D541)*100</f>
        <v/>
      </c>
      <c r="DI540" s="64">
        <f>($E540-$E541)*100</f>
        <v/>
      </c>
      <c r="DJ540" s="64">
        <f>($H540-$H541)*100</f>
        <v/>
      </c>
      <c r="DK540" s="65">
        <f>IFERROR($J540/$J541-1,"")</f>
        <v/>
      </c>
      <c r="DL540" s="64">
        <f>$L540-$L541</f>
        <v/>
      </c>
      <c r="DM540" s="64">
        <f>$K540-$K541</f>
        <v/>
      </c>
      <c r="DN540" s="65">
        <f>IFERROR($N540/$N541-1,"")</f>
        <v/>
      </c>
      <c r="DO540" s="65">
        <f>IFERROR($M540/$M541-1,"")</f>
        <v/>
      </c>
      <c r="DP540" s="65">
        <f>IFERROR($AZ540/$AZ541-1,"")</f>
        <v/>
      </c>
      <c r="DQ540" s="65">
        <f>IFERROR($BA540/$BA541-1,"")</f>
        <v/>
      </c>
      <c r="DR540" s="64">
        <f>$O540-$O541</f>
        <v/>
      </c>
      <c r="DS540" s="64">
        <f>$P540-$P541</f>
        <v/>
      </c>
      <c r="DT540" s="64">
        <f>$Q540-$Q541</f>
        <v/>
      </c>
      <c r="DU540" s="64">
        <f>$S540-$S541</f>
        <v/>
      </c>
      <c r="DV540" s="65">
        <f>IFERROR(AVERAGE($AA541/$AA540-1,$AB541/$AB540-1,$AC541/$AC540-1,$AD541/$AD540-1,$AE541/$AE540-1,$AG541/$AG540-1,$AH541/$AH540-1,$AI541/$AI540-1,$AJ541/$AJ540-1,$AL541/$AL540-1,$AM541/$AM540-1,$AR541/$AR540-1,$AS541/$AS540-1,$AT541/$AT540-1,$AU541/$AU540-1,$AV541/$AV540-1,$AW541/$AW540-1,$AX541/$AX540-1,$AY541/$AY540-1),"")</f>
        <v/>
      </c>
      <c r="DW540" s="66">
        <f>AVERAGE($CB540,$CC540,$CD540,$CE540,$CF540,$CG540,$CH540,$CI540,$CJ540,$CL540,$CM540,$CN540,$CO540,$CP540,$CQ540,$CR540,$CS540,$CT540)</f>
        <v/>
      </c>
      <c r="DX540" s="66">
        <f>AVERAGE($CB540,$CC540,$CM540,$CE540,$CP540)</f>
        <v/>
      </c>
      <c r="DY540" s="64">
        <f>($DW540-$DW541)*100</f>
        <v/>
      </c>
      <c r="DZ540" s="64">
        <f>($DX540-$DX541)*100</f>
        <v/>
      </c>
      <c r="EA540" s="64">
        <f>($DW540-$D540)*100</f>
        <v/>
      </c>
      <c r="EB540" s="64">
        <f>$Q540-$O540</f>
        <v/>
      </c>
      <c r="EC540" s="67">
        <f>IFERROR($Q540/$P540,"")</f>
        <v/>
      </c>
    </row>
    <row r="541">
      <c r="DG541" s="64">
        <f>($B541-$B542)*100</f>
        <v/>
      </c>
      <c r="DH541" s="64">
        <f>($D541-$D542)*100</f>
        <v/>
      </c>
      <c r="DI541" s="64">
        <f>($E541-$E542)*100</f>
        <v/>
      </c>
      <c r="DJ541" s="64">
        <f>($H541-$H542)*100</f>
        <v/>
      </c>
      <c r="DK541" s="65">
        <f>IFERROR($J541/$J542-1,"")</f>
        <v/>
      </c>
      <c r="DL541" s="64">
        <f>$L541-$L542</f>
        <v/>
      </c>
      <c r="DM541" s="64">
        <f>$K541-$K542</f>
        <v/>
      </c>
      <c r="DN541" s="65">
        <f>IFERROR($N541/$N542-1,"")</f>
        <v/>
      </c>
      <c r="DO541" s="65">
        <f>IFERROR($M541/$M542-1,"")</f>
        <v/>
      </c>
      <c r="DP541" s="65">
        <f>IFERROR($AZ541/$AZ542-1,"")</f>
        <v/>
      </c>
      <c r="DQ541" s="65">
        <f>IFERROR($BA541/$BA542-1,"")</f>
        <v/>
      </c>
      <c r="DR541" s="64">
        <f>$O541-$O542</f>
        <v/>
      </c>
      <c r="DS541" s="64">
        <f>$P541-$P542</f>
        <v/>
      </c>
      <c r="DT541" s="64">
        <f>$Q541-$Q542</f>
        <v/>
      </c>
      <c r="DU541" s="64">
        <f>$S541-$S542</f>
        <v/>
      </c>
      <c r="DV541" s="65">
        <f>IFERROR(AVERAGE($AA542/$AA541-1,$AB542/$AB541-1,$AC542/$AC541-1,$AD542/$AD541-1,$AE542/$AE541-1,$AG542/$AG541-1,$AH542/$AH541-1,$AI542/$AI541-1,$AJ542/$AJ541-1,$AL542/$AL541-1,$AM542/$AM541-1,$AR542/$AR541-1,$AS542/$AS541-1,$AT542/$AT541-1,$AU542/$AU541-1,$AV542/$AV541-1,$AW542/$AW541-1,$AX542/$AX541-1,$AY542/$AY541-1),"")</f>
        <v/>
      </c>
      <c r="DW541" s="66">
        <f>AVERAGE($CB541,$CC541,$CD541,$CE541,$CF541,$CG541,$CH541,$CI541,$CJ541,$CL541,$CM541,$CN541,$CO541,$CP541,$CQ541,$CR541,$CS541,$CT541)</f>
        <v/>
      </c>
      <c r="DX541" s="66">
        <f>AVERAGE($CB541,$CC541,$CM541,$CE541,$CP541)</f>
        <v/>
      </c>
      <c r="DY541" s="64">
        <f>($DW541-$DW542)*100</f>
        <v/>
      </c>
      <c r="DZ541" s="64">
        <f>($DX541-$DX542)*100</f>
        <v/>
      </c>
      <c r="EA541" s="64">
        <f>($DW541-$D541)*100</f>
        <v/>
      </c>
      <c r="EB541" s="64">
        <f>$Q541-$O541</f>
        <v/>
      </c>
      <c r="EC541" s="67">
        <f>IFERROR($Q541/$P541,"")</f>
        <v/>
      </c>
    </row>
    <row r="542">
      <c r="DG542" s="64">
        <f>($B542-$B543)*100</f>
        <v/>
      </c>
      <c r="DH542" s="64">
        <f>($D542-$D543)*100</f>
        <v/>
      </c>
      <c r="DI542" s="64">
        <f>($E542-$E543)*100</f>
        <v/>
      </c>
      <c r="DJ542" s="64">
        <f>($H542-$H543)*100</f>
        <v/>
      </c>
      <c r="DK542" s="65">
        <f>IFERROR($J542/$J543-1,"")</f>
        <v/>
      </c>
      <c r="DL542" s="64">
        <f>$L542-$L543</f>
        <v/>
      </c>
      <c r="DM542" s="64">
        <f>$K542-$K543</f>
        <v/>
      </c>
      <c r="DN542" s="65">
        <f>IFERROR($N542/$N543-1,"")</f>
        <v/>
      </c>
      <c r="DO542" s="65">
        <f>IFERROR($M542/$M543-1,"")</f>
        <v/>
      </c>
      <c r="DP542" s="65">
        <f>IFERROR($AZ542/$AZ543-1,"")</f>
        <v/>
      </c>
      <c r="DQ542" s="65">
        <f>IFERROR($BA542/$BA543-1,"")</f>
        <v/>
      </c>
      <c r="DR542" s="64">
        <f>$O542-$O543</f>
        <v/>
      </c>
      <c r="DS542" s="64">
        <f>$P542-$P543</f>
        <v/>
      </c>
      <c r="DT542" s="64">
        <f>$Q542-$Q543</f>
        <v/>
      </c>
      <c r="DU542" s="64">
        <f>$S542-$S543</f>
        <v/>
      </c>
      <c r="DV542" s="65">
        <f>IFERROR(AVERAGE($AA543/$AA542-1,$AB543/$AB542-1,$AC543/$AC542-1,$AD543/$AD542-1,$AE543/$AE542-1,$AG543/$AG542-1,$AH543/$AH542-1,$AI543/$AI542-1,$AJ543/$AJ542-1,$AL543/$AL542-1,$AM543/$AM542-1,$AR543/$AR542-1,$AS543/$AS542-1,$AT543/$AT542-1,$AU543/$AU542-1,$AV543/$AV542-1,$AW543/$AW542-1,$AX543/$AX542-1,$AY543/$AY542-1),"")</f>
        <v/>
      </c>
      <c r="DW542" s="66">
        <f>AVERAGE($CB542,$CC542,$CD542,$CE542,$CF542,$CG542,$CH542,$CI542,$CJ542,$CL542,$CM542,$CN542,$CO542,$CP542,$CQ542,$CR542,$CS542,$CT542)</f>
        <v/>
      </c>
      <c r="DX542" s="66">
        <f>AVERAGE($CB542,$CC542,$CM542,$CE542,$CP542)</f>
        <v/>
      </c>
      <c r="DY542" s="64">
        <f>($DW542-$DW543)*100</f>
        <v/>
      </c>
      <c r="DZ542" s="64">
        <f>($DX542-$DX543)*100</f>
        <v/>
      </c>
      <c r="EA542" s="64">
        <f>($DW542-$D542)*100</f>
        <v/>
      </c>
      <c r="EB542" s="64">
        <f>$Q542-$O542</f>
        <v/>
      </c>
      <c r="EC542" s="67">
        <f>IFERROR($Q542/$P542,"")</f>
        <v/>
      </c>
    </row>
    <row r="543">
      <c r="DG543" s="64">
        <f>($B543-$B544)*100</f>
        <v/>
      </c>
      <c r="DH543" s="64">
        <f>($D543-$D544)*100</f>
        <v/>
      </c>
      <c r="DI543" s="64">
        <f>($E543-$E544)*100</f>
        <v/>
      </c>
      <c r="DJ543" s="64">
        <f>($H543-$H544)*100</f>
        <v/>
      </c>
      <c r="DK543" s="65">
        <f>IFERROR($J543/$J544-1,"")</f>
        <v/>
      </c>
      <c r="DL543" s="64">
        <f>$L543-$L544</f>
        <v/>
      </c>
      <c r="DM543" s="64">
        <f>$K543-$K544</f>
        <v/>
      </c>
      <c r="DN543" s="65">
        <f>IFERROR($N543/$N544-1,"")</f>
        <v/>
      </c>
      <c r="DO543" s="65">
        <f>IFERROR($M543/$M544-1,"")</f>
        <v/>
      </c>
      <c r="DP543" s="65">
        <f>IFERROR($AZ543/$AZ544-1,"")</f>
        <v/>
      </c>
      <c r="DQ543" s="65">
        <f>IFERROR($BA543/$BA544-1,"")</f>
        <v/>
      </c>
      <c r="DR543" s="64">
        <f>$O543-$O544</f>
        <v/>
      </c>
      <c r="DS543" s="64">
        <f>$P543-$P544</f>
        <v/>
      </c>
      <c r="DT543" s="64">
        <f>$Q543-$Q544</f>
        <v/>
      </c>
      <c r="DU543" s="64">
        <f>$S543-$S544</f>
        <v/>
      </c>
      <c r="DV543" s="65">
        <f>IFERROR(AVERAGE($AA544/$AA543-1,$AB544/$AB543-1,$AC544/$AC543-1,$AD544/$AD543-1,$AE544/$AE543-1,$AG544/$AG543-1,$AH544/$AH543-1,$AI544/$AI543-1,$AJ544/$AJ543-1,$AL544/$AL543-1,$AM544/$AM543-1,$AR544/$AR543-1,$AS544/$AS543-1,$AT544/$AT543-1,$AU544/$AU543-1,$AV544/$AV543-1,$AW544/$AW543-1,$AX544/$AX543-1,$AY544/$AY543-1),"")</f>
        <v/>
      </c>
      <c r="DW543" s="66">
        <f>AVERAGE($CB543,$CC543,$CD543,$CE543,$CF543,$CG543,$CH543,$CI543,$CJ543,$CL543,$CM543,$CN543,$CO543,$CP543,$CQ543,$CR543,$CS543,$CT543)</f>
        <v/>
      </c>
      <c r="DX543" s="66">
        <f>AVERAGE($CB543,$CC543,$CM543,$CE543,$CP543)</f>
        <v/>
      </c>
      <c r="DY543" s="64">
        <f>($DW543-$DW544)*100</f>
        <v/>
      </c>
      <c r="DZ543" s="64">
        <f>($DX543-$DX544)*100</f>
        <v/>
      </c>
      <c r="EA543" s="64">
        <f>($DW543-$D543)*100</f>
        <v/>
      </c>
      <c r="EB543" s="64">
        <f>$Q543-$O543</f>
        <v/>
      </c>
      <c r="EC543" s="67">
        <f>IFERROR($Q543/$P543,"")</f>
        <v/>
      </c>
    </row>
    <row r="544">
      <c r="DG544" s="64">
        <f>($B544-$B545)*100</f>
        <v/>
      </c>
      <c r="DH544" s="64">
        <f>($D544-$D545)*100</f>
        <v/>
      </c>
      <c r="DI544" s="64">
        <f>($E544-$E545)*100</f>
        <v/>
      </c>
      <c r="DJ544" s="64">
        <f>($H544-$H545)*100</f>
        <v/>
      </c>
      <c r="DK544" s="65">
        <f>IFERROR($J544/$J545-1,"")</f>
        <v/>
      </c>
      <c r="DL544" s="64">
        <f>$L544-$L545</f>
        <v/>
      </c>
      <c r="DM544" s="64">
        <f>$K544-$K545</f>
        <v/>
      </c>
      <c r="DN544" s="65">
        <f>IFERROR($N544/$N545-1,"")</f>
        <v/>
      </c>
      <c r="DO544" s="65">
        <f>IFERROR($M544/$M545-1,"")</f>
        <v/>
      </c>
      <c r="DP544" s="65">
        <f>IFERROR($AZ544/$AZ545-1,"")</f>
        <v/>
      </c>
      <c r="DQ544" s="65">
        <f>IFERROR($BA544/$BA545-1,"")</f>
        <v/>
      </c>
      <c r="DR544" s="64">
        <f>$O544-$O545</f>
        <v/>
      </c>
      <c r="DS544" s="64">
        <f>$P544-$P545</f>
        <v/>
      </c>
      <c r="DT544" s="64">
        <f>$Q544-$Q545</f>
        <v/>
      </c>
      <c r="DU544" s="64">
        <f>$S544-$S545</f>
        <v/>
      </c>
      <c r="DV544" s="65">
        <f>IFERROR(AVERAGE($AA545/$AA544-1,$AB545/$AB544-1,$AC545/$AC544-1,$AD545/$AD544-1,$AE545/$AE544-1,$AG545/$AG544-1,$AH545/$AH544-1,$AI545/$AI544-1,$AJ545/$AJ544-1,$AL545/$AL544-1,$AM545/$AM544-1,$AR545/$AR544-1,$AS545/$AS544-1,$AT545/$AT544-1,$AU545/$AU544-1,$AV545/$AV544-1,$AW545/$AW544-1,$AX545/$AX544-1,$AY545/$AY544-1),"")</f>
        <v/>
      </c>
      <c r="DW544" s="66">
        <f>AVERAGE($CB544,$CC544,$CD544,$CE544,$CF544,$CG544,$CH544,$CI544,$CJ544,$CL544,$CM544,$CN544,$CO544,$CP544,$CQ544,$CR544,$CS544,$CT544)</f>
        <v/>
      </c>
      <c r="DX544" s="66">
        <f>AVERAGE($CB544,$CC544,$CM544,$CE544,$CP544)</f>
        <v/>
      </c>
      <c r="DY544" s="64">
        <f>($DW544-$DW545)*100</f>
        <v/>
      </c>
      <c r="DZ544" s="64">
        <f>($DX544-$DX545)*100</f>
        <v/>
      </c>
      <c r="EA544" s="64">
        <f>($DW544-$D544)*100</f>
        <v/>
      </c>
      <c r="EB544" s="64">
        <f>$Q544-$O544</f>
        <v/>
      </c>
      <c r="EC544" s="67">
        <f>IFERROR($Q544/$P544,"")</f>
        <v/>
      </c>
    </row>
    <row r="545">
      <c r="DG545" s="64">
        <f>($B545-$B546)*100</f>
        <v/>
      </c>
      <c r="DH545" s="64">
        <f>($D545-$D546)*100</f>
        <v/>
      </c>
      <c r="DI545" s="64">
        <f>($E545-$E546)*100</f>
        <v/>
      </c>
      <c r="DJ545" s="64">
        <f>($H545-$H546)*100</f>
        <v/>
      </c>
      <c r="DK545" s="65">
        <f>IFERROR($J545/$J546-1,"")</f>
        <v/>
      </c>
      <c r="DL545" s="64">
        <f>$L545-$L546</f>
        <v/>
      </c>
      <c r="DM545" s="64">
        <f>$K545-$K546</f>
        <v/>
      </c>
      <c r="DN545" s="65">
        <f>IFERROR($N545/$N546-1,"")</f>
        <v/>
      </c>
      <c r="DO545" s="65">
        <f>IFERROR($M545/$M546-1,"")</f>
        <v/>
      </c>
      <c r="DP545" s="65">
        <f>IFERROR($AZ545/$AZ546-1,"")</f>
        <v/>
      </c>
      <c r="DQ545" s="65">
        <f>IFERROR($BA545/$BA546-1,"")</f>
        <v/>
      </c>
      <c r="DR545" s="64">
        <f>$O545-$O546</f>
        <v/>
      </c>
      <c r="DS545" s="64">
        <f>$P545-$P546</f>
        <v/>
      </c>
      <c r="DT545" s="64">
        <f>$Q545-$Q546</f>
        <v/>
      </c>
      <c r="DU545" s="64">
        <f>$S545-$S546</f>
        <v/>
      </c>
      <c r="DV545" s="65">
        <f>IFERROR(AVERAGE($AA546/$AA545-1,$AB546/$AB545-1,$AC546/$AC545-1,$AD546/$AD545-1,$AE546/$AE545-1,$AG546/$AG545-1,$AH546/$AH545-1,$AI546/$AI545-1,$AJ546/$AJ545-1,$AL546/$AL545-1,$AM546/$AM545-1,$AR546/$AR545-1,$AS546/$AS545-1,$AT546/$AT545-1,$AU546/$AU545-1,$AV546/$AV545-1,$AW546/$AW545-1,$AX546/$AX545-1,$AY546/$AY545-1),"")</f>
        <v/>
      </c>
      <c r="DW545" s="66">
        <f>AVERAGE($CB545,$CC545,$CD545,$CE545,$CF545,$CG545,$CH545,$CI545,$CJ545,$CL545,$CM545,$CN545,$CO545,$CP545,$CQ545,$CR545,$CS545,$CT545)</f>
        <v/>
      </c>
      <c r="DX545" s="66">
        <f>AVERAGE($CB545,$CC545,$CM545,$CE545,$CP545)</f>
        <v/>
      </c>
      <c r="DY545" s="64">
        <f>($DW545-$DW546)*100</f>
        <v/>
      </c>
      <c r="DZ545" s="64">
        <f>($DX545-$DX546)*100</f>
        <v/>
      </c>
      <c r="EA545" s="64">
        <f>($DW545-$D545)*100</f>
        <v/>
      </c>
      <c r="EB545" s="64">
        <f>$Q545-$O545</f>
        <v/>
      </c>
      <c r="EC545" s="67">
        <f>IFERROR($Q545/$P545,"")</f>
        <v/>
      </c>
    </row>
    <row r="546">
      <c r="DG546" s="64">
        <f>($B546-$B547)*100</f>
        <v/>
      </c>
      <c r="DH546" s="64">
        <f>($D546-$D547)*100</f>
        <v/>
      </c>
      <c r="DI546" s="64">
        <f>($E546-$E547)*100</f>
        <v/>
      </c>
      <c r="DJ546" s="64">
        <f>($H546-$H547)*100</f>
        <v/>
      </c>
      <c r="DK546" s="65">
        <f>IFERROR($J546/$J547-1,"")</f>
        <v/>
      </c>
      <c r="DL546" s="64">
        <f>$L546-$L547</f>
        <v/>
      </c>
      <c r="DM546" s="64">
        <f>$K546-$K547</f>
        <v/>
      </c>
      <c r="DN546" s="65">
        <f>IFERROR($N546/$N547-1,"")</f>
        <v/>
      </c>
      <c r="DO546" s="65">
        <f>IFERROR($M546/$M547-1,"")</f>
        <v/>
      </c>
      <c r="DP546" s="65">
        <f>IFERROR($AZ546/$AZ547-1,"")</f>
        <v/>
      </c>
      <c r="DQ546" s="65">
        <f>IFERROR($BA546/$BA547-1,"")</f>
        <v/>
      </c>
      <c r="DR546" s="64">
        <f>$O546-$O547</f>
        <v/>
      </c>
      <c r="DS546" s="64">
        <f>$P546-$P547</f>
        <v/>
      </c>
      <c r="DT546" s="64">
        <f>$Q546-$Q547</f>
        <v/>
      </c>
      <c r="DU546" s="64">
        <f>$S546-$S547</f>
        <v/>
      </c>
      <c r="DV546" s="65">
        <f>IFERROR(AVERAGE($AA547/$AA546-1,$AB547/$AB546-1,$AC547/$AC546-1,$AD547/$AD546-1,$AE547/$AE546-1,$AG547/$AG546-1,$AH547/$AH546-1,$AI547/$AI546-1,$AJ547/$AJ546-1,$AL547/$AL546-1,$AM547/$AM546-1,$AR547/$AR546-1,$AS547/$AS546-1,$AT547/$AT546-1,$AU547/$AU546-1,$AV547/$AV546-1,$AW547/$AW546-1,$AX547/$AX546-1,$AY547/$AY546-1),"")</f>
        <v/>
      </c>
      <c r="DW546" s="66">
        <f>AVERAGE($CB546,$CC546,$CD546,$CE546,$CF546,$CG546,$CH546,$CI546,$CJ546,$CL546,$CM546,$CN546,$CO546,$CP546,$CQ546,$CR546,$CS546,$CT546)</f>
        <v/>
      </c>
      <c r="DX546" s="66">
        <f>AVERAGE($CB546,$CC546,$CM546,$CE546,$CP546)</f>
        <v/>
      </c>
      <c r="DY546" s="64">
        <f>($DW546-$DW547)*100</f>
        <v/>
      </c>
      <c r="DZ546" s="64">
        <f>($DX546-$DX547)*100</f>
        <v/>
      </c>
      <c r="EA546" s="64">
        <f>($DW546-$D546)*100</f>
        <v/>
      </c>
      <c r="EB546" s="64">
        <f>$Q546-$O546</f>
        <v/>
      </c>
      <c r="EC546" s="67">
        <f>IFERROR($Q546/$P546,"")</f>
        <v/>
      </c>
    </row>
    <row r="547">
      <c r="DG547" s="64">
        <f>($B547-$B548)*100</f>
        <v/>
      </c>
      <c r="DH547" s="64">
        <f>($D547-$D548)*100</f>
        <v/>
      </c>
      <c r="DI547" s="64">
        <f>($E547-$E548)*100</f>
        <v/>
      </c>
      <c r="DJ547" s="64">
        <f>($H547-$H548)*100</f>
        <v/>
      </c>
      <c r="DK547" s="65">
        <f>IFERROR($J547/$J548-1,"")</f>
        <v/>
      </c>
      <c r="DL547" s="64">
        <f>$L547-$L548</f>
        <v/>
      </c>
      <c r="DM547" s="64">
        <f>$K547-$K548</f>
        <v/>
      </c>
      <c r="DN547" s="65">
        <f>IFERROR($N547/$N548-1,"")</f>
        <v/>
      </c>
      <c r="DO547" s="65">
        <f>IFERROR($M547/$M548-1,"")</f>
        <v/>
      </c>
      <c r="DP547" s="65">
        <f>IFERROR($AZ547/$AZ548-1,"")</f>
        <v/>
      </c>
      <c r="DQ547" s="65">
        <f>IFERROR($BA547/$BA548-1,"")</f>
        <v/>
      </c>
      <c r="DR547" s="64">
        <f>$O547-$O548</f>
        <v/>
      </c>
      <c r="DS547" s="64">
        <f>$P547-$P548</f>
        <v/>
      </c>
      <c r="DT547" s="64">
        <f>$Q547-$Q548</f>
        <v/>
      </c>
      <c r="DU547" s="64">
        <f>$S547-$S548</f>
        <v/>
      </c>
      <c r="DV547" s="65">
        <f>IFERROR(AVERAGE($AA548/$AA547-1,$AB548/$AB547-1,$AC548/$AC547-1,$AD548/$AD547-1,$AE548/$AE547-1,$AG548/$AG547-1,$AH548/$AH547-1,$AI548/$AI547-1,$AJ548/$AJ547-1,$AL548/$AL547-1,$AM548/$AM547-1,$AR548/$AR547-1,$AS548/$AS547-1,$AT548/$AT547-1,$AU548/$AU547-1,$AV548/$AV547-1,$AW548/$AW547-1,$AX548/$AX547-1,$AY548/$AY547-1),"")</f>
        <v/>
      </c>
      <c r="DW547" s="66">
        <f>AVERAGE($CB547,$CC547,$CD547,$CE547,$CF547,$CG547,$CH547,$CI547,$CJ547,$CL547,$CM547,$CN547,$CO547,$CP547,$CQ547,$CR547,$CS547,$CT547)</f>
        <v/>
      </c>
      <c r="DX547" s="66">
        <f>AVERAGE($CB547,$CC547,$CM547,$CE547,$CP547)</f>
        <v/>
      </c>
      <c r="DY547" s="64">
        <f>($DW547-$DW548)*100</f>
        <v/>
      </c>
      <c r="DZ547" s="64">
        <f>($DX547-$DX548)*100</f>
        <v/>
      </c>
      <c r="EA547" s="64">
        <f>($DW547-$D547)*100</f>
        <v/>
      </c>
      <c r="EB547" s="64">
        <f>$Q547-$O547</f>
        <v/>
      </c>
      <c r="EC547" s="67">
        <f>IFERROR($Q547/$P547,"")</f>
        <v/>
      </c>
    </row>
    <row r="548">
      <c r="DG548" s="64">
        <f>($B548-$B549)*100</f>
        <v/>
      </c>
      <c r="DH548" s="64">
        <f>($D548-$D549)*100</f>
        <v/>
      </c>
      <c r="DI548" s="64">
        <f>($E548-$E549)*100</f>
        <v/>
      </c>
      <c r="DJ548" s="64">
        <f>($H548-$H549)*100</f>
        <v/>
      </c>
      <c r="DK548" s="65">
        <f>IFERROR($J548/$J549-1,"")</f>
        <v/>
      </c>
      <c r="DL548" s="64">
        <f>$L548-$L549</f>
        <v/>
      </c>
      <c r="DM548" s="64">
        <f>$K548-$K549</f>
        <v/>
      </c>
      <c r="DN548" s="65">
        <f>IFERROR($N548/$N549-1,"")</f>
        <v/>
      </c>
      <c r="DO548" s="65">
        <f>IFERROR($M548/$M549-1,"")</f>
        <v/>
      </c>
      <c r="DP548" s="65">
        <f>IFERROR($AZ548/$AZ549-1,"")</f>
        <v/>
      </c>
      <c r="DQ548" s="65">
        <f>IFERROR($BA548/$BA549-1,"")</f>
        <v/>
      </c>
      <c r="DR548" s="64">
        <f>$O548-$O549</f>
        <v/>
      </c>
      <c r="DS548" s="64">
        <f>$P548-$P549</f>
        <v/>
      </c>
      <c r="DT548" s="64">
        <f>$Q548-$Q549</f>
        <v/>
      </c>
      <c r="DU548" s="64">
        <f>$S548-$S549</f>
        <v/>
      </c>
      <c r="DV548" s="65">
        <f>IFERROR(AVERAGE($AA549/$AA548-1,$AB549/$AB548-1,$AC549/$AC548-1,$AD549/$AD548-1,$AE549/$AE548-1,$AG549/$AG548-1,$AH549/$AH548-1,$AI549/$AI548-1,$AJ549/$AJ548-1,$AL549/$AL548-1,$AM549/$AM548-1,$AR549/$AR548-1,$AS549/$AS548-1,$AT549/$AT548-1,$AU549/$AU548-1,$AV549/$AV548-1,$AW549/$AW548-1,$AX549/$AX548-1,$AY549/$AY548-1),"")</f>
        <v/>
      </c>
      <c r="DW548" s="66">
        <f>AVERAGE($CB548,$CC548,$CD548,$CE548,$CF548,$CG548,$CH548,$CI548,$CJ548,$CL548,$CM548,$CN548,$CO548,$CP548,$CQ548,$CR548,$CS548,$CT548)</f>
        <v/>
      </c>
      <c r="DX548" s="66">
        <f>AVERAGE($CB548,$CC548,$CM548,$CE548,$CP548)</f>
        <v/>
      </c>
      <c r="DY548" s="64">
        <f>($DW548-$DW549)*100</f>
        <v/>
      </c>
      <c r="DZ548" s="64">
        <f>($DX548-$DX549)*100</f>
        <v/>
      </c>
      <c r="EA548" s="64">
        <f>($DW548-$D548)*100</f>
        <v/>
      </c>
      <c r="EB548" s="64">
        <f>$Q548-$O548</f>
        <v/>
      </c>
      <c r="EC548" s="67">
        <f>IFERROR($Q548/$P548,"")</f>
        <v/>
      </c>
    </row>
    <row r="549">
      <c r="DG549" s="64">
        <f>($B549-$B550)*100</f>
        <v/>
      </c>
      <c r="DH549" s="64">
        <f>($D549-$D550)*100</f>
        <v/>
      </c>
      <c r="DI549" s="64">
        <f>($E549-$E550)*100</f>
        <v/>
      </c>
      <c r="DJ549" s="64">
        <f>($H549-$H550)*100</f>
        <v/>
      </c>
      <c r="DK549" s="65">
        <f>IFERROR($J549/$J550-1,"")</f>
        <v/>
      </c>
      <c r="DL549" s="64">
        <f>$L549-$L550</f>
        <v/>
      </c>
      <c r="DM549" s="64">
        <f>$K549-$K550</f>
        <v/>
      </c>
      <c r="DN549" s="65">
        <f>IFERROR($N549/$N550-1,"")</f>
        <v/>
      </c>
      <c r="DO549" s="65">
        <f>IFERROR($M549/$M550-1,"")</f>
        <v/>
      </c>
      <c r="DP549" s="65">
        <f>IFERROR($AZ549/$AZ550-1,"")</f>
        <v/>
      </c>
      <c r="DQ549" s="65">
        <f>IFERROR($BA549/$BA550-1,"")</f>
        <v/>
      </c>
      <c r="DR549" s="64">
        <f>$O549-$O550</f>
        <v/>
      </c>
      <c r="DS549" s="64">
        <f>$P549-$P550</f>
        <v/>
      </c>
      <c r="DT549" s="64">
        <f>$Q549-$Q550</f>
        <v/>
      </c>
      <c r="DU549" s="64">
        <f>$S549-$S550</f>
        <v/>
      </c>
      <c r="DV549" s="65">
        <f>IFERROR(AVERAGE($AA550/$AA549-1,$AB550/$AB549-1,$AC550/$AC549-1,$AD550/$AD549-1,$AE550/$AE549-1,$AG550/$AG549-1,$AH550/$AH549-1,$AI550/$AI549-1,$AJ550/$AJ549-1,$AL550/$AL549-1,$AM550/$AM549-1,$AR550/$AR549-1,$AS550/$AS549-1,$AT550/$AT549-1,$AU550/$AU549-1,$AV550/$AV549-1,$AW550/$AW549-1,$AX550/$AX549-1,$AY550/$AY549-1),"")</f>
        <v/>
      </c>
      <c r="DW549" s="66">
        <f>AVERAGE($CB549,$CC549,$CD549,$CE549,$CF549,$CG549,$CH549,$CI549,$CJ549,$CL549,$CM549,$CN549,$CO549,$CP549,$CQ549,$CR549,$CS549,$CT549)</f>
        <v/>
      </c>
      <c r="DX549" s="66">
        <f>AVERAGE($CB549,$CC549,$CM549,$CE549,$CP549)</f>
        <v/>
      </c>
      <c r="DY549" s="64">
        <f>($DW549-$DW550)*100</f>
        <v/>
      </c>
      <c r="DZ549" s="64">
        <f>($DX549-$DX550)*100</f>
        <v/>
      </c>
      <c r="EA549" s="64">
        <f>($DW549-$D549)*100</f>
        <v/>
      </c>
      <c r="EB549" s="64">
        <f>$Q549-$O549</f>
        <v/>
      </c>
      <c r="EC549" s="67">
        <f>IFERROR($Q549/$P549,"")</f>
        <v/>
      </c>
    </row>
    <row r="550">
      <c r="DG550" s="64">
        <f>($B550-$B551)*100</f>
        <v/>
      </c>
      <c r="DH550" s="64">
        <f>($D550-$D551)*100</f>
        <v/>
      </c>
      <c r="DI550" s="64">
        <f>($E550-$E551)*100</f>
        <v/>
      </c>
      <c r="DJ550" s="64">
        <f>($H550-$H551)*100</f>
        <v/>
      </c>
      <c r="DK550" s="65">
        <f>IFERROR($J550/$J551-1,"")</f>
        <v/>
      </c>
      <c r="DL550" s="64">
        <f>$L550-$L551</f>
        <v/>
      </c>
      <c r="DM550" s="64">
        <f>$K550-$K551</f>
        <v/>
      </c>
      <c r="DN550" s="65">
        <f>IFERROR($N550/$N551-1,"")</f>
        <v/>
      </c>
      <c r="DO550" s="65">
        <f>IFERROR($M550/$M551-1,"")</f>
        <v/>
      </c>
      <c r="DP550" s="65">
        <f>IFERROR($AZ550/$AZ551-1,"")</f>
        <v/>
      </c>
      <c r="DQ550" s="65">
        <f>IFERROR($BA550/$BA551-1,"")</f>
        <v/>
      </c>
      <c r="DR550" s="64">
        <f>$O550-$O551</f>
        <v/>
      </c>
      <c r="DS550" s="64">
        <f>$P550-$P551</f>
        <v/>
      </c>
      <c r="DT550" s="64">
        <f>$Q550-$Q551</f>
        <v/>
      </c>
      <c r="DU550" s="64">
        <f>$S550-$S551</f>
        <v/>
      </c>
      <c r="DV550" s="65">
        <f>IFERROR(AVERAGE($AA551/$AA550-1,$AB551/$AB550-1,$AC551/$AC550-1,$AD551/$AD550-1,$AE551/$AE550-1,$AG551/$AG550-1,$AH551/$AH550-1,$AI551/$AI550-1,$AJ551/$AJ550-1,$AL551/$AL550-1,$AM551/$AM550-1,$AR551/$AR550-1,$AS551/$AS550-1,$AT551/$AT550-1,$AU551/$AU550-1,$AV551/$AV550-1,$AW551/$AW550-1,$AX551/$AX550-1,$AY551/$AY550-1),"")</f>
        <v/>
      </c>
      <c r="DW550" s="66">
        <f>AVERAGE($CB550,$CC550,$CD550,$CE550,$CF550,$CG550,$CH550,$CI550,$CJ550,$CL550,$CM550,$CN550,$CO550,$CP550,$CQ550,$CR550,$CS550,$CT550)</f>
        <v/>
      </c>
      <c r="DX550" s="66">
        <f>AVERAGE($CB550,$CC550,$CM550,$CE550,$CP550)</f>
        <v/>
      </c>
      <c r="DY550" s="64">
        <f>($DW550-$DW551)*100</f>
        <v/>
      </c>
      <c r="DZ550" s="64">
        <f>($DX550-$DX551)*100</f>
        <v/>
      </c>
      <c r="EA550" s="64">
        <f>($DW550-$D550)*100</f>
        <v/>
      </c>
      <c r="EB550" s="64">
        <f>$Q550-$O550</f>
        <v/>
      </c>
      <c r="EC550" s="67">
        <f>IFERROR($Q550/$P550,"")</f>
        <v/>
      </c>
    </row>
    <row r="551">
      <c r="DG551" s="64">
        <f>($B551-$B552)*100</f>
        <v/>
      </c>
      <c r="DH551" s="64">
        <f>($D551-$D552)*100</f>
        <v/>
      </c>
      <c r="DI551" s="64">
        <f>($E551-$E552)*100</f>
        <v/>
      </c>
      <c r="DJ551" s="64">
        <f>($H551-$H552)*100</f>
        <v/>
      </c>
      <c r="DK551" s="65">
        <f>IFERROR($J551/$J552-1,"")</f>
        <v/>
      </c>
      <c r="DL551" s="64">
        <f>$L551-$L552</f>
        <v/>
      </c>
      <c r="DM551" s="64">
        <f>$K551-$K552</f>
        <v/>
      </c>
      <c r="DN551" s="65">
        <f>IFERROR($N551/$N552-1,"")</f>
        <v/>
      </c>
      <c r="DO551" s="65">
        <f>IFERROR($M551/$M552-1,"")</f>
        <v/>
      </c>
      <c r="DP551" s="65">
        <f>IFERROR($AZ551/$AZ552-1,"")</f>
        <v/>
      </c>
      <c r="DQ551" s="65">
        <f>IFERROR($BA551/$BA552-1,"")</f>
        <v/>
      </c>
      <c r="DR551" s="64">
        <f>$O551-$O552</f>
        <v/>
      </c>
      <c r="DS551" s="64">
        <f>$P551-$P552</f>
        <v/>
      </c>
      <c r="DT551" s="64">
        <f>$Q551-$Q552</f>
        <v/>
      </c>
      <c r="DU551" s="64">
        <f>$S551-$S552</f>
        <v/>
      </c>
      <c r="DV551" s="65">
        <f>IFERROR(AVERAGE($AA552/$AA551-1,$AB552/$AB551-1,$AC552/$AC551-1,$AD552/$AD551-1,$AE552/$AE551-1,$AG552/$AG551-1,$AH552/$AH551-1,$AI552/$AI551-1,$AJ552/$AJ551-1,$AL552/$AL551-1,$AM552/$AM551-1,$AR552/$AR551-1,$AS552/$AS551-1,$AT552/$AT551-1,$AU552/$AU551-1,$AV552/$AV551-1,$AW552/$AW551-1,$AX552/$AX551-1,$AY552/$AY551-1),"")</f>
        <v/>
      </c>
      <c r="DW551" s="66">
        <f>AVERAGE($CB551,$CC551,$CD551,$CE551,$CF551,$CG551,$CH551,$CI551,$CJ551,$CL551,$CM551,$CN551,$CO551,$CP551,$CQ551,$CR551,$CS551,$CT551)</f>
        <v/>
      </c>
      <c r="DX551" s="66">
        <f>AVERAGE($CB551,$CC551,$CM551,$CE551,$CP551)</f>
        <v/>
      </c>
      <c r="DY551" s="64">
        <f>($DW551-$DW552)*100</f>
        <v/>
      </c>
      <c r="DZ551" s="64">
        <f>($DX551-$DX552)*100</f>
        <v/>
      </c>
      <c r="EA551" s="64">
        <f>($DW551-$D551)*100</f>
        <v/>
      </c>
      <c r="EB551" s="64">
        <f>$Q551-$O551</f>
        <v/>
      </c>
      <c r="EC551" s="67">
        <f>IFERROR($Q551/$P551,"")</f>
        <v/>
      </c>
    </row>
    <row r="552">
      <c r="DG552" s="64">
        <f>($B552-$B553)*100</f>
        <v/>
      </c>
      <c r="DH552" s="64">
        <f>($D552-$D553)*100</f>
        <v/>
      </c>
      <c r="DI552" s="64">
        <f>($E552-$E553)*100</f>
        <v/>
      </c>
      <c r="DJ552" s="64">
        <f>($H552-$H553)*100</f>
        <v/>
      </c>
      <c r="DK552" s="65">
        <f>IFERROR($J552/$J553-1,"")</f>
        <v/>
      </c>
      <c r="DL552" s="64">
        <f>$L552-$L553</f>
        <v/>
      </c>
      <c r="DM552" s="64">
        <f>$K552-$K553</f>
        <v/>
      </c>
      <c r="DN552" s="65">
        <f>IFERROR($N552/$N553-1,"")</f>
        <v/>
      </c>
      <c r="DO552" s="65">
        <f>IFERROR($M552/$M553-1,"")</f>
        <v/>
      </c>
      <c r="DP552" s="65">
        <f>IFERROR($AZ552/$AZ553-1,"")</f>
        <v/>
      </c>
      <c r="DQ552" s="65">
        <f>IFERROR($BA552/$BA553-1,"")</f>
        <v/>
      </c>
      <c r="DR552" s="64">
        <f>$O552-$O553</f>
        <v/>
      </c>
      <c r="DS552" s="64">
        <f>$P552-$P553</f>
        <v/>
      </c>
      <c r="DT552" s="64">
        <f>$Q552-$Q553</f>
        <v/>
      </c>
      <c r="DU552" s="64">
        <f>$S552-$S553</f>
        <v/>
      </c>
      <c r="DV552" s="65">
        <f>IFERROR(AVERAGE($AA553/$AA552-1,$AB553/$AB552-1,$AC553/$AC552-1,$AD553/$AD552-1,$AE553/$AE552-1,$AG553/$AG552-1,$AH553/$AH552-1,$AI553/$AI552-1,$AJ553/$AJ552-1,$AL553/$AL552-1,$AM553/$AM552-1,$AR553/$AR552-1,$AS553/$AS552-1,$AT553/$AT552-1,$AU553/$AU552-1,$AV553/$AV552-1,$AW553/$AW552-1,$AX553/$AX552-1,$AY553/$AY552-1),"")</f>
        <v/>
      </c>
      <c r="DW552" s="66">
        <f>AVERAGE($CB552,$CC552,$CD552,$CE552,$CF552,$CG552,$CH552,$CI552,$CJ552,$CL552,$CM552,$CN552,$CO552,$CP552,$CQ552,$CR552,$CS552,$CT552)</f>
        <v/>
      </c>
      <c r="DX552" s="66">
        <f>AVERAGE($CB552,$CC552,$CM552,$CE552,$CP552)</f>
        <v/>
      </c>
      <c r="DY552" s="64">
        <f>($DW552-$DW553)*100</f>
        <v/>
      </c>
      <c r="DZ552" s="64">
        <f>($DX552-$DX553)*100</f>
        <v/>
      </c>
      <c r="EA552" s="64">
        <f>($DW552-$D552)*100</f>
        <v/>
      </c>
      <c r="EB552" s="64">
        <f>$Q552-$O552</f>
        <v/>
      </c>
      <c r="EC552" s="67">
        <f>IFERROR($Q552/$P552,"")</f>
        <v/>
      </c>
    </row>
    <row r="553">
      <c r="DG553" s="64">
        <f>($B553-$B554)*100</f>
        <v/>
      </c>
      <c r="DH553" s="64">
        <f>($D553-$D554)*100</f>
        <v/>
      </c>
      <c r="DI553" s="64">
        <f>($E553-$E554)*100</f>
        <v/>
      </c>
      <c r="DJ553" s="64">
        <f>($H553-$H554)*100</f>
        <v/>
      </c>
      <c r="DK553" s="65">
        <f>IFERROR($J553/$J554-1,"")</f>
        <v/>
      </c>
      <c r="DL553" s="64">
        <f>$L553-$L554</f>
        <v/>
      </c>
      <c r="DM553" s="64">
        <f>$K553-$K554</f>
        <v/>
      </c>
      <c r="DN553" s="65">
        <f>IFERROR($N553/$N554-1,"")</f>
        <v/>
      </c>
      <c r="DO553" s="65">
        <f>IFERROR($M553/$M554-1,"")</f>
        <v/>
      </c>
      <c r="DP553" s="65">
        <f>IFERROR($AZ553/$AZ554-1,"")</f>
        <v/>
      </c>
      <c r="DQ553" s="65">
        <f>IFERROR($BA553/$BA554-1,"")</f>
        <v/>
      </c>
      <c r="DR553" s="64">
        <f>$O553-$O554</f>
        <v/>
      </c>
      <c r="DS553" s="64">
        <f>$P553-$P554</f>
        <v/>
      </c>
      <c r="DT553" s="64">
        <f>$Q553-$Q554</f>
        <v/>
      </c>
      <c r="DU553" s="64">
        <f>$S553-$S554</f>
        <v/>
      </c>
      <c r="DV553" s="65">
        <f>IFERROR(AVERAGE($AA554/$AA553-1,$AB554/$AB553-1,$AC554/$AC553-1,$AD554/$AD553-1,$AE554/$AE553-1,$AG554/$AG553-1,$AH554/$AH553-1,$AI554/$AI553-1,$AJ554/$AJ553-1,$AL554/$AL553-1,$AM554/$AM553-1,$AR554/$AR553-1,$AS554/$AS553-1,$AT554/$AT553-1,$AU554/$AU553-1,$AV554/$AV553-1,$AW554/$AW553-1,$AX554/$AX553-1,$AY554/$AY553-1),"")</f>
        <v/>
      </c>
      <c r="DW553" s="66">
        <f>AVERAGE($CB553,$CC553,$CD553,$CE553,$CF553,$CG553,$CH553,$CI553,$CJ553,$CL553,$CM553,$CN553,$CO553,$CP553,$CQ553,$CR553,$CS553,$CT553)</f>
        <v/>
      </c>
      <c r="DX553" s="66">
        <f>AVERAGE($CB553,$CC553,$CM553,$CE553,$CP553)</f>
        <v/>
      </c>
      <c r="DY553" s="64">
        <f>($DW553-$DW554)*100</f>
        <v/>
      </c>
      <c r="DZ553" s="64">
        <f>($DX553-$DX554)*100</f>
        <v/>
      </c>
      <c r="EA553" s="64">
        <f>($DW553-$D553)*100</f>
        <v/>
      </c>
      <c r="EB553" s="64">
        <f>$Q553-$O553</f>
        <v/>
      </c>
      <c r="EC553" s="67">
        <f>IFERROR($Q553/$P553,"")</f>
        <v/>
      </c>
    </row>
    <row r="554">
      <c r="DG554" s="64">
        <f>($B554-$B555)*100</f>
        <v/>
      </c>
      <c r="DH554" s="64">
        <f>($D554-$D555)*100</f>
        <v/>
      </c>
      <c r="DI554" s="64">
        <f>($E554-$E555)*100</f>
        <v/>
      </c>
      <c r="DJ554" s="64">
        <f>($H554-$H555)*100</f>
        <v/>
      </c>
      <c r="DK554" s="65">
        <f>IFERROR($J554/$J555-1,"")</f>
        <v/>
      </c>
      <c r="DL554" s="64">
        <f>$L554-$L555</f>
        <v/>
      </c>
      <c r="DM554" s="64">
        <f>$K554-$K555</f>
        <v/>
      </c>
      <c r="DN554" s="65">
        <f>IFERROR($N554/$N555-1,"")</f>
        <v/>
      </c>
      <c r="DO554" s="65">
        <f>IFERROR($M554/$M555-1,"")</f>
        <v/>
      </c>
      <c r="DP554" s="65">
        <f>IFERROR($AZ554/$AZ555-1,"")</f>
        <v/>
      </c>
      <c r="DQ554" s="65">
        <f>IFERROR($BA554/$BA555-1,"")</f>
        <v/>
      </c>
      <c r="DR554" s="64">
        <f>$O554-$O555</f>
        <v/>
      </c>
      <c r="DS554" s="64">
        <f>$P554-$P555</f>
        <v/>
      </c>
      <c r="DT554" s="64">
        <f>$Q554-$Q555</f>
        <v/>
      </c>
      <c r="DU554" s="64">
        <f>$S554-$S555</f>
        <v/>
      </c>
      <c r="DV554" s="65">
        <f>IFERROR(AVERAGE($AA555/$AA554-1,$AB555/$AB554-1,$AC555/$AC554-1,$AD555/$AD554-1,$AE555/$AE554-1,$AG555/$AG554-1,$AH555/$AH554-1,$AI555/$AI554-1,$AJ555/$AJ554-1,$AL555/$AL554-1,$AM555/$AM554-1,$AR555/$AR554-1,$AS555/$AS554-1,$AT555/$AT554-1,$AU555/$AU554-1,$AV555/$AV554-1,$AW555/$AW554-1,$AX555/$AX554-1,$AY555/$AY554-1),"")</f>
        <v/>
      </c>
      <c r="DW554" s="66">
        <f>AVERAGE($CB554,$CC554,$CD554,$CE554,$CF554,$CG554,$CH554,$CI554,$CJ554,$CL554,$CM554,$CN554,$CO554,$CP554,$CQ554,$CR554,$CS554,$CT554)</f>
        <v/>
      </c>
      <c r="DX554" s="66">
        <f>AVERAGE($CB554,$CC554,$CM554,$CE554,$CP554)</f>
        <v/>
      </c>
      <c r="DY554" s="64">
        <f>($DW554-$DW555)*100</f>
        <v/>
      </c>
      <c r="DZ554" s="64">
        <f>($DX554-$DX555)*100</f>
        <v/>
      </c>
      <c r="EA554" s="64">
        <f>($DW554-$D554)*100</f>
        <v/>
      </c>
      <c r="EB554" s="64">
        <f>$Q554-$O554</f>
        <v/>
      </c>
      <c r="EC554" s="67">
        <f>IFERROR($Q554/$P554,"")</f>
        <v/>
      </c>
    </row>
    <row r="555">
      <c r="DG555" s="64">
        <f>($B555-$B556)*100</f>
        <v/>
      </c>
      <c r="DH555" s="64">
        <f>($D555-$D556)*100</f>
        <v/>
      </c>
      <c r="DI555" s="64">
        <f>($E555-$E556)*100</f>
        <v/>
      </c>
      <c r="DJ555" s="64">
        <f>($H555-$H556)*100</f>
        <v/>
      </c>
      <c r="DK555" s="65">
        <f>IFERROR($J555/$J556-1,"")</f>
        <v/>
      </c>
      <c r="DL555" s="64">
        <f>$L555-$L556</f>
        <v/>
      </c>
      <c r="DM555" s="64">
        <f>$K555-$K556</f>
        <v/>
      </c>
      <c r="DN555" s="65">
        <f>IFERROR($N555/$N556-1,"")</f>
        <v/>
      </c>
      <c r="DO555" s="65">
        <f>IFERROR($M555/$M556-1,"")</f>
        <v/>
      </c>
      <c r="DP555" s="65">
        <f>IFERROR($AZ555/$AZ556-1,"")</f>
        <v/>
      </c>
      <c r="DQ555" s="65">
        <f>IFERROR($BA555/$BA556-1,"")</f>
        <v/>
      </c>
      <c r="DR555" s="64">
        <f>$O555-$O556</f>
        <v/>
      </c>
      <c r="DS555" s="64">
        <f>$P555-$P556</f>
        <v/>
      </c>
      <c r="DT555" s="64">
        <f>$Q555-$Q556</f>
        <v/>
      </c>
      <c r="DU555" s="64">
        <f>$S555-$S556</f>
        <v/>
      </c>
      <c r="DV555" s="65">
        <f>IFERROR(AVERAGE($AA556/$AA555-1,$AB556/$AB555-1,$AC556/$AC555-1,$AD556/$AD555-1,$AE556/$AE555-1,$AG556/$AG555-1,$AH556/$AH555-1,$AI556/$AI555-1,$AJ556/$AJ555-1,$AL556/$AL555-1,$AM556/$AM555-1,$AR556/$AR555-1,$AS556/$AS555-1,$AT556/$AT555-1,$AU556/$AU555-1,$AV556/$AV555-1,$AW556/$AW555-1,$AX556/$AX555-1,$AY556/$AY555-1),"")</f>
        <v/>
      </c>
      <c r="DW555" s="66">
        <f>AVERAGE($CB555,$CC555,$CD555,$CE555,$CF555,$CG555,$CH555,$CI555,$CJ555,$CL555,$CM555,$CN555,$CO555,$CP555,$CQ555,$CR555,$CS555,$CT555)</f>
        <v/>
      </c>
      <c r="DX555" s="66">
        <f>AVERAGE($CB555,$CC555,$CM555,$CE555,$CP555)</f>
        <v/>
      </c>
      <c r="DY555" s="64">
        <f>($DW555-$DW556)*100</f>
        <v/>
      </c>
      <c r="DZ555" s="64">
        <f>($DX555-$DX556)*100</f>
        <v/>
      </c>
      <c r="EA555" s="64">
        <f>($DW555-$D555)*100</f>
        <v/>
      </c>
      <c r="EB555" s="64">
        <f>$Q555-$O555</f>
        <v/>
      </c>
      <c r="EC555" s="67">
        <f>IFERROR($Q555/$P555,"")</f>
        <v/>
      </c>
    </row>
    <row r="556">
      <c r="DG556" s="64">
        <f>($B556-$B557)*100</f>
        <v/>
      </c>
      <c r="DH556" s="64">
        <f>($D556-$D557)*100</f>
        <v/>
      </c>
      <c r="DI556" s="64">
        <f>($E556-$E557)*100</f>
        <v/>
      </c>
      <c r="DJ556" s="64">
        <f>($H556-$H557)*100</f>
        <v/>
      </c>
      <c r="DK556" s="65">
        <f>IFERROR($J556/$J557-1,"")</f>
        <v/>
      </c>
      <c r="DL556" s="64">
        <f>$L556-$L557</f>
        <v/>
      </c>
      <c r="DM556" s="64">
        <f>$K556-$K557</f>
        <v/>
      </c>
      <c r="DN556" s="65">
        <f>IFERROR($N556/$N557-1,"")</f>
        <v/>
      </c>
      <c r="DO556" s="65">
        <f>IFERROR($M556/$M557-1,"")</f>
        <v/>
      </c>
      <c r="DP556" s="65">
        <f>IFERROR($AZ556/$AZ557-1,"")</f>
        <v/>
      </c>
      <c r="DQ556" s="65">
        <f>IFERROR($BA556/$BA557-1,"")</f>
        <v/>
      </c>
      <c r="DR556" s="64">
        <f>$O556-$O557</f>
        <v/>
      </c>
      <c r="DS556" s="64">
        <f>$P556-$P557</f>
        <v/>
      </c>
      <c r="DT556" s="64">
        <f>$Q556-$Q557</f>
        <v/>
      </c>
      <c r="DU556" s="64">
        <f>$S556-$S557</f>
        <v/>
      </c>
      <c r="DV556" s="65">
        <f>IFERROR(AVERAGE($AA557/$AA556-1,$AB557/$AB556-1,$AC557/$AC556-1,$AD557/$AD556-1,$AE557/$AE556-1,$AG557/$AG556-1,$AH557/$AH556-1,$AI557/$AI556-1,$AJ557/$AJ556-1,$AL557/$AL556-1,$AM557/$AM556-1,$AR557/$AR556-1,$AS557/$AS556-1,$AT557/$AT556-1,$AU557/$AU556-1,$AV557/$AV556-1,$AW557/$AW556-1,$AX557/$AX556-1,$AY557/$AY556-1),"")</f>
        <v/>
      </c>
      <c r="DW556" s="66">
        <f>AVERAGE($CB556,$CC556,$CD556,$CE556,$CF556,$CG556,$CH556,$CI556,$CJ556,$CL556,$CM556,$CN556,$CO556,$CP556,$CQ556,$CR556,$CS556,$CT556)</f>
        <v/>
      </c>
      <c r="DX556" s="66">
        <f>AVERAGE($CB556,$CC556,$CM556,$CE556,$CP556)</f>
        <v/>
      </c>
      <c r="DY556" s="64">
        <f>($DW556-$DW557)*100</f>
        <v/>
      </c>
      <c r="DZ556" s="64">
        <f>($DX556-$DX557)*100</f>
        <v/>
      </c>
      <c r="EA556" s="64">
        <f>($DW556-$D556)*100</f>
        <v/>
      </c>
      <c r="EB556" s="64">
        <f>$Q556-$O556</f>
        <v/>
      </c>
      <c r="EC556" s="67">
        <f>IFERROR($Q556/$P556,"")</f>
        <v/>
      </c>
    </row>
    <row r="557">
      <c r="DG557" s="64">
        <f>($B557-$B558)*100</f>
        <v/>
      </c>
      <c r="DH557" s="64">
        <f>($D557-$D558)*100</f>
        <v/>
      </c>
      <c r="DI557" s="64">
        <f>($E557-$E558)*100</f>
        <v/>
      </c>
      <c r="DJ557" s="64">
        <f>($H557-$H558)*100</f>
        <v/>
      </c>
      <c r="DK557" s="65">
        <f>IFERROR($J557/$J558-1,"")</f>
        <v/>
      </c>
      <c r="DL557" s="64">
        <f>$L557-$L558</f>
        <v/>
      </c>
      <c r="DM557" s="64">
        <f>$K557-$K558</f>
        <v/>
      </c>
      <c r="DN557" s="65">
        <f>IFERROR($N557/$N558-1,"")</f>
        <v/>
      </c>
      <c r="DO557" s="65">
        <f>IFERROR($M557/$M558-1,"")</f>
        <v/>
      </c>
      <c r="DP557" s="65">
        <f>IFERROR($AZ557/$AZ558-1,"")</f>
        <v/>
      </c>
      <c r="DQ557" s="65">
        <f>IFERROR($BA557/$BA558-1,"")</f>
        <v/>
      </c>
      <c r="DR557" s="64">
        <f>$O557-$O558</f>
        <v/>
      </c>
      <c r="DS557" s="64">
        <f>$P557-$P558</f>
        <v/>
      </c>
      <c r="DT557" s="64">
        <f>$Q557-$Q558</f>
        <v/>
      </c>
      <c r="DU557" s="64">
        <f>$S557-$S558</f>
        <v/>
      </c>
      <c r="DV557" s="65">
        <f>IFERROR(AVERAGE($AA558/$AA557-1,$AB558/$AB557-1,$AC558/$AC557-1,$AD558/$AD557-1,$AE558/$AE557-1,$AG558/$AG557-1,$AH558/$AH557-1,$AI558/$AI557-1,$AJ558/$AJ557-1,$AL558/$AL557-1,$AM558/$AM557-1,$AR558/$AR557-1,$AS558/$AS557-1,$AT558/$AT557-1,$AU558/$AU557-1,$AV558/$AV557-1,$AW558/$AW557-1,$AX558/$AX557-1,$AY558/$AY557-1),"")</f>
        <v/>
      </c>
      <c r="DW557" s="66">
        <f>AVERAGE($CB557,$CC557,$CD557,$CE557,$CF557,$CG557,$CH557,$CI557,$CJ557,$CL557,$CM557,$CN557,$CO557,$CP557,$CQ557,$CR557,$CS557,$CT557)</f>
        <v/>
      </c>
      <c r="DX557" s="66">
        <f>AVERAGE($CB557,$CC557,$CM557,$CE557,$CP557)</f>
        <v/>
      </c>
      <c r="DY557" s="64">
        <f>($DW557-$DW558)*100</f>
        <v/>
      </c>
      <c r="DZ557" s="64">
        <f>($DX557-$DX558)*100</f>
        <v/>
      </c>
      <c r="EA557" s="64">
        <f>($DW557-$D557)*100</f>
        <v/>
      </c>
      <c r="EB557" s="64">
        <f>$Q557-$O557</f>
        <v/>
      </c>
      <c r="EC557" s="67">
        <f>IFERROR($Q557/$P557,"")</f>
        <v/>
      </c>
    </row>
    <row r="558">
      <c r="DG558" s="64">
        <f>($B558-$B559)*100</f>
        <v/>
      </c>
      <c r="DH558" s="64">
        <f>($D558-$D559)*100</f>
        <v/>
      </c>
      <c r="DI558" s="64">
        <f>($E558-$E559)*100</f>
        <v/>
      </c>
      <c r="DJ558" s="64">
        <f>($H558-$H559)*100</f>
        <v/>
      </c>
      <c r="DK558" s="65">
        <f>IFERROR($J558/$J559-1,"")</f>
        <v/>
      </c>
      <c r="DL558" s="64">
        <f>$L558-$L559</f>
        <v/>
      </c>
      <c r="DM558" s="64">
        <f>$K558-$K559</f>
        <v/>
      </c>
      <c r="DN558" s="65">
        <f>IFERROR($N558/$N559-1,"")</f>
        <v/>
      </c>
      <c r="DO558" s="65">
        <f>IFERROR($M558/$M559-1,"")</f>
        <v/>
      </c>
      <c r="DP558" s="65">
        <f>IFERROR($AZ558/$AZ559-1,"")</f>
        <v/>
      </c>
      <c r="DQ558" s="65">
        <f>IFERROR($BA558/$BA559-1,"")</f>
        <v/>
      </c>
      <c r="DR558" s="64">
        <f>$O558-$O559</f>
        <v/>
      </c>
      <c r="DS558" s="64">
        <f>$P558-$P559</f>
        <v/>
      </c>
      <c r="DT558" s="64">
        <f>$Q558-$Q559</f>
        <v/>
      </c>
      <c r="DU558" s="64">
        <f>$S558-$S559</f>
        <v/>
      </c>
      <c r="DV558" s="65">
        <f>IFERROR(AVERAGE($AA559/$AA558-1,$AB559/$AB558-1,$AC559/$AC558-1,$AD559/$AD558-1,$AE559/$AE558-1,$AG559/$AG558-1,$AH559/$AH558-1,$AI559/$AI558-1,$AJ559/$AJ558-1,$AL559/$AL558-1,$AM559/$AM558-1,$AR559/$AR558-1,$AS559/$AS558-1,$AT559/$AT558-1,$AU559/$AU558-1,$AV559/$AV558-1,$AW559/$AW558-1,$AX559/$AX558-1,$AY559/$AY558-1),"")</f>
        <v/>
      </c>
      <c r="DW558" s="66">
        <f>AVERAGE($CB558,$CC558,$CD558,$CE558,$CF558,$CG558,$CH558,$CI558,$CJ558,$CL558,$CM558,$CN558,$CO558,$CP558,$CQ558,$CR558,$CS558,$CT558)</f>
        <v/>
      </c>
      <c r="DX558" s="66">
        <f>AVERAGE($CB558,$CC558,$CM558,$CE558,$CP558)</f>
        <v/>
      </c>
      <c r="DY558" s="64">
        <f>($DW558-$DW559)*100</f>
        <v/>
      </c>
      <c r="DZ558" s="64">
        <f>($DX558-$DX559)*100</f>
        <v/>
      </c>
      <c r="EA558" s="64">
        <f>($DW558-$D558)*100</f>
        <v/>
      </c>
      <c r="EB558" s="64">
        <f>$Q558-$O558</f>
        <v/>
      </c>
      <c r="EC558" s="67">
        <f>IFERROR($Q558/$P558,"")</f>
        <v/>
      </c>
    </row>
    <row r="559">
      <c r="DG559" s="64">
        <f>($B559-$B560)*100</f>
        <v/>
      </c>
      <c r="DH559" s="64">
        <f>($D559-$D560)*100</f>
        <v/>
      </c>
      <c r="DI559" s="64">
        <f>($E559-$E560)*100</f>
        <v/>
      </c>
      <c r="DJ559" s="64">
        <f>($H559-$H560)*100</f>
        <v/>
      </c>
      <c r="DK559" s="65">
        <f>IFERROR($J559/$J560-1,"")</f>
        <v/>
      </c>
      <c r="DL559" s="64">
        <f>$L559-$L560</f>
        <v/>
      </c>
      <c r="DM559" s="64">
        <f>$K559-$K560</f>
        <v/>
      </c>
      <c r="DN559" s="65">
        <f>IFERROR($N559/$N560-1,"")</f>
        <v/>
      </c>
      <c r="DO559" s="65">
        <f>IFERROR($M559/$M560-1,"")</f>
        <v/>
      </c>
      <c r="DP559" s="65">
        <f>IFERROR($AZ559/$AZ560-1,"")</f>
        <v/>
      </c>
      <c r="DQ559" s="65">
        <f>IFERROR($BA559/$BA560-1,"")</f>
        <v/>
      </c>
      <c r="DR559" s="64">
        <f>$O559-$O560</f>
        <v/>
      </c>
      <c r="DS559" s="64">
        <f>$P559-$P560</f>
        <v/>
      </c>
      <c r="DT559" s="64">
        <f>$Q559-$Q560</f>
        <v/>
      </c>
      <c r="DU559" s="64">
        <f>$S559-$S560</f>
        <v/>
      </c>
      <c r="DV559" s="65">
        <f>IFERROR(AVERAGE($AA560/$AA559-1,$AB560/$AB559-1,$AC560/$AC559-1,$AD560/$AD559-1,$AE560/$AE559-1,$AG560/$AG559-1,$AH560/$AH559-1,$AI560/$AI559-1,$AJ560/$AJ559-1,$AL560/$AL559-1,$AM560/$AM559-1,$AR560/$AR559-1,$AS560/$AS559-1,$AT560/$AT559-1,$AU560/$AU559-1,$AV560/$AV559-1,$AW560/$AW559-1,$AX560/$AX559-1,$AY560/$AY559-1),"")</f>
        <v/>
      </c>
      <c r="DW559" s="66">
        <f>AVERAGE($CB559,$CC559,$CD559,$CE559,$CF559,$CG559,$CH559,$CI559,$CJ559,$CL559,$CM559,$CN559,$CO559,$CP559,$CQ559,$CR559,$CS559,$CT559)</f>
        <v/>
      </c>
      <c r="DX559" s="66">
        <f>AVERAGE($CB559,$CC559,$CM559,$CE559,$CP559)</f>
        <v/>
      </c>
      <c r="DY559" s="64">
        <f>($DW559-$DW560)*100</f>
        <v/>
      </c>
      <c r="DZ559" s="64">
        <f>($DX559-$DX560)*100</f>
        <v/>
      </c>
      <c r="EA559" s="64">
        <f>($DW559-$D559)*100</f>
        <v/>
      </c>
      <c r="EB559" s="64">
        <f>$Q559-$O559</f>
        <v/>
      </c>
      <c r="EC559" s="67">
        <f>IFERROR($Q559/$P559,"")</f>
        <v/>
      </c>
    </row>
    <row r="560">
      <c r="DG560" s="64">
        <f>($B560-$B561)*100</f>
        <v/>
      </c>
      <c r="DH560" s="64">
        <f>($D560-$D561)*100</f>
        <v/>
      </c>
      <c r="DI560" s="64">
        <f>($E560-$E561)*100</f>
        <v/>
      </c>
      <c r="DJ560" s="64">
        <f>($H560-$H561)*100</f>
        <v/>
      </c>
      <c r="DK560" s="65">
        <f>IFERROR($J560/$J561-1,"")</f>
        <v/>
      </c>
      <c r="DL560" s="64">
        <f>$L560-$L561</f>
        <v/>
      </c>
      <c r="DM560" s="64">
        <f>$K560-$K561</f>
        <v/>
      </c>
      <c r="DN560" s="65">
        <f>IFERROR($N560/$N561-1,"")</f>
        <v/>
      </c>
      <c r="DO560" s="65">
        <f>IFERROR($M560/$M561-1,"")</f>
        <v/>
      </c>
      <c r="DP560" s="65">
        <f>IFERROR($AZ560/$AZ561-1,"")</f>
        <v/>
      </c>
      <c r="DQ560" s="65">
        <f>IFERROR($BA560/$BA561-1,"")</f>
        <v/>
      </c>
      <c r="DR560" s="64">
        <f>$O560-$O561</f>
        <v/>
      </c>
      <c r="DS560" s="64">
        <f>$P560-$P561</f>
        <v/>
      </c>
      <c r="DT560" s="64">
        <f>$Q560-$Q561</f>
        <v/>
      </c>
      <c r="DU560" s="64">
        <f>$S560-$S561</f>
        <v/>
      </c>
      <c r="DV560" s="65">
        <f>IFERROR(AVERAGE($AA561/$AA560-1,$AB561/$AB560-1,$AC561/$AC560-1,$AD561/$AD560-1,$AE561/$AE560-1,$AG561/$AG560-1,$AH561/$AH560-1,$AI561/$AI560-1,$AJ561/$AJ560-1,$AL561/$AL560-1,$AM561/$AM560-1,$AR561/$AR560-1,$AS561/$AS560-1,$AT561/$AT560-1,$AU561/$AU560-1,$AV561/$AV560-1,$AW561/$AW560-1,$AX561/$AX560-1,$AY561/$AY560-1),"")</f>
        <v/>
      </c>
      <c r="DW560" s="66">
        <f>AVERAGE($CB560,$CC560,$CD560,$CE560,$CF560,$CG560,$CH560,$CI560,$CJ560,$CL560,$CM560,$CN560,$CO560,$CP560,$CQ560,$CR560,$CS560,$CT560)</f>
        <v/>
      </c>
      <c r="DX560" s="66">
        <f>AVERAGE($CB560,$CC560,$CM560,$CE560,$CP560)</f>
        <v/>
      </c>
      <c r="DY560" s="64">
        <f>($DW560-$DW561)*100</f>
        <v/>
      </c>
      <c r="DZ560" s="64">
        <f>($DX560-$DX561)*100</f>
        <v/>
      </c>
      <c r="EA560" s="64">
        <f>($DW560-$D560)*100</f>
        <v/>
      </c>
      <c r="EB560" s="64">
        <f>$Q560-$O560</f>
        <v/>
      </c>
      <c r="EC560" s="67">
        <f>IFERROR($Q560/$P560,"")</f>
        <v/>
      </c>
    </row>
    <row r="561">
      <c r="DG561" s="64">
        <f>($B561-$B562)*100</f>
        <v/>
      </c>
      <c r="DH561" s="64">
        <f>($D561-$D562)*100</f>
        <v/>
      </c>
      <c r="DI561" s="64">
        <f>($E561-$E562)*100</f>
        <v/>
      </c>
      <c r="DJ561" s="64">
        <f>($H561-$H562)*100</f>
        <v/>
      </c>
      <c r="DK561" s="65">
        <f>IFERROR($J561/$J562-1,"")</f>
        <v/>
      </c>
      <c r="DL561" s="64">
        <f>$L561-$L562</f>
        <v/>
      </c>
      <c r="DM561" s="64">
        <f>$K561-$K562</f>
        <v/>
      </c>
      <c r="DN561" s="65">
        <f>IFERROR($N561/$N562-1,"")</f>
        <v/>
      </c>
      <c r="DO561" s="65">
        <f>IFERROR($M561/$M562-1,"")</f>
        <v/>
      </c>
      <c r="DP561" s="65">
        <f>IFERROR($AZ561/$AZ562-1,"")</f>
        <v/>
      </c>
      <c r="DQ561" s="65">
        <f>IFERROR($BA561/$BA562-1,"")</f>
        <v/>
      </c>
      <c r="DR561" s="64">
        <f>$O561-$O562</f>
        <v/>
      </c>
      <c r="DS561" s="64">
        <f>$P561-$P562</f>
        <v/>
      </c>
      <c r="DT561" s="64">
        <f>$Q561-$Q562</f>
        <v/>
      </c>
      <c r="DU561" s="64">
        <f>$S561-$S562</f>
        <v/>
      </c>
      <c r="DV561" s="65">
        <f>IFERROR(AVERAGE($AA562/$AA561-1,$AB562/$AB561-1,$AC562/$AC561-1,$AD562/$AD561-1,$AE562/$AE561-1,$AG562/$AG561-1,$AH562/$AH561-1,$AI562/$AI561-1,$AJ562/$AJ561-1,$AL562/$AL561-1,$AM562/$AM561-1,$AR562/$AR561-1,$AS562/$AS561-1,$AT562/$AT561-1,$AU562/$AU561-1,$AV562/$AV561-1,$AW562/$AW561-1,$AX562/$AX561-1,$AY562/$AY561-1),"")</f>
        <v/>
      </c>
      <c r="DW561" s="66">
        <f>AVERAGE($CB561,$CC561,$CD561,$CE561,$CF561,$CG561,$CH561,$CI561,$CJ561,$CL561,$CM561,$CN561,$CO561,$CP561,$CQ561,$CR561,$CS561,$CT561)</f>
        <v/>
      </c>
      <c r="DX561" s="66">
        <f>AVERAGE($CB561,$CC561,$CM561,$CE561,$CP561)</f>
        <v/>
      </c>
      <c r="DY561" s="64">
        <f>($DW561-$DW562)*100</f>
        <v/>
      </c>
      <c r="DZ561" s="64">
        <f>($DX561-$DX562)*100</f>
        <v/>
      </c>
      <c r="EA561" s="64">
        <f>($DW561-$D561)*100</f>
        <v/>
      </c>
      <c r="EB561" s="64">
        <f>$Q561-$O561</f>
        <v/>
      </c>
      <c r="EC561" s="67">
        <f>IFERROR($Q561/$P561,"")</f>
        <v/>
      </c>
    </row>
    <row r="562">
      <c r="DG562" s="64">
        <f>($B562-$B563)*100</f>
        <v/>
      </c>
      <c r="DH562" s="64">
        <f>($D562-$D563)*100</f>
        <v/>
      </c>
      <c r="DI562" s="64">
        <f>($E562-$E563)*100</f>
        <v/>
      </c>
      <c r="DJ562" s="64">
        <f>($H562-$H563)*100</f>
        <v/>
      </c>
      <c r="DK562" s="65">
        <f>IFERROR($J562/$J563-1,"")</f>
        <v/>
      </c>
      <c r="DL562" s="64">
        <f>$L562-$L563</f>
        <v/>
      </c>
      <c r="DM562" s="64">
        <f>$K562-$K563</f>
        <v/>
      </c>
      <c r="DN562" s="65">
        <f>IFERROR($N562/$N563-1,"")</f>
        <v/>
      </c>
      <c r="DO562" s="65">
        <f>IFERROR($M562/$M563-1,"")</f>
        <v/>
      </c>
      <c r="DP562" s="65">
        <f>IFERROR($AZ562/$AZ563-1,"")</f>
        <v/>
      </c>
      <c r="DQ562" s="65">
        <f>IFERROR($BA562/$BA563-1,"")</f>
        <v/>
      </c>
      <c r="DR562" s="64">
        <f>$O562-$O563</f>
        <v/>
      </c>
      <c r="DS562" s="64">
        <f>$P562-$P563</f>
        <v/>
      </c>
      <c r="DT562" s="64">
        <f>$Q562-$Q563</f>
        <v/>
      </c>
      <c r="DU562" s="64">
        <f>$S562-$S563</f>
        <v/>
      </c>
      <c r="DV562" s="65">
        <f>IFERROR(AVERAGE($AA563/$AA562-1,$AB563/$AB562-1,$AC563/$AC562-1,$AD563/$AD562-1,$AE563/$AE562-1,$AG563/$AG562-1,$AH563/$AH562-1,$AI563/$AI562-1,$AJ563/$AJ562-1,$AL563/$AL562-1,$AM563/$AM562-1,$AR563/$AR562-1,$AS563/$AS562-1,$AT563/$AT562-1,$AU563/$AU562-1,$AV563/$AV562-1,$AW563/$AW562-1,$AX563/$AX562-1,$AY563/$AY562-1),"")</f>
        <v/>
      </c>
      <c r="DW562" s="66">
        <f>AVERAGE($CB562,$CC562,$CD562,$CE562,$CF562,$CG562,$CH562,$CI562,$CJ562,$CL562,$CM562,$CN562,$CO562,$CP562,$CQ562,$CR562,$CS562,$CT562)</f>
        <v/>
      </c>
      <c r="DX562" s="66">
        <f>AVERAGE($CB562,$CC562,$CM562,$CE562,$CP562)</f>
        <v/>
      </c>
      <c r="DY562" s="64">
        <f>($DW562-$DW563)*100</f>
        <v/>
      </c>
      <c r="DZ562" s="64">
        <f>($DX562-$DX563)*100</f>
        <v/>
      </c>
      <c r="EA562" s="64">
        <f>($DW562-$D562)*100</f>
        <v/>
      </c>
      <c r="EB562" s="64">
        <f>$Q562-$O562</f>
        <v/>
      </c>
      <c r="EC562" s="67">
        <f>IFERROR($Q562/$P562,"")</f>
        <v/>
      </c>
    </row>
    <row r="563">
      <c r="DG563" s="64">
        <f>($B563-$B564)*100</f>
        <v/>
      </c>
      <c r="DH563" s="64">
        <f>($D563-$D564)*100</f>
        <v/>
      </c>
      <c r="DI563" s="64">
        <f>($E563-$E564)*100</f>
        <v/>
      </c>
      <c r="DJ563" s="64">
        <f>($H563-$H564)*100</f>
        <v/>
      </c>
      <c r="DK563" s="65">
        <f>IFERROR($J563/$J564-1,"")</f>
        <v/>
      </c>
      <c r="DL563" s="64">
        <f>$L563-$L564</f>
        <v/>
      </c>
      <c r="DM563" s="64">
        <f>$K563-$K564</f>
        <v/>
      </c>
      <c r="DN563" s="65">
        <f>IFERROR($N563/$N564-1,"")</f>
        <v/>
      </c>
      <c r="DO563" s="65">
        <f>IFERROR($M563/$M564-1,"")</f>
        <v/>
      </c>
      <c r="DP563" s="65">
        <f>IFERROR($AZ563/$AZ564-1,"")</f>
        <v/>
      </c>
      <c r="DQ563" s="65">
        <f>IFERROR($BA563/$BA564-1,"")</f>
        <v/>
      </c>
      <c r="DR563" s="64">
        <f>$O563-$O564</f>
        <v/>
      </c>
      <c r="DS563" s="64">
        <f>$P563-$P564</f>
        <v/>
      </c>
      <c r="DT563" s="64">
        <f>$Q563-$Q564</f>
        <v/>
      </c>
      <c r="DU563" s="64">
        <f>$S563-$S564</f>
        <v/>
      </c>
      <c r="DV563" s="65">
        <f>IFERROR(AVERAGE($AA564/$AA563-1,$AB564/$AB563-1,$AC564/$AC563-1,$AD564/$AD563-1,$AE564/$AE563-1,$AG564/$AG563-1,$AH564/$AH563-1,$AI564/$AI563-1,$AJ564/$AJ563-1,$AL564/$AL563-1,$AM564/$AM563-1,$AR564/$AR563-1,$AS564/$AS563-1,$AT564/$AT563-1,$AU564/$AU563-1,$AV564/$AV563-1,$AW564/$AW563-1,$AX564/$AX563-1,$AY564/$AY563-1),"")</f>
        <v/>
      </c>
      <c r="DW563" s="66">
        <f>AVERAGE($CB563,$CC563,$CD563,$CE563,$CF563,$CG563,$CH563,$CI563,$CJ563,$CL563,$CM563,$CN563,$CO563,$CP563,$CQ563,$CR563,$CS563,$CT563)</f>
        <v/>
      </c>
      <c r="DX563" s="66">
        <f>AVERAGE($CB563,$CC563,$CM563,$CE563,$CP563)</f>
        <v/>
      </c>
      <c r="DY563" s="64">
        <f>($DW563-$DW564)*100</f>
        <v/>
      </c>
      <c r="DZ563" s="64">
        <f>($DX563-$DX564)*100</f>
        <v/>
      </c>
      <c r="EA563" s="64">
        <f>($DW563-$D563)*100</f>
        <v/>
      </c>
      <c r="EB563" s="64">
        <f>$Q563-$O563</f>
        <v/>
      </c>
      <c r="EC563" s="67">
        <f>IFERROR($Q563/$P563,"")</f>
        <v/>
      </c>
    </row>
    <row r="564">
      <c r="DG564" s="64">
        <f>($B564-$B565)*100</f>
        <v/>
      </c>
      <c r="DH564" s="64">
        <f>($D564-$D565)*100</f>
        <v/>
      </c>
      <c r="DI564" s="64">
        <f>($E564-$E565)*100</f>
        <v/>
      </c>
      <c r="DJ564" s="64">
        <f>($H564-$H565)*100</f>
        <v/>
      </c>
      <c r="DK564" s="65">
        <f>IFERROR($J564/$J565-1,"")</f>
        <v/>
      </c>
      <c r="DL564" s="64">
        <f>$L564-$L565</f>
        <v/>
      </c>
      <c r="DM564" s="64">
        <f>$K564-$K565</f>
        <v/>
      </c>
      <c r="DN564" s="65">
        <f>IFERROR($N564/$N565-1,"")</f>
        <v/>
      </c>
      <c r="DO564" s="65">
        <f>IFERROR($M564/$M565-1,"")</f>
        <v/>
      </c>
      <c r="DP564" s="65">
        <f>IFERROR($AZ564/$AZ565-1,"")</f>
        <v/>
      </c>
      <c r="DQ564" s="65">
        <f>IFERROR($BA564/$BA565-1,"")</f>
        <v/>
      </c>
      <c r="DR564" s="64">
        <f>$O564-$O565</f>
        <v/>
      </c>
      <c r="DS564" s="64">
        <f>$P564-$P565</f>
        <v/>
      </c>
      <c r="DT564" s="64">
        <f>$Q564-$Q565</f>
        <v/>
      </c>
      <c r="DU564" s="64">
        <f>$S564-$S565</f>
        <v/>
      </c>
      <c r="DV564" s="65">
        <f>IFERROR(AVERAGE($AA565/$AA564-1,$AB565/$AB564-1,$AC565/$AC564-1,$AD565/$AD564-1,$AE565/$AE564-1,$AG565/$AG564-1,$AH565/$AH564-1,$AI565/$AI564-1,$AJ565/$AJ564-1,$AL565/$AL564-1,$AM565/$AM564-1,$AR565/$AR564-1,$AS565/$AS564-1,$AT565/$AT564-1,$AU565/$AU564-1,$AV565/$AV564-1,$AW565/$AW564-1,$AX565/$AX564-1,$AY565/$AY564-1),"")</f>
        <v/>
      </c>
      <c r="DW564" s="66">
        <f>AVERAGE($CB564,$CC564,$CD564,$CE564,$CF564,$CG564,$CH564,$CI564,$CJ564,$CL564,$CM564,$CN564,$CO564,$CP564,$CQ564,$CR564,$CS564,$CT564)</f>
        <v/>
      </c>
      <c r="DX564" s="66">
        <f>AVERAGE($CB564,$CC564,$CM564,$CE564,$CP564)</f>
        <v/>
      </c>
      <c r="DY564" s="64">
        <f>($DW564-$DW565)*100</f>
        <v/>
      </c>
      <c r="DZ564" s="64">
        <f>($DX564-$DX565)*100</f>
        <v/>
      </c>
      <c r="EA564" s="64">
        <f>($DW564-$D564)*100</f>
        <v/>
      </c>
      <c r="EB564" s="64">
        <f>$Q564-$O564</f>
        <v/>
      </c>
      <c r="EC564" s="67">
        <f>IFERROR($Q564/$P564,"")</f>
        <v/>
      </c>
    </row>
    <row r="565">
      <c r="DG565" s="64">
        <f>($B565-$B566)*100</f>
        <v/>
      </c>
      <c r="DH565" s="64">
        <f>($D565-$D566)*100</f>
        <v/>
      </c>
      <c r="DI565" s="64">
        <f>($E565-$E566)*100</f>
        <v/>
      </c>
      <c r="DJ565" s="64">
        <f>($H565-$H566)*100</f>
        <v/>
      </c>
      <c r="DK565" s="65">
        <f>IFERROR($J565/$J566-1,"")</f>
        <v/>
      </c>
      <c r="DL565" s="64">
        <f>$L565-$L566</f>
        <v/>
      </c>
      <c r="DM565" s="64">
        <f>$K565-$K566</f>
        <v/>
      </c>
      <c r="DN565" s="65">
        <f>IFERROR($N565/$N566-1,"")</f>
        <v/>
      </c>
      <c r="DO565" s="65">
        <f>IFERROR($M565/$M566-1,"")</f>
        <v/>
      </c>
      <c r="DP565" s="65">
        <f>IFERROR($AZ565/$AZ566-1,"")</f>
        <v/>
      </c>
      <c r="DQ565" s="65">
        <f>IFERROR($BA565/$BA566-1,"")</f>
        <v/>
      </c>
      <c r="DR565" s="64">
        <f>$O565-$O566</f>
        <v/>
      </c>
      <c r="DS565" s="64">
        <f>$P565-$P566</f>
        <v/>
      </c>
      <c r="DT565" s="64">
        <f>$Q565-$Q566</f>
        <v/>
      </c>
      <c r="DU565" s="64">
        <f>$S565-$S566</f>
        <v/>
      </c>
      <c r="DV565" s="65">
        <f>IFERROR(AVERAGE($AA566/$AA565-1,$AB566/$AB565-1,$AC566/$AC565-1,$AD566/$AD565-1,$AE566/$AE565-1,$AG566/$AG565-1,$AH566/$AH565-1,$AI566/$AI565-1,$AJ566/$AJ565-1,$AL566/$AL565-1,$AM566/$AM565-1,$AR566/$AR565-1,$AS566/$AS565-1,$AT566/$AT565-1,$AU566/$AU565-1,$AV566/$AV565-1,$AW566/$AW565-1,$AX566/$AX565-1,$AY566/$AY565-1),"")</f>
        <v/>
      </c>
      <c r="DW565" s="66">
        <f>AVERAGE($CB565,$CC565,$CD565,$CE565,$CF565,$CG565,$CH565,$CI565,$CJ565,$CL565,$CM565,$CN565,$CO565,$CP565,$CQ565,$CR565,$CS565,$CT565)</f>
        <v/>
      </c>
      <c r="DX565" s="66">
        <f>AVERAGE($CB565,$CC565,$CM565,$CE565,$CP565)</f>
        <v/>
      </c>
      <c r="DY565" s="64">
        <f>($DW565-$DW566)*100</f>
        <v/>
      </c>
      <c r="DZ565" s="64">
        <f>($DX565-$DX566)*100</f>
        <v/>
      </c>
      <c r="EA565" s="64">
        <f>($DW565-$D565)*100</f>
        <v/>
      </c>
      <c r="EB565" s="64">
        <f>$Q565-$O565</f>
        <v/>
      </c>
      <c r="EC565" s="67">
        <f>IFERROR($Q565/$P565,"")</f>
        <v/>
      </c>
    </row>
    <row r="566">
      <c r="DG566" s="64">
        <f>($B566-$B567)*100</f>
        <v/>
      </c>
      <c r="DH566" s="64">
        <f>($D566-$D567)*100</f>
        <v/>
      </c>
      <c r="DI566" s="64">
        <f>($E566-$E567)*100</f>
        <v/>
      </c>
      <c r="DJ566" s="64">
        <f>($H566-$H567)*100</f>
        <v/>
      </c>
      <c r="DK566" s="65">
        <f>IFERROR($J566/$J567-1,"")</f>
        <v/>
      </c>
      <c r="DL566" s="64">
        <f>$L566-$L567</f>
        <v/>
      </c>
      <c r="DM566" s="64">
        <f>$K566-$K567</f>
        <v/>
      </c>
      <c r="DN566" s="65">
        <f>IFERROR($N566/$N567-1,"")</f>
        <v/>
      </c>
      <c r="DO566" s="65">
        <f>IFERROR($M566/$M567-1,"")</f>
        <v/>
      </c>
      <c r="DP566" s="65">
        <f>IFERROR($AZ566/$AZ567-1,"")</f>
        <v/>
      </c>
      <c r="DQ566" s="65">
        <f>IFERROR($BA566/$BA567-1,"")</f>
        <v/>
      </c>
      <c r="DR566" s="64">
        <f>$O566-$O567</f>
        <v/>
      </c>
      <c r="DS566" s="64">
        <f>$P566-$P567</f>
        <v/>
      </c>
      <c r="DT566" s="64">
        <f>$Q566-$Q567</f>
        <v/>
      </c>
      <c r="DU566" s="64">
        <f>$S566-$S567</f>
        <v/>
      </c>
      <c r="DV566" s="65">
        <f>IFERROR(AVERAGE($AA567/$AA566-1,$AB567/$AB566-1,$AC567/$AC566-1,$AD567/$AD566-1,$AE567/$AE566-1,$AG567/$AG566-1,$AH567/$AH566-1,$AI567/$AI566-1,$AJ567/$AJ566-1,$AL567/$AL566-1,$AM567/$AM566-1,$AR567/$AR566-1,$AS567/$AS566-1,$AT567/$AT566-1,$AU567/$AU566-1,$AV567/$AV566-1,$AW567/$AW566-1,$AX567/$AX566-1,$AY567/$AY566-1),"")</f>
        <v/>
      </c>
      <c r="DW566" s="66">
        <f>AVERAGE($CB566,$CC566,$CD566,$CE566,$CF566,$CG566,$CH566,$CI566,$CJ566,$CL566,$CM566,$CN566,$CO566,$CP566,$CQ566,$CR566,$CS566,$CT566)</f>
        <v/>
      </c>
      <c r="DX566" s="66">
        <f>AVERAGE($CB566,$CC566,$CM566,$CE566,$CP566)</f>
        <v/>
      </c>
      <c r="DY566" s="64">
        <f>($DW566-$DW567)*100</f>
        <v/>
      </c>
      <c r="DZ566" s="64">
        <f>($DX566-$DX567)*100</f>
        <v/>
      </c>
      <c r="EA566" s="64">
        <f>($DW566-$D566)*100</f>
        <v/>
      </c>
      <c r="EB566" s="64">
        <f>$Q566-$O566</f>
        <v/>
      </c>
      <c r="EC566" s="67">
        <f>IFERROR($Q566/$P566,"")</f>
        <v/>
      </c>
    </row>
    <row r="567">
      <c r="DG567" s="64">
        <f>($B567-$B568)*100</f>
        <v/>
      </c>
      <c r="DH567" s="64">
        <f>($D567-$D568)*100</f>
        <v/>
      </c>
      <c r="DI567" s="64">
        <f>($E567-$E568)*100</f>
        <v/>
      </c>
      <c r="DJ567" s="64">
        <f>($H567-$H568)*100</f>
        <v/>
      </c>
      <c r="DK567" s="65">
        <f>IFERROR($J567/$J568-1,"")</f>
        <v/>
      </c>
      <c r="DL567" s="64">
        <f>$L567-$L568</f>
        <v/>
      </c>
      <c r="DM567" s="64">
        <f>$K567-$K568</f>
        <v/>
      </c>
      <c r="DN567" s="65">
        <f>IFERROR($N567/$N568-1,"")</f>
        <v/>
      </c>
      <c r="DO567" s="65">
        <f>IFERROR($M567/$M568-1,"")</f>
        <v/>
      </c>
      <c r="DP567" s="65">
        <f>IFERROR($AZ567/$AZ568-1,"")</f>
        <v/>
      </c>
      <c r="DQ567" s="65">
        <f>IFERROR($BA567/$BA568-1,"")</f>
        <v/>
      </c>
      <c r="DR567" s="64">
        <f>$O567-$O568</f>
        <v/>
      </c>
      <c r="DS567" s="64">
        <f>$P567-$P568</f>
        <v/>
      </c>
      <c r="DT567" s="64">
        <f>$Q567-$Q568</f>
        <v/>
      </c>
      <c r="DU567" s="64">
        <f>$S567-$S568</f>
        <v/>
      </c>
      <c r="DV567" s="65">
        <f>IFERROR(AVERAGE($AA568/$AA567-1,$AB568/$AB567-1,$AC568/$AC567-1,$AD568/$AD567-1,$AE568/$AE567-1,$AG568/$AG567-1,$AH568/$AH567-1,$AI568/$AI567-1,$AJ568/$AJ567-1,$AL568/$AL567-1,$AM568/$AM567-1,$AR568/$AR567-1,$AS568/$AS567-1,$AT568/$AT567-1,$AU568/$AU567-1,$AV568/$AV567-1,$AW568/$AW567-1,$AX568/$AX567-1,$AY568/$AY567-1),"")</f>
        <v/>
      </c>
      <c r="DW567" s="66">
        <f>AVERAGE($CB567,$CC567,$CD567,$CE567,$CF567,$CG567,$CH567,$CI567,$CJ567,$CL567,$CM567,$CN567,$CO567,$CP567,$CQ567,$CR567,$CS567,$CT567)</f>
        <v/>
      </c>
      <c r="DX567" s="66">
        <f>AVERAGE($CB567,$CC567,$CM567,$CE567,$CP567)</f>
        <v/>
      </c>
      <c r="DY567" s="64">
        <f>($DW567-$DW568)*100</f>
        <v/>
      </c>
      <c r="DZ567" s="64">
        <f>($DX567-$DX568)*100</f>
        <v/>
      </c>
      <c r="EA567" s="64">
        <f>($DW567-$D567)*100</f>
        <v/>
      </c>
      <c r="EB567" s="64">
        <f>$Q567-$O567</f>
        <v/>
      </c>
      <c r="EC567" s="67">
        <f>IFERROR($Q567/$P567,"")</f>
        <v/>
      </c>
    </row>
    <row r="568">
      <c r="DG568" s="64">
        <f>($B568-$B569)*100</f>
        <v/>
      </c>
      <c r="DH568" s="64">
        <f>($D568-$D569)*100</f>
        <v/>
      </c>
      <c r="DI568" s="64">
        <f>($E568-$E569)*100</f>
        <v/>
      </c>
      <c r="DJ568" s="64">
        <f>($H568-$H569)*100</f>
        <v/>
      </c>
      <c r="DK568" s="65">
        <f>IFERROR($J568/$J569-1,"")</f>
        <v/>
      </c>
      <c r="DL568" s="64">
        <f>$L568-$L569</f>
        <v/>
      </c>
      <c r="DM568" s="64">
        <f>$K568-$K569</f>
        <v/>
      </c>
      <c r="DN568" s="65">
        <f>IFERROR($N568/$N569-1,"")</f>
        <v/>
      </c>
      <c r="DO568" s="65">
        <f>IFERROR($M568/$M569-1,"")</f>
        <v/>
      </c>
      <c r="DP568" s="65">
        <f>IFERROR($AZ568/$AZ569-1,"")</f>
        <v/>
      </c>
      <c r="DQ568" s="65">
        <f>IFERROR($BA568/$BA569-1,"")</f>
        <v/>
      </c>
      <c r="DR568" s="64">
        <f>$O568-$O569</f>
        <v/>
      </c>
      <c r="DS568" s="64">
        <f>$P568-$P569</f>
        <v/>
      </c>
      <c r="DT568" s="64">
        <f>$Q568-$Q569</f>
        <v/>
      </c>
      <c r="DU568" s="64">
        <f>$S568-$S569</f>
        <v/>
      </c>
      <c r="DV568" s="65">
        <f>IFERROR(AVERAGE($AA569/$AA568-1,$AB569/$AB568-1,$AC569/$AC568-1,$AD569/$AD568-1,$AE569/$AE568-1,$AG569/$AG568-1,$AH569/$AH568-1,$AI569/$AI568-1,$AJ569/$AJ568-1,$AL569/$AL568-1,$AM569/$AM568-1,$AR569/$AR568-1,$AS569/$AS568-1,$AT569/$AT568-1,$AU569/$AU568-1,$AV569/$AV568-1,$AW569/$AW568-1,$AX569/$AX568-1,$AY569/$AY568-1),"")</f>
        <v/>
      </c>
      <c r="DW568" s="66">
        <f>AVERAGE($CB568,$CC568,$CD568,$CE568,$CF568,$CG568,$CH568,$CI568,$CJ568,$CL568,$CM568,$CN568,$CO568,$CP568,$CQ568,$CR568,$CS568,$CT568)</f>
        <v/>
      </c>
      <c r="DX568" s="66">
        <f>AVERAGE($CB568,$CC568,$CM568,$CE568,$CP568)</f>
        <v/>
      </c>
      <c r="DY568" s="64">
        <f>($DW568-$DW569)*100</f>
        <v/>
      </c>
      <c r="DZ568" s="64">
        <f>($DX568-$DX569)*100</f>
        <v/>
      </c>
      <c r="EA568" s="64">
        <f>($DW568-$D568)*100</f>
        <v/>
      </c>
      <c r="EB568" s="64">
        <f>$Q568-$O568</f>
        <v/>
      </c>
      <c r="EC568" s="67">
        <f>IFERROR($Q568/$P568,"")</f>
        <v/>
      </c>
    </row>
    <row r="569">
      <c r="DG569" s="64">
        <f>($B569-$B570)*100</f>
        <v/>
      </c>
      <c r="DH569" s="64">
        <f>($D569-$D570)*100</f>
        <v/>
      </c>
      <c r="DI569" s="64">
        <f>($E569-$E570)*100</f>
        <v/>
      </c>
      <c r="DJ569" s="64">
        <f>($H569-$H570)*100</f>
        <v/>
      </c>
      <c r="DK569" s="65">
        <f>IFERROR($J569/$J570-1,"")</f>
        <v/>
      </c>
      <c r="DL569" s="64">
        <f>$L569-$L570</f>
        <v/>
      </c>
      <c r="DM569" s="64">
        <f>$K569-$K570</f>
        <v/>
      </c>
      <c r="DN569" s="65">
        <f>IFERROR($N569/$N570-1,"")</f>
        <v/>
      </c>
      <c r="DO569" s="65">
        <f>IFERROR($M569/$M570-1,"")</f>
        <v/>
      </c>
      <c r="DP569" s="65">
        <f>IFERROR($AZ569/$AZ570-1,"")</f>
        <v/>
      </c>
      <c r="DQ569" s="65">
        <f>IFERROR($BA569/$BA570-1,"")</f>
        <v/>
      </c>
      <c r="DR569" s="64">
        <f>$O569-$O570</f>
        <v/>
      </c>
      <c r="DS569" s="64">
        <f>$P569-$P570</f>
        <v/>
      </c>
      <c r="DT569" s="64">
        <f>$Q569-$Q570</f>
        <v/>
      </c>
      <c r="DU569" s="64">
        <f>$S569-$S570</f>
        <v/>
      </c>
      <c r="DV569" s="65">
        <f>IFERROR(AVERAGE($AA570/$AA569-1,$AB570/$AB569-1,$AC570/$AC569-1,$AD570/$AD569-1,$AE570/$AE569-1,$AG570/$AG569-1,$AH570/$AH569-1,$AI570/$AI569-1,$AJ570/$AJ569-1,$AL570/$AL569-1,$AM570/$AM569-1,$AR570/$AR569-1,$AS570/$AS569-1,$AT570/$AT569-1,$AU570/$AU569-1,$AV570/$AV569-1,$AW570/$AW569-1,$AX570/$AX569-1,$AY570/$AY569-1),"")</f>
        <v/>
      </c>
      <c r="DW569" s="66">
        <f>AVERAGE($CB569,$CC569,$CD569,$CE569,$CF569,$CG569,$CH569,$CI569,$CJ569,$CL569,$CM569,$CN569,$CO569,$CP569,$CQ569,$CR569,$CS569,$CT569)</f>
        <v/>
      </c>
      <c r="DX569" s="66">
        <f>AVERAGE($CB569,$CC569,$CM569,$CE569,$CP569)</f>
        <v/>
      </c>
      <c r="DY569" s="64">
        <f>($DW569-$DW570)*100</f>
        <v/>
      </c>
      <c r="DZ569" s="64">
        <f>($DX569-$DX570)*100</f>
        <v/>
      </c>
      <c r="EA569" s="64">
        <f>($DW569-$D569)*100</f>
        <v/>
      </c>
      <c r="EB569" s="64">
        <f>$Q569-$O569</f>
        <v/>
      </c>
      <c r="EC569" s="67">
        <f>IFERROR($Q569/$P569,"")</f>
        <v/>
      </c>
    </row>
    <row r="570">
      <c r="DG570" s="64">
        <f>($B570-$B571)*100</f>
        <v/>
      </c>
      <c r="DH570" s="64">
        <f>($D570-$D571)*100</f>
        <v/>
      </c>
      <c r="DI570" s="64">
        <f>($E570-$E571)*100</f>
        <v/>
      </c>
      <c r="DJ570" s="64">
        <f>($H570-$H571)*100</f>
        <v/>
      </c>
      <c r="DK570" s="65">
        <f>IFERROR($J570/$J571-1,"")</f>
        <v/>
      </c>
      <c r="DL570" s="64">
        <f>$L570-$L571</f>
        <v/>
      </c>
      <c r="DM570" s="64">
        <f>$K570-$K571</f>
        <v/>
      </c>
      <c r="DN570" s="65">
        <f>IFERROR($N570/$N571-1,"")</f>
        <v/>
      </c>
      <c r="DO570" s="65">
        <f>IFERROR($M570/$M571-1,"")</f>
        <v/>
      </c>
      <c r="DP570" s="65">
        <f>IFERROR($AZ570/$AZ571-1,"")</f>
        <v/>
      </c>
      <c r="DQ570" s="65">
        <f>IFERROR($BA570/$BA571-1,"")</f>
        <v/>
      </c>
      <c r="DR570" s="64">
        <f>$O570-$O571</f>
        <v/>
      </c>
      <c r="DS570" s="64">
        <f>$P570-$P571</f>
        <v/>
      </c>
      <c r="DT570" s="64">
        <f>$Q570-$Q571</f>
        <v/>
      </c>
      <c r="DU570" s="64">
        <f>$S570-$S571</f>
        <v/>
      </c>
      <c r="DV570" s="65">
        <f>IFERROR(AVERAGE($AA571/$AA570-1,$AB571/$AB570-1,$AC571/$AC570-1,$AD571/$AD570-1,$AE571/$AE570-1,$AG571/$AG570-1,$AH571/$AH570-1,$AI571/$AI570-1,$AJ571/$AJ570-1,$AL571/$AL570-1,$AM571/$AM570-1,$AR571/$AR570-1,$AS571/$AS570-1,$AT571/$AT570-1,$AU571/$AU570-1,$AV571/$AV570-1,$AW571/$AW570-1,$AX571/$AX570-1,$AY571/$AY570-1),"")</f>
        <v/>
      </c>
      <c r="DW570" s="66">
        <f>AVERAGE($CB570,$CC570,$CD570,$CE570,$CF570,$CG570,$CH570,$CI570,$CJ570,$CL570,$CM570,$CN570,$CO570,$CP570,$CQ570,$CR570,$CS570,$CT570)</f>
        <v/>
      </c>
      <c r="DX570" s="66">
        <f>AVERAGE($CB570,$CC570,$CM570,$CE570,$CP570)</f>
        <v/>
      </c>
      <c r="DY570" s="64">
        <f>($DW570-$DW571)*100</f>
        <v/>
      </c>
      <c r="DZ570" s="64">
        <f>($DX570-$DX571)*100</f>
        <v/>
      </c>
      <c r="EA570" s="64">
        <f>($DW570-$D570)*100</f>
        <v/>
      </c>
      <c r="EB570" s="64">
        <f>$Q570-$O570</f>
        <v/>
      </c>
      <c r="EC570" s="67">
        <f>IFERROR($Q570/$P570,"")</f>
        <v/>
      </c>
    </row>
    <row r="571">
      <c r="DG571" s="64">
        <f>($B571-$B572)*100</f>
        <v/>
      </c>
      <c r="DH571" s="64">
        <f>($D571-$D572)*100</f>
        <v/>
      </c>
      <c r="DI571" s="64">
        <f>($E571-$E572)*100</f>
        <v/>
      </c>
      <c r="DJ571" s="64">
        <f>($H571-$H572)*100</f>
        <v/>
      </c>
      <c r="DK571" s="65">
        <f>IFERROR($J571/$J572-1,"")</f>
        <v/>
      </c>
      <c r="DL571" s="64">
        <f>$L571-$L572</f>
        <v/>
      </c>
      <c r="DM571" s="64">
        <f>$K571-$K572</f>
        <v/>
      </c>
      <c r="DN571" s="65">
        <f>IFERROR($N571/$N572-1,"")</f>
        <v/>
      </c>
      <c r="DO571" s="65">
        <f>IFERROR($M571/$M572-1,"")</f>
        <v/>
      </c>
      <c r="DP571" s="65">
        <f>IFERROR($AZ571/$AZ572-1,"")</f>
        <v/>
      </c>
      <c r="DQ571" s="65">
        <f>IFERROR($BA571/$BA572-1,"")</f>
        <v/>
      </c>
      <c r="DR571" s="64">
        <f>$O571-$O572</f>
        <v/>
      </c>
      <c r="DS571" s="64">
        <f>$P571-$P572</f>
        <v/>
      </c>
      <c r="DT571" s="64">
        <f>$Q571-$Q572</f>
        <v/>
      </c>
      <c r="DU571" s="64">
        <f>$S571-$S572</f>
        <v/>
      </c>
      <c r="DV571" s="65">
        <f>IFERROR(AVERAGE($AA572/$AA571-1,$AB572/$AB571-1,$AC572/$AC571-1,$AD572/$AD571-1,$AE572/$AE571-1,$AG572/$AG571-1,$AH572/$AH571-1,$AI572/$AI571-1,$AJ572/$AJ571-1,$AL572/$AL571-1,$AM572/$AM571-1,$AR572/$AR571-1,$AS572/$AS571-1,$AT572/$AT571-1,$AU572/$AU571-1,$AV572/$AV571-1,$AW572/$AW571-1,$AX572/$AX571-1,$AY572/$AY571-1),"")</f>
        <v/>
      </c>
      <c r="DW571" s="66">
        <f>AVERAGE($CB571,$CC571,$CD571,$CE571,$CF571,$CG571,$CH571,$CI571,$CJ571,$CL571,$CM571,$CN571,$CO571,$CP571,$CQ571,$CR571,$CS571,$CT571)</f>
        <v/>
      </c>
      <c r="DX571" s="66">
        <f>AVERAGE($CB571,$CC571,$CM571,$CE571,$CP571)</f>
        <v/>
      </c>
      <c r="DY571" s="64">
        <f>($DW571-$DW572)*100</f>
        <v/>
      </c>
      <c r="DZ571" s="64">
        <f>($DX571-$DX572)*100</f>
        <v/>
      </c>
      <c r="EA571" s="64">
        <f>($DW571-$D571)*100</f>
        <v/>
      </c>
      <c r="EB571" s="64">
        <f>$Q571-$O571</f>
        <v/>
      </c>
      <c r="EC571" s="67">
        <f>IFERROR($Q571/$P571,"")</f>
        <v/>
      </c>
    </row>
    <row r="572">
      <c r="DG572" s="64">
        <f>($B572-$B573)*100</f>
        <v/>
      </c>
      <c r="DH572" s="64">
        <f>($D572-$D573)*100</f>
        <v/>
      </c>
      <c r="DI572" s="64">
        <f>($E572-$E573)*100</f>
        <v/>
      </c>
      <c r="DJ572" s="64">
        <f>($H572-$H573)*100</f>
        <v/>
      </c>
      <c r="DK572" s="65">
        <f>IFERROR($J572/$J573-1,"")</f>
        <v/>
      </c>
      <c r="DL572" s="64">
        <f>$L572-$L573</f>
        <v/>
      </c>
      <c r="DM572" s="64">
        <f>$K572-$K573</f>
        <v/>
      </c>
      <c r="DN572" s="65">
        <f>IFERROR($N572/$N573-1,"")</f>
        <v/>
      </c>
      <c r="DO572" s="65">
        <f>IFERROR($M572/$M573-1,"")</f>
        <v/>
      </c>
      <c r="DP572" s="65">
        <f>IFERROR($AZ572/$AZ573-1,"")</f>
        <v/>
      </c>
      <c r="DQ572" s="65">
        <f>IFERROR($BA572/$BA573-1,"")</f>
        <v/>
      </c>
      <c r="DR572" s="64">
        <f>$O572-$O573</f>
        <v/>
      </c>
      <c r="DS572" s="64">
        <f>$P572-$P573</f>
        <v/>
      </c>
      <c r="DT572" s="64">
        <f>$Q572-$Q573</f>
        <v/>
      </c>
      <c r="DU572" s="64">
        <f>$S572-$S573</f>
        <v/>
      </c>
      <c r="DV572" s="65">
        <f>IFERROR(AVERAGE($AA573/$AA572-1,$AB573/$AB572-1,$AC573/$AC572-1,$AD573/$AD572-1,$AE573/$AE572-1,$AG573/$AG572-1,$AH573/$AH572-1,$AI573/$AI572-1,$AJ573/$AJ572-1,$AL573/$AL572-1,$AM573/$AM572-1,$AR573/$AR572-1,$AS573/$AS572-1,$AT573/$AT572-1,$AU573/$AU572-1,$AV573/$AV572-1,$AW573/$AW572-1,$AX573/$AX572-1,$AY573/$AY572-1),"")</f>
        <v/>
      </c>
      <c r="DW572" s="66">
        <f>AVERAGE($CB572,$CC572,$CD572,$CE572,$CF572,$CG572,$CH572,$CI572,$CJ572,$CL572,$CM572,$CN572,$CO572,$CP572,$CQ572,$CR572,$CS572,$CT572)</f>
        <v/>
      </c>
      <c r="DX572" s="66">
        <f>AVERAGE($CB572,$CC572,$CM572,$CE572,$CP572)</f>
        <v/>
      </c>
      <c r="DY572" s="64">
        <f>($DW572-$DW573)*100</f>
        <v/>
      </c>
      <c r="DZ572" s="64">
        <f>($DX572-$DX573)*100</f>
        <v/>
      </c>
      <c r="EA572" s="64">
        <f>($DW572-$D572)*100</f>
        <v/>
      </c>
      <c r="EB572" s="64">
        <f>$Q572-$O572</f>
        <v/>
      </c>
      <c r="EC572" s="67">
        <f>IFERROR($Q572/$P572,"")</f>
        <v/>
      </c>
    </row>
    <row r="573">
      <c r="DG573" s="64">
        <f>($B573-$B574)*100</f>
        <v/>
      </c>
      <c r="DH573" s="64">
        <f>($D573-$D574)*100</f>
        <v/>
      </c>
      <c r="DI573" s="64">
        <f>($E573-$E574)*100</f>
        <v/>
      </c>
      <c r="DJ573" s="64">
        <f>($H573-$H574)*100</f>
        <v/>
      </c>
      <c r="DK573" s="65">
        <f>IFERROR($J573/$J574-1,"")</f>
        <v/>
      </c>
      <c r="DL573" s="64">
        <f>$L573-$L574</f>
        <v/>
      </c>
      <c r="DM573" s="64">
        <f>$K573-$K574</f>
        <v/>
      </c>
      <c r="DN573" s="65">
        <f>IFERROR($N573/$N574-1,"")</f>
        <v/>
      </c>
      <c r="DO573" s="65">
        <f>IFERROR($M573/$M574-1,"")</f>
        <v/>
      </c>
      <c r="DP573" s="65">
        <f>IFERROR($AZ573/$AZ574-1,"")</f>
        <v/>
      </c>
      <c r="DQ573" s="65">
        <f>IFERROR($BA573/$BA574-1,"")</f>
        <v/>
      </c>
      <c r="DR573" s="64">
        <f>$O573-$O574</f>
        <v/>
      </c>
      <c r="DS573" s="64">
        <f>$P573-$P574</f>
        <v/>
      </c>
      <c r="DT573" s="64">
        <f>$Q573-$Q574</f>
        <v/>
      </c>
      <c r="DU573" s="64">
        <f>$S573-$S574</f>
        <v/>
      </c>
      <c r="DV573" s="65">
        <f>IFERROR(AVERAGE($AA574/$AA573-1,$AB574/$AB573-1,$AC574/$AC573-1,$AD574/$AD573-1,$AE574/$AE573-1,$AG574/$AG573-1,$AH574/$AH573-1,$AI574/$AI573-1,$AJ574/$AJ573-1,$AL574/$AL573-1,$AM574/$AM573-1,$AR574/$AR573-1,$AS574/$AS573-1,$AT574/$AT573-1,$AU574/$AU573-1,$AV574/$AV573-1,$AW574/$AW573-1,$AX574/$AX573-1,$AY574/$AY573-1),"")</f>
        <v/>
      </c>
      <c r="DW573" s="66">
        <f>AVERAGE($CB573,$CC573,$CD573,$CE573,$CF573,$CG573,$CH573,$CI573,$CJ573,$CL573,$CM573,$CN573,$CO573,$CP573,$CQ573,$CR573,$CS573,$CT573)</f>
        <v/>
      </c>
      <c r="DX573" s="66">
        <f>AVERAGE($CB573,$CC573,$CM573,$CE573,$CP573)</f>
        <v/>
      </c>
      <c r="DY573" s="64">
        <f>($DW573-$DW574)*100</f>
        <v/>
      </c>
      <c r="DZ573" s="64">
        <f>($DX573-$DX574)*100</f>
        <v/>
      </c>
      <c r="EA573" s="64">
        <f>($DW573-$D573)*100</f>
        <v/>
      </c>
      <c r="EB573" s="64">
        <f>$Q573-$O573</f>
        <v/>
      </c>
      <c r="EC573" s="67">
        <f>IFERROR($Q573/$P573,"")</f>
        <v/>
      </c>
    </row>
    <row r="574">
      <c r="DG574" s="64">
        <f>($B574-$B575)*100</f>
        <v/>
      </c>
      <c r="DH574" s="64">
        <f>($D574-$D575)*100</f>
        <v/>
      </c>
      <c r="DI574" s="64">
        <f>($E574-$E575)*100</f>
        <v/>
      </c>
      <c r="DJ574" s="64">
        <f>($H574-$H575)*100</f>
        <v/>
      </c>
      <c r="DK574" s="65">
        <f>IFERROR($J574/$J575-1,"")</f>
        <v/>
      </c>
      <c r="DL574" s="64">
        <f>$L574-$L575</f>
        <v/>
      </c>
      <c r="DM574" s="64">
        <f>$K574-$K575</f>
        <v/>
      </c>
      <c r="DN574" s="65">
        <f>IFERROR($N574/$N575-1,"")</f>
        <v/>
      </c>
      <c r="DO574" s="65">
        <f>IFERROR($M574/$M575-1,"")</f>
        <v/>
      </c>
      <c r="DP574" s="65">
        <f>IFERROR($AZ574/$AZ575-1,"")</f>
        <v/>
      </c>
      <c r="DQ574" s="65">
        <f>IFERROR($BA574/$BA575-1,"")</f>
        <v/>
      </c>
      <c r="DR574" s="64">
        <f>$O574-$O575</f>
        <v/>
      </c>
      <c r="DS574" s="64">
        <f>$P574-$P575</f>
        <v/>
      </c>
      <c r="DT574" s="64">
        <f>$Q574-$Q575</f>
        <v/>
      </c>
      <c r="DU574" s="64">
        <f>$S574-$S575</f>
        <v/>
      </c>
      <c r="DV574" s="65">
        <f>IFERROR(AVERAGE($AA575/$AA574-1,$AB575/$AB574-1,$AC575/$AC574-1,$AD575/$AD574-1,$AE575/$AE574-1,$AG575/$AG574-1,$AH575/$AH574-1,$AI575/$AI574-1,$AJ575/$AJ574-1,$AL575/$AL574-1,$AM575/$AM574-1,$AR575/$AR574-1,$AS575/$AS574-1,$AT575/$AT574-1,$AU575/$AU574-1,$AV575/$AV574-1,$AW575/$AW574-1,$AX575/$AX574-1,$AY575/$AY574-1),"")</f>
        <v/>
      </c>
      <c r="DW574" s="66">
        <f>AVERAGE($CB574,$CC574,$CD574,$CE574,$CF574,$CG574,$CH574,$CI574,$CJ574,$CL574,$CM574,$CN574,$CO574,$CP574,$CQ574,$CR574,$CS574,$CT574)</f>
        <v/>
      </c>
      <c r="DX574" s="66">
        <f>AVERAGE($CB574,$CC574,$CM574,$CE574,$CP574)</f>
        <v/>
      </c>
      <c r="DY574" s="64">
        <f>($DW574-$DW575)*100</f>
        <v/>
      </c>
      <c r="DZ574" s="64">
        <f>($DX574-$DX575)*100</f>
        <v/>
      </c>
      <c r="EA574" s="64">
        <f>($DW574-$D574)*100</f>
        <v/>
      </c>
      <c r="EB574" s="64">
        <f>$Q574-$O574</f>
        <v/>
      </c>
      <c r="EC574" s="67">
        <f>IFERROR($Q574/$P574,"")</f>
        <v/>
      </c>
    </row>
    <row r="575">
      <c r="DG575" s="64">
        <f>($B575-$B576)*100</f>
        <v/>
      </c>
      <c r="DH575" s="64">
        <f>($D575-$D576)*100</f>
        <v/>
      </c>
      <c r="DI575" s="64">
        <f>($E575-$E576)*100</f>
        <v/>
      </c>
      <c r="DJ575" s="64">
        <f>($H575-$H576)*100</f>
        <v/>
      </c>
      <c r="DK575" s="65">
        <f>IFERROR($J575/$J576-1,"")</f>
        <v/>
      </c>
      <c r="DL575" s="64">
        <f>$L575-$L576</f>
        <v/>
      </c>
      <c r="DM575" s="64">
        <f>$K575-$K576</f>
        <v/>
      </c>
      <c r="DN575" s="65">
        <f>IFERROR($N575/$N576-1,"")</f>
        <v/>
      </c>
      <c r="DO575" s="65">
        <f>IFERROR($M575/$M576-1,"")</f>
        <v/>
      </c>
      <c r="DP575" s="65">
        <f>IFERROR($AZ575/$AZ576-1,"")</f>
        <v/>
      </c>
      <c r="DQ575" s="65">
        <f>IFERROR($BA575/$BA576-1,"")</f>
        <v/>
      </c>
      <c r="DR575" s="64">
        <f>$O575-$O576</f>
        <v/>
      </c>
      <c r="DS575" s="64">
        <f>$P575-$P576</f>
        <v/>
      </c>
      <c r="DT575" s="64">
        <f>$Q575-$Q576</f>
        <v/>
      </c>
      <c r="DU575" s="64">
        <f>$S575-$S576</f>
        <v/>
      </c>
      <c r="DV575" s="65">
        <f>IFERROR(AVERAGE($AA576/$AA575-1,$AB576/$AB575-1,$AC576/$AC575-1,$AD576/$AD575-1,$AE576/$AE575-1,$AG576/$AG575-1,$AH576/$AH575-1,$AI576/$AI575-1,$AJ576/$AJ575-1,$AL576/$AL575-1,$AM576/$AM575-1,$AR576/$AR575-1,$AS576/$AS575-1,$AT576/$AT575-1,$AU576/$AU575-1,$AV576/$AV575-1,$AW576/$AW575-1,$AX576/$AX575-1,$AY576/$AY575-1),"")</f>
        <v/>
      </c>
      <c r="DW575" s="66">
        <f>AVERAGE($CB575,$CC575,$CD575,$CE575,$CF575,$CG575,$CH575,$CI575,$CJ575,$CL575,$CM575,$CN575,$CO575,$CP575,$CQ575,$CR575,$CS575,$CT575)</f>
        <v/>
      </c>
      <c r="DX575" s="66">
        <f>AVERAGE($CB575,$CC575,$CM575,$CE575,$CP575)</f>
        <v/>
      </c>
      <c r="DY575" s="64">
        <f>($DW575-$DW576)*100</f>
        <v/>
      </c>
      <c r="DZ575" s="64">
        <f>($DX575-$DX576)*100</f>
        <v/>
      </c>
      <c r="EA575" s="64">
        <f>($DW575-$D575)*100</f>
        <v/>
      </c>
      <c r="EB575" s="64">
        <f>$Q575-$O575</f>
        <v/>
      </c>
      <c r="EC575" s="67">
        <f>IFERROR($Q575/$P575,"")</f>
        <v/>
      </c>
    </row>
    <row r="576">
      <c r="DG576" s="64">
        <f>($B576-$B577)*100</f>
        <v/>
      </c>
      <c r="DH576" s="64">
        <f>($D576-$D577)*100</f>
        <v/>
      </c>
      <c r="DI576" s="64">
        <f>($E576-$E577)*100</f>
        <v/>
      </c>
      <c r="DJ576" s="64">
        <f>($H576-$H577)*100</f>
        <v/>
      </c>
      <c r="DK576" s="65">
        <f>IFERROR($J576/$J577-1,"")</f>
        <v/>
      </c>
      <c r="DL576" s="64">
        <f>$L576-$L577</f>
        <v/>
      </c>
      <c r="DM576" s="64">
        <f>$K576-$K577</f>
        <v/>
      </c>
      <c r="DN576" s="65">
        <f>IFERROR($N576/$N577-1,"")</f>
        <v/>
      </c>
      <c r="DO576" s="65">
        <f>IFERROR($M576/$M577-1,"")</f>
        <v/>
      </c>
      <c r="DP576" s="65">
        <f>IFERROR($AZ576/$AZ577-1,"")</f>
        <v/>
      </c>
      <c r="DQ576" s="65">
        <f>IFERROR($BA576/$BA577-1,"")</f>
        <v/>
      </c>
      <c r="DR576" s="64">
        <f>$O576-$O577</f>
        <v/>
      </c>
      <c r="DS576" s="64">
        <f>$P576-$P577</f>
        <v/>
      </c>
      <c r="DT576" s="64">
        <f>$Q576-$Q577</f>
        <v/>
      </c>
      <c r="DU576" s="64">
        <f>$S576-$S577</f>
        <v/>
      </c>
      <c r="DV576" s="65">
        <f>IFERROR(AVERAGE($AA577/$AA576-1,$AB577/$AB576-1,$AC577/$AC576-1,$AD577/$AD576-1,$AE577/$AE576-1,$AG577/$AG576-1,$AH577/$AH576-1,$AI577/$AI576-1,$AJ577/$AJ576-1,$AL577/$AL576-1,$AM577/$AM576-1,$AR577/$AR576-1,$AS577/$AS576-1,$AT577/$AT576-1,$AU577/$AU576-1,$AV577/$AV576-1,$AW577/$AW576-1,$AX577/$AX576-1,$AY577/$AY576-1),"")</f>
        <v/>
      </c>
      <c r="DW576" s="66">
        <f>AVERAGE($CB576,$CC576,$CD576,$CE576,$CF576,$CG576,$CH576,$CI576,$CJ576,$CL576,$CM576,$CN576,$CO576,$CP576,$CQ576,$CR576,$CS576,$CT576)</f>
        <v/>
      </c>
      <c r="DX576" s="66">
        <f>AVERAGE($CB576,$CC576,$CM576,$CE576,$CP576)</f>
        <v/>
      </c>
      <c r="DY576" s="64">
        <f>($DW576-$DW577)*100</f>
        <v/>
      </c>
      <c r="DZ576" s="64">
        <f>($DX576-$DX577)*100</f>
        <v/>
      </c>
      <c r="EA576" s="64">
        <f>($DW576-$D576)*100</f>
        <v/>
      </c>
      <c r="EB576" s="64">
        <f>$Q576-$O576</f>
        <v/>
      </c>
      <c r="EC576" s="67">
        <f>IFERROR($Q576/$P576,"")</f>
        <v/>
      </c>
    </row>
    <row r="577">
      <c r="DG577" s="64">
        <f>($B577-$B578)*100</f>
        <v/>
      </c>
      <c r="DH577" s="64">
        <f>($D577-$D578)*100</f>
        <v/>
      </c>
      <c r="DI577" s="64">
        <f>($E577-$E578)*100</f>
        <v/>
      </c>
      <c r="DJ577" s="64">
        <f>($H577-$H578)*100</f>
        <v/>
      </c>
      <c r="DK577" s="65">
        <f>IFERROR($J577/$J578-1,"")</f>
        <v/>
      </c>
      <c r="DL577" s="64">
        <f>$L577-$L578</f>
        <v/>
      </c>
      <c r="DM577" s="64">
        <f>$K577-$K578</f>
        <v/>
      </c>
      <c r="DN577" s="65">
        <f>IFERROR($N577/$N578-1,"")</f>
        <v/>
      </c>
      <c r="DO577" s="65">
        <f>IFERROR($M577/$M578-1,"")</f>
        <v/>
      </c>
      <c r="DP577" s="65">
        <f>IFERROR($AZ577/$AZ578-1,"")</f>
        <v/>
      </c>
      <c r="DQ577" s="65">
        <f>IFERROR($BA577/$BA578-1,"")</f>
        <v/>
      </c>
      <c r="DR577" s="64">
        <f>$O577-$O578</f>
        <v/>
      </c>
      <c r="DS577" s="64">
        <f>$P577-$P578</f>
        <v/>
      </c>
      <c r="DT577" s="64">
        <f>$Q577-$Q578</f>
        <v/>
      </c>
      <c r="DU577" s="64">
        <f>$S577-$S578</f>
        <v/>
      </c>
      <c r="DV577" s="65">
        <f>IFERROR(AVERAGE($AA578/$AA577-1,$AB578/$AB577-1,$AC578/$AC577-1,$AD578/$AD577-1,$AE578/$AE577-1,$AG578/$AG577-1,$AH578/$AH577-1,$AI578/$AI577-1,$AJ578/$AJ577-1,$AL578/$AL577-1,$AM578/$AM577-1,$AR578/$AR577-1,$AS578/$AS577-1,$AT578/$AT577-1,$AU578/$AU577-1,$AV578/$AV577-1,$AW578/$AW577-1,$AX578/$AX577-1,$AY578/$AY577-1),"")</f>
        <v/>
      </c>
      <c r="DW577" s="66">
        <f>AVERAGE($CB577,$CC577,$CD577,$CE577,$CF577,$CG577,$CH577,$CI577,$CJ577,$CL577,$CM577,$CN577,$CO577,$CP577,$CQ577,$CR577,$CS577,$CT577)</f>
        <v/>
      </c>
      <c r="DX577" s="66">
        <f>AVERAGE($CB577,$CC577,$CM577,$CE577,$CP577)</f>
        <v/>
      </c>
      <c r="DY577" s="64">
        <f>($DW577-$DW578)*100</f>
        <v/>
      </c>
      <c r="DZ577" s="64">
        <f>($DX577-$DX578)*100</f>
        <v/>
      </c>
      <c r="EA577" s="64">
        <f>($DW577-$D577)*100</f>
        <v/>
      </c>
      <c r="EB577" s="64">
        <f>$Q577-$O577</f>
        <v/>
      </c>
      <c r="EC577" s="67">
        <f>IFERROR($Q577/$P577,"")</f>
        <v/>
      </c>
    </row>
    <row r="578">
      <c r="DG578" s="64">
        <f>($B578-$B579)*100</f>
        <v/>
      </c>
      <c r="DH578" s="64">
        <f>($D578-$D579)*100</f>
        <v/>
      </c>
      <c r="DI578" s="64">
        <f>($E578-$E579)*100</f>
        <v/>
      </c>
      <c r="DJ578" s="64">
        <f>($H578-$H579)*100</f>
        <v/>
      </c>
      <c r="DK578" s="65">
        <f>IFERROR($J578/$J579-1,"")</f>
        <v/>
      </c>
      <c r="DL578" s="64">
        <f>$L578-$L579</f>
        <v/>
      </c>
      <c r="DM578" s="64">
        <f>$K578-$K579</f>
        <v/>
      </c>
      <c r="DN578" s="65">
        <f>IFERROR($N578/$N579-1,"")</f>
        <v/>
      </c>
      <c r="DO578" s="65">
        <f>IFERROR($M578/$M579-1,"")</f>
        <v/>
      </c>
      <c r="DP578" s="65">
        <f>IFERROR($AZ578/$AZ579-1,"")</f>
        <v/>
      </c>
      <c r="DQ578" s="65">
        <f>IFERROR($BA578/$BA579-1,"")</f>
        <v/>
      </c>
      <c r="DR578" s="64">
        <f>$O578-$O579</f>
        <v/>
      </c>
      <c r="DS578" s="64">
        <f>$P578-$P579</f>
        <v/>
      </c>
      <c r="DT578" s="64">
        <f>$Q578-$Q579</f>
        <v/>
      </c>
      <c r="DU578" s="64">
        <f>$S578-$S579</f>
        <v/>
      </c>
      <c r="DV578" s="65">
        <f>IFERROR(AVERAGE($AA579/$AA578-1,$AB579/$AB578-1,$AC579/$AC578-1,$AD579/$AD578-1,$AE579/$AE578-1,$AG579/$AG578-1,$AH579/$AH578-1,$AI579/$AI578-1,$AJ579/$AJ578-1,$AL579/$AL578-1,$AM579/$AM578-1,$AR579/$AR578-1,$AS579/$AS578-1,$AT579/$AT578-1,$AU579/$AU578-1,$AV579/$AV578-1,$AW579/$AW578-1,$AX579/$AX578-1,$AY579/$AY578-1),"")</f>
        <v/>
      </c>
      <c r="DW578" s="66">
        <f>AVERAGE($CB578,$CC578,$CD578,$CE578,$CF578,$CG578,$CH578,$CI578,$CJ578,$CL578,$CM578,$CN578,$CO578,$CP578,$CQ578,$CR578,$CS578,$CT578)</f>
        <v/>
      </c>
      <c r="DX578" s="66">
        <f>AVERAGE($CB578,$CC578,$CM578,$CE578,$CP578)</f>
        <v/>
      </c>
      <c r="DY578" s="64">
        <f>($DW578-$DW579)*100</f>
        <v/>
      </c>
      <c r="DZ578" s="64">
        <f>($DX578-$DX579)*100</f>
        <v/>
      </c>
      <c r="EA578" s="64">
        <f>($DW578-$D578)*100</f>
        <v/>
      </c>
      <c r="EB578" s="64">
        <f>$Q578-$O578</f>
        <v/>
      </c>
      <c r="EC578" s="67">
        <f>IFERROR($Q578/$P578,"")</f>
        <v/>
      </c>
    </row>
    <row r="579">
      <c r="DG579" s="64">
        <f>($B579-$B580)*100</f>
        <v/>
      </c>
      <c r="DH579" s="64">
        <f>($D579-$D580)*100</f>
        <v/>
      </c>
      <c r="DI579" s="64">
        <f>($E579-$E580)*100</f>
        <v/>
      </c>
      <c r="DJ579" s="64">
        <f>($H579-$H580)*100</f>
        <v/>
      </c>
      <c r="DK579" s="65">
        <f>IFERROR($J579/$J580-1,"")</f>
        <v/>
      </c>
      <c r="DL579" s="64">
        <f>$L579-$L580</f>
        <v/>
      </c>
      <c r="DM579" s="64">
        <f>$K579-$K580</f>
        <v/>
      </c>
      <c r="DN579" s="65">
        <f>IFERROR($N579/$N580-1,"")</f>
        <v/>
      </c>
      <c r="DO579" s="65">
        <f>IFERROR($M579/$M580-1,"")</f>
        <v/>
      </c>
      <c r="DP579" s="65">
        <f>IFERROR($AZ579/$AZ580-1,"")</f>
        <v/>
      </c>
      <c r="DQ579" s="65">
        <f>IFERROR($BA579/$BA580-1,"")</f>
        <v/>
      </c>
      <c r="DR579" s="64">
        <f>$O579-$O580</f>
        <v/>
      </c>
      <c r="DS579" s="64">
        <f>$P579-$P580</f>
        <v/>
      </c>
      <c r="DT579" s="64">
        <f>$Q579-$Q580</f>
        <v/>
      </c>
      <c r="DU579" s="64">
        <f>$S579-$S580</f>
        <v/>
      </c>
      <c r="DV579" s="65">
        <f>IFERROR(AVERAGE($AA580/$AA579-1,$AB580/$AB579-1,$AC580/$AC579-1,$AD580/$AD579-1,$AE580/$AE579-1,$AG580/$AG579-1,$AH580/$AH579-1,$AI580/$AI579-1,$AJ580/$AJ579-1,$AL580/$AL579-1,$AM580/$AM579-1,$AR580/$AR579-1,$AS580/$AS579-1,$AT580/$AT579-1,$AU580/$AU579-1,$AV580/$AV579-1,$AW580/$AW579-1,$AX580/$AX579-1,$AY580/$AY579-1),"")</f>
        <v/>
      </c>
      <c r="DW579" s="66">
        <f>AVERAGE($CB579,$CC579,$CD579,$CE579,$CF579,$CG579,$CH579,$CI579,$CJ579,$CL579,$CM579,$CN579,$CO579,$CP579,$CQ579,$CR579,$CS579,$CT579)</f>
        <v/>
      </c>
      <c r="DX579" s="66">
        <f>AVERAGE($CB579,$CC579,$CM579,$CE579,$CP579)</f>
        <v/>
      </c>
      <c r="DY579" s="64">
        <f>($DW579-$DW580)*100</f>
        <v/>
      </c>
      <c r="DZ579" s="64">
        <f>($DX579-$DX580)*100</f>
        <v/>
      </c>
      <c r="EA579" s="64">
        <f>($DW579-$D579)*100</f>
        <v/>
      </c>
      <c r="EB579" s="64">
        <f>$Q579-$O579</f>
        <v/>
      </c>
      <c r="EC579" s="67">
        <f>IFERROR($Q579/$P579,"")</f>
        <v/>
      </c>
    </row>
    <row r="580">
      <c r="DG580" s="64">
        <f>($B580-$B581)*100</f>
        <v/>
      </c>
      <c r="DH580" s="64">
        <f>($D580-$D581)*100</f>
        <v/>
      </c>
      <c r="DI580" s="64">
        <f>($E580-$E581)*100</f>
        <v/>
      </c>
      <c r="DJ580" s="64">
        <f>($H580-$H581)*100</f>
        <v/>
      </c>
      <c r="DK580" s="65">
        <f>IFERROR($J580/$J581-1,"")</f>
        <v/>
      </c>
      <c r="DL580" s="64">
        <f>$L580-$L581</f>
        <v/>
      </c>
      <c r="DM580" s="64">
        <f>$K580-$K581</f>
        <v/>
      </c>
      <c r="DN580" s="65">
        <f>IFERROR($N580/$N581-1,"")</f>
        <v/>
      </c>
      <c r="DO580" s="65">
        <f>IFERROR($M580/$M581-1,"")</f>
        <v/>
      </c>
      <c r="DP580" s="65">
        <f>IFERROR($AZ580/$AZ581-1,"")</f>
        <v/>
      </c>
      <c r="DQ580" s="65">
        <f>IFERROR($BA580/$BA581-1,"")</f>
        <v/>
      </c>
      <c r="DR580" s="64">
        <f>$O580-$O581</f>
        <v/>
      </c>
      <c r="DS580" s="64">
        <f>$P580-$P581</f>
        <v/>
      </c>
      <c r="DT580" s="64">
        <f>$Q580-$Q581</f>
        <v/>
      </c>
      <c r="DU580" s="64">
        <f>$S580-$S581</f>
        <v/>
      </c>
      <c r="DV580" s="65">
        <f>IFERROR(AVERAGE($AA581/$AA580-1,$AB581/$AB580-1,$AC581/$AC580-1,$AD581/$AD580-1,$AE581/$AE580-1,$AG581/$AG580-1,$AH581/$AH580-1,$AI581/$AI580-1,$AJ581/$AJ580-1,$AL581/$AL580-1,$AM581/$AM580-1,$AR581/$AR580-1,$AS581/$AS580-1,$AT581/$AT580-1,$AU581/$AU580-1,$AV581/$AV580-1,$AW581/$AW580-1,$AX581/$AX580-1,$AY581/$AY580-1),"")</f>
        <v/>
      </c>
      <c r="DW580" s="66">
        <f>AVERAGE($CB580,$CC580,$CD580,$CE580,$CF580,$CG580,$CH580,$CI580,$CJ580,$CL580,$CM580,$CN580,$CO580,$CP580,$CQ580,$CR580,$CS580,$CT580)</f>
        <v/>
      </c>
      <c r="DX580" s="66">
        <f>AVERAGE($CB580,$CC580,$CM580,$CE580,$CP580)</f>
        <v/>
      </c>
      <c r="DY580" s="64">
        <f>($DW580-$DW581)*100</f>
        <v/>
      </c>
      <c r="DZ580" s="64">
        <f>($DX580-$DX581)*100</f>
        <v/>
      </c>
      <c r="EA580" s="64">
        <f>($DW580-$D580)*100</f>
        <v/>
      </c>
      <c r="EB580" s="64">
        <f>$Q580-$O580</f>
        <v/>
      </c>
      <c r="EC580" s="67">
        <f>IFERROR($Q580/$P580,"")</f>
        <v/>
      </c>
    </row>
    <row r="581">
      <c r="DG581" s="64">
        <f>($B581-$B582)*100</f>
        <v/>
      </c>
      <c r="DH581" s="64">
        <f>($D581-$D582)*100</f>
        <v/>
      </c>
      <c r="DI581" s="64">
        <f>($E581-$E582)*100</f>
        <v/>
      </c>
      <c r="DJ581" s="64">
        <f>($H581-$H582)*100</f>
        <v/>
      </c>
      <c r="DK581" s="65">
        <f>IFERROR($J581/$J582-1,"")</f>
        <v/>
      </c>
      <c r="DL581" s="64">
        <f>$L581-$L582</f>
        <v/>
      </c>
      <c r="DM581" s="64">
        <f>$K581-$K582</f>
        <v/>
      </c>
      <c r="DN581" s="65">
        <f>IFERROR($N581/$N582-1,"")</f>
        <v/>
      </c>
      <c r="DO581" s="65">
        <f>IFERROR($M581/$M582-1,"")</f>
        <v/>
      </c>
      <c r="DP581" s="65">
        <f>IFERROR($AZ581/$AZ582-1,"")</f>
        <v/>
      </c>
      <c r="DQ581" s="65">
        <f>IFERROR($BA581/$BA582-1,"")</f>
        <v/>
      </c>
      <c r="DR581" s="64">
        <f>$O581-$O582</f>
        <v/>
      </c>
      <c r="DS581" s="64">
        <f>$P581-$P582</f>
        <v/>
      </c>
      <c r="DT581" s="64">
        <f>$Q581-$Q582</f>
        <v/>
      </c>
      <c r="DU581" s="64">
        <f>$S581-$S582</f>
        <v/>
      </c>
      <c r="DV581" s="65">
        <f>IFERROR(AVERAGE($AA582/$AA581-1,$AB582/$AB581-1,$AC582/$AC581-1,$AD582/$AD581-1,$AE582/$AE581-1,$AG582/$AG581-1,$AH582/$AH581-1,$AI582/$AI581-1,$AJ582/$AJ581-1,$AL582/$AL581-1,$AM582/$AM581-1,$AR582/$AR581-1,$AS582/$AS581-1,$AT582/$AT581-1,$AU582/$AU581-1,$AV582/$AV581-1,$AW582/$AW581-1,$AX582/$AX581-1,$AY582/$AY581-1),"")</f>
        <v/>
      </c>
      <c r="DW581" s="66">
        <f>AVERAGE($CB581,$CC581,$CD581,$CE581,$CF581,$CG581,$CH581,$CI581,$CJ581,$CL581,$CM581,$CN581,$CO581,$CP581,$CQ581,$CR581,$CS581,$CT581)</f>
        <v/>
      </c>
      <c r="DX581" s="66">
        <f>AVERAGE($CB581,$CC581,$CM581,$CE581,$CP581)</f>
        <v/>
      </c>
      <c r="DY581" s="64">
        <f>($DW581-$DW582)*100</f>
        <v/>
      </c>
      <c r="DZ581" s="64">
        <f>($DX581-$DX582)*100</f>
        <v/>
      </c>
      <c r="EA581" s="64">
        <f>($DW581-$D581)*100</f>
        <v/>
      </c>
      <c r="EB581" s="64">
        <f>$Q581-$O581</f>
        <v/>
      </c>
      <c r="EC581" s="67">
        <f>IFERROR($Q581/$P581,"")</f>
        <v/>
      </c>
    </row>
    <row r="582">
      <c r="DG582" s="64">
        <f>($B582-$B583)*100</f>
        <v/>
      </c>
      <c r="DH582" s="64">
        <f>($D582-$D583)*100</f>
        <v/>
      </c>
      <c r="DI582" s="64">
        <f>($E582-$E583)*100</f>
        <v/>
      </c>
      <c r="DJ582" s="64">
        <f>($H582-$H583)*100</f>
        <v/>
      </c>
      <c r="DK582" s="65">
        <f>IFERROR($J582/$J583-1,"")</f>
        <v/>
      </c>
      <c r="DL582" s="64">
        <f>$L582-$L583</f>
        <v/>
      </c>
      <c r="DM582" s="64">
        <f>$K582-$K583</f>
        <v/>
      </c>
      <c r="DN582" s="65">
        <f>IFERROR($N582/$N583-1,"")</f>
        <v/>
      </c>
      <c r="DO582" s="65">
        <f>IFERROR($M582/$M583-1,"")</f>
        <v/>
      </c>
      <c r="DP582" s="65">
        <f>IFERROR($AZ582/$AZ583-1,"")</f>
        <v/>
      </c>
      <c r="DQ582" s="65">
        <f>IFERROR($BA582/$BA583-1,"")</f>
        <v/>
      </c>
      <c r="DR582" s="64">
        <f>$O582-$O583</f>
        <v/>
      </c>
      <c r="DS582" s="64">
        <f>$P582-$P583</f>
        <v/>
      </c>
      <c r="DT582" s="64">
        <f>$Q582-$Q583</f>
        <v/>
      </c>
      <c r="DU582" s="64">
        <f>$S582-$S583</f>
        <v/>
      </c>
      <c r="DV582" s="65">
        <f>IFERROR(AVERAGE($AA583/$AA582-1,$AB583/$AB582-1,$AC583/$AC582-1,$AD583/$AD582-1,$AE583/$AE582-1,$AG583/$AG582-1,$AH583/$AH582-1,$AI583/$AI582-1,$AJ583/$AJ582-1,$AL583/$AL582-1,$AM583/$AM582-1,$AR583/$AR582-1,$AS583/$AS582-1,$AT583/$AT582-1,$AU583/$AU582-1,$AV583/$AV582-1,$AW583/$AW582-1,$AX583/$AX582-1,$AY583/$AY582-1),"")</f>
        <v/>
      </c>
      <c r="DW582" s="66">
        <f>AVERAGE($CB582,$CC582,$CD582,$CE582,$CF582,$CG582,$CH582,$CI582,$CJ582,$CL582,$CM582,$CN582,$CO582,$CP582,$CQ582,$CR582,$CS582,$CT582)</f>
        <v/>
      </c>
      <c r="DX582" s="66">
        <f>AVERAGE($CB582,$CC582,$CM582,$CE582,$CP582)</f>
        <v/>
      </c>
      <c r="DY582" s="64">
        <f>($DW582-$DW583)*100</f>
        <v/>
      </c>
      <c r="DZ582" s="64">
        <f>($DX582-$DX583)*100</f>
        <v/>
      </c>
      <c r="EA582" s="64">
        <f>($DW582-$D582)*100</f>
        <v/>
      </c>
      <c r="EB582" s="64">
        <f>$Q582-$O582</f>
        <v/>
      </c>
      <c r="EC582" s="67">
        <f>IFERROR($Q582/$P582,"")</f>
        <v/>
      </c>
    </row>
    <row r="583">
      <c r="DG583" s="64">
        <f>($B583-$B584)*100</f>
        <v/>
      </c>
      <c r="DH583" s="64">
        <f>($D583-$D584)*100</f>
        <v/>
      </c>
      <c r="DI583" s="64">
        <f>($E583-$E584)*100</f>
        <v/>
      </c>
      <c r="DJ583" s="64">
        <f>($H583-$H584)*100</f>
        <v/>
      </c>
      <c r="DK583" s="65">
        <f>IFERROR($J583/$J584-1,"")</f>
        <v/>
      </c>
      <c r="DL583" s="64">
        <f>$L583-$L584</f>
        <v/>
      </c>
      <c r="DM583" s="64">
        <f>$K583-$K584</f>
        <v/>
      </c>
      <c r="DN583" s="65">
        <f>IFERROR($N583/$N584-1,"")</f>
        <v/>
      </c>
      <c r="DO583" s="65">
        <f>IFERROR($M583/$M584-1,"")</f>
        <v/>
      </c>
      <c r="DP583" s="65">
        <f>IFERROR($AZ583/$AZ584-1,"")</f>
        <v/>
      </c>
      <c r="DQ583" s="65">
        <f>IFERROR($BA583/$BA584-1,"")</f>
        <v/>
      </c>
      <c r="DR583" s="64">
        <f>$O583-$O584</f>
        <v/>
      </c>
      <c r="DS583" s="64">
        <f>$P583-$P584</f>
        <v/>
      </c>
      <c r="DT583" s="64">
        <f>$Q583-$Q584</f>
        <v/>
      </c>
      <c r="DU583" s="64">
        <f>$S583-$S584</f>
        <v/>
      </c>
      <c r="DV583" s="65">
        <f>IFERROR(AVERAGE($AA584/$AA583-1,$AB584/$AB583-1,$AC584/$AC583-1,$AD584/$AD583-1,$AE584/$AE583-1,$AG584/$AG583-1,$AH584/$AH583-1,$AI584/$AI583-1,$AJ584/$AJ583-1,$AL584/$AL583-1,$AM584/$AM583-1,$AR584/$AR583-1,$AS584/$AS583-1,$AT584/$AT583-1,$AU584/$AU583-1,$AV584/$AV583-1,$AW584/$AW583-1,$AX584/$AX583-1,$AY584/$AY583-1),"")</f>
        <v/>
      </c>
      <c r="DW583" s="66">
        <f>AVERAGE($CB583,$CC583,$CD583,$CE583,$CF583,$CG583,$CH583,$CI583,$CJ583,$CL583,$CM583,$CN583,$CO583,$CP583,$CQ583,$CR583,$CS583,$CT583)</f>
        <v/>
      </c>
      <c r="DX583" s="66">
        <f>AVERAGE($CB583,$CC583,$CM583,$CE583,$CP583)</f>
        <v/>
      </c>
      <c r="DY583" s="64">
        <f>($DW583-$DW584)*100</f>
        <v/>
      </c>
      <c r="DZ583" s="64">
        <f>($DX583-$DX584)*100</f>
        <v/>
      </c>
      <c r="EA583" s="64">
        <f>($DW583-$D583)*100</f>
        <v/>
      </c>
      <c r="EB583" s="64">
        <f>$Q583-$O583</f>
        <v/>
      </c>
      <c r="EC583" s="67">
        <f>IFERROR($Q583/$P583,"")</f>
        <v/>
      </c>
    </row>
    <row r="584">
      <c r="DG584" s="64">
        <f>($B584-$B585)*100</f>
        <v/>
      </c>
      <c r="DH584" s="64">
        <f>($D584-$D585)*100</f>
        <v/>
      </c>
      <c r="DI584" s="64">
        <f>($E584-$E585)*100</f>
        <v/>
      </c>
      <c r="DJ584" s="64">
        <f>($H584-$H585)*100</f>
        <v/>
      </c>
      <c r="DK584" s="65">
        <f>IFERROR($J584/$J585-1,"")</f>
        <v/>
      </c>
      <c r="DL584" s="64">
        <f>$L584-$L585</f>
        <v/>
      </c>
      <c r="DM584" s="64">
        <f>$K584-$K585</f>
        <v/>
      </c>
      <c r="DN584" s="65">
        <f>IFERROR($N584/$N585-1,"")</f>
        <v/>
      </c>
      <c r="DO584" s="65">
        <f>IFERROR($M584/$M585-1,"")</f>
        <v/>
      </c>
      <c r="DP584" s="65">
        <f>IFERROR($AZ584/$AZ585-1,"")</f>
        <v/>
      </c>
      <c r="DQ584" s="65">
        <f>IFERROR($BA584/$BA585-1,"")</f>
        <v/>
      </c>
      <c r="DR584" s="64">
        <f>$O584-$O585</f>
        <v/>
      </c>
      <c r="DS584" s="64">
        <f>$P584-$P585</f>
        <v/>
      </c>
      <c r="DT584" s="64">
        <f>$Q584-$Q585</f>
        <v/>
      </c>
      <c r="DU584" s="64">
        <f>$S584-$S585</f>
        <v/>
      </c>
      <c r="DV584" s="65">
        <f>IFERROR(AVERAGE($AA585/$AA584-1,$AB585/$AB584-1,$AC585/$AC584-1,$AD585/$AD584-1,$AE585/$AE584-1,$AG585/$AG584-1,$AH585/$AH584-1,$AI585/$AI584-1,$AJ585/$AJ584-1,$AL585/$AL584-1,$AM585/$AM584-1,$AR585/$AR584-1,$AS585/$AS584-1,$AT585/$AT584-1,$AU585/$AU584-1,$AV585/$AV584-1,$AW585/$AW584-1,$AX585/$AX584-1,$AY585/$AY584-1),"")</f>
        <v/>
      </c>
      <c r="DW584" s="66">
        <f>AVERAGE($CB584,$CC584,$CD584,$CE584,$CF584,$CG584,$CH584,$CI584,$CJ584,$CL584,$CM584,$CN584,$CO584,$CP584,$CQ584,$CR584,$CS584,$CT584)</f>
        <v/>
      </c>
      <c r="DX584" s="66">
        <f>AVERAGE($CB584,$CC584,$CM584,$CE584,$CP584)</f>
        <v/>
      </c>
      <c r="DY584" s="64">
        <f>($DW584-$DW585)*100</f>
        <v/>
      </c>
      <c r="DZ584" s="64">
        <f>($DX584-$DX585)*100</f>
        <v/>
      </c>
      <c r="EA584" s="64">
        <f>($DW584-$D584)*100</f>
        <v/>
      </c>
      <c r="EB584" s="64">
        <f>$Q584-$O584</f>
        <v/>
      </c>
      <c r="EC584" s="67">
        <f>IFERROR($Q584/$P584,"")</f>
        <v/>
      </c>
    </row>
    <row r="585">
      <c r="DG585" s="64">
        <f>($B585-$B586)*100</f>
        <v/>
      </c>
      <c r="DH585" s="64">
        <f>($D585-$D586)*100</f>
        <v/>
      </c>
      <c r="DI585" s="64">
        <f>($E585-$E586)*100</f>
        <v/>
      </c>
      <c r="DJ585" s="64">
        <f>($H585-$H586)*100</f>
        <v/>
      </c>
      <c r="DK585" s="65">
        <f>IFERROR($J585/$J586-1,"")</f>
        <v/>
      </c>
      <c r="DL585" s="64">
        <f>$L585-$L586</f>
        <v/>
      </c>
      <c r="DM585" s="64">
        <f>$K585-$K586</f>
        <v/>
      </c>
      <c r="DN585" s="65">
        <f>IFERROR($N585/$N586-1,"")</f>
        <v/>
      </c>
      <c r="DO585" s="65">
        <f>IFERROR($M585/$M586-1,"")</f>
        <v/>
      </c>
      <c r="DP585" s="65">
        <f>IFERROR($AZ585/$AZ586-1,"")</f>
        <v/>
      </c>
      <c r="DQ585" s="65">
        <f>IFERROR($BA585/$BA586-1,"")</f>
        <v/>
      </c>
      <c r="DR585" s="64">
        <f>$O585-$O586</f>
        <v/>
      </c>
      <c r="DS585" s="64">
        <f>$P585-$P586</f>
        <v/>
      </c>
      <c r="DT585" s="64">
        <f>$Q585-$Q586</f>
        <v/>
      </c>
      <c r="DU585" s="64">
        <f>$S585-$S586</f>
        <v/>
      </c>
      <c r="DV585" s="65">
        <f>IFERROR(AVERAGE($AA586/$AA585-1,$AB586/$AB585-1,$AC586/$AC585-1,$AD586/$AD585-1,$AE586/$AE585-1,$AG586/$AG585-1,$AH586/$AH585-1,$AI586/$AI585-1,$AJ586/$AJ585-1,$AL586/$AL585-1,$AM586/$AM585-1,$AR586/$AR585-1,$AS586/$AS585-1,$AT586/$AT585-1,$AU586/$AU585-1,$AV586/$AV585-1,$AW586/$AW585-1,$AX586/$AX585-1,$AY586/$AY585-1),"")</f>
        <v/>
      </c>
      <c r="DW585" s="66">
        <f>AVERAGE($CB585,$CC585,$CD585,$CE585,$CF585,$CG585,$CH585,$CI585,$CJ585,$CL585,$CM585,$CN585,$CO585,$CP585,$CQ585,$CR585,$CS585,$CT585)</f>
        <v/>
      </c>
      <c r="DX585" s="66">
        <f>AVERAGE($CB585,$CC585,$CM585,$CE585,$CP585)</f>
        <v/>
      </c>
      <c r="DY585" s="64">
        <f>($DW585-$DW586)*100</f>
        <v/>
      </c>
      <c r="DZ585" s="64">
        <f>($DX585-$DX586)*100</f>
        <v/>
      </c>
      <c r="EA585" s="64">
        <f>($DW585-$D585)*100</f>
        <v/>
      </c>
      <c r="EB585" s="64">
        <f>$Q585-$O585</f>
        <v/>
      </c>
      <c r="EC585" s="67">
        <f>IFERROR($Q585/$P585,"")</f>
        <v/>
      </c>
    </row>
    <row r="586">
      <c r="DG586" s="64">
        <f>($B586-$B587)*100</f>
        <v/>
      </c>
      <c r="DH586" s="64">
        <f>($D586-$D587)*100</f>
        <v/>
      </c>
      <c r="DI586" s="64">
        <f>($E586-$E587)*100</f>
        <v/>
      </c>
      <c r="DJ586" s="64">
        <f>($H586-$H587)*100</f>
        <v/>
      </c>
      <c r="DK586" s="65">
        <f>IFERROR($J586/$J587-1,"")</f>
        <v/>
      </c>
      <c r="DL586" s="64">
        <f>$L586-$L587</f>
        <v/>
      </c>
      <c r="DM586" s="64">
        <f>$K586-$K587</f>
        <v/>
      </c>
      <c r="DN586" s="65">
        <f>IFERROR($N586/$N587-1,"")</f>
        <v/>
      </c>
      <c r="DO586" s="65">
        <f>IFERROR($M586/$M587-1,"")</f>
        <v/>
      </c>
      <c r="DP586" s="65">
        <f>IFERROR($AZ586/$AZ587-1,"")</f>
        <v/>
      </c>
      <c r="DQ586" s="65">
        <f>IFERROR($BA586/$BA587-1,"")</f>
        <v/>
      </c>
      <c r="DR586" s="64">
        <f>$O586-$O587</f>
        <v/>
      </c>
      <c r="DS586" s="64">
        <f>$P586-$P587</f>
        <v/>
      </c>
      <c r="DT586" s="64">
        <f>$Q586-$Q587</f>
        <v/>
      </c>
      <c r="DU586" s="64">
        <f>$S586-$S587</f>
        <v/>
      </c>
      <c r="DV586" s="65">
        <f>IFERROR(AVERAGE($AA587/$AA586-1,$AB587/$AB586-1,$AC587/$AC586-1,$AD587/$AD586-1,$AE587/$AE586-1,$AG587/$AG586-1,$AH587/$AH586-1,$AI587/$AI586-1,$AJ587/$AJ586-1,$AL587/$AL586-1,$AM587/$AM586-1,$AR587/$AR586-1,$AS587/$AS586-1,$AT587/$AT586-1,$AU587/$AU586-1,$AV587/$AV586-1,$AW587/$AW586-1,$AX587/$AX586-1,$AY587/$AY586-1),"")</f>
        <v/>
      </c>
      <c r="DW586" s="66">
        <f>AVERAGE($CB586,$CC586,$CD586,$CE586,$CF586,$CG586,$CH586,$CI586,$CJ586,$CL586,$CM586,$CN586,$CO586,$CP586,$CQ586,$CR586,$CS586,$CT586)</f>
        <v/>
      </c>
      <c r="DX586" s="66">
        <f>AVERAGE($CB586,$CC586,$CM586,$CE586,$CP586)</f>
        <v/>
      </c>
      <c r="DY586" s="64">
        <f>($DW586-$DW587)*100</f>
        <v/>
      </c>
      <c r="DZ586" s="64">
        <f>($DX586-$DX587)*100</f>
        <v/>
      </c>
      <c r="EA586" s="64">
        <f>($DW586-$D586)*100</f>
        <v/>
      </c>
      <c r="EB586" s="64">
        <f>$Q586-$O586</f>
        <v/>
      </c>
      <c r="EC586" s="67">
        <f>IFERROR($Q586/$P586,"")</f>
        <v/>
      </c>
    </row>
    <row r="587">
      <c r="DG587" s="64">
        <f>($B587-$B588)*100</f>
        <v/>
      </c>
      <c r="DH587" s="64">
        <f>($D587-$D588)*100</f>
        <v/>
      </c>
      <c r="DI587" s="64">
        <f>($E587-$E588)*100</f>
        <v/>
      </c>
      <c r="DJ587" s="64">
        <f>($H587-$H588)*100</f>
        <v/>
      </c>
      <c r="DK587" s="65">
        <f>IFERROR($J587/$J588-1,"")</f>
        <v/>
      </c>
      <c r="DL587" s="64">
        <f>$L587-$L588</f>
        <v/>
      </c>
      <c r="DM587" s="64">
        <f>$K587-$K588</f>
        <v/>
      </c>
      <c r="DN587" s="65">
        <f>IFERROR($N587/$N588-1,"")</f>
        <v/>
      </c>
      <c r="DO587" s="65">
        <f>IFERROR($M587/$M588-1,"")</f>
        <v/>
      </c>
      <c r="DP587" s="65">
        <f>IFERROR($AZ587/$AZ588-1,"")</f>
        <v/>
      </c>
      <c r="DQ587" s="65">
        <f>IFERROR($BA587/$BA588-1,"")</f>
        <v/>
      </c>
      <c r="DR587" s="64">
        <f>$O587-$O588</f>
        <v/>
      </c>
      <c r="DS587" s="64">
        <f>$P587-$P588</f>
        <v/>
      </c>
      <c r="DT587" s="64">
        <f>$Q587-$Q588</f>
        <v/>
      </c>
      <c r="DU587" s="64">
        <f>$S587-$S588</f>
        <v/>
      </c>
      <c r="DV587" s="65">
        <f>IFERROR(AVERAGE($AA588/$AA587-1,$AB588/$AB587-1,$AC588/$AC587-1,$AD588/$AD587-1,$AE588/$AE587-1,$AG588/$AG587-1,$AH588/$AH587-1,$AI588/$AI587-1,$AJ588/$AJ587-1,$AL588/$AL587-1,$AM588/$AM587-1,$AR588/$AR587-1,$AS588/$AS587-1,$AT588/$AT587-1,$AU588/$AU587-1,$AV588/$AV587-1,$AW588/$AW587-1,$AX588/$AX587-1,$AY588/$AY587-1),"")</f>
        <v/>
      </c>
      <c r="DW587" s="66">
        <f>AVERAGE($CB587,$CC587,$CD587,$CE587,$CF587,$CG587,$CH587,$CI587,$CJ587,$CL587,$CM587,$CN587,$CO587,$CP587,$CQ587,$CR587,$CS587,$CT587)</f>
        <v/>
      </c>
      <c r="DX587" s="66">
        <f>AVERAGE($CB587,$CC587,$CM587,$CE587,$CP587)</f>
        <v/>
      </c>
      <c r="DY587" s="64">
        <f>($DW587-$DW588)*100</f>
        <v/>
      </c>
      <c r="DZ587" s="64">
        <f>($DX587-$DX588)*100</f>
        <v/>
      </c>
      <c r="EA587" s="64">
        <f>($DW587-$D587)*100</f>
        <v/>
      </c>
      <c r="EB587" s="64">
        <f>$Q587-$O587</f>
        <v/>
      </c>
      <c r="EC587" s="67">
        <f>IFERROR($Q587/$P587,"")</f>
        <v/>
      </c>
    </row>
    <row r="588">
      <c r="DG588" s="64">
        <f>($B588-$B589)*100</f>
        <v/>
      </c>
      <c r="DH588" s="64">
        <f>($D588-$D589)*100</f>
        <v/>
      </c>
      <c r="DI588" s="64">
        <f>($E588-$E589)*100</f>
        <v/>
      </c>
      <c r="DJ588" s="64">
        <f>($H588-$H589)*100</f>
        <v/>
      </c>
      <c r="DK588" s="65">
        <f>IFERROR($J588/$J589-1,"")</f>
        <v/>
      </c>
      <c r="DL588" s="64">
        <f>$L588-$L589</f>
        <v/>
      </c>
      <c r="DM588" s="64">
        <f>$K588-$K589</f>
        <v/>
      </c>
      <c r="DN588" s="65">
        <f>IFERROR($N588/$N589-1,"")</f>
        <v/>
      </c>
      <c r="DO588" s="65">
        <f>IFERROR($M588/$M589-1,"")</f>
        <v/>
      </c>
      <c r="DP588" s="65">
        <f>IFERROR($AZ588/$AZ589-1,"")</f>
        <v/>
      </c>
      <c r="DQ588" s="65">
        <f>IFERROR($BA588/$BA589-1,"")</f>
        <v/>
      </c>
      <c r="DR588" s="64">
        <f>$O588-$O589</f>
        <v/>
      </c>
      <c r="DS588" s="64">
        <f>$P588-$P589</f>
        <v/>
      </c>
      <c r="DT588" s="64">
        <f>$Q588-$Q589</f>
        <v/>
      </c>
      <c r="DU588" s="64">
        <f>$S588-$S589</f>
        <v/>
      </c>
      <c r="DV588" s="65">
        <f>IFERROR(AVERAGE($AA589/$AA588-1,$AB589/$AB588-1,$AC589/$AC588-1,$AD589/$AD588-1,$AE589/$AE588-1,$AG589/$AG588-1,$AH589/$AH588-1,$AI589/$AI588-1,$AJ589/$AJ588-1,$AL589/$AL588-1,$AM589/$AM588-1,$AR589/$AR588-1,$AS589/$AS588-1,$AT589/$AT588-1,$AU589/$AU588-1,$AV589/$AV588-1,$AW589/$AW588-1,$AX589/$AX588-1,$AY589/$AY588-1),"")</f>
        <v/>
      </c>
      <c r="DW588" s="66">
        <f>AVERAGE($CB588,$CC588,$CD588,$CE588,$CF588,$CG588,$CH588,$CI588,$CJ588,$CL588,$CM588,$CN588,$CO588,$CP588,$CQ588,$CR588,$CS588,$CT588)</f>
        <v/>
      </c>
      <c r="DX588" s="66">
        <f>AVERAGE($CB588,$CC588,$CM588,$CE588,$CP588)</f>
        <v/>
      </c>
      <c r="DY588" s="64">
        <f>($DW588-$DW589)*100</f>
        <v/>
      </c>
      <c r="DZ588" s="64">
        <f>($DX588-$DX589)*100</f>
        <v/>
      </c>
      <c r="EA588" s="64">
        <f>($DW588-$D588)*100</f>
        <v/>
      </c>
      <c r="EB588" s="64">
        <f>$Q588-$O588</f>
        <v/>
      </c>
      <c r="EC588" s="67">
        <f>IFERROR($Q588/$P588,"")</f>
        <v/>
      </c>
    </row>
    <row r="589">
      <c r="DG589" s="64">
        <f>($B589-$B590)*100</f>
        <v/>
      </c>
      <c r="DH589" s="64">
        <f>($D589-$D590)*100</f>
        <v/>
      </c>
      <c r="DI589" s="64">
        <f>($E589-$E590)*100</f>
        <v/>
      </c>
      <c r="DJ589" s="64">
        <f>($H589-$H590)*100</f>
        <v/>
      </c>
      <c r="DK589" s="65">
        <f>IFERROR($J589/$J590-1,"")</f>
        <v/>
      </c>
      <c r="DL589" s="64">
        <f>$L589-$L590</f>
        <v/>
      </c>
      <c r="DM589" s="64">
        <f>$K589-$K590</f>
        <v/>
      </c>
      <c r="DN589" s="65">
        <f>IFERROR($N589/$N590-1,"")</f>
        <v/>
      </c>
      <c r="DO589" s="65">
        <f>IFERROR($M589/$M590-1,"")</f>
        <v/>
      </c>
      <c r="DP589" s="65">
        <f>IFERROR($AZ589/$AZ590-1,"")</f>
        <v/>
      </c>
      <c r="DQ589" s="65">
        <f>IFERROR($BA589/$BA590-1,"")</f>
        <v/>
      </c>
      <c r="DR589" s="64">
        <f>$O589-$O590</f>
        <v/>
      </c>
      <c r="DS589" s="64">
        <f>$P589-$P590</f>
        <v/>
      </c>
      <c r="DT589" s="64">
        <f>$Q589-$Q590</f>
        <v/>
      </c>
      <c r="DU589" s="64">
        <f>$S589-$S590</f>
        <v/>
      </c>
      <c r="DV589" s="65">
        <f>IFERROR(AVERAGE($AA590/$AA589-1,$AB590/$AB589-1,$AC590/$AC589-1,$AD590/$AD589-1,$AE590/$AE589-1,$AG590/$AG589-1,$AH590/$AH589-1,$AI590/$AI589-1,$AJ590/$AJ589-1,$AL590/$AL589-1,$AM590/$AM589-1,$AR590/$AR589-1,$AS590/$AS589-1,$AT590/$AT589-1,$AU590/$AU589-1,$AV590/$AV589-1,$AW590/$AW589-1,$AX590/$AX589-1,$AY590/$AY589-1),"")</f>
        <v/>
      </c>
      <c r="DW589" s="66">
        <f>AVERAGE($CB589,$CC589,$CD589,$CE589,$CF589,$CG589,$CH589,$CI589,$CJ589,$CL589,$CM589,$CN589,$CO589,$CP589,$CQ589,$CR589,$CS589,$CT589)</f>
        <v/>
      </c>
      <c r="DX589" s="66">
        <f>AVERAGE($CB589,$CC589,$CM589,$CE589,$CP589)</f>
        <v/>
      </c>
      <c r="DY589" s="64">
        <f>($DW589-$DW590)*100</f>
        <v/>
      </c>
      <c r="DZ589" s="64">
        <f>($DX589-$DX590)*100</f>
        <v/>
      </c>
      <c r="EA589" s="64">
        <f>($DW589-$D589)*100</f>
        <v/>
      </c>
      <c r="EB589" s="64">
        <f>$Q589-$O589</f>
        <v/>
      </c>
      <c r="EC589" s="67">
        <f>IFERROR($Q589/$P589,"")</f>
        <v/>
      </c>
    </row>
    <row r="590">
      <c r="DG590" s="64">
        <f>($B590-$B591)*100</f>
        <v/>
      </c>
      <c r="DH590" s="64">
        <f>($D590-$D591)*100</f>
        <v/>
      </c>
      <c r="DI590" s="64">
        <f>($E590-$E591)*100</f>
        <v/>
      </c>
      <c r="DJ590" s="64">
        <f>($H590-$H591)*100</f>
        <v/>
      </c>
      <c r="DK590" s="65">
        <f>IFERROR($J590/$J591-1,"")</f>
        <v/>
      </c>
      <c r="DL590" s="64">
        <f>$L590-$L591</f>
        <v/>
      </c>
      <c r="DM590" s="64">
        <f>$K590-$K591</f>
        <v/>
      </c>
      <c r="DN590" s="65">
        <f>IFERROR($N590/$N591-1,"")</f>
        <v/>
      </c>
      <c r="DO590" s="65">
        <f>IFERROR($M590/$M591-1,"")</f>
        <v/>
      </c>
      <c r="DP590" s="65">
        <f>IFERROR($AZ590/$AZ591-1,"")</f>
        <v/>
      </c>
      <c r="DQ590" s="65">
        <f>IFERROR($BA590/$BA591-1,"")</f>
        <v/>
      </c>
      <c r="DR590" s="64">
        <f>$O590-$O591</f>
        <v/>
      </c>
      <c r="DS590" s="64">
        <f>$P590-$P591</f>
        <v/>
      </c>
      <c r="DT590" s="64">
        <f>$Q590-$Q591</f>
        <v/>
      </c>
      <c r="DU590" s="64">
        <f>$S590-$S591</f>
        <v/>
      </c>
      <c r="DV590" s="65">
        <f>IFERROR(AVERAGE($AA591/$AA590-1,$AB591/$AB590-1,$AC591/$AC590-1,$AD591/$AD590-1,$AE591/$AE590-1,$AG591/$AG590-1,$AH591/$AH590-1,$AI591/$AI590-1,$AJ591/$AJ590-1,$AL591/$AL590-1,$AM591/$AM590-1,$AR591/$AR590-1,$AS591/$AS590-1,$AT591/$AT590-1,$AU591/$AU590-1,$AV591/$AV590-1,$AW591/$AW590-1,$AX591/$AX590-1,$AY591/$AY590-1),"")</f>
        <v/>
      </c>
      <c r="DW590" s="66">
        <f>AVERAGE($CB590,$CC590,$CD590,$CE590,$CF590,$CG590,$CH590,$CI590,$CJ590,$CL590,$CM590,$CN590,$CO590,$CP590,$CQ590,$CR590,$CS590,$CT590)</f>
        <v/>
      </c>
      <c r="DX590" s="66">
        <f>AVERAGE($CB590,$CC590,$CM590,$CE590,$CP590)</f>
        <v/>
      </c>
      <c r="DY590" s="64">
        <f>($DW590-$DW591)*100</f>
        <v/>
      </c>
      <c r="DZ590" s="64">
        <f>($DX590-$DX591)*100</f>
        <v/>
      </c>
      <c r="EA590" s="64">
        <f>($DW590-$D590)*100</f>
        <v/>
      </c>
      <c r="EB590" s="64">
        <f>$Q590-$O590</f>
        <v/>
      </c>
      <c r="EC590" s="67">
        <f>IFERROR($Q590/$P590,"")</f>
        <v/>
      </c>
    </row>
    <row r="591">
      <c r="DG591" s="64">
        <f>($B591-$B592)*100</f>
        <v/>
      </c>
      <c r="DH591" s="64">
        <f>($D591-$D592)*100</f>
        <v/>
      </c>
      <c r="DI591" s="64">
        <f>($E591-$E592)*100</f>
        <v/>
      </c>
      <c r="DJ591" s="64">
        <f>($H591-$H592)*100</f>
        <v/>
      </c>
      <c r="DK591" s="65">
        <f>IFERROR($J591/$J592-1,"")</f>
        <v/>
      </c>
      <c r="DL591" s="64">
        <f>$L591-$L592</f>
        <v/>
      </c>
      <c r="DM591" s="64">
        <f>$K591-$K592</f>
        <v/>
      </c>
      <c r="DN591" s="65">
        <f>IFERROR($N591/$N592-1,"")</f>
        <v/>
      </c>
      <c r="DO591" s="65">
        <f>IFERROR($M591/$M592-1,"")</f>
        <v/>
      </c>
      <c r="DP591" s="65">
        <f>IFERROR($AZ591/$AZ592-1,"")</f>
        <v/>
      </c>
      <c r="DQ591" s="65">
        <f>IFERROR($BA591/$BA592-1,"")</f>
        <v/>
      </c>
      <c r="DR591" s="64">
        <f>$O591-$O592</f>
        <v/>
      </c>
      <c r="DS591" s="64">
        <f>$P591-$P592</f>
        <v/>
      </c>
      <c r="DT591" s="64">
        <f>$Q591-$Q592</f>
        <v/>
      </c>
      <c r="DU591" s="64">
        <f>$S591-$S592</f>
        <v/>
      </c>
      <c r="DV591" s="65">
        <f>IFERROR(AVERAGE($AA592/$AA591-1,$AB592/$AB591-1,$AC592/$AC591-1,$AD592/$AD591-1,$AE592/$AE591-1,$AG592/$AG591-1,$AH592/$AH591-1,$AI592/$AI591-1,$AJ592/$AJ591-1,$AL592/$AL591-1,$AM592/$AM591-1,$AR592/$AR591-1,$AS592/$AS591-1,$AT592/$AT591-1,$AU592/$AU591-1,$AV592/$AV591-1,$AW592/$AW591-1,$AX592/$AX591-1,$AY592/$AY591-1),"")</f>
        <v/>
      </c>
      <c r="DW591" s="66">
        <f>AVERAGE($CB591,$CC591,$CD591,$CE591,$CF591,$CG591,$CH591,$CI591,$CJ591,$CL591,$CM591,$CN591,$CO591,$CP591,$CQ591,$CR591,$CS591,$CT591)</f>
        <v/>
      </c>
      <c r="DX591" s="66">
        <f>AVERAGE($CB591,$CC591,$CM591,$CE591,$CP591)</f>
        <v/>
      </c>
      <c r="DY591" s="64">
        <f>($DW591-$DW592)*100</f>
        <v/>
      </c>
      <c r="DZ591" s="64">
        <f>($DX591-$DX592)*100</f>
        <v/>
      </c>
      <c r="EA591" s="64">
        <f>($DW591-$D591)*100</f>
        <v/>
      </c>
      <c r="EB591" s="64">
        <f>$Q591-$O591</f>
        <v/>
      </c>
      <c r="EC591" s="67">
        <f>IFERROR($Q591/$P591,"")</f>
        <v/>
      </c>
    </row>
    <row r="592">
      <c r="DG592" s="64">
        <f>($B592-$B593)*100</f>
        <v/>
      </c>
      <c r="DH592" s="64">
        <f>($D592-$D593)*100</f>
        <v/>
      </c>
      <c r="DI592" s="64">
        <f>($E592-$E593)*100</f>
        <v/>
      </c>
      <c r="DJ592" s="64">
        <f>($H592-$H593)*100</f>
        <v/>
      </c>
      <c r="DK592" s="65">
        <f>IFERROR($J592/$J593-1,"")</f>
        <v/>
      </c>
      <c r="DL592" s="64">
        <f>$L592-$L593</f>
        <v/>
      </c>
      <c r="DM592" s="64">
        <f>$K592-$K593</f>
        <v/>
      </c>
      <c r="DN592" s="65">
        <f>IFERROR($N592/$N593-1,"")</f>
        <v/>
      </c>
      <c r="DO592" s="65">
        <f>IFERROR($M592/$M593-1,"")</f>
        <v/>
      </c>
      <c r="DP592" s="65">
        <f>IFERROR($AZ592/$AZ593-1,"")</f>
        <v/>
      </c>
      <c r="DQ592" s="65">
        <f>IFERROR($BA592/$BA593-1,"")</f>
        <v/>
      </c>
      <c r="DR592" s="64">
        <f>$O592-$O593</f>
        <v/>
      </c>
      <c r="DS592" s="64">
        <f>$P592-$P593</f>
        <v/>
      </c>
      <c r="DT592" s="64">
        <f>$Q592-$Q593</f>
        <v/>
      </c>
      <c r="DU592" s="64">
        <f>$S592-$S593</f>
        <v/>
      </c>
      <c r="DV592" s="65">
        <f>IFERROR(AVERAGE($AA593/$AA592-1,$AB593/$AB592-1,$AC593/$AC592-1,$AD593/$AD592-1,$AE593/$AE592-1,$AG593/$AG592-1,$AH593/$AH592-1,$AI593/$AI592-1,$AJ593/$AJ592-1,$AL593/$AL592-1,$AM593/$AM592-1,$AR593/$AR592-1,$AS593/$AS592-1,$AT593/$AT592-1,$AU593/$AU592-1,$AV593/$AV592-1,$AW593/$AW592-1,$AX593/$AX592-1,$AY593/$AY592-1),"")</f>
        <v/>
      </c>
      <c r="DW592" s="66">
        <f>AVERAGE($CB592,$CC592,$CD592,$CE592,$CF592,$CG592,$CH592,$CI592,$CJ592,$CL592,$CM592,$CN592,$CO592,$CP592,$CQ592,$CR592,$CS592,$CT592)</f>
        <v/>
      </c>
      <c r="DX592" s="66">
        <f>AVERAGE($CB592,$CC592,$CM592,$CE592,$CP592)</f>
        <v/>
      </c>
      <c r="DY592" s="64">
        <f>($DW592-$DW593)*100</f>
        <v/>
      </c>
      <c r="DZ592" s="64">
        <f>($DX592-$DX593)*100</f>
        <v/>
      </c>
      <c r="EA592" s="64">
        <f>($DW592-$D592)*100</f>
        <v/>
      </c>
      <c r="EB592" s="64">
        <f>$Q592-$O592</f>
        <v/>
      </c>
      <c r="EC592" s="67">
        <f>IFERROR($Q592/$P592,"")</f>
        <v/>
      </c>
    </row>
    <row r="593">
      <c r="DG593" s="64">
        <f>($B593-$B594)*100</f>
        <v/>
      </c>
      <c r="DH593" s="64">
        <f>($D593-$D594)*100</f>
        <v/>
      </c>
      <c r="DI593" s="64">
        <f>($E593-$E594)*100</f>
        <v/>
      </c>
      <c r="DJ593" s="64">
        <f>($H593-$H594)*100</f>
        <v/>
      </c>
      <c r="DK593" s="65">
        <f>IFERROR($J593/$J594-1,"")</f>
        <v/>
      </c>
      <c r="DL593" s="64">
        <f>$L593-$L594</f>
        <v/>
      </c>
      <c r="DM593" s="64">
        <f>$K593-$K594</f>
        <v/>
      </c>
      <c r="DN593" s="65">
        <f>IFERROR($N593/$N594-1,"")</f>
        <v/>
      </c>
      <c r="DO593" s="65">
        <f>IFERROR($M593/$M594-1,"")</f>
        <v/>
      </c>
      <c r="DP593" s="65">
        <f>IFERROR($AZ593/$AZ594-1,"")</f>
        <v/>
      </c>
      <c r="DQ593" s="65">
        <f>IFERROR($BA593/$BA594-1,"")</f>
        <v/>
      </c>
      <c r="DR593" s="64">
        <f>$O593-$O594</f>
        <v/>
      </c>
      <c r="DS593" s="64">
        <f>$P593-$P594</f>
        <v/>
      </c>
      <c r="DT593" s="64">
        <f>$Q593-$Q594</f>
        <v/>
      </c>
      <c r="DU593" s="64">
        <f>$S593-$S594</f>
        <v/>
      </c>
      <c r="DV593" s="65">
        <f>IFERROR(AVERAGE($AA594/$AA593-1,$AB594/$AB593-1,$AC594/$AC593-1,$AD594/$AD593-1,$AE594/$AE593-1,$AG594/$AG593-1,$AH594/$AH593-1,$AI594/$AI593-1,$AJ594/$AJ593-1,$AL594/$AL593-1,$AM594/$AM593-1,$AR594/$AR593-1,$AS594/$AS593-1,$AT594/$AT593-1,$AU594/$AU593-1,$AV594/$AV593-1,$AW594/$AW593-1,$AX594/$AX593-1,$AY594/$AY593-1),"")</f>
        <v/>
      </c>
      <c r="DW593" s="66">
        <f>AVERAGE($CB593,$CC593,$CD593,$CE593,$CF593,$CG593,$CH593,$CI593,$CJ593,$CL593,$CM593,$CN593,$CO593,$CP593,$CQ593,$CR593,$CS593,$CT593)</f>
        <v/>
      </c>
      <c r="DX593" s="66">
        <f>AVERAGE($CB593,$CC593,$CM593,$CE593,$CP593)</f>
        <v/>
      </c>
      <c r="DY593" s="64">
        <f>($DW593-$DW594)*100</f>
        <v/>
      </c>
      <c r="DZ593" s="64">
        <f>($DX593-$DX594)*100</f>
        <v/>
      </c>
      <c r="EA593" s="64">
        <f>($DW593-$D593)*100</f>
        <v/>
      </c>
      <c r="EB593" s="64">
        <f>$Q593-$O593</f>
        <v/>
      </c>
      <c r="EC593" s="67">
        <f>IFERROR($Q593/$P593,"")</f>
        <v/>
      </c>
    </row>
    <row r="594">
      <c r="DG594" s="64">
        <f>($B594-$B595)*100</f>
        <v/>
      </c>
      <c r="DH594" s="64">
        <f>($D594-$D595)*100</f>
        <v/>
      </c>
      <c r="DI594" s="64">
        <f>($E594-$E595)*100</f>
        <v/>
      </c>
      <c r="DJ594" s="64">
        <f>($H594-$H595)*100</f>
        <v/>
      </c>
      <c r="DK594" s="65">
        <f>IFERROR($J594/$J595-1,"")</f>
        <v/>
      </c>
      <c r="DL594" s="64">
        <f>$L594-$L595</f>
        <v/>
      </c>
      <c r="DM594" s="64">
        <f>$K594-$K595</f>
        <v/>
      </c>
      <c r="DN594" s="65">
        <f>IFERROR($N594/$N595-1,"")</f>
        <v/>
      </c>
      <c r="DO594" s="65">
        <f>IFERROR($M594/$M595-1,"")</f>
        <v/>
      </c>
      <c r="DP594" s="65">
        <f>IFERROR($AZ594/$AZ595-1,"")</f>
        <v/>
      </c>
      <c r="DQ594" s="65">
        <f>IFERROR($BA594/$BA595-1,"")</f>
        <v/>
      </c>
      <c r="DR594" s="64">
        <f>$O594-$O595</f>
        <v/>
      </c>
      <c r="DS594" s="64">
        <f>$P594-$P595</f>
        <v/>
      </c>
      <c r="DT594" s="64">
        <f>$Q594-$Q595</f>
        <v/>
      </c>
      <c r="DU594" s="64">
        <f>$S594-$S595</f>
        <v/>
      </c>
      <c r="DV594" s="65">
        <f>IFERROR(AVERAGE($AA595/$AA594-1,$AB595/$AB594-1,$AC595/$AC594-1,$AD595/$AD594-1,$AE595/$AE594-1,$AG595/$AG594-1,$AH595/$AH594-1,$AI595/$AI594-1,$AJ595/$AJ594-1,$AL595/$AL594-1,$AM595/$AM594-1,$AR595/$AR594-1,$AS595/$AS594-1,$AT595/$AT594-1,$AU595/$AU594-1,$AV595/$AV594-1,$AW595/$AW594-1,$AX595/$AX594-1,$AY595/$AY594-1),"")</f>
        <v/>
      </c>
      <c r="DW594" s="66">
        <f>AVERAGE($CB594,$CC594,$CD594,$CE594,$CF594,$CG594,$CH594,$CI594,$CJ594,$CL594,$CM594,$CN594,$CO594,$CP594,$CQ594,$CR594,$CS594,$CT594)</f>
        <v/>
      </c>
      <c r="DX594" s="66">
        <f>AVERAGE($CB594,$CC594,$CM594,$CE594,$CP594)</f>
        <v/>
      </c>
      <c r="DY594" s="64">
        <f>($DW594-$DW595)*100</f>
        <v/>
      </c>
      <c r="DZ594" s="64">
        <f>($DX594-$DX595)*100</f>
        <v/>
      </c>
      <c r="EA594" s="64">
        <f>($DW594-$D594)*100</f>
        <v/>
      </c>
      <c r="EB594" s="64">
        <f>$Q594-$O594</f>
        <v/>
      </c>
      <c r="EC594" s="67">
        <f>IFERROR($Q594/$P594,"")</f>
        <v/>
      </c>
    </row>
    <row r="595">
      <c r="DG595" s="64">
        <f>($B595-$B596)*100</f>
        <v/>
      </c>
      <c r="DH595" s="64">
        <f>($D595-$D596)*100</f>
        <v/>
      </c>
      <c r="DI595" s="64">
        <f>($E595-$E596)*100</f>
        <v/>
      </c>
      <c r="DJ595" s="64">
        <f>($H595-$H596)*100</f>
        <v/>
      </c>
      <c r="DK595" s="65">
        <f>IFERROR($J595/$J596-1,"")</f>
        <v/>
      </c>
      <c r="DL595" s="64">
        <f>$L595-$L596</f>
        <v/>
      </c>
      <c r="DM595" s="64">
        <f>$K595-$K596</f>
        <v/>
      </c>
      <c r="DN595" s="65">
        <f>IFERROR($N595/$N596-1,"")</f>
        <v/>
      </c>
      <c r="DO595" s="65">
        <f>IFERROR($M595/$M596-1,"")</f>
        <v/>
      </c>
      <c r="DP595" s="65">
        <f>IFERROR($AZ595/$AZ596-1,"")</f>
        <v/>
      </c>
      <c r="DQ595" s="65">
        <f>IFERROR($BA595/$BA596-1,"")</f>
        <v/>
      </c>
      <c r="DR595" s="64">
        <f>$O595-$O596</f>
        <v/>
      </c>
      <c r="DS595" s="64">
        <f>$P595-$P596</f>
        <v/>
      </c>
      <c r="DT595" s="64">
        <f>$Q595-$Q596</f>
        <v/>
      </c>
      <c r="DU595" s="64">
        <f>$S595-$S596</f>
        <v/>
      </c>
      <c r="DV595" s="65">
        <f>IFERROR(AVERAGE($AA596/$AA595-1,$AB596/$AB595-1,$AC596/$AC595-1,$AD596/$AD595-1,$AE596/$AE595-1,$AG596/$AG595-1,$AH596/$AH595-1,$AI596/$AI595-1,$AJ596/$AJ595-1,$AL596/$AL595-1,$AM596/$AM595-1,$AR596/$AR595-1,$AS596/$AS595-1,$AT596/$AT595-1,$AU596/$AU595-1,$AV596/$AV595-1,$AW596/$AW595-1,$AX596/$AX595-1,$AY596/$AY595-1),"")</f>
        <v/>
      </c>
      <c r="DW595" s="66">
        <f>AVERAGE($CB595,$CC595,$CD595,$CE595,$CF595,$CG595,$CH595,$CI595,$CJ595,$CL595,$CM595,$CN595,$CO595,$CP595,$CQ595,$CR595,$CS595,$CT595)</f>
        <v/>
      </c>
      <c r="DX595" s="66">
        <f>AVERAGE($CB595,$CC595,$CM595,$CE595,$CP595)</f>
        <v/>
      </c>
      <c r="DY595" s="64">
        <f>($DW595-$DW596)*100</f>
        <v/>
      </c>
      <c r="DZ595" s="64">
        <f>($DX595-$DX596)*100</f>
        <v/>
      </c>
      <c r="EA595" s="64">
        <f>($DW595-$D595)*100</f>
        <v/>
      </c>
      <c r="EB595" s="64">
        <f>$Q595-$O595</f>
        <v/>
      </c>
      <c r="EC595" s="67">
        <f>IFERROR($Q595/$P595,"")</f>
        <v/>
      </c>
    </row>
    <row r="596">
      <c r="DG596" s="64">
        <f>($B596-$B597)*100</f>
        <v/>
      </c>
      <c r="DH596" s="64">
        <f>($D596-$D597)*100</f>
        <v/>
      </c>
      <c r="DI596" s="64">
        <f>($E596-$E597)*100</f>
        <v/>
      </c>
      <c r="DJ596" s="64">
        <f>($H596-$H597)*100</f>
        <v/>
      </c>
      <c r="DK596" s="65">
        <f>IFERROR($J596/$J597-1,"")</f>
        <v/>
      </c>
      <c r="DL596" s="64">
        <f>$L596-$L597</f>
        <v/>
      </c>
      <c r="DM596" s="64">
        <f>$K596-$K597</f>
        <v/>
      </c>
      <c r="DN596" s="65">
        <f>IFERROR($N596/$N597-1,"")</f>
        <v/>
      </c>
      <c r="DO596" s="65">
        <f>IFERROR($M596/$M597-1,"")</f>
        <v/>
      </c>
      <c r="DP596" s="65">
        <f>IFERROR($AZ596/$AZ597-1,"")</f>
        <v/>
      </c>
      <c r="DQ596" s="65">
        <f>IFERROR($BA596/$BA597-1,"")</f>
        <v/>
      </c>
      <c r="DR596" s="64">
        <f>$O596-$O597</f>
        <v/>
      </c>
      <c r="DS596" s="64">
        <f>$P596-$P597</f>
        <v/>
      </c>
      <c r="DT596" s="64">
        <f>$Q596-$Q597</f>
        <v/>
      </c>
      <c r="DU596" s="64">
        <f>$S596-$S597</f>
        <v/>
      </c>
      <c r="DV596" s="65">
        <f>IFERROR(AVERAGE($AA597/$AA596-1,$AB597/$AB596-1,$AC597/$AC596-1,$AD597/$AD596-1,$AE597/$AE596-1,$AG597/$AG596-1,$AH597/$AH596-1,$AI597/$AI596-1,$AJ597/$AJ596-1,$AL597/$AL596-1,$AM597/$AM596-1,$AR597/$AR596-1,$AS597/$AS596-1,$AT597/$AT596-1,$AU597/$AU596-1,$AV597/$AV596-1,$AW597/$AW596-1,$AX597/$AX596-1,$AY597/$AY596-1),"")</f>
        <v/>
      </c>
      <c r="DW596" s="66">
        <f>AVERAGE($CB596,$CC596,$CD596,$CE596,$CF596,$CG596,$CH596,$CI596,$CJ596,$CL596,$CM596,$CN596,$CO596,$CP596,$CQ596,$CR596,$CS596,$CT596)</f>
        <v/>
      </c>
      <c r="DX596" s="66">
        <f>AVERAGE($CB596,$CC596,$CM596,$CE596,$CP596)</f>
        <v/>
      </c>
      <c r="DY596" s="64">
        <f>($DW596-$DW597)*100</f>
        <v/>
      </c>
      <c r="DZ596" s="64">
        <f>($DX596-$DX597)*100</f>
        <v/>
      </c>
      <c r="EA596" s="64">
        <f>($DW596-$D596)*100</f>
        <v/>
      </c>
      <c r="EB596" s="64">
        <f>$Q596-$O596</f>
        <v/>
      </c>
      <c r="EC596" s="67">
        <f>IFERROR($Q596/$P596,"")</f>
        <v/>
      </c>
    </row>
    <row r="597">
      <c r="DG597" s="64">
        <f>($B597-$B598)*100</f>
        <v/>
      </c>
      <c r="DH597" s="64">
        <f>($D597-$D598)*100</f>
        <v/>
      </c>
      <c r="DI597" s="64">
        <f>($E597-$E598)*100</f>
        <v/>
      </c>
      <c r="DJ597" s="64">
        <f>($H597-$H598)*100</f>
        <v/>
      </c>
      <c r="DK597" s="65">
        <f>IFERROR($J597/$J598-1,"")</f>
        <v/>
      </c>
      <c r="DL597" s="64">
        <f>$L597-$L598</f>
        <v/>
      </c>
      <c r="DM597" s="64">
        <f>$K597-$K598</f>
        <v/>
      </c>
      <c r="DN597" s="65">
        <f>IFERROR($N597/$N598-1,"")</f>
        <v/>
      </c>
      <c r="DO597" s="65">
        <f>IFERROR($M597/$M598-1,"")</f>
        <v/>
      </c>
      <c r="DP597" s="65">
        <f>IFERROR($AZ597/$AZ598-1,"")</f>
        <v/>
      </c>
      <c r="DQ597" s="65">
        <f>IFERROR($BA597/$BA598-1,"")</f>
        <v/>
      </c>
      <c r="DR597" s="64">
        <f>$O597-$O598</f>
        <v/>
      </c>
      <c r="DS597" s="64">
        <f>$P597-$P598</f>
        <v/>
      </c>
      <c r="DT597" s="64">
        <f>$Q597-$Q598</f>
        <v/>
      </c>
      <c r="DU597" s="64">
        <f>$S597-$S598</f>
        <v/>
      </c>
      <c r="DV597" s="65">
        <f>IFERROR(AVERAGE($AA598/$AA597-1,$AB598/$AB597-1,$AC598/$AC597-1,$AD598/$AD597-1,$AE598/$AE597-1,$AG598/$AG597-1,$AH598/$AH597-1,$AI598/$AI597-1,$AJ598/$AJ597-1,$AL598/$AL597-1,$AM598/$AM597-1,$AR598/$AR597-1,$AS598/$AS597-1,$AT598/$AT597-1,$AU598/$AU597-1,$AV598/$AV597-1,$AW598/$AW597-1,$AX598/$AX597-1,$AY598/$AY597-1),"")</f>
        <v/>
      </c>
      <c r="DW597" s="66">
        <f>AVERAGE($CB597,$CC597,$CD597,$CE597,$CF597,$CG597,$CH597,$CI597,$CJ597,$CL597,$CM597,$CN597,$CO597,$CP597,$CQ597,$CR597,$CS597,$CT597)</f>
        <v/>
      </c>
      <c r="DX597" s="66">
        <f>AVERAGE($CB597,$CC597,$CM597,$CE597,$CP597)</f>
        <v/>
      </c>
      <c r="DY597" s="64">
        <f>($DW597-$DW598)*100</f>
        <v/>
      </c>
      <c r="DZ597" s="64">
        <f>($DX597-$DX598)*100</f>
        <v/>
      </c>
      <c r="EA597" s="64">
        <f>($DW597-$D597)*100</f>
        <v/>
      </c>
      <c r="EB597" s="64">
        <f>$Q597-$O597</f>
        <v/>
      </c>
      <c r="EC597" s="67">
        <f>IFERROR($Q597/$P597,"")</f>
        <v/>
      </c>
    </row>
    <row r="598">
      <c r="DG598" s="64">
        <f>($B598-$B599)*100</f>
        <v/>
      </c>
      <c r="DH598" s="64">
        <f>($D598-$D599)*100</f>
        <v/>
      </c>
      <c r="DI598" s="64">
        <f>($E598-$E599)*100</f>
        <v/>
      </c>
      <c r="DJ598" s="64">
        <f>($H598-$H599)*100</f>
        <v/>
      </c>
      <c r="DK598" s="65">
        <f>IFERROR($J598/$J599-1,"")</f>
        <v/>
      </c>
      <c r="DL598" s="64">
        <f>$L598-$L599</f>
        <v/>
      </c>
      <c r="DM598" s="64">
        <f>$K598-$K599</f>
        <v/>
      </c>
      <c r="DN598" s="65">
        <f>IFERROR($N598/$N599-1,"")</f>
        <v/>
      </c>
      <c r="DO598" s="65">
        <f>IFERROR($M598/$M599-1,"")</f>
        <v/>
      </c>
      <c r="DP598" s="65">
        <f>IFERROR($AZ598/$AZ599-1,"")</f>
        <v/>
      </c>
      <c r="DQ598" s="65">
        <f>IFERROR($BA598/$BA599-1,"")</f>
        <v/>
      </c>
      <c r="DR598" s="64">
        <f>$O598-$O599</f>
        <v/>
      </c>
      <c r="DS598" s="64">
        <f>$P598-$P599</f>
        <v/>
      </c>
      <c r="DT598" s="64">
        <f>$Q598-$Q599</f>
        <v/>
      </c>
      <c r="DU598" s="64">
        <f>$S598-$S599</f>
        <v/>
      </c>
      <c r="DV598" s="65">
        <f>IFERROR(AVERAGE($AA599/$AA598-1,$AB599/$AB598-1,$AC599/$AC598-1,$AD599/$AD598-1,$AE599/$AE598-1,$AG599/$AG598-1,$AH599/$AH598-1,$AI599/$AI598-1,$AJ599/$AJ598-1,$AL599/$AL598-1,$AM599/$AM598-1,$AR599/$AR598-1,$AS599/$AS598-1,$AT599/$AT598-1,$AU599/$AU598-1,$AV599/$AV598-1,$AW599/$AW598-1,$AX599/$AX598-1,$AY599/$AY598-1),"")</f>
        <v/>
      </c>
      <c r="DW598" s="66">
        <f>AVERAGE($CB598,$CC598,$CD598,$CE598,$CF598,$CG598,$CH598,$CI598,$CJ598,$CL598,$CM598,$CN598,$CO598,$CP598,$CQ598,$CR598,$CS598,$CT598)</f>
        <v/>
      </c>
      <c r="DX598" s="66">
        <f>AVERAGE($CB598,$CC598,$CM598,$CE598,$CP598)</f>
        <v/>
      </c>
      <c r="DY598" s="64">
        <f>($DW598-$DW599)*100</f>
        <v/>
      </c>
      <c r="DZ598" s="64">
        <f>($DX598-$DX599)*100</f>
        <v/>
      </c>
      <c r="EA598" s="64">
        <f>($DW598-$D598)*100</f>
        <v/>
      </c>
      <c r="EB598" s="64">
        <f>$Q598-$O598</f>
        <v/>
      </c>
      <c r="EC598" s="67">
        <f>IFERROR($Q598/$P598,"")</f>
        <v/>
      </c>
    </row>
    <row r="599">
      <c r="DG599" s="64">
        <f>($B599-$B600)*100</f>
        <v/>
      </c>
      <c r="DH599" s="64">
        <f>($D599-$D600)*100</f>
        <v/>
      </c>
      <c r="DI599" s="64">
        <f>($E599-$E600)*100</f>
        <v/>
      </c>
      <c r="DJ599" s="64">
        <f>($H599-$H600)*100</f>
        <v/>
      </c>
      <c r="DK599" s="65">
        <f>IFERROR($J599/$J600-1,"")</f>
        <v/>
      </c>
      <c r="DL599" s="64">
        <f>$L599-$L600</f>
        <v/>
      </c>
      <c r="DM599" s="64">
        <f>$K599-$K600</f>
        <v/>
      </c>
      <c r="DN599" s="65">
        <f>IFERROR($N599/$N600-1,"")</f>
        <v/>
      </c>
      <c r="DO599" s="65">
        <f>IFERROR($M599/$M600-1,"")</f>
        <v/>
      </c>
      <c r="DP599" s="65">
        <f>IFERROR($AZ599/$AZ600-1,"")</f>
        <v/>
      </c>
      <c r="DQ599" s="65">
        <f>IFERROR($BA599/$BA600-1,"")</f>
        <v/>
      </c>
      <c r="DR599" s="64">
        <f>$O599-$O600</f>
        <v/>
      </c>
      <c r="DS599" s="64">
        <f>$P599-$P600</f>
        <v/>
      </c>
      <c r="DT599" s="64">
        <f>$Q599-$Q600</f>
        <v/>
      </c>
      <c r="DU599" s="64">
        <f>$S599-$S600</f>
        <v/>
      </c>
      <c r="DV599" s="65">
        <f>IFERROR(AVERAGE($AA600/$AA599-1,$AB600/$AB599-1,$AC600/$AC599-1,$AD600/$AD599-1,$AE600/$AE599-1,$AG600/$AG599-1,$AH600/$AH599-1,$AI600/$AI599-1,$AJ600/$AJ599-1,$AL600/$AL599-1,$AM600/$AM599-1,$AR600/$AR599-1,$AS600/$AS599-1,$AT600/$AT599-1,$AU600/$AU599-1,$AV600/$AV599-1,$AW600/$AW599-1,$AX600/$AX599-1,$AY600/$AY599-1),"")</f>
        <v/>
      </c>
      <c r="DW599" s="66">
        <f>AVERAGE($CB599,$CC599,$CD599,$CE599,$CF599,$CG599,$CH599,$CI599,$CJ599,$CL599,$CM599,$CN599,$CO599,$CP599,$CQ599,$CR599,$CS599,$CT599)</f>
        <v/>
      </c>
      <c r="DX599" s="66">
        <f>AVERAGE($CB599,$CC599,$CM599,$CE599,$CP599)</f>
        <v/>
      </c>
      <c r="DY599" s="64">
        <f>($DW599-$DW600)*100</f>
        <v/>
      </c>
      <c r="DZ599" s="64">
        <f>($DX599-$DX600)*100</f>
        <v/>
      </c>
      <c r="EA599" s="64">
        <f>($DW599-$D599)*100</f>
        <v/>
      </c>
      <c r="EB599" s="64">
        <f>$Q599-$O599</f>
        <v/>
      </c>
      <c r="EC599" s="67">
        <f>IFERROR($Q599/$P599,"")</f>
        <v/>
      </c>
    </row>
    <row r="600">
      <c r="DG600" s="64">
        <f>($B600-$B601)*100</f>
        <v/>
      </c>
      <c r="DH600" s="64">
        <f>($D600-$D601)*100</f>
        <v/>
      </c>
      <c r="DI600" s="64">
        <f>($E600-$E601)*100</f>
        <v/>
      </c>
      <c r="DJ600" s="64">
        <f>($H600-$H601)*100</f>
        <v/>
      </c>
      <c r="DK600" s="65">
        <f>IFERROR($J600/$J601-1,"")</f>
        <v/>
      </c>
      <c r="DL600" s="64">
        <f>$L600-$L601</f>
        <v/>
      </c>
      <c r="DM600" s="64">
        <f>$K600-$K601</f>
        <v/>
      </c>
      <c r="DN600" s="65">
        <f>IFERROR($N600/$N601-1,"")</f>
        <v/>
      </c>
      <c r="DO600" s="65">
        <f>IFERROR($M600/$M601-1,"")</f>
        <v/>
      </c>
      <c r="DP600" s="65">
        <f>IFERROR($AZ600/$AZ601-1,"")</f>
        <v/>
      </c>
      <c r="DQ600" s="65">
        <f>IFERROR($BA600/$BA601-1,"")</f>
        <v/>
      </c>
      <c r="DR600" s="64">
        <f>$O600-$O601</f>
        <v/>
      </c>
      <c r="DS600" s="64">
        <f>$P600-$P601</f>
        <v/>
      </c>
      <c r="DT600" s="64">
        <f>$Q600-$Q601</f>
        <v/>
      </c>
      <c r="DU600" s="64">
        <f>$S600-$S601</f>
        <v/>
      </c>
      <c r="DV600" s="65">
        <f>IFERROR(AVERAGE($AA601/$AA600-1,$AB601/$AB600-1,$AC601/$AC600-1,$AD601/$AD600-1,$AE601/$AE600-1,$AG601/$AG600-1,$AH601/$AH600-1,$AI601/$AI600-1,$AJ601/$AJ600-1,$AL601/$AL600-1,$AM601/$AM600-1,$AR601/$AR600-1,$AS601/$AS600-1,$AT601/$AT600-1,$AU601/$AU600-1,$AV601/$AV600-1,$AW601/$AW600-1,$AX601/$AX600-1,$AY601/$AY600-1),"")</f>
        <v/>
      </c>
      <c r="DW600" s="66">
        <f>AVERAGE($CB600,$CC600,$CD600,$CE600,$CF600,$CG600,$CH600,$CI600,$CJ600,$CL600,$CM600,$CN600,$CO600,$CP600,$CQ600,$CR600,$CS600,$CT600)</f>
        <v/>
      </c>
      <c r="DX600" s="66">
        <f>AVERAGE($CB600,$CC600,$CM600,$CE600,$CP600)</f>
        <v/>
      </c>
      <c r="DY600" s="64">
        <f>($DW600-$DW601)*100</f>
        <v/>
      </c>
      <c r="DZ600" s="64">
        <f>($DX600-$DX601)*100</f>
        <v/>
      </c>
      <c r="EA600" s="64">
        <f>($DW600-$D600)*100</f>
        <v/>
      </c>
      <c r="EB600" s="64">
        <f>$Q600-$O600</f>
        <v/>
      </c>
      <c r="EC600" s="67">
        <f>IFERROR($Q600/$P600,"")</f>
        <v/>
      </c>
    </row>
    <row r="601">
      <c r="DG601" s="64">
        <f>($B601-$B602)*100</f>
        <v/>
      </c>
      <c r="DH601" s="64">
        <f>($D601-$D602)*100</f>
        <v/>
      </c>
      <c r="DI601" s="64">
        <f>($E601-$E602)*100</f>
        <v/>
      </c>
      <c r="DJ601" s="64">
        <f>($H601-$H602)*100</f>
        <v/>
      </c>
      <c r="DK601" s="65">
        <f>IFERROR($J601/$J602-1,"")</f>
        <v/>
      </c>
      <c r="DL601" s="64">
        <f>$L601-$L602</f>
        <v/>
      </c>
      <c r="DM601" s="64">
        <f>$K601-$K602</f>
        <v/>
      </c>
      <c r="DN601" s="65">
        <f>IFERROR($N601/$N602-1,"")</f>
        <v/>
      </c>
      <c r="DO601" s="65">
        <f>IFERROR($M601/$M602-1,"")</f>
        <v/>
      </c>
      <c r="DP601" s="65">
        <f>IFERROR($AZ601/$AZ602-1,"")</f>
        <v/>
      </c>
      <c r="DQ601" s="65">
        <f>IFERROR($BA601/$BA602-1,"")</f>
        <v/>
      </c>
      <c r="DR601" s="64">
        <f>$O601-$O602</f>
        <v/>
      </c>
      <c r="DS601" s="64">
        <f>$P601-$P602</f>
        <v/>
      </c>
      <c r="DT601" s="64">
        <f>$Q601-$Q602</f>
        <v/>
      </c>
      <c r="DU601" s="64">
        <f>$S601-$S602</f>
        <v/>
      </c>
      <c r="DV601" s="65">
        <f>IFERROR(AVERAGE($AA602/$AA601-1,$AB602/$AB601-1,$AC602/$AC601-1,$AD602/$AD601-1,$AE602/$AE601-1,$AG602/$AG601-1,$AH602/$AH601-1,$AI602/$AI601-1,$AJ602/$AJ601-1,$AL602/$AL601-1,$AM602/$AM601-1,$AR602/$AR601-1,$AS602/$AS601-1,$AT602/$AT601-1,$AU602/$AU601-1,$AV602/$AV601-1,$AW602/$AW601-1,$AX602/$AX601-1,$AY602/$AY601-1),"")</f>
        <v/>
      </c>
      <c r="DW601" s="66">
        <f>AVERAGE($CB601,$CC601,$CD601,$CE601,$CF601,$CG601,$CH601,$CI601,$CJ601,$CL601,$CM601,$CN601,$CO601,$CP601,$CQ601,$CR601,$CS601,$CT601)</f>
        <v/>
      </c>
      <c r="DX601" s="66">
        <f>AVERAGE($CB601,$CC601,$CM601,$CE601,$CP601)</f>
        <v/>
      </c>
      <c r="DY601" s="64">
        <f>($DW601-$DW602)*100</f>
        <v/>
      </c>
      <c r="DZ601" s="64">
        <f>($DX601-$DX602)*100</f>
        <v/>
      </c>
      <c r="EA601" s="64">
        <f>($DW601-$D601)*100</f>
        <v/>
      </c>
      <c r="EB601" s="64">
        <f>$Q601-$O601</f>
        <v/>
      </c>
      <c r="EC601" s="67">
        <f>IFERROR($Q601/$P601,"")</f>
        <v/>
      </c>
    </row>
    <row r="602">
      <c r="DG602" s="64">
        <f>($B602-$B603)*100</f>
        <v/>
      </c>
      <c r="DH602" s="64">
        <f>($D602-$D603)*100</f>
        <v/>
      </c>
      <c r="DI602" s="64">
        <f>($E602-$E603)*100</f>
        <v/>
      </c>
      <c r="DJ602" s="64">
        <f>($H602-$H603)*100</f>
        <v/>
      </c>
      <c r="DK602" s="65">
        <f>IFERROR($J602/$J603-1,"")</f>
        <v/>
      </c>
      <c r="DL602" s="64">
        <f>$L602-$L603</f>
        <v/>
      </c>
      <c r="DM602" s="64">
        <f>$K602-$K603</f>
        <v/>
      </c>
      <c r="DN602" s="65">
        <f>IFERROR($N602/$N603-1,"")</f>
        <v/>
      </c>
      <c r="DO602" s="65">
        <f>IFERROR($M602/$M603-1,"")</f>
        <v/>
      </c>
      <c r="DP602" s="65">
        <f>IFERROR($AZ602/$AZ603-1,"")</f>
        <v/>
      </c>
      <c r="DQ602" s="65">
        <f>IFERROR($BA602/$BA603-1,"")</f>
        <v/>
      </c>
      <c r="DR602" s="64">
        <f>$O602-$O603</f>
        <v/>
      </c>
      <c r="DS602" s="64">
        <f>$P602-$P603</f>
        <v/>
      </c>
      <c r="DT602" s="64">
        <f>$Q602-$Q603</f>
        <v/>
      </c>
      <c r="DU602" s="64">
        <f>$S602-$S603</f>
        <v/>
      </c>
      <c r="DV602" s="65">
        <f>IFERROR(AVERAGE($AA603/$AA602-1,$AB603/$AB602-1,$AC603/$AC602-1,$AD603/$AD602-1,$AE603/$AE602-1,$AG603/$AG602-1,$AH603/$AH602-1,$AI603/$AI602-1,$AJ603/$AJ602-1,$AL603/$AL602-1,$AM603/$AM602-1,$AR603/$AR602-1,$AS603/$AS602-1,$AT603/$AT602-1,$AU603/$AU602-1,$AV603/$AV602-1,$AW603/$AW602-1,$AX603/$AX602-1,$AY603/$AY602-1),"")</f>
        <v/>
      </c>
      <c r="DW602" s="66">
        <f>AVERAGE($CB602,$CC602,$CD602,$CE602,$CF602,$CG602,$CH602,$CI602,$CJ602,$CL602,$CM602,$CN602,$CO602,$CP602,$CQ602,$CR602,$CS602,$CT602)</f>
        <v/>
      </c>
      <c r="DX602" s="66">
        <f>AVERAGE($CB602,$CC602,$CM602,$CE602,$CP602)</f>
        <v/>
      </c>
      <c r="DY602" s="64">
        <f>($DW602-$DW603)*100</f>
        <v/>
      </c>
      <c r="DZ602" s="64">
        <f>($DX602-$DX603)*100</f>
        <v/>
      </c>
      <c r="EA602" s="64">
        <f>($DW602-$D602)*100</f>
        <v/>
      </c>
      <c r="EB602" s="64">
        <f>$Q602-$O602</f>
        <v/>
      </c>
      <c r="EC602" s="67">
        <f>IFERROR($Q602/$P602,"")</f>
        <v/>
      </c>
    </row>
    <row r="603">
      <c r="DG603" s="64">
        <f>($B603-$B604)*100</f>
        <v/>
      </c>
      <c r="DH603" s="64">
        <f>($D603-$D604)*100</f>
        <v/>
      </c>
      <c r="DI603" s="64">
        <f>($E603-$E604)*100</f>
        <v/>
      </c>
      <c r="DJ603" s="64">
        <f>($H603-$H604)*100</f>
        <v/>
      </c>
      <c r="DK603" s="65">
        <f>IFERROR($J603/$J604-1,"")</f>
        <v/>
      </c>
      <c r="DL603" s="64">
        <f>$L603-$L604</f>
        <v/>
      </c>
      <c r="DM603" s="64">
        <f>$K603-$K604</f>
        <v/>
      </c>
      <c r="DN603" s="65">
        <f>IFERROR($N603/$N604-1,"")</f>
        <v/>
      </c>
      <c r="DO603" s="65">
        <f>IFERROR($M603/$M604-1,"")</f>
        <v/>
      </c>
      <c r="DP603" s="65">
        <f>IFERROR($AZ603/$AZ604-1,"")</f>
        <v/>
      </c>
      <c r="DQ603" s="65">
        <f>IFERROR($BA603/$BA604-1,"")</f>
        <v/>
      </c>
      <c r="DR603" s="64">
        <f>$O603-$O604</f>
        <v/>
      </c>
      <c r="DS603" s="64">
        <f>$P603-$P604</f>
        <v/>
      </c>
      <c r="DT603" s="64">
        <f>$Q603-$Q604</f>
        <v/>
      </c>
      <c r="DU603" s="64">
        <f>$S603-$S604</f>
        <v/>
      </c>
      <c r="DV603" s="65">
        <f>IFERROR(AVERAGE($AA604/$AA603-1,$AB604/$AB603-1,$AC604/$AC603-1,$AD604/$AD603-1,$AE604/$AE603-1,$AG604/$AG603-1,$AH604/$AH603-1,$AI604/$AI603-1,$AJ604/$AJ603-1,$AL604/$AL603-1,$AM604/$AM603-1,$AR604/$AR603-1,$AS604/$AS603-1,$AT604/$AT603-1,$AU604/$AU603-1,$AV604/$AV603-1,$AW604/$AW603-1,$AX604/$AX603-1,$AY604/$AY603-1),"")</f>
        <v/>
      </c>
      <c r="DW603" s="66">
        <f>AVERAGE($CB603,$CC603,$CD603,$CE603,$CF603,$CG603,$CH603,$CI603,$CJ603,$CL603,$CM603,$CN603,$CO603,$CP603,$CQ603,$CR603,$CS603,$CT603)</f>
        <v/>
      </c>
      <c r="DX603" s="66">
        <f>AVERAGE($CB603,$CC603,$CM603,$CE603,$CP603)</f>
        <v/>
      </c>
      <c r="DY603" s="64">
        <f>($DW603-$DW604)*100</f>
        <v/>
      </c>
      <c r="DZ603" s="64">
        <f>($DX603-$DX604)*100</f>
        <v/>
      </c>
      <c r="EA603" s="64">
        <f>($DW603-$D603)*100</f>
        <v/>
      </c>
      <c r="EB603" s="64">
        <f>$Q603-$O603</f>
        <v/>
      </c>
      <c r="EC603" s="67">
        <f>IFERROR($Q603/$P603,"")</f>
        <v/>
      </c>
    </row>
    <row r="604">
      <c r="DG604" s="64">
        <f>($B604-$B605)*100</f>
        <v/>
      </c>
      <c r="DH604" s="64">
        <f>($D604-$D605)*100</f>
        <v/>
      </c>
      <c r="DI604" s="64">
        <f>($E604-$E605)*100</f>
        <v/>
      </c>
      <c r="DJ604" s="64">
        <f>($H604-$H605)*100</f>
        <v/>
      </c>
      <c r="DK604" s="65">
        <f>IFERROR($J604/$J605-1,"")</f>
        <v/>
      </c>
      <c r="DL604" s="64">
        <f>$L604-$L605</f>
        <v/>
      </c>
      <c r="DM604" s="64">
        <f>$K604-$K605</f>
        <v/>
      </c>
      <c r="DN604" s="65">
        <f>IFERROR($N604/$N605-1,"")</f>
        <v/>
      </c>
      <c r="DO604" s="65">
        <f>IFERROR($M604/$M605-1,"")</f>
        <v/>
      </c>
      <c r="DP604" s="65">
        <f>IFERROR($AZ604/$AZ605-1,"")</f>
        <v/>
      </c>
      <c r="DQ604" s="65">
        <f>IFERROR($BA604/$BA605-1,"")</f>
        <v/>
      </c>
      <c r="DR604" s="64">
        <f>$O604-$O605</f>
        <v/>
      </c>
      <c r="DS604" s="64">
        <f>$P604-$P605</f>
        <v/>
      </c>
      <c r="DT604" s="64">
        <f>$Q604-$Q605</f>
        <v/>
      </c>
      <c r="DU604" s="64">
        <f>$S604-$S605</f>
        <v/>
      </c>
      <c r="DV604" s="65">
        <f>IFERROR(AVERAGE($AA605/$AA604-1,$AB605/$AB604-1,$AC605/$AC604-1,$AD605/$AD604-1,$AE605/$AE604-1,$AG605/$AG604-1,$AH605/$AH604-1,$AI605/$AI604-1,$AJ605/$AJ604-1,$AL605/$AL604-1,$AM605/$AM604-1,$AR605/$AR604-1,$AS605/$AS604-1,$AT605/$AT604-1,$AU605/$AU604-1,$AV605/$AV604-1,$AW605/$AW604-1,$AX605/$AX604-1,$AY605/$AY604-1),"")</f>
        <v/>
      </c>
      <c r="DW604" s="66">
        <f>AVERAGE($CB604,$CC604,$CD604,$CE604,$CF604,$CG604,$CH604,$CI604,$CJ604,$CL604,$CM604,$CN604,$CO604,$CP604,$CQ604,$CR604,$CS604,$CT604)</f>
        <v/>
      </c>
      <c r="DX604" s="66">
        <f>AVERAGE($CB604,$CC604,$CM604,$CE604,$CP604)</f>
        <v/>
      </c>
      <c r="DY604" s="64">
        <f>($DW604-$DW605)*100</f>
        <v/>
      </c>
      <c r="DZ604" s="64">
        <f>($DX604-$DX605)*100</f>
        <v/>
      </c>
      <c r="EA604" s="64">
        <f>($DW604-$D604)*100</f>
        <v/>
      </c>
      <c r="EB604" s="64">
        <f>$Q604-$O604</f>
        <v/>
      </c>
      <c r="EC604" s="67">
        <f>IFERROR($Q604/$P604,"")</f>
        <v/>
      </c>
    </row>
    <row r="605">
      <c r="DG605" s="64">
        <f>($B605-$B606)*100</f>
        <v/>
      </c>
      <c r="DH605" s="64">
        <f>($D605-$D606)*100</f>
        <v/>
      </c>
      <c r="DI605" s="64">
        <f>($E605-$E606)*100</f>
        <v/>
      </c>
      <c r="DJ605" s="64">
        <f>($H605-$H606)*100</f>
        <v/>
      </c>
      <c r="DK605" s="65">
        <f>IFERROR($J605/$J606-1,"")</f>
        <v/>
      </c>
      <c r="DL605" s="64">
        <f>$L605-$L606</f>
        <v/>
      </c>
      <c r="DM605" s="64">
        <f>$K605-$K606</f>
        <v/>
      </c>
      <c r="DN605" s="65">
        <f>IFERROR($N605/$N606-1,"")</f>
        <v/>
      </c>
      <c r="DO605" s="65">
        <f>IFERROR($M605/$M606-1,"")</f>
        <v/>
      </c>
      <c r="DP605" s="65">
        <f>IFERROR($AZ605/$AZ606-1,"")</f>
        <v/>
      </c>
      <c r="DQ605" s="65">
        <f>IFERROR($BA605/$BA606-1,"")</f>
        <v/>
      </c>
      <c r="DR605" s="64">
        <f>$O605-$O606</f>
        <v/>
      </c>
      <c r="DS605" s="64">
        <f>$P605-$P606</f>
        <v/>
      </c>
      <c r="DT605" s="64">
        <f>$Q605-$Q606</f>
        <v/>
      </c>
      <c r="DU605" s="64">
        <f>$S605-$S606</f>
        <v/>
      </c>
      <c r="DV605" s="65">
        <f>IFERROR(AVERAGE($AA606/$AA605-1,$AB606/$AB605-1,$AC606/$AC605-1,$AD606/$AD605-1,$AE606/$AE605-1,$AG606/$AG605-1,$AH606/$AH605-1,$AI606/$AI605-1,$AJ606/$AJ605-1,$AL606/$AL605-1,$AM606/$AM605-1,$AR606/$AR605-1,$AS606/$AS605-1,$AT606/$AT605-1,$AU606/$AU605-1,$AV606/$AV605-1,$AW606/$AW605-1,$AX606/$AX605-1,$AY606/$AY605-1),"")</f>
        <v/>
      </c>
      <c r="DW605" s="66">
        <f>AVERAGE($CB605,$CC605,$CD605,$CE605,$CF605,$CG605,$CH605,$CI605,$CJ605,$CL605,$CM605,$CN605,$CO605,$CP605,$CQ605,$CR605,$CS605,$CT605)</f>
        <v/>
      </c>
      <c r="DX605" s="66">
        <f>AVERAGE($CB605,$CC605,$CM605,$CE605,$CP605)</f>
        <v/>
      </c>
      <c r="DY605" s="64">
        <f>($DW605-$DW606)*100</f>
        <v/>
      </c>
      <c r="DZ605" s="64">
        <f>($DX605-$DX606)*100</f>
        <v/>
      </c>
      <c r="EA605" s="64">
        <f>($DW605-$D605)*100</f>
        <v/>
      </c>
      <c r="EB605" s="64">
        <f>$Q605-$O605</f>
        <v/>
      </c>
      <c r="EC605" s="67">
        <f>IFERROR($Q605/$P605,"")</f>
        <v/>
      </c>
    </row>
    <row r="606">
      <c r="DG606" s="64">
        <f>($B606-$B607)*100</f>
        <v/>
      </c>
      <c r="DH606" s="64">
        <f>($D606-$D607)*100</f>
        <v/>
      </c>
      <c r="DI606" s="64">
        <f>($E606-$E607)*100</f>
        <v/>
      </c>
      <c r="DJ606" s="64">
        <f>($H606-$H607)*100</f>
        <v/>
      </c>
      <c r="DK606" s="65">
        <f>IFERROR($J606/$J607-1,"")</f>
        <v/>
      </c>
      <c r="DL606" s="64">
        <f>$L606-$L607</f>
        <v/>
      </c>
      <c r="DM606" s="64">
        <f>$K606-$K607</f>
        <v/>
      </c>
      <c r="DN606" s="65">
        <f>IFERROR($N606/$N607-1,"")</f>
        <v/>
      </c>
      <c r="DO606" s="65">
        <f>IFERROR($M606/$M607-1,"")</f>
        <v/>
      </c>
      <c r="DP606" s="65">
        <f>IFERROR($AZ606/$AZ607-1,"")</f>
        <v/>
      </c>
      <c r="DQ606" s="65">
        <f>IFERROR($BA606/$BA607-1,"")</f>
        <v/>
      </c>
      <c r="DR606" s="64">
        <f>$O606-$O607</f>
        <v/>
      </c>
      <c r="DS606" s="64">
        <f>$P606-$P607</f>
        <v/>
      </c>
      <c r="DT606" s="64">
        <f>$Q606-$Q607</f>
        <v/>
      </c>
      <c r="DU606" s="64">
        <f>$S606-$S607</f>
        <v/>
      </c>
      <c r="DV606" s="65">
        <f>IFERROR(AVERAGE($AA607/$AA606-1,$AB607/$AB606-1,$AC607/$AC606-1,$AD607/$AD606-1,$AE607/$AE606-1,$AG607/$AG606-1,$AH607/$AH606-1,$AI607/$AI606-1,$AJ607/$AJ606-1,$AL607/$AL606-1,$AM607/$AM606-1,$AR607/$AR606-1,$AS607/$AS606-1,$AT607/$AT606-1,$AU607/$AU606-1,$AV607/$AV606-1,$AW607/$AW606-1,$AX607/$AX606-1,$AY607/$AY606-1),"")</f>
        <v/>
      </c>
      <c r="DW606" s="66">
        <f>AVERAGE($CB606,$CC606,$CD606,$CE606,$CF606,$CG606,$CH606,$CI606,$CJ606,$CL606,$CM606,$CN606,$CO606,$CP606,$CQ606,$CR606,$CS606,$CT606)</f>
        <v/>
      </c>
      <c r="DX606" s="66">
        <f>AVERAGE($CB606,$CC606,$CM606,$CE606,$CP606)</f>
        <v/>
      </c>
      <c r="DY606" s="64">
        <f>($DW606-$DW607)*100</f>
        <v/>
      </c>
      <c r="DZ606" s="64">
        <f>($DX606-$DX607)*100</f>
        <v/>
      </c>
      <c r="EA606" s="64">
        <f>($DW606-$D606)*100</f>
        <v/>
      </c>
      <c r="EB606" s="64">
        <f>$Q606-$O606</f>
        <v/>
      </c>
      <c r="EC606" s="67">
        <f>IFERROR($Q606/$P606,"")</f>
        <v/>
      </c>
    </row>
    <row r="607">
      <c r="DG607" s="64">
        <f>($B607-$B608)*100</f>
        <v/>
      </c>
      <c r="DH607" s="64">
        <f>($D607-$D608)*100</f>
        <v/>
      </c>
      <c r="DI607" s="64">
        <f>($E607-$E608)*100</f>
        <v/>
      </c>
      <c r="DJ607" s="64">
        <f>($H607-$H608)*100</f>
        <v/>
      </c>
      <c r="DK607" s="65">
        <f>IFERROR($J607/$J608-1,"")</f>
        <v/>
      </c>
      <c r="DL607" s="64">
        <f>$L607-$L608</f>
        <v/>
      </c>
      <c r="DM607" s="64">
        <f>$K607-$K608</f>
        <v/>
      </c>
      <c r="DN607" s="65">
        <f>IFERROR($N607/$N608-1,"")</f>
        <v/>
      </c>
      <c r="DO607" s="65">
        <f>IFERROR($M607/$M608-1,"")</f>
        <v/>
      </c>
      <c r="DP607" s="65">
        <f>IFERROR($AZ607/$AZ608-1,"")</f>
        <v/>
      </c>
      <c r="DQ607" s="65">
        <f>IFERROR($BA607/$BA608-1,"")</f>
        <v/>
      </c>
      <c r="DR607" s="64">
        <f>$O607-$O608</f>
        <v/>
      </c>
      <c r="DS607" s="64">
        <f>$P607-$P608</f>
        <v/>
      </c>
      <c r="DT607" s="64">
        <f>$Q607-$Q608</f>
        <v/>
      </c>
      <c r="DU607" s="64">
        <f>$S607-$S608</f>
        <v/>
      </c>
      <c r="DV607" s="65">
        <f>IFERROR(AVERAGE($AA608/$AA607-1,$AB608/$AB607-1,$AC608/$AC607-1,$AD608/$AD607-1,$AE608/$AE607-1,$AG608/$AG607-1,$AH608/$AH607-1,$AI608/$AI607-1,$AJ608/$AJ607-1,$AL608/$AL607-1,$AM608/$AM607-1,$AR608/$AR607-1,$AS608/$AS607-1,$AT608/$AT607-1,$AU608/$AU607-1,$AV608/$AV607-1,$AW608/$AW607-1,$AX608/$AX607-1,$AY608/$AY607-1),"")</f>
        <v/>
      </c>
      <c r="DW607" s="66">
        <f>AVERAGE($CB607,$CC607,$CD607,$CE607,$CF607,$CG607,$CH607,$CI607,$CJ607,$CL607,$CM607,$CN607,$CO607,$CP607,$CQ607,$CR607,$CS607,$CT607)</f>
        <v/>
      </c>
      <c r="DX607" s="66">
        <f>AVERAGE($CB607,$CC607,$CM607,$CE607,$CP607)</f>
        <v/>
      </c>
      <c r="DY607" s="64">
        <f>($DW607-$DW608)*100</f>
        <v/>
      </c>
      <c r="DZ607" s="64">
        <f>($DX607-$DX608)*100</f>
        <v/>
      </c>
      <c r="EA607" s="64">
        <f>($DW607-$D607)*100</f>
        <v/>
      </c>
      <c r="EB607" s="64">
        <f>$Q607-$O607</f>
        <v/>
      </c>
      <c r="EC607" s="67">
        <f>IFERROR($Q607/$P607,"")</f>
        <v/>
      </c>
    </row>
    <row r="608">
      <c r="DG608" s="64">
        <f>($B608-$B609)*100</f>
        <v/>
      </c>
      <c r="DH608" s="64">
        <f>($D608-$D609)*100</f>
        <v/>
      </c>
      <c r="DI608" s="64">
        <f>($E608-$E609)*100</f>
        <v/>
      </c>
      <c r="DJ608" s="64">
        <f>($H608-$H609)*100</f>
        <v/>
      </c>
      <c r="DK608" s="65">
        <f>IFERROR($J608/$J609-1,"")</f>
        <v/>
      </c>
      <c r="DL608" s="64">
        <f>$L608-$L609</f>
        <v/>
      </c>
      <c r="DM608" s="64">
        <f>$K608-$K609</f>
        <v/>
      </c>
      <c r="DN608" s="65">
        <f>IFERROR($N608/$N609-1,"")</f>
        <v/>
      </c>
      <c r="DO608" s="65">
        <f>IFERROR($M608/$M609-1,"")</f>
        <v/>
      </c>
      <c r="DP608" s="65">
        <f>IFERROR($AZ608/$AZ609-1,"")</f>
        <v/>
      </c>
      <c r="DQ608" s="65">
        <f>IFERROR($BA608/$BA609-1,"")</f>
        <v/>
      </c>
      <c r="DR608" s="64">
        <f>$O608-$O609</f>
        <v/>
      </c>
      <c r="DS608" s="64">
        <f>$P608-$P609</f>
        <v/>
      </c>
      <c r="DT608" s="64">
        <f>$Q608-$Q609</f>
        <v/>
      </c>
      <c r="DU608" s="64">
        <f>$S608-$S609</f>
        <v/>
      </c>
      <c r="DV608" s="65">
        <f>IFERROR(AVERAGE($AA609/$AA608-1,$AB609/$AB608-1,$AC609/$AC608-1,$AD609/$AD608-1,$AE609/$AE608-1,$AG609/$AG608-1,$AH609/$AH608-1,$AI609/$AI608-1,$AJ609/$AJ608-1,$AL609/$AL608-1,$AM609/$AM608-1,$AR609/$AR608-1,$AS609/$AS608-1,$AT609/$AT608-1,$AU609/$AU608-1,$AV609/$AV608-1,$AW609/$AW608-1,$AX609/$AX608-1,$AY609/$AY608-1),"")</f>
        <v/>
      </c>
      <c r="DW608" s="66">
        <f>AVERAGE($CB608,$CC608,$CD608,$CE608,$CF608,$CG608,$CH608,$CI608,$CJ608,$CL608,$CM608,$CN608,$CO608,$CP608,$CQ608,$CR608,$CS608,$CT608)</f>
        <v/>
      </c>
      <c r="DX608" s="66">
        <f>AVERAGE($CB608,$CC608,$CM608,$CE608,$CP608)</f>
        <v/>
      </c>
      <c r="DY608" s="64">
        <f>($DW608-$DW609)*100</f>
        <v/>
      </c>
      <c r="DZ608" s="64">
        <f>($DX608-$DX609)*100</f>
        <v/>
      </c>
      <c r="EA608" s="64">
        <f>($DW608-$D608)*100</f>
        <v/>
      </c>
      <c r="EB608" s="64">
        <f>$Q608-$O608</f>
        <v/>
      </c>
      <c r="EC608" s="67">
        <f>IFERROR($Q608/$P608,"")</f>
        <v/>
      </c>
    </row>
    <row r="609">
      <c r="DG609" s="64">
        <f>($B609-$B610)*100</f>
        <v/>
      </c>
      <c r="DH609" s="64">
        <f>($D609-$D610)*100</f>
        <v/>
      </c>
      <c r="DI609" s="64">
        <f>($E609-$E610)*100</f>
        <v/>
      </c>
      <c r="DJ609" s="64">
        <f>($H609-$H610)*100</f>
        <v/>
      </c>
      <c r="DK609" s="65">
        <f>IFERROR($J609/$J610-1,"")</f>
        <v/>
      </c>
      <c r="DL609" s="64">
        <f>$L609-$L610</f>
        <v/>
      </c>
      <c r="DM609" s="64">
        <f>$K609-$K610</f>
        <v/>
      </c>
      <c r="DN609" s="65">
        <f>IFERROR($N609/$N610-1,"")</f>
        <v/>
      </c>
      <c r="DO609" s="65">
        <f>IFERROR($M609/$M610-1,"")</f>
        <v/>
      </c>
      <c r="DP609" s="65">
        <f>IFERROR($AZ609/$AZ610-1,"")</f>
        <v/>
      </c>
      <c r="DQ609" s="65">
        <f>IFERROR($BA609/$BA610-1,"")</f>
        <v/>
      </c>
      <c r="DR609" s="64">
        <f>$O609-$O610</f>
        <v/>
      </c>
      <c r="DS609" s="64">
        <f>$P609-$P610</f>
        <v/>
      </c>
      <c r="DT609" s="64">
        <f>$Q609-$Q610</f>
        <v/>
      </c>
      <c r="DU609" s="64">
        <f>$S609-$S610</f>
        <v/>
      </c>
      <c r="DV609" s="65">
        <f>IFERROR(AVERAGE($AA610/$AA609-1,$AB610/$AB609-1,$AC610/$AC609-1,$AD610/$AD609-1,$AE610/$AE609-1,$AG610/$AG609-1,$AH610/$AH609-1,$AI610/$AI609-1,$AJ610/$AJ609-1,$AL610/$AL609-1,$AM610/$AM609-1,$AR610/$AR609-1,$AS610/$AS609-1,$AT610/$AT609-1,$AU610/$AU609-1,$AV610/$AV609-1,$AW610/$AW609-1,$AX610/$AX609-1,$AY610/$AY609-1),"")</f>
        <v/>
      </c>
      <c r="DW609" s="66">
        <f>AVERAGE($CB609,$CC609,$CD609,$CE609,$CF609,$CG609,$CH609,$CI609,$CJ609,$CL609,$CM609,$CN609,$CO609,$CP609,$CQ609,$CR609,$CS609,$CT609)</f>
        <v/>
      </c>
      <c r="DX609" s="66">
        <f>AVERAGE($CB609,$CC609,$CM609,$CE609,$CP609)</f>
        <v/>
      </c>
      <c r="DY609" s="64">
        <f>($DW609-$DW610)*100</f>
        <v/>
      </c>
      <c r="DZ609" s="64">
        <f>($DX609-$DX610)*100</f>
        <v/>
      </c>
      <c r="EA609" s="64">
        <f>($DW609-$D609)*100</f>
        <v/>
      </c>
      <c r="EB609" s="64">
        <f>$Q609-$O609</f>
        <v/>
      </c>
      <c r="EC609" s="67">
        <f>IFERROR($Q609/$P609,"")</f>
        <v/>
      </c>
    </row>
    <row r="610">
      <c r="DG610" s="64">
        <f>($B610-$B611)*100</f>
        <v/>
      </c>
      <c r="DH610" s="64">
        <f>($D610-$D611)*100</f>
        <v/>
      </c>
      <c r="DI610" s="64">
        <f>($E610-$E611)*100</f>
        <v/>
      </c>
      <c r="DJ610" s="64">
        <f>($H610-$H611)*100</f>
        <v/>
      </c>
      <c r="DK610" s="65">
        <f>IFERROR($J610/$J611-1,"")</f>
        <v/>
      </c>
      <c r="DL610" s="64">
        <f>$L610-$L611</f>
        <v/>
      </c>
      <c r="DM610" s="64">
        <f>$K610-$K611</f>
        <v/>
      </c>
      <c r="DN610" s="65">
        <f>IFERROR($N610/$N611-1,"")</f>
        <v/>
      </c>
      <c r="DO610" s="65">
        <f>IFERROR($M610/$M611-1,"")</f>
        <v/>
      </c>
      <c r="DP610" s="65">
        <f>IFERROR($AZ610/$AZ611-1,"")</f>
        <v/>
      </c>
      <c r="DQ610" s="65">
        <f>IFERROR($BA610/$BA611-1,"")</f>
        <v/>
      </c>
      <c r="DR610" s="64">
        <f>$O610-$O611</f>
        <v/>
      </c>
      <c r="DS610" s="64">
        <f>$P610-$P611</f>
        <v/>
      </c>
      <c r="DT610" s="64">
        <f>$Q610-$Q611</f>
        <v/>
      </c>
      <c r="DU610" s="64">
        <f>$S610-$S611</f>
        <v/>
      </c>
      <c r="DV610" s="65">
        <f>IFERROR(AVERAGE($AA611/$AA610-1,$AB611/$AB610-1,$AC611/$AC610-1,$AD611/$AD610-1,$AE611/$AE610-1,$AG611/$AG610-1,$AH611/$AH610-1,$AI611/$AI610-1,$AJ611/$AJ610-1,$AL611/$AL610-1,$AM611/$AM610-1,$AR611/$AR610-1,$AS611/$AS610-1,$AT611/$AT610-1,$AU611/$AU610-1,$AV611/$AV610-1,$AW611/$AW610-1,$AX611/$AX610-1,$AY611/$AY610-1),"")</f>
        <v/>
      </c>
      <c r="DW610" s="66">
        <f>AVERAGE($CB610,$CC610,$CD610,$CE610,$CF610,$CG610,$CH610,$CI610,$CJ610,$CL610,$CM610,$CN610,$CO610,$CP610,$CQ610,$CR610,$CS610,$CT610)</f>
        <v/>
      </c>
      <c r="DX610" s="66">
        <f>AVERAGE($CB610,$CC610,$CM610,$CE610,$CP610)</f>
        <v/>
      </c>
      <c r="DY610" s="64">
        <f>($DW610-$DW611)*100</f>
        <v/>
      </c>
      <c r="DZ610" s="64">
        <f>($DX610-$DX611)*100</f>
        <v/>
      </c>
      <c r="EA610" s="64">
        <f>($DW610-$D610)*100</f>
        <v/>
      </c>
      <c r="EB610" s="64">
        <f>$Q610-$O610</f>
        <v/>
      </c>
      <c r="EC610" s="67">
        <f>IFERROR($Q610/$P610,"")</f>
        <v/>
      </c>
    </row>
    <row r="611">
      <c r="DG611" s="64">
        <f>($B611-$B612)*100</f>
        <v/>
      </c>
      <c r="DH611" s="64">
        <f>($D611-$D612)*100</f>
        <v/>
      </c>
      <c r="DI611" s="64">
        <f>($E611-$E612)*100</f>
        <v/>
      </c>
      <c r="DJ611" s="64">
        <f>($H611-$H612)*100</f>
        <v/>
      </c>
      <c r="DK611" s="65">
        <f>IFERROR($J611/$J612-1,"")</f>
        <v/>
      </c>
      <c r="DL611" s="64">
        <f>$L611-$L612</f>
        <v/>
      </c>
      <c r="DM611" s="64">
        <f>$K611-$K612</f>
        <v/>
      </c>
      <c r="DN611" s="65">
        <f>IFERROR($N611/$N612-1,"")</f>
        <v/>
      </c>
      <c r="DO611" s="65">
        <f>IFERROR($M611/$M612-1,"")</f>
        <v/>
      </c>
      <c r="DP611" s="65">
        <f>IFERROR($AZ611/$AZ612-1,"")</f>
        <v/>
      </c>
      <c r="DQ611" s="65">
        <f>IFERROR($BA611/$BA612-1,"")</f>
        <v/>
      </c>
      <c r="DR611" s="64">
        <f>$O611-$O612</f>
        <v/>
      </c>
      <c r="DS611" s="64">
        <f>$P611-$P612</f>
        <v/>
      </c>
      <c r="DT611" s="64">
        <f>$Q611-$Q612</f>
        <v/>
      </c>
      <c r="DU611" s="64">
        <f>$S611-$S612</f>
        <v/>
      </c>
      <c r="DV611" s="65">
        <f>IFERROR(AVERAGE($AA612/$AA611-1,$AB612/$AB611-1,$AC612/$AC611-1,$AD612/$AD611-1,$AE612/$AE611-1,$AG612/$AG611-1,$AH612/$AH611-1,$AI612/$AI611-1,$AJ612/$AJ611-1,$AL612/$AL611-1,$AM612/$AM611-1,$AR612/$AR611-1,$AS612/$AS611-1,$AT612/$AT611-1,$AU612/$AU611-1,$AV612/$AV611-1,$AW612/$AW611-1,$AX612/$AX611-1,$AY612/$AY611-1),"")</f>
        <v/>
      </c>
      <c r="DW611" s="66">
        <f>AVERAGE($CB611,$CC611,$CD611,$CE611,$CF611,$CG611,$CH611,$CI611,$CJ611,$CL611,$CM611,$CN611,$CO611,$CP611,$CQ611,$CR611,$CS611,$CT611)</f>
        <v/>
      </c>
      <c r="DX611" s="66">
        <f>AVERAGE($CB611,$CC611,$CM611,$CE611,$CP611)</f>
        <v/>
      </c>
      <c r="DY611" s="64">
        <f>($DW611-$DW612)*100</f>
        <v/>
      </c>
      <c r="DZ611" s="64">
        <f>($DX611-$DX612)*100</f>
        <v/>
      </c>
      <c r="EA611" s="64">
        <f>($DW611-$D611)*100</f>
        <v/>
      </c>
      <c r="EB611" s="64">
        <f>$Q611-$O611</f>
        <v/>
      </c>
      <c r="EC611" s="67">
        <f>IFERROR($Q611/$P611,"")</f>
        <v/>
      </c>
    </row>
    <row r="612">
      <c r="DG612" s="64">
        <f>($B612-$B613)*100</f>
        <v/>
      </c>
      <c r="DH612" s="64">
        <f>($D612-$D613)*100</f>
        <v/>
      </c>
      <c r="DI612" s="64">
        <f>($E612-$E613)*100</f>
        <v/>
      </c>
      <c r="DJ612" s="64">
        <f>($H612-$H613)*100</f>
        <v/>
      </c>
      <c r="DK612" s="65">
        <f>IFERROR($J612/$J613-1,"")</f>
        <v/>
      </c>
      <c r="DL612" s="64">
        <f>$L612-$L613</f>
        <v/>
      </c>
      <c r="DM612" s="64">
        <f>$K612-$K613</f>
        <v/>
      </c>
      <c r="DN612" s="65">
        <f>IFERROR($N612/$N613-1,"")</f>
        <v/>
      </c>
      <c r="DO612" s="65">
        <f>IFERROR($M612/$M613-1,"")</f>
        <v/>
      </c>
      <c r="DP612" s="65">
        <f>IFERROR($AZ612/$AZ613-1,"")</f>
        <v/>
      </c>
      <c r="DQ612" s="65">
        <f>IFERROR($BA612/$BA613-1,"")</f>
        <v/>
      </c>
      <c r="DR612" s="64">
        <f>$O612-$O613</f>
        <v/>
      </c>
      <c r="DS612" s="64">
        <f>$P612-$P613</f>
        <v/>
      </c>
      <c r="DT612" s="64">
        <f>$Q612-$Q613</f>
        <v/>
      </c>
      <c r="DU612" s="64">
        <f>$S612-$S613</f>
        <v/>
      </c>
      <c r="DV612" s="65">
        <f>IFERROR(AVERAGE($AA613/$AA612-1,$AB613/$AB612-1,$AC613/$AC612-1,$AD613/$AD612-1,$AE613/$AE612-1,$AG613/$AG612-1,$AH613/$AH612-1,$AI613/$AI612-1,$AJ613/$AJ612-1,$AL613/$AL612-1,$AM613/$AM612-1,$AR613/$AR612-1,$AS613/$AS612-1,$AT613/$AT612-1,$AU613/$AU612-1,$AV613/$AV612-1,$AW613/$AW612-1,$AX613/$AX612-1,$AY613/$AY612-1),"")</f>
        <v/>
      </c>
      <c r="DW612" s="66">
        <f>AVERAGE($CB612,$CC612,$CD612,$CE612,$CF612,$CG612,$CH612,$CI612,$CJ612,$CL612,$CM612,$CN612,$CO612,$CP612,$CQ612,$CR612,$CS612,$CT612)</f>
        <v/>
      </c>
      <c r="DX612" s="66">
        <f>AVERAGE($CB612,$CC612,$CM612,$CE612,$CP612)</f>
        <v/>
      </c>
      <c r="DY612" s="64">
        <f>($DW612-$DW613)*100</f>
        <v/>
      </c>
      <c r="DZ612" s="64">
        <f>($DX612-$DX613)*100</f>
        <v/>
      </c>
      <c r="EA612" s="64">
        <f>($DW612-$D612)*100</f>
        <v/>
      </c>
      <c r="EB612" s="64">
        <f>$Q612-$O612</f>
        <v/>
      </c>
      <c r="EC612" s="67">
        <f>IFERROR($Q612/$P612,"")</f>
        <v/>
      </c>
    </row>
    <row r="613">
      <c r="DG613" s="64">
        <f>($B613-$B614)*100</f>
        <v/>
      </c>
      <c r="DH613" s="64">
        <f>($D613-$D614)*100</f>
        <v/>
      </c>
      <c r="DI613" s="64">
        <f>($E613-$E614)*100</f>
        <v/>
      </c>
      <c r="DJ613" s="64">
        <f>($H613-$H614)*100</f>
        <v/>
      </c>
      <c r="DK613" s="65">
        <f>IFERROR($J613/$J614-1,"")</f>
        <v/>
      </c>
      <c r="DL613" s="64">
        <f>$L613-$L614</f>
        <v/>
      </c>
      <c r="DM613" s="64">
        <f>$K613-$K614</f>
        <v/>
      </c>
      <c r="DN613" s="65">
        <f>IFERROR($N613/$N614-1,"")</f>
        <v/>
      </c>
      <c r="DO613" s="65">
        <f>IFERROR($M613/$M614-1,"")</f>
        <v/>
      </c>
      <c r="DP613" s="65">
        <f>IFERROR($AZ613/$AZ614-1,"")</f>
        <v/>
      </c>
      <c r="DQ613" s="65">
        <f>IFERROR($BA613/$BA614-1,"")</f>
        <v/>
      </c>
      <c r="DR613" s="64">
        <f>$O613-$O614</f>
        <v/>
      </c>
      <c r="DS613" s="64">
        <f>$P613-$P614</f>
        <v/>
      </c>
      <c r="DT613" s="64">
        <f>$Q613-$Q614</f>
        <v/>
      </c>
      <c r="DU613" s="64">
        <f>$S613-$S614</f>
        <v/>
      </c>
      <c r="DV613" s="65">
        <f>IFERROR(AVERAGE($AA614/$AA613-1,$AB614/$AB613-1,$AC614/$AC613-1,$AD614/$AD613-1,$AE614/$AE613-1,$AG614/$AG613-1,$AH614/$AH613-1,$AI614/$AI613-1,$AJ614/$AJ613-1,$AL614/$AL613-1,$AM614/$AM613-1,$AR614/$AR613-1,$AS614/$AS613-1,$AT614/$AT613-1,$AU614/$AU613-1,$AV614/$AV613-1,$AW614/$AW613-1,$AX614/$AX613-1,$AY614/$AY613-1),"")</f>
        <v/>
      </c>
      <c r="DW613" s="66">
        <f>AVERAGE($CB613,$CC613,$CD613,$CE613,$CF613,$CG613,$CH613,$CI613,$CJ613,$CL613,$CM613,$CN613,$CO613,$CP613,$CQ613,$CR613,$CS613,$CT613)</f>
        <v/>
      </c>
      <c r="DX613" s="66">
        <f>AVERAGE($CB613,$CC613,$CM613,$CE613,$CP613)</f>
        <v/>
      </c>
      <c r="DY613" s="64">
        <f>($DW613-$DW614)*100</f>
        <v/>
      </c>
      <c r="DZ613" s="64">
        <f>($DX613-$DX614)*100</f>
        <v/>
      </c>
      <c r="EA613" s="64">
        <f>($DW613-$D613)*100</f>
        <v/>
      </c>
      <c r="EB613" s="64">
        <f>$Q613-$O613</f>
        <v/>
      </c>
      <c r="EC613" s="67">
        <f>IFERROR($Q613/$P613,"")</f>
        <v/>
      </c>
    </row>
    <row r="614">
      <c r="DG614" s="64">
        <f>($B614-$B615)*100</f>
        <v/>
      </c>
      <c r="DH614" s="64">
        <f>($D614-$D615)*100</f>
        <v/>
      </c>
      <c r="DI614" s="64">
        <f>($E614-$E615)*100</f>
        <v/>
      </c>
      <c r="DJ614" s="64">
        <f>($H614-$H615)*100</f>
        <v/>
      </c>
      <c r="DK614" s="65">
        <f>IFERROR($J614/$J615-1,"")</f>
        <v/>
      </c>
      <c r="DL614" s="64">
        <f>$L614-$L615</f>
        <v/>
      </c>
      <c r="DM614" s="64">
        <f>$K614-$K615</f>
        <v/>
      </c>
      <c r="DN614" s="65">
        <f>IFERROR($N614/$N615-1,"")</f>
        <v/>
      </c>
      <c r="DO614" s="65">
        <f>IFERROR($M614/$M615-1,"")</f>
        <v/>
      </c>
      <c r="DP614" s="65">
        <f>IFERROR($AZ614/$AZ615-1,"")</f>
        <v/>
      </c>
      <c r="DQ614" s="65">
        <f>IFERROR($BA614/$BA615-1,"")</f>
        <v/>
      </c>
      <c r="DR614" s="64">
        <f>$O614-$O615</f>
        <v/>
      </c>
      <c r="DS614" s="64">
        <f>$P614-$P615</f>
        <v/>
      </c>
      <c r="DT614" s="64">
        <f>$Q614-$Q615</f>
        <v/>
      </c>
      <c r="DU614" s="64">
        <f>$S614-$S615</f>
        <v/>
      </c>
      <c r="DV614" s="65">
        <f>IFERROR(AVERAGE($AA615/$AA614-1,$AB615/$AB614-1,$AC615/$AC614-1,$AD615/$AD614-1,$AE615/$AE614-1,$AG615/$AG614-1,$AH615/$AH614-1,$AI615/$AI614-1,$AJ615/$AJ614-1,$AL615/$AL614-1,$AM615/$AM614-1,$AR615/$AR614-1,$AS615/$AS614-1,$AT615/$AT614-1,$AU615/$AU614-1,$AV615/$AV614-1,$AW615/$AW614-1,$AX615/$AX614-1,$AY615/$AY614-1),"")</f>
        <v/>
      </c>
      <c r="DW614" s="66">
        <f>AVERAGE($CB614,$CC614,$CD614,$CE614,$CF614,$CG614,$CH614,$CI614,$CJ614,$CL614,$CM614,$CN614,$CO614,$CP614,$CQ614,$CR614,$CS614,$CT614)</f>
        <v/>
      </c>
      <c r="DX614" s="66">
        <f>AVERAGE($CB614,$CC614,$CM614,$CE614,$CP614)</f>
        <v/>
      </c>
      <c r="DY614" s="64">
        <f>($DW614-$DW615)*100</f>
        <v/>
      </c>
      <c r="DZ614" s="64">
        <f>($DX614-$DX615)*100</f>
        <v/>
      </c>
      <c r="EA614" s="64">
        <f>($DW614-$D614)*100</f>
        <v/>
      </c>
      <c r="EB614" s="64">
        <f>$Q614-$O614</f>
        <v/>
      </c>
      <c r="EC614" s="67">
        <f>IFERROR($Q614/$P614,"")</f>
        <v/>
      </c>
    </row>
    <row r="615">
      <c r="DG615" s="64">
        <f>($B615-$B616)*100</f>
        <v/>
      </c>
      <c r="DH615" s="64">
        <f>($D615-$D616)*100</f>
        <v/>
      </c>
      <c r="DI615" s="64">
        <f>($E615-$E616)*100</f>
        <v/>
      </c>
      <c r="DJ615" s="64">
        <f>($H615-$H616)*100</f>
        <v/>
      </c>
      <c r="DK615" s="65">
        <f>IFERROR($J615/$J616-1,"")</f>
        <v/>
      </c>
      <c r="DL615" s="64">
        <f>$L615-$L616</f>
        <v/>
      </c>
      <c r="DM615" s="64">
        <f>$K615-$K616</f>
        <v/>
      </c>
      <c r="DN615" s="65">
        <f>IFERROR($N615/$N616-1,"")</f>
        <v/>
      </c>
      <c r="DO615" s="65">
        <f>IFERROR($M615/$M616-1,"")</f>
        <v/>
      </c>
      <c r="DP615" s="65">
        <f>IFERROR($AZ615/$AZ616-1,"")</f>
        <v/>
      </c>
      <c r="DQ615" s="65">
        <f>IFERROR($BA615/$BA616-1,"")</f>
        <v/>
      </c>
      <c r="DR615" s="64">
        <f>$O615-$O616</f>
        <v/>
      </c>
      <c r="DS615" s="64">
        <f>$P615-$P616</f>
        <v/>
      </c>
      <c r="DT615" s="64">
        <f>$Q615-$Q616</f>
        <v/>
      </c>
      <c r="DU615" s="64">
        <f>$S615-$S616</f>
        <v/>
      </c>
      <c r="DV615" s="65">
        <f>IFERROR(AVERAGE($AA616/$AA615-1,$AB616/$AB615-1,$AC616/$AC615-1,$AD616/$AD615-1,$AE616/$AE615-1,$AG616/$AG615-1,$AH616/$AH615-1,$AI616/$AI615-1,$AJ616/$AJ615-1,$AL616/$AL615-1,$AM616/$AM615-1,$AR616/$AR615-1,$AS616/$AS615-1,$AT616/$AT615-1,$AU616/$AU615-1,$AV616/$AV615-1,$AW616/$AW615-1,$AX616/$AX615-1,$AY616/$AY615-1),"")</f>
        <v/>
      </c>
      <c r="DW615" s="66">
        <f>AVERAGE($CB615,$CC615,$CD615,$CE615,$CF615,$CG615,$CH615,$CI615,$CJ615,$CL615,$CM615,$CN615,$CO615,$CP615,$CQ615,$CR615,$CS615,$CT615)</f>
        <v/>
      </c>
      <c r="DX615" s="66">
        <f>AVERAGE($CB615,$CC615,$CM615,$CE615,$CP615)</f>
        <v/>
      </c>
      <c r="DY615" s="64">
        <f>($DW615-$DW616)*100</f>
        <v/>
      </c>
      <c r="DZ615" s="64">
        <f>($DX615-$DX616)*100</f>
        <v/>
      </c>
      <c r="EA615" s="64">
        <f>($DW615-$D615)*100</f>
        <v/>
      </c>
      <c r="EB615" s="64">
        <f>$Q615-$O615</f>
        <v/>
      </c>
      <c r="EC615" s="67">
        <f>IFERROR($Q615/$P615,"")</f>
        <v/>
      </c>
    </row>
    <row r="616">
      <c r="DG616" s="64">
        <f>($B616-$B617)*100</f>
        <v/>
      </c>
      <c r="DH616" s="64">
        <f>($D616-$D617)*100</f>
        <v/>
      </c>
      <c r="DI616" s="64">
        <f>($E616-$E617)*100</f>
        <v/>
      </c>
      <c r="DJ616" s="64">
        <f>($H616-$H617)*100</f>
        <v/>
      </c>
      <c r="DK616" s="65">
        <f>IFERROR($J616/$J617-1,"")</f>
        <v/>
      </c>
      <c r="DL616" s="64">
        <f>$L616-$L617</f>
        <v/>
      </c>
      <c r="DM616" s="64">
        <f>$K616-$K617</f>
        <v/>
      </c>
      <c r="DN616" s="65">
        <f>IFERROR($N616/$N617-1,"")</f>
        <v/>
      </c>
      <c r="DO616" s="65">
        <f>IFERROR($M616/$M617-1,"")</f>
        <v/>
      </c>
      <c r="DP616" s="65">
        <f>IFERROR($AZ616/$AZ617-1,"")</f>
        <v/>
      </c>
      <c r="DQ616" s="65">
        <f>IFERROR($BA616/$BA617-1,"")</f>
        <v/>
      </c>
      <c r="DR616" s="64">
        <f>$O616-$O617</f>
        <v/>
      </c>
      <c r="DS616" s="64">
        <f>$P616-$P617</f>
        <v/>
      </c>
      <c r="DT616" s="64">
        <f>$Q616-$Q617</f>
        <v/>
      </c>
      <c r="DU616" s="64">
        <f>$S616-$S617</f>
        <v/>
      </c>
      <c r="DV616" s="65">
        <f>IFERROR(AVERAGE($AA617/$AA616-1,$AB617/$AB616-1,$AC617/$AC616-1,$AD617/$AD616-1,$AE617/$AE616-1,$AG617/$AG616-1,$AH617/$AH616-1,$AI617/$AI616-1,$AJ617/$AJ616-1,$AL617/$AL616-1,$AM617/$AM616-1,$AR617/$AR616-1,$AS617/$AS616-1,$AT617/$AT616-1,$AU617/$AU616-1,$AV617/$AV616-1,$AW617/$AW616-1,$AX617/$AX616-1,$AY617/$AY616-1),"")</f>
        <v/>
      </c>
      <c r="DW616" s="66">
        <f>AVERAGE($CB616,$CC616,$CD616,$CE616,$CF616,$CG616,$CH616,$CI616,$CJ616,$CL616,$CM616,$CN616,$CO616,$CP616,$CQ616,$CR616,$CS616,$CT616)</f>
        <v/>
      </c>
      <c r="DX616" s="66">
        <f>AVERAGE($CB616,$CC616,$CM616,$CE616,$CP616)</f>
        <v/>
      </c>
      <c r="DY616" s="64">
        <f>($DW616-$DW617)*100</f>
        <v/>
      </c>
      <c r="DZ616" s="64">
        <f>($DX616-$DX617)*100</f>
        <v/>
      </c>
      <c r="EA616" s="64">
        <f>($DW616-$D616)*100</f>
        <v/>
      </c>
      <c r="EB616" s="64">
        <f>$Q616-$O616</f>
        <v/>
      </c>
      <c r="EC616" s="67">
        <f>IFERROR($Q616/$P616,"")</f>
        <v/>
      </c>
    </row>
    <row r="617">
      <c r="DG617" s="64">
        <f>($B617-$B618)*100</f>
        <v/>
      </c>
      <c r="DH617" s="64">
        <f>($D617-$D618)*100</f>
        <v/>
      </c>
      <c r="DI617" s="64">
        <f>($E617-$E618)*100</f>
        <v/>
      </c>
      <c r="DJ617" s="64">
        <f>($H617-$H618)*100</f>
        <v/>
      </c>
      <c r="DK617" s="65">
        <f>IFERROR($J617/$J618-1,"")</f>
        <v/>
      </c>
      <c r="DL617" s="64">
        <f>$L617-$L618</f>
        <v/>
      </c>
      <c r="DM617" s="64">
        <f>$K617-$K618</f>
        <v/>
      </c>
      <c r="DN617" s="65">
        <f>IFERROR($N617/$N618-1,"")</f>
        <v/>
      </c>
      <c r="DO617" s="65">
        <f>IFERROR($M617/$M618-1,"")</f>
        <v/>
      </c>
      <c r="DP617" s="65">
        <f>IFERROR($AZ617/$AZ618-1,"")</f>
        <v/>
      </c>
      <c r="DQ617" s="65">
        <f>IFERROR($BA617/$BA618-1,"")</f>
        <v/>
      </c>
      <c r="DR617" s="64">
        <f>$O617-$O618</f>
        <v/>
      </c>
      <c r="DS617" s="64">
        <f>$P617-$P618</f>
        <v/>
      </c>
      <c r="DT617" s="64">
        <f>$Q617-$Q618</f>
        <v/>
      </c>
      <c r="DU617" s="64">
        <f>$S617-$S618</f>
        <v/>
      </c>
      <c r="DV617" s="65">
        <f>IFERROR(AVERAGE($AA618/$AA617-1,$AB618/$AB617-1,$AC618/$AC617-1,$AD618/$AD617-1,$AE618/$AE617-1,$AG618/$AG617-1,$AH618/$AH617-1,$AI618/$AI617-1,$AJ618/$AJ617-1,$AL618/$AL617-1,$AM618/$AM617-1,$AR618/$AR617-1,$AS618/$AS617-1,$AT618/$AT617-1,$AU618/$AU617-1,$AV618/$AV617-1,$AW618/$AW617-1,$AX618/$AX617-1,$AY618/$AY617-1),"")</f>
        <v/>
      </c>
      <c r="DW617" s="66">
        <f>AVERAGE($CB617,$CC617,$CD617,$CE617,$CF617,$CG617,$CH617,$CI617,$CJ617,$CL617,$CM617,$CN617,$CO617,$CP617,$CQ617,$CR617,$CS617,$CT617)</f>
        <v/>
      </c>
      <c r="DX617" s="66">
        <f>AVERAGE($CB617,$CC617,$CM617,$CE617,$CP617)</f>
        <v/>
      </c>
      <c r="DY617" s="64">
        <f>($DW617-$DW618)*100</f>
        <v/>
      </c>
      <c r="DZ617" s="64">
        <f>($DX617-$DX618)*100</f>
        <v/>
      </c>
      <c r="EA617" s="64">
        <f>($DW617-$D617)*100</f>
        <v/>
      </c>
      <c r="EB617" s="64">
        <f>$Q617-$O617</f>
        <v/>
      </c>
      <c r="EC617" s="67">
        <f>IFERROR($Q617/$P617,"")</f>
        <v/>
      </c>
    </row>
    <row r="618">
      <c r="DG618" s="64">
        <f>($B618-$B619)*100</f>
        <v/>
      </c>
      <c r="DH618" s="64">
        <f>($D618-$D619)*100</f>
        <v/>
      </c>
      <c r="DI618" s="64">
        <f>($E618-$E619)*100</f>
        <v/>
      </c>
      <c r="DJ618" s="64">
        <f>($H618-$H619)*100</f>
        <v/>
      </c>
      <c r="DK618" s="65">
        <f>IFERROR($J618/$J619-1,"")</f>
        <v/>
      </c>
      <c r="DL618" s="64">
        <f>$L618-$L619</f>
        <v/>
      </c>
      <c r="DM618" s="64">
        <f>$K618-$K619</f>
        <v/>
      </c>
      <c r="DN618" s="65">
        <f>IFERROR($N618/$N619-1,"")</f>
        <v/>
      </c>
      <c r="DO618" s="65">
        <f>IFERROR($M618/$M619-1,"")</f>
        <v/>
      </c>
      <c r="DP618" s="65">
        <f>IFERROR($AZ618/$AZ619-1,"")</f>
        <v/>
      </c>
      <c r="DQ618" s="65">
        <f>IFERROR($BA618/$BA619-1,"")</f>
        <v/>
      </c>
      <c r="DR618" s="64">
        <f>$O618-$O619</f>
        <v/>
      </c>
      <c r="DS618" s="64">
        <f>$P618-$P619</f>
        <v/>
      </c>
      <c r="DT618" s="64">
        <f>$Q618-$Q619</f>
        <v/>
      </c>
      <c r="DU618" s="64">
        <f>$S618-$S619</f>
        <v/>
      </c>
      <c r="DV618" s="65">
        <f>IFERROR(AVERAGE($AA619/$AA618-1,$AB619/$AB618-1,$AC619/$AC618-1,$AD619/$AD618-1,$AE619/$AE618-1,$AG619/$AG618-1,$AH619/$AH618-1,$AI619/$AI618-1,$AJ619/$AJ618-1,$AL619/$AL618-1,$AM619/$AM618-1,$AR619/$AR618-1,$AS619/$AS618-1,$AT619/$AT618-1,$AU619/$AU618-1,$AV619/$AV618-1,$AW619/$AW618-1,$AX619/$AX618-1,$AY619/$AY618-1),"")</f>
        <v/>
      </c>
      <c r="DW618" s="66">
        <f>AVERAGE($CB618,$CC618,$CD618,$CE618,$CF618,$CG618,$CH618,$CI618,$CJ618,$CL618,$CM618,$CN618,$CO618,$CP618,$CQ618,$CR618,$CS618,$CT618)</f>
        <v/>
      </c>
      <c r="DX618" s="66">
        <f>AVERAGE($CB618,$CC618,$CM618,$CE618,$CP618)</f>
        <v/>
      </c>
      <c r="DY618" s="64">
        <f>($DW618-$DW619)*100</f>
        <v/>
      </c>
      <c r="DZ618" s="64">
        <f>($DX618-$DX619)*100</f>
        <v/>
      </c>
      <c r="EA618" s="64">
        <f>($DW618-$D618)*100</f>
        <v/>
      </c>
      <c r="EB618" s="64">
        <f>$Q618-$O618</f>
        <v/>
      </c>
      <c r="EC618" s="67">
        <f>IFERROR($Q618/$P618,"")</f>
        <v/>
      </c>
    </row>
    <row r="619">
      <c r="DG619" s="64">
        <f>($B619-$B620)*100</f>
        <v/>
      </c>
      <c r="DH619" s="64">
        <f>($D619-$D620)*100</f>
        <v/>
      </c>
      <c r="DI619" s="64">
        <f>($E619-$E620)*100</f>
        <v/>
      </c>
      <c r="DJ619" s="64">
        <f>($H619-$H620)*100</f>
        <v/>
      </c>
      <c r="DK619" s="65">
        <f>IFERROR($J619/$J620-1,"")</f>
        <v/>
      </c>
      <c r="DL619" s="64">
        <f>$L619-$L620</f>
        <v/>
      </c>
      <c r="DM619" s="64">
        <f>$K619-$K620</f>
        <v/>
      </c>
      <c r="DN619" s="65">
        <f>IFERROR($N619/$N620-1,"")</f>
        <v/>
      </c>
      <c r="DO619" s="65">
        <f>IFERROR($M619/$M620-1,"")</f>
        <v/>
      </c>
      <c r="DP619" s="65">
        <f>IFERROR($AZ619/$AZ620-1,"")</f>
        <v/>
      </c>
      <c r="DQ619" s="65">
        <f>IFERROR($BA619/$BA620-1,"")</f>
        <v/>
      </c>
      <c r="DR619" s="64">
        <f>$O619-$O620</f>
        <v/>
      </c>
      <c r="DS619" s="64">
        <f>$P619-$P620</f>
        <v/>
      </c>
      <c r="DT619" s="64">
        <f>$Q619-$Q620</f>
        <v/>
      </c>
      <c r="DU619" s="64">
        <f>$S619-$S620</f>
        <v/>
      </c>
      <c r="DV619" s="65">
        <f>IFERROR(AVERAGE($AA620/$AA619-1,$AB620/$AB619-1,$AC620/$AC619-1,$AD620/$AD619-1,$AE620/$AE619-1,$AG620/$AG619-1,$AH620/$AH619-1,$AI620/$AI619-1,$AJ620/$AJ619-1,$AL620/$AL619-1,$AM620/$AM619-1,$AR620/$AR619-1,$AS620/$AS619-1,$AT620/$AT619-1,$AU620/$AU619-1,$AV620/$AV619-1,$AW620/$AW619-1,$AX620/$AX619-1,$AY620/$AY619-1),"")</f>
        <v/>
      </c>
      <c r="DW619" s="66">
        <f>AVERAGE($CB619,$CC619,$CD619,$CE619,$CF619,$CG619,$CH619,$CI619,$CJ619,$CL619,$CM619,$CN619,$CO619,$CP619,$CQ619,$CR619,$CS619,$CT619)</f>
        <v/>
      </c>
      <c r="DX619" s="66">
        <f>AVERAGE($CB619,$CC619,$CM619,$CE619,$CP619)</f>
        <v/>
      </c>
      <c r="DY619" s="64">
        <f>($DW619-$DW620)*100</f>
        <v/>
      </c>
      <c r="DZ619" s="64">
        <f>($DX619-$DX620)*100</f>
        <v/>
      </c>
      <c r="EA619" s="64">
        <f>($DW619-$D619)*100</f>
        <v/>
      </c>
      <c r="EB619" s="64">
        <f>$Q619-$O619</f>
        <v/>
      </c>
      <c r="EC619" s="67">
        <f>IFERROR($Q619/$P619,"")</f>
        <v/>
      </c>
    </row>
    <row r="620">
      <c r="DG620" s="64">
        <f>($B620-$B621)*100</f>
        <v/>
      </c>
      <c r="DH620" s="64">
        <f>($D620-$D621)*100</f>
        <v/>
      </c>
      <c r="DI620" s="64">
        <f>($E620-$E621)*100</f>
        <v/>
      </c>
      <c r="DJ620" s="64">
        <f>($H620-$H621)*100</f>
        <v/>
      </c>
      <c r="DK620" s="65">
        <f>IFERROR($J620/$J621-1,"")</f>
        <v/>
      </c>
      <c r="DL620" s="64">
        <f>$L620-$L621</f>
        <v/>
      </c>
      <c r="DM620" s="64">
        <f>$K620-$K621</f>
        <v/>
      </c>
      <c r="DN620" s="65">
        <f>IFERROR($N620/$N621-1,"")</f>
        <v/>
      </c>
      <c r="DO620" s="65">
        <f>IFERROR($M620/$M621-1,"")</f>
        <v/>
      </c>
      <c r="DP620" s="65">
        <f>IFERROR($AZ620/$AZ621-1,"")</f>
        <v/>
      </c>
      <c r="DQ620" s="65">
        <f>IFERROR($BA620/$BA621-1,"")</f>
        <v/>
      </c>
      <c r="DR620" s="64">
        <f>$O620-$O621</f>
        <v/>
      </c>
      <c r="DS620" s="64">
        <f>$P620-$P621</f>
        <v/>
      </c>
      <c r="DT620" s="64">
        <f>$Q620-$Q621</f>
        <v/>
      </c>
      <c r="DU620" s="64">
        <f>$S620-$S621</f>
        <v/>
      </c>
      <c r="DV620" s="65">
        <f>IFERROR(AVERAGE($AA621/$AA620-1,$AB621/$AB620-1,$AC621/$AC620-1,$AD621/$AD620-1,$AE621/$AE620-1,$AG621/$AG620-1,$AH621/$AH620-1,$AI621/$AI620-1,$AJ621/$AJ620-1,$AL621/$AL620-1,$AM621/$AM620-1,$AR621/$AR620-1,$AS621/$AS620-1,$AT621/$AT620-1,$AU621/$AU620-1,$AV621/$AV620-1,$AW621/$AW620-1,$AX621/$AX620-1,$AY621/$AY620-1),"")</f>
        <v/>
      </c>
      <c r="DW620" s="66">
        <f>AVERAGE($CB620,$CC620,$CD620,$CE620,$CF620,$CG620,$CH620,$CI620,$CJ620,$CL620,$CM620,$CN620,$CO620,$CP620,$CQ620,$CR620,$CS620,$CT620)</f>
        <v/>
      </c>
      <c r="DX620" s="66">
        <f>AVERAGE($CB620,$CC620,$CM620,$CE620,$CP620)</f>
        <v/>
      </c>
      <c r="DY620" s="64">
        <f>($DW620-$DW621)*100</f>
        <v/>
      </c>
      <c r="DZ620" s="64">
        <f>($DX620-$DX621)*100</f>
        <v/>
      </c>
      <c r="EA620" s="64">
        <f>($DW620-$D620)*100</f>
        <v/>
      </c>
      <c r="EB620" s="64">
        <f>$Q620-$O620</f>
        <v/>
      </c>
      <c r="EC620" s="67">
        <f>IFERROR($Q620/$P620,"")</f>
        <v/>
      </c>
    </row>
    <row r="621">
      <c r="DG621" s="64">
        <f>($B621-$B622)*100</f>
        <v/>
      </c>
      <c r="DH621" s="64">
        <f>($D621-$D622)*100</f>
        <v/>
      </c>
      <c r="DI621" s="64">
        <f>($E621-$E622)*100</f>
        <v/>
      </c>
      <c r="DJ621" s="64">
        <f>($H621-$H622)*100</f>
        <v/>
      </c>
      <c r="DK621" s="65">
        <f>IFERROR($J621/$J622-1,"")</f>
        <v/>
      </c>
      <c r="DL621" s="64">
        <f>$L621-$L622</f>
        <v/>
      </c>
      <c r="DM621" s="64">
        <f>$K621-$K622</f>
        <v/>
      </c>
      <c r="DN621" s="65">
        <f>IFERROR($N621/$N622-1,"")</f>
        <v/>
      </c>
      <c r="DO621" s="65">
        <f>IFERROR($M621/$M622-1,"")</f>
        <v/>
      </c>
      <c r="DP621" s="65">
        <f>IFERROR($AZ621/$AZ622-1,"")</f>
        <v/>
      </c>
      <c r="DQ621" s="65">
        <f>IFERROR($BA621/$BA622-1,"")</f>
        <v/>
      </c>
      <c r="DR621" s="64">
        <f>$O621-$O622</f>
        <v/>
      </c>
      <c r="DS621" s="64">
        <f>$P621-$P622</f>
        <v/>
      </c>
      <c r="DT621" s="64">
        <f>$Q621-$Q622</f>
        <v/>
      </c>
      <c r="DU621" s="64">
        <f>$S621-$S622</f>
        <v/>
      </c>
      <c r="DV621" s="65">
        <f>IFERROR(AVERAGE($AA622/$AA621-1,$AB622/$AB621-1,$AC622/$AC621-1,$AD622/$AD621-1,$AE622/$AE621-1,$AG622/$AG621-1,$AH622/$AH621-1,$AI622/$AI621-1,$AJ622/$AJ621-1,$AL622/$AL621-1,$AM622/$AM621-1,$AR622/$AR621-1,$AS622/$AS621-1,$AT622/$AT621-1,$AU622/$AU621-1,$AV622/$AV621-1,$AW622/$AW621-1,$AX622/$AX621-1,$AY622/$AY621-1),"")</f>
        <v/>
      </c>
      <c r="DW621" s="66">
        <f>AVERAGE($CB621,$CC621,$CD621,$CE621,$CF621,$CG621,$CH621,$CI621,$CJ621,$CL621,$CM621,$CN621,$CO621,$CP621,$CQ621,$CR621,$CS621,$CT621)</f>
        <v/>
      </c>
      <c r="DX621" s="66">
        <f>AVERAGE($CB621,$CC621,$CM621,$CE621,$CP621)</f>
        <v/>
      </c>
      <c r="DY621" s="64">
        <f>($DW621-$DW622)*100</f>
        <v/>
      </c>
      <c r="DZ621" s="64">
        <f>($DX621-$DX622)*100</f>
        <v/>
      </c>
      <c r="EA621" s="64">
        <f>($DW621-$D621)*100</f>
        <v/>
      </c>
      <c r="EB621" s="64">
        <f>$Q621-$O621</f>
        <v/>
      </c>
      <c r="EC621" s="67">
        <f>IFERROR($Q621/$P621,"")</f>
        <v/>
      </c>
    </row>
    <row r="622">
      <c r="DG622" s="64">
        <f>($B622-$B623)*100</f>
        <v/>
      </c>
      <c r="DH622" s="64">
        <f>($D622-$D623)*100</f>
        <v/>
      </c>
      <c r="DI622" s="64">
        <f>($E622-$E623)*100</f>
        <v/>
      </c>
      <c r="DJ622" s="64">
        <f>($H622-$H623)*100</f>
        <v/>
      </c>
      <c r="DK622" s="65">
        <f>IFERROR($J622/$J623-1,"")</f>
        <v/>
      </c>
      <c r="DL622" s="64">
        <f>$L622-$L623</f>
        <v/>
      </c>
      <c r="DM622" s="64">
        <f>$K622-$K623</f>
        <v/>
      </c>
      <c r="DN622" s="65">
        <f>IFERROR($N622/$N623-1,"")</f>
        <v/>
      </c>
      <c r="DO622" s="65">
        <f>IFERROR($M622/$M623-1,"")</f>
        <v/>
      </c>
      <c r="DP622" s="65">
        <f>IFERROR($AZ622/$AZ623-1,"")</f>
        <v/>
      </c>
      <c r="DQ622" s="65">
        <f>IFERROR($BA622/$BA623-1,"")</f>
        <v/>
      </c>
      <c r="DR622" s="64">
        <f>$O622-$O623</f>
        <v/>
      </c>
      <c r="DS622" s="64">
        <f>$P622-$P623</f>
        <v/>
      </c>
      <c r="DT622" s="64">
        <f>$Q622-$Q623</f>
        <v/>
      </c>
      <c r="DU622" s="64">
        <f>$S622-$S623</f>
        <v/>
      </c>
      <c r="DV622" s="65">
        <f>IFERROR(AVERAGE($AA623/$AA622-1,$AB623/$AB622-1,$AC623/$AC622-1,$AD623/$AD622-1,$AE623/$AE622-1,$AG623/$AG622-1,$AH623/$AH622-1,$AI623/$AI622-1,$AJ623/$AJ622-1,$AL623/$AL622-1,$AM623/$AM622-1,$AR623/$AR622-1,$AS623/$AS622-1,$AT623/$AT622-1,$AU623/$AU622-1,$AV623/$AV622-1,$AW623/$AW622-1,$AX623/$AX622-1,$AY623/$AY622-1),"")</f>
        <v/>
      </c>
      <c r="DW622" s="66">
        <f>AVERAGE($CB622,$CC622,$CD622,$CE622,$CF622,$CG622,$CH622,$CI622,$CJ622,$CL622,$CM622,$CN622,$CO622,$CP622,$CQ622,$CR622,$CS622,$CT622)</f>
        <v/>
      </c>
      <c r="DX622" s="66">
        <f>AVERAGE($CB622,$CC622,$CM622,$CE622,$CP622)</f>
        <v/>
      </c>
      <c r="DY622" s="64">
        <f>($DW622-$DW623)*100</f>
        <v/>
      </c>
      <c r="DZ622" s="64">
        <f>($DX622-$DX623)*100</f>
        <v/>
      </c>
      <c r="EA622" s="64">
        <f>($DW622-$D622)*100</f>
        <v/>
      </c>
      <c r="EB622" s="64">
        <f>$Q622-$O622</f>
        <v/>
      </c>
      <c r="EC622" s="67">
        <f>IFERROR($Q622/$P622,"")</f>
        <v/>
      </c>
    </row>
    <row r="623">
      <c r="DG623" s="64">
        <f>($B623-$B624)*100</f>
        <v/>
      </c>
      <c r="DH623" s="64">
        <f>($D623-$D624)*100</f>
        <v/>
      </c>
      <c r="DI623" s="64">
        <f>($E623-$E624)*100</f>
        <v/>
      </c>
      <c r="DJ623" s="64">
        <f>($H623-$H624)*100</f>
        <v/>
      </c>
      <c r="DK623" s="65">
        <f>IFERROR($J623/$J624-1,"")</f>
        <v/>
      </c>
      <c r="DL623" s="64">
        <f>$L623-$L624</f>
        <v/>
      </c>
      <c r="DM623" s="64">
        <f>$K623-$K624</f>
        <v/>
      </c>
      <c r="DN623" s="65">
        <f>IFERROR($N623/$N624-1,"")</f>
        <v/>
      </c>
      <c r="DO623" s="65">
        <f>IFERROR($M623/$M624-1,"")</f>
        <v/>
      </c>
      <c r="DP623" s="65">
        <f>IFERROR($AZ623/$AZ624-1,"")</f>
        <v/>
      </c>
      <c r="DQ623" s="65">
        <f>IFERROR($BA623/$BA624-1,"")</f>
        <v/>
      </c>
      <c r="DR623" s="64">
        <f>$O623-$O624</f>
        <v/>
      </c>
      <c r="DS623" s="64">
        <f>$P623-$P624</f>
        <v/>
      </c>
      <c r="DT623" s="64">
        <f>$Q623-$Q624</f>
        <v/>
      </c>
      <c r="DU623" s="64">
        <f>$S623-$S624</f>
        <v/>
      </c>
      <c r="DV623" s="65">
        <f>IFERROR(AVERAGE($AA624/$AA623-1,$AB624/$AB623-1,$AC624/$AC623-1,$AD624/$AD623-1,$AE624/$AE623-1,$AG624/$AG623-1,$AH624/$AH623-1,$AI624/$AI623-1,$AJ624/$AJ623-1,$AL624/$AL623-1,$AM624/$AM623-1,$AR624/$AR623-1,$AS624/$AS623-1,$AT624/$AT623-1,$AU624/$AU623-1,$AV624/$AV623-1,$AW624/$AW623-1,$AX624/$AX623-1,$AY624/$AY623-1),"")</f>
        <v/>
      </c>
      <c r="DW623" s="66">
        <f>AVERAGE($CB623,$CC623,$CD623,$CE623,$CF623,$CG623,$CH623,$CI623,$CJ623,$CL623,$CM623,$CN623,$CO623,$CP623,$CQ623,$CR623,$CS623,$CT623)</f>
        <v/>
      </c>
      <c r="DX623" s="66">
        <f>AVERAGE($CB623,$CC623,$CM623,$CE623,$CP623)</f>
        <v/>
      </c>
      <c r="DY623" s="64">
        <f>($DW623-$DW624)*100</f>
        <v/>
      </c>
      <c r="DZ623" s="64">
        <f>($DX623-$DX624)*100</f>
        <v/>
      </c>
      <c r="EA623" s="64">
        <f>($DW623-$D623)*100</f>
        <v/>
      </c>
      <c r="EB623" s="64">
        <f>$Q623-$O623</f>
        <v/>
      </c>
      <c r="EC623" s="67">
        <f>IFERROR($Q623/$P623,"")</f>
        <v/>
      </c>
    </row>
    <row r="624">
      <c r="DG624" s="64">
        <f>($B624-$B625)*100</f>
        <v/>
      </c>
      <c r="DH624" s="64">
        <f>($D624-$D625)*100</f>
        <v/>
      </c>
      <c r="DI624" s="64">
        <f>($E624-$E625)*100</f>
        <v/>
      </c>
      <c r="DJ624" s="64">
        <f>($H624-$H625)*100</f>
        <v/>
      </c>
      <c r="DK624" s="65">
        <f>IFERROR($J624/$J625-1,"")</f>
        <v/>
      </c>
      <c r="DL624" s="64">
        <f>$L624-$L625</f>
        <v/>
      </c>
      <c r="DM624" s="64">
        <f>$K624-$K625</f>
        <v/>
      </c>
      <c r="DN624" s="65">
        <f>IFERROR($N624/$N625-1,"")</f>
        <v/>
      </c>
      <c r="DO624" s="65">
        <f>IFERROR($M624/$M625-1,"")</f>
        <v/>
      </c>
      <c r="DP624" s="65">
        <f>IFERROR($AZ624/$AZ625-1,"")</f>
        <v/>
      </c>
      <c r="DQ624" s="65">
        <f>IFERROR($BA624/$BA625-1,"")</f>
        <v/>
      </c>
      <c r="DR624" s="64">
        <f>$O624-$O625</f>
        <v/>
      </c>
      <c r="DS624" s="64">
        <f>$P624-$P625</f>
        <v/>
      </c>
      <c r="DT624" s="64">
        <f>$Q624-$Q625</f>
        <v/>
      </c>
      <c r="DU624" s="64">
        <f>$S624-$S625</f>
        <v/>
      </c>
      <c r="DV624" s="65">
        <f>IFERROR(AVERAGE($AA625/$AA624-1,$AB625/$AB624-1,$AC625/$AC624-1,$AD625/$AD624-1,$AE625/$AE624-1,$AG625/$AG624-1,$AH625/$AH624-1,$AI625/$AI624-1,$AJ625/$AJ624-1,$AL625/$AL624-1,$AM625/$AM624-1,$AR625/$AR624-1,$AS625/$AS624-1,$AT625/$AT624-1,$AU625/$AU624-1,$AV625/$AV624-1,$AW625/$AW624-1,$AX625/$AX624-1,$AY625/$AY624-1),"")</f>
        <v/>
      </c>
      <c r="DW624" s="66">
        <f>AVERAGE($CB624,$CC624,$CD624,$CE624,$CF624,$CG624,$CH624,$CI624,$CJ624,$CL624,$CM624,$CN624,$CO624,$CP624,$CQ624,$CR624,$CS624,$CT624)</f>
        <v/>
      </c>
      <c r="DX624" s="66">
        <f>AVERAGE($CB624,$CC624,$CM624,$CE624,$CP624)</f>
        <v/>
      </c>
      <c r="DY624" s="64">
        <f>($DW624-$DW625)*100</f>
        <v/>
      </c>
      <c r="DZ624" s="64">
        <f>($DX624-$DX625)*100</f>
        <v/>
      </c>
      <c r="EA624" s="64">
        <f>($DW624-$D624)*100</f>
        <v/>
      </c>
      <c r="EB624" s="64">
        <f>$Q624-$O624</f>
        <v/>
      </c>
      <c r="EC624" s="67">
        <f>IFERROR($Q624/$P624,"")</f>
        <v/>
      </c>
    </row>
    <row r="625">
      <c r="DG625" s="64">
        <f>($B625-$B626)*100</f>
        <v/>
      </c>
      <c r="DH625" s="64">
        <f>($D625-$D626)*100</f>
        <v/>
      </c>
      <c r="DI625" s="64">
        <f>($E625-$E626)*100</f>
        <v/>
      </c>
      <c r="DJ625" s="64">
        <f>($H625-$H626)*100</f>
        <v/>
      </c>
      <c r="DK625" s="65">
        <f>IFERROR($J625/$J626-1,"")</f>
        <v/>
      </c>
      <c r="DL625" s="64">
        <f>$L625-$L626</f>
        <v/>
      </c>
      <c r="DM625" s="64">
        <f>$K625-$K626</f>
        <v/>
      </c>
      <c r="DN625" s="65">
        <f>IFERROR($N625/$N626-1,"")</f>
        <v/>
      </c>
      <c r="DO625" s="65">
        <f>IFERROR($M625/$M626-1,"")</f>
        <v/>
      </c>
      <c r="DP625" s="65">
        <f>IFERROR($AZ625/$AZ626-1,"")</f>
        <v/>
      </c>
      <c r="DQ625" s="65">
        <f>IFERROR($BA625/$BA626-1,"")</f>
        <v/>
      </c>
      <c r="DR625" s="64">
        <f>$O625-$O626</f>
        <v/>
      </c>
      <c r="DS625" s="64">
        <f>$P625-$P626</f>
        <v/>
      </c>
      <c r="DT625" s="64">
        <f>$Q625-$Q626</f>
        <v/>
      </c>
      <c r="DU625" s="64">
        <f>$S625-$S626</f>
        <v/>
      </c>
      <c r="DV625" s="65">
        <f>IFERROR(AVERAGE($AA626/$AA625-1,$AB626/$AB625-1,$AC626/$AC625-1,$AD626/$AD625-1,$AE626/$AE625-1,$AG626/$AG625-1,$AH626/$AH625-1,$AI626/$AI625-1,$AJ626/$AJ625-1,$AL626/$AL625-1,$AM626/$AM625-1,$AR626/$AR625-1,$AS626/$AS625-1,$AT626/$AT625-1,$AU626/$AU625-1,$AV626/$AV625-1,$AW626/$AW625-1,$AX626/$AX625-1,$AY626/$AY625-1),"")</f>
        <v/>
      </c>
      <c r="DW625" s="66">
        <f>AVERAGE($CB625,$CC625,$CD625,$CE625,$CF625,$CG625,$CH625,$CI625,$CJ625,$CL625,$CM625,$CN625,$CO625,$CP625,$CQ625,$CR625,$CS625,$CT625)</f>
        <v/>
      </c>
      <c r="DX625" s="66">
        <f>AVERAGE($CB625,$CC625,$CM625,$CE625,$CP625)</f>
        <v/>
      </c>
      <c r="DY625" s="64">
        <f>($DW625-$DW626)*100</f>
        <v/>
      </c>
      <c r="DZ625" s="64">
        <f>($DX625-$DX626)*100</f>
        <v/>
      </c>
      <c r="EA625" s="64">
        <f>($DW625-$D625)*100</f>
        <v/>
      </c>
      <c r="EB625" s="64">
        <f>$Q625-$O625</f>
        <v/>
      </c>
      <c r="EC625" s="67">
        <f>IFERROR($Q625/$P625,"")</f>
        <v/>
      </c>
    </row>
    <row r="626">
      <c r="DG626" s="64">
        <f>($B626-$B627)*100</f>
        <v/>
      </c>
      <c r="DH626" s="64">
        <f>($D626-$D627)*100</f>
        <v/>
      </c>
      <c r="DI626" s="64">
        <f>($E626-$E627)*100</f>
        <v/>
      </c>
      <c r="DJ626" s="64">
        <f>($H626-$H627)*100</f>
        <v/>
      </c>
      <c r="DK626" s="65">
        <f>IFERROR($J626/$J627-1,"")</f>
        <v/>
      </c>
      <c r="DL626" s="64">
        <f>$L626-$L627</f>
        <v/>
      </c>
      <c r="DM626" s="64">
        <f>$K626-$K627</f>
        <v/>
      </c>
      <c r="DN626" s="65">
        <f>IFERROR($N626/$N627-1,"")</f>
        <v/>
      </c>
      <c r="DO626" s="65">
        <f>IFERROR($M626/$M627-1,"")</f>
        <v/>
      </c>
      <c r="DP626" s="65">
        <f>IFERROR($AZ626/$AZ627-1,"")</f>
        <v/>
      </c>
      <c r="DQ626" s="65">
        <f>IFERROR($BA626/$BA627-1,"")</f>
        <v/>
      </c>
      <c r="DR626" s="64">
        <f>$O626-$O627</f>
        <v/>
      </c>
      <c r="DS626" s="64">
        <f>$P626-$P627</f>
        <v/>
      </c>
      <c r="DT626" s="64">
        <f>$Q626-$Q627</f>
        <v/>
      </c>
      <c r="DU626" s="64">
        <f>$S626-$S627</f>
        <v/>
      </c>
      <c r="DV626" s="65">
        <f>IFERROR(AVERAGE($AA627/$AA626-1,$AB627/$AB626-1,$AC627/$AC626-1,$AD627/$AD626-1,$AE627/$AE626-1,$AG627/$AG626-1,$AH627/$AH626-1,$AI627/$AI626-1,$AJ627/$AJ626-1,$AL627/$AL626-1,$AM627/$AM626-1,$AR627/$AR626-1,$AS627/$AS626-1,$AT627/$AT626-1,$AU627/$AU626-1,$AV627/$AV626-1,$AW627/$AW626-1,$AX627/$AX626-1,$AY627/$AY626-1),"")</f>
        <v/>
      </c>
      <c r="DW626" s="66">
        <f>AVERAGE($CB626,$CC626,$CD626,$CE626,$CF626,$CG626,$CH626,$CI626,$CJ626,$CL626,$CM626,$CN626,$CO626,$CP626,$CQ626,$CR626,$CS626,$CT626)</f>
        <v/>
      </c>
      <c r="DX626" s="66">
        <f>AVERAGE($CB626,$CC626,$CM626,$CE626,$CP626)</f>
        <v/>
      </c>
      <c r="DY626" s="64">
        <f>($DW626-$DW627)*100</f>
        <v/>
      </c>
      <c r="DZ626" s="64">
        <f>($DX626-$DX627)*100</f>
        <v/>
      </c>
      <c r="EA626" s="64">
        <f>($DW626-$D626)*100</f>
        <v/>
      </c>
      <c r="EB626" s="64">
        <f>$Q626-$O626</f>
        <v/>
      </c>
      <c r="EC626" s="67">
        <f>IFERROR($Q626/$P626,"")</f>
        <v/>
      </c>
    </row>
    <row r="627">
      <c r="DG627" s="64">
        <f>($B627-$B628)*100</f>
        <v/>
      </c>
      <c r="DH627" s="64">
        <f>($D627-$D628)*100</f>
        <v/>
      </c>
      <c r="DI627" s="64">
        <f>($E627-$E628)*100</f>
        <v/>
      </c>
      <c r="DJ627" s="64">
        <f>($H627-$H628)*100</f>
        <v/>
      </c>
      <c r="DK627" s="65">
        <f>IFERROR($J627/$J628-1,"")</f>
        <v/>
      </c>
      <c r="DL627" s="64">
        <f>$L627-$L628</f>
        <v/>
      </c>
      <c r="DM627" s="64">
        <f>$K627-$K628</f>
        <v/>
      </c>
      <c r="DN627" s="65">
        <f>IFERROR($N627/$N628-1,"")</f>
        <v/>
      </c>
      <c r="DO627" s="65">
        <f>IFERROR($M627/$M628-1,"")</f>
        <v/>
      </c>
      <c r="DP627" s="65">
        <f>IFERROR($AZ627/$AZ628-1,"")</f>
        <v/>
      </c>
      <c r="DQ627" s="65">
        <f>IFERROR($BA627/$BA628-1,"")</f>
        <v/>
      </c>
      <c r="DR627" s="64">
        <f>$O627-$O628</f>
        <v/>
      </c>
      <c r="DS627" s="64">
        <f>$P627-$P628</f>
        <v/>
      </c>
      <c r="DT627" s="64">
        <f>$Q627-$Q628</f>
        <v/>
      </c>
      <c r="DU627" s="64">
        <f>$S627-$S628</f>
        <v/>
      </c>
      <c r="DV627" s="65">
        <f>IFERROR(AVERAGE($AA628/$AA627-1,$AB628/$AB627-1,$AC628/$AC627-1,$AD628/$AD627-1,$AE628/$AE627-1,$AG628/$AG627-1,$AH628/$AH627-1,$AI628/$AI627-1,$AJ628/$AJ627-1,$AL628/$AL627-1,$AM628/$AM627-1,$AR628/$AR627-1,$AS628/$AS627-1,$AT628/$AT627-1,$AU628/$AU627-1,$AV628/$AV627-1,$AW628/$AW627-1,$AX628/$AX627-1,$AY628/$AY627-1),"")</f>
        <v/>
      </c>
      <c r="DW627" s="66">
        <f>AVERAGE($CB627,$CC627,$CD627,$CE627,$CF627,$CG627,$CH627,$CI627,$CJ627,$CL627,$CM627,$CN627,$CO627,$CP627,$CQ627,$CR627,$CS627,$CT627)</f>
        <v/>
      </c>
      <c r="DX627" s="66">
        <f>AVERAGE($CB627,$CC627,$CM627,$CE627,$CP627)</f>
        <v/>
      </c>
      <c r="DY627" s="64">
        <f>($DW627-$DW628)*100</f>
        <v/>
      </c>
      <c r="DZ627" s="64">
        <f>($DX627-$DX628)*100</f>
        <v/>
      </c>
      <c r="EA627" s="64">
        <f>($DW627-$D627)*100</f>
        <v/>
      </c>
      <c r="EB627" s="64">
        <f>$Q627-$O627</f>
        <v/>
      </c>
      <c r="EC627" s="67">
        <f>IFERROR($Q627/$P627,"")</f>
        <v/>
      </c>
    </row>
    <row r="628">
      <c r="DG628" s="64">
        <f>($B628-$B629)*100</f>
        <v/>
      </c>
      <c r="DH628" s="64">
        <f>($D628-$D629)*100</f>
        <v/>
      </c>
      <c r="DI628" s="64">
        <f>($E628-$E629)*100</f>
        <v/>
      </c>
      <c r="DJ628" s="64">
        <f>($H628-$H629)*100</f>
        <v/>
      </c>
      <c r="DK628" s="65">
        <f>IFERROR($J628/$J629-1,"")</f>
        <v/>
      </c>
      <c r="DL628" s="64">
        <f>$L628-$L629</f>
        <v/>
      </c>
      <c r="DM628" s="64">
        <f>$K628-$K629</f>
        <v/>
      </c>
      <c r="DN628" s="65">
        <f>IFERROR($N628/$N629-1,"")</f>
        <v/>
      </c>
      <c r="DO628" s="65">
        <f>IFERROR($M628/$M629-1,"")</f>
        <v/>
      </c>
      <c r="DP628" s="65">
        <f>IFERROR($AZ628/$AZ629-1,"")</f>
        <v/>
      </c>
      <c r="DQ628" s="65">
        <f>IFERROR($BA628/$BA629-1,"")</f>
        <v/>
      </c>
      <c r="DR628" s="64">
        <f>$O628-$O629</f>
        <v/>
      </c>
      <c r="DS628" s="64">
        <f>$P628-$P629</f>
        <v/>
      </c>
      <c r="DT628" s="64">
        <f>$Q628-$Q629</f>
        <v/>
      </c>
      <c r="DU628" s="64">
        <f>$S628-$S629</f>
        <v/>
      </c>
      <c r="DV628" s="65">
        <f>IFERROR(AVERAGE($AA629/$AA628-1,$AB629/$AB628-1,$AC629/$AC628-1,$AD629/$AD628-1,$AE629/$AE628-1,$AG629/$AG628-1,$AH629/$AH628-1,$AI629/$AI628-1,$AJ629/$AJ628-1,$AL629/$AL628-1,$AM629/$AM628-1,$AR629/$AR628-1,$AS629/$AS628-1,$AT629/$AT628-1,$AU629/$AU628-1,$AV629/$AV628-1,$AW629/$AW628-1,$AX629/$AX628-1,$AY629/$AY628-1),"")</f>
        <v/>
      </c>
      <c r="DW628" s="66">
        <f>AVERAGE($CB628,$CC628,$CD628,$CE628,$CF628,$CG628,$CH628,$CI628,$CJ628,$CL628,$CM628,$CN628,$CO628,$CP628,$CQ628,$CR628,$CS628,$CT628)</f>
        <v/>
      </c>
      <c r="DX628" s="66">
        <f>AVERAGE($CB628,$CC628,$CM628,$CE628,$CP628)</f>
        <v/>
      </c>
      <c r="DY628" s="64">
        <f>($DW628-$DW629)*100</f>
        <v/>
      </c>
      <c r="DZ628" s="64">
        <f>($DX628-$DX629)*100</f>
        <v/>
      </c>
      <c r="EA628" s="64">
        <f>($DW628-$D628)*100</f>
        <v/>
      </c>
      <c r="EB628" s="64">
        <f>$Q628-$O628</f>
        <v/>
      </c>
      <c r="EC628" s="67">
        <f>IFERROR($Q628/$P628,"")</f>
        <v/>
      </c>
    </row>
    <row r="629">
      <c r="DG629" s="64">
        <f>($B629-$B630)*100</f>
        <v/>
      </c>
      <c r="DH629" s="64">
        <f>($D629-$D630)*100</f>
        <v/>
      </c>
      <c r="DI629" s="64">
        <f>($E629-$E630)*100</f>
        <v/>
      </c>
      <c r="DJ629" s="64">
        <f>($H629-$H630)*100</f>
        <v/>
      </c>
      <c r="DK629" s="65">
        <f>IFERROR($J629/$J630-1,"")</f>
        <v/>
      </c>
      <c r="DL629" s="64">
        <f>$L629-$L630</f>
        <v/>
      </c>
      <c r="DM629" s="64">
        <f>$K629-$K630</f>
        <v/>
      </c>
      <c r="DN629" s="65">
        <f>IFERROR($N629/$N630-1,"")</f>
        <v/>
      </c>
      <c r="DO629" s="65">
        <f>IFERROR($M629/$M630-1,"")</f>
        <v/>
      </c>
      <c r="DP629" s="65">
        <f>IFERROR($AZ629/$AZ630-1,"")</f>
        <v/>
      </c>
      <c r="DQ629" s="65">
        <f>IFERROR($BA629/$BA630-1,"")</f>
        <v/>
      </c>
      <c r="DR629" s="64">
        <f>$O629-$O630</f>
        <v/>
      </c>
      <c r="DS629" s="64">
        <f>$P629-$P630</f>
        <v/>
      </c>
      <c r="DT629" s="64">
        <f>$Q629-$Q630</f>
        <v/>
      </c>
      <c r="DU629" s="64">
        <f>$S629-$S630</f>
        <v/>
      </c>
      <c r="DV629" s="65">
        <f>IFERROR(AVERAGE($AA630/$AA629-1,$AB630/$AB629-1,$AC630/$AC629-1,$AD630/$AD629-1,$AE630/$AE629-1,$AG630/$AG629-1,$AH630/$AH629-1,$AI630/$AI629-1,$AJ630/$AJ629-1,$AL630/$AL629-1,$AM630/$AM629-1,$AR630/$AR629-1,$AS630/$AS629-1,$AT630/$AT629-1,$AU630/$AU629-1,$AV630/$AV629-1,$AW630/$AW629-1,$AX630/$AX629-1,$AY630/$AY629-1),"")</f>
        <v/>
      </c>
      <c r="DW629" s="66">
        <f>AVERAGE($CB629,$CC629,$CD629,$CE629,$CF629,$CG629,$CH629,$CI629,$CJ629,$CL629,$CM629,$CN629,$CO629,$CP629,$CQ629,$CR629,$CS629,$CT629)</f>
        <v/>
      </c>
      <c r="DX629" s="66">
        <f>AVERAGE($CB629,$CC629,$CM629,$CE629,$CP629)</f>
        <v/>
      </c>
      <c r="DY629" s="64">
        <f>($DW629-$DW630)*100</f>
        <v/>
      </c>
      <c r="DZ629" s="64">
        <f>($DX629-$DX630)*100</f>
        <v/>
      </c>
      <c r="EA629" s="64">
        <f>($DW629-$D629)*100</f>
        <v/>
      </c>
      <c r="EB629" s="64">
        <f>$Q629-$O629</f>
        <v/>
      </c>
      <c r="EC629" s="67">
        <f>IFERROR($Q629/$P629,"")</f>
        <v/>
      </c>
    </row>
    <row r="630">
      <c r="DG630" s="64">
        <f>($B630-$B631)*100</f>
        <v/>
      </c>
      <c r="DH630" s="64">
        <f>($D630-$D631)*100</f>
        <v/>
      </c>
      <c r="DI630" s="64">
        <f>($E630-$E631)*100</f>
        <v/>
      </c>
      <c r="DJ630" s="64">
        <f>($H630-$H631)*100</f>
        <v/>
      </c>
      <c r="DK630" s="65">
        <f>IFERROR($J630/$J631-1,"")</f>
        <v/>
      </c>
      <c r="DL630" s="64">
        <f>$L630-$L631</f>
        <v/>
      </c>
      <c r="DM630" s="64">
        <f>$K630-$K631</f>
        <v/>
      </c>
      <c r="DN630" s="65">
        <f>IFERROR($N630/$N631-1,"")</f>
        <v/>
      </c>
      <c r="DO630" s="65">
        <f>IFERROR($M630/$M631-1,"")</f>
        <v/>
      </c>
      <c r="DP630" s="65">
        <f>IFERROR($AZ630/$AZ631-1,"")</f>
        <v/>
      </c>
      <c r="DQ630" s="65">
        <f>IFERROR($BA630/$BA631-1,"")</f>
        <v/>
      </c>
      <c r="DR630" s="64">
        <f>$O630-$O631</f>
        <v/>
      </c>
      <c r="DS630" s="64">
        <f>$P630-$P631</f>
        <v/>
      </c>
      <c r="DT630" s="64">
        <f>$Q630-$Q631</f>
        <v/>
      </c>
      <c r="DU630" s="64">
        <f>$S630-$S631</f>
        <v/>
      </c>
      <c r="DV630" s="65">
        <f>IFERROR(AVERAGE($AA631/$AA630-1,$AB631/$AB630-1,$AC631/$AC630-1,$AD631/$AD630-1,$AE631/$AE630-1,$AG631/$AG630-1,$AH631/$AH630-1,$AI631/$AI630-1,$AJ631/$AJ630-1,$AL631/$AL630-1,$AM631/$AM630-1,$AR631/$AR630-1,$AS631/$AS630-1,$AT631/$AT630-1,$AU631/$AU630-1,$AV631/$AV630-1,$AW631/$AW630-1,$AX631/$AX630-1,$AY631/$AY630-1),"")</f>
        <v/>
      </c>
      <c r="DW630" s="66">
        <f>AVERAGE($CB630,$CC630,$CD630,$CE630,$CF630,$CG630,$CH630,$CI630,$CJ630,$CL630,$CM630,$CN630,$CO630,$CP630,$CQ630,$CR630,$CS630,$CT630)</f>
        <v/>
      </c>
      <c r="DX630" s="66">
        <f>AVERAGE($CB630,$CC630,$CM630,$CE630,$CP630)</f>
        <v/>
      </c>
      <c r="DY630" s="64">
        <f>($DW630-$DW631)*100</f>
        <v/>
      </c>
      <c r="DZ630" s="64">
        <f>($DX630-$DX631)*100</f>
        <v/>
      </c>
      <c r="EA630" s="64">
        <f>($DW630-$D630)*100</f>
        <v/>
      </c>
      <c r="EB630" s="64">
        <f>$Q630-$O630</f>
        <v/>
      </c>
      <c r="EC630" s="67">
        <f>IFERROR($Q630/$P630,"")</f>
        <v/>
      </c>
    </row>
    <row r="631">
      <c r="DG631" s="64">
        <f>($B631-$B632)*100</f>
        <v/>
      </c>
      <c r="DH631" s="64">
        <f>($D631-$D632)*100</f>
        <v/>
      </c>
      <c r="DI631" s="64">
        <f>($E631-$E632)*100</f>
        <v/>
      </c>
      <c r="DJ631" s="64">
        <f>($H631-$H632)*100</f>
        <v/>
      </c>
      <c r="DK631" s="65">
        <f>IFERROR($J631/$J632-1,"")</f>
        <v/>
      </c>
      <c r="DL631" s="64">
        <f>$L631-$L632</f>
        <v/>
      </c>
      <c r="DM631" s="64">
        <f>$K631-$K632</f>
        <v/>
      </c>
      <c r="DN631" s="65">
        <f>IFERROR($N631/$N632-1,"")</f>
        <v/>
      </c>
      <c r="DO631" s="65">
        <f>IFERROR($M631/$M632-1,"")</f>
        <v/>
      </c>
      <c r="DP631" s="65">
        <f>IFERROR($AZ631/$AZ632-1,"")</f>
        <v/>
      </c>
      <c r="DQ631" s="65">
        <f>IFERROR($BA631/$BA632-1,"")</f>
        <v/>
      </c>
      <c r="DR631" s="64">
        <f>$O631-$O632</f>
        <v/>
      </c>
      <c r="DS631" s="64">
        <f>$P631-$P632</f>
        <v/>
      </c>
      <c r="DT631" s="64">
        <f>$Q631-$Q632</f>
        <v/>
      </c>
      <c r="DU631" s="64">
        <f>$S631-$S632</f>
        <v/>
      </c>
      <c r="DV631" s="65">
        <f>IFERROR(AVERAGE($AA632/$AA631-1,$AB632/$AB631-1,$AC632/$AC631-1,$AD632/$AD631-1,$AE632/$AE631-1,$AG632/$AG631-1,$AH632/$AH631-1,$AI632/$AI631-1,$AJ632/$AJ631-1,$AL632/$AL631-1,$AM632/$AM631-1,$AR632/$AR631-1,$AS632/$AS631-1,$AT632/$AT631-1,$AU632/$AU631-1,$AV632/$AV631-1,$AW632/$AW631-1,$AX632/$AX631-1,$AY632/$AY631-1),"")</f>
        <v/>
      </c>
      <c r="DW631" s="66">
        <f>AVERAGE($CB631,$CC631,$CD631,$CE631,$CF631,$CG631,$CH631,$CI631,$CJ631,$CL631,$CM631,$CN631,$CO631,$CP631,$CQ631,$CR631,$CS631,$CT631)</f>
        <v/>
      </c>
      <c r="DX631" s="66">
        <f>AVERAGE($CB631,$CC631,$CM631,$CE631,$CP631)</f>
        <v/>
      </c>
      <c r="DY631" s="64">
        <f>($DW631-$DW632)*100</f>
        <v/>
      </c>
      <c r="DZ631" s="64">
        <f>($DX631-$DX632)*100</f>
        <v/>
      </c>
      <c r="EA631" s="64">
        <f>($DW631-$D631)*100</f>
        <v/>
      </c>
      <c r="EB631" s="64">
        <f>$Q631-$O631</f>
        <v/>
      </c>
      <c r="EC631" s="67">
        <f>IFERROR($Q631/$P631,"")</f>
        <v/>
      </c>
    </row>
    <row r="632">
      <c r="DG632" s="64">
        <f>($B632-$B633)*100</f>
        <v/>
      </c>
      <c r="DH632" s="64">
        <f>($D632-$D633)*100</f>
        <v/>
      </c>
      <c r="DI632" s="64">
        <f>($E632-$E633)*100</f>
        <v/>
      </c>
      <c r="DJ632" s="64">
        <f>($H632-$H633)*100</f>
        <v/>
      </c>
      <c r="DK632" s="65">
        <f>IFERROR($J632/$J633-1,"")</f>
        <v/>
      </c>
      <c r="DL632" s="64">
        <f>$L632-$L633</f>
        <v/>
      </c>
      <c r="DM632" s="64">
        <f>$K632-$K633</f>
        <v/>
      </c>
      <c r="DN632" s="65">
        <f>IFERROR($N632/$N633-1,"")</f>
        <v/>
      </c>
      <c r="DO632" s="65">
        <f>IFERROR($M632/$M633-1,"")</f>
        <v/>
      </c>
      <c r="DP632" s="65">
        <f>IFERROR($AZ632/$AZ633-1,"")</f>
        <v/>
      </c>
      <c r="DQ632" s="65">
        <f>IFERROR($BA632/$BA633-1,"")</f>
        <v/>
      </c>
      <c r="DR632" s="64">
        <f>$O632-$O633</f>
        <v/>
      </c>
      <c r="DS632" s="64">
        <f>$P632-$P633</f>
        <v/>
      </c>
      <c r="DT632" s="64">
        <f>$Q632-$Q633</f>
        <v/>
      </c>
      <c r="DU632" s="64">
        <f>$S632-$S633</f>
        <v/>
      </c>
      <c r="DV632" s="65">
        <f>IFERROR(AVERAGE($AA633/$AA632-1,$AB633/$AB632-1,$AC633/$AC632-1,$AD633/$AD632-1,$AE633/$AE632-1,$AG633/$AG632-1,$AH633/$AH632-1,$AI633/$AI632-1,$AJ633/$AJ632-1,$AL633/$AL632-1,$AM633/$AM632-1,$AR633/$AR632-1,$AS633/$AS632-1,$AT633/$AT632-1,$AU633/$AU632-1,$AV633/$AV632-1,$AW633/$AW632-1,$AX633/$AX632-1,$AY633/$AY632-1),"")</f>
        <v/>
      </c>
      <c r="DW632" s="66">
        <f>AVERAGE($CB632,$CC632,$CD632,$CE632,$CF632,$CG632,$CH632,$CI632,$CJ632,$CL632,$CM632,$CN632,$CO632,$CP632,$CQ632,$CR632,$CS632,$CT632)</f>
        <v/>
      </c>
      <c r="DX632" s="66">
        <f>AVERAGE($CB632,$CC632,$CM632,$CE632,$CP632)</f>
        <v/>
      </c>
      <c r="DY632" s="64">
        <f>($DW632-$DW633)*100</f>
        <v/>
      </c>
      <c r="DZ632" s="64">
        <f>($DX632-$DX633)*100</f>
        <v/>
      </c>
      <c r="EA632" s="64">
        <f>($DW632-$D632)*100</f>
        <v/>
      </c>
      <c r="EB632" s="64">
        <f>$Q632-$O632</f>
        <v/>
      </c>
      <c r="EC632" s="67">
        <f>IFERROR($Q632/$P632,"")</f>
        <v/>
      </c>
    </row>
    <row r="633">
      <c r="DG633" s="64">
        <f>($B633-$B634)*100</f>
        <v/>
      </c>
      <c r="DH633" s="64">
        <f>($D633-$D634)*100</f>
        <v/>
      </c>
      <c r="DI633" s="64">
        <f>($E633-$E634)*100</f>
        <v/>
      </c>
      <c r="DJ633" s="64">
        <f>($H633-$H634)*100</f>
        <v/>
      </c>
      <c r="DK633" s="65">
        <f>IFERROR($J633/$J634-1,"")</f>
        <v/>
      </c>
      <c r="DL633" s="64">
        <f>$L633-$L634</f>
        <v/>
      </c>
      <c r="DM633" s="64">
        <f>$K633-$K634</f>
        <v/>
      </c>
      <c r="DN633" s="65">
        <f>IFERROR($N633/$N634-1,"")</f>
        <v/>
      </c>
      <c r="DO633" s="65">
        <f>IFERROR($M633/$M634-1,"")</f>
        <v/>
      </c>
      <c r="DP633" s="65">
        <f>IFERROR($AZ633/$AZ634-1,"")</f>
        <v/>
      </c>
      <c r="DQ633" s="65">
        <f>IFERROR($BA633/$BA634-1,"")</f>
        <v/>
      </c>
      <c r="DR633" s="64">
        <f>$O633-$O634</f>
        <v/>
      </c>
      <c r="DS633" s="64">
        <f>$P633-$P634</f>
        <v/>
      </c>
      <c r="DT633" s="64">
        <f>$Q633-$Q634</f>
        <v/>
      </c>
      <c r="DU633" s="64">
        <f>$S633-$S634</f>
        <v/>
      </c>
      <c r="DV633" s="65">
        <f>IFERROR(AVERAGE($AA634/$AA633-1,$AB634/$AB633-1,$AC634/$AC633-1,$AD634/$AD633-1,$AE634/$AE633-1,$AG634/$AG633-1,$AH634/$AH633-1,$AI634/$AI633-1,$AJ634/$AJ633-1,$AL634/$AL633-1,$AM634/$AM633-1,$AR634/$AR633-1,$AS634/$AS633-1,$AT634/$AT633-1,$AU634/$AU633-1,$AV634/$AV633-1,$AW634/$AW633-1,$AX634/$AX633-1,$AY634/$AY633-1),"")</f>
        <v/>
      </c>
      <c r="DW633" s="66">
        <f>AVERAGE($CB633,$CC633,$CD633,$CE633,$CF633,$CG633,$CH633,$CI633,$CJ633,$CL633,$CM633,$CN633,$CO633,$CP633,$CQ633,$CR633,$CS633,$CT633)</f>
        <v/>
      </c>
      <c r="DX633" s="66">
        <f>AVERAGE($CB633,$CC633,$CM633,$CE633,$CP633)</f>
        <v/>
      </c>
      <c r="DY633" s="64">
        <f>($DW633-$DW634)*100</f>
        <v/>
      </c>
      <c r="DZ633" s="64">
        <f>($DX633-$DX634)*100</f>
        <v/>
      </c>
      <c r="EA633" s="64">
        <f>($DW633-$D633)*100</f>
        <v/>
      </c>
      <c r="EB633" s="64">
        <f>$Q633-$O633</f>
        <v/>
      </c>
      <c r="EC633" s="67">
        <f>IFERROR($Q633/$P633,"")</f>
        <v/>
      </c>
    </row>
    <row r="634">
      <c r="DG634" s="64">
        <f>($B634-$B635)*100</f>
        <v/>
      </c>
      <c r="DH634" s="64">
        <f>($D634-$D635)*100</f>
        <v/>
      </c>
      <c r="DI634" s="64">
        <f>($E634-$E635)*100</f>
        <v/>
      </c>
      <c r="DJ634" s="64">
        <f>($H634-$H635)*100</f>
        <v/>
      </c>
      <c r="DK634" s="65">
        <f>IFERROR($J634/$J635-1,"")</f>
        <v/>
      </c>
      <c r="DL634" s="64">
        <f>$L634-$L635</f>
        <v/>
      </c>
      <c r="DM634" s="64">
        <f>$K634-$K635</f>
        <v/>
      </c>
      <c r="DN634" s="65">
        <f>IFERROR($N634/$N635-1,"")</f>
        <v/>
      </c>
      <c r="DO634" s="65">
        <f>IFERROR($M634/$M635-1,"")</f>
        <v/>
      </c>
      <c r="DP634" s="65">
        <f>IFERROR($AZ634/$AZ635-1,"")</f>
        <v/>
      </c>
      <c r="DQ634" s="65">
        <f>IFERROR($BA634/$BA635-1,"")</f>
        <v/>
      </c>
      <c r="DR634" s="64">
        <f>$O634-$O635</f>
        <v/>
      </c>
      <c r="DS634" s="64">
        <f>$P634-$P635</f>
        <v/>
      </c>
      <c r="DT634" s="64">
        <f>$Q634-$Q635</f>
        <v/>
      </c>
      <c r="DU634" s="64">
        <f>$S634-$S635</f>
        <v/>
      </c>
      <c r="DV634" s="65">
        <f>IFERROR(AVERAGE($AA635/$AA634-1,$AB635/$AB634-1,$AC635/$AC634-1,$AD635/$AD634-1,$AE635/$AE634-1,$AG635/$AG634-1,$AH635/$AH634-1,$AI635/$AI634-1,$AJ635/$AJ634-1,$AL635/$AL634-1,$AM635/$AM634-1,$AR635/$AR634-1,$AS635/$AS634-1,$AT635/$AT634-1,$AU635/$AU634-1,$AV635/$AV634-1,$AW635/$AW634-1,$AX635/$AX634-1,$AY635/$AY634-1),"")</f>
        <v/>
      </c>
      <c r="DW634" s="66">
        <f>AVERAGE($CB634,$CC634,$CD634,$CE634,$CF634,$CG634,$CH634,$CI634,$CJ634,$CL634,$CM634,$CN634,$CO634,$CP634,$CQ634,$CR634,$CS634,$CT634)</f>
        <v/>
      </c>
      <c r="DX634" s="66">
        <f>AVERAGE($CB634,$CC634,$CM634,$CE634,$CP634)</f>
        <v/>
      </c>
      <c r="DY634" s="64">
        <f>($DW634-$DW635)*100</f>
        <v/>
      </c>
      <c r="DZ634" s="64">
        <f>($DX634-$DX635)*100</f>
        <v/>
      </c>
      <c r="EA634" s="64">
        <f>($DW634-$D634)*100</f>
        <v/>
      </c>
      <c r="EB634" s="64">
        <f>$Q634-$O634</f>
        <v/>
      </c>
      <c r="EC634" s="67">
        <f>IFERROR($Q634/$P634,"")</f>
        <v/>
      </c>
    </row>
    <row r="635">
      <c r="DG635" s="64">
        <f>($B635-$B636)*100</f>
        <v/>
      </c>
      <c r="DH635" s="64">
        <f>($D635-$D636)*100</f>
        <v/>
      </c>
      <c r="DI635" s="64">
        <f>($E635-$E636)*100</f>
        <v/>
      </c>
      <c r="DJ635" s="64">
        <f>($H635-$H636)*100</f>
        <v/>
      </c>
      <c r="DK635" s="65">
        <f>IFERROR($J635/$J636-1,"")</f>
        <v/>
      </c>
      <c r="DL635" s="64">
        <f>$L635-$L636</f>
        <v/>
      </c>
      <c r="DM635" s="64">
        <f>$K635-$K636</f>
        <v/>
      </c>
      <c r="DN635" s="65">
        <f>IFERROR($N635/$N636-1,"")</f>
        <v/>
      </c>
      <c r="DO635" s="65">
        <f>IFERROR($M635/$M636-1,"")</f>
        <v/>
      </c>
      <c r="DP635" s="65">
        <f>IFERROR($AZ635/$AZ636-1,"")</f>
        <v/>
      </c>
      <c r="DQ635" s="65">
        <f>IFERROR($BA635/$BA636-1,"")</f>
        <v/>
      </c>
      <c r="DR635" s="64">
        <f>$O635-$O636</f>
        <v/>
      </c>
      <c r="DS635" s="64">
        <f>$P635-$P636</f>
        <v/>
      </c>
      <c r="DT635" s="64">
        <f>$Q635-$Q636</f>
        <v/>
      </c>
      <c r="DU635" s="64">
        <f>$S635-$S636</f>
        <v/>
      </c>
      <c r="DV635" s="65">
        <f>IFERROR(AVERAGE($AA636/$AA635-1,$AB636/$AB635-1,$AC636/$AC635-1,$AD636/$AD635-1,$AE636/$AE635-1,$AG636/$AG635-1,$AH636/$AH635-1,$AI636/$AI635-1,$AJ636/$AJ635-1,$AL636/$AL635-1,$AM636/$AM635-1,$AR636/$AR635-1,$AS636/$AS635-1,$AT636/$AT635-1,$AU636/$AU635-1,$AV636/$AV635-1,$AW636/$AW635-1,$AX636/$AX635-1,$AY636/$AY635-1),"")</f>
        <v/>
      </c>
      <c r="DW635" s="66">
        <f>AVERAGE($CB635,$CC635,$CD635,$CE635,$CF635,$CG635,$CH635,$CI635,$CJ635,$CL635,$CM635,$CN635,$CO635,$CP635,$CQ635,$CR635,$CS635,$CT635)</f>
        <v/>
      </c>
      <c r="DX635" s="66">
        <f>AVERAGE($CB635,$CC635,$CM635,$CE635,$CP635)</f>
        <v/>
      </c>
      <c r="DY635" s="64">
        <f>($DW635-$DW636)*100</f>
        <v/>
      </c>
      <c r="DZ635" s="64">
        <f>($DX635-$DX636)*100</f>
        <v/>
      </c>
      <c r="EA635" s="64">
        <f>($DW635-$D635)*100</f>
        <v/>
      </c>
      <c r="EB635" s="64">
        <f>$Q635-$O635</f>
        <v/>
      </c>
      <c r="EC635" s="67">
        <f>IFERROR($Q635/$P635,"")</f>
        <v/>
      </c>
    </row>
    <row r="636">
      <c r="DG636" s="64">
        <f>($B636-$B637)*100</f>
        <v/>
      </c>
      <c r="DH636" s="64">
        <f>($D636-$D637)*100</f>
        <v/>
      </c>
      <c r="DI636" s="64">
        <f>($E636-$E637)*100</f>
        <v/>
      </c>
      <c r="DJ636" s="64">
        <f>($H636-$H637)*100</f>
        <v/>
      </c>
      <c r="DK636" s="65">
        <f>IFERROR($J636/$J637-1,"")</f>
        <v/>
      </c>
      <c r="DL636" s="64">
        <f>$L636-$L637</f>
        <v/>
      </c>
      <c r="DM636" s="64">
        <f>$K636-$K637</f>
        <v/>
      </c>
      <c r="DN636" s="65">
        <f>IFERROR($N636/$N637-1,"")</f>
        <v/>
      </c>
      <c r="DO636" s="65">
        <f>IFERROR($M636/$M637-1,"")</f>
        <v/>
      </c>
      <c r="DP636" s="65">
        <f>IFERROR($AZ636/$AZ637-1,"")</f>
        <v/>
      </c>
      <c r="DQ636" s="65">
        <f>IFERROR($BA636/$BA637-1,"")</f>
        <v/>
      </c>
      <c r="DR636" s="64">
        <f>$O636-$O637</f>
        <v/>
      </c>
      <c r="DS636" s="64">
        <f>$P636-$P637</f>
        <v/>
      </c>
      <c r="DT636" s="64">
        <f>$Q636-$Q637</f>
        <v/>
      </c>
      <c r="DU636" s="64">
        <f>$S636-$S637</f>
        <v/>
      </c>
      <c r="DV636" s="65">
        <f>IFERROR(AVERAGE($AA637/$AA636-1,$AB637/$AB636-1,$AC637/$AC636-1,$AD637/$AD636-1,$AE637/$AE636-1,$AG637/$AG636-1,$AH637/$AH636-1,$AI637/$AI636-1,$AJ637/$AJ636-1,$AL637/$AL636-1,$AM637/$AM636-1,$AR637/$AR636-1,$AS637/$AS636-1,$AT637/$AT636-1,$AU637/$AU636-1,$AV637/$AV636-1,$AW637/$AW636-1,$AX637/$AX636-1,$AY637/$AY636-1),"")</f>
        <v/>
      </c>
      <c r="DW636" s="66">
        <f>AVERAGE($CB636,$CC636,$CD636,$CE636,$CF636,$CG636,$CH636,$CI636,$CJ636,$CL636,$CM636,$CN636,$CO636,$CP636,$CQ636,$CR636,$CS636,$CT636)</f>
        <v/>
      </c>
      <c r="DX636" s="66">
        <f>AVERAGE($CB636,$CC636,$CM636,$CE636,$CP636)</f>
        <v/>
      </c>
      <c r="DY636" s="64">
        <f>($DW636-$DW637)*100</f>
        <v/>
      </c>
      <c r="DZ636" s="64">
        <f>($DX636-$DX637)*100</f>
        <v/>
      </c>
      <c r="EA636" s="64">
        <f>($DW636-$D636)*100</f>
        <v/>
      </c>
      <c r="EB636" s="64">
        <f>$Q636-$O636</f>
        <v/>
      </c>
      <c r="EC636" s="67">
        <f>IFERROR($Q636/$P636,"")</f>
        <v/>
      </c>
    </row>
    <row r="637">
      <c r="DG637" s="64">
        <f>($B637-$B638)*100</f>
        <v/>
      </c>
      <c r="DH637" s="64">
        <f>($D637-$D638)*100</f>
        <v/>
      </c>
      <c r="DI637" s="64">
        <f>($E637-$E638)*100</f>
        <v/>
      </c>
      <c r="DJ637" s="64">
        <f>($H637-$H638)*100</f>
        <v/>
      </c>
      <c r="DK637" s="65">
        <f>IFERROR($J637/$J638-1,"")</f>
        <v/>
      </c>
      <c r="DL637" s="64">
        <f>$L637-$L638</f>
        <v/>
      </c>
      <c r="DM637" s="64">
        <f>$K637-$K638</f>
        <v/>
      </c>
      <c r="DN637" s="65">
        <f>IFERROR($N637/$N638-1,"")</f>
        <v/>
      </c>
      <c r="DO637" s="65">
        <f>IFERROR($M637/$M638-1,"")</f>
        <v/>
      </c>
      <c r="DP637" s="65">
        <f>IFERROR($AZ637/$AZ638-1,"")</f>
        <v/>
      </c>
      <c r="DQ637" s="65">
        <f>IFERROR($BA637/$BA638-1,"")</f>
        <v/>
      </c>
      <c r="DR637" s="64">
        <f>$O637-$O638</f>
        <v/>
      </c>
      <c r="DS637" s="64">
        <f>$P637-$P638</f>
        <v/>
      </c>
      <c r="DT637" s="64">
        <f>$Q637-$Q638</f>
        <v/>
      </c>
      <c r="DU637" s="64">
        <f>$S637-$S638</f>
        <v/>
      </c>
      <c r="DV637" s="65">
        <f>IFERROR(AVERAGE($AA638/$AA637-1,$AB638/$AB637-1,$AC638/$AC637-1,$AD638/$AD637-1,$AE638/$AE637-1,$AG638/$AG637-1,$AH638/$AH637-1,$AI638/$AI637-1,$AJ638/$AJ637-1,$AL638/$AL637-1,$AM638/$AM637-1,$AR638/$AR637-1,$AS638/$AS637-1,$AT638/$AT637-1,$AU638/$AU637-1,$AV638/$AV637-1,$AW638/$AW637-1,$AX638/$AX637-1,$AY638/$AY637-1),"")</f>
        <v/>
      </c>
      <c r="DW637" s="66">
        <f>AVERAGE($CB637,$CC637,$CD637,$CE637,$CF637,$CG637,$CH637,$CI637,$CJ637,$CL637,$CM637,$CN637,$CO637,$CP637,$CQ637,$CR637,$CS637,$CT637)</f>
        <v/>
      </c>
      <c r="DX637" s="66">
        <f>AVERAGE($CB637,$CC637,$CM637,$CE637,$CP637)</f>
        <v/>
      </c>
      <c r="DY637" s="64">
        <f>($DW637-$DW638)*100</f>
        <v/>
      </c>
      <c r="DZ637" s="64">
        <f>($DX637-$DX638)*100</f>
        <v/>
      </c>
      <c r="EA637" s="64">
        <f>($DW637-$D637)*100</f>
        <v/>
      </c>
      <c r="EB637" s="64">
        <f>$Q637-$O637</f>
        <v/>
      </c>
      <c r="EC637" s="67">
        <f>IFERROR($Q637/$P637,"")</f>
        <v/>
      </c>
    </row>
    <row r="638">
      <c r="DG638" s="64">
        <f>($B638-$B639)*100</f>
        <v/>
      </c>
      <c r="DH638" s="64">
        <f>($D638-$D639)*100</f>
        <v/>
      </c>
      <c r="DI638" s="64">
        <f>($E638-$E639)*100</f>
        <v/>
      </c>
      <c r="DJ638" s="64">
        <f>($H638-$H639)*100</f>
        <v/>
      </c>
      <c r="DK638" s="65">
        <f>IFERROR($J638/$J639-1,"")</f>
        <v/>
      </c>
      <c r="DL638" s="64">
        <f>$L638-$L639</f>
        <v/>
      </c>
      <c r="DM638" s="64">
        <f>$K638-$K639</f>
        <v/>
      </c>
      <c r="DN638" s="65">
        <f>IFERROR($N638/$N639-1,"")</f>
        <v/>
      </c>
      <c r="DO638" s="65">
        <f>IFERROR($M638/$M639-1,"")</f>
        <v/>
      </c>
      <c r="DP638" s="65">
        <f>IFERROR($AZ638/$AZ639-1,"")</f>
        <v/>
      </c>
      <c r="DQ638" s="65">
        <f>IFERROR($BA638/$BA639-1,"")</f>
        <v/>
      </c>
      <c r="DR638" s="64">
        <f>$O638-$O639</f>
        <v/>
      </c>
      <c r="DS638" s="64">
        <f>$P638-$P639</f>
        <v/>
      </c>
      <c r="DT638" s="64">
        <f>$Q638-$Q639</f>
        <v/>
      </c>
      <c r="DU638" s="64">
        <f>$S638-$S639</f>
        <v/>
      </c>
      <c r="DV638" s="65">
        <f>IFERROR(AVERAGE($AA639/$AA638-1,$AB639/$AB638-1,$AC639/$AC638-1,$AD639/$AD638-1,$AE639/$AE638-1,$AG639/$AG638-1,$AH639/$AH638-1,$AI639/$AI638-1,$AJ639/$AJ638-1,$AL639/$AL638-1,$AM639/$AM638-1,$AR639/$AR638-1,$AS639/$AS638-1,$AT639/$AT638-1,$AU639/$AU638-1,$AV639/$AV638-1,$AW639/$AW638-1,$AX639/$AX638-1,$AY639/$AY638-1),"")</f>
        <v/>
      </c>
      <c r="DW638" s="66">
        <f>AVERAGE($CB638,$CC638,$CD638,$CE638,$CF638,$CG638,$CH638,$CI638,$CJ638,$CL638,$CM638,$CN638,$CO638,$CP638,$CQ638,$CR638,$CS638,$CT638)</f>
        <v/>
      </c>
      <c r="DX638" s="66">
        <f>AVERAGE($CB638,$CC638,$CM638,$CE638,$CP638)</f>
        <v/>
      </c>
      <c r="DY638" s="64">
        <f>($DW638-$DW639)*100</f>
        <v/>
      </c>
      <c r="DZ638" s="64">
        <f>($DX638-$DX639)*100</f>
        <v/>
      </c>
      <c r="EA638" s="64">
        <f>($DW638-$D638)*100</f>
        <v/>
      </c>
      <c r="EB638" s="64">
        <f>$Q638-$O638</f>
        <v/>
      </c>
      <c r="EC638" s="67">
        <f>IFERROR($Q638/$P638,"")</f>
        <v/>
      </c>
    </row>
    <row r="639">
      <c r="DG639" s="64">
        <f>($B639-$B640)*100</f>
        <v/>
      </c>
      <c r="DH639" s="64">
        <f>($D639-$D640)*100</f>
        <v/>
      </c>
      <c r="DI639" s="64">
        <f>($E639-$E640)*100</f>
        <v/>
      </c>
      <c r="DJ639" s="64">
        <f>($H639-$H640)*100</f>
        <v/>
      </c>
      <c r="DK639" s="65">
        <f>IFERROR($J639/$J640-1,"")</f>
        <v/>
      </c>
      <c r="DL639" s="64">
        <f>$L639-$L640</f>
        <v/>
      </c>
      <c r="DM639" s="64">
        <f>$K639-$K640</f>
        <v/>
      </c>
      <c r="DN639" s="65">
        <f>IFERROR($N639/$N640-1,"")</f>
        <v/>
      </c>
      <c r="DO639" s="65">
        <f>IFERROR($M639/$M640-1,"")</f>
        <v/>
      </c>
      <c r="DP639" s="65">
        <f>IFERROR($AZ639/$AZ640-1,"")</f>
        <v/>
      </c>
      <c r="DQ639" s="65">
        <f>IFERROR($BA639/$BA640-1,"")</f>
        <v/>
      </c>
      <c r="DR639" s="64">
        <f>$O639-$O640</f>
        <v/>
      </c>
      <c r="DS639" s="64">
        <f>$P639-$P640</f>
        <v/>
      </c>
      <c r="DT639" s="64">
        <f>$Q639-$Q640</f>
        <v/>
      </c>
      <c r="DU639" s="64">
        <f>$S639-$S640</f>
        <v/>
      </c>
      <c r="DV639" s="65">
        <f>IFERROR(AVERAGE($AA640/$AA639-1,$AB640/$AB639-1,$AC640/$AC639-1,$AD640/$AD639-1,$AE640/$AE639-1,$AG640/$AG639-1,$AH640/$AH639-1,$AI640/$AI639-1,$AJ640/$AJ639-1,$AL640/$AL639-1,$AM640/$AM639-1,$AR640/$AR639-1,$AS640/$AS639-1,$AT640/$AT639-1,$AU640/$AU639-1,$AV640/$AV639-1,$AW640/$AW639-1,$AX640/$AX639-1,$AY640/$AY639-1),"")</f>
        <v/>
      </c>
      <c r="DW639" s="66">
        <f>AVERAGE($CB639,$CC639,$CD639,$CE639,$CF639,$CG639,$CH639,$CI639,$CJ639,$CL639,$CM639,$CN639,$CO639,$CP639,$CQ639,$CR639,$CS639,$CT639)</f>
        <v/>
      </c>
      <c r="DX639" s="66">
        <f>AVERAGE($CB639,$CC639,$CM639,$CE639,$CP639)</f>
        <v/>
      </c>
      <c r="DY639" s="64">
        <f>($DW639-$DW640)*100</f>
        <v/>
      </c>
      <c r="DZ639" s="64">
        <f>($DX639-$DX640)*100</f>
        <v/>
      </c>
      <c r="EA639" s="64">
        <f>($DW639-$D639)*100</f>
        <v/>
      </c>
      <c r="EB639" s="64">
        <f>$Q639-$O639</f>
        <v/>
      </c>
      <c r="EC639" s="67">
        <f>IFERROR($Q639/$P639,"")</f>
        <v/>
      </c>
    </row>
    <row r="640">
      <c r="DG640" s="64">
        <f>($B640-$B641)*100</f>
        <v/>
      </c>
      <c r="DH640" s="64">
        <f>($D640-$D641)*100</f>
        <v/>
      </c>
      <c r="DI640" s="64">
        <f>($E640-$E641)*100</f>
        <v/>
      </c>
      <c r="DJ640" s="64">
        <f>($H640-$H641)*100</f>
        <v/>
      </c>
      <c r="DK640" s="65">
        <f>IFERROR($J640/$J641-1,"")</f>
        <v/>
      </c>
      <c r="DL640" s="64">
        <f>$L640-$L641</f>
        <v/>
      </c>
      <c r="DM640" s="64">
        <f>$K640-$K641</f>
        <v/>
      </c>
      <c r="DN640" s="65">
        <f>IFERROR($N640/$N641-1,"")</f>
        <v/>
      </c>
      <c r="DO640" s="65">
        <f>IFERROR($M640/$M641-1,"")</f>
        <v/>
      </c>
      <c r="DP640" s="65">
        <f>IFERROR($AZ640/$AZ641-1,"")</f>
        <v/>
      </c>
      <c r="DQ640" s="65">
        <f>IFERROR($BA640/$BA641-1,"")</f>
        <v/>
      </c>
      <c r="DR640" s="64">
        <f>$O640-$O641</f>
        <v/>
      </c>
      <c r="DS640" s="64">
        <f>$P640-$P641</f>
        <v/>
      </c>
      <c r="DT640" s="64">
        <f>$Q640-$Q641</f>
        <v/>
      </c>
      <c r="DU640" s="64">
        <f>$S640-$S641</f>
        <v/>
      </c>
      <c r="DV640" s="65">
        <f>IFERROR(AVERAGE($AA641/$AA640-1,$AB641/$AB640-1,$AC641/$AC640-1,$AD641/$AD640-1,$AE641/$AE640-1,$AG641/$AG640-1,$AH641/$AH640-1,$AI641/$AI640-1,$AJ641/$AJ640-1,$AL641/$AL640-1,$AM641/$AM640-1,$AR641/$AR640-1,$AS641/$AS640-1,$AT641/$AT640-1,$AU641/$AU640-1,$AV641/$AV640-1,$AW641/$AW640-1,$AX641/$AX640-1,$AY641/$AY640-1),"")</f>
        <v/>
      </c>
      <c r="DW640" s="66">
        <f>AVERAGE($CB640,$CC640,$CD640,$CE640,$CF640,$CG640,$CH640,$CI640,$CJ640,$CL640,$CM640,$CN640,$CO640,$CP640,$CQ640,$CR640,$CS640,$CT640)</f>
        <v/>
      </c>
      <c r="DX640" s="66">
        <f>AVERAGE($CB640,$CC640,$CM640,$CE640,$CP640)</f>
        <v/>
      </c>
      <c r="DY640" s="64">
        <f>($DW640-$DW641)*100</f>
        <v/>
      </c>
      <c r="DZ640" s="64">
        <f>($DX640-$DX641)*100</f>
        <v/>
      </c>
      <c r="EA640" s="64">
        <f>($DW640-$D640)*100</f>
        <v/>
      </c>
      <c r="EB640" s="64">
        <f>$Q640-$O640</f>
        <v/>
      </c>
      <c r="EC640" s="67">
        <f>IFERROR($Q640/$P640,"")</f>
        <v/>
      </c>
    </row>
    <row r="641">
      <c r="DG641" s="64">
        <f>($B641-$B642)*100</f>
        <v/>
      </c>
      <c r="DH641" s="64">
        <f>($D641-$D642)*100</f>
        <v/>
      </c>
      <c r="DI641" s="64">
        <f>($E641-$E642)*100</f>
        <v/>
      </c>
      <c r="DJ641" s="64">
        <f>($H641-$H642)*100</f>
        <v/>
      </c>
      <c r="DK641" s="65">
        <f>IFERROR($J641/$J642-1,"")</f>
        <v/>
      </c>
      <c r="DL641" s="64">
        <f>$L641-$L642</f>
        <v/>
      </c>
      <c r="DM641" s="64">
        <f>$K641-$K642</f>
        <v/>
      </c>
      <c r="DN641" s="65">
        <f>IFERROR($N641/$N642-1,"")</f>
        <v/>
      </c>
      <c r="DO641" s="65">
        <f>IFERROR($M641/$M642-1,"")</f>
        <v/>
      </c>
      <c r="DP641" s="65">
        <f>IFERROR($AZ641/$AZ642-1,"")</f>
        <v/>
      </c>
      <c r="DQ641" s="65">
        <f>IFERROR($BA641/$BA642-1,"")</f>
        <v/>
      </c>
      <c r="DR641" s="64">
        <f>$O641-$O642</f>
        <v/>
      </c>
      <c r="DS641" s="64">
        <f>$P641-$P642</f>
        <v/>
      </c>
      <c r="DT641" s="64">
        <f>$Q641-$Q642</f>
        <v/>
      </c>
      <c r="DU641" s="64">
        <f>$S641-$S642</f>
        <v/>
      </c>
      <c r="DV641" s="65">
        <f>IFERROR(AVERAGE($AA642/$AA641-1,$AB642/$AB641-1,$AC642/$AC641-1,$AD642/$AD641-1,$AE642/$AE641-1,$AG642/$AG641-1,$AH642/$AH641-1,$AI642/$AI641-1,$AJ642/$AJ641-1,$AL642/$AL641-1,$AM642/$AM641-1,$AR642/$AR641-1,$AS642/$AS641-1,$AT642/$AT641-1,$AU642/$AU641-1,$AV642/$AV641-1,$AW642/$AW641-1,$AX642/$AX641-1,$AY642/$AY641-1),"")</f>
        <v/>
      </c>
      <c r="DW641" s="66">
        <f>AVERAGE($CB641,$CC641,$CD641,$CE641,$CF641,$CG641,$CH641,$CI641,$CJ641,$CL641,$CM641,$CN641,$CO641,$CP641,$CQ641,$CR641,$CS641,$CT641)</f>
        <v/>
      </c>
      <c r="DX641" s="66">
        <f>AVERAGE($CB641,$CC641,$CM641,$CE641,$CP641)</f>
        <v/>
      </c>
      <c r="DY641" s="64">
        <f>($DW641-$DW642)*100</f>
        <v/>
      </c>
      <c r="DZ641" s="64">
        <f>($DX641-$DX642)*100</f>
        <v/>
      </c>
      <c r="EA641" s="64">
        <f>($DW641-$D641)*100</f>
        <v/>
      </c>
      <c r="EB641" s="64">
        <f>$Q641-$O641</f>
        <v/>
      </c>
      <c r="EC641" s="67">
        <f>IFERROR($Q641/$P641,"")</f>
        <v/>
      </c>
    </row>
    <row r="642">
      <c r="DG642" s="64">
        <f>($B642-$B643)*100</f>
        <v/>
      </c>
      <c r="DH642" s="64">
        <f>($D642-$D643)*100</f>
        <v/>
      </c>
      <c r="DI642" s="64">
        <f>($E642-$E643)*100</f>
        <v/>
      </c>
      <c r="DJ642" s="64">
        <f>($H642-$H643)*100</f>
        <v/>
      </c>
      <c r="DK642" s="65">
        <f>IFERROR($J642/$J643-1,"")</f>
        <v/>
      </c>
      <c r="DL642" s="64">
        <f>$L642-$L643</f>
        <v/>
      </c>
      <c r="DM642" s="64">
        <f>$K642-$K643</f>
        <v/>
      </c>
      <c r="DN642" s="65">
        <f>IFERROR($N642/$N643-1,"")</f>
        <v/>
      </c>
      <c r="DO642" s="65">
        <f>IFERROR($M642/$M643-1,"")</f>
        <v/>
      </c>
      <c r="DP642" s="65">
        <f>IFERROR($AZ642/$AZ643-1,"")</f>
        <v/>
      </c>
      <c r="DQ642" s="65">
        <f>IFERROR($BA642/$BA643-1,"")</f>
        <v/>
      </c>
      <c r="DR642" s="64">
        <f>$O642-$O643</f>
        <v/>
      </c>
      <c r="DS642" s="64">
        <f>$P642-$P643</f>
        <v/>
      </c>
      <c r="DT642" s="64">
        <f>$Q642-$Q643</f>
        <v/>
      </c>
      <c r="DU642" s="64">
        <f>$S642-$S643</f>
        <v/>
      </c>
      <c r="DV642" s="65">
        <f>IFERROR(AVERAGE($AA643/$AA642-1,$AB643/$AB642-1,$AC643/$AC642-1,$AD643/$AD642-1,$AE643/$AE642-1,$AG643/$AG642-1,$AH643/$AH642-1,$AI643/$AI642-1,$AJ643/$AJ642-1,$AL643/$AL642-1,$AM643/$AM642-1,$AR643/$AR642-1,$AS643/$AS642-1,$AT643/$AT642-1,$AU643/$AU642-1,$AV643/$AV642-1,$AW643/$AW642-1,$AX643/$AX642-1,$AY643/$AY642-1),"")</f>
        <v/>
      </c>
      <c r="DW642" s="66">
        <f>AVERAGE($CB642,$CC642,$CD642,$CE642,$CF642,$CG642,$CH642,$CI642,$CJ642,$CL642,$CM642,$CN642,$CO642,$CP642,$CQ642,$CR642,$CS642,$CT642)</f>
        <v/>
      </c>
      <c r="DX642" s="66">
        <f>AVERAGE($CB642,$CC642,$CM642,$CE642,$CP642)</f>
        <v/>
      </c>
      <c r="DY642" s="64">
        <f>($DW642-$DW643)*100</f>
        <v/>
      </c>
      <c r="DZ642" s="64">
        <f>($DX642-$DX643)*100</f>
        <v/>
      </c>
      <c r="EA642" s="64">
        <f>($DW642-$D642)*100</f>
        <v/>
      </c>
      <c r="EB642" s="64">
        <f>$Q642-$O642</f>
        <v/>
      </c>
      <c r="EC642" s="67">
        <f>IFERROR($Q642/$P642,"")</f>
        <v/>
      </c>
    </row>
    <row r="643">
      <c r="DG643" s="64">
        <f>($B643-$B644)*100</f>
        <v/>
      </c>
      <c r="DH643" s="64">
        <f>($D643-$D644)*100</f>
        <v/>
      </c>
      <c r="DI643" s="64">
        <f>($E643-$E644)*100</f>
        <v/>
      </c>
      <c r="DJ643" s="64">
        <f>($H643-$H644)*100</f>
        <v/>
      </c>
      <c r="DK643" s="65">
        <f>IFERROR($J643/$J644-1,"")</f>
        <v/>
      </c>
      <c r="DL643" s="64">
        <f>$L643-$L644</f>
        <v/>
      </c>
      <c r="DM643" s="64">
        <f>$K643-$K644</f>
        <v/>
      </c>
      <c r="DN643" s="65">
        <f>IFERROR($N643/$N644-1,"")</f>
        <v/>
      </c>
      <c r="DO643" s="65">
        <f>IFERROR($M643/$M644-1,"")</f>
        <v/>
      </c>
      <c r="DP643" s="65">
        <f>IFERROR($AZ643/$AZ644-1,"")</f>
        <v/>
      </c>
      <c r="DQ643" s="65">
        <f>IFERROR($BA643/$BA644-1,"")</f>
        <v/>
      </c>
      <c r="DR643" s="64">
        <f>$O643-$O644</f>
        <v/>
      </c>
      <c r="DS643" s="64">
        <f>$P643-$P644</f>
        <v/>
      </c>
      <c r="DT643" s="64">
        <f>$Q643-$Q644</f>
        <v/>
      </c>
      <c r="DU643" s="64">
        <f>$S643-$S644</f>
        <v/>
      </c>
      <c r="DV643" s="65">
        <f>IFERROR(AVERAGE($AA644/$AA643-1,$AB644/$AB643-1,$AC644/$AC643-1,$AD644/$AD643-1,$AE644/$AE643-1,$AG644/$AG643-1,$AH644/$AH643-1,$AI644/$AI643-1,$AJ644/$AJ643-1,$AL644/$AL643-1,$AM644/$AM643-1,$AR644/$AR643-1,$AS644/$AS643-1,$AT644/$AT643-1,$AU644/$AU643-1,$AV644/$AV643-1,$AW644/$AW643-1,$AX644/$AX643-1,$AY644/$AY643-1),"")</f>
        <v/>
      </c>
      <c r="DW643" s="66">
        <f>AVERAGE($CB643,$CC643,$CD643,$CE643,$CF643,$CG643,$CH643,$CI643,$CJ643,$CL643,$CM643,$CN643,$CO643,$CP643,$CQ643,$CR643,$CS643,$CT643)</f>
        <v/>
      </c>
      <c r="DX643" s="66">
        <f>AVERAGE($CB643,$CC643,$CM643,$CE643,$CP643)</f>
        <v/>
      </c>
      <c r="DY643" s="64">
        <f>($DW643-$DW644)*100</f>
        <v/>
      </c>
      <c r="DZ643" s="64">
        <f>($DX643-$DX644)*100</f>
        <v/>
      </c>
      <c r="EA643" s="64">
        <f>($DW643-$D643)*100</f>
        <v/>
      </c>
      <c r="EB643" s="64">
        <f>$Q643-$O643</f>
        <v/>
      </c>
      <c r="EC643" s="67">
        <f>IFERROR($Q643/$P643,"")</f>
        <v/>
      </c>
    </row>
    <row r="644">
      <c r="DG644" s="64">
        <f>($B644-$B645)*100</f>
        <v/>
      </c>
      <c r="DH644" s="64">
        <f>($D644-$D645)*100</f>
        <v/>
      </c>
      <c r="DI644" s="64">
        <f>($E644-$E645)*100</f>
        <v/>
      </c>
      <c r="DJ644" s="64">
        <f>($H644-$H645)*100</f>
        <v/>
      </c>
      <c r="DK644" s="65">
        <f>IFERROR($J644/$J645-1,"")</f>
        <v/>
      </c>
      <c r="DL644" s="64">
        <f>$L644-$L645</f>
        <v/>
      </c>
      <c r="DM644" s="64">
        <f>$K644-$K645</f>
        <v/>
      </c>
      <c r="DN644" s="65">
        <f>IFERROR($N644/$N645-1,"")</f>
        <v/>
      </c>
      <c r="DO644" s="65">
        <f>IFERROR($M644/$M645-1,"")</f>
        <v/>
      </c>
      <c r="DP644" s="65">
        <f>IFERROR($AZ644/$AZ645-1,"")</f>
        <v/>
      </c>
      <c r="DQ644" s="65">
        <f>IFERROR($BA644/$BA645-1,"")</f>
        <v/>
      </c>
      <c r="DR644" s="64">
        <f>$O644-$O645</f>
        <v/>
      </c>
      <c r="DS644" s="64">
        <f>$P644-$P645</f>
        <v/>
      </c>
      <c r="DT644" s="64">
        <f>$Q644-$Q645</f>
        <v/>
      </c>
      <c r="DU644" s="64">
        <f>$S644-$S645</f>
        <v/>
      </c>
      <c r="DV644" s="65">
        <f>IFERROR(AVERAGE($AA645/$AA644-1,$AB645/$AB644-1,$AC645/$AC644-1,$AD645/$AD644-1,$AE645/$AE644-1,$AG645/$AG644-1,$AH645/$AH644-1,$AI645/$AI644-1,$AJ645/$AJ644-1,$AL645/$AL644-1,$AM645/$AM644-1,$AR645/$AR644-1,$AS645/$AS644-1,$AT645/$AT644-1,$AU645/$AU644-1,$AV645/$AV644-1,$AW645/$AW644-1,$AX645/$AX644-1,$AY645/$AY644-1),"")</f>
        <v/>
      </c>
      <c r="DW644" s="66">
        <f>AVERAGE($CB644,$CC644,$CD644,$CE644,$CF644,$CG644,$CH644,$CI644,$CJ644,$CL644,$CM644,$CN644,$CO644,$CP644,$CQ644,$CR644,$CS644,$CT644)</f>
        <v/>
      </c>
      <c r="DX644" s="66">
        <f>AVERAGE($CB644,$CC644,$CM644,$CE644,$CP644)</f>
        <v/>
      </c>
      <c r="DY644" s="64">
        <f>($DW644-$DW645)*100</f>
        <v/>
      </c>
      <c r="DZ644" s="64">
        <f>($DX644-$DX645)*100</f>
        <v/>
      </c>
      <c r="EA644" s="64">
        <f>($DW644-$D644)*100</f>
        <v/>
      </c>
      <c r="EB644" s="64">
        <f>$Q644-$O644</f>
        <v/>
      </c>
      <c r="EC644" s="67">
        <f>IFERROR($Q644/$P644,"")</f>
        <v/>
      </c>
    </row>
    <row r="645">
      <c r="DG645" s="64">
        <f>($B645-$B646)*100</f>
        <v/>
      </c>
      <c r="DH645" s="64">
        <f>($D645-$D646)*100</f>
        <v/>
      </c>
      <c r="DI645" s="64">
        <f>($E645-$E646)*100</f>
        <v/>
      </c>
      <c r="DJ645" s="64">
        <f>($H645-$H646)*100</f>
        <v/>
      </c>
      <c r="DK645" s="65">
        <f>IFERROR($J645/$J646-1,"")</f>
        <v/>
      </c>
      <c r="DL645" s="64">
        <f>$L645-$L646</f>
        <v/>
      </c>
      <c r="DM645" s="64">
        <f>$K645-$K646</f>
        <v/>
      </c>
      <c r="DN645" s="65">
        <f>IFERROR($N645/$N646-1,"")</f>
        <v/>
      </c>
      <c r="DO645" s="65">
        <f>IFERROR($M645/$M646-1,"")</f>
        <v/>
      </c>
      <c r="DP645" s="65">
        <f>IFERROR($AZ645/$AZ646-1,"")</f>
        <v/>
      </c>
      <c r="DQ645" s="65">
        <f>IFERROR($BA645/$BA646-1,"")</f>
        <v/>
      </c>
      <c r="DR645" s="64">
        <f>$O645-$O646</f>
        <v/>
      </c>
      <c r="DS645" s="64">
        <f>$P645-$P646</f>
        <v/>
      </c>
      <c r="DT645" s="64">
        <f>$Q645-$Q646</f>
        <v/>
      </c>
      <c r="DU645" s="64">
        <f>$S645-$S646</f>
        <v/>
      </c>
      <c r="DV645" s="65">
        <f>IFERROR(AVERAGE($AA646/$AA645-1,$AB646/$AB645-1,$AC646/$AC645-1,$AD646/$AD645-1,$AE646/$AE645-1,$AG646/$AG645-1,$AH646/$AH645-1,$AI646/$AI645-1,$AJ646/$AJ645-1,$AL646/$AL645-1,$AM646/$AM645-1,$AR646/$AR645-1,$AS646/$AS645-1,$AT646/$AT645-1,$AU646/$AU645-1,$AV646/$AV645-1,$AW646/$AW645-1,$AX646/$AX645-1,$AY646/$AY645-1),"")</f>
        <v/>
      </c>
      <c r="DW645" s="66">
        <f>AVERAGE($CB645,$CC645,$CD645,$CE645,$CF645,$CG645,$CH645,$CI645,$CJ645,$CL645,$CM645,$CN645,$CO645,$CP645,$CQ645,$CR645,$CS645,$CT645)</f>
        <v/>
      </c>
      <c r="DX645" s="66">
        <f>AVERAGE($CB645,$CC645,$CM645,$CE645,$CP645)</f>
        <v/>
      </c>
      <c r="DY645" s="64">
        <f>($DW645-$DW646)*100</f>
        <v/>
      </c>
      <c r="DZ645" s="64">
        <f>($DX645-$DX646)*100</f>
        <v/>
      </c>
      <c r="EA645" s="64">
        <f>($DW645-$D645)*100</f>
        <v/>
      </c>
      <c r="EB645" s="64">
        <f>$Q645-$O645</f>
        <v/>
      </c>
      <c r="EC645" s="67">
        <f>IFERROR($Q645/$P645,"")</f>
        <v/>
      </c>
    </row>
    <row r="646">
      <c r="DG646" s="64">
        <f>($B646-$B647)*100</f>
        <v/>
      </c>
      <c r="DH646" s="64">
        <f>($D646-$D647)*100</f>
        <v/>
      </c>
      <c r="DI646" s="64">
        <f>($E646-$E647)*100</f>
        <v/>
      </c>
      <c r="DJ646" s="64">
        <f>($H646-$H647)*100</f>
        <v/>
      </c>
      <c r="DK646" s="65">
        <f>IFERROR($J646/$J647-1,"")</f>
        <v/>
      </c>
      <c r="DL646" s="64">
        <f>$L646-$L647</f>
        <v/>
      </c>
      <c r="DM646" s="64">
        <f>$K646-$K647</f>
        <v/>
      </c>
      <c r="DN646" s="65">
        <f>IFERROR($N646/$N647-1,"")</f>
        <v/>
      </c>
      <c r="DO646" s="65">
        <f>IFERROR($M646/$M647-1,"")</f>
        <v/>
      </c>
      <c r="DP646" s="65">
        <f>IFERROR($AZ646/$AZ647-1,"")</f>
        <v/>
      </c>
      <c r="DQ646" s="65">
        <f>IFERROR($BA646/$BA647-1,"")</f>
        <v/>
      </c>
      <c r="DR646" s="64">
        <f>$O646-$O647</f>
        <v/>
      </c>
      <c r="DS646" s="64">
        <f>$P646-$P647</f>
        <v/>
      </c>
      <c r="DT646" s="64">
        <f>$Q646-$Q647</f>
        <v/>
      </c>
      <c r="DU646" s="64">
        <f>$S646-$S647</f>
        <v/>
      </c>
      <c r="DV646" s="65">
        <f>IFERROR(AVERAGE($AA647/$AA646-1,$AB647/$AB646-1,$AC647/$AC646-1,$AD647/$AD646-1,$AE647/$AE646-1,$AG647/$AG646-1,$AH647/$AH646-1,$AI647/$AI646-1,$AJ647/$AJ646-1,$AL647/$AL646-1,$AM647/$AM646-1,$AR647/$AR646-1,$AS647/$AS646-1,$AT647/$AT646-1,$AU647/$AU646-1,$AV647/$AV646-1,$AW647/$AW646-1,$AX647/$AX646-1,$AY647/$AY646-1),"")</f>
        <v/>
      </c>
      <c r="DW646" s="66">
        <f>AVERAGE($CB646,$CC646,$CD646,$CE646,$CF646,$CG646,$CH646,$CI646,$CJ646,$CL646,$CM646,$CN646,$CO646,$CP646,$CQ646,$CR646,$CS646,$CT646)</f>
        <v/>
      </c>
      <c r="DX646" s="66">
        <f>AVERAGE($CB646,$CC646,$CM646,$CE646,$CP646)</f>
        <v/>
      </c>
      <c r="DY646" s="64">
        <f>($DW646-$DW647)*100</f>
        <v/>
      </c>
      <c r="DZ646" s="64">
        <f>($DX646-$DX647)*100</f>
        <v/>
      </c>
      <c r="EA646" s="64">
        <f>($DW646-$D646)*100</f>
        <v/>
      </c>
      <c r="EB646" s="64">
        <f>$Q646-$O646</f>
        <v/>
      </c>
      <c r="EC646" s="67">
        <f>IFERROR($Q646/$P646,"")</f>
        <v/>
      </c>
    </row>
    <row r="647">
      <c r="DG647" s="64">
        <f>($B647-$B648)*100</f>
        <v/>
      </c>
      <c r="DH647" s="64">
        <f>($D647-$D648)*100</f>
        <v/>
      </c>
      <c r="DI647" s="64">
        <f>($E647-$E648)*100</f>
        <v/>
      </c>
      <c r="DJ647" s="64">
        <f>($H647-$H648)*100</f>
        <v/>
      </c>
      <c r="DK647" s="65">
        <f>IFERROR($J647/$J648-1,"")</f>
        <v/>
      </c>
      <c r="DL647" s="64">
        <f>$L647-$L648</f>
        <v/>
      </c>
      <c r="DM647" s="64">
        <f>$K647-$K648</f>
        <v/>
      </c>
      <c r="DN647" s="65">
        <f>IFERROR($N647/$N648-1,"")</f>
        <v/>
      </c>
      <c r="DO647" s="65">
        <f>IFERROR($M647/$M648-1,"")</f>
        <v/>
      </c>
      <c r="DP647" s="65">
        <f>IFERROR($AZ647/$AZ648-1,"")</f>
        <v/>
      </c>
      <c r="DQ647" s="65">
        <f>IFERROR($BA647/$BA648-1,"")</f>
        <v/>
      </c>
      <c r="DR647" s="64">
        <f>$O647-$O648</f>
        <v/>
      </c>
      <c r="DS647" s="64">
        <f>$P647-$P648</f>
        <v/>
      </c>
      <c r="DT647" s="64">
        <f>$Q647-$Q648</f>
        <v/>
      </c>
      <c r="DU647" s="64">
        <f>$S647-$S648</f>
        <v/>
      </c>
      <c r="DV647" s="65">
        <f>IFERROR(AVERAGE($AA648/$AA647-1,$AB648/$AB647-1,$AC648/$AC647-1,$AD648/$AD647-1,$AE648/$AE647-1,$AG648/$AG647-1,$AH648/$AH647-1,$AI648/$AI647-1,$AJ648/$AJ647-1,$AL648/$AL647-1,$AM648/$AM647-1,$AR648/$AR647-1,$AS648/$AS647-1,$AT648/$AT647-1,$AU648/$AU647-1,$AV648/$AV647-1,$AW648/$AW647-1,$AX648/$AX647-1,$AY648/$AY647-1),"")</f>
        <v/>
      </c>
      <c r="DW647" s="66">
        <f>AVERAGE($CB647,$CC647,$CD647,$CE647,$CF647,$CG647,$CH647,$CI647,$CJ647,$CL647,$CM647,$CN647,$CO647,$CP647,$CQ647,$CR647,$CS647,$CT647)</f>
        <v/>
      </c>
      <c r="DX647" s="66">
        <f>AVERAGE($CB647,$CC647,$CM647,$CE647,$CP647)</f>
        <v/>
      </c>
      <c r="DY647" s="64">
        <f>($DW647-$DW648)*100</f>
        <v/>
      </c>
      <c r="DZ647" s="64">
        <f>($DX647-$DX648)*100</f>
        <v/>
      </c>
      <c r="EA647" s="64">
        <f>($DW647-$D647)*100</f>
        <v/>
      </c>
      <c r="EB647" s="64">
        <f>$Q647-$O647</f>
        <v/>
      </c>
      <c r="EC647" s="67">
        <f>IFERROR($Q647/$P647,"")</f>
        <v/>
      </c>
    </row>
    <row r="648">
      <c r="DG648" s="64">
        <f>($B648-$B649)*100</f>
        <v/>
      </c>
      <c r="DH648" s="64">
        <f>($D648-$D649)*100</f>
        <v/>
      </c>
      <c r="DI648" s="64">
        <f>($E648-$E649)*100</f>
        <v/>
      </c>
      <c r="DJ648" s="64">
        <f>($H648-$H649)*100</f>
        <v/>
      </c>
      <c r="DK648" s="65">
        <f>IFERROR($J648/$J649-1,"")</f>
        <v/>
      </c>
      <c r="DL648" s="64">
        <f>$L648-$L649</f>
        <v/>
      </c>
      <c r="DM648" s="64">
        <f>$K648-$K649</f>
        <v/>
      </c>
      <c r="DN648" s="65">
        <f>IFERROR($N648/$N649-1,"")</f>
        <v/>
      </c>
      <c r="DO648" s="65">
        <f>IFERROR($M648/$M649-1,"")</f>
        <v/>
      </c>
      <c r="DP648" s="65">
        <f>IFERROR($AZ648/$AZ649-1,"")</f>
        <v/>
      </c>
      <c r="DQ648" s="65">
        <f>IFERROR($BA648/$BA649-1,"")</f>
        <v/>
      </c>
      <c r="DR648" s="64">
        <f>$O648-$O649</f>
        <v/>
      </c>
      <c r="DS648" s="64">
        <f>$P648-$P649</f>
        <v/>
      </c>
      <c r="DT648" s="64">
        <f>$Q648-$Q649</f>
        <v/>
      </c>
      <c r="DU648" s="64">
        <f>$S648-$S649</f>
        <v/>
      </c>
      <c r="DV648" s="65">
        <f>IFERROR(AVERAGE($AA649/$AA648-1,$AB649/$AB648-1,$AC649/$AC648-1,$AD649/$AD648-1,$AE649/$AE648-1,$AG649/$AG648-1,$AH649/$AH648-1,$AI649/$AI648-1,$AJ649/$AJ648-1,$AL649/$AL648-1,$AM649/$AM648-1,$AR649/$AR648-1,$AS649/$AS648-1,$AT649/$AT648-1,$AU649/$AU648-1,$AV649/$AV648-1,$AW649/$AW648-1,$AX649/$AX648-1,$AY649/$AY648-1),"")</f>
        <v/>
      </c>
      <c r="DW648" s="66">
        <f>AVERAGE($CB648,$CC648,$CD648,$CE648,$CF648,$CG648,$CH648,$CI648,$CJ648,$CL648,$CM648,$CN648,$CO648,$CP648,$CQ648,$CR648,$CS648,$CT648)</f>
        <v/>
      </c>
      <c r="DX648" s="66">
        <f>AVERAGE($CB648,$CC648,$CM648,$CE648,$CP648)</f>
        <v/>
      </c>
      <c r="DY648" s="64">
        <f>($DW648-$DW649)*100</f>
        <v/>
      </c>
      <c r="DZ648" s="64">
        <f>($DX648-$DX649)*100</f>
        <v/>
      </c>
      <c r="EA648" s="64">
        <f>($DW648-$D648)*100</f>
        <v/>
      </c>
      <c r="EB648" s="64">
        <f>$Q648-$O648</f>
        <v/>
      </c>
      <c r="EC648" s="67">
        <f>IFERROR($Q648/$P648,"")</f>
        <v/>
      </c>
    </row>
    <row r="649">
      <c r="DG649" s="64">
        <f>($B649-$B650)*100</f>
        <v/>
      </c>
      <c r="DH649" s="64">
        <f>($D649-$D650)*100</f>
        <v/>
      </c>
      <c r="DI649" s="64">
        <f>($E649-$E650)*100</f>
        <v/>
      </c>
      <c r="DJ649" s="64">
        <f>($H649-$H650)*100</f>
        <v/>
      </c>
      <c r="DK649" s="65">
        <f>IFERROR($J649/$J650-1,"")</f>
        <v/>
      </c>
      <c r="DL649" s="64">
        <f>$L649-$L650</f>
        <v/>
      </c>
      <c r="DM649" s="64">
        <f>$K649-$K650</f>
        <v/>
      </c>
      <c r="DN649" s="65">
        <f>IFERROR($N649/$N650-1,"")</f>
        <v/>
      </c>
      <c r="DO649" s="65">
        <f>IFERROR($M649/$M650-1,"")</f>
        <v/>
      </c>
      <c r="DP649" s="65">
        <f>IFERROR($AZ649/$AZ650-1,"")</f>
        <v/>
      </c>
      <c r="DQ649" s="65">
        <f>IFERROR($BA649/$BA650-1,"")</f>
        <v/>
      </c>
      <c r="DR649" s="64">
        <f>$O649-$O650</f>
        <v/>
      </c>
      <c r="DS649" s="64">
        <f>$P649-$P650</f>
        <v/>
      </c>
      <c r="DT649" s="64">
        <f>$Q649-$Q650</f>
        <v/>
      </c>
      <c r="DU649" s="64">
        <f>$S649-$S650</f>
        <v/>
      </c>
      <c r="DV649" s="65">
        <f>IFERROR(AVERAGE($AA650/$AA649-1,$AB650/$AB649-1,$AC650/$AC649-1,$AD650/$AD649-1,$AE650/$AE649-1,$AG650/$AG649-1,$AH650/$AH649-1,$AI650/$AI649-1,$AJ650/$AJ649-1,$AL650/$AL649-1,$AM650/$AM649-1,$AR650/$AR649-1,$AS650/$AS649-1,$AT650/$AT649-1,$AU650/$AU649-1,$AV650/$AV649-1,$AW650/$AW649-1,$AX650/$AX649-1,$AY650/$AY649-1),"")</f>
        <v/>
      </c>
      <c r="DW649" s="66">
        <f>AVERAGE($CB649,$CC649,$CD649,$CE649,$CF649,$CG649,$CH649,$CI649,$CJ649,$CL649,$CM649,$CN649,$CO649,$CP649,$CQ649,$CR649,$CS649,$CT649)</f>
        <v/>
      </c>
      <c r="DX649" s="66">
        <f>AVERAGE($CB649,$CC649,$CM649,$CE649,$CP649)</f>
        <v/>
      </c>
      <c r="DY649" s="64">
        <f>($DW649-$DW650)*100</f>
        <v/>
      </c>
      <c r="DZ649" s="64">
        <f>($DX649-$DX650)*100</f>
        <v/>
      </c>
      <c r="EA649" s="64">
        <f>($DW649-$D649)*100</f>
        <v/>
      </c>
      <c r="EB649" s="64">
        <f>$Q649-$O649</f>
        <v/>
      </c>
      <c r="EC649" s="67">
        <f>IFERROR($Q649/$P649,"")</f>
        <v/>
      </c>
    </row>
    <row r="650">
      <c r="DG650" s="64">
        <f>($B650-$B651)*100</f>
        <v/>
      </c>
      <c r="DH650" s="64">
        <f>($D650-$D651)*100</f>
        <v/>
      </c>
      <c r="DI650" s="64">
        <f>($E650-$E651)*100</f>
        <v/>
      </c>
      <c r="DJ650" s="64">
        <f>($H650-$H651)*100</f>
        <v/>
      </c>
      <c r="DK650" s="65">
        <f>IFERROR($J650/$J651-1,"")</f>
        <v/>
      </c>
      <c r="DL650" s="64">
        <f>$L650-$L651</f>
        <v/>
      </c>
      <c r="DM650" s="64">
        <f>$K650-$K651</f>
        <v/>
      </c>
      <c r="DN650" s="65">
        <f>IFERROR($N650/$N651-1,"")</f>
        <v/>
      </c>
      <c r="DO650" s="65">
        <f>IFERROR($M650/$M651-1,"")</f>
        <v/>
      </c>
      <c r="DP650" s="65">
        <f>IFERROR($AZ650/$AZ651-1,"")</f>
        <v/>
      </c>
      <c r="DQ650" s="65">
        <f>IFERROR($BA650/$BA651-1,"")</f>
        <v/>
      </c>
      <c r="DR650" s="64">
        <f>$O650-$O651</f>
        <v/>
      </c>
      <c r="DS650" s="64">
        <f>$P650-$P651</f>
        <v/>
      </c>
      <c r="DT650" s="64">
        <f>$Q650-$Q651</f>
        <v/>
      </c>
      <c r="DU650" s="64">
        <f>$S650-$S651</f>
        <v/>
      </c>
      <c r="DV650" s="65">
        <f>IFERROR(AVERAGE($AA651/$AA650-1,$AB651/$AB650-1,$AC651/$AC650-1,$AD651/$AD650-1,$AE651/$AE650-1,$AG651/$AG650-1,$AH651/$AH650-1,$AI651/$AI650-1,$AJ651/$AJ650-1,$AL651/$AL650-1,$AM651/$AM650-1,$AR651/$AR650-1,$AS651/$AS650-1,$AT651/$AT650-1,$AU651/$AU650-1,$AV651/$AV650-1,$AW651/$AW650-1,$AX651/$AX650-1,$AY651/$AY650-1),"")</f>
        <v/>
      </c>
      <c r="DW650" s="66">
        <f>AVERAGE($CB650,$CC650,$CD650,$CE650,$CF650,$CG650,$CH650,$CI650,$CJ650,$CL650,$CM650,$CN650,$CO650,$CP650,$CQ650,$CR650,$CS650,$CT650)</f>
        <v/>
      </c>
      <c r="DX650" s="66">
        <f>AVERAGE($CB650,$CC650,$CM650,$CE650,$CP650)</f>
        <v/>
      </c>
      <c r="DY650" s="64">
        <f>($DW650-$DW651)*100</f>
        <v/>
      </c>
      <c r="DZ650" s="64">
        <f>($DX650-$DX651)*100</f>
        <v/>
      </c>
      <c r="EA650" s="64">
        <f>($DW650-$D650)*100</f>
        <v/>
      </c>
      <c r="EB650" s="64">
        <f>$Q650-$O650</f>
        <v/>
      </c>
      <c r="EC650" s="67">
        <f>IFERROR($Q650/$P650,"")</f>
        <v/>
      </c>
    </row>
    <row r="651">
      <c r="DG651" s="64">
        <f>($B651-$B652)*100</f>
        <v/>
      </c>
      <c r="DH651" s="64">
        <f>($D651-$D652)*100</f>
        <v/>
      </c>
      <c r="DI651" s="64">
        <f>($E651-$E652)*100</f>
        <v/>
      </c>
      <c r="DJ651" s="64">
        <f>($H651-$H652)*100</f>
        <v/>
      </c>
      <c r="DK651" s="65">
        <f>IFERROR($J651/$J652-1,"")</f>
        <v/>
      </c>
      <c r="DL651" s="64">
        <f>$L651-$L652</f>
        <v/>
      </c>
      <c r="DM651" s="64">
        <f>$K651-$K652</f>
        <v/>
      </c>
      <c r="DN651" s="65">
        <f>IFERROR($N651/$N652-1,"")</f>
        <v/>
      </c>
      <c r="DO651" s="65">
        <f>IFERROR($M651/$M652-1,"")</f>
        <v/>
      </c>
      <c r="DP651" s="65">
        <f>IFERROR($AZ651/$AZ652-1,"")</f>
        <v/>
      </c>
      <c r="DQ651" s="65">
        <f>IFERROR($BA651/$BA652-1,"")</f>
        <v/>
      </c>
      <c r="DR651" s="64">
        <f>$O651-$O652</f>
        <v/>
      </c>
      <c r="DS651" s="64">
        <f>$P651-$P652</f>
        <v/>
      </c>
      <c r="DT651" s="64">
        <f>$Q651-$Q652</f>
        <v/>
      </c>
      <c r="DU651" s="64">
        <f>$S651-$S652</f>
        <v/>
      </c>
      <c r="DV651" s="65">
        <f>IFERROR(AVERAGE($AA652/$AA651-1,$AB652/$AB651-1,$AC652/$AC651-1,$AD652/$AD651-1,$AE652/$AE651-1,$AG652/$AG651-1,$AH652/$AH651-1,$AI652/$AI651-1,$AJ652/$AJ651-1,$AL652/$AL651-1,$AM652/$AM651-1,$AR652/$AR651-1,$AS652/$AS651-1,$AT652/$AT651-1,$AU652/$AU651-1,$AV652/$AV651-1,$AW652/$AW651-1,$AX652/$AX651-1,$AY652/$AY651-1),"")</f>
        <v/>
      </c>
      <c r="DW651" s="66">
        <f>AVERAGE($CB651,$CC651,$CD651,$CE651,$CF651,$CG651,$CH651,$CI651,$CJ651,$CL651,$CM651,$CN651,$CO651,$CP651,$CQ651,$CR651,$CS651,$CT651)</f>
        <v/>
      </c>
      <c r="DX651" s="66">
        <f>AVERAGE($CB651,$CC651,$CM651,$CE651,$CP651)</f>
        <v/>
      </c>
      <c r="DY651" s="64">
        <f>($DW651-$DW652)*100</f>
        <v/>
      </c>
      <c r="DZ651" s="64">
        <f>($DX651-$DX652)*100</f>
        <v/>
      </c>
      <c r="EA651" s="64">
        <f>($DW651-$D651)*100</f>
        <v/>
      </c>
      <c r="EB651" s="64">
        <f>$Q651-$O651</f>
        <v/>
      </c>
      <c r="EC651" s="67">
        <f>IFERROR($Q651/$P651,"")</f>
        <v/>
      </c>
    </row>
    <row r="652">
      <c r="DG652" s="64">
        <f>($B652-$B653)*100</f>
        <v/>
      </c>
      <c r="DH652" s="64">
        <f>($D652-$D653)*100</f>
        <v/>
      </c>
      <c r="DI652" s="64">
        <f>($E652-$E653)*100</f>
        <v/>
      </c>
      <c r="DJ652" s="64">
        <f>($H652-$H653)*100</f>
        <v/>
      </c>
      <c r="DK652" s="65">
        <f>IFERROR($J652/$J653-1,"")</f>
        <v/>
      </c>
      <c r="DL652" s="64">
        <f>$L652-$L653</f>
        <v/>
      </c>
      <c r="DM652" s="64">
        <f>$K652-$K653</f>
        <v/>
      </c>
      <c r="DN652" s="65">
        <f>IFERROR($N652/$N653-1,"")</f>
        <v/>
      </c>
      <c r="DO652" s="65">
        <f>IFERROR($M652/$M653-1,"")</f>
        <v/>
      </c>
      <c r="DP652" s="65">
        <f>IFERROR($AZ652/$AZ653-1,"")</f>
        <v/>
      </c>
      <c r="DQ652" s="65">
        <f>IFERROR($BA652/$BA653-1,"")</f>
        <v/>
      </c>
      <c r="DR652" s="64">
        <f>$O652-$O653</f>
        <v/>
      </c>
      <c r="DS652" s="64">
        <f>$P652-$P653</f>
        <v/>
      </c>
      <c r="DT652" s="64">
        <f>$Q652-$Q653</f>
        <v/>
      </c>
      <c r="DU652" s="64">
        <f>$S652-$S653</f>
        <v/>
      </c>
      <c r="DV652" s="65">
        <f>IFERROR(AVERAGE($AA653/$AA652-1,$AB653/$AB652-1,$AC653/$AC652-1,$AD653/$AD652-1,$AE653/$AE652-1,$AG653/$AG652-1,$AH653/$AH652-1,$AI653/$AI652-1,$AJ653/$AJ652-1,$AL653/$AL652-1,$AM653/$AM652-1,$AR653/$AR652-1,$AS653/$AS652-1,$AT653/$AT652-1,$AU653/$AU652-1,$AV653/$AV652-1,$AW653/$AW652-1,$AX653/$AX652-1,$AY653/$AY652-1),"")</f>
        <v/>
      </c>
      <c r="DW652" s="66">
        <f>AVERAGE($CB652,$CC652,$CD652,$CE652,$CF652,$CG652,$CH652,$CI652,$CJ652,$CL652,$CM652,$CN652,$CO652,$CP652,$CQ652,$CR652,$CS652,$CT652)</f>
        <v/>
      </c>
      <c r="DX652" s="66">
        <f>AVERAGE($CB652,$CC652,$CM652,$CE652,$CP652)</f>
        <v/>
      </c>
      <c r="DY652" s="64">
        <f>($DW652-$DW653)*100</f>
        <v/>
      </c>
      <c r="DZ652" s="64">
        <f>($DX652-$DX653)*100</f>
        <v/>
      </c>
      <c r="EA652" s="64">
        <f>($DW652-$D652)*100</f>
        <v/>
      </c>
      <c r="EB652" s="64">
        <f>$Q652-$O652</f>
        <v/>
      </c>
      <c r="EC652" s="67">
        <f>IFERROR($Q652/$P652,"")</f>
        <v/>
      </c>
    </row>
    <row r="653">
      <c r="DG653" s="64">
        <f>($B653-$B654)*100</f>
        <v/>
      </c>
      <c r="DH653" s="64">
        <f>($D653-$D654)*100</f>
        <v/>
      </c>
      <c r="DI653" s="64">
        <f>($E653-$E654)*100</f>
        <v/>
      </c>
      <c r="DJ653" s="64">
        <f>($H653-$H654)*100</f>
        <v/>
      </c>
      <c r="DK653" s="65">
        <f>IFERROR($J653/$J654-1,"")</f>
        <v/>
      </c>
      <c r="DL653" s="64">
        <f>$L653-$L654</f>
        <v/>
      </c>
      <c r="DM653" s="64">
        <f>$K653-$K654</f>
        <v/>
      </c>
      <c r="DN653" s="65">
        <f>IFERROR($N653/$N654-1,"")</f>
        <v/>
      </c>
      <c r="DO653" s="65">
        <f>IFERROR($M653/$M654-1,"")</f>
        <v/>
      </c>
      <c r="DP653" s="65">
        <f>IFERROR($AZ653/$AZ654-1,"")</f>
        <v/>
      </c>
      <c r="DQ653" s="65">
        <f>IFERROR($BA653/$BA654-1,"")</f>
        <v/>
      </c>
      <c r="DR653" s="64">
        <f>$O653-$O654</f>
        <v/>
      </c>
      <c r="DS653" s="64">
        <f>$P653-$P654</f>
        <v/>
      </c>
      <c r="DT653" s="64">
        <f>$Q653-$Q654</f>
        <v/>
      </c>
      <c r="DU653" s="64">
        <f>$S653-$S654</f>
        <v/>
      </c>
      <c r="DV653" s="65">
        <f>IFERROR(AVERAGE($AA654/$AA653-1,$AB654/$AB653-1,$AC654/$AC653-1,$AD654/$AD653-1,$AE654/$AE653-1,$AG654/$AG653-1,$AH654/$AH653-1,$AI654/$AI653-1,$AJ654/$AJ653-1,$AL654/$AL653-1,$AM654/$AM653-1,$AR654/$AR653-1,$AS654/$AS653-1,$AT654/$AT653-1,$AU654/$AU653-1,$AV654/$AV653-1,$AW654/$AW653-1,$AX654/$AX653-1,$AY654/$AY653-1),"")</f>
        <v/>
      </c>
      <c r="DW653" s="66">
        <f>AVERAGE($CB653,$CC653,$CD653,$CE653,$CF653,$CG653,$CH653,$CI653,$CJ653,$CL653,$CM653,$CN653,$CO653,$CP653,$CQ653,$CR653,$CS653,$CT653)</f>
        <v/>
      </c>
      <c r="DX653" s="66">
        <f>AVERAGE($CB653,$CC653,$CM653,$CE653,$CP653)</f>
        <v/>
      </c>
      <c r="DY653" s="64">
        <f>($DW653-$DW654)*100</f>
        <v/>
      </c>
      <c r="DZ653" s="64">
        <f>($DX653-$DX654)*100</f>
        <v/>
      </c>
      <c r="EA653" s="64">
        <f>($DW653-$D653)*100</f>
        <v/>
      </c>
      <c r="EB653" s="64">
        <f>$Q653-$O653</f>
        <v/>
      </c>
      <c r="EC653" s="67">
        <f>IFERROR($Q653/$P653,"")</f>
        <v/>
      </c>
    </row>
    <row r="654">
      <c r="DG654" s="64">
        <f>($B654-$B655)*100</f>
        <v/>
      </c>
      <c r="DH654" s="64">
        <f>($D654-$D655)*100</f>
        <v/>
      </c>
      <c r="DI654" s="64">
        <f>($E654-$E655)*100</f>
        <v/>
      </c>
      <c r="DJ654" s="64">
        <f>($H654-$H655)*100</f>
        <v/>
      </c>
      <c r="DK654" s="65">
        <f>IFERROR($J654/$J655-1,"")</f>
        <v/>
      </c>
      <c r="DL654" s="64">
        <f>$L654-$L655</f>
        <v/>
      </c>
      <c r="DM654" s="64">
        <f>$K654-$K655</f>
        <v/>
      </c>
      <c r="DN654" s="65">
        <f>IFERROR($N654/$N655-1,"")</f>
        <v/>
      </c>
      <c r="DO654" s="65">
        <f>IFERROR($M654/$M655-1,"")</f>
        <v/>
      </c>
      <c r="DP654" s="65">
        <f>IFERROR($AZ654/$AZ655-1,"")</f>
        <v/>
      </c>
      <c r="DQ654" s="65">
        <f>IFERROR($BA654/$BA655-1,"")</f>
        <v/>
      </c>
      <c r="DR654" s="64">
        <f>$O654-$O655</f>
        <v/>
      </c>
      <c r="DS654" s="64">
        <f>$P654-$P655</f>
        <v/>
      </c>
      <c r="DT654" s="64">
        <f>$Q654-$Q655</f>
        <v/>
      </c>
      <c r="DU654" s="64">
        <f>$S654-$S655</f>
        <v/>
      </c>
      <c r="DV654" s="65">
        <f>IFERROR(AVERAGE($AA655/$AA654-1,$AB655/$AB654-1,$AC655/$AC654-1,$AD655/$AD654-1,$AE655/$AE654-1,$AG655/$AG654-1,$AH655/$AH654-1,$AI655/$AI654-1,$AJ655/$AJ654-1,$AL655/$AL654-1,$AM655/$AM654-1,$AR655/$AR654-1,$AS655/$AS654-1,$AT655/$AT654-1,$AU655/$AU654-1,$AV655/$AV654-1,$AW655/$AW654-1,$AX655/$AX654-1,$AY655/$AY654-1),"")</f>
        <v/>
      </c>
      <c r="DW654" s="66">
        <f>AVERAGE($CB654,$CC654,$CD654,$CE654,$CF654,$CG654,$CH654,$CI654,$CJ654,$CL654,$CM654,$CN654,$CO654,$CP654,$CQ654,$CR654,$CS654,$CT654)</f>
        <v/>
      </c>
      <c r="DX654" s="66">
        <f>AVERAGE($CB654,$CC654,$CM654,$CE654,$CP654)</f>
        <v/>
      </c>
      <c r="DY654" s="64">
        <f>($DW654-$DW655)*100</f>
        <v/>
      </c>
      <c r="DZ654" s="64">
        <f>($DX654-$DX655)*100</f>
        <v/>
      </c>
      <c r="EA654" s="64">
        <f>($DW654-$D654)*100</f>
        <v/>
      </c>
      <c r="EB654" s="64">
        <f>$Q654-$O654</f>
        <v/>
      </c>
      <c r="EC654" s="67">
        <f>IFERROR($Q654/$P654,"")</f>
        <v/>
      </c>
    </row>
    <row r="655">
      <c r="DG655" s="64">
        <f>($B655-$B656)*100</f>
        <v/>
      </c>
      <c r="DH655" s="64">
        <f>($D655-$D656)*100</f>
        <v/>
      </c>
      <c r="DI655" s="64">
        <f>($E655-$E656)*100</f>
        <v/>
      </c>
      <c r="DJ655" s="64">
        <f>($H655-$H656)*100</f>
        <v/>
      </c>
      <c r="DK655" s="65">
        <f>IFERROR($J655/$J656-1,"")</f>
        <v/>
      </c>
      <c r="DL655" s="64">
        <f>$L655-$L656</f>
        <v/>
      </c>
      <c r="DM655" s="64">
        <f>$K655-$K656</f>
        <v/>
      </c>
      <c r="DN655" s="65">
        <f>IFERROR($N655/$N656-1,"")</f>
        <v/>
      </c>
      <c r="DO655" s="65">
        <f>IFERROR($M655/$M656-1,"")</f>
        <v/>
      </c>
      <c r="DP655" s="65">
        <f>IFERROR($AZ655/$AZ656-1,"")</f>
        <v/>
      </c>
      <c r="DQ655" s="65">
        <f>IFERROR($BA655/$BA656-1,"")</f>
        <v/>
      </c>
      <c r="DR655" s="64">
        <f>$O655-$O656</f>
        <v/>
      </c>
      <c r="DS655" s="64">
        <f>$P655-$P656</f>
        <v/>
      </c>
      <c r="DT655" s="64">
        <f>$Q655-$Q656</f>
        <v/>
      </c>
      <c r="DU655" s="64">
        <f>$S655-$S656</f>
        <v/>
      </c>
      <c r="DV655" s="65">
        <f>IFERROR(AVERAGE($AA656/$AA655-1,$AB656/$AB655-1,$AC656/$AC655-1,$AD656/$AD655-1,$AE656/$AE655-1,$AG656/$AG655-1,$AH656/$AH655-1,$AI656/$AI655-1,$AJ656/$AJ655-1,$AL656/$AL655-1,$AM656/$AM655-1,$AR656/$AR655-1,$AS656/$AS655-1,$AT656/$AT655-1,$AU656/$AU655-1,$AV656/$AV655-1,$AW656/$AW655-1,$AX656/$AX655-1,$AY656/$AY655-1),"")</f>
        <v/>
      </c>
      <c r="DW655" s="66">
        <f>AVERAGE($CB655,$CC655,$CD655,$CE655,$CF655,$CG655,$CH655,$CI655,$CJ655,$CL655,$CM655,$CN655,$CO655,$CP655,$CQ655,$CR655,$CS655,$CT655)</f>
        <v/>
      </c>
      <c r="DX655" s="66">
        <f>AVERAGE($CB655,$CC655,$CM655,$CE655,$CP655)</f>
        <v/>
      </c>
      <c r="DY655" s="64">
        <f>($DW655-$DW656)*100</f>
        <v/>
      </c>
      <c r="DZ655" s="64">
        <f>($DX655-$DX656)*100</f>
        <v/>
      </c>
      <c r="EA655" s="64">
        <f>($DW655-$D655)*100</f>
        <v/>
      </c>
      <c r="EB655" s="64">
        <f>$Q655-$O655</f>
        <v/>
      </c>
      <c r="EC655" s="67">
        <f>IFERROR($Q655/$P655,"")</f>
        <v/>
      </c>
    </row>
    <row r="656">
      <c r="DG656" s="64">
        <f>($B656-$B657)*100</f>
        <v/>
      </c>
      <c r="DH656" s="64">
        <f>($D656-$D657)*100</f>
        <v/>
      </c>
      <c r="DI656" s="64">
        <f>($E656-$E657)*100</f>
        <v/>
      </c>
      <c r="DJ656" s="64">
        <f>($H656-$H657)*100</f>
        <v/>
      </c>
      <c r="DK656" s="65">
        <f>IFERROR($J656/$J657-1,"")</f>
        <v/>
      </c>
      <c r="DL656" s="64">
        <f>$L656-$L657</f>
        <v/>
      </c>
      <c r="DM656" s="64">
        <f>$K656-$K657</f>
        <v/>
      </c>
      <c r="DN656" s="65">
        <f>IFERROR($N656/$N657-1,"")</f>
        <v/>
      </c>
      <c r="DO656" s="65">
        <f>IFERROR($M656/$M657-1,"")</f>
        <v/>
      </c>
      <c r="DP656" s="65">
        <f>IFERROR($AZ656/$AZ657-1,"")</f>
        <v/>
      </c>
      <c r="DQ656" s="65">
        <f>IFERROR($BA656/$BA657-1,"")</f>
        <v/>
      </c>
      <c r="DR656" s="64">
        <f>$O656-$O657</f>
        <v/>
      </c>
      <c r="DS656" s="64">
        <f>$P656-$P657</f>
        <v/>
      </c>
      <c r="DT656" s="64">
        <f>$Q656-$Q657</f>
        <v/>
      </c>
      <c r="DU656" s="64">
        <f>$S656-$S657</f>
        <v/>
      </c>
      <c r="DV656" s="65">
        <f>IFERROR(AVERAGE($AA657/$AA656-1,$AB657/$AB656-1,$AC657/$AC656-1,$AD657/$AD656-1,$AE657/$AE656-1,$AG657/$AG656-1,$AH657/$AH656-1,$AI657/$AI656-1,$AJ657/$AJ656-1,$AL657/$AL656-1,$AM657/$AM656-1,$AR657/$AR656-1,$AS657/$AS656-1,$AT657/$AT656-1,$AU657/$AU656-1,$AV657/$AV656-1,$AW657/$AW656-1,$AX657/$AX656-1,$AY657/$AY656-1),"")</f>
        <v/>
      </c>
      <c r="DW656" s="66">
        <f>AVERAGE($CB656,$CC656,$CD656,$CE656,$CF656,$CG656,$CH656,$CI656,$CJ656,$CL656,$CM656,$CN656,$CO656,$CP656,$CQ656,$CR656,$CS656,$CT656)</f>
        <v/>
      </c>
      <c r="DX656" s="66">
        <f>AVERAGE($CB656,$CC656,$CM656,$CE656,$CP656)</f>
        <v/>
      </c>
      <c r="DY656" s="64">
        <f>($DW656-$DW657)*100</f>
        <v/>
      </c>
      <c r="DZ656" s="64">
        <f>($DX656-$DX657)*100</f>
        <v/>
      </c>
      <c r="EA656" s="64">
        <f>($DW656-$D656)*100</f>
        <v/>
      </c>
      <c r="EB656" s="64">
        <f>$Q656-$O656</f>
        <v/>
      </c>
      <c r="EC656" s="67">
        <f>IFERROR($Q656/$P656,"")</f>
        <v/>
      </c>
    </row>
    <row r="657">
      <c r="DG657" s="64">
        <f>($B657-$B658)*100</f>
        <v/>
      </c>
      <c r="DH657" s="64">
        <f>($D657-$D658)*100</f>
        <v/>
      </c>
      <c r="DI657" s="64">
        <f>($E657-$E658)*100</f>
        <v/>
      </c>
      <c r="DJ657" s="64">
        <f>($H657-$H658)*100</f>
        <v/>
      </c>
      <c r="DK657" s="65">
        <f>IFERROR($J657/$J658-1,"")</f>
        <v/>
      </c>
      <c r="DL657" s="64">
        <f>$L657-$L658</f>
        <v/>
      </c>
      <c r="DM657" s="64">
        <f>$K657-$K658</f>
        <v/>
      </c>
      <c r="DN657" s="65">
        <f>IFERROR($N657/$N658-1,"")</f>
        <v/>
      </c>
      <c r="DO657" s="65">
        <f>IFERROR($M657/$M658-1,"")</f>
        <v/>
      </c>
      <c r="DP657" s="65">
        <f>IFERROR($AZ657/$AZ658-1,"")</f>
        <v/>
      </c>
      <c r="DQ657" s="65">
        <f>IFERROR($BA657/$BA658-1,"")</f>
        <v/>
      </c>
      <c r="DR657" s="64">
        <f>$O657-$O658</f>
        <v/>
      </c>
      <c r="DS657" s="64">
        <f>$P657-$P658</f>
        <v/>
      </c>
      <c r="DT657" s="64">
        <f>$Q657-$Q658</f>
        <v/>
      </c>
      <c r="DU657" s="64">
        <f>$S657-$S658</f>
        <v/>
      </c>
      <c r="DV657" s="65">
        <f>IFERROR(AVERAGE($AA658/$AA657-1,$AB658/$AB657-1,$AC658/$AC657-1,$AD658/$AD657-1,$AE658/$AE657-1,$AG658/$AG657-1,$AH658/$AH657-1,$AI658/$AI657-1,$AJ658/$AJ657-1,$AL658/$AL657-1,$AM658/$AM657-1,$AR658/$AR657-1,$AS658/$AS657-1,$AT658/$AT657-1,$AU658/$AU657-1,$AV658/$AV657-1,$AW658/$AW657-1,$AX658/$AX657-1,$AY658/$AY657-1),"")</f>
        <v/>
      </c>
      <c r="DW657" s="66">
        <f>AVERAGE($CB657,$CC657,$CD657,$CE657,$CF657,$CG657,$CH657,$CI657,$CJ657,$CL657,$CM657,$CN657,$CO657,$CP657,$CQ657,$CR657,$CS657,$CT657)</f>
        <v/>
      </c>
      <c r="DX657" s="66">
        <f>AVERAGE($CB657,$CC657,$CM657,$CE657,$CP657)</f>
        <v/>
      </c>
      <c r="DY657" s="64">
        <f>($DW657-$DW658)*100</f>
        <v/>
      </c>
      <c r="DZ657" s="64">
        <f>($DX657-$DX658)*100</f>
        <v/>
      </c>
      <c r="EA657" s="64">
        <f>($DW657-$D657)*100</f>
        <v/>
      </c>
      <c r="EB657" s="64">
        <f>$Q657-$O657</f>
        <v/>
      </c>
      <c r="EC657" s="67">
        <f>IFERROR($Q657/$P657,"")</f>
        <v/>
      </c>
    </row>
    <row r="658">
      <c r="DG658" s="64">
        <f>($B658-$B659)*100</f>
        <v/>
      </c>
      <c r="DH658" s="64">
        <f>($D658-$D659)*100</f>
        <v/>
      </c>
      <c r="DI658" s="64">
        <f>($E658-$E659)*100</f>
        <v/>
      </c>
      <c r="DJ658" s="64">
        <f>($H658-$H659)*100</f>
        <v/>
      </c>
      <c r="DK658" s="65">
        <f>IFERROR($J658/$J659-1,"")</f>
        <v/>
      </c>
      <c r="DL658" s="64">
        <f>$L658-$L659</f>
        <v/>
      </c>
      <c r="DM658" s="64">
        <f>$K658-$K659</f>
        <v/>
      </c>
      <c r="DN658" s="65">
        <f>IFERROR($N658/$N659-1,"")</f>
        <v/>
      </c>
      <c r="DO658" s="65">
        <f>IFERROR($M658/$M659-1,"")</f>
        <v/>
      </c>
      <c r="DP658" s="65">
        <f>IFERROR($AZ658/$AZ659-1,"")</f>
        <v/>
      </c>
      <c r="DQ658" s="65">
        <f>IFERROR($BA658/$BA659-1,"")</f>
        <v/>
      </c>
      <c r="DR658" s="64">
        <f>$O658-$O659</f>
        <v/>
      </c>
      <c r="DS658" s="64">
        <f>$P658-$P659</f>
        <v/>
      </c>
      <c r="DT658" s="64">
        <f>$Q658-$Q659</f>
        <v/>
      </c>
      <c r="DU658" s="64">
        <f>$S658-$S659</f>
        <v/>
      </c>
      <c r="DV658" s="65">
        <f>IFERROR(AVERAGE($AA659/$AA658-1,$AB659/$AB658-1,$AC659/$AC658-1,$AD659/$AD658-1,$AE659/$AE658-1,$AG659/$AG658-1,$AH659/$AH658-1,$AI659/$AI658-1,$AJ659/$AJ658-1,$AL659/$AL658-1,$AM659/$AM658-1,$AR659/$AR658-1,$AS659/$AS658-1,$AT659/$AT658-1,$AU659/$AU658-1,$AV659/$AV658-1,$AW659/$AW658-1,$AX659/$AX658-1,$AY659/$AY658-1),"")</f>
        <v/>
      </c>
      <c r="DW658" s="66">
        <f>AVERAGE($CB658,$CC658,$CD658,$CE658,$CF658,$CG658,$CH658,$CI658,$CJ658,$CL658,$CM658,$CN658,$CO658,$CP658,$CQ658,$CR658,$CS658,$CT658)</f>
        <v/>
      </c>
      <c r="DX658" s="66">
        <f>AVERAGE($CB658,$CC658,$CM658,$CE658,$CP658)</f>
        <v/>
      </c>
      <c r="DY658" s="64">
        <f>($DW658-$DW659)*100</f>
        <v/>
      </c>
      <c r="DZ658" s="64">
        <f>($DX658-$DX659)*100</f>
        <v/>
      </c>
      <c r="EA658" s="64">
        <f>($DW658-$D658)*100</f>
        <v/>
      </c>
      <c r="EB658" s="64">
        <f>$Q658-$O658</f>
        <v/>
      </c>
      <c r="EC658" s="67">
        <f>IFERROR($Q658/$P658,"")</f>
        <v/>
      </c>
    </row>
    <row r="659">
      <c r="DG659" s="64">
        <f>($B659-$B660)*100</f>
        <v/>
      </c>
      <c r="DH659" s="64">
        <f>($D659-$D660)*100</f>
        <v/>
      </c>
      <c r="DI659" s="64">
        <f>($E659-$E660)*100</f>
        <v/>
      </c>
      <c r="DJ659" s="64">
        <f>($H659-$H660)*100</f>
        <v/>
      </c>
      <c r="DK659" s="65">
        <f>IFERROR($J659/$J660-1,"")</f>
        <v/>
      </c>
      <c r="DL659" s="64">
        <f>$L659-$L660</f>
        <v/>
      </c>
      <c r="DM659" s="64">
        <f>$K659-$K660</f>
        <v/>
      </c>
      <c r="DN659" s="65">
        <f>IFERROR($N659/$N660-1,"")</f>
        <v/>
      </c>
      <c r="DO659" s="65">
        <f>IFERROR($M659/$M660-1,"")</f>
        <v/>
      </c>
      <c r="DP659" s="65">
        <f>IFERROR($AZ659/$AZ660-1,"")</f>
        <v/>
      </c>
      <c r="DQ659" s="65">
        <f>IFERROR($BA659/$BA660-1,"")</f>
        <v/>
      </c>
      <c r="DR659" s="64">
        <f>$O659-$O660</f>
        <v/>
      </c>
      <c r="DS659" s="64">
        <f>$P659-$P660</f>
        <v/>
      </c>
      <c r="DT659" s="64">
        <f>$Q659-$Q660</f>
        <v/>
      </c>
      <c r="DU659" s="64">
        <f>$S659-$S660</f>
        <v/>
      </c>
      <c r="DV659" s="65">
        <f>IFERROR(AVERAGE($AA660/$AA659-1,$AB660/$AB659-1,$AC660/$AC659-1,$AD660/$AD659-1,$AE660/$AE659-1,$AG660/$AG659-1,$AH660/$AH659-1,$AI660/$AI659-1,$AJ660/$AJ659-1,$AL660/$AL659-1,$AM660/$AM659-1,$AR660/$AR659-1,$AS660/$AS659-1,$AT660/$AT659-1,$AU660/$AU659-1,$AV660/$AV659-1,$AW660/$AW659-1,$AX660/$AX659-1,$AY660/$AY659-1),"")</f>
        <v/>
      </c>
      <c r="DW659" s="66">
        <f>AVERAGE($CB659,$CC659,$CD659,$CE659,$CF659,$CG659,$CH659,$CI659,$CJ659,$CL659,$CM659,$CN659,$CO659,$CP659,$CQ659,$CR659,$CS659,$CT659)</f>
        <v/>
      </c>
      <c r="DX659" s="66">
        <f>AVERAGE($CB659,$CC659,$CM659,$CE659,$CP659)</f>
        <v/>
      </c>
      <c r="DY659" s="64">
        <f>($DW659-$DW660)*100</f>
        <v/>
      </c>
      <c r="DZ659" s="64">
        <f>($DX659-$DX660)*100</f>
        <v/>
      </c>
      <c r="EA659" s="64">
        <f>($DW659-$D659)*100</f>
        <v/>
      </c>
      <c r="EB659" s="64">
        <f>$Q659-$O659</f>
        <v/>
      </c>
      <c r="EC659" s="67">
        <f>IFERROR($Q659/$P659,"")</f>
        <v/>
      </c>
    </row>
    <row r="660">
      <c r="DG660" s="64">
        <f>($B660-$B661)*100</f>
        <v/>
      </c>
      <c r="DH660" s="64">
        <f>($D660-$D661)*100</f>
        <v/>
      </c>
      <c r="DI660" s="64">
        <f>($E660-$E661)*100</f>
        <v/>
      </c>
      <c r="DJ660" s="64">
        <f>($H660-$H661)*100</f>
        <v/>
      </c>
      <c r="DK660" s="65">
        <f>IFERROR($J660/$J661-1,"")</f>
        <v/>
      </c>
      <c r="DL660" s="64">
        <f>$L660-$L661</f>
        <v/>
      </c>
      <c r="DM660" s="64">
        <f>$K660-$K661</f>
        <v/>
      </c>
      <c r="DN660" s="65">
        <f>IFERROR($N660/$N661-1,"")</f>
        <v/>
      </c>
      <c r="DO660" s="65">
        <f>IFERROR($M660/$M661-1,"")</f>
        <v/>
      </c>
      <c r="DP660" s="65">
        <f>IFERROR($AZ660/$AZ661-1,"")</f>
        <v/>
      </c>
      <c r="DQ660" s="65">
        <f>IFERROR($BA660/$BA661-1,"")</f>
        <v/>
      </c>
      <c r="DR660" s="64">
        <f>$O660-$O661</f>
        <v/>
      </c>
      <c r="DS660" s="64">
        <f>$P660-$P661</f>
        <v/>
      </c>
      <c r="DT660" s="64">
        <f>$Q660-$Q661</f>
        <v/>
      </c>
      <c r="DU660" s="64">
        <f>$S660-$S661</f>
        <v/>
      </c>
      <c r="DV660" s="65">
        <f>IFERROR(AVERAGE($AA661/$AA660-1,$AB661/$AB660-1,$AC661/$AC660-1,$AD661/$AD660-1,$AE661/$AE660-1,$AG661/$AG660-1,$AH661/$AH660-1,$AI661/$AI660-1,$AJ661/$AJ660-1,$AL661/$AL660-1,$AM661/$AM660-1,$AR661/$AR660-1,$AS661/$AS660-1,$AT661/$AT660-1,$AU661/$AU660-1,$AV661/$AV660-1,$AW661/$AW660-1,$AX661/$AX660-1,$AY661/$AY660-1),"")</f>
        <v/>
      </c>
      <c r="DW660" s="66">
        <f>AVERAGE($CB660,$CC660,$CD660,$CE660,$CF660,$CG660,$CH660,$CI660,$CJ660,$CL660,$CM660,$CN660,$CO660,$CP660,$CQ660,$CR660,$CS660,$CT660)</f>
        <v/>
      </c>
      <c r="DX660" s="66">
        <f>AVERAGE($CB660,$CC660,$CM660,$CE660,$CP660)</f>
        <v/>
      </c>
      <c r="DY660" s="64">
        <f>($DW660-$DW661)*100</f>
        <v/>
      </c>
      <c r="DZ660" s="64">
        <f>($DX660-$DX661)*100</f>
        <v/>
      </c>
      <c r="EA660" s="64">
        <f>($DW660-$D660)*100</f>
        <v/>
      </c>
      <c r="EB660" s="64">
        <f>$Q660-$O660</f>
        <v/>
      </c>
      <c r="EC660" s="67">
        <f>IFERROR($Q660/$P660,"")</f>
        <v/>
      </c>
    </row>
    <row r="661">
      <c r="DG661" s="64">
        <f>($B661-$B662)*100</f>
        <v/>
      </c>
      <c r="DH661" s="64">
        <f>($D661-$D662)*100</f>
        <v/>
      </c>
      <c r="DI661" s="64">
        <f>($E661-$E662)*100</f>
        <v/>
      </c>
      <c r="DJ661" s="64">
        <f>($H661-$H662)*100</f>
        <v/>
      </c>
      <c r="DK661" s="65">
        <f>IFERROR($J661/$J662-1,"")</f>
        <v/>
      </c>
      <c r="DL661" s="64">
        <f>$L661-$L662</f>
        <v/>
      </c>
      <c r="DM661" s="64">
        <f>$K661-$K662</f>
        <v/>
      </c>
      <c r="DN661" s="65">
        <f>IFERROR($N661/$N662-1,"")</f>
        <v/>
      </c>
      <c r="DO661" s="65">
        <f>IFERROR($M661/$M662-1,"")</f>
        <v/>
      </c>
      <c r="DP661" s="65">
        <f>IFERROR($AZ661/$AZ662-1,"")</f>
        <v/>
      </c>
      <c r="DQ661" s="65">
        <f>IFERROR($BA661/$BA662-1,"")</f>
        <v/>
      </c>
      <c r="DR661" s="64">
        <f>$O661-$O662</f>
        <v/>
      </c>
      <c r="DS661" s="64">
        <f>$P661-$P662</f>
        <v/>
      </c>
      <c r="DT661" s="64">
        <f>$Q661-$Q662</f>
        <v/>
      </c>
      <c r="DU661" s="64">
        <f>$S661-$S662</f>
        <v/>
      </c>
      <c r="DV661" s="65">
        <f>IFERROR(AVERAGE($AA662/$AA661-1,$AB662/$AB661-1,$AC662/$AC661-1,$AD662/$AD661-1,$AE662/$AE661-1,$AG662/$AG661-1,$AH662/$AH661-1,$AI662/$AI661-1,$AJ662/$AJ661-1,$AL662/$AL661-1,$AM662/$AM661-1,$AR662/$AR661-1,$AS662/$AS661-1,$AT662/$AT661-1,$AU662/$AU661-1,$AV662/$AV661-1,$AW662/$AW661-1,$AX662/$AX661-1,$AY662/$AY661-1),"")</f>
        <v/>
      </c>
      <c r="DW661" s="66">
        <f>AVERAGE($CB661,$CC661,$CD661,$CE661,$CF661,$CG661,$CH661,$CI661,$CJ661,$CL661,$CM661,$CN661,$CO661,$CP661,$CQ661,$CR661,$CS661,$CT661)</f>
        <v/>
      </c>
      <c r="DX661" s="66">
        <f>AVERAGE($CB661,$CC661,$CM661,$CE661,$CP661)</f>
        <v/>
      </c>
      <c r="DY661" s="64">
        <f>($DW661-$DW662)*100</f>
        <v/>
      </c>
      <c r="DZ661" s="64">
        <f>($DX661-$DX662)*100</f>
        <v/>
      </c>
      <c r="EA661" s="64">
        <f>($DW661-$D661)*100</f>
        <v/>
      </c>
      <c r="EB661" s="64">
        <f>$Q661-$O661</f>
        <v/>
      </c>
      <c r="EC661" s="67">
        <f>IFERROR($Q661/$P661,"")</f>
        <v/>
      </c>
    </row>
    <row r="662">
      <c r="DG662" s="64">
        <f>($B662-$B663)*100</f>
        <v/>
      </c>
      <c r="DH662" s="64">
        <f>($D662-$D663)*100</f>
        <v/>
      </c>
      <c r="DI662" s="64">
        <f>($E662-$E663)*100</f>
        <v/>
      </c>
      <c r="DJ662" s="64">
        <f>($H662-$H663)*100</f>
        <v/>
      </c>
      <c r="DK662" s="65">
        <f>IFERROR($J662/$J663-1,"")</f>
        <v/>
      </c>
      <c r="DL662" s="64">
        <f>$L662-$L663</f>
        <v/>
      </c>
      <c r="DM662" s="64">
        <f>$K662-$K663</f>
        <v/>
      </c>
      <c r="DN662" s="65">
        <f>IFERROR($N662/$N663-1,"")</f>
        <v/>
      </c>
      <c r="DO662" s="65">
        <f>IFERROR($M662/$M663-1,"")</f>
        <v/>
      </c>
      <c r="DP662" s="65">
        <f>IFERROR($AZ662/$AZ663-1,"")</f>
        <v/>
      </c>
      <c r="DQ662" s="65">
        <f>IFERROR($BA662/$BA663-1,"")</f>
        <v/>
      </c>
      <c r="DR662" s="64">
        <f>$O662-$O663</f>
        <v/>
      </c>
      <c r="DS662" s="64">
        <f>$P662-$P663</f>
        <v/>
      </c>
      <c r="DT662" s="64">
        <f>$Q662-$Q663</f>
        <v/>
      </c>
      <c r="DU662" s="64">
        <f>$S662-$S663</f>
        <v/>
      </c>
      <c r="DV662" s="65">
        <f>IFERROR(AVERAGE($AA663/$AA662-1,$AB663/$AB662-1,$AC663/$AC662-1,$AD663/$AD662-1,$AE663/$AE662-1,$AG663/$AG662-1,$AH663/$AH662-1,$AI663/$AI662-1,$AJ663/$AJ662-1,$AL663/$AL662-1,$AM663/$AM662-1,$AR663/$AR662-1,$AS663/$AS662-1,$AT663/$AT662-1,$AU663/$AU662-1,$AV663/$AV662-1,$AW663/$AW662-1,$AX663/$AX662-1,$AY663/$AY662-1),"")</f>
        <v/>
      </c>
      <c r="DW662" s="66">
        <f>AVERAGE($CB662,$CC662,$CD662,$CE662,$CF662,$CG662,$CH662,$CI662,$CJ662,$CL662,$CM662,$CN662,$CO662,$CP662,$CQ662,$CR662,$CS662,$CT662)</f>
        <v/>
      </c>
      <c r="DX662" s="66">
        <f>AVERAGE($CB662,$CC662,$CM662,$CE662,$CP662)</f>
        <v/>
      </c>
      <c r="DY662" s="64">
        <f>($DW662-$DW663)*100</f>
        <v/>
      </c>
      <c r="DZ662" s="64">
        <f>($DX662-$DX663)*100</f>
        <v/>
      </c>
      <c r="EA662" s="64">
        <f>($DW662-$D662)*100</f>
        <v/>
      </c>
      <c r="EB662" s="64">
        <f>$Q662-$O662</f>
        <v/>
      </c>
      <c r="EC662" s="67">
        <f>IFERROR($Q662/$P662,"")</f>
        <v/>
      </c>
    </row>
    <row r="663">
      <c r="DG663" s="64">
        <f>($B663-$B664)*100</f>
        <v/>
      </c>
      <c r="DH663" s="64">
        <f>($D663-$D664)*100</f>
        <v/>
      </c>
      <c r="DI663" s="64">
        <f>($E663-$E664)*100</f>
        <v/>
      </c>
      <c r="DJ663" s="64">
        <f>($H663-$H664)*100</f>
        <v/>
      </c>
      <c r="DK663" s="65">
        <f>IFERROR($J663/$J664-1,"")</f>
        <v/>
      </c>
      <c r="DL663" s="64">
        <f>$L663-$L664</f>
        <v/>
      </c>
      <c r="DM663" s="64">
        <f>$K663-$K664</f>
        <v/>
      </c>
      <c r="DN663" s="65">
        <f>IFERROR($N663/$N664-1,"")</f>
        <v/>
      </c>
      <c r="DO663" s="65">
        <f>IFERROR($M663/$M664-1,"")</f>
        <v/>
      </c>
      <c r="DP663" s="65">
        <f>IFERROR($AZ663/$AZ664-1,"")</f>
        <v/>
      </c>
      <c r="DQ663" s="65">
        <f>IFERROR($BA663/$BA664-1,"")</f>
        <v/>
      </c>
      <c r="DR663" s="64">
        <f>$O663-$O664</f>
        <v/>
      </c>
      <c r="DS663" s="64">
        <f>$P663-$P664</f>
        <v/>
      </c>
      <c r="DT663" s="64">
        <f>$Q663-$Q664</f>
        <v/>
      </c>
      <c r="DU663" s="64">
        <f>$S663-$S664</f>
        <v/>
      </c>
      <c r="DV663" s="65">
        <f>IFERROR(AVERAGE($AA664/$AA663-1,$AB664/$AB663-1,$AC664/$AC663-1,$AD664/$AD663-1,$AE664/$AE663-1,$AG664/$AG663-1,$AH664/$AH663-1,$AI664/$AI663-1,$AJ664/$AJ663-1,$AL664/$AL663-1,$AM664/$AM663-1,$AR664/$AR663-1,$AS664/$AS663-1,$AT664/$AT663-1,$AU664/$AU663-1,$AV664/$AV663-1,$AW664/$AW663-1,$AX664/$AX663-1,$AY664/$AY663-1),"")</f>
        <v/>
      </c>
      <c r="DW663" s="66">
        <f>AVERAGE($CB663,$CC663,$CD663,$CE663,$CF663,$CG663,$CH663,$CI663,$CJ663,$CL663,$CM663,$CN663,$CO663,$CP663,$CQ663,$CR663,$CS663,$CT663)</f>
        <v/>
      </c>
      <c r="DX663" s="66">
        <f>AVERAGE($CB663,$CC663,$CM663,$CE663,$CP663)</f>
        <v/>
      </c>
      <c r="DY663" s="64">
        <f>($DW663-$DW664)*100</f>
        <v/>
      </c>
      <c r="DZ663" s="64">
        <f>($DX663-$DX664)*100</f>
        <v/>
      </c>
      <c r="EA663" s="64">
        <f>($DW663-$D663)*100</f>
        <v/>
      </c>
      <c r="EB663" s="64">
        <f>$Q663-$O663</f>
        <v/>
      </c>
      <c r="EC663" s="67">
        <f>IFERROR($Q663/$P663,"")</f>
        <v/>
      </c>
    </row>
    <row r="664">
      <c r="DG664" s="64">
        <f>($B664-$B665)*100</f>
        <v/>
      </c>
      <c r="DH664" s="64">
        <f>($D664-$D665)*100</f>
        <v/>
      </c>
      <c r="DI664" s="64">
        <f>($E664-$E665)*100</f>
        <v/>
      </c>
      <c r="DJ664" s="64">
        <f>($H664-$H665)*100</f>
        <v/>
      </c>
      <c r="DK664" s="65">
        <f>IFERROR($J664/$J665-1,"")</f>
        <v/>
      </c>
      <c r="DL664" s="64">
        <f>$L664-$L665</f>
        <v/>
      </c>
      <c r="DM664" s="64">
        <f>$K664-$K665</f>
        <v/>
      </c>
      <c r="DN664" s="65">
        <f>IFERROR($N664/$N665-1,"")</f>
        <v/>
      </c>
      <c r="DO664" s="65">
        <f>IFERROR($M664/$M665-1,"")</f>
        <v/>
      </c>
      <c r="DP664" s="65">
        <f>IFERROR($AZ664/$AZ665-1,"")</f>
        <v/>
      </c>
      <c r="DQ664" s="65">
        <f>IFERROR($BA664/$BA665-1,"")</f>
        <v/>
      </c>
      <c r="DR664" s="64">
        <f>$O664-$O665</f>
        <v/>
      </c>
      <c r="DS664" s="64">
        <f>$P664-$P665</f>
        <v/>
      </c>
      <c r="DT664" s="64">
        <f>$Q664-$Q665</f>
        <v/>
      </c>
      <c r="DU664" s="64">
        <f>$S664-$S665</f>
        <v/>
      </c>
      <c r="DV664" s="65">
        <f>IFERROR(AVERAGE($AA665/$AA664-1,$AB665/$AB664-1,$AC665/$AC664-1,$AD665/$AD664-1,$AE665/$AE664-1,$AG665/$AG664-1,$AH665/$AH664-1,$AI665/$AI664-1,$AJ665/$AJ664-1,$AL665/$AL664-1,$AM665/$AM664-1,$AR665/$AR664-1,$AS665/$AS664-1,$AT665/$AT664-1,$AU665/$AU664-1,$AV665/$AV664-1,$AW665/$AW664-1,$AX665/$AX664-1,$AY665/$AY664-1),"")</f>
        <v/>
      </c>
      <c r="DW664" s="66">
        <f>AVERAGE($CB664,$CC664,$CD664,$CE664,$CF664,$CG664,$CH664,$CI664,$CJ664,$CL664,$CM664,$CN664,$CO664,$CP664,$CQ664,$CR664,$CS664,$CT664)</f>
        <v/>
      </c>
      <c r="DX664" s="66">
        <f>AVERAGE($CB664,$CC664,$CM664,$CE664,$CP664)</f>
        <v/>
      </c>
      <c r="DY664" s="64">
        <f>($DW664-$DW665)*100</f>
        <v/>
      </c>
      <c r="DZ664" s="64">
        <f>($DX664-$DX665)*100</f>
        <v/>
      </c>
      <c r="EA664" s="64">
        <f>($DW664-$D664)*100</f>
        <v/>
      </c>
      <c r="EB664" s="64">
        <f>$Q664-$O664</f>
        <v/>
      </c>
      <c r="EC664" s="67">
        <f>IFERROR($Q664/$P664,"")</f>
        <v/>
      </c>
    </row>
    <row r="665">
      <c r="DG665" s="64">
        <f>($B665-$B666)*100</f>
        <v/>
      </c>
      <c r="DH665" s="64">
        <f>($D665-$D666)*100</f>
        <v/>
      </c>
      <c r="DI665" s="64">
        <f>($E665-$E666)*100</f>
        <v/>
      </c>
      <c r="DJ665" s="64">
        <f>($H665-$H666)*100</f>
        <v/>
      </c>
      <c r="DK665" s="65">
        <f>IFERROR($J665/$J666-1,"")</f>
        <v/>
      </c>
      <c r="DL665" s="64">
        <f>$L665-$L666</f>
        <v/>
      </c>
      <c r="DM665" s="64">
        <f>$K665-$K666</f>
        <v/>
      </c>
      <c r="DN665" s="65">
        <f>IFERROR($N665/$N666-1,"")</f>
        <v/>
      </c>
      <c r="DO665" s="65">
        <f>IFERROR($M665/$M666-1,"")</f>
        <v/>
      </c>
      <c r="DP665" s="65">
        <f>IFERROR($AZ665/$AZ666-1,"")</f>
        <v/>
      </c>
      <c r="DQ665" s="65">
        <f>IFERROR($BA665/$BA666-1,"")</f>
        <v/>
      </c>
      <c r="DR665" s="64">
        <f>$O665-$O666</f>
        <v/>
      </c>
      <c r="DS665" s="64">
        <f>$P665-$P666</f>
        <v/>
      </c>
      <c r="DT665" s="64">
        <f>$Q665-$Q666</f>
        <v/>
      </c>
      <c r="DU665" s="64">
        <f>$S665-$S666</f>
        <v/>
      </c>
      <c r="DV665" s="65">
        <f>IFERROR(AVERAGE($AA666/$AA665-1,$AB666/$AB665-1,$AC666/$AC665-1,$AD666/$AD665-1,$AE666/$AE665-1,$AG666/$AG665-1,$AH666/$AH665-1,$AI666/$AI665-1,$AJ666/$AJ665-1,$AL666/$AL665-1,$AM666/$AM665-1,$AR666/$AR665-1,$AS666/$AS665-1,$AT666/$AT665-1,$AU666/$AU665-1,$AV666/$AV665-1,$AW666/$AW665-1,$AX666/$AX665-1,$AY666/$AY665-1),"")</f>
        <v/>
      </c>
      <c r="DW665" s="66">
        <f>AVERAGE($CB665,$CC665,$CD665,$CE665,$CF665,$CG665,$CH665,$CI665,$CJ665,$CL665,$CM665,$CN665,$CO665,$CP665,$CQ665,$CR665,$CS665,$CT665)</f>
        <v/>
      </c>
      <c r="DX665" s="66">
        <f>AVERAGE($CB665,$CC665,$CM665,$CE665,$CP665)</f>
        <v/>
      </c>
      <c r="DY665" s="64">
        <f>($DW665-$DW666)*100</f>
        <v/>
      </c>
      <c r="DZ665" s="64">
        <f>($DX665-$DX666)*100</f>
        <v/>
      </c>
      <c r="EA665" s="64">
        <f>($DW665-$D665)*100</f>
        <v/>
      </c>
      <c r="EB665" s="64">
        <f>$Q665-$O665</f>
        <v/>
      </c>
      <c r="EC665" s="67">
        <f>IFERROR($Q665/$P665,"")</f>
        <v/>
      </c>
    </row>
    <row r="666">
      <c r="DG666" s="64">
        <f>($B666-$B667)*100</f>
        <v/>
      </c>
      <c r="DH666" s="64">
        <f>($D666-$D667)*100</f>
        <v/>
      </c>
      <c r="DI666" s="64">
        <f>($E666-$E667)*100</f>
        <v/>
      </c>
      <c r="DJ666" s="64">
        <f>($H666-$H667)*100</f>
        <v/>
      </c>
      <c r="DK666" s="65">
        <f>IFERROR($J666/$J667-1,"")</f>
        <v/>
      </c>
      <c r="DL666" s="64">
        <f>$L666-$L667</f>
        <v/>
      </c>
      <c r="DM666" s="64">
        <f>$K666-$K667</f>
        <v/>
      </c>
      <c r="DN666" s="65">
        <f>IFERROR($N666/$N667-1,"")</f>
        <v/>
      </c>
      <c r="DO666" s="65">
        <f>IFERROR($M666/$M667-1,"")</f>
        <v/>
      </c>
      <c r="DP666" s="65">
        <f>IFERROR($AZ666/$AZ667-1,"")</f>
        <v/>
      </c>
      <c r="DQ666" s="65">
        <f>IFERROR($BA666/$BA667-1,"")</f>
        <v/>
      </c>
      <c r="DR666" s="64">
        <f>$O666-$O667</f>
        <v/>
      </c>
      <c r="DS666" s="64">
        <f>$P666-$P667</f>
        <v/>
      </c>
      <c r="DT666" s="64">
        <f>$Q666-$Q667</f>
        <v/>
      </c>
      <c r="DU666" s="64">
        <f>$S666-$S667</f>
        <v/>
      </c>
      <c r="DV666" s="65">
        <f>IFERROR(AVERAGE($AA667/$AA666-1,$AB667/$AB666-1,$AC667/$AC666-1,$AD667/$AD666-1,$AE667/$AE666-1,$AG667/$AG666-1,$AH667/$AH666-1,$AI667/$AI666-1,$AJ667/$AJ666-1,$AL667/$AL666-1,$AM667/$AM666-1,$AR667/$AR666-1,$AS667/$AS666-1,$AT667/$AT666-1,$AU667/$AU666-1,$AV667/$AV666-1,$AW667/$AW666-1,$AX667/$AX666-1,$AY667/$AY666-1),"")</f>
        <v/>
      </c>
      <c r="DW666" s="66">
        <f>AVERAGE($CB666,$CC666,$CD666,$CE666,$CF666,$CG666,$CH666,$CI666,$CJ666,$CL666,$CM666,$CN666,$CO666,$CP666,$CQ666,$CR666,$CS666,$CT666)</f>
        <v/>
      </c>
      <c r="DX666" s="66">
        <f>AVERAGE($CB666,$CC666,$CM666,$CE666,$CP666)</f>
        <v/>
      </c>
      <c r="DY666" s="64">
        <f>($DW666-$DW667)*100</f>
        <v/>
      </c>
      <c r="DZ666" s="64">
        <f>($DX666-$DX667)*100</f>
        <v/>
      </c>
      <c r="EA666" s="64">
        <f>($DW666-$D666)*100</f>
        <v/>
      </c>
      <c r="EB666" s="64">
        <f>$Q666-$O666</f>
        <v/>
      </c>
      <c r="EC666" s="67">
        <f>IFERROR($Q666/$P666,"")</f>
        <v/>
      </c>
    </row>
    <row r="667">
      <c r="DG667" s="64">
        <f>($B667-$B668)*100</f>
        <v/>
      </c>
      <c r="DH667" s="64">
        <f>($D667-$D668)*100</f>
        <v/>
      </c>
      <c r="DI667" s="64">
        <f>($E667-$E668)*100</f>
        <v/>
      </c>
      <c r="DJ667" s="64">
        <f>($H667-$H668)*100</f>
        <v/>
      </c>
      <c r="DK667" s="65">
        <f>IFERROR($J667/$J668-1,"")</f>
        <v/>
      </c>
      <c r="DL667" s="64">
        <f>$L667-$L668</f>
        <v/>
      </c>
      <c r="DM667" s="64">
        <f>$K667-$K668</f>
        <v/>
      </c>
      <c r="DN667" s="65">
        <f>IFERROR($N667/$N668-1,"")</f>
        <v/>
      </c>
      <c r="DO667" s="65">
        <f>IFERROR($M667/$M668-1,"")</f>
        <v/>
      </c>
      <c r="DP667" s="65">
        <f>IFERROR($AZ667/$AZ668-1,"")</f>
        <v/>
      </c>
      <c r="DQ667" s="65">
        <f>IFERROR($BA667/$BA668-1,"")</f>
        <v/>
      </c>
      <c r="DR667" s="64">
        <f>$O667-$O668</f>
        <v/>
      </c>
      <c r="DS667" s="64">
        <f>$P667-$P668</f>
        <v/>
      </c>
      <c r="DT667" s="64">
        <f>$Q667-$Q668</f>
        <v/>
      </c>
      <c r="DU667" s="64">
        <f>$S667-$S668</f>
        <v/>
      </c>
      <c r="DV667" s="65">
        <f>IFERROR(AVERAGE($AA668/$AA667-1,$AB668/$AB667-1,$AC668/$AC667-1,$AD668/$AD667-1,$AE668/$AE667-1,$AG668/$AG667-1,$AH668/$AH667-1,$AI668/$AI667-1,$AJ668/$AJ667-1,$AL668/$AL667-1,$AM668/$AM667-1,$AR668/$AR667-1,$AS668/$AS667-1,$AT668/$AT667-1,$AU668/$AU667-1,$AV668/$AV667-1,$AW668/$AW667-1,$AX668/$AX667-1,$AY668/$AY667-1),"")</f>
        <v/>
      </c>
      <c r="DW667" s="66">
        <f>AVERAGE($CB667,$CC667,$CD667,$CE667,$CF667,$CG667,$CH667,$CI667,$CJ667,$CL667,$CM667,$CN667,$CO667,$CP667,$CQ667,$CR667,$CS667,$CT667)</f>
        <v/>
      </c>
      <c r="DX667" s="66">
        <f>AVERAGE($CB667,$CC667,$CM667,$CE667,$CP667)</f>
        <v/>
      </c>
      <c r="DY667" s="64">
        <f>($DW667-$DW668)*100</f>
        <v/>
      </c>
      <c r="DZ667" s="64">
        <f>($DX667-$DX668)*100</f>
        <v/>
      </c>
      <c r="EA667" s="64">
        <f>($DW667-$D667)*100</f>
        <v/>
      </c>
      <c r="EB667" s="64">
        <f>$Q667-$O667</f>
        <v/>
      </c>
      <c r="EC667" s="67">
        <f>IFERROR($Q667/$P667,"")</f>
        <v/>
      </c>
    </row>
    <row r="668">
      <c r="DG668" s="64">
        <f>($B668-$B669)*100</f>
        <v/>
      </c>
      <c r="DH668" s="64">
        <f>($D668-$D669)*100</f>
        <v/>
      </c>
      <c r="DI668" s="64">
        <f>($E668-$E669)*100</f>
        <v/>
      </c>
      <c r="DJ668" s="64">
        <f>($H668-$H669)*100</f>
        <v/>
      </c>
      <c r="DK668" s="65">
        <f>IFERROR($J668/$J669-1,"")</f>
        <v/>
      </c>
      <c r="DL668" s="64">
        <f>$L668-$L669</f>
        <v/>
      </c>
      <c r="DM668" s="64">
        <f>$K668-$K669</f>
        <v/>
      </c>
      <c r="DN668" s="65">
        <f>IFERROR($N668/$N669-1,"")</f>
        <v/>
      </c>
      <c r="DO668" s="65">
        <f>IFERROR($M668/$M669-1,"")</f>
        <v/>
      </c>
      <c r="DP668" s="65">
        <f>IFERROR($AZ668/$AZ669-1,"")</f>
        <v/>
      </c>
      <c r="DQ668" s="65">
        <f>IFERROR($BA668/$BA669-1,"")</f>
        <v/>
      </c>
      <c r="DR668" s="64">
        <f>$O668-$O669</f>
        <v/>
      </c>
      <c r="DS668" s="64">
        <f>$P668-$P669</f>
        <v/>
      </c>
      <c r="DT668" s="64">
        <f>$Q668-$Q669</f>
        <v/>
      </c>
      <c r="DU668" s="64">
        <f>$S668-$S669</f>
        <v/>
      </c>
      <c r="DV668" s="65">
        <f>IFERROR(AVERAGE($AA669/$AA668-1,$AB669/$AB668-1,$AC669/$AC668-1,$AD669/$AD668-1,$AE669/$AE668-1,$AG669/$AG668-1,$AH669/$AH668-1,$AI669/$AI668-1,$AJ669/$AJ668-1,$AL669/$AL668-1,$AM669/$AM668-1,$AR669/$AR668-1,$AS669/$AS668-1,$AT669/$AT668-1,$AU669/$AU668-1,$AV669/$AV668-1,$AW669/$AW668-1,$AX669/$AX668-1,$AY669/$AY668-1),"")</f>
        <v/>
      </c>
      <c r="DW668" s="66">
        <f>AVERAGE($CB668,$CC668,$CD668,$CE668,$CF668,$CG668,$CH668,$CI668,$CJ668,$CL668,$CM668,$CN668,$CO668,$CP668,$CQ668,$CR668,$CS668,$CT668)</f>
        <v/>
      </c>
      <c r="DX668" s="66">
        <f>AVERAGE($CB668,$CC668,$CM668,$CE668,$CP668)</f>
        <v/>
      </c>
      <c r="DY668" s="64">
        <f>($DW668-$DW669)*100</f>
        <v/>
      </c>
      <c r="DZ668" s="64">
        <f>($DX668-$DX669)*100</f>
        <v/>
      </c>
      <c r="EA668" s="64">
        <f>($DW668-$D668)*100</f>
        <v/>
      </c>
      <c r="EB668" s="64">
        <f>$Q668-$O668</f>
        <v/>
      </c>
      <c r="EC668" s="67">
        <f>IFERROR($Q668/$P668,"")</f>
        <v/>
      </c>
    </row>
    <row r="669">
      <c r="DG669" s="64">
        <f>($B669-$B670)*100</f>
        <v/>
      </c>
      <c r="DH669" s="64">
        <f>($D669-$D670)*100</f>
        <v/>
      </c>
      <c r="DI669" s="64">
        <f>($E669-$E670)*100</f>
        <v/>
      </c>
      <c r="DJ669" s="64">
        <f>($H669-$H670)*100</f>
        <v/>
      </c>
      <c r="DK669" s="65">
        <f>IFERROR($J669/$J670-1,"")</f>
        <v/>
      </c>
      <c r="DL669" s="64">
        <f>$L669-$L670</f>
        <v/>
      </c>
      <c r="DM669" s="64">
        <f>$K669-$K670</f>
        <v/>
      </c>
      <c r="DN669" s="65">
        <f>IFERROR($N669/$N670-1,"")</f>
        <v/>
      </c>
      <c r="DO669" s="65">
        <f>IFERROR($M669/$M670-1,"")</f>
        <v/>
      </c>
      <c r="DP669" s="65">
        <f>IFERROR($AZ669/$AZ670-1,"")</f>
        <v/>
      </c>
      <c r="DQ669" s="65">
        <f>IFERROR($BA669/$BA670-1,"")</f>
        <v/>
      </c>
      <c r="DR669" s="64">
        <f>$O669-$O670</f>
        <v/>
      </c>
      <c r="DS669" s="64">
        <f>$P669-$P670</f>
        <v/>
      </c>
      <c r="DT669" s="64">
        <f>$Q669-$Q670</f>
        <v/>
      </c>
      <c r="DU669" s="64">
        <f>$S669-$S670</f>
        <v/>
      </c>
      <c r="DV669" s="65">
        <f>IFERROR(AVERAGE($AA670/$AA669-1,$AB670/$AB669-1,$AC670/$AC669-1,$AD670/$AD669-1,$AE670/$AE669-1,$AG670/$AG669-1,$AH670/$AH669-1,$AI670/$AI669-1,$AJ670/$AJ669-1,$AL670/$AL669-1,$AM670/$AM669-1,$AR670/$AR669-1,$AS670/$AS669-1,$AT670/$AT669-1,$AU670/$AU669-1,$AV670/$AV669-1,$AW670/$AW669-1,$AX670/$AX669-1,$AY670/$AY669-1),"")</f>
        <v/>
      </c>
      <c r="DW669" s="66">
        <f>AVERAGE($CB669,$CC669,$CD669,$CE669,$CF669,$CG669,$CH669,$CI669,$CJ669,$CL669,$CM669,$CN669,$CO669,$CP669,$CQ669,$CR669,$CS669,$CT669)</f>
        <v/>
      </c>
      <c r="DX669" s="66">
        <f>AVERAGE($CB669,$CC669,$CM669,$CE669,$CP669)</f>
        <v/>
      </c>
      <c r="DY669" s="64">
        <f>($DW669-$DW670)*100</f>
        <v/>
      </c>
      <c r="DZ669" s="64">
        <f>($DX669-$DX670)*100</f>
        <v/>
      </c>
      <c r="EA669" s="64">
        <f>($DW669-$D669)*100</f>
        <v/>
      </c>
      <c r="EB669" s="64">
        <f>$Q669-$O669</f>
        <v/>
      </c>
      <c r="EC669" s="67">
        <f>IFERROR($Q669/$P669,"")</f>
        <v/>
      </c>
    </row>
    <row r="670">
      <c r="DG670" s="64">
        <f>($B670-$B671)*100</f>
        <v/>
      </c>
      <c r="DH670" s="64">
        <f>($D670-$D671)*100</f>
        <v/>
      </c>
      <c r="DI670" s="64">
        <f>($E670-$E671)*100</f>
        <v/>
      </c>
      <c r="DJ670" s="64">
        <f>($H670-$H671)*100</f>
        <v/>
      </c>
      <c r="DK670" s="65">
        <f>IFERROR($J670/$J671-1,"")</f>
        <v/>
      </c>
      <c r="DL670" s="64">
        <f>$L670-$L671</f>
        <v/>
      </c>
      <c r="DM670" s="64">
        <f>$K670-$K671</f>
        <v/>
      </c>
      <c r="DN670" s="65">
        <f>IFERROR($N670/$N671-1,"")</f>
        <v/>
      </c>
      <c r="DO670" s="65">
        <f>IFERROR($M670/$M671-1,"")</f>
        <v/>
      </c>
      <c r="DP670" s="65">
        <f>IFERROR($AZ670/$AZ671-1,"")</f>
        <v/>
      </c>
      <c r="DQ670" s="65">
        <f>IFERROR($BA670/$BA671-1,"")</f>
        <v/>
      </c>
      <c r="DR670" s="64">
        <f>$O670-$O671</f>
        <v/>
      </c>
      <c r="DS670" s="64">
        <f>$P670-$P671</f>
        <v/>
      </c>
      <c r="DT670" s="64">
        <f>$Q670-$Q671</f>
        <v/>
      </c>
      <c r="DU670" s="64">
        <f>$S670-$S671</f>
        <v/>
      </c>
      <c r="DV670" s="65">
        <f>IFERROR(AVERAGE($AA671/$AA670-1,$AB671/$AB670-1,$AC671/$AC670-1,$AD671/$AD670-1,$AE671/$AE670-1,$AG671/$AG670-1,$AH671/$AH670-1,$AI671/$AI670-1,$AJ671/$AJ670-1,$AL671/$AL670-1,$AM671/$AM670-1,$AR671/$AR670-1,$AS671/$AS670-1,$AT671/$AT670-1,$AU671/$AU670-1,$AV671/$AV670-1,$AW671/$AW670-1,$AX671/$AX670-1,$AY671/$AY670-1),"")</f>
        <v/>
      </c>
      <c r="DW670" s="66">
        <f>AVERAGE($CB670,$CC670,$CD670,$CE670,$CF670,$CG670,$CH670,$CI670,$CJ670,$CL670,$CM670,$CN670,$CO670,$CP670,$CQ670,$CR670,$CS670,$CT670)</f>
        <v/>
      </c>
      <c r="DX670" s="66">
        <f>AVERAGE($CB670,$CC670,$CM670,$CE670,$CP670)</f>
        <v/>
      </c>
      <c r="DY670" s="64">
        <f>($DW670-$DW671)*100</f>
        <v/>
      </c>
      <c r="DZ670" s="64">
        <f>($DX670-$DX671)*100</f>
        <v/>
      </c>
      <c r="EA670" s="64">
        <f>($DW670-$D670)*100</f>
        <v/>
      </c>
      <c r="EB670" s="64">
        <f>$Q670-$O670</f>
        <v/>
      </c>
      <c r="EC670" s="67">
        <f>IFERROR($Q670/$P670,"")</f>
        <v/>
      </c>
    </row>
    <row r="671">
      <c r="DG671" s="64">
        <f>($B671-$B672)*100</f>
        <v/>
      </c>
      <c r="DH671" s="64">
        <f>($D671-$D672)*100</f>
        <v/>
      </c>
      <c r="DI671" s="64">
        <f>($E671-$E672)*100</f>
        <v/>
      </c>
      <c r="DJ671" s="64">
        <f>($H671-$H672)*100</f>
        <v/>
      </c>
      <c r="DK671" s="65">
        <f>IFERROR($J671/$J672-1,"")</f>
        <v/>
      </c>
      <c r="DL671" s="64">
        <f>$L671-$L672</f>
        <v/>
      </c>
      <c r="DM671" s="64">
        <f>$K671-$K672</f>
        <v/>
      </c>
      <c r="DN671" s="65">
        <f>IFERROR($N671/$N672-1,"")</f>
        <v/>
      </c>
      <c r="DO671" s="65">
        <f>IFERROR($M671/$M672-1,"")</f>
        <v/>
      </c>
      <c r="DP671" s="65">
        <f>IFERROR($AZ671/$AZ672-1,"")</f>
        <v/>
      </c>
      <c r="DQ671" s="65">
        <f>IFERROR($BA671/$BA672-1,"")</f>
        <v/>
      </c>
      <c r="DR671" s="64">
        <f>$O671-$O672</f>
        <v/>
      </c>
      <c r="DS671" s="64">
        <f>$P671-$P672</f>
        <v/>
      </c>
      <c r="DT671" s="64">
        <f>$Q671-$Q672</f>
        <v/>
      </c>
      <c r="DU671" s="64">
        <f>$S671-$S672</f>
        <v/>
      </c>
      <c r="DV671" s="65">
        <f>IFERROR(AVERAGE($AA672/$AA671-1,$AB672/$AB671-1,$AC672/$AC671-1,$AD672/$AD671-1,$AE672/$AE671-1,$AG672/$AG671-1,$AH672/$AH671-1,$AI672/$AI671-1,$AJ672/$AJ671-1,$AL672/$AL671-1,$AM672/$AM671-1,$AR672/$AR671-1,$AS672/$AS671-1,$AT672/$AT671-1,$AU672/$AU671-1,$AV672/$AV671-1,$AW672/$AW671-1,$AX672/$AX671-1,$AY672/$AY671-1),"")</f>
        <v/>
      </c>
      <c r="DW671" s="66">
        <f>AVERAGE($CB671,$CC671,$CD671,$CE671,$CF671,$CG671,$CH671,$CI671,$CJ671,$CL671,$CM671,$CN671,$CO671,$CP671,$CQ671,$CR671,$CS671,$CT671)</f>
        <v/>
      </c>
      <c r="DX671" s="66">
        <f>AVERAGE($CB671,$CC671,$CM671,$CE671,$CP671)</f>
        <v/>
      </c>
      <c r="DY671" s="64">
        <f>($DW671-$DW672)*100</f>
        <v/>
      </c>
      <c r="DZ671" s="64">
        <f>($DX671-$DX672)*100</f>
        <v/>
      </c>
      <c r="EA671" s="64">
        <f>($DW671-$D671)*100</f>
        <v/>
      </c>
      <c r="EB671" s="64">
        <f>$Q671-$O671</f>
        <v/>
      </c>
      <c r="EC671" s="67">
        <f>IFERROR($Q671/$P671,"")</f>
        <v/>
      </c>
    </row>
    <row r="672">
      <c r="DG672" s="64">
        <f>($B672-$B673)*100</f>
        <v/>
      </c>
      <c r="DH672" s="64">
        <f>($D672-$D673)*100</f>
        <v/>
      </c>
      <c r="DI672" s="64">
        <f>($E672-$E673)*100</f>
        <v/>
      </c>
      <c r="DJ672" s="64">
        <f>($H672-$H673)*100</f>
        <v/>
      </c>
      <c r="DK672" s="65">
        <f>IFERROR($J672/$J673-1,"")</f>
        <v/>
      </c>
      <c r="DL672" s="64">
        <f>$L672-$L673</f>
        <v/>
      </c>
      <c r="DM672" s="64">
        <f>$K672-$K673</f>
        <v/>
      </c>
      <c r="DN672" s="65">
        <f>IFERROR($N672/$N673-1,"")</f>
        <v/>
      </c>
      <c r="DO672" s="65">
        <f>IFERROR($M672/$M673-1,"")</f>
        <v/>
      </c>
      <c r="DP672" s="65">
        <f>IFERROR($AZ672/$AZ673-1,"")</f>
        <v/>
      </c>
      <c r="DQ672" s="65">
        <f>IFERROR($BA672/$BA673-1,"")</f>
        <v/>
      </c>
      <c r="DR672" s="64">
        <f>$O672-$O673</f>
        <v/>
      </c>
      <c r="DS672" s="64">
        <f>$P672-$P673</f>
        <v/>
      </c>
      <c r="DT672" s="64">
        <f>$Q672-$Q673</f>
        <v/>
      </c>
      <c r="DU672" s="64">
        <f>$S672-$S673</f>
        <v/>
      </c>
      <c r="DV672" s="65">
        <f>IFERROR(AVERAGE($AA673/$AA672-1,$AB673/$AB672-1,$AC673/$AC672-1,$AD673/$AD672-1,$AE673/$AE672-1,$AG673/$AG672-1,$AH673/$AH672-1,$AI673/$AI672-1,$AJ673/$AJ672-1,$AL673/$AL672-1,$AM673/$AM672-1,$AR673/$AR672-1,$AS673/$AS672-1,$AT673/$AT672-1,$AU673/$AU672-1,$AV673/$AV672-1,$AW673/$AW672-1,$AX673/$AX672-1,$AY673/$AY672-1),"")</f>
        <v/>
      </c>
      <c r="DW672" s="66">
        <f>AVERAGE($CB672,$CC672,$CD672,$CE672,$CF672,$CG672,$CH672,$CI672,$CJ672,$CL672,$CM672,$CN672,$CO672,$CP672,$CQ672,$CR672,$CS672,$CT672)</f>
        <v/>
      </c>
      <c r="DX672" s="66">
        <f>AVERAGE($CB672,$CC672,$CM672,$CE672,$CP672)</f>
        <v/>
      </c>
      <c r="DY672" s="64">
        <f>($DW672-$DW673)*100</f>
        <v/>
      </c>
      <c r="DZ672" s="64">
        <f>($DX672-$DX673)*100</f>
        <v/>
      </c>
      <c r="EA672" s="64">
        <f>($DW672-$D672)*100</f>
        <v/>
      </c>
      <c r="EB672" s="64">
        <f>$Q672-$O672</f>
        <v/>
      </c>
      <c r="EC672" s="67">
        <f>IFERROR($Q672/$P672,"")</f>
        <v/>
      </c>
    </row>
    <row r="673">
      <c r="DG673" s="64">
        <f>($B673-$B674)*100</f>
        <v/>
      </c>
      <c r="DH673" s="64">
        <f>($D673-$D674)*100</f>
        <v/>
      </c>
      <c r="DI673" s="64">
        <f>($E673-$E674)*100</f>
        <v/>
      </c>
      <c r="DJ673" s="64">
        <f>($H673-$H674)*100</f>
        <v/>
      </c>
      <c r="DK673" s="65">
        <f>IFERROR($J673/$J674-1,"")</f>
        <v/>
      </c>
      <c r="DL673" s="64">
        <f>$L673-$L674</f>
        <v/>
      </c>
      <c r="DM673" s="64">
        <f>$K673-$K674</f>
        <v/>
      </c>
      <c r="DN673" s="65">
        <f>IFERROR($N673/$N674-1,"")</f>
        <v/>
      </c>
      <c r="DO673" s="65">
        <f>IFERROR($M673/$M674-1,"")</f>
        <v/>
      </c>
      <c r="DP673" s="65">
        <f>IFERROR($AZ673/$AZ674-1,"")</f>
        <v/>
      </c>
      <c r="DQ673" s="65">
        <f>IFERROR($BA673/$BA674-1,"")</f>
        <v/>
      </c>
      <c r="DR673" s="64">
        <f>$O673-$O674</f>
        <v/>
      </c>
      <c r="DS673" s="64">
        <f>$P673-$P674</f>
        <v/>
      </c>
      <c r="DT673" s="64">
        <f>$Q673-$Q674</f>
        <v/>
      </c>
      <c r="DU673" s="64">
        <f>$S673-$S674</f>
        <v/>
      </c>
      <c r="DV673" s="65">
        <f>IFERROR(AVERAGE($AA674/$AA673-1,$AB674/$AB673-1,$AC674/$AC673-1,$AD674/$AD673-1,$AE674/$AE673-1,$AG674/$AG673-1,$AH674/$AH673-1,$AI674/$AI673-1,$AJ674/$AJ673-1,$AL674/$AL673-1,$AM674/$AM673-1,$AR674/$AR673-1,$AS674/$AS673-1,$AT674/$AT673-1,$AU674/$AU673-1,$AV674/$AV673-1,$AW674/$AW673-1,$AX674/$AX673-1,$AY674/$AY673-1),"")</f>
        <v/>
      </c>
      <c r="DW673" s="66">
        <f>AVERAGE($CB673,$CC673,$CD673,$CE673,$CF673,$CG673,$CH673,$CI673,$CJ673,$CL673,$CM673,$CN673,$CO673,$CP673,$CQ673,$CR673,$CS673,$CT673)</f>
        <v/>
      </c>
      <c r="DX673" s="66">
        <f>AVERAGE($CB673,$CC673,$CM673,$CE673,$CP673)</f>
        <v/>
      </c>
      <c r="DY673" s="64">
        <f>($DW673-$DW674)*100</f>
        <v/>
      </c>
      <c r="DZ673" s="64">
        <f>($DX673-$DX674)*100</f>
        <v/>
      </c>
      <c r="EA673" s="64">
        <f>($DW673-$D673)*100</f>
        <v/>
      </c>
      <c r="EB673" s="64">
        <f>$Q673-$O673</f>
        <v/>
      </c>
      <c r="EC673" s="67">
        <f>IFERROR($Q673/$P673,"")</f>
        <v/>
      </c>
    </row>
    <row r="674">
      <c r="DG674" s="64">
        <f>($B674-$B675)*100</f>
        <v/>
      </c>
      <c r="DH674" s="64">
        <f>($D674-$D675)*100</f>
        <v/>
      </c>
      <c r="DI674" s="64">
        <f>($E674-$E675)*100</f>
        <v/>
      </c>
      <c r="DJ674" s="64">
        <f>($H674-$H675)*100</f>
        <v/>
      </c>
      <c r="DK674" s="65">
        <f>IFERROR($J674/$J675-1,"")</f>
        <v/>
      </c>
      <c r="DL674" s="64">
        <f>$L674-$L675</f>
        <v/>
      </c>
      <c r="DM674" s="64">
        <f>$K674-$K675</f>
        <v/>
      </c>
      <c r="DN674" s="65">
        <f>IFERROR($N674/$N675-1,"")</f>
        <v/>
      </c>
      <c r="DO674" s="65">
        <f>IFERROR($M674/$M675-1,"")</f>
        <v/>
      </c>
      <c r="DP674" s="65">
        <f>IFERROR($AZ674/$AZ675-1,"")</f>
        <v/>
      </c>
      <c r="DQ674" s="65">
        <f>IFERROR($BA674/$BA675-1,"")</f>
        <v/>
      </c>
      <c r="DR674" s="64">
        <f>$O674-$O675</f>
        <v/>
      </c>
      <c r="DS674" s="64">
        <f>$P674-$P675</f>
        <v/>
      </c>
      <c r="DT674" s="64">
        <f>$Q674-$Q675</f>
        <v/>
      </c>
      <c r="DU674" s="64">
        <f>$S674-$S675</f>
        <v/>
      </c>
      <c r="DV674" s="65">
        <f>IFERROR(AVERAGE($AA675/$AA674-1,$AB675/$AB674-1,$AC675/$AC674-1,$AD675/$AD674-1,$AE675/$AE674-1,$AG675/$AG674-1,$AH675/$AH674-1,$AI675/$AI674-1,$AJ675/$AJ674-1,$AL675/$AL674-1,$AM675/$AM674-1,$AR675/$AR674-1,$AS675/$AS674-1,$AT675/$AT674-1,$AU675/$AU674-1,$AV675/$AV674-1,$AW675/$AW674-1,$AX675/$AX674-1,$AY675/$AY674-1),"")</f>
        <v/>
      </c>
      <c r="DW674" s="66">
        <f>AVERAGE($CB674,$CC674,$CD674,$CE674,$CF674,$CG674,$CH674,$CI674,$CJ674,$CL674,$CM674,$CN674,$CO674,$CP674,$CQ674,$CR674,$CS674,$CT674)</f>
        <v/>
      </c>
      <c r="DX674" s="66">
        <f>AVERAGE($CB674,$CC674,$CM674,$CE674,$CP674)</f>
        <v/>
      </c>
      <c r="DY674" s="64">
        <f>($DW674-$DW675)*100</f>
        <v/>
      </c>
      <c r="DZ674" s="64">
        <f>($DX674-$DX675)*100</f>
        <v/>
      </c>
      <c r="EA674" s="64">
        <f>($DW674-$D674)*100</f>
        <v/>
      </c>
      <c r="EB674" s="64">
        <f>$Q674-$O674</f>
        <v/>
      </c>
      <c r="EC674" s="67">
        <f>IFERROR($Q674/$P674,"")</f>
        <v/>
      </c>
    </row>
    <row r="675">
      <c r="DG675" s="64">
        <f>($B675-$B676)*100</f>
        <v/>
      </c>
      <c r="DH675" s="64">
        <f>($D675-$D676)*100</f>
        <v/>
      </c>
      <c r="DI675" s="64">
        <f>($E675-$E676)*100</f>
        <v/>
      </c>
      <c r="DJ675" s="64">
        <f>($H675-$H676)*100</f>
        <v/>
      </c>
      <c r="DK675" s="65">
        <f>IFERROR($J675/$J676-1,"")</f>
        <v/>
      </c>
      <c r="DL675" s="64">
        <f>$L675-$L676</f>
        <v/>
      </c>
      <c r="DM675" s="64">
        <f>$K675-$K676</f>
        <v/>
      </c>
      <c r="DN675" s="65">
        <f>IFERROR($N675/$N676-1,"")</f>
        <v/>
      </c>
      <c r="DO675" s="65">
        <f>IFERROR($M675/$M676-1,"")</f>
        <v/>
      </c>
      <c r="DP675" s="65">
        <f>IFERROR($AZ675/$AZ676-1,"")</f>
        <v/>
      </c>
      <c r="DQ675" s="65">
        <f>IFERROR($BA675/$BA676-1,"")</f>
        <v/>
      </c>
      <c r="DR675" s="64">
        <f>$O675-$O676</f>
        <v/>
      </c>
      <c r="DS675" s="64">
        <f>$P675-$P676</f>
        <v/>
      </c>
      <c r="DT675" s="64">
        <f>$Q675-$Q676</f>
        <v/>
      </c>
      <c r="DU675" s="64">
        <f>$S675-$S676</f>
        <v/>
      </c>
      <c r="DV675" s="65">
        <f>IFERROR(AVERAGE($AA676/$AA675-1,$AB676/$AB675-1,$AC676/$AC675-1,$AD676/$AD675-1,$AE676/$AE675-1,$AG676/$AG675-1,$AH676/$AH675-1,$AI676/$AI675-1,$AJ676/$AJ675-1,$AL676/$AL675-1,$AM676/$AM675-1,$AR676/$AR675-1,$AS676/$AS675-1,$AT676/$AT675-1,$AU676/$AU675-1,$AV676/$AV675-1,$AW676/$AW675-1,$AX676/$AX675-1,$AY676/$AY675-1),"")</f>
        <v/>
      </c>
      <c r="DW675" s="66">
        <f>AVERAGE($CB675,$CC675,$CD675,$CE675,$CF675,$CG675,$CH675,$CI675,$CJ675,$CL675,$CM675,$CN675,$CO675,$CP675,$CQ675,$CR675,$CS675,$CT675)</f>
        <v/>
      </c>
      <c r="DX675" s="66">
        <f>AVERAGE($CB675,$CC675,$CM675,$CE675,$CP675)</f>
        <v/>
      </c>
      <c r="DY675" s="64">
        <f>($DW675-$DW676)*100</f>
        <v/>
      </c>
      <c r="DZ675" s="64">
        <f>($DX675-$DX676)*100</f>
        <v/>
      </c>
      <c r="EA675" s="64">
        <f>($DW675-$D675)*100</f>
        <v/>
      </c>
      <c r="EB675" s="64">
        <f>$Q675-$O675</f>
        <v/>
      </c>
      <c r="EC675" s="67">
        <f>IFERROR($Q675/$P675,"")</f>
        <v/>
      </c>
    </row>
    <row r="676">
      <c r="DG676" s="64">
        <f>($B676-$B677)*100</f>
        <v/>
      </c>
      <c r="DH676" s="64">
        <f>($D676-$D677)*100</f>
        <v/>
      </c>
      <c r="DI676" s="64">
        <f>($E676-$E677)*100</f>
        <v/>
      </c>
      <c r="DJ676" s="64">
        <f>($H676-$H677)*100</f>
        <v/>
      </c>
      <c r="DK676" s="65">
        <f>IFERROR($J676/$J677-1,"")</f>
        <v/>
      </c>
      <c r="DL676" s="64">
        <f>$L676-$L677</f>
        <v/>
      </c>
      <c r="DM676" s="64">
        <f>$K676-$K677</f>
        <v/>
      </c>
      <c r="DN676" s="65">
        <f>IFERROR($N676/$N677-1,"")</f>
        <v/>
      </c>
      <c r="DO676" s="65">
        <f>IFERROR($M676/$M677-1,"")</f>
        <v/>
      </c>
      <c r="DP676" s="65">
        <f>IFERROR($AZ676/$AZ677-1,"")</f>
        <v/>
      </c>
      <c r="DQ676" s="65">
        <f>IFERROR($BA676/$BA677-1,"")</f>
        <v/>
      </c>
      <c r="DR676" s="64">
        <f>$O676-$O677</f>
        <v/>
      </c>
      <c r="DS676" s="64">
        <f>$P676-$P677</f>
        <v/>
      </c>
      <c r="DT676" s="64">
        <f>$Q676-$Q677</f>
        <v/>
      </c>
      <c r="DU676" s="64">
        <f>$S676-$S677</f>
        <v/>
      </c>
      <c r="DV676" s="65">
        <f>IFERROR(AVERAGE($AA677/$AA676-1,$AB677/$AB676-1,$AC677/$AC676-1,$AD677/$AD676-1,$AE677/$AE676-1,$AG677/$AG676-1,$AH677/$AH676-1,$AI677/$AI676-1,$AJ677/$AJ676-1,$AL677/$AL676-1,$AM677/$AM676-1,$AR677/$AR676-1,$AS677/$AS676-1,$AT677/$AT676-1,$AU677/$AU676-1,$AV677/$AV676-1,$AW677/$AW676-1,$AX677/$AX676-1,$AY677/$AY676-1),"")</f>
        <v/>
      </c>
      <c r="DW676" s="66">
        <f>AVERAGE($CB676,$CC676,$CD676,$CE676,$CF676,$CG676,$CH676,$CI676,$CJ676,$CL676,$CM676,$CN676,$CO676,$CP676,$CQ676,$CR676,$CS676,$CT676)</f>
        <v/>
      </c>
      <c r="DX676" s="66">
        <f>AVERAGE($CB676,$CC676,$CM676,$CE676,$CP676)</f>
        <v/>
      </c>
      <c r="DY676" s="64">
        <f>($DW676-$DW677)*100</f>
        <v/>
      </c>
      <c r="DZ676" s="64">
        <f>($DX676-$DX677)*100</f>
        <v/>
      </c>
      <c r="EA676" s="64">
        <f>($DW676-$D676)*100</f>
        <v/>
      </c>
      <c r="EB676" s="64">
        <f>$Q676-$O676</f>
        <v/>
      </c>
      <c r="EC676" s="67">
        <f>IFERROR($Q676/$P676,"")</f>
        <v/>
      </c>
    </row>
    <row r="677">
      <c r="DG677" s="64">
        <f>($B677-$B678)*100</f>
        <v/>
      </c>
      <c r="DH677" s="64">
        <f>($D677-$D678)*100</f>
        <v/>
      </c>
      <c r="DI677" s="64">
        <f>($E677-$E678)*100</f>
        <v/>
      </c>
      <c r="DJ677" s="64">
        <f>($H677-$H678)*100</f>
        <v/>
      </c>
      <c r="DK677" s="65">
        <f>IFERROR($J677/$J678-1,"")</f>
        <v/>
      </c>
      <c r="DL677" s="64">
        <f>$L677-$L678</f>
        <v/>
      </c>
      <c r="DM677" s="64">
        <f>$K677-$K678</f>
        <v/>
      </c>
      <c r="DN677" s="65">
        <f>IFERROR($N677/$N678-1,"")</f>
        <v/>
      </c>
      <c r="DO677" s="65">
        <f>IFERROR($M677/$M678-1,"")</f>
        <v/>
      </c>
      <c r="DP677" s="65">
        <f>IFERROR($AZ677/$AZ678-1,"")</f>
        <v/>
      </c>
      <c r="DQ677" s="65">
        <f>IFERROR($BA677/$BA678-1,"")</f>
        <v/>
      </c>
      <c r="DR677" s="64">
        <f>$O677-$O678</f>
        <v/>
      </c>
      <c r="DS677" s="64">
        <f>$P677-$P678</f>
        <v/>
      </c>
      <c r="DT677" s="64">
        <f>$Q677-$Q678</f>
        <v/>
      </c>
      <c r="DU677" s="64">
        <f>$S677-$S678</f>
        <v/>
      </c>
      <c r="DV677" s="65">
        <f>IFERROR(AVERAGE($AA678/$AA677-1,$AB678/$AB677-1,$AC678/$AC677-1,$AD678/$AD677-1,$AE678/$AE677-1,$AG678/$AG677-1,$AH678/$AH677-1,$AI678/$AI677-1,$AJ678/$AJ677-1,$AL678/$AL677-1,$AM678/$AM677-1,$AR678/$AR677-1,$AS678/$AS677-1,$AT678/$AT677-1,$AU678/$AU677-1,$AV678/$AV677-1,$AW678/$AW677-1,$AX678/$AX677-1,$AY678/$AY677-1),"")</f>
        <v/>
      </c>
      <c r="DW677" s="66">
        <f>AVERAGE($CB677,$CC677,$CD677,$CE677,$CF677,$CG677,$CH677,$CI677,$CJ677,$CL677,$CM677,$CN677,$CO677,$CP677,$CQ677,$CR677,$CS677,$CT677)</f>
        <v/>
      </c>
      <c r="DX677" s="66">
        <f>AVERAGE($CB677,$CC677,$CM677,$CE677,$CP677)</f>
        <v/>
      </c>
      <c r="DY677" s="64">
        <f>($DW677-$DW678)*100</f>
        <v/>
      </c>
      <c r="DZ677" s="64">
        <f>($DX677-$DX678)*100</f>
        <v/>
      </c>
      <c r="EA677" s="64">
        <f>($DW677-$D677)*100</f>
        <v/>
      </c>
      <c r="EB677" s="64">
        <f>$Q677-$O677</f>
        <v/>
      </c>
      <c r="EC677" s="67">
        <f>IFERROR($Q677/$P677,"")</f>
        <v/>
      </c>
    </row>
    <row r="678">
      <c r="DG678" s="64">
        <f>($B678-$B679)*100</f>
        <v/>
      </c>
      <c r="DH678" s="64">
        <f>($D678-$D679)*100</f>
        <v/>
      </c>
      <c r="DI678" s="64">
        <f>($E678-$E679)*100</f>
        <v/>
      </c>
      <c r="DJ678" s="64">
        <f>($H678-$H679)*100</f>
        <v/>
      </c>
      <c r="DK678" s="65">
        <f>IFERROR($J678/$J679-1,"")</f>
        <v/>
      </c>
      <c r="DL678" s="64">
        <f>$L678-$L679</f>
        <v/>
      </c>
      <c r="DM678" s="64">
        <f>$K678-$K679</f>
        <v/>
      </c>
      <c r="DN678" s="65">
        <f>IFERROR($N678/$N679-1,"")</f>
        <v/>
      </c>
      <c r="DO678" s="65">
        <f>IFERROR($M678/$M679-1,"")</f>
        <v/>
      </c>
      <c r="DP678" s="65">
        <f>IFERROR($AZ678/$AZ679-1,"")</f>
        <v/>
      </c>
      <c r="DQ678" s="65">
        <f>IFERROR($BA678/$BA679-1,"")</f>
        <v/>
      </c>
      <c r="DR678" s="64">
        <f>$O678-$O679</f>
        <v/>
      </c>
      <c r="DS678" s="64">
        <f>$P678-$P679</f>
        <v/>
      </c>
      <c r="DT678" s="64">
        <f>$Q678-$Q679</f>
        <v/>
      </c>
      <c r="DU678" s="64">
        <f>$S678-$S679</f>
        <v/>
      </c>
      <c r="DV678" s="65">
        <f>IFERROR(AVERAGE($AA679/$AA678-1,$AB679/$AB678-1,$AC679/$AC678-1,$AD679/$AD678-1,$AE679/$AE678-1,$AG679/$AG678-1,$AH679/$AH678-1,$AI679/$AI678-1,$AJ679/$AJ678-1,$AL679/$AL678-1,$AM679/$AM678-1,$AR679/$AR678-1,$AS679/$AS678-1,$AT679/$AT678-1,$AU679/$AU678-1,$AV679/$AV678-1,$AW679/$AW678-1,$AX679/$AX678-1,$AY679/$AY678-1),"")</f>
        <v/>
      </c>
      <c r="DW678" s="66">
        <f>AVERAGE($CB678,$CC678,$CD678,$CE678,$CF678,$CG678,$CH678,$CI678,$CJ678,$CL678,$CM678,$CN678,$CO678,$CP678,$CQ678,$CR678,$CS678,$CT678)</f>
        <v/>
      </c>
      <c r="DX678" s="66">
        <f>AVERAGE($CB678,$CC678,$CM678,$CE678,$CP678)</f>
        <v/>
      </c>
      <c r="DY678" s="64">
        <f>($DW678-$DW679)*100</f>
        <v/>
      </c>
      <c r="DZ678" s="64">
        <f>($DX678-$DX679)*100</f>
        <v/>
      </c>
      <c r="EA678" s="64">
        <f>($DW678-$D678)*100</f>
        <v/>
      </c>
      <c r="EB678" s="64">
        <f>$Q678-$O678</f>
        <v/>
      </c>
      <c r="EC678" s="67">
        <f>IFERROR($Q678/$P678,"")</f>
        <v/>
      </c>
    </row>
    <row r="679">
      <c r="DG679" s="64">
        <f>($B679-$B680)*100</f>
        <v/>
      </c>
      <c r="DH679" s="64">
        <f>($D679-$D680)*100</f>
        <v/>
      </c>
      <c r="DI679" s="64">
        <f>($E679-$E680)*100</f>
        <v/>
      </c>
      <c r="DJ679" s="64">
        <f>($H679-$H680)*100</f>
        <v/>
      </c>
      <c r="DK679" s="65">
        <f>IFERROR($J679/$J680-1,"")</f>
        <v/>
      </c>
      <c r="DL679" s="64">
        <f>$L679-$L680</f>
        <v/>
      </c>
      <c r="DM679" s="64">
        <f>$K679-$K680</f>
        <v/>
      </c>
      <c r="DN679" s="65">
        <f>IFERROR($N679/$N680-1,"")</f>
        <v/>
      </c>
      <c r="DO679" s="65">
        <f>IFERROR($M679/$M680-1,"")</f>
        <v/>
      </c>
      <c r="DP679" s="65">
        <f>IFERROR($AZ679/$AZ680-1,"")</f>
        <v/>
      </c>
      <c r="DQ679" s="65">
        <f>IFERROR($BA679/$BA680-1,"")</f>
        <v/>
      </c>
      <c r="DR679" s="64">
        <f>$O679-$O680</f>
        <v/>
      </c>
      <c r="DS679" s="64">
        <f>$P679-$P680</f>
        <v/>
      </c>
      <c r="DT679" s="64">
        <f>$Q679-$Q680</f>
        <v/>
      </c>
      <c r="DU679" s="64">
        <f>$S679-$S680</f>
        <v/>
      </c>
      <c r="DV679" s="65">
        <f>IFERROR(AVERAGE($AA680/$AA679-1,$AB680/$AB679-1,$AC680/$AC679-1,$AD680/$AD679-1,$AE680/$AE679-1,$AG680/$AG679-1,$AH680/$AH679-1,$AI680/$AI679-1,$AJ680/$AJ679-1,$AL680/$AL679-1,$AM680/$AM679-1,$AR680/$AR679-1,$AS680/$AS679-1,$AT680/$AT679-1,$AU680/$AU679-1,$AV680/$AV679-1,$AW680/$AW679-1,$AX680/$AX679-1,$AY680/$AY679-1),"")</f>
        <v/>
      </c>
      <c r="DW679" s="66">
        <f>AVERAGE($CB679,$CC679,$CD679,$CE679,$CF679,$CG679,$CH679,$CI679,$CJ679,$CL679,$CM679,$CN679,$CO679,$CP679,$CQ679,$CR679,$CS679,$CT679)</f>
        <v/>
      </c>
      <c r="DX679" s="66">
        <f>AVERAGE($CB679,$CC679,$CM679,$CE679,$CP679)</f>
        <v/>
      </c>
      <c r="DY679" s="64">
        <f>($DW679-$DW680)*100</f>
        <v/>
      </c>
      <c r="DZ679" s="64">
        <f>($DX679-$DX680)*100</f>
        <v/>
      </c>
      <c r="EA679" s="64">
        <f>($DW679-$D679)*100</f>
        <v/>
      </c>
      <c r="EB679" s="64">
        <f>$Q679-$O679</f>
        <v/>
      </c>
      <c r="EC679" s="67">
        <f>IFERROR($Q679/$P679,"")</f>
        <v/>
      </c>
    </row>
    <row r="680">
      <c r="DG680" s="64">
        <f>($B680-$B681)*100</f>
        <v/>
      </c>
      <c r="DH680" s="64">
        <f>($D680-$D681)*100</f>
        <v/>
      </c>
      <c r="DI680" s="64">
        <f>($E680-$E681)*100</f>
        <v/>
      </c>
      <c r="DJ680" s="64">
        <f>($H680-$H681)*100</f>
        <v/>
      </c>
      <c r="DK680" s="65">
        <f>IFERROR($J680/$J681-1,"")</f>
        <v/>
      </c>
      <c r="DL680" s="64">
        <f>$L680-$L681</f>
        <v/>
      </c>
      <c r="DM680" s="64">
        <f>$K680-$K681</f>
        <v/>
      </c>
      <c r="DN680" s="65">
        <f>IFERROR($N680/$N681-1,"")</f>
        <v/>
      </c>
      <c r="DO680" s="65">
        <f>IFERROR($M680/$M681-1,"")</f>
        <v/>
      </c>
      <c r="DP680" s="65">
        <f>IFERROR($AZ680/$AZ681-1,"")</f>
        <v/>
      </c>
      <c r="DQ680" s="65">
        <f>IFERROR($BA680/$BA681-1,"")</f>
        <v/>
      </c>
      <c r="DR680" s="64">
        <f>$O680-$O681</f>
        <v/>
      </c>
      <c r="DS680" s="64">
        <f>$P680-$P681</f>
        <v/>
      </c>
      <c r="DT680" s="64">
        <f>$Q680-$Q681</f>
        <v/>
      </c>
      <c r="DU680" s="64">
        <f>$S680-$S681</f>
        <v/>
      </c>
      <c r="DV680" s="65">
        <f>IFERROR(AVERAGE($AA681/$AA680-1,$AB681/$AB680-1,$AC681/$AC680-1,$AD681/$AD680-1,$AE681/$AE680-1,$AG681/$AG680-1,$AH681/$AH680-1,$AI681/$AI680-1,$AJ681/$AJ680-1,$AL681/$AL680-1,$AM681/$AM680-1,$AR681/$AR680-1,$AS681/$AS680-1,$AT681/$AT680-1,$AU681/$AU680-1,$AV681/$AV680-1,$AW681/$AW680-1,$AX681/$AX680-1,$AY681/$AY680-1),"")</f>
        <v/>
      </c>
      <c r="DW680" s="66">
        <f>AVERAGE($CB680,$CC680,$CD680,$CE680,$CF680,$CG680,$CH680,$CI680,$CJ680,$CL680,$CM680,$CN680,$CO680,$CP680,$CQ680,$CR680,$CS680,$CT680)</f>
        <v/>
      </c>
      <c r="DX680" s="66">
        <f>AVERAGE($CB680,$CC680,$CM680,$CE680,$CP680)</f>
        <v/>
      </c>
      <c r="DY680" s="64">
        <f>($DW680-$DW681)*100</f>
        <v/>
      </c>
      <c r="DZ680" s="64">
        <f>($DX680-$DX681)*100</f>
        <v/>
      </c>
      <c r="EA680" s="64">
        <f>($DW680-$D680)*100</f>
        <v/>
      </c>
      <c r="EB680" s="64">
        <f>$Q680-$O680</f>
        <v/>
      </c>
      <c r="EC680" s="67">
        <f>IFERROR($Q680/$P680,"")</f>
        <v/>
      </c>
    </row>
    <row r="681">
      <c r="DG681" s="64">
        <f>($B681-$B682)*100</f>
        <v/>
      </c>
      <c r="DH681" s="64">
        <f>($D681-$D682)*100</f>
        <v/>
      </c>
      <c r="DI681" s="64">
        <f>($E681-$E682)*100</f>
        <v/>
      </c>
      <c r="DJ681" s="64">
        <f>($H681-$H682)*100</f>
        <v/>
      </c>
      <c r="DK681" s="65">
        <f>IFERROR($J681/$J682-1,"")</f>
        <v/>
      </c>
      <c r="DL681" s="64">
        <f>$L681-$L682</f>
        <v/>
      </c>
      <c r="DM681" s="64">
        <f>$K681-$K682</f>
        <v/>
      </c>
      <c r="DN681" s="65">
        <f>IFERROR($N681/$N682-1,"")</f>
        <v/>
      </c>
      <c r="DO681" s="65">
        <f>IFERROR($M681/$M682-1,"")</f>
        <v/>
      </c>
      <c r="DP681" s="65">
        <f>IFERROR($AZ681/$AZ682-1,"")</f>
        <v/>
      </c>
      <c r="DQ681" s="65">
        <f>IFERROR($BA681/$BA682-1,"")</f>
        <v/>
      </c>
      <c r="DR681" s="64">
        <f>$O681-$O682</f>
        <v/>
      </c>
      <c r="DS681" s="64">
        <f>$P681-$P682</f>
        <v/>
      </c>
      <c r="DT681" s="64">
        <f>$Q681-$Q682</f>
        <v/>
      </c>
      <c r="DU681" s="64">
        <f>$S681-$S682</f>
        <v/>
      </c>
      <c r="DV681" s="65">
        <f>IFERROR(AVERAGE($AA682/$AA681-1,$AB682/$AB681-1,$AC682/$AC681-1,$AD682/$AD681-1,$AE682/$AE681-1,$AG682/$AG681-1,$AH682/$AH681-1,$AI682/$AI681-1,$AJ682/$AJ681-1,$AL682/$AL681-1,$AM682/$AM681-1,$AR682/$AR681-1,$AS682/$AS681-1,$AT682/$AT681-1,$AU682/$AU681-1,$AV682/$AV681-1,$AW682/$AW681-1,$AX682/$AX681-1,$AY682/$AY681-1),"")</f>
        <v/>
      </c>
      <c r="DW681" s="66">
        <f>AVERAGE($CB681,$CC681,$CD681,$CE681,$CF681,$CG681,$CH681,$CI681,$CJ681,$CL681,$CM681,$CN681,$CO681,$CP681,$CQ681,$CR681,$CS681,$CT681)</f>
        <v/>
      </c>
      <c r="DX681" s="66">
        <f>AVERAGE($CB681,$CC681,$CM681,$CE681,$CP681)</f>
        <v/>
      </c>
      <c r="DY681" s="64">
        <f>($DW681-$DW682)*100</f>
        <v/>
      </c>
      <c r="DZ681" s="64">
        <f>($DX681-$DX682)*100</f>
        <v/>
      </c>
      <c r="EA681" s="64">
        <f>($DW681-$D681)*100</f>
        <v/>
      </c>
      <c r="EB681" s="64">
        <f>$Q681-$O681</f>
        <v/>
      </c>
      <c r="EC681" s="67">
        <f>IFERROR($Q681/$P681,"")</f>
        <v/>
      </c>
    </row>
    <row r="682">
      <c r="DG682" s="64">
        <f>($B682-$B683)*100</f>
        <v/>
      </c>
      <c r="DH682" s="64">
        <f>($D682-$D683)*100</f>
        <v/>
      </c>
      <c r="DI682" s="64">
        <f>($E682-$E683)*100</f>
        <v/>
      </c>
      <c r="DJ682" s="64">
        <f>($H682-$H683)*100</f>
        <v/>
      </c>
      <c r="DK682" s="65">
        <f>IFERROR($J682/$J683-1,"")</f>
        <v/>
      </c>
      <c r="DL682" s="64">
        <f>$L682-$L683</f>
        <v/>
      </c>
      <c r="DM682" s="64">
        <f>$K682-$K683</f>
        <v/>
      </c>
      <c r="DN682" s="65">
        <f>IFERROR($N682/$N683-1,"")</f>
        <v/>
      </c>
      <c r="DO682" s="65">
        <f>IFERROR($M682/$M683-1,"")</f>
        <v/>
      </c>
      <c r="DP682" s="65">
        <f>IFERROR($AZ682/$AZ683-1,"")</f>
        <v/>
      </c>
      <c r="DQ682" s="65">
        <f>IFERROR($BA682/$BA683-1,"")</f>
        <v/>
      </c>
      <c r="DR682" s="64">
        <f>$O682-$O683</f>
        <v/>
      </c>
      <c r="DS682" s="64">
        <f>$P682-$P683</f>
        <v/>
      </c>
      <c r="DT682" s="64">
        <f>$Q682-$Q683</f>
        <v/>
      </c>
      <c r="DU682" s="64">
        <f>$S682-$S683</f>
        <v/>
      </c>
      <c r="DV682" s="65">
        <f>IFERROR(AVERAGE($AA683/$AA682-1,$AB683/$AB682-1,$AC683/$AC682-1,$AD683/$AD682-1,$AE683/$AE682-1,$AG683/$AG682-1,$AH683/$AH682-1,$AI683/$AI682-1,$AJ683/$AJ682-1,$AL683/$AL682-1,$AM683/$AM682-1,$AR683/$AR682-1,$AS683/$AS682-1,$AT683/$AT682-1,$AU683/$AU682-1,$AV683/$AV682-1,$AW683/$AW682-1,$AX683/$AX682-1,$AY683/$AY682-1),"")</f>
        <v/>
      </c>
      <c r="DW682" s="66">
        <f>AVERAGE($CB682,$CC682,$CD682,$CE682,$CF682,$CG682,$CH682,$CI682,$CJ682,$CL682,$CM682,$CN682,$CO682,$CP682,$CQ682,$CR682,$CS682,$CT682)</f>
        <v/>
      </c>
      <c r="DX682" s="66">
        <f>AVERAGE($CB682,$CC682,$CM682,$CE682,$CP682)</f>
        <v/>
      </c>
      <c r="DY682" s="64">
        <f>($DW682-$DW683)*100</f>
        <v/>
      </c>
      <c r="DZ682" s="64">
        <f>($DX682-$DX683)*100</f>
        <v/>
      </c>
      <c r="EA682" s="64">
        <f>($DW682-$D682)*100</f>
        <v/>
      </c>
      <c r="EB682" s="64">
        <f>$Q682-$O682</f>
        <v/>
      </c>
      <c r="EC682" s="67">
        <f>IFERROR($Q682/$P682,"")</f>
        <v/>
      </c>
    </row>
    <row r="683">
      <c r="DG683" s="64">
        <f>($B683-$B684)*100</f>
        <v/>
      </c>
      <c r="DH683" s="64">
        <f>($D683-$D684)*100</f>
        <v/>
      </c>
      <c r="DI683" s="64">
        <f>($E683-$E684)*100</f>
        <v/>
      </c>
      <c r="DJ683" s="64">
        <f>($H683-$H684)*100</f>
        <v/>
      </c>
      <c r="DK683" s="65">
        <f>IFERROR($J683/$J684-1,"")</f>
        <v/>
      </c>
      <c r="DL683" s="64">
        <f>$L683-$L684</f>
        <v/>
      </c>
      <c r="DM683" s="64">
        <f>$K683-$K684</f>
        <v/>
      </c>
      <c r="DN683" s="65">
        <f>IFERROR($N683/$N684-1,"")</f>
        <v/>
      </c>
      <c r="DO683" s="65">
        <f>IFERROR($M683/$M684-1,"")</f>
        <v/>
      </c>
      <c r="DP683" s="65">
        <f>IFERROR($AZ683/$AZ684-1,"")</f>
        <v/>
      </c>
      <c r="DQ683" s="65">
        <f>IFERROR($BA683/$BA684-1,"")</f>
        <v/>
      </c>
      <c r="DR683" s="64">
        <f>$O683-$O684</f>
        <v/>
      </c>
      <c r="DS683" s="64">
        <f>$P683-$P684</f>
        <v/>
      </c>
      <c r="DT683" s="64">
        <f>$Q683-$Q684</f>
        <v/>
      </c>
      <c r="DU683" s="64">
        <f>$S683-$S684</f>
        <v/>
      </c>
      <c r="DV683" s="65">
        <f>IFERROR(AVERAGE($AA684/$AA683-1,$AB684/$AB683-1,$AC684/$AC683-1,$AD684/$AD683-1,$AE684/$AE683-1,$AG684/$AG683-1,$AH684/$AH683-1,$AI684/$AI683-1,$AJ684/$AJ683-1,$AL684/$AL683-1,$AM684/$AM683-1,$AR684/$AR683-1,$AS684/$AS683-1,$AT684/$AT683-1,$AU684/$AU683-1,$AV684/$AV683-1,$AW684/$AW683-1,$AX684/$AX683-1,$AY684/$AY683-1),"")</f>
        <v/>
      </c>
      <c r="DW683" s="66">
        <f>AVERAGE($CB683,$CC683,$CD683,$CE683,$CF683,$CG683,$CH683,$CI683,$CJ683,$CL683,$CM683,$CN683,$CO683,$CP683,$CQ683,$CR683,$CS683,$CT683)</f>
        <v/>
      </c>
      <c r="DX683" s="66">
        <f>AVERAGE($CB683,$CC683,$CM683,$CE683,$CP683)</f>
        <v/>
      </c>
      <c r="DY683" s="64">
        <f>($DW683-$DW684)*100</f>
        <v/>
      </c>
      <c r="DZ683" s="64">
        <f>($DX683-$DX684)*100</f>
        <v/>
      </c>
      <c r="EA683" s="64">
        <f>($DW683-$D683)*100</f>
        <v/>
      </c>
      <c r="EB683" s="64">
        <f>$Q683-$O683</f>
        <v/>
      </c>
      <c r="EC683" s="67">
        <f>IFERROR($Q683/$P683,"")</f>
        <v/>
      </c>
    </row>
    <row r="684">
      <c r="DG684" s="64">
        <f>($B684-$B685)*100</f>
        <v/>
      </c>
      <c r="DH684" s="64">
        <f>($D684-$D685)*100</f>
        <v/>
      </c>
      <c r="DI684" s="64">
        <f>($E684-$E685)*100</f>
        <v/>
      </c>
      <c r="DJ684" s="64">
        <f>($H684-$H685)*100</f>
        <v/>
      </c>
      <c r="DK684" s="65">
        <f>IFERROR($J684/$J685-1,"")</f>
        <v/>
      </c>
      <c r="DL684" s="64">
        <f>$L684-$L685</f>
        <v/>
      </c>
      <c r="DM684" s="64">
        <f>$K684-$K685</f>
        <v/>
      </c>
      <c r="DN684" s="65">
        <f>IFERROR($N684/$N685-1,"")</f>
        <v/>
      </c>
      <c r="DO684" s="65">
        <f>IFERROR($M684/$M685-1,"")</f>
        <v/>
      </c>
      <c r="DP684" s="65">
        <f>IFERROR($AZ684/$AZ685-1,"")</f>
        <v/>
      </c>
      <c r="DQ684" s="65">
        <f>IFERROR($BA684/$BA685-1,"")</f>
        <v/>
      </c>
      <c r="DR684" s="64">
        <f>$O684-$O685</f>
        <v/>
      </c>
      <c r="DS684" s="64">
        <f>$P684-$P685</f>
        <v/>
      </c>
      <c r="DT684" s="64">
        <f>$Q684-$Q685</f>
        <v/>
      </c>
      <c r="DU684" s="64">
        <f>$S684-$S685</f>
        <v/>
      </c>
      <c r="DV684" s="65">
        <f>IFERROR(AVERAGE($AA685/$AA684-1,$AB685/$AB684-1,$AC685/$AC684-1,$AD685/$AD684-1,$AE685/$AE684-1,$AG685/$AG684-1,$AH685/$AH684-1,$AI685/$AI684-1,$AJ685/$AJ684-1,$AL685/$AL684-1,$AM685/$AM684-1,$AR685/$AR684-1,$AS685/$AS684-1,$AT685/$AT684-1,$AU685/$AU684-1,$AV685/$AV684-1,$AW685/$AW684-1,$AX685/$AX684-1,$AY685/$AY684-1),"")</f>
        <v/>
      </c>
      <c r="DW684" s="66">
        <f>AVERAGE($CB684,$CC684,$CD684,$CE684,$CF684,$CG684,$CH684,$CI684,$CJ684,$CL684,$CM684,$CN684,$CO684,$CP684,$CQ684,$CR684,$CS684,$CT684)</f>
        <v/>
      </c>
      <c r="DX684" s="66">
        <f>AVERAGE($CB684,$CC684,$CM684,$CE684,$CP684)</f>
        <v/>
      </c>
      <c r="DY684" s="64">
        <f>($DW684-$DW685)*100</f>
        <v/>
      </c>
      <c r="DZ684" s="64">
        <f>($DX684-$DX685)*100</f>
        <v/>
      </c>
      <c r="EA684" s="64">
        <f>($DW684-$D684)*100</f>
        <v/>
      </c>
      <c r="EB684" s="64">
        <f>$Q684-$O684</f>
        <v/>
      </c>
      <c r="EC684" s="67">
        <f>IFERROR($Q684/$P684,"")</f>
        <v/>
      </c>
    </row>
    <row r="685">
      <c r="DG685" s="64">
        <f>($B685-$B686)*100</f>
        <v/>
      </c>
      <c r="DH685" s="64">
        <f>($D685-$D686)*100</f>
        <v/>
      </c>
      <c r="DI685" s="64">
        <f>($E685-$E686)*100</f>
        <v/>
      </c>
      <c r="DJ685" s="64">
        <f>($H685-$H686)*100</f>
        <v/>
      </c>
      <c r="DK685" s="65">
        <f>IFERROR($J685/$J686-1,"")</f>
        <v/>
      </c>
      <c r="DL685" s="64">
        <f>$L685-$L686</f>
        <v/>
      </c>
      <c r="DM685" s="64">
        <f>$K685-$K686</f>
        <v/>
      </c>
      <c r="DN685" s="65">
        <f>IFERROR($N685/$N686-1,"")</f>
        <v/>
      </c>
      <c r="DO685" s="65">
        <f>IFERROR($M685/$M686-1,"")</f>
        <v/>
      </c>
      <c r="DP685" s="65">
        <f>IFERROR($AZ685/$AZ686-1,"")</f>
        <v/>
      </c>
      <c r="DQ685" s="65">
        <f>IFERROR($BA685/$BA686-1,"")</f>
        <v/>
      </c>
      <c r="DR685" s="64">
        <f>$O685-$O686</f>
        <v/>
      </c>
      <c r="DS685" s="64">
        <f>$P685-$P686</f>
        <v/>
      </c>
      <c r="DT685" s="64">
        <f>$Q685-$Q686</f>
        <v/>
      </c>
      <c r="DU685" s="64">
        <f>$S685-$S686</f>
        <v/>
      </c>
      <c r="DV685" s="65">
        <f>IFERROR(AVERAGE($AA686/$AA685-1,$AB686/$AB685-1,$AC686/$AC685-1,$AD686/$AD685-1,$AE686/$AE685-1,$AG686/$AG685-1,$AH686/$AH685-1,$AI686/$AI685-1,$AJ686/$AJ685-1,$AL686/$AL685-1,$AM686/$AM685-1,$AR686/$AR685-1,$AS686/$AS685-1,$AT686/$AT685-1,$AU686/$AU685-1,$AV686/$AV685-1,$AW686/$AW685-1,$AX686/$AX685-1,$AY686/$AY685-1),"")</f>
        <v/>
      </c>
      <c r="DW685" s="66">
        <f>AVERAGE($CB685,$CC685,$CD685,$CE685,$CF685,$CG685,$CH685,$CI685,$CJ685,$CL685,$CM685,$CN685,$CO685,$CP685,$CQ685,$CR685,$CS685,$CT685)</f>
        <v/>
      </c>
      <c r="DX685" s="66">
        <f>AVERAGE($CB685,$CC685,$CM685,$CE685,$CP685)</f>
        <v/>
      </c>
      <c r="DY685" s="64">
        <f>($DW685-$DW686)*100</f>
        <v/>
      </c>
      <c r="DZ685" s="64">
        <f>($DX685-$DX686)*100</f>
        <v/>
      </c>
      <c r="EA685" s="64">
        <f>($DW685-$D685)*100</f>
        <v/>
      </c>
      <c r="EB685" s="64">
        <f>$Q685-$O685</f>
        <v/>
      </c>
      <c r="EC685" s="67">
        <f>IFERROR($Q685/$P685,"")</f>
        <v/>
      </c>
    </row>
    <row r="686">
      <c r="DG686" s="64">
        <f>($B686-$B687)*100</f>
        <v/>
      </c>
      <c r="DH686" s="64">
        <f>($D686-$D687)*100</f>
        <v/>
      </c>
      <c r="DI686" s="64">
        <f>($E686-$E687)*100</f>
        <v/>
      </c>
      <c r="DJ686" s="64">
        <f>($H686-$H687)*100</f>
        <v/>
      </c>
      <c r="DK686" s="65">
        <f>IFERROR($J686/$J687-1,"")</f>
        <v/>
      </c>
      <c r="DL686" s="64">
        <f>$L686-$L687</f>
        <v/>
      </c>
      <c r="DM686" s="64">
        <f>$K686-$K687</f>
        <v/>
      </c>
      <c r="DN686" s="65">
        <f>IFERROR($N686/$N687-1,"")</f>
        <v/>
      </c>
      <c r="DO686" s="65">
        <f>IFERROR($M686/$M687-1,"")</f>
        <v/>
      </c>
      <c r="DP686" s="65">
        <f>IFERROR($AZ686/$AZ687-1,"")</f>
        <v/>
      </c>
      <c r="DQ686" s="65">
        <f>IFERROR($BA686/$BA687-1,"")</f>
        <v/>
      </c>
      <c r="DR686" s="64">
        <f>$O686-$O687</f>
        <v/>
      </c>
      <c r="DS686" s="64">
        <f>$P686-$P687</f>
        <v/>
      </c>
      <c r="DT686" s="64">
        <f>$Q686-$Q687</f>
        <v/>
      </c>
      <c r="DU686" s="64">
        <f>$S686-$S687</f>
        <v/>
      </c>
      <c r="DV686" s="65">
        <f>IFERROR(AVERAGE($AA687/$AA686-1,$AB687/$AB686-1,$AC687/$AC686-1,$AD687/$AD686-1,$AE687/$AE686-1,$AG687/$AG686-1,$AH687/$AH686-1,$AI687/$AI686-1,$AJ687/$AJ686-1,$AL687/$AL686-1,$AM687/$AM686-1,$AR687/$AR686-1,$AS687/$AS686-1,$AT687/$AT686-1,$AU687/$AU686-1,$AV687/$AV686-1,$AW687/$AW686-1,$AX687/$AX686-1,$AY687/$AY686-1),"")</f>
        <v/>
      </c>
      <c r="DW686" s="66">
        <f>AVERAGE($CB686,$CC686,$CD686,$CE686,$CF686,$CG686,$CH686,$CI686,$CJ686,$CL686,$CM686,$CN686,$CO686,$CP686,$CQ686,$CR686,$CS686,$CT686)</f>
        <v/>
      </c>
      <c r="DX686" s="66">
        <f>AVERAGE($CB686,$CC686,$CM686,$CE686,$CP686)</f>
        <v/>
      </c>
      <c r="DY686" s="64">
        <f>($DW686-$DW687)*100</f>
        <v/>
      </c>
      <c r="DZ686" s="64">
        <f>($DX686-$DX687)*100</f>
        <v/>
      </c>
      <c r="EA686" s="64">
        <f>($DW686-$D686)*100</f>
        <v/>
      </c>
      <c r="EB686" s="64">
        <f>$Q686-$O686</f>
        <v/>
      </c>
      <c r="EC686" s="67">
        <f>IFERROR($Q686/$P686,"")</f>
        <v/>
      </c>
    </row>
    <row r="687">
      <c r="DG687" s="64">
        <f>($B687-$B688)*100</f>
        <v/>
      </c>
      <c r="DH687" s="64">
        <f>($D687-$D688)*100</f>
        <v/>
      </c>
      <c r="DI687" s="64">
        <f>($E687-$E688)*100</f>
        <v/>
      </c>
      <c r="DJ687" s="64">
        <f>($H687-$H688)*100</f>
        <v/>
      </c>
      <c r="DK687" s="65">
        <f>IFERROR($J687/$J688-1,"")</f>
        <v/>
      </c>
      <c r="DL687" s="64">
        <f>$L687-$L688</f>
        <v/>
      </c>
      <c r="DM687" s="64">
        <f>$K687-$K688</f>
        <v/>
      </c>
      <c r="DN687" s="65">
        <f>IFERROR($N687/$N688-1,"")</f>
        <v/>
      </c>
      <c r="DO687" s="65">
        <f>IFERROR($M687/$M688-1,"")</f>
        <v/>
      </c>
      <c r="DP687" s="65">
        <f>IFERROR($AZ687/$AZ688-1,"")</f>
        <v/>
      </c>
      <c r="DQ687" s="65">
        <f>IFERROR($BA687/$BA688-1,"")</f>
        <v/>
      </c>
      <c r="DR687" s="64">
        <f>$O687-$O688</f>
        <v/>
      </c>
      <c r="DS687" s="64">
        <f>$P687-$P688</f>
        <v/>
      </c>
      <c r="DT687" s="64">
        <f>$Q687-$Q688</f>
        <v/>
      </c>
      <c r="DU687" s="64">
        <f>$S687-$S688</f>
        <v/>
      </c>
      <c r="DV687" s="65">
        <f>IFERROR(AVERAGE($AA688/$AA687-1,$AB688/$AB687-1,$AC688/$AC687-1,$AD688/$AD687-1,$AE688/$AE687-1,$AG688/$AG687-1,$AH688/$AH687-1,$AI688/$AI687-1,$AJ688/$AJ687-1,$AL688/$AL687-1,$AM688/$AM687-1,$AR688/$AR687-1,$AS688/$AS687-1,$AT688/$AT687-1,$AU688/$AU687-1,$AV688/$AV687-1,$AW688/$AW687-1,$AX688/$AX687-1,$AY688/$AY687-1),"")</f>
        <v/>
      </c>
      <c r="DW687" s="66">
        <f>AVERAGE($CB687,$CC687,$CD687,$CE687,$CF687,$CG687,$CH687,$CI687,$CJ687,$CL687,$CM687,$CN687,$CO687,$CP687,$CQ687,$CR687,$CS687,$CT687)</f>
        <v/>
      </c>
      <c r="DX687" s="66">
        <f>AVERAGE($CB687,$CC687,$CM687,$CE687,$CP687)</f>
        <v/>
      </c>
      <c r="DY687" s="64">
        <f>($DW687-$DW688)*100</f>
        <v/>
      </c>
      <c r="DZ687" s="64">
        <f>($DX687-$DX688)*100</f>
        <v/>
      </c>
      <c r="EA687" s="64">
        <f>($DW687-$D687)*100</f>
        <v/>
      </c>
      <c r="EB687" s="64">
        <f>$Q687-$O687</f>
        <v/>
      </c>
      <c r="EC687" s="67">
        <f>IFERROR($Q687/$P687,"")</f>
        <v/>
      </c>
    </row>
    <row r="688">
      <c r="DG688" s="64">
        <f>($B688-$B689)*100</f>
        <v/>
      </c>
      <c r="DH688" s="64">
        <f>($D688-$D689)*100</f>
        <v/>
      </c>
      <c r="DI688" s="64">
        <f>($E688-$E689)*100</f>
        <v/>
      </c>
      <c r="DJ688" s="64">
        <f>($H688-$H689)*100</f>
        <v/>
      </c>
      <c r="DK688" s="65">
        <f>IFERROR($J688/$J689-1,"")</f>
        <v/>
      </c>
      <c r="DL688" s="64">
        <f>$L688-$L689</f>
        <v/>
      </c>
      <c r="DM688" s="64">
        <f>$K688-$K689</f>
        <v/>
      </c>
      <c r="DN688" s="65">
        <f>IFERROR($N688/$N689-1,"")</f>
        <v/>
      </c>
      <c r="DO688" s="65">
        <f>IFERROR($M688/$M689-1,"")</f>
        <v/>
      </c>
      <c r="DP688" s="65">
        <f>IFERROR($AZ688/$AZ689-1,"")</f>
        <v/>
      </c>
      <c r="DQ688" s="65">
        <f>IFERROR($BA688/$BA689-1,"")</f>
        <v/>
      </c>
      <c r="DR688" s="64">
        <f>$O688-$O689</f>
        <v/>
      </c>
      <c r="DS688" s="64">
        <f>$P688-$P689</f>
        <v/>
      </c>
      <c r="DT688" s="64">
        <f>$Q688-$Q689</f>
        <v/>
      </c>
      <c r="DU688" s="64">
        <f>$S688-$S689</f>
        <v/>
      </c>
      <c r="DV688" s="65">
        <f>IFERROR(AVERAGE($AA689/$AA688-1,$AB689/$AB688-1,$AC689/$AC688-1,$AD689/$AD688-1,$AE689/$AE688-1,$AG689/$AG688-1,$AH689/$AH688-1,$AI689/$AI688-1,$AJ689/$AJ688-1,$AL689/$AL688-1,$AM689/$AM688-1,$AR689/$AR688-1,$AS689/$AS688-1,$AT689/$AT688-1,$AU689/$AU688-1,$AV689/$AV688-1,$AW689/$AW688-1,$AX689/$AX688-1,$AY689/$AY688-1),"")</f>
        <v/>
      </c>
      <c r="DW688" s="66">
        <f>AVERAGE($CB688,$CC688,$CD688,$CE688,$CF688,$CG688,$CH688,$CI688,$CJ688,$CL688,$CM688,$CN688,$CO688,$CP688,$CQ688,$CR688,$CS688,$CT688)</f>
        <v/>
      </c>
      <c r="DX688" s="66">
        <f>AVERAGE($CB688,$CC688,$CM688,$CE688,$CP688)</f>
        <v/>
      </c>
      <c r="DY688" s="64">
        <f>($DW688-$DW689)*100</f>
        <v/>
      </c>
      <c r="DZ688" s="64">
        <f>($DX688-$DX689)*100</f>
        <v/>
      </c>
      <c r="EA688" s="64">
        <f>($DW688-$D688)*100</f>
        <v/>
      </c>
      <c r="EB688" s="64">
        <f>$Q688-$O688</f>
        <v/>
      </c>
      <c r="EC688" s="67">
        <f>IFERROR($Q688/$P688,"")</f>
        <v/>
      </c>
    </row>
    <row r="689">
      <c r="DG689" s="64">
        <f>($B689-$B690)*100</f>
        <v/>
      </c>
      <c r="DH689" s="64">
        <f>($D689-$D690)*100</f>
        <v/>
      </c>
      <c r="DI689" s="64">
        <f>($E689-$E690)*100</f>
        <v/>
      </c>
      <c r="DJ689" s="64">
        <f>($H689-$H690)*100</f>
        <v/>
      </c>
      <c r="DK689" s="65">
        <f>IFERROR($J689/$J690-1,"")</f>
        <v/>
      </c>
      <c r="DL689" s="64">
        <f>$L689-$L690</f>
        <v/>
      </c>
      <c r="DM689" s="64">
        <f>$K689-$K690</f>
        <v/>
      </c>
      <c r="DN689" s="65">
        <f>IFERROR($N689/$N690-1,"")</f>
        <v/>
      </c>
      <c r="DO689" s="65">
        <f>IFERROR($M689/$M690-1,"")</f>
        <v/>
      </c>
      <c r="DP689" s="65">
        <f>IFERROR($AZ689/$AZ690-1,"")</f>
        <v/>
      </c>
      <c r="DQ689" s="65">
        <f>IFERROR($BA689/$BA690-1,"")</f>
        <v/>
      </c>
      <c r="DR689" s="64">
        <f>$O689-$O690</f>
        <v/>
      </c>
      <c r="DS689" s="64">
        <f>$P689-$P690</f>
        <v/>
      </c>
      <c r="DT689" s="64">
        <f>$Q689-$Q690</f>
        <v/>
      </c>
      <c r="DU689" s="64">
        <f>$S689-$S690</f>
        <v/>
      </c>
      <c r="DV689" s="65">
        <f>IFERROR(AVERAGE($AA690/$AA689-1,$AB690/$AB689-1,$AC690/$AC689-1,$AD690/$AD689-1,$AE690/$AE689-1,$AG690/$AG689-1,$AH690/$AH689-1,$AI690/$AI689-1,$AJ690/$AJ689-1,$AL690/$AL689-1,$AM690/$AM689-1,$AR690/$AR689-1,$AS690/$AS689-1,$AT690/$AT689-1,$AU690/$AU689-1,$AV690/$AV689-1,$AW690/$AW689-1,$AX690/$AX689-1,$AY690/$AY689-1),"")</f>
        <v/>
      </c>
      <c r="DW689" s="66">
        <f>AVERAGE($CB689,$CC689,$CD689,$CE689,$CF689,$CG689,$CH689,$CI689,$CJ689,$CL689,$CM689,$CN689,$CO689,$CP689,$CQ689,$CR689,$CS689,$CT689)</f>
        <v/>
      </c>
      <c r="DX689" s="66">
        <f>AVERAGE($CB689,$CC689,$CM689,$CE689,$CP689)</f>
        <v/>
      </c>
      <c r="DY689" s="64">
        <f>($DW689-$DW690)*100</f>
        <v/>
      </c>
      <c r="DZ689" s="64">
        <f>($DX689-$DX690)*100</f>
        <v/>
      </c>
      <c r="EA689" s="64">
        <f>($DW689-$D689)*100</f>
        <v/>
      </c>
      <c r="EB689" s="64">
        <f>$Q689-$O689</f>
        <v/>
      </c>
      <c r="EC689" s="67">
        <f>IFERROR($Q689/$P689,"")</f>
        <v/>
      </c>
    </row>
    <row r="690">
      <c r="DG690" s="64">
        <f>($B690-$B691)*100</f>
        <v/>
      </c>
      <c r="DH690" s="64">
        <f>($D690-$D691)*100</f>
        <v/>
      </c>
      <c r="DI690" s="64">
        <f>($E690-$E691)*100</f>
        <v/>
      </c>
      <c r="DJ690" s="64">
        <f>($H690-$H691)*100</f>
        <v/>
      </c>
      <c r="DK690" s="65">
        <f>IFERROR($J690/$J691-1,"")</f>
        <v/>
      </c>
      <c r="DL690" s="64">
        <f>$L690-$L691</f>
        <v/>
      </c>
      <c r="DM690" s="64">
        <f>$K690-$K691</f>
        <v/>
      </c>
      <c r="DN690" s="65">
        <f>IFERROR($N690/$N691-1,"")</f>
        <v/>
      </c>
      <c r="DO690" s="65">
        <f>IFERROR($M690/$M691-1,"")</f>
        <v/>
      </c>
      <c r="DP690" s="65">
        <f>IFERROR($AZ690/$AZ691-1,"")</f>
        <v/>
      </c>
      <c r="DQ690" s="65">
        <f>IFERROR($BA690/$BA691-1,"")</f>
        <v/>
      </c>
      <c r="DR690" s="64">
        <f>$O690-$O691</f>
        <v/>
      </c>
      <c r="DS690" s="64">
        <f>$P690-$P691</f>
        <v/>
      </c>
      <c r="DT690" s="64">
        <f>$Q690-$Q691</f>
        <v/>
      </c>
      <c r="DU690" s="64">
        <f>$S690-$S691</f>
        <v/>
      </c>
      <c r="DV690" s="65">
        <f>IFERROR(AVERAGE($AA691/$AA690-1,$AB691/$AB690-1,$AC691/$AC690-1,$AD691/$AD690-1,$AE691/$AE690-1,$AG691/$AG690-1,$AH691/$AH690-1,$AI691/$AI690-1,$AJ691/$AJ690-1,$AL691/$AL690-1,$AM691/$AM690-1,$AR691/$AR690-1,$AS691/$AS690-1,$AT691/$AT690-1,$AU691/$AU690-1,$AV691/$AV690-1,$AW691/$AW690-1,$AX691/$AX690-1,$AY691/$AY690-1),"")</f>
        <v/>
      </c>
      <c r="DW690" s="66">
        <f>AVERAGE($CB690,$CC690,$CD690,$CE690,$CF690,$CG690,$CH690,$CI690,$CJ690,$CL690,$CM690,$CN690,$CO690,$CP690,$CQ690,$CR690,$CS690,$CT690)</f>
        <v/>
      </c>
      <c r="DX690" s="66">
        <f>AVERAGE($CB690,$CC690,$CM690,$CE690,$CP690)</f>
        <v/>
      </c>
      <c r="DY690" s="64">
        <f>($DW690-$DW691)*100</f>
        <v/>
      </c>
      <c r="DZ690" s="64">
        <f>($DX690-$DX691)*100</f>
        <v/>
      </c>
      <c r="EA690" s="64">
        <f>($DW690-$D690)*100</f>
        <v/>
      </c>
      <c r="EB690" s="64">
        <f>$Q690-$O690</f>
        <v/>
      </c>
      <c r="EC690" s="67">
        <f>IFERROR($Q690/$P690,"")</f>
        <v/>
      </c>
    </row>
    <row r="691">
      <c r="DG691" s="64">
        <f>($B691-$B692)*100</f>
        <v/>
      </c>
      <c r="DH691" s="64">
        <f>($D691-$D692)*100</f>
        <v/>
      </c>
      <c r="DI691" s="64">
        <f>($E691-$E692)*100</f>
        <v/>
      </c>
      <c r="DJ691" s="64">
        <f>($H691-$H692)*100</f>
        <v/>
      </c>
      <c r="DK691" s="65">
        <f>IFERROR($J691/$J692-1,"")</f>
        <v/>
      </c>
      <c r="DL691" s="64">
        <f>$L691-$L692</f>
        <v/>
      </c>
      <c r="DM691" s="64">
        <f>$K691-$K692</f>
        <v/>
      </c>
      <c r="DN691" s="65">
        <f>IFERROR($N691/$N692-1,"")</f>
        <v/>
      </c>
      <c r="DO691" s="65">
        <f>IFERROR($M691/$M692-1,"")</f>
        <v/>
      </c>
      <c r="DP691" s="65">
        <f>IFERROR($AZ691/$AZ692-1,"")</f>
        <v/>
      </c>
      <c r="DQ691" s="65">
        <f>IFERROR($BA691/$BA692-1,"")</f>
        <v/>
      </c>
      <c r="DR691" s="64">
        <f>$O691-$O692</f>
        <v/>
      </c>
      <c r="DS691" s="64">
        <f>$P691-$P692</f>
        <v/>
      </c>
      <c r="DT691" s="64">
        <f>$Q691-$Q692</f>
        <v/>
      </c>
      <c r="DU691" s="64">
        <f>$S691-$S692</f>
        <v/>
      </c>
      <c r="DV691" s="65">
        <f>IFERROR(AVERAGE($AA692/$AA691-1,$AB692/$AB691-1,$AC692/$AC691-1,$AD692/$AD691-1,$AE692/$AE691-1,$AG692/$AG691-1,$AH692/$AH691-1,$AI692/$AI691-1,$AJ692/$AJ691-1,$AL692/$AL691-1,$AM692/$AM691-1,$AR692/$AR691-1,$AS692/$AS691-1,$AT692/$AT691-1,$AU692/$AU691-1,$AV692/$AV691-1,$AW692/$AW691-1,$AX692/$AX691-1,$AY692/$AY691-1),"")</f>
        <v/>
      </c>
      <c r="DW691" s="66">
        <f>AVERAGE($CB691,$CC691,$CD691,$CE691,$CF691,$CG691,$CH691,$CI691,$CJ691,$CL691,$CM691,$CN691,$CO691,$CP691,$CQ691,$CR691,$CS691,$CT691)</f>
        <v/>
      </c>
      <c r="DX691" s="66">
        <f>AVERAGE($CB691,$CC691,$CM691,$CE691,$CP691)</f>
        <v/>
      </c>
      <c r="DY691" s="64">
        <f>($DW691-$DW692)*100</f>
        <v/>
      </c>
      <c r="DZ691" s="64">
        <f>($DX691-$DX692)*100</f>
        <v/>
      </c>
      <c r="EA691" s="64">
        <f>($DW691-$D691)*100</f>
        <v/>
      </c>
      <c r="EB691" s="64">
        <f>$Q691-$O691</f>
        <v/>
      </c>
      <c r="EC691" s="67">
        <f>IFERROR($Q691/$P691,"")</f>
        <v/>
      </c>
    </row>
    <row r="692">
      <c r="DG692" s="64">
        <f>($B692-$B693)*100</f>
        <v/>
      </c>
      <c r="DH692" s="64">
        <f>($D692-$D693)*100</f>
        <v/>
      </c>
      <c r="DI692" s="64">
        <f>($E692-$E693)*100</f>
        <v/>
      </c>
      <c r="DJ692" s="64">
        <f>($H692-$H693)*100</f>
        <v/>
      </c>
      <c r="DK692" s="65">
        <f>IFERROR($J692/$J693-1,"")</f>
        <v/>
      </c>
      <c r="DL692" s="64">
        <f>$L692-$L693</f>
        <v/>
      </c>
      <c r="DM692" s="64">
        <f>$K692-$K693</f>
        <v/>
      </c>
      <c r="DN692" s="65">
        <f>IFERROR($N692/$N693-1,"")</f>
        <v/>
      </c>
      <c r="DO692" s="65">
        <f>IFERROR($M692/$M693-1,"")</f>
        <v/>
      </c>
      <c r="DP692" s="65">
        <f>IFERROR($AZ692/$AZ693-1,"")</f>
        <v/>
      </c>
      <c r="DQ692" s="65">
        <f>IFERROR($BA692/$BA693-1,"")</f>
        <v/>
      </c>
      <c r="DR692" s="64">
        <f>$O692-$O693</f>
        <v/>
      </c>
      <c r="DS692" s="64">
        <f>$P692-$P693</f>
        <v/>
      </c>
      <c r="DT692" s="64">
        <f>$Q692-$Q693</f>
        <v/>
      </c>
      <c r="DU692" s="64">
        <f>$S692-$S693</f>
        <v/>
      </c>
      <c r="DV692" s="65">
        <f>IFERROR(AVERAGE($AA693/$AA692-1,$AB693/$AB692-1,$AC693/$AC692-1,$AD693/$AD692-1,$AE693/$AE692-1,$AG693/$AG692-1,$AH693/$AH692-1,$AI693/$AI692-1,$AJ693/$AJ692-1,$AL693/$AL692-1,$AM693/$AM692-1,$AR693/$AR692-1,$AS693/$AS692-1,$AT693/$AT692-1,$AU693/$AU692-1,$AV693/$AV692-1,$AW693/$AW692-1,$AX693/$AX692-1,$AY693/$AY692-1),"")</f>
        <v/>
      </c>
      <c r="DW692" s="66">
        <f>AVERAGE($CB692,$CC692,$CD692,$CE692,$CF692,$CG692,$CH692,$CI692,$CJ692,$CL692,$CM692,$CN692,$CO692,$CP692,$CQ692,$CR692,$CS692,$CT692)</f>
        <v/>
      </c>
      <c r="DX692" s="66">
        <f>AVERAGE($CB692,$CC692,$CM692,$CE692,$CP692)</f>
        <v/>
      </c>
      <c r="DY692" s="64">
        <f>($DW692-$DW693)*100</f>
        <v/>
      </c>
      <c r="DZ692" s="64">
        <f>($DX692-$DX693)*100</f>
        <v/>
      </c>
      <c r="EA692" s="64">
        <f>($DW692-$D692)*100</f>
        <v/>
      </c>
      <c r="EB692" s="64">
        <f>$Q692-$O692</f>
        <v/>
      </c>
      <c r="EC692" s="67">
        <f>IFERROR($Q692/$P692,"")</f>
        <v/>
      </c>
    </row>
    <row r="693">
      <c r="DG693" s="64">
        <f>($B693-$B694)*100</f>
        <v/>
      </c>
      <c r="DH693" s="64">
        <f>($D693-$D694)*100</f>
        <v/>
      </c>
      <c r="DI693" s="64">
        <f>($E693-$E694)*100</f>
        <v/>
      </c>
      <c r="DJ693" s="64">
        <f>($H693-$H694)*100</f>
        <v/>
      </c>
      <c r="DK693" s="65">
        <f>IFERROR($J693/$J694-1,"")</f>
        <v/>
      </c>
      <c r="DL693" s="64">
        <f>$L693-$L694</f>
        <v/>
      </c>
      <c r="DM693" s="64">
        <f>$K693-$K694</f>
        <v/>
      </c>
      <c r="DN693" s="65">
        <f>IFERROR($N693/$N694-1,"")</f>
        <v/>
      </c>
      <c r="DO693" s="65">
        <f>IFERROR($M693/$M694-1,"")</f>
        <v/>
      </c>
      <c r="DP693" s="65">
        <f>IFERROR($AZ693/$AZ694-1,"")</f>
        <v/>
      </c>
      <c r="DQ693" s="65">
        <f>IFERROR($BA693/$BA694-1,"")</f>
        <v/>
      </c>
      <c r="DR693" s="64">
        <f>$O693-$O694</f>
        <v/>
      </c>
      <c r="DS693" s="64">
        <f>$P693-$P694</f>
        <v/>
      </c>
      <c r="DT693" s="64">
        <f>$Q693-$Q694</f>
        <v/>
      </c>
      <c r="DU693" s="64">
        <f>$S693-$S694</f>
        <v/>
      </c>
      <c r="DV693" s="65">
        <f>IFERROR(AVERAGE($AA694/$AA693-1,$AB694/$AB693-1,$AC694/$AC693-1,$AD694/$AD693-1,$AE694/$AE693-1,$AG694/$AG693-1,$AH694/$AH693-1,$AI694/$AI693-1,$AJ694/$AJ693-1,$AL694/$AL693-1,$AM694/$AM693-1,$AR694/$AR693-1,$AS694/$AS693-1,$AT694/$AT693-1,$AU694/$AU693-1,$AV694/$AV693-1,$AW694/$AW693-1,$AX694/$AX693-1,$AY694/$AY693-1),"")</f>
        <v/>
      </c>
      <c r="DW693" s="66">
        <f>AVERAGE($CB693,$CC693,$CD693,$CE693,$CF693,$CG693,$CH693,$CI693,$CJ693,$CL693,$CM693,$CN693,$CO693,$CP693,$CQ693,$CR693,$CS693,$CT693)</f>
        <v/>
      </c>
      <c r="DX693" s="66">
        <f>AVERAGE($CB693,$CC693,$CM693,$CE693,$CP693)</f>
        <v/>
      </c>
      <c r="DY693" s="64">
        <f>($DW693-$DW694)*100</f>
        <v/>
      </c>
      <c r="DZ693" s="64">
        <f>($DX693-$DX694)*100</f>
        <v/>
      </c>
      <c r="EA693" s="64">
        <f>($DW693-$D693)*100</f>
        <v/>
      </c>
      <c r="EB693" s="64">
        <f>$Q693-$O693</f>
        <v/>
      </c>
      <c r="EC693" s="67">
        <f>IFERROR($Q693/$P693,"")</f>
        <v/>
      </c>
    </row>
    <row r="694">
      <c r="DG694" s="64">
        <f>($B694-$B695)*100</f>
        <v/>
      </c>
      <c r="DH694" s="64">
        <f>($D694-$D695)*100</f>
        <v/>
      </c>
      <c r="DI694" s="64">
        <f>($E694-$E695)*100</f>
        <v/>
      </c>
      <c r="DJ694" s="64">
        <f>($H694-$H695)*100</f>
        <v/>
      </c>
      <c r="DK694" s="65">
        <f>IFERROR($J694/$J695-1,"")</f>
        <v/>
      </c>
      <c r="DL694" s="64">
        <f>$L694-$L695</f>
        <v/>
      </c>
      <c r="DM694" s="64">
        <f>$K694-$K695</f>
        <v/>
      </c>
      <c r="DN694" s="65">
        <f>IFERROR($N694/$N695-1,"")</f>
        <v/>
      </c>
      <c r="DO694" s="65">
        <f>IFERROR($M694/$M695-1,"")</f>
        <v/>
      </c>
      <c r="DP694" s="65">
        <f>IFERROR($AZ694/$AZ695-1,"")</f>
        <v/>
      </c>
      <c r="DQ694" s="65">
        <f>IFERROR($BA694/$BA695-1,"")</f>
        <v/>
      </c>
      <c r="DR694" s="64">
        <f>$O694-$O695</f>
        <v/>
      </c>
      <c r="DS694" s="64">
        <f>$P694-$P695</f>
        <v/>
      </c>
      <c r="DT694" s="64">
        <f>$Q694-$Q695</f>
        <v/>
      </c>
      <c r="DU694" s="64">
        <f>$S694-$S695</f>
        <v/>
      </c>
      <c r="DV694" s="65">
        <f>IFERROR(AVERAGE($AA695/$AA694-1,$AB695/$AB694-1,$AC695/$AC694-1,$AD695/$AD694-1,$AE695/$AE694-1,$AG695/$AG694-1,$AH695/$AH694-1,$AI695/$AI694-1,$AJ695/$AJ694-1,$AL695/$AL694-1,$AM695/$AM694-1,$AR695/$AR694-1,$AS695/$AS694-1,$AT695/$AT694-1,$AU695/$AU694-1,$AV695/$AV694-1,$AW695/$AW694-1,$AX695/$AX694-1,$AY695/$AY694-1),"")</f>
        <v/>
      </c>
      <c r="DW694" s="66">
        <f>AVERAGE($CB694,$CC694,$CD694,$CE694,$CF694,$CG694,$CH694,$CI694,$CJ694,$CL694,$CM694,$CN694,$CO694,$CP694,$CQ694,$CR694,$CS694,$CT694)</f>
        <v/>
      </c>
      <c r="DX694" s="66">
        <f>AVERAGE($CB694,$CC694,$CM694,$CE694,$CP694)</f>
        <v/>
      </c>
      <c r="DY694" s="64">
        <f>($DW694-$DW695)*100</f>
        <v/>
      </c>
      <c r="DZ694" s="64">
        <f>($DX694-$DX695)*100</f>
        <v/>
      </c>
      <c r="EA694" s="64">
        <f>($DW694-$D694)*100</f>
        <v/>
      </c>
      <c r="EB694" s="64">
        <f>$Q694-$O694</f>
        <v/>
      </c>
      <c r="EC694" s="67">
        <f>IFERROR($Q694/$P694,"")</f>
        <v/>
      </c>
    </row>
    <row r="695">
      <c r="DG695" s="64">
        <f>($B695-$B696)*100</f>
        <v/>
      </c>
      <c r="DH695" s="64">
        <f>($D695-$D696)*100</f>
        <v/>
      </c>
      <c r="DI695" s="64">
        <f>($E695-$E696)*100</f>
        <v/>
      </c>
      <c r="DJ695" s="64">
        <f>($H695-$H696)*100</f>
        <v/>
      </c>
      <c r="DK695" s="65">
        <f>IFERROR($J695/$J696-1,"")</f>
        <v/>
      </c>
      <c r="DL695" s="64">
        <f>$L695-$L696</f>
        <v/>
      </c>
      <c r="DM695" s="64">
        <f>$K695-$K696</f>
        <v/>
      </c>
      <c r="DN695" s="65">
        <f>IFERROR($N695/$N696-1,"")</f>
        <v/>
      </c>
      <c r="DO695" s="65">
        <f>IFERROR($M695/$M696-1,"")</f>
        <v/>
      </c>
      <c r="DP695" s="65">
        <f>IFERROR($AZ695/$AZ696-1,"")</f>
        <v/>
      </c>
      <c r="DQ695" s="65">
        <f>IFERROR($BA695/$BA696-1,"")</f>
        <v/>
      </c>
      <c r="DR695" s="64">
        <f>$O695-$O696</f>
        <v/>
      </c>
      <c r="DS695" s="64">
        <f>$P695-$P696</f>
        <v/>
      </c>
      <c r="DT695" s="64">
        <f>$Q695-$Q696</f>
        <v/>
      </c>
      <c r="DU695" s="64">
        <f>$S695-$S696</f>
        <v/>
      </c>
      <c r="DV695" s="65">
        <f>IFERROR(AVERAGE($AA696/$AA695-1,$AB696/$AB695-1,$AC696/$AC695-1,$AD696/$AD695-1,$AE696/$AE695-1,$AG696/$AG695-1,$AH696/$AH695-1,$AI696/$AI695-1,$AJ696/$AJ695-1,$AL696/$AL695-1,$AM696/$AM695-1,$AR696/$AR695-1,$AS696/$AS695-1,$AT696/$AT695-1,$AU696/$AU695-1,$AV696/$AV695-1,$AW696/$AW695-1,$AX696/$AX695-1,$AY696/$AY695-1),"")</f>
        <v/>
      </c>
      <c r="DW695" s="66">
        <f>AVERAGE($CB695,$CC695,$CD695,$CE695,$CF695,$CG695,$CH695,$CI695,$CJ695,$CL695,$CM695,$CN695,$CO695,$CP695,$CQ695,$CR695,$CS695,$CT695)</f>
        <v/>
      </c>
      <c r="DX695" s="66">
        <f>AVERAGE($CB695,$CC695,$CM695,$CE695,$CP695)</f>
        <v/>
      </c>
      <c r="DY695" s="64">
        <f>($DW695-$DW696)*100</f>
        <v/>
      </c>
      <c r="DZ695" s="64">
        <f>($DX695-$DX696)*100</f>
        <v/>
      </c>
      <c r="EA695" s="64">
        <f>($DW695-$D695)*100</f>
        <v/>
      </c>
      <c r="EB695" s="64">
        <f>$Q695-$O695</f>
        <v/>
      </c>
      <c r="EC695" s="67">
        <f>IFERROR($Q695/$P695,"")</f>
        <v/>
      </c>
    </row>
    <row r="696">
      <c r="DG696" s="64">
        <f>($B696-$B697)*100</f>
        <v/>
      </c>
      <c r="DH696" s="64">
        <f>($D696-$D697)*100</f>
        <v/>
      </c>
      <c r="DI696" s="64">
        <f>($E696-$E697)*100</f>
        <v/>
      </c>
      <c r="DJ696" s="64">
        <f>($H696-$H697)*100</f>
        <v/>
      </c>
      <c r="DK696" s="65">
        <f>IFERROR($J696/$J697-1,"")</f>
        <v/>
      </c>
      <c r="DL696" s="64">
        <f>$L696-$L697</f>
        <v/>
      </c>
      <c r="DM696" s="64">
        <f>$K696-$K697</f>
        <v/>
      </c>
      <c r="DN696" s="65">
        <f>IFERROR($N696/$N697-1,"")</f>
        <v/>
      </c>
      <c r="DO696" s="65">
        <f>IFERROR($M696/$M697-1,"")</f>
        <v/>
      </c>
      <c r="DP696" s="65">
        <f>IFERROR($AZ696/$AZ697-1,"")</f>
        <v/>
      </c>
      <c r="DQ696" s="65">
        <f>IFERROR($BA696/$BA697-1,"")</f>
        <v/>
      </c>
      <c r="DR696" s="64">
        <f>$O696-$O697</f>
        <v/>
      </c>
      <c r="DS696" s="64">
        <f>$P696-$P697</f>
        <v/>
      </c>
      <c r="DT696" s="64">
        <f>$Q696-$Q697</f>
        <v/>
      </c>
      <c r="DU696" s="64">
        <f>$S696-$S697</f>
        <v/>
      </c>
      <c r="DV696" s="65">
        <f>IFERROR(AVERAGE($AA697/$AA696-1,$AB697/$AB696-1,$AC697/$AC696-1,$AD697/$AD696-1,$AE697/$AE696-1,$AG697/$AG696-1,$AH697/$AH696-1,$AI697/$AI696-1,$AJ697/$AJ696-1,$AL697/$AL696-1,$AM697/$AM696-1,$AR697/$AR696-1,$AS697/$AS696-1,$AT697/$AT696-1,$AU697/$AU696-1,$AV697/$AV696-1,$AW697/$AW696-1,$AX697/$AX696-1,$AY697/$AY696-1),"")</f>
        <v/>
      </c>
      <c r="DW696" s="66">
        <f>AVERAGE($CB696,$CC696,$CD696,$CE696,$CF696,$CG696,$CH696,$CI696,$CJ696,$CL696,$CM696,$CN696,$CO696,$CP696,$CQ696,$CR696,$CS696,$CT696)</f>
        <v/>
      </c>
      <c r="DX696" s="66">
        <f>AVERAGE($CB696,$CC696,$CM696,$CE696,$CP696)</f>
        <v/>
      </c>
      <c r="DY696" s="64">
        <f>($DW696-$DW697)*100</f>
        <v/>
      </c>
      <c r="DZ696" s="64">
        <f>($DX696-$DX697)*100</f>
        <v/>
      </c>
      <c r="EA696" s="64">
        <f>($DW696-$D696)*100</f>
        <v/>
      </c>
      <c r="EB696" s="64">
        <f>$Q696-$O696</f>
        <v/>
      </c>
      <c r="EC696" s="67">
        <f>IFERROR($Q696/$P696,"")</f>
        <v/>
      </c>
    </row>
    <row r="697">
      <c r="DG697" s="64">
        <f>($B697-$B698)*100</f>
        <v/>
      </c>
      <c r="DH697" s="64">
        <f>($D697-$D698)*100</f>
        <v/>
      </c>
      <c r="DI697" s="64">
        <f>($E697-$E698)*100</f>
        <v/>
      </c>
      <c r="DJ697" s="64">
        <f>($H697-$H698)*100</f>
        <v/>
      </c>
      <c r="DK697" s="65">
        <f>IFERROR($J697/$J698-1,"")</f>
        <v/>
      </c>
      <c r="DL697" s="64">
        <f>$L697-$L698</f>
        <v/>
      </c>
      <c r="DM697" s="64">
        <f>$K697-$K698</f>
        <v/>
      </c>
      <c r="DN697" s="65">
        <f>IFERROR($N697/$N698-1,"")</f>
        <v/>
      </c>
      <c r="DO697" s="65">
        <f>IFERROR($M697/$M698-1,"")</f>
        <v/>
      </c>
      <c r="DP697" s="65">
        <f>IFERROR($AZ697/$AZ698-1,"")</f>
        <v/>
      </c>
      <c r="DQ697" s="65">
        <f>IFERROR($BA697/$BA698-1,"")</f>
        <v/>
      </c>
      <c r="DR697" s="64">
        <f>$O697-$O698</f>
        <v/>
      </c>
      <c r="DS697" s="64">
        <f>$P697-$P698</f>
        <v/>
      </c>
      <c r="DT697" s="64">
        <f>$Q697-$Q698</f>
        <v/>
      </c>
      <c r="DU697" s="64">
        <f>$S697-$S698</f>
        <v/>
      </c>
      <c r="DV697" s="65">
        <f>IFERROR(AVERAGE($AA698/$AA697-1,$AB698/$AB697-1,$AC698/$AC697-1,$AD698/$AD697-1,$AE698/$AE697-1,$AG698/$AG697-1,$AH698/$AH697-1,$AI698/$AI697-1,$AJ698/$AJ697-1,$AL698/$AL697-1,$AM698/$AM697-1,$AR698/$AR697-1,$AS698/$AS697-1,$AT698/$AT697-1,$AU698/$AU697-1,$AV698/$AV697-1,$AW698/$AW697-1,$AX698/$AX697-1,$AY698/$AY697-1),"")</f>
        <v/>
      </c>
      <c r="DW697" s="66">
        <f>AVERAGE($CB697,$CC697,$CD697,$CE697,$CF697,$CG697,$CH697,$CI697,$CJ697,$CL697,$CM697,$CN697,$CO697,$CP697,$CQ697,$CR697,$CS697,$CT697)</f>
        <v/>
      </c>
      <c r="DX697" s="66">
        <f>AVERAGE($CB697,$CC697,$CM697,$CE697,$CP697)</f>
        <v/>
      </c>
      <c r="DY697" s="64">
        <f>($DW697-$DW698)*100</f>
        <v/>
      </c>
      <c r="DZ697" s="64">
        <f>($DX697-$DX698)*100</f>
        <v/>
      </c>
      <c r="EA697" s="64">
        <f>($DW697-$D697)*100</f>
        <v/>
      </c>
      <c r="EB697" s="64">
        <f>$Q697-$O697</f>
        <v/>
      </c>
      <c r="EC697" s="67">
        <f>IFERROR($Q697/$P697,"")</f>
        <v/>
      </c>
    </row>
    <row r="698">
      <c r="DG698" s="64">
        <f>($B698-$B699)*100</f>
        <v/>
      </c>
      <c r="DH698" s="64">
        <f>($D698-$D699)*100</f>
        <v/>
      </c>
      <c r="DI698" s="64">
        <f>($E698-$E699)*100</f>
        <v/>
      </c>
      <c r="DJ698" s="64">
        <f>($H698-$H699)*100</f>
        <v/>
      </c>
      <c r="DK698" s="65">
        <f>IFERROR($J698/$J699-1,"")</f>
        <v/>
      </c>
      <c r="DL698" s="64">
        <f>$L698-$L699</f>
        <v/>
      </c>
      <c r="DM698" s="64">
        <f>$K698-$K699</f>
        <v/>
      </c>
      <c r="DN698" s="65">
        <f>IFERROR($N698/$N699-1,"")</f>
        <v/>
      </c>
      <c r="DO698" s="65">
        <f>IFERROR($M698/$M699-1,"")</f>
        <v/>
      </c>
      <c r="DP698" s="65">
        <f>IFERROR($AZ698/$AZ699-1,"")</f>
        <v/>
      </c>
      <c r="DQ698" s="65">
        <f>IFERROR($BA698/$BA699-1,"")</f>
        <v/>
      </c>
      <c r="DR698" s="64">
        <f>$O698-$O699</f>
        <v/>
      </c>
      <c r="DS698" s="64">
        <f>$P698-$P699</f>
        <v/>
      </c>
      <c r="DT698" s="64">
        <f>$Q698-$Q699</f>
        <v/>
      </c>
      <c r="DU698" s="64">
        <f>$S698-$S699</f>
        <v/>
      </c>
      <c r="DV698" s="65">
        <f>IFERROR(AVERAGE($AA699/$AA698-1,$AB699/$AB698-1,$AC699/$AC698-1,$AD699/$AD698-1,$AE699/$AE698-1,$AG699/$AG698-1,$AH699/$AH698-1,$AI699/$AI698-1,$AJ699/$AJ698-1,$AL699/$AL698-1,$AM699/$AM698-1,$AR699/$AR698-1,$AS699/$AS698-1,$AT699/$AT698-1,$AU699/$AU698-1,$AV699/$AV698-1,$AW699/$AW698-1,$AX699/$AX698-1,$AY699/$AY698-1),"")</f>
        <v/>
      </c>
      <c r="DW698" s="66">
        <f>AVERAGE($CB698,$CC698,$CD698,$CE698,$CF698,$CG698,$CH698,$CI698,$CJ698,$CL698,$CM698,$CN698,$CO698,$CP698,$CQ698,$CR698,$CS698,$CT698)</f>
        <v/>
      </c>
      <c r="DX698" s="66">
        <f>AVERAGE($CB698,$CC698,$CM698,$CE698,$CP698)</f>
        <v/>
      </c>
      <c r="DY698" s="64">
        <f>($DW698-$DW699)*100</f>
        <v/>
      </c>
      <c r="DZ698" s="64">
        <f>($DX698-$DX699)*100</f>
        <v/>
      </c>
      <c r="EA698" s="64">
        <f>($DW698-$D698)*100</f>
        <v/>
      </c>
      <c r="EB698" s="64">
        <f>$Q698-$O698</f>
        <v/>
      </c>
      <c r="EC698" s="67">
        <f>IFERROR($Q698/$P698,"")</f>
        <v/>
      </c>
    </row>
    <row r="699">
      <c r="DG699" s="64">
        <f>($B699-$B700)*100</f>
        <v/>
      </c>
      <c r="DH699" s="64">
        <f>($D699-$D700)*100</f>
        <v/>
      </c>
      <c r="DI699" s="64">
        <f>($E699-$E700)*100</f>
        <v/>
      </c>
      <c r="DJ699" s="64">
        <f>($H699-$H700)*100</f>
        <v/>
      </c>
      <c r="DK699" s="65">
        <f>IFERROR($J699/$J700-1,"")</f>
        <v/>
      </c>
      <c r="DL699" s="64">
        <f>$L699-$L700</f>
        <v/>
      </c>
      <c r="DM699" s="64">
        <f>$K699-$K700</f>
        <v/>
      </c>
      <c r="DN699" s="65">
        <f>IFERROR($N699/$N700-1,"")</f>
        <v/>
      </c>
      <c r="DO699" s="65">
        <f>IFERROR($M699/$M700-1,"")</f>
        <v/>
      </c>
      <c r="DP699" s="65">
        <f>IFERROR($AZ699/$AZ700-1,"")</f>
        <v/>
      </c>
      <c r="DQ699" s="65">
        <f>IFERROR($BA699/$BA700-1,"")</f>
        <v/>
      </c>
      <c r="DR699" s="64">
        <f>$O699-$O700</f>
        <v/>
      </c>
      <c r="DS699" s="64">
        <f>$P699-$P700</f>
        <v/>
      </c>
      <c r="DT699" s="64">
        <f>$Q699-$Q700</f>
        <v/>
      </c>
      <c r="DU699" s="64">
        <f>$S699-$S700</f>
        <v/>
      </c>
      <c r="DV699" s="65">
        <f>IFERROR(AVERAGE($AA700/$AA699-1,$AB700/$AB699-1,$AC700/$AC699-1,$AD700/$AD699-1,$AE700/$AE699-1,$AG700/$AG699-1,$AH700/$AH699-1,$AI700/$AI699-1,$AJ700/$AJ699-1,$AL700/$AL699-1,$AM700/$AM699-1,$AR700/$AR699-1,$AS700/$AS699-1,$AT700/$AT699-1,$AU700/$AU699-1,$AV700/$AV699-1,$AW700/$AW699-1,$AX700/$AX699-1,$AY700/$AY699-1),"")</f>
        <v/>
      </c>
      <c r="DW699" s="66">
        <f>AVERAGE($CB699,$CC699,$CD699,$CE699,$CF699,$CG699,$CH699,$CI699,$CJ699,$CL699,$CM699,$CN699,$CO699,$CP699,$CQ699,$CR699,$CS699,$CT699)</f>
        <v/>
      </c>
      <c r="DX699" s="66">
        <f>AVERAGE($CB699,$CC699,$CM699,$CE699,$CP699)</f>
        <v/>
      </c>
      <c r="DY699" s="64">
        <f>($DW699-$DW700)*100</f>
        <v/>
      </c>
      <c r="DZ699" s="64">
        <f>($DX699-$DX700)*100</f>
        <v/>
      </c>
      <c r="EA699" s="64">
        <f>($DW699-$D699)*100</f>
        <v/>
      </c>
      <c r="EB699" s="64">
        <f>$Q699-$O699</f>
        <v/>
      </c>
      <c r="EC699" s="67">
        <f>IFERROR($Q699/$P699,"")</f>
        <v/>
      </c>
    </row>
    <row r="700">
      <c r="DG700" s="64">
        <f>($B700-$B701)*100</f>
        <v/>
      </c>
      <c r="DH700" s="64">
        <f>($D700-$D701)*100</f>
        <v/>
      </c>
      <c r="DI700" s="64">
        <f>($E700-$E701)*100</f>
        <v/>
      </c>
      <c r="DJ700" s="64">
        <f>($H700-$H701)*100</f>
        <v/>
      </c>
      <c r="DK700" s="65">
        <f>IFERROR($J700/$J701-1,"")</f>
        <v/>
      </c>
      <c r="DL700" s="64">
        <f>$L700-$L701</f>
        <v/>
      </c>
      <c r="DM700" s="64">
        <f>$K700-$K701</f>
        <v/>
      </c>
      <c r="DN700" s="65">
        <f>IFERROR($N700/$N701-1,"")</f>
        <v/>
      </c>
      <c r="DO700" s="65">
        <f>IFERROR($M700/$M701-1,"")</f>
        <v/>
      </c>
      <c r="DP700" s="65">
        <f>IFERROR($AZ700/$AZ701-1,"")</f>
        <v/>
      </c>
      <c r="DQ700" s="65">
        <f>IFERROR($BA700/$BA701-1,"")</f>
        <v/>
      </c>
      <c r="DR700" s="64">
        <f>$O700-$O701</f>
        <v/>
      </c>
      <c r="DS700" s="64">
        <f>$P700-$P701</f>
        <v/>
      </c>
      <c r="DT700" s="64">
        <f>$Q700-$Q701</f>
        <v/>
      </c>
      <c r="DU700" s="64">
        <f>$S700-$S701</f>
        <v/>
      </c>
      <c r="DV700" s="65">
        <f>IFERROR(AVERAGE($AA701/$AA700-1,$AB701/$AB700-1,$AC701/$AC700-1,$AD701/$AD700-1,$AE701/$AE700-1,$AG701/$AG700-1,$AH701/$AH700-1,$AI701/$AI700-1,$AJ701/$AJ700-1,$AL701/$AL700-1,$AM701/$AM700-1,$AR701/$AR700-1,$AS701/$AS700-1,$AT701/$AT700-1,$AU701/$AU700-1,$AV701/$AV700-1,$AW701/$AW700-1,$AX701/$AX700-1,$AY701/$AY700-1),"")</f>
        <v/>
      </c>
      <c r="DW700" s="66">
        <f>AVERAGE($CB700,$CC700,$CD700,$CE700,$CF700,$CG700,$CH700,$CI700,$CJ700,$CL700,$CM700,$CN700,$CO700,$CP700,$CQ700,$CR700,$CS700,$CT700)</f>
        <v/>
      </c>
      <c r="DX700" s="66">
        <f>AVERAGE($CB700,$CC700,$CM700,$CE700,$CP700)</f>
        <v/>
      </c>
      <c r="DY700" s="64">
        <f>($DW700-$DW701)*100</f>
        <v/>
      </c>
      <c r="DZ700" s="64">
        <f>($DX700-$DX701)*100</f>
        <v/>
      </c>
      <c r="EA700" s="64">
        <f>($DW700-$D700)*100</f>
        <v/>
      </c>
      <c r="EB700" s="64">
        <f>$Q700-$O700</f>
        <v/>
      </c>
      <c r="EC700" s="67">
        <f>IFERROR($Q700/$P700,"")</f>
        <v/>
      </c>
    </row>
    <row r="701">
      <c r="DG701" s="64">
        <f>($B701-$B702)*100</f>
        <v/>
      </c>
      <c r="DH701" s="64">
        <f>($D701-$D702)*100</f>
        <v/>
      </c>
      <c r="DI701" s="64">
        <f>($E701-$E702)*100</f>
        <v/>
      </c>
      <c r="DJ701" s="64">
        <f>($H701-$H702)*100</f>
        <v/>
      </c>
      <c r="DK701" s="65">
        <f>IFERROR($J701/$J702-1,"")</f>
        <v/>
      </c>
      <c r="DL701" s="64">
        <f>$L701-$L702</f>
        <v/>
      </c>
      <c r="DM701" s="64">
        <f>$K701-$K702</f>
        <v/>
      </c>
      <c r="DN701" s="65">
        <f>IFERROR($N701/$N702-1,"")</f>
        <v/>
      </c>
      <c r="DO701" s="65">
        <f>IFERROR($M701/$M702-1,"")</f>
        <v/>
      </c>
      <c r="DP701" s="65">
        <f>IFERROR($AZ701/$AZ702-1,"")</f>
        <v/>
      </c>
      <c r="DQ701" s="65">
        <f>IFERROR($BA701/$BA702-1,"")</f>
        <v/>
      </c>
      <c r="DR701" s="64">
        <f>$O701-$O702</f>
        <v/>
      </c>
      <c r="DS701" s="64">
        <f>$P701-$P702</f>
        <v/>
      </c>
      <c r="DT701" s="64">
        <f>$Q701-$Q702</f>
        <v/>
      </c>
      <c r="DU701" s="64">
        <f>$S701-$S702</f>
        <v/>
      </c>
      <c r="DV701" s="65">
        <f>IFERROR(AVERAGE($AA702/$AA701-1,$AB702/$AB701-1,$AC702/$AC701-1,$AD702/$AD701-1,$AE702/$AE701-1,$AG702/$AG701-1,$AH702/$AH701-1,$AI702/$AI701-1,$AJ702/$AJ701-1,$AL702/$AL701-1,$AM702/$AM701-1,$AR702/$AR701-1,$AS702/$AS701-1,$AT702/$AT701-1,$AU702/$AU701-1,$AV702/$AV701-1,$AW702/$AW701-1,$AX702/$AX701-1,$AY702/$AY701-1),"")</f>
        <v/>
      </c>
      <c r="DW701" s="66">
        <f>AVERAGE($CB701,$CC701,$CD701,$CE701,$CF701,$CG701,$CH701,$CI701,$CJ701,$CL701,$CM701,$CN701,$CO701,$CP701,$CQ701,$CR701,$CS701,$CT701)</f>
        <v/>
      </c>
      <c r="DX701" s="66">
        <f>AVERAGE($CB701,$CC701,$CM701,$CE701,$CP701)</f>
        <v/>
      </c>
      <c r="DY701" s="64">
        <f>($DW701-$DW702)*100</f>
        <v/>
      </c>
      <c r="DZ701" s="64">
        <f>($DX701-$DX702)*100</f>
        <v/>
      </c>
      <c r="EA701" s="64">
        <f>($DW701-$D701)*100</f>
        <v/>
      </c>
      <c r="EB701" s="64">
        <f>$Q701-$O701</f>
        <v/>
      </c>
      <c r="EC701" s="67">
        <f>IFERROR($Q701/$P701,"")</f>
        <v/>
      </c>
    </row>
    <row r="702">
      <c r="DG702" s="64">
        <f>($B702-$B703)*100</f>
        <v/>
      </c>
      <c r="DH702" s="64">
        <f>($D702-$D703)*100</f>
        <v/>
      </c>
      <c r="DI702" s="64">
        <f>($E702-$E703)*100</f>
        <v/>
      </c>
      <c r="DJ702" s="64">
        <f>($H702-$H703)*100</f>
        <v/>
      </c>
      <c r="DK702" s="65">
        <f>IFERROR($J702/$J703-1,"")</f>
        <v/>
      </c>
      <c r="DL702" s="64">
        <f>$L702-$L703</f>
        <v/>
      </c>
      <c r="DM702" s="64">
        <f>$K702-$K703</f>
        <v/>
      </c>
      <c r="DN702" s="65">
        <f>IFERROR($N702/$N703-1,"")</f>
        <v/>
      </c>
      <c r="DO702" s="65">
        <f>IFERROR($M702/$M703-1,"")</f>
        <v/>
      </c>
      <c r="DP702" s="65">
        <f>IFERROR($AZ702/$AZ703-1,"")</f>
        <v/>
      </c>
      <c r="DQ702" s="65">
        <f>IFERROR($BA702/$BA703-1,"")</f>
        <v/>
      </c>
      <c r="DR702" s="64">
        <f>$O702-$O703</f>
        <v/>
      </c>
      <c r="DS702" s="64">
        <f>$P702-$P703</f>
        <v/>
      </c>
      <c r="DT702" s="64">
        <f>$Q702-$Q703</f>
        <v/>
      </c>
      <c r="DU702" s="64">
        <f>$S702-$S703</f>
        <v/>
      </c>
      <c r="DV702" s="65">
        <f>IFERROR(AVERAGE($AA703/$AA702-1,$AB703/$AB702-1,$AC703/$AC702-1,$AD703/$AD702-1,$AE703/$AE702-1,$AG703/$AG702-1,$AH703/$AH702-1,$AI703/$AI702-1,$AJ703/$AJ702-1,$AL703/$AL702-1,$AM703/$AM702-1,$AR703/$AR702-1,$AS703/$AS702-1,$AT703/$AT702-1,$AU703/$AU702-1,$AV703/$AV702-1,$AW703/$AW702-1,$AX703/$AX702-1,$AY703/$AY702-1),"")</f>
        <v/>
      </c>
      <c r="DW702" s="66">
        <f>AVERAGE($CB702,$CC702,$CD702,$CE702,$CF702,$CG702,$CH702,$CI702,$CJ702,$CL702,$CM702,$CN702,$CO702,$CP702,$CQ702,$CR702,$CS702,$CT702)</f>
        <v/>
      </c>
      <c r="DX702" s="66">
        <f>AVERAGE($CB702,$CC702,$CM702,$CE702,$CP702)</f>
        <v/>
      </c>
      <c r="DY702" s="64">
        <f>($DW702-$DW703)*100</f>
        <v/>
      </c>
      <c r="DZ702" s="64">
        <f>($DX702-$DX703)*100</f>
        <v/>
      </c>
      <c r="EA702" s="64">
        <f>($DW702-$D702)*100</f>
        <v/>
      </c>
      <c r="EB702" s="64">
        <f>$Q702-$O702</f>
        <v/>
      </c>
      <c r="EC702" s="67">
        <f>IFERROR($Q702/$P702,"")</f>
        <v/>
      </c>
    </row>
    <row r="703">
      <c r="DG703" s="64">
        <f>($B703-$B704)*100</f>
        <v/>
      </c>
      <c r="DH703" s="64">
        <f>($D703-$D704)*100</f>
        <v/>
      </c>
      <c r="DI703" s="64">
        <f>($E703-$E704)*100</f>
        <v/>
      </c>
      <c r="DJ703" s="64">
        <f>($H703-$H704)*100</f>
        <v/>
      </c>
      <c r="DK703" s="65">
        <f>IFERROR($J703/$J704-1,"")</f>
        <v/>
      </c>
      <c r="DL703" s="64">
        <f>$L703-$L704</f>
        <v/>
      </c>
      <c r="DM703" s="64">
        <f>$K703-$K704</f>
        <v/>
      </c>
      <c r="DN703" s="65">
        <f>IFERROR($N703/$N704-1,"")</f>
        <v/>
      </c>
      <c r="DO703" s="65">
        <f>IFERROR($M703/$M704-1,"")</f>
        <v/>
      </c>
      <c r="DP703" s="65">
        <f>IFERROR($AZ703/$AZ704-1,"")</f>
        <v/>
      </c>
      <c r="DQ703" s="65">
        <f>IFERROR($BA703/$BA704-1,"")</f>
        <v/>
      </c>
      <c r="DR703" s="64">
        <f>$O703-$O704</f>
        <v/>
      </c>
      <c r="DS703" s="64">
        <f>$P703-$P704</f>
        <v/>
      </c>
      <c r="DT703" s="64">
        <f>$Q703-$Q704</f>
        <v/>
      </c>
      <c r="DU703" s="64">
        <f>$S703-$S704</f>
        <v/>
      </c>
      <c r="DV703" s="65">
        <f>IFERROR(AVERAGE($AA704/$AA703-1,$AB704/$AB703-1,$AC704/$AC703-1,$AD704/$AD703-1,$AE704/$AE703-1,$AG704/$AG703-1,$AH704/$AH703-1,$AI704/$AI703-1,$AJ704/$AJ703-1,$AL704/$AL703-1,$AM704/$AM703-1,$AR704/$AR703-1,$AS704/$AS703-1,$AT704/$AT703-1,$AU704/$AU703-1,$AV704/$AV703-1,$AW704/$AW703-1,$AX704/$AX703-1,$AY704/$AY703-1),"")</f>
        <v/>
      </c>
      <c r="DW703" s="66">
        <f>AVERAGE($CB703,$CC703,$CD703,$CE703,$CF703,$CG703,$CH703,$CI703,$CJ703,$CL703,$CM703,$CN703,$CO703,$CP703,$CQ703,$CR703,$CS703,$CT703)</f>
        <v/>
      </c>
      <c r="DX703" s="66">
        <f>AVERAGE($CB703,$CC703,$CM703,$CE703,$CP703)</f>
        <v/>
      </c>
      <c r="DY703" s="64">
        <f>($DW703-$DW704)*100</f>
        <v/>
      </c>
      <c r="DZ703" s="64">
        <f>($DX703-$DX704)*100</f>
        <v/>
      </c>
      <c r="EA703" s="64">
        <f>($DW703-$D703)*100</f>
        <v/>
      </c>
      <c r="EB703" s="64">
        <f>$Q703-$O703</f>
        <v/>
      </c>
      <c r="EC703" s="67">
        <f>IFERROR($Q703/$P703,"")</f>
        <v/>
      </c>
    </row>
    <row r="704">
      <c r="DG704" s="64">
        <f>($B704-$B705)*100</f>
        <v/>
      </c>
      <c r="DH704" s="64">
        <f>($D704-$D705)*100</f>
        <v/>
      </c>
      <c r="DI704" s="64">
        <f>($E704-$E705)*100</f>
        <v/>
      </c>
      <c r="DJ704" s="64">
        <f>($H704-$H705)*100</f>
        <v/>
      </c>
      <c r="DK704" s="65">
        <f>IFERROR($J704/$J705-1,"")</f>
        <v/>
      </c>
      <c r="DL704" s="64">
        <f>$L704-$L705</f>
        <v/>
      </c>
      <c r="DM704" s="64">
        <f>$K704-$K705</f>
        <v/>
      </c>
      <c r="DN704" s="65">
        <f>IFERROR($N704/$N705-1,"")</f>
        <v/>
      </c>
      <c r="DO704" s="65">
        <f>IFERROR($M704/$M705-1,"")</f>
        <v/>
      </c>
      <c r="DP704" s="65">
        <f>IFERROR($AZ704/$AZ705-1,"")</f>
        <v/>
      </c>
      <c r="DQ704" s="65">
        <f>IFERROR($BA704/$BA705-1,"")</f>
        <v/>
      </c>
      <c r="DR704" s="64">
        <f>$O704-$O705</f>
        <v/>
      </c>
      <c r="DS704" s="64">
        <f>$P704-$P705</f>
        <v/>
      </c>
      <c r="DT704" s="64">
        <f>$Q704-$Q705</f>
        <v/>
      </c>
      <c r="DU704" s="64">
        <f>$S704-$S705</f>
        <v/>
      </c>
      <c r="DV704" s="65">
        <f>IFERROR(AVERAGE($AA705/$AA704-1,$AB705/$AB704-1,$AC705/$AC704-1,$AD705/$AD704-1,$AE705/$AE704-1,$AG705/$AG704-1,$AH705/$AH704-1,$AI705/$AI704-1,$AJ705/$AJ704-1,$AL705/$AL704-1,$AM705/$AM704-1,$AR705/$AR704-1,$AS705/$AS704-1,$AT705/$AT704-1,$AU705/$AU704-1,$AV705/$AV704-1,$AW705/$AW704-1,$AX705/$AX704-1,$AY705/$AY704-1),"")</f>
        <v/>
      </c>
      <c r="DW704" s="66">
        <f>AVERAGE($CB704,$CC704,$CD704,$CE704,$CF704,$CG704,$CH704,$CI704,$CJ704,$CL704,$CM704,$CN704,$CO704,$CP704,$CQ704,$CR704,$CS704,$CT704)</f>
        <v/>
      </c>
      <c r="DX704" s="66">
        <f>AVERAGE($CB704,$CC704,$CM704,$CE704,$CP704)</f>
        <v/>
      </c>
      <c r="DY704" s="64">
        <f>($DW704-$DW705)*100</f>
        <v/>
      </c>
      <c r="DZ704" s="64">
        <f>($DX704-$DX705)*100</f>
        <v/>
      </c>
      <c r="EA704" s="64">
        <f>($DW704-$D704)*100</f>
        <v/>
      </c>
      <c r="EB704" s="64">
        <f>$Q704-$O704</f>
        <v/>
      </c>
      <c r="EC704" s="67">
        <f>IFERROR($Q704/$P704,"")</f>
        <v/>
      </c>
    </row>
    <row r="705">
      <c r="DG705" s="64">
        <f>($B705-$B706)*100</f>
        <v/>
      </c>
      <c r="DH705" s="64">
        <f>($D705-$D706)*100</f>
        <v/>
      </c>
      <c r="DI705" s="64">
        <f>($E705-$E706)*100</f>
        <v/>
      </c>
      <c r="DJ705" s="64">
        <f>($H705-$H706)*100</f>
        <v/>
      </c>
      <c r="DK705" s="65">
        <f>IFERROR($J705/$J706-1,"")</f>
        <v/>
      </c>
      <c r="DL705" s="64">
        <f>$L705-$L706</f>
        <v/>
      </c>
      <c r="DM705" s="64">
        <f>$K705-$K706</f>
        <v/>
      </c>
      <c r="DN705" s="65">
        <f>IFERROR($N705/$N706-1,"")</f>
        <v/>
      </c>
      <c r="DO705" s="65">
        <f>IFERROR($M705/$M706-1,"")</f>
        <v/>
      </c>
      <c r="DP705" s="65">
        <f>IFERROR($AZ705/$AZ706-1,"")</f>
        <v/>
      </c>
      <c r="DQ705" s="65">
        <f>IFERROR($BA705/$BA706-1,"")</f>
        <v/>
      </c>
      <c r="DR705" s="64">
        <f>$O705-$O706</f>
        <v/>
      </c>
      <c r="DS705" s="64">
        <f>$P705-$P706</f>
        <v/>
      </c>
      <c r="DT705" s="64">
        <f>$Q705-$Q706</f>
        <v/>
      </c>
      <c r="DU705" s="64">
        <f>$S705-$S706</f>
        <v/>
      </c>
      <c r="DV705" s="65">
        <f>IFERROR(AVERAGE($AA706/$AA705-1,$AB706/$AB705-1,$AC706/$AC705-1,$AD706/$AD705-1,$AE706/$AE705-1,$AG706/$AG705-1,$AH706/$AH705-1,$AI706/$AI705-1,$AJ706/$AJ705-1,$AL706/$AL705-1,$AM706/$AM705-1,$AR706/$AR705-1,$AS706/$AS705-1,$AT706/$AT705-1,$AU706/$AU705-1,$AV706/$AV705-1,$AW706/$AW705-1,$AX706/$AX705-1,$AY706/$AY705-1),"")</f>
        <v/>
      </c>
      <c r="DW705" s="66">
        <f>AVERAGE($CB705,$CC705,$CD705,$CE705,$CF705,$CG705,$CH705,$CI705,$CJ705,$CL705,$CM705,$CN705,$CO705,$CP705,$CQ705,$CR705,$CS705,$CT705)</f>
        <v/>
      </c>
      <c r="DX705" s="66">
        <f>AVERAGE($CB705,$CC705,$CM705,$CE705,$CP705)</f>
        <v/>
      </c>
      <c r="DY705" s="64">
        <f>($DW705-$DW706)*100</f>
        <v/>
      </c>
      <c r="DZ705" s="64">
        <f>($DX705-$DX706)*100</f>
        <v/>
      </c>
      <c r="EA705" s="64">
        <f>($DW705-$D705)*100</f>
        <v/>
      </c>
      <c r="EB705" s="64">
        <f>$Q705-$O705</f>
        <v/>
      </c>
      <c r="EC705" s="67">
        <f>IFERROR($Q705/$P705,"")</f>
        <v/>
      </c>
    </row>
    <row r="706">
      <c r="DG706" s="64">
        <f>($B706-$B707)*100</f>
        <v/>
      </c>
      <c r="DH706" s="64">
        <f>($D706-$D707)*100</f>
        <v/>
      </c>
      <c r="DI706" s="64">
        <f>($E706-$E707)*100</f>
        <v/>
      </c>
      <c r="DJ706" s="64">
        <f>($H706-$H707)*100</f>
        <v/>
      </c>
      <c r="DK706" s="65">
        <f>IFERROR($J706/$J707-1,"")</f>
        <v/>
      </c>
      <c r="DL706" s="64">
        <f>$L706-$L707</f>
        <v/>
      </c>
      <c r="DM706" s="64">
        <f>$K706-$K707</f>
        <v/>
      </c>
      <c r="DN706" s="65">
        <f>IFERROR($N706/$N707-1,"")</f>
        <v/>
      </c>
      <c r="DO706" s="65">
        <f>IFERROR($M706/$M707-1,"")</f>
        <v/>
      </c>
      <c r="DP706" s="65">
        <f>IFERROR($AZ706/$AZ707-1,"")</f>
        <v/>
      </c>
      <c r="DQ706" s="65">
        <f>IFERROR($BA706/$BA707-1,"")</f>
        <v/>
      </c>
      <c r="DR706" s="64">
        <f>$O706-$O707</f>
        <v/>
      </c>
      <c r="DS706" s="64">
        <f>$P706-$P707</f>
        <v/>
      </c>
      <c r="DT706" s="64">
        <f>$Q706-$Q707</f>
        <v/>
      </c>
      <c r="DU706" s="64">
        <f>$S706-$S707</f>
        <v/>
      </c>
      <c r="DV706" s="65">
        <f>IFERROR(AVERAGE($AA707/$AA706-1,$AB707/$AB706-1,$AC707/$AC706-1,$AD707/$AD706-1,$AE707/$AE706-1,$AG707/$AG706-1,$AH707/$AH706-1,$AI707/$AI706-1,$AJ707/$AJ706-1,$AL707/$AL706-1,$AM707/$AM706-1,$AR707/$AR706-1,$AS707/$AS706-1,$AT707/$AT706-1,$AU707/$AU706-1,$AV707/$AV706-1,$AW707/$AW706-1,$AX707/$AX706-1,$AY707/$AY706-1),"")</f>
        <v/>
      </c>
      <c r="DW706" s="66">
        <f>AVERAGE($CB706,$CC706,$CD706,$CE706,$CF706,$CG706,$CH706,$CI706,$CJ706,$CL706,$CM706,$CN706,$CO706,$CP706,$CQ706,$CR706,$CS706,$CT706)</f>
        <v/>
      </c>
      <c r="DX706" s="66">
        <f>AVERAGE($CB706,$CC706,$CM706,$CE706,$CP706)</f>
        <v/>
      </c>
      <c r="DY706" s="64">
        <f>($DW706-$DW707)*100</f>
        <v/>
      </c>
      <c r="DZ706" s="64">
        <f>($DX706-$DX707)*100</f>
        <v/>
      </c>
      <c r="EA706" s="64">
        <f>($DW706-$D706)*100</f>
        <v/>
      </c>
      <c r="EB706" s="64">
        <f>$Q706-$O706</f>
        <v/>
      </c>
      <c r="EC706" s="67">
        <f>IFERROR($Q706/$P706,"")</f>
        <v/>
      </c>
    </row>
    <row r="707">
      <c r="DG707" s="64">
        <f>($B707-$B708)*100</f>
        <v/>
      </c>
      <c r="DH707" s="64">
        <f>($D707-$D708)*100</f>
        <v/>
      </c>
      <c r="DI707" s="64">
        <f>($E707-$E708)*100</f>
        <v/>
      </c>
      <c r="DJ707" s="64">
        <f>($H707-$H708)*100</f>
        <v/>
      </c>
      <c r="DK707" s="65">
        <f>IFERROR($J707/$J708-1,"")</f>
        <v/>
      </c>
      <c r="DL707" s="64">
        <f>$L707-$L708</f>
        <v/>
      </c>
      <c r="DM707" s="64">
        <f>$K707-$K708</f>
        <v/>
      </c>
      <c r="DN707" s="65">
        <f>IFERROR($N707/$N708-1,"")</f>
        <v/>
      </c>
      <c r="DO707" s="65">
        <f>IFERROR($M707/$M708-1,"")</f>
        <v/>
      </c>
      <c r="DP707" s="65">
        <f>IFERROR($AZ707/$AZ708-1,"")</f>
        <v/>
      </c>
      <c r="DQ707" s="65">
        <f>IFERROR($BA707/$BA708-1,"")</f>
        <v/>
      </c>
      <c r="DR707" s="64">
        <f>$O707-$O708</f>
        <v/>
      </c>
      <c r="DS707" s="64">
        <f>$P707-$P708</f>
        <v/>
      </c>
      <c r="DT707" s="64">
        <f>$Q707-$Q708</f>
        <v/>
      </c>
      <c r="DU707" s="64">
        <f>$S707-$S708</f>
        <v/>
      </c>
      <c r="DV707" s="65">
        <f>IFERROR(AVERAGE($AA708/$AA707-1,$AB708/$AB707-1,$AC708/$AC707-1,$AD708/$AD707-1,$AE708/$AE707-1,$AG708/$AG707-1,$AH708/$AH707-1,$AI708/$AI707-1,$AJ708/$AJ707-1,$AL708/$AL707-1,$AM708/$AM707-1,$AR708/$AR707-1,$AS708/$AS707-1,$AT708/$AT707-1,$AU708/$AU707-1,$AV708/$AV707-1,$AW708/$AW707-1,$AX708/$AX707-1,$AY708/$AY707-1),"")</f>
        <v/>
      </c>
      <c r="DW707" s="66">
        <f>AVERAGE($CB707,$CC707,$CD707,$CE707,$CF707,$CG707,$CH707,$CI707,$CJ707,$CL707,$CM707,$CN707,$CO707,$CP707,$CQ707,$CR707,$CS707,$CT707)</f>
        <v/>
      </c>
      <c r="DX707" s="66">
        <f>AVERAGE($CB707,$CC707,$CM707,$CE707,$CP707)</f>
        <v/>
      </c>
      <c r="DY707" s="64">
        <f>($DW707-$DW708)*100</f>
        <v/>
      </c>
      <c r="DZ707" s="64">
        <f>($DX707-$DX708)*100</f>
        <v/>
      </c>
      <c r="EA707" s="64">
        <f>($DW707-$D707)*100</f>
        <v/>
      </c>
      <c r="EB707" s="64">
        <f>$Q707-$O707</f>
        <v/>
      </c>
      <c r="EC707" s="67">
        <f>IFERROR($Q707/$P707,"")</f>
        <v/>
      </c>
    </row>
    <row r="708">
      <c r="DG708" s="64">
        <f>($B708-$B709)*100</f>
        <v/>
      </c>
      <c r="DH708" s="64">
        <f>($D708-$D709)*100</f>
        <v/>
      </c>
      <c r="DI708" s="64">
        <f>($E708-$E709)*100</f>
        <v/>
      </c>
      <c r="DJ708" s="64">
        <f>($H708-$H709)*100</f>
        <v/>
      </c>
      <c r="DK708" s="65">
        <f>IFERROR($J708/$J709-1,"")</f>
        <v/>
      </c>
      <c r="DL708" s="64">
        <f>$L708-$L709</f>
        <v/>
      </c>
      <c r="DM708" s="64">
        <f>$K708-$K709</f>
        <v/>
      </c>
      <c r="DN708" s="65">
        <f>IFERROR($N708/$N709-1,"")</f>
        <v/>
      </c>
      <c r="DO708" s="65">
        <f>IFERROR($M708/$M709-1,"")</f>
        <v/>
      </c>
      <c r="DP708" s="65">
        <f>IFERROR($AZ708/$AZ709-1,"")</f>
        <v/>
      </c>
      <c r="DQ708" s="65">
        <f>IFERROR($BA708/$BA709-1,"")</f>
        <v/>
      </c>
      <c r="DR708" s="64">
        <f>$O708-$O709</f>
        <v/>
      </c>
      <c r="DS708" s="64">
        <f>$P708-$P709</f>
        <v/>
      </c>
      <c r="DT708" s="64">
        <f>$Q708-$Q709</f>
        <v/>
      </c>
      <c r="DU708" s="64">
        <f>$S708-$S709</f>
        <v/>
      </c>
      <c r="DV708" s="65">
        <f>IFERROR(AVERAGE($AA709/$AA708-1,$AB709/$AB708-1,$AC709/$AC708-1,$AD709/$AD708-1,$AE709/$AE708-1,$AG709/$AG708-1,$AH709/$AH708-1,$AI709/$AI708-1,$AJ709/$AJ708-1,$AL709/$AL708-1,$AM709/$AM708-1,$AR709/$AR708-1,$AS709/$AS708-1,$AT709/$AT708-1,$AU709/$AU708-1,$AV709/$AV708-1,$AW709/$AW708-1,$AX709/$AX708-1,$AY709/$AY708-1),"")</f>
        <v/>
      </c>
      <c r="DW708" s="66">
        <f>AVERAGE($CB708,$CC708,$CD708,$CE708,$CF708,$CG708,$CH708,$CI708,$CJ708,$CL708,$CM708,$CN708,$CO708,$CP708,$CQ708,$CR708,$CS708,$CT708)</f>
        <v/>
      </c>
      <c r="DX708" s="66">
        <f>AVERAGE($CB708,$CC708,$CM708,$CE708,$CP708)</f>
        <v/>
      </c>
      <c r="DY708" s="64">
        <f>($DW708-$DW709)*100</f>
        <v/>
      </c>
      <c r="DZ708" s="64">
        <f>($DX708-$DX709)*100</f>
        <v/>
      </c>
      <c r="EA708" s="64">
        <f>($DW708-$D708)*100</f>
        <v/>
      </c>
      <c r="EB708" s="64">
        <f>$Q708-$O708</f>
        <v/>
      </c>
      <c r="EC708" s="67">
        <f>IFERROR($Q708/$P708,"")</f>
        <v/>
      </c>
    </row>
    <row r="709">
      <c r="DG709" s="64">
        <f>($B709-$B710)*100</f>
        <v/>
      </c>
      <c r="DH709" s="64">
        <f>($D709-$D710)*100</f>
        <v/>
      </c>
      <c r="DI709" s="64">
        <f>($E709-$E710)*100</f>
        <v/>
      </c>
      <c r="DJ709" s="64">
        <f>($H709-$H710)*100</f>
        <v/>
      </c>
      <c r="DK709" s="65">
        <f>IFERROR($J709/$J710-1,"")</f>
        <v/>
      </c>
      <c r="DL709" s="64">
        <f>$L709-$L710</f>
        <v/>
      </c>
      <c r="DM709" s="64">
        <f>$K709-$K710</f>
        <v/>
      </c>
      <c r="DN709" s="65">
        <f>IFERROR($N709/$N710-1,"")</f>
        <v/>
      </c>
      <c r="DO709" s="65">
        <f>IFERROR($M709/$M710-1,"")</f>
        <v/>
      </c>
      <c r="DP709" s="65">
        <f>IFERROR($AZ709/$AZ710-1,"")</f>
        <v/>
      </c>
      <c r="DQ709" s="65">
        <f>IFERROR($BA709/$BA710-1,"")</f>
        <v/>
      </c>
      <c r="DR709" s="64">
        <f>$O709-$O710</f>
        <v/>
      </c>
      <c r="DS709" s="64">
        <f>$P709-$P710</f>
        <v/>
      </c>
      <c r="DT709" s="64">
        <f>$Q709-$Q710</f>
        <v/>
      </c>
      <c r="DU709" s="64">
        <f>$S709-$S710</f>
        <v/>
      </c>
      <c r="DV709" s="65">
        <f>IFERROR(AVERAGE($AA710/$AA709-1,$AB710/$AB709-1,$AC710/$AC709-1,$AD710/$AD709-1,$AE710/$AE709-1,$AG710/$AG709-1,$AH710/$AH709-1,$AI710/$AI709-1,$AJ710/$AJ709-1,$AL710/$AL709-1,$AM710/$AM709-1,$AR710/$AR709-1,$AS710/$AS709-1,$AT710/$AT709-1,$AU710/$AU709-1,$AV710/$AV709-1,$AW710/$AW709-1,$AX710/$AX709-1,$AY710/$AY709-1),"")</f>
        <v/>
      </c>
      <c r="DW709" s="66">
        <f>AVERAGE($CB709,$CC709,$CD709,$CE709,$CF709,$CG709,$CH709,$CI709,$CJ709,$CL709,$CM709,$CN709,$CO709,$CP709,$CQ709,$CR709,$CS709,$CT709)</f>
        <v/>
      </c>
      <c r="DX709" s="66">
        <f>AVERAGE($CB709,$CC709,$CM709,$CE709,$CP709)</f>
        <v/>
      </c>
      <c r="DY709" s="64">
        <f>($DW709-$DW710)*100</f>
        <v/>
      </c>
      <c r="DZ709" s="64">
        <f>($DX709-$DX710)*100</f>
        <v/>
      </c>
      <c r="EA709" s="64">
        <f>($DW709-$D709)*100</f>
        <v/>
      </c>
      <c r="EB709" s="64">
        <f>$Q709-$O709</f>
        <v/>
      </c>
      <c r="EC709" s="67">
        <f>IFERROR($Q709/$P709,"")</f>
        <v/>
      </c>
    </row>
    <row r="710">
      <c r="DG710" s="64">
        <f>($B710-$B711)*100</f>
        <v/>
      </c>
      <c r="DH710" s="64">
        <f>($D710-$D711)*100</f>
        <v/>
      </c>
      <c r="DI710" s="64">
        <f>($E710-$E711)*100</f>
        <v/>
      </c>
      <c r="DJ710" s="64">
        <f>($H710-$H711)*100</f>
        <v/>
      </c>
      <c r="DK710" s="65">
        <f>IFERROR($J710/$J711-1,"")</f>
        <v/>
      </c>
      <c r="DL710" s="64">
        <f>$L710-$L711</f>
        <v/>
      </c>
      <c r="DM710" s="64">
        <f>$K710-$K711</f>
        <v/>
      </c>
      <c r="DN710" s="65">
        <f>IFERROR($N710/$N711-1,"")</f>
        <v/>
      </c>
      <c r="DO710" s="65">
        <f>IFERROR($M710/$M711-1,"")</f>
        <v/>
      </c>
      <c r="DP710" s="65">
        <f>IFERROR($AZ710/$AZ711-1,"")</f>
        <v/>
      </c>
      <c r="DQ710" s="65">
        <f>IFERROR($BA710/$BA711-1,"")</f>
        <v/>
      </c>
      <c r="DR710" s="64">
        <f>$O710-$O711</f>
        <v/>
      </c>
      <c r="DS710" s="64">
        <f>$P710-$P711</f>
        <v/>
      </c>
      <c r="DT710" s="64">
        <f>$Q710-$Q711</f>
        <v/>
      </c>
      <c r="DU710" s="64">
        <f>$S710-$S711</f>
        <v/>
      </c>
      <c r="DV710" s="65">
        <f>IFERROR(AVERAGE($AA711/$AA710-1,$AB711/$AB710-1,$AC711/$AC710-1,$AD711/$AD710-1,$AE711/$AE710-1,$AG711/$AG710-1,$AH711/$AH710-1,$AI711/$AI710-1,$AJ711/$AJ710-1,$AL711/$AL710-1,$AM711/$AM710-1,$AR711/$AR710-1,$AS711/$AS710-1,$AT711/$AT710-1,$AU711/$AU710-1,$AV711/$AV710-1,$AW711/$AW710-1,$AX711/$AX710-1,$AY711/$AY710-1),"")</f>
        <v/>
      </c>
      <c r="DW710" s="66">
        <f>AVERAGE($CB710,$CC710,$CD710,$CE710,$CF710,$CG710,$CH710,$CI710,$CJ710,$CL710,$CM710,$CN710,$CO710,$CP710,$CQ710,$CR710,$CS710,$CT710)</f>
        <v/>
      </c>
      <c r="DX710" s="66">
        <f>AVERAGE($CB710,$CC710,$CM710,$CE710,$CP710)</f>
        <v/>
      </c>
      <c r="DY710" s="64">
        <f>($DW710-$DW711)*100</f>
        <v/>
      </c>
      <c r="DZ710" s="64">
        <f>($DX710-$DX711)*100</f>
        <v/>
      </c>
      <c r="EA710" s="64">
        <f>($DW710-$D710)*100</f>
        <v/>
      </c>
      <c r="EB710" s="64">
        <f>$Q710-$O710</f>
        <v/>
      </c>
      <c r="EC710" s="67">
        <f>IFERROR($Q710/$P710,"")</f>
        <v/>
      </c>
    </row>
    <row r="711">
      <c r="DG711" s="64">
        <f>($B711-$B712)*100</f>
        <v/>
      </c>
      <c r="DH711" s="64">
        <f>($D711-$D712)*100</f>
        <v/>
      </c>
      <c r="DI711" s="64">
        <f>($E711-$E712)*100</f>
        <v/>
      </c>
      <c r="DJ711" s="64">
        <f>($H711-$H712)*100</f>
        <v/>
      </c>
      <c r="DK711" s="65">
        <f>IFERROR($J711/$J712-1,"")</f>
        <v/>
      </c>
      <c r="DL711" s="64">
        <f>$L711-$L712</f>
        <v/>
      </c>
      <c r="DM711" s="64">
        <f>$K711-$K712</f>
        <v/>
      </c>
      <c r="DN711" s="65">
        <f>IFERROR($N711/$N712-1,"")</f>
        <v/>
      </c>
      <c r="DO711" s="65">
        <f>IFERROR($M711/$M712-1,"")</f>
        <v/>
      </c>
      <c r="DP711" s="65">
        <f>IFERROR($AZ711/$AZ712-1,"")</f>
        <v/>
      </c>
      <c r="DQ711" s="65">
        <f>IFERROR($BA711/$BA712-1,"")</f>
        <v/>
      </c>
      <c r="DR711" s="64">
        <f>$O711-$O712</f>
        <v/>
      </c>
      <c r="DS711" s="64">
        <f>$P711-$P712</f>
        <v/>
      </c>
      <c r="DT711" s="64">
        <f>$Q711-$Q712</f>
        <v/>
      </c>
      <c r="DU711" s="64">
        <f>$S711-$S712</f>
        <v/>
      </c>
      <c r="DV711" s="65">
        <f>IFERROR(AVERAGE($AA712/$AA711-1,$AB712/$AB711-1,$AC712/$AC711-1,$AD712/$AD711-1,$AE712/$AE711-1,$AG712/$AG711-1,$AH712/$AH711-1,$AI712/$AI711-1,$AJ712/$AJ711-1,$AL712/$AL711-1,$AM712/$AM711-1,$AR712/$AR711-1,$AS712/$AS711-1,$AT712/$AT711-1,$AU712/$AU711-1,$AV712/$AV711-1,$AW712/$AW711-1,$AX712/$AX711-1,$AY712/$AY711-1),"")</f>
        <v/>
      </c>
      <c r="DW711" s="66">
        <f>AVERAGE($CB711,$CC711,$CD711,$CE711,$CF711,$CG711,$CH711,$CI711,$CJ711,$CL711,$CM711,$CN711,$CO711,$CP711,$CQ711,$CR711,$CS711,$CT711)</f>
        <v/>
      </c>
      <c r="DX711" s="66">
        <f>AVERAGE($CB711,$CC711,$CM711,$CE711,$CP711)</f>
        <v/>
      </c>
      <c r="DY711" s="64">
        <f>($DW711-$DW712)*100</f>
        <v/>
      </c>
      <c r="DZ711" s="64">
        <f>($DX711-$DX712)*100</f>
        <v/>
      </c>
      <c r="EA711" s="64">
        <f>($DW711-$D711)*100</f>
        <v/>
      </c>
      <c r="EB711" s="64">
        <f>$Q711-$O711</f>
        <v/>
      </c>
      <c r="EC711" s="67">
        <f>IFERROR($Q711/$P711,"")</f>
        <v/>
      </c>
    </row>
    <row r="712">
      <c r="DG712" s="64">
        <f>($B712-$B713)*100</f>
        <v/>
      </c>
      <c r="DH712" s="64">
        <f>($D712-$D713)*100</f>
        <v/>
      </c>
      <c r="DI712" s="64">
        <f>($E712-$E713)*100</f>
        <v/>
      </c>
      <c r="DJ712" s="64">
        <f>($H712-$H713)*100</f>
        <v/>
      </c>
      <c r="DK712" s="65">
        <f>IFERROR($J712/$J713-1,"")</f>
        <v/>
      </c>
      <c r="DL712" s="64">
        <f>$L712-$L713</f>
        <v/>
      </c>
      <c r="DM712" s="64">
        <f>$K712-$K713</f>
        <v/>
      </c>
      <c r="DN712" s="65">
        <f>IFERROR($N712/$N713-1,"")</f>
        <v/>
      </c>
      <c r="DO712" s="65">
        <f>IFERROR($M712/$M713-1,"")</f>
        <v/>
      </c>
      <c r="DP712" s="65">
        <f>IFERROR($AZ712/$AZ713-1,"")</f>
        <v/>
      </c>
      <c r="DQ712" s="65">
        <f>IFERROR($BA712/$BA713-1,"")</f>
        <v/>
      </c>
      <c r="DR712" s="64">
        <f>$O712-$O713</f>
        <v/>
      </c>
      <c r="DS712" s="64">
        <f>$P712-$P713</f>
        <v/>
      </c>
      <c r="DT712" s="64">
        <f>$Q712-$Q713</f>
        <v/>
      </c>
      <c r="DU712" s="64">
        <f>$S712-$S713</f>
        <v/>
      </c>
      <c r="DV712" s="65">
        <f>IFERROR(AVERAGE($AA713/$AA712-1,$AB713/$AB712-1,$AC713/$AC712-1,$AD713/$AD712-1,$AE713/$AE712-1,$AG713/$AG712-1,$AH713/$AH712-1,$AI713/$AI712-1,$AJ713/$AJ712-1,$AL713/$AL712-1,$AM713/$AM712-1,$AR713/$AR712-1,$AS713/$AS712-1,$AT713/$AT712-1,$AU713/$AU712-1,$AV713/$AV712-1,$AW713/$AW712-1,$AX713/$AX712-1,$AY713/$AY712-1),"")</f>
        <v/>
      </c>
      <c r="DW712" s="66">
        <f>AVERAGE($CB712,$CC712,$CD712,$CE712,$CF712,$CG712,$CH712,$CI712,$CJ712,$CL712,$CM712,$CN712,$CO712,$CP712,$CQ712,$CR712,$CS712,$CT712)</f>
        <v/>
      </c>
      <c r="DX712" s="66">
        <f>AVERAGE($CB712,$CC712,$CM712,$CE712,$CP712)</f>
        <v/>
      </c>
      <c r="DY712" s="64">
        <f>($DW712-$DW713)*100</f>
        <v/>
      </c>
      <c r="DZ712" s="64">
        <f>($DX712-$DX713)*100</f>
        <v/>
      </c>
      <c r="EA712" s="64">
        <f>($DW712-$D712)*100</f>
        <v/>
      </c>
      <c r="EB712" s="64">
        <f>$Q712-$O712</f>
        <v/>
      </c>
      <c r="EC712" s="67">
        <f>IFERROR($Q712/$P712,"")</f>
        <v/>
      </c>
    </row>
    <row r="713">
      <c r="DG713" s="64">
        <f>($B713-$B714)*100</f>
        <v/>
      </c>
      <c r="DH713" s="64">
        <f>($D713-$D714)*100</f>
        <v/>
      </c>
      <c r="DI713" s="64">
        <f>($E713-$E714)*100</f>
        <v/>
      </c>
      <c r="DJ713" s="64">
        <f>($H713-$H714)*100</f>
        <v/>
      </c>
      <c r="DK713" s="65">
        <f>IFERROR($J713/$J714-1,"")</f>
        <v/>
      </c>
      <c r="DL713" s="64">
        <f>$L713-$L714</f>
        <v/>
      </c>
      <c r="DM713" s="64">
        <f>$K713-$K714</f>
        <v/>
      </c>
      <c r="DN713" s="65">
        <f>IFERROR($N713/$N714-1,"")</f>
        <v/>
      </c>
      <c r="DO713" s="65">
        <f>IFERROR($M713/$M714-1,"")</f>
        <v/>
      </c>
      <c r="DP713" s="65">
        <f>IFERROR($AZ713/$AZ714-1,"")</f>
        <v/>
      </c>
      <c r="DQ713" s="65">
        <f>IFERROR($BA713/$BA714-1,"")</f>
        <v/>
      </c>
      <c r="DR713" s="64">
        <f>$O713-$O714</f>
        <v/>
      </c>
      <c r="DS713" s="64">
        <f>$P713-$P714</f>
        <v/>
      </c>
      <c r="DT713" s="64">
        <f>$Q713-$Q714</f>
        <v/>
      </c>
      <c r="DU713" s="64">
        <f>$S713-$S714</f>
        <v/>
      </c>
      <c r="DV713" s="65">
        <f>IFERROR(AVERAGE($AA714/$AA713-1,$AB714/$AB713-1,$AC714/$AC713-1,$AD714/$AD713-1,$AE714/$AE713-1,$AG714/$AG713-1,$AH714/$AH713-1,$AI714/$AI713-1,$AJ714/$AJ713-1,$AL714/$AL713-1,$AM714/$AM713-1,$AR714/$AR713-1,$AS714/$AS713-1,$AT714/$AT713-1,$AU714/$AU713-1,$AV714/$AV713-1,$AW714/$AW713-1,$AX714/$AX713-1,$AY714/$AY713-1),"")</f>
        <v/>
      </c>
      <c r="DW713" s="66">
        <f>AVERAGE($CB713,$CC713,$CD713,$CE713,$CF713,$CG713,$CH713,$CI713,$CJ713,$CL713,$CM713,$CN713,$CO713,$CP713,$CQ713,$CR713,$CS713,$CT713)</f>
        <v/>
      </c>
      <c r="DX713" s="66">
        <f>AVERAGE($CB713,$CC713,$CM713,$CE713,$CP713)</f>
        <v/>
      </c>
      <c r="DY713" s="64">
        <f>($DW713-$DW714)*100</f>
        <v/>
      </c>
      <c r="DZ713" s="64">
        <f>($DX713-$DX714)*100</f>
        <v/>
      </c>
      <c r="EA713" s="64">
        <f>($DW713-$D713)*100</f>
        <v/>
      </c>
      <c r="EB713" s="64">
        <f>$Q713-$O713</f>
        <v/>
      </c>
      <c r="EC713" s="67">
        <f>IFERROR($Q713/$P713,"")</f>
        <v/>
      </c>
    </row>
    <row r="714">
      <c r="DG714" s="64">
        <f>($B714-$B715)*100</f>
        <v/>
      </c>
      <c r="DH714" s="64">
        <f>($D714-$D715)*100</f>
        <v/>
      </c>
      <c r="DI714" s="64">
        <f>($E714-$E715)*100</f>
        <v/>
      </c>
      <c r="DJ714" s="64">
        <f>($H714-$H715)*100</f>
        <v/>
      </c>
      <c r="DK714" s="65">
        <f>IFERROR($J714/$J715-1,"")</f>
        <v/>
      </c>
      <c r="DL714" s="64">
        <f>$L714-$L715</f>
        <v/>
      </c>
      <c r="DM714" s="64">
        <f>$K714-$K715</f>
        <v/>
      </c>
      <c r="DN714" s="65">
        <f>IFERROR($N714/$N715-1,"")</f>
        <v/>
      </c>
      <c r="DO714" s="65">
        <f>IFERROR($M714/$M715-1,"")</f>
        <v/>
      </c>
      <c r="DP714" s="65">
        <f>IFERROR($AZ714/$AZ715-1,"")</f>
        <v/>
      </c>
      <c r="DQ714" s="65">
        <f>IFERROR($BA714/$BA715-1,"")</f>
        <v/>
      </c>
      <c r="DR714" s="64">
        <f>$O714-$O715</f>
        <v/>
      </c>
      <c r="DS714" s="64">
        <f>$P714-$P715</f>
        <v/>
      </c>
      <c r="DT714" s="64">
        <f>$Q714-$Q715</f>
        <v/>
      </c>
      <c r="DU714" s="64">
        <f>$S714-$S715</f>
        <v/>
      </c>
      <c r="DV714" s="65">
        <f>IFERROR(AVERAGE($AA715/$AA714-1,$AB715/$AB714-1,$AC715/$AC714-1,$AD715/$AD714-1,$AE715/$AE714-1,$AG715/$AG714-1,$AH715/$AH714-1,$AI715/$AI714-1,$AJ715/$AJ714-1,$AL715/$AL714-1,$AM715/$AM714-1,$AR715/$AR714-1,$AS715/$AS714-1,$AT715/$AT714-1,$AU715/$AU714-1,$AV715/$AV714-1,$AW715/$AW714-1,$AX715/$AX714-1,$AY715/$AY714-1),"")</f>
        <v/>
      </c>
      <c r="DW714" s="66">
        <f>AVERAGE($CB714,$CC714,$CD714,$CE714,$CF714,$CG714,$CH714,$CI714,$CJ714,$CL714,$CM714,$CN714,$CO714,$CP714,$CQ714,$CR714,$CS714,$CT714)</f>
        <v/>
      </c>
      <c r="DX714" s="66">
        <f>AVERAGE($CB714,$CC714,$CM714,$CE714,$CP714)</f>
        <v/>
      </c>
      <c r="DY714" s="64">
        <f>($DW714-$DW715)*100</f>
        <v/>
      </c>
      <c r="DZ714" s="64">
        <f>($DX714-$DX715)*100</f>
        <v/>
      </c>
      <c r="EA714" s="64">
        <f>($DW714-$D714)*100</f>
        <v/>
      </c>
      <c r="EB714" s="64">
        <f>$Q714-$O714</f>
        <v/>
      </c>
      <c r="EC714" s="67">
        <f>IFERROR($Q714/$P714,"")</f>
        <v/>
      </c>
    </row>
    <row r="715">
      <c r="DG715" s="64">
        <f>($B715-$B716)*100</f>
        <v/>
      </c>
      <c r="DH715" s="64">
        <f>($D715-$D716)*100</f>
        <v/>
      </c>
      <c r="DI715" s="64">
        <f>($E715-$E716)*100</f>
        <v/>
      </c>
      <c r="DJ715" s="64">
        <f>($H715-$H716)*100</f>
        <v/>
      </c>
      <c r="DK715" s="65">
        <f>IFERROR($J715/$J716-1,"")</f>
        <v/>
      </c>
      <c r="DL715" s="64">
        <f>$L715-$L716</f>
        <v/>
      </c>
      <c r="DM715" s="64">
        <f>$K715-$K716</f>
        <v/>
      </c>
      <c r="DN715" s="65">
        <f>IFERROR($N715/$N716-1,"")</f>
        <v/>
      </c>
      <c r="DO715" s="65">
        <f>IFERROR($M715/$M716-1,"")</f>
        <v/>
      </c>
      <c r="DP715" s="65">
        <f>IFERROR($AZ715/$AZ716-1,"")</f>
        <v/>
      </c>
      <c r="DQ715" s="65">
        <f>IFERROR($BA715/$BA716-1,"")</f>
        <v/>
      </c>
      <c r="DR715" s="64">
        <f>$O715-$O716</f>
        <v/>
      </c>
      <c r="DS715" s="64">
        <f>$P715-$P716</f>
        <v/>
      </c>
      <c r="DT715" s="64">
        <f>$Q715-$Q716</f>
        <v/>
      </c>
      <c r="DU715" s="64">
        <f>$S715-$S716</f>
        <v/>
      </c>
      <c r="DV715" s="65">
        <f>IFERROR(AVERAGE($AA716/$AA715-1,$AB716/$AB715-1,$AC716/$AC715-1,$AD716/$AD715-1,$AE716/$AE715-1,$AG716/$AG715-1,$AH716/$AH715-1,$AI716/$AI715-1,$AJ716/$AJ715-1,$AL716/$AL715-1,$AM716/$AM715-1,$AR716/$AR715-1,$AS716/$AS715-1,$AT716/$AT715-1,$AU716/$AU715-1,$AV716/$AV715-1,$AW716/$AW715-1,$AX716/$AX715-1,$AY716/$AY715-1),"")</f>
        <v/>
      </c>
      <c r="DW715" s="66">
        <f>AVERAGE($CB715,$CC715,$CD715,$CE715,$CF715,$CG715,$CH715,$CI715,$CJ715,$CL715,$CM715,$CN715,$CO715,$CP715,$CQ715,$CR715,$CS715,$CT715)</f>
        <v/>
      </c>
      <c r="DX715" s="66">
        <f>AVERAGE($CB715,$CC715,$CM715,$CE715,$CP715)</f>
        <v/>
      </c>
      <c r="DY715" s="64">
        <f>($DW715-$DW716)*100</f>
        <v/>
      </c>
      <c r="DZ715" s="64">
        <f>($DX715-$DX716)*100</f>
        <v/>
      </c>
      <c r="EA715" s="64">
        <f>($DW715-$D715)*100</f>
        <v/>
      </c>
      <c r="EB715" s="64">
        <f>$Q715-$O715</f>
        <v/>
      </c>
      <c r="EC715" s="67">
        <f>IFERROR($Q715/$P715,"")</f>
        <v/>
      </c>
    </row>
    <row r="716">
      <c r="DG716" s="64">
        <f>($B716-$B717)*100</f>
        <v/>
      </c>
      <c r="DH716" s="64">
        <f>($D716-$D717)*100</f>
        <v/>
      </c>
      <c r="DI716" s="64">
        <f>($E716-$E717)*100</f>
        <v/>
      </c>
      <c r="DJ716" s="64">
        <f>($H716-$H717)*100</f>
        <v/>
      </c>
      <c r="DK716" s="65">
        <f>IFERROR($J716/$J717-1,"")</f>
        <v/>
      </c>
      <c r="DL716" s="64">
        <f>$L716-$L717</f>
        <v/>
      </c>
      <c r="DM716" s="64">
        <f>$K716-$K717</f>
        <v/>
      </c>
      <c r="DN716" s="65">
        <f>IFERROR($N716/$N717-1,"")</f>
        <v/>
      </c>
      <c r="DO716" s="65">
        <f>IFERROR($M716/$M717-1,"")</f>
        <v/>
      </c>
      <c r="DP716" s="65">
        <f>IFERROR($AZ716/$AZ717-1,"")</f>
        <v/>
      </c>
      <c r="DQ716" s="65">
        <f>IFERROR($BA716/$BA717-1,"")</f>
        <v/>
      </c>
      <c r="DR716" s="64">
        <f>$O716-$O717</f>
        <v/>
      </c>
      <c r="DS716" s="64">
        <f>$P716-$P717</f>
        <v/>
      </c>
      <c r="DT716" s="64">
        <f>$Q716-$Q717</f>
        <v/>
      </c>
      <c r="DU716" s="64">
        <f>$S716-$S717</f>
        <v/>
      </c>
      <c r="DV716" s="65">
        <f>IFERROR(AVERAGE($AA717/$AA716-1,$AB717/$AB716-1,$AC717/$AC716-1,$AD717/$AD716-1,$AE717/$AE716-1,$AG717/$AG716-1,$AH717/$AH716-1,$AI717/$AI716-1,$AJ717/$AJ716-1,$AL717/$AL716-1,$AM717/$AM716-1,$AR717/$AR716-1,$AS717/$AS716-1,$AT717/$AT716-1,$AU717/$AU716-1,$AV717/$AV716-1,$AW717/$AW716-1,$AX717/$AX716-1,$AY717/$AY716-1),"")</f>
        <v/>
      </c>
      <c r="DW716" s="66">
        <f>AVERAGE($CB716,$CC716,$CD716,$CE716,$CF716,$CG716,$CH716,$CI716,$CJ716,$CL716,$CM716,$CN716,$CO716,$CP716,$CQ716,$CR716,$CS716,$CT716)</f>
        <v/>
      </c>
      <c r="DX716" s="66">
        <f>AVERAGE($CB716,$CC716,$CM716,$CE716,$CP716)</f>
        <v/>
      </c>
      <c r="DY716" s="64">
        <f>($DW716-$DW717)*100</f>
        <v/>
      </c>
      <c r="DZ716" s="64">
        <f>($DX716-$DX717)*100</f>
        <v/>
      </c>
      <c r="EA716" s="64">
        <f>($DW716-$D716)*100</f>
        <v/>
      </c>
      <c r="EB716" s="64">
        <f>$Q716-$O716</f>
        <v/>
      </c>
      <c r="EC716" s="67">
        <f>IFERROR($Q716/$P716,"")</f>
        <v/>
      </c>
    </row>
    <row r="717">
      <c r="DG717" s="64">
        <f>($B717-$B718)*100</f>
        <v/>
      </c>
      <c r="DH717" s="64">
        <f>($D717-$D718)*100</f>
        <v/>
      </c>
      <c r="DI717" s="64">
        <f>($E717-$E718)*100</f>
        <v/>
      </c>
      <c r="DJ717" s="64">
        <f>($H717-$H718)*100</f>
        <v/>
      </c>
      <c r="DK717" s="65">
        <f>IFERROR($J717/$J718-1,"")</f>
        <v/>
      </c>
      <c r="DL717" s="64">
        <f>$L717-$L718</f>
        <v/>
      </c>
      <c r="DM717" s="64">
        <f>$K717-$K718</f>
        <v/>
      </c>
      <c r="DN717" s="65">
        <f>IFERROR($N717/$N718-1,"")</f>
        <v/>
      </c>
      <c r="DO717" s="65">
        <f>IFERROR($M717/$M718-1,"")</f>
        <v/>
      </c>
      <c r="DP717" s="65">
        <f>IFERROR($AZ717/$AZ718-1,"")</f>
        <v/>
      </c>
      <c r="DQ717" s="65">
        <f>IFERROR($BA717/$BA718-1,"")</f>
        <v/>
      </c>
      <c r="DR717" s="64">
        <f>$O717-$O718</f>
        <v/>
      </c>
      <c r="DS717" s="64">
        <f>$P717-$P718</f>
        <v/>
      </c>
      <c r="DT717" s="64">
        <f>$Q717-$Q718</f>
        <v/>
      </c>
      <c r="DU717" s="64">
        <f>$S717-$S718</f>
        <v/>
      </c>
      <c r="DV717" s="65">
        <f>IFERROR(AVERAGE($AA718/$AA717-1,$AB718/$AB717-1,$AC718/$AC717-1,$AD718/$AD717-1,$AE718/$AE717-1,$AG718/$AG717-1,$AH718/$AH717-1,$AI718/$AI717-1,$AJ718/$AJ717-1,$AL718/$AL717-1,$AM718/$AM717-1,$AR718/$AR717-1,$AS718/$AS717-1,$AT718/$AT717-1,$AU718/$AU717-1,$AV718/$AV717-1,$AW718/$AW717-1,$AX718/$AX717-1,$AY718/$AY717-1),"")</f>
        <v/>
      </c>
      <c r="DW717" s="66">
        <f>AVERAGE($CB717,$CC717,$CD717,$CE717,$CF717,$CG717,$CH717,$CI717,$CJ717,$CL717,$CM717,$CN717,$CO717,$CP717,$CQ717,$CR717,$CS717,$CT717)</f>
        <v/>
      </c>
      <c r="DX717" s="66">
        <f>AVERAGE($CB717,$CC717,$CM717,$CE717,$CP717)</f>
        <v/>
      </c>
      <c r="DY717" s="64">
        <f>($DW717-$DW718)*100</f>
        <v/>
      </c>
      <c r="DZ717" s="64">
        <f>($DX717-$DX718)*100</f>
        <v/>
      </c>
      <c r="EA717" s="64">
        <f>($DW717-$D717)*100</f>
        <v/>
      </c>
      <c r="EB717" s="64">
        <f>$Q717-$O717</f>
        <v/>
      </c>
      <c r="EC717" s="67">
        <f>IFERROR($Q717/$P717,"")</f>
        <v/>
      </c>
    </row>
    <row r="718">
      <c r="DG718" s="64">
        <f>($B718-$B719)*100</f>
        <v/>
      </c>
      <c r="DH718" s="64">
        <f>($D718-$D719)*100</f>
        <v/>
      </c>
      <c r="DI718" s="64">
        <f>($E718-$E719)*100</f>
        <v/>
      </c>
      <c r="DJ718" s="64">
        <f>($H718-$H719)*100</f>
        <v/>
      </c>
      <c r="DK718" s="65">
        <f>IFERROR($J718/$J719-1,"")</f>
        <v/>
      </c>
      <c r="DL718" s="64">
        <f>$L718-$L719</f>
        <v/>
      </c>
      <c r="DM718" s="64">
        <f>$K718-$K719</f>
        <v/>
      </c>
      <c r="DN718" s="65">
        <f>IFERROR($N718/$N719-1,"")</f>
        <v/>
      </c>
      <c r="DO718" s="65">
        <f>IFERROR($M718/$M719-1,"")</f>
        <v/>
      </c>
      <c r="DP718" s="65">
        <f>IFERROR($AZ718/$AZ719-1,"")</f>
        <v/>
      </c>
      <c r="DQ718" s="65">
        <f>IFERROR($BA718/$BA719-1,"")</f>
        <v/>
      </c>
      <c r="DR718" s="64">
        <f>$O718-$O719</f>
        <v/>
      </c>
      <c r="DS718" s="64">
        <f>$P718-$P719</f>
        <v/>
      </c>
      <c r="DT718" s="64">
        <f>$Q718-$Q719</f>
        <v/>
      </c>
      <c r="DU718" s="64">
        <f>$S718-$S719</f>
        <v/>
      </c>
      <c r="DV718" s="65">
        <f>IFERROR(AVERAGE($AA719/$AA718-1,$AB719/$AB718-1,$AC719/$AC718-1,$AD719/$AD718-1,$AE719/$AE718-1,$AG719/$AG718-1,$AH719/$AH718-1,$AI719/$AI718-1,$AJ719/$AJ718-1,$AL719/$AL718-1,$AM719/$AM718-1,$AR719/$AR718-1,$AS719/$AS718-1,$AT719/$AT718-1,$AU719/$AU718-1,$AV719/$AV718-1,$AW719/$AW718-1,$AX719/$AX718-1,$AY719/$AY718-1),"")</f>
        <v/>
      </c>
      <c r="DW718" s="66">
        <f>AVERAGE($CB718,$CC718,$CD718,$CE718,$CF718,$CG718,$CH718,$CI718,$CJ718,$CL718,$CM718,$CN718,$CO718,$CP718,$CQ718,$CR718,$CS718,$CT718)</f>
        <v/>
      </c>
      <c r="DX718" s="66">
        <f>AVERAGE($CB718,$CC718,$CM718,$CE718,$CP718)</f>
        <v/>
      </c>
      <c r="DY718" s="64">
        <f>($DW718-$DW719)*100</f>
        <v/>
      </c>
      <c r="DZ718" s="64">
        <f>($DX718-$DX719)*100</f>
        <v/>
      </c>
      <c r="EA718" s="64">
        <f>($DW718-$D718)*100</f>
        <v/>
      </c>
      <c r="EB718" s="64">
        <f>$Q718-$O718</f>
        <v/>
      </c>
      <c r="EC718" s="67">
        <f>IFERROR($Q718/$P718,"")</f>
        <v/>
      </c>
    </row>
    <row r="719">
      <c r="DG719" s="64">
        <f>($B719-$B720)*100</f>
        <v/>
      </c>
      <c r="DH719" s="64">
        <f>($D719-$D720)*100</f>
        <v/>
      </c>
      <c r="DI719" s="64">
        <f>($E719-$E720)*100</f>
        <v/>
      </c>
      <c r="DJ719" s="64">
        <f>($H719-$H720)*100</f>
        <v/>
      </c>
      <c r="DK719" s="65">
        <f>IFERROR($J719/$J720-1,"")</f>
        <v/>
      </c>
      <c r="DL719" s="64">
        <f>$L719-$L720</f>
        <v/>
      </c>
      <c r="DM719" s="64">
        <f>$K719-$K720</f>
        <v/>
      </c>
      <c r="DN719" s="65">
        <f>IFERROR($N719/$N720-1,"")</f>
        <v/>
      </c>
      <c r="DO719" s="65">
        <f>IFERROR($M719/$M720-1,"")</f>
        <v/>
      </c>
      <c r="DP719" s="65">
        <f>IFERROR($AZ719/$AZ720-1,"")</f>
        <v/>
      </c>
      <c r="DQ719" s="65">
        <f>IFERROR($BA719/$BA720-1,"")</f>
        <v/>
      </c>
      <c r="DR719" s="64">
        <f>$O719-$O720</f>
        <v/>
      </c>
      <c r="DS719" s="64">
        <f>$P719-$P720</f>
        <v/>
      </c>
      <c r="DT719" s="64">
        <f>$Q719-$Q720</f>
        <v/>
      </c>
      <c r="DU719" s="64">
        <f>$S719-$S720</f>
        <v/>
      </c>
      <c r="DV719" s="65">
        <f>IFERROR(AVERAGE($AA720/$AA719-1,$AB720/$AB719-1,$AC720/$AC719-1,$AD720/$AD719-1,$AE720/$AE719-1,$AG720/$AG719-1,$AH720/$AH719-1,$AI720/$AI719-1,$AJ720/$AJ719-1,$AL720/$AL719-1,$AM720/$AM719-1,$AR720/$AR719-1,$AS720/$AS719-1,$AT720/$AT719-1,$AU720/$AU719-1,$AV720/$AV719-1,$AW720/$AW719-1,$AX720/$AX719-1,$AY720/$AY719-1),"")</f>
        <v/>
      </c>
      <c r="DW719" s="66">
        <f>AVERAGE($CB719,$CC719,$CD719,$CE719,$CF719,$CG719,$CH719,$CI719,$CJ719,$CL719,$CM719,$CN719,$CO719,$CP719,$CQ719,$CR719,$CS719,$CT719)</f>
        <v/>
      </c>
      <c r="DX719" s="66">
        <f>AVERAGE($CB719,$CC719,$CM719,$CE719,$CP719)</f>
        <v/>
      </c>
      <c r="DY719" s="64">
        <f>($DW719-$DW720)*100</f>
        <v/>
      </c>
      <c r="DZ719" s="64">
        <f>($DX719-$DX720)*100</f>
        <v/>
      </c>
      <c r="EA719" s="64">
        <f>($DW719-$D719)*100</f>
        <v/>
      </c>
      <c r="EB719" s="64">
        <f>$Q719-$O719</f>
        <v/>
      </c>
      <c r="EC719" s="67">
        <f>IFERROR($Q719/$P719,"")</f>
        <v/>
      </c>
    </row>
    <row r="720">
      <c r="DG720" s="64">
        <f>($B720-$B721)*100</f>
        <v/>
      </c>
      <c r="DH720" s="64">
        <f>($D720-$D721)*100</f>
        <v/>
      </c>
      <c r="DI720" s="64">
        <f>($E720-$E721)*100</f>
        <v/>
      </c>
      <c r="DJ720" s="64">
        <f>($H720-$H721)*100</f>
        <v/>
      </c>
      <c r="DK720" s="65">
        <f>IFERROR($J720/$J721-1,"")</f>
        <v/>
      </c>
      <c r="DL720" s="64">
        <f>$L720-$L721</f>
        <v/>
      </c>
      <c r="DM720" s="64">
        <f>$K720-$K721</f>
        <v/>
      </c>
      <c r="DN720" s="65">
        <f>IFERROR($N720/$N721-1,"")</f>
        <v/>
      </c>
      <c r="DO720" s="65">
        <f>IFERROR($M720/$M721-1,"")</f>
        <v/>
      </c>
      <c r="DP720" s="65">
        <f>IFERROR($AZ720/$AZ721-1,"")</f>
        <v/>
      </c>
      <c r="DQ720" s="65">
        <f>IFERROR($BA720/$BA721-1,"")</f>
        <v/>
      </c>
      <c r="DR720" s="64">
        <f>$O720-$O721</f>
        <v/>
      </c>
      <c r="DS720" s="64">
        <f>$P720-$P721</f>
        <v/>
      </c>
      <c r="DT720" s="64">
        <f>$Q720-$Q721</f>
        <v/>
      </c>
      <c r="DU720" s="64">
        <f>$S720-$S721</f>
        <v/>
      </c>
      <c r="DV720" s="65">
        <f>IFERROR(AVERAGE($AA721/$AA720-1,$AB721/$AB720-1,$AC721/$AC720-1,$AD721/$AD720-1,$AE721/$AE720-1,$AG721/$AG720-1,$AH721/$AH720-1,$AI721/$AI720-1,$AJ721/$AJ720-1,$AL721/$AL720-1,$AM721/$AM720-1,$AR721/$AR720-1,$AS721/$AS720-1,$AT721/$AT720-1,$AU721/$AU720-1,$AV721/$AV720-1,$AW721/$AW720-1,$AX721/$AX720-1,$AY721/$AY720-1),"")</f>
        <v/>
      </c>
      <c r="DW720" s="66">
        <f>AVERAGE($CB720,$CC720,$CD720,$CE720,$CF720,$CG720,$CH720,$CI720,$CJ720,$CL720,$CM720,$CN720,$CO720,$CP720,$CQ720,$CR720,$CS720,$CT720)</f>
        <v/>
      </c>
      <c r="DX720" s="66">
        <f>AVERAGE($CB720,$CC720,$CM720,$CE720,$CP720)</f>
        <v/>
      </c>
      <c r="DY720" s="64">
        <f>($DW720-$DW721)*100</f>
        <v/>
      </c>
      <c r="DZ720" s="64">
        <f>($DX720-$DX721)*100</f>
        <v/>
      </c>
      <c r="EA720" s="64">
        <f>($DW720-$D720)*100</f>
        <v/>
      </c>
      <c r="EB720" s="64">
        <f>$Q720-$O720</f>
        <v/>
      </c>
      <c r="EC720" s="67">
        <f>IFERROR($Q720/$P720,"")</f>
        <v/>
      </c>
    </row>
    <row r="721">
      <c r="DG721" s="64">
        <f>($B721-$B722)*100</f>
        <v/>
      </c>
      <c r="DH721" s="64">
        <f>($D721-$D722)*100</f>
        <v/>
      </c>
      <c r="DI721" s="64">
        <f>($E721-$E722)*100</f>
        <v/>
      </c>
      <c r="DJ721" s="64">
        <f>($H721-$H722)*100</f>
        <v/>
      </c>
      <c r="DK721" s="65">
        <f>IFERROR($J721/$J722-1,"")</f>
        <v/>
      </c>
      <c r="DL721" s="64">
        <f>$L721-$L722</f>
        <v/>
      </c>
      <c r="DM721" s="64">
        <f>$K721-$K722</f>
        <v/>
      </c>
      <c r="DN721" s="65">
        <f>IFERROR($N721/$N722-1,"")</f>
        <v/>
      </c>
      <c r="DO721" s="65">
        <f>IFERROR($M721/$M722-1,"")</f>
        <v/>
      </c>
      <c r="DP721" s="65">
        <f>IFERROR($AZ721/$AZ722-1,"")</f>
        <v/>
      </c>
      <c r="DQ721" s="65">
        <f>IFERROR($BA721/$BA722-1,"")</f>
        <v/>
      </c>
      <c r="DR721" s="64">
        <f>$O721-$O722</f>
        <v/>
      </c>
      <c r="DS721" s="64">
        <f>$P721-$P722</f>
        <v/>
      </c>
      <c r="DT721" s="64">
        <f>$Q721-$Q722</f>
        <v/>
      </c>
      <c r="DU721" s="64">
        <f>$S721-$S722</f>
        <v/>
      </c>
      <c r="DV721" s="65">
        <f>IFERROR(AVERAGE($AA722/$AA721-1,$AB722/$AB721-1,$AC722/$AC721-1,$AD722/$AD721-1,$AE722/$AE721-1,$AG722/$AG721-1,$AH722/$AH721-1,$AI722/$AI721-1,$AJ722/$AJ721-1,$AL722/$AL721-1,$AM722/$AM721-1,$AR722/$AR721-1,$AS722/$AS721-1,$AT722/$AT721-1,$AU722/$AU721-1,$AV722/$AV721-1,$AW722/$AW721-1,$AX722/$AX721-1,$AY722/$AY721-1),"")</f>
        <v/>
      </c>
      <c r="DW721" s="66">
        <f>AVERAGE($CB721,$CC721,$CD721,$CE721,$CF721,$CG721,$CH721,$CI721,$CJ721,$CL721,$CM721,$CN721,$CO721,$CP721,$CQ721,$CR721,$CS721,$CT721)</f>
        <v/>
      </c>
      <c r="DX721" s="66">
        <f>AVERAGE($CB721,$CC721,$CM721,$CE721,$CP721)</f>
        <v/>
      </c>
      <c r="DY721" s="64">
        <f>($DW721-$DW722)*100</f>
        <v/>
      </c>
      <c r="DZ721" s="64">
        <f>($DX721-$DX722)*100</f>
        <v/>
      </c>
      <c r="EA721" s="64">
        <f>($DW721-$D721)*100</f>
        <v/>
      </c>
      <c r="EB721" s="64">
        <f>$Q721-$O721</f>
        <v/>
      </c>
      <c r="EC721" s="67">
        <f>IFERROR($Q721/$P721,"")</f>
        <v/>
      </c>
    </row>
    <row r="722">
      <c r="DG722" s="64">
        <f>($B722-$B723)*100</f>
        <v/>
      </c>
      <c r="DH722" s="64">
        <f>($D722-$D723)*100</f>
        <v/>
      </c>
      <c r="DI722" s="64">
        <f>($E722-$E723)*100</f>
        <v/>
      </c>
      <c r="DJ722" s="64">
        <f>($H722-$H723)*100</f>
        <v/>
      </c>
      <c r="DK722" s="65">
        <f>IFERROR($J722/$J723-1,"")</f>
        <v/>
      </c>
      <c r="DL722" s="64">
        <f>$L722-$L723</f>
        <v/>
      </c>
      <c r="DM722" s="64">
        <f>$K722-$K723</f>
        <v/>
      </c>
      <c r="DN722" s="65">
        <f>IFERROR($N722/$N723-1,"")</f>
        <v/>
      </c>
      <c r="DO722" s="65">
        <f>IFERROR($M722/$M723-1,"")</f>
        <v/>
      </c>
      <c r="DP722" s="65">
        <f>IFERROR($AZ722/$AZ723-1,"")</f>
        <v/>
      </c>
      <c r="DQ722" s="65">
        <f>IFERROR($BA722/$BA723-1,"")</f>
        <v/>
      </c>
      <c r="DR722" s="64">
        <f>$O722-$O723</f>
        <v/>
      </c>
      <c r="DS722" s="64">
        <f>$P722-$P723</f>
        <v/>
      </c>
      <c r="DT722" s="64">
        <f>$Q722-$Q723</f>
        <v/>
      </c>
      <c r="DU722" s="64">
        <f>$S722-$S723</f>
        <v/>
      </c>
      <c r="DV722" s="65">
        <f>IFERROR(AVERAGE($AA723/$AA722-1,$AB723/$AB722-1,$AC723/$AC722-1,$AD723/$AD722-1,$AE723/$AE722-1,$AG723/$AG722-1,$AH723/$AH722-1,$AI723/$AI722-1,$AJ723/$AJ722-1,$AL723/$AL722-1,$AM723/$AM722-1,$AR723/$AR722-1,$AS723/$AS722-1,$AT723/$AT722-1,$AU723/$AU722-1,$AV723/$AV722-1,$AW723/$AW722-1,$AX723/$AX722-1,$AY723/$AY722-1),"")</f>
        <v/>
      </c>
      <c r="DW722" s="66">
        <f>AVERAGE($CB722,$CC722,$CD722,$CE722,$CF722,$CG722,$CH722,$CI722,$CJ722,$CL722,$CM722,$CN722,$CO722,$CP722,$CQ722,$CR722,$CS722,$CT722)</f>
        <v/>
      </c>
      <c r="DX722" s="66">
        <f>AVERAGE($CB722,$CC722,$CM722,$CE722,$CP722)</f>
        <v/>
      </c>
      <c r="DY722" s="64">
        <f>($DW722-$DW723)*100</f>
        <v/>
      </c>
      <c r="DZ722" s="64">
        <f>($DX722-$DX723)*100</f>
        <v/>
      </c>
      <c r="EA722" s="64">
        <f>($DW722-$D722)*100</f>
        <v/>
      </c>
      <c r="EB722" s="64">
        <f>$Q722-$O722</f>
        <v/>
      </c>
      <c r="EC722" s="67">
        <f>IFERROR($Q722/$P722,"")</f>
        <v/>
      </c>
    </row>
    <row r="723">
      <c r="DG723" s="64">
        <f>($B723-$B724)*100</f>
        <v/>
      </c>
      <c r="DH723" s="64">
        <f>($D723-$D724)*100</f>
        <v/>
      </c>
      <c r="DI723" s="64">
        <f>($E723-$E724)*100</f>
        <v/>
      </c>
      <c r="DJ723" s="64">
        <f>($H723-$H724)*100</f>
        <v/>
      </c>
      <c r="DK723" s="65">
        <f>IFERROR($J723/$J724-1,"")</f>
        <v/>
      </c>
      <c r="DL723" s="64">
        <f>$L723-$L724</f>
        <v/>
      </c>
      <c r="DM723" s="64">
        <f>$K723-$K724</f>
        <v/>
      </c>
      <c r="DN723" s="65">
        <f>IFERROR($N723/$N724-1,"")</f>
        <v/>
      </c>
      <c r="DO723" s="65">
        <f>IFERROR($M723/$M724-1,"")</f>
        <v/>
      </c>
      <c r="DP723" s="65">
        <f>IFERROR($AZ723/$AZ724-1,"")</f>
        <v/>
      </c>
      <c r="DQ723" s="65">
        <f>IFERROR($BA723/$BA724-1,"")</f>
        <v/>
      </c>
      <c r="DR723" s="64">
        <f>$O723-$O724</f>
        <v/>
      </c>
      <c r="DS723" s="64">
        <f>$P723-$P724</f>
        <v/>
      </c>
      <c r="DT723" s="64">
        <f>$Q723-$Q724</f>
        <v/>
      </c>
      <c r="DU723" s="64">
        <f>$S723-$S724</f>
        <v/>
      </c>
      <c r="DV723" s="65">
        <f>IFERROR(AVERAGE($AA724/$AA723-1,$AB724/$AB723-1,$AC724/$AC723-1,$AD724/$AD723-1,$AE724/$AE723-1,$AG724/$AG723-1,$AH724/$AH723-1,$AI724/$AI723-1,$AJ724/$AJ723-1,$AL724/$AL723-1,$AM724/$AM723-1,$AR724/$AR723-1,$AS724/$AS723-1,$AT724/$AT723-1,$AU724/$AU723-1,$AV724/$AV723-1,$AW724/$AW723-1,$AX724/$AX723-1,$AY724/$AY723-1),"")</f>
        <v/>
      </c>
      <c r="DW723" s="66">
        <f>AVERAGE($CB723,$CC723,$CD723,$CE723,$CF723,$CG723,$CH723,$CI723,$CJ723,$CL723,$CM723,$CN723,$CO723,$CP723,$CQ723,$CR723,$CS723,$CT723)</f>
        <v/>
      </c>
      <c r="DX723" s="66">
        <f>AVERAGE($CB723,$CC723,$CM723,$CE723,$CP723)</f>
        <v/>
      </c>
      <c r="DY723" s="64">
        <f>($DW723-$DW724)*100</f>
        <v/>
      </c>
      <c r="DZ723" s="64">
        <f>($DX723-$DX724)*100</f>
        <v/>
      </c>
      <c r="EA723" s="64">
        <f>($DW723-$D723)*100</f>
        <v/>
      </c>
      <c r="EB723" s="64">
        <f>$Q723-$O723</f>
        <v/>
      </c>
      <c r="EC723" s="67">
        <f>IFERROR($Q723/$P723,"")</f>
        <v/>
      </c>
    </row>
    <row r="724">
      <c r="DG724" s="64">
        <f>($B724-$B725)*100</f>
        <v/>
      </c>
      <c r="DH724" s="64">
        <f>($D724-$D725)*100</f>
        <v/>
      </c>
      <c r="DI724" s="64">
        <f>($E724-$E725)*100</f>
        <v/>
      </c>
      <c r="DJ724" s="64">
        <f>($H724-$H725)*100</f>
        <v/>
      </c>
      <c r="DK724" s="65">
        <f>IFERROR($J724/$J725-1,"")</f>
        <v/>
      </c>
      <c r="DL724" s="64">
        <f>$L724-$L725</f>
        <v/>
      </c>
      <c r="DM724" s="64">
        <f>$K724-$K725</f>
        <v/>
      </c>
      <c r="DN724" s="65">
        <f>IFERROR($N724/$N725-1,"")</f>
        <v/>
      </c>
      <c r="DO724" s="65">
        <f>IFERROR($M724/$M725-1,"")</f>
        <v/>
      </c>
      <c r="DP724" s="65">
        <f>IFERROR($AZ724/$AZ725-1,"")</f>
        <v/>
      </c>
      <c r="DQ724" s="65">
        <f>IFERROR($BA724/$BA725-1,"")</f>
        <v/>
      </c>
      <c r="DR724" s="64">
        <f>$O724-$O725</f>
        <v/>
      </c>
      <c r="DS724" s="64">
        <f>$P724-$P725</f>
        <v/>
      </c>
      <c r="DT724" s="64">
        <f>$Q724-$Q725</f>
        <v/>
      </c>
      <c r="DU724" s="64">
        <f>$S724-$S725</f>
        <v/>
      </c>
      <c r="DV724" s="65">
        <f>IFERROR(AVERAGE($AA725/$AA724-1,$AB725/$AB724-1,$AC725/$AC724-1,$AD725/$AD724-1,$AE725/$AE724-1,$AG725/$AG724-1,$AH725/$AH724-1,$AI725/$AI724-1,$AJ725/$AJ724-1,$AL725/$AL724-1,$AM725/$AM724-1,$AR725/$AR724-1,$AS725/$AS724-1,$AT725/$AT724-1,$AU725/$AU724-1,$AV725/$AV724-1,$AW725/$AW724-1,$AX725/$AX724-1,$AY725/$AY724-1),"")</f>
        <v/>
      </c>
      <c r="DW724" s="66">
        <f>AVERAGE($CB724,$CC724,$CD724,$CE724,$CF724,$CG724,$CH724,$CI724,$CJ724,$CL724,$CM724,$CN724,$CO724,$CP724,$CQ724,$CR724,$CS724,$CT724)</f>
        <v/>
      </c>
      <c r="DX724" s="66">
        <f>AVERAGE($CB724,$CC724,$CM724,$CE724,$CP724)</f>
        <v/>
      </c>
      <c r="DY724" s="64">
        <f>($DW724-$DW725)*100</f>
        <v/>
      </c>
      <c r="DZ724" s="64">
        <f>($DX724-$DX725)*100</f>
        <v/>
      </c>
      <c r="EA724" s="64">
        <f>($DW724-$D724)*100</f>
        <v/>
      </c>
      <c r="EB724" s="64">
        <f>$Q724-$O724</f>
        <v/>
      </c>
      <c r="EC724" s="67">
        <f>IFERROR($Q724/$P724,"")</f>
        <v/>
      </c>
    </row>
    <row r="725">
      <c r="DG725" s="64">
        <f>($B725-$B726)*100</f>
        <v/>
      </c>
      <c r="DH725" s="64">
        <f>($D725-$D726)*100</f>
        <v/>
      </c>
      <c r="DI725" s="64">
        <f>($E725-$E726)*100</f>
        <v/>
      </c>
      <c r="DJ725" s="64">
        <f>($H725-$H726)*100</f>
        <v/>
      </c>
      <c r="DK725" s="65">
        <f>IFERROR($J725/$J726-1,"")</f>
        <v/>
      </c>
      <c r="DL725" s="64">
        <f>$L725-$L726</f>
        <v/>
      </c>
      <c r="DM725" s="64">
        <f>$K725-$K726</f>
        <v/>
      </c>
      <c r="DN725" s="65">
        <f>IFERROR($N725/$N726-1,"")</f>
        <v/>
      </c>
      <c r="DO725" s="65">
        <f>IFERROR($M725/$M726-1,"")</f>
        <v/>
      </c>
      <c r="DP725" s="65">
        <f>IFERROR($AZ725/$AZ726-1,"")</f>
        <v/>
      </c>
      <c r="DQ725" s="65">
        <f>IFERROR($BA725/$BA726-1,"")</f>
        <v/>
      </c>
      <c r="DR725" s="64">
        <f>$O725-$O726</f>
        <v/>
      </c>
      <c r="DS725" s="64">
        <f>$P725-$P726</f>
        <v/>
      </c>
      <c r="DT725" s="64">
        <f>$Q725-$Q726</f>
        <v/>
      </c>
      <c r="DU725" s="64">
        <f>$S725-$S726</f>
        <v/>
      </c>
      <c r="DV725" s="65">
        <f>IFERROR(AVERAGE($AA726/$AA725-1,$AB726/$AB725-1,$AC726/$AC725-1,$AD726/$AD725-1,$AE726/$AE725-1,$AG726/$AG725-1,$AH726/$AH725-1,$AI726/$AI725-1,$AJ726/$AJ725-1,$AL726/$AL725-1,$AM726/$AM725-1,$AR726/$AR725-1,$AS726/$AS725-1,$AT726/$AT725-1,$AU726/$AU725-1,$AV726/$AV725-1,$AW726/$AW725-1,$AX726/$AX725-1,$AY726/$AY725-1),"")</f>
        <v/>
      </c>
      <c r="DW725" s="66">
        <f>AVERAGE($CB725,$CC725,$CD725,$CE725,$CF725,$CG725,$CH725,$CI725,$CJ725,$CL725,$CM725,$CN725,$CO725,$CP725,$CQ725,$CR725,$CS725,$CT725)</f>
        <v/>
      </c>
      <c r="DX725" s="66">
        <f>AVERAGE($CB725,$CC725,$CM725,$CE725,$CP725)</f>
        <v/>
      </c>
      <c r="DY725" s="64">
        <f>($DW725-$DW726)*100</f>
        <v/>
      </c>
      <c r="DZ725" s="64">
        <f>($DX725-$DX726)*100</f>
        <v/>
      </c>
      <c r="EA725" s="64">
        <f>($DW725-$D725)*100</f>
        <v/>
      </c>
      <c r="EB725" s="64">
        <f>$Q725-$O725</f>
        <v/>
      </c>
      <c r="EC725" s="67">
        <f>IFERROR($Q725/$P725,"")</f>
        <v/>
      </c>
    </row>
    <row r="726">
      <c r="DG726" s="64">
        <f>($B726-$B727)*100</f>
        <v/>
      </c>
      <c r="DH726" s="64">
        <f>($D726-$D727)*100</f>
        <v/>
      </c>
      <c r="DI726" s="64">
        <f>($E726-$E727)*100</f>
        <v/>
      </c>
      <c r="DJ726" s="64">
        <f>($H726-$H727)*100</f>
        <v/>
      </c>
      <c r="DK726" s="65">
        <f>IFERROR($J726/$J727-1,"")</f>
        <v/>
      </c>
      <c r="DL726" s="64">
        <f>$L726-$L727</f>
        <v/>
      </c>
      <c r="DM726" s="64">
        <f>$K726-$K727</f>
        <v/>
      </c>
      <c r="DN726" s="65">
        <f>IFERROR($N726/$N727-1,"")</f>
        <v/>
      </c>
      <c r="DO726" s="65">
        <f>IFERROR($M726/$M727-1,"")</f>
        <v/>
      </c>
      <c r="DP726" s="65">
        <f>IFERROR($AZ726/$AZ727-1,"")</f>
        <v/>
      </c>
      <c r="DQ726" s="65">
        <f>IFERROR($BA726/$BA727-1,"")</f>
        <v/>
      </c>
      <c r="DR726" s="64">
        <f>$O726-$O727</f>
        <v/>
      </c>
      <c r="DS726" s="64">
        <f>$P726-$P727</f>
        <v/>
      </c>
      <c r="DT726" s="64">
        <f>$Q726-$Q727</f>
        <v/>
      </c>
      <c r="DU726" s="64">
        <f>$S726-$S727</f>
        <v/>
      </c>
      <c r="DV726" s="65">
        <f>IFERROR(AVERAGE($AA727/$AA726-1,$AB727/$AB726-1,$AC727/$AC726-1,$AD727/$AD726-1,$AE727/$AE726-1,$AG727/$AG726-1,$AH727/$AH726-1,$AI727/$AI726-1,$AJ727/$AJ726-1,$AL727/$AL726-1,$AM727/$AM726-1,$AR727/$AR726-1,$AS727/$AS726-1,$AT727/$AT726-1,$AU727/$AU726-1,$AV727/$AV726-1,$AW727/$AW726-1,$AX727/$AX726-1,$AY727/$AY726-1),"")</f>
        <v/>
      </c>
      <c r="DW726" s="66">
        <f>AVERAGE($CB726,$CC726,$CD726,$CE726,$CF726,$CG726,$CH726,$CI726,$CJ726,$CL726,$CM726,$CN726,$CO726,$CP726,$CQ726,$CR726,$CS726,$CT726)</f>
        <v/>
      </c>
      <c r="DX726" s="66">
        <f>AVERAGE($CB726,$CC726,$CM726,$CE726,$CP726)</f>
        <v/>
      </c>
      <c r="DY726" s="64">
        <f>($DW726-$DW727)*100</f>
        <v/>
      </c>
      <c r="DZ726" s="64">
        <f>($DX726-$DX727)*100</f>
        <v/>
      </c>
      <c r="EA726" s="64">
        <f>($DW726-$D726)*100</f>
        <v/>
      </c>
      <c r="EB726" s="64">
        <f>$Q726-$O726</f>
        <v/>
      </c>
      <c r="EC726" s="67">
        <f>IFERROR($Q726/$P726,"")</f>
        <v/>
      </c>
    </row>
    <row r="727">
      <c r="DG727" s="64">
        <f>($B727-$B728)*100</f>
        <v/>
      </c>
      <c r="DH727" s="64">
        <f>($D727-$D728)*100</f>
        <v/>
      </c>
      <c r="DI727" s="64">
        <f>($E727-$E728)*100</f>
        <v/>
      </c>
      <c r="DJ727" s="64">
        <f>($H727-$H728)*100</f>
        <v/>
      </c>
      <c r="DK727" s="65">
        <f>IFERROR($J727/$J728-1,"")</f>
        <v/>
      </c>
      <c r="DL727" s="64">
        <f>$L727-$L728</f>
        <v/>
      </c>
      <c r="DM727" s="64">
        <f>$K727-$K728</f>
        <v/>
      </c>
      <c r="DN727" s="65">
        <f>IFERROR($N727/$N728-1,"")</f>
        <v/>
      </c>
      <c r="DO727" s="65">
        <f>IFERROR($M727/$M728-1,"")</f>
        <v/>
      </c>
      <c r="DP727" s="65">
        <f>IFERROR($AZ727/$AZ728-1,"")</f>
        <v/>
      </c>
      <c r="DQ727" s="65">
        <f>IFERROR($BA727/$BA728-1,"")</f>
        <v/>
      </c>
      <c r="DR727" s="64">
        <f>$O727-$O728</f>
        <v/>
      </c>
      <c r="DS727" s="64">
        <f>$P727-$P728</f>
        <v/>
      </c>
      <c r="DT727" s="64">
        <f>$Q727-$Q728</f>
        <v/>
      </c>
      <c r="DU727" s="64">
        <f>$S727-$S728</f>
        <v/>
      </c>
      <c r="DV727" s="65">
        <f>IFERROR(AVERAGE($AA728/$AA727-1,$AB728/$AB727-1,$AC728/$AC727-1,$AD728/$AD727-1,$AE728/$AE727-1,$AG728/$AG727-1,$AH728/$AH727-1,$AI728/$AI727-1,$AJ728/$AJ727-1,$AL728/$AL727-1,$AM728/$AM727-1,$AR728/$AR727-1,$AS728/$AS727-1,$AT728/$AT727-1,$AU728/$AU727-1,$AV728/$AV727-1,$AW728/$AW727-1,$AX728/$AX727-1,$AY728/$AY727-1),"")</f>
        <v/>
      </c>
      <c r="DW727" s="66">
        <f>AVERAGE($CB727,$CC727,$CD727,$CE727,$CF727,$CG727,$CH727,$CI727,$CJ727,$CL727,$CM727,$CN727,$CO727,$CP727,$CQ727,$CR727,$CS727,$CT727)</f>
        <v/>
      </c>
      <c r="DX727" s="66">
        <f>AVERAGE($CB727,$CC727,$CM727,$CE727,$CP727)</f>
        <v/>
      </c>
      <c r="DY727" s="64">
        <f>($DW727-$DW728)*100</f>
        <v/>
      </c>
      <c r="DZ727" s="64">
        <f>($DX727-$DX728)*100</f>
        <v/>
      </c>
      <c r="EA727" s="64">
        <f>($DW727-$D727)*100</f>
        <v/>
      </c>
      <c r="EB727" s="64">
        <f>$Q727-$O727</f>
        <v/>
      </c>
      <c r="EC727" s="67">
        <f>IFERROR($Q727/$P727,"")</f>
        <v/>
      </c>
    </row>
    <row r="728">
      <c r="DG728" s="64">
        <f>($B728-$B729)*100</f>
        <v/>
      </c>
      <c r="DH728" s="64">
        <f>($D728-$D729)*100</f>
        <v/>
      </c>
      <c r="DI728" s="64">
        <f>($E728-$E729)*100</f>
        <v/>
      </c>
      <c r="DJ728" s="64">
        <f>($H728-$H729)*100</f>
        <v/>
      </c>
      <c r="DK728" s="65">
        <f>IFERROR($J728/$J729-1,"")</f>
        <v/>
      </c>
      <c r="DL728" s="64">
        <f>$L728-$L729</f>
        <v/>
      </c>
      <c r="DM728" s="64">
        <f>$K728-$K729</f>
        <v/>
      </c>
      <c r="DN728" s="65">
        <f>IFERROR($N728/$N729-1,"")</f>
        <v/>
      </c>
      <c r="DO728" s="65">
        <f>IFERROR($M728/$M729-1,"")</f>
        <v/>
      </c>
      <c r="DP728" s="65">
        <f>IFERROR($AZ728/$AZ729-1,"")</f>
        <v/>
      </c>
      <c r="DQ728" s="65">
        <f>IFERROR($BA728/$BA729-1,"")</f>
        <v/>
      </c>
      <c r="DR728" s="64">
        <f>$O728-$O729</f>
        <v/>
      </c>
      <c r="DS728" s="64">
        <f>$P728-$P729</f>
        <v/>
      </c>
      <c r="DT728" s="64">
        <f>$Q728-$Q729</f>
        <v/>
      </c>
      <c r="DU728" s="64">
        <f>$S728-$S729</f>
        <v/>
      </c>
      <c r="DV728" s="65">
        <f>IFERROR(AVERAGE($AA729/$AA728-1,$AB729/$AB728-1,$AC729/$AC728-1,$AD729/$AD728-1,$AE729/$AE728-1,$AG729/$AG728-1,$AH729/$AH728-1,$AI729/$AI728-1,$AJ729/$AJ728-1,$AL729/$AL728-1,$AM729/$AM728-1,$AR729/$AR728-1,$AS729/$AS728-1,$AT729/$AT728-1,$AU729/$AU728-1,$AV729/$AV728-1,$AW729/$AW728-1,$AX729/$AX728-1,$AY729/$AY728-1),"")</f>
        <v/>
      </c>
      <c r="DW728" s="66">
        <f>AVERAGE($CB728,$CC728,$CD728,$CE728,$CF728,$CG728,$CH728,$CI728,$CJ728,$CL728,$CM728,$CN728,$CO728,$CP728,$CQ728,$CR728,$CS728,$CT728)</f>
        <v/>
      </c>
      <c r="DX728" s="66">
        <f>AVERAGE($CB728,$CC728,$CM728,$CE728,$CP728)</f>
        <v/>
      </c>
      <c r="DY728" s="64">
        <f>($DW728-$DW729)*100</f>
        <v/>
      </c>
      <c r="DZ728" s="64">
        <f>($DX728-$DX729)*100</f>
        <v/>
      </c>
      <c r="EA728" s="64">
        <f>($DW728-$D728)*100</f>
        <v/>
      </c>
      <c r="EB728" s="64">
        <f>$Q728-$O728</f>
        <v/>
      </c>
      <c r="EC728" s="67">
        <f>IFERROR($Q728/$P728,"")</f>
        <v/>
      </c>
    </row>
    <row r="729">
      <c r="DG729" s="64">
        <f>($B729-$B730)*100</f>
        <v/>
      </c>
      <c r="DH729" s="64">
        <f>($D729-$D730)*100</f>
        <v/>
      </c>
      <c r="DI729" s="64">
        <f>($E729-$E730)*100</f>
        <v/>
      </c>
      <c r="DJ729" s="64">
        <f>($H729-$H730)*100</f>
        <v/>
      </c>
      <c r="DK729" s="65">
        <f>IFERROR($J729/$J730-1,"")</f>
        <v/>
      </c>
      <c r="DL729" s="64">
        <f>$L729-$L730</f>
        <v/>
      </c>
      <c r="DM729" s="64">
        <f>$K729-$K730</f>
        <v/>
      </c>
      <c r="DN729" s="65">
        <f>IFERROR($N729/$N730-1,"")</f>
        <v/>
      </c>
      <c r="DO729" s="65">
        <f>IFERROR($M729/$M730-1,"")</f>
        <v/>
      </c>
      <c r="DP729" s="65">
        <f>IFERROR($AZ729/$AZ730-1,"")</f>
        <v/>
      </c>
      <c r="DQ729" s="65">
        <f>IFERROR($BA729/$BA730-1,"")</f>
        <v/>
      </c>
      <c r="DR729" s="64">
        <f>$O729-$O730</f>
        <v/>
      </c>
      <c r="DS729" s="64">
        <f>$P729-$P730</f>
        <v/>
      </c>
      <c r="DT729" s="64">
        <f>$Q729-$Q730</f>
        <v/>
      </c>
      <c r="DU729" s="64">
        <f>$S729-$S730</f>
        <v/>
      </c>
      <c r="DV729" s="65">
        <f>IFERROR(AVERAGE($AA730/$AA729-1,$AB730/$AB729-1,$AC730/$AC729-1,$AD730/$AD729-1,$AE730/$AE729-1,$AG730/$AG729-1,$AH730/$AH729-1,$AI730/$AI729-1,$AJ730/$AJ729-1,$AL730/$AL729-1,$AM730/$AM729-1,$AR730/$AR729-1,$AS730/$AS729-1,$AT730/$AT729-1,$AU730/$AU729-1,$AV730/$AV729-1,$AW730/$AW729-1,$AX730/$AX729-1,$AY730/$AY729-1),"")</f>
        <v/>
      </c>
      <c r="DW729" s="66">
        <f>AVERAGE($CB729,$CC729,$CD729,$CE729,$CF729,$CG729,$CH729,$CI729,$CJ729,$CL729,$CM729,$CN729,$CO729,$CP729,$CQ729,$CR729,$CS729,$CT729)</f>
        <v/>
      </c>
      <c r="DX729" s="66">
        <f>AVERAGE($CB729,$CC729,$CM729,$CE729,$CP729)</f>
        <v/>
      </c>
      <c r="DY729" s="64">
        <f>($DW729-$DW730)*100</f>
        <v/>
      </c>
      <c r="DZ729" s="64">
        <f>($DX729-$DX730)*100</f>
        <v/>
      </c>
      <c r="EA729" s="64">
        <f>($DW729-$D729)*100</f>
        <v/>
      </c>
      <c r="EB729" s="64">
        <f>$Q729-$O729</f>
        <v/>
      </c>
      <c r="EC729" s="67">
        <f>IFERROR($Q729/$P729,"")</f>
        <v/>
      </c>
    </row>
    <row r="730">
      <c r="DG730" s="64">
        <f>($B730-$B731)*100</f>
        <v/>
      </c>
      <c r="DH730" s="64">
        <f>($D730-$D731)*100</f>
        <v/>
      </c>
      <c r="DI730" s="64">
        <f>($E730-$E731)*100</f>
        <v/>
      </c>
      <c r="DJ730" s="64">
        <f>($H730-$H731)*100</f>
        <v/>
      </c>
      <c r="DK730" s="65">
        <f>IFERROR($J730/$J731-1,"")</f>
        <v/>
      </c>
      <c r="DL730" s="64">
        <f>$L730-$L731</f>
        <v/>
      </c>
      <c r="DM730" s="64">
        <f>$K730-$K731</f>
        <v/>
      </c>
      <c r="DN730" s="65">
        <f>IFERROR($N730/$N731-1,"")</f>
        <v/>
      </c>
      <c r="DO730" s="65">
        <f>IFERROR($M730/$M731-1,"")</f>
        <v/>
      </c>
      <c r="DP730" s="65">
        <f>IFERROR($AZ730/$AZ731-1,"")</f>
        <v/>
      </c>
      <c r="DQ730" s="65">
        <f>IFERROR($BA730/$BA731-1,"")</f>
        <v/>
      </c>
      <c r="DR730" s="64">
        <f>$O730-$O731</f>
        <v/>
      </c>
      <c r="DS730" s="64">
        <f>$P730-$P731</f>
        <v/>
      </c>
      <c r="DT730" s="64">
        <f>$Q730-$Q731</f>
        <v/>
      </c>
      <c r="DU730" s="64">
        <f>$S730-$S731</f>
        <v/>
      </c>
      <c r="DV730" s="65">
        <f>IFERROR(AVERAGE($AA731/$AA730-1,$AB731/$AB730-1,$AC731/$AC730-1,$AD731/$AD730-1,$AE731/$AE730-1,$AG731/$AG730-1,$AH731/$AH730-1,$AI731/$AI730-1,$AJ731/$AJ730-1,$AL731/$AL730-1,$AM731/$AM730-1,$AR731/$AR730-1,$AS731/$AS730-1,$AT731/$AT730-1,$AU731/$AU730-1,$AV731/$AV730-1,$AW731/$AW730-1,$AX731/$AX730-1,$AY731/$AY730-1),"")</f>
        <v/>
      </c>
      <c r="DW730" s="66">
        <f>AVERAGE($CB730,$CC730,$CD730,$CE730,$CF730,$CG730,$CH730,$CI730,$CJ730,$CL730,$CM730,$CN730,$CO730,$CP730,$CQ730,$CR730,$CS730,$CT730)</f>
        <v/>
      </c>
      <c r="DX730" s="66">
        <f>AVERAGE($CB730,$CC730,$CM730,$CE730,$CP730)</f>
        <v/>
      </c>
      <c r="DY730" s="64">
        <f>($DW730-$DW731)*100</f>
        <v/>
      </c>
      <c r="DZ730" s="64">
        <f>($DX730-$DX731)*100</f>
        <v/>
      </c>
      <c r="EA730" s="64">
        <f>($DW730-$D730)*100</f>
        <v/>
      </c>
      <c r="EB730" s="64">
        <f>$Q730-$O730</f>
        <v/>
      </c>
      <c r="EC730" s="67">
        <f>IFERROR($Q730/$P730,"")</f>
        <v/>
      </c>
    </row>
    <row r="731">
      <c r="DG731" s="64">
        <f>($B731-$B732)*100</f>
        <v/>
      </c>
      <c r="DH731" s="64">
        <f>($D731-$D732)*100</f>
        <v/>
      </c>
      <c r="DI731" s="64">
        <f>($E731-$E732)*100</f>
        <v/>
      </c>
      <c r="DJ731" s="64">
        <f>($H731-$H732)*100</f>
        <v/>
      </c>
      <c r="DK731" s="65">
        <f>IFERROR($J731/$J732-1,"")</f>
        <v/>
      </c>
      <c r="DL731" s="64">
        <f>$L731-$L732</f>
        <v/>
      </c>
      <c r="DM731" s="64">
        <f>$K731-$K732</f>
        <v/>
      </c>
      <c r="DN731" s="65">
        <f>IFERROR($N731/$N732-1,"")</f>
        <v/>
      </c>
      <c r="DO731" s="65">
        <f>IFERROR($M731/$M732-1,"")</f>
        <v/>
      </c>
      <c r="DP731" s="65">
        <f>IFERROR($AZ731/$AZ732-1,"")</f>
        <v/>
      </c>
      <c r="DQ731" s="65">
        <f>IFERROR($BA731/$BA732-1,"")</f>
        <v/>
      </c>
      <c r="DR731" s="64">
        <f>$O731-$O732</f>
        <v/>
      </c>
      <c r="DS731" s="64">
        <f>$P731-$P732</f>
        <v/>
      </c>
      <c r="DT731" s="64">
        <f>$Q731-$Q732</f>
        <v/>
      </c>
      <c r="DU731" s="64">
        <f>$S731-$S732</f>
        <v/>
      </c>
      <c r="DV731" s="65">
        <f>IFERROR(AVERAGE($AA732/$AA731-1,$AB732/$AB731-1,$AC732/$AC731-1,$AD732/$AD731-1,$AE732/$AE731-1,$AG732/$AG731-1,$AH732/$AH731-1,$AI732/$AI731-1,$AJ732/$AJ731-1,$AL732/$AL731-1,$AM732/$AM731-1,$AR732/$AR731-1,$AS732/$AS731-1,$AT732/$AT731-1,$AU732/$AU731-1,$AV732/$AV731-1,$AW732/$AW731-1,$AX732/$AX731-1,$AY732/$AY731-1),"")</f>
        <v/>
      </c>
      <c r="DW731" s="66">
        <f>AVERAGE($CB731,$CC731,$CD731,$CE731,$CF731,$CG731,$CH731,$CI731,$CJ731,$CL731,$CM731,$CN731,$CO731,$CP731,$CQ731,$CR731,$CS731,$CT731)</f>
        <v/>
      </c>
      <c r="DX731" s="66">
        <f>AVERAGE($CB731,$CC731,$CM731,$CE731,$CP731)</f>
        <v/>
      </c>
      <c r="DY731" s="64">
        <f>($DW731-$DW732)*100</f>
        <v/>
      </c>
      <c r="DZ731" s="64">
        <f>($DX731-$DX732)*100</f>
        <v/>
      </c>
      <c r="EA731" s="64">
        <f>($DW731-$D731)*100</f>
        <v/>
      </c>
      <c r="EB731" s="64">
        <f>$Q731-$O731</f>
        <v/>
      </c>
      <c r="EC731" s="67">
        <f>IFERROR($Q731/$P731,"")</f>
        <v/>
      </c>
    </row>
    <row r="732">
      <c r="DG732" s="64">
        <f>($B732-$B733)*100</f>
        <v/>
      </c>
      <c r="DH732" s="64">
        <f>($D732-$D733)*100</f>
        <v/>
      </c>
      <c r="DI732" s="64">
        <f>($E732-$E733)*100</f>
        <v/>
      </c>
      <c r="DJ732" s="64">
        <f>($H732-$H733)*100</f>
        <v/>
      </c>
      <c r="DK732" s="65">
        <f>IFERROR($J732/$J733-1,"")</f>
        <v/>
      </c>
      <c r="DL732" s="64">
        <f>$L732-$L733</f>
        <v/>
      </c>
      <c r="DM732" s="64">
        <f>$K732-$K733</f>
        <v/>
      </c>
      <c r="DN732" s="65">
        <f>IFERROR($N732/$N733-1,"")</f>
        <v/>
      </c>
      <c r="DO732" s="65">
        <f>IFERROR($M732/$M733-1,"")</f>
        <v/>
      </c>
      <c r="DP732" s="65">
        <f>IFERROR($AZ732/$AZ733-1,"")</f>
        <v/>
      </c>
      <c r="DQ732" s="65">
        <f>IFERROR($BA732/$BA733-1,"")</f>
        <v/>
      </c>
      <c r="DR732" s="64">
        <f>$O732-$O733</f>
        <v/>
      </c>
      <c r="DS732" s="64">
        <f>$P732-$P733</f>
        <v/>
      </c>
      <c r="DT732" s="64">
        <f>$Q732-$Q733</f>
        <v/>
      </c>
      <c r="DU732" s="64">
        <f>$S732-$S733</f>
        <v/>
      </c>
      <c r="DV732" s="65">
        <f>IFERROR(AVERAGE($AA733/$AA732-1,$AB733/$AB732-1,$AC733/$AC732-1,$AD733/$AD732-1,$AE733/$AE732-1,$AG733/$AG732-1,$AH733/$AH732-1,$AI733/$AI732-1,$AJ733/$AJ732-1,$AL733/$AL732-1,$AM733/$AM732-1,$AR733/$AR732-1,$AS733/$AS732-1,$AT733/$AT732-1,$AU733/$AU732-1,$AV733/$AV732-1,$AW733/$AW732-1,$AX733/$AX732-1,$AY733/$AY732-1),"")</f>
        <v/>
      </c>
      <c r="DW732" s="66">
        <f>AVERAGE($CB732,$CC732,$CD732,$CE732,$CF732,$CG732,$CH732,$CI732,$CJ732,$CL732,$CM732,$CN732,$CO732,$CP732,$CQ732,$CR732,$CS732,$CT732)</f>
        <v/>
      </c>
      <c r="DX732" s="66">
        <f>AVERAGE($CB732,$CC732,$CM732,$CE732,$CP732)</f>
        <v/>
      </c>
      <c r="DY732" s="64">
        <f>($DW732-$DW733)*100</f>
        <v/>
      </c>
      <c r="DZ732" s="64">
        <f>($DX732-$DX733)*100</f>
        <v/>
      </c>
      <c r="EA732" s="64">
        <f>($DW732-$D732)*100</f>
        <v/>
      </c>
      <c r="EB732" s="64">
        <f>$Q732-$O732</f>
        <v/>
      </c>
      <c r="EC732" s="67">
        <f>IFERROR($Q732/$P732,"")</f>
        <v/>
      </c>
    </row>
    <row r="733">
      <c r="DG733" s="64">
        <f>($B733-$B734)*100</f>
        <v/>
      </c>
      <c r="DH733" s="64">
        <f>($D733-$D734)*100</f>
        <v/>
      </c>
      <c r="DI733" s="64">
        <f>($E733-$E734)*100</f>
        <v/>
      </c>
      <c r="DJ733" s="64">
        <f>($H733-$H734)*100</f>
        <v/>
      </c>
      <c r="DK733" s="65">
        <f>IFERROR($J733/$J734-1,"")</f>
        <v/>
      </c>
      <c r="DL733" s="64">
        <f>$L733-$L734</f>
        <v/>
      </c>
      <c r="DM733" s="64">
        <f>$K733-$K734</f>
        <v/>
      </c>
      <c r="DN733" s="65">
        <f>IFERROR($N733/$N734-1,"")</f>
        <v/>
      </c>
      <c r="DO733" s="65">
        <f>IFERROR($M733/$M734-1,"")</f>
        <v/>
      </c>
      <c r="DP733" s="65">
        <f>IFERROR($AZ733/$AZ734-1,"")</f>
        <v/>
      </c>
      <c r="DQ733" s="65">
        <f>IFERROR($BA733/$BA734-1,"")</f>
        <v/>
      </c>
      <c r="DR733" s="64">
        <f>$O733-$O734</f>
        <v/>
      </c>
      <c r="DS733" s="64">
        <f>$P733-$P734</f>
        <v/>
      </c>
      <c r="DT733" s="64">
        <f>$Q733-$Q734</f>
        <v/>
      </c>
      <c r="DU733" s="64">
        <f>$S733-$S734</f>
        <v/>
      </c>
      <c r="DV733" s="65">
        <f>IFERROR(AVERAGE($AA734/$AA733-1,$AB734/$AB733-1,$AC734/$AC733-1,$AD734/$AD733-1,$AE734/$AE733-1,$AG734/$AG733-1,$AH734/$AH733-1,$AI734/$AI733-1,$AJ734/$AJ733-1,$AL734/$AL733-1,$AM734/$AM733-1,$AR734/$AR733-1,$AS734/$AS733-1,$AT734/$AT733-1,$AU734/$AU733-1,$AV734/$AV733-1,$AW734/$AW733-1,$AX734/$AX733-1,$AY734/$AY733-1),"")</f>
        <v/>
      </c>
      <c r="DW733" s="66">
        <f>AVERAGE($CB733,$CC733,$CD733,$CE733,$CF733,$CG733,$CH733,$CI733,$CJ733,$CL733,$CM733,$CN733,$CO733,$CP733,$CQ733,$CR733,$CS733,$CT733)</f>
        <v/>
      </c>
      <c r="DX733" s="66">
        <f>AVERAGE($CB733,$CC733,$CM733,$CE733,$CP733)</f>
        <v/>
      </c>
      <c r="DY733" s="64">
        <f>($DW733-$DW734)*100</f>
        <v/>
      </c>
      <c r="DZ733" s="64">
        <f>($DX733-$DX734)*100</f>
        <v/>
      </c>
      <c r="EA733" s="64">
        <f>($DW733-$D733)*100</f>
        <v/>
      </c>
      <c r="EB733" s="64">
        <f>$Q733-$O733</f>
        <v/>
      </c>
      <c r="EC733" s="67">
        <f>IFERROR($Q733/$P733,"")</f>
        <v/>
      </c>
    </row>
    <row r="734">
      <c r="DG734" s="64">
        <f>($B734-$B735)*100</f>
        <v/>
      </c>
      <c r="DH734" s="64">
        <f>($D734-$D735)*100</f>
        <v/>
      </c>
      <c r="DI734" s="64">
        <f>($E734-$E735)*100</f>
        <v/>
      </c>
      <c r="DJ734" s="64">
        <f>($H734-$H735)*100</f>
        <v/>
      </c>
      <c r="DK734" s="65">
        <f>IFERROR($J734/$J735-1,"")</f>
        <v/>
      </c>
      <c r="DL734" s="64">
        <f>$L734-$L735</f>
        <v/>
      </c>
      <c r="DM734" s="64">
        <f>$K734-$K735</f>
        <v/>
      </c>
      <c r="DN734" s="65">
        <f>IFERROR($N734/$N735-1,"")</f>
        <v/>
      </c>
      <c r="DO734" s="65">
        <f>IFERROR($M734/$M735-1,"")</f>
        <v/>
      </c>
      <c r="DP734" s="65">
        <f>IFERROR($AZ734/$AZ735-1,"")</f>
        <v/>
      </c>
      <c r="DQ734" s="65">
        <f>IFERROR($BA734/$BA735-1,"")</f>
        <v/>
      </c>
      <c r="DR734" s="64">
        <f>$O734-$O735</f>
        <v/>
      </c>
      <c r="DS734" s="64">
        <f>$P734-$P735</f>
        <v/>
      </c>
      <c r="DT734" s="64">
        <f>$Q734-$Q735</f>
        <v/>
      </c>
      <c r="DU734" s="64">
        <f>$S734-$S735</f>
        <v/>
      </c>
      <c r="DV734" s="65">
        <f>IFERROR(AVERAGE($AA735/$AA734-1,$AB735/$AB734-1,$AC735/$AC734-1,$AD735/$AD734-1,$AE735/$AE734-1,$AG735/$AG734-1,$AH735/$AH734-1,$AI735/$AI734-1,$AJ735/$AJ734-1,$AL735/$AL734-1,$AM735/$AM734-1,$AR735/$AR734-1,$AS735/$AS734-1,$AT735/$AT734-1,$AU735/$AU734-1,$AV735/$AV734-1,$AW735/$AW734-1,$AX735/$AX734-1,$AY735/$AY734-1),"")</f>
        <v/>
      </c>
      <c r="DW734" s="66">
        <f>AVERAGE($CB734,$CC734,$CD734,$CE734,$CF734,$CG734,$CH734,$CI734,$CJ734,$CL734,$CM734,$CN734,$CO734,$CP734,$CQ734,$CR734,$CS734,$CT734)</f>
        <v/>
      </c>
      <c r="DX734" s="66">
        <f>AVERAGE($CB734,$CC734,$CM734,$CE734,$CP734)</f>
        <v/>
      </c>
      <c r="DY734" s="64">
        <f>($DW734-$DW735)*100</f>
        <v/>
      </c>
      <c r="DZ734" s="64">
        <f>($DX734-$DX735)*100</f>
        <v/>
      </c>
      <c r="EA734" s="64">
        <f>($DW734-$D734)*100</f>
        <v/>
      </c>
      <c r="EB734" s="64">
        <f>$Q734-$O734</f>
        <v/>
      </c>
      <c r="EC734" s="67">
        <f>IFERROR($Q734/$P734,"")</f>
        <v/>
      </c>
    </row>
    <row r="735">
      <c r="DG735" s="64">
        <f>($B735-$B736)*100</f>
        <v/>
      </c>
      <c r="DH735" s="64">
        <f>($D735-$D736)*100</f>
        <v/>
      </c>
      <c r="DI735" s="64">
        <f>($E735-$E736)*100</f>
        <v/>
      </c>
      <c r="DJ735" s="64">
        <f>($H735-$H736)*100</f>
        <v/>
      </c>
      <c r="DK735" s="65">
        <f>IFERROR($J735/$J736-1,"")</f>
        <v/>
      </c>
      <c r="DL735" s="64">
        <f>$L735-$L736</f>
        <v/>
      </c>
      <c r="DM735" s="64">
        <f>$K735-$K736</f>
        <v/>
      </c>
      <c r="DN735" s="65">
        <f>IFERROR($N735/$N736-1,"")</f>
        <v/>
      </c>
      <c r="DO735" s="65">
        <f>IFERROR($M735/$M736-1,"")</f>
        <v/>
      </c>
      <c r="DP735" s="65">
        <f>IFERROR($AZ735/$AZ736-1,"")</f>
        <v/>
      </c>
      <c r="DQ735" s="65">
        <f>IFERROR($BA735/$BA736-1,"")</f>
        <v/>
      </c>
      <c r="DR735" s="64">
        <f>$O735-$O736</f>
        <v/>
      </c>
      <c r="DS735" s="64">
        <f>$P735-$P736</f>
        <v/>
      </c>
      <c r="DT735" s="64">
        <f>$Q735-$Q736</f>
        <v/>
      </c>
      <c r="DU735" s="64">
        <f>$S735-$S736</f>
        <v/>
      </c>
      <c r="DV735" s="65">
        <f>IFERROR(AVERAGE($AA736/$AA735-1,$AB736/$AB735-1,$AC736/$AC735-1,$AD736/$AD735-1,$AE736/$AE735-1,$AG736/$AG735-1,$AH736/$AH735-1,$AI736/$AI735-1,$AJ736/$AJ735-1,$AL736/$AL735-1,$AM736/$AM735-1,$AR736/$AR735-1,$AS736/$AS735-1,$AT736/$AT735-1,$AU736/$AU735-1,$AV736/$AV735-1,$AW736/$AW735-1,$AX736/$AX735-1,$AY736/$AY735-1),"")</f>
        <v/>
      </c>
      <c r="DW735" s="66">
        <f>AVERAGE($CB735,$CC735,$CD735,$CE735,$CF735,$CG735,$CH735,$CI735,$CJ735,$CL735,$CM735,$CN735,$CO735,$CP735,$CQ735,$CR735,$CS735,$CT735)</f>
        <v/>
      </c>
      <c r="DX735" s="66">
        <f>AVERAGE($CB735,$CC735,$CM735,$CE735,$CP735)</f>
        <v/>
      </c>
      <c r="DY735" s="64">
        <f>($DW735-$DW736)*100</f>
        <v/>
      </c>
      <c r="DZ735" s="64">
        <f>($DX735-$DX736)*100</f>
        <v/>
      </c>
      <c r="EA735" s="64">
        <f>($DW735-$D735)*100</f>
        <v/>
      </c>
      <c r="EB735" s="64">
        <f>$Q735-$O735</f>
        <v/>
      </c>
      <c r="EC735" s="67">
        <f>IFERROR($Q735/$P735,"")</f>
        <v/>
      </c>
    </row>
    <row r="736">
      <c r="DG736" s="64">
        <f>($B736-$B737)*100</f>
        <v/>
      </c>
      <c r="DH736" s="64">
        <f>($D736-$D737)*100</f>
        <v/>
      </c>
      <c r="DI736" s="64">
        <f>($E736-$E737)*100</f>
        <v/>
      </c>
      <c r="DJ736" s="64">
        <f>($H736-$H737)*100</f>
        <v/>
      </c>
      <c r="DK736" s="65">
        <f>IFERROR($J736/$J737-1,"")</f>
        <v/>
      </c>
      <c r="DL736" s="64">
        <f>$L736-$L737</f>
        <v/>
      </c>
      <c r="DM736" s="64">
        <f>$K736-$K737</f>
        <v/>
      </c>
      <c r="DN736" s="65">
        <f>IFERROR($N736/$N737-1,"")</f>
        <v/>
      </c>
      <c r="DO736" s="65">
        <f>IFERROR($M736/$M737-1,"")</f>
        <v/>
      </c>
      <c r="DP736" s="65">
        <f>IFERROR($AZ736/$AZ737-1,"")</f>
        <v/>
      </c>
      <c r="DQ736" s="65">
        <f>IFERROR($BA736/$BA737-1,"")</f>
        <v/>
      </c>
      <c r="DR736" s="64">
        <f>$O736-$O737</f>
        <v/>
      </c>
      <c r="DS736" s="64">
        <f>$P736-$P737</f>
        <v/>
      </c>
      <c r="DT736" s="64">
        <f>$Q736-$Q737</f>
        <v/>
      </c>
      <c r="DU736" s="64">
        <f>$S736-$S737</f>
        <v/>
      </c>
      <c r="DV736" s="65">
        <f>IFERROR(AVERAGE($AA737/$AA736-1,$AB737/$AB736-1,$AC737/$AC736-1,$AD737/$AD736-1,$AE737/$AE736-1,$AG737/$AG736-1,$AH737/$AH736-1,$AI737/$AI736-1,$AJ737/$AJ736-1,$AL737/$AL736-1,$AM737/$AM736-1,$AR737/$AR736-1,$AS737/$AS736-1,$AT737/$AT736-1,$AU737/$AU736-1,$AV737/$AV736-1,$AW737/$AW736-1,$AX737/$AX736-1,$AY737/$AY736-1),"")</f>
        <v/>
      </c>
      <c r="DW736" s="66">
        <f>AVERAGE($CB736,$CC736,$CD736,$CE736,$CF736,$CG736,$CH736,$CI736,$CJ736,$CL736,$CM736,$CN736,$CO736,$CP736,$CQ736,$CR736,$CS736,$CT736)</f>
        <v/>
      </c>
      <c r="DX736" s="66">
        <f>AVERAGE($CB736,$CC736,$CM736,$CE736,$CP736)</f>
        <v/>
      </c>
      <c r="DY736" s="64">
        <f>($DW736-$DW737)*100</f>
        <v/>
      </c>
      <c r="DZ736" s="64">
        <f>($DX736-$DX737)*100</f>
        <v/>
      </c>
      <c r="EA736" s="64">
        <f>($DW736-$D736)*100</f>
        <v/>
      </c>
      <c r="EB736" s="64">
        <f>$Q736-$O736</f>
        <v/>
      </c>
      <c r="EC736" s="67">
        <f>IFERROR($Q736/$P736,"")</f>
        <v/>
      </c>
    </row>
    <row r="737">
      <c r="DG737" s="64">
        <f>($B737-$B738)*100</f>
        <v/>
      </c>
      <c r="DH737" s="64">
        <f>($D737-$D738)*100</f>
        <v/>
      </c>
      <c r="DI737" s="64">
        <f>($E737-$E738)*100</f>
        <v/>
      </c>
      <c r="DJ737" s="64">
        <f>($H737-$H738)*100</f>
        <v/>
      </c>
      <c r="DK737" s="65">
        <f>IFERROR($J737/$J738-1,"")</f>
        <v/>
      </c>
      <c r="DL737" s="64">
        <f>$L737-$L738</f>
        <v/>
      </c>
      <c r="DM737" s="64">
        <f>$K737-$K738</f>
        <v/>
      </c>
      <c r="DN737" s="65">
        <f>IFERROR($N737/$N738-1,"")</f>
        <v/>
      </c>
      <c r="DO737" s="65">
        <f>IFERROR($M737/$M738-1,"")</f>
        <v/>
      </c>
      <c r="DP737" s="65">
        <f>IFERROR($AZ737/$AZ738-1,"")</f>
        <v/>
      </c>
      <c r="DQ737" s="65">
        <f>IFERROR($BA737/$BA738-1,"")</f>
        <v/>
      </c>
      <c r="DR737" s="64">
        <f>$O737-$O738</f>
        <v/>
      </c>
      <c r="DS737" s="64">
        <f>$P737-$P738</f>
        <v/>
      </c>
      <c r="DT737" s="64">
        <f>$Q737-$Q738</f>
        <v/>
      </c>
      <c r="DU737" s="64">
        <f>$S737-$S738</f>
        <v/>
      </c>
      <c r="DV737" s="65">
        <f>IFERROR(AVERAGE($AA738/$AA737-1,$AB738/$AB737-1,$AC738/$AC737-1,$AD738/$AD737-1,$AE738/$AE737-1,$AG738/$AG737-1,$AH738/$AH737-1,$AI738/$AI737-1,$AJ738/$AJ737-1,$AL738/$AL737-1,$AM738/$AM737-1,$AR738/$AR737-1,$AS738/$AS737-1,$AT738/$AT737-1,$AU738/$AU737-1,$AV738/$AV737-1,$AW738/$AW737-1,$AX738/$AX737-1,$AY738/$AY737-1),"")</f>
        <v/>
      </c>
      <c r="DW737" s="66">
        <f>AVERAGE($CB737,$CC737,$CD737,$CE737,$CF737,$CG737,$CH737,$CI737,$CJ737,$CL737,$CM737,$CN737,$CO737,$CP737,$CQ737,$CR737,$CS737,$CT737)</f>
        <v/>
      </c>
      <c r="DX737" s="66">
        <f>AVERAGE($CB737,$CC737,$CM737,$CE737,$CP737)</f>
        <v/>
      </c>
      <c r="DY737" s="64">
        <f>($DW737-$DW738)*100</f>
        <v/>
      </c>
      <c r="DZ737" s="64">
        <f>($DX737-$DX738)*100</f>
        <v/>
      </c>
      <c r="EA737" s="64">
        <f>($DW737-$D737)*100</f>
        <v/>
      </c>
      <c r="EB737" s="64">
        <f>$Q737-$O737</f>
        <v/>
      </c>
      <c r="EC737" s="67">
        <f>IFERROR($Q737/$P737,"")</f>
        <v/>
      </c>
    </row>
    <row r="738">
      <c r="DG738" s="64">
        <f>($B738-$B739)*100</f>
        <v/>
      </c>
      <c r="DH738" s="64">
        <f>($D738-$D739)*100</f>
        <v/>
      </c>
      <c r="DI738" s="64">
        <f>($E738-$E739)*100</f>
        <v/>
      </c>
      <c r="DJ738" s="64">
        <f>($H738-$H739)*100</f>
        <v/>
      </c>
      <c r="DK738" s="65">
        <f>IFERROR($J738/$J739-1,"")</f>
        <v/>
      </c>
      <c r="DL738" s="64">
        <f>$L738-$L739</f>
        <v/>
      </c>
      <c r="DM738" s="64">
        <f>$K738-$K739</f>
        <v/>
      </c>
      <c r="DN738" s="65">
        <f>IFERROR($N738/$N739-1,"")</f>
        <v/>
      </c>
      <c r="DO738" s="65">
        <f>IFERROR($M738/$M739-1,"")</f>
        <v/>
      </c>
      <c r="DP738" s="65">
        <f>IFERROR($AZ738/$AZ739-1,"")</f>
        <v/>
      </c>
      <c r="DQ738" s="65">
        <f>IFERROR($BA738/$BA739-1,"")</f>
        <v/>
      </c>
      <c r="DR738" s="64">
        <f>$O738-$O739</f>
        <v/>
      </c>
      <c r="DS738" s="64">
        <f>$P738-$P739</f>
        <v/>
      </c>
      <c r="DT738" s="64">
        <f>$Q738-$Q739</f>
        <v/>
      </c>
      <c r="DU738" s="64">
        <f>$S738-$S739</f>
        <v/>
      </c>
      <c r="DV738" s="65">
        <f>IFERROR(AVERAGE($AA739/$AA738-1,$AB739/$AB738-1,$AC739/$AC738-1,$AD739/$AD738-1,$AE739/$AE738-1,$AG739/$AG738-1,$AH739/$AH738-1,$AI739/$AI738-1,$AJ739/$AJ738-1,$AL739/$AL738-1,$AM739/$AM738-1,$AR739/$AR738-1,$AS739/$AS738-1,$AT739/$AT738-1,$AU739/$AU738-1,$AV739/$AV738-1,$AW739/$AW738-1,$AX739/$AX738-1,$AY739/$AY738-1),"")</f>
        <v/>
      </c>
      <c r="DW738" s="66">
        <f>AVERAGE($CB738,$CC738,$CD738,$CE738,$CF738,$CG738,$CH738,$CI738,$CJ738,$CL738,$CM738,$CN738,$CO738,$CP738,$CQ738,$CR738,$CS738,$CT738)</f>
        <v/>
      </c>
      <c r="DX738" s="66">
        <f>AVERAGE($CB738,$CC738,$CM738,$CE738,$CP738)</f>
        <v/>
      </c>
      <c r="DY738" s="64">
        <f>($DW738-$DW739)*100</f>
        <v/>
      </c>
      <c r="DZ738" s="64">
        <f>($DX738-$DX739)*100</f>
        <v/>
      </c>
      <c r="EA738" s="64">
        <f>($DW738-$D738)*100</f>
        <v/>
      </c>
      <c r="EB738" s="64">
        <f>$Q738-$O738</f>
        <v/>
      </c>
      <c r="EC738" s="67">
        <f>IFERROR($Q738/$P738,"")</f>
        <v/>
      </c>
    </row>
    <row r="739">
      <c r="DG739" s="64">
        <f>($B739-$B740)*100</f>
        <v/>
      </c>
      <c r="DH739" s="64">
        <f>($D739-$D740)*100</f>
        <v/>
      </c>
      <c r="DI739" s="64">
        <f>($E739-$E740)*100</f>
        <v/>
      </c>
      <c r="DJ739" s="64">
        <f>($H739-$H740)*100</f>
        <v/>
      </c>
      <c r="DK739" s="65">
        <f>IFERROR($J739/$J740-1,"")</f>
        <v/>
      </c>
      <c r="DL739" s="64">
        <f>$L739-$L740</f>
        <v/>
      </c>
      <c r="DM739" s="64">
        <f>$K739-$K740</f>
        <v/>
      </c>
      <c r="DN739" s="65">
        <f>IFERROR($N739/$N740-1,"")</f>
        <v/>
      </c>
      <c r="DO739" s="65">
        <f>IFERROR($M739/$M740-1,"")</f>
        <v/>
      </c>
      <c r="DP739" s="65">
        <f>IFERROR($AZ739/$AZ740-1,"")</f>
        <v/>
      </c>
      <c r="DQ739" s="65">
        <f>IFERROR($BA739/$BA740-1,"")</f>
        <v/>
      </c>
      <c r="DR739" s="64">
        <f>$O739-$O740</f>
        <v/>
      </c>
      <c r="DS739" s="64">
        <f>$P739-$P740</f>
        <v/>
      </c>
      <c r="DT739" s="64">
        <f>$Q739-$Q740</f>
        <v/>
      </c>
      <c r="DU739" s="64">
        <f>$S739-$S740</f>
        <v/>
      </c>
      <c r="DV739" s="65">
        <f>IFERROR(AVERAGE($AA740/$AA739-1,$AB740/$AB739-1,$AC740/$AC739-1,$AD740/$AD739-1,$AE740/$AE739-1,$AG740/$AG739-1,$AH740/$AH739-1,$AI740/$AI739-1,$AJ740/$AJ739-1,$AL740/$AL739-1,$AM740/$AM739-1,$AR740/$AR739-1,$AS740/$AS739-1,$AT740/$AT739-1,$AU740/$AU739-1,$AV740/$AV739-1,$AW740/$AW739-1,$AX740/$AX739-1,$AY740/$AY739-1),"")</f>
        <v/>
      </c>
      <c r="DW739" s="66">
        <f>AVERAGE($CB739,$CC739,$CD739,$CE739,$CF739,$CG739,$CH739,$CI739,$CJ739,$CL739,$CM739,$CN739,$CO739,$CP739,$CQ739,$CR739,$CS739,$CT739)</f>
        <v/>
      </c>
      <c r="DX739" s="66">
        <f>AVERAGE($CB739,$CC739,$CM739,$CE739,$CP739)</f>
        <v/>
      </c>
      <c r="DY739" s="64">
        <f>($DW739-$DW740)*100</f>
        <v/>
      </c>
      <c r="DZ739" s="64">
        <f>($DX739-$DX740)*100</f>
        <v/>
      </c>
      <c r="EA739" s="64">
        <f>($DW739-$D739)*100</f>
        <v/>
      </c>
      <c r="EB739" s="64">
        <f>$Q739-$O739</f>
        <v/>
      </c>
      <c r="EC739" s="67">
        <f>IFERROR($Q739/$P739,"")</f>
        <v/>
      </c>
    </row>
    <row r="740">
      <c r="DG740" s="64">
        <f>($B740-$B741)*100</f>
        <v/>
      </c>
      <c r="DH740" s="64">
        <f>($D740-$D741)*100</f>
        <v/>
      </c>
      <c r="DI740" s="64">
        <f>($E740-$E741)*100</f>
        <v/>
      </c>
      <c r="DJ740" s="64">
        <f>($H740-$H741)*100</f>
        <v/>
      </c>
      <c r="DK740" s="65">
        <f>IFERROR($J740/$J741-1,"")</f>
        <v/>
      </c>
      <c r="DL740" s="64">
        <f>$L740-$L741</f>
        <v/>
      </c>
      <c r="DM740" s="64">
        <f>$K740-$K741</f>
        <v/>
      </c>
      <c r="DN740" s="65">
        <f>IFERROR($N740/$N741-1,"")</f>
        <v/>
      </c>
      <c r="DO740" s="65">
        <f>IFERROR($M740/$M741-1,"")</f>
        <v/>
      </c>
      <c r="DP740" s="65">
        <f>IFERROR($AZ740/$AZ741-1,"")</f>
        <v/>
      </c>
      <c r="DQ740" s="65">
        <f>IFERROR($BA740/$BA741-1,"")</f>
        <v/>
      </c>
      <c r="DR740" s="64">
        <f>$O740-$O741</f>
        <v/>
      </c>
      <c r="DS740" s="64">
        <f>$P740-$P741</f>
        <v/>
      </c>
      <c r="DT740" s="64">
        <f>$Q740-$Q741</f>
        <v/>
      </c>
      <c r="DU740" s="64">
        <f>$S740-$S741</f>
        <v/>
      </c>
      <c r="DV740" s="65">
        <f>IFERROR(AVERAGE($AA741/$AA740-1,$AB741/$AB740-1,$AC741/$AC740-1,$AD741/$AD740-1,$AE741/$AE740-1,$AG741/$AG740-1,$AH741/$AH740-1,$AI741/$AI740-1,$AJ741/$AJ740-1,$AL741/$AL740-1,$AM741/$AM740-1,$AR741/$AR740-1,$AS741/$AS740-1,$AT741/$AT740-1,$AU741/$AU740-1,$AV741/$AV740-1,$AW741/$AW740-1,$AX741/$AX740-1,$AY741/$AY740-1),"")</f>
        <v/>
      </c>
      <c r="DW740" s="66">
        <f>AVERAGE($CB740,$CC740,$CD740,$CE740,$CF740,$CG740,$CH740,$CI740,$CJ740,$CL740,$CM740,$CN740,$CO740,$CP740,$CQ740,$CR740,$CS740,$CT740)</f>
        <v/>
      </c>
      <c r="DX740" s="66">
        <f>AVERAGE($CB740,$CC740,$CM740,$CE740,$CP740)</f>
        <v/>
      </c>
      <c r="DY740" s="64">
        <f>($DW740-$DW741)*100</f>
        <v/>
      </c>
      <c r="DZ740" s="64">
        <f>($DX740-$DX741)*100</f>
        <v/>
      </c>
      <c r="EA740" s="64">
        <f>($DW740-$D740)*100</f>
        <v/>
      </c>
      <c r="EB740" s="64">
        <f>$Q740-$O740</f>
        <v/>
      </c>
      <c r="EC740" s="67">
        <f>IFERROR($Q740/$P740,"")</f>
        <v/>
      </c>
    </row>
    <row r="741">
      <c r="DG741" s="64">
        <f>($B741-$B742)*100</f>
        <v/>
      </c>
      <c r="DH741" s="64">
        <f>($D741-$D742)*100</f>
        <v/>
      </c>
      <c r="DI741" s="64">
        <f>($E741-$E742)*100</f>
        <v/>
      </c>
      <c r="DJ741" s="64">
        <f>($H741-$H742)*100</f>
        <v/>
      </c>
      <c r="DK741" s="65">
        <f>IFERROR($J741/$J742-1,"")</f>
        <v/>
      </c>
      <c r="DL741" s="64">
        <f>$L741-$L742</f>
        <v/>
      </c>
      <c r="DM741" s="64">
        <f>$K741-$K742</f>
        <v/>
      </c>
      <c r="DN741" s="65">
        <f>IFERROR($N741/$N742-1,"")</f>
        <v/>
      </c>
      <c r="DO741" s="65">
        <f>IFERROR($M741/$M742-1,"")</f>
        <v/>
      </c>
      <c r="DP741" s="65">
        <f>IFERROR($AZ741/$AZ742-1,"")</f>
        <v/>
      </c>
      <c r="DQ741" s="65">
        <f>IFERROR($BA741/$BA742-1,"")</f>
        <v/>
      </c>
      <c r="DR741" s="64">
        <f>$O741-$O742</f>
        <v/>
      </c>
      <c r="DS741" s="64">
        <f>$P741-$P742</f>
        <v/>
      </c>
      <c r="DT741" s="64">
        <f>$Q741-$Q742</f>
        <v/>
      </c>
      <c r="DU741" s="64">
        <f>$S741-$S742</f>
        <v/>
      </c>
      <c r="DV741" s="65">
        <f>IFERROR(AVERAGE($AA742/$AA741-1,$AB742/$AB741-1,$AC742/$AC741-1,$AD742/$AD741-1,$AE742/$AE741-1,$AG742/$AG741-1,$AH742/$AH741-1,$AI742/$AI741-1,$AJ742/$AJ741-1,$AL742/$AL741-1,$AM742/$AM741-1,$AR742/$AR741-1,$AS742/$AS741-1,$AT742/$AT741-1,$AU742/$AU741-1,$AV742/$AV741-1,$AW742/$AW741-1,$AX742/$AX741-1,$AY742/$AY741-1),"")</f>
        <v/>
      </c>
      <c r="DW741" s="66">
        <f>AVERAGE($CB741,$CC741,$CD741,$CE741,$CF741,$CG741,$CH741,$CI741,$CJ741,$CL741,$CM741,$CN741,$CO741,$CP741,$CQ741,$CR741,$CS741,$CT741)</f>
        <v/>
      </c>
      <c r="DX741" s="66">
        <f>AVERAGE($CB741,$CC741,$CM741,$CE741,$CP741)</f>
        <v/>
      </c>
      <c r="DY741" s="64">
        <f>($DW741-$DW742)*100</f>
        <v/>
      </c>
      <c r="DZ741" s="64">
        <f>($DX741-$DX742)*100</f>
        <v/>
      </c>
      <c r="EA741" s="64">
        <f>($DW741-$D741)*100</f>
        <v/>
      </c>
      <c r="EB741" s="64">
        <f>$Q741-$O741</f>
        <v/>
      </c>
      <c r="EC741" s="67">
        <f>IFERROR($Q741/$P741,"")</f>
        <v/>
      </c>
    </row>
    <row r="742">
      <c r="DG742" s="64">
        <f>($B742-$B743)*100</f>
        <v/>
      </c>
      <c r="DH742" s="64">
        <f>($D742-$D743)*100</f>
        <v/>
      </c>
      <c r="DI742" s="64">
        <f>($E742-$E743)*100</f>
        <v/>
      </c>
      <c r="DJ742" s="64">
        <f>($H742-$H743)*100</f>
        <v/>
      </c>
      <c r="DK742" s="65">
        <f>IFERROR($J742/$J743-1,"")</f>
        <v/>
      </c>
      <c r="DL742" s="64">
        <f>$L742-$L743</f>
        <v/>
      </c>
      <c r="DM742" s="64">
        <f>$K742-$K743</f>
        <v/>
      </c>
      <c r="DN742" s="65">
        <f>IFERROR($N742/$N743-1,"")</f>
        <v/>
      </c>
      <c r="DO742" s="65">
        <f>IFERROR($M742/$M743-1,"")</f>
        <v/>
      </c>
      <c r="DP742" s="65">
        <f>IFERROR($AZ742/$AZ743-1,"")</f>
        <v/>
      </c>
      <c r="DQ742" s="65">
        <f>IFERROR($BA742/$BA743-1,"")</f>
        <v/>
      </c>
      <c r="DR742" s="64">
        <f>$O742-$O743</f>
        <v/>
      </c>
      <c r="DS742" s="64">
        <f>$P742-$P743</f>
        <v/>
      </c>
      <c r="DT742" s="64">
        <f>$Q742-$Q743</f>
        <v/>
      </c>
      <c r="DU742" s="64">
        <f>$S742-$S743</f>
        <v/>
      </c>
      <c r="DV742" s="65">
        <f>IFERROR(AVERAGE($AA743/$AA742-1,$AB743/$AB742-1,$AC743/$AC742-1,$AD743/$AD742-1,$AE743/$AE742-1,$AG743/$AG742-1,$AH743/$AH742-1,$AI743/$AI742-1,$AJ743/$AJ742-1,$AL743/$AL742-1,$AM743/$AM742-1,$AR743/$AR742-1,$AS743/$AS742-1,$AT743/$AT742-1,$AU743/$AU742-1,$AV743/$AV742-1,$AW743/$AW742-1,$AX743/$AX742-1,$AY743/$AY742-1),"")</f>
        <v/>
      </c>
      <c r="DW742" s="66">
        <f>AVERAGE($CB742,$CC742,$CD742,$CE742,$CF742,$CG742,$CH742,$CI742,$CJ742,$CL742,$CM742,$CN742,$CO742,$CP742,$CQ742,$CR742,$CS742,$CT742)</f>
        <v/>
      </c>
      <c r="DX742" s="66">
        <f>AVERAGE($CB742,$CC742,$CM742,$CE742,$CP742)</f>
        <v/>
      </c>
      <c r="DY742" s="64">
        <f>($DW742-$DW743)*100</f>
        <v/>
      </c>
      <c r="DZ742" s="64">
        <f>($DX742-$DX743)*100</f>
        <v/>
      </c>
      <c r="EA742" s="64">
        <f>($DW742-$D742)*100</f>
        <v/>
      </c>
      <c r="EB742" s="64">
        <f>$Q742-$O742</f>
        <v/>
      </c>
      <c r="EC742" s="67">
        <f>IFERROR($Q742/$P742,"")</f>
        <v/>
      </c>
    </row>
    <row r="743">
      <c r="DG743" s="64">
        <f>($B743-$B744)*100</f>
        <v/>
      </c>
      <c r="DH743" s="64">
        <f>($D743-$D744)*100</f>
        <v/>
      </c>
      <c r="DI743" s="64">
        <f>($E743-$E744)*100</f>
        <v/>
      </c>
      <c r="DJ743" s="64">
        <f>($H743-$H744)*100</f>
        <v/>
      </c>
      <c r="DK743" s="65">
        <f>IFERROR($J743/$J744-1,"")</f>
        <v/>
      </c>
      <c r="DL743" s="64">
        <f>$L743-$L744</f>
        <v/>
      </c>
      <c r="DM743" s="64">
        <f>$K743-$K744</f>
        <v/>
      </c>
      <c r="DN743" s="65">
        <f>IFERROR($N743/$N744-1,"")</f>
        <v/>
      </c>
      <c r="DO743" s="65">
        <f>IFERROR($M743/$M744-1,"")</f>
        <v/>
      </c>
      <c r="DP743" s="65">
        <f>IFERROR($AZ743/$AZ744-1,"")</f>
        <v/>
      </c>
      <c r="DQ743" s="65">
        <f>IFERROR($BA743/$BA744-1,"")</f>
        <v/>
      </c>
      <c r="DR743" s="64">
        <f>$O743-$O744</f>
        <v/>
      </c>
      <c r="DS743" s="64">
        <f>$P743-$P744</f>
        <v/>
      </c>
      <c r="DT743" s="64">
        <f>$Q743-$Q744</f>
        <v/>
      </c>
      <c r="DU743" s="64">
        <f>$S743-$S744</f>
        <v/>
      </c>
      <c r="DV743" s="65">
        <f>IFERROR(AVERAGE($AA744/$AA743-1,$AB744/$AB743-1,$AC744/$AC743-1,$AD744/$AD743-1,$AE744/$AE743-1,$AG744/$AG743-1,$AH744/$AH743-1,$AI744/$AI743-1,$AJ744/$AJ743-1,$AL744/$AL743-1,$AM744/$AM743-1,$AR744/$AR743-1,$AS744/$AS743-1,$AT744/$AT743-1,$AU744/$AU743-1,$AV744/$AV743-1,$AW744/$AW743-1,$AX744/$AX743-1,$AY744/$AY743-1),"")</f>
        <v/>
      </c>
      <c r="DW743" s="66">
        <f>AVERAGE($CB743,$CC743,$CD743,$CE743,$CF743,$CG743,$CH743,$CI743,$CJ743,$CL743,$CM743,$CN743,$CO743,$CP743,$CQ743,$CR743,$CS743,$CT743)</f>
        <v/>
      </c>
      <c r="DX743" s="66">
        <f>AVERAGE($CB743,$CC743,$CM743,$CE743,$CP743)</f>
        <v/>
      </c>
      <c r="DY743" s="64">
        <f>($DW743-$DW744)*100</f>
        <v/>
      </c>
      <c r="DZ743" s="64">
        <f>($DX743-$DX744)*100</f>
        <v/>
      </c>
      <c r="EA743" s="64">
        <f>($DW743-$D743)*100</f>
        <v/>
      </c>
      <c r="EB743" s="64">
        <f>$Q743-$O743</f>
        <v/>
      </c>
      <c r="EC743" s="67">
        <f>IFERROR($Q743/$P743,"")</f>
        <v/>
      </c>
    </row>
    <row r="744">
      <c r="DG744" s="64">
        <f>($B744-$B745)*100</f>
        <v/>
      </c>
      <c r="DH744" s="64">
        <f>($D744-$D745)*100</f>
        <v/>
      </c>
      <c r="DI744" s="64">
        <f>($E744-$E745)*100</f>
        <v/>
      </c>
      <c r="DJ744" s="64">
        <f>($H744-$H745)*100</f>
        <v/>
      </c>
      <c r="DK744" s="65">
        <f>IFERROR($J744/$J745-1,"")</f>
        <v/>
      </c>
      <c r="DL744" s="64">
        <f>$L744-$L745</f>
        <v/>
      </c>
      <c r="DM744" s="64">
        <f>$K744-$K745</f>
        <v/>
      </c>
      <c r="DN744" s="65">
        <f>IFERROR($N744/$N745-1,"")</f>
        <v/>
      </c>
      <c r="DO744" s="65">
        <f>IFERROR($M744/$M745-1,"")</f>
        <v/>
      </c>
      <c r="DP744" s="65">
        <f>IFERROR($AZ744/$AZ745-1,"")</f>
        <v/>
      </c>
      <c r="DQ744" s="65">
        <f>IFERROR($BA744/$BA745-1,"")</f>
        <v/>
      </c>
      <c r="DR744" s="64">
        <f>$O744-$O745</f>
        <v/>
      </c>
      <c r="DS744" s="64">
        <f>$P744-$P745</f>
        <v/>
      </c>
      <c r="DT744" s="64">
        <f>$Q744-$Q745</f>
        <v/>
      </c>
      <c r="DU744" s="64">
        <f>$S744-$S745</f>
        <v/>
      </c>
      <c r="DV744" s="65">
        <f>IFERROR(AVERAGE($AA745/$AA744-1,$AB745/$AB744-1,$AC745/$AC744-1,$AD745/$AD744-1,$AE745/$AE744-1,$AG745/$AG744-1,$AH745/$AH744-1,$AI745/$AI744-1,$AJ745/$AJ744-1,$AL745/$AL744-1,$AM745/$AM744-1,$AR745/$AR744-1,$AS745/$AS744-1,$AT745/$AT744-1,$AU745/$AU744-1,$AV745/$AV744-1,$AW745/$AW744-1,$AX745/$AX744-1,$AY745/$AY744-1),"")</f>
        <v/>
      </c>
      <c r="DW744" s="66">
        <f>AVERAGE($CB744,$CC744,$CD744,$CE744,$CF744,$CG744,$CH744,$CI744,$CJ744,$CL744,$CM744,$CN744,$CO744,$CP744,$CQ744,$CR744,$CS744,$CT744)</f>
        <v/>
      </c>
      <c r="DX744" s="66">
        <f>AVERAGE($CB744,$CC744,$CM744,$CE744,$CP744)</f>
        <v/>
      </c>
      <c r="DY744" s="64">
        <f>($DW744-$DW745)*100</f>
        <v/>
      </c>
      <c r="DZ744" s="64">
        <f>($DX744-$DX745)*100</f>
        <v/>
      </c>
      <c r="EA744" s="64">
        <f>($DW744-$D744)*100</f>
        <v/>
      </c>
      <c r="EB744" s="64">
        <f>$Q744-$O744</f>
        <v/>
      </c>
      <c r="EC744" s="67">
        <f>IFERROR($Q744/$P744,"")</f>
        <v/>
      </c>
    </row>
    <row r="745">
      <c r="DG745" s="64">
        <f>($B745-$B746)*100</f>
        <v/>
      </c>
      <c r="DH745" s="64">
        <f>($D745-$D746)*100</f>
        <v/>
      </c>
      <c r="DI745" s="64">
        <f>($E745-$E746)*100</f>
        <v/>
      </c>
      <c r="DJ745" s="64">
        <f>($H745-$H746)*100</f>
        <v/>
      </c>
      <c r="DK745" s="65">
        <f>IFERROR($J745/$J746-1,"")</f>
        <v/>
      </c>
      <c r="DL745" s="64">
        <f>$L745-$L746</f>
        <v/>
      </c>
      <c r="DM745" s="64">
        <f>$K745-$K746</f>
        <v/>
      </c>
      <c r="DN745" s="65">
        <f>IFERROR($N745/$N746-1,"")</f>
        <v/>
      </c>
      <c r="DO745" s="65">
        <f>IFERROR($M745/$M746-1,"")</f>
        <v/>
      </c>
      <c r="DP745" s="65">
        <f>IFERROR($AZ745/$AZ746-1,"")</f>
        <v/>
      </c>
      <c r="DQ745" s="65">
        <f>IFERROR($BA745/$BA746-1,"")</f>
        <v/>
      </c>
      <c r="DR745" s="64">
        <f>$O745-$O746</f>
        <v/>
      </c>
      <c r="DS745" s="64">
        <f>$P745-$P746</f>
        <v/>
      </c>
      <c r="DT745" s="64">
        <f>$Q745-$Q746</f>
        <v/>
      </c>
      <c r="DU745" s="64">
        <f>$S745-$S746</f>
        <v/>
      </c>
      <c r="DV745" s="65">
        <f>IFERROR(AVERAGE($AA746/$AA745-1,$AB746/$AB745-1,$AC746/$AC745-1,$AD746/$AD745-1,$AE746/$AE745-1,$AG746/$AG745-1,$AH746/$AH745-1,$AI746/$AI745-1,$AJ746/$AJ745-1,$AL746/$AL745-1,$AM746/$AM745-1,$AR746/$AR745-1,$AS746/$AS745-1,$AT746/$AT745-1,$AU746/$AU745-1,$AV746/$AV745-1,$AW746/$AW745-1,$AX746/$AX745-1,$AY746/$AY745-1),"")</f>
        <v/>
      </c>
      <c r="DW745" s="66">
        <f>AVERAGE($CB745,$CC745,$CD745,$CE745,$CF745,$CG745,$CH745,$CI745,$CJ745,$CL745,$CM745,$CN745,$CO745,$CP745,$CQ745,$CR745,$CS745,$CT745)</f>
        <v/>
      </c>
      <c r="DX745" s="66">
        <f>AVERAGE($CB745,$CC745,$CM745,$CE745,$CP745)</f>
        <v/>
      </c>
      <c r="DY745" s="64">
        <f>($DW745-$DW746)*100</f>
        <v/>
      </c>
      <c r="DZ745" s="64">
        <f>($DX745-$DX746)*100</f>
        <v/>
      </c>
      <c r="EA745" s="64">
        <f>($DW745-$D745)*100</f>
        <v/>
      </c>
      <c r="EB745" s="64">
        <f>$Q745-$O745</f>
        <v/>
      </c>
      <c r="EC745" s="67">
        <f>IFERROR($Q745/$P745,"")</f>
        <v/>
      </c>
    </row>
    <row r="746">
      <c r="DG746" s="64">
        <f>($B746-$B747)*100</f>
        <v/>
      </c>
      <c r="DH746" s="64">
        <f>($D746-$D747)*100</f>
        <v/>
      </c>
      <c r="DI746" s="64">
        <f>($E746-$E747)*100</f>
        <v/>
      </c>
      <c r="DJ746" s="64">
        <f>($H746-$H747)*100</f>
        <v/>
      </c>
      <c r="DK746" s="65">
        <f>IFERROR($J746/$J747-1,"")</f>
        <v/>
      </c>
      <c r="DL746" s="64">
        <f>$L746-$L747</f>
        <v/>
      </c>
      <c r="DM746" s="64">
        <f>$K746-$K747</f>
        <v/>
      </c>
      <c r="DN746" s="65">
        <f>IFERROR($N746/$N747-1,"")</f>
        <v/>
      </c>
      <c r="DO746" s="65">
        <f>IFERROR($M746/$M747-1,"")</f>
        <v/>
      </c>
      <c r="DP746" s="65">
        <f>IFERROR($AZ746/$AZ747-1,"")</f>
        <v/>
      </c>
      <c r="DQ746" s="65">
        <f>IFERROR($BA746/$BA747-1,"")</f>
        <v/>
      </c>
      <c r="DR746" s="64">
        <f>$O746-$O747</f>
        <v/>
      </c>
      <c r="DS746" s="64">
        <f>$P746-$P747</f>
        <v/>
      </c>
      <c r="DT746" s="64">
        <f>$Q746-$Q747</f>
        <v/>
      </c>
      <c r="DU746" s="64">
        <f>$S746-$S747</f>
        <v/>
      </c>
      <c r="DV746" s="65">
        <f>IFERROR(AVERAGE($AA747/$AA746-1,$AB747/$AB746-1,$AC747/$AC746-1,$AD747/$AD746-1,$AE747/$AE746-1,$AG747/$AG746-1,$AH747/$AH746-1,$AI747/$AI746-1,$AJ747/$AJ746-1,$AL747/$AL746-1,$AM747/$AM746-1,$AR747/$AR746-1,$AS747/$AS746-1,$AT747/$AT746-1,$AU747/$AU746-1,$AV747/$AV746-1,$AW747/$AW746-1,$AX747/$AX746-1,$AY747/$AY746-1),"")</f>
        <v/>
      </c>
      <c r="DW746" s="66">
        <f>AVERAGE($CB746,$CC746,$CD746,$CE746,$CF746,$CG746,$CH746,$CI746,$CJ746,$CL746,$CM746,$CN746,$CO746,$CP746,$CQ746,$CR746,$CS746,$CT746)</f>
        <v/>
      </c>
      <c r="DX746" s="66">
        <f>AVERAGE($CB746,$CC746,$CM746,$CE746,$CP746)</f>
        <v/>
      </c>
      <c r="DY746" s="64">
        <f>($DW746-$DW747)*100</f>
        <v/>
      </c>
      <c r="DZ746" s="64">
        <f>($DX746-$DX747)*100</f>
        <v/>
      </c>
      <c r="EA746" s="64">
        <f>($DW746-$D746)*100</f>
        <v/>
      </c>
      <c r="EB746" s="64">
        <f>$Q746-$O746</f>
        <v/>
      </c>
      <c r="EC746" s="67">
        <f>IFERROR($Q746/$P746,"")</f>
        <v/>
      </c>
    </row>
    <row r="747">
      <c r="DG747" s="64">
        <f>($B747-$B748)*100</f>
        <v/>
      </c>
      <c r="DH747" s="64">
        <f>($D747-$D748)*100</f>
        <v/>
      </c>
      <c r="DI747" s="64">
        <f>($E747-$E748)*100</f>
        <v/>
      </c>
      <c r="DJ747" s="64">
        <f>($H747-$H748)*100</f>
        <v/>
      </c>
      <c r="DK747" s="65">
        <f>IFERROR($J747/$J748-1,"")</f>
        <v/>
      </c>
      <c r="DL747" s="64">
        <f>$L747-$L748</f>
        <v/>
      </c>
      <c r="DM747" s="64">
        <f>$K747-$K748</f>
        <v/>
      </c>
      <c r="DN747" s="65">
        <f>IFERROR($N747/$N748-1,"")</f>
        <v/>
      </c>
      <c r="DO747" s="65">
        <f>IFERROR($M747/$M748-1,"")</f>
        <v/>
      </c>
      <c r="DP747" s="65">
        <f>IFERROR($AZ747/$AZ748-1,"")</f>
        <v/>
      </c>
      <c r="DQ747" s="65">
        <f>IFERROR($BA747/$BA748-1,"")</f>
        <v/>
      </c>
      <c r="DR747" s="64">
        <f>$O747-$O748</f>
        <v/>
      </c>
      <c r="DS747" s="64">
        <f>$P747-$P748</f>
        <v/>
      </c>
      <c r="DT747" s="64">
        <f>$Q747-$Q748</f>
        <v/>
      </c>
      <c r="DU747" s="64">
        <f>$S747-$S748</f>
        <v/>
      </c>
      <c r="DV747" s="65">
        <f>IFERROR(AVERAGE($AA748/$AA747-1,$AB748/$AB747-1,$AC748/$AC747-1,$AD748/$AD747-1,$AE748/$AE747-1,$AG748/$AG747-1,$AH748/$AH747-1,$AI748/$AI747-1,$AJ748/$AJ747-1,$AL748/$AL747-1,$AM748/$AM747-1,$AR748/$AR747-1,$AS748/$AS747-1,$AT748/$AT747-1,$AU748/$AU747-1,$AV748/$AV747-1,$AW748/$AW747-1,$AX748/$AX747-1,$AY748/$AY747-1),"")</f>
        <v/>
      </c>
      <c r="DW747" s="66">
        <f>AVERAGE($CB747,$CC747,$CD747,$CE747,$CF747,$CG747,$CH747,$CI747,$CJ747,$CL747,$CM747,$CN747,$CO747,$CP747,$CQ747,$CR747,$CS747,$CT747)</f>
        <v/>
      </c>
      <c r="DX747" s="66">
        <f>AVERAGE($CB747,$CC747,$CM747,$CE747,$CP747)</f>
        <v/>
      </c>
      <c r="DY747" s="64">
        <f>($DW747-$DW748)*100</f>
        <v/>
      </c>
      <c r="DZ747" s="64">
        <f>($DX747-$DX748)*100</f>
        <v/>
      </c>
      <c r="EA747" s="64">
        <f>($DW747-$D747)*100</f>
        <v/>
      </c>
      <c r="EB747" s="64">
        <f>$Q747-$O747</f>
        <v/>
      </c>
      <c r="EC747" s="67">
        <f>IFERROR($Q747/$P747,"")</f>
        <v/>
      </c>
    </row>
    <row r="748">
      <c r="DG748" s="64">
        <f>($B748-$B749)*100</f>
        <v/>
      </c>
      <c r="DH748" s="64">
        <f>($D748-$D749)*100</f>
        <v/>
      </c>
      <c r="DI748" s="64">
        <f>($E748-$E749)*100</f>
        <v/>
      </c>
      <c r="DJ748" s="64">
        <f>($H748-$H749)*100</f>
        <v/>
      </c>
      <c r="DK748" s="65">
        <f>IFERROR($J748/$J749-1,"")</f>
        <v/>
      </c>
      <c r="DL748" s="64">
        <f>$L748-$L749</f>
        <v/>
      </c>
      <c r="DM748" s="64">
        <f>$K748-$K749</f>
        <v/>
      </c>
      <c r="DN748" s="65">
        <f>IFERROR($N748/$N749-1,"")</f>
        <v/>
      </c>
      <c r="DO748" s="65">
        <f>IFERROR($M748/$M749-1,"")</f>
        <v/>
      </c>
      <c r="DP748" s="65">
        <f>IFERROR($AZ748/$AZ749-1,"")</f>
        <v/>
      </c>
      <c r="DQ748" s="65">
        <f>IFERROR($BA748/$BA749-1,"")</f>
        <v/>
      </c>
      <c r="DR748" s="64">
        <f>$O748-$O749</f>
        <v/>
      </c>
      <c r="DS748" s="64">
        <f>$P748-$P749</f>
        <v/>
      </c>
      <c r="DT748" s="64">
        <f>$Q748-$Q749</f>
        <v/>
      </c>
      <c r="DU748" s="64">
        <f>$S748-$S749</f>
        <v/>
      </c>
      <c r="DV748" s="65">
        <f>IFERROR(AVERAGE($AA749/$AA748-1,$AB749/$AB748-1,$AC749/$AC748-1,$AD749/$AD748-1,$AE749/$AE748-1,$AG749/$AG748-1,$AH749/$AH748-1,$AI749/$AI748-1,$AJ749/$AJ748-1,$AL749/$AL748-1,$AM749/$AM748-1,$AR749/$AR748-1,$AS749/$AS748-1,$AT749/$AT748-1,$AU749/$AU748-1,$AV749/$AV748-1,$AW749/$AW748-1,$AX749/$AX748-1,$AY749/$AY748-1),"")</f>
        <v/>
      </c>
      <c r="DW748" s="66">
        <f>AVERAGE($CB748,$CC748,$CD748,$CE748,$CF748,$CG748,$CH748,$CI748,$CJ748,$CL748,$CM748,$CN748,$CO748,$CP748,$CQ748,$CR748,$CS748,$CT748)</f>
        <v/>
      </c>
      <c r="DX748" s="66">
        <f>AVERAGE($CB748,$CC748,$CM748,$CE748,$CP748)</f>
        <v/>
      </c>
      <c r="DY748" s="64">
        <f>($DW748-$DW749)*100</f>
        <v/>
      </c>
      <c r="DZ748" s="64">
        <f>($DX748-$DX749)*100</f>
        <v/>
      </c>
      <c r="EA748" s="64">
        <f>($DW748-$D748)*100</f>
        <v/>
      </c>
      <c r="EB748" s="64">
        <f>$Q748-$O748</f>
        <v/>
      </c>
      <c r="EC748" s="67">
        <f>IFERROR($Q748/$P748,"")</f>
        <v/>
      </c>
    </row>
    <row r="749">
      <c r="DG749" s="64">
        <f>($B749-$B750)*100</f>
        <v/>
      </c>
      <c r="DH749" s="64">
        <f>($D749-$D750)*100</f>
        <v/>
      </c>
      <c r="DI749" s="64">
        <f>($E749-$E750)*100</f>
        <v/>
      </c>
      <c r="DJ749" s="64">
        <f>($H749-$H750)*100</f>
        <v/>
      </c>
      <c r="DK749" s="65">
        <f>IFERROR($J749/$J750-1,"")</f>
        <v/>
      </c>
      <c r="DL749" s="64">
        <f>$L749-$L750</f>
        <v/>
      </c>
      <c r="DM749" s="64">
        <f>$K749-$K750</f>
        <v/>
      </c>
      <c r="DN749" s="65">
        <f>IFERROR($N749/$N750-1,"")</f>
        <v/>
      </c>
      <c r="DO749" s="65">
        <f>IFERROR($M749/$M750-1,"")</f>
        <v/>
      </c>
      <c r="DP749" s="65">
        <f>IFERROR($AZ749/$AZ750-1,"")</f>
        <v/>
      </c>
      <c r="DQ749" s="65">
        <f>IFERROR($BA749/$BA750-1,"")</f>
        <v/>
      </c>
      <c r="DR749" s="64">
        <f>$O749-$O750</f>
        <v/>
      </c>
      <c r="DS749" s="64">
        <f>$P749-$P750</f>
        <v/>
      </c>
      <c r="DT749" s="64">
        <f>$Q749-$Q750</f>
        <v/>
      </c>
      <c r="DU749" s="64">
        <f>$S749-$S750</f>
        <v/>
      </c>
      <c r="DV749" s="65">
        <f>IFERROR(AVERAGE($AA750/$AA749-1,$AB750/$AB749-1,$AC750/$AC749-1,$AD750/$AD749-1,$AE750/$AE749-1,$AG750/$AG749-1,$AH750/$AH749-1,$AI750/$AI749-1,$AJ750/$AJ749-1,$AL750/$AL749-1,$AM750/$AM749-1,$AR750/$AR749-1,$AS750/$AS749-1,$AT750/$AT749-1,$AU750/$AU749-1,$AV750/$AV749-1,$AW750/$AW749-1,$AX750/$AX749-1,$AY750/$AY749-1),"")</f>
        <v/>
      </c>
      <c r="DW749" s="66">
        <f>AVERAGE($CB749,$CC749,$CD749,$CE749,$CF749,$CG749,$CH749,$CI749,$CJ749,$CL749,$CM749,$CN749,$CO749,$CP749,$CQ749,$CR749,$CS749,$CT749)</f>
        <v/>
      </c>
      <c r="DX749" s="66">
        <f>AVERAGE($CB749,$CC749,$CM749,$CE749,$CP749)</f>
        <v/>
      </c>
      <c r="DY749" s="64">
        <f>($DW749-$DW750)*100</f>
        <v/>
      </c>
      <c r="DZ749" s="64">
        <f>($DX749-$DX750)*100</f>
        <v/>
      </c>
      <c r="EA749" s="64">
        <f>($DW749-$D749)*100</f>
        <v/>
      </c>
      <c r="EB749" s="64">
        <f>$Q749-$O749</f>
        <v/>
      </c>
      <c r="EC749" s="67">
        <f>IFERROR($Q749/$P749,"")</f>
        <v/>
      </c>
    </row>
    <row r="750">
      <c r="DG750" s="64">
        <f>($B750-$B751)*100</f>
        <v/>
      </c>
      <c r="DH750" s="64">
        <f>($D750-$D751)*100</f>
        <v/>
      </c>
      <c r="DI750" s="64">
        <f>($E750-$E751)*100</f>
        <v/>
      </c>
      <c r="DJ750" s="64">
        <f>($H750-$H751)*100</f>
        <v/>
      </c>
      <c r="DK750" s="65">
        <f>IFERROR($J750/$J751-1,"")</f>
        <v/>
      </c>
      <c r="DL750" s="64">
        <f>$L750-$L751</f>
        <v/>
      </c>
      <c r="DM750" s="64">
        <f>$K750-$K751</f>
        <v/>
      </c>
      <c r="DN750" s="65">
        <f>IFERROR($N750/$N751-1,"")</f>
        <v/>
      </c>
      <c r="DO750" s="65">
        <f>IFERROR($M750/$M751-1,"")</f>
        <v/>
      </c>
      <c r="DP750" s="65">
        <f>IFERROR($AZ750/$AZ751-1,"")</f>
        <v/>
      </c>
      <c r="DQ750" s="65">
        <f>IFERROR($BA750/$BA751-1,"")</f>
        <v/>
      </c>
      <c r="DR750" s="64">
        <f>$O750-$O751</f>
        <v/>
      </c>
      <c r="DS750" s="64">
        <f>$P750-$P751</f>
        <v/>
      </c>
      <c r="DT750" s="64">
        <f>$Q750-$Q751</f>
        <v/>
      </c>
      <c r="DU750" s="64">
        <f>$S750-$S751</f>
        <v/>
      </c>
      <c r="DV750" s="65">
        <f>IFERROR(AVERAGE($AA751/$AA750-1,$AB751/$AB750-1,$AC751/$AC750-1,$AD751/$AD750-1,$AE751/$AE750-1,$AG751/$AG750-1,$AH751/$AH750-1,$AI751/$AI750-1,$AJ751/$AJ750-1,$AL751/$AL750-1,$AM751/$AM750-1,$AR751/$AR750-1,$AS751/$AS750-1,$AT751/$AT750-1,$AU751/$AU750-1,$AV751/$AV750-1,$AW751/$AW750-1,$AX751/$AX750-1,$AY751/$AY750-1),"")</f>
        <v/>
      </c>
      <c r="DW750" s="66">
        <f>AVERAGE($CB750,$CC750,$CD750,$CE750,$CF750,$CG750,$CH750,$CI750,$CJ750,$CL750,$CM750,$CN750,$CO750,$CP750,$CQ750,$CR750,$CS750,$CT750)</f>
        <v/>
      </c>
      <c r="DX750" s="66">
        <f>AVERAGE($CB750,$CC750,$CM750,$CE750,$CP750)</f>
        <v/>
      </c>
      <c r="DY750" s="64">
        <f>($DW750-$DW751)*100</f>
        <v/>
      </c>
      <c r="DZ750" s="64">
        <f>($DX750-$DX751)*100</f>
        <v/>
      </c>
      <c r="EA750" s="64">
        <f>($DW750-$D750)*100</f>
        <v/>
      </c>
      <c r="EB750" s="64">
        <f>$Q750-$O750</f>
        <v/>
      </c>
      <c r="EC750" s="67">
        <f>IFERROR($Q750/$P750,"")</f>
        <v/>
      </c>
    </row>
    <row r="751">
      <c r="DG751" s="64">
        <f>($B751-$B752)*100</f>
        <v/>
      </c>
      <c r="DH751" s="64">
        <f>($D751-$D752)*100</f>
        <v/>
      </c>
      <c r="DI751" s="64">
        <f>($E751-$E752)*100</f>
        <v/>
      </c>
      <c r="DJ751" s="64">
        <f>($H751-$H752)*100</f>
        <v/>
      </c>
      <c r="DK751" s="65">
        <f>IFERROR($J751/$J752-1,"")</f>
        <v/>
      </c>
      <c r="DL751" s="64">
        <f>$L751-$L752</f>
        <v/>
      </c>
      <c r="DM751" s="64">
        <f>$K751-$K752</f>
        <v/>
      </c>
      <c r="DN751" s="65">
        <f>IFERROR($N751/$N752-1,"")</f>
        <v/>
      </c>
      <c r="DO751" s="65">
        <f>IFERROR($M751/$M752-1,"")</f>
        <v/>
      </c>
      <c r="DP751" s="65">
        <f>IFERROR($AZ751/$AZ752-1,"")</f>
        <v/>
      </c>
      <c r="DQ751" s="65">
        <f>IFERROR($BA751/$BA752-1,"")</f>
        <v/>
      </c>
      <c r="DR751" s="64">
        <f>$O751-$O752</f>
        <v/>
      </c>
      <c r="DS751" s="64">
        <f>$P751-$P752</f>
        <v/>
      </c>
      <c r="DT751" s="64">
        <f>$Q751-$Q752</f>
        <v/>
      </c>
      <c r="DU751" s="64">
        <f>$S751-$S752</f>
        <v/>
      </c>
      <c r="DV751" s="65">
        <f>IFERROR(AVERAGE($AA752/$AA751-1,$AB752/$AB751-1,$AC752/$AC751-1,$AD752/$AD751-1,$AE752/$AE751-1,$AG752/$AG751-1,$AH752/$AH751-1,$AI752/$AI751-1,$AJ752/$AJ751-1,$AL752/$AL751-1,$AM752/$AM751-1,$AR752/$AR751-1,$AS752/$AS751-1,$AT752/$AT751-1,$AU752/$AU751-1,$AV752/$AV751-1,$AW752/$AW751-1,$AX752/$AX751-1,$AY752/$AY751-1),"")</f>
        <v/>
      </c>
      <c r="DW751" s="66">
        <f>AVERAGE($CB751,$CC751,$CD751,$CE751,$CF751,$CG751,$CH751,$CI751,$CJ751,$CL751,$CM751,$CN751,$CO751,$CP751,$CQ751,$CR751,$CS751,$CT751)</f>
        <v/>
      </c>
      <c r="DX751" s="66">
        <f>AVERAGE($CB751,$CC751,$CM751,$CE751,$CP751)</f>
        <v/>
      </c>
      <c r="DY751" s="64">
        <f>($DW751-$DW752)*100</f>
        <v/>
      </c>
      <c r="DZ751" s="64">
        <f>($DX751-$DX752)*100</f>
        <v/>
      </c>
      <c r="EA751" s="64">
        <f>($DW751-$D751)*100</f>
        <v/>
      </c>
      <c r="EB751" s="64">
        <f>$Q751-$O751</f>
        <v/>
      </c>
      <c r="EC751" s="67">
        <f>IFERROR($Q751/$P751,"")</f>
        <v/>
      </c>
    </row>
    <row r="752">
      <c r="DG752" s="64">
        <f>($B752-$B753)*100</f>
        <v/>
      </c>
      <c r="DH752" s="64">
        <f>($D752-$D753)*100</f>
        <v/>
      </c>
      <c r="DI752" s="64">
        <f>($E752-$E753)*100</f>
        <v/>
      </c>
      <c r="DJ752" s="64">
        <f>($H752-$H753)*100</f>
        <v/>
      </c>
      <c r="DK752" s="65">
        <f>IFERROR($J752/$J753-1,"")</f>
        <v/>
      </c>
      <c r="DL752" s="64">
        <f>$L752-$L753</f>
        <v/>
      </c>
      <c r="DM752" s="64">
        <f>$K752-$K753</f>
        <v/>
      </c>
      <c r="DN752" s="65">
        <f>IFERROR($N752/$N753-1,"")</f>
        <v/>
      </c>
      <c r="DO752" s="65">
        <f>IFERROR($M752/$M753-1,"")</f>
        <v/>
      </c>
      <c r="DP752" s="65">
        <f>IFERROR($AZ752/$AZ753-1,"")</f>
        <v/>
      </c>
      <c r="DQ752" s="65">
        <f>IFERROR($BA752/$BA753-1,"")</f>
        <v/>
      </c>
      <c r="DR752" s="64">
        <f>$O752-$O753</f>
        <v/>
      </c>
      <c r="DS752" s="64">
        <f>$P752-$P753</f>
        <v/>
      </c>
      <c r="DT752" s="64">
        <f>$Q752-$Q753</f>
        <v/>
      </c>
      <c r="DU752" s="64">
        <f>$S752-$S753</f>
        <v/>
      </c>
      <c r="DV752" s="65">
        <f>IFERROR(AVERAGE($AA753/$AA752-1,$AB753/$AB752-1,$AC753/$AC752-1,$AD753/$AD752-1,$AE753/$AE752-1,$AG753/$AG752-1,$AH753/$AH752-1,$AI753/$AI752-1,$AJ753/$AJ752-1,$AL753/$AL752-1,$AM753/$AM752-1,$AR753/$AR752-1,$AS753/$AS752-1,$AT753/$AT752-1,$AU753/$AU752-1,$AV753/$AV752-1,$AW753/$AW752-1,$AX753/$AX752-1,$AY753/$AY752-1),"")</f>
        <v/>
      </c>
      <c r="DW752" s="66">
        <f>AVERAGE($CB752,$CC752,$CD752,$CE752,$CF752,$CG752,$CH752,$CI752,$CJ752,$CL752,$CM752,$CN752,$CO752,$CP752,$CQ752,$CR752,$CS752,$CT752)</f>
        <v/>
      </c>
      <c r="DX752" s="66">
        <f>AVERAGE($CB752,$CC752,$CM752,$CE752,$CP752)</f>
        <v/>
      </c>
      <c r="DY752" s="64">
        <f>($DW752-$DW753)*100</f>
        <v/>
      </c>
      <c r="DZ752" s="64">
        <f>($DX752-$DX753)*100</f>
        <v/>
      </c>
      <c r="EA752" s="64">
        <f>($DW752-$D752)*100</f>
        <v/>
      </c>
      <c r="EB752" s="64">
        <f>$Q752-$O752</f>
        <v/>
      </c>
      <c r="EC752" s="67">
        <f>IFERROR($Q752/$P752,"")</f>
        <v/>
      </c>
    </row>
    <row r="753">
      <c r="DG753" s="64">
        <f>($B753-$B754)*100</f>
        <v/>
      </c>
      <c r="DH753" s="64">
        <f>($D753-$D754)*100</f>
        <v/>
      </c>
      <c r="DI753" s="64">
        <f>($E753-$E754)*100</f>
        <v/>
      </c>
      <c r="DJ753" s="64">
        <f>($H753-$H754)*100</f>
        <v/>
      </c>
      <c r="DK753" s="65">
        <f>IFERROR($J753/$J754-1,"")</f>
        <v/>
      </c>
      <c r="DL753" s="64">
        <f>$L753-$L754</f>
        <v/>
      </c>
      <c r="DM753" s="64">
        <f>$K753-$K754</f>
        <v/>
      </c>
      <c r="DN753" s="65">
        <f>IFERROR($N753/$N754-1,"")</f>
        <v/>
      </c>
      <c r="DO753" s="65">
        <f>IFERROR($M753/$M754-1,"")</f>
        <v/>
      </c>
      <c r="DP753" s="65">
        <f>IFERROR($AZ753/$AZ754-1,"")</f>
        <v/>
      </c>
      <c r="DQ753" s="65">
        <f>IFERROR($BA753/$BA754-1,"")</f>
        <v/>
      </c>
      <c r="DR753" s="64">
        <f>$O753-$O754</f>
        <v/>
      </c>
      <c r="DS753" s="64">
        <f>$P753-$P754</f>
        <v/>
      </c>
      <c r="DT753" s="64">
        <f>$Q753-$Q754</f>
        <v/>
      </c>
      <c r="DU753" s="64">
        <f>$S753-$S754</f>
        <v/>
      </c>
      <c r="DV753" s="65">
        <f>IFERROR(AVERAGE($AA754/$AA753-1,$AB754/$AB753-1,$AC754/$AC753-1,$AD754/$AD753-1,$AE754/$AE753-1,$AG754/$AG753-1,$AH754/$AH753-1,$AI754/$AI753-1,$AJ754/$AJ753-1,$AL754/$AL753-1,$AM754/$AM753-1,$AR754/$AR753-1,$AS754/$AS753-1,$AT754/$AT753-1,$AU754/$AU753-1,$AV754/$AV753-1,$AW754/$AW753-1,$AX754/$AX753-1,$AY754/$AY753-1),"")</f>
        <v/>
      </c>
      <c r="DW753" s="66">
        <f>AVERAGE($CB753,$CC753,$CD753,$CE753,$CF753,$CG753,$CH753,$CI753,$CJ753,$CL753,$CM753,$CN753,$CO753,$CP753,$CQ753,$CR753,$CS753,$CT753)</f>
        <v/>
      </c>
      <c r="DX753" s="66">
        <f>AVERAGE($CB753,$CC753,$CM753,$CE753,$CP753)</f>
        <v/>
      </c>
      <c r="DY753" s="64">
        <f>($DW753-$DW754)*100</f>
        <v/>
      </c>
      <c r="DZ753" s="64">
        <f>($DX753-$DX754)*100</f>
        <v/>
      </c>
      <c r="EA753" s="64">
        <f>($DW753-$D753)*100</f>
        <v/>
      </c>
      <c r="EB753" s="64">
        <f>$Q753-$O753</f>
        <v/>
      </c>
      <c r="EC753" s="67">
        <f>IFERROR($Q753/$P753,"")</f>
        <v/>
      </c>
    </row>
    <row r="754">
      <c r="DG754" s="64">
        <f>($B754-$B755)*100</f>
        <v/>
      </c>
      <c r="DH754" s="64">
        <f>($D754-$D755)*100</f>
        <v/>
      </c>
      <c r="DI754" s="64">
        <f>($E754-$E755)*100</f>
        <v/>
      </c>
      <c r="DJ754" s="64">
        <f>($H754-$H755)*100</f>
        <v/>
      </c>
      <c r="DK754" s="65">
        <f>IFERROR($J754/$J755-1,"")</f>
        <v/>
      </c>
      <c r="DL754" s="64">
        <f>$L754-$L755</f>
        <v/>
      </c>
      <c r="DM754" s="64">
        <f>$K754-$K755</f>
        <v/>
      </c>
      <c r="DN754" s="65">
        <f>IFERROR($N754/$N755-1,"")</f>
        <v/>
      </c>
      <c r="DO754" s="65">
        <f>IFERROR($M754/$M755-1,"")</f>
        <v/>
      </c>
      <c r="DP754" s="65">
        <f>IFERROR($AZ754/$AZ755-1,"")</f>
        <v/>
      </c>
      <c r="DQ754" s="65">
        <f>IFERROR($BA754/$BA755-1,"")</f>
        <v/>
      </c>
      <c r="DR754" s="64">
        <f>$O754-$O755</f>
        <v/>
      </c>
      <c r="DS754" s="64">
        <f>$P754-$P755</f>
        <v/>
      </c>
      <c r="DT754" s="64">
        <f>$Q754-$Q755</f>
        <v/>
      </c>
      <c r="DU754" s="64">
        <f>$S754-$S755</f>
        <v/>
      </c>
      <c r="DV754" s="65">
        <f>IFERROR(AVERAGE($AA755/$AA754-1,$AB755/$AB754-1,$AC755/$AC754-1,$AD755/$AD754-1,$AE755/$AE754-1,$AG755/$AG754-1,$AH755/$AH754-1,$AI755/$AI754-1,$AJ755/$AJ754-1,$AL755/$AL754-1,$AM755/$AM754-1,$AR755/$AR754-1,$AS755/$AS754-1,$AT755/$AT754-1,$AU755/$AU754-1,$AV755/$AV754-1,$AW755/$AW754-1,$AX755/$AX754-1,$AY755/$AY754-1),"")</f>
        <v/>
      </c>
      <c r="DW754" s="66">
        <f>AVERAGE($CB754,$CC754,$CD754,$CE754,$CF754,$CG754,$CH754,$CI754,$CJ754,$CL754,$CM754,$CN754,$CO754,$CP754,$CQ754,$CR754,$CS754,$CT754)</f>
        <v/>
      </c>
      <c r="DX754" s="66">
        <f>AVERAGE($CB754,$CC754,$CM754,$CE754,$CP754)</f>
        <v/>
      </c>
      <c r="DY754" s="64">
        <f>($DW754-$DW755)*100</f>
        <v/>
      </c>
      <c r="DZ754" s="64">
        <f>($DX754-$DX755)*100</f>
        <v/>
      </c>
      <c r="EA754" s="64">
        <f>($DW754-$D754)*100</f>
        <v/>
      </c>
      <c r="EB754" s="64">
        <f>$Q754-$O754</f>
        <v/>
      </c>
      <c r="EC754" s="67">
        <f>IFERROR($Q754/$P754,"")</f>
        <v/>
      </c>
    </row>
    <row r="755">
      <c r="DG755" s="64">
        <f>($B755-$B756)*100</f>
        <v/>
      </c>
      <c r="DH755" s="64">
        <f>($D755-$D756)*100</f>
        <v/>
      </c>
      <c r="DI755" s="64">
        <f>($E755-$E756)*100</f>
        <v/>
      </c>
      <c r="DJ755" s="64">
        <f>($H755-$H756)*100</f>
        <v/>
      </c>
      <c r="DK755" s="65">
        <f>IFERROR($J755/$J756-1,"")</f>
        <v/>
      </c>
      <c r="DL755" s="64">
        <f>$L755-$L756</f>
        <v/>
      </c>
      <c r="DM755" s="64">
        <f>$K755-$K756</f>
        <v/>
      </c>
      <c r="DN755" s="65">
        <f>IFERROR($N755/$N756-1,"")</f>
        <v/>
      </c>
      <c r="DO755" s="65">
        <f>IFERROR($M755/$M756-1,"")</f>
        <v/>
      </c>
      <c r="DP755" s="65">
        <f>IFERROR($AZ755/$AZ756-1,"")</f>
        <v/>
      </c>
      <c r="DQ755" s="65">
        <f>IFERROR($BA755/$BA756-1,"")</f>
        <v/>
      </c>
      <c r="DR755" s="64">
        <f>$O755-$O756</f>
        <v/>
      </c>
      <c r="DS755" s="64">
        <f>$P755-$P756</f>
        <v/>
      </c>
      <c r="DT755" s="64">
        <f>$Q755-$Q756</f>
        <v/>
      </c>
      <c r="DU755" s="64">
        <f>$S755-$S756</f>
        <v/>
      </c>
      <c r="DV755" s="65">
        <f>IFERROR(AVERAGE($AA756/$AA755-1,$AB756/$AB755-1,$AC756/$AC755-1,$AD756/$AD755-1,$AE756/$AE755-1,$AG756/$AG755-1,$AH756/$AH755-1,$AI756/$AI755-1,$AJ756/$AJ755-1,$AL756/$AL755-1,$AM756/$AM755-1,$AR756/$AR755-1,$AS756/$AS755-1,$AT756/$AT755-1,$AU756/$AU755-1,$AV756/$AV755-1,$AW756/$AW755-1,$AX756/$AX755-1,$AY756/$AY755-1),"")</f>
        <v/>
      </c>
      <c r="DW755" s="66">
        <f>AVERAGE($CB755,$CC755,$CD755,$CE755,$CF755,$CG755,$CH755,$CI755,$CJ755,$CL755,$CM755,$CN755,$CO755,$CP755,$CQ755,$CR755,$CS755,$CT755)</f>
        <v/>
      </c>
      <c r="DX755" s="66">
        <f>AVERAGE($CB755,$CC755,$CM755,$CE755,$CP755)</f>
        <v/>
      </c>
      <c r="DY755" s="64">
        <f>($DW755-$DW756)*100</f>
        <v/>
      </c>
      <c r="DZ755" s="64">
        <f>($DX755-$DX756)*100</f>
        <v/>
      </c>
      <c r="EA755" s="64">
        <f>($DW755-$D755)*100</f>
        <v/>
      </c>
      <c r="EB755" s="64">
        <f>$Q755-$O755</f>
        <v/>
      </c>
      <c r="EC755" s="67">
        <f>IFERROR($Q755/$P755,"")</f>
        <v/>
      </c>
    </row>
    <row r="756">
      <c r="DG756" s="64">
        <f>($B756-$B757)*100</f>
        <v/>
      </c>
      <c r="DH756" s="64">
        <f>($D756-$D757)*100</f>
        <v/>
      </c>
      <c r="DI756" s="64">
        <f>($E756-$E757)*100</f>
        <v/>
      </c>
      <c r="DJ756" s="64">
        <f>($H756-$H757)*100</f>
        <v/>
      </c>
      <c r="DK756" s="65">
        <f>IFERROR($J756/$J757-1,"")</f>
        <v/>
      </c>
      <c r="DL756" s="64">
        <f>$L756-$L757</f>
        <v/>
      </c>
      <c r="DM756" s="64">
        <f>$K756-$K757</f>
        <v/>
      </c>
      <c r="DN756" s="65">
        <f>IFERROR($N756/$N757-1,"")</f>
        <v/>
      </c>
      <c r="DO756" s="65">
        <f>IFERROR($M756/$M757-1,"")</f>
        <v/>
      </c>
      <c r="DP756" s="65">
        <f>IFERROR($AZ756/$AZ757-1,"")</f>
        <v/>
      </c>
      <c r="DQ756" s="65">
        <f>IFERROR($BA756/$BA757-1,"")</f>
        <v/>
      </c>
      <c r="DR756" s="64">
        <f>$O756-$O757</f>
        <v/>
      </c>
      <c r="DS756" s="64">
        <f>$P756-$P757</f>
        <v/>
      </c>
      <c r="DT756" s="64">
        <f>$Q756-$Q757</f>
        <v/>
      </c>
      <c r="DU756" s="64">
        <f>$S756-$S757</f>
        <v/>
      </c>
      <c r="DV756" s="65">
        <f>IFERROR(AVERAGE($AA757/$AA756-1,$AB757/$AB756-1,$AC757/$AC756-1,$AD757/$AD756-1,$AE757/$AE756-1,$AG757/$AG756-1,$AH757/$AH756-1,$AI757/$AI756-1,$AJ757/$AJ756-1,$AL757/$AL756-1,$AM757/$AM756-1,$AR757/$AR756-1,$AS757/$AS756-1,$AT757/$AT756-1,$AU757/$AU756-1,$AV757/$AV756-1,$AW757/$AW756-1,$AX757/$AX756-1,$AY757/$AY756-1),"")</f>
        <v/>
      </c>
      <c r="DW756" s="66">
        <f>AVERAGE($CB756,$CC756,$CD756,$CE756,$CF756,$CG756,$CH756,$CI756,$CJ756,$CL756,$CM756,$CN756,$CO756,$CP756,$CQ756,$CR756,$CS756,$CT756)</f>
        <v/>
      </c>
      <c r="DX756" s="66">
        <f>AVERAGE($CB756,$CC756,$CM756,$CE756,$CP756)</f>
        <v/>
      </c>
      <c r="DY756" s="64">
        <f>($DW756-$DW757)*100</f>
        <v/>
      </c>
      <c r="DZ756" s="64">
        <f>($DX756-$DX757)*100</f>
        <v/>
      </c>
      <c r="EA756" s="64">
        <f>($DW756-$D756)*100</f>
        <v/>
      </c>
      <c r="EB756" s="64">
        <f>$Q756-$O756</f>
        <v/>
      </c>
      <c r="EC756" s="67">
        <f>IFERROR($Q756/$P756,"")</f>
        <v/>
      </c>
    </row>
    <row r="757">
      <c r="DG757" s="64">
        <f>($B757-$B758)*100</f>
        <v/>
      </c>
      <c r="DH757" s="64">
        <f>($D757-$D758)*100</f>
        <v/>
      </c>
      <c r="DI757" s="64">
        <f>($E757-$E758)*100</f>
        <v/>
      </c>
      <c r="DJ757" s="64">
        <f>($H757-$H758)*100</f>
        <v/>
      </c>
      <c r="DK757" s="65">
        <f>IFERROR($J757/$J758-1,"")</f>
        <v/>
      </c>
      <c r="DL757" s="64">
        <f>$L757-$L758</f>
        <v/>
      </c>
      <c r="DM757" s="64">
        <f>$K757-$K758</f>
        <v/>
      </c>
      <c r="DN757" s="65">
        <f>IFERROR($N757/$N758-1,"")</f>
        <v/>
      </c>
      <c r="DO757" s="65">
        <f>IFERROR($M757/$M758-1,"")</f>
        <v/>
      </c>
      <c r="DP757" s="65">
        <f>IFERROR($AZ757/$AZ758-1,"")</f>
        <v/>
      </c>
      <c r="DQ757" s="65">
        <f>IFERROR($BA757/$BA758-1,"")</f>
        <v/>
      </c>
      <c r="DR757" s="64">
        <f>$O757-$O758</f>
        <v/>
      </c>
      <c r="DS757" s="64">
        <f>$P757-$P758</f>
        <v/>
      </c>
      <c r="DT757" s="64">
        <f>$Q757-$Q758</f>
        <v/>
      </c>
      <c r="DU757" s="64">
        <f>$S757-$S758</f>
        <v/>
      </c>
      <c r="DV757" s="65">
        <f>IFERROR(AVERAGE($AA758/$AA757-1,$AB758/$AB757-1,$AC758/$AC757-1,$AD758/$AD757-1,$AE758/$AE757-1,$AG758/$AG757-1,$AH758/$AH757-1,$AI758/$AI757-1,$AJ758/$AJ757-1,$AL758/$AL757-1,$AM758/$AM757-1,$AR758/$AR757-1,$AS758/$AS757-1,$AT758/$AT757-1,$AU758/$AU757-1,$AV758/$AV757-1,$AW758/$AW757-1,$AX758/$AX757-1,$AY758/$AY757-1),"")</f>
        <v/>
      </c>
      <c r="DW757" s="66">
        <f>AVERAGE($CB757,$CC757,$CD757,$CE757,$CF757,$CG757,$CH757,$CI757,$CJ757,$CL757,$CM757,$CN757,$CO757,$CP757,$CQ757,$CR757,$CS757,$CT757)</f>
        <v/>
      </c>
      <c r="DX757" s="66">
        <f>AVERAGE($CB757,$CC757,$CM757,$CE757,$CP757)</f>
        <v/>
      </c>
      <c r="DY757" s="64">
        <f>($DW757-$DW758)*100</f>
        <v/>
      </c>
      <c r="DZ757" s="64">
        <f>($DX757-$DX758)*100</f>
        <v/>
      </c>
      <c r="EA757" s="64">
        <f>($DW757-$D757)*100</f>
        <v/>
      </c>
      <c r="EB757" s="64">
        <f>$Q757-$O757</f>
        <v/>
      </c>
      <c r="EC757" s="67">
        <f>IFERROR($Q757/$P757,"")</f>
        <v/>
      </c>
    </row>
    <row r="758">
      <c r="DG758" s="64">
        <f>($B758-$B759)*100</f>
        <v/>
      </c>
      <c r="DH758" s="64">
        <f>($D758-$D759)*100</f>
        <v/>
      </c>
      <c r="DI758" s="64">
        <f>($E758-$E759)*100</f>
        <v/>
      </c>
      <c r="DJ758" s="64">
        <f>($H758-$H759)*100</f>
        <v/>
      </c>
      <c r="DK758" s="65">
        <f>IFERROR($J758/$J759-1,"")</f>
        <v/>
      </c>
      <c r="DL758" s="64">
        <f>$L758-$L759</f>
        <v/>
      </c>
      <c r="DM758" s="64">
        <f>$K758-$K759</f>
        <v/>
      </c>
      <c r="DN758" s="65">
        <f>IFERROR($N758/$N759-1,"")</f>
        <v/>
      </c>
      <c r="DO758" s="65">
        <f>IFERROR($M758/$M759-1,"")</f>
        <v/>
      </c>
      <c r="DP758" s="65">
        <f>IFERROR($AZ758/$AZ759-1,"")</f>
        <v/>
      </c>
      <c r="DQ758" s="65">
        <f>IFERROR($BA758/$BA759-1,"")</f>
        <v/>
      </c>
      <c r="DR758" s="64">
        <f>$O758-$O759</f>
        <v/>
      </c>
      <c r="DS758" s="64">
        <f>$P758-$P759</f>
        <v/>
      </c>
      <c r="DT758" s="64">
        <f>$Q758-$Q759</f>
        <v/>
      </c>
      <c r="DU758" s="64">
        <f>$S758-$S759</f>
        <v/>
      </c>
      <c r="DV758" s="65">
        <f>IFERROR(AVERAGE($AA759/$AA758-1,$AB759/$AB758-1,$AC759/$AC758-1,$AD759/$AD758-1,$AE759/$AE758-1,$AG759/$AG758-1,$AH759/$AH758-1,$AI759/$AI758-1,$AJ759/$AJ758-1,$AL759/$AL758-1,$AM759/$AM758-1,$AR759/$AR758-1,$AS759/$AS758-1,$AT759/$AT758-1,$AU759/$AU758-1,$AV759/$AV758-1,$AW759/$AW758-1,$AX759/$AX758-1,$AY759/$AY758-1),"")</f>
        <v/>
      </c>
      <c r="DW758" s="66">
        <f>AVERAGE($CB758,$CC758,$CD758,$CE758,$CF758,$CG758,$CH758,$CI758,$CJ758,$CL758,$CM758,$CN758,$CO758,$CP758,$CQ758,$CR758,$CS758,$CT758)</f>
        <v/>
      </c>
      <c r="DX758" s="66">
        <f>AVERAGE($CB758,$CC758,$CM758,$CE758,$CP758)</f>
        <v/>
      </c>
      <c r="DY758" s="64">
        <f>($DW758-$DW759)*100</f>
        <v/>
      </c>
      <c r="DZ758" s="64">
        <f>($DX758-$DX759)*100</f>
        <v/>
      </c>
      <c r="EA758" s="64">
        <f>($DW758-$D758)*100</f>
        <v/>
      </c>
      <c r="EB758" s="64">
        <f>$Q758-$O758</f>
        <v/>
      </c>
      <c r="EC758" s="67">
        <f>IFERROR($Q758/$P758,"")</f>
        <v/>
      </c>
    </row>
    <row r="759">
      <c r="DG759" s="64">
        <f>($B759-$B760)*100</f>
        <v/>
      </c>
      <c r="DH759" s="64">
        <f>($D759-$D760)*100</f>
        <v/>
      </c>
      <c r="DI759" s="64">
        <f>($E759-$E760)*100</f>
        <v/>
      </c>
      <c r="DJ759" s="64">
        <f>($H759-$H760)*100</f>
        <v/>
      </c>
      <c r="DK759" s="65">
        <f>IFERROR($J759/$J760-1,"")</f>
        <v/>
      </c>
      <c r="DL759" s="64">
        <f>$L759-$L760</f>
        <v/>
      </c>
      <c r="DM759" s="64">
        <f>$K759-$K760</f>
        <v/>
      </c>
      <c r="DN759" s="65">
        <f>IFERROR($N759/$N760-1,"")</f>
        <v/>
      </c>
      <c r="DO759" s="65">
        <f>IFERROR($M759/$M760-1,"")</f>
        <v/>
      </c>
      <c r="DP759" s="65">
        <f>IFERROR($AZ759/$AZ760-1,"")</f>
        <v/>
      </c>
      <c r="DQ759" s="65">
        <f>IFERROR($BA759/$BA760-1,"")</f>
        <v/>
      </c>
      <c r="DR759" s="64">
        <f>$O759-$O760</f>
        <v/>
      </c>
      <c r="DS759" s="64">
        <f>$P759-$P760</f>
        <v/>
      </c>
      <c r="DT759" s="64">
        <f>$Q759-$Q760</f>
        <v/>
      </c>
      <c r="DU759" s="64">
        <f>$S759-$S760</f>
        <v/>
      </c>
      <c r="DV759" s="65">
        <f>IFERROR(AVERAGE($AA760/$AA759-1,$AB760/$AB759-1,$AC760/$AC759-1,$AD760/$AD759-1,$AE760/$AE759-1,$AG760/$AG759-1,$AH760/$AH759-1,$AI760/$AI759-1,$AJ760/$AJ759-1,$AL760/$AL759-1,$AM760/$AM759-1,$AR760/$AR759-1,$AS760/$AS759-1,$AT760/$AT759-1,$AU760/$AU759-1,$AV760/$AV759-1,$AW760/$AW759-1,$AX760/$AX759-1,$AY760/$AY759-1),"")</f>
        <v/>
      </c>
      <c r="DW759" s="66">
        <f>AVERAGE($CB759,$CC759,$CD759,$CE759,$CF759,$CG759,$CH759,$CI759,$CJ759,$CL759,$CM759,$CN759,$CO759,$CP759,$CQ759,$CR759,$CS759,$CT759)</f>
        <v/>
      </c>
      <c r="DX759" s="66">
        <f>AVERAGE($CB759,$CC759,$CM759,$CE759,$CP759)</f>
        <v/>
      </c>
      <c r="DY759" s="64">
        <f>($DW759-$DW760)*100</f>
        <v/>
      </c>
      <c r="DZ759" s="64">
        <f>($DX759-$DX760)*100</f>
        <v/>
      </c>
      <c r="EA759" s="64">
        <f>($DW759-$D759)*100</f>
        <v/>
      </c>
      <c r="EB759" s="64">
        <f>$Q759-$O759</f>
        <v/>
      </c>
      <c r="EC759" s="67">
        <f>IFERROR($Q759/$P759,"")</f>
        <v/>
      </c>
    </row>
    <row r="760">
      <c r="DG760" s="64">
        <f>($B760-$B761)*100</f>
        <v/>
      </c>
      <c r="DH760" s="64">
        <f>($D760-$D761)*100</f>
        <v/>
      </c>
      <c r="DI760" s="64">
        <f>($E760-$E761)*100</f>
        <v/>
      </c>
      <c r="DJ760" s="64">
        <f>($H760-$H761)*100</f>
        <v/>
      </c>
      <c r="DK760" s="65">
        <f>IFERROR($J760/$J761-1,"")</f>
        <v/>
      </c>
      <c r="DL760" s="64">
        <f>$L760-$L761</f>
        <v/>
      </c>
      <c r="DM760" s="64">
        <f>$K760-$K761</f>
        <v/>
      </c>
      <c r="DN760" s="65">
        <f>IFERROR($N760/$N761-1,"")</f>
        <v/>
      </c>
      <c r="DO760" s="65">
        <f>IFERROR($M760/$M761-1,"")</f>
        <v/>
      </c>
      <c r="DP760" s="65">
        <f>IFERROR($AZ760/$AZ761-1,"")</f>
        <v/>
      </c>
      <c r="DQ760" s="65">
        <f>IFERROR($BA760/$BA761-1,"")</f>
        <v/>
      </c>
      <c r="DR760" s="64">
        <f>$O760-$O761</f>
        <v/>
      </c>
      <c r="DS760" s="64">
        <f>$P760-$P761</f>
        <v/>
      </c>
      <c r="DT760" s="64">
        <f>$Q760-$Q761</f>
        <v/>
      </c>
      <c r="DU760" s="64">
        <f>$S760-$S761</f>
        <v/>
      </c>
      <c r="DV760" s="65">
        <f>IFERROR(AVERAGE($AA761/$AA760-1,$AB761/$AB760-1,$AC761/$AC760-1,$AD761/$AD760-1,$AE761/$AE760-1,$AG761/$AG760-1,$AH761/$AH760-1,$AI761/$AI760-1,$AJ761/$AJ760-1,$AL761/$AL760-1,$AM761/$AM760-1,$AR761/$AR760-1,$AS761/$AS760-1,$AT761/$AT760-1,$AU761/$AU760-1,$AV761/$AV760-1,$AW761/$AW760-1,$AX761/$AX760-1,$AY761/$AY760-1),"")</f>
        <v/>
      </c>
      <c r="DW760" s="66">
        <f>AVERAGE($CB760,$CC760,$CD760,$CE760,$CF760,$CG760,$CH760,$CI760,$CJ760,$CL760,$CM760,$CN760,$CO760,$CP760,$CQ760,$CR760,$CS760,$CT760)</f>
        <v/>
      </c>
      <c r="DX760" s="66">
        <f>AVERAGE($CB760,$CC760,$CM760,$CE760,$CP760)</f>
        <v/>
      </c>
      <c r="DY760" s="64">
        <f>($DW760-$DW761)*100</f>
        <v/>
      </c>
      <c r="DZ760" s="64">
        <f>($DX760-$DX761)*100</f>
        <v/>
      </c>
      <c r="EA760" s="64">
        <f>($DW760-$D760)*100</f>
        <v/>
      </c>
      <c r="EB760" s="64">
        <f>$Q760-$O760</f>
        <v/>
      </c>
      <c r="EC760" s="67">
        <f>IFERROR($Q760/$P760,"")</f>
        <v/>
      </c>
    </row>
    <row r="761">
      <c r="DG761" s="64">
        <f>($B761-$B762)*100</f>
        <v/>
      </c>
      <c r="DH761" s="64">
        <f>($D761-$D762)*100</f>
        <v/>
      </c>
      <c r="DI761" s="64">
        <f>($E761-$E762)*100</f>
        <v/>
      </c>
      <c r="DJ761" s="64">
        <f>($H761-$H762)*100</f>
        <v/>
      </c>
      <c r="DK761" s="65">
        <f>IFERROR($J761/$J762-1,"")</f>
        <v/>
      </c>
      <c r="DL761" s="64">
        <f>$L761-$L762</f>
        <v/>
      </c>
      <c r="DM761" s="64">
        <f>$K761-$K762</f>
        <v/>
      </c>
      <c r="DN761" s="65">
        <f>IFERROR($N761/$N762-1,"")</f>
        <v/>
      </c>
      <c r="DO761" s="65">
        <f>IFERROR($M761/$M762-1,"")</f>
        <v/>
      </c>
      <c r="DP761" s="65">
        <f>IFERROR($AZ761/$AZ762-1,"")</f>
        <v/>
      </c>
      <c r="DQ761" s="65">
        <f>IFERROR($BA761/$BA762-1,"")</f>
        <v/>
      </c>
      <c r="DR761" s="64">
        <f>$O761-$O762</f>
        <v/>
      </c>
      <c r="DS761" s="64">
        <f>$P761-$P762</f>
        <v/>
      </c>
      <c r="DT761" s="64">
        <f>$Q761-$Q762</f>
        <v/>
      </c>
      <c r="DU761" s="64">
        <f>$S761-$S762</f>
        <v/>
      </c>
      <c r="DV761" s="65">
        <f>IFERROR(AVERAGE($AA762/$AA761-1,$AB762/$AB761-1,$AC762/$AC761-1,$AD762/$AD761-1,$AE762/$AE761-1,$AG762/$AG761-1,$AH762/$AH761-1,$AI762/$AI761-1,$AJ762/$AJ761-1,$AL762/$AL761-1,$AM762/$AM761-1,$AR762/$AR761-1,$AS762/$AS761-1,$AT762/$AT761-1,$AU762/$AU761-1,$AV762/$AV761-1,$AW762/$AW761-1,$AX762/$AX761-1,$AY762/$AY761-1),"")</f>
        <v/>
      </c>
      <c r="DW761" s="66">
        <f>AVERAGE($CB761,$CC761,$CD761,$CE761,$CF761,$CG761,$CH761,$CI761,$CJ761,$CL761,$CM761,$CN761,$CO761,$CP761,$CQ761,$CR761,$CS761,$CT761)</f>
        <v/>
      </c>
      <c r="DX761" s="66">
        <f>AVERAGE($CB761,$CC761,$CM761,$CE761,$CP761)</f>
        <v/>
      </c>
      <c r="DY761" s="64">
        <f>($DW761-$DW762)*100</f>
        <v/>
      </c>
      <c r="DZ761" s="64">
        <f>($DX761-$DX762)*100</f>
        <v/>
      </c>
      <c r="EA761" s="64">
        <f>($DW761-$D761)*100</f>
        <v/>
      </c>
      <c r="EB761" s="64">
        <f>$Q761-$O761</f>
        <v/>
      </c>
      <c r="EC761" s="67">
        <f>IFERROR($Q761/$P761,"")</f>
        <v/>
      </c>
    </row>
    <row r="762">
      <c r="DG762" s="64">
        <f>($B762-$B763)*100</f>
        <v/>
      </c>
      <c r="DH762" s="64">
        <f>($D762-$D763)*100</f>
        <v/>
      </c>
      <c r="DI762" s="64">
        <f>($E762-$E763)*100</f>
        <v/>
      </c>
      <c r="DJ762" s="64">
        <f>($H762-$H763)*100</f>
        <v/>
      </c>
      <c r="DK762" s="65">
        <f>IFERROR($J762/$J763-1,"")</f>
        <v/>
      </c>
      <c r="DL762" s="64">
        <f>$L762-$L763</f>
        <v/>
      </c>
      <c r="DM762" s="64">
        <f>$K762-$K763</f>
        <v/>
      </c>
      <c r="DN762" s="65">
        <f>IFERROR($N762/$N763-1,"")</f>
        <v/>
      </c>
      <c r="DO762" s="65">
        <f>IFERROR($M762/$M763-1,"")</f>
        <v/>
      </c>
      <c r="DP762" s="65">
        <f>IFERROR($AZ762/$AZ763-1,"")</f>
        <v/>
      </c>
      <c r="DQ762" s="65">
        <f>IFERROR($BA762/$BA763-1,"")</f>
        <v/>
      </c>
      <c r="DR762" s="64">
        <f>$O762-$O763</f>
        <v/>
      </c>
      <c r="DS762" s="64">
        <f>$P762-$P763</f>
        <v/>
      </c>
      <c r="DT762" s="64">
        <f>$Q762-$Q763</f>
        <v/>
      </c>
      <c r="DU762" s="64">
        <f>$S762-$S763</f>
        <v/>
      </c>
      <c r="DV762" s="65">
        <f>IFERROR(AVERAGE($AA763/$AA762-1,$AB763/$AB762-1,$AC763/$AC762-1,$AD763/$AD762-1,$AE763/$AE762-1,$AG763/$AG762-1,$AH763/$AH762-1,$AI763/$AI762-1,$AJ763/$AJ762-1,$AL763/$AL762-1,$AM763/$AM762-1,$AR763/$AR762-1,$AS763/$AS762-1,$AT763/$AT762-1,$AU763/$AU762-1,$AV763/$AV762-1,$AW763/$AW762-1,$AX763/$AX762-1,$AY763/$AY762-1),"")</f>
        <v/>
      </c>
      <c r="DW762" s="66">
        <f>AVERAGE($CB762,$CC762,$CD762,$CE762,$CF762,$CG762,$CH762,$CI762,$CJ762,$CL762,$CM762,$CN762,$CO762,$CP762,$CQ762,$CR762,$CS762,$CT762)</f>
        <v/>
      </c>
      <c r="DX762" s="66">
        <f>AVERAGE($CB762,$CC762,$CM762,$CE762,$CP762)</f>
        <v/>
      </c>
      <c r="DY762" s="64">
        <f>($DW762-$DW763)*100</f>
        <v/>
      </c>
      <c r="DZ762" s="64">
        <f>($DX762-$DX763)*100</f>
        <v/>
      </c>
      <c r="EA762" s="64">
        <f>($DW762-$D762)*100</f>
        <v/>
      </c>
      <c r="EB762" s="64">
        <f>$Q762-$O762</f>
        <v/>
      </c>
      <c r="EC762" s="67">
        <f>IFERROR($Q762/$P762,"")</f>
        <v/>
      </c>
    </row>
    <row r="763">
      <c r="DG763" s="64">
        <f>($B763-$B764)*100</f>
        <v/>
      </c>
      <c r="DH763" s="64">
        <f>($D763-$D764)*100</f>
        <v/>
      </c>
      <c r="DI763" s="64">
        <f>($E763-$E764)*100</f>
        <v/>
      </c>
      <c r="DJ763" s="64">
        <f>($H763-$H764)*100</f>
        <v/>
      </c>
      <c r="DK763" s="65">
        <f>IFERROR($J763/$J764-1,"")</f>
        <v/>
      </c>
      <c r="DL763" s="64">
        <f>$L763-$L764</f>
        <v/>
      </c>
      <c r="DM763" s="64">
        <f>$K763-$K764</f>
        <v/>
      </c>
      <c r="DN763" s="65">
        <f>IFERROR($N763/$N764-1,"")</f>
        <v/>
      </c>
      <c r="DO763" s="65">
        <f>IFERROR($M763/$M764-1,"")</f>
        <v/>
      </c>
      <c r="DP763" s="65">
        <f>IFERROR($AZ763/$AZ764-1,"")</f>
        <v/>
      </c>
      <c r="DQ763" s="65">
        <f>IFERROR($BA763/$BA764-1,"")</f>
        <v/>
      </c>
      <c r="DR763" s="64">
        <f>$O763-$O764</f>
        <v/>
      </c>
      <c r="DS763" s="64">
        <f>$P763-$P764</f>
        <v/>
      </c>
      <c r="DT763" s="64">
        <f>$Q763-$Q764</f>
        <v/>
      </c>
      <c r="DU763" s="64">
        <f>$S763-$S764</f>
        <v/>
      </c>
      <c r="DV763" s="65">
        <f>IFERROR(AVERAGE($AA764/$AA763-1,$AB764/$AB763-1,$AC764/$AC763-1,$AD764/$AD763-1,$AE764/$AE763-1,$AG764/$AG763-1,$AH764/$AH763-1,$AI764/$AI763-1,$AJ764/$AJ763-1,$AL764/$AL763-1,$AM764/$AM763-1,$AR764/$AR763-1,$AS764/$AS763-1,$AT764/$AT763-1,$AU764/$AU763-1,$AV764/$AV763-1,$AW764/$AW763-1,$AX764/$AX763-1,$AY764/$AY763-1),"")</f>
        <v/>
      </c>
      <c r="DW763" s="66">
        <f>AVERAGE($CB763,$CC763,$CD763,$CE763,$CF763,$CG763,$CH763,$CI763,$CJ763,$CL763,$CM763,$CN763,$CO763,$CP763,$CQ763,$CR763,$CS763,$CT763)</f>
        <v/>
      </c>
      <c r="DX763" s="66">
        <f>AVERAGE($CB763,$CC763,$CM763,$CE763,$CP763)</f>
        <v/>
      </c>
      <c r="DY763" s="64">
        <f>($DW763-$DW764)*100</f>
        <v/>
      </c>
      <c r="DZ763" s="64">
        <f>($DX763-$DX764)*100</f>
        <v/>
      </c>
      <c r="EA763" s="64">
        <f>($DW763-$D763)*100</f>
        <v/>
      </c>
      <c r="EB763" s="64">
        <f>$Q763-$O763</f>
        <v/>
      </c>
      <c r="EC763" s="67">
        <f>IFERROR($Q763/$P763,"")</f>
        <v/>
      </c>
    </row>
    <row r="764">
      <c r="DG764" s="64">
        <f>($B764-$B765)*100</f>
        <v/>
      </c>
      <c r="DH764" s="64">
        <f>($D764-$D765)*100</f>
        <v/>
      </c>
      <c r="DI764" s="64">
        <f>($E764-$E765)*100</f>
        <v/>
      </c>
      <c r="DJ764" s="64">
        <f>($H764-$H765)*100</f>
        <v/>
      </c>
      <c r="DK764" s="65">
        <f>IFERROR($J764/$J765-1,"")</f>
        <v/>
      </c>
      <c r="DL764" s="64">
        <f>$L764-$L765</f>
        <v/>
      </c>
      <c r="DM764" s="64">
        <f>$K764-$K765</f>
        <v/>
      </c>
      <c r="DN764" s="65">
        <f>IFERROR($N764/$N765-1,"")</f>
        <v/>
      </c>
      <c r="DO764" s="65">
        <f>IFERROR($M764/$M765-1,"")</f>
        <v/>
      </c>
      <c r="DP764" s="65">
        <f>IFERROR($AZ764/$AZ765-1,"")</f>
        <v/>
      </c>
      <c r="DQ764" s="65">
        <f>IFERROR($BA764/$BA765-1,"")</f>
        <v/>
      </c>
      <c r="DR764" s="64">
        <f>$O764-$O765</f>
        <v/>
      </c>
      <c r="DS764" s="64">
        <f>$P764-$P765</f>
        <v/>
      </c>
      <c r="DT764" s="64">
        <f>$Q764-$Q765</f>
        <v/>
      </c>
      <c r="DU764" s="64">
        <f>$S764-$S765</f>
        <v/>
      </c>
      <c r="DV764" s="65">
        <f>IFERROR(AVERAGE($AA765/$AA764-1,$AB765/$AB764-1,$AC765/$AC764-1,$AD765/$AD764-1,$AE765/$AE764-1,$AG765/$AG764-1,$AH765/$AH764-1,$AI765/$AI764-1,$AJ765/$AJ764-1,$AL765/$AL764-1,$AM765/$AM764-1,$AR765/$AR764-1,$AS765/$AS764-1,$AT765/$AT764-1,$AU765/$AU764-1,$AV765/$AV764-1,$AW765/$AW764-1,$AX765/$AX764-1,$AY765/$AY764-1),"")</f>
        <v/>
      </c>
      <c r="DW764" s="66">
        <f>AVERAGE($CB764,$CC764,$CD764,$CE764,$CF764,$CG764,$CH764,$CI764,$CJ764,$CL764,$CM764,$CN764,$CO764,$CP764,$CQ764,$CR764,$CS764,$CT764)</f>
        <v/>
      </c>
      <c r="DX764" s="66">
        <f>AVERAGE($CB764,$CC764,$CM764,$CE764,$CP764)</f>
        <v/>
      </c>
      <c r="DY764" s="64">
        <f>($DW764-$DW765)*100</f>
        <v/>
      </c>
      <c r="DZ764" s="64">
        <f>($DX764-$DX765)*100</f>
        <v/>
      </c>
      <c r="EA764" s="64">
        <f>($DW764-$D764)*100</f>
        <v/>
      </c>
      <c r="EB764" s="64">
        <f>$Q764-$O764</f>
        <v/>
      </c>
      <c r="EC764" s="67">
        <f>IFERROR($Q764/$P764,"")</f>
        <v/>
      </c>
    </row>
    <row r="765">
      <c r="DG765" s="64">
        <f>($B765-$B766)*100</f>
        <v/>
      </c>
      <c r="DH765" s="64">
        <f>($D765-$D766)*100</f>
        <v/>
      </c>
      <c r="DI765" s="64">
        <f>($E765-$E766)*100</f>
        <v/>
      </c>
      <c r="DJ765" s="64">
        <f>($H765-$H766)*100</f>
        <v/>
      </c>
      <c r="DK765" s="65">
        <f>IFERROR($J765/$J766-1,"")</f>
        <v/>
      </c>
      <c r="DL765" s="64">
        <f>$L765-$L766</f>
        <v/>
      </c>
      <c r="DM765" s="64">
        <f>$K765-$K766</f>
        <v/>
      </c>
      <c r="DN765" s="65">
        <f>IFERROR($N765/$N766-1,"")</f>
        <v/>
      </c>
      <c r="DO765" s="65">
        <f>IFERROR($M765/$M766-1,"")</f>
        <v/>
      </c>
      <c r="DP765" s="65">
        <f>IFERROR($AZ765/$AZ766-1,"")</f>
        <v/>
      </c>
      <c r="DQ765" s="65">
        <f>IFERROR($BA765/$BA766-1,"")</f>
        <v/>
      </c>
      <c r="DR765" s="64">
        <f>$O765-$O766</f>
        <v/>
      </c>
      <c r="DS765" s="64">
        <f>$P765-$P766</f>
        <v/>
      </c>
      <c r="DT765" s="64">
        <f>$Q765-$Q766</f>
        <v/>
      </c>
      <c r="DU765" s="64">
        <f>$S765-$S766</f>
        <v/>
      </c>
      <c r="DV765" s="65">
        <f>IFERROR(AVERAGE($AA766/$AA765-1,$AB766/$AB765-1,$AC766/$AC765-1,$AD766/$AD765-1,$AE766/$AE765-1,$AG766/$AG765-1,$AH766/$AH765-1,$AI766/$AI765-1,$AJ766/$AJ765-1,$AL766/$AL765-1,$AM766/$AM765-1,$AR766/$AR765-1,$AS766/$AS765-1,$AT766/$AT765-1,$AU766/$AU765-1,$AV766/$AV765-1,$AW766/$AW765-1,$AX766/$AX765-1,$AY766/$AY765-1),"")</f>
        <v/>
      </c>
      <c r="DW765" s="66">
        <f>AVERAGE($CB765,$CC765,$CD765,$CE765,$CF765,$CG765,$CH765,$CI765,$CJ765,$CL765,$CM765,$CN765,$CO765,$CP765,$CQ765,$CR765,$CS765,$CT765)</f>
        <v/>
      </c>
      <c r="DX765" s="66">
        <f>AVERAGE($CB765,$CC765,$CM765,$CE765,$CP765)</f>
        <v/>
      </c>
      <c r="DY765" s="64">
        <f>($DW765-$DW766)*100</f>
        <v/>
      </c>
      <c r="DZ765" s="64">
        <f>($DX765-$DX766)*100</f>
        <v/>
      </c>
      <c r="EA765" s="64">
        <f>($DW765-$D765)*100</f>
        <v/>
      </c>
      <c r="EB765" s="64">
        <f>$Q765-$O765</f>
        <v/>
      </c>
      <c r="EC765" s="67">
        <f>IFERROR($Q765/$P765,"")</f>
        <v/>
      </c>
    </row>
    <row r="766">
      <c r="DG766" s="64">
        <f>($B766-$B767)*100</f>
        <v/>
      </c>
      <c r="DH766" s="64">
        <f>($D766-$D767)*100</f>
        <v/>
      </c>
      <c r="DI766" s="64">
        <f>($E766-$E767)*100</f>
        <v/>
      </c>
      <c r="DJ766" s="64">
        <f>($H766-$H767)*100</f>
        <v/>
      </c>
      <c r="DK766" s="65">
        <f>IFERROR($J766/$J767-1,"")</f>
        <v/>
      </c>
      <c r="DL766" s="64">
        <f>$L766-$L767</f>
        <v/>
      </c>
      <c r="DM766" s="64">
        <f>$K766-$K767</f>
        <v/>
      </c>
      <c r="DN766" s="65">
        <f>IFERROR($N766/$N767-1,"")</f>
        <v/>
      </c>
      <c r="DO766" s="65">
        <f>IFERROR($M766/$M767-1,"")</f>
        <v/>
      </c>
      <c r="DP766" s="65">
        <f>IFERROR($AZ766/$AZ767-1,"")</f>
        <v/>
      </c>
      <c r="DQ766" s="65">
        <f>IFERROR($BA766/$BA767-1,"")</f>
        <v/>
      </c>
      <c r="DR766" s="64">
        <f>$O766-$O767</f>
        <v/>
      </c>
      <c r="DS766" s="64">
        <f>$P766-$P767</f>
        <v/>
      </c>
      <c r="DT766" s="64">
        <f>$Q766-$Q767</f>
        <v/>
      </c>
      <c r="DU766" s="64">
        <f>$S766-$S767</f>
        <v/>
      </c>
      <c r="DV766" s="65">
        <f>IFERROR(AVERAGE($AA767/$AA766-1,$AB767/$AB766-1,$AC767/$AC766-1,$AD767/$AD766-1,$AE767/$AE766-1,$AG767/$AG766-1,$AH767/$AH766-1,$AI767/$AI766-1,$AJ767/$AJ766-1,$AL767/$AL766-1,$AM767/$AM766-1,$AR767/$AR766-1,$AS767/$AS766-1,$AT767/$AT766-1,$AU767/$AU766-1,$AV767/$AV766-1,$AW767/$AW766-1,$AX767/$AX766-1,$AY767/$AY766-1),"")</f>
        <v/>
      </c>
      <c r="DW766" s="66">
        <f>AVERAGE($CB766,$CC766,$CD766,$CE766,$CF766,$CG766,$CH766,$CI766,$CJ766,$CL766,$CM766,$CN766,$CO766,$CP766,$CQ766,$CR766,$CS766,$CT766)</f>
        <v/>
      </c>
      <c r="DX766" s="66">
        <f>AVERAGE($CB766,$CC766,$CM766,$CE766,$CP766)</f>
        <v/>
      </c>
      <c r="DY766" s="64">
        <f>($DW766-$DW767)*100</f>
        <v/>
      </c>
      <c r="DZ766" s="64">
        <f>($DX766-$DX767)*100</f>
        <v/>
      </c>
      <c r="EA766" s="64">
        <f>($DW766-$D766)*100</f>
        <v/>
      </c>
      <c r="EB766" s="64">
        <f>$Q766-$O766</f>
        <v/>
      </c>
      <c r="EC766" s="67">
        <f>IFERROR($Q766/$P766,"")</f>
        <v/>
      </c>
    </row>
    <row r="767">
      <c r="DG767" s="64">
        <f>($B767-$B768)*100</f>
        <v/>
      </c>
      <c r="DH767" s="64">
        <f>($D767-$D768)*100</f>
        <v/>
      </c>
      <c r="DI767" s="64">
        <f>($E767-$E768)*100</f>
        <v/>
      </c>
      <c r="DJ767" s="64">
        <f>($H767-$H768)*100</f>
        <v/>
      </c>
      <c r="DK767" s="65">
        <f>IFERROR($J767/$J768-1,"")</f>
        <v/>
      </c>
      <c r="DL767" s="64">
        <f>$L767-$L768</f>
        <v/>
      </c>
      <c r="DM767" s="64">
        <f>$K767-$K768</f>
        <v/>
      </c>
      <c r="DN767" s="65">
        <f>IFERROR($N767/$N768-1,"")</f>
        <v/>
      </c>
      <c r="DO767" s="65">
        <f>IFERROR($M767/$M768-1,"")</f>
        <v/>
      </c>
      <c r="DP767" s="65">
        <f>IFERROR($AZ767/$AZ768-1,"")</f>
        <v/>
      </c>
      <c r="DQ767" s="65">
        <f>IFERROR($BA767/$BA768-1,"")</f>
        <v/>
      </c>
      <c r="DR767" s="64">
        <f>$O767-$O768</f>
        <v/>
      </c>
      <c r="DS767" s="64">
        <f>$P767-$P768</f>
        <v/>
      </c>
      <c r="DT767" s="64">
        <f>$Q767-$Q768</f>
        <v/>
      </c>
      <c r="DU767" s="64">
        <f>$S767-$S768</f>
        <v/>
      </c>
      <c r="DV767" s="65">
        <f>IFERROR(AVERAGE($AA768/$AA767-1,$AB768/$AB767-1,$AC768/$AC767-1,$AD768/$AD767-1,$AE768/$AE767-1,$AG768/$AG767-1,$AH768/$AH767-1,$AI768/$AI767-1,$AJ768/$AJ767-1,$AL768/$AL767-1,$AM768/$AM767-1,$AR768/$AR767-1,$AS768/$AS767-1,$AT768/$AT767-1,$AU768/$AU767-1,$AV768/$AV767-1,$AW768/$AW767-1,$AX768/$AX767-1,$AY768/$AY767-1),"")</f>
        <v/>
      </c>
      <c r="DW767" s="66">
        <f>AVERAGE($CB767,$CC767,$CD767,$CE767,$CF767,$CG767,$CH767,$CI767,$CJ767,$CL767,$CM767,$CN767,$CO767,$CP767,$CQ767,$CR767,$CS767,$CT767)</f>
        <v/>
      </c>
      <c r="DX767" s="66">
        <f>AVERAGE($CB767,$CC767,$CM767,$CE767,$CP767)</f>
        <v/>
      </c>
      <c r="DY767" s="64">
        <f>($DW767-$DW768)*100</f>
        <v/>
      </c>
      <c r="DZ767" s="64">
        <f>($DX767-$DX768)*100</f>
        <v/>
      </c>
      <c r="EA767" s="64">
        <f>($DW767-$D767)*100</f>
        <v/>
      </c>
      <c r="EB767" s="64">
        <f>$Q767-$O767</f>
        <v/>
      </c>
      <c r="EC767" s="67">
        <f>IFERROR($Q767/$P767,"")</f>
        <v/>
      </c>
    </row>
    <row r="768">
      <c r="DG768" s="64">
        <f>($B768-$B769)*100</f>
        <v/>
      </c>
      <c r="DH768" s="64">
        <f>($D768-$D769)*100</f>
        <v/>
      </c>
      <c r="DI768" s="64">
        <f>($E768-$E769)*100</f>
        <v/>
      </c>
      <c r="DJ768" s="64">
        <f>($H768-$H769)*100</f>
        <v/>
      </c>
      <c r="DK768" s="65">
        <f>IFERROR($J768/$J769-1,"")</f>
        <v/>
      </c>
      <c r="DL768" s="64">
        <f>$L768-$L769</f>
        <v/>
      </c>
      <c r="DM768" s="64">
        <f>$K768-$K769</f>
        <v/>
      </c>
      <c r="DN768" s="65">
        <f>IFERROR($N768/$N769-1,"")</f>
        <v/>
      </c>
      <c r="DO768" s="65">
        <f>IFERROR($M768/$M769-1,"")</f>
        <v/>
      </c>
      <c r="DP768" s="65">
        <f>IFERROR($AZ768/$AZ769-1,"")</f>
        <v/>
      </c>
      <c r="DQ768" s="65">
        <f>IFERROR($BA768/$BA769-1,"")</f>
        <v/>
      </c>
      <c r="DR768" s="64">
        <f>$O768-$O769</f>
        <v/>
      </c>
      <c r="DS768" s="64">
        <f>$P768-$P769</f>
        <v/>
      </c>
      <c r="DT768" s="64">
        <f>$Q768-$Q769</f>
        <v/>
      </c>
      <c r="DU768" s="64">
        <f>$S768-$S769</f>
        <v/>
      </c>
      <c r="DV768" s="65">
        <f>IFERROR(AVERAGE($AA769/$AA768-1,$AB769/$AB768-1,$AC769/$AC768-1,$AD769/$AD768-1,$AE769/$AE768-1,$AG769/$AG768-1,$AH769/$AH768-1,$AI769/$AI768-1,$AJ769/$AJ768-1,$AL769/$AL768-1,$AM769/$AM768-1,$AR769/$AR768-1,$AS769/$AS768-1,$AT769/$AT768-1,$AU769/$AU768-1,$AV769/$AV768-1,$AW769/$AW768-1,$AX769/$AX768-1,$AY769/$AY768-1),"")</f>
        <v/>
      </c>
      <c r="DW768" s="66">
        <f>AVERAGE($CB768,$CC768,$CD768,$CE768,$CF768,$CG768,$CH768,$CI768,$CJ768,$CL768,$CM768,$CN768,$CO768,$CP768,$CQ768,$CR768,$CS768,$CT768)</f>
        <v/>
      </c>
      <c r="DX768" s="66">
        <f>AVERAGE($CB768,$CC768,$CM768,$CE768,$CP768)</f>
        <v/>
      </c>
      <c r="DY768" s="64">
        <f>($DW768-$DW769)*100</f>
        <v/>
      </c>
      <c r="DZ768" s="64">
        <f>($DX768-$DX769)*100</f>
        <v/>
      </c>
      <c r="EA768" s="64">
        <f>($DW768-$D768)*100</f>
        <v/>
      </c>
      <c r="EB768" s="64">
        <f>$Q768-$O768</f>
        <v/>
      </c>
      <c r="EC768" s="67">
        <f>IFERROR($Q768/$P768,"")</f>
        <v/>
      </c>
    </row>
    <row r="769">
      <c r="DG769" s="64">
        <f>($B769-$B770)*100</f>
        <v/>
      </c>
      <c r="DH769" s="64">
        <f>($D769-$D770)*100</f>
        <v/>
      </c>
      <c r="DI769" s="64">
        <f>($E769-$E770)*100</f>
        <v/>
      </c>
      <c r="DJ769" s="64">
        <f>($H769-$H770)*100</f>
        <v/>
      </c>
      <c r="DK769" s="65">
        <f>IFERROR($J769/$J770-1,"")</f>
        <v/>
      </c>
      <c r="DL769" s="64">
        <f>$L769-$L770</f>
        <v/>
      </c>
      <c r="DM769" s="64">
        <f>$K769-$K770</f>
        <v/>
      </c>
      <c r="DN769" s="65">
        <f>IFERROR($N769/$N770-1,"")</f>
        <v/>
      </c>
      <c r="DO769" s="65">
        <f>IFERROR($M769/$M770-1,"")</f>
        <v/>
      </c>
      <c r="DP769" s="65">
        <f>IFERROR($AZ769/$AZ770-1,"")</f>
        <v/>
      </c>
      <c r="DQ769" s="65">
        <f>IFERROR($BA769/$BA770-1,"")</f>
        <v/>
      </c>
      <c r="DR769" s="64">
        <f>$O769-$O770</f>
        <v/>
      </c>
      <c r="DS769" s="64">
        <f>$P769-$P770</f>
        <v/>
      </c>
      <c r="DT769" s="64">
        <f>$Q769-$Q770</f>
        <v/>
      </c>
      <c r="DU769" s="64">
        <f>$S769-$S770</f>
        <v/>
      </c>
      <c r="DV769" s="65">
        <f>IFERROR(AVERAGE($AA770/$AA769-1,$AB770/$AB769-1,$AC770/$AC769-1,$AD770/$AD769-1,$AE770/$AE769-1,$AG770/$AG769-1,$AH770/$AH769-1,$AI770/$AI769-1,$AJ770/$AJ769-1,$AL770/$AL769-1,$AM770/$AM769-1,$AR770/$AR769-1,$AS770/$AS769-1,$AT770/$AT769-1,$AU770/$AU769-1,$AV770/$AV769-1,$AW770/$AW769-1,$AX770/$AX769-1,$AY770/$AY769-1),"")</f>
        <v/>
      </c>
      <c r="DW769" s="66">
        <f>AVERAGE($CB769,$CC769,$CD769,$CE769,$CF769,$CG769,$CH769,$CI769,$CJ769,$CL769,$CM769,$CN769,$CO769,$CP769,$CQ769,$CR769,$CS769,$CT769)</f>
        <v/>
      </c>
      <c r="DX769" s="66">
        <f>AVERAGE($CB769,$CC769,$CM769,$CE769,$CP769)</f>
        <v/>
      </c>
      <c r="DY769" s="64">
        <f>($DW769-$DW770)*100</f>
        <v/>
      </c>
      <c r="DZ769" s="64">
        <f>($DX769-$DX770)*100</f>
        <v/>
      </c>
      <c r="EA769" s="64">
        <f>($DW769-$D769)*100</f>
        <v/>
      </c>
      <c r="EB769" s="64">
        <f>$Q769-$O769</f>
        <v/>
      </c>
      <c r="EC769" s="67">
        <f>IFERROR($Q769/$P769,"")</f>
        <v/>
      </c>
    </row>
    <row r="770">
      <c r="DG770" s="64">
        <f>($B770-$B771)*100</f>
        <v/>
      </c>
      <c r="DH770" s="64">
        <f>($D770-$D771)*100</f>
        <v/>
      </c>
      <c r="DI770" s="64">
        <f>($E770-$E771)*100</f>
        <v/>
      </c>
      <c r="DJ770" s="64">
        <f>($H770-$H771)*100</f>
        <v/>
      </c>
      <c r="DK770" s="65">
        <f>IFERROR($J770/$J771-1,"")</f>
        <v/>
      </c>
      <c r="DL770" s="64">
        <f>$L770-$L771</f>
        <v/>
      </c>
      <c r="DM770" s="64">
        <f>$K770-$K771</f>
        <v/>
      </c>
      <c r="DN770" s="65">
        <f>IFERROR($N770/$N771-1,"")</f>
        <v/>
      </c>
      <c r="DO770" s="65">
        <f>IFERROR($M770/$M771-1,"")</f>
        <v/>
      </c>
      <c r="DP770" s="65">
        <f>IFERROR($AZ770/$AZ771-1,"")</f>
        <v/>
      </c>
      <c r="DQ770" s="65">
        <f>IFERROR($BA770/$BA771-1,"")</f>
        <v/>
      </c>
      <c r="DR770" s="64">
        <f>$O770-$O771</f>
        <v/>
      </c>
      <c r="DS770" s="64">
        <f>$P770-$P771</f>
        <v/>
      </c>
      <c r="DT770" s="64">
        <f>$Q770-$Q771</f>
        <v/>
      </c>
      <c r="DU770" s="64">
        <f>$S770-$S771</f>
        <v/>
      </c>
      <c r="DV770" s="65">
        <f>IFERROR(AVERAGE($AA771/$AA770-1,$AB771/$AB770-1,$AC771/$AC770-1,$AD771/$AD770-1,$AE771/$AE770-1,$AG771/$AG770-1,$AH771/$AH770-1,$AI771/$AI770-1,$AJ771/$AJ770-1,$AL771/$AL770-1,$AM771/$AM770-1,$AR771/$AR770-1,$AS771/$AS770-1,$AT771/$AT770-1,$AU771/$AU770-1,$AV771/$AV770-1,$AW771/$AW770-1,$AX771/$AX770-1,$AY771/$AY770-1),"")</f>
        <v/>
      </c>
      <c r="DW770" s="66">
        <f>AVERAGE($CB770,$CC770,$CD770,$CE770,$CF770,$CG770,$CH770,$CI770,$CJ770,$CL770,$CM770,$CN770,$CO770,$CP770,$CQ770,$CR770,$CS770,$CT770)</f>
        <v/>
      </c>
      <c r="DX770" s="66">
        <f>AVERAGE($CB770,$CC770,$CM770,$CE770,$CP770)</f>
        <v/>
      </c>
      <c r="DY770" s="64">
        <f>($DW770-$DW771)*100</f>
        <v/>
      </c>
      <c r="DZ770" s="64">
        <f>($DX770-$DX771)*100</f>
        <v/>
      </c>
      <c r="EA770" s="64">
        <f>($DW770-$D770)*100</f>
        <v/>
      </c>
      <c r="EB770" s="64">
        <f>$Q770-$O770</f>
        <v/>
      </c>
      <c r="EC770" s="67">
        <f>IFERROR($Q770/$P770,"")</f>
        <v/>
      </c>
    </row>
    <row r="771">
      <c r="DG771" s="64">
        <f>($B771-$B772)*100</f>
        <v/>
      </c>
      <c r="DH771" s="64">
        <f>($D771-$D772)*100</f>
        <v/>
      </c>
      <c r="DI771" s="64">
        <f>($E771-$E772)*100</f>
        <v/>
      </c>
      <c r="DJ771" s="64">
        <f>($H771-$H772)*100</f>
        <v/>
      </c>
      <c r="DK771" s="65">
        <f>IFERROR($J771/$J772-1,"")</f>
        <v/>
      </c>
      <c r="DL771" s="64">
        <f>$L771-$L772</f>
        <v/>
      </c>
      <c r="DM771" s="64">
        <f>$K771-$K772</f>
        <v/>
      </c>
      <c r="DN771" s="65">
        <f>IFERROR($N771/$N772-1,"")</f>
        <v/>
      </c>
      <c r="DO771" s="65">
        <f>IFERROR($M771/$M772-1,"")</f>
        <v/>
      </c>
      <c r="DP771" s="65">
        <f>IFERROR($AZ771/$AZ772-1,"")</f>
        <v/>
      </c>
      <c r="DQ771" s="65">
        <f>IFERROR($BA771/$BA772-1,"")</f>
        <v/>
      </c>
      <c r="DR771" s="64">
        <f>$O771-$O772</f>
        <v/>
      </c>
      <c r="DS771" s="64">
        <f>$P771-$P772</f>
        <v/>
      </c>
      <c r="DT771" s="64">
        <f>$Q771-$Q772</f>
        <v/>
      </c>
      <c r="DU771" s="64">
        <f>$S771-$S772</f>
        <v/>
      </c>
      <c r="DV771" s="65">
        <f>IFERROR(AVERAGE($AA772/$AA771-1,$AB772/$AB771-1,$AC772/$AC771-1,$AD772/$AD771-1,$AE772/$AE771-1,$AG772/$AG771-1,$AH772/$AH771-1,$AI772/$AI771-1,$AJ772/$AJ771-1,$AL772/$AL771-1,$AM772/$AM771-1,$AR772/$AR771-1,$AS772/$AS771-1,$AT772/$AT771-1,$AU772/$AU771-1,$AV772/$AV771-1,$AW772/$AW771-1,$AX772/$AX771-1,$AY772/$AY771-1),"")</f>
        <v/>
      </c>
      <c r="DW771" s="66">
        <f>AVERAGE($CB771,$CC771,$CD771,$CE771,$CF771,$CG771,$CH771,$CI771,$CJ771,$CL771,$CM771,$CN771,$CO771,$CP771,$CQ771,$CR771,$CS771,$CT771)</f>
        <v/>
      </c>
      <c r="DX771" s="66">
        <f>AVERAGE($CB771,$CC771,$CM771,$CE771,$CP771)</f>
        <v/>
      </c>
      <c r="DY771" s="64">
        <f>($DW771-$DW772)*100</f>
        <v/>
      </c>
      <c r="DZ771" s="64">
        <f>($DX771-$DX772)*100</f>
        <v/>
      </c>
      <c r="EA771" s="64">
        <f>($DW771-$D771)*100</f>
        <v/>
      </c>
      <c r="EB771" s="64">
        <f>$Q771-$O771</f>
        <v/>
      </c>
      <c r="EC771" s="67">
        <f>IFERROR($Q771/$P771,"")</f>
        <v/>
      </c>
    </row>
    <row r="772">
      <c r="DG772" s="64">
        <f>($B772-$B773)*100</f>
        <v/>
      </c>
      <c r="DH772" s="64">
        <f>($D772-$D773)*100</f>
        <v/>
      </c>
      <c r="DI772" s="64">
        <f>($E772-$E773)*100</f>
        <v/>
      </c>
      <c r="DJ772" s="64">
        <f>($H772-$H773)*100</f>
        <v/>
      </c>
      <c r="DK772" s="65">
        <f>IFERROR($J772/$J773-1,"")</f>
        <v/>
      </c>
      <c r="DL772" s="64">
        <f>$L772-$L773</f>
        <v/>
      </c>
      <c r="DM772" s="64">
        <f>$K772-$K773</f>
        <v/>
      </c>
      <c r="DN772" s="65">
        <f>IFERROR($N772/$N773-1,"")</f>
        <v/>
      </c>
      <c r="DO772" s="65">
        <f>IFERROR($M772/$M773-1,"")</f>
        <v/>
      </c>
      <c r="DP772" s="65">
        <f>IFERROR($AZ772/$AZ773-1,"")</f>
        <v/>
      </c>
      <c r="DQ772" s="65">
        <f>IFERROR($BA772/$BA773-1,"")</f>
        <v/>
      </c>
      <c r="DR772" s="64">
        <f>$O772-$O773</f>
        <v/>
      </c>
      <c r="DS772" s="64">
        <f>$P772-$P773</f>
        <v/>
      </c>
      <c r="DT772" s="64">
        <f>$Q772-$Q773</f>
        <v/>
      </c>
      <c r="DU772" s="64">
        <f>$S772-$S773</f>
        <v/>
      </c>
      <c r="DV772" s="65">
        <f>IFERROR(AVERAGE($AA773/$AA772-1,$AB773/$AB772-1,$AC773/$AC772-1,$AD773/$AD772-1,$AE773/$AE772-1,$AG773/$AG772-1,$AH773/$AH772-1,$AI773/$AI772-1,$AJ773/$AJ772-1,$AL773/$AL772-1,$AM773/$AM772-1,$AR773/$AR772-1,$AS773/$AS772-1,$AT773/$AT772-1,$AU773/$AU772-1,$AV773/$AV772-1,$AW773/$AW772-1,$AX773/$AX772-1,$AY773/$AY772-1),"")</f>
        <v/>
      </c>
      <c r="DW772" s="66">
        <f>AVERAGE($CB772,$CC772,$CD772,$CE772,$CF772,$CG772,$CH772,$CI772,$CJ772,$CL772,$CM772,$CN772,$CO772,$CP772,$CQ772,$CR772,$CS772,$CT772)</f>
        <v/>
      </c>
      <c r="DX772" s="66">
        <f>AVERAGE($CB772,$CC772,$CM772,$CE772,$CP772)</f>
        <v/>
      </c>
      <c r="DY772" s="64">
        <f>($DW772-$DW773)*100</f>
        <v/>
      </c>
      <c r="DZ772" s="64">
        <f>($DX772-$DX773)*100</f>
        <v/>
      </c>
      <c r="EA772" s="64">
        <f>($DW772-$D772)*100</f>
        <v/>
      </c>
      <c r="EB772" s="64">
        <f>$Q772-$O772</f>
        <v/>
      </c>
      <c r="EC772" s="67">
        <f>IFERROR($Q772/$P772,"")</f>
        <v/>
      </c>
    </row>
    <row r="773">
      <c r="DG773" s="64">
        <f>($B773-$B774)*100</f>
        <v/>
      </c>
      <c r="DH773" s="64">
        <f>($D773-$D774)*100</f>
        <v/>
      </c>
      <c r="DI773" s="64">
        <f>($E773-$E774)*100</f>
        <v/>
      </c>
      <c r="DJ773" s="64">
        <f>($H773-$H774)*100</f>
        <v/>
      </c>
      <c r="DK773" s="65">
        <f>IFERROR($J773/$J774-1,"")</f>
        <v/>
      </c>
      <c r="DL773" s="64">
        <f>$L773-$L774</f>
        <v/>
      </c>
      <c r="DM773" s="64">
        <f>$K773-$K774</f>
        <v/>
      </c>
      <c r="DN773" s="65">
        <f>IFERROR($N773/$N774-1,"")</f>
        <v/>
      </c>
      <c r="DO773" s="65">
        <f>IFERROR($M773/$M774-1,"")</f>
        <v/>
      </c>
      <c r="DP773" s="65">
        <f>IFERROR($AZ773/$AZ774-1,"")</f>
        <v/>
      </c>
      <c r="DQ773" s="65">
        <f>IFERROR($BA773/$BA774-1,"")</f>
        <v/>
      </c>
      <c r="DR773" s="64">
        <f>$O773-$O774</f>
        <v/>
      </c>
      <c r="DS773" s="64">
        <f>$P773-$P774</f>
        <v/>
      </c>
      <c r="DT773" s="64">
        <f>$Q773-$Q774</f>
        <v/>
      </c>
      <c r="DU773" s="64">
        <f>$S773-$S774</f>
        <v/>
      </c>
      <c r="DV773" s="65">
        <f>IFERROR(AVERAGE($AA774/$AA773-1,$AB774/$AB773-1,$AC774/$AC773-1,$AD774/$AD773-1,$AE774/$AE773-1,$AG774/$AG773-1,$AH774/$AH773-1,$AI774/$AI773-1,$AJ774/$AJ773-1,$AL774/$AL773-1,$AM774/$AM773-1,$AR774/$AR773-1,$AS774/$AS773-1,$AT774/$AT773-1,$AU774/$AU773-1,$AV774/$AV773-1,$AW774/$AW773-1,$AX774/$AX773-1,$AY774/$AY773-1),"")</f>
        <v/>
      </c>
      <c r="DW773" s="66">
        <f>AVERAGE($CB773,$CC773,$CD773,$CE773,$CF773,$CG773,$CH773,$CI773,$CJ773,$CL773,$CM773,$CN773,$CO773,$CP773,$CQ773,$CR773,$CS773,$CT773)</f>
        <v/>
      </c>
      <c r="DX773" s="66">
        <f>AVERAGE($CB773,$CC773,$CM773,$CE773,$CP773)</f>
        <v/>
      </c>
      <c r="DY773" s="64">
        <f>($DW773-$DW774)*100</f>
        <v/>
      </c>
      <c r="DZ773" s="64">
        <f>($DX773-$DX774)*100</f>
        <v/>
      </c>
      <c r="EA773" s="64">
        <f>($DW773-$D773)*100</f>
        <v/>
      </c>
      <c r="EB773" s="64">
        <f>$Q773-$O773</f>
        <v/>
      </c>
      <c r="EC773" s="67">
        <f>IFERROR($Q773/$P773,"")</f>
        <v/>
      </c>
    </row>
    <row r="774">
      <c r="DG774" s="64">
        <f>($B774-$B775)*100</f>
        <v/>
      </c>
      <c r="DH774" s="64">
        <f>($D774-$D775)*100</f>
        <v/>
      </c>
      <c r="DI774" s="64">
        <f>($E774-$E775)*100</f>
        <v/>
      </c>
      <c r="DJ774" s="64">
        <f>($H774-$H775)*100</f>
        <v/>
      </c>
      <c r="DK774" s="65">
        <f>IFERROR($J774/$J775-1,"")</f>
        <v/>
      </c>
      <c r="DL774" s="64">
        <f>$L774-$L775</f>
        <v/>
      </c>
      <c r="DM774" s="64">
        <f>$K774-$K775</f>
        <v/>
      </c>
      <c r="DN774" s="65">
        <f>IFERROR($N774/$N775-1,"")</f>
        <v/>
      </c>
      <c r="DO774" s="65">
        <f>IFERROR($M774/$M775-1,"")</f>
        <v/>
      </c>
      <c r="DP774" s="65">
        <f>IFERROR($AZ774/$AZ775-1,"")</f>
        <v/>
      </c>
      <c r="DQ774" s="65">
        <f>IFERROR($BA774/$BA775-1,"")</f>
        <v/>
      </c>
      <c r="DR774" s="64">
        <f>$O774-$O775</f>
        <v/>
      </c>
      <c r="DS774" s="64">
        <f>$P774-$P775</f>
        <v/>
      </c>
      <c r="DT774" s="64">
        <f>$Q774-$Q775</f>
        <v/>
      </c>
      <c r="DU774" s="64">
        <f>$S774-$S775</f>
        <v/>
      </c>
      <c r="DV774" s="65">
        <f>IFERROR(AVERAGE($AA775/$AA774-1,$AB775/$AB774-1,$AC775/$AC774-1,$AD775/$AD774-1,$AE775/$AE774-1,$AG775/$AG774-1,$AH775/$AH774-1,$AI775/$AI774-1,$AJ775/$AJ774-1,$AL775/$AL774-1,$AM775/$AM774-1,$AR775/$AR774-1,$AS775/$AS774-1,$AT775/$AT774-1,$AU775/$AU774-1,$AV775/$AV774-1,$AW775/$AW774-1,$AX775/$AX774-1,$AY775/$AY774-1),"")</f>
        <v/>
      </c>
      <c r="DW774" s="66">
        <f>AVERAGE($CB774,$CC774,$CD774,$CE774,$CF774,$CG774,$CH774,$CI774,$CJ774,$CL774,$CM774,$CN774,$CO774,$CP774,$CQ774,$CR774,$CS774,$CT774)</f>
        <v/>
      </c>
      <c r="DX774" s="66">
        <f>AVERAGE($CB774,$CC774,$CM774,$CE774,$CP774)</f>
        <v/>
      </c>
      <c r="DY774" s="64">
        <f>($DW774-$DW775)*100</f>
        <v/>
      </c>
      <c r="DZ774" s="64">
        <f>($DX774-$DX775)*100</f>
        <v/>
      </c>
      <c r="EA774" s="64">
        <f>($DW774-$D774)*100</f>
        <v/>
      </c>
      <c r="EB774" s="64">
        <f>$Q774-$O774</f>
        <v/>
      </c>
      <c r="EC774" s="67">
        <f>IFERROR($Q774/$P774,"")</f>
        <v/>
      </c>
    </row>
    <row r="775">
      <c r="DG775" s="64">
        <f>($B775-$B776)*100</f>
        <v/>
      </c>
      <c r="DH775" s="64">
        <f>($D775-$D776)*100</f>
        <v/>
      </c>
      <c r="DI775" s="64">
        <f>($E775-$E776)*100</f>
        <v/>
      </c>
      <c r="DJ775" s="64">
        <f>($H775-$H776)*100</f>
        <v/>
      </c>
      <c r="DK775" s="65">
        <f>IFERROR($J775/$J776-1,"")</f>
        <v/>
      </c>
      <c r="DL775" s="64">
        <f>$L775-$L776</f>
        <v/>
      </c>
      <c r="DM775" s="64">
        <f>$K775-$K776</f>
        <v/>
      </c>
      <c r="DN775" s="65">
        <f>IFERROR($N775/$N776-1,"")</f>
        <v/>
      </c>
      <c r="DO775" s="65">
        <f>IFERROR($M775/$M776-1,"")</f>
        <v/>
      </c>
      <c r="DP775" s="65">
        <f>IFERROR($AZ775/$AZ776-1,"")</f>
        <v/>
      </c>
      <c r="DQ775" s="65">
        <f>IFERROR($BA775/$BA776-1,"")</f>
        <v/>
      </c>
      <c r="DR775" s="64">
        <f>$O775-$O776</f>
        <v/>
      </c>
      <c r="DS775" s="64">
        <f>$P775-$P776</f>
        <v/>
      </c>
      <c r="DT775" s="64">
        <f>$Q775-$Q776</f>
        <v/>
      </c>
      <c r="DU775" s="64">
        <f>$S775-$S776</f>
        <v/>
      </c>
      <c r="DV775" s="65">
        <f>IFERROR(AVERAGE($AA776/$AA775-1,$AB776/$AB775-1,$AC776/$AC775-1,$AD776/$AD775-1,$AE776/$AE775-1,$AG776/$AG775-1,$AH776/$AH775-1,$AI776/$AI775-1,$AJ776/$AJ775-1,$AL776/$AL775-1,$AM776/$AM775-1,$AR776/$AR775-1,$AS776/$AS775-1,$AT776/$AT775-1,$AU776/$AU775-1,$AV776/$AV775-1,$AW776/$AW775-1,$AX776/$AX775-1,$AY776/$AY775-1),"")</f>
        <v/>
      </c>
      <c r="DW775" s="66">
        <f>AVERAGE($CB775,$CC775,$CD775,$CE775,$CF775,$CG775,$CH775,$CI775,$CJ775,$CL775,$CM775,$CN775,$CO775,$CP775,$CQ775,$CR775,$CS775,$CT775)</f>
        <v/>
      </c>
      <c r="DX775" s="66">
        <f>AVERAGE($CB775,$CC775,$CM775,$CE775,$CP775)</f>
        <v/>
      </c>
      <c r="DY775" s="64">
        <f>($DW775-$DW776)*100</f>
        <v/>
      </c>
      <c r="DZ775" s="64">
        <f>($DX775-$DX776)*100</f>
        <v/>
      </c>
      <c r="EA775" s="64">
        <f>($DW775-$D775)*100</f>
        <v/>
      </c>
      <c r="EB775" s="64">
        <f>$Q775-$O775</f>
        <v/>
      </c>
      <c r="EC775" s="67">
        <f>IFERROR($Q775/$P775,"")</f>
        <v/>
      </c>
    </row>
    <row r="776">
      <c r="DG776" s="64">
        <f>($B776-$B777)*100</f>
        <v/>
      </c>
      <c r="DH776" s="64">
        <f>($D776-$D777)*100</f>
        <v/>
      </c>
      <c r="DI776" s="64">
        <f>($E776-$E777)*100</f>
        <v/>
      </c>
      <c r="DJ776" s="64">
        <f>($H776-$H777)*100</f>
        <v/>
      </c>
      <c r="DK776" s="65">
        <f>IFERROR($J776/$J777-1,"")</f>
        <v/>
      </c>
      <c r="DL776" s="64">
        <f>$L776-$L777</f>
        <v/>
      </c>
      <c r="DM776" s="64">
        <f>$K776-$K777</f>
        <v/>
      </c>
      <c r="DN776" s="65">
        <f>IFERROR($N776/$N777-1,"")</f>
        <v/>
      </c>
      <c r="DO776" s="65">
        <f>IFERROR($M776/$M777-1,"")</f>
        <v/>
      </c>
      <c r="DP776" s="65">
        <f>IFERROR($AZ776/$AZ777-1,"")</f>
        <v/>
      </c>
      <c r="DQ776" s="65">
        <f>IFERROR($BA776/$BA777-1,"")</f>
        <v/>
      </c>
      <c r="DR776" s="64">
        <f>$O776-$O777</f>
        <v/>
      </c>
      <c r="DS776" s="64">
        <f>$P776-$P777</f>
        <v/>
      </c>
      <c r="DT776" s="64">
        <f>$Q776-$Q777</f>
        <v/>
      </c>
      <c r="DU776" s="64">
        <f>$S776-$S777</f>
        <v/>
      </c>
      <c r="DV776" s="65">
        <f>IFERROR(AVERAGE($AA777/$AA776-1,$AB777/$AB776-1,$AC777/$AC776-1,$AD777/$AD776-1,$AE777/$AE776-1,$AG777/$AG776-1,$AH777/$AH776-1,$AI777/$AI776-1,$AJ777/$AJ776-1,$AL777/$AL776-1,$AM777/$AM776-1,$AR777/$AR776-1,$AS777/$AS776-1,$AT777/$AT776-1,$AU777/$AU776-1,$AV777/$AV776-1,$AW777/$AW776-1,$AX777/$AX776-1,$AY777/$AY776-1),"")</f>
        <v/>
      </c>
      <c r="DW776" s="66">
        <f>AVERAGE($CB776,$CC776,$CD776,$CE776,$CF776,$CG776,$CH776,$CI776,$CJ776,$CL776,$CM776,$CN776,$CO776,$CP776,$CQ776,$CR776,$CS776,$CT776)</f>
        <v/>
      </c>
      <c r="DX776" s="66">
        <f>AVERAGE($CB776,$CC776,$CM776,$CE776,$CP776)</f>
        <v/>
      </c>
      <c r="DY776" s="64">
        <f>($DW776-$DW777)*100</f>
        <v/>
      </c>
      <c r="DZ776" s="64">
        <f>($DX776-$DX777)*100</f>
        <v/>
      </c>
      <c r="EA776" s="64">
        <f>($DW776-$D776)*100</f>
        <v/>
      </c>
      <c r="EB776" s="64">
        <f>$Q776-$O776</f>
        <v/>
      </c>
      <c r="EC776" s="67">
        <f>IFERROR($Q776/$P776,"")</f>
        <v/>
      </c>
    </row>
    <row r="777">
      <c r="DG777" s="64">
        <f>($B777-$B778)*100</f>
        <v/>
      </c>
      <c r="DH777" s="64">
        <f>($D777-$D778)*100</f>
        <v/>
      </c>
      <c r="DI777" s="64">
        <f>($E777-$E778)*100</f>
        <v/>
      </c>
      <c r="DJ777" s="64">
        <f>($H777-$H778)*100</f>
        <v/>
      </c>
      <c r="DK777" s="65">
        <f>IFERROR($J777/$J778-1,"")</f>
        <v/>
      </c>
      <c r="DL777" s="64">
        <f>$L777-$L778</f>
        <v/>
      </c>
      <c r="DM777" s="64">
        <f>$K777-$K778</f>
        <v/>
      </c>
      <c r="DN777" s="65">
        <f>IFERROR($N777/$N778-1,"")</f>
        <v/>
      </c>
      <c r="DO777" s="65">
        <f>IFERROR($M777/$M778-1,"")</f>
        <v/>
      </c>
      <c r="DP777" s="65">
        <f>IFERROR($AZ777/$AZ778-1,"")</f>
        <v/>
      </c>
      <c r="DQ777" s="65">
        <f>IFERROR($BA777/$BA778-1,"")</f>
        <v/>
      </c>
      <c r="DR777" s="64">
        <f>$O777-$O778</f>
        <v/>
      </c>
      <c r="DS777" s="64">
        <f>$P777-$P778</f>
        <v/>
      </c>
      <c r="DT777" s="64">
        <f>$Q777-$Q778</f>
        <v/>
      </c>
      <c r="DU777" s="64">
        <f>$S777-$S778</f>
        <v/>
      </c>
      <c r="DV777" s="65">
        <f>IFERROR(AVERAGE($AA778/$AA777-1,$AB778/$AB777-1,$AC778/$AC777-1,$AD778/$AD777-1,$AE778/$AE777-1,$AG778/$AG777-1,$AH778/$AH777-1,$AI778/$AI777-1,$AJ778/$AJ777-1,$AL778/$AL777-1,$AM778/$AM777-1,$AR778/$AR777-1,$AS778/$AS777-1,$AT778/$AT777-1,$AU778/$AU777-1,$AV778/$AV777-1,$AW778/$AW777-1,$AX778/$AX777-1,$AY778/$AY777-1),"")</f>
        <v/>
      </c>
      <c r="DW777" s="66">
        <f>AVERAGE($CB777,$CC777,$CD777,$CE777,$CF777,$CG777,$CH777,$CI777,$CJ777,$CL777,$CM777,$CN777,$CO777,$CP777,$CQ777,$CR777,$CS777,$CT777)</f>
        <v/>
      </c>
      <c r="DX777" s="66">
        <f>AVERAGE($CB777,$CC777,$CM777,$CE777,$CP777)</f>
        <v/>
      </c>
      <c r="DY777" s="64">
        <f>($DW777-$DW778)*100</f>
        <v/>
      </c>
      <c r="DZ777" s="64">
        <f>($DX777-$DX778)*100</f>
        <v/>
      </c>
      <c r="EA777" s="64">
        <f>($DW777-$D777)*100</f>
        <v/>
      </c>
      <c r="EB777" s="64">
        <f>$Q777-$O777</f>
        <v/>
      </c>
      <c r="EC777" s="67">
        <f>IFERROR($Q777/$P777,"")</f>
        <v/>
      </c>
    </row>
    <row r="778">
      <c r="DG778" s="64">
        <f>($B778-$B779)*100</f>
        <v/>
      </c>
      <c r="DH778" s="64">
        <f>($D778-$D779)*100</f>
        <v/>
      </c>
      <c r="DI778" s="64">
        <f>($E778-$E779)*100</f>
        <v/>
      </c>
      <c r="DJ778" s="64">
        <f>($H778-$H779)*100</f>
        <v/>
      </c>
      <c r="DK778" s="65">
        <f>IFERROR($J778/$J779-1,"")</f>
        <v/>
      </c>
      <c r="DL778" s="64">
        <f>$L778-$L779</f>
        <v/>
      </c>
      <c r="DM778" s="64">
        <f>$K778-$K779</f>
        <v/>
      </c>
      <c r="DN778" s="65">
        <f>IFERROR($N778/$N779-1,"")</f>
        <v/>
      </c>
      <c r="DO778" s="65">
        <f>IFERROR($M778/$M779-1,"")</f>
        <v/>
      </c>
      <c r="DP778" s="65">
        <f>IFERROR($AZ778/$AZ779-1,"")</f>
        <v/>
      </c>
      <c r="DQ778" s="65">
        <f>IFERROR($BA778/$BA779-1,"")</f>
        <v/>
      </c>
      <c r="DR778" s="64">
        <f>$O778-$O779</f>
        <v/>
      </c>
      <c r="DS778" s="64">
        <f>$P778-$P779</f>
        <v/>
      </c>
      <c r="DT778" s="64">
        <f>$Q778-$Q779</f>
        <v/>
      </c>
      <c r="DU778" s="64">
        <f>$S778-$S779</f>
        <v/>
      </c>
      <c r="DV778" s="65">
        <f>IFERROR(AVERAGE($AA779/$AA778-1,$AB779/$AB778-1,$AC779/$AC778-1,$AD779/$AD778-1,$AE779/$AE778-1,$AG779/$AG778-1,$AH779/$AH778-1,$AI779/$AI778-1,$AJ779/$AJ778-1,$AL779/$AL778-1,$AM779/$AM778-1,$AR779/$AR778-1,$AS779/$AS778-1,$AT779/$AT778-1,$AU779/$AU778-1,$AV779/$AV778-1,$AW779/$AW778-1,$AX779/$AX778-1,$AY779/$AY778-1),"")</f>
        <v/>
      </c>
      <c r="DW778" s="66">
        <f>AVERAGE($CB778,$CC778,$CD778,$CE778,$CF778,$CG778,$CH778,$CI778,$CJ778,$CL778,$CM778,$CN778,$CO778,$CP778,$CQ778,$CR778,$CS778,$CT778)</f>
        <v/>
      </c>
      <c r="DX778" s="66">
        <f>AVERAGE($CB778,$CC778,$CM778,$CE778,$CP778)</f>
        <v/>
      </c>
      <c r="DY778" s="64">
        <f>($DW778-$DW779)*100</f>
        <v/>
      </c>
      <c r="DZ778" s="64">
        <f>($DX778-$DX779)*100</f>
        <v/>
      </c>
      <c r="EA778" s="64">
        <f>($DW778-$D778)*100</f>
        <v/>
      </c>
      <c r="EB778" s="64">
        <f>$Q778-$O778</f>
        <v/>
      </c>
      <c r="EC778" s="67">
        <f>IFERROR($Q778/$P778,"")</f>
        <v/>
      </c>
    </row>
    <row r="779">
      <c r="DG779" s="64">
        <f>($B779-$B780)*100</f>
        <v/>
      </c>
      <c r="DH779" s="64">
        <f>($D779-$D780)*100</f>
        <v/>
      </c>
      <c r="DI779" s="64">
        <f>($E779-$E780)*100</f>
        <v/>
      </c>
      <c r="DJ779" s="64">
        <f>($H779-$H780)*100</f>
        <v/>
      </c>
      <c r="DK779" s="65">
        <f>IFERROR($J779/$J780-1,"")</f>
        <v/>
      </c>
      <c r="DL779" s="64">
        <f>$L779-$L780</f>
        <v/>
      </c>
      <c r="DM779" s="64">
        <f>$K779-$K780</f>
        <v/>
      </c>
      <c r="DN779" s="65">
        <f>IFERROR($N779/$N780-1,"")</f>
        <v/>
      </c>
      <c r="DO779" s="65">
        <f>IFERROR($M779/$M780-1,"")</f>
        <v/>
      </c>
      <c r="DP779" s="65">
        <f>IFERROR($AZ779/$AZ780-1,"")</f>
        <v/>
      </c>
      <c r="DQ779" s="65">
        <f>IFERROR($BA779/$BA780-1,"")</f>
        <v/>
      </c>
      <c r="DR779" s="64">
        <f>$O779-$O780</f>
        <v/>
      </c>
      <c r="DS779" s="64">
        <f>$P779-$P780</f>
        <v/>
      </c>
      <c r="DT779" s="64">
        <f>$Q779-$Q780</f>
        <v/>
      </c>
      <c r="DU779" s="64">
        <f>$S779-$S780</f>
        <v/>
      </c>
      <c r="DV779" s="65">
        <f>IFERROR(AVERAGE($AA780/$AA779-1,$AB780/$AB779-1,$AC780/$AC779-1,$AD780/$AD779-1,$AE780/$AE779-1,$AG780/$AG779-1,$AH780/$AH779-1,$AI780/$AI779-1,$AJ780/$AJ779-1,$AL780/$AL779-1,$AM780/$AM779-1,$AR780/$AR779-1,$AS780/$AS779-1,$AT780/$AT779-1,$AU780/$AU779-1,$AV780/$AV779-1,$AW780/$AW779-1,$AX780/$AX779-1,$AY780/$AY779-1),"")</f>
        <v/>
      </c>
      <c r="DW779" s="66">
        <f>AVERAGE($CB779,$CC779,$CD779,$CE779,$CF779,$CG779,$CH779,$CI779,$CJ779,$CL779,$CM779,$CN779,$CO779,$CP779,$CQ779,$CR779,$CS779,$CT779)</f>
        <v/>
      </c>
      <c r="DX779" s="66">
        <f>AVERAGE($CB779,$CC779,$CM779,$CE779,$CP779)</f>
        <v/>
      </c>
      <c r="DY779" s="64">
        <f>($DW779-$DW780)*100</f>
        <v/>
      </c>
      <c r="DZ779" s="64">
        <f>($DX779-$DX780)*100</f>
        <v/>
      </c>
      <c r="EA779" s="64">
        <f>($DW779-$D779)*100</f>
        <v/>
      </c>
      <c r="EB779" s="64">
        <f>$Q779-$O779</f>
        <v/>
      </c>
      <c r="EC779" s="67">
        <f>IFERROR($Q779/$P779,"")</f>
        <v/>
      </c>
    </row>
    <row r="780">
      <c r="DG780" s="64">
        <f>($B780-$B781)*100</f>
        <v/>
      </c>
      <c r="DH780" s="64">
        <f>($D780-$D781)*100</f>
        <v/>
      </c>
      <c r="DI780" s="64">
        <f>($E780-$E781)*100</f>
        <v/>
      </c>
      <c r="DJ780" s="64">
        <f>($H780-$H781)*100</f>
        <v/>
      </c>
      <c r="DK780" s="65">
        <f>IFERROR($J780/$J781-1,"")</f>
        <v/>
      </c>
      <c r="DL780" s="64">
        <f>$L780-$L781</f>
        <v/>
      </c>
      <c r="DM780" s="64">
        <f>$K780-$K781</f>
        <v/>
      </c>
      <c r="DN780" s="65">
        <f>IFERROR($N780/$N781-1,"")</f>
        <v/>
      </c>
      <c r="DO780" s="65">
        <f>IFERROR($M780/$M781-1,"")</f>
        <v/>
      </c>
      <c r="DP780" s="65">
        <f>IFERROR($AZ780/$AZ781-1,"")</f>
        <v/>
      </c>
      <c r="DQ780" s="65">
        <f>IFERROR($BA780/$BA781-1,"")</f>
        <v/>
      </c>
      <c r="DR780" s="64">
        <f>$O780-$O781</f>
        <v/>
      </c>
      <c r="DS780" s="64">
        <f>$P780-$P781</f>
        <v/>
      </c>
      <c r="DT780" s="64">
        <f>$Q780-$Q781</f>
        <v/>
      </c>
      <c r="DU780" s="64">
        <f>$S780-$S781</f>
        <v/>
      </c>
      <c r="DV780" s="65">
        <f>IFERROR(AVERAGE($AA781/$AA780-1,$AB781/$AB780-1,$AC781/$AC780-1,$AD781/$AD780-1,$AE781/$AE780-1,$AG781/$AG780-1,$AH781/$AH780-1,$AI781/$AI780-1,$AJ781/$AJ780-1,$AL781/$AL780-1,$AM781/$AM780-1,$AR781/$AR780-1,$AS781/$AS780-1,$AT781/$AT780-1,$AU781/$AU780-1,$AV781/$AV780-1,$AW781/$AW780-1,$AX781/$AX780-1,$AY781/$AY780-1),"")</f>
        <v/>
      </c>
      <c r="DW780" s="66">
        <f>AVERAGE($CB780,$CC780,$CD780,$CE780,$CF780,$CG780,$CH780,$CI780,$CJ780,$CL780,$CM780,$CN780,$CO780,$CP780,$CQ780,$CR780,$CS780,$CT780)</f>
        <v/>
      </c>
      <c r="DX780" s="66">
        <f>AVERAGE($CB780,$CC780,$CM780,$CE780,$CP780)</f>
        <v/>
      </c>
      <c r="DY780" s="64">
        <f>($DW780-$DW781)*100</f>
        <v/>
      </c>
      <c r="DZ780" s="64">
        <f>($DX780-$DX781)*100</f>
        <v/>
      </c>
      <c r="EA780" s="64">
        <f>($DW780-$D780)*100</f>
        <v/>
      </c>
      <c r="EB780" s="64">
        <f>$Q780-$O780</f>
        <v/>
      </c>
      <c r="EC780" s="67">
        <f>IFERROR($Q780/$P780,"")</f>
        <v/>
      </c>
    </row>
    <row r="781">
      <c r="DG781" s="64">
        <f>($B781-$B782)*100</f>
        <v/>
      </c>
      <c r="DH781" s="64">
        <f>($D781-$D782)*100</f>
        <v/>
      </c>
      <c r="DI781" s="64">
        <f>($E781-$E782)*100</f>
        <v/>
      </c>
      <c r="DJ781" s="64">
        <f>($H781-$H782)*100</f>
        <v/>
      </c>
      <c r="DK781" s="65">
        <f>IFERROR($J781/$J782-1,"")</f>
        <v/>
      </c>
      <c r="DL781" s="64">
        <f>$L781-$L782</f>
        <v/>
      </c>
      <c r="DM781" s="64">
        <f>$K781-$K782</f>
        <v/>
      </c>
      <c r="DN781" s="65">
        <f>IFERROR($N781/$N782-1,"")</f>
        <v/>
      </c>
      <c r="DO781" s="65">
        <f>IFERROR($M781/$M782-1,"")</f>
        <v/>
      </c>
      <c r="DP781" s="65">
        <f>IFERROR($AZ781/$AZ782-1,"")</f>
        <v/>
      </c>
      <c r="DQ781" s="65">
        <f>IFERROR($BA781/$BA782-1,"")</f>
        <v/>
      </c>
      <c r="DR781" s="64">
        <f>$O781-$O782</f>
        <v/>
      </c>
      <c r="DS781" s="64">
        <f>$P781-$P782</f>
        <v/>
      </c>
      <c r="DT781" s="64">
        <f>$Q781-$Q782</f>
        <v/>
      </c>
      <c r="DU781" s="64">
        <f>$S781-$S782</f>
        <v/>
      </c>
      <c r="DV781" s="65">
        <f>IFERROR(AVERAGE($AA782/$AA781-1,$AB782/$AB781-1,$AC782/$AC781-1,$AD782/$AD781-1,$AE782/$AE781-1,$AG782/$AG781-1,$AH782/$AH781-1,$AI782/$AI781-1,$AJ782/$AJ781-1,$AL782/$AL781-1,$AM782/$AM781-1,$AR782/$AR781-1,$AS782/$AS781-1,$AT782/$AT781-1,$AU782/$AU781-1,$AV782/$AV781-1,$AW782/$AW781-1,$AX782/$AX781-1,$AY782/$AY781-1),"")</f>
        <v/>
      </c>
      <c r="DW781" s="66">
        <f>AVERAGE($CB781,$CC781,$CD781,$CE781,$CF781,$CG781,$CH781,$CI781,$CJ781,$CL781,$CM781,$CN781,$CO781,$CP781,$CQ781,$CR781,$CS781,$CT781)</f>
        <v/>
      </c>
      <c r="DX781" s="66">
        <f>AVERAGE($CB781,$CC781,$CM781,$CE781,$CP781)</f>
        <v/>
      </c>
      <c r="DY781" s="64">
        <f>($DW781-$DW782)*100</f>
        <v/>
      </c>
      <c r="DZ781" s="64">
        <f>($DX781-$DX782)*100</f>
        <v/>
      </c>
      <c r="EA781" s="64">
        <f>($DW781-$D781)*100</f>
        <v/>
      </c>
      <c r="EB781" s="64">
        <f>$Q781-$O781</f>
        <v/>
      </c>
      <c r="EC781" s="67">
        <f>IFERROR($Q781/$P781,"")</f>
        <v/>
      </c>
    </row>
    <row r="782">
      <c r="DG782" s="64">
        <f>($B782-$B783)*100</f>
        <v/>
      </c>
      <c r="DH782" s="64">
        <f>($D782-$D783)*100</f>
        <v/>
      </c>
      <c r="DI782" s="64">
        <f>($E782-$E783)*100</f>
        <v/>
      </c>
      <c r="DJ782" s="64">
        <f>($H782-$H783)*100</f>
        <v/>
      </c>
      <c r="DK782" s="65">
        <f>IFERROR($J782/$J783-1,"")</f>
        <v/>
      </c>
      <c r="DL782" s="64">
        <f>$L782-$L783</f>
        <v/>
      </c>
      <c r="DM782" s="64">
        <f>$K782-$K783</f>
        <v/>
      </c>
      <c r="DN782" s="65">
        <f>IFERROR($N782/$N783-1,"")</f>
        <v/>
      </c>
      <c r="DO782" s="65">
        <f>IFERROR($M782/$M783-1,"")</f>
        <v/>
      </c>
      <c r="DP782" s="65">
        <f>IFERROR($AZ782/$AZ783-1,"")</f>
        <v/>
      </c>
      <c r="DQ782" s="65">
        <f>IFERROR($BA782/$BA783-1,"")</f>
        <v/>
      </c>
      <c r="DR782" s="64">
        <f>$O782-$O783</f>
        <v/>
      </c>
      <c r="DS782" s="64">
        <f>$P782-$P783</f>
        <v/>
      </c>
      <c r="DT782" s="64">
        <f>$Q782-$Q783</f>
        <v/>
      </c>
      <c r="DU782" s="64">
        <f>$S782-$S783</f>
        <v/>
      </c>
      <c r="DV782" s="65">
        <f>IFERROR(AVERAGE($AA783/$AA782-1,$AB783/$AB782-1,$AC783/$AC782-1,$AD783/$AD782-1,$AE783/$AE782-1,$AG783/$AG782-1,$AH783/$AH782-1,$AI783/$AI782-1,$AJ783/$AJ782-1,$AL783/$AL782-1,$AM783/$AM782-1,$AR783/$AR782-1,$AS783/$AS782-1,$AT783/$AT782-1,$AU783/$AU782-1,$AV783/$AV782-1,$AW783/$AW782-1,$AX783/$AX782-1,$AY783/$AY782-1),"")</f>
        <v/>
      </c>
      <c r="DW782" s="66">
        <f>AVERAGE($CB782,$CC782,$CD782,$CE782,$CF782,$CG782,$CH782,$CI782,$CJ782,$CL782,$CM782,$CN782,$CO782,$CP782,$CQ782,$CR782,$CS782,$CT782)</f>
        <v/>
      </c>
      <c r="DX782" s="66">
        <f>AVERAGE($CB782,$CC782,$CM782,$CE782,$CP782)</f>
        <v/>
      </c>
      <c r="DY782" s="64">
        <f>($DW782-$DW783)*100</f>
        <v/>
      </c>
      <c r="DZ782" s="64">
        <f>($DX782-$DX783)*100</f>
        <v/>
      </c>
      <c r="EA782" s="64">
        <f>($DW782-$D782)*100</f>
        <v/>
      </c>
      <c r="EB782" s="64">
        <f>$Q782-$O782</f>
        <v/>
      </c>
      <c r="EC782" s="67">
        <f>IFERROR($Q782/$P782,"")</f>
        <v/>
      </c>
    </row>
    <row r="783">
      <c r="DG783" s="64">
        <f>($B783-$B784)*100</f>
        <v/>
      </c>
      <c r="DH783" s="64">
        <f>($D783-$D784)*100</f>
        <v/>
      </c>
      <c r="DI783" s="64">
        <f>($E783-$E784)*100</f>
        <v/>
      </c>
      <c r="DJ783" s="64">
        <f>($H783-$H784)*100</f>
        <v/>
      </c>
      <c r="DK783" s="65">
        <f>IFERROR($J783/$J784-1,"")</f>
        <v/>
      </c>
      <c r="DL783" s="64">
        <f>$L783-$L784</f>
        <v/>
      </c>
      <c r="DM783" s="64">
        <f>$K783-$K784</f>
        <v/>
      </c>
      <c r="DN783" s="65">
        <f>IFERROR($N783/$N784-1,"")</f>
        <v/>
      </c>
      <c r="DO783" s="65">
        <f>IFERROR($M783/$M784-1,"")</f>
        <v/>
      </c>
      <c r="DP783" s="65">
        <f>IFERROR($AZ783/$AZ784-1,"")</f>
        <v/>
      </c>
      <c r="DQ783" s="65">
        <f>IFERROR($BA783/$BA784-1,"")</f>
        <v/>
      </c>
      <c r="DR783" s="64">
        <f>$O783-$O784</f>
        <v/>
      </c>
      <c r="DS783" s="64">
        <f>$P783-$P784</f>
        <v/>
      </c>
      <c r="DT783" s="64">
        <f>$Q783-$Q784</f>
        <v/>
      </c>
      <c r="DU783" s="64">
        <f>$S783-$S784</f>
        <v/>
      </c>
      <c r="DV783" s="65">
        <f>IFERROR(AVERAGE($AA784/$AA783-1,$AB784/$AB783-1,$AC784/$AC783-1,$AD784/$AD783-1,$AE784/$AE783-1,$AG784/$AG783-1,$AH784/$AH783-1,$AI784/$AI783-1,$AJ784/$AJ783-1,$AL784/$AL783-1,$AM784/$AM783-1,$AR784/$AR783-1,$AS784/$AS783-1,$AT784/$AT783-1,$AU784/$AU783-1,$AV784/$AV783-1,$AW784/$AW783-1,$AX784/$AX783-1,$AY784/$AY783-1),"")</f>
        <v/>
      </c>
      <c r="DW783" s="66">
        <f>AVERAGE($CB783,$CC783,$CD783,$CE783,$CF783,$CG783,$CH783,$CI783,$CJ783,$CL783,$CM783,$CN783,$CO783,$CP783,$CQ783,$CR783,$CS783,$CT783)</f>
        <v/>
      </c>
      <c r="DX783" s="66">
        <f>AVERAGE($CB783,$CC783,$CM783,$CE783,$CP783)</f>
        <v/>
      </c>
      <c r="DY783" s="64">
        <f>($DW783-$DW784)*100</f>
        <v/>
      </c>
      <c r="DZ783" s="64">
        <f>($DX783-$DX784)*100</f>
        <v/>
      </c>
      <c r="EA783" s="64">
        <f>($DW783-$D783)*100</f>
        <v/>
      </c>
      <c r="EB783" s="64">
        <f>$Q783-$O783</f>
        <v/>
      </c>
      <c r="EC783" s="67">
        <f>IFERROR($Q783/$P783,"")</f>
        <v/>
      </c>
    </row>
    <row r="784">
      <c r="DG784" s="64">
        <f>($B784-$B785)*100</f>
        <v/>
      </c>
      <c r="DH784" s="64">
        <f>($D784-$D785)*100</f>
        <v/>
      </c>
      <c r="DI784" s="64">
        <f>($E784-$E785)*100</f>
        <v/>
      </c>
      <c r="DJ784" s="64">
        <f>($H784-$H785)*100</f>
        <v/>
      </c>
      <c r="DK784" s="65">
        <f>IFERROR($J784/$J785-1,"")</f>
        <v/>
      </c>
      <c r="DL784" s="64">
        <f>$L784-$L785</f>
        <v/>
      </c>
      <c r="DM784" s="64">
        <f>$K784-$K785</f>
        <v/>
      </c>
      <c r="DN784" s="65">
        <f>IFERROR($N784/$N785-1,"")</f>
        <v/>
      </c>
      <c r="DO784" s="65">
        <f>IFERROR($M784/$M785-1,"")</f>
        <v/>
      </c>
      <c r="DP784" s="65">
        <f>IFERROR($AZ784/$AZ785-1,"")</f>
        <v/>
      </c>
      <c r="DQ784" s="65">
        <f>IFERROR($BA784/$BA785-1,"")</f>
        <v/>
      </c>
      <c r="DR784" s="64">
        <f>$O784-$O785</f>
        <v/>
      </c>
      <c r="DS784" s="64">
        <f>$P784-$P785</f>
        <v/>
      </c>
      <c r="DT784" s="64">
        <f>$Q784-$Q785</f>
        <v/>
      </c>
      <c r="DU784" s="64">
        <f>$S784-$S785</f>
        <v/>
      </c>
      <c r="DV784" s="65">
        <f>IFERROR(AVERAGE($AA785/$AA784-1,$AB785/$AB784-1,$AC785/$AC784-1,$AD785/$AD784-1,$AE785/$AE784-1,$AG785/$AG784-1,$AH785/$AH784-1,$AI785/$AI784-1,$AJ785/$AJ784-1,$AL785/$AL784-1,$AM785/$AM784-1,$AR785/$AR784-1,$AS785/$AS784-1,$AT785/$AT784-1,$AU785/$AU784-1,$AV785/$AV784-1,$AW785/$AW784-1,$AX785/$AX784-1,$AY785/$AY784-1),"")</f>
        <v/>
      </c>
      <c r="DW784" s="66">
        <f>AVERAGE($CB784,$CC784,$CD784,$CE784,$CF784,$CG784,$CH784,$CI784,$CJ784,$CL784,$CM784,$CN784,$CO784,$CP784,$CQ784,$CR784,$CS784,$CT784)</f>
        <v/>
      </c>
      <c r="DX784" s="66">
        <f>AVERAGE($CB784,$CC784,$CM784,$CE784,$CP784)</f>
        <v/>
      </c>
      <c r="DY784" s="64">
        <f>($DW784-$DW785)*100</f>
        <v/>
      </c>
      <c r="DZ784" s="64">
        <f>($DX784-$DX785)*100</f>
        <v/>
      </c>
      <c r="EA784" s="64">
        <f>($DW784-$D784)*100</f>
        <v/>
      </c>
      <c r="EB784" s="64">
        <f>$Q784-$O784</f>
        <v/>
      </c>
      <c r="EC784" s="67">
        <f>IFERROR($Q784/$P784,"")</f>
        <v/>
      </c>
    </row>
    <row r="785">
      <c r="DG785" s="64">
        <f>($B785-$B786)*100</f>
        <v/>
      </c>
      <c r="DH785" s="64">
        <f>($D785-$D786)*100</f>
        <v/>
      </c>
      <c r="DI785" s="64">
        <f>($E785-$E786)*100</f>
        <v/>
      </c>
      <c r="DJ785" s="64">
        <f>($H785-$H786)*100</f>
        <v/>
      </c>
      <c r="DK785" s="65">
        <f>IFERROR($J785/$J786-1,"")</f>
        <v/>
      </c>
      <c r="DL785" s="64">
        <f>$L785-$L786</f>
        <v/>
      </c>
      <c r="DM785" s="64">
        <f>$K785-$K786</f>
        <v/>
      </c>
      <c r="DN785" s="65">
        <f>IFERROR($N785/$N786-1,"")</f>
        <v/>
      </c>
      <c r="DO785" s="65">
        <f>IFERROR($M785/$M786-1,"")</f>
        <v/>
      </c>
      <c r="DP785" s="65">
        <f>IFERROR($AZ785/$AZ786-1,"")</f>
        <v/>
      </c>
      <c r="DQ785" s="65">
        <f>IFERROR($BA785/$BA786-1,"")</f>
        <v/>
      </c>
      <c r="DR785" s="64">
        <f>$O785-$O786</f>
        <v/>
      </c>
      <c r="DS785" s="64">
        <f>$P785-$P786</f>
        <v/>
      </c>
      <c r="DT785" s="64">
        <f>$Q785-$Q786</f>
        <v/>
      </c>
      <c r="DU785" s="64">
        <f>$S785-$S786</f>
        <v/>
      </c>
      <c r="DV785" s="65">
        <f>IFERROR(AVERAGE($AA786/$AA785-1,$AB786/$AB785-1,$AC786/$AC785-1,$AD786/$AD785-1,$AE786/$AE785-1,$AG786/$AG785-1,$AH786/$AH785-1,$AI786/$AI785-1,$AJ786/$AJ785-1,$AL786/$AL785-1,$AM786/$AM785-1,$AR786/$AR785-1,$AS786/$AS785-1,$AT786/$AT785-1,$AU786/$AU785-1,$AV786/$AV785-1,$AW786/$AW785-1,$AX786/$AX785-1,$AY786/$AY785-1),"")</f>
        <v/>
      </c>
      <c r="DW785" s="66">
        <f>AVERAGE($CB785,$CC785,$CD785,$CE785,$CF785,$CG785,$CH785,$CI785,$CJ785,$CL785,$CM785,$CN785,$CO785,$CP785,$CQ785,$CR785,$CS785,$CT785)</f>
        <v/>
      </c>
      <c r="DX785" s="66">
        <f>AVERAGE($CB785,$CC785,$CM785,$CE785,$CP785)</f>
        <v/>
      </c>
      <c r="DY785" s="64">
        <f>($DW785-$DW786)*100</f>
        <v/>
      </c>
      <c r="DZ785" s="64">
        <f>($DX785-$DX786)*100</f>
        <v/>
      </c>
      <c r="EA785" s="64">
        <f>($DW785-$D785)*100</f>
        <v/>
      </c>
      <c r="EB785" s="64">
        <f>$Q785-$O785</f>
        <v/>
      </c>
      <c r="EC785" s="67">
        <f>IFERROR($Q785/$P785,"")</f>
        <v/>
      </c>
    </row>
    <row r="786">
      <c r="DG786" s="64">
        <f>($B786-$B787)*100</f>
        <v/>
      </c>
      <c r="DH786" s="64">
        <f>($D786-$D787)*100</f>
        <v/>
      </c>
      <c r="DI786" s="64">
        <f>($E786-$E787)*100</f>
        <v/>
      </c>
      <c r="DJ786" s="64">
        <f>($H786-$H787)*100</f>
        <v/>
      </c>
      <c r="DK786" s="65">
        <f>IFERROR($J786/$J787-1,"")</f>
        <v/>
      </c>
      <c r="DL786" s="64">
        <f>$L786-$L787</f>
        <v/>
      </c>
      <c r="DM786" s="64">
        <f>$K786-$K787</f>
        <v/>
      </c>
      <c r="DN786" s="65">
        <f>IFERROR($N786/$N787-1,"")</f>
        <v/>
      </c>
      <c r="DO786" s="65">
        <f>IFERROR($M786/$M787-1,"")</f>
        <v/>
      </c>
      <c r="DP786" s="65">
        <f>IFERROR($AZ786/$AZ787-1,"")</f>
        <v/>
      </c>
      <c r="DQ786" s="65">
        <f>IFERROR($BA786/$BA787-1,"")</f>
        <v/>
      </c>
      <c r="DR786" s="64">
        <f>$O786-$O787</f>
        <v/>
      </c>
      <c r="DS786" s="64">
        <f>$P786-$P787</f>
        <v/>
      </c>
      <c r="DT786" s="64">
        <f>$Q786-$Q787</f>
        <v/>
      </c>
      <c r="DU786" s="64">
        <f>$S786-$S787</f>
        <v/>
      </c>
      <c r="DV786" s="65">
        <f>IFERROR(AVERAGE($AA787/$AA786-1,$AB787/$AB786-1,$AC787/$AC786-1,$AD787/$AD786-1,$AE787/$AE786-1,$AG787/$AG786-1,$AH787/$AH786-1,$AI787/$AI786-1,$AJ787/$AJ786-1,$AL787/$AL786-1,$AM787/$AM786-1,$AR787/$AR786-1,$AS787/$AS786-1,$AT787/$AT786-1,$AU787/$AU786-1,$AV787/$AV786-1,$AW787/$AW786-1,$AX787/$AX786-1,$AY787/$AY786-1),"")</f>
        <v/>
      </c>
      <c r="DW786" s="66">
        <f>AVERAGE($CB786,$CC786,$CD786,$CE786,$CF786,$CG786,$CH786,$CI786,$CJ786,$CL786,$CM786,$CN786,$CO786,$CP786,$CQ786,$CR786,$CS786,$CT786)</f>
        <v/>
      </c>
      <c r="DX786" s="66">
        <f>AVERAGE($CB786,$CC786,$CM786,$CE786,$CP786)</f>
        <v/>
      </c>
      <c r="DY786" s="64">
        <f>($DW786-$DW787)*100</f>
        <v/>
      </c>
      <c r="DZ786" s="64">
        <f>($DX786-$DX787)*100</f>
        <v/>
      </c>
      <c r="EA786" s="64">
        <f>($DW786-$D786)*100</f>
        <v/>
      </c>
      <c r="EB786" s="64">
        <f>$Q786-$O786</f>
        <v/>
      </c>
      <c r="EC786" s="67">
        <f>IFERROR($Q786/$P786,"")</f>
        <v/>
      </c>
    </row>
    <row r="787">
      <c r="DG787" s="64">
        <f>($B787-$B788)*100</f>
        <v/>
      </c>
      <c r="DH787" s="64">
        <f>($D787-$D788)*100</f>
        <v/>
      </c>
      <c r="DI787" s="64">
        <f>($E787-$E788)*100</f>
        <v/>
      </c>
      <c r="DJ787" s="64">
        <f>($H787-$H788)*100</f>
        <v/>
      </c>
      <c r="DK787" s="65">
        <f>IFERROR($J787/$J788-1,"")</f>
        <v/>
      </c>
      <c r="DL787" s="64">
        <f>$L787-$L788</f>
        <v/>
      </c>
      <c r="DM787" s="64">
        <f>$K787-$K788</f>
        <v/>
      </c>
      <c r="DN787" s="65">
        <f>IFERROR($N787/$N788-1,"")</f>
        <v/>
      </c>
      <c r="DO787" s="65">
        <f>IFERROR($M787/$M788-1,"")</f>
        <v/>
      </c>
      <c r="DP787" s="65">
        <f>IFERROR($AZ787/$AZ788-1,"")</f>
        <v/>
      </c>
      <c r="DQ787" s="65">
        <f>IFERROR($BA787/$BA788-1,"")</f>
        <v/>
      </c>
      <c r="DR787" s="64">
        <f>$O787-$O788</f>
        <v/>
      </c>
      <c r="DS787" s="64">
        <f>$P787-$P788</f>
        <v/>
      </c>
      <c r="DT787" s="64">
        <f>$Q787-$Q788</f>
        <v/>
      </c>
      <c r="DU787" s="64">
        <f>$S787-$S788</f>
        <v/>
      </c>
      <c r="DV787" s="65">
        <f>IFERROR(AVERAGE($AA788/$AA787-1,$AB788/$AB787-1,$AC788/$AC787-1,$AD788/$AD787-1,$AE788/$AE787-1,$AG788/$AG787-1,$AH788/$AH787-1,$AI788/$AI787-1,$AJ788/$AJ787-1,$AL788/$AL787-1,$AM788/$AM787-1,$AR788/$AR787-1,$AS788/$AS787-1,$AT788/$AT787-1,$AU788/$AU787-1,$AV788/$AV787-1,$AW788/$AW787-1,$AX788/$AX787-1,$AY788/$AY787-1),"")</f>
        <v/>
      </c>
      <c r="DW787" s="66">
        <f>AVERAGE($CB787,$CC787,$CD787,$CE787,$CF787,$CG787,$CH787,$CI787,$CJ787,$CL787,$CM787,$CN787,$CO787,$CP787,$CQ787,$CR787,$CS787,$CT787)</f>
        <v/>
      </c>
      <c r="DX787" s="66">
        <f>AVERAGE($CB787,$CC787,$CM787,$CE787,$CP787)</f>
        <v/>
      </c>
      <c r="DY787" s="64">
        <f>($DW787-$DW788)*100</f>
        <v/>
      </c>
      <c r="DZ787" s="64">
        <f>($DX787-$DX788)*100</f>
        <v/>
      </c>
      <c r="EA787" s="64">
        <f>($DW787-$D787)*100</f>
        <v/>
      </c>
      <c r="EB787" s="64">
        <f>$Q787-$O787</f>
        <v/>
      </c>
      <c r="EC787" s="67">
        <f>IFERROR($Q787/$P787,"")</f>
        <v/>
      </c>
    </row>
    <row r="788">
      <c r="DG788" s="64">
        <f>($B788-$B789)*100</f>
        <v/>
      </c>
      <c r="DH788" s="64">
        <f>($D788-$D789)*100</f>
        <v/>
      </c>
      <c r="DI788" s="64">
        <f>($E788-$E789)*100</f>
        <v/>
      </c>
      <c r="DJ788" s="64">
        <f>($H788-$H789)*100</f>
        <v/>
      </c>
      <c r="DK788" s="65">
        <f>IFERROR($J788/$J789-1,"")</f>
        <v/>
      </c>
      <c r="DL788" s="64">
        <f>$L788-$L789</f>
        <v/>
      </c>
      <c r="DM788" s="64">
        <f>$K788-$K789</f>
        <v/>
      </c>
      <c r="DN788" s="65">
        <f>IFERROR($N788/$N789-1,"")</f>
        <v/>
      </c>
      <c r="DO788" s="65">
        <f>IFERROR($M788/$M789-1,"")</f>
        <v/>
      </c>
      <c r="DP788" s="65">
        <f>IFERROR($AZ788/$AZ789-1,"")</f>
        <v/>
      </c>
      <c r="DQ788" s="65">
        <f>IFERROR($BA788/$BA789-1,"")</f>
        <v/>
      </c>
      <c r="DR788" s="64">
        <f>$O788-$O789</f>
        <v/>
      </c>
      <c r="DS788" s="64">
        <f>$P788-$P789</f>
        <v/>
      </c>
      <c r="DT788" s="64">
        <f>$Q788-$Q789</f>
        <v/>
      </c>
      <c r="DU788" s="64">
        <f>$S788-$S789</f>
        <v/>
      </c>
      <c r="DV788" s="65">
        <f>IFERROR(AVERAGE($AA789/$AA788-1,$AB789/$AB788-1,$AC789/$AC788-1,$AD789/$AD788-1,$AE789/$AE788-1,$AG789/$AG788-1,$AH789/$AH788-1,$AI789/$AI788-1,$AJ789/$AJ788-1,$AL789/$AL788-1,$AM789/$AM788-1,$AR789/$AR788-1,$AS789/$AS788-1,$AT789/$AT788-1,$AU789/$AU788-1,$AV789/$AV788-1,$AW789/$AW788-1,$AX789/$AX788-1,$AY789/$AY788-1),"")</f>
        <v/>
      </c>
      <c r="DW788" s="66">
        <f>AVERAGE($CB788,$CC788,$CD788,$CE788,$CF788,$CG788,$CH788,$CI788,$CJ788,$CL788,$CM788,$CN788,$CO788,$CP788,$CQ788,$CR788,$CS788,$CT788)</f>
        <v/>
      </c>
      <c r="DX788" s="66">
        <f>AVERAGE($CB788,$CC788,$CM788,$CE788,$CP788)</f>
        <v/>
      </c>
      <c r="DY788" s="64">
        <f>($DW788-$DW789)*100</f>
        <v/>
      </c>
      <c r="DZ788" s="64">
        <f>($DX788-$DX789)*100</f>
        <v/>
      </c>
      <c r="EA788" s="64">
        <f>($DW788-$D788)*100</f>
        <v/>
      </c>
      <c r="EB788" s="64">
        <f>$Q788-$O788</f>
        <v/>
      </c>
      <c r="EC788" s="67">
        <f>IFERROR($Q788/$P788,"")</f>
        <v/>
      </c>
    </row>
    <row r="789">
      <c r="DG789" s="64">
        <f>($B789-$B790)*100</f>
        <v/>
      </c>
      <c r="DH789" s="64">
        <f>($D789-$D790)*100</f>
        <v/>
      </c>
      <c r="DI789" s="64">
        <f>($E789-$E790)*100</f>
        <v/>
      </c>
      <c r="DJ789" s="64">
        <f>($H789-$H790)*100</f>
        <v/>
      </c>
      <c r="DK789" s="65">
        <f>IFERROR($J789/$J790-1,"")</f>
        <v/>
      </c>
      <c r="DL789" s="64">
        <f>$L789-$L790</f>
        <v/>
      </c>
      <c r="DM789" s="64">
        <f>$K789-$K790</f>
        <v/>
      </c>
      <c r="DN789" s="65">
        <f>IFERROR($N789/$N790-1,"")</f>
        <v/>
      </c>
      <c r="DO789" s="65">
        <f>IFERROR($M789/$M790-1,"")</f>
        <v/>
      </c>
      <c r="DP789" s="65">
        <f>IFERROR($AZ789/$AZ790-1,"")</f>
        <v/>
      </c>
      <c r="DQ789" s="65">
        <f>IFERROR($BA789/$BA790-1,"")</f>
        <v/>
      </c>
      <c r="DR789" s="64">
        <f>$O789-$O790</f>
        <v/>
      </c>
      <c r="DS789" s="64">
        <f>$P789-$P790</f>
        <v/>
      </c>
      <c r="DT789" s="64">
        <f>$Q789-$Q790</f>
        <v/>
      </c>
      <c r="DU789" s="64">
        <f>$S789-$S790</f>
        <v/>
      </c>
      <c r="DV789" s="65">
        <f>IFERROR(AVERAGE($AA790/$AA789-1,$AB790/$AB789-1,$AC790/$AC789-1,$AD790/$AD789-1,$AE790/$AE789-1,$AG790/$AG789-1,$AH790/$AH789-1,$AI790/$AI789-1,$AJ790/$AJ789-1,$AL790/$AL789-1,$AM790/$AM789-1,$AR790/$AR789-1,$AS790/$AS789-1,$AT790/$AT789-1,$AU790/$AU789-1,$AV790/$AV789-1,$AW790/$AW789-1,$AX790/$AX789-1,$AY790/$AY789-1),"")</f>
        <v/>
      </c>
      <c r="DW789" s="66">
        <f>AVERAGE($CB789,$CC789,$CD789,$CE789,$CF789,$CG789,$CH789,$CI789,$CJ789,$CL789,$CM789,$CN789,$CO789,$CP789,$CQ789,$CR789,$CS789,$CT789)</f>
        <v/>
      </c>
      <c r="DX789" s="66">
        <f>AVERAGE($CB789,$CC789,$CM789,$CE789,$CP789)</f>
        <v/>
      </c>
      <c r="DY789" s="64">
        <f>($DW789-$DW790)*100</f>
        <v/>
      </c>
      <c r="DZ789" s="64">
        <f>($DX789-$DX790)*100</f>
        <v/>
      </c>
      <c r="EA789" s="64">
        <f>($DW789-$D789)*100</f>
        <v/>
      </c>
      <c r="EB789" s="64">
        <f>$Q789-$O789</f>
        <v/>
      </c>
      <c r="EC789" s="67">
        <f>IFERROR($Q789/$P789,"")</f>
        <v/>
      </c>
    </row>
    <row r="790">
      <c r="DG790" s="64">
        <f>($B790-$B791)*100</f>
        <v/>
      </c>
      <c r="DH790" s="64">
        <f>($D790-$D791)*100</f>
        <v/>
      </c>
      <c r="DI790" s="64">
        <f>($E790-$E791)*100</f>
        <v/>
      </c>
      <c r="DJ790" s="64">
        <f>($H790-$H791)*100</f>
        <v/>
      </c>
      <c r="DK790" s="65">
        <f>IFERROR($J790/$J791-1,"")</f>
        <v/>
      </c>
      <c r="DL790" s="64">
        <f>$L790-$L791</f>
        <v/>
      </c>
      <c r="DM790" s="64">
        <f>$K790-$K791</f>
        <v/>
      </c>
      <c r="DN790" s="65">
        <f>IFERROR($N790/$N791-1,"")</f>
        <v/>
      </c>
      <c r="DO790" s="65">
        <f>IFERROR($M790/$M791-1,"")</f>
        <v/>
      </c>
      <c r="DP790" s="65">
        <f>IFERROR($AZ790/$AZ791-1,"")</f>
        <v/>
      </c>
      <c r="DQ790" s="65">
        <f>IFERROR($BA790/$BA791-1,"")</f>
        <v/>
      </c>
      <c r="DR790" s="64">
        <f>$O790-$O791</f>
        <v/>
      </c>
      <c r="DS790" s="64">
        <f>$P790-$P791</f>
        <v/>
      </c>
      <c r="DT790" s="64">
        <f>$Q790-$Q791</f>
        <v/>
      </c>
      <c r="DU790" s="64">
        <f>$S790-$S791</f>
        <v/>
      </c>
      <c r="DV790" s="65">
        <f>IFERROR(AVERAGE($AA791/$AA790-1,$AB791/$AB790-1,$AC791/$AC790-1,$AD791/$AD790-1,$AE791/$AE790-1,$AG791/$AG790-1,$AH791/$AH790-1,$AI791/$AI790-1,$AJ791/$AJ790-1,$AL791/$AL790-1,$AM791/$AM790-1,$AR791/$AR790-1,$AS791/$AS790-1,$AT791/$AT790-1,$AU791/$AU790-1,$AV791/$AV790-1,$AW791/$AW790-1,$AX791/$AX790-1,$AY791/$AY790-1),"")</f>
        <v/>
      </c>
      <c r="DW790" s="66">
        <f>AVERAGE($CB790,$CC790,$CD790,$CE790,$CF790,$CG790,$CH790,$CI790,$CJ790,$CL790,$CM790,$CN790,$CO790,$CP790,$CQ790,$CR790,$CS790,$CT790)</f>
        <v/>
      </c>
      <c r="DX790" s="66">
        <f>AVERAGE($CB790,$CC790,$CM790,$CE790,$CP790)</f>
        <v/>
      </c>
      <c r="DY790" s="64">
        <f>($DW790-$DW791)*100</f>
        <v/>
      </c>
      <c r="DZ790" s="64">
        <f>($DX790-$DX791)*100</f>
        <v/>
      </c>
      <c r="EA790" s="64">
        <f>($DW790-$D790)*100</f>
        <v/>
      </c>
      <c r="EB790" s="64">
        <f>$Q790-$O790</f>
        <v/>
      </c>
      <c r="EC790" s="67">
        <f>IFERROR($Q790/$P790,"")</f>
        <v/>
      </c>
    </row>
    <row r="791">
      <c r="DG791" s="64">
        <f>($B791-$B792)*100</f>
        <v/>
      </c>
      <c r="DH791" s="64">
        <f>($D791-$D792)*100</f>
        <v/>
      </c>
      <c r="DI791" s="64">
        <f>($E791-$E792)*100</f>
        <v/>
      </c>
      <c r="DJ791" s="64">
        <f>($H791-$H792)*100</f>
        <v/>
      </c>
      <c r="DK791" s="65">
        <f>IFERROR($J791/$J792-1,"")</f>
        <v/>
      </c>
      <c r="DL791" s="64">
        <f>$L791-$L792</f>
        <v/>
      </c>
      <c r="DM791" s="64">
        <f>$K791-$K792</f>
        <v/>
      </c>
      <c r="DN791" s="65">
        <f>IFERROR($N791/$N792-1,"")</f>
        <v/>
      </c>
      <c r="DO791" s="65">
        <f>IFERROR($M791/$M792-1,"")</f>
        <v/>
      </c>
      <c r="DP791" s="65">
        <f>IFERROR($AZ791/$AZ792-1,"")</f>
        <v/>
      </c>
      <c r="DQ791" s="65">
        <f>IFERROR($BA791/$BA792-1,"")</f>
        <v/>
      </c>
      <c r="DR791" s="64">
        <f>$O791-$O792</f>
        <v/>
      </c>
      <c r="DS791" s="64">
        <f>$P791-$P792</f>
        <v/>
      </c>
      <c r="DT791" s="64">
        <f>$Q791-$Q792</f>
        <v/>
      </c>
      <c r="DU791" s="64">
        <f>$S791-$S792</f>
        <v/>
      </c>
      <c r="DV791" s="65">
        <f>IFERROR(AVERAGE($AA792/$AA791-1,$AB792/$AB791-1,$AC792/$AC791-1,$AD792/$AD791-1,$AE792/$AE791-1,$AG792/$AG791-1,$AH792/$AH791-1,$AI792/$AI791-1,$AJ792/$AJ791-1,$AL792/$AL791-1,$AM792/$AM791-1,$AR792/$AR791-1,$AS792/$AS791-1,$AT792/$AT791-1,$AU792/$AU791-1,$AV792/$AV791-1,$AW792/$AW791-1,$AX792/$AX791-1,$AY792/$AY791-1),"")</f>
        <v/>
      </c>
      <c r="DW791" s="66">
        <f>AVERAGE($CB791,$CC791,$CD791,$CE791,$CF791,$CG791,$CH791,$CI791,$CJ791,$CL791,$CM791,$CN791,$CO791,$CP791,$CQ791,$CR791,$CS791,$CT791)</f>
        <v/>
      </c>
      <c r="DX791" s="66">
        <f>AVERAGE($CB791,$CC791,$CM791,$CE791,$CP791)</f>
        <v/>
      </c>
      <c r="DY791" s="64">
        <f>($DW791-$DW792)*100</f>
        <v/>
      </c>
      <c r="DZ791" s="64">
        <f>($DX791-$DX792)*100</f>
        <v/>
      </c>
      <c r="EA791" s="64">
        <f>($DW791-$D791)*100</f>
        <v/>
      </c>
      <c r="EB791" s="64">
        <f>$Q791-$O791</f>
        <v/>
      </c>
      <c r="EC791" s="67">
        <f>IFERROR($Q791/$P791,"")</f>
        <v/>
      </c>
    </row>
    <row r="792">
      <c r="DG792" s="64">
        <f>($B792-$B793)*100</f>
        <v/>
      </c>
      <c r="DH792" s="64">
        <f>($D792-$D793)*100</f>
        <v/>
      </c>
      <c r="DI792" s="64">
        <f>($E792-$E793)*100</f>
        <v/>
      </c>
      <c r="DJ792" s="64">
        <f>($H792-$H793)*100</f>
        <v/>
      </c>
      <c r="DK792" s="65">
        <f>IFERROR($J792/$J793-1,"")</f>
        <v/>
      </c>
      <c r="DL792" s="64">
        <f>$L792-$L793</f>
        <v/>
      </c>
      <c r="DM792" s="64">
        <f>$K792-$K793</f>
        <v/>
      </c>
      <c r="DN792" s="65">
        <f>IFERROR($N792/$N793-1,"")</f>
        <v/>
      </c>
      <c r="DO792" s="65">
        <f>IFERROR($M792/$M793-1,"")</f>
        <v/>
      </c>
      <c r="DP792" s="65">
        <f>IFERROR($AZ792/$AZ793-1,"")</f>
        <v/>
      </c>
      <c r="DQ792" s="65">
        <f>IFERROR($BA792/$BA793-1,"")</f>
        <v/>
      </c>
      <c r="DR792" s="64">
        <f>$O792-$O793</f>
        <v/>
      </c>
      <c r="DS792" s="64">
        <f>$P792-$P793</f>
        <v/>
      </c>
      <c r="DT792" s="64">
        <f>$Q792-$Q793</f>
        <v/>
      </c>
      <c r="DU792" s="64">
        <f>$S792-$S793</f>
        <v/>
      </c>
      <c r="DV792" s="65">
        <f>IFERROR(AVERAGE($AA793/$AA792-1,$AB793/$AB792-1,$AC793/$AC792-1,$AD793/$AD792-1,$AE793/$AE792-1,$AG793/$AG792-1,$AH793/$AH792-1,$AI793/$AI792-1,$AJ793/$AJ792-1,$AL793/$AL792-1,$AM793/$AM792-1,$AR793/$AR792-1,$AS793/$AS792-1,$AT793/$AT792-1,$AU793/$AU792-1,$AV793/$AV792-1,$AW793/$AW792-1,$AX793/$AX792-1,$AY793/$AY792-1),"")</f>
        <v/>
      </c>
      <c r="DW792" s="66">
        <f>AVERAGE($CB792,$CC792,$CD792,$CE792,$CF792,$CG792,$CH792,$CI792,$CJ792,$CL792,$CM792,$CN792,$CO792,$CP792,$CQ792,$CR792,$CS792,$CT792)</f>
        <v/>
      </c>
      <c r="DX792" s="66">
        <f>AVERAGE($CB792,$CC792,$CM792,$CE792,$CP792)</f>
        <v/>
      </c>
      <c r="DY792" s="64">
        <f>($DW792-$DW793)*100</f>
        <v/>
      </c>
      <c r="DZ792" s="64">
        <f>($DX792-$DX793)*100</f>
        <v/>
      </c>
      <c r="EA792" s="64">
        <f>($DW792-$D792)*100</f>
        <v/>
      </c>
      <c r="EB792" s="64">
        <f>$Q792-$O792</f>
        <v/>
      </c>
      <c r="EC792" s="67">
        <f>IFERROR($Q792/$P792,"")</f>
        <v/>
      </c>
    </row>
    <row r="793">
      <c r="DG793" s="64">
        <f>($B793-$B794)*100</f>
        <v/>
      </c>
      <c r="DH793" s="64">
        <f>($D793-$D794)*100</f>
        <v/>
      </c>
      <c r="DI793" s="64">
        <f>($E793-$E794)*100</f>
        <v/>
      </c>
      <c r="DJ793" s="64">
        <f>($H793-$H794)*100</f>
        <v/>
      </c>
      <c r="DK793" s="65">
        <f>IFERROR($J793/$J794-1,"")</f>
        <v/>
      </c>
      <c r="DL793" s="64">
        <f>$L793-$L794</f>
        <v/>
      </c>
      <c r="DM793" s="64">
        <f>$K793-$K794</f>
        <v/>
      </c>
      <c r="DN793" s="65">
        <f>IFERROR($N793/$N794-1,"")</f>
        <v/>
      </c>
      <c r="DO793" s="65">
        <f>IFERROR($M793/$M794-1,"")</f>
        <v/>
      </c>
      <c r="DP793" s="65">
        <f>IFERROR($AZ793/$AZ794-1,"")</f>
        <v/>
      </c>
      <c r="DQ793" s="65">
        <f>IFERROR($BA793/$BA794-1,"")</f>
        <v/>
      </c>
      <c r="DR793" s="64">
        <f>$O793-$O794</f>
        <v/>
      </c>
      <c r="DS793" s="64">
        <f>$P793-$P794</f>
        <v/>
      </c>
      <c r="DT793" s="64">
        <f>$Q793-$Q794</f>
        <v/>
      </c>
      <c r="DU793" s="64">
        <f>$S793-$S794</f>
        <v/>
      </c>
      <c r="DV793" s="65">
        <f>IFERROR(AVERAGE($AA794/$AA793-1,$AB794/$AB793-1,$AC794/$AC793-1,$AD794/$AD793-1,$AE794/$AE793-1,$AG794/$AG793-1,$AH794/$AH793-1,$AI794/$AI793-1,$AJ794/$AJ793-1,$AL794/$AL793-1,$AM794/$AM793-1,$AR794/$AR793-1,$AS794/$AS793-1,$AT794/$AT793-1,$AU794/$AU793-1,$AV794/$AV793-1,$AW794/$AW793-1,$AX794/$AX793-1,$AY794/$AY793-1),"")</f>
        <v/>
      </c>
      <c r="DW793" s="66">
        <f>AVERAGE($CB793,$CC793,$CD793,$CE793,$CF793,$CG793,$CH793,$CI793,$CJ793,$CL793,$CM793,$CN793,$CO793,$CP793,$CQ793,$CR793,$CS793,$CT793)</f>
        <v/>
      </c>
      <c r="DX793" s="66">
        <f>AVERAGE($CB793,$CC793,$CM793,$CE793,$CP793)</f>
        <v/>
      </c>
      <c r="DY793" s="64">
        <f>($DW793-$DW794)*100</f>
        <v/>
      </c>
      <c r="DZ793" s="64">
        <f>($DX793-$DX794)*100</f>
        <v/>
      </c>
      <c r="EA793" s="64">
        <f>($DW793-$D793)*100</f>
        <v/>
      </c>
      <c r="EB793" s="64">
        <f>$Q793-$O793</f>
        <v/>
      </c>
      <c r="EC793" s="67">
        <f>IFERROR($Q793/$P793,"")</f>
        <v/>
      </c>
    </row>
    <row r="794">
      <c r="DG794" s="64">
        <f>($B794-$B795)*100</f>
        <v/>
      </c>
      <c r="DH794" s="64">
        <f>($D794-$D795)*100</f>
        <v/>
      </c>
      <c r="DI794" s="64">
        <f>($E794-$E795)*100</f>
        <v/>
      </c>
      <c r="DJ794" s="64">
        <f>($H794-$H795)*100</f>
        <v/>
      </c>
      <c r="DK794" s="65">
        <f>IFERROR($J794/$J795-1,"")</f>
        <v/>
      </c>
      <c r="DL794" s="64">
        <f>$L794-$L795</f>
        <v/>
      </c>
      <c r="DM794" s="64">
        <f>$K794-$K795</f>
        <v/>
      </c>
      <c r="DN794" s="65">
        <f>IFERROR($N794/$N795-1,"")</f>
        <v/>
      </c>
      <c r="DO794" s="65">
        <f>IFERROR($M794/$M795-1,"")</f>
        <v/>
      </c>
      <c r="DP794" s="65">
        <f>IFERROR($AZ794/$AZ795-1,"")</f>
        <v/>
      </c>
      <c r="DQ794" s="65">
        <f>IFERROR($BA794/$BA795-1,"")</f>
        <v/>
      </c>
      <c r="DR794" s="64">
        <f>$O794-$O795</f>
        <v/>
      </c>
      <c r="DS794" s="64">
        <f>$P794-$P795</f>
        <v/>
      </c>
      <c r="DT794" s="64">
        <f>$Q794-$Q795</f>
        <v/>
      </c>
      <c r="DU794" s="64">
        <f>$S794-$S795</f>
        <v/>
      </c>
      <c r="DV794" s="65">
        <f>IFERROR(AVERAGE($AA795/$AA794-1,$AB795/$AB794-1,$AC795/$AC794-1,$AD795/$AD794-1,$AE795/$AE794-1,$AG795/$AG794-1,$AH795/$AH794-1,$AI795/$AI794-1,$AJ795/$AJ794-1,$AL795/$AL794-1,$AM795/$AM794-1,$AR795/$AR794-1,$AS795/$AS794-1,$AT795/$AT794-1,$AU795/$AU794-1,$AV795/$AV794-1,$AW795/$AW794-1,$AX795/$AX794-1,$AY795/$AY794-1),"")</f>
        <v/>
      </c>
      <c r="DW794" s="66">
        <f>AVERAGE($CB794,$CC794,$CD794,$CE794,$CF794,$CG794,$CH794,$CI794,$CJ794,$CL794,$CM794,$CN794,$CO794,$CP794,$CQ794,$CR794,$CS794,$CT794)</f>
        <v/>
      </c>
      <c r="DX794" s="66">
        <f>AVERAGE($CB794,$CC794,$CM794,$CE794,$CP794)</f>
        <v/>
      </c>
      <c r="DY794" s="64">
        <f>($DW794-$DW795)*100</f>
        <v/>
      </c>
      <c r="DZ794" s="64">
        <f>($DX794-$DX795)*100</f>
        <v/>
      </c>
      <c r="EA794" s="64">
        <f>($DW794-$D794)*100</f>
        <v/>
      </c>
      <c r="EB794" s="64">
        <f>$Q794-$O794</f>
        <v/>
      </c>
      <c r="EC794" s="67">
        <f>IFERROR($Q794/$P794,"")</f>
        <v/>
      </c>
    </row>
    <row r="795">
      <c r="DG795" s="64">
        <f>($B795-$B796)*100</f>
        <v/>
      </c>
      <c r="DH795" s="64">
        <f>($D795-$D796)*100</f>
        <v/>
      </c>
      <c r="DI795" s="64">
        <f>($E795-$E796)*100</f>
        <v/>
      </c>
      <c r="DJ795" s="64">
        <f>($H795-$H796)*100</f>
        <v/>
      </c>
      <c r="DK795" s="65">
        <f>IFERROR($J795/$J796-1,"")</f>
        <v/>
      </c>
      <c r="DL795" s="64">
        <f>$L795-$L796</f>
        <v/>
      </c>
      <c r="DM795" s="64">
        <f>$K795-$K796</f>
        <v/>
      </c>
      <c r="DN795" s="65">
        <f>IFERROR($N795/$N796-1,"")</f>
        <v/>
      </c>
      <c r="DO795" s="65">
        <f>IFERROR($M795/$M796-1,"")</f>
        <v/>
      </c>
      <c r="DP795" s="65">
        <f>IFERROR($AZ795/$AZ796-1,"")</f>
        <v/>
      </c>
      <c r="DQ795" s="65">
        <f>IFERROR($BA795/$BA796-1,"")</f>
        <v/>
      </c>
      <c r="DR795" s="64">
        <f>$O795-$O796</f>
        <v/>
      </c>
      <c r="DS795" s="64">
        <f>$P795-$P796</f>
        <v/>
      </c>
      <c r="DT795" s="64">
        <f>$Q795-$Q796</f>
        <v/>
      </c>
      <c r="DU795" s="64">
        <f>$S795-$S796</f>
        <v/>
      </c>
      <c r="DV795" s="65">
        <f>IFERROR(AVERAGE($AA796/$AA795-1,$AB796/$AB795-1,$AC796/$AC795-1,$AD796/$AD795-1,$AE796/$AE795-1,$AG796/$AG795-1,$AH796/$AH795-1,$AI796/$AI795-1,$AJ796/$AJ795-1,$AL796/$AL795-1,$AM796/$AM795-1,$AR796/$AR795-1,$AS796/$AS795-1,$AT796/$AT795-1,$AU796/$AU795-1,$AV796/$AV795-1,$AW796/$AW795-1,$AX796/$AX795-1,$AY796/$AY795-1),"")</f>
        <v/>
      </c>
      <c r="DW795" s="66">
        <f>AVERAGE($CB795,$CC795,$CD795,$CE795,$CF795,$CG795,$CH795,$CI795,$CJ795,$CL795,$CM795,$CN795,$CO795,$CP795,$CQ795,$CR795,$CS795,$CT795)</f>
        <v/>
      </c>
      <c r="DX795" s="66">
        <f>AVERAGE($CB795,$CC795,$CM795,$CE795,$CP795)</f>
        <v/>
      </c>
      <c r="DY795" s="64">
        <f>($DW795-$DW796)*100</f>
        <v/>
      </c>
      <c r="DZ795" s="64">
        <f>($DX795-$DX796)*100</f>
        <v/>
      </c>
      <c r="EA795" s="64">
        <f>($DW795-$D795)*100</f>
        <v/>
      </c>
      <c r="EB795" s="64">
        <f>$Q795-$O795</f>
        <v/>
      </c>
      <c r="EC795" s="67">
        <f>IFERROR($Q795/$P795,"")</f>
        <v/>
      </c>
    </row>
    <row r="796">
      <c r="DG796" s="64">
        <f>($B796-$B797)*100</f>
        <v/>
      </c>
      <c r="DH796" s="64">
        <f>($D796-$D797)*100</f>
        <v/>
      </c>
      <c r="DI796" s="64">
        <f>($E796-$E797)*100</f>
        <v/>
      </c>
      <c r="DJ796" s="64">
        <f>($H796-$H797)*100</f>
        <v/>
      </c>
      <c r="DK796" s="65">
        <f>IFERROR($J796/$J797-1,"")</f>
        <v/>
      </c>
      <c r="DL796" s="64">
        <f>$L796-$L797</f>
        <v/>
      </c>
      <c r="DM796" s="64">
        <f>$K796-$K797</f>
        <v/>
      </c>
      <c r="DN796" s="65">
        <f>IFERROR($N796/$N797-1,"")</f>
        <v/>
      </c>
      <c r="DO796" s="65">
        <f>IFERROR($M796/$M797-1,"")</f>
        <v/>
      </c>
      <c r="DP796" s="65">
        <f>IFERROR($AZ796/$AZ797-1,"")</f>
        <v/>
      </c>
      <c r="DQ796" s="65">
        <f>IFERROR($BA796/$BA797-1,"")</f>
        <v/>
      </c>
      <c r="DR796" s="64">
        <f>$O796-$O797</f>
        <v/>
      </c>
      <c r="DS796" s="64">
        <f>$P796-$P797</f>
        <v/>
      </c>
      <c r="DT796" s="64">
        <f>$Q796-$Q797</f>
        <v/>
      </c>
      <c r="DU796" s="64">
        <f>$S796-$S797</f>
        <v/>
      </c>
      <c r="DV796" s="65">
        <f>IFERROR(AVERAGE($AA797/$AA796-1,$AB797/$AB796-1,$AC797/$AC796-1,$AD797/$AD796-1,$AE797/$AE796-1,$AG797/$AG796-1,$AH797/$AH796-1,$AI797/$AI796-1,$AJ797/$AJ796-1,$AL797/$AL796-1,$AM797/$AM796-1,$AR797/$AR796-1,$AS797/$AS796-1,$AT797/$AT796-1,$AU797/$AU796-1,$AV797/$AV796-1,$AW797/$AW796-1,$AX797/$AX796-1,$AY797/$AY796-1),"")</f>
        <v/>
      </c>
      <c r="DW796" s="66">
        <f>AVERAGE($CB796,$CC796,$CD796,$CE796,$CF796,$CG796,$CH796,$CI796,$CJ796,$CL796,$CM796,$CN796,$CO796,$CP796,$CQ796,$CR796,$CS796,$CT796)</f>
        <v/>
      </c>
      <c r="DX796" s="66">
        <f>AVERAGE($CB796,$CC796,$CM796,$CE796,$CP796)</f>
        <v/>
      </c>
      <c r="DY796" s="64">
        <f>($DW796-$DW797)*100</f>
        <v/>
      </c>
      <c r="DZ796" s="64">
        <f>($DX796-$DX797)*100</f>
        <v/>
      </c>
      <c r="EA796" s="64">
        <f>($DW796-$D796)*100</f>
        <v/>
      </c>
      <c r="EB796" s="64">
        <f>$Q796-$O796</f>
        <v/>
      </c>
      <c r="EC796" s="67">
        <f>IFERROR($Q796/$P796,"")</f>
        <v/>
      </c>
    </row>
    <row r="797">
      <c r="DG797" s="64">
        <f>($B797-$B798)*100</f>
        <v/>
      </c>
      <c r="DH797" s="64">
        <f>($D797-$D798)*100</f>
        <v/>
      </c>
      <c r="DI797" s="64">
        <f>($E797-$E798)*100</f>
        <v/>
      </c>
      <c r="DJ797" s="64">
        <f>($H797-$H798)*100</f>
        <v/>
      </c>
      <c r="DK797" s="65">
        <f>IFERROR($J797/$J798-1,"")</f>
        <v/>
      </c>
      <c r="DL797" s="64">
        <f>$L797-$L798</f>
        <v/>
      </c>
      <c r="DM797" s="64">
        <f>$K797-$K798</f>
        <v/>
      </c>
      <c r="DN797" s="65">
        <f>IFERROR($N797/$N798-1,"")</f>
        <v/>
      </c>
      <c r="DO797" s="65">
        <f>IFERROR($M797/$M798-1,"")</f>
        <v/>
      </c>
      <c r="DP797" s="65">
        <f>IFERROR($AZ797/$AZ798-1,"")</f>
        <v/>
      </c>
      <c r="DQ797" s="65">
        <f>IFERROR($BA797/$BA798-1,"")</f>
        <v/>
      </c>
      <c r="DR797" s="64">
        <f>$O797-$O798</f>
        <v/>
      </c>
      <c r="DS797" s="64">
        <f>$P797-$P798</f>
        <v/>
      </c>
      <c r="DT797" s="64">
        <f>$Q797-$Q798</f>
        <v/>
      </c>
      <c r="DU797" s="64">
        <f>$S797-$S798</f>
        <v/>
      </c>
      <c r="DV797" s="65">
        <f>IFERROR(AVERAGE($AA798/$AA797-1,$AB798/$AB797-1,$AC798/$AC797-1,$AD798/$AD797-1,$AE798/$AE797-1,$AG798/$AG797-1,$AH798/$AH797-1,$AI798/$AI797-1,$AJ798/$AJ797-1,$AL798/$AL797-1,$AM798/$AM797-1,$AR798/$AR797-1,$AS798/$AS797-1,$AT798/$AT797-1,$AU798/$AU797-1,$AV798/$AV797-1,$AW798/$AW797-1,$AX798/$AX797-1,$AY798/$AY797-1),"")</f>
        <v/>
      </c>
      <c r="DW797" s="66">
        <f>AVERAGE($CB797,$CC797,$CD797,$CE797,$CF797,$CG797,$CH797,$CI797,$CJ797,$CL797,$CM797,$CN797,$CO797,$CP797,$CQ797,$CR797,$CS797,$CT797)</f>
        <v/>
      </c>
      <c r="DX797" s="66">
        <f>AVERAGE($CB797,$CC797,$CM797,$CE797,$CP797)</f>
        <v/>
      </c>
      <c r="DY797" s="64">
        <f>($DW797-$DW798)*100</f>
        <v/>
      </c>
      <c r="DZ797" s="64">
        <f>($DX797-$DX798)*100</f>
        <v/>
      </c>
      <c r="EA797" s="64">
        <f>($DW797-$D797)*100</f>
        <v/>
      </c>
      <c r="EB797" s="64">
        <f>$Q797-$O797</f>
        <v/>
      </c>
      <c r="EC797" s="67">
        <f>IFERROR($Q797/$P797,"")</f>
        <v/>
      </c>
    </row>
    <row r="798">
      <c r="DG798" s="64">
        <f>($B798-$B799)*100</f>
        <v/>
      </c>
      <c r="DH798" s="64">
        <f>($D798-$D799)*100</f>
        <v/>
      </c>
      <c r="DI798" s="64">
        <f>($E798-$E799)*100</f>
        <v/>
      </c>
      <c r="DJ798" s="64">
        <f>($H798-$H799)*100</f>
        <v/>
      </c>
      <c r="DK798" s="65">
        <f>IFERROR($J798/$J799-1,"")</f>
        <v/>
      </c>
      <c r="DL798" s="64">
        <f>$L798-$L799</f>
        <v/>
      </c>
      <c r="DM798" s="64">
        <f>$K798-$K799</f>
        <v/>
      </c>
      <c r="DN798" s="65">
        <f>IFERROR($N798/$N799-1,"")</f>
        <v/>
      </c>
      <c r="DO798" s="65">
        <f>IFERROR($M798/$M799-1,"")</f>
        <v/>
      </c>
      <c r="DP798" s="65">
        <f>IFERROR($AZ798/$AZ799-1,"")</f>
        <v/>
      </c>
      <c r="DQ798" s="65">
        <f>IFERROR($BA798/$BA799-1,"")</f>
        <v/>
      </c>
      <c r="DR798" s="64">
        <f>$O798-$O799</f>
        <v/>
      </c>
      <c r="DS798" s="64">
        <f>$P798-$P799</f>
        <v/>
      </c>
      <c r="DT798" s="64">
        <f>$Q798-$Q799</f>
        <v/>
      </c>
      <c r="DU798" s="64">
        <f>$S798-$S799</f>
        <v/>
      </c>
      <c r="DV798" s="65">
        <f>IFERROR(AVERAGE($AA799/$AA798-1,$AB799/$AB798-1,$AC799/$AC798-1,$AD799/$AD798-1,$AE799/$AE798-1,$AG799/$AG798-1,$AH799/$AH798-1,$AI799/$AI798-1,$AJ799/$AJ798-1,$AL799/$AL798-1,$AM799/$AM798-1,$AR799/$AR798-1,$AS799/$AS798-1,$AT799/$AT798-1,$AU799/$AU798-1,$AV799/$AV798-1,$AW799/$AW798-1,$AX799/$AX798-1,$AY799/$AY798-1),"")</f>
        <v/>
      </c>
      <c r="DW798" s="66">
        <f>AVERAGE($CB798,$CC798,$CD798,$CE798,$CF798,$CG798,$CH798,$CI798,$CJ798,$CL798,$CM798,$CN798,$CO798,$CP798,$CQ798,$CR798,$CS798,$CT798)</f>
        <v/>
      </c>
      <c r="DX798" s="66">
        <f>AVERAGE($CB798,$CC798,$CM798,$CE798,$CP798)</f>
        <v/>
      </c>
      <c r="DY798" s="64">
        <f>($DW798-$DW799)*100</f>
        <v/>
      </c>
      <c r="DZ798" s="64">
        <f>($DX798-$DX799)*100</f>
        <v/>
      </c>
      <c r="EA798" s="64">
        <f>($DW798-$D798)*100</f>
        <v/>
      </c>
      <c r="EB798" s="64">
        <f>$Q798-$O798</f>
        <v/>
      </c>
      <c r="EC798" s="67">
        <f>IFERROR($Q798/$P798,"")</f>
        <v/>
      </c>
    </row>
    <row r="799">
      <c r="DG799" s="64">
        <f>($B799-$B800)*100</f>
        <v/>
      </c>
      <c r="DH799" s="64">
        <f>($D799-$D800)*100</f>
        <v/>
      </c>
      <c r="DI799" s="64">
        <f>($E799-$E800)*100</f>
        <v/>
      </c>
      <c r="DJ799" s="64">
        <f>($H799-$H800)*100</f>
        <v/>
      </c>
      <c r="DK799" s="65">
        <f>IFERROR($J799/$J800-1,"")</f>
        <v/>
      </c>
      <c r="DL799" s="64">
        <f>$L799-$L800</f>
        <v/>
      </c>
      <c r="DM799" s="64">
        <f>$K799-$K800</f>
        <v/>
      </c>
      <c r="DN799" s="65">
        <f>IFERROR($N799/$N800-1,"")</f>
        <v/>
      </c>
      <c r="DO799" s="65">
        <f>IFERROR($M799/$M800-1,"")</f>
        <v/>
      </c>
      <c r="DP799" s="65">
        <f>IFERROR($AZ799/$AZ800-1,"")</f>
        <v/>
      </c>
      <c r="DQ799" s="65">
        <f>IFERROR($BA799/$BA800-1,"")</f>
        <v/>
      </c>
      <c r="DR799" s="64">
        <f>$O799-$O800</f>
        <v/>
      </c>
      <c r="DS799" s="64">
        <f>$P799-$P800</f>
        <v/>
      </c>
      <c r="DT799" s="64">
        <f>$Q799-$Q800</f>
        <v/>
      </c>
      <c r="DU799" s="64">
        <f>$S799-$S800</f>
        <v/>
      </c>
      <c r="DV799" s="65">
        <f>IFERROR(AVERAGE($AA800/$AA799-1,$AB800/$AB799-1,$AC800/$AC799-1,$AD800/$AD799-1,$AE800/$AE799-1,$AG800/$AG799-1,$AH800/$AH799-1,$AI800/$AI799-1,$AJ800/$AJ799-1,$AL800/$AL799-1,$AM800/$AM799-1,$AR800/$AR799-1,$AS800/$AS799-1,$AT800/$AT799-1,$AU800/$AU799-1,$AV800/$AV799-1,$AW800/$AW799-1,$AX800/$AX799-1,$AY800/$AY799-1),"")</f>
        <v/>
      </c>
      <c r="DW799" s="66">
        <f>AVERAGE($CB799,$CC799,$CD799,$CE799,$CF799,$CG799,$CH799,$CI799,$CJ799,$CL799,$CM799,$CN799,$CO799,$CP799,$CQ799,$CR799,$CS799,$CT799)</f>
        <v/>
      </c>
      <c r="DX799" s="66">
        <f>AVERAGE($CB799,$CC799,$CM799,$CE799,$CP799)</f>
        <v/>
      </c>
      <c r="DY799" s="64">
        <f>($DW799-$DW800)*100</f>
        <v/>
      </c>
      <c r="DZ799" s="64">
        <f>($DX799-$DX800)*100</f>
        <v/>
      </c>
      <c r="EA799" s="64">
        <f>($DW799-$D799)*100</f>
        <v/>
      </c>
      <c r="EB799" s="64">
        <f>$Q799-$O799</f>
        <v/>
      </c>
      <c r="EC799" s="67">
        <f>IFERROR($Q799/$P799,"")</f>
        <v/>
      </c>
    </row>
    <row r="800">
      <c r="DG800" s="64">
        <f>($B800-$B801)*100</f>
        <v/>
      </c>
      <c r="DH800" s="64">
        <f>($D800-$D801)*100</f>
        <v/>
      </c>
      <c r="DI800" s="64">
        <f>($E800-$E801)*100</f>
        <v/>
      </c>
      <c r="DJ800" s="64">
        <f>($H800-$H801)*100</f>
        <v/>
      </c>
      <c r="DK800" s="65">
        <f>IFERROR($J800/$J801-1,"")</f>
        <v/>
      </c>
      <c r="DL800" s="64">
        <f>$L800-$L801</f>
        <v/>
      </c>
      <c r="DM800" s="64">
        <f>$K800-$K801</f>
        <v/>
      </c>
      <c r="DN800" s="65">
        <f>IFERROR($N800/$N801-1,"")</f>
        <v/>
      </c>
      <c r="DO800" s="65">
        <f>IFERROR($M800/$M801-1,"")</f>
        <v/>
      </c>
      <c r="DP800" s="65">
        <f>IFERROR($AZ800/$AZ801-1,"")</f>
        <v/>
      </c>
      <c r="DQ800" s="65">
        <f>IFERROR($BA800/$BA801-1,"")</f>
        <v/>
      </c>
      <c r="DR800" s="64">
        <f>$O800-$O801</f>
        <v/>
      </c>
      <c r="DS800" s="64">
        <f>$P800-$P801</f>
        <v/>
      </c>
      <c r="DT800" s="64">
        <f>$Q800-$Q801</f>
        <v/>
      </c>
      <c r="DU800" s="64">
        <f>$S800-$S801</f>
        <v/>
      </c>
      <c r="DV800" s="65">
        <f>IFERROR(AVERAGE($AA801/$AA800-1,$AB801/$AB800-1,$AC801/$AC800-1,$AD801/$AD800-1,$AE801/$AE800-1,$AG801/$AG800-1,$AH801/$AH800-1,$AI801/$AI800-1,$AJ801/$AJ800-1,$AL801/$AL800-1,$AM801/$AM800-1,$AR801/$AR800-1,$AS801/$AS800-1,$AT801/$AT800-1,$AU801/$AU800-1,$AV801/$AV800-1,$AW801/$AW800-1,$AX801/$AX800-1,$AY801/$AY800-1),"")</f>
        <v/>
      </c>
      <c r="DW800" s="66">
        <f>AVERAGE($CB800,$CC800,$CD800,$CE800,$CF800,$CG800,$CH800,$CI800,$CJ800,$CL800,$CM800,$CN800,$CO800,$CP800,$CQ800,$CR800,$CS800,$CT800)</f>
        <v/>
      </c>
      <c r="DX800" s="66">
        <f>AVERAGE($CB800,$CC800,$CM800,$CE800,$CP800)</f>
        <v/>
      </c>
      <c r="DY800" s="64">
        <f>($DW800-$DW801)*100</f>
        <v/>
      </c>
      <c r="DZ800" s="64">
        <f>($DX800-$DX801)*100</f>
        <v/>
      </c>
      <c r="EA800" s="64">
        <f>($DW800-$D800)*100</f>
        <v/>
      </c>
      <c r="EB800" s="64">
        <f>$Q800-$O800</f>
        <v/>
      </c>
      <c r="EC800" s="67">
        <f>IFERROR($Q800/$P800,"")</f>
        <v/>
      </c>
    </row>
    <row r="801">
      <c r="DG801" s="64">
        <f>($B801-$B802)*100</f>
        <v/>
      </c>
      <c r="DH801" s="64">
        <f>($D801-$D802)*100</f>
        <v/>
      </c>
      <c r="DI801" s="64">
        <f>($E801-$E802)*100</f>
        <v/>
      </c>
      <c r="DJ801" s="64">
        <f>($H801-$H802)*100</f>
        <v/>
      </c>
      <c r="DK801" s="65">
        <f>IFERROR($J801/$J802-1,"")</f>
        <v/>
      </c>
      <c r="DL801" s="64">
        <f>$L801-$L802</f>
        <v/>
      </c>
      <c r="DM801" s="64">
        <f>$K801-$K802</f>
        <v/>
      </c>
      <c r="DN801" s="65">
        <f>IFERROR($N801/$N802-1,"")</f>
        <v/>
      </c>
      <c r="DO801" s="65">
        <f>IFERROR($M801/$M802-1,"")</f>
        <v/>
      </c>
      <c r="DP801" s="65">
        <f>IFERROR($AZ801/$AZ802-1,"")</f>
        <v/>
      </c>
      <c r="DQ801" s="65">
        <f>IFERROR($BA801/$BA802-1,"")</f>
        <v/>
      </c>
      <c r="DR801" s="64">
        <f>$O801-$O802</f>
        <v/>
      </c>
      <c r="DS801" s="64">
        <f>$P801-$P802</f>
        <v/>
      </c>
      <c r="DT801" s="64">
        <f>$Q801-$Q802</f>
        <v/>
      </c>
      <c r="DU801" s="64">
        <f>$S801-$S802</f>
        <v/>
      </c>
      <c r="DV801" s="65">
        <f>IFERROR(AVERAGE($AA802/$AA801-1,$AB802/$AB801-1,$AC802/$AC801-1,$AD802/$AD801-1,$AE802/$AE801-1,$AG802/$AG801-1,$AH802/$AH801-1,$AI802/$AI801-1,$AJ802/$AJ801-1,$AL802/$AL801-1,$AM802/$AM801-1,$AR802/$AR801-1,$AS802/$AS801-1,$AT802/$AT801-1,$AU802/$AU801-1,$AV802/$AV801-1,$AW802/$AW801-1,$AX802/$AX801-1,$AY802/$AY801-1),"")</f>
        <v/>
      </c>
      <c r="DW801" s="66">
        <f>AVERAGE($CB801,$CC801,$CD801,$CE801,$CF801,$CG801,$CH801,$CI801,$CJ801,$CL801,$CM801,$CN801,$CO801,$CP801,$CQ801,$CR801,$CS801,$CT801)</f>
        <v/>
      </c>
      <c r="DX801" s="66">
        <f>AVERAGE($CB801,$CC801,$CM801,$CE801,$CP801)</f>
        <v/>
      </c>
      <c r="DY801" s="64">
        <f>($DW801-$DW802)*100</f>
        <v/>
      </c>
      <c r="DZ801" s="64">
        <f>($DX801-$DX802)*100</f>
        <v/>
      </c>
      <c r="EA801" s="64">
        <f>($DW801-$D801)*100</f>
        <v/>
      </c>
      <c r="EB801" s="64">
        <f>$Q801-$O801</f>
        <v/>
      </c>
      <c r="EC801" s="67">
        <f>IFERROR($Q801/$P801,"")</f>
        <v/>
      </c>
    </row>
    <row r="802">
      <c r="DG802" s="64">
        <f>($B802-$B803)*100</f>
        <v/>
      </c>
      <c r="DH802" s="64">
        <f>($D802-$D803)*100</f>
        <v/>
      </c>
      <c r="DI802" s="64">
        <f>($E802-$E803)*100</f>
        <v/>
      </c>
      <c r="DJ802" s="64">
        <f>($H802-$H803)*100</f>
        <v/>
      </c>
      <c r="DK802" s="65">
        <f>IFERROR($J802/$J803-1,"")</f>
        <v/>
      </c>
      <c r="DL802" s="64">
        <f>$L802-$L803</f>
        <v/>
      </c>
      <c r="DM802" s="64">
        <f>$K802-$K803</f>
        <v/>
      </c>
      <c r="DN802" s="65">
        <f>IFERROR($N802/$N803-1,"")</f>
        <v/>
      </c>
      <c r="DO802" s="65">
        <f>IFERROR($M802/$M803-1,"")</f>
        <v/>
      </c>
      <c r="DP802" s="65">
        <f>IFERROR($AZ802/$AZ803-1,"")</f>
        <v/>
      </c>
      <c r="DQ802" s="65">
        <f>IFERROR($BA802/$BA803-1,"")</f>
        <v/>
      </c>
      <c r="DR802" s="64">
        <f>$O802-$O803</f>
        <v/>
      </c>
      <c r="DS802" s="64">
        <f>$P802-$P803</f>
        <v/>
      </c>
      <c r="DT802" s="64">
        <f>$Q802-$Q803</f>
        <v/>
      </c>
      <c r="DU802" s="64">
        <f>$S802-$S803</f>
        <v/>
      </c>
      <c r="DV802" s="65">
        <f>IFERROR(AVERAGE($AA803/$AA802-1,$AB803/$AB802-1,$AC803/$AC802-1,$AD803/$AD802-1,$AE803/$AE802-1,$AG803/$AG802-1,$AH803/$AH802-1,$AI803/$AI802-1,$AJ803/$AJ802-1,$AL803/$AL802-1,$AM803/$AM802-1,$AR803/$AR802-1,$AS803/$AS802-1,$AT803/$AT802-1,$AU803/$AU802-1,$AV803/$AV802-1,$AW803/$AW802-1,$AX803/$AX802-1,$AY803/$AY802-1),"")</f>
        <v/>
      </c>
      <c r="DW802" s="66">
        <f>AVERAGE($CB802,$CC802,$CD802,$CE802,$CF802,$CG802,$CH802,$CI802,$CJ802,$CL802,$CM802,$CN802,$CO802,$CP802,$CQ802,$CR802,$CS802,$CT802)</f>
        <v/>
      </c>
      <c r="DX802" s="66">
        <f>AVERAGE($CB802,$CC802,$CM802,$CE802,$CP802)</f>
        <v/>
      </c>
      <c r="DY802" s="64">
        <f>($DW802-$DW803)*100</f>
        <v/>
      </c>
      <c r="DZ802" s="64">
        <f>($DX802-$DX803)*100</f>
        <v/>
      </c>
      <c r="EA802" s="64">
        <f>($DW802-$D802)*100</f>
        <v/>
      </c>
      <c r="EB802" s="64">
        <f>$Q802-$O802</f>
        <v/>
      </c>
      <c r="EC802" s="67">
        <f>IFERROR($Q802/$P802,"")</f>
        <v/>
      </c>
    </row>
    <row r="803">
      <c r="DG803" s="64">
        <f>($B803-$B804)*100</f>
        <v/>
      </c>
      <c r="DH803" s="64">
        <f>($D803-$D804)*100</f>
        <v/>
      </c>
      <c r="DI803" s="64">
        <f>($E803-$E804)*100</f>
        <v/>
      </c>
      <c r="DJ803" s="64">
        <f>($H803-$H804)*100</f>
        <v/>
      </c>
      <c r="DK803" s="65">
        <f>IFERROR($J803/$J804-1,"")</f>
        <v/>
      </c>
      <c r="DL803" s="64">
        <f>$L803-$L804</f>
        <v/>
      </c>
      <c r="DM803" s="64">
        <f>$K803-$K804</f>
        <v/>
      </c>
      <c r="DN803" s="65">
        <f>IFERROR($N803/$N804-1,"")</f>
        <v/>
      </c>
      <c r="DO803" s="65">
        <f>IFERROR($M803/$M804-1,"")</f>
        <v/>
      </c>
      <c r="DP803" s="65">
        <f>IFERROR($AZ803/$AZ804-1,"")</f>
        <v/>
      </c>
      <c r="DQ803" s="65">
        <f>IFERROR($BA803/$BA804-1,"")</f>
        <v/>
      </c>
      <c r="DR803" s="64">
        <f>$O803-$O804</f>
        <v/>
      </c>
      <c r="DS803" s="64">
        <f>$P803-$P804</f>
        <v/>
      </c>
      <c r="DT803" s="64">
        <f>$Q803-$Q804</f>
        <v/>
      </c>
      <c r="DU803" s="64">
        <f>$S803-$S804</f>
        <v/>
      </c>
      <c r="DV803" s="65">
        <f>IFERROR(AVERAGE($AA804/$AA803-1,$AB804/$AB803-1,$AC804/$AC803-1,$AD804/$AD803-1,$AE804/$AE803-1,$AG804/$AG803-1,$AH804/$AH803-1,$AI804/$AI803-1,$AJ804/$AJ803-1,$AL804/$AL803-1,$AM804/$AM803-1,$AR804/$AR803-1,$AS804/$AS803-1,$AT804/$AT803-1,$AU804/$AU803-1,$AV804/$AV803-1,$AW804/$AW803-1,$AX804/$AX803-1,$AY804/$AY803-1),"")</f>
        <v/>
      </c>
      <c r="DW803" s="66">
        <f>AVERAGE($CB803,$CC803,$CD803,$CE803,$CF803,$CG803,$CH803,$CI803,$CJ803,$CL803,$CM803,$CN803,$CO803,$CP803,$CQ803,$CR803,$CS803,$CT803)</f>
        <v/>
      </c>
      <c r="DX803" s="66">
        <f>AVERAGE($CB803,$CC803,$CM803,$CE803,$CP803)</f>
        <v/>
      </c>
      <c r="DY803" s="64">
        <f>($DW803-$DW804)*100</f>
        <v/>
      </c>
      <c r="DZ803" s="64">
        <f>($DX803-$DX804)*100</f>
        <v/>
      </c>
      <c r="EA803" s="64">
        <f>($DW803-$D803)*100</f>
        <v/>
      </c>
      <c r="EB803" s="64">
        <f>$Q803-$O803</f>
        <v/>
      </c>
      <c r="EC803" s="67">
        <f>IFERROR($Q803/$P803,"")</f>
        <v/>
      </c>
    </row>
    <row r="804">
      <c r="DG804" s="64">
        <f>($B804-$B805)*100</f>
        <v/>
      </c>
      <c r="DH804" s="64">
        <f>($D804-$D805)*100</f>
        <v/>
      </c>
      <c r="DI804" s="64">
        <f>($E804-$E805)*100</f>
        <v/>
      </c>
      <c r="DJ804" s="64">
        <f>($H804-$H805)*100</f>
        <v/>
      </c>
      <c r="DK804" s="65">
        <f>IFERROR($J804/$J805-1,"")</f>
        <v/>
      </c>
      <c r="DL804" s="64">
        <f>$L804-$L805</f>
        <v/>
      </c>
      <c r="DM804" s="64">
        <f>$K804-$K805</f>
        <v/>
      </c>
      <c r="DN804" s="65">
        <f>IFERROR($N804/$N805-1,"")</f>
        <v/>
      </c>
      <c r="DO804" s="65">
        <f>IFERROR($M804/$M805-1,"")</f>
        <v/>
      </c>
      <c r="DP804" s="65">
        <f>IFERROR($AZ804/$AZ805-1,"")</f>
        <v/>
      </c>
      <c r="DQ804" s="65">
        <f>IFERROR($BA804/$BA805-1,"")</f>
        <v/>
      </c>
      <c r="DR804" s="64">
        <f>$O804-$O805</f>
        <v/>
      </c>
      <c r="DS804" s="64">
        <f>$P804-$P805</f>
        <v/>
      </c>
      <c r="DT804" s="64">
        <f>$Q804-$Q805</f>
        <v/>
      </c>
      <c r="DU804" s="64">
        <f>$S804-$S805</f>
        <v/>
      </c>
      <c r="DV804" s="65">
        <f>IFERROR(AVERAGE($AA805/$AA804-1,$AB805/$AB804-1,$AC805/$AC804-1,$AD805/$AD804-1,$AE805/$AE804-1,$AG805/$AG804-1,$AH805/$AH804-1,$AI805/$AI804-1,$AJ805/$AJ804-1,$AL805/$AL804-1,$AM805/$AM804-1,$AR805/$AR804-1,$AS805/$AS804-1,$AT805/$AT804-1,$AU805/$AU804-1,$AV805/$AV804-1,$AW805/$AW804-1,$AX805/$AX804-1,$AY805/$AY804-1),"")</f>
        <v/>
      </c>
      <c r="DW804" s="66">
        <f>AVERAGE($CB804,$CC804,$CD804,$CE804,$CF804,$CG804,$CH804,$CI804,$CJ804,$CL804,$CM804,$CN804,$CO804,$CP804,$CQ804,$CR804,$CS804,$CT804)</f>
        <v/>
      </c>
      <c r="DX804" s="66">
        <f>AVERAGE($CB804,$CC804,$CM804,$CE804,$CP804)</f>
        <v/>
      </c>
      <c r="DY804" s="64">
        <f>($DW804-$DW805)*100</f>
        <v/>
      </c>
      <c r="DZ804" s="64">
        <f>($DX804-$DX805)*100</f>
        <v/>
      </c>
      <c r="EA804" s="64">
        <f>($DW804-$D804)*100</f>
        <v/>
      </c>
      <c r="EB804" s="64">
        <f>$Q804-$O804</f>
        <v/>
      </c>
      <c r="EC804" s="67">
        <f>IFERROR($Q804/$P804,"")</f>
        <v/>
      </c>
    </row>
    <row r="805">
      <c r="DG805" s="64">
        <f>($B805-$B806)*100</f>
        <v/>
      </c>
      <c r="DH805" s="64">
        <f>($D805-$D806)*100</f>
        <v/>
      </c>
      <c r="DI805" s="64">
        <f>($E805-$E806)*100</f>
        <v/>
      </c>
      <c r="DJ805" s="64">
        <f>($H805-$H806)*100</f>
        <v/>
      </c>
      <c r="DK805" s="65">
        <f>IFERROR($J805/$J806-1,"")</f>
        <v/>
      </c>
      <c r="DL805" s="64">
        <f>$L805-$L806</f>
        <v/>
      </c>
      <c r="DM805" s="64">
        <f>$K805-$K806</f>
        <v/>
      </c>
      <c r="DN805" s="65">
        <f>IFERROR($N805/$N806-1,"")</f>
        <v/>
      </c>
      <c r="DO805" s="65">
        <f>IFERROR($M805/$M806-1,"")</f>
        <v/>
      </c>
      <c r="DP805" s="65">
        <f>IFERROR($AZ805/$AZ806-1,"")</f>
        <v/>
      </c>
      <c r="DQ805" s="65">
        <f>IFERROR($BA805/$BA806-1,"")</f>
        <v/>
      </c>
      <c r="DR805" s="64">
        <f>$O805-$O806</f>
        <v/>
      </c>
      <c r="DS805" s="64">
        <f>$P805-$P806</f>
        <v/>
      </c>
      <c r="DT805" s="64">
        <f>$Q805-$Q806</f>
        <v/>
      </c>
      <c r="DU805" s="64">
        <f>$S805-$S806</f>
        <v/>
      </c>
      <c r="DV805" s="65">
        <f>IFERROR(AVERAGE($AA806/$AA805-1,$AB806/$AB805-1,$AC806/$AC805-1,$AD806/$AD805-1,$AE806/$AE805-1,$AG806/$AG805-1,$AH806/$AH805-1,$AI806/$AI805-1,$AJ806/$AJ805-1,$AL806/$AL805-1,$AM806/$AM805-1,$AR806/$AR805-1,$AS806/$AS805-1,$AT806/$AT805-1,$AU806/$AU805-1,$AV806/$AV805-1,$AW806/$AW805-1,$AX806/$AX805-1,$AY806/$AY805-1),"")</f>
        <v/>
      </c>
      <c r="DW805" s="66">
        <f>AVERAGE($CB805,$CC805,$CD805,$CE805,$CF805,$CG805,$CH805,$CI805,$CJ805,$CL805,$CM805,$CN805,$CO805,$CP805,$CQ805,$CR805,$CS805,$CT805)</f>
        <v/>
      </c>
      <c r="DX805" s="66">
        <f>AVERAGE($CB805,$CC805,$CM805,$CE805,$CP805)</f>
        <v/>
      </c>
      <c r="DY805" s="64">
        <f>($DW805-$DW806)*100</f>
        <v/>
      </c>
      <c r="DZ805" s="64">
        <f>($DX805-$DX806)*100</f>
        <v/>
      </c>
      <c r="EA805" s="64">
        <f>($DW805-$D805)*100</f>
        <v/>
      </c>
      <c r="EB805" s="64">
        <f>$Q805-$O805</f>
        <v/>
      </c>
      <c r="EC805" s="67">
        <f>IFERROR($Q805/$P805,"")</f>
        <v/>
      </c>
    </row>
    <row r="806">
      <c r="DG806" s="64">
        <f>($B806-$B807)*100</f>
        <v/>
      </c>
      <c r="DH806" s="64">
        <f>($D806-$D807)*100</f>
        <v/>
      </c>
      <c r="DI806" s="64">
        <f>($E806-$E807)*100</f>
        <v/>
      </c>
      <c r="DJ806" s="64">
        <f>($H806-$H807)*100</f>
        <v/>
      </c>
      <c r="DK806" s="65">
        <f>IFERROR($J806/$J807-1,"")</f>
        <v/>
      </c>
      <c r="DL806" s="64">
        <f>$L806-$L807</f>
        <v/>
      </c>
      <c r="DM806" s="64">
        <f>$K806-$K807</f>
        <v/>
      </c>
      <c r="DN806" s="65">
        <f>IFERROR($N806/$N807-1,"")</f>
        <v/>
      </c>
      <c r="DO806" s="65">
        <f>IFERROR($M806/$M807-1,"")</f>
        <v/>
      </c>
      <c r="DP806" s="65">
        <f>IFERROR($AZ806/$AZ807-1,"")</f>
        <v/>
      </c>
      <c r="DQ806" s="65">
        <f>IFERROR($BA806/$BA807-1,"")</f>
        <v/>
      </c>
      <c r="DR806" s="64">
        <f>$O806-$O807</f>
        <v/>
      </c>
      <c r="DS806" s="64">
        <f>$P806-$P807</f>
        <v/>
      </c>
      <c r="DT806" s="64">
        <f>$Q806-$Q807</f>
        <v/>
      </c>
      <c r="DU806" s="64">
        <f>$S806-$S807</f>
        <v/>
      </c>
      <c r="DV806" s="65">
        <f>IFERROR(AVERAGE($AA807/$AA806-1,$AB807/$AB806-1,$AC807/$AC806-1,$AD807/$AD806-1,$AE807/$AE806-1,$AG807/$AG806-1,$AH807/$AH806-1,$AI807/$AI806-1,$AJ807/$AJ806-1,$AL807/$AL806-1,$AM807/$AM806-1,$AR807/$AR806-1,$AS807/$AS806-1,$AT807/$AT806-1,$AU807/$AU806-1,$AV807/$AV806-1,$AW807/$AW806-1,$AX807/$AX806-1,$AY807/$AY806-1),"")</f>
        <v/>
      </c>
      <c r="DW806" s="66">
        <f>AVERAGE($CB806,$CC806,$CD806,$CE806,$CF806,$CG806,$CH806,$CI806,$CJ806,$CL806,$CM806,$CN806,$CO806,$CP806,$CQ806,$CR806,$CS806,$CT806)</f>
        <v/>
      </c>
      <c r="DX806" s="66">
        <f>AVERAGE($CB806,$CC806,$CM806,$CE806,$CP806)</f>
        <v/>
      </c>
      <c r="DY806" s="64">
        <f>($DW806-$DW807)*100</f>
        <v/>
      </c>
      <c r="DZ806" s="64">
        <f>($DX806-$DX807)*100</f>
        <v/>
      </c>
      <c r="EA806" s="64">
        <f>($DW806-$D806)*100</f>
        <v/>
      </c>
      <c r="EB806" s="64">
        <f>$Q806-$O806</f>
        <v/>
      </c>
      <c r="EC806" s="67">
        <f>IFERROR($Q806/$P806,"")</f>
        <v/>
      </c>
    </row>
    <row r="807">
      <c r="DG807" s="64">
        <f>($B807-$B808)*100</f>
        <v/>
      </c>
      <c r="DH807" s="64">
        <f>($D807-$D808)*100</f>
        <v/>
      </c>
      <c r="DI807" s="64">
        <f>($E807-$E808)*100</f>
        <v/>
      </c>
      <c r="DJ807" s="64">
        <f>($H807-$H808)*100</f>
        <v/>
      </c>
      <c r="DK807" s="65">
        <f>IFERROR($J807/$J808-1,"")</f>
        <v/>
      </c>
      <c r="DL807" s="64">
        <f>$L807-$L808</f>
        <v/>
      </c>
      <c r="DM807" s="64">
        <f>$K807-$K808</f>
        <v/>
      </c>
      <c r="DN807" s="65">
        <f>IFERROR($N807/$N808-1,"")</f>
        <v/>
      </c>
      <c r="DO807" s="65">
        <f>IFERROR($M807/$M808-1,"")</f>
        <v/>
      </c>
      <c r="DP807" s="65">
        <f>IFERROR($AZ807/$AZ808-1,"")</f>
        <v/>
      </c>
      <c r="DQ807" s="65">
        <f>IFERROR($BA807/$BA808-1,"")</f>
        <v/>
      </c>
      <c r="DR807" s="64">
        <f>$O807-$O808</f>
        <v/>
      </c>
      <c r="DS807" s="64">
        <f>$P807-$P808</f>
        <v/>
      </c>
      <c r="DT807" s="64">
        <f>$Q807-$Q808</f>
        <v/>
      </c>
      <c r="DU807" s="64">
        <f>$S807-$S808</f>
        <v/>
      </c>
      <c r="DV807" s="65">
        <f>IFERROR(AVERAGE($AA808/$AA807-1,$AB808/$AB807-1,$AC808/$AC807-1,$AD808/$AD807-1,$AE808/$AE807-1,$AG808/$AG807-1,$AH808/$AH807-1,$AI808/$AI807-1,$AJ808/$AJ807-1,$AL808/$AL807-1,$AM808/$AM807-1,$AR808/$AR807-1,$AS808/$AS807-1,$AT808/$AT807-1,$AU808/$AU807-1,$AV808/$AV807-1,$AW808/$AW807-1,$AX808/$AX807-1,$AY808/$AY807-1),"")</f>
        <v/>
      </c>
      <c r="DW807" s="66">
        <f>AVERAGE($CB807,$CC807,$CD807,$CE807,$CF807,$CG807,$CH807,$CI807,$CJ807,$CL807,$CM807,$CN807,$CO807,$CP807,$CQ807,$CR807,$CS807,$CT807)</f>
        <v/>
      </c>
      <c r="DX807" s="66">
        <f>AVERAGE($CB807,$CC807,$CM807,$CE807,$CP807)</f>
        <v/>
      </c>
      <c r="DY807" s="64">
        <f>($DW807-$DW808)*100</f>
        <v/>
      </c>
      <c r="DZ807" s="64">
        <f>($DX807-$DX808)*100</f>
        <v/>
      </c>
      <c r="EA807" s="64">
        <f>($DW807-$D807)*100</f>
        <v/>
      </c>
      <c r="EB807" s="64">
        <f>$Q807-$O807</f>
        <v/>
      </c>
      <c r="EC807" s="67">
        <f>IFERROR($Q807/$P807,"")</f>
        <v/>
      </c>
    </row>
    <row r="808">
      <c r="DG808" s="64">
        <f>($B808-$B809)*100</f>
        <v/>
      </c>
      <c r="DH808" s="64">
        <f>($D808-$D809)*100</f>
        <v/>
      </c>
      <c r="DI808" s="64">
        <f>($E808-$E809)*100</f>
        <v/>
      </c>
      <c r="DJ808" s="64">
        <f>($H808-$H809)*100</f>
        <v/>
      </c>
      <c r="DK808" s="65">
        <f>IFERROR($J808/$J809-1,"")</f>
        <v/>
      </c>
      <c r="DL808" s="64">
        <f>$L808-$L809</f>
        <v/>
      </c>
      <c r="DM808" s="64">
        <f>$K808-$K809</f>
        <v/>
      </c>
      <c r="DN808" s="65">
        <f>IFERROR($N808/$N809-1,"")</f>
        <v/>
      </c>
      <c r="DO808" s="65">
        <f>IFERROR($M808/$M809-1,"")</f>
        <v/>
      </c>
      <c r="DP808" s="65">
        <f>IFERROR($AZ808/$AZ809-1,"")</f>
        <v/>
      </c>
      <c r="DQ808" s="65">
        <f>IFERROR($BA808/$BA809-1,"")</f>
        <v/>
      </c>
      <c r="DR808" s="64">
        <f>$O808-$O809</f>
        <v/>
      </c>
      <c r="DS808" s="64">
        <f>$P808-$P809</f>
        <v/>
      </c>
      <c r="DT808" s="64">
        <f>$Q808-$Q809</f>
        <v/>
      </c>
      <c r="DU808" s="64">
        <f>$S808-$S809</f>
        <v/>
      </c>
      <c r="DV808" s="65">
        <f>IFERROR(AVERAGE($AA809/$AA808-1,$AB809/$AB808-1,$AC809/$AC808-1,$AD809/$AD808-1,$AE809/$AE808-1,$AG809/$AG808-1,$AH809/$AH808-1,$AI809/$AI808-1,$AJ809/$AJ808-1,$AL809/$AL808-1,$AM809/$AM808-1,$AR809/$AR808-1,$AS809/$AS808-1,$AT809/$AT808-1,$AU809/$AU808-1,$AV809/$AV808-1,$AW809/$AW808-1,$AX809/$AX808-1,$AY809/$AY808-1),"")</f>
        <v/>
      </c>
      <c r="DW808" s="66">
        <f>AVERAGE($CB808,$CC808,$CD808,$CE808,$CF808,$CG808,$CH808,$CI808,$CJ808,$CL808,$CM808,$CN808,$CO808,$CP808,$CQ808,$CR808,$CS808,$CT808)</f>
        <v/>
      </c>
      <c r="DX808" s="66">
        <f>AVERAGE($CB808,$CC808,$CM808,$CE808,$CP808)</f>
        <v/>
      </c>
      <c r="DY808" s="64">
        <f>($DW808-$DW809)*100</f>
        <v/>
      </c>
      <c r="DZ808" s="64">
        <f>($DX808-$DX809)*100</f>
        <v/>
      </c>
      <c r="EA808" s="64">
        <f>($DW808-$D808)*100</f>
        <v/>
      </c>
      <c r="EB808" s="64">
        <f>$Q808-$O808</f>
        <v/>
      </c>
      <c r="EC808" s="67">
        <f>IFERROR($Q808/$P808,"")</f>
        <v/>
      </c>
    </row>
    <row r="809">
      <c r="DG809" s="64">
        <f>($B809-$B810)*100</f>
        <v/>
      </c>
      <c r="DH809" s="64">
        <f>($D809-$D810)*100</f>
        <v/>
      </c>
      <c r="DI809" s="64">
        <f>($E809-$E810)*100</f>
        <v/>
      </c>
      <c r="DJ809" s="64">
        <f>($H809-$H810)*100</f>
        <v/>
      </c>
      <c r="DK809" s="65">
        <f>IFERROR($J809/$J810-1,"")</f>
        <v/>
      </c>
      <c r="DL809" s="64">
        <f>$L809-$L810</f>
        <v/>
      </c>
      <c r="DM809" s="64">
        <f>$K809-$K810</f>
        <v/>
      </c>
      <c r="DN809" s="65">
        <f>IFERROR($N809/$N810-1,"")</f>
        <v/>
      </c>
      <c r="DO809" s="65">
        <f>IFERROR($M809/$M810-1,"")</f>
        <v/>
      </c>
      <c r="DP809" s="65">
        <f>IFERROR($AZ809/$AZ810-1,"")</f>
        <v/>
      </c>
      <c r="DQ809" s="65">
        <f>IFERROR($BA809/$BA810-1,"")</f>
        <v/>
      </c>
      <c r="DR809" s="64">
        <f>$O809-$O810</f>
        <v/>
      </c>
      <c r="DS809" s="64">
        <f>$P809-$P810</f>
        <v/>
      </c>
      <c r="DT809" s="64">
        <f>$Q809-$Q810</f>
        <v/>
      </c>
      <c r="DU809" s="64">
        <f>$S809-$S810</f>
        <v/>
      </c>
      <c r="DV809" s="65">
        <f>IFERROR(AVERAGE($AA810/$AA809-1,$AB810/$AB809-1,$AC810/$AC809-1,$AD810/$AD809-1,$AE810/$AE809-1,$AG810/$AG809-1,$AH810/$AH809-1,$AI810/$AI809-1,$AJ810/$AJ809-1,$AL810/$AL809-1,$AM810/$AM809-1,$AR810/$AR809-1,$AS810/$AS809-1,$AT810/$AT809-1,$AU810/$AU809-1,$AV810/$AV809-1,$AW810/$AW809-1,$AX810/$AX809-1,$AY810/$AY809-1),"")</f>
        <v/>
      </c>
      <c r="DW809" s="66">
        <f>AVERAGE($CB809,$CC809,$CD809,$CE809,$CF809,$CG809,$CH809,$CI809,$CJ809,$CL809,$CM809,$CN809,$CO809,$CP809,$CQ809,$CR809,$CS809,$CT809)</f>
        <v/>
      </c>
      <c r="DX809" s="66">
        <f>AVERAGE($CB809,$CC809,$CM809,$CE809,$CP809)</f>
        <v/>
      </c>
      <c r="DY809" s="64">
        <f>($DW809-$DW810)*100</f>
        <v/>
      </c>
      <c r="DZ809" s="64">
        <f>($DX809-$DX810)*100</f>
        <v/>
      </c>
      <c r="EA809" s="64">
        <f>($DW809-$D809)*100</f>
        <v/>
      </c>
      <c r="EB809" s="64">
        <f>$Q809-$O809</f>
        <v/>
      </c>
      <c r="EC809" s="67">
        <f>IFERROR($Q809/$P809,"")</f>
        <v/>
      </c>
    </row>
    <row r="810">
      <c r="DG810" s="64">
        <f>($B810-$B811)*100</f>
        <v/>
      </c>
      <c r="DH810" s="64">
        <f>($D810-$D811)*100</f>
        <v/>
      </c>
      <c r="DI810" s="64">
        <f>($E810-$E811)*100</f>
        <v/>
      </c>
      <c r="DJ810" s="64">
        <f>($H810-$H811)*100</f>
        <v/>
      </c>
      <c r="DK810" s="65">
        <f>IFERROR($J810/$J811-1,"")</f>
        <v/>
      </c>
      <c r="DL810" s="64">
        <f>$L810-$L811</f>
        <v/>
      </c>
      <c r="DM810" s="64">
        <f>$K810-$K811</f>
        <v/>
      </c>
      <c r="DN810" s="65">
        <f>IFERROR($N810/$N811-1,"")</f>
        <v/>
      </c>
      <c r="DO810" s="65">
        <f>IFERROR($M810/$M811-1,"")</f>
        <v/>
      </c>
      <c r="DP810" s="65">
        <f>IFERROR($AZ810/$AZ811-1,"")</f>
        <v/>
      </c>
      <c r="DQ810" s="65">
        <f>IFERROR($BA810/$BA811-1,"")</f>
        <v/>
      </c>
      <c r="DR810" s="64">
        <f>$O810-$O811</f>
        <v/>
      </c>
      <c r="DS810" s="64">
        <f>$P810-$P811</f>
        <v/>
      </c>
      <c r="DT810" s="64">
        <f>$Q810-$Q811</f>
        <v/>
      </c>
      <c r="DU810" s="64">
        <f>$S810-$S811</f>
        <v/>
      </c>
      <c r="DV810" s="65">
        <f>IFERROR(AVERAGE($AA811/$AA810-1,$AB811/$AB810-1,$AC811/$AC810-1,$AD811/$AD810-1,$AE811/$AE810-1,$AG811/$AG810-1,$AH811/$AH810-1,$AI811/$AI810-1,$AJ811/$AJ810-1,$AL811/$AL810-1,$AM811/$AM810-1,$AR811/$AR810-1,$AS811/$AS810-1,$AT811/$AT810-1,$AU811/$AU810-1,$AV811/$AV810-1,$AW811/$AW810-1,$AX811/$AX810-1,$AY811/$AY810-1),"")</f>
        <v/>
      </c>
      <c r="DW810" s="66">
        <f>AVERAGE($CB810,$CC810,$CD810,$CE810,$CF810,$CG810,$CH810,$CI810,$CJ810,$CL810,$CM810,$CN810,$CO810,$CP810,$CQ810,$CR810,$CS810,$CT810)</f>
        <v/>
      </c>
      <c r="DX810" s="66">
        <f>AVERAGE($CB810,$CC810,$CM810,$CE810,$CP810)</f>
        <v/>
      </c>
      <c r="DY810" s="64">
        <f>($DW810-$DW811)*100</f>
        <v/>
      </c>
      <c r="DZ810" s="64">
        <f>($DX810-$DX811)*100</f>
        <v/>
      </c>
      <c r="EA810" s="64">
        <f>($DW810-$D810)*100</f>
        <v/>
      </c>
      <c r="EB810" s="64">
        <f>$Q810-$O810</f>
        <v/>
      </c>
      <c r="EC810" s="67">
        <f>IFERROR($Q810/$P810,"")</f>
        <v/>
      </c>
    </row>
    <row r="811">
      <c r="DG811" s="64">
        <f>($B811-$B812)*100</f>
        <v/>
      </c>
      <c r="DH811" s="64">
        <f>($D811-$D812)*100</f>
        <v/>
      </c>
      <c r="DI811" s="64">
        <f>($E811-$E812)*100</f>
        <v/>
      </c>
      <c r="DJ811" s="64">
        <f>($H811-$H812)*100</f>
        <v/>
      </c>
      <c r="DK811" s="65">
        <f>IFERROR($J811/$J812-1,"")</f>
        <v/>
      </c>
      <c r="DL811" s="64">
        <f>$L811-$L812</f>
        <v/>
      </c>
      <c r="DM811" s="64">
        <f>$K811-$K812</f>
        <v/>
      </c>
      <c r="DN811" s="65">
        <f>IFERROR($N811/$N812-1,"")</f>
        <v/>
      </c>
      <c r="DO811" s="65">
        <f>IFERROR($M811/$M812-1,"")</f>
        <v/>
      </c>
      <c r="DP811" s="65">
        <f>IFERROR($AZ811/$AZ812-1,"")</f>
        <v/>
      </c>
      <c r="DQ811" s="65">
        <f>IFERROR($BA811/$BA812-1,"")</f>
        <v/>
      </c>
      <c r="DR811" s="64">
        <f>$O811-$O812</f>
        <v/>
      </c>
      <c r="DS811" s="64">
        <f>$P811-$P812</f>
        <v/>
      </c>
      <c r="DT811" s="64">
        <f>$Q811-$Q812</f>
        <v/>
      </c>
      <c r="DU811" s="64">
        <f>$S811-$S812</f>
        <v/>
      </c>
      <c r="DV811" s="65">
        <f>IFERROR(AVERAGE($AA812/$AA811-1,$AB812/$AB811-1,$AC812/$AC811-1,$AD812/$AD811-1,$AE812/$AE811-1,$AG812/$AG811-1,$AH812/$AH811-1,$AI812/$AI811-1,$AJ812/$AJ811-1,$AL812/$AL811-1,$AM812/$AM811-1,$AR812/$AR811-1,$AS812/$AS811-1,$AT812/$AT811-1,$AU812/$AU811-1,$AV812/$AV811-1,$AW812/$AW811-1,$AX812/$AX811-1,$AY812/$AY811-1),"")</f>
        <v/>
      </c>
      <c r="DW811" s="66">
        <f>AVERAGE($CB811,$CC811,$CD811,$CE811,$CF811,$CG811,$CH811,$CI811,$CJ811,$CL811,$CM811,$CN811,$CO811,$CP811,$CQ811,$CR811,$CS811,$CT811)</f>
        <v/>
      </c>
      <c r="DX811" s="66">
        <f>AVERAGE($CB811,$CC811,$CM811,$CE811,$CP811)</f>
        <v/>
      </c>
      <c r="DY811" s="64">
        <f>($DW811-$DW812)*100</f>
        <v/>
      </c>
      <c r="DZ811" s="64">
        <f>($DX811-$DX812)*100</f>
        <v/>
      </c>
      <c r="EA811" s="64">
        <f>($DW811-$D811)*100</f>
        <v/>
      </c>
      <c r="EB811" s="64">
        <f>$Q811-$O811</f>
        <v/>
      </c>
      <c r="EC811" s="67">
        <f>IFERROR($Q811/$P811,"")</f>
        <v/>
      </c>
    </row>
    <row r="812">
      <c r="DG812" s="64">
        <f>($B812-$B813)*100</f>
        <v/>
      </c>
      <c r="DH812" s="64">
        <f>($D812-$D813)*100</f>
        <v/>
      </c>
      <c r="DI812" s="64">
        <f>($E812-$E813)*100</f>
        <v/>
      </c>
      <c r="DJ812" s="64">
        <f>($H812-$H813)*100</f>
        <v/>
      </c>
      <c r="DK812" s="65">
        <f>IFERROR($J812/$J813-1,"")</f>
        <v/>
      </c>
      <c r="DL812" s="64">
        <f>$L812-$L813</f>
        <v/>
      </c>
      <c r="DM812" s="64">
        <f>$K812-$K813</f>
        <v/>
      </c>
      <c r="DN812" s="65">
        <f>IFERROR($N812/$N813-1,"")</f>
        <v/>
      </c>
      <c r="DO812" s="65">
        <f>IFERROR($M812/$M813-1,"")</f>
        <v/>
      </c>
      <c r="DP812" s="65">
        <f>IFERROR($AZ812/$AZ813-1,"")</f>
        <v/>
      </c>
      <c r="DQ812" s="65">
        <f>IFERROR($BA812/$BA813-1,"")</f>
        <v/>
      </c>
      <c r="DR812" s="64">
        <f>$O812-$O813</f>
        <v/>
      </c>
      <c r="DS812" s="64">
        <f>$P812-$P813</f>
        <v/>
      </c>
      <c r="DT812" s="64">
        <f>$Q812-$Q813</f>
        <v/>
      </c>
      <c r="DU812" s="64">
        <f>$S812-$S813</f>
        <v/>
      </c>
      <c r="DV812" s="65">
        <f>IFERROR(AVERAGE($AA813/$AA812-1,$AB813/$AB812-1,$AC813/$AC812-1,$AD813/$AD812-1,$AE813/$AE812-1,$AG813/$AG812-1,$AH813/$AH812-1,$AI813/$AI812-1,$AJ813/$AJ812-1,$AL813/$AL812-1,$AM813/$AM812-1,$AR813/$AR812-1,$AS813/$AS812-1,$AT813/$AT812-1,$AU813/$AU812-1,$AV813/$AV812-1,$AW813/$AW812-1,$AX813/$AX812-1,$AY813/$AY812-1),"")</f>
        <v/>
      </c>
      <c r="DW812" s="66">
        <f>AVERAGE($CB812,$CC812,$CD812,$CE812,$CF812,$CG812,$CH812,$CI812,$CJ812,$CL812,$CM812,$CN812,$CO812,$CP812,$CQ812,$CR812,$CS812,$CT812)</f>
        <v/>
      </c>
      <c r="DX812" s="66">
        <f>AVERAGE($CB812,$CC812,$CM812,$CE812,$CP812)</f>
        <v/>
      </c>
      <c r="DY812" s="64">
        <f>($DW812-$DW813)*100</f>
        <v/>
      </c>
      <c r="DZ812" s="64">
        <f>($DX812-$DX813)*100</f>
        <v/>
      </c>
      <c r="EA812" s="64">
        <f>($DW812-$D812)*100</f>
        <v/>
      </c>
      <c r="EB812" s="64">
        <f>$Q812-$O812</f>
        <v/>
      </c>
      <c r="EC812" s="67">
        <f>IFERROR($Q812/$P812,"")</f>
        <v/>
      </c>
    </row>
    <row r="813">
      <c r="DG813" s="64">
        <f>($B813-$B814)*100</f>
        <v/>
      </c>
      <c r="DH813" s="64">
        <f>($D813-$D814)*100</f>
        <v/>
      </c>
      <c r="DI813" s="64">
        <f>($E813-$E814)*100</f>
        <v/>
      </c>
      <c r="DJ813" s="64">
        <f>($H813-$H814)*100</f>
        <v/>
      </c>
      <c r="DK813" s="65">
        <f>IFERROR($J813/$J814-1,"")</f>
        <v/>
      </c>
      <c r="DL813" s="64">
        <f>$L813-$L814</f>
        <v/>
      </c>
      <c r="DM813" s="64">
        <f>$K813-$K814</f>
        <v/>
      </c>
      <c r="DN813" s="65">
        <f>IFERROR($N813/$N814-1,"")</f>
        <v/>
      </c>
      <c r="DO813" s="65">
        <f>IFERROR($M813/$M814-1,"")</f>
        <v/>
      </c>
      <c r="DP813" s="65">
        <f>IFERROR($AZ813/$AZ814-1,"")</f>
        <v/>
      </c>
      <c r="DQ813" s="65">
        <f>IFERROR($BA813/$BA814-1,"")</f>
        <v/>
      </c>
      <c r="DR813" s="64">
        <f>$O813-$O814</f>
        <v/>
      </c>
      <c r="DS813" s="64">
        <f>$P813-$P814</f>
        <v/>
      </c>
      <c r="DT813" s="64">
        <f>$Q813-$Q814</f>
        <v/>
      </c>
      <c r="DU813" s="64">
        <f>$S813-$S814</f>
        <v/>
      </c>
      <c r="DV813" s="65">
        <f>IFERROR(AVERAGE($AA814/$AA813-1,$AB814/$AB813-1,$AC814/$AC813-1,$AD814/$AD813-1,$AE814/$AE813-1,$AG814/$AG813-1,$AH814/$AH813-1,$AI814/$AI813-1,$AJ814/$AJ813-1,$AL814/$AL813-1,$AM814/$AM813-1,$AR814/$AR813-1,$AS814/$AS813-1,$AT814/$AT813-1,$AU814/$AU813-1,$AV814/$AV813-1,$AW814/$AW813-1,$AX814/$AX813-1,$AY814/$AY813-1),"")</f>
        <v/>
      </c>
      <c r="DW813" s="66">
        <f>AVERAGE($CB813,$CC813,$CD813,$CE813,$CF813,$CG813,$CH813,$CI813,$CJ813,$CL813,$CM813,$CN813,$CO813,$CP813,$CQ813,$CR813,$CS813,$CT813)</f>
        <v/>
      </c>
      <c r="DX813" s="66">
        <f>AVERAGE($CB813,$CC813,$CM813,$CE813,$CP813)</f>
        <v/>
      </c>
      <c r="DY813" s="64">
        <f>($DW813-$DW814)*100</f>
        <v/>
      </c>
      <c r="DZ813" s="64">
        <f>($DX813-$DX814)*100</f>
        <v/>
      </c>
      <c r="EA813" s="64">
        <f>($DW813-$D813)*100</f>
        <v/>
      </c>
      <c r="EB813" s="64">
        <f>$Q813-$O813</f>
        <v/>
      </c>
      <c r="EC813" s="67">
        <f>IFERROR($Q813/$P813,"")</f>
        <v/>
      </c>
    </row>
    <row r="814">
      <c r="DG814" s="64">
        <f>($B814-$B815)*100</f>
        <v/>
      </c>
      <c r="DH814" s="64">
        <f>($D814-$D815)*100</f>
        <v/>
      </c>
      <c r="DI814" s="64">
        <f>($E814-$E815)*100</f>
        <v/>
      </c>
      <c r="DJ814" s="64">
        <f>($H814-$H815)*100</f>
        <v/>
      </c>
      <c r="DK814" s="65">
        <f>IFERROR($J814/$J815-1,"")</f>
        <v/>
      </c>
      <c r="DL814" s="64">
        <f>$L814-$L815</f>
        <v/>
      </c>
      <c r="DM814" s="64">
        <f>$K814-$K815</f>
        <v/>
      </c>
      <c r="DN814" s="65">
        <f>IFERROR($N814/$N815-1,"")</f>
        <v/>
      </c>
      <c r="DO814" s="65">
        <f>IFERROR($M814/$M815-1,"")</f>
        <v/>
      </c>
      <c r="DP814" s="65">
        <f>IFERROR($AZ814/$AZ815-1,"")</f>
        <v/>
      </c>
      <c r="DQ814" s="65">
        <f>IFERROR($BA814/$BA815-1,"")</f>
        <v/>
      </c>
      <c r="DR814" s="64">
        <f>$O814-$O815</f>
        <v/>
      </c>
      <c r="DS814" s="64">
        <f>$P814-$P815</f>
        <v/>
      </c>
      <c r="DT814" s="64">
        <f>$Q814-$Q815</f>
        <v/>
      </c>
      <c r="DU814" s="64">
        <f>$S814-$S815</f>
        <v/>
      </c>
      <c r="DV814" s="65">
        <f>IFERROR(AVERAGE($AA815/$AA814-1,$AB815/$AB814-1,$AC815/$AC814-1,$AD815/$AD814-1,$AE815/$AE814-1,$AG815/$AG814-1,$AH815/$AH814-1,$AI815/$AI814-1,$AJ815/$AJ814-1,$AL815/$AL814-1,$AM815/$AM814-1,$AR815/$AR814-1,$AS815/$AS814-1,$AT815/$AT814-1,$AU815/$AU814-1,$AV815/$AV814-1,$AW815/$AW814-1,$AX815/$AX814-1,$AY815/$AY814-1),"")</f>
        <v/>
      </c>
      <c r="DW814" s="66">
        <f>AVERAGE($CB814,$CC814,$CD814,$CE814,$CF814,$CG814,$CH814,$CI814,$CJ814,$CL814,$CM814,$CN814,$CO814,$CP814,$CQ814,$CR814,$CS814,$CT814)</f>
        <v/>
      </c>
      <c r="DX814" s="66">
        <f>AVERAGE($CB814,$CC814,$CM814,$CE814,$CP814)</f>
        <v/>
      </c>
      <c r="DY814" s="64">
        <f>($DW814-$DW815)*100</f>
        <v/>
      </c>
      <c r="DZ814" s="64">
        <f>($DX814-$DX815)*100</f>
        <v/>
      </c>
      <c r="EA814" s="64">
        <f>($DW814-$D814)*100</f>
        <v/>
      </c>
      <c r="EB814" s="64">
        <f>$Q814-$O814</f>
        <v/>
      </c>
      <c r="EC814" s="67">
        <f>IFERROR($Q814/$P814,"")</f>
        <v/>
      </c>
    </row>
    <row r="815">
      <c r="DG815" s="64">
        <f>($B815-$B816)*100</f>
        <v/>
      </c>
      <c r="DH815" s="64">
        <f>($D815-$D816)*100</f>
        <v/>
      </c>
      <c r="DI815" s="64">
        <f>($E815-$E816)*100</f>
        <v/>
      </c>
      <c r="DJ815" s="64">
        <f>($H815-$H816)*100</f>
        <v/>
      </c>
      <c r="DK815" s="65">
        <f>IFERROR($J815/$J816-1,"")</f>
        <v/>
      </c>
      <c r="DL815" s="64">
        <f>$L815-$L816</f>
        <v/>
      </c>
      <c r="DM815" s="64">
        <f>$K815-$K816</f>
        <v/>
      </c>
      <c r="DN815" s="65">
        <f>IFERROR($N815/$N816-1,"")</f>
        <v/>
      </c>
      <c r="DO815" s="65">
        <f>IFERROR($M815/$M816-1,"")</f>
        <v/>
      </c>
      <c r="DP815" s="65">
        <f>IFERROR($AZ815/$AZ816-1,"")</f>
        <v/>
      </c>
      <c r="DQ815" s="65">
        <f>IFERROR($BA815/$BA816-1,"")</f>
        <v/>
      </c>
      <c r="DR815" s="64">
        <f>$O815-$O816</f>
        <v/>
      </c>
      <c r="DS815" s="64">
        <f>$P815-$P816</f>
        <v/>
      </c>
      <c r="DT815" s="64">
        <f>$Q815-$Q816</f>
        <v/>
      </c>
      <c r="DU815" s="64">
        <f>$S815-$S816</f>
        <v/>
      </c>
      <c r="DV815" s="65">
        <f>IFERROR(AVERAGE($AA816/$AA815-1,$AB816/$AB815-1,$AC816/$AC815-1,$AD816/$AD815-1,$AE816/$AE815-1,$AG816/$AG815-1,$AH816/$AH815-1,$AI816/$AI815-1,$AJ816/$AJ815-1,$AL816/$AL815-1,$AM816/$AM815-1,$AR816/$AR815-1,$AS816/$AS815-1,$AT816/$AT815-1,$AU816/$AU815-1,$AV816/$AV815-1,$AW816/$AW815-1,$AX816/$AX815-1,$AY816/$AY815-1),"")</f>
        <v/>
      </c>
      <c r="DW815" s="66">
        <f>AVERAGE($CB815,$CC815,$CD815,$CE815,$CF815,$CG815,$CH815,$CI815,$CJ815,$CL815,$CM815,$CN815,$CO815,$CP815,$CQ815,$CR815,$CS815,$CT815)</f>
        <v/>
      </c>
      <c r="DX815" s="66">
        <f>AVERAGE($CB815,$CC815,$CM815,$CE815,$CP815)</f>
        <v/>
      </c>
      <c r="DY815" s="64">
        <f>($DW815-$DW816)*100</f>
        <v/>
      </c>
      <c r="DZ815" s="64">
        <f>($DX815-$DX816)*100</f>
        <v/>
      </c>
      <c r="EA815" s="64">
        <f>($DW815-$D815)*100</f>
        <v/>
      </c>
      <c r="EB815" s="64">
        <f>$Q815-$O815</f>
        <v/>
      </c>
      <c r="EC815" s="67">
        <f>IFERROR($Q815/$P815,"")</f>
        <v/>
      </c>
    </row>
    <row r="816">
      <c r="DG816" s="64">
        <f>($B816-$B817)*100</f>
        <v/>
      </c>
      <c r="DH816" s="64">
        <f>($D816-$D817)*100</f>
        <v/>
      </c>
      <c r="DI816" s="64">
        <f>($E816-$E817)*100</f>
        <v/>
      </c>
      <c r="DJ816" s="64">
        <f>($H816-$H817)*100</f>
        <v/>
      </c>
      <c r="DK816" s="65">
        <f>IFERROR($J816/$J817-1,"")</f>
        <v/>
      </c>
      <c r="DL816" s="64">
        <f>$L816-$L817</f>
        <v/>
      </c>
      <c r="DM816" s="64">
        <f>$K816-$K817</f>
        <v/>
      </c>
      <c r="DN816" s="65">
        <f>IFERROR($N816/$N817-1,"")</f>
        <v/>
      </c>
      <c r="DO816" s="65">
        <f>IFERROR($M816/$M817-1,"")</f>
        <v/>
      </c>
      <c r="DP816" s="65">
        <f>IFERROR($AZ816/$AZ817-1,"")</f>
        <v/>
      </c>
      <c r="DQ816" s="65">
        <f>IFERROR($BA816/$BA817-1,"")</f>
        <v/>
      </c>
      <c r="DR816" s="64">
        <f>$O816-$O817</f>
        <v/>
      </c>
      <c r="DS816" s="64">
        <f>$P816-$P817</f>
        <v/>
      </c>
      <c r="DT816" s="64">
        <f>$Q816-$Q817</f>
        <v/>
      </c>
      <c r="DU816" s="64">
        <f>$S816-$S817</f>
        <v/>
      </c>
      <c r="DV816" s="65">
        <f>IFERROR(AVERAGE($AA817/$AA816-1,$AB817/$AB816-1,$AC817/$AC816-1,$AD817/$AD816-1,$AE817/$AE816-1,$AG817/$AG816-1,$AH817/$AH816-1,$AI817/$AI816-1,$AJ817/$AJ816-1,$AL817/$AL816-1,$AM817/$AM816-1,$AR817/$AR816-1,$AS817/$AS816-1,$AT817/$AT816-1,$AU817/$AU816-1,$AV817/$AV816-1,$AW817/$AW816-1,$AX817/$AX816-1,$AY817/$AY816-1),"")</f>
        <v/>
      </c>
      <c r="DW816" s="66">
        <f>AVERAGE($CB816,$CC816,$CD816,$CE816,$CF816,$CG816,$CH816,$CI816,$CJ816,$CL816,$CM816,$CN816,$CO816,$CP816,$CQ816,$CR816,$CS816,$CT816)</f>
        <v/>
      </c>
      <c r="DX816" s="66">
        <f>AVERAGE($CB816,$CC816,$CM816,$CE816,$CP816)</f>
        <v/>
      </c>
      <c r="DY816" s="64">
        <f>($DW816-$DW817)*100</f>
        <v/>
      </c>
      <c r="DZ816" s="64">
        <f>($DX816-$DX817)*100</f>
        <v/>
      </c>
      <c r="EA816" s="64">
        <f>($DW816-$D816)*100</f>
        <v/>
      </c>
      <c r="EB816" s="64">
        <f>$Q816-$O816</f>
        <v/>
      </c>
      <c r="EC816" s="67">
        <f>IFERROR($Q816/$P816,"")</f>
        <v/>
      </c>
    </row>
    <row r="817">
      <c r="DG817" s="64">
        <f>($B817-$B818)*100</f>
        <v/>
      </c>
      <c r="DH817" s="64">
        <f>($D817-$D818)*100</f>
        <v/>
      </c>
      <c r="DI817" s="64">
        <f>($E817-$E818)*100</f>
        <v/>
      </c>
      <c r="DJ817" s="64">
        <f>($H817-$H818)*100</f>
        <v/>
      </c>
      <c r="DK817" s="65">
        <f>IFERROR($J817/$J818-1,"")</f>
        <v/>
      </c>
      <c r="DL817" s="64">
        <f>$L817-$L818</f>
        <v/>
      </c>
      <c r="DM817" s="64">
        <f>$K817-$K818</f>
        <v/>
      </c>
      <c r="DN817" s="65">
        <f>IFERROR($N817/$N818-1,"")</f>
        <v/>
      </c>
      <c r="DO817" s="65">
        <f>IFERROR($M817/$M818-1,"")</f>
        <v/>
      </c>
      <c r="DP817" s="65">
        <f>IFERROR($AZ817/$AZ818-1,"")</f>
        <v/>
      </c>
      <c r="DQ817" s="65">
        <f>IFERROR($BA817/$BA818-1,"")</f>
        <v/>
      </c>
      <c r="DR817" s="64">
        <f>$O817-$O818</f>
        <v/>
      </c>
      <c r="DS817" s="64">
        <f>$P817-$P818</f>
        <v/>
      </c>
      <c r="DT817" s="64">
        <f>$Q817-$Q818</f>
        <v/>
      </c>
      <c r="DU817" s="64">
        <f>$S817-$S818</f>
        <v/>
      </c>
      <c r="DV817" s="65">
        <f>IFERROR(AVERAGE($AA818/$AA817-1,$AB818/$AB817-1,$AC818/$AC817-1,$AD818/$AD817-1,$AE818/$AE817-1,$AG818/$AG817-1,$AH818/$AH817-1,$AI818/$AI817-1,$AJ818/$AJ817-1,$AL818/$AL817-1,$AM818/$AM817-1,$AR818/$AR817-1,$AS818/$AS817-1,$AT818/$AT817-1,$AU818/$AU817-1,$AV818/$AV817-1,$AW818/$AW817-1,$AX818/$AX817-1,$AY818/$AY817-1),"")</f>
        <v/>
      </c>
      <c r="DW817" s="66">
        <f>AVERAGE($CB817,$CC817,$CD817,$CE817,$CF817,$CG817,$CH817,$CI817,$CJ817,$CL817,$CM817,$CN817,$CO817,$CP817,$CQ817,$CR817,$CS817,$CT817)</f>
        <v/>
      </c>
      <c r="DX817" s="66">
        <f>AVERAGE($CB817,$CC817,$CM817,$CE817,$CP817)</f>
        <v/>
      </c>
      <c r="DY817" s="64">
        <f>($DW817-$DW818)*100</f>
        <v/>
      </c>
      <c r="DZ817" s="64">
        <f>($DX817-$DX818)*100</f>
        <v/>
      </c>
      <c r="EA817" s="64">
        <f>($DW817-$D817)*100</f>
        <v/>
      </c>
      <c r="EB817" s="64">
        <f>$Q817-$O817</f>
        <v/>
      </c>
      <c r="EC817" s="67">
        <f>IFERROR($Q817/$P817,"")</f>
        <v/>
      </c>
    </row>
    <row r="818">
      <c r="DG818" s="64">
        <f>($B818-$B819)*100</f>
        <v/>
      </c>
      <c r="DH818" s="64">
        <f>($D818-$D819)*100</f>
        <v/>
      </c>
      <c r="DI818" s="64">
        <f>($E818-$E819)*100</f>
        <v/>
      </c>
      <c r="DJ818" s="64">
        <f>($H818-$H819)*100</f>
        <v/>
      </c>
      <c r="DK818" s="65">
        <f>IFERROR($J818/$J819-1,"")</f>
        <v/>
      </c>
      <c r="DL818" s="64">
        <f>$L818-$L819</f>
        <v/>
      </c>
      <c r="DM818" s="64">
        <f>$K818-$K819</f>
        <v/>
      </c>
      <c r="DN818" s="65">
        <f>IFERROR($N818/$N819-1,"")</f>
        <v/>
      </c>
      <c r="DO818" s="65">
        <f>IFERROR($M818/$M819-1,"")</f>
        <v/>
      </c>
      <c r="DP818" s="65">
        <f>IFERROR($AZ818/$AZ819-1,"")</f>
        <v/>
      </c>
      <c r="DQ818" s="65">
        <f>IFERROR($BA818/$BA819-1,"")</f>
        <v/>
      </c>
      <c r="DR818" s="64">
        <f>$O818-$O819</f>
        <v/>
      </c>
      <c r="DS818" s="64">
        <f>$P818-$P819</f>
        <v/>
      </c>
      <c r="DT818" s="64">
        <f>$Q818-$Q819</f>
        <v/>
      </c>
      <c r="DU818" s="64">
        <f>$S818-$S819</f>
        <v/>
      </c>
      <c r="DV818" s="65">
        <f>IFERROR(AVERAGE($AA819/$AA818-1,$AB819/$AB818-1,$AC819/$AC818-1,$AD819/$AD818-1,$AE819/$AE818-1,$AG819/$AG818-1,$AH819/$AH818-1,$AI819/$AI818-1,$AJ819/$AJ818-1,$AL819/$AL818-1,$AM819/$AM818-1,$AR819/$AR818-1,$AS819/$AS818-1,$AT819/$AT818-1,$AU819/$AU818-1,$AV819/$AV818-1,$AW819/$AW818-1,$AX819/$AX818-1,$AY819/$AY818-1),"")</f>
        <v/>
      </c>
      <c r="DW818" s="66">
        <f>AVERAGE($CB818,$CC818,$CD818,$CE818,$CF818,$CG818,$CH818,$CI818,$CJ818,$CL818,$CM818,$CN818,$CO818,$CP818,$CQ818,$CR818,$CS818,$CT818)</f>
        <v/>
      </c>
      <c r="DX818" s="66">
        <f>AVERAGE($CB818,$CC818,$CM818,$CE818,$CP818)</f>
        <v/>
      </c>
      <c r="DY818" s="64">
        <f>($DW818-$DW819)*100</f>
        <v/>
      </c>
      <c r="DZ818" s="64">
        <f>($DX818-$DX819)*100</f>
        <v/>
      </c>
      <c r="EA818" s="64">
        <f>($DW818-$D818)*100</f>
        <v/>
      </c>
      <c r="EB818" s="64">
        <f>$Q818-$O818</f>
        <v/>
      </c>
      <c r="EC818" s="67">
        <f>IFERROR($Q818/$P818,"")</f>
        <v/>
      </c>
    </row>
    <row r="819">
      <c r="DG819" s="64">
        <f>($B819-$B820)*100</f>
        <v/>
      </c>
      <c r="DH819" s="64">
        <f>($D819-$D820)*100</f>
        <v/>
      </c>
      <c r="DI819" s="64">
        <f>($E819-$E820)*100</f>
        <v/>
      </c>
      <c r="DJ819" s="64">
        <f>($H819-$H820)*100</f>
        <v/>
      </c>
      <c r="DK819" s="65">
        <f>IFERROR($J819/$J820-1,"")</f>
        <v/>
      </c>
      <c r="DL819" s="64">
        <f>$L819-$L820</f>
        <v/>
      </c>
      <c r="DM819" s="64">
        <f>$K819-$K820</f>
        <v/>
      </c>
      <c r="DN819" s="65">
        <f>IFERROR($N819/$N820-1,"")</f>
        <v/>
      </c>
      <c r="DO819" s="65">
        <f>IFERROR($M819/$M820-1,"")</f>
        <v/>
      </c>
      <c r="DP819" s="65">
        <f>IFERROR($AZ819/$AZ820-1,"")</f>
        <v/>
      </c>
      <c r="DQ819" s="65">
        <f>IFERROR($BA819/$BA820-1,"")</f>
        <v/>
      </c>
      <c r="DR819" s="64">
        <f>$O819-$O820</f>
        <v/>
      </c>
      <c r="DS819" s="64">
        <f>$P819-$P820</f>
        <v/>
      </c>
      <c r="DT819" s="64">
        <f>$Q819-$Q820</f>
        <v/>
      </c>
      <c r="DU819" s="64">
        <f>$S819-$S820</f>
        <v/>
      </c>
      <c r="DV819" s="65">
        <f>IFERROR(AVERAGE($AA820/$AA819-1,$AB820/$AB819-1,$AC820/$AC819-1,$AD820/$AD819-1,$AE820/$AE819-1,$AG820/$AG819-1,$AH820/$AH819-1,$AI820/$AI819-1,$AJ820/$AJ819-1,$AL820/$AL819-1,$AM820/$AM819-1,$AR820/$AR819-1,$AS820/$AS819-1,$AT820/$AT819-1,$AU820/$AU819-1,$AV820/$AV819-1,$AW820/$AW819-1,$AX820/$AX819-1,$AY820/$AY819-1),"")</f>
        <v/>
      </c>
      <c r="DW819" s="66">
        <f>AVERAGE($CB819,$CC819,$CD819,$CE819,$CF819,$CG819,$CH819,$CI819,$CJ819,$CL819,$CM819,$CN819,$CO819,$CP819,$CQ819,$CR819,$CS819,$CT819)</f>
        <v/>
      </c>
      <c r="DX819" s="66">
        <f>AVERAGE($CB819,$CC819,$CM819,$CE819,$CP819)</f>
        <v/>
      </c>
      <c r="DY819" s="64">
        <f>($DW819-$DW820)*100</f>
        <v/>
      </c>
      <c r="DZ819" s="64">
        <f>($DX819-$DX820)*100</f>
        <v/>
      </c>
      <c r="EA819" s="64">
        <f>($DW819-$D819)*100</f>
        <v/>
      </c>
      <c r="EB819" s="64">
        <f>$Q819-$O819</f>
        <v/>
      </c>
      <c r="EC819" s="67">
        <f>IFERROR($Q819/$P819,"")</f>
        <v/>
      </c>
    </row>
    <row r="820">
      <c r="DG820" s="64">
        <f>($B820-$B821)*100</f>
        <v/>
      </c>
      <c r="DH820" s="64">
        <f>($D820-$D821)*100</f>
        <v/>
      </c>
      <c r="DI820" s="64">
        <f>($E820-$E821)*100</f>
        <v/>
      </c>
      <c r="DJ820" s="64">
        <f>($H820-$H821)*100</f>
        <v/>
      </c>
      <c r="DK820" s="65">
        <f>IFERROR($J820/$J821-1,"")</f>
        <v/>
      </c>
      <c r="DL820" s="64">
        <f>$L820-$L821</f>
        <v/>
      </c>
      <c r="DM820" s="64">
        <f>$K820-$K821</f>
        <v/>
      </c>
      <c r="DN820" s="65">
        <f>IFERROR($N820/$N821-1,"")</f>
        <v/>
      </c>
      <c r="DO820" s="65">
        <f>IFERROR($M820/$M821-1,"")</f>
        <v/>
      </c>
      <c r="DP820" s="65">
        <f>IFERROR($AZ820/$AZ821-1,"")</f>
        <v/>
      </c>
      <c r="DQ820" s="65">
        <f>IFERROR($BA820/$BA821-1,"")</f>
        <v/>
      </c>
      <c r="DR820" s="64">
        <f>$O820-$O821</f>
        <v/>
      </c>
      <c r="DS820" s="64">
        <f>$P820-$P821</f>
        <v/>
      </c>
      <c r="DT820" s="64">
        <f>$Q820-$Q821</f>
        <v/>
      </c>
      <c r="DU820" s="64">
        <f>$S820-$S821</f>
        <v/>
      </c>
      <c r="DV820" s="65">
        <f>IFERROR(AVERAGE($AA821/$AA820-1,$AB821/$AB820-1,$AC821/$AC820-1,$AD821/$AD820-1,$AE821/$AE820-1,$AG821/$AG820-1,$AH821/$AH820-1,$AI821/$AI820-1,$AJ821/$AJ820-1,$AL821/$AL820-1,$AM821/$AM820-1,$AR821/$AR820-1,$AS821/$AS820-1,$AT821/$AT820-1,$AU821/$AU820-1,$AV821/$AV820-1,$AW821/$AW820-1,$AX821/$AX820-1,$AY821/$AY820-1),"")</f>
        <v/>
      </c>
      <c r="DW820" s="66">
        <f>AVERAGE($CB820,$CC820,$CD820,$CE820,$CF820,$CG820,$CH820,$CI820,$CJ820,$CL820,$CM820,$CN820,$CO820,$CP820,$CQ820,$CR820,$CS820,$CT820)</f>
        <v/>
      </c>
      <c r="DX820" s="66">
        <f>AVERAGE($CB820,$CC820,$CM820,$CE820,$CP820)</f>
        <v/>
      </c>
      <c r="DY820" s="64">
        <f>($DW820-$DW821)*100</f>
        <v/>
      </c>
      <c r="DZ820" s="64">
        <f>($DX820-$DX821)*100</f>
        <v/>
      </c>
      <c r="EA820" s="64">
        <f>($DW820-$D820)*100</f>
        <v/>
      </c>
      <c r="EB820" s="64">
        <f>$Q820-$O820</f>
        <v/>
      </c>
      <c r="EC820" s="67">
        <f>IFERROR($Q820/$P820,"")</f>
        <v/>
      </c>
    </row>
    <row r="821">
      <c r="DG821" s="64">
        <f>($B821-$B822)*100</f>
        <v/>
      </c>
      <c r="DH821" s="64">
        <f>($D821-$D822)*100</f>
        <v/>
      </c>
      <c r="DI821" s="64">
        <f>($E821-$E822)*100</f>
        <v/>
      </c>
      <c r="DJ821" s="64">
        <f>($H821-$H822)*100</f>
        <v/>
      </c>
      <c r="DK821" s="65">
        <f>IFERROR($J821/$J822-1,"")</f>
        <v/>
      </c>
      <c r="DL821" s="64">
        <f>$L821-$L822</f>
        <v/>
      </c>
      <c r="DM821" s="64">
        <f>$K821-$K822</f>
        <v/>
      </c>
      <c r="DN821" s="65">
        <f>IFERROR($N821/$N822-1,"")</f>
        <v/>
      </c>
      <c r="DO821" s="65">
        <f>IFERROR($M821/$M822-1,"")</f>
        <v/>
      </c>
      <c r="DP821" s="65">
        <f>IFERROR($AZ821/$AZ822-1,"")</f>
        <v/>
      </c>
      <c r="DQ821" s="65">
        <f>IFERROR($BA821/$BA822-1,"")</f>
        <v/>
      </c>
      <c r="DR821" s="64">
        <f>$O821-$O822</f>
        <v/>
      </c>
      <c r="DS821" s="64">
        <f>$P821-$P822</f>
        <v/>
      </c>
      <c r="DT821" s="64">
        <f>$Q821-$Q822</f>
        <v/>
      </c>
      <c r="DU821" s="64">
        <f>$S821-$S822</f>
        <v/>
      </c>
      <c r="DV821" s="65">
        <f>IFERROR(AVERAGE($AA822/$AA821-1,$AB822/$AB821-1,$AC822/$AC821-1,$AD822/$AD821-1,$AE822/$AE821-1,$AG822/$AG821-1,$AH822/$AH821-1,$AI822/$AI821-1,$AJ822/$AJ821-1,$AL822/$AL821-1,$AM822/$AM821-1,$AR822/$AR821-1,$AS822/$AS821-1,$AT822/$AT821-1,$AU822/$AU821-1,$AV822/$AV821-1,$AW822/$AW821-1,$AX822/$AX821-1,$AY822/$AY821-1),"")</f>
        <v/>
      </c>
      <c r="DW821" s="66">
        <f>AVERAGE($CB821,$CC821,$CD821,$CE821,$CF821,$CG821,$CH821,$CI821,$CJ821,$CL821,$CM821,$CN821,$CO821,$CP821,$CQ821,$CR821,$CS821,$CT821)</f>
        <v/>
      </c>
      <c r="DX821" s="66">
        <f>AVERAGE($CB821,$CC821,$CM821,$CE821,$CP821)</f>
        <v/>
      </c>
      <c r="DY821" s="64">
        <f>($DW821-$DW822)*100</f>
        <v/>
      </c>
      <c r="DZ821" s="64">
        <f>($DX821-$DX822)*100</f>
        <v/>
      </c>
      <c r="EA821" s="64">
        <f>($DW821-$D821)*100</f>
        <v/>
      </c>
      <c r="EB821" s="64">
        <f>$Q821-$O821</f>
        <v/>
      </c>
      <c r="EC821" s="67">
        <f>IFERROR($Q821/$P821,"")</f>
        <v/>
      </c>
    </row>
    <row r="822">
      <c r="DG822" s="64">
        <f>($B822-$B823)*100</f>
        <v/>
      </c>
      <c r="DH822" s="64">
        <f>($D822-$D823)*100</f>
        <v/>
      </c>
      <c r="DI822" s="64">
        <f>($E822-$E823)*100</f>
        <v/>
      </c>
      <c r="DJ822" s="64">
        <f>($H822-$H823)*100</f>
        <v/>
      </c>
      <c r="DK822" s="65">
        <f>IFERROR($J822/$J823-1,"")</f>
        <v/>
      </c>
      <c r="DL822" s="64">
        <f>$L822-$L823</f>
        <v/>
      </c>
      <c r="DM822" s="64">
        <f>$K822-$K823</f>
        <v/>
      </c>
      <c r="DN822" s="65">
        <f>IFERROR($N822/$N823-1,"")</f>
        <v/>
      </c>
      <c r="DO822" s="65">
        <f>IFERROR($M822/$M823-1,"")</f>
        <v/>
      </c>
      <c r="DP822" s="65">
        <f>IFERROR($AZ822/$AZ823-1,"")</f>
        <v/>
      </c>
      <c r="DQ822" s="65">
        <f>IFERROR($BA822/$BA823-1,"")</f>
        <v/>
      </c>
      <c r="DR822" s="64">
        <f>$O822-$O823</f>
        <v/>
      </c>
      <c r="DS822" s="64">
        <f>$P822-$P823</f>
        <v/>
      </c>
      <c r="DT822" s="64">
        <f>$Q822-$Q823</f>
        <v/>
      </c>
      <c r="DU822" s="64">
        <f>$S822-$S823</f>
        <v/>
      </c>
      <c r="DV822" s="65">
        <f>IFERROR(AVERAGE($AA823/$AA822-1,$AB823/$AB822-1,$AC823/$AC822-1,$AD823/$AD822-1,$AE823/$AE822-1,$AG823/$AG822-1,$AH823/$AH822-1,$AI823/$AI822-1,$AJ823/$AJ822-1,$AL823/$AL822-1,$AM823/$AM822-1,$AR823/$AR822-1,$AS823/$AS822-1,$AT823/$AT822-1,$AU823/$AU822-1,$AV823/$AV822-1,$AW823/$AW822-1,$AX823/$AX822-1,$AY823/$AY822-1),"")</f>
        <v/>
      </c>
      <c r="DW822" s="66">
        <f>AVERAGE($CB822,$CC822,$CD822,$CE822,$CF822,$CG822,$CH822,$CI822,$CJ822,$CL822,$CM822,$CN822,$CO822,$CP822,$CQ822,$CR822,$CS822,$CT822)</f>
        <v/>
      </c>
      <c r="DX822" s="66">
        <f>AVERAGE($CB822,$CC822,$CM822,$CE822,$CP822)</f>
        <v/>
      </c>
      <c r="DY822" s="64">
        <f>($DW822-$DW823)*100</f>
        <v/>
      </c>
      <c r="DZ822" s="64">
        <f>($DX822-$DX823)*100</f>
        <v/>
      </c>
      <c r="EA822" s="64">
        <f>($DW822-$D822)*100</f>
        <v/>
      </c>
      <c r="EB822" s="64">
        <f>$Q822-$O822</f>
        <v/>
      </c>
      <c r="EC822" s="67">
        <f>IFERROR($Q822/$P822,"")</f>
        <v/>
      </c>
    </row>
    <row r="823">
      <c r="DG823" s="64">
        <f>($B823-$B824)*100</f>
        <v/>
      </c>
      <c r="DH823" s="64">
        <f>($D823-$D824)*100</f>
        <v/>
      </c>
      <c r="DI823" s="64">
        <f>($E823-$E824)*100</f>
        <v/>
      </c>
      <c r="DJ823" s="64">
        <f>($H823-$H824)*100</f>
        <v/>
      </c>
      <c r="DK823" s="65">
        <f>IFERROR($J823/$J824-1,"")</f>
        <v/>
      </c>
      <c r="DL823" s="64">
        <f>$L823-$L824</f>
        <v/>
      </c>
      <c r="DM823" s="64">
        <f>$K823-$K824</f>
        <v/>
      </c>
      <c r="DN823" s="65">
        <f>IFERROR($N823/$N824-1,"")</f>
        <v/>
      </c>
      <c r="DO823" s="65">
        <f>IFERROR($M823/$M824-1,"")</f>
        <v/>
      </c>
      <c r="DP823" s="65">
        <f>IFERROR($AZ823/$AZ824-1,"")</f>
        <v/>
      </c>
      <c r="DQ823" s="65">
        <f>IFERROR($BA823/$BA824-1,"")</f>
        <v/>
      </c>
      <c r="DR823" s="64">
        <f>$O823-$O824</f>
        <v/>
      </c>
      <c r="DS823" s="64">
        <f>$P823-$P824</f>
        <v/>
      </c>
      <c r="DT823" s="64">
        <f>$Q823-$Q824</f>
        <v/>
      </c>
      <c r="DU823" s="64">
        <f>$S823-$S824</f>
        <v/>
      </c>
      <c r="DV823" s="65">
        <f>IFERROR(AVERAGE($AA824/$AA823-1,$AB824/$AB823-1,$AC824/$AC823-1,$AD824/$AD823-1,$AE824/$AE823-1,$AG824/$AG823-1,$AH824/$AH823-1,$AI824/$AI823-1,$AJ824/$AJ823-1,$AL824/$AL823-1,$AM824/$AM823-1,$AR824/$AR823-1,$AS824/$AS823-1,$AT824/$AT823-1,$AU824/$AU823-1,$AV824/$AV823-1,$AW824/$AW823-1,$AX824/$AX823-1,$AY824/$AY823-1),"")</f>
        <v/>
      </c>
      <c r="DW823" s="66">
        <f>AVERAGE($CB823,$CC823,$CD823,$CE823,$CF823,$CG823,$CH823,$CI823,$CJ823,$CL823,$CM823,$CN823,$CO823,$CP823,$CQ823,$CR823,$CS823,$CT823)</f>
        <v/>
      </c>
      <c r="DX823" s="66">
        <f>AVERAGE($CB823,$CC823,$CM823,$CE823,$CP823)</f>
        <v/>
      </c>
      <c r="DY823" s="64">
        <f>($DW823-$DW824)*100</f>
        <v/>
      </c>
      <c r="DZ823" s="64">
        <f>($DX823-$DX824)*100</f>
        <v/>
      </c>
      <c r="EA823" s="64">
        <f>($DW823-$D823)*100</f>
        <v/>
      </c>
      <c r="EB823" s="64">
        <f>$Q823-$O823</f>
        <v/>
      </c>
      <c r="EC823" s="67">
        <f>IFERROR($Q823/$P823,"")</f>
        <v/>
      </c>
    </row>
    <row r="824">
      <c r="DG824" s="64">
        <f>($B824-$B825)*100</f>
        <v/>
      </c>
      <c r="DH824" s="64">
        <f>($D824-$D825)*100</f>
        <v/>
      </c>
      <c r="DI824" s="64">
        <f>($E824-$E825)*100</f>
        <v/>
      </c>
      <c r="DJ824" s="64">
        <f>($H824-$H825)*100</f>
        <v/>
      </c>
      <c r="DK824" s="65">
        <f>IFERROR($J824/$J825-1,"")</f>
        <v/>
      </c>
      <c r="DL824" s="64">
        <f>$L824-$L825</f>
        <v/>
      </c>
      <c r="DM824" s="64">
        <f>$K824-$K825</f>
        <v/>
      </c>
      <c r="DN824" s="65">
        <f>IFERROR($N824/$N825-1,"")</f>
        <v/>
      </c>
      <c r="DO824" s="65">
        <f>IFERROR($M824/$M825-1,"")</f>
        <v/>
      </c>
      <c r="DP824" s="65">
        <f>IFERROR($AZ824/$AZ825-1,"")</f>
        <v/>
      </c>
      <c r="DQ824" s="65">
        <f>IFERROR($BA824/$BA825-1,"")</f>
        <v/>
      </c>
      <c r="DR824" s="64">
        <f>$O824-$O825</f>
        <v/>
      </c>
      <c r="DS824" s="64">
        <f>$P824-$P825</f>
        <v/>
      </c>
      <c r="DT824" s="64">
        <f>$Q824-$Q825</f>
        <v/>
      </c>
      <c r="DU824" s="64">
        <f>$S824-$S825</f>
        <v/>
      </c>
      <c r="DV824" s="65">
        <f>IFERROR(AVERAGE($AA825/$AA824-1,$AB825/$AB824-1,$AC825/$AC824-1,$AD825/$AD824-1,$AE825/$AE824-1,$AG825/$AG824-1,$AH825/$AH824-1,$AI825/$AI824-1,$AJ825/$AJ824-1,$AL825/$AL824-1,$AM825/$AM824-1,$AR825/$AR824-1,$AS825/$AS824-1,$AT825/$AT824-1,$AU825/$AU824-1,$AV825/$AV824-1,$AW825/$AW824-1,$AX825/$AX824-1,$AY825/$AY824-1),"")</f>
        <v/>
      </c>
      <c r="DW824" s="66">
        <f>AVERAGE($CB824,$CC824,$CD824,$CE824,$CF824,$CG824,$CH824,$CI824,$CJ824,$CL824,$CM824,$CN824,$CO824,$CP824,$CQ824,$CR824,$CS824,$CT824)</f>
        <v/>
      </c>
      <c r="DX824" s="66">
        <f>AVERAGE($CB824,$CC824,$CM824,$CE824,$CP824)</f>
        <v/>
      </c>
      <c r="DY824" s="64">
        <f>($DW824-$DW825)*100</f>
        <v/>
      </c>
      <c r="DZ824" s="64">
        <f>($DX824-$DX825)*100</f>
        <v/>
      </c>
      <c r="EA824" s="64">
        <f>($DW824-$D824)*100</f>
        <v/>
      </c>
      <c r="EB824" s="64">
        <f>$Q824-$O824</f>
        <v/>
      </c>
      <c r="EC824" s="67">
        <f>IFERROR($Q824/$P824,"")</f>
        <v/>
      </c>
    </row>
    <row r="825">
      <c r="DG825" s="64">
        <f>($B825-$B826)*100</f>
        <v/>
      </c>
      <c r="DH825" s="64">
        <f>($D825-$D826)*100</f>
        <v/>
      </c>
      <c r="DI825" s="64">
        <f>($E825-$E826)*100</f>
        <v/>
      </c>
      <c r="DJ825" s="64">
        <f>($H825-$H826)*100</f>
        <v/>
      </c>
      <c r="DK825" s="65">
        <f>IFERROR($J825/$J826-1,"")</f>
        <v/>
      </c>
      <c r="DL825" s="64">
        <f>$L825-$L826</f>
        <v/>
      </c>
      <c r="DM825" s="64">
        <f>$K825-$K826</f>
        <v/>
      </c>
      <c r="DN825" s="65">
        <f>IFERROR($N825/$N826-1,"")</f>
        <v/>
      </c>
      <c r="DO825" s="65">
        <f>IFERROR($M825/$M826-1,"")</f>
        <v/>
      </c>
      <c r="DP825" s="65">
        <f>IFERROR($AZ825/$AZ826-1,"")</f>
        <v/>
      </c>
      <c r="DQ825" s="65">
        <f>IFERROR($BA825/$BA826-1,"")</f>
        <v/>
      </c>
      <c r="DR825" s="64">
        <f>$O825-$O826</f>
        <v/>
      </c>
      <c r="DS825" s="64">
        <f>$P825-$P826</f>
        <v/>
      </c>
      <c r="DT825" s="64">
        <f>$Q825-$Q826</f>
        <v/>
      </c>
      <c r="DU825" s="64">
        <f>$S825-$S826</f>
        <v/>
      </c>
      <c r="DV825" s="65">
        <f>IFERROR(AVERAGE($AA826/$AA825-1,$AB826/$AB825-1,$AC826/$AC825-1,$AD826/$AD825-1,$AE826/$AE825-1,$AG826/$AG825-1,$AH826/$AH825-1,$AI826/$AI825-1,$AJ826/$AJ825-1,$AL826/$AL825-1,$AM826/$AM825-1,$AR826/$AR825-1,$AS826/$AS825-1,$AT826/$AT825-1,$AU826/$AU825-1,$AV826/$AV825-1,$AW826/$AW825-1,$AX826/$AX825-1,$AY826/$AY825-1),"")</f>
        <v/>
      </c>
      <c r="DW825" s="66">
        <f>AVERAGE($CB825,$CC825,$CD825,$CE825,$CF825,$CG825,$CH825,$CI825,$CJ825,$CL825,$CM825,$CN825,$CO825,$CP825,$CQ825,$CR825,$CS825,$CT825)</f>
        <v/>
      </c>
      <c r="DX825" s="66">
        <f>AVERAGE($CB825,$CC825,$CM825,$CE825,$CP825)</f>
        <v/>
      </c>
      <c r="DY825" s="64">
        <f>($DW825-$DW826)*100</f>
        <v/>
      </c>
      <c r="DZ825" s="64">
        <f>($DX825-$DX826)*100</f>
        <v/>
      </c>
      <c r="EA825" s="64">
        <f>($DW825-$D825)*100</f>
        <v/>
      </c>
      <c r="EB825" s="64">
        <f>$Q825-$O825</f>
        <v/>
      </c>
      <c r="EC825" s="67">
        <f>IFERROR($Q825/$P825,"")</f>
        <v/>
      </c>
    </row>
    <row r="826">
      <c r="DG826" s="64">
        <f>($B826-$B827)*100</f>
        <v/>
      </c>
      <c r="DH826" s="64">
        <f>($D826-$D827)*100</f>
        <v/>
      </c>
      <c r="DI826" s="64">
        <f>($E826-$E827)*100</f>
        <v/>
      </c>
      <c r="DJ826" s="64">
        <f>($H826-$H827)*100</f>
        <v/>
      </c>
      <c r="DK826" s="65">
        <f>IFERROR($J826/$J827-1,"")</f>
        <v/>
      </c>
      <c r="DL826" s="64">
        <f>$L826-$L827</f>
        <v/>
      </c>
      <c r="DM826" s="64">
        <f>$K826-$K827</f>
        <v/>
      </c>
      <c r="DN826" s="65">
        <f>IFERROR($N826/$N827-1,"")</f>
        <v/>
      </c>
      <c r="DO826" s="65">
        <f>IFERROR($M826/$M827-1,"")</f>
        <v/>
      </c>
      <c r="DP826" s="65">
        <f>IFERROR($AZ826/$AZ827-1,"")</f>
        <v/>
      </c>
      <c r="DQ826" s="65">
        <f>IFERROR($BA826/$BA827-1,"")</f>
        <v/>
      </c>
      <c r="DR826" s="64">
        <f>$O826-$O827</f>
        <v/>
      </c>
      <c r="DS826" s="64">
        <f>$P826-$P827</f>
        <v/>
      </c>
      <c r="DT826" s="64">
        <f>$Q826-$Q827</f>
        <v/>
      </c>
      <c r="DU826" s="64">
        <f>$S826-$S827</f>
        <v/>
      </c>
      <c r="DV826" s="65">
        <f>IFERROR(AVERAGE($AA827/$AA826-1,$AB827/$AB826-1,$AC827/$AC826-1,$AD827/$AD826-1,$AE827/$AE826-1,$AG827/$AG826-1,$AH827/$AH826-1,$AI827/$AI826-1,$AJ827/$AJ826-1,$AL827/$AL826-1,$AM827/$AM826-1,$AR827/$AR826-1,$AS827/$AS826-1,$AT827/$AT826-1,$AU827/$AU826-1,$AV827/$AV826-1,$AW827/$AW826-1,$AX827/$AX826-1,$AY827/$AY826-1),"")</f>
        <v/>
      </c>
      <c r="DW826" s="66">
        <f>AVERAGE($CB826,$CC826,$CD826,$CE826,$CF826,$CG826,$CH826,$CI826,$CJ826,$CL826,$CM826,$CN826,$CO826,$CP826,$CQ826,$CR826,$CS826,$CT826)</f>
        <v/>
      </c>
      <c r="DX826" s="66">
        <f>AVERAGE($CB826,$CC826,$CM826,$CE826,$CP826)</f>
        <v/>
      </c>
      <c r="DY826" s="64">
        <f>($DW826-$DW827)*100</f>
        <v/>
      </c>
      <c r="DZ826" s="64">
        <f>($DX826-$DX827)*100</f>
        <v/>
      </c>
      <c r="EA826" s="64">
        <f>($DW826-$D826)*100</f>
        <v/>
      </c>
      <c r="EB826" s="64">
        <f>$Q826-$O826</f>
        <v/>
      </c>
      <c r="EC826" s="67">
        <f>IFERROR($Q826/$P826,"")</f>
        <v/>
      </c>
    </row>
    <row r="827">
      <c r="DG827" s="64">
        <f>($B827-$B828)*100</f>
        <v/>
      </c>
      <c r="DH827" s="64">
        <f>($D827-$D828)*100</f>
        <v/>
      </c>
      <c r="DI827" s="64">
        <f>($E827-$E828)*100</f>
        <v/>
      </c>
      <c r="DJ827" s="64">
        <f>($H827-$H828)*100</f>
        <v/>
      </c>
      <c r="DK827" s="65">
        <f>IFERROR($J827/$J828-1,"")</f>
        <v/>
      </c>
      <c r="DL827" s="64">
        <f>$L827-$L828</f>
        <v/>
      </c>
      <c r="DM827" s="64">
        <f>$K827-$K828</f>
        <v/>
      </c>
      <c r="DN827" s="65">
        <f>IFERROR($N827/$N828-1,"")</f>
        <v/>
      </c>
      <c r="DO827" s="65">
        <f>IFERROR($M827/$M828-1,"")</f>
        <v/>
      </c>
      <c r="DP827" s="65">
        <f>IFERROR($AZ827/$AZ828-1,"")</f>
        <v/>
      </c>
      <c r="DQ827" s="65">
        <f>IFERROR($BA827/$BA828-1,"")</f>
        <v/>
      </c>
      <c r="DR827" s="64">
        <f>$O827-$O828</f>
        <v/>
      </c>
      <c r="DS827" s="64">
        <f>$P827-$P828</f>
        <v/>
      </c>
      <c r="DT827" s="64">
        <f>$Q827-$Q828</f>
        <v/>
      </c>
      <c r="DU827" s="64">
        <f>$S827-$S828</f>
        <v/>
      </c>
      <c r="DV827" s="65">
        <f>IFERROR(AVERAGE($AA828/$AA827-1,$AB828/$AB827-1,$AC828/$AC827-1,$AD828/$AD827-1,$AE828/$AE827-1,$AG828/$AG827-1,$AH828/$AH827-1,$AI828/$AI827-1,$AJ828/$AJ827-1,$AL828/$AL827-1,$AM828/$AM827-1,$AR828/$AR827-1,$AS828/$AS827-1,$AT828/$AT827-1,$AU828/$AU827-1,$AV828/$AV827-1,$AW828/$AW827-1,$AX828/$AX827-1,$AY828/$AY827-1),"")</f>
        <v/>
      </c>
      <c r="DW827" s="66">
        <f>AVERAGE($CB827,$CC827,$CD827,$CE827,$CF827,$CG827,$CH827,$CI827,$CJ827,$CL827,$CM827,$CN827,$CO827,$CP827,$CQ827,$CR827,$CS827,$CT827)</f>
        <v/>
      </c>
      <c r="DX827" s="66">
        <f>AVERAGE($CB827,$CC827,$CM827,$CE827,$CP827)</f>
        <v/>
      </c>
      <c r="DY827" s="64">
        <f>($DW827-$DW828)*100</f>
        <v/>
      </c>
      <c r="DZ827" s="64">
        <f>($DX827-$DX828)*100</f>
        <v/>
      </c>
      <c r="EA827" s="64">
        <f>($DW827-$D827)*100</f>
        <v/>
      </c>
      <c r="EB827" s="64">
        <f>$Q827-$O827</f>
        <v/>
      </c>
      <c r="EC827" s="67">
        <f>IFERROR($Q827/$P827,"")</f>
        <v/>
      </c>
    </row>
    <row r="828">
      <c r="DG828" s="64">
        <f>($B828-$B829)*100</f>
        <v/>
      </c>
      <c r="DH828" s="64">
        <f>($D828-$D829)*100</f>
        <v/>
      </c>
      <c r="DI828" s="64">
        <f>($E828-$E829)*100</f>
        <v/>
      </c>
      <c r="DJ828" s="64">
        <f>($H828-$H829)*100</f>
        <v/>
      </c>
      <c r="DK828" s="65">
        <f>IFERROR($J828/$J829-1,"")</f>
        <v/>
      </c>
      <c r="DL828" s="64">
        <f>$L828-$L829</f>
        <v/>
      </c>
      <c r="DM828" s="64">
        <f>$K828-$K829</f>
        <v/>
      </c>
      <c r="DN828" s="65">
        <f>IFERROR($N828/$N829-1,"")</f>
        <v/>
      </c>
      <c r="DO828" s="65">
        <f>IFERROR($M828/$M829-1,"")</f>
        <v/>
      </c>
      <c r="DP828" s="65">
        <f>IFERROR($AZ828/$AZ829-1,"")</f>
        <v/>
      </c>
      <c r="DQ828" s="65">
        <f>IFERROR($BA828/$BA829-1,"")</f>
        <v/>
      </c>
      <c r="DR828" s="64">
        <f>$O828-$O829</f>
        <v/>
      </c>
      <c r="DS828" s="64">
        <f>$P828-$P829</f>
        <v/>
      </c>
      <c r="DT828" s="64">
        <f>$Q828-$Q829</f>
        <v/>
      </c>
      <c r="DU828" s="64">
        <f>$S828-$S829</f>
        <v/>
      </c>
      <c r="DV828" s="65">
        <f>IFERROR(AVERAGE($AA829/$AA828-1,$AB829/$AB828-1,$AC829/$AC828-1,$AD829/$AD828-1,$AE829/$AE828-1,$AG829/$AG828-1,$AH829/$AH828-1,$AI829/$AI828-1,$AJ829/$AJ828-1,$AL829/$AL828-1,$AM829/$AM828-1,$AR829/$AR828-1,$AS829/$AS828-1,$AT829/$AT828-1,$AU829/$AU828-1,$AV829/$AV828-1,$AW829/$AW828-1,$AX829/$AX828-1,$AY829/$AY828-1),"")</f>
        <v/>
      </c>
      <c r="DW828" s="66">
        <f>AVERAGE($CB828,$CC828,$CD828,$CE828,$CF828,$CG828,$CH828,$CI828,$CJ828,$CL828,$CM828,$CN828,$CO828,$CP828,$CQ828,$CR828,$CS828,$CT828)</f>
        <v/>
      </c>
      <c r="DX828" s="66">
        <f>AVERAGE($CB828,$CC828,$CM828,$CE828,$CP828)</f>
        <v/>
      </c>
      <c r="DY828" s="64">
        <f>($DW828-$DW829)*100</f>
        <v/>
      </c>
      <c r="DZ828" s="64">
        <f>($DX828-$DX829)*100</f>
        <v/>
      </c>
      <c r="EA828" s="64">
        <f>($DW828-$D828)*100</f>
        <v/>
      </c>
      <c r="EB828" s="64">
        <f>$Q828-$O828</f>
        <v/>
      </c>
      <c r="EC828" s="67">
        <f>IFERROR($Q828/$P828,"")</f>
        <v/>
      </c>
    </row>
    <row r="829">
      <c r="DG829" s="64">
        <f>($B829-$B830)*100</f>
        <v/>
      </c>
      <c r="DH829" s="64">
        <f>($D829-$D830)*100</f>
        <v/>
      </c>
      <c r="DI829" s="64">
        <f>($E829-$E830)*100</f>
        <v/>
      </c>
      <c r="DJ829" s="64">
        <f>($H829-$H830)*100</f>
        <v/>
      </c>
      <c r="DK829" s="65">
        <f>IFERROR($J829/$J830-1,"")</f>
        <v/>
      </c>
      <c r="DL829" s="64">
        <f>$L829-$L830</f>
        <v/>
      </c>
      <c r="DM829" s="64">
        <f>$K829-$K830</f>
        <v/>
      </c>
      <c r="DN829" s="65">
        <f>IFERROR($N829/$N830-1,"")</f>
        <v/>
      </c>
      <c r="DO829" s="65">
        <f>IFERROR($M829/$M830-1,"")</f>
        <v/>
      </c>
      <c r="DP829" s="65">
        <f>IFERROR($AZ829/$AZ830-1,"")</f>
        <v/>
      </c>
      <c r="DQ829" s="65">
        <f>IFERROR($BA829/$BA830-1,"")</f>
        <v/>
      </c>
      <c r="DR829" s="64">
        <f>$O829-$O830</f>
        <v/>
      </c>
      <c r="DS829" s="64">
        <f>$P829-$P830</f>
        <v/>
      </c>
      <c r="DT829" s="64">
        <f>$Q829-$Q830</f>
        <v/>
      </c>
      <c r="DU829" s="64">
        <f>$S829-$S830</f>
        <v/>
      </c>
      <c r="DV829" s="65">
        <f>IFERROR(AVERAGE($AA830/$AA829-1,$AB830/$AB829-1,$AC830/$AC829-1,$AD830/$AD829-1,$AE830/$AE829-1,$AG830/$AG829-1,$AH830/$AH829-1,$AI830/$AI829-1,$AJ830/$AJ829-1,$AL830/$AL829-1,$AM830/$AM829-1,$AR830/$AR829-1,$AS830/$AS829-1,$AT830/$AT829-1,$AU830/$AU829-1,$AV830/$AV829-1,$AW830/$AW829-1,$AX830/$AX829-1,$AY830/$AY829-1),"")</f>
        <v/>
      </c>
      <c r="DW829" s="66">
        <f>AVERAGE($CB829,$CC829,$CD829,$CE829,$CF829,$CG829,$CH829,$CI829,$CJ829,$CL829,$CM829,$CN829,$CO829,$CP829,$CQ829,$CR829,$CS829,$CT829)</f>
        <v/>
      </c>
      <c r="DX829" s="66">
        <f>AVERAGE($CB829,$CC829,$CM829,$CE829,$CP829)</f>
        <v/>
      </c>
      <c r="DY829" s="64">
        <f>($DW829-$DW830)*100</f>
        <v/>
      </c>
      <c r="DZ829" s="64">
        <f>($DX829-$DX830)*100</f>
        <v/>
      </c>
      <c r="EA829" s="64">
        <f>($DW829-$D829)*100</f>
        <v/>
      </c>
      <c r="EB829" s="64">
        <f>$Q829-$O829</f>
        <v/>
      </c>
      <c r="EC829" s="67">
        <f>IFERROR($Q829/$P829,"")</f>
        <v/>
      </c>
    </row>
    <row r="830">
      <c r="DG830" s="64">
        <f>($B830-$B831)*100</f>
        <v/>
      </c>
      <c r="DH830" s="64">
        <f>($D830-$D831)*100</f>
        <v/>
      </c>
      <c r="DI830" s="64">
        <f>($E830-$E831)*100</f>
        <v/>
      </c>
      <c r="DJ830" s="64">
        <f>($H830-$H831)*100</f>
        <v/>
      </c>
      <c r="DK830" s="65">
        <f>IFERROR($J830/$J831-1,"")</f>
        <v/>
      </c>
      <c r="DL830" s="64">
        <f>$L830-$L831</f>
        <v/>
      </c>
      <c r="DM830" s="64">
        <f>$K830-$K831</f>
        <v/>
      </c>
      <c r="DN830" s="65">
        <f>IFERROR($N830/$N831-1,"")</f>
        <v/>
      </c>
      <c r="DO830" s="65">
        <f>IFERROR($M830/$M831-1,"")</f>
        <v/>
      </c>
      <c r="DP830" s="65">
        <f>IFERROR($AZ830/$AZ831-1,"")</f>
        <v/>
      </c>
      <c r="DQ830" s="65">
        <f>IFERROR($BA830/$BA831-1,"")</f>
        <v/>
      </c>
      <c r="DR830" s="64">
        <f>$O830-$O831</f>
        <v/>
      </c>
      <c r="DS830" s="64">
        <f>$P830-$P831</f>
        <v/>
      </c>
      <c r="DT830" s="64">
        <f>$Q830-$Q831</f>
        <v/>
      </c>
      <c r="DU830" s="64">
        <f>$S830-$S831</f>
        <v/>
      </c>
      <c r="DV830" s="65">
        <f>IFERROR(AVERAGE($AA831/$AA830-1,$AB831/$AB830-1,$AC831/$AC830-1,$AD831/$AD830-1,$AE831/$AE830-1,$AG831/$AG830-1,$AH831/$AH830-1,$AI831/$AI830-1,$AJ831/$AJ830-1,$AL831/$AL830-1,$AM831/$AM830-1,$AR831/$AR830-1,$AS831/$AS830-1,$AT831/$AT830-1,$AU831/$AU830-1,$AV831/$AV830-1,$AW831/$AW830-1,$AX831/$AX830-1,$AY831/$AY830-1),"")</f>
        <v/>
      </c>
      <c r="DW830" s="66">
        <f>AVERAGE($CB830,$CC830,$CD830,$CE830,$CF830,$CG830,$CH830,$CI830,$CJ830,$CL830,$CM830,$CN830,$CO830,$CP830,$CQ830,$CR830,$CS830,$CT830)</f>
        <v/>
      </c>
      <c r="DX830" s="66">
        <f>AVERAGE($CB830,$CC830,$CM830,$CE830,$CP830)</f>
        <v/>
      </c>
      <c r="DY830" s="64">
        <f>($DW830-$DW831)*100</f>
        <v/>
      </c>
      <c r="DZ830" s="64">
        <f>($DX830-$DX831)*100</f>
        <v/>
      </c>
      <c r="EA830" s="64">
        <f>($DW830-$D830)*100</f>
        <v/>
      </c>
      <c r="EB830" s="64">
        <f>$Q830-$O830</f>
        <v/>
      </c>
      <c r="EC830" s="67">
        <f>IFERROR($Q830/$P830,"")</f>
        <v/>
      </c>
    </row>
    <row r="831">
      <c r="DG831" s="64">
        <f>($B831-$B832)*100</f>
        <v/>
      </c>
      <c r="DH831" s="64">
        <f>($D831-$D832)*100</f>
        <v/>
      </c>
      <c r="DI831" s="64">
        <f>($E831-$E832)*100</f>
        <v/>
      </c>
      <c r="DJ831" s="64">
        <f>($H831-$H832)*100</f>
        <v/>
      </c>
      <c r="DK831" s="65">
        <f>IFERROR($J831/$J832-1,"")</f>
        <v/>
      </c>
      <c r="DL831" s="64">
        <f>$L831-$L832</f>
        <v/>
      </c>
      <c r="DM831" s="64">
        <f>$K831-$K832</f>
        <v/>
      </c>
      <c r="DN831" s="65">
        <f>IFERROR($N831/$N832-1,"")</f>
        <v/>
      </c>
      <c r="DO831" s="65">
        <f>IFERROR($M831/$M832-1,"")</f>
        <v/>
      </c>
      <c r="DP831" s="65">
        <f>IFERROR($AZ831/$AZ832-1,"")</f>
        <v/>
      </c>
      <c r="DQ831" s="65">
        <f>IFERROR($BA831/$BA832-1,"")</f>
        <v/>
      </c>
      <c r="DR831" s="64">
        <f>$O831-$O832</f>
        <v/>
      </c>
      <c r="DS831" s="64">
        <f>$P831-$P832</f>
        <v/>
      </c>
      <c r="DT831" s="64">
        <f>$Q831-$Q832</f>
        <v/>
      </c>
      <c r="DU831" s="64">
        <f>$S831-$S832</f>
        <v/>
      </c>
      <c r="DV831" s="65">
        <f>IFERROR(AVERAGE($AA832/$AA831-1,$AB832/$AB831-1,$AC832/$AC831-1,$AD832/$AD831-1,$AE832/$AE831-1,$AG832/$AG831-1,$AH832/$AH831-1,$AI832/$AI831-1,$AJ832/$AJ831-1,$AL832/$AL831-1,$AM832/$AM831-1,$AR832/$AR831-1,$AS832/$AS831-1,$AT832/$AT831-1,$AU832/$AU831-1,$AV832/$AV831-1,$AW832/$AW831-1,$AX832/$AX831-1,$AY832/$AY831-1),"")</f>
        <v/>
      </c>
      <c r="DW831" s="66">
        <f>AVERAGE($CB831,$CC831,$CD831,$CE831,$CF831,$CG831,$CH831,$CI831,$CJ831,$CL831,$CM831,$CN831,$CO831,$CP831,$CQ831,$CR831,$CS831,$CT831)</f>
        <v/>
      </c>
      <c r="DX831" s="66">
        <f>AVERAGE($CB831,$CC831,$CM831,$CE831,$CP831)</f>
        <v/>
      </c>
      <c r="DY831" s="64">
        <f>($DW831-$DW832)*100</f>
        <v/>
      </c>
      <c r="DZ831" s="64">
        <f>($DX831-$DX832)*100</f>
        <v/>
      </c>
      <c r="EA831" s="64">
        <f>($DW831-$D831)*100</f>
        <v/>
      </c>
      <c r="EB831" s="64">
        <f>$Q831-$O831</f>
        <v/>
      </c>
      <c r="EC831" s="67">
        <f>IFERROR($Q831/$P831,"")</f>
        <v/>
      </c>
    </row>
    <row r="832">
      <c r="DG832" s="64">
        <f>($B832-$B833)*100</f>
        <v/>
      </c>
      <c r="DH832" s="64">
        <f>($D832-$D833)*100</f>
        <v/>
      </c>
      <c r="DI832" s="64">
        <f>($E832-$E833)*100</f>
        <v/>
      </c>
      <c r="DJ832" s="64">
        <f>($H832-$H833)*100</f>
        <v/>
      </c>
      <c r="DK832" s="65">
        <f>IFERROR($J832/$J833-1,"")</f>
        <v/>
      </c>
      <c r="DL832" s="64">
        <f>$L832-$L833</f>
        <v/>
      </c>
      <c r="DM832" s="64">
        <f>$K832-$K833</f>
        <v/>
      </c>
      <c r="DN832" s="65">
        <f>IFERROR($N832/$N833-1,"")</f>
        <v/>
      </c>
      <c r="DO832" s="65">
        <f>IFERROR($M832/$M833-1,"")</f>
        <v/>
      </c>
      <c r="DP832" s="65">
        <f>IFERROR($AZ832/$AZ833-1,"")</f>
        <v/>
      </c>
      <c r="DQ832" s="65">
        <f>IFERROR($BA832/$BA833-1,"")</f>
        <v/>
      </c>
      <c r="DR832" s="64">
        <f>$O832-$O833</f>
        <v/>
      </c>
      <c r="DS832" s="64">
        <f>$P832-$P833</f>
        <v/>
      </c>
      <c r="DT832" s="64">
        <f>$Q832-$Q833</f>
        <v/>
      </c>
      <c r="DU832" s="64">
        <f>$S832-$S833</f>
        <v/>
      </c>
      <c r="DV832" s="65">
        <f>IFERROR(AVERAGE($AA833/$AA832-1,$AB833/$AB832-1,$AC833/$AC832-1,$AD833/$AD832-1,$AE833/$AE832-1,$AG833/$AG832-1,$AH833/$AH832-1,$AI833/$AI832-1,$AJ833/$AJ832-1,$AL833/$AL832-1,$AM833/$AM832-1,$AR833/$AR832-1,$AS833/$AS832-1,$AT833/$AT832-1,$AU833/$AU832-1,$AV833/$AV832-1,$AW833/$AW832-1,$AX833/$AX832-1,$AY833/$AY832-1),"")</f>
        <v/>
      </c>
      <c r="DW832" s="66">
        <f>AVERAGE($CB832,$CC832,$CD832,$CE832,$CF832,$CG832,$CH832,$CI832,$CJ832,$CL832,$CM832,$CN832,$CO832,$CP832,$CQ832,$CR832,$CS832,$CT832)</f>
        <v/>
      </c>
      <c r="DX832" s="66">
        <f>AVERAGE($CB832,$CC832,$CM832,$CE832,$CP832)</f>
        <v/>
      </c>
      <c r="DY832" s="64">
        <f>($DW832-$DW833)*100</f>
        <v/>
      </c>
      <c r="DZ832" s="64">
        <f>($DX832-$DX833)*100</f>
        <v/>
      </c>
      <c r="EA832" s="64">
        <f>($DW832-$D832)*100</f>
        <v/>
      </c>
      <c r="EB832" s="64">
        <f>$Q832-$O832</f>
        <v/>
      </c>
      <c r="EC832" s="67">
        <f>IFERROR($Q832/$P832,"")</f>
        <v/>
      </c>
    </row>
    <row r="833">
      <c r="DG833" s="64">
        <f>($B833-$B834)*100</f>
        <v/>
      </c>
      <c r="DH833" s="64">
        <f>($D833-$D834)*100</f>
        <v/>
      </c>
      <c r="DI833" s="64">
        <f>($E833-$E834)*100</f>
        <v/>
      </c>
      <c r="DJ833" s="64">
        <f>($H833-$H834)*100</f>
        <v/>
      </c>
      <c r="DK833" s="65">
        <f>IFERROR($J833/$J834-1,"")</f>
        <v/>
      </c>
      <c r="DL833" s="64">
        <f>$L833-$L834</f>
        <v/>
      </c>
      <c r="DM833" s="64">
        <f>$K833-$K834</f>
        <v/>
      </c>
      <c r="DN833" s="65">
        <f>IFERROR($N833/$N834-1,"")</f>
        <v/>
      </c>
      <c r="DO833" s="65">
        <f>IFERROR($M833/$M834-1,"")</f>
        <v/>
      </c>
      <c r="DP833" s="65">
        <f>IFERROR($AZ833/$AZ834-1,"")</f>
        <v/>
      </c>
      <c r="DQ833" s="65">
        <f>IFERROR($BA833/$BA834-1,"")</f>
        <v/>
      </c>
      <c r="DR833" s="64">
        <f>$O833-$O834</f>
        <v/>
      </c>
      <c r="DS833" s="64">
        <f>$P833-$P834</f>
        <v/>
      </c>
      <c r="DT833" s="64">
        <f>$Q833-$Q834</f>
        <v/>
      </c>
      <c r="DU833" s="64">
        <f>$S833-$S834</f>
        <v/>
      </c>
      <c r="DV833" s="65">
        <f>IFERROR(AVERAGE($AA834/$AA833-1,$AB834/$AB833-1,$AC834/$AC833-1,$AD834/$AD833-1,$AE834/$AE833-1,$AG834/$AG833-1,$AH834/$AH833-1,$AI834/$AI833-1,$AJ834/$AJ833-1,$AL834/$AL833-1,$AM834/$AM833-1,$AR834/$AR833-1,$AS834/$AS833-1,$AT834/$AT833-1,$AU834/$AU833-1,$AV834/$AV833-1,$AW834/$AW833-1,$AX834/$AX833-1,$AY834/$AY833-1),"")</f>
        <v/>
      </c>
      <c r="DW833" s="66">
        <f>AVERAGE($CB833,$CC833,$CD833,$CE833,$CF833,$CG833,$CH833,$CI833,$CJ833,$CL833,$CM833,$CN833,$CO833,$CP833,$CQ833,$CR833,$CS833,$CT833)</f>
        <v/>
      </c>
      <c r="DX833" s="66">
        <f>AVERAGE($CB833,$CC833,$CM833,$CE833,$CP833)</f>
        <v/>
      </c>
      <c r="DY833" s="64">
        <f>($DW833-$DW834)*100</f>
        <v/>
      </c>
      <c r="DZ833" s="64">
        <f>($DX833-$DX834)*100</f>
        <v/>
      </c>
      <c r="EA833" s="64">
        <f>($DW833-$D833)*100</f>
        <v/>
      </c>
      <c r="EB833" s="64">
        <f>$Q833-$O833</f>
        <v/>
      </c>
      <c r="EC833" s="67">
        <f>IFERROR($Q833/$P833,"")</f>
        <v/>
      </c>
    </row>
    <row r="834">
      <c r="DG834" s="64">
        <f>($B834-$B835)*100</f>
        <v/>
      </c>
      <c r="DH834" s="64">
        <f>($D834-$D835)*100</f>
        <v/>
      </c>
      <c r="DI834" s="64">
        <f>($E834-$E835)*100</f>
        <v/>
      </c>
      <c r="DJ834" s="64">
        <f>($H834-$H835)*100</f>
        <v/>
      </c>
      <c r="DK834" s="65">
        <f>IFERROR($J834/$J835-1,"")</f>
        <v/>
      </c>
      <c r="DL834" s="64">
        <f>$L834-$L835</f>
        <v/>
      </c>
      <c r="DM834" s="64">
        <f>$K834-$K835</f>
        <v/>
      </c>
      <c r="DN834" s="65">
        <f>IFERROR($N834/$N835-1,"")</f>
        <v/>
      </c>
      <c r="DO834" s="65">
        <f>IFERROR($M834/$M835-1,"")</f>
        <v/>
      </c>
      <c r="DP834" s="65">
        <f>IFERROR($AZ834/$AZ835-1,"")</f>
        <v/>
      </c>
      <c r="DQ834" s="65">
        <f>IFERROR($BA834/$BA835-1,"")</f>
        <v/>
      </c>
      <c r="DR834" s="64">
        <f>$O834-$O835</f>
        <v/>
      </c>
      <c r="DS834" s="64">
        <f>$P834-$P835</f>
        <v/>
      </c>
      <c r="DT834" s="64">
        <f>$Q834-$Q835</f>
        <v/>
      </c>
      <c r="DU834" s="64">
        <f>$S834-$S835</f>
        <v/>
      </c>
      <c r="DV834" s="65">
        <f>IFERROR(AVERAGE($AA835/$AA834-1,$AB835/$AB834-1,$AC835/$AC834-1,$AD835/$AD834-1,$AE835/$AE834-1,$AG835/$AG834-1,$AH835/$AH834-1,$AI835/$AI834-1,$AJ835/$AJ834-1,$AL835/$AL834-1,$AM835/$AM834-1,$AR835/$AR834-1,$AS835/$AS834-1,$AT835/$AT834-1,$AU835/$AU834-1,$AV835/$AV834-1,$AW835/$AW834-1,$AX835/$AX834-1,$AY835/$AY834-1),"")</f>
        <v/>
      </c>
      <c r="DW834" s="66">
        <f>AVERAGE($CB834,$CC834,$CD834,$CE834,$CF834,$CG834,$CH834,$CI834,$CJ834,$CL834,$CM834,$CN834,$CO834,$CP834,$CQ834,$CR834,$CS834,$CT834)</f>
        <v/>
      </c>
      <c r="DX834" s="66">
        <f>AVERAGE($CB834,$CC834,$CM834,$CE834,$CP834)</f>
        <v/>
      </c>
      <c r="DY834" s="64">
        <f>($DW834-$DW835)*100</f>
        <v/>
      </c>
      <c r="DZ834" s="64">
        <f>($DX834-$DX835)*100</f>
        <v/>
      </c>
      <c r="EA834" s="64">
        <f>($DW834-$D834)*100</f>
        <v/>
      </c>
      <c r="EB834" s="64">
        <f>$Q834-$O834</f>
        <v/>
      </c>
      <c r="EC834" s="67">
        <f>IFERROR($Q834/$P834,"")</f>
        <v/>
      </c>
    </row>
    <row r="835">
      <c r="DG835" s="64">
        <f>($B835-$B836)*100</f>
        <v/>
      </c>
      <c r="DH835" s="64">
        <f>($D835-$D836)*100</f>
        <v/>
      </c>
      <c r="DI835" s="64">
        <f>($E835-$E836)*100</f>
        <v/>
      </c>
      <c r="DJ835" s="64">
        <f>($H835-$H836)*100</f>
        <v/>
      </c>
      <c r="DK835" s="65">
        <f>IFERROR($J835/$J836-1,"")</f>
        <v/>
      </c>
      <c r="DL835" s="64">
        <f>$L835-$L836</f>
        <v/>
      </c>
      <c r="DM835" s="64">
        <f>$K835-$K836</f>
        <v/>
      </c>
      <c r="DN835" s="65">
        <f>IFERROR($N835/$N836-1,"")</f>
        <v/>
      </c>
      <c r="DO835" s="65">
        <f>IFERROR($M835/$M836-1,"")</f>
        <v/>
      </c>
      <c r="DP835" s="65">
        <f>IFERROR($AZ835/$AZ836-1,"")</f>
        <v/>
      </c>
      <c r="DQ835" s="65">
        <f>IFERROR($BA835/$BA836-1,"")</f>
        <v/>
      </c>
      <c r="DR835" s="64">
        <f>$O835-$O836</f>
        <v/>
      </c>
      <c r="DS835" s="64">
        <f>$P835-$P836</f>
        <v/>
      </c>
      <c r="DT835" s="64">
        <f>$Q835-$Q836</f>
        <v/>
      </c>
      <c r="DU835" s="64">
        <f>$S835-$S836</f>
        <v/>
      </c>
      <c r="DV835" s="65">
        <f>IFERROR(AVERAGE($AA836/$AA835-1,$AB836/$AB835-1,$AC836/$AC835-1,$AD836/$AD835-1,$AE836/$AE835-1,$AG836/$AG835-1,$AH836/$AH835-1,$AI836/$AI835-1,$AJ836/$AJ835-1,$AL836/$AL835-1,$AM836/$AM835-1,$AR836/$AR835-1,$AS836/$AS835-1,$AT836/$AT835-1,$AU836/$AU835-1,$AV836/$AV835-1,$AW836/$AW835-1,$AX836/$AX835-1,$AY836/$AY835-1),"")</f>
        <v/>
      </c>
      <c r="DW835" s="66">
        <f>AVERAGE($CB835,$CC835,$CD835,$CE835,$CF835,$CG835,$CH835,$CI835,$CJ835,$CL835,$CM835,$CN835,$CO835,$CP835,$CQ835,$CR835,$CS835,$CT835)</f>
        <v/>
      </c>
      <c r="DX835" s="66">
        <f>AVERAGE($CB835,$CC835,$CM835,$CE835,$CP835)</f>
        <v/>
      </c>
      <c r="DY835" s="64">
        <f>($DW835-$DW836)*100</f>
        <v/>
      </c>
      <c r="DZ835" s="64">
        <f>($DX835-$DX836)*100</f>
        <v/>
      </c>
      <c r="EA835" s="64">
        <f>($DW835-$D835)*100</f>
        <v/>
      </c>
      <c r="EB835" s="64">
        <f>$Q835-$O835</f>
        <v/>
      </c>
      <c r="EC835" s="67">
        <f>IFERROR($Q835/$P835,"")</f>
        <v/>
      </c>
    </row>
    <row r="836">
      <c r="DG836" s="64">
        <f>($B836-$B837)*100</f>
        <v/>
      </c>
      <c r="DH836" s="64">
        <f>($D836-$D837)*100</f>
        <v/>
      </c>
      <c r="DI836" s="64">
        <f>($E836-$E837)*100</f>
        <v/>
      </c>
      <c r="DJ836" s="64">
        <f>($H836-$H837)*100</f>
        <v/>
      </c>
      <c r="DK836" s="65">
        <f>IFERROR($J836/$J837-1,"")</f>
        <v/>
      </c>
      <c r="DL836" s="64">
        <f>$L836-$L837</f>
        <v/>
      </c>
      <c r="DM836" s="64">
        <f>$K836-$K837</f>
        <v/>
      </c>
      <c r="DN836" s="65">
        <f>IFERROR($N836/$N837-1,"")</f>
        <v/>
      </c>
      <c r="DO836" s="65">
        <f>IFERROR($M836/$M837-1,"")</f>
        <v/>
      </c>
      <c r="DP836" s="65">
        <f>IFERROR($AZ836/$AZ837-1,"")</f>
        <v/>
      </c>
      <c r="DQ836" s="65">
        <f>IFERROR($BA836/$BA837-1,"")</f>
        <v/>
      </c>
      <c r="DR836" s="64">
        <f>$O836-$O837</f>
        <v/>
      </c>
      <c r="DS836" s="64">
        <f>$P836-$P837</f>
        <v/>
      </c>
      <c r="DT836" s="64">
        <f>$Q836-$Q837</f>
        <v/>
      </c>
      <c r="DU836" s="64">
        <f>$S836-$S837</f>
        <v/>
      </c>
      <c r="DV836" s="65">
        <f>IFERROR(AVERAGE($AA837/$AA836-1,$AB837/$AB836-1,$AC837/$AC836-1,$AD837/$AD836-1,$AE837/$AE836-1,$AG837/$AG836-1,$AH837/$AH836-1,$AI837/$AI836-1,$AJ837/$AJ836-1,$AL837/$AL836-1,$AM837/$AM836-1,$AR837/$AR836-1,$AS837/$AS836-1,$AT837/$AT836-1,$AU837/$AU836-1,$AV837/$AV836-1,$AW837/$AW836-1,$AX837/$AX836-1,$AY837/$AY836-1),"")</f>
        <v/>
      </c>
      <c r="DW836" s="66">
        <f>AVERAGE($CB836,$CC836,$CD836,$CE836,$CF836,$CG836,$CH836,$CI836,$CJ836,$CL836,$CM836,$CN836,$CO836,$CP836,$CQ836,$CR836,$CS836,$CT836)</f>
        <v/>
      </c>
      <c r="DX836" s="66">
        <f>AVERAGE($CB836,$CC836,$CM836,$CE836,$CP836)</f>
        <v/>
      </c>
      <c r="DY836" s="64">
        <f>($DW836-$DW837)*100</f>
        <v/>
      </c>
      <c r="DZ836" s="64">
        <f>($DX836-$DX837)*100</f>
        <v/>
      </c>
      <c r="EA836" s="64">
        <f>($DW836-$D836)*100</f>
        <v/>
      </c>
      <c r="EB836" s="64">
        <f>$Q836-$O836</f>
        <v/>
      </c>
      <c r="EC836" s="67">
        <f>IFERROR($Q836/$P836,"")</f>
        <v/>
      </c>
    </row>
    <row r="837">
      <c r="DG837" s="64">
        <f>($B837-$B838)*100</f>
        <v/>
      </c>
      <c r="DH837" s="64">
        <f>($D837-$D838)*100</f>
        <v/>
      </c>
      <c r="DI837" s="64">
        <f>($E837-$E838)*100</f>
        <v/>
      </c>
      <c r="DJ837" s="64">
        <f>($H837-$H838)*100</f>
        <v/>
      </c>
      <c r="DK837" s="65">
        <f>IFERROR($J837/$J838-1,"")</f>
        <v/>
      </c>
      <c r="DL837" s="64">
        <f>$L837-$L838</f>
        <v/>
      </c>
      <c r="DM837" s="64">
        <f>$K837-$K838</f>
        <v/>
      </c>
      <c r="DN837" s="65">
        <f>IFERROR($N837/$N838-1,"")</f>
        <v/>
      </c>
      <c r="DO837" s="65">
        <f>IFERROR($M837/$M838-1,"")</f>
        <v/>
      </c>
      <c r="DP837" s="65">
        <f>IFERROR($AZ837/$AZ838-1,"")</f>
        <v/>
      </c>
      <c r="DQ837" s="65">
        <f>IFERROR($BA837/$BA838-1,"")</f>
        <v/>
      </c>
      <c r="DR837" s="64">
        <f>$O837-$O838</f>
        <v/>
      </c>
      <c r="DS837" s="64">
        <f>$P837-$P838</f>
        <v/>
      </c>
      <c r="DT837" s="64">
        <f>$Q837-$Q838</f>
        <v/>
      </c>
      <c r="DU837" s="64">
        <f>$S837-$S838</f>
        <v/>
      </c>
      <c r="DV837" s="65">
        <f>IFERROR(AVERAGE($AA838/$AA837-1,$AB838/$AB837-1,$AC838/$AC837-1,$AD838/$AD837-1,$AE838/$AE837-1,$AG838/$AG837-1,$AH838/$AH837-1,$AI838/$AI837-1,$AJ838/$AJ837-1,$AL838/$AL837-1,$AM838/$AM837-1,$AR838/$AR837-1,$AS838/$AS837-1,$AT838/$AT837-1,$AU838/$AU837-1,$AV838/$AV837-1,$AW838/$AW837-1,$AX838/$AX837-1,$AY838/$AY837-1),"")</f>
        <v/>
      </c>
      <c r="DW837" s="66">
        <f>AVERAGE($CB837,$CC837,$CD837,$CE837,$CF837,$CG837,$CH837,$CI837,$CJ837,$CL837,$CM837,$CN837,$CO837,$CP837,$CQ837,$CR837,$CS837,$CT837)</f>
        <v/>
      </c>
      <c r="DX837" s="66">
        <f>AVERAGE($CB837,$CC837,$CM837,$CE837,$CP837)</f>
        <v/>
      </c>
      <c r="DY837" s="64">
        <f>($DW837-$DW838)*100</f>
        <v/>
      </c>
      <c r="DZ837" s="64">
        <f>($DX837-$DX838)*100</f>
        <v/>
      </c>
      <c r="EA837" s="64">
        <f>($DW837-$D837)*100</f>
        <v/>
      </c>
      <c r="EB837" s="64">
        <f>$Q837-$O837</f>
        <v/>
      </c>
      <c r="EC837" s="67">
        <f>IFERROR($Q837/$P837,"")</f>
        <v/>
      </c>
    </row>
    <row r="838">
      <c r="DG838" s="64">
        <f>($B838-$B839)*100</f>
        <v/>
      </c>
      <c r="DH838" s="64">
        <f>($D838-$D839)*100</f>
        <v/>
      </c>
      <c r="DI838" s="64">
        <f>($E838-$E839)*100</f>
        <v/>
      </c>
      <c r="DJ838" s="64">
        <f>($H838-$H839)*100</f>
        <v/>
      </c>
      <c r="DK838" s="65">
        <f>IFERROR($J838/$J839-1,"")</f>
        <v/>
      </c>
      <c r="DL838" s="64">
        <f>$L838-$L839</f>
        <v/>
      </c>
      <c r="DM838" s="64">
        <f>$K838-$K839</f>
        <v/>
      </c>
      <c r="DN838" s="65">
        <f>IFERROR($N838/$N839-1,"")</f>
        <v/>
      </c>
      <c r="DO838" s="65">
        <f>IFERROR($M838/$M839-1,"")</f>
        <v/>
      </c>
      <c r="DP838" s="65">
        <f>IFERROR($AZ838/$AZ839-1,"")</f>
        <v/>
      </c>
      <c r="DQ838" s="65">
        <f>IFERROR($BA838/$BA839-1,"")</f>
        <v/>
      </c>
      <c r="DR838" s="64">
        <f>$O838-$O839</f>
        <v/>
      </c>
      <c r="DS838" s="64">
        <f>$P838-$P839</f>
        <v/>
      </c>
      <c r="DT838" s="64">
        <f>$Q838-$Q839</f>
        <v/>
      </c>
      <c r="DU838" s="64">
        <f>$S838-$S839</f>
        <v/>
      </c>
      <c r="DV838" s="65">
        <f>IFERROR(AVERAGE($AA839/$AA838-1,$AB839/$AB838-1,$AC839/$AC838-1,$AD839/$AD838-1,$AE839/$AE838-1,$AG839/$AG838-1,$AH839/$AH838-1,$AI839/$AI838-1,$AJ839/$AJ838-1,$AL839/$AL838-1,$AM839/$AM838-1,$AR839/$AR838-1,$AS839/$AS838-1,$AT839/$AT838-1,$AU839/$AU838-1,$AV839/$AV838-1,$AW839/$AW838-1,$AX839/$AX838-1,$AY839/$AY838-1),"")</f>
        <v/>
      </c>
      <c r="DW838" s="66">
        <f>AVERAGE($CB838,$CC838,$CD838,$CE838,$CF838,$CG838,$CH838,$CI838,$CJ838,$CL838,$CM838,$CN838,$CO838,$CP838,$CQ838,$CR838,$CS838,$CT838)</f>
        <v/>
      </c>
      <c r="DX838" s="66">
        <f>AVERAGE($CB838,$CC838,$CM838,$CE838,$CP838)</f>
        <v/>
      </c>
      <c r="DY838" s="64">
        <f>($DW838-$DW839)*100</f>
        <v/>
      </c>
      <c r="DZ838" s="64">
        <f>($DX838-$DX839)*100</f>
        <v/>
      </c>
      <c r="EA838" s="64">
        <f>($DW838-$D838)*100</f>
        <v/>
      </c>
      <c r="EB838" s="64">
        <f>$Q838-$O838</f>
        <v/>
      </c>
      <c r="EC838" s="67">
        <f>IFERROR($Q838/$P838,"")</f>
        <v/>
      </c>
    </row>
    <row r="839">
      <c r="DG839" s="64">
        <f>($B839-$B840)*100</f>
        <v/>
      </c>
      <c r="DH839" s="64">
        <f>($D839-$D840)*100</f>
        <v/>
      </c>
      <c r="DI839" s="64">
        <f>($E839-$E840)*100</f>
        <v/>
      </c>
      <c r="DJ839" s="64">
        <f>($H839-$H840)*100</f>
        <v/>
      </c>
      <c r="DK839" s="65">
        <f>IFERROR($J839/$J840-1,"")</f>
        <v/>
      </c>
      <c r="DL839" s="64">
        <f>$L839-$L840</f>
        <v/>
      </c>
      <c r="DM839" s="64">
        <f>$K839-$K840</f>
        <v/>
      </c>
      <c r="DN839" s="65">
        <f>IFERROR($N839/$N840-1,"")</f>
        <v/>
      </c>
      <c r="DO839" s="65">
        <f>IFERROR($M839/$M840-1,"")</f>
        <v/>
      </c>
      <c r="DP839" s="65">
        <f>IFERROR($AZ839/$AZ840-1,"")</f>
        <v/>
      </c>
      <c r="DQ839" s="65">
        <f>IFERROR($BA839/$BA840-1,"")</f>
        <v/>
      </c>
      <c r="DR839" s="64">
        <f>$O839-$O840</f>
        <v/>
      </c>
      <c r="DS839" s="64">
        <f>$P839-$P840</f>
        <v/>
      </c>
      <c r="DT839" s="64">
        <f>$Q839-$Q840</f>
        <v/>
      </c>
      <c r="DU839" s="64">
        <f>$S839-$S840</f>
        <v/>
      </c>
      <c r="DV839" s="65">
        <f>IFERROR(AVERAGE($AA840/$AA839-1,$AB840/$AB839-1,$AC840/$AC839-1,$AD840/$AD839-1,$AE840/$AE839-1,$AG840/$AG839-1,$AH840/$AH839-1,$AI840/$AI839-1,$AJ840/$AJ839-1,$AL840/$AL839-1,$AM840/$AM839-1,$AR840/$AR839-1,$AS840/$AS839-1,$AT840/$AT839-1,$AU840/$AU839-1,$AV840/$AV839-1,$AW840/$AW839-1,$AX840/$AX839-1,$AY840/$AY839-1),"")</f>
        <v/>
      </c>
      <c r="DW839" s="66">
        <f>AVERAGE($CB839,$CC839,$CD839,$CE839,$CF839,$CG839,$CH839,$CI839,$CJ839,$CL839,$CM839,$CN839,$CO839,$CP839,$CQ839,$CR839,$CS839,$CT839)</f>
        <v/>
      </c>
      <c r="DX839" s="66">
        <f>AVERAGE($CB839,$CC839,$CM839,$CE839,$CP839)</f>
        <v/>
      </c>
      <c r="DY839" s="64">
        <f>($DW839-$DW840)*100</f>
        <v/>
      </c>
      <c r="DZ839" s="64">
        <f>($DX839-$DX840)*100</f>
        <v/>
      </c>
      <c r="EA839" s="64">
        <f>($DW839-$D839)*100</f>
        <v/>
      </c>
      <c r="EB839" s="64">
        <f>$Q839-$O839</f>
        <v/>
      </c>
      <c r="EC839" s="67">
        <f>IFERROR($Q839/$P839,"")</f>
        <v/>
      </c>
    </row>
    <row r="840">
      <c r="DG840" s="64">
        <f>($B840-$B841)*100</f>
        <v/>
      </c>
      <c r="DH840" s="64">
        <f>($D840-$D841)*100</f>
        <v/>
      </c>
      <c r="DI840" s="64">
        <f>($E840-$E841)*100</f>
        <v/>
      </c>
      <c r="DJ840" s="64">
        <f>($H840-$H841)*100</f>
        <v/>
      </c>
      <c r="DK840" s="65">
        <f>IFERROR($J840/$J841-1,"")</f>
        <v/>
      </c>
      <c r="DL840" s="64">
        <f>$L840-$L841</f>
        <v/>
      </c>
      <c r="DM840" s="64">
        <f>$K840-$K841</f>
        <v/>
      </c>
      <c r="DN840" s="65">
        <f>IFERROR($N840/$N841-1,"")</f>
        <v/>
      </c>
      <c r="DO840" s="65">
        <f>IFERROR($M840/$M841-1,"")</f>
        <v/>
      </c>
      <c r="DP840" s="65">
        <f>IFERROR($AZ840/$AZ841-1,"")</f>
        <v/>
      </c>
      <c r="DQ840" s="65">
        <f>IFERROR($BA840/$BA841-1,"")</f>
        <v/>
      </c>
      <c r="DR840" s="64">
        <f>$O840-$O841</f>
        <v/>
      </c>
      <c r="DS840" s="64">
        <f>$P840-$P841</f>
        <v/>
      </c>
      <c r="DT840" s="64">
        <f>$Q840-$Q841</f>
        <v/>
      </c>
      <c r="DU840" s="64">
        <f>$S840-$S841</f>
        <v/>
      </c>
      <c r="DV840" s="65">
        <f>IFERROR(AVERAGE($AA841/$AA840-1,$AB841/$AB840-1,$AC841/$AC840-1,$AD841/$AD840-1,$AE841/$AE840-1,$AG841/$AG840-1,$AH841/$AH840-1,$AI841/$AI840-1,$AJ841/$AJ840-1,$AL841/$AL840-1,$AM841/$AM840-1,$AR841/$AR840-1,$AS841/$AS840-1,$AT841/$AT840-1,$AU841/$AU840-1,$AV841/$AV840-1,$AW841/$AW840-1,$AX841/$AX840-1,$AY841/$AY840-1),"")</f>
        <v/>
      </c>
      <c r="DW840" s="66">
        <f>AVERAGE($CB840,$CC840,$CD840,$CE840,$CF840,$CG840,$CH840,$CI840,$CJ840,$CL840,$CM840,$CN840,$CO840,$CP840,$CQ840,$CR840,$CS840,$CT840)</f>
        <v/>
      </c>
      <c r="DX840" s="66">
        <f>AVERAGE($CB840,$CC840,$CM840,$CE840,$CP840)</f>
        <v/>
      </c>
      <c r="DY840" s="64">
        <f>($DW840-$DW841)*100</f>
        <v/>
      </c>
      <c r="DZ840" s="64">
        <f>($DX840-$DX841)*100</f>
        <v/>
      </c>
      <c r="EA840" s="64">
        <f>($DW840-$D840)*100</f>
        <v/>
      </c>
      <c r="EB840" s="64">
        <f>$Q840-$O840</f>
        <v/>
      </c>
      <c r="EC840" s="67">
        <f>IFERROR($Q840/$P840,"")</f>
        <v/>
      </c>
    </row>
    <row r="841">
      <c r="DG841" s="64">
        <f>($B841-$B842)*100</f>
        <v/>
      </c>
      <c r="DH841" s="64">
        <f>($D841-$D842)*100</f>
        <v/>
      </c>
      <c r="DI841" s="64">
        <f>($E841-$E842)*100</f>
        <v/>
      </c>
      <c r="DJ841" s="64">
        <f>($H841-$H842)*100</f>
        <v/>
      </c>
      <c r="DK841" s="65">
        <f>IFERROR($J841/$J842-1,"")</f>
        <v/>
      </c>
      <c r="DL841" s="64">
        <f>$L841-$L842</f>
        <v/>
      </c>
      <c r="DM841" s="64">
        <f>$K841-$K842</f>
        <v/>
      </c>
      <c r="DN841" s="65">
        <f>IFERROR($N841/$N842-1,"")</f>
        <v/>
      </c>
      <c r="DO841" s="65">
        <f>IFERROR($M841/$M842-1,"")</f>
        <v/>
      </c>
      <c r="DP841" s="65">
        <f>IFERROR($AZ841/$AZ842-1,"")</f>
        <v/>
      </c>
      <c r="DQ841" s="65">
        <f>IFERROR($BA841/$BA842-1,"")</f>
        <v/>
      </c>
      <c r="DR841" s="64">
        <f>$O841-$O842</f>
        <v/>
      </c>
      <c r="DS841" s="64">
        <f>$P841-$P842</f>
        <v/>
      </c>
      <c r="DT841" s="64">
        <f>$Q841-$Q842</f>
        <v/>
      </c>
      <c r="DU841" s="64">
        <f>$S841-$S842</f>
        <v/>
      </c>
      <c r="DV841" s="65">
        <f>IFERROR(AVERAGE($AA842/$AA841-1,$AB842/$AB841-1,$AC842/$AC841-1,$AD842/$AD841-1,$AE842/$AE841-1,$AG842/$AG841-1,$AH842/$AH841-1,$AI842/$AI841-1,$AJ842/$AJ841-1,$AL842/$AL841-1,$AM842/$AM841-1,$AR842/$AR841-1,$AS842/$AS841-1,$AT842/$AT841-1,$AU842/$AU841-1,$AV842/$AV841-1,$AW842/$AW841-1,$AX842/$AX841-1,$AY842/$AY841-1),"")</f>
        <v/>
      </c>
      <c r="DW841" s="66">
        <f>AVERAGE($CB841,$CC841,$CD841,$CE841,$CF841,$CG841,$CH841,$CI841,$CJ841,$CL841,$CM841,$CN841,$CO841,$CP841,$CQ841,$CR841,$CS841,$CT841)</f>
        <v/>
      </c>
      <c r="DX841" s="66">
        <f>AVERAGE($CB841,$CC841,$CM841,$CE841,$CP841)</f>
        <v/>
      </c>
      <c r="DY841" s="64">
        <f>($DW841-$DW842)*100</f>
        <v/>
      </c>
      <c r="DZ841" s="64">
        <f>($DX841-$DX842)*100</f>
        <v/>
      </c>
      <c r="EA841" s="64">
        <f>($DW841-$D841)*100</f>
        <v/>
      </c>
      <c r="EB841" s="64">
        <f>$Q841-$O841</f>
        <v/>
      </c>
      <c r="EC841" s="67">
        <f>IFERROR($Q841/$P841,"")</f>
        <v/>
      </c>
    </row>
    <row r="842">
      <c r="DG842" s="64">
        <f>($B842-$B843)*100</f>
        <v/>
      </c>
      <c r="DH842" s="64">
        <f>($D842-$D843)*100</f>
        <v/>
      </c>
      <c r="DI842" s="64">
        <f>($E842-$E843)*100</f>
        <v/>
      </c>
      <c r="DJ842" s="64">
        <f>($H842-$H843)*100</f>
        <v/>
      </c>
      <c r="DK842" s="65">
        <f>IFERROR($J842/$J843-1,"")</f>
        <v/>
      </c>
      <c r="DL842" s="64">
        <f>$L842-$L843</f>
        <v/>
      </c>
      <c r="DM842" s="64">
        <f>$K842-$K843</f>
        <v/>
      </c>
      <c r="DN842" s="65">
        <f>IFERROR($N842/$N843-1,"")</f>
        <v/>
      </c>
      <c r="DO842" s="65">
        <f>IFERROR($M842/$M843-1,"")</f>
        <v/>
      </c>
      <c r="DP842" s="65">
        <f>IFERROR($AZ842/$AZ843-1,"")</f>
        <v/>
      </c>
      <c r="DQ842" s="65">
        <f>IFERROR($BA842/$BA843-1,"")</f>
        <v/>
      </c>
      <c r="DR842" s="64">
        <f>$O842-$O843</f>
        <v/>
      </c>
      <c r="DS842" s="64">
        <f>$P842-$P843</f>
        <v/>
      </c>
      <c r="DT842" s="64">
        <f>$Q842-$Q843</f>
        <v/>
      </c>
      <c r="DU842" s="64">
        <f>$S842-$S843</f>
        <v/>
      </c>
      <c r="DV842" s="65">
        <f>IFERROR(AVERAGE($AA843/$AA842-1,$AB843/$AB842-1,$AC843/$AC842-1,$AD843/$AD842-1,$AE843/$AE842-1,$AG843/$AG842-1,$AH843/$AH842-1,$AI843/$AI842-1,$AJ843/$AJ842-1,$AL843/$AL842-1,$AM843/$AM842-1,$AR843/$AR842-1,$AS843/$AS842-1,$AT843/$AT842-1,$AU843/$AU842-1,$AV843/$AV842-1,$AW843/$AW842-1,$AX843/$AX842-1,$AY843/$AY842-1),"")</f>
        <v/>
      </c>
      <c r="DW842" s="66">
        <f>AVERAGE($CB842,$CC842,$CD842,$CE842,$CF842,$CG842,$CH842,$CI842,$CJ842,$CL842,$CM842,$CN842,$CO842,$CP842,$CQ842,$CR842,$CS842,$CT842)</f>
        <v/>
      </c>
      <c r="DX842" s="66">
        <f>AVERAGE($CB842,$CC842,$CM842,$CE842,$CP842)</f>
        <v/>
      </c>
      <c r="DY842" s="64">
        <f>($DW842-$DW843)*100</f>
        <v/>
      </c>
      <c r="DZ842" s="64">
        <f>($DX842-$DX843)*100</f>
        <v/>
      </c>
      <c r="EA842" s="64">
        <f>($DW842-$D842)*100</f>
        <v/>
      </c>
      <c r="EB842" s="64">
        <f>$Q842-$O842</f>
        <v/>
      </c>
      <c r="EC842" s="67">
        <f>IFERROR($Q842/$P842,"")</f>
        <v/>
      </c>
    </row>
    <row r="843">
      <c r="DG843" s="64">
        <f>($B843-$B844)*100</f>
        <v/>
      </c>
      <c r="DH843" s="64">
        <f>($D843-$D844)*100</f>
        <v/>
      </c>
      <c r="DI843" s="64">
        <f>($E843-$E844)*100</f>
        <v/>
      </c>
      <c r="DJ843" s="64">
        <f>($H843-$H844)*100</f>
        <v/>
      </c>
      <c r="DK843" s="65">
        <f>IFERROR($J843/$J844-1,"")</f>
        <v/>
      </c>
      <c r="DL843" s="64">
        <f>$L843-$L844</f>
        <v/>
      </c>
      <c r="DM843" s="64">
        <f>$K843-$K844</f>
        <v/>
      </c>
      <c r="DN843" s="65">
        <f>IFERROR($N843/$N844-1,"")</f>
        <v/>
      </c>
      <c r="DO843" s="65">
        <f>IFERROR($M843/$M844-1,"")</f>
        <v/>
      </c>
      <c r="DP843" s="65">
        <f>IFERROR($AZ843/$AZ844-1,"")</f>
        <v/>
      </c>
      <c r="DQ843" s="65">
        <f>IFERROR($BA843/$BA844-1,"")</f>
        <v/>
      </c>
      <c r="DR843" s="64">
        <f>$O843-$O844</f>
        <v/>
      </c>
      <c r="DS843" s="64">
        <f>$P843-$P844</f>
        <v/>
      </c>
      <c r="DT843" s="64">
        <f>$Q843-$Q844</f>
        <v/>
      </c>
      <c r="DU843" s="64">
        <f>$S843-$S844</f>
        <v/>
      </c>
      <c r="DV843" s="65">
        <f>IFERROR(AVERAGE($AA844/$AA843-1,$AB844/$AB843-1,$AC844/$AC843-1,$AD844/$AD843-1,$AE844/$AE843-1,$AG844/$AG843-1,$AH844/$AH843-1,$AI844/$AI843-1,$AJ844/$AJ843-1,$AL844/$AL843-1,$AM844/$AM843-1,$AR844/$AR843-1,$AS844/$AS843-1,$AT844/$AT843-1,$AU844/$AU843-1,$AV844/$AV843-1,$AW844/$AW843-1,$AX844/$AX843-1,$AY844/$AY843-1),"")</f>
        <v/>
      </c>
      <c r="DW843" s="66">
        <f>AVERAGE($CB843,$CC843,$CD843,$CE843,$CF843,$CG843,$CH843,$CI843,$CJ843,$CL843,$CM843,$CN843,$CO843,$CP843,$CQ843,$CR843,$CS843,$CT843)</f>
        <v/>
      </c>
      <c r="DX843" s="66">
        <f>AVERAGE($CB843,$CC843,$CM843,$CE843,$CP843)</f>
        <v/>
      </c>
      <c r="DY843" s="64">
        <f>($DW843-$DW844)*100</f>
        <v/>
      </c>
      <c r="DZ843" s="64">
        <f>($DX843-$DX844)*100</f>
        <v/>
      </c>
      <c r="EA843" s="64">
        <f>($DW843-$D843)*100</f>
        <v/>
      </c>
      <c r="EB843" s="64">
        <f>$Q843-$O843</f>
        <v/>
      </c>
      <c r="EC843" s="67">
        <f>IFERROR($Q843/$P843,"")</f>
        <v/>
      </c>
    </row>
    <row r="844">
      <c r="DG844" s="64">
        <f>($B844-$B845)*100</f>
        <v/>
      </c>
      <c r="DH844" s="64">
        <f>($D844-$D845)*100</f>
        <v/>
      </c>
      <c r="DI844" s="64">
        <f>($E844-$E845)*100</f>
        <v/>
      </c>
      <c r="DJ844" s="64">
        <f>($H844-$H845)*100</f>
        <v/>
      </c>
      <c r="DK844" s="65">
        <f>IFERROR($J844/$J845-1,"")</f>
        <v/>
      </c>
      <c r="DL844" s="64">
        <f>$L844-$L845</f>
        <v/>
      </c>
      <c r="DM844" s="64">
        <f>$K844-$K845</f>
        <v/>
      </c>
      <c r="DN844" s="65">
        <f>IFERROR($N844/$N845-1,"")</f>
        <v/>
      </c>
      <c r="DO844" s="65">
        <f>IFERROR($M844/$M845-1,"")</f>
        <v/>
      </c>
      <c r="DP844" s="65">
        <f>IFERROR($AZ844/$AZ845-1,"")</f>
        <v/>
      </c>
      <c r="DQ844" s="65">
        <f>IFERROR($BA844/$BA845-1,"")</f>
        <v/>
      </c>
      <c r="DR844" s="64">
        <f>$O844-$O845</f>
        <v/>
      </c>
      <c r="DS844" s="64">
        <f>$P844-$P845</f>
        <v/>
      </c>
      <c r="DT844" s="64">
        <f>$Q844-$Q845</f>
        <v/>
      </c>
      <c r="DU844" s="64">
        <f>$S844-$S845</f>
        <v/>
      </c>
      <c r="DV844" s="65">
        <f>IFERROR(AVERAGE($AA845/$AA844-1,$AB845/$AB844-1,$AC845/$AC844-1,$AD845/$AD844-1,$AE845/$AE844-1,$AG845/$AG844-1,$AH845/$AH844-1,$AI845/$AI844-1,$AJ845/$AJ844-1,$AL845/$AL844-1,$AM845/$AM844-1,$AR845/$AR844-1,$AS845/$AS844-1,$AT845/$AT844-1,$AU845/$AU844-1,$AV845/$AV844-1,$AW845/$AW844-1,$AX845/$AX844-1,$AY845/$AY844-1),"")</f>
        <v/>
      </c>
      <c r="DW844" s="66">
        <f>AVERAGE($CB844,$CC844,$CD844,$CE844,$CF844,$CG844,$CH844,$CI844,$CJ844,$CL844,$CM844,$CN844,$CO844,$CP844,$CQ844,$CR844,$CS844,$CT844)</f>
        <v/>
      </c>
      <c r="DX844" s="66">
        <f>AVERAGE($CB844,$CC844,$CM844,$CE844,$CP844)</f>
        <v/>
      </c>
      <c r="DY844" s="64">
        <f>($DW844-$DW845)*100</f>
        <v/>
      </c>
      <c r="DZ844" s="64">
        <f>($DX844-$DX845)*100</f>
        <v/>
      </c>
      <c r="EA844" s="64">
        <f>($DW844-$D844)*100</f>
        <v/>
      </c>
      <c r="EB844" s="64">
        <f>$Q844-$O844</f>
        <v/>
      </c>
      <c r="EC844" s="67">
        <f>IFERROR($Q844/$P844,"")</f>
        <v/>
      </c>
    </row>
    <row r="845">
      <c r="DG845" s="64">
        <f>($B845-$B846)*100</f>
        <v/>
      </c>
      <c r="DH845" s="64">
        <f>($D845-$D846)*100</f>
        <v/>
      </c>
      <c r="DI845" s="64">
        <f>($E845-$E846)*100</f>
        <v/>
      </c>
      <c r="DJ845" s="64">
        <f>($H845-$H846)*100</f>
        <v/>
      </c>
      <c r="DK845" s="65">
        <f>IFERROR($J845/$J846-1,"")</f>
        <v/>
      </c>
      <c r="DL845" s="64">
        <f>$L845-$L846</f>
        <v/>
      </c>
      <c r="DM845" s="64">
        <f>$K845-$K846</f>
        <v/>
      </c>
      <c r="DN845" s="65">
        <f>IFERROR($N845/$N846-1,"")</f>
        <v/>
      </c>
      <c r="DO845" s="65">
        <f>IFERROR($M845/$M846-1,"")</f>
        <v/>
      </c>
      <c r="DP845" s="65">
        <f>IFERROR($AZ845/$AZ846-1,"")</f>
        <v/>
      </c>
      <c r="DQ845" s="65">
        <f>IFERROR($BA845/$BA846-1,"")</f>
        <v/>
      </c>
      <c r="DR845" s="64">
        <f>$O845-$O846</f>
        <v/>
      </c>
      <c r="DS845" s="64">
        <f>$P845-$P846</f>
        <v/>
      </c>
      <c r="DT845" s="64">
        <f>$Q845-$Q846</f>
        <v/>
      </c>
      <c r="DU845" s="64">
        <f>$S845-$S846</f>
        <v/>
      </c>
      <c r="DV845" s="65">
        <f>IFERROR(AVERAGE($AA846/$AA845-1,$AB846/$AB845-1,$AC846/$AC845-1,$AD846/$AD845-1,$AE846/$AE845-1,$AG846/$AG845-1,$AH846/$AH845-1,$AI846/$AI845-1,$AJ846/$AJ845-1,$AL846/$AL845-1,$AM846/$AM845-1,$AR846/$AR845-1,$AS846/$AS845-1,$AT846/$AT845-1,$AU846/$AU845-1,$AV846/$AV845-1,$AW846/$AW845-1,$AX846/$AX845-1,$AY846/$AY845-1),"")</f>
        <v/>
      </c>
      <c r="DW845" s="66">
        <f>AVERAGE($CB845,$CC845,$CD845,$CE845,$CF845,$CG845,$CH845,$CI845,$CJ845,$CL845,$CM845,$CN845,$CO845,$CP845,$CQ845,$CR845,$CS845,$CT845)</f>
        <v/>
      </c>
      <c r="DX845" s="66">
        <f>AVERAGE($CB845,$CC845,$CM845,$CE845,$CP845)</f>
        <v/>
      </c>
      <c r="DY845" s="64">
        <f>($DW845-$DW846)*100</f>
        <v/>
      </c>
      <c r="DZ845" s="64">
        <f>($DX845-$DX846)*100</f>
        <v/>
      </c>
      <c r="EA845" s="64">
        <f>($DW845-$D845)*100</f>
        <v/>
      </c>
      <c r="EB845" s="64">
        <f>$Q845-$O845</f>
        <v/>
      </c>
      <c r="EC845" s="67">
        <f>IFERROR($Q845/$P845,"")</f>
        <v/>
      </c>
    </row>
    <row r="846">
      <c r="DG846" s="64">
        <f>($B846-$B847)*100</f>
        <v/>
      </c>
      <c r="DH846" s="64">
        <f>($D846-$D847)*100</f>
        <v/>
      </c>
      <c r="DI846" s="64">
        <f>($E846-$E847)*100</f>
        <v/>
      </c>
      <c r="DJ846" s="64">
        <f>($H846-$H847)*100</f>
        <v/>
      </c>
      <c r="DK846" s="65">
        <f>IFERROR($J846/$J847-1,"")</f>
        <v/>
      </c>
      <c r="DL846" s="64">
        <f>$L846-$L847</f>
        <v/>
      </c>
      <c r="DM846" s="64">
        <f>$K846-$K847</f>
        <v/>
      </c>
      <c r="DN846" s="65">
        <f>IFERROR($N846/$N847-1,"")</f>
        <v/>
      </c>
      <c r="DO846" s="65">
        <f>IFERROR($M846/$M847-1,"")</f>
        <v/>
      </c>
      <c r="DP846" s="65">
        <f>IFERROR($AZ846/$AZ847-1,"")</f>
        <v/>
      </c>
      <c r="DQ846" s="65">
        <f>IFERROR($BA846/$BA847-1,"")</f>
        <v/>
      </c>
      <c r="DR846" s="64">
        <f>$O846-$O847</f>
        <v/>
      </c>
      <c r="DS846" s="64">
        <f>$P846-$P847</f>
        <v/>
      </c>
      <c r="DT846" s="64">
        <f>$Q846-$Q847</f>
        <v/>
      </c>
      <c r="DU846" s="64">
        <f>$S846-$S847</f>
        <v/>
      </c>
      <c r="DV846" s="65">
        <f>IFERROR(AVERAGE($AA847/$AA846-1,$AB847/$AB846-1,$AC847/$AC846-1,$AD847/$AD846-1,$AE847/$AE846-1,$AG847/$AG846-1,$AH847/$AH846-1,$AI847/$AI846-1,$AJ847/$AJ846-1,$AL847/$AL846-1,$AM847/$AM846-1,$AR847/$AR846-1,$AS847/$AS846-1,$AT847/$AT846-1,$AU847/$AU846-1,$AV847/$AV846-1,$AW847/$AW846-1,$AX847/$AX846-1,$AY847/$AY846-1),"")</f>
        <v/>
      </c>
      <c r="DW846" s="66">
        <f>AVERAGE($CB846,$CC846,$CD846,$CE846,$CF846,$CG846,$CH846,$CI846,$CJ846,$CL846,$CM846,$CN846,$CO846,$CP846,$CQ846,$CR846,$CS846,$CT846)</f>
        <v/>
      </c>
      <c r="DX846" s="66">
        <f>AVERAGE($CB846,$CC846,$CM846,$CE846,$CP846)</f>
        <v/>
      </c>
      <c r="DY846" s="64">
        <f>($DW846-$DW847)*100</f>
        <v/>
      </c>
      <c r="DZ846" s="64">
        <f>($DX846-$DX847)*100</f>
        <v/>
      </c>
      <c r="EA846" s="64">
        <f>($DW846-$D846)*100</f>
        <v/>
      </c>
      <c r="EB846" s="64">
        <f>$Q846-$O846</f>
        <v/>
      </c>
      <c r="EC846" s="67">
        <f>IFERROR($Q846/$P846,"")</f>
        <v/>
      </c>
    </row>
    <row r="847">
      <c r="DG847" s="64">
        <f>($B847-$B848)*100</f>
        <v/>
      </c>
      <c r="DH847" s="64">
        <f>($D847-$D848)*100</f>
        <v/>
      </c>
      <c r="DI847" s="64">
        <f>($E847-$E848)*100</f>
        <v/>
      </c>
      <c r="DJ847" s="64">
        <f>($H847-$H848)*100</f>
        <v/>
      </c>
      <c r="DK847" s="65">
        <f>IFERROR($J847/$J848-1,"")</f>
        <v/>
      </c>
      <c r="DL847" s="64">
        <f>$L847-$L848</f>
        <v/>
      </c>
      <c r="DM847" s="64">
        <f>$K847-$K848</f>
        <v/>
      </c>
      <c r="DN847" s="65">
        <f>IFERROR($N847/$N848-1,"")</f>
        <v/>
      </c>
      <c r="DO847" s="65">
        <f>IFERROR($M847/$M848-1,"")</f>
        <v/>
      </c>
      <c r="DP847" s="65">
        <f>IFERROR($AZ847/$AZ848-1,"")</f>
        <v/>
      </c>
      <c r="DQ847" s="65">
        <f>IFERROR($BA847/$BA848-1,"")</f>
        <v/>
      </c>
      <c r="DR847" s="64">
        <f>$O847-$O848</f>
        <v/>
      </c>
      <c r="DS847" s="64">
        <f>$P847-$P848</f>
        <v/>
      </c>
      <c r="DT847" s="64">
        <f>$Q847-$Q848</f>
        <v/>
      </c>
      <c r="DU847" s="64">
        <f>$S847-$S848</f>
        <v/>
      </c>
      <c r="DV847" s="65">
        <f>IFERROR(AVERAGE($AA848/$AA847-1,$AB848/$AB847-1,$AC848/$AC847-1,$AD848/$AD847-1,$AE848/$AE847-1,$AG848/$AG847-1,$AH848/$AH847-1,$AI848/$AI847-1,$AJ848/$AJ847-1,$AL848/$AL847-1,$AM848/$AM847-1,$AR848/$AR847-1,$AS848/$AS847-1,$AT848/$AT847-1,$AU848/$AU847-1,$AV848/$AV847-1,$AW848/$AW847-1,$AX848/$AX847-1,$AY848/$AY847-1),"")</f>
        <v/>
      </c>
      <c r="DW847" s="66">
        <f>AVERAGE($CB847,$CC847,$CD847,$CE847,$CF847,$CG847,$CH847,$CI847,$CJ847,$CL847,$CM847,$CN847,$CO847,$CP847,$CQ847,$CR847,$CS847,$CT847)</f>
        <v/>
      </c>
      <c r="DX847" s="66">
        <f>AVERAGE($CB847,$CC847,$CM847,$CE847,$CP847)</f>
        <v/>
      </c>
      <c r="DY847" s="64">
        <f>($DW847-$DW848)*100</f>
        <v/>
      </c>
      <c r="DZ847" s="64">
        <f>($DX847-$DX848)*100</f>
        <v/>
      </c>
      <c r="EA847" s="64">
        <f>($DW847-$D847)*100</f>
        <v/>
      </c>
      <c r="EB847" s="64">
        <f>$Q847-$O847</f>
        <v/>
      </c>
      <c r="EC847" s="67">
        <f>IFERROR($Q847/$P847,"")</f>
        <v/>
      </c>
    </row>
    <row r="848">
      <c r="DG848" s="64">
        <f>($B848-$B849)*100</f>
        <v/>
      </c>
      <c r="DH848" s="64">
        <f>($D848-$D849)*100</f>
        <v/>
      </c>
      <c r="DI848" s="64">
        <f>($E848-$E849)*100</f>
        <v/>
      </c>
      <c r="DJ848" s="64">
        <f>($H848-$H849)*100</f>
        <v/>
      </c>
      <c r="DK848" s="65">
        <f>IFERROR($J848/$J849-1,"")</f>
        <v/>
      </c>
      <c r="DL848" s="64">
        <f>$L848-$L849</f>
        <v/>
      </c>
      <c r="DM848" s="64">
        <f>$K848-$K849</f>
        <v/>
      </c>
      <c r="DN848" s="65">
        <f>IFERROR($N848/$N849-1,"")</f>
        <v/>
      </c>
      <c r="DO848" s="65">
        <f>IFERROR($M848/$M849-1,"")</f>
        <v/>
      </c>
      <c r="DP848" s="65">
        <f>IFERROR($AZ848/$AZ849-1,"")</f>
        <v/>
      </c>
      <c r="DQ848" s="65">
        <f>IFERROR($BA848/$BA849-1,"")</f>
        <v/>
      </c>
      <c r="DR848" s="64">
        <f>$O848-$O849</f>
        <v/>
      </c>
      <c r="DS848" s="64">
        <f>$P848-$P849</f>
        <v/>
      </c>
      <c r="DT848" s="64">
        <f>$Q848-$Q849</f>
        <v/>
      </c>
      <c r="DU848" s="64">
        <f>$S848-$S849</f>
        <v/>
      </c>
      <c r="DV848" s="65">
        <f>IFERROR(AVERAGE($AA849/$AA848-1,$AB849/$AB848-1,$AC849/$AC848-1,$AD849/$AD848-1,$AE849/$AE848-1,$AG849/$AG848-1,$AH849/$AH848-1,$AI849/$AI848-1,$AJ849/$AJ848-1,$AL849/$AL848-1,$AM849/$AM848-1,$AR849/$AR848-1,$AS849/$AS848-1,$AT849/$AT848-1,$AU849/$AU848-1,$AV849/$AV848-1,$AW849/$AW848-1,$AX849/$AX848-1,$AY849/$AY848-1),"")</f>
        <v/>
      </c>
      <c r="DW848" s="66">
        <f>AVERAGE($CB848,$CC848,$CD848,$CE848,$CF848,$CG848,$CH848,$CI848,$CJ848,$CL848,$CM848,$CN848,$CO848,$CP848,$CQ848,$CR848,$CS848,$CT848)</f>
        <v/>
      </c>
      <c r="DX848" s="66">
        <f>AVERAGE($CB848,$CC848,$CM848,$CE848,$CP848)</f>
        <v/>
      </c>
      <c r="DY848" s="64">
        <f>($DW848-$DW849)*100</f>
        <v/>
      </c>
      <c r="DZ848" s="64">
        <f>($DX848-$DX849)*100</f>
        <v/>
      </c>
      <c r="EA848" s="64">
        <f>($DW848-$D848)*100</f>
        <v/>
      </c>
      <c r="EB848" s="64">
        <f>$Q848-$O848</f>
        <v/>
      </c>
      <c r="EC848" s="67">
        <f>IFERROR($Q848/$P848,"")</f>
        <v/>
      </c>
    </row>
    <row r="849">
      <c r="DG849" s="64">
        <f>($B849-$B850)*100</f>
        <v/>
      </c>
      <c r="DH849" s="64">
        <f>($D849-$D850)*100</f>
        <v/>
      </c>
      <c r="DI849" s="64">
        <f>($E849-$E850)*100</f>
        <v/>
      </c>
      <c r="DJ849" s="64">
        <f>($H849-$H850)*100</f>
        <v/>
      </c>
      <c r="DK849" s="65">
        <f>IFERROR($J849/$J850-1,"")</f>
        <v/>
      </c>
      <c r="DL849" s="64">
        <f>$L849-$L850</f>
        <v/>
      </c>
      <c r="DM849" s="64">
        <f>$K849-$K850</f>
        <v/>
      </c>
      <c r="DN849" s="65">
        <f>IFERROR($N849/$N850-1,"")</f>
        <v/>
      </c>
      <c r="DO849" s="65">
        <f>IFERROR($M849/$M850-1,"")</f>
        <v/>
      </c>
      <c r="DP849" s="65">
        <f>IFERROR($AZ849/$AZ850-1,"")</f>
        <v/>
      </c>
      <c r="DQ849" s="65">
        <f>IFERROR($BA849/$BA850-1,"")</f>
        <v/>
      </c>
      <c r="DR849" s="64">
        <f>$O849-$O850</f>
        <v/>
      </c>
      <c r="DS849" s="64">
        <f>$P849-$P850</f>
        <v/>
      </c>
      <c r="DT849" s="64">
        <f>$Q849-$Q850</f>
        <v/>
      </c>
      <c r="DU849" s="64">
        <f>$S849-$S850</f>
        <v/>
      </c>
      <c r="DV849" s="65">
        <f>IFERROR(AVERAGE($AA850/$AA849-1,$AB850/$AB849-1,$AC850/$AC849-1,$AD850/$AD849-1,$AE850/$AE849-1,$AG850/$AG849-1,$AH850/$AH849-1,$AI850/$AI849-1,$AJ850/$AJ849-1,$AL850/$AL849-1,$AM850/$AM849-1,$AR850/$AR849-1,$AS850/$AS849-1,$AT850/$AT849-1,$AU850/$AU849-1,$AV850/$AV849-1,$AW850/$AW849-1,$AX850/$AX849-1,$AY850/$AY849-1),"")</f>
        <v/>
      </c>
      <c r="DW849" s="66">
        <f>AVERAGE($CB849,$CC849,$CD849,$CE849,$CF849,$CG849,$CH849,$CI849,$CJ849,$CL849,$CM849,$CN849,$CO849,$CP849,$CQ849,$CR849,$CS849,$CT849)</f>
        <v/>
      </c>
      <c r="DX849" s="66">
        <f>AVERAGE($CB849,$CC849,$CM849,$CE849,$CP849)</f>
        <v/>
      </c>
      <c r="DY849" s="64">
        <f>($DW849-$DW850)*100</f>
        <v/>
      </c>
      <c r="DZ849" s="64">
        <f>($DX849-$DX850)*100</f>
        <v/>
      </c>
      <c r="EA849" s="64">
        <f>($DW849-$D849)*100</f>
        <v/>
      </c>
      <c r="EB849" s="64">
        <f>$Q849-$O849</f>
        <v/>
      </c>
      <c r="EC849" s="67">
        <f>IFERROR($Q849/$P849,"")</f>
        <v/>
      </c>
    </row>
    <row r="850">
      <c r="DG850" s="64">
        <f>($B850-$B851)*100</f>
        <v/>
      </c>
      <c r="DH850" s="64">
        <f>($D850-$D851)*100</f>
        <v/>
      </c>
      <c r="DI850" s="64">
        <f>($E850-$E851)*100</f>
        <v/>
      </c>
      <c r="DJ850" s="64">
        <f>($H850-$H851)*100</f>
        <v/>
      </c>
      <c r="DK850" s="65">
        <f>IFERROR($J850/$J851-1,"")</f>
        <v/>
      </c>
      <c r="DL850" s="64">
        <f>$L850-$L851</f>
        <v/>
      </c>
      <c r="DM850" s="64">
        <f>$K850-$K851</f>
        <v/>
      </c>
      <c r="DN850" s="65">
        <f>IFERROR($N850/$N851-1,"")</f>
        <v/>
      </c>
      <c r="DO850" s="65">
        <f>IFERROR($M850/$M851-1,"")</f>
        <v/>
      </c>
      <c r="DP850" s="65">
        <f>IFERROR($AZ850/$AZ851-1,"")</f>
        <v/>
      </c>
      <c r="DQ850" s="65">
        <f>IFERROR($BA850/$BA851-1,"")</f>
        <v/>
      </c>
      <c r="DR850" s="64">
        <f>$O850-$O851</f>
        <v/>
      </c>
      <c r="DS850" s="64">
        <f>$P850-$P851</f>
        <v/>
      </c>
      <c r="DT850" s="64">
        <f>$Q850-$Q851</f>
        <v/>
      </c>
      <c r="DU850" s="64">
        <f>$S850-$S851</f>
        <v/>
      </c>
      <c r="DV850" s="65">
        <f>IFERROR(AVERAGE($AA851/$AA850-1,$AB851/$AB850-1,$AC851/$AC850-1,$AD851/$AD850-1,$AE851/$AE850-1,$AG851/$AG850-1,$AH851/$AH850-1,$AI851/$AI850-1,$AJ851/$AJ850-1,$AL851/$AL850-1,$AM851/$AM850-1,$AR851/$AR850-1,$AS851/$AS850-1,$AT851/$AT850-1,$AU851/$AU850-1,$AV851/$AV850-1,$AW851/$AW850-1,$AX851/$AX850-1,$AY851/$AY850-1),"")</f>
        <v/>
      </c>
      <c r="DW850" s="66">
        <f>AVERAGE($CB850,$CC850,$CD850,$CE850,$CF850,$CG850,$CH850,$CI850,$CJ850,$CL850,$CM850,$CN850,$CO850,$CP850,$CQ850,$CR850,$CS850,$CT850)</f>
        <v/>
      </c>
      <c r="DX850" s="66">
        <f>AVERAGE($CB850,$CC850,$CM850,$CE850,$CP850)</f>
        <v/>
      </c>
      <c r="DY850" s="64">
        <f>($DW850-$DW851)*100</f>
        <v/>
      </c>
      <c r="DZ850" s="64">
        <f>($DX850-$DX851)*100</f>
        <v/>
      </c>
      <c r="EA850" s="64">
        <f>($DW850-$D850)*100</f>
        <v/>
      </c>
      <c r="EB850" s="64">
        <f>$Q850-$O850</f>
        <v/>
      </c>
      <c r="EC850" s="67">
        <f>IFERROR($Q850/$P850,"")</f>
        <v/>
      </c>
    </row>
    <row r="851">
      <c r="DG851" s="64">
        <f>($B851-$B852)*100</f>
        <v/>
      </c>
      <c r="DH851" s="64">
        <f>($D851-$D852)*100</f>
        <v/>
      </c>
      <c r="DI851" s="64">
        <f>($E851-$E852)*100</f>
        <v/>
      </c>
      <c r="DJ851" s="64">
        <f>($H851-$H852)*100</f>
        <v/>
      </c>
      <c r="DK851" s="65">
        <f>IFERROR($J851/$J852-1,"")</f>
        <v/>
      </c>
      <c r="DL851" s="64">
        <f>$L851-$L852</f>
        <v/>
      </c>
      <c r="DM851" s="64">
        <f>$K851-$K852</f>
        <v/>
      </c>
      <c r="DN851" s="65">
        <f>IFERROR($N851/$N852-1,"")</f>
        <v/>
      </c>
      <c r="DO851" s="65">
        <f>IFERROR($M851/$M852-1,"")</f>
        <v/>
      </c>
      <c r="DP851" s="65">
        <f>IFERROR($AZ851/$AZ852-1,"")</f>
        <v/>
      </c>
      <c r="DQ851" s="65">
        <f>IFERROR($BA851/$BA852-1,"")</f>
        <v/>
      </c>
      <c r="DR851" s="64">
        <f>$O851-$O852</f>
        <v/>
      </c>
      <c r="DS851" s="64">
        <f>$P851-$P852</f>
        <v/>
      </c>
      <c r="DT851" s="64">
        <f>$Q851-$Q852</f>
        <v/>
      </c>
      <c r="DU851" s="64">
        <f>$S851-$S852</f>
        <v/>
      </c>
      <c r="DV851" s="65">
        <f>IFERROR(AVERAGE($AA852/$AA851-1,$AB852/$AB851-1,$AC852/$AC851-1,$AD852/$AD851-1,$AE852/$AE851-1,$AG852/$AG851-1,$AH852/$AH851-1,$AI852/$AI851-1,$AJ852/$AJ851-1,$AL852/$AL851-1,$AM852/$AM851-1,$AR852/$AR851-1,$AS852/$AS851-1,$AT852/$AT851-1,$AU852/$AU851-1,$AV852/$AV851-1,$AW852/$AW851-1,$AX852/$AX851-1,$AY852/$AY851-1),"")</f>
        <v/>
      </c>
      <c r="DW851" s="66">
        <f>AVERAGE($CB851,$CC851,$CD851,$CE851,$CF851,$CG851,$CH851,$CI851,$CJ851,$CL851,$CM851,$CN851,$CO851,$CP851,$CQ851,$CR851,$CS851,$CT851)</f>
        <v/>
      </c>
      <c r="DX851" s="66">
        <f>AVERAGE($CB851,$CC851,$CM851,$CE851,$CP851)</f>
        <v/>
      </c>
      <c r="DY851" s="64">
        <f>($DW851-$DW852)*100</f>
        <v/>
      </c>
      <c r="DZ851" s="64">
        <f>($DX851-$DX852)*100</f>
        <v/>
      </c>
      <c r="EA851" s="64">
        <f>($DW851-$D851)*100</f>
        <v/>
      </c>
      <c r="EB851" s="64">
        <f>$Q851-$O851</f>
        <v/>
      </c>
      <c r="EC851" s="67">
        <f>IFERROR($Q851/$P851,"")</f>
        <v/>
      </c>
    </row>
    <row r="852">
      <c r="DG852" s="64">
        <f>($B852-$B853)*100</f>
        <v/>
      </c>
      <c r="DH852" s="64">
        <f>($D852-$D853)*100</f>
        <v/>
      </c>
      <c r="DI852" s="64">
        <f>($E852-$E853)*100</f>
        <v/>
      </c>
      <c r="DJ852" s="64">
        <f>($H852-$H853)*100</f>
        <v/>
      </c>
      <c r="DK852" s="65">
        <f>IFERROR($J852/$J853-1,"")</f>
        <v/>
      </c>
      <c r="DL852" s="64">
        <f>$L852-$L853</f>
        <v/>
      </c>
      <c r="DM852" s="64">
        <f>$K852-$K853</f>
        <v/>
      </c>
      <c r="DN852" s="65">
        <f>IFERROR($N852/$N853-1,"")</f>
        <v/>
      </c>
      <c r="DO852" s="65">
        <f>IFERROR($M852/$M853-1,"")</f>
        <v/>
      </c>
      <c r="DP852" s="65">
        <f>IFERROR($AZ852/$AZ853-1,"")</f>
        <v/>
      </c>
      <c r="DQ852" s="65">
        <f>IFERROR($BA852/$BA853-1,"")</f>
        <v/>
      </c>
      <c r="DR852" s="64">
        <f>$O852-$O853</f>
        <v/>
      </c>
      <c r="DS852" s="64">
        <f>$P852-$P853</f>
        <v/>
      </c>
      <c r="DT852" s="64">
        <f>$Q852-$Q853</f>
        <v/>
      </c>
      <c r="DU852" s="64">
        <f>$S852-$S853</f>
        <v/>
      </c>
      <c r="DV852" s="65">
        <f>IFERROR(AVERAGE($AA853/$AA852-1,$AB853/$AB852-1,$AC853/$AC852-1,$AD853/$AD852-1,$AE853/$AE852-1,$AG853/$AG852-1,$AH853/$AH852-1,$AI853/$AI852-1,$AJ853/$AJ852-1,$AL853/$AL852-1,$AM853/$AM852-1,$AR853/$AR852-1,$AS853/$AS852-1,$AT853/$AT852-1,$AU853/$AU852-1,$AV853/$AV852-1,$AW853/$AW852-1,$AX853/$AX852-1,$AY853/$AY852-1),"")</f>
        <v/>
      </c>
      <c r="DW852" s="66">
        <f>AVERAGE($CB852,$CC852,$CD852,$CE852,$CF852,$CG852,$CH852,$CI852,$CJ852,$CL852,$CM852,$CN852,$CO852,$CP852,$CQ852,$CR852,$CS852,$CT852)</f>
        <v/>
      </c>
      <c r="DX852" s="66">
        <f>AVERAGE($CB852,$CC852,$CM852,$CE852,$CP852)</f>
        <v/>
      </c>
      <c r="DY852" s="64">
        <f>($DW852-$DW853)*100</f>
        <v/>
      </c>
      <c r="DZ852" s="64">
        <f>($DX852-$DX853)*100</f>
        <v/>
      </c>
      <c r="EA852" s="64">
        <f>($DW852-$D852)*100</f>
        <v/>
      </c>
      <c r="EB852" s="64">
        <f>$Q852-$O852</f>
        <v/>
      </c>
      <c r="EC852" s="67">
        <f>IFERROR($Q852/$P852,"")</f>
        <v/>
      </c>
    </row>
    <row r="853">
      <c r="DG853" s="64">
        <f>($B853-$B854)*100</f>
        <v/>
      </c>
      <c r="DH853" s="64">
        <f>($D853-$D854)*100</f>
        <v/>
      </c>
      <c r="DI853" s="64">
        <f>($E853-$E854)*100</f>
        <v/>
      </c>
      <c r="DJ853" s="64">
        <f>($H853-$H854)*100</f>
        <v/>
      </c>
      <c r="DK853" s="65">
        <f>IFERROR($J853/$J854-1,"")</f>
        <v/>
      </c>
      <c r="DL853" s="64">
        <f>$L853-$L854</f>
        <v/>
      </c>
      <c r="DM853" s="64">
        <f>$K853-$K854</f>
        <v/>
      </c>
      <c r="DN853" s="65">
        <f>IFERROR($N853/$N854-1,"")</f>
        <v/>
      </c>
      <c r="DO853" s="65">
        <f>IFERROR($M853/$M854-1,"")</f>
        <v/>
      </c>
      <c r="DP853" s="65">
        <f>IFERROR($AZ853/$AZ854-1,"")</f>
        <v/>
      </c>
      <c r="DQ853" s="65">
        <f>IFERROR($BA853/$BA854-1,"")</f>
        <v/>
      </c>
      <c r="DR853" s="64">
        <f>$O853-$O854</f>
        <v/>
      </c>
      <c r="DS853" s="64">
        <f>$P853-$P854</f>
        <v/>
      </c>
      <c r="DT853" s="64">
        <f>$Q853-$Q854</f>
        <v/>
      </c>
      <c r="DU853" s="64">
        <f>$S853-$S854</f>
        <v/>
      </c>
      <c r="DV853" s="65">
        <f>IFERROR(AVERAGE($AA854/$AA853-1,$AB854/$AB853-1,$AC854/$AC853-1,$AD854/$AD853-1,$AE854/$AE853-1,$AG854/$AG853-1,$AH854/$AH853-1,$AI854/$AI853-1,$AJ854/$AJ853-1,$AL854/$AL853-1,$AM854/$AM853-1,$AR854/$AR853-1,$AS854/$AS853-1,$AT854/$AT853-1,$AU854/$AU853-1,$AV854/$AV853-1,$AW854/$AW853-1,$AX854/$AX853-1,$AY854/$AY853-1),"")</f>
        <v/>
      </c>
      <c r="DW853" s="66">
        <f>AVERAGE($CB853,$CC853,$CD853,$CE853,$CF853,$CG853,$CH853,$CI853,$CJ853,$CL853,$CM853,$CN853,$CO853,$CP853,$CQ853,$CR853,$CS853,$CT853)</f>
        <v/>
      </c>
      <c r="DX853" s="66">
        <f>AVERAGE($CB853,$CC853,$CM853,$CE853,$CP853)</f>
        <v/>
      </c>
      <c r="DY853" s="64">
        <f>($DW853-$DW854)*100</f>
        <v/>
      </c>
      <c r="DZ853" s="64">
        <f>($DX853-$DX854)*100</f>
        <v/>
      </c>
      <c r="EA853" s="64">
        <f>($DW853-$D853)*100</f>
        <v/>
      </c>
      <c r="EB853" s="64">
        <f>$Q853-$O853</f>
        <v/>
      </c>
      <c r="EC853" s="67">
        <f>IFERROR($Q853/$P853,"")</f>
        <v/>
      </c>
    </row>
    <row r="854">
      <c r="DG854" s="64">
        <f>($B854-$B855)*100</f>
        <v/>
      </c>
      <c r="DH854" s="64">
        <f>($D854-$D855)*100</f>
        <v/>
      </c>
      <c r="DI854" s="64">
        <f>($E854-$E855)*100</f>
        <v/>
      </c>
      <c r="DJ854" s="64">
        <f>($H854-$H855)*100</f>
        <v/>
      </c>
      <c r="DK854" s="65">
        <f>IFERROR($J854/$J855-1,"")</f>
        <v/>
      </c>
      <c r="DL854" s="64">
        <f>$L854-$L855</f>
        <v/>
      </c>
      <c r="DM854" s="64">
        <f>$K854-$K855</f>
        <v/>
      </c>
      <c r="DN854" s="65">
        <f>IFERROR($N854/$N855-1,"")</f>
        <v/>
      </c>
      <c r="DO854" s="65">
        <f>IFERROR($M854/$M855-1,"")</f>
        <v/>
      </c>
      <c r="DP854" s="65">
        <f>IFERROR($AZ854/$AZ855-1,"")</f>
        <v/>
      </c>
      <c r="DQ854" s="65">
        <f>IFERROR($BA854/$BA855-1,"")</f>
        <v/>
      </c>
      <c r="DR854" s="64">
        <f>$O854-$O855</f>
        <v/>
      </c>
      <c r="DS854" s="64">
        <f>$P854-$P855</f>
        <v/>
      </c>
      <c r="DT854" s="64">
        <f>$Q854-$Q855</f>
        <v/>
      </c>
      <c r="DU854" s="64">
        <f>$S854-$S855</f>
        <v/>
      </c>
      <c r="DV854" s="65">
        <f>IFERROR(AVERAGE($AA855/$AA854-1,$AB855/$AB854-1,$AC855/$AC854-1,$AD855/$AD854-1,$AE855/$AE854-1,$AG855/$AG854-1,$AH855/$AH854-1,$AI855/$AI854-1,$AJ855/$AJ854-1,$AL855/$AL854-1,$AM855/$AM854-1,$AR855/$AR854-1,$AS855/$AS854-1,$AT855/$AT854-1,$AU855/$AU854-1,$AV855/$AV854-1,$AW855/$AW854-1,$AX855/$AX854-1,$AY855/$AY854-1),"")</f>
        <v/>
      </c>
      <c r="DW854" s="66">
        <f>AVERAGE($CB854,$CC854,$CD854,$CE854,$CF854,$CG854,$CH854,$CI854,$CJ854,$CL854,$CM854,$CN854,$CO854,$CP854,$CQ854,$CR854,$CS854,$CT854)</f>
        <v/>
      </c>
      <c r="DX854" s="66">
        <f>AVERAGE($CB854,$CC854,$CM854,$CE854,$CP854)</f>
        <v/>
      </c>
      <c r="DY854" s="64">
        <f>($DW854-$DW855)*100</f>
        <v/>
      </c>
      <c r="DZ854" s="64">
        <f>($DX854-$DX855)*100</f>
        <v/>
      </c>
      <c r="EA854" s="64">
        <f>($DW854-$D854)*100</f>
        <v/>
      </c>
      <c r="EB854" s="64">
        <f>$Q854-$O854</f>
        <v/>
      </c>
      <c r="EC854" s="67">
        <f>IFERROR($Q854/$P854,"")</f>
        <v/>
      </c>
    </row>
    <row r="855">
      <c r="DG855" s="64">
        <f>($B855-$B856)*100</f>
        <v/>
      </c>
      <c r="DH855" s="64">
        <f>($D855-$D856)*100</f>
        <v/>
      </c>
      <c r="DI855" s="64">
        <f>($E855-$E856)*100</f>
        <v/>
      </c>
      <c r="DJ855" s="64">
        <f>($H855-$H856)*100</f>
        <v/>
      </c>
      <c r="DK855" s="65">
        <f>IFERROR($J855/$J856-1,"")</f>
        <v/>
      </c>
      <c r="DL855" s="64">
        <f>$L855-$L856</f>
        <v/>
      </c>
      <c r="DM855" s="64">
        <f>$K855-$K856</f>
        <v/>
      </c>
      <c r="DN855" s="65">
        <f>IFERROR($N855/$N856-1,"")</f>
        <v/>
      </c>
      <c r="DO855" s="65">
        <f>IFERROR($M855/$M856-1,"")</f>
        <v/>
      </c>
      <c r="DP855" s="65">
        <f>IFERROR($AZ855/$AZ856-1,"")</f>
        <v/>
      </c>
      <c r="DQ855" s="65">
        <f>IFERROR($BA855/$BA856-1,"")</f>
        <v/>
      </c>
      <c r="DR855" s="64">
        <f>$O855-$O856</f>
        <v/>
      </c>
      <c r="DS855" s="64">
        <f>$P855-$P856</f>
        <v/>
      </c>
      <c r="DT855" s="64">
        <f>$Q855-$Q856</f>
        <v/>
      </c>
      <c r="DU855" s="64">
        <f>$S855-$S856</f>
        <v/>
      </c>
      <c r="DV855" s="65">
        <f>IFERROR(AVERAGE($AA856/$AA855-1,$AB856/$AB855-1,$AC856/$AC855-1,$AD856/$AD855-1,$AE856/$AE855-1,$AG856/$AG855-1,$AH856/$AH855-1,$AI856/$AI855-1,$AJ856/$AJ855-1,$AL856/$AL855-1,$AM856/$AM855-1,$AR856/$AR855-1,$AS856/$AS855-1,$AT856/$AT855-1,$AU856/$AU855-1,$AV856/$AV855-1,$AW856/$AW855-1,$AX856/$AX855-1,$AY856/$AY855-1),"")</f>
        <v/>
      </c>
      <c r="DW855" s="66">
        <f>AVERAGE($CB855,$CC855,$CD855,$CE855,$CF855,$CG855,$CH855,$CI855,$CJ855,$CL855,$CM855,$CN855,$CO855,$CP855,$CQ855,$CR855,$CS855,$CT855)</f>
        <v/>
      </c>
      <c r="DX855" s="66">
        <f>AVERAGE($CB855,$CC855,$CM855,$CE855,$CP855)</f>
        <v/>
      </c>
      <c r="DY855" s="64">
        <f>($DW855-$DW856)*100</f>
        <v/>
      </c>
      <c r="DZ855" s="64">
        <f>($DX855-$DX856)*100</f>
        <v/>
      </c>
      <c r="EA855" s="64">
        <f>($DW855-$D855)*100</f>
        <v/>
      </c>
      <c r="EB855" s="64">
        <f>$Q855-$O855</f>
        <v/>
      </c>
      <c r="EC855" s="67">
        <f>IFERROR($Q855/$P855,"")</f>
        <v/>
      </c>
    </row>
    <row r="856">
      <c r="DG856" s="64">
        <f>($B856-$B857)*100</f>
        <v/>
      </c>
      <c r="DH856" s="64">
        <f>($D856-$D857)*100</f>
        <v/>
      </c>
      <c r="DI856" s="64">
        <f>($E856-$E857)*100</f>
        <v/>
      </c>
      <c r="DJ856" s="64">
        <f>($H856-$H857)*100</f>
        <v/>
      </c>
      <c r="DK856" s="65">
        <f>IFERROR($J856/$J857-1,"")</f>
        <v/>
      </c>
      <c r="DL856" s="64">
        <f>$L856-$L857</f>
        <v/>
      </c>
      <c r="DM856" s="64">
        <f>$K856-$K857</f>
        <v/>
      </c>
      <c r="DN856" s="65">
        <f>IFERROR($N856/$N857-1,"")</f>
        <v/>
      </c>
      <c r="DO856" s="65">
        <f>IFERROR($M856/$M857-1,"")</f>
        <v/>
      </c>
      <c r="DP856" s="65">
        <f>IFERROR($AZ856/$AZ857-1,"")</f>
        <v/>
      </c>
      <c r="DQ856" s="65">
        <f>IFERROR($BA856/$BA857-1,"")</f>
        <v/>
      </c>
      <c r="DR856" s="64">
        <f>$O856-$O857</f>
        <v/>
      </c>
      <c r="DS856" s="64">
        <f>$P856-$P857</f>
        <v/>
      </c>
      <c r="DT856" s="64">
        <f>$Q856-$Q857</f>
        <v/>
      </c>
      <c r="DU856" s="64">
        <f>$S856-$S857</f>
        <v/>
      </c>
      <c r="DV856" s="65">
        <f>IFERROR(AVERAGE($AA857/$AA856-1,$AB857/$AB856-1,$AC857/$AC856-1,$AD857/$AD856-1,$AE857/$AE856-1,$AG857/$AG856-1,$AH857/$AH856-1,$AI857/$AI856-1,$AJ857/$AJ856-1,$AL857/$AL856-1,$AM857/$AM856-1,$AR857/$AR856-1,$AS857/$AS856-1,$AT857/$AT856-1,$AU857/$AU856-1,$AV857/$AV856-1,$AW857/$AW856-1,$AX857/$AX856-1,$AY857/$AY856-1),"")</f>
        <v/>
      </c>
      <c r="DW856" s="66">
        <f>AVERAGE($CB856,$CC856,$CD856,$CE856,$CF856,$CG856,$CH856,$CI856,$CJ856,$CL856,$CM856,$CN856,$CO856,$CP856,$CQ856,$CR856,$CS856,$CT856)</f>
        <v/>
      </c>
      <c r="DX856" s="66">
        <f>AVERAGE($CB856,$CC856,$CM856,$CE856,$CP856)</f>
        <v/>
      </c>
      <c r="DY856" s="64">
        <f>($DW856-$DW857)*100</f>
        <v/>
      </c>
      <c r="DZ856" s="64">
        <f>($DX856-$DX857)*100</f>
        <v/>
      </c>
      <c r="EA856" s="64">
        <f>($DW856-$D856)*100</f>
        <v/>
      </c>
      <c r="EB856" s="64">
        <f>$Q856-$O856</f>
        <v/>
      </c>
      <c r="EC856" s="67">
        <f>IFERROR($Q856/$P856,"")</f>
        <v/>
      </c>
    </row>
    <row r="857">
      <c r="DG857" s="64">
        <f>($B857-$B858)*100</f>
        <v/>
      </c>
      <c r="DH857" s="64">
        <f>($D857-$D858)*100</f>
        <v/>
      </c>
      <c r="DI857" s="64">
        <f>($E857-$E858)*100</f>
        <v/>
      </c>
      <c r="DJ857" s="64">
        <f>($H857-$H858)*100</f>
        <v/>
      </c>
      <c r="DK857" s="65">
        <f>IFERROR($J857/$J858-1,"")</f>
        <v/>
      </c>
      <c r="DL857" s="64">
        <f>$L857-$L858</f>
        <v/>
      </c>
      <c r="DM857" s="64">
        <f>$K857-$K858</f>
        <v/>
      </c>
      <c r="DN857" s="65">
        <f>IFERROR($N857/$N858-1,"")</f>
        <v/>
      </c>
      <c r="DO857" s="65">
        <f>IFERROR($M857/$M858-1,"")</f>
        <v/>
      </c>
      <c r="DP857" s="65">
        <f>IFERROR($AZ857/$AZ858-1,"")</f>
        <v/>
      </c>
      <c r="DQ857" s="65">
        <f>IFERROR($BA857/$BA858-1,"")</f>
        <v/>
      </c>
      <c r="DR857" s="64">
        <f>$O857-$O858</f>
        <v/>
      </c>
      <c r="DS857" s="64">
        <f>$P857-$P858</f>
        <v/>
      </c>
      <c r="DT857" s="64">
        <f>$Q857-$Q858</f>
        <v/>
      </c>
      <c r="DU857" s="64">
        <f>$S857-$S858</f>
        <v/>
      </c>
      <c r="DV857" s="65">
        <f>IFERROR(AVERAGE($AA858/$AA857-1,$AB858/$AB857-1,$AC858/$AC857-1,$AD858/$AD857-1,$AE858/$AE857-1,$AG858/$AG857-1,$AH858/$AH857-1,$AI858/$AI857-1,$AJ858/$AJ857-1,$AL858/$AL857-1,$AM858/$AM857-1,$AR858/$AR857-1,$AS858/$AS857-1,$AT858/$AT857-1,$AU858/$AU857-1,$AV858/$AV857-1,$AW858/$AW857-1,$AX858/$AX857-1,$AY858/$AY857-1),"")</f>
        <v/>
      </c>
      <c r="DW857" s="66">
        <f>AVERAGE($CB857,$CC857,$CD857,$CE857,$CF857,$CG857,$CH857,$CI857,$CJ857,$CL857,$CM857,$CN857,$CO857,$CP857,$CQ857,$CR857,$CS857,$CT857)</f>
        <v/>
      </c>
      <c r="DX857" s="66">
        <f>AVERAGE($CB857,$CC857,$CM857,$CE857,$CP857)</f>
        <v/>
      </c>
      <c r="DY857" s="64">
        <f>($DW857-$DW858)*100</f>
        <v/>
      </c>
      <c r="DZ857" s="64">
        <f>($DX857-$DX858)*100</f>
        <v/>
      </c>
      <c r="EA857" s="64">
        <f>($DW857-$D857)*100</f>
        <v/>
      </c>
      <c r="EB857" s="64">
        <f>$Q857-$O857</f>
        <v/>
      </c>
      <c r="EC857" s="67">
        <f>IFERROR($Q857/$P857,"")</f>
        <v/>
      </c>
    </row>
    <row r="858">
      <c r="DG858" s="64">
        <f>($B858-$B859)*100</f>
        <v/>
      </c>
      <c r="DH858" s="64">
        <f>($D858-$D859)*100</f>
        <v/>
      </c>
      <c r="DI858" s="64">
        <f>($E858-$E859)*100</f>
        <v/>
      </c>
      <c r="DJ858" s="64">
        <f>($H858-$H859)*100</f>
        <v/>
      </c>
      <c r="DK858" s="65">
        <f>IFERROR($J858/$J859-1,"")</f>
        <v/>
      </c>
      <c r="DL858" s="64">
        <f>$L858-$L859</f>
        <v/>
      </c>
      <c r="DM858" s="64">
        <f>$K858-$K859</f>
        <v/>
      </c>
      <c r="DN858" s="65">
        <f>IFERROR($N858/$N859-1,"")</f>
        <v/>
      </c>
      <c r="DO858" s="65">
        <f>IFERROR($M858/$M859-1,"")</f>
        <v/>
      </c>
      <c r="DP858" s="65">
        <f>IFERROR($AZ858/$AZ859-1,"")</f>
        <v/>
      </c>
      <c r="DQ858" s="65">
        <f>IFERROR($BA858/$BA859-1,"")</f>
        <v/>
      </c>
      <c r="DR858" s="64">
        <f>$O858-$O859</f>
        <v/>
      </c>
      <c r="DS858" s="64">
        <f>$P858-$P859</f>
        <v/>
      </c>
      <c r="DT858" s="64">
        <f>$Q858-$Q859</f>
        <v/>
      </c>
      <c r="DU858" s="64">
        <f>$S858-$S859</f>
        <v/>
      </c>
      <c r="DV858" s="65">
        <f>IFERROR(AVERAGE($AA859/$AA858-1,$AB859/$AB858-1,$AC859/$AC858-1,$AD859/$AD858-1,$AE859/$AE858-1,$AG859/$AG858-1,$AH859/$AH858-1,$AI859/$AI858-1,$AJ859/$AJ858-1,$AL859/$AL858-1,$AM859/$AM858-1,$AR859/$AR858-1,$AS859/$AS858-1,$AT859/$AT858-1,$AU859/$AU858-1,$AV859/$AV858-1,$AW859/$AW858-1,$AX859/$AX858-1,$AY859/$AY858-1),"")</f>
        <v/>
      </c>
      <c r="DW858" s="66">
        <f>AVERAGE($CB858,$CC858,$CD858,$CE858,$CF858,$CG858,$CH858,$CI858,$CJ858,$CL858,$CM858,$CN858,$CO858,$CP858,$CQ858,$CR858,$CS858,$CT858)</f>
        <v/>
      </c>
      <c r="DX858" s="66">
        <f>AVERAGE($CB858,$CC858,$CM858,$CE858,$CP858)</f>
        <v/>
      </c>
      <c r="DY858" s="64">
        <f>($DW858-$DW859)*100</f>
        <v/>
      </c>
      <c r="DZ858" s="64">
        <f>($DX858-$DX859)*100</f>
        <v/>
      </c>
      <c r="EA858" s="64">
        <f>($DW858-$D858)*100</f>
        <v/>
      </c>
      <c r="EB858" s="64">
        <f>$Q858-$O858</f>
        <v/>
      </c>
      <c r="EC858" s="67">
        <f>IFERROR($Q858/$P858,"")</f>
        <v/>
      </c>
    </row>
    <row r="859">
      <c r="DG859" s="64">
        <f>($B859-$B860)*100</f>
        <v/>
      </c>
      <c r="DH859" s="64">
        <f>($D859-$D860)*100</f>
        <v/>
      </c>
      <c r="DI859" s="64">
        <f>($E859-$E860)*100</f>
        <v/>
      </c>
      <c r="DJ859" s="64">
        <f>($H859-$H860)*100</f>
        <v/>
      </c>
      <c r="DK859" s="65">
        <f>IFERROR($J859/$J860-1,"")</f>
        <v/>
      </c>
      <c r="DL859" s="64">
        <f>$L859-$L860</f>
        <v/>
      </c>
      <c r="DM859" s="64">
        <f>$K859-$K860</f>
        <v/>
      </c>
      <c r="DN859" s="65">
        <f>IFERROR($N859/$N860-1,"")</f>
        <v/>
      </c>
      <c r="DO859" s="65">
        <f>IFERROR($M859/$M860-1,"")</f>
        <v/>
      </c>
      <c r="DP859" s="65">
        <f>IFERROR($AZ859/$AZ860-1,"")</f>
        <v/>
      </c>
      <c r="DQ859" s="65">
        <f>IFERROR($BA859/$BA860-1,"")</f>
        <v/>
      </c>
      <c r="DR859" s="64">
        <f>$O859-$O860</f>
        <v/>
      </c>
      <c r="DS859" s="64">
        <f>$P859-$P860</f>
        <v/>
      </c>
      <c r="DT859" s="64">
        <f>$Q859-$Q860</f>
        <v/>
      </c>
      <c r="DU859" s="64">
        <f>$S859-$S860</f>
        <v/>
      </c>
      <c r="DV859" s="65">
        <f>IFERROR(AVERAGE($AA860/$AA859-1,$AB860/$AB859-1,$AC860/$AC859-1,$AD860/$AD859-1,$AE860/$AE859-1,$AG860/$AG859-1,$AH860/$AH859-1,$AI860/$AI859-1,$AJ860/$AJ859-1,$AL860/$AL859-1,$AM860/$AM859-1,$AR860/$AR859-1,$AS860/$AS859-1,$AT860/$AT859-1,$AU860/$AU859-1,$AV860/$AV859-1,$AW860/$AW859-1,$AX860/$AX859-1,$AY860/$AY859-1),"")</f>
        <v/>
      </c>
      <c r="DW859" s="66">
        <f>AVERAGE($CB859,$CC859,$CD859,$CE859,$CF859,$CG859,$CH859,$CI859,$CJ859,$CL859,$CM859,$CN859,$CO859,$CP859,$CQ859,$CR859,$CS859,$CT859)</f>
        <v/>
      </c>
      <c r="DX859" s="66">
        <f>AVERAGE($CB859,$CC859,$CM859,$CE859,$CP859)</f>
        <v/>
      </c>
      <c r="DY859" s="64">
        <f>($DW859-$DW860)*100</f>
        <v/>
      </c>
      <c r="DZ859" s="64">
        <f>($DX859-$DX860)*100</f>
        <v/>
      </c>
      <c r="EA859" s="64">
        <f>($DW859-$D859)*100</f>
        <v/>
      </c>
      <c r="EB859" s="64">
        <f>$Q859-$O859</f>
        <v/>
      </c>
      <c r="EC859" s="67">
        <f>IFERROR($Q859/$P859,"")</f>
        <v/>
      </c>
    </row>
    <row r="860">
      <c r="DG860" s="64">
        <f>($B860-$B861)*100</f>
        <v/>
      </c>
      <c r="DH860" s="64">
        <f>($D860-$D861)*100</f>
        <v/>
      </c>
      <c r="DI860" s="64">
        <f>($E860-$E861)*100</f>
        <v/>
      </c>
      <c r="DJ860" s="64">
        <f>($H860-$H861)*100</f>
        <v/>
      </c>
      <c r="DK860" s="65">
        <f>IFERROR($J860/$J861-1,"")</f>
        <v/>
      </c>
      <c r="DL860" s="64">
        <f>$L860-$L861</f>
        <v/>
      </c>
      <c r="DM860" s="64">
        <f>$K860-$K861</f>
        <v/>
      </c>
      <c r="DN860" s="65">
        <f>IFERROR($N860/$N861-1,"")</f>
        <v/>
      </c>
      <c r="DO860" s="65">
        <f>IFERROR($M860/$M861-1,"")</f>
        <v/>
      </c>
      <c r="DP860" s="65">
        <f>IFERROR($AZ860/$AZ861-1,"")</f>
        <v/>
      </c>
      <c r="DQ860" s="65">
        <f>IFERROR($BA860/$BA861-1,"")</f>
        <v/>
      </c>
      <c r="DR860" s="64">
        <f>$O860-$O861</f>
        <v/>
      </c>
      <c r="DS860" s="64">
        <f>$P860-$P861</f>
        <v/>
      </c>
      <c r="DT860" s="64">
        <f>$Q860-$Q861</f>
        <v/>
      </c>
      <c r="DU860" s="64">
        <f>$S860-$S861</f>
        <v/>
      </c>
      <c r="DV860" s="65">
        <f>IFERROR(AVERAGE($AA861/$AA860-1,$AB861/$AB860-1,$AC861/$AC860-1,$AD861/$AD860-1,$AE861/$AE860-1,$AG861/$AG860-1,$AH861/$AH860-1,$AI861/$AI860-1,$AJ861/$AJ860-1,$AL861/$AL860-1,$AM861/$AM860-1,$AR861/$AR860-1,$AS861/$AS860-1,$AT861/$AT860-1,$AU861/$AU860-1,$AV861/$AV860-1,$AW861/$AW860-1,$AX861/$AX860-1,$AY861/$AY860-1),"")</f>
        <v/>
      </c>
      <c r="DW860" s="66">
        <f>AVERAGE($CB860,$CC860,$CD860,$CE860,$CF860,$CG860,$CH860,$CI860,$CJ860,$CL860,$CM860,$CN860,$CO860,$CP860,$CQ860,$CR860,$CS860,$CT860)</f>
        <v/>
      </c>
      <c r="DX860" s="66">
        <f>AVERAGE($CB860,$CC860,$CM860,$CE860,$CP860)</f>
        <v/>
      </c>
      <c r="DY860" s="64">
        <f>($DW860-$DW861)*100</f>
        <v/>
      </c>
      <c r="DZ860" s="64">
        <f>($DX860-$DX861)*100</f>
        <v/>
      </c>
      <c r="EA860" s="64">
        <f>($DW860-$D860)*100</f>
        <v/>
      </c>
      <c r="EB860" s="64">
        <f>$Q860-$O860</f>
        <v/>
      </c>
      <c r="EC860" s="67">
        <f>IFERROR($Q860/$P860,"")</f>
        <v/>
      </c>
    </row>
    <row r="861">
      <c r="DG861" s="64">
        <f>($B861-$B862)*100</f>
        <v/>
      </c>
      <c r="DH861" s="64">
        <f>($D861-$D862)*100</f>
        <v/>
      </c>
      <c r="DI861" s="64">
        <f>($E861-$E862)*100</f>
        <v/>
      </c>
      <c r="DJ861" s="64">
        <f>($H861-$H862)*100</f>
        <v/>
      </c>
      <c r="DK861" s="65">
        <f>IFERROR($J861/$J862-1,"")</f>
        <v/>
      </c>
      <c r="DL861" s="64">
        <f>$L861-$L862</f>
        <v/>
      </c>
      <c r="DM861" s="64">
        <f>$K861-$K862</f>
        <v/>
      </c>
      <c r="DN861" s="65">
        <f>IFERROR($N861/$N862-1,"")</f>
        <v/>
      </c>
      <c r="DO861" s="65">
        <f>IFERROR($M861/$M862-1,"")</f>
        <v/>
      </c>
      <c r="DP861" s="65">
        <f>IFERROR($AZ861/$AZ862-1,"")</f>
        <v/>
      </c>
      <c r="DQ861" s="65">
        <f>IFERROR($BA861/$BA862-1,"")</f>
        <v/>
      </c>
      <c r="DR861" s="64">
        <f>$O861-$O862</f>
        <v/>
      </c>
      <c r="DS861" s="64">
        <f>$P861-$P862</f>
        <v/>
      </c>
      <c r="DT861" s="64">
        <f>$Q861-$Q862</f>
        <v/>
      </c>
      <c r="DU861" s="64">
        <f>$S861-$S862</f>
        <v/>
      </c>
      <c r="DV861" s="65">
        <f>IFERROR(AVERAGE($AA862/$AA861-1,$AB862/$AB861-1,$AC862/$AC861-1,$AD862/$AD861-1,$AE862/$AE861-1,$AG862/$AG861-1,$AH862/$AH861-1,$AI862/$AI861-1,$AJ862/$AJ861-1,$AL862/$AL861-1,$AM862/$AM861-1,$AR862/$AR861-1,$AS862/$AS861-1,$AT862/$AT861-1,$AU862/$AU861-1,$AV862/$AV861-1,$AW862/$AW861-1,$AX862/$AX861-1,$AY862/$AY861-1),"")</f>
        <v/>
      </c>
      <c r="DW861" s="66">
        <f>AVERAGE($CB861,$CC861,$CD861,$CE861,$CF861,$CG861,$CH861,$CI861,$CJ861,$CL861,$CM861,$CN861,$CO861,$CP861,$CQ861,$CR861,$CS861,$CT861)</f>
        <v/>
      </c>
      <c r="DX861" s="66">
        <f>AVERAGE($CB861,$CC861,$CM861,$CE861,$CP861)</f>
        <v/>
      </c>
      <c r="DY861" s="64">
        <f>($DW861-$DW862)*100</f>
        <v/>
      </c>
      <c r="DZ861" s="64">
        <f>($DX861-$DX862)*100</f>
        <v/>
      </c>
      <c r="EA861" s="64">
        <f>($DW861-$D861)*100</f>
        <v/>
      </c>
      <c r="EB861" s="64">
        <f>$Q861-$O861</f>
        <v/>
      </c>
      <c r="EC861" s="67">
        <f>IFERROR($Q861/$P861,"")</f>
        <v/>
      </c>
    </row>
    <row r="862">
      <c r="DG862" s="64">
        <f>($B862-$B863)*100</f>
        <v/>
      </c>
      <c r="DH862" s="64">
        <f>($D862-$D863)*100</f>
        <v/>
      </c>
      <c r="DI862" s="64">
        <f>($E862-$E863)*100</f>
        <v/>
      </c>
      <c r="DJ862" s="64">
        <f>($H862-$H863)*100</f>
        <v/>
      </c>
      <c r="DK862" s="65">
        <f>IFERROR($J862/$J863-1,"")</f>
        <v/>
      </c>
      <c r="DL862" s="64">
        <f>$L862-$L863</f>
        <v/>
      </c>
      <c r="DM862" s="64">
        <f>$K862-$K863</f>
        <v/>
      </c>
      <c r="DN862" s="65">
        <f>IFERROR($N862/$N863-1,"")</f>
        <v/>
      </c>
      <c r="DO862" s="65">
        <f>IFERROR($M862/$M863-1,"")</f>
        <v/>
      </c>
      <c r="DP862" s="65">
        <f>IFERROR($AZ862/$AZ863-1,"")</f>
        <v/>
      </c>
      <c r="DQ862" s="65">
        <f>IFERROR($BA862/$BA863-1,"")</f>
        <v/>
      </c>
      <c r="DR862" s="64">
        <f>$O862-$O863</f>
        <v/>
      </c>
      <c r="DS862" s="64">
        <f>$P862-$P863</f>
        <v/>
      </c>
      <c r="DT862" s="64">
        <f>$Q862-$Q863</f>
        <v/>
      </c>
      <c r="DU862" s="64">
        <f>$S862-$S863</f>
        <v/>
      </c>
      <c r="DV862" s="65">
        <f>IFERROR(AVERAGE($AA863/$AA862-1,$AB863/$AB862-1,$AC863/$AC862-1,$AD863/$AD862-1,$AE863/$AE862-1,$AG863/$AG862-1,$AH863/$AH862-1,$AI863/$AI862-1,$AJ863/$AJ862-1,$AL863/$AL862-1,$AM863/$AM862-1,$AR863/$AR862-1,$AS863/$AS862-1,$AT863/$AT862-1,$AU863/$AU862-1,$AV863/$AV862-1,$AW863/$AW862-1,$AX863/$AX862-1,$AY863/$AY862-1),"")</f>
        <v/>
      </c>
      <c r="DW862" s="66">
        <f>AVERAGE($CB862,$CC862,$CD862,$CE862,$CF862,$CG862,$CH862,$CI862,$CJ862,$CL862,$CM862,$CN862,$CO862,$CP862,$CQ862,$CR862,$CS862,$CT862)</f>
        <v/>
      </c>
      <c r="DX862" s="66">
        <f>AVERAGE($CB862,$CC862,$CM862,$CE862,$CP862)</f>
        <v/>
      </c>
      <c r="DY862" s="64">
        <f>($DW862-$DW863)*100</f>
        <v/>
      </c>
      <c r="DZ862" s="64">
        <f>($DX862-$DX863)*100</f>
        <v/>
      </c>
      <c r="EA862" s="64">
        <f>($DW862-$D862)*100</f>
        <v/>
      </c>
      <c r="EB862" s="64">
        <f>$Q862-$O862</f>
        <v/>
      </c>
      <c r="EC862" s="67">
        <f>IFERROR($Q862/$P862,"")</f>
        <v/>
      </c>
    </row>
    <row r="863">
      <c r="DG863" s="64">
        <f>($B863-$B864)*100</f>
        <v/>
      </c>
      <c r="DH863" s="64">
        <f>($D863-$D864)*100</f>
        <v/>
      </c>
      <c r="DI863" s="64">
        <f>($E863-$E864)*100</f>
        <v/>
      </c>
      <c r="DJ863" s="64">
        <f>($H863-$H864)*100</f>
        <v/>
      </c>
      <c r="DK863" s="65">
        <f>IFERROR($J863/$J864-1,"")</f>
        <v/>
      </c>
      <c r="DL863" s="64">
        <f>$L863-$L864</f>
        <v/>
      </c>
      <c r="DM863" s="64">
        <f>$K863-$K864</f>
        <v/>
      </c>
      <c r="DN863" s="65">
        <f>IFERROR($N863/$N864-1,"")</f>
        <v/>
      </c>
      <c r="DO863" s="65">
        <f>IFERROR($M863/$M864-1,"")</f>
        <v/>
      </c>
      <c r="DP863" s="65">
        <f>IFERROR($AZ863/$AZ864-1,"")</f>
        <v/>
      </c>
      <c r="DQ863" s="65">
        <f>IFERROR($BA863/$BA864-1,"")</f>
        <v/>
      </c>
      <c r="DR863" s="64">
        <f>$O863-$O864</f>
        <v/>
      </c>
      <c r="DS863" s="64">
        <f>$P863-$P864</f>
        <v/>
      </c>
      <c r="DT863" s="64">
        <f>$Q863-$Q864</f>
        <v/>
      </c>
      <c r="DU863" s="64">
        <f>$S863-$S864</f>
        <v/>
      </c>
      <c r="DV863" s="65">
        <f>IFERROR(AVERAGE($AA864/$AA863-1,$AB864/$AB863-1,$AC864/$AC863-1,$AD864/$AD863-1,$AE864/$AE863-1,$AG864/$AG863-1,$AH864/$AH863-1,$AI864/$AI863-1,$AJ864/$AJ863-1,$AL864/$AL863-1,$AM864/$AM863-1,$AR864/$AR863-1,$AS864/$AS863-1,$AT864/$AT863-1,$AU864/$AU863-1,$AV864/$AV863-1,$AW864/$AW863-1,$AX864/$AX863-1,$AY864/$AY863-1),"")</f>
        <v/>
      </c>
      <c r="DW863" s="66">
        <f>AVERAGE($CB863,$CC863,$CD863,$CE863,$CF863,$CG863,$CH863,$CI863,$CJ863,$CL863,$CM863,$CN863,$CO863,$CP863,$CQ863,$CR863,$CS863,$CT863)</f>
        <v/>
      </c>
      <c r="DX863" s="66">
        <f>AVERAGE($CB863,$CC863,$CM863,$CE863,$CP863)</f>
        <v/>
      </c>
      <c r="DY863" s="64">
        <f>($DW863-$DW864)*100</f>
        <v/>
      </c>
      <c r="DZ863" s="64">
        <f>($DX863-$DX864)*100</f>
        <v/>
      </c>
      <c r="EA863" s="64">
        <f>($DW863-$D863)*100</f>
        <v/>
      </c>
      <c r="EB863" s="64">
        <f>$Q863-$O863</f>
        <v/>
      </c>
      <c r="EC863" s="67">
        <f>IFERROR($Q863/$P863,"")</f>
        <v/>
      </c>
    </row>
    <row r="864">
      <c r="DG864" s="64">
        <f>($B864-$B865)*100</f>
        <v/>
      </c>
      <c r="DH864" s="64">
        <f>($D864-$D865)*100</f>
        <v/>
      </c>
      <c r="DI864" s="64">
        <f>($E864-$E865)*100</f>
        <v/>
      </c>
      <c r="DJ864" s="64">
        <f>($H864-$H865)*100</f>
        <v/>
      </c>
      <c r="DK864" s="65">
        <f>IFERROR($J864/$J865-1,"")</f>
        <v/>
      </c>
      <c r="DL864" s="64">
        <f>$L864-$L865</f>
        <v/>
      </c>
      <c r="DM864" s="64">
        <f>$K864-$K865</f>
        <v/>
      </c>
      <c r="DN864" s="65">
        <f>IFERROR($N864/$N865-1,"")</f>
        <v/>
      </c>
      <c r="DO864" s="65">
        <f>IFERROR($M864/$M865-1,"")</f>
        <v/>
      </c>
      <c r="DP864" s="65">
        <f>IFERROR($AZ864/$AZ865-1,"")</f>
        <v/>
      </c>
      <c r="DQ864" s="65">
        <f>IFERROR($BA864/$BA865-1,"")</f>
        <v/>
      </c>
      <c r="DR864" s="64">
        <f>$O864-$O865</f>
        <v/>
      </c>
      <c r="DS864" s="64">
        <f>$P864-$P865</f>
        <v/>
      </c>
      <c r="DT864" s="64">
        <f>$Q864-$Q865</f>
        <v/>
      </c>
      <c r="DU864" s="64">
        <f>$S864-$S865</f>
        <v/>
      </c>
      <c r="DV864" s="65">
        <f>IFERROR(AVERAGE($AA865/$AA864-1,$AB865/$AB864-1,$AC865/$AC864-1,$AD865/$AD864-1,$AE865/$AE864-1,$AG865/$AG864-1,$AH865/$AH864-1,$AI865/$AI864-1,$AJ865/$AJ864-1,$AL865/$AL864-1,$AM865/$AM864-1,$AR865/$AR864-1,$AS865/$AS864-1,$AT865/$AT864-1,$AU865/$AU864-1,$AV865/$AV864-1,$AW865/$AW864-1,$AX865/$AX864-1,$AY865/$AY864-1),"")</f>
        <v/>
      </c>
      <c r="DW864" s="66">
        <f>AVERAGE($CB864,$CC864,$CD864,$CE864,$CF864,$CG864,$CH864,$CI864,$CJ864,$CL864,$CM864,$CN864,$CO864,$CP864,$CQ864,$CR864,$CS864,$CT864)</f>
        <v/>
      </c>
      <c r="DX864" s="66">
        <f>AVERAGE($CB864,$CC864,$CM864,$CE864,$CP864)</f>
        <v/>
      </c>
      <c r="DY864" s="64">
        <f>($DW864-$DW865)*100</f>
        <v/>
      </c>
      <c r="DZ864" s="64">
        <f>($DX864-$DX865)*100</f>
        <v/>
      </c>
      <c r="EA864" s="64">
        <f>($DW864-$D864)*100</f>
        <v/>
      </c>
      <c r="EB864" s="64">
        <f>$Q864-$O864</f>
        <v/>
      </c>
      <c r="EC864" s="67">
        <f>IFERROR($Q864/$P864,"")</f>
        <v/>
      </c>
    </row>
    <row r="865">
      <c r="DG865" s="64">
        <f>($B865-$B866)*100</f>
        <v/>
      </c>
      <c r="DH865" s="64">
        <f>($D865-$D866)*100</f>
        <v/>
      </c>
      <c r="DI865" s="64">
        <f>($E865-$E866)*100</f>
        <v/>
      </c>
      <c r="DJ865" s="64">
        <f>($H865-$H866)*100</f>
        <v/>
      </c>
      <c r="DK865" s="65">
        <f>IFERROR($J865/$J866-1,"")</f>
        <v/>
      </c>
      <c r="DL865" s="64">
        <f>$L865-$L866</f>
        <v/>
      </c>
      <c r="DM865" s="64">
        <f>$K865-$K866</f>
        <v/>
      </c>
      <c r="DN865" s="65">
        <f>IFERROR($N865/$N866-1,"")</f>
        <v/>
      </c>
      <c r="DO865" s="65">
        <f>IFERROR($M865/$M866-1,"")</f>
        <v/>
      </c>
      <c r="DP865" s="65">
        <f>IFERROR($AZ865/$AZ866-1,"")</f>
        <v/>
      </c>
      <c r="DQ865" s="65">
        <f>IFERROR($BA865/$BA866-1,"")</f>
        <v/>
      </c>
      <c r="DR865" s="64">
        <f>$O865-$O866</f>
        <v/>
      </c>
      <c r="DS865" s="64">
        <f>$P865-$P866</f>
        <v/>
      </c>
      <c r="DT865" s="64">
        <f>$Q865-$Q866</f>
        <v/>
      </c>
      <c r="DU865" s="64">
        <f>$S865-$S866</f>
        <v/>
      </c>
      <c r="DV865" s="65">
        <f>IFERROR(AVERAGE($AA866/$AA865-1,$AB866/$AB865-1,$AC866/$AC865-1,$AD866/$AD865-1,$AE866/$AE865-1,$AG866/$AG865-1,$AH866/$AH865-1,$AI866/$AI865-1,$AJ866/$AJ865-1,$AL866/$AL865-1,$AM866/$AM865-1,$AR866/$AR865-1,$AS866/$AS865-1,$AT866/$AT865-1,$AU866/$AU865-1,$AV866/$AV865-1,$AW866/$AW865-1,$AX866/$AX865-1,$AY866/$AY865-1),"")</f>
        <v/>
      </c>
      <c r="DW865" s="66">
        <f>AVERAGE($CB865,$CC865,$CD865,$CE865,$CF865,$CG865,$CH865,$CI865,$CJ865,$CL865,$CM865,$CN865,$CO865,$CP865,$CQ865,$CR865,$CS865,$CT865)</f>
        <v/>
      </c>
      <c r="DX865" s="66">
        <f>AVERAGE($CB865,$CC865,$CM865,$CE865,$CP865)</f>
        <v/>
      </c>
      <c r="DY865" s="64">
        <f>($DW865-$DW866)*100</f>
        <v/>
      </c>
      <c r="DZ865" s="64">
        <f>($DX865-$DX866)*100</f>
        <v/>
      </c>
      <c r="EA865" s="64">
        <f>($DW865-$D865)*100</f>
        <v/>
      </c>
      <c r="EB865" s="64">
        <f>$Q865-$O865</f>
        <v/>
      </c>
      <c r="EC865" s="67">
        <f>IFERROR($Q865/$P865,"")</f>
        <v/>
      </c>
    </row>
    <row r="866">
      <c r="DG866" s="64">
        <f>($B866-$B867)*100</f>
        <v/>
      </c>
      <c r="DH866" s="64">
        <f>($D866-$D867)*100</f>
        <v/>
      </c>
      <c r="DI866" s="64">
        <f>($E866-$E867)*100</f>
        <v/>
      </c>
      <c r="DJ866" s="64">
        <f>($H866-$H867)*100</f>
        <v/>
      </c>
      <c r="DK866" s="65">
        <f>IFERROR($J866/$J867-1,"")</f>
        <v/>
      </c>
      <c r="DL866" s="64">
        <f>$L866-$L867</f>
        <v/>
      </c>
      <c r="DM866" s="64">
        <f>$K866-$K867</f>
        <v/>
      </c>
      <c r="DN866" s="65">
        <f>IFERROR($N866/$N867-1,"")</f>
        <v/>
      </c>
      <c r="DO866" s="65">
        <f>IFERROR($M866/$M867-1,"")</f>
        <v/>
      </c>
      <c r="DP866" s="65">
        <f>IFERROR($AZ866/$AZ867-1,"")</f>
        <v/>
      </c>
      <c r="DQ866" s="65">
        <f>IFERROR($BA866/$BA867-1,"")</f>
        <v/>
      </c>
      <c r="DR866" s="64">
        <f>$O866-$O867</f>
        <v/>
      </c>
      <c r="DS866" s="64">
        <f>$P866-$P867</f>
        <v/>
      </c>
      <c r="DT866" s="64">
        <f>$Q866-$Q867</f>
        <v/>
      </c>
      <c r="DU866" s="64">
        <f>$S866-$S867</f>
        <v/>
      </c>
      <c r="DV866" s="65">
        <f>IFERROR(AVERAGE($AA867/$AA866-1,$AB867/$AB866-1,$AC867/$AC866-1,$AD867/$AD866-1,$AE867/$AE866-1,$AG867/$AG866-1,$AH867/$AH866-1,$AI867/$AI866-1,$AJ867/$AJ866-1,$AL867/$AL866-1,$AM867/$AM866-1,$AR867/$AR866-1,$AS867/$AS866-1,$AT867/$AT866-1,$AU867/$AU866-1,$AV867/$AV866-1,$AW867/$AW866-1,$AX867/$AX866-1,$AY867/$AY866-1),"")</f>
        <v/>
      </c>
      <c r="DW866" s="66">
        <f>AVERAGE($CB866,$CC866,$CD866,$CE866,$CF866,$CG866,$CH866,$CI866,$CJ866,$CL866,$CM866,$CN866,$CO866,$CP866,$CQ866,$CR866,$CS866,$CT866)</f>
        <v/>
      </c>
      <c r="DX866" s="66">
        <f>AVERAGE($CB866,$CC866,$CM866,$CE866,$CP866)</f>
        <v/>
      </c>
      <c r="DY866" s="64">
        <f>($DW866-$DW867)*100</f>
        <v/>
      </c>
      <c r="DZ866" s="64">
        <f>($DX866-$DX867)*100</f>
        <v/>
      </c>
      <c r="EA866" s="64">
        <f>($DW866-$D866)*100</f>
        <v/>
      </c>
      <c r="EB866" s="64">
        <f>$Q866-$O866</f>
        <v/>
      </c>
      <c r="EC866" s="67">
        <f>IFERROR($Q866/$P866,"")</f>
        <v/>
      </c>
    </row>
    <row r="867">
      <c r="DG867" s="64">
        <f>($B867-$B868)*100</f>
        <v/>
      </c>
      <c r="DH867" s="64">
        <f>($D867-$D868)*100</f>
        <v/>
      </c>
      <c r="DI867" s="64">
        <f>($E867-$E868)*100</f>
        <v/>
      </c>
      <c r="DJ867" s="64">
        <f>($H867-$H868)*100</f>
        <v/>
      </c>
      <c r="DK867" s="65">
        <f>IFERROR($J867/$J868-1,"")</f>
        <v/>
      </c>
      <c r="DL867" s="64">
        <f>$L867-$L868</f>
        <v/>
      </c>
      <c r="DM867" s="64">
        <f>$K867-$K868</f>
        <v/>
      </c>
      <c r="DN867" s="65">
        <f>IFERROR($N867/$N868-1,"")</f>
        <v/>
      </c>
      <c r="DO867" s="65">
        <f>IFERROR($M867/$M868-1,"")</f>
        <v/>
      </c>
      <c r="DP867" s="65">
        <f>IFERROR($AZ867/$AZ868-1,"")</f>
        <v/>
      </c>
      <c r="DQ867" s="65">
        <f>IFERROR($BA867/$BA868-1,"")</f>
        <v/>
      </c>
      <c r="DR867" s="64">
        <f>$O867-$O868</f>
        <v/>
      </c>
      <c r="DS867" s="64">
        <f>$P867-$P868</f>
        <v/>
      </c>
      <c r="DT867" s="64">
        <f>$Q867-$Q868</f>
        <v/>
      </c>
      <c r="DU867" s="64">
        <f>$S867-$S868</f>
        <v/>
      </c>
      <c r="DV867" s="65">
        <f>IFERROR(AVERAGE($AA868/$AA867-1,$AB868/$AB867-1,$AC868/$AC867-1,$AD868/$AD867-1,$AE868/$AE867-1,$AG868/$AG867-1,$AH868/$AH867-1,$AI868/$AI867-1,$AJ868/$AJ867-1,$AL868/$AL867-1,$AM868/$AM867-1,$AR868/$AR867-1,$AS868/$AS867-1,$AT868/$AT867-1,$AU868/$AU867-1,$AV868/$AV867-1,$AW868/$AW867-1,$AX868/$AX867-1,$AY868/$AY867-1),"")</f>
        <v/>
      </c>
      <c r="DW867" s="66">
        <f>AVERAGE($CB867,$CC867,$CD867,$CE867,$CF867,$CG867,$CH867,$CI867,$CJ867,$CL867,$CM867,$CN867,$CO867,$CP867,$CQ867,$CR867,$CS867,$CT867)</f>
        <v/>
      </c>
      <c r="DX867" s="66">
        <f>AVERAGE($CB867,$CC867,$CM867,$CE867,$CP867)</f>
        <v/>
      </c>
      <c r="DY867" s="64">
        <f>($DW867-$DW868)*100</f>
        <v/>
      </c>
      <c r="DZ867" s="64">
        <f>($DX867-$DX868)*100</f>
        <v/>
      </c>
      <c r="EA867" s="64">
        <f>($DW867-$D867)*100</f>
        <v/>
      </c>
      <c r="EB867" s="64">
        <f>$Q867-$O867</f>
        <v/>
      </c>
      <c r="EC867" s="67">
        <f>IFERROR($Q867/$P867,"")</f>
        <v/>
      </c>
    </row>
    <row r="868">
      <c r="DG868" s="64">
        <f>($B868-$B869)*100</f>
        <v/>
      </c>
      <c r="DH868" s="64">
        <f>($D868-$D869)*100</f>
        <v/>
      </c>
      <c r="DI868" s="64">
        <f>($E868-$E869)*100</f>
        <v/>
      </c>
      <c r="DJ868" s="64">
        <f>($H868-$H869)*100</f>
        <v/>
      </c>
      <c r="DK868" s="65">
        <f>IFERROR($J868/$J869-1,"")</f>
        <v/>
      </c>
      <c r="DL868" s="64">
        <f>$L868-$L869</f>
        <v/>
      </c>
      <c r="DM868" s="64">
        <f>$K868-$K869</f>
        <v/>
      </c>
      <c r="DN868" s="65">
        <f>IFERROR($N868/$N869-1,"")</f>
        <v/>
      </c>
      <c r="DO868" s="65">
        <f>IFERROR($M868/$M869-1,"")</f>
        <v/>
      </c>
      <c r="DP868" s="65">
        <f>IFERROR($AZ868/$AZ869-1,"")</f>
        <v/>
      </c>
      <c r="DQ868" s="65">
        <f>IFERROR($BA868/$BA869-1,"")</f>
        <v/>
      </c>
      <c r="DR868" s="64">
        <f>$O868-$O869</f>
        <v/>
      </c>
      <c r="DS868" s="64">
        <f>$P868-$P869</f>
        <v/>
      </c>
      <c r="DT868" s="64">
        <f>$Q868-$Q869</f>
        <v/>
      </c>
      <c r="DU868" s="64">
        <f>$S868-$S869</f>
        <v/>
      </c>
      <c r="DV868" s="65">
        <f>IFERROR(AVERAGE($AA869/$AA868-1,$AB869/$AB868-1,$AC869/$AC868-1,$AD869/$AD868-1,$AE869/$AE868-1,$AG869/$AG868-1,$AH869/$AH868-1,$AI869/$AI868-1,$AJ869/$AJ868-1,$AL869/$AL868-1,$AM869/$AM868-1,$AR869/$AR868-1,$AS869/$AS868-1,$AT869/$AT868-1,$AU869/$AU868-1,$AV869/$AV868-1,$AW869/$AW868-1,$AX869/$AX868-1,$AY869/$AY868-1),"")</f>
        <v/>
      </c>
      <c r="DW868" s="66">
        <f>AVERAGE($CB868,$CC868,$CD868,$CE868,$CF868,$CG868,$CH868,$CI868,$CJ868,$CL868,$CM868,$CN868,$CO868,$CP868,$CQ868,$CR868,$CS868,$CT868)</f>
        <v/>
      </c>
      <c r="DX868" s="66">
        <f>AVERAGE($CB868,$CC868,$CM868,$CE868,$CP868)</f>
        <v/>
      </c>
      <c r="DY868" s="64">
        <f>($DW868-$DW869)*100</f>
        <v/>
      </c>
      <c r="DZ868" s="64">
        <f>($DX868-$DX869)*100</f>
        <v/>
      </c>
      <c r="EA868" s="64">
        <f>($DW868-$D868)*100</f>
        <v/>
      </c>
      <c r="EB868" s="64">
        <f>$Q868-$O868</f>
        <v/>
      </c>
      <c r="EC868" s="67">
        <f>IFERROR($Q868/$P868,"")</f>
        <v/>
      </c>
    </row>
    <row r="869">
      <c r="DG869" s="64">
        <f>($B869-$B870)*100</f>
        <v/>
      </c>
      <c r="DH869" s="64">
        <f>($D869-$D870)*100</f>
        <v/>
      </c>
      <c r="DI869" s="64">
        <f>($E869-$E870)*100</f>
        <v/>
      </c>
      <c r="DJ869" s="64">
        <f>($H869-$H870)*100</f>
        <v/>
      </c>
      <c r="DK869" s="65">
        <f>IFERROR($J869/$J870-1,"")</f>
        <v/>
      </c>
      <c r="DL869" s="64">
        <f>$L869-$L870</f>
        <v/>
      </c>
      <c r="DM869" s="64">
        <f>$K869-$K870</f>
        <v/>
      </c>
      <c r="DN869" s="65">
        <f>IFERROR($N869/$N870-1,"")</f>
        <v/>
      </c>
      <c r="DO869" s="65">
        <f>IFERROR($M869/$M870-1,"")</f>
        <v/>
      </c>
      <c r="DP869" s="65">
        <f>IFERROR($AZ869/$AZ870-1,"")</f>
        <v/>
      </c>
      <c r="DQ869" s="65">
        <f>IFERROR($BA869/$BA870-1,"")</f>
        <v/>
      </c>
      <c r="DR869" s="64">
        <f>$O869-$O870</f>
        <v/>
      </c>
      <c r="DS869" s="64">
        <f>$P869-$P870</f>
        <v/>
      </c>
      <c r="DT869" s="64">
        <f>$Q869-$Q870</f>
        <v/>
      </c>
      <c r="DU869" s="64">
        <f>$S869-$S870</f>
        <v/>
      </c>
      <c r="DV869" s="65">
        <f>IFERROR(AVERAGE($AA870/$AA869-1,$AB870/$AB869-1,$AC870/$AC869-1,$AD870/$AD869-1,$AE870/$AE869-1,$AG870/$AG869-1,$AH870/$AH869-1,$AI870/$AI869-1,$AJ870/$AJ869-1,$AL870/$AL869-1,$AM870/$AM869-1,$AR870/$AR869-1,$AS870/$AS869-1,$AT870/$AT869-1,$AU870/$AU869-1,$AV870/$AV869-1,$AW870/$AW869-1,$AX870/$AX869-1,$AY870/$AY869-1),"")</f>
        <v/>
      </c>
      <c r="DW869" s="66">
        <f>AVERAGE($CB869,$CC869,$CD869,$CE869,$CF869,$CG869,$CH869,$CI869,$CJ869,$CL869,$CM869,$CN869,$CO869,$CP869,$CQ869,$CR869,$CS869,$CT869)</f>
        <v/>
      </c>
      <c r="DX869" s="66">
        <f>AVERAGE($CB869,$CC869,$CM869,$CE869,$CP869)</f>
        <v/>
      </c>
      <c r="DY869" s="64">
        <f>($DW869-$DW870)*100</f>
        <v/>
      </c>
      <c r="DZ869" s="64">
        <f>($DX869-$DX870)*100</f>
        <v/>
      </c>
      <c r="EA869" s="64">
        <f>($DW869-$D869)*100</f>
        <v/>
      </c>
      <c r="EB869" s="64">
        <f>$Q869-$O869</f>
        <v/>
      </c>
      <c r="EC869" s="67">
        <f>IFERROR($Q869/$P869,"")</f>
        <v/>
      </c>
    </row>
    <row r="870">
      <c r="DG870" s="64">
        <f>($B870-$B871)*100</f>
        <v/>
      </c>
      <c r="DH870" s="64">
        <f>($D870-$D871)*100</f>
        <v/>
      </c>
      <c r="DI870" s="64">
        <f>($E870-$E871)*100</f>
        <v/>
      </c>
      <c r="DJ870" s="64">
        <f>($H870-$H871)*100</f>
        <v/>
      </c>
      <c r="DK870" s="65">
        <f>IFERROR($J870/$J871-1,"")</f>
        <v/>
      </c>
      <c r="DL870" s="64">
        <f>$L870-$L871</f>
        <v/>
      </c>
      <c r="DM870" s="64">
        <f>$K870-$K871</f>
        <v/>
      </c>
      <c r="DN870" s="65">
        <f>IFERROR($N870/$N871-1,"")</f>
        <v/>
      </c>
      <c r="DO870" s="65">
        <f>IFERROR($M870/$M871-1,"")</f>
        <v/>
      </c>
      <c r="DP870" s="65">
        <f>IFERROR($AZ870/$AZ871-1,"")</f>
        <v/>
      </c>
      <c r="DQ870" s="65">
        <f>IFERROR($BA870/$BA871-1,"")</f>
        <v/>
      </c>
      <c r="DR870" s="64">
        <f>$O870-$O871</f>
        <v/>
      </c>
      <c r="DS870" s="64">
        <f>$P870-$P871</f>
        <v/>
      </c>
      <c r="DT870" s="64">
        <f>$Q870-$Q871</f>
        <v/>
      </c>
      <c r="DU870" s="64">
        <f>$S870-$S871</f>
        <v/>
      </c>
      <c r="DV870" s="65">
        <f>IFERROR(AVERAGE($AA871/$AA870-1,$AB871/$AB870-1,$AC871/$AC870-1,$AD871/$AD870-1,$AE871/$AE870-1,$AG871/$AG870-1,$AH871/$AH870-1,$AI871/$AI870-1,$AJ871/$AJ870-1,$AL871/$AL870-1,$AM871/$AM870-1,$AR871/$AR870-1,$AS871/$AS870-1,$AT871/$AT870-1,$AU871/$AU870-1,$AV871/$AV870-1,$AW871/$AW870-1,$AX871/$AX870-1,$AY871/$AY870-1),"")</f>
        <v/>
      </c>
      <c r="DW870" s="66">
        <f>AVERAGE($CB870,$CC870,$CD870,$CE870,$CF870,$CG870,$CH870,$CI870,$CJ870,$CL870,$CM870,$CN870,$CO870,$CP870,$CQ870,$CR870,$CS870,$CT870)</f>
        <v/>
      </c>
      <c r="DX870" s="66">
        <f>AVERAGE($CB870,$CC870,$CM870,$CE870,$CP870)</f>
        <v/>
      </c>
      <c r="DY870" s="64">
        <f>($DW870-$DW871)*100</f>
        <v/>
      </c>
      <c r="DZ870" s="64">
        <f>($DX870-$DX871)*100</f>
        <v/>
      </c>
      <c r="EA870" s="64">
        <f>($DW870-$D870)*100</f>
        <v/>
      </c>
      <c r="EB870" s="64">
        <f>$Q870-$O870</f>
        <v/>
      </c>
      <c r="EC870" s="67">
        <f>IFERROR($Q870/$P870,"")</f>
        <v/>
      </c>
    </row>
    <row r="871">
      <c r="DG871" s="64">
        <f>($B871-$B872)*100</f>
        <v/>
      </c>
      <c r="DH871" s="64">
        <f>($D871-$D872)*100</f>
        <v/>
      </c>
      <c r="DI871" s="64">
        <f>($E871-$E872)*100</f>
        <v/>
      </c>
      <c r="DJ871" s="64">
        <f>($H871-$H872)*100</f>
        <v/>
      </c>
      <c r="DK871" s="65">
        <f>IFERROR($J871/$J872-1,"")</f>
        <v/>
      </c>
      <c r="DL871" s="64">
        <f>$L871-$L872</f>
        <v/>
      </c>
      <c r="DM871" s="64">
        <f>$K871-$K872</f>
        <v/>
      </c>
      <c r="DN871" s="65">
        <f>IFERROR($N871/$N872-1,"")</f>
        <v/>
      </c>
      <c r="DO871" s="65">
        <f>IFERROR($M871/$M872-1,"")</f>
        <v/>
      </c>
      <c r="DP871" s="65">
        <f>IFERROR($AZ871/$AZ872-1,"")</f>
        <v/>
      </c>
      <c r="DQ871" s="65">
        <f>IFERROR($BA871/$BA872-1,"")</f>
        <v/>
      </c>
      <c r="DR871" s="64">
        <f>$O871-$O872</f>
        <v/>
      </c>
      <c r="DS871" s="64">
        <f>$P871-$P872</f>
        <v/>
      </c>
      <c r="DT871" s="64">
        <f>$Q871-$Q872</f>
        <v/>
      </c>
      <c r="DU871" s="64">
        <f>$S871-$S872</f>
        <v/>
      </c>
      <c r="DV871" s="65">
        <f>IFERROR(AVERAGE($AA872/$AA871-1,$AB872/$AB871-1,$AC872/$AC871-1,$AD872/$AD871-1,$AE872/$AE871-1,$AG872/$AG871-1,$AH872/$AH871-1,$AI872/$AI871-1,$AJ872/$AJ871-1,$AL872/$AL871-1,$AM872/$AM871-1,$AR872/$AR871-1,$AS872/$AS871-1,$AT872/$AT871-1,$AU872/$AU871-1,$AV872/$AV871-1,$AW872/$AW871-1,$AX872/$AX871-1,$AY872/$AY871-1),"")</f>
        <v/>
      </c>
      <c r="DW871" s="66">
        <f>AVERAGE($CB871,$CC871,$CD871,$CE871,$CF871,$CG871,$CH871,$CI871,$CJ871,$CL871,$CM871,$CN871,$CO871,$CP871,$CQ871,$CR871,$CS871,$CT871)</f>
        <v/>
      </c>
      <c r="DX871" s="66">
        <f>AVERAGE($CB871,$CC871,$CM871,$CE871,$CP871)</f>
        <v/>
      </c>
      <c r="DY871" s="64">
        <f>($DW871-$DW872)*100</f>
        <v/>
      </c>
      <c r="DZ871" s="64">
        <f>($DX871-$DX872)*100</f>
        <v/>
      </c>
      <c r="EA871" s="64">
        <f>($DW871-$D871)*100</f>
        <v/>
      </c>
      <c r="EB871" s="64">
        <f>$Q871-$O871</f>
        <v/>
      </c>
      <c r="EC871" s="67">
        <f>IFERROR($Q871/$P871,"")</f>
        <v/>
      </c>
    </row>
    <row r="872">
      <c r="DG872" s="64">
        <f>($B872-$B873)*100</f>
        <v/>
      </c>
      <c r="DH872" s="64">
        <f>($D872-$D873)*100</f>
        <v/>
      </c>
      <c r="DI872" s="64">
        <f>($E872-$E873)*100</f>
        <v/>
      </c>
      <c r="DJ872" s="64">
        <f>($H872-$H873)*100</f>
        <v/>
      </c>
      <c r="DK872" s="65">
        <f>IFERROR($J872/$J873-1,"")</f>
        <v/>
      </c>
      <c r="DL872" s="64">
        <f>$L872-$L873</f>
        <v/>
      </c>
      <c r="DM872" s="64">
        <f>$K872-$K873</f>
        <v/>
      </c>
      <c r="DN872" s="65">
        <f>IFERROR($N872/$N873-1,"")</f>
        <v/>
      </c>
      <c r="DO872" s="65">
        <f>IFERROR($M872/$M873-1,"")</f>
        <v/>
      </c>
      <c r="DP872" s="65">
        <f>IFERROR($AZ872/$AZ873-1,"")</f>
        <v/>
      </c>
      <c r="DQ872" s="65">
        <f>IFERROR($BA872/$BA873-1,"")</f>
        <v/>
      </c>
      <c r="DR872" s="64">
        <f>$O872-$O873</f>
        <v/>
      </c>
      <c r="DS872" s="64">
        <f>$P872-$P873</f>
        <v/>
      </c>
      <c r="DT872" s="64">
        <f>$Q872-$Q873</f>
        <v/>
      </c>
      <c r="DU872" s="64">
        <f>$S872-$S873</f>
        <v/>
      </c>
      <c r="DV872" s="65">
        <f>IFERROR(AVERAGE($AA873/$AA872-1,$AB873/$AB872-1,$AC873/$AC872-1,$AD873/$AD872-1,$AE873/$AE872-1,$AG873/$AG872-1,$AH873/$AH872-1,$AI873/$AI872-1,$AJ873/$AJ872-1,$AL873/$AL872-1,$AM873/$AM872-1,$AR873/$AR872-1,$AS873/$AS872-1,$AT873/$AT872-1,$AU873/$AU872-1,$AV873/$AV872-1,$AW873/$AW872-1,$AX873/$AX872-1,$AY873/$AY872-1),"")</f>
        <v/>
      </c>
      <c r="DW872" s="66">
        <f>AVERAGE($CB872,$CC872,$CD872,$CE872,$CF872,$CG872,$CH872,$CI872,$CJ872,$CL872,$CM872,$CN872,$CO872,$CP872,$CQ872,$CR872,$CS872,$CT872)</f>
        <v/>
      </c>
      <c r="DX872" s="66">
        <f>AVERAGE($CB872,$CC872,$CM872,$CE872,$CP872)</f>
        <v/>
      </c>
      <c r="DY872" s="64">
        <f>($DW872-$DW873)*100</f>
        <v/>
      </c>
      <c r="DZ872" s="64">
        <f>($DX872-$DX873)*100</f>
        <v/>
      </c>
      <c r="EA872" s="64">
        <f>($DW872-$D872)*100</f>
        <v/>
      </c>
      <c r="EB872" s="64">
        <f>$Q872-$O872</f>
        <v/>
      </c>
      <c r="EC872" s="67">
        <f>IFERROR($Q872/$P872,"")</f>
        <v/>
      </c>
    </row>
    <row r="873">
      <c r="DG873" s="64">
        <f>($B873-$B874)*100</f>
        <v/>
      </c>
      <c r="DH873" s="64">
        <f>($D873-$D874)*100</f>
        <v/>
      </c>
      <c r="DI873" s="64">
        <f>($E873-$E874)*100</f>
        <v/>
      </c>
      <c r="DJ873" s="64">
        <f>($H873-$H874)*100</f>
        <v/>
      </c>
      <c r="DK873" s="65">
        <f>IFERROR($J873/$J874-1,"")</f>
        <v/>
      </c>
      <c r="DL873" s="64">
        <f>$L873-$L874</f>
        <v/>
      </c>
      <c r="DM873" s="64">
        <f>$K873-$K874</f>
        <v/>
      </c>
      <c r="DN873" s="65">
        <f>IFERROR($N873/$N874-1,"")</f>
        <v/>
      </c>
      <c r="DO873" s="65">
        <f>IFERROR($M873/$M874-1,"")</f>
        <v/>
      </c>
      <c r="DP873" s="65">
        <f>IFERROR($AZ873/$AZ874-1,"")</f>
        <v/>
      </c>
      <c r="DQ873" s="65">
        <f>IFERROR($BA873/$BA874-1,"")</f>
        <v/>
      </c>
      <c r="DR873" s="64">
        <f>$O873-$O874</f>
        <v/>
      </c>
      <c r="DS873" s="64">
        <f>$P873-$P874</f>
        <v/>
      </c>
      <c r="DT873" s="64">
        <f>$Q873-$Q874</f>
        <v/>
      </c>
      <c r="DU873" s="64">
        <f>$S873-$S874</f>
        <v/>
      </c>
      <c r="DV873" s="65">
        <f>IFERROR(AVERAGE($AA874/$AA873-1,$AB874/$AB873-1,$AC874/$AC873-1,$AD874/$AD873-1,$AE874/$AE873-1,$AG874/$AG873-1,$AH874/$AH873-1,$AI874/$AI873-1,$AJ874/$AJ873-1,$AL874/$AL873-1,$AM874/$AM873-1,$AR874/$AR873-1,$AS874/$AS873-1,$AT874/$AT873-1,$AU874/$AU873-1,$AV874/$AV873-1,$AW874/$AW873-1,$AX874/$AX873-1,$AY874/$AY873-1),"")</f>
        <v/>
      </c>
      <c r="DW873" s="66">
        <f>AVERAGE($CB873,$CC873,$CD873,$CE873,$CF873,$CG873,$CH873,$CI873,$CJ873,$CL873,$CM873,$CN873,$CO873,$CP873,$CQ873,$CR873,$CS873,$CT873)</f>
        <v/>
      </c>
      <c r="DX873" s="66">
        <f>AVERAGE($CB873,$CC873,$CM873,$CE873,$CP873)</f>
        <v/>
      </c>
      <c r="DY873" s="64">
        <f>($DW873-$DW874)*100</f>
        <v/>
      </c>
      <c r="DZ873" s="64">
        <f>($DX873-$DX874)*100</f>
        <v/>
      </c>
      <c r="EA873" s="64">
        <f>($DW873-$D873)*100</f>
        <v/>
      </c>
      <c r="EB873" s="64">
        <f>$Q873-$O873</f>
        <v/>
      </c>
      <c r="EC873" s="67">
        <f>IFERROR($Q873/$P873,"")</f>
        <v/>
      </c>
    </row>
    <row r="874">
      <c r="DG874" s="64">
        <f>($B874-$B875)*100</f>
        <v/>
      </c>
      <c r="DH874" s="64">
        <f>($D874-$D875)*100</f>
        <v/>
      </c>
      <c r="DI874" s="64">
        <f>($E874-$E875)*100</f>
        <v/>
      </c>
      <c r="DJ874" s="64">
        <f>($H874-$H875)*100</f>
        <v/>
      </c>
      <c r="DK874" s="65">
        <f>IFERROR($J874/$J875-1,"")</f>
        <v/>
      </c>
      <c r="DL874" s="64">
        <f>$L874-$L875</f>
        <v/>
      </c>
      <c r="DM874" s="64">
        <f>$K874-$K875</f>
        <v/>
      </c>
      <c r="DN874" s="65">
        <f>IFERROR($N874/$N875-1,"")</f>
        <v/>
      </c>
      <c r="DO874" s="65">
        <f>IFERROR($M874/$M875-1,"")</f>
        <v/>
      </c>
      <c r="DP874" s="65">
        <f>IFERROR($AZ874/$AZ875-1,"")</f>
        <v/>
      </c>
      <c r="DQ874" s="65">
        <f>IFERROR($BA874/$BA875-1,"")</f>
        <v/>
      </c>
      <c r="DR874" s="64">
        <f>$O874-$O875</f>
        <v/>
      </c>
      <c r="DS874" s="64">
        <f>$P874-$P875</f>
        <v/>
      </c>
      <c r="DT874" s="64">
        <f>$Q874-$Q875</f>
        <v/>
      </c>
      <c r="DU874" s="64">
        <f>$S874-$S875</f>
        <v/>
      </c>
      <c r="DV874" s="65">
        <f>IFERROR(AVERAGE($AA875/$AA874-1,$AB875/$AB874-1,$AC875/$AC874-1,$AD875/$AD874-1,$AE875/$AE874-1,$AG875/$AG874-1,$AH875/$AH874-1,$AI875/$AI874-1,$AJ875/$AJ874-1,$AL875/$AL874-1,$AM875/$AM874-1,$AR875/$AR874-1,$AS875/$AS874-1,$AT875/$AT874-1,$AU875/$AU874-1,$AV875/$AV874-1,$AW875/$AW874-1,$AX875/$AX874-1,$AY875/$AY874-1),"")</f>
        <v/>
      </c>
      <c r="DW874" s="66">
        <f>AVERAGE($CB874,$CC874,$CD874,$CE874,$CF874,$CG874,$CH874,$CI874,$CJ874,$CL874,$CM874,$CN874,$CO874,$CP874,$CQ874,$CR874,$CS874,$CT874)</f>
        <v/>
      </c>
      <c r="DX874" s="66">
        <f>AVERAGE($CB874,$CC874,$CM874,$CE874,$CP874)</f>
        <v/>
      </c>
      <c r="DY874" s="64">
        <f>($DW874-$DW875)*100</f>
        <v/>
      </c>
      <c r="DZ874" s="64">
        <f>($DX874-$DX875)*100</f>
        <v/>
      </c>
      <c r="EA874" s="64">
        <f>($DW874-$D874)*100</f>
        <v/>
      </c>
      <c r="EB874" s="64">
        <f>$Q874-$O874</f>
        <v/>
      </c>
      <c r="EC874" s="67">
        <f>IFERROR($Q874/$P874,"")</f>
        <v/>
      </c>
    </row>
    <row r="875">
      <c r="DG875" s="64">
        <f>($B875-$B876)*100</f>
        <v/>
      </c>
      <c r="DH875" s="64">
        <f>($D875-$D876)*100</f>
        <v/>
      </c>
      <c r="DI875" s="64">
        <f>($E875-$E876)*100</f>
        <v/>
      </c>
      <c r="DJ875" s="64">
        <f>($H875-$H876)*100</f>
        <v/>
      </c>
      <c r="DK875" s="65">
        <f>IFERROR($J875/$J876-1,"")</f>
        <v/>
      </c>
      <c r="DL875" s="64">
        <f>$L875-$L876</f>
        <v/>
      </c>
      <c r="DM875" s="64">
        <f>$K875-$K876</f>
        <v/>
      </c>
      <c r="DN875" s="65">
        <f>IFERROR($N875/$N876-1,"")</f>
        <v/>
      </c>
      <c r="DO875" s="65">
        <f>IFERROR($M875/$M876-1,"")</f>
        <v/>
      </c>
      <c r="DP875" s="65">
        <f>IFERROR($AZ875/$AZ876-1,"")</f>
        <v/>
      </c>
      <c r="DQ875" s="65">
        <f>IFERROR($BA875/$BA876-1,"")</f>
        <v/>
      </c>
      <c r="DR875" s="64">
        <f>$O875-$O876</f>
        <v/>
      </c>
      <c r="DS875" s="64">
        <f>$P875-$P876</f>
        <v/>
      </c>
      <c r="DT875" s="64">
        <f>$Q875-$Q876</f>
        <v/>
      </c>
      <c r="DU875" s="64">
        <f>$S875-$S876</f>
        <v/>
      </c>
      <c r="DV875" s="65">
        <f>IFERROR(AVERAGE($AA876/$AA875-1,$AB876/$AB875-1,$AC876/$AC875-1,$AD876/$AD875-1,$AE876/$AE875-1,$AG876/$AG875-1,$AH876/$AH875-1,$AI876/$AI875-1,$AJ876/$AJ875-1,$AL876/$AL875-1,$AM876/$AM875-1,$AR876/$AR875-1,$AS876/$AS875-1,$AT876/$AT875-1,$AU876/$AU875-1,$AV876/$AV875-1,$AW876/$AW875-1,$AX876/$AX875-1,$AY876/$AY875-1),"")</f>
        <v/>
      </c>
      <c r="DW875" s="66">
        <f>AVERAGE($CB875,$CC875,$CD875,$CE875,$CF875,$CG875,$CH875,$CI875,$CJ875,$CL875,$CM875,$CN875,$CO875,$CP875,$CQ875,$CR875,$CS875,$CT875)</f>
        <v/>
      </c>
      <c r="DX875" s="66">
        <f>AVERAGE($CB875,$CC875,$CM875,$CE875,$CP875)</f>
        <v/>
      </c>
      <c r="DY875" s="64">
        <f>($DW875-$DW876)*100</f>
        <v/>
      </c>
      <c r="DZ875" s="64">
        <f>($DX875-$DX876)*100</f>
        <v/>
      </c>
      <c r="EA875" s="64">
        <f>($DW875-$D875)*100</f>
        <v/>
      </c>
      <c r="EB875" s="64">
        <f>$Q875-$O875</f>
        <v/>
      </c>
      <c r="EC875" s="67">
        <f>IFERROR($Q875/$P875,"")</f>
        <v/>
      </c>
    </row>
    <row r="876">
      <c r="DG876" s="64">
        <f>($B876-$B877)*100</f>
        <v/>
      </c>
      <c r="DH876" s="64">
        <f>($D876-$D877)*100</f>
        <v/>
      </c>
      <c r="DI876" s="64">
        <f>($E876-$E877)*100</f>
        <v/>
      </c>
      <c r="DJ876" s="64">
        <f>($H876-$H877)*100</f>
        <v/>
      </c>
      <c r="DK876" s="65">
        <f>IFERROR($J876/$J877-1,"")</f>
        <v/>
      </c>
      <c r="DL876" s="64">
        <f>$L876-$L877</f>
        <v/>
      </c>
      <c r="DM876" s="64">
        <f>$K876-$K877</f>
        <v/>
      </c>
      <c r="DN876" s="65">
        <f>IFERROR($N876/$N877-1,"")</f>
        <v/>
      </c>
      <c r="DO876" s="65">
        <f>IFERROR($M876/$M877-1,"")</f>
        <v/>
      </c>
      <c r="DP876" s="65">
        <f>IFERROR($AZ876/$AZ877-1,"")</f>
        <v/>
      </c>
      <c r="DQ876" s="65">
        <f>IFERROR($BA876/$BA877-1,"")</f>
        <v/>
      </c>
      <c r="DR876" s="64">
        <f>$O876-$O877</f>
        <v/>
      </c>
      <c r="DS876" s="64">
        <f>$P876-$P877</f>
        <v/>
      </c>
      <c r="DT876" s="64">
        <f>$Q876-$Q877</f>
        <v/>
      </c>
      <c r="DU876" s="64">
        <f>$S876-$S877</f>
        <v/>
      </c>
      <c r="DV876" s="65">
        <f>IFERROR(AVERAGE($AA877/$AA876-1,$AB877/$AB876-1,$AC877/$AC876-1,$AD877/$AD876-1,$AE877/$AE876-1,$AG877/$AG876-1,$AH877/$AH876-1,$AI877/$AI876-1,$AJ877/$AJ876-1,$AL877/$AL876-1,$AM877/$AM876-1,$AR877/$AR876-1,$AS877/$AS876-1,$AT877/$AT876-1,$AU877/$AU876-1,$AV877/$AV876-1,$AW877/$AW876-1,$AX877/$AX876-1,$AY877/$AY876-1),"")</f>
        <v/>
      </c>
      <c r="DW876" s="66">
        <f>AVERAGE($CB876,$CC876,$CD876,$CE876,$CF876,$CG876,$CH876,$CI876,$CJ876,$CL876,$CM876,$CN876,$CO876,$CP876,$CQ876,$CR876,$CS876,$CT876)</f>
        <v/>
      </c>
      <c r="DX876" s="66">
        <f>AVERAGE($CB876,$CC876,$CM876,$CE876,$CP876)</f>
        <v/>
      </c>
      <c r="DY876" s="64">
        <f>($DW876-$DW877)*100</f>
        <v/>
      </c>
      <c r="DZ876" s="64">
        <f>($DX876-$DX877)*100</f>
        <v/>
      </c>
      <c r="EA876" s="64">
        <f>($DW876-$D876)*100</f>
        <v/>
      </c>
      <c r="EB876" s="64">
        <f>$Q876-$O876</f>
        <v/>
      </c>
      <c r="EC876" s="67">
        <f>IFERROR($Q876/$P876,"")</f>
        <v/>
      </c>
    </row>
    <row r="877">
      <c r="DG877" s="64">
        <f>($B877-$B878)*100</f>
        <v/>
      </c>
      <c r="DH877" s="64">
        <f>($D877-$D878)*100</f>
        <v/>
      </c>
      <c r="DI877" s="64">
        <f>($E877-$E878)*100</f>
        <v/>
      </c>
      <c r="DJ877" s="64">
        <f>($H877-$H878)*100</f>
        <v/>
      </c>
      <c r="DK877" s="65">
        <f>IFERROR($J877/$J878-1,"")</f>
        <v/>
      </c>
      <c r="DL877" s="64">
        <f>$L877-$L878</f>
        <v/>
      </c>
      <c r="DM877" s="64">
        <f>$K877-$K878</f>
        <v/>
      </c>
      <c r="DN877" s="65">
        <f>IFERROR($N877/$N878-1,"")</f>
        <v/>
      </c>
      <c r="DO877" s="65">
        <f>IFERROR($M877/$M878-1,"")</f>
        <v/>
      </c>
      <c r="DP877" s="65">
        <f>IFERROR($AZ877/$AZ878-1,"")</f>
        <v/>
      </c>
      <c r="DQ877" s="65">
        <f>IFERROR($BA877/$BA878-1,"")</f>
        <v/>
      </c>
      <c r="DR877" s="64">
        <f>$O877-$O878</f>
        <v/>
      </c>
      <c r="DS877" s="64">
        <f>$P877-$P878</f>
        <v/>
      </c>
      <c r="DT877" s="64">
        <f>$Q877-$Q878</f>
        <v/>
      </c>
      <c r="DU877" s="64">
        <f>$S877-$S878</f>
        <v/>
      </c>
      <c r="DV877" s="65">
        <f>IFERROR(AVERAGE($AA878/$AA877-1,$AB878/$AB877-1,$AC878/$AC877-1,$AD878/$AD877-1,$AE878/$AE877-1,$AG878/$AG877-1,$AH878/$AH877-1,$AI878/$AI877-1,$AJ878/$AJ877-1,$AL878/$AL877-1,$AM878/$AM877-1,$AR878/$AR877-1,$AS878/$AS877-1,$AT878/$AT877-1,$AU878/$AU877-1,$AV878/$AV877-1,$AW878/$AW877-1,$AX878/$AX877-1,$AY878/$AY877-1),"")</f>
        <v/>
      </c>
      <c r="DW877" s="66">
        <f>AVERAGE($CB877,$CC877,$CD877,$CE877,$CF877,$CG877,$CH877,$CI877,$CJ877,$CL877,$CM877,$CN877,$CO877,$CP877,$CQ877,$CR877,$CS877,$CT877)</f>
        <v/>
      </c>
      <c r="DX877" s="66">
        <f>AVERAGE($CB877,$CC877,$CM877,$CE877,$CP877)</f>
        <v/>
      </c>
      <c r="DY877" s="64">
        <f>($DW877-$DW878)*100</f>
        <v/>
      </c>
      <c r="DZ877" s="64">
        <f>($DX877-$DX878)*100</f>
        <v/>
      </c>
      <c r="EA877" s="64">
        <f>($DW877-$D877)*100</f>
        <v/>
      </c>
      <c r="EB877" s="64">
        <f>$Q877-$O877</f>
        <v/>
      </c>
      <c r="EC877" s="67">
        <f>IFERROR($Q877/$P877,"")</f>
        <v/>
      </c>
    </row>
    <row r="878">
      <c r="DG878" s="64">
        <f>($B878-$B879)*100</f>
        <v/>
      </c>
      <c r="DH878" s="64">
        <f>($D878-$D879)*100</f>
        <v/>
      </c>
      <c r="DI878" s="64">
        <f>($E878-$E879)*100</f>
        <v/>
      </c>
      <c r="DJ878" s="64">
        <f>($H878-$H879)*100</f>
        <v/>
      </c>
      <c r="DK878" s="65">
        <f>IFERROR($J878/$J879-1,"")</f>
        <v/>
      </c>
      <c r="DL878" s="64">
        <f>$L878-$L879</f>
        <v/>
      </c>
      <c r="DM878" s="64">
        <f>$K878-$K879</f>
        <v/>
      </c>
      <c r="DN878" s="65">
        <f>IFERROR($N878/$N879-1,"")</f>
        <v/>
      </c>
      <c r="DO878" s="65">
        <f>IFERROR($M878/$M879-1,"")</f>
        <v/>
      </c>
      <c r="DP878" s="65">
        <f>IFERROR($AZ878/$AZ879-1,"")</f>
        <v/>
      </c>
      <c r="DQ878" s="65">
        <f>IFERROR($BA878/$BA879-1,"")</f>
        <v/>
      </c>
      <c r="DR878" s="64">
        <f>$O878-$O879</f>
        <v/>
      </c>
      <c r="DS878" s="64">
        <f>$P878-$P879</f>
        <v/>
      </c>
      <c r="DT878" s="64">
        <f>$Q878-$Q879</f>
        <v/>
      </c>
      <c r="DU878" s="64">
        <f>$S878-$S879</f>
        <v/>
      </c>
      <c r="DV878" s="65">
        <f>IFERROR(AVERAGE($AA879/$AA878-1,$AB879/$AB878-1,$AC879/$AC878-1,$AD879/$AD878-1,$AE879/$AE878-1,$AG879/$AG878-1,$AH879/$AH878-1,$AI879/$AI878-1,$AJ879/$AJ878-1,$AL879/$AL878-1,$AM879/$AM878-1,$AR879/$AR878-1,$AS879/$AS878-1,$AT879/$AT878-1,$AU879/$AU878-1,$AV879/$AV878-1,$AW879/$AW878-1,$AX879/$AX878-1,$AY879/$AY878-1),"")</f>
        <v/>
      </c>
      <c r="DW878" s="66">
        <f>AVERAGE($CB878,$CC878,$CD878,$CE878,$CF878,$CG878,$CH878,$CI878,$CJ878,$CL878,$CM878,$CN878,$CO878,$CP878,$CQ878,$CR878,$CS878,$CT878)</f>
        <v/>
      </c>
      <c r="DX878" s="66">
        <f>AVERAGE($CB878,$CC878,$CM878,$CE878,$CP878)</f>
        <v/>
      </c>
      <c r="DY878" s="64">
        <f>($DW878-$DW879)*100</f>
        <v/>
      </c>
      <c r="DZ878" s="64">
        <f>($DX878-$DX879)*100</f>
        <v/>
      </c>
      <c r="EA878" s="64">
        <f>($DW878-$D878)*100</f>
        <v/>
      </c>
      <c r="EB878" s="64">
        <f>$Q878-$O878</f>
        <v/>
      </c>
      <c r="EC878" s="67">
        <f>IFERROR($Q878/$P878,"")</f>
        <v/>
      </c>
    </row>
    <row r="879">
      <c r="DG879" s="64">
        <f>($B879-$B880)*100</f>
        <v/>
      </c>
      <c r="DH879" s="64">
        <f>($D879-$D880)*100</f>
        <v/>
      </c>
      <c r="DI879" s="64">
        <f>($E879-$E880)*100</f>
        <v/>
      </c>
      <c r="DJ879" s="64">
        <f>($H879-$H880)*100</f>
        <v/>
      </c>
      <c r="DK879" s="65">
        <f>IFERROR($J879/$J880-1,"")</f>
        <v/>
      </c>
      <c r="DL879" s="64">
        <f>$L879-$L880</f>
        <v/>
      </c>
      <c r="DM879" s="64">
        <f>$K879-$K880</f>
        <v/>
      </c>
      <c r="DN879" s="65">
        <f>IFERROR($N879/$N880-1,"")</f>
        <v/>
      </c>
      <c r="DO879" s="65">
        <f>IFERROR($M879/$M880-1,"")</f>
        <v/>
      </c>
      <c r="DP879" s="65">
        <f>IFERROR($AZ879/$AZ880-1,"")</f>
        <v/>
      </c>
      <c r="DQ879" s="65">
        <f>IFERROR($BA879/$BA880-1,"")</f>
        <v/>
      </c>
      <c r="DR879" s="64">
        <f>$O879-$O880</f>
        <v/>
      </c>
      <c r="DS879" s="64">
        <f>$P879-$P880</f>
        <v/>
      </c>
      <c r="DT879" s="64">
        <f>$Q879-$Q880</f>
        <v/>
      </c>
      <c r="DU879" s="64">
        <f>$S879-$S880</f>
        <v/>
      </c>
      <c r="DV879" s="65">
        <f>IFERROR(AVERAGE($AA880/$AA879-1,$AB880/$AB879-1,$AC880/$AC879-1,$AD880/$AD879-1,$AE880/$AE879-1,$AG880/$AG879-1,$AH880/$AH879-1,$AI880/$AI879-1,$AJ880/$AJ879-1,$AL880/$AL879-1,$AM880/$AM879-1,$AR880/$AR879-1,$AS880/$AS879-1,$AT880/$AT879-1,$AU880/$AU879-1,$AV880/$AV879-1,$AW880/$AW879-1,$AX880/$AX879-1,$AY880/$AY879-1),"")</f>
        <v/>
      </c>
      <c r="DW879" s="66">
        <f>AVERAGE($CB879,$CC879,$CD879,$CE879,$CF879,$CG879,$CH879,$CI879,$CJ879,$CL879,$CM879,$CN879,$CO879,$CP879,$CQ879,$CR879,$CS879,$CT879)</f>
        <v/>
      </c>
      <c r="DX879" s="66">
        <f>AVERAGE($CB879,$CC879,$CM879,$CE879,$CP879)</f>
        <v/>
      </c>
      <c r="DY879" s="64">
        <f>($DW879-$DW880)*100</f>
        <v/>
      </c>
      <c r="DZ879" s="64">
        <f>($DX879-$DX880)*100</f>
        <v/>
      </c>
      <c r="EA879" s="64">
        <f>($DW879-$D879)*100</f>
        <v/>
      </c>
      <c r="EB879" s="64">
        <f>$Q879-$O879</f>
        <v/>
      </c>
      <c r="EC879" s="67">
        <f>IFERROR($Q879/$P879,"")</f>
        <v/>
      </c>
    </row>
    <row r="880">
      <c r="DG880" s="64">
        <f>($B880-$B881)*100</f>
        <v/>
      </c>
      <c r="DH880" s="64">
        <f>($D880-$D881)*100</f>
        <v/>
      </c>
      <c r="DI880" s="64">
        <f>($E880-$E881)*100</f>
        <v/>
      </c>
      <c r="DJ880" s="64">
        <f>($H880-$H881)*100</f>
        <v/>
      </c>
      <c r="DK880" s="65">
        <f>IFERROR($J880/$J881-1,"")</f>
        <v/>
      </c>
      <c r="DL880" s="64">
        <f>$L880-$L881</f>
        <v/>
      </c>
      <c r="DM880" s="64">
        <f>$K880-$K881</f>
        <v/>
      </c>
      <c r="DN880" s="65">
        <f>IFERROR($N880/$N881-1,"")</f>
        <v/>
      </c>
      <c r="DO880" s="65">
        <f>IFERROR($M880/$M881-1,"")</f>
        <v/>
      </c>
      <c r="DP880" s="65">
        <f>IFERROR($AZ880/$AZ881-1,"")</f>
        <v/>
      </c>
      <c r="DQ880" s="65">
        <f>IFERROR($BA880/$BA881-1,"")</f>
        <v/>
      </c>
      <c r="DR880" s="64">
        <f>$O880-$O881</f>
        <v/>
      </c>
      <c r="DS880" s="64">
        <f>$P880-$P881</f>
        <v/>
      </c>
      <c r="DT880" s="64">
        <f>$Q880-$Q881</f>
        <v/>
      </c>
      <c r="DU880" s="64">
        <f>$S880-$S881</f>
        <v/>
      </c>
      <c r="DV880" s="65">
        <f>IFERROR(AVERAGE($AA881/$AA880-1,$AB881/$AB880-1,$AC881/$AC880-1,$AD881/$AD880-1,$AE881/$AE880-1,$AG881/$AG880-1,$AH881/$AH880-1,$AI881/$AI880-1,$AJ881/$AJ880-1,$AL881/$AL880-1,$AM881/$AM880-1,$AR881/$AR880-1,$AS881/$AS880-1,$AT881/$AT880-1,$AU881/$AU880-1,$AV881/$AV880-1,$AW881/$AW880-1,$AX881/$AX880-1,$AY881/$AY880-1),"")</f>
        <v/>
      </c>
      <c r="DW880" s="66">
        <f>AVERAGE($CB880,$CC880,$CD880,$CE880,$CF880,$CG880,$CH880,$CI880,$CJ880,$CL880,$CM880,$CN880,$CO880,$CP880,$CQ880,$CR880,$CS880,$CT880)</f>
        <v/>
      </c>
      <c r="DX880" s="66">
        <f>AVERAGE($CB880,$CC880,$CM880,$CE880,$CP880)</f>
        <v/>
      </c>
      <c r="DY880" s="64">
        <f>($DW880-$DW881)*100</f>
        <v/>
      </c>
      <c r="DZ880" s="64">
        <f>($DX880-$DX881)*100</f>
        <v/>
      </c>
      <c r="EA880" s="64">
        <f>($DW880-$D880)*100</f>
        <v/>
      </c>
      <c r="EB880" s="64">
        <f>$Q880-$O880</f>
        <v/>
      </c>
      <c r="EC880" s="67">
        <f>IFERROR($Q880/$P880,"")</f>
        <v/>
      </c>
    </row>
    <row r="881">
      <c r="DG881" s="64">
        <f>($B881-$B882)*100</f>
        <v/>
      </c>
      <c r="DH881" s="64">
        <f>($D881-$D882)*100</f>
        <v/>
      </c>
      <c r="DI881" s="64">
        <f>($E881-$E882)*100</f>
        <v/>
      </c>
      <c r="DJ881" s="64">
        <f>($H881-$H882)*100</f>
        <v/>
      </c>
      <c r="DK881" s="65">
        <f>IFERROR($J881/$J882-1,"")</f>
        <v/>
      </c>
      <c r="DL881" s="64">
        <f>$L881-$L882</f>
        <v/>
      </c>
      <c r="DM881" s="64">
        <f>$K881-$K882</f>
        <v/>
      </c>
      <c r="DN881" s="65">
        <f>IFERROR($N881/$N882-1,"")</f>
        <v/>
      </c>
      <c r="DO881" s="65">
        <f>IFERROR($M881/$M882-1,"")</f>
        <v/>
      </c>
      <c r="DP881" s="65">
        <f>IFERROR($AZ881/$AZ882-1,"")</f>
        <v/>
      </c>
      <c r="DQ881" s="65">
        <f>IFERROR($BA881/$BA882-1,"")</f>
        <v/>
      </c>
      <c r="DR881" s="64">
        <f>$O881-$O882</f>
        <v/>
      </c>
      <c r="DS881" s="64">
        <f>$P881-$P882</f>
        <v/>
      </c>
      <c r="DT881" s="64">
        <f>$Q881-$Q882</f>
        <v/>
      </c>
      <c r="DU881" s="64">
        <f>$S881-$S882</f>
        <v/>
      </c>
      <c r="DV881" s="65">
        <f>IFERROR(AVERAGE($AA882/$AA881-1,$AB882/$AB881-1,$AC882/$AC881-1,$AD882/$AD881-1,$AE882/$AE881-1,$AG882/$AG881-1,$AH882/$AH881-1,$AI882/$AI881-1,$AJ882/$AJ881-1,$AL882/$AL881-1,$AM882/$AM881-1,$AR882/$AR881-1,$AS882/$AS881-1,$AT882/$AT881-1,$AU882/$AU881-1,$AV882/$AV881-1,$AW882/$AW881-1,$AX882/$AX881-1,$AY882/$AY881-1),"")</f>
        <v/>
      </c>
      <c r="DW881" s="66">
        <f>AVERAGE($CB881,$CC881,$CD881,$CE881,$CF881,$CG881,$CH881,$CI881,$CJ881,$CL881,$CM881,$CN881,$CO881,$CP881,$CQ881,$CR881,$CS881,$CT881)</f>
        <v/>
      </c>
      <c r="DX881" s="66">
        <f>AVERAGE($CB881,$CC881,$CM881,$CE881,$CP881)</f>
        <v/>
      </c>
      <c r="DY881" s="64">
        <f>($DW881-$DW882)*100</f>
        <v/>
      </c>
      <c r="DZ881" s="64">
        <f>($DX881-$DX882)*100</f>
        <v/>
      </c>
      <c r="EA881" s="64">
        <f>($DW881-$D881)*100</f>
        <v/>
      </c>
      <c r="EB881" s="64">
        <f>$Q881-$O881</f>
        <v/>
      </c>
      <c r="EC881" s="67">
        <f>IFERROR($Q881/$P881,"")</f>
        <v/>
      </c>
    </row>
    <row r="882">
      <c r="DG882" s="64">
        <f>($B882-$B883)*100</f>
        <v/>
      </c>
      <c r="DH882" s="64">
        <f>($D882-$D883)*100</f>
        <v/>
      </c>
      <c r="DI882" s="64">
        <f>($E882-$E883)*100</f>
        <v/>
      </c>
      <c r="DJ882" s="64">
        <f>($H882-$H883)*100</f>
        <v/>
      </c>
      <c r="DK882" s="65">
        <f>IFERROR($J882/$J883-1,"")</f>
        <v/>
      </c>
      <c r="DL882" s="64">
        <f>$L882-$L883</f>
        <v/>
      </c>
      <c r="DM882" s="64">
        <f>$K882-$K883</f>
        <v/>
      </c>
      <c r="DN882" s="65">
        <f>IFERROR($N882/$N883-1,"")</f>
        <v/>
      </c>
      <c r="DO882" s="65">
        <f>IFERROR($M882/$M883-1,"")</f>
        <v/>
      </c>
      <c r="DP882" s="65">
        <f>IFERROR($AZ882/$AZ883-1,"")</f>
        <v/>
      </c>
      <c r="DQ882" s="65">
        <f>IFERROR($BA882/$BA883-1,"")</f>
        <v/>
      </c>
      <c r="DR882" s="64">
        <f>$O882-$O883</f>
        <v/>
      </c>
      <c r="DS882" s="64">
        <f>$P882-$P883</f>
        <v/>
      </c>
      <c r="DT882" s="64">
        <f>$Q882-$Q883</f>
        <v/>
      </c>
      <c r="DU882" s="64">
        <f>$S882-$S883</f>
        <v/>
      </c>
      <c r="DV882" s="65">
        <f>IFERROR(AVERAGE($AA883/$AA882-1,$AB883/$AB882-1,$AC883/$AC882-1,$AD883/$AD882-1,$AE883/$AE882-1,$AG883/$AG882-1,$AH883/$AH882-1,$AI883/$AI882-1,$AJ883/$AJ882-1,$AL883/$AL882-1,$AM883/$AM882-1,$AR883/$AR882-1,$AS883/$AS882-1,$AT883/$AT882-1,$AU883/$AU882-1,$AV883/$AV882-1,$AW883/$AW882-1,$AX883/$AX882-1,$AY883/$AY882-1),"")</f>
        <v/>
      </c>
      <c r="DW882" s="66">
        <f>AVERAGE($CB882,$CC882,$CD882,$CE882,$CF882,$CG882,$CH882,$CI882,$CJ882,$CL882,$CM882,$CN882,$CO882,$CP882,$CQ882,$CR882,$CS882,$CT882)</f>
        <v/>
      </c>
      <c r="DX882" s="66">
        <f>AVERAGE($CB882,$CC882,$CM882,$CE882,$CP882)</f>
        <v/>
      </c>
      <c r="DY882" s="64">
        <f>($DW882-$DW883)*100</f>
        <v/>
      </c>
      <c r="DZ882" s="64">
        <f>($DX882-$DX883)*100</f>
        <v/>
      </c>
      <c r="EA882" s="64">
        <f>($DW882-$D882)*100</f>
        <v/>
      </c>
      <c r="EB882" s="64">
        <f>$Q882-$O882</f>
        <v/>
      </c>
      <c r="EC882" s="67">
        <f>IFERROR($Q882/$P882,"")</f>
        <v/>
      </c>
    </row>
    <row r="883">
      <c r="DG883" s="64">
        <f>($B883-$B884)*100</f>
        <v/>
      </c>
      <c r="DH883" s="64">
        <f>($D883-$D884)*100</f>
        <v/>
      </c>
      <c r="DI883" s="64">
        <f>($E883-$E884)*100</f>
        <v/>
      </c>
      <c r="DJ883" s="64">
        <f>($H883-$H884)*100</f>
        <v/>
      </c>
      <c r="DK883" s="65">
        <f>IFERROR($J883/$J884-1,"")</f>
        <v/>
      </c>
      <c r="DL883" s="64">
        <f>$L883-$L884</f>
        <v/>
      </c>
      <c r="DM883" s="64">
        <f>$K883-$K884</f>
        <v/>
      </c>
      <c r="DN883" s="65">
        <f>IFERROR($N883/$N884-1,"")</f>
        <v/>
      </c>
      <c r="DO883" s="65">
        <f>IFERROR($M883/$M884-1,"")</f>
        <v/>
      </c>
      <c r="DP883" s="65">
        <f>IFERROR($AZ883/$AZ884-1,"")</f>
        <v/>
      </c>
      <c r="DQ883" s="65">
        <f>IFERROR($BA883/$BA884-1,"")</f>
        <v/>
      </c>
      <c r="DR883" s="64">
        <f>$O883-$O884</f>
        <v/>
      </c>
      <c r="DS883" s="64">
        <f>$P883-$P884</f>
        <v/>
      </c>
      <c r="DT883" s="64">
        <f>$Q883-$Q884</f>
        <v/>
      </c>
      <c r="DU883" s="64">
        <f>$S883-$S884</f>
        <v/>
      </c>
      <c r="DV883" s="65">
        <f>IFERROR(AVERAGE($AA884/$AA883-1,$AB884/$AB883-1,$AC884/$AC883-1,$AD884/$AD883-1,$AE884/$AE883-1,$AG884/$AG883-1,$AH884/$AH883-1,$AI884/$AI883-1,$AJ884/$AJ883-1,$AL884/$AL883-1,$AM884/$AM883-1,$AR884/$AR883-1,$AS884/$AS883-1,$AT884/$AT883-1,$AU884/$AU883-1,$AV884/$AV883-1,$AW884/$AW883-1,$AX884/$AX883-1,$AY884/$AY883-1),"")</f>
        <v/>
      </c>
      <c r="DW883" s="66">
        <f>AVERAGE($CB883,$CC883,$CD883,$CE883,$CF883,$CG883,$CH883,$CI883,$CJ883,$CL883,$CM883,$CN883,$CO883,$CP883,$CQ883,$CR883,$CS883,$CT883)</f>
        <v/>
      </c>
      <c r="DX883" s="66">
        <f>AVERAGE($CB883,$CC883,$CM883,$CE883,$CP883)</f>
        <v/>
      </c>
      <c r="DY883" s="64">
        <f>($DW883-$DW884)*100</f>
        <v/>
      </c>
      <c r="DZ883" s="64">
        <f>($DX883-$DX884)*100</f>
        <v/>
      </c>
      <c r="EA883" s="64">
        <f>($DW883-$D883)*100</f>
        <v/>
      </c>
      <c r="EB883" s="64">
        <f>$Q883-$O883</f>
        <v/>
      </c>
      <c r="EC883" s="67">
        <f>IFERROR($Q883/$P883,"")</f>
        <v/>
      </c>
    </row>
    <row r="884">
      <c r="DG884" s="64">
        <f>($B884-$B885)*100</f>
        <v/>
      </c>
      <c r="DH884" s="64">
        <f>($D884-$D885)*100</f>
        <v/>
      </c>
      <c r="DI884" s="64">
        <f>($E884-$E885)*100</f>
        <v/>
      </c>
      <c r="DJ884" s="64">
        <f>($H884-$H885)*100</f>
        <v/>
      </c>
      <c r="DK884" s="65">
        <f>IFERROR($J884/$J885-1,"")</f>
        <v/>
      </c>
      <c r="DL884" s="64">
        <f>$L884-$L885</f>
        <v/>
      </c>
      <c r="DM884" s="64">
        <f>$K884-$K885</f>
        <v/>
      </c>
      <c r="DN884" s="65">
        <f>IFERROR($N884/$N885-1,"")</f>
        <v/>
      </c>
      <c r="DO884" s="65">
        <f>IFERROR($M884/$M885-1,"")</f>
        <v/>
      </c>
      <c r="DP884" s="65">
        <f>IFERROR($AZ884/$AZ885-1,"")</f>
        <v/>
      </c>
      <c r="DQ884" s="65">
        <f>IFERROR($BA884/$BA885-1,"")</f>
        <v/>
      </c>
      <c r="DR884" s="64">
        <f>$O884-$O885</f>
        <v/>
      </c>
      <c r="DS884" s="64">
        <f>$P884-$P885</f>
        <v/>
      </c>
      <c r="DT884" s="64">
        <f>$Q884-$Q885</f>
        <v/>
      </c>
      <c r="DU884" s="64">
        <f>$S884-$S885</f>
        <v/>
      </c>
      <c r="DV884" s="65">
        <f>IFERROR(AVERAGE($AA885/$AA884-1,$AB885/$AB884-1,$AC885/$AC884-1,$AD885/$AD884-1,$AE885/$AE884-1,$AG885/$AG884-1,$AH885/$AH884-1,$AI885/$AI884-1,$AJ885/$AJ884-1,$AL885/$AL884-1,$AM885/$AM884-1,$AR885/$AR884-1,$AS885/$AS884-1,$AT885/$AT884-1,$AU885/$AU884-1,$AV885/$AV884-1,$AW885/$AW884-1,$AX885/$AX884-1,$AY885/$AY884-1),"")</f>
        <v/>
      </c>
      <c r="DW884" s="66">
        <f>AVERAGE($CB884,$CC884,$CD884,$CE884,$CF884,$CG884,$CH884,$CI884,$CJ884,$CL884,$CM884,$CN884,$CO884,$CP884,$CQ884,$CR884,$CS884,$CT884)</f>
        <v/>
      </c>
      <c r="DX884" s="66">
        <f>AVERAGE($CB884,$CC884,$CM884,$CE884,$CP884)</f>
        <v/>
      </c>
      <c r="DY884" s="64">
        <f>($DW884-$DW885)*100</f>
        <v/>
      </c>
      <c r="DZ884" s="64">
        <f>($DX884-$DX885)*100</f>
        <v/>
      </c>
      <c r="EA884" s="64">
        <f>($DW884-$D884)*100</f>
        <v/>
      </c>
      <c r="EB884" s="64">
        <f>$Q884-$O884</f>
        <v/>
      </c>
      <c r="EC884" s="67">
        <f>IFERROR($Q884/$P884,"")</f>
        <v/>
      </c>
    </row>
    <row r="885">
      <c r="DG885" s="64">
        <f>($B885-$B886)*100</f>
        <v/>
      </c>
      <c r="DH885" s="64">
        <f>($D885-$D886)*100</f>
        <v/>
      </c>
      <c r="DI885" s="64">
        <f>($E885-$E886)*100</f>
        <v/>
      </c>
      <c r="DJ885" s="64">
        <f>($H885-$H886)*100</f>
        <v/>
      </c>
      <c r="DK885" s="65">
        <f>IFERROR($J885/$J886-1,"")</f>
        <v/>
      </c>
      <c r="DL885" s="64">
        <f>$L885-$L886</f>
        <v/>
      </c>
      <c r="DM885" s="64">
        <f>$K885-$K886</f>
        <v/>
      </c>
      <c r="DN885" s="65">
        <f>IFERROR($N885/$N886-1,"")</f>
        <v/>
      </c>
      <c r="DO885" s="65">
        <f>IFERROR($M885/$M886-1,"")</f>
        <v/>
      </c>
      <c r="DP885" s="65">
        <f>IFERROR($AZ885/$AZ886-1,"")</f>
        <v/>
      </c>
      <c r="DQ885" s="65">
        <f>IFERROR($BA885/$BA886-1,"")</f>
        <v/>
      </c>
      <c r="DR885" s="64">
        <f>$O885-$O886</f>
        <v/>
      </c>
      <c r="DS885" s="64">
        <f>$P885-$P886</f>
        <v/>
      </c>
      <c r="DT885" s="64">
        <f>$Q885-$Q886</f>
        <v/>
      </c>
      <c r="DU885" s="64">
        <f>$S885-$S886</f>
        <v/>
      </c>
      <c r="DV885" s="65">
        <f>IFERROR(AVERAGE($AA886/$AA885-1,$AB886/$AB885-1,$AC886/$AC885-1,$AD886/$AD885-1,$AE886/$AE885-1,$AG886/$AG885-1,$AH886/$AH885-1,$AI886/$AI885-1,$AJ886/$AJ885-1,$AL886/$AL885-1,$AM886/$AM885-1,$AR886/$AR885-1,$AS886/$AS885-1,$AT886/$AT885-1,$AU886/$AU885-1,$AV886/$AV885-1,$AW886/$AW885-1,$AX886/$AX885-1,$AY886/$AY885-1),"")</f>
        <v/>
      </c>
      <c r="DW885" s="66">
        <f>AVERAGE($CB885,$CC885,$CD885,$CE885,$CF885,$CG885,$CH885,$CI885,$CJ885,$CL885,$CM885,$CN885,$CO885,$CP885,$CQ885,$CR885,$CS885,$CT885)</f>
        <v/>
      </c>
      <c r="DX885" s="66">
        <f>AVERAGE($CB885,$CC885,$CM885,$CE885,$CP885)</f>
        <v/>
      </c>
      <c r="DY885" s="64">
        <f>($DW885-$DW886)*100</f>
        <v/>
      </c>
      <c r="DZ885" s="64">
        <f>($DX885-$DX886)*100</f>
        <v/>
      </c>
      <c r="EA885" s="64">
        <f>($DW885-$D885)*100</f>
        <v/>
      </c>
      <c r="EB885" s="64">
        <f>$Q885-$O885</f>
        <v/>
      </c>
      <c r="EC885" s="67">
        <f>IFERROR($Q885/$P885,"")</f>
        <v/>
      </c>
    </row>
    <row r="886">
      <c r="DG886" s="64">
        <f>($B886-$B887)*100</f>
        <v/>
      </c>
      <c r="DH886" s="64">
        <f>($D886-$D887)*100</f>
        <v/>
      </c>
      <c r="DI886" s="64">
        <f>($E886-$E887)*100</f>
        <v/>
      </c>
      <c r="DJ886" s="64">
        <f>($H886-$H887)*100</f>
        <v/>
      </c>
      <c r="DK886" s="65">
        <f>IFERROR($J886/$J887-1,"")</f>
        <v/>
      </c>
      <c r="DL886" s="64">
        <f>$L886-$L887</f>
        <v/>
      </c>
      <c r="DM886" s="64">
        <f>$K886-$K887</f>
        <v/>
      </c>
      <c r="DN886" s="65">
        <f>IFERROR($N886/$N887-1,"")</f>
        <v/>
      </c>
      <c r="DO886" s="65">
        <f>IFERROR($M886/$M887-1,"")</f>
        <v/>
      </c>
      <c r="DP886" s="65">
        <f>IFERROR($AZ886/$AZ887-1,"")</f>
        <v/>
      </c>
      <c r="DQ886" s="65">
        <f>IFERROR($BA886/$BA887-1,"")</f>
        <v/>
      </c>
      <c r="DR886" s="64">
        <f>$O886-$O887</f>
        <v/>
      </c>
      <c r="DS886" s="64">
        <f>$P886-$P887</f>
        <v/>
      </c>
      <c r="DT886" s="64">
        <f>$Q886-$Q887</f>
        <v/>
      </c>
      <c r="DU886" s="64">
        <f>$S886-$S887</f>
        <v/>
      </c>
      <c r="DV886" s="65">
        <f>IFERROR(AVERAGE($AA887/$AA886-1,$AB887/$AB886-1,$AC887/$AC886-1,$AD887/$AD886-1,$AE887/$AE886-1,$AG887/$AG886-1,$AH887/$AH886-1,$AI887/$AI886-1,$AJ887/$AJ886-1,$AL887/$AL886-1,$AM887/$AM886-1,$AR887/$AR886-1,$AS887/$AS886-1,$AT887/$AT886-1,$AU887/$AU886-1,$AV887/$AV886-1,$AW887/$AW886-1,$AX887/$AX886-1,$AY887/$AY886-1),"")</f>
        <v/>
      </c>
      <c r="DW886" s="66">
        <f>AVERAGE($CB886,$CC886,$CD886,$CE886,$CF886,$CG886,$CH886,$CI886,$CJ886,$CL886,$CM886,$CN886,$CO886,$CP886,$CQ886,$CR886,$CS886,$CT886)</f>
        <v/>
      </c>
      <c r="DX886" s="66">
        <f>AVERAGE($CB886,$CC886,$CM886,$CE886,$CP886)</f>
        <v/>
      </c>
      <c r="DY886" s="64">
        <f>($DW886-$DW887)*100</f>
        <v/>
      </c>
      <c r="DZ886" s="64">
        <f>($DX886-$DX887)*100</f>
        <v/>
      </c>
      <c r="EA886" s="64">
        <f>($DW886-$D886)*100</f>
        <v/>
      </c>
      <c r="EB886" s="64">
        <f>$Q886-$O886</f>
        <v/>
      </c>
      <c r="EC886" s="67">
        <f>IFERROR($Q886/$P886,"")</f>
        <v/>
      </c>
    </row>
    <row r="887">
      <c r="DG887" s="64">
        <f>($B887-$B888)*100</f>
        <v/>
      </c>
      <c r="DH887" s="64">
        <f>($D887-$D888)*100</f>
        <v/>
      </c>
      <c r="DI887" s="64">
        <f>($E887-$E888)*100</f>
        <v/>
      </c>
      <c r="DJ887" s="64">
        <f>($H887-$H888)*100</f>
        <v/>
      </c>
      <c r="DK887" s="65">
        <f>IFERROR($J887/$J888-1,"")</f>
        <v/>
      </c>
      <c r="DL887" s="64">
        <f>$L887-$L888</f>
        <v/>
      </c>
      <c r="DM887" s="64">
        <f>$K887-$K888</f>
        <v/>
      </c>
      <c r="DN887" s="65">
        <f>IFERROR($N887/$N888-1,"")</f>
        <v/>
      </c>
      <c r="DO887" s="65">
        <f>IFERROR($M887/$M888-1,"")</f>
        <v/>
      </c>
      <c r="DP887" s="65">
        <f>IFERROR($AZ887/$AZ888-1,"")</f>
        <v/>
      </c>
      <c r="DQ887" s="65">
        <f>IFERROR($BA887/$BA888-1,"")</f>
        <v/>
      </c>
      <c r="DR887" s="64">
        <f>$O887-$O888</f>
        <v/>
      </c>
      <c r="DS887" s="64">
        <f>$P887-$P888</f>
        <v/>
      </c>
      <c r="DT887" s="64">
        <f>$Q887-$Q888</f>
        <v/>
      </c>
      <c r="DU887" s="64">
        <f>$S887-$S888</f>
        <v/>
      </c>
      <c r="DV887" s="65">
        <f>IFERROR(AVERAGE($AA888/$AA887-1,$AB888/$AB887-1,$AC888/$AC887-1,$AD888/$AD887-1,$AE888/$AE887-1,$AG888/$AG887-1,$AH888/$AH887-1,$AI888/$AI887-1,$AJ888/$AJ887-1,$AL888/$AL887-1,$AM888/$AM887-1,$AR888/$AR887-1,$AS888/$AS887-1,$AT888/$AT887-1,$AU888/$AU887-1,$AV888/$AV887-1,$AW888/$AW887-1,$AX888/$AX887-1,$AY888/$AY887-1),"")</f>
        <v/>
      </c>
      <c r="DW887" s="66">
        <f>AVERAGE($CB887,$CC887,$CD887,$CE887,$CF887,$CG887,$CH887,$CI887,$CJ887,$CL887,$CM887,$CN887,$CO887,$CP887,$CQ887,$CR887,$CS887,$CT887)</f>
        <v/>
      </c>
      <c r="DX887" s="66">
        <f>AVERAGE($CB887,$CC887,$CM887,$CE887,$CP887)</f>
        <v/>
      </c>
      <c r="DY887" s="64">
        <f>($DW887-$DW888)*100</f>
        <v/>
      </c>
      <c r="DZ887" s="64">
        <f>($DX887-$DX888)*100</f>
        <v/>
      </c>
      <c r="EA887" s="64">
        <f>($DW887-$D887)*100</f>
        <v/>
      </c>
      <c r="EB887" s="64">
        <f>$Q887-$O887</f>
        <v/>
      </c>
      <c r="EC887" s="67">
        <f>IFERROR($Q887/$P887,"")</f>
        <v/>
      </c>
    </row>
    <row r="888">
      <c r="DG888" s="64">
        <f>($B888-$B889)*100</f>
        <v/>
      </c>
      <c r="DH888" s="64">
        <f>($D888-$D889)*100</f>
        <v/>
      </c>
      <c r="DI888" s="64">
        <f>($E888-$E889)*100</f>
        <v/>
      </c>
      <c r="DJ888" s="64">
        <f>($H888-$H889)*100</f>
        <v/>
      </c>
      <c r="DK888" s="65">
        <f>IFERROR($J888/$J889-1,"")</f>
        <v/>
      </c>
      <c r="DL888" s="64">
        <f>$L888-$L889</f>
        <v/>
      </c>
      <c r="DM888" s="64">
        <f>$K888-$K889</f>
        <v/>
      </c>
      <c r="DN888" s="65">
        <f>IFERROR($N888/$N889-1,"")</f>
        <v/>
      </c>
      <c r="DO888" s="65">
        <f>IFERROR($M888/$M889-1,"")</f>
        <v/>
      </c>
      <c r="DP888" s="65">
        <f>IFERROR($AZ888/$AZ889-1,"")</f>
        <v/>
      </c>
      <c r="DQ888" s="65">
        <f>IFERROR($BA888/$BA889-1,"")</f>
        <v/>
      </c>
      <c r="DR888" s="64">
        <f>$O888-$O889</f>
        <v/>
      </c>
      <c r="DS888" s="64">
        <f>$P888-$P889</f>
        <v/>
      </c>
      <c r="DT888" s="64">
        <f>$Q888-$Q889</f>
        <v/>
      </c>
      <c r="DU888" s="64">
        <f>$S888-$S889</f>
        <v/>
      </c>
      <c r="DV888" s="65">
        <f>IFERROR(AVERAGE($AA889/$AA888-1,$AB889/$AB888-1,$AC889/$AC888-1,$AD889/$AD888-1,$AE889/$AE888-1,$AG889/$AG888-1,$AH889/$AH888-1,$AI889/$AI888-1,$AJ889/$AJ888-1,$AL889/$AL888-1,$AM889/$AM888-1,$AR889/$AR888-1,$AS889/$AS888-1,$AT889/$AT888-1,$AU889/$AU888-1,$AV889/$AV888-1,$AW889/$AW888-1,$AX889/$AX888-1,$AY889/$AY888-1),"")</f>
        <v/>
      </c>
      <c r="DW888" s="66">
        <f>AVERAGE($CB888,$CC888,$CD888,$CE888,$CF888,$CG888,$CH888,$CI888,$CJ888,$CL888,$CM888,$CN888,$CO888,$CP888,$CQ888,$CR888,$CS888,$CT888)</f>
        <v/>
      </c>
      <c r="DX888" s="66">
        <f>AVERAGE($CB888,$CC888,$CM888,$CE888,$CP888)</f>
        <v/>
      </c>
      <c r="DY888" s="64">
        <f>($DW888-$DW889)*100</f>
        <v/>
      </c>
      <c r="DZ888" s="64">
        <f>($DX888-$DX889)*100</f>
        <v/>
      </c>
      <c r="EA888" s="64">
        <f>($DW888-$D888)*100</f>
        <v/>
      </c>
      <c r="EB888" s="64">
        <f>$Q888-$O888</f>
        <v/>
      </c>
      <c r="EC888" s="67">
        <f>IFERROR($Q888/$P888,"")</f>
        <v/>
      </c>
    </row>
    <row r="889">
      <c r="DG889" s="64">
        <f>($B889-$B890)*100</f>
        <v/>
      </c>
      <c r="DH889" s="64">
        <f>($D889-$D890)*100</f>
        <v/>
      </c>
      <c r="DI889" s="64">
        <f>($E889-$E890)*100</f>
        <v/>
      </c>
      <c r="DJ889" s="64">
        <f>($H889-$H890)*100</f>
        <v/>
      </c>
      <c r="DK889" s="65">
        <f>IFERROR($J889/$J890-1,"")</f>
        <v/>
      </c>
      <c r="DL889" s="64">
        <f>$L889-$L890</f>
        <v/>
      </c>
      <c r="DM889" s="64">
        <f>$K889-$K890</f>
        <v/>
      </c>
      <c r="DN889" s="65">
        <f>IFERROR($N889/$N890-1,"")</f>
        <v/>
      </c>
      <c r="DO889" s="65">
        <f>IFERROR($M889/$M890-1,"")</f>
        <v/>
      </c>
      <c r="DP889" s="65">
        <f>IFERROR($AZ889/$AZ890-1,"")</f>
        <v/>
      </c>
      <c r="DQ889" s="65">
        <f>IFERROR($BA889/$BA890-1,"")</f>
        <v/>
      </c>
      <c r="DR889" s="64">
        <f>$O889-$O890</f>
        <v/>
      </c>
      <c r="DS889" s="64">
        <f>$P889-$P890</f>
        <v/>
      </c>
      <c r="DT889" s="64">
        <f>$Q889-$Q890</f>
        <v/>
      </c>
      <c r="DU889" s="64">
        <f>$S889-$S890</f>
        <v/>
      </c>
      <c r="DV889" s="65">
        <f>IFERROR(AVERAGE($AA890/$AA889-1,$AB890/$AB889-1,$AC890/$AC889-1,$AD890/$AD889-1,$AE890/$AE889-1,$AG890/$AG889-1,$AH890/$AH889-1,$AI890/$AI889-1,$AJ890/$AJ889-1,$AL890/$AL889-1,$AM890/$AM889-1,$AR890/$AR889-1,$AS890/$AS889-1,$AT890/$AT889-1,$AU890/$AU889-1,$AV890/$AV889-1,$AW890/$AW889-1,$AX890/$AX889-1,$AY890/$AY889-1),"")</f>
        <v/>
      </c>
      <c r="DW889" s="66">
        <f>AVERAGE($CB889,$CC889,$CD889,$CE889,$CF889,$CG889,$CH889,$CI889,$CJ889,$CL889,$CM889,$CN889,$CO889,$CP889,$CQ889,$CR889,$CS889,$CT889)</f>
        <v/>
      </c>
      <c r="DX889" s="66">
        <f>AVERAGE($CB889,$CC889,$CM889,$CE889,$CP889)</f>
        <v/>
      </c>
      <c r="DY889" s="64">
        <f>($DW889-$DW890)*100</f>
        <v/>
      </c>
      <c r="DZ889" s="64">
        <f>($DX889-$DX890)*100</f>
        <v/>
      </c>
      <c r="EA889" s="64">
        <f>($DW889-$D889)*100</f>
        <v/>
      </c>
      <c r="EB889" s="64">
        <f>$Q889-$O889</f>
        <v/>
      </c>
      <c r="EC889" s="67">
        <f>IFERROR($Q889/$P889,"")</f>
        <v/>
      </c>
    </row>
    <row r="890">
      <c r="DG890" s="64">
        <f>($B890-$B891)*100</f>
        <v/>
      </c>
      <c r="DH890" s="64">
        <f>($D890-$D891)*100</f>
        <v/>
      </c>
      <c r="DI890" s="64">
        <f>($E890-$E891)*100</f>
        <v/>
      </c>
      <c r="DJ890" s="64">
        <f>($H890-$H891)*100</f>
        <v/>
      </c>
      <c r="DK890" s="65">
        <f>IFERROR($J890/$J891-1,"")</f>
        <v/>
      </c>
      <c r="DL890" s="64">
        <f>$L890-$L891</f>
        <v/>
      </c>
      <c r="DM890" s="64">
        <f>$K890-$K891</f>
        <v/>
      </c>
      <c r="DN890" s="65">
        <f>IFERROR($N890/$N891-1,"")</f>
        <v/>
      </c>
      <c r="DO890" s="65">
        <f>IFERROR($M890/$M891-1,"")</f>
        <v/>
      </c>
      <c r="DP890" s="65">
        <f>IFERROR($AZ890/$AZ891-1,"")</f>
        <v/>
      </c>
      <c r="DQ890" s="65">
        <f>IFERROR($BA890/$BA891-1,"")</f>
        <v/>
      </c>
      <c r="DR890" s="64">
        <f>$O890-$O891</f>
        <v/>
      </c>
      <c r="DS890" s="64">
        <f>$P890-$P891</f>
        <v/>
      </c>
      <c r="DT890" s="64">
        <f>$Q890-$Q891</f>
        <v/>
      </c>
      <c r="DU890" s="64">
        <f>$S890-$S891</f>
        <v/>
      </c>
      <c r="DV890" s="65">
        <f>IFERROR(AVERAGE($AA891/$AA890-1,$AB891/$AB890-1,$AC891/$AC890-1,$AD891/$AD890-1,$AE891/$AE890-1,$AG891/$AG890-1,$AH891/$AH890-1,$AI891/$AI890-1,$AJ891/$AJ890-1,$AL891/$AL890-1,$AM891/$AM890-1,$AR891/$AR890-1,$AS891/$AS890-1,$AT891/$AT890-1,$AU891/$AU890-1,$AV891/$AV890-1,$AW891/$AW890-1,$AX891/$AX890-1,$AY891/$AY890-1),"")</f>
        <v/>
      </c>
      <c r="DW890" s="66">
        <f>AVERAGE($CB890,$CC890,$CD890,$CE890,$CF890,$CG890,$CH890,$CI890,$CJ890,$CL890,$CM890,$CN890,$CO890,$CP890,$CQ890,$CR890,$CS890,$CT890)</f>
        <v/>
      </c>
      <c r="DX890" s="66">
        <f>AVERAGE($CB890,$CC890,$CM890,$CE890,$CP890)</f>
        <v/>
      </c>
      <c r="DY890" s="64">
        <f>($DW890-$DW891)*100</f>
        <v/>
      </c>
      <c r="DZ890" s="64">
        <f>($DX890-$DX891)*100</f>
        <v/>
      </c>
      <c r="EA890" s="64">
        <f>($DW890-$D890)*100</f>
        <v/>
      </c>
      <c r="EB890" s="64">
        <f>$Q890-$O890</f>
        <v/>
      </c>
      <c r="EC890" s="67">
        <f>IFERROR($Q890/$P890,"")</f>
        <v/>
      </c>
    </row>
    <row r="891">
      <c r="DG891" s="64">
        <f>($B891-$B892)*100</f>
        <v/>
      </c>
      <c r="DH891" s="64">
        <f>($D891-$D892)*100</f>
        <v/>
      </c>
      <c r="DI891" s="64">
        <f>($E891-$E892)*100</f>
        <v/>
      </c>
      <c r="DJ891" s="64">
        <f>($H891-$H892)*100</f>
        <v/>
      </c>
      <c r="DK891" s="65">
        <f>IFERROR($J891/$J892-1,"")</f>
        <v/>
      </c>
      <c r="DL891" s="64">
        <f>$L891-$L892</f>
        <v/>
      </c>
      <c r="DM891" s="64">
        <f>$K891-$K892</f>
        <v/>
      </c>
      <c r="DN891" s="65">
        <f>IFERROR($N891/$N892-1,"")</f>
        <v/>
      </c>
      <c r="DO891" s="65">
        <f>IFERROR($M891/$M892-1,"")</f>
        <v/>
      </c>
      <c r="DP891" s="65">
        <f>IFERROR($AZ891/$AZ892-1,"")</f>
        <v/>
      </c>
      <c r="DQ891" s="65">
        <f>IFERROR($BA891/$BA892-1,"")</f>
        <v/>
      </c>
      <c r="DR891" s="64">
        <f>$O891-$O892</f>
        <v/>
      </c>
      <c r="DS891" s="64">
        <f>$P891-$P892</f>
        <v/>
      </c>
      <c r="DT891" s="64">
        <f>$Q891-$Q892</f>
        <v/>
      </c>
      <c r="DU891" s="64">
        <f>$S891-$S892</f>
        <v/>
      </c>
      <c r="DV891" s="65">
        <f>IFERROR(AVERAGE($AA892/$AA891-1,$AB892/$AB891-1,$AC892/$AC891-1,$AD892/$AD891-1,$AE892/$AE891-1,$AG892/$AG891-1,$AH892/$AH891-1,$AI892/$AI891-1,$AJ892/$AJ891-1,$AL892/$AL891-1,$AM892/$AM891-1,$AR892/$AR891-1,$AS892/$AS891-1,$AT892/$AT891-1,$AU892/$AU891-1,$AV892/$AV891-1,$AW892/$AW891-1,$AX892/$AX891-1,$AY892/$AY891-1),"")</f>
        <v/>
      </c>
      <c r="DW891" s="66">
        <f>AVERAGE($CB891,$CC891,$CD891,$CE891,$CF891,$CG891,$CH891,$CI891,$CJ891,$CL891,$CM891,$CN891,$CO891,$CP891,$CQ891,$CR891,$CS891,$CT891)</f>
        <v/>
      </c>
      <c r="DX891" s="66">
        <f>AVERAGE($CB891,$CC891,$CM891,$CE891,$CP891)</f>
        <v/>
      </c>
      <c r="DY891" s="64">
        <f>($DW891-$DW892)*100</f>
        <v/>
      </c>
      <c r="DZ891" s="64">
        <f>($DX891-$DX892)*100</f>
        <v/>
      </c>
      <c r="EA891" s="64">
        <f>($DW891-$D891)*100</f>
        <v/>
      </c>
      <c r="EB891" s="64">
        <f>$Q891-$O891</f>
        <v/>
      </c>
      <c r="EC891" s="67">
        <f>IFERROR($Q891/$P891,"")</f>
        <v/>
      </c>
    </row>
    <row r="892">
      <c r="DG892" s="64">
        <f>($B892-$B893)*100</f>
        <v/>
      </c>
      <c r="DH892" s="64">
        <f>($D892-$D893)*100</f>
        <v/>
      </c>
      <c r="DI892" s="64">
        <f>($E892-$E893)*100</f>
        <v/>
      </c>
      <c r="DJ892" s="64">
        <f>($H892-$H893)*100</f>
        <v/>
      </c>
      <c r="DK892" s="65">
        <f>IFERROR($J892/$J893-1,"")</f>
        <v/>
      </c>
      <c r="DL892" s="64">
        <f>$L892-$L893</f>
        <v/>
      </c>
      <c r="DM892" s="64">
        <f>$K892-$K893</f>
        <v/>
      </c>
      <c r="DN892" s="65">
        <f>IFERROR($N892/$N893-1,"")</f>
        <v/>
      </c>
      <c r="DO892" s="65">
        <f>IFERROR($M892/$M893-1,"")</f>
        <v/>
      </c>
      <c r="DP892" s="65">
        <f>IFERROR($AZ892/$AZ893-1,"")</f>
        <v/>
      </c>
      <c r="DQ892" s="65">
        <f>IFERROR($BA892/$BA893-1,"")</f>
        <v/>
      </c>
      <c r="DR892" s="64">
        <f>$O892-$O893</f>
        <v/>
      </c>
      <c r="DS892" s="64">
        <f>$P892-$P893</f>
        <v/>
      </c>
      <c r="DT892" s="64">
        <f>$Q892-$Q893</f>
        <v/>
      </c>
      <c r="DU892" s="64">
        <f>$S892-$S893</f>
        <v/>
      </c>
      <c r="DV892" s="65">
        <f>IFERROR(AVERAGE($AA893/$AA892-1,$AB893/$AB892-1,$AC893/$AC892-1,$AD893/$AD892-1,$AE893/$AE892-1,$AG893/$AG892-1,$AH893/$AH892-1,$AI893/$AI892-1,$AJ893/$AJ892-1,$AL893/$AL892-1,$AM893/$AM892-1,$AR893/$AR892-1,$AS893/$AS892-1,$AT893/$AT892-1,$AU893/$AU892-1,$AV893/$AV892-1,$AW893/$AW892-1,$AX893/$AX892-1,$AY893/$AY892-1),"")</f>
        <v/>
      </c>
      <c r="DW892" s="66">
        <f>AVERAGE($CB892,$CC892,$CD892,$CE892,$CF892,$CG892,$CH892,$CI892,$CJ892,$CL892,$CM892,$CN892,$CO892,$CP892,$CQ892,$CR892,$CS892,$CT892)</f>
        <v/>
      </c>
      <c r="DX892" s="66">
        <f>AVERAGE($CB892,$CC892,$CM892,$CE892,$CP892)</f>
        <v/>
      </c>
      <c r="DY892" s="64">
        <f>($DW892-$DW893)*100</f>
        <v/>
      </c>
      <c r="DZ892" s="64">
        <f>($DX892-$DX893)*100</f>
        <v/>
      </c>
      <c r="EA892" s="64">
        <f>($DW892-$D892)*100</f>
        <v/>
      </c>
      <c r="EB892" s="64">
        <f>$Q892-$O892</f>
        <v/>
      </c>
      <c r="EC892" s="67">
        <f>IFERROR($Q892/$P892,"")</f>
        <v/>
      </c>
    </row>
    <row r="893">
      <c r="DG893" s="64">
        <f>($B893-$B894)*100</f>
        <v/>
      </c>
      <c r="DH893" s="64">
        <f>($D893-$D894)*100</f>
        <v/>
      </c>
      <c r="DI893" s="64">
        <f>($E893-$E894)*100</f>
        <v/>
      </c>
      <c r="DJ893" s="64">
        <f>($H893-$H894)*100</f>
        <v/>
      </c>
      <c r="DK893" s="65">
        <f>IFERROR($J893/$J894-1,"")</f>
        <v/>
      </c>
      <c r="DL893" s="64">
        <f>$L893-$L894</f>
        <v/>
      </c>
      <c r="DM893" s="64">
        <f>$K893-$K894</f>
        <v/>
      </c>
      <c r="DN893" s="65">
        <f>IFERROR($N893/$N894-1,"")</f>
        <v/>
      </c>
      <c r="DO893" s="65">
        <f>IFERROR($M893/$M894-1,"")</f>
        <v/>
      </c>
      <c r="DP893" s="65">
        <f>IFERROR($AZ893/$AZ894-1,"")</f>
        <v/>
      </c>
      <c r="DQ893" s="65">
        <f>IFERROR($BA893/$BA894-1,"")</f>
        <v/>
      </c>
      <c r="DR893" s="64">
        <f>$O893-$O894</f>
        <v/>
      </c>
      <c r="DS893" s="64">
        <f>$P893-$P894</f>
        <v/>
      </c>
      <c r="DT893" s="64">
        <f>$Q893-$Q894</f>
        <v/>
      </c>
      <c r="DU893" s="64">
        <f>$S893-$S894</f>
        <v/>
      </c>
      <c r="DV893" s="65">
        <f>IFERROR(AVERAGE($AA894/$AA893-1,$AB894/$AB893-1,$AC894/$AC893-1,$AD894/$AD893-1,$AE894/$AE893-1,$AG894/$AG893-1,$AH894/$AH893-1,$AI894/$AI893-1,$AJ894/$AJ893-1,$AL894/$AL893-1,$AM894/$AM893-1,$AR894/$AR893-1,$AS894/$AS893-1,$AT894/$AT893-1,$AU894/$AU893-1,$AV894/$AV893-1,$AW894/$AW893-1,$AX894/$AX893-1,$AY894/$AY893-1),"")</f>
        <v/>
      </c>
      <c r="DW893" s="66">
        <f>AVERAGE($CB893,$CC893,$CD893,$CE893,$CF893,$CG893,$CH893,$CI893,$CJ893,$CL893,$CM893,$CN893,$CO893,$CP893,$CQ893,$CR893,$CS893,$CT893)</f>
        <v/>
      </c>
      <c r="DX893" s="66">
        <f>AVERAGE($CB893,$CC893,$CM893,$CE893,$CP893)</f>
        <v/>
      </c>
      <c r="DY893" s="64">
        <f>($DW893-$DW894)*100</f>
        <v/>
      </c>
      <c r="DZ893" s="64">
        <f>($DX893-$DX894)*100</f>
        <v/>
      </c>
      <c r="EA893" s="64">
        <f>($DW893-$D893)*100</f>
        <v/>
      </c>
      <c r="EB893" s="64">
        <f>$Q893-$O893</f>
        <v/>
      </c>
      <c r="EC893" s="67">
        <f>IFERROR($Q893/$P893,"")</f>
        <v/>
      </c>
    </row>
    <row r="894">
      <c r="DG894" s="64">
        <f>($B894-$B895)*100</f>
        <v/>
      </c>
      <c r="DH894" s="64">
        <f>($D894-$D895)*100</f>
        <v/>
      </c>
      <c r="DI894" s="64">
        <f>($E894-$E895)*100</f>
        <v/>
      </c>
      <c r="DJ894" s="64">
        <f>($H894-$H895)*100</f>
        <v/>
      </c>
      <c r="DK894" s="65">
        <f>IFERROR($J894/$J895-1,"")</f>
        <v/>
      </c>
      <c r="DL894" s="64">
        <f>$L894-$L895</f>
        <v/>
      </c>
      <c r="DM894" s="64">
        <f>$K894-$K895</f>
        <v/>
      </c>
      <c r="DN894" s="65">
        <f>IFERROR($N894/$N895-1,"")</f>
        <v/>
      </c>
      <c r="DO894" s="65">
        <f>IFERROR($M894/$M895-1,"")</f>
        <v/>
      </c>
      <c r="DP894" s="65">
        <f>IFERROR($AZ894/$AZ895-1,"")</f>
        <v/>
      </c>
      <c r="DQ894" s="65">
        <f>IFERROR($BA894/$BA895-1,"")</f>
        <v/>
      </c>
      <c r="DR894" s="64">
        <f>$O894-$O895</f>
        <v/>
      </c>
      <c r="DS894" s="64">
        <f>$P894-$P895</f>
        <v/>
      </c>
      <c r="DT894" s="64">
        <f>$Q894-$Q895</f>
        <v/>
      </c>
      <c r="DU894" s="64">
        <f>$S894-$S895</f>
        <v/>
      </c>
      <c r="DV894" s="65">
        <f>IFERROR(AVERAGE($AA895/$AA894-1,$AB895/$AB894-1,$AC895/$AC894-1,$AD895/$AD894-1,$AE895/$AE894-1,$AG895/$AG894-1,$AH895/$AH894-1,$AI895/$AI894-1,$AJ895/$AJ894-1,$AL895/$AL894-1,$AM895/$AM894-1,$AR895/$AR894-1,$AS895/$AS894-1,$AT895/$AT894-1,$AU895/$AU894-1,$AV895/$AV894-1,$AW895/$AW894-1,$AX895/$AX894-1,$AY895/$AY894-1),"")</f>
        <v/>
      </c>
      <c r="DW894" s="66">
        <f>AVERAGE($CB894,$CC894,$CD894,$CE894,$CF894,$CG894,$CH894,$CI894,$CJ894,$CL894,$CM894,$CN894,$CO894,$CP894,$CQ894,$CR894,$CS894,$CT894)</f>
        <v/>
      </c>
      <c r="DX894" s="66">
        <f>AVERAGE($CB894,$CC894,$CM894,$CE894,$CP894)</f>
        <v/>
      </c>
      <c r="DY894" s="64">
        <f>($DW894-$DW895)*100</f>
        <v/>
      </c>
      <c r="DZ894" s="64">
        <f>($DX894-$DX895)*100</f>
        <v/>
      </c>
      <c r="EA894" s="64">
        <f>($DW894-$D894)*100</f>
        <v/>
      </c>
      <c r="EB894" s="64">
        <f>$Q894-$O894</f>
        <v/>
      </c>
      <c r="EC894" s="67">
        <f>IFERROR($Q894/$P894,"")</f>
        <v/>
      </c>
    </row>
    <row r="895">
      <c r="DG895" s="64">
        <f>($B895-$B896)*100</f>
        <v/>
      </c>
      <c r="DH895" s="64">
        <f>($D895-$D896)*100</f>
        <v/>
      </c>
      <c r="DI895" s="64">
        <f>($E895-$E896)*100</f>
        <v/>
      </c>
      <c r="DJ895" s="64">
        <f>($H895-$H896)*100</f>
        <v/>
      </c>
      <c r="DK895" s="65">
        <f>IFERROR($J895/$J896-1,"")</f>
        <v/>
      </c>
      <c r="DL895" s="64">
        <f>$L895-$L896</f>
        <v/>
      </c>
      <c r="DM895" s="64">
        <f>$K895-$K896</f>
        <v/>
      </c>
      <c r="DN895" s="65">
        <f>IFERROR($N895/$N896-1,"")</f>
        <v/>
      </c>
      <c r="DO895" s="65">
        <f>IFERROR($M895/$M896-1,"")</f>
        <v/>
      </c>
      <c r="DP895" s="65">
        <f>IFERROR($AZ895/$AZ896-1,"")</f>
        <v/>
      </c>
      <c r="DQ895" s="65">
        <f>IFERROR($BA895/$BA896-1,"")</f>
        <v/>
      </c>
      <c r="DR895" s="64">
        <f>$O895-$O896</f>
        <v/>
      </c>
      <c r="DS895" s="64">
        <f>$P895-$P896</f>
        <v/>
      </c>
      <c r="DT895" s="64">
        <f>$Q895-$Q896</f>
        <v/>
      </c>
      <c r="DU895" s="64">
        <f>$S895-$S896</f>
        <v/>
      </c>
      <c r="DV895" s="65">
        <f>IFERROR(AVERAGE($AA896/$AA895-1,$AB896/$AB895-1,$AC896/$AC895-1,$AD896/$AD895-1,$AE896/$AE895-1,$AG896/$AG895-1,$AH896/$AH895-1,$AI896/$AI895-1,$AJ896/$AJ895-1,$AL896/$AL895-1,$AM896/$AM895-1,$AR896/$AR895-1,$AS896/$AS895-1,$AT896/$AT895-1,$AU896/$AU895-1,$AV896/$AV895-1,$AW896/$AW895-1,$AX896/$AX895-1,$AY896/$AY895-1),"")</f>
        <v/>
      </c>
      <c r="DW895" s="66">
        <f>AVERAGE($CB895,$CC895,$CD895,$CE895,$CF895,$CG895,$CH895,$CI895,$CJ895,$CL895,$CM895,$CN895,$CO895,$CP895,$CQ895,$CR895,$CS895,$CT895)</f>
        <v/>
      </c>
      <c r="DX895" s="66">
        <f>AVERAGE($CB895,$CC895,$CM895,$CE895,$CP895)</f>
        <v/>
      </c>
      <c r="DY895" s="64">
        <f>($DW895-$DW896)*100</f>
        <v/>
      </c>
      <c r="DZ895" s="64">
        <f>($DX895-$DX896)*100</f>
        <v/>
      </c>
      <c r="EA895" s="64">
        <f>($DW895-$D895)*100</f>
        <v/>
      </c>
      <c r="EB895" s="64">
        <f>$Q895-$O895</f>
        <v/>
      </c>
      <c r="EC895" s="67">
        <f>IFERROR($Q895/$P895,"")</f>
        <v/>
      </c>
    </row>
    <row r="896">
      <c r="DG896" s="64">
        <f>($B896-$B897)*100</f>
        <v/>
      </c>
      <c r="DH896" s="64">
        <f>($D896-$D897)*100</f>
        <v/>
      </c>
      <c r="DI896" s="64">
        <f>($E896-$E897)*100</f>
        <v/>
      </c>
      <c r="DJ896" s="64">
        <f>($H896-$H897)*100</f>
        <v/>
      </c>
      <c r="DK896" s="65">
        <f>IFERROR($J896/$J897-1,"")</f>
        <v/>
      </c>
      <c r="DL896" s="64">
        <f>$L896-$L897</f>
        <v/>
      </c>
      <c r="DM896" s="64">
        <f>$K896-$K897</f>
        <v/>
      </c>
      <c r="DN896" s="65">
        <f>IFERROR($N896/$N897-1,"")</f>
        <v/>
      </c>
      <c r="DO896" s="65">
        <f>IFERROR($M896/$M897-1,"")</f>
        <v/>
      </c>
      <c r="DP896" s="65">
        <f>IFERROR($AZ896/$AZ897-1,"")</f>
        <v/>
      </c>
      <c r="DQ896" s="65">
        <f>IFERROR($BA896/$BA897-1,"")</f>
        <v/>
      </c>
      <c r="DR896" s="64">
        <f>$O896-$O897</f>
        <v/>
      </c>
      <c r="DS896" s="64">
        <f>$P896-$P897</f>
        <v/>
      </c>
      <c r="DT896" s="64">
        <f>$Q896-$Q897</f>
        <v/>
      </c>
      <c r="DU896" s="64">
        <f>$S896-$S897</f>
        <v/>
      </c>
      <c r="DV896" s="65">
        <f>IFERROR(AVERAGE($AA897/$AA896-1,$AB897/$AB896-1,$AC897/$AC896-1,$AD897/$AD896-1,$AE897/$AE896-1,$AG897/$AG896-1,$AH897/$AH896-1,$AI897/$AI896-1,$AJ897/$AJ896-1,$AL897/$AL896-1,$AM897/$AM896-1,$AR897/$AR896-1,$AS897/$AS896-1,$AT897/$AT896-1,$AU897/$AU896-1,$AV897/$AV896-1,$AW897/$AW896-1,$AX897/$AX896-1,$AY897/$AY896-1),"")</f>
        <v/>
      </c>
      <c r="DW896" s="66">
        <f>AVERAGE($CB896,$CC896,$CD896,$CE896,$CF896,$CG896,$CH896,$CI896,$CJ896,$CL896,$CM896,$CN896,$CO896,$CP896,$CQ896,$CR896,$CS896,$CT896)</f>
        <v/>
      </c>
      <c r="DX896" s="66">
        <f>AVERAGE($CB896,$CC896,$CM896,$CE896,$CP896)</f>
        <v/>
      </c>
      <c r="DY896" s="64">
        <f>($DW896-$DW897)*100</f>
        <v/>
      </c>
      <c r="DZ896" s="64">
        <f>($DX896-$DX897)*100</f>
        <v/>
      </c>
      <c r="EA896" s="64">
        <f>($DW896-$D896)*100</f>
        <v/>
      </c>
      <c r="EB896" s="64">
        <f>$Q896-$O896</f>
        <v/>
      </c>
      <c r="EC896" s="67">
        <f>IFERROR($Q896/$P896,"")</f>
        <v/>
      </c>
    </row>
    <row r="897">
      <c r="DG897" s="64">
        <f>($B897-$B898)*100</f>
        <v/>
      </c>
      <c r="DH897" s="64">
        <f>($D897-$D898)*100</f>
        <v/>
      </c>
      <c r="DI897" s="64">
        <f>($E897-$E898)*100</f>
        <v/>
      </c>
      <c r="DJ897" s="64">
        <f>($H897-$H898)*100</f>
        <v/>
      </c>
      <c r="DK897" s="65">
        <f>IFERROR($J897/$J898-1,"")</f>
        <v/>
      </c>
      <c r="DL897" s="64">
        <f>$L897-$L898</f>
        <v/>
      </c>
      <c r="DM897" s="64">
        <f>$K897-$K898</f>
        <v/>
      </c>
      <c r="DN897" s="65">
        <f>IFERROR($N897/$N898-1,"")</f>
        <v/>
      </c>
      <c r="DO897" s="65">
        <f>IFERROR($M897/$M898-1,"")</f>
        <v/>
      </c>
      <c r="DP897" s="65">
        <f>IFERROR($AZ897/$AZ898-1,"")</f>
        <v/>
      </c>
      <c r="DQ897" s="65">
        <f>IFERROR($BA897/$BA898-1,"")</f>
        <v/>
      </c>
      <c r="DR897" s="64">
        <f>$O897-$O898</f>
        <v/>
      </c>
      <c r="DS897" s="64">
        <f>$P897-$P898</f>
        <v/>
      </c>
      <c r="DT897" s="64">
        <f>$Q897-$Q898</f>
        <v/>
      </c>
      <c r="DU897" s="64">
        <f>$S897-$S898</f>
        <v/>
      </c>
      <c r="DV897" s="65">
        <f>IFERROR(AVERAGE($AA898/$AA897-1,$AB898/$AB897-1,$AC898/$AC897-1,$AD898/$AD897-1,$AE898/$AE897-1,$AG898/$AG897-1,$AH898/$AH897-1,$AI898/$AI897-1,$AJ898/$AJ897-1,$AL898/$AL897-1,$AM898/$AM897-1,$AR898/$AR897-1,$AS898/$AS897-1,$AT898/$AT897-1,$AU898/$AU897-1,$AV898/$AV897-1,$AW898/$AW897-1,$AX898/$AX897-1,$AY898/$AY897-1),"")</f>
        <v/>
      </c>
      <c r="DW897" s="66">
        <f>AVERAGE($CB897,$CC897,$CD897,$CE897,$CF897,$CG897,$CH897,$CI897,$CJ897,$CL897,$CM897,$CN897,$CO897,$CP897,$CQ897,$CR897,$CS897,$CT897)</f>
        <v/>
      </c>
      <c r="DX897" s="66">
        <f>AVERAGE($CB897,$CC897,$CM897,$CE897,$CP897)</f>
        <v/>
      </c>
      <c r="DY897" s="64">
        <f>($DW897-$DW898)*100</f>
        <v/>
      </c>
      <c r="DZ897" s="64">
        <f>($DX897-$DX898)*100</f>
        <v/>
      </c>
      <c r="EA897" s="64">
        <f>($DW897-$D897)*100</f>
        <v/>
      </c>
      <c r="EB897" s="64">
        <f>$Q897-$O897</f>
        <v/>
      </c>
      <c r="EC897" s="67">
        <f>IFERROR($Q897/$P897,"")</f>
        <v/>
      </c>
    </row>
    <row r="898">
      <c r="DG898" s="64">
        <f>($B898-$B899)*100</f>
        <v/>
      </c>
      <c r="DH898" s="64">
        <f>($D898-$D899)*100</f>
        <v/>
      </c>
      <c r="DI898" s="64">
        <f>($E898-$E899)*100</f>
        <v/>
      </c>
      <c r="DJ898" s="64">
        <f>($H898-$H899)*100</f>
        <v/>
      </c>
      <c r="DK898" s="65">
        <f>IFERROR($J898/$J899-1,"")</f>
        <v/>
      </c>
      <c r="DL898" s="64">
        <f>$L898-$L899</f>
        <v/>
      </c>
      <c r="DM898" s="64">
        <f>$K898-$K899</f>
        <v/>
      </c>
      <c r="DN898" s="65">
        <f>IFERROR($N898/$N899-1,"")</f>
        <v/>
      </c>
      <c r="DO898" s="65">
        <f>IFERROR($M898/$M899-1,"")</f>
        <v/>
      </c>
      <c r="DP898" s="65">
        <f>IFERROR($AZ898/$AZ899-1,"")</f>
        <v/>
      </c>
      <c r="DQ898" s="65">
        <f>IFERROR($BA898/$BA899-1,"")</f>
        <v/>
      </c>
      <c r="DR898" s="64">
        <f>$O898-$O899</f>
        <v/>
      </c>
      <c r="DS898" s="64">
        <f>$P898-$P899</f>
        <v/>
      </c>
      <c r="DT898" s="64">
        <f>$Q898-$Q899</f>
        <v/>
      </c>
      <c r="DU898" s="64">
        <f>$S898-$S899</f>
        <v/>
      </c>
      <c r="DV898" s="65">
        <f>IFERROR(AVERAGE($AA899/$AA898-1,$AB899/$AB898-1,$AC899/$AC898-1,$AD899/$AD898-1,$AE899/$AE898-1,$AG899/$AG898-1,$AH899/$AH898-1,$AI899/$AI898-1,$AJ899/$AJ898-1,$AL899/$AL898-1,$AM899/$AM898-1,$AR899/$AR898-1,$AS899/$AS898-1,$AT899/$AT898-1,$AU899/$AU898-1,$AV899/$AV898-1,$AW899/$AW898-1,$AX899/$AX898-1,$AY899/$AY898-1),"")</f>
        <v/>
      </c>
      <c r="DW898" s="66">
        <f>AVERAGE($CB898,$CC898,$CD898,$CE898,$CF898,$CG898,$CH898,$CI898,$CJ898,$CL898,$CM898,$CN898,$CO898,$CP898,$CQ898,$CR898,$CS898,$CT898)</f>
        <v/>
      </c>
      <c r="DX898" s="66">
        <f>AVERAGE($CB898,$CC898,$CM898,$CE898,$CP898)</f>
        <v/>
      </c>
      <c r="DY898" s="64">
        <f>($DW898-$DW899)*100</f>
        <v/>
      </c>
      <c r="DZ898" s="64">
        <f>($DX898-$DX899)*100</f>
        <v/>
      </c>
      <c r="EA898" s="64">
        <f>($DW898-$D898)*100</f>
        <v/>
      </c>
      <c r="EB898" s="64">
        <f>$Q898-$O898</f>
        <v/>
      </c>
      <c r="EC898" s="67">
        <f>IFERROR($Q898/$P898,"")</f>
        <v/>
      </c>
    </row>
    <row r="899">
      <c r="DG899" s="64">
        <f>($B899-$B900)*100</f>
        <v/>
      </c>
      <c r="DH899" s="64">
        <f>($D899-$D900)*100</f>
        <v/>
      </c>
      <c r="DI899" s="64">
        <f>($E899-$E900)*100</f>
        <v/>
      </c>
      <c r="DJ899" s="64">
        <f>($H899-$H900)*100</f>
        <v/>
      </c>
      <c r="DK899" s="65">
        <f>IFERROR($J899/$J900-1,"")</f>
        <v/>
      </c>
      <c r="DL899" s="64">
        <f>$L899-$L900</f>
        <v/>
      </c>
      <c r="DM899" s="64">
        <f>$K899-$K900</f>
        <v/>
      </c>
      <c r="DN899" s="65">
        <f>IFERROR($N899/$N900-1,"")</f>
        <v/>
      </c>
      <c r="DO899" s="65">
        <f>IFERROR($M899/$M900-1,"")</f>
        <v/>
      </c>
      <c r="DP899" s="65">
        <f>IFERROR($AZ899/$AZ900-1,"")</f>
        <v/>
      </c>
      <c r="DQ899" s="65">
        <f>IFERROR($BA899/$BA900-1,"")</f>
        <v/>
      </c>
      <c r="DR899" s="64">
        <f>$O899-$O900</f>
        <v/>
      </c>
      <c r="DS899" s="64">
        <f>$P899-$P900</f>
        <v/>
      </c>
      <c r="DT899" s="64">
        <f>$Q899-$Q900</f>
        <v/>
      </c>
      <c r="DU899" s="64">
        <f>$S899-$S900</f>
        <v/>
      </c>
      <c r="DV899" s="65">
        <f>IFERROR(AVERAGE($AA900/$AA899-1,$AB900/$AB899-1,$AC900/$AC899-1,$AD900/$AD899-1,$AE900/$AE899-1,$AG900/$AG899-1,$AH900/$AH899-1,$AI900/$AI899-1,$AJ900/$AJ899-1,$AL900/$AL899-1,$AM900/$AM899-1,$AR900/$AR899-1,$AS900/$AS899-1,$AT900/$AT899-1,$AU900/$AU899-1,$AV900/$AV899-1,$AW900/$AW899-1,$AX900/$AX899-1,$AY900/$AY899-1),"")</f>
        <v/>
      </c>
      <c r="DW899" s="66">
        <f>AVERAGE($CB899,$CC899,$CD899,$CE899,$CF899,$CG899,$CH899,$CI899,$CJ899,$CL899,$CM899,$CN899,$CO899,$CP899,$CQ899,$CR899,$CS899,$CT899)</f>
        <v/>
      </c>
      <c r="DX899" s="66">
        <f>AVERAGE($CB899,$CC899,$CM899,$CE899,$CP899)</f>
        <v/>
      </c>
      <c r="DY899" s="64">
        <f>($DW899-$DW900)*100</f>
        <v/>
      </c>
      <c r="DZ899" s="64">
        <f>($DX899-$DX900)*100</f>
        <v/>
      </c>
      <c r="EA899" s="64">
        <f>($DW899-$D899)*100</f>
        <v/>
      </c>
      <c r="EB899" s="64">
        <f>$Q899-$O899</f>
        <v/>
      </c>
      <c r="EC899" s="67">
        <f>IFERROR($Q899/$P899,"")</f>
        <v/>
      </c>
    </row>
    <row r="900">
      <c r="DG900" s="64">
        <f>($B900-$B901)*100</f>
        <v/>
      </c>
      <c r="DH900" s="64">
        <f>($D900-$D901)*100</f>
        <v/>
      </c>
      <c r="DI900" s="64">
        <f>($E900-$E901)*100</f>
        <v/>
      </c>
      <c r="DJ900" s="64">
        <f>($H900-$H901)*100</f>
        <v/>
      </c>
      <c r="DK900" s="65">
        <f>IFERROR($J900/$J901-1,"")</f>
        <v/>
      </c>
      <c r="DL900" s="64">
        <f>$L900-$L901</f>
        <v/>
      </c>
      <c r="DM900" s="64">
        <f>$K900-$K901</f>
        <v/>
      </c>
      <c r="DN900" s="65">
        <f>IFERROR($N900/$N901-1,"")</f>
        <v/>
      </c>
      <c r="DO900" s="65">
        <f>IFERROR($M900/$M901-1,"")</f>
        <v/>
      </c>
      <c r="DP900" s="65">
        <f>IFERROR($AZ900/$AZ901-1,"")</f>
        <v/>
      </c>
      <c r="DQ900" s="65">
        <f>IFERROR($BA900/$BA901-1,"")</f>
        <v/>
      </c>
      <c r="DR900" s="64">
        <f>$O900-$O901</f>
        <v/>
      </c>
      <c r="DS900" s="64">
        <f>$P900-$P901</f>
        <v/>
      </c>
      <c r="DT900" s="64">
        <f>$Q900-$Q901</f>
        <v/>
      </c>
      <c r="DU900" s="64">
        <f>$S900-$S901</f>
        <v/>
      </c>
      <c r="DV900" s="65">
        <f>IFERROR(AVERAGE($AA901/$AA900-1,$AB901/$AB900-1,$AC901/$AC900-1,$AD901/$AD900-1,$AE901/$AE900-1,$AG901/$AG900-1,$AH901/$AH900-1,$AI901/$AI900-1,$AJ901/$AJ900-1,$AL901/$AL900-1,$AM901/$AM900-1,$AR901/$AR900-1,$AS901/$AS900-1,$AT901/$AT900-1,$AU901/$AU900-1,$AV901/$AV900-1,$AW901/$AW900-1,$AX901/$AX900-1,$AY901/$AY900-1),"")</f>
        <v/>
      </c>
      <c r="DW900" s="66">
        <f>AVERAGE($CB900,$CC900,$CD900,$CE900,$CF900,$CG900,$CH900,$CI900,$CJ900,$CL900,$CM900,$CN900,$CO900,$CP900,$CQ900,$CR900,$CS900,$CT900)</f>
        <v/>
      </c>
      <c r="DX900" s="66">
        <f>AVERAGE($CB900,$CC900,$CM900,$CE900,$CP900)</f>
        <v/>
      </c>
      <c r="DY900" s="64">
        <f>($DW900-$DW901)*100</f>
        <v/>
      </c>
      <c r="DZ900" s="64">
        <f>($DX900-$DX901)*100</f>
        <v/>
      </c>
      <c r="EA900" s="64">
        <f>($DW900-$D900)*100</f>
        <v/>
      </c>
      <c r="EB900" s="64">
        <f>$Q900-$O900</f>
        <v/>
      </c>
      <c r="EC900" s="67">
        <f>IFERROR($Q900/$P900,"")</f>
        <v/>
      </c>
    </row>
    <row r="901">
      <c r="DG901" s="64">
        <f>($B901-$B902)*100</f>
        <v/>
      </c>
      <c r="DH901" s="64">
        <f>($D901-$D902)*100</f>
        <v/>
      </c>
      <c r="DI901" s="64">
        <f>($E901-$E902)*100</f>
        <v/>
      </c>
      <c r="DJ901" s="64">
        <f>($H901-$H902)*100</f>
        <v/>
      </c>
      <c r="DK901" s="65">
        <f>IFERROR($J901/$J902-1,"")</f>
        <v/>
      </c>
      <c r="DL901" s="64">
        <f>$L901-$L902</f>
        <v/>
      </c>
      <c r="DM901" s="64">
        <f>$K901-$K902</f>
        <v/>
      </c>
      <c r="DN901" s="65">
        <f>IFERROR($N901/$N902-1,"")</f>
        <v/>
      </c>
      <c r="DO901" s="65">
        <f>IFERROR($M901/$M902-1,"")</f>
        <v/>
      </c>
      <c r="DP901" s="65">
        <f>IFERROR($AZ901/$AZ902-1,"")</f>
        <v/>
      </c>
      <c r="DQ901" s="65">
        <f>IFERROR($BA901/$BA902-1,"")</f>
        <v/>
      </c>
      <c r="DR901" s="64">
        <f>$O901-$O902</f>
        <v/>
      </c>
      <c r="DS901" s="64">
        <f>$P901-$P902</f>
        <v/>
      </c>
      <c r="DT901" s="64">
        <f>$Q901-$Q902</f>
        <v/>
      </c>
      <c r="DU901" s="64">
        <f>$S901-$S902</f>
        <v/>
      </c>
      <c r="DV901" s="65">
        <f>IFERROR(AVERAGE($AA902/$AA901-1,$AB902/$AB901-1,$AC902/$AC901-1,$AD902/$AD901-1,$AE902/$AE901-1,$AG902/$AG901-1,$AH902/$AH901-1,$AI902/$AI901-1,$AJ902/$AJ901-1,$AL902/$AL901-1,$AM902/$AM901-1,$AR902/$AR901-1,$AS902/$AS901-1,$AT902/$AT901-1,$AU902/$AU901-1,$AV902/$AV901-1,$AW902/$AW901-1,$AX902/$AX901-1,$AY902/$AY901-1),"")</f>
        <v/>
      </c>
      <c r="DW901" s="66">
        <f>AVERAGE($CB901,$CC901,$CD901,$CE901,$CF901,$CG901,$CH901,$CI901,$CJ901,$CL901,$CM901,$CN901,$CO901,$CP901,$CQ901,$CR901,$CS901,$CT901)</f>
        <v/>
      </c>
      <c r="DX901" s="66">
        <f>AVERAGE($CB901,$CC901,$CM901,$CE901,$CP901)</f>
        <v/>
      </c>
      <c r="DY901" s="64">
        <f>($DW901-$DW902)*100</f>
        <v/>
      </c>
      <c r="DZ901" s="64">
        <f>($DX901-$DX902)*100</f>
        <v/>
      </c>
      <c r="EA901" s="64">
        <f>($DW901-$D901)*100</f>
        <v/>
      </c>
      <c r="EB901" s="64">
        <f>$Q901-$O901</f>
        <v/>
      </c>
      <c r="EC901" s="67">
        <f>IFERROR($Q901/$P901,"")</f>
        <v/>
      </c>
    </row>
    <row r="902">
      <c r="DG902" s="64">
        <f>($B902-$B903)*100</f>
        <v/>
      </c>
      <c r="DH902" s="64">
        <f>($D902-$D903)*100</f>
        <v/>
      </c>
      <c r="DI902" s="64">
        <f>($E902-$E903)*100</f>
        <v/>
      </c>
      <c r="DJ902" s="64">
        <f>($H902-$H903)*100</f>
        <v/>
      </c>
      <c r="DK902" s="65">
        <f>IFERROR($J902/$J903-1,"")</f>
        <v/>
      </c>
      <c r="DL902" s="64">
        <f>$L902-$L903</f>
        <v/>
      </c>
      <c r="DM902" s="64">
        <f>$K902-$K903</f>
        <v/>
      </c>
      <c r="DN902" s="65">
        <f>IFERROR($N902/$N903-1,"")</f>
        <v/>
      </c>
      <c r="DO902" s="65">
        <f>IFERROR($M902/$M903-1,"")</f>
        <v/>
      </c>
      <c r="DP902" s="65">
        <f>IFERROR($AZ902/$AZ903-1,"")</f>
        <v/>
      </c>
      <c r="DQ902" s="65">
        <f>IFERROR($BA902/$BA903-1,"")</f>
        <v/>
      </c>
      <c r="DR902" s="64">
        <f>$O902-$O903</f>
        <v/>
      </c>
      <c r="DS902" s="64">
        <f>$P902-$P903</f>
        <v/>
      </c>
      <c r="DT902" s="64">
        <f>$Q902-$Q903</f>
        <v/>
      </c>
      <c r="DU902" s="64">
        <f>$S902-$S903</f>
        <v/>
      </c>
      <c r="DV902" s="65">
        <f>IFERROR(AVERAGE($AA903/$AA902-1,$AB903/$AB902-1,$AC903/$AC902-1,$AD903/$AD902-1,$AE903/$AE902-1,$AG903/$AG902-1,$AH903/$AH902-1,$AI903/$AI902-1,$AJ903/$AJ902-1,$AL903/$AL902-1,$AM903/$AM902-1,$AR903/$AR902-1,$AS903/$AS902-1,$AT903/$AT902-1,$AU903/$AU902-1,$AV903/$AV902-1,$AW903/$AW902-1,$AX903/$AX902-1,$AY903/$AY902-1),"")</f>
        <v/>
      </c>
      <c r="DW902" s="66">
        <f>AVERAGE($CB902,$CC902,$CD902,$CE902,$CF902,$CG902,$CH902,$CI902,$CJ902,$CL902,$CM902,$CN902,$CO902,$CP902,$CQ902,$CR902,$CS902,$CT902)</f>
        <v/>
      </c>
      <c r="DX902" s="66">
        <f>AVERAGE($CB902,$CC902,$CM902,$CE902,$CP902)</f>
        <v/>
      </c>
      <c r="DY902" s="64">
        <f>($DW902-$DW903)*100</f>
        <v/>
      </c>
      <c r="DZ902" s="64">
        <f>($DX902-$DX903)*100</f>
        <v/>
      </c>
      <c r="EA902" s="64">
        <f>($DW902-$D902)*100</f>
        <v/>
      </c>
      <c r="EB902" s="64">
        <f>$Q902-$O902</f>
        <v/>
      </c>
      <c r="EC902" s="67">
        <f>IFERROR($Q902/$P902,"")</f>
        <v/>
      </c>
    </row>
    <row r="903">
      <c r="DG903" s="64">
        <f>($B903-$B904)*100</f>
        <v/>
      </c>
      <c r="DH903" s="64">
        <f>($D903-$D904)*100</f>
        <v/>
      </c>
      <c r="DI903" s="64">
        <f>($E903-$E904)*100</f>
        <v/>
      </c>
      <c r="DJ903" s="64">
        <f>($H903-$H904)*100</f>
        <v/>
      </c>
      <c r="DK903" s="65">
        <f>IFERROR($J903/$J904-1,"")</f>
        <v/>
      </c>
      <c r="DL903" s="64">
        <f>$L903-$L904</f>
        <v/>
      </c>
      <c r="DM903" s="64">
        <f>$K903-$K904</f>
        <v/>
      </c>
      <c r="DN903" s="65">
        <f>IFERROR($N903/$N904-1,"")</f>
        <v/>
      </c>
      <c r="DO903" s="65">
        <f>IFERROR($M903/$M904-1,"")</f>
        <v/>
      </c>
      <c r="DP903" s="65">
        <f>IFERROR($AZ903/$AZ904-1,"")</f>
        <v/>
      </c>
      <c r="DQ903" s="65">
        <f>IFERROR($BA903/$BA904-1,"")</f>
        <v/>
      </c>
      <c r="DR903" s="64">
        <f>$O903-$O904</f>
        <v/>
      </c>
      <c r="DS903" s="64">
        <f>$P903-$P904</f>
        <v/>
      </c>
      <c r="DT903" s="64">
        <f>$Q903-$Q904</f>
        <v/>
      </c>
      <c r="DU903" s="64">
        <f>$S903-$S904</f>
        <v/>
      </c>
      <c r="DV903" s="65">
        <f>IFERROR(AVERAGE($AA904/$AA903-1,$AB904/$AB903-1,$AC904/$AC903-1,$AD904/$AD903-1,$AE904/$AE903-1,$AG904/$AG903-1,$AH904/$AH903-1,$AI904/$AI903-1,$AJ904/$AJ903-1,$AL904/$AL903-1,$AM904/$AM903-1,$AR904/$AR903-1,$AS904/$AS903-1,$AT904/$AT903-1,$AU904/$AU903-1,$AV904/$AV903-1,$AW904/$AW903-1,$AX904/$AX903-1,$AY904/$AY903-1),"")</f>
        <v/>
      </c>
      <c r="DW903" s="66">
        <f>AVERAGE($CB903,$CC903,$CD903,$CE903,$CF903,$CG903,$CH903,$CI903,$CJ903,$CL903,$CM903,$CN903,$CO903,$CP903,$CQ903,$CR903,$CS903,$CT903)</f>
        <v/>
      </c>
      <c r="DX903" s="66">
        <f>AVERAGE($CB903,$CC903,$CM903,$CE903,$CP903)</f>
        <v/>
      </c>
      <c r="DY903" s="64">
        <f>($DW903-$DW904)*100</f>
        <v/>
      </c>
      <c r="DZ903" s="64">
        <f>($DX903-$DX904)*100</f>
        <v/>
      </c>
      <c r="EA903" s="64">
        <f>($DW903-$D903)*100</f>
        <v/>
      </c>
      <c r="EB903" s="64">
        <f>$Q903-$O903</f>
        <v/>
      </c>
      <c r="EC903" s="67">
        <f>IFERROR($Q903/$P903,"")</f>
        <v/>
      </c>
    </row>
    <row r="904">
      <c r="DG904" s="64">
        <f>($B904-$B905)*100</f>
        <v/>
      </c>
      <c r="DH904" s="64">
        <f>($D904-$D905)*100</f>
        <v/>
      </c>
      <c r="DI904" s="64">
        <f>($E904-$E905)*100</f>
        <v/>
      </c>
      <c r="DJ904" s="64">
        <f>($H904-$H905)*100</f>
        <v/>
      </c>
      <c r="DK904" s="65">
        <f>IFERROR($J904/$J905-1,"")</f>
        <v/>
      </c>
      <c r="DL904" s="64">
        <f>$L904-$L905</f>
        <v/>
      </c>
      <c r="DM904" s="64">
        <f>$K904-$K905</f>
        <v/>
      </c>
      <c r="DN904" s="65">
        <f>IFERROR($N904/$N905-1,"")</f>
        <v/>
      </c>
      <c r="DO904" s="65">
        <f>IFERROR($M904/$M905-1,"")</f>
        <v/>
      </c>
      <c r="DP904" s="65">
        <f>IFERROR($AZ904/$AZ905-1,"")</f>
        <v/>
      </c>
      <c r="DQ904" s="65">
        <f>IFERROR($BA904/$BA905-1,"")</f>
        <v/>
      </c>
      <c r="DR904" s="64">
        <f>$O904-$O905</f>
        <v/>
      </c>
      <c r="DS904" s="64">
        <f>$P904-$P905</f>
        <v/>
      </c>
      <c r="DT904" s="64">
        <f>$Q904-$Q905</f>
        <v/>
      </c>
      <c r="DU904" s="64">
        <f>$S904-$S905</f>
        <v/>
      </c>
      <c r="DV904" s="65">
        <f>IFERROR(AVERAGE($AA905/$AA904-1,$AB905/$AB904-1,$AC905/$AC904-1,$AD905/$AD904-1,$AE905/$AE904-1,$AG905/$AG904-1,$AH905/$AH904-1,$AI905/$AI904-1,$AJ905/$AJ904-1,$AL905/$AL904-1,$AM905/$AM904-1,$AR905/$AR904-1,$AS905/$AS904-1,$AT905/$AT904-1,$AU905/$AU904-1,$AV905/$AV904-1,$AW905/$AW904-1,$AX905/$AX904-1,$AY905/$AY904-1),"")</f>
        <v/>
      </c>
      <c r="DW904" s="66">
        <f>AVERAGE($CB904,$CC904,$CD904,$CE904,$CF904,$CG904,$CH904,$CI904,$CJ904,$CL904,$CM904,$CN904,$CO904,$CP904,$CQ904,$CR904,$CS904,$CT904)</f>
        <v/>
      </c>
      <c r="DX904" s="66">
        <f>AVERAGE($CB904,$CC904,$CM904,$CE904,$CP904)</f>
        <v/>
      </c>
      <c r="DY904" s="64">
        <f>($DW904-$DW905)*100</f>
        <v/>
      </c>
      <c r="DZ904" s="64">
        <f>($DX904-$DX905)*100</f>
        <v/>
      </c>
      <c r="EA904" s="64">
        <f>($DW904-$D904)*100</f>
        <v/>
      </c>
      <c r="EB904" s="64">
        <f>$Q904-$O904</f>
        <v/>
      </c>
      <c r="EC904" s="67">
        <f>IFERROR($Q904/$P904,"")</f>
        <v/>
      </c>
    </row>
    <row r="905">
      <c r="DG905" s="64">
        <f>($B905-$B906)*100</f>
        <v/>
      </c>
      <c r="DH905" s="64">
        <f>($D905-$D906)*100</f>
        <v/>
      </c>
      <c r="DI905" s="64">
        <f>($E905-$E906)*100</f>
        <v/>
      </c>
      <c r="DJ905" s="64">
        <f>($H905-$H906)*100</f>
        <v/>
      </c>
      <c r="DK905" s="65">
        <f>IFERROR($J905/$J906-1,"")</f>
        <v/>
      </c>
      <c r="DL905" s="64">
        <f>$L905-$L906</f>
        <v/>
      </c>
      <c r="DM905" s="64">
        <f>$K905-$K906</f>
        <v/>
      </c>
      <c r="DN905" s="65">
        <f>IFERROR($N905/$N906-1,"")</f>
        <v/>
      </c>
      <c r="DO905" s="65">
        <f>IFERROR($M905/$M906-1,"")</f>
        <v/>
      </c>
      <c r="DP905" s="65">
        <f>IFERROR($AZ905/$AZ906-1,"")</f>
        <v/>
      </c>
      <c r="DQ905" s="65">
        <f>IFERROR($BA905/$BA906-1,"")</f>
        <v/>
      </c>
      <c r="DR905" s="64">
        <f>$O905-$O906</f>
        <v/>
      </c>
      <c r="DS905" s="64">
        <f>$P905-$P906</f>
        <v/>
      </c>
      <c r="DT905" s="64">
        <f>$Q905-$Q906</f>
        <v/>
      </c>
      <c r="DU905" s="64">
        <f>$S905-$S906</f>
        <v/>
      </c>
      <c r="DV905" s="65">
        <f>IFERROR(AVERAGE($AA906/$AA905-1,$AB906/$AB905-1,$AC906/$AC905-1,$AD906/$AD905-1,$AE906/$AE905-1,$AG906/$AG905-1,$AH906/$AH905-1,$AI906/$AI905-1,$AJ906/$AJ905-1,$AL906/$AL905-1,$AM906/$AM905-1,$AR906/$AR905-1,$AS906/$AS905-1,$AT906/$AT905-1,$AU906/$AU905-1,$AV906/$AV905-1,$AW906/$AW905-1,$AX906/$AX905-1,$AY906/$AY905-1),"")</f>
        <v/>
      </c>
      <c r="DW905" s="66">
        <f>AVERAGE($CB905,$CC905,$CD905,$CE905,$CF905,$CG905,$CH905,$CI905,$CJ905,$CL905,$CM905,$CN905,$CO905,$CP905,$CQ905,$CR905,$CS905,$CT905)</f>
        <v/>
      </c>
      <c r="DX905" s="66">
        <f>AVERAGE($CB905,$CC905,$CM905,$CE905,$CP905)</f>
        <v/>
      </c>
      <c r="DY905" s="64">
        <f>($DW905-$DW906)*100</f>
        <v/>
      </c>
      <c r="DZ905" s="64">
        <f>($DX905-$DX906)*100</f>
        <v/>
      </c>
      <c r="EA905" s="64">
        <f>($DW905-$D905)*100</f>
        <v/>
      </c>
      <c r="EB905" s="64">
        <f>$Q905-$O905</f>
        <v/>
      </c>
      <c r="EC905" s="67">
        <f>IFERROR($Q905/$P905,"")</f>
        <v/>
      </c>
    </row>
    <row r="906">
      <c r="DG906" s="64">
        <f>($B906-$B907)*100</f>
        <v/>
      </c>
      <c r="DH906" s="64">
        <f>($D906-$D907)*100</f>
        <v/>
      </c>
      <c r="DI906" s="64">
        <f>($E906-$E907)*100</f>
        <v/>
      </c>
      <c r="DJ906" s="64">
        <f>($H906-$H907)*100</f>
        <v/>
      </c>
      <c r="DK906" s="65">
        <f>IFERROR($J906/$J907-1,"")</f>
        <v/>
      </c>
      <c r="DL906" s="64">
        <f>$L906-$L907</f>
        <v/>
      </c>
      <c r="DM906" s="64">
        <f>$K906-$K907</f>
        <v/>
      </c>
      <c r="DN906" s="65">
        <f>IFERROR($N906/$N907-1,"")</f>
        <v/>
      </c>
      <c r="DO906" s="65">
        <f>IFERROR($M906/$M907-1,"")</f>
        <v/>
      </c>
      <c r="DP906" s="65">
        <f>IFERROR($AZ906/$AZ907-1,"")</f>
        <v/>
      </c>
      <c r="DQ906" s="65">
        <f>IFERROR($BA906/$BA907-1,"")</f>
        <v/>
      </c>
      <c r="DR906" s="64">
        <f>$O906-$O907</f>
        <v/>
      </c>
      <c r="DS906" s="64">
        <f>$P906-$P907</f>
        <v/>
      </c>
      <c r="DT906" s="64">
        <f>$Q906-$Q907</f>
        <v/>
      </c>
      <c r="DU906" s="64">
        <f>$S906-$S907</f>
        <v/>
      </c>
      <c r="DV906" s="65">
        <f>IFERROR(AVERAGE($AA907/$AA906-1,$AB907/$AB906-1,$AC907/$AC906-1,$AD907/$AD906-1,$AE907/$AE906-1,$AG907/$AG906-1,$AH907/$AH906-1,$AI907/$AI906-1,$AJ907/$AJ906-1,$AL907/$AL906-1,$AM907/$AM906-1,$AR907/$AR906-1,$AS907/$AS906-1,$AT907/$AT906-1,$AU907/$AU906-1,$AV907/$AV906-1,$AW907/$AW906-1,$AX907/$AX906-1,$AY907/$AY906-1),"")</f>
        <v/>
      </c>
      <c r="DW906" s="66">
        <f>AVERAGE($CB906,$CC906,$CD906,$CE906,$CF906,$CG906,$CH906,$CI906,$CJ906,$CL906,$CM906,$CN906,$CO906,$CP906,$CQ906,$CR906,$CS906,$CT906)</f>
        <v/>
      </c>
      <c r="DX906" s="66">
        <f>AVERAGE($CB906,$CC906,$CM906,$CE906,$CP906)</f>
        <v/>
      </c>
      <c r="DY906" s="64">
        <f>($DW906-$DW907)*100</f>
        <v/>
      </c>
      <c r="DZ906" s="64">
        <f>($DX906-$DX907)*100</f>
        <v/>
      </c>
      <c r="EA906" s="64">
        <f>($DW906-$D906)*100</f>
        <v/>
      </c>
      <c r="EB906" s="64">
        <f>$Q906-$O906</f>
        <v/>
      </c>
      <c r="EC906" s="67">
        <f>IFERROR($Q906/$P906,"")</f>
        <v/>
      </c>
    </row>
    <row r="907">
      <c r="DG907" s="64">
        <f>($B907-$B908)*100</f>
        <v/>
      </c>
      <c r="DH907" s="64">
        <f>($D907-$D908)*100</f>
        <v/>
      </c>
      <c r="DI907" s="64">
        <f>($E907-$E908)*100</f>
        <v/>
      </c>
      <c r="DJ907" s="64">
        <f>($H907-$H908)*100</f>
        <v/>
      </c>
      <c r="DK907" s="65">
        <f>IFERROR($J907/$J908-1,"")</f>
        <v/>
      </c>
      <c r="DL907" s="64">
        <f>$L907-$L908</f>
        <v/>
      </c>
      <c r="DM907" s="64">
        <f>$K907-$K908</f>
        <v/>
      </c>
      <c r="DN907" s="65">
        <f>IFERROR($N907/$N908-1,"")</f>
        <v/>
      </c>
      <c r="DO907" s="65">
        <f>IFERROR($M907/$M908-1,"")</f>
        <v/>
      </c>
      <c r="DP907" s="65">
        <f>IFERROR($AZ907/$AZ908-1,"")</f>
        <v/>
      </c>
      <c r="DQ907" s="65">
        <f>IFERROR($BA907/$BA908-1,"")</f>
        <v/>
      </c>
      <c r="DR907" s="64">
        <f>$O907-$O908</f>
        <v/>
      </c>
      <c r="DS907" s="64">
        <f>$P907-$P908</f>
        <v/>
      </c>
      <c r="DT907" s="64">
        <f>$Q907-$Q908</f>
        <v/>
      </c>
      <c r="DU907" s="64">
        <f>$S907-$S908</f>
        <v/>
      </c>
      <c r="DV907" s="65">
        <f>IFERROR(AVERAGE($AA908/$AA907-1,$AB908/$AB907-1,$AC908/$AC907-1,$AD908/$AD907-1,$AE908/$AE907-1,$AG908/$AG907-1,$AH908/$AH907-1,$AI908/$AI907-1,$AJ908/$AJ907-1,$AL908/$AL907-1,$AM908/$AM907-1,$AR908/$AR907-1,$AS908/$AS907-1,$AT908/$AT907-1,$AU908/$AU907-1,$AV908/$AV907-1,$AW908/$AW907-1,$AX908/$AX907-1,$AY908/$AY907-1),"")</f>
        <v/>
      </c>
      <c r="DW907" s="66">
        <f>AVERAGE($CB907,$CC907,$CD907,$CE907,$CF907,$CG907,$CH907,$CI907,$CJ907,$CL907,$CM907,$CN907,$CO907,$CP907,$CQ907,$CR907,$CS907,$CT907)</f>
        <v/>
      </c>
      <c r="DX907" s="66">
        <f>AVERAGE($CB907,$CC907,$CM907,$CE907,$CP907)</f>
        <v/>
      </c>
      <c r="DY907" s="64">
        <f>($DW907-$DW908)*100</f>
        <v/>
      </c>
      <c r="DZ907" s="64">
        <f>($DX907-$DX908)*100</f>
        <v/>
      </c>
      <c r="EA907" s="64">
        <f>($DW907-$D907)*100</f>
        <v/>
      </c>
      <c r="EB907" s="64">
        <f>$Q907-$O907</f>
        <v/>
      </c>
      <c r="EC907" s="67">
        <f>IFERROR($Q907/$P907,"")</f>
        <v/>
      </c>
    </row>
    <row r="908">
      <c r="DG908" s="64">
        <f>($B908-$B909)*100</f>
        <v/>
      </c>
      <c r="DH908" s="64">
        <f>($D908-$D909)*100</f>
        <v/>
      </c>
      <c r="DI908" s="64">
        <f>($E908-$E909)*100</f>
        <v/>
      </c>
      <c r="DJ908" s="64">
        <f>($H908-$H909)*100</f>
        <v/>
      </c>
      <c r="DK908" s="65">
        <f>IFERROR($J908/$J909-1,"")</f>
        <v/>
      </c>
      <c r="DL908" s="64">
        <f>$L908-$L909</f>
        <v/>
      </c>
      <c r="DM908" s="64">
        <f>$K908-$K909</f>
        <v/>
      </c>
      <c r="DN908" s="65">
        <f>IFERROR($N908/$N909-1,"")</f>
        <v/>
      </c>
      <c r="DO908" s="65">
        <f>IFERROR($M908/$M909-1,"")</f>
        <v/>
      </c>
      <c r="DP908" s="65">
        <f>IFERROR($AZ908/$AZ909-1,"")</f>
        <v/>
      </c>
      <c r="DQ908" s="65">
        <f>IFERROR($BA908/$BA909-1,"")</f>
        <v/>
      </c>
      <c r="DR908" s="64">
        <f>$O908-$O909</f>
        <v/>
      </c>
      <c r="DS908" s="64">
        <f>$P908-$P909</f>
        <v/>
      </c>
      <c r="DT908" s="64">
        <f>$Q908-$Q909</f>
        <v/>
      </c>
      <c r="DU908" s="64">
        <f>$S908-$S909</f>
        <v/>
      </c>
      <c r="DV908" s="65">
        <f>IFERROR(AVERAGE($AA909/$AA908-1,$AB909/$AB908-1,$AC909/$AC908-1,$AD909/$AD908-1,$AE909/$AE908-1,$AG909/$AG908-1,$AH909/$AH908-1,$AI909/$AI908-1,$AJ909/$AJ908-1,$AL909/$AL908-1,$AM909/$AM908-1,$AR909/$AR908-1,$AS909/$AS908-1,$AT909/$AT908-1,$AU909/$AU908-1,$AV909/$AV908-1,$AW909/$AW908-1,$AX909/$AX908-1,$AY909/$AY908-1),"")</f>
        <v/>
      </c>
      <c r="DW908" s="66">
        <f>AVERAGE($CB908,$CC908,$CD908,$CE908,$CF908,$CG908,$CH908,$CI908,$CJ908,$CL908,$CM908,$CN908,$CO908,$CP908,$CQ908,$CR908,$CS908,$CT908)</f>
        <v/>
      </c>
      <c r="DX908" s="66">
        <f>AVERAGE($CB908,$CC908,$CM908,$CE908,$CP908)</f>
        <v/>
      </c>
      <c r="DY908" s="64">
        <f>($DW908-$DW909)*100</f>
        <v/>
      </c>
      <c r="DZ908" s="64">
        <f>($DX908-$DX909)*100</f>
        <v/>
      </c>
      <c r="EA908" s="64">
        <f>($DW908-$D908)*100</f>
        <v/>
      </c>
      <c r="EB908" s="64">
        <f>$Q908-$O908</f>
        <v/>
      </c>
      <c r="EC908" s="67">
        <f>IFERROR($Q908/$P908,"")</f>
        <v/>
      </c>
    </row>
    <row r="909">
      <c r="DG909" s="64">
        <f>($B909-$B910)*100</f>
        <v/>
      </c>
      <c r="DH909" s="64">
        <f>($D909-$D910)*100</f>
        <v/>
      </c>
      <c r="DI909" s="64">
        <f>($E909-$E910)*100</f>
        <v/>
      </c>
      <c r="DJ909" s="64">
        <f>($H909-$H910)*100</f>
        <v/>
      </c>
      <c r="DK909" s="65">
        <f>IFERROR($J909/$J910-1,"")</f>
        <v/>
      </c>
      <c r="DL909" s="64">
        <f>$L909-$L910</f>
        <v/>
      </c>
      <c r="DM909" s="64">
        <f>$K909-$K910</f>
        <v/>
      </c>
      <c r="DN909" s="65">
        <f>IFERROR($N909/$N910-1,"")</f>
        <v/>
      </c>
      <c r="DO909" s="65">
        <f>IFERROR($M909/$M910-1,"")</f>
        <v/>
      </c>
      <c r="DP909" s="65">
        <f>IFERROR($AZ909/$AZ910-1,"")</f>
        <v/>
      </c>
      <c r="DQ909" s="65">
        <f>IFERROR($BA909/$BA910-1,"")</f>
        <v/>
      </c>
      <c r="DR909" s="64">
        <f>$O909-$O910</f>
        <v/>
      </c>
      <c r="DS909" s="64">
        <f>$P909-$P910</f>
        <v/>
      </c>
      <c r="DT909" s="64">
        <f>$Q909-$Q910</f>
        <v/>
      </c>
      <c r="DU909" s="64">
        <f>$S909-$S910</f>
        <v/>
      </c>
      <c r="DV909" s="65">
        <f>IFERROR(AVERAGE($AA910/$AA909-1,$AB910/$AB909-1,$AC910/$AC909-1,$AD910/$AD909-1,$AE910/$AE909-1,$AG910/$AG909-1,$AH910/$AH909-1,$AI910/$AI909-1,$AJ910/$AJ909-1,$AL910/$AL909-1,$AM910/$AM909-1,$AR910/$AR909-1,$AS910/$AS909-1,$AT910/$AT909-1,$AU910/$AU909-1,$AV910/$AV909-1,$AW910/$AW909-1,$AX910/$AX909-1,$AY910/$AY909-1),"")</f>
        <v/>
      </c>
      <c r="DW909" s="66">
        <f>AVERAGE($CB909,$CC909,$CD909,$CE909,$CF909,$CG909,$CH909,$CI909,$CJ909,$CL909,$CM909,$CN909,$CO909,$CP909,$CQ909,$CR909,$CS909,$CT909)</f>
        <v/>
      </c>
      <c r="DX909" s="66">
        <f>AVERAGE($CB909,$CC909,$CM909,$CE909,$CP909)</f>
        <v/>
      </c>
      <c r="DY909" s="64">
        <f>($DW909-$DW910)*100</f>
        <v/>
      </c>
      <c r="DZ909" s="64">
        <f>($DX909-$DX910)*100</f>
        <v/>
      </c>
      <c r="EA909" s="64">
        <f>($DW909-$D909)*100</f>
        <v/>
      </c>
      <c r="EB909" s="64">
        <f>$Q909-$O909</f>
        <v/>
      </c>
      <c r="EC909" s="67">
        <f>IFERROR($Q909/$P909,"")</f>
        <v/>
      </c>
    </row>
    <row r="910">
      <c r="DG910" s="64">
        <f>($B910-$B911)*100</f>
        <v/>
      </c>
      <c r="DH910" s="64">
        <f>($D910-$D911)*100</f>
        <v/>
      </c>
      <c r="DI910" s="64">
        <f>($E910-$E911)*100</f>
        <v/>
      </c>
      <c r="DJ910" s="64">
        <f>($H910-$H911)*100</f>
        <v/>
      </c>
      <c r="DK910" s="65">
        <f>IFERROR($J910/$J911-1,"")</f>
        <v/>
      </c>
      <c r="DL910" s="64">
        <f>$L910-$L911</f>
        <v/>
      </c>
      <c r="DM910" s="64">
        <f>$K910-$K911</f>
        <v/>
      </c>
      <c r="DN910" s="65">
        <f>IFERROR($N910/$N911-1,"")</f>
        <v/>
      </c>
      <c r="DO910" s="65">
        <f>IFERROR($M910/$M911-1,"")</f>
        <v/>
      </c>
      <c r="DP910" s="65">
        <f>IFERROR($AZ910/$AZ911-1,"")</f>
        <v/>
      </c>
      <c r="DQ910" s="65">
        <f>IFERROR($BA910/$BA911-1,"")</f>
        <v/>
      </c>
      <c r="DR910" s="64">
        <f>$O910-$O911</f>
        <v/>
      </c>
      <c r="DS910" s="64">
        <f>$P910-$P911</f>
        <v/>
      </c>
      <c r="DT910" s="64">
        <f>$Q910-$Q911</f>
        <v/>
      </c>
      <c r="DU910" s="64">
        <f>$S910-$S911</f>
        <v/>
      </c>
      <c r="DV910" s="65">
        <f>IFERROR(AVERAGE($AA911/$AA910-1,$AB911/$AB910-1,$AC911/$AC910-1,$AD911/$AD910-1,$AE911/$AE910-1,$AG911/$AG910-1,$AH911/$AH910-1,$AI911/$AI910-1,$AJ911/$AJ910-1,$AL911/$AL910-1,$AM911/$AM910-1,$AR911/$AR910-1,$AS911/$AS910-1,$AT911/$AT910-1,$AU911/$AU910-1,$AV911/$AV910-1,$AW911/$AW910-1,$AX911/$AX910-1,$AY911/$AY910-1),"")</f>
        <v/>
      </c>
      <c r="DW910" s="66">
        <f>AVERAGE($CB910,$CC910,$CD910,$CE910,$CF910,$CG910,$CH910,$CI910,$CJ910,$CL910,$CM910,$CN910,$CO910,$CP910,$CQ910,$CR910,$CS910,$CT910)</f>
        <v/>
      </c>
      <c r="DX910" s="66">
        <f>AVERAGE($CB910,$CC910,$CM910,$CE910,$CP910)</f>
        <v/>
      </c>
      <c r="DY910" s="64">
        <f>($DW910-$DW911)*100</f>
        <v/>
      </c>
      <c r="DZ910" s="64">
        <f>($DX910-$DX911)*100</f>
        <v/>
      </c>
      <c r="EA910" s="64">
        <f>($DW910-$D910)*100</f>
        <v/>
      </c>
      <c r="EB910" s="64">
        <f>$Q910-$O910</f>
        <v/>
      </c>
      <c r="EC910" s="67">
        <f>IFERROR($Q910/$P910,"")</f>
        <v/>
      </c>
    </row>
    <row r="911">
      <c r="DG911" s="64">
        <f>($B911-$B912)*100</f>
        <v/>
      </c>
      <c r="DH911" s="64">
        <f>($D911-$D912)*100</f>
        <v/>
      </c>
      <c r="DI911" s="64">
        <f>($E911-$E912)*100</f>
        <v/>
      </c>
      <c r="DJ911" s="64">
        <f>($H911-$H912)*100</f>
        <v/>
      </c>
      <c r="DK911" s="65">
        <f>IFERROR($J911/$J912-1,"")</f>
        <v/>
      </c>
      <c r="DL911" s="64">
        <f>$L911-$L912</f>
        <v/>
      </c>
      <c r="DM911" s="64">
        <f>$K911-$K912</f>
        <v/>
      </c>
      <c r="DN911" s="65">
        <f>IFERROR($N911/$N912-1,"")</f>
        <v/>
      </c>
      <c r="DO911" s="65">
        <f>IFERROR($M911/$M912-1,"")</f>
        <v/>
      </c>
      <c r="DP911" s="65">
        <f>IFERROR($AZ911/$AZ912-1,"")</f>
        <v/>
      </c>
      <c r="DQ911" s="65">
        <f>IFERROR($BA911/$BA912-1,"")</f>
        <v/>
      </c>
      <c r="DR911" s="64">
        <f>$O911-$O912</f>
        <v/>
      </c>
      <c r="DS911" s="64">
        <f>$P911-$P912</f>
        <v/>
      </c>
      <c r="DT911" s="64">
        <f>$Q911-$Q912</f>
        <v/>
      </c>
      <c r="DU911" s="64">
        <f>$S911-$S912</f>
        <v/>
      </c>
      <c r="DV911" s="65">
        <f>IFERROR(AVERAGE($AA912/$AA911-1,$AB912/$AB911-1,$AC912/$AC911-1,$AD912/$AD911-1,$AE912/$AE911-1,$AG912/$AG911-1,$AH912/$AH911-1,$AI912/$AI911-1,$AJ912/$AJ911-1,$AL912/$AL911-1,$AM912/$AM911-1,$AR912/$AR911-1,$AS912/$AS911-1,$AT912/$AT911-1,$AU912/$AU911-1,$AV912/$AV911-1,$AW912/$AW911-1,$AX912/$AX911-1,$AY912/$AY911-1),"")</f>
        <v/>
      </c>
      <c r="DW911" s="66">
        <f>AVERAGE($CB911,$CC911,$CD911,$CE911,$CF911,$CG911,$CH911,$CI911,$CJ911,$CL911,$CM911,$CN911,$CO911,$CP911,$CQ911,$CR911,$CS911,$CT911)</f>
        <v/>
      </c>
      <c r="DX911" s="66">
        <f>AVERAGE($CB911,$CC911,$CM911,$CE911,$CP911)</f>
        <v/>
      </c>
      <c r="DY911" s="64">
        <f>($DW911-$DW912)*100</f>
        <v/>
      </c>
      <c r="DZ911" s="64">
        <f>($DX911-$DX912)*100</f>
        <v/>
      </c>
      <c r="EA911" s="64">
        <f>($DW911-$D911)*100</f>
        <v/>
      </c>
      <c r="EB911" s="64">
        <f>$Q911-$O911</f>
        <v/>
      </c>
      <c r="EC911" s="67">
        <f>IFERROR($Q911/$P911,"")</f>
        <v/>
      </c>
    </row>
    <row r="912">
      <c r="DG912" s="64">
        <f>($B912-$B913)*100</f>
        <v/>
      </c>
      <c r="DH912" s="64">
        <f>($D912-$D913)*100</f>
        <v/>
      </c>
      <c r="DI912" s="64">
        <f>($E912-$E913)*100</f>
        <v/>
      </c>
      <c r="DJ912" s="64">
        <f>($H912-$H913)*100</f>
        <v/>
      </c>
      <c r="DK912" s="65">
        <f>IFERROR($J912/$J913-1,"")</f>
        <v/>
      </c>
      <c r="DL912" s="64">
        <f>$L912-$L913</f>
        <v/>
      </c>
      <c r="DM912" s="64">
        <f>$K912-$K913</f>
        <v/>
      </c>
      <c r="DN912" s="65">
        <f>IFERROR($N912/$N913-1,"")</f>
        <v/>
      </c>
      <c r="DO912" s="65">
        <f>IFERROR($M912/$M913-1,"")</f>
        <v/>
      </c>
      <c r="DP912" s="65">
        <f>IFERROR($AZ912/$AZ913-1,"")</f>
        <v/>
      </c>
      <c r="DQ912" s="65">
        <f>IFERROR($BA912/$BA913-1,"")</f>
        <v/>
      </c>
      <c r="DR912" s="64">
        <f>$O912-$O913</f>
        <v/>
      </c>
      <c r="DS912" s="64">
        <f>$P912-$P913</f>
        <v/>
      </c>
      <c r="DT912" s="64">
        <f>$Q912-$Q913</f>
        <v/>
      </c>
      <c r="DU912" s="64">
        <f>$S912-$S913</f>
        <v/>
      </c>
      <c r="DV912" s="65">
        <f>IFERROR(AVERAGE($AA913/$AA912-1,$AB913/$AB912-1,$AC913/$AC912-1,$AD913/$AD912-1,$AE913/$AE912-1,$AG913/$AG912-1,$AH913/$AH912-1,$AI913/$AI912-1,$AJ913/$AJ912-1,$AL913/$AL912-1,$AM913/$AM912-1,$AR913/$AR912-1,$AS913/$AS912-1,$AT913/$AT912-1,$AU913/$AU912-1,$AV913/$AV912-1,$AW913/$AW912-1,$AX913/$AX912-1,$AY913/$AY912-1),"")</f>
        <v/>
      </c>
      <c r="DW912" s="66">
        <f>AVERAGE($CB912,$CC912,$CD912,$CE912,$CF912,$CG912,$CH912,$CI912,$CJ912,$CL912,$CM912,$CN912,$CO912,$CP912,$CQ912,$CR912,$CS912,$CT912)</f>
        <v/>
      </c>
      <c r="DX912" s="66">
        <f>AVERAGE($CB912,$CC912,$CM912,$CE912,$CP912)</f>
        <v/>
      </c>
      <c r="DY912" s="64">
        <f>($DW912-$DW913)*100</f>
        <v/>
      </c>
      <c r="DZ912" s="64">
        <f>($DX912-$DX913)*100</f>
        <v/>
      </c>
      <c r="EA912" s="64">
        <f>($DW912-$D912)*100</f>
        <v/>
      </c>
      <c r="EB912" s="64">
        <f>$Q912-$O912</f>
        <v/>
      </c>
      <c r="EC912" s="67">
        <f>IFERROR($Q912/$P912,"")</f>
        <v/>
      </c>
    </row>
    <row r="913">
      <c r="DG913" s="64">
        <f>($B913-$B914)*100</f>
        <v/>
      </c>
      <c r="DH913" s="64">
        <f>($D913-$D914)*100</f>
        <v/>
      </c>
      <c r="DI913" s="64">
        <f>($E913-$E914)*100</f>
        <v/>
      </c>
      <c r="DJ913" s="64">
        <f>($H913-$H914)*100</f>
        <v/>
      </c>
      <c r="DK913" s="65">
        <f>IFERROR($J913/$J914-1,"")</f>
        <v/>
      </c>
      <c r="DL913" s="64">
        <f>$L913-$L914</f>
        <v/>
      </c>
      <c r="DM913" s="64">
        <f>$K913-$K914</f>
        <v/>
      </c>
      <c r="DN913" s="65">
        <f>IFERROR($N913/$N914-1,"")</f>
        <v/>
      </c>
      <c r="DO913" s="65">
        <f>IFERROR($M913/$M914-1,"")</f>
        <v/>
      </c>
      <c r="DP913" s="65">
        <f>IFERROR($AZ913/$AZ914-1,"")</f>
        <v/>
      </c>
      <c r="DQ913" s="65">
        <f>IFERROR($BA913/$BA914-1,"")</f>
        <v/>
      </c>
      <c r="DR913" s="64">
        <f>$O913-$O914</f>
        <v/>
      </c>
      <c r="DS913" s="64">
        <f>$P913-$P914</f>
        <v/>
      </c>
      <c r="DT913" s="64">
        <f>$Q913-$Q914</f>
        <v/>
      </c>
      <c r="DU913" s="64">
        <f>$S913-$S914</f>
        <v/>
      </c>
      <c r="DV913" s="65">
        <f>IFERROR(AVERAGE($AA914/$AA913-1,$AB914/$AB913-1,$AC914/$AC913-1,$AD914/$AD913-1,$AE914/$AE913-1,$AG914/$AG913-1,$AH914/$AH913-1,$AI914/$AI913-1,$AJ914/$AJ913-1,$AL914/$AL913-1,$AM914/$AM913-1,$AR914/$AR913-1,$AS914/$AS913-1,$AT914/$AT913-1,$AU914/$AU913-1,$AV914/$AV913-1,$AW914/$AW913-1,$AX914/$AX913-1,$AY914/$AY913-1),"")</f>
        <v/>
      </c>
      <c r="DW913" s="66">
        <f>AVERAGE($CB913,$CC913,$CD913,$CE913,$CF913,$CG913,$CH913,$CI913,$CJ913,$CL913,$CM913,$CN913,$CO913,$CP913,$CQ913,$CR913,$CS913,$CT913)</f>
        <v/>
      </c>
      <c r="DX913" s="66">
        <f>AVERAGE($CB913,$CC913,$CM913,$CE913,$CP913)</f>
        <v/>
      </c>
      <c r="DY913" s="64">
        <f>($DW913-$DW914)*100</f>
        <v/>
      </c>
      <c r="DZ913" s="64">
        <f>($DX913-$DX914)*100</f>
        <v/>
      </c>
      <c r="EA913" s="64">
        <f>($DW913-$D913)*100</f>
        <v/>
      </c>
      <c r="EB913" s="64">
        <f>$Q913-$O913</f>
        <v/>
      </c>
      <c r="EC913" s="67">
        <f>IFERROR($Q913/$P913,"")</f>
        <v/>
      </c>
    </row>
    <row r="914">
      <c r="DG914" s="64">
        <f>($B914-$B915)*100</f>
        <v/>
      </c>
      <c r="DH914" s="64">
        <f>($D914-$D915)*100</f>
        <v/>
      </c>
      <c r="DI914" s="64">
        <f>($E914-$E915)*100</f>
        <v/>
      </c>
      <c r="DJ914" s="64">
        <f>($H914-$H915)*100</f>
        <v/>
      </c>
      <c r="DK914" s="65">
        <f>IFERROR($J914/$J915-1,"")</f>
        <v/>
      </c>
      <c r="DL914" s="64">
        <f>$L914-$L915</f>
        <v/>
      </c>
      <c r="DM914" s="64">
        <f>$K914-$K915</f>
        <v/>
      </c>
      <c r="DN914" s="65">
        <f>IFERROR($N914/$N915-1,"")</f>
        <v/>
      </c>
      <c r="DO914" s="65">
        <f>IFERROR($M914/$M915-1,"")</f>
        <v/>
      </c>
      <c r="DP914" s="65">
        <f>IFERROR($AZ914/$AZ915-1,"")</f>
        <v/>
      </c>
      <c r="DQ914" s="65">
        <f>IFERROR($BA914/$BA915-1,"")</f>
        <v/>
      </c>
      <c r="DR914" s="64">
        <f>$O914-$O915</f>
        <v/>
      </c>
      <c r="DS914" s="64">
        <f>$P914-$P915</f>
        <v/>
      </c>
      <c r="DT914" s="64">
        <f>$Q914-$Q915</f>
        <v/>
      </c>
      <c r="DU914" s="64">
        <f>$S914-$S915</f>
        <v/>
      </c>
      <c r="DV914" s="65">
        <f>IFERROR(AVERAGE($AA915/$AA914-1,$AB915/$AB914-1,$AC915/$AC914-1,$AD915/$AD914-1,$AE915/$AE914-1,$AG915/$AG914-1,$AH915/$AH914-1,$AI915/$AI914-1,$AJ915/$AJ914-1,$AL915/$AL914-1,$AM915/$AM914-1,$AR915/$AR914-1,$AS915/$AS914-1,$AT915/$AT914-1,$AU915/$AU914-1,$AV915/$AV914-1,$AW915/$AW914-1,$AX915/$AX914-1,$AY915/$AY914-1),"")</f>
        <v/>
      </c>
      <c r="DW914" s="66">
        <f>AVERAGE($CB914,$CC914,$CD914,$CE914,$CF914,$CG914,$CH914,$CI914,$CJ914,$CL914,$CM914,$CN914,$CO914,$CP914,$CQ914,$CR914,$CS914,$CT914)</f>
        <v/>
      </c>
      <c r="DX914" s="66">
        <f>AVERAGE($CB914,$CC914,$CM914,$CE914,$CP914)</f>
        <v/>
      </c>
      <c r="DY914" s="64">
        <f>($DW914-$DW915)*100</f>
        <v/>
      </c>
      <c r="DZ914" s="64">
        <f>($DX914-$DX915)*100</f>
        <v/>
      </c>
      <c r="EA914" s="64">
        <f>($DW914-$D914)*100</f>
        <v/>
      </c>
      <c r="EB914" s="64">
        <f>$Q914-$O914</f>
        <v/>
      </c>
      <c r="EC914" s="67">
        <f>IFERROR($Q914/$P914,"")</f>
        <v/>
      </c>
    </row>
    <row r="915">
      <c r="DG915" s="64">
        <f>($B915-$B916)*100</f>
        <v/>
      </c>
      <c r="DH915" s="64">
        <f>($D915-$D916)*100</f>
        <v/>
      </c>
      <c r="DI915" s="64">
        <f>($E915-$E916)*100</f>
        <v/>
      </c>
      <c r="DJ915" s="64">
        <f>($H915-$H916)*100</f>
        <v/>
      </c>
      <c r="DK915" s="65">
        <f>IFERROR($J915/$J916-1,"")</f>
        <v/>
      </c>
      <c r="DL915" s="64">
        <f>$L915-$L916</f>
        <v/>
      </c>
      <c r="DM915" s="64">
        <f>$K915-$K916</f>
        <v/>
      </c>
      <c r="DN915" s="65">
        <f>IFERROR($N915/$N916-1,"")</f>
        <v/>
      </c>
      <c r="DO915" s="65">
        <f>IFERROR($M915/$M916-1,"")</f>
        <v/>
      </c>
      <c r="DP915" s="65">
        <f>IFERROR($AZ915/$AZ916-1,"")</f>
        <v/>
      </c>
      <c r="DQ915" s="65">
        <f>IFERROR($BA915/$BA916-1,"")</f>
        <v/>
      </c>
      <c r="DR915" s="64">
        <f>$O915-$O916</f>
        <v/>
      </c>
      <c r="DS915" s="64">
        <f>$P915-$P916</f>
        <v/>
      </c>
      <c r="DT915" s="64">
        <f>$Q915-$Q916</f>
        <v/>
      </c>
      <c r="DU915" s="64">
        <f>$S915-$S916</f>
        <v/>
      </c>
      <c r="DV915" s="65">
        <f>IFERROR(AVERAGE($AA916/$AA915-1,$AB916/$AB915-1,$AC916/$AC915-1,$AD916/$AD915-1,$AE916/$AE915-1,$AG916/$AG915-1,$AH916/$AH915-1,$AI916/$AI915-1,$AJ916/$AJ915-1,$AL916/$AL915-1,$AM916/$AM915-1,$AR916/$AR915-1,$AS916/$AS915-1,$AT916/$AT915-1,$AU916/$AU915-1,$AV916/$AV915-1,$AW916/$AW915-1,$AX916/$AX915-1,$AY916/$AY915-1),"")</f>
        <v/>
      </c>
      <c r="DW915" s="66">
        <f>AVERAGE($CB915,$CC915,$CD915,$CE915,$CF915,$CG915,$CH915,$CI915,$CJ915,$CL915,$CM915,$CN915,$CO915,$CP915,$CQ915,$CR915,$CS915,$CT915)</f>
        <v/>
      </c>
      <c r="DX915" s="66">
        <f>AVERAGE($CB915,$CC915,$CM915,$CE915,$CP915)</f>
        <v/>
      </c>
      <c r="DY915" s="64">
        <f>($DW915-$DW916)*100</f>
        <v/>
      </c>
      <c r="DZ915" s="64">
        <f>($DX915-$DX916)*100</f>
        <v/>
      </c>
      <c r="EA915" s="64">
        <f>($DW915-$D915)*100</f>
        <v/>
      </c>
      <c r="EB915" s="64">
        <f>$Q915-$O915</f>
        <v/>
      </c>
      <c r="EC915" s="67">
        <f>IFERROR($Q915/$P915,"")</f>
        <v/>
      </c>
    </row>
    <row r="916">
      <c r="DG916" s="64">
        <f>($B916-$B917)*100</f>
        <v/>
      </c>
      <c r="DH916" s="64">
        <f>($D916-$D917)*100</f>
        <v/>
      </c>
      <c r="DI916" s="64">
        <f>($E916-$E917)*100</f>
        <v/>
      </c>
      <c r="DJ916" s="64">
        <f>($H916-$H917)*100</f>
        <v/>
      </c>
      <c r="DK916" s="65">
        <f>IFERROR($J916/$J917-1,"")</f>
        <v/>
      </c>
      <c r="DL916" s="64">
        <f>$L916-$L917</f>
        <v/>
      </c>
      <c r="DM916" s="64">
        <f>$K916-$K917</f>
        <v/>
      </c>
      <c r="DN916" s="65">
        <f>IFERROR($N916/$N917-1,"")</f>
        <v/>
      </c>
      <c r="DO916" s="65">
        <f>IFERROR($M916/$M917-1,"")</f>
        <v/>
      </c>
      <c r="DP916" s="65">
        <f>IFERROR($AZ916/$AZ917-1,"")</f>
        <v/>
      </c>
      <c r="DQ916" s="65">
        <f>IFERROR($BA916/$BA917-1,"")</f>
        <v/>
      </c>
      <c r="DR916" s="64">
        <f>$O916-$O917</f>
        <v/>
      </c>
      <c r="DS916" s="64">
        <f>$P916-$P917</f>
        <v/>
      </c>
      <c r="DT916" s="64">
        <f>$Q916-$Q917</f>
        <v/>
      </c>
      <c r="DU916" s="64">
        <f>$S916-$S917</f>
        <v/>
      </c>
      <c r="DV916" s="65">
        <f>IFERROR(AVERAGE($AA917/$AA916-1,$AB917/$AB916-1,$AC917/$AC916-1,$AD917/$AD916-1,$AE917/$AE916-1,$AG917/$AG916-1,$AH917/$AH916-1,$AI917/$AI916-1,$AJ917/$AJ916-1,$AL917/$AL916-1,$AM917/$AM916-1,$AR917/$AR916-1,$AS917/$AS916-1,$AT917/$AT916-1,$AU917/$AU916-1,$AV917/$AV916-1,$AW917/$AW916-1,$AX917/$AX916-1,$AY917/$AY916-1),"")</f>
        <v/>
      </c>
      <c r="DW916" s="66">
        <f>AVERAGE($CB916,$CC916,$CD916,$CE916,$CF916,$CG916,$CH916,$CI916,$CJ916,$CL916,$CM916,$CN916,$CO916,$CP916,$CQ916,$CR916,$CS916,$CT916)</f>
        <v/>
      </c>
      <c r="DX916" s="66">
        <f>AVERAGE($CB916,$CC916,$CM916,$CE916,$CP916)</f>
        <v/>
      </c>
      <c r="DY916" s="64">
        <f>($DW916-$DW917)*100</f>
        <v/>
      </c>
      <c r="DZ916" s="64">
        <f>($DX916-$DX917)*100</f>
        <v/>
      </c>
      <c r="EA916" s="64">
        <f>($DW916-$D916)*100</f>
        <v/>
      </c>
      <c r="EB916" s="64">
        <f>$Q916-$O916</f>
        <v/>
      </c>
      <c r="EC916" s="67">
        <f>IFERROR($Q916/$P916,"")</f>
        <v/>
      </c>
    </row>
    <row r="917">
      <c r="DG917" s="64">
        <f>($B917-$B918)*100</f>
        <v/>
      </c>
      <c r="DH917" s="64">
        <f>($D917-$D918)*100</f>
        <v/>
      </c>
      <c r="DI917" s="64">
        <f>($E917-$E918)*100</f>
        <v/>
      </c>
      <c r="DJ917" s="64">
        <f>($H917-$H918)*100</f>
        <v/>
      </c>
      <c r="DK917" s="65">
        <f>IFERROR($J917/$J918-1,"")</f>
        <v/>
      </c>
      <c r="DL917" s="64">
        <f>$L917-$L918</f>
        <v/>
      </c>
      <c r="DM917" s="64">
        <f>$K917-$K918</f>
        <v/>
      </c>
      <c r="DN917" s="65">
        <f>IFERROR($N917/$N918-1,"")</f>
        <v/>
      </c>
      <c r="DO917" s="65">
        <f>IFERROR($M917/$M918-1,"")</f>
        <v/>
      </c>
      <c r="DP917" s="65">
        <f>IFERROR($AZ917/$AZ918-1,"")</f>
        <v/>
      </c>
      <c r="DQ917" s="65">
        <f>IFERROR($BA917/$BA918-1,"")</f>
        <v/>
      </c>
      <c r="DR917" s="64">
        <f>$O917-$O918</f>
        <v/>
      </c>
      <c r="DS917" s="64">
        <f>$P917-$P918</f>
        <v/>
      </c>
      <c r="DT917" s="64">
        <f>$Q917-$Q918</f>
        <v/>
      </c>
      <c r="DU917" s="64">
        <f>$S917-$S918</f>
        <v/>
      </c>
      <c r="DV917" s="65">
        <f>IFERROR(AVERAGE($AA918/$AA917-1,$AB918/$AB917-1,$AC918/$AC917-1,$AD918/$AD917-1,$AE918/$AE917-1,$AG918/$AG917-1,$AH918/$AH917-1,$AI918/$AI917-1,$AJ918/$AJ917-1,$AL918/$AL917-1,$AM918/$AM917-1,$AR918/$AR917-1,$AS918/$AS917-1,$AT918/$AT917-1,$AU918/$AU917-1,$AV918/$AV917-1,$AW918/$AW917-1,$AX918/$AX917-1,$AY918/$AY917-1),"")</f>
        <v/>
      </c>
      <c r="DW917" s="66">
        <f>AVERAGE($CB917,$CC917,$CD917,$CE917,$CF917,$CG917,$CH917,$CI917,$CJ917,$CL917,$CM917,$CN917,$CO917,$CP917,$CQ917,$CR917,$CS917,$CT917)</f>
        <v/>
      </c>
      <c r="DX917" s="66">
        <f>AVERAGE($CB917,$CC917,$CM917,$CE917,$CP917)</f>
        <v/>
      </c>
      <c r="DY917" s="64">
        <f>($DW917-$DW918)*100</f>
        <v/>
      </c>
      <c r="DZ917" s="64">
        <f>($DX917-$DX918)*100</f>
        <v/>
      </c>
      <c r="EA917" s="64">
        <f>($DW917-$D917)*100</f>
        <v/>
      </c>
      <c r="EB917" s="64">
        <f>$Q917-$O917</f>
        <v/>
      </c>
      <c r="EC917" s="67">
        <f>IFERROR($Q917/$P917,"")</f>
        <v/>
      </c>
    </row>
    <row r="918">
      <c r="DG918" s="64">
        <f>($B918-$B919)*100</f>
        <v/>
      </c>
      <c r="DH918" s="64">
        <f>($D918-$D919)*100</f>
        <v/>
      </c>
      <c r="DI918" s="64">
        <f>($E918-$E919)*100</f>
        <v/>
      </c>
      <c r="DJ918" s="64">
        <f>($H918-$H919)*100</f>
        <v/>
      </c>
      <c r="DK918" s="65">
        <f>IFERROR($J918/$J919-1,"")</f>
        <v/>
      </c>
      <c r="DL918" s="64">
        <f>$L918-$L919</f>
        <v/>
      </c>
      <c r="DM918" s="64">
        <f>$K918-$K919</f>
        <v/>
      </c>
      <c r="DN918" s="65">
        <f>IFERROR($N918/$N919-1,"")</f>
        <v/>
      </c>
      <c r="DO918" s="65">
        <f>IFERROR($M918/$M919-1,"")</f>
        <v/>
      </c>
      <c r="DP918" s="65">
        <f>IFERROR($AZ918/$AZ919-1,"")</f>
        <v/>
      </c>
      <c r="DQ918" s="65">
        <f>IFERROR($BA918/$BA919-1,"")</f>
        <v/>
      </c>
      <c r="DR918" s="64">
        <f>$O918-$O919</f>
        <v/>
      </c>
      <c r="DS918" s="64">
        <f>$P918-$P919</f>
        <v/>
      </c>
      <c r="DT918" s="64">
        <f>$Q918-$Q919</f>
        <v/>
      </c>
      <c r="DU918" s="64">
        <f>$S918-$S919</f>
        <v/>
      </c>
      <c r="DV918" s="65">
        <f>IFERROR(AVERAGE($AA919/$AA918-1,$AB919/$AB918-1,$AC919/$AC918-1,$AD919/$AD918-1,$AE919/$AE918-1,$AG919/$AG918-1,$AH919/$AH918-1,$AI919/$AI918-1,$AJ919/$AJ918-1,$AL919/$AL918-1,$AM919/$AM918-1,$AR919/$AR918-1,$AS919/$AS918-1,$AT919/$AT918-1,$AU919/$AU918-1,$AV919/$AV918-1,$AW919/$AW918-1,$AX919/$AX918-1,$AY919/$AY918-1),"")</f>
        <v/>
      </c>
      <c r="DW918" s="66">
        <f>AVERAGE($CB918,$CC918,$CD918,$CE918,$CF918,$CG918,$CH918,$CI918,$CJ918,$CL918,$CM918,$CN918,$CO918,$CP918,$CQ918,$CR918,$CS918,$CT918)</f>
        <v/>
      </c>
      <c r="DX918" s="66">
        <f>AVERAGE($CB918,$CC918,$CM918,$CE918,$CP918)</f>
        <v/>
      </c>
      <c r="DY918" s="64">
        <f>($DW918-$DW919)*100</f>
        <v/>
      </c>
      <c r="DZ918" s="64">
        <f>($DX918-$DX919)*100</f>
        <v/>
      </c>
      <c r="EA918" s="64">
        <f>($DW918-$D918)*100</f>
        <v/>
      </c>
      <c r="EB918" s="64">
        <f>$Q918-$O918</f>
        <v/>
      </c>
      <c r="EC918" s="67">
        <f>IFERROR($Q918/$P918,"")</f>
        <v/>
      </c>
    </row>
    <row r="919">
      <c r="DG919" s="64">
        <f>($B919-$B920)*100</f>
        <v/>
      </c>
      <c r="DH919" s="64">
        <f>($D919-$D920)*100</f>
        <v/>
      </c>
      <c r="DI919" s="64">
        <f>($E919-$E920)*100</f>
        <v/>
      </c>
      <c r="DJ919" s="64">
        <f>($H919-$H920)*100</f>
        <v/>
      </c>
      <c r="DK919" s="65">
        <f>IFERROR($J919/$J920-1,"")</f>
        <v/>
      </c>
      <c r="DL919" s="64">
        <f>$L919-$L920</f>
        <v/>
      </c>
      <c r="DM919" s="64">
        <f>$K919-$K920</f>
        <v/>
      </c>
      <c r="DN919" s="65">
        <f>IFERROR($N919/$N920-1,"")</f>
        <v/>
      </c>
      <c r="DO919" s="65">
        <f>IFERROR($M919/$M920-1,"")</f>
        <v/>
      </c>
      <c r="DP919" s="65">
        <f>IFERROR($AZ919/$AZ920-1,"")</f>
        <v/>
      </c>
      <c r="DQ919" s="65">
        <f>IFERROR($BA919/$BA920-1,"")</f>
        <v/>
      </c>
      <c r="DR919" s="64">
        <f>$O919-$O920</f>
        <v/>
      </c>
      <c r="DS919" s="64">
        <f>$P919-$P920</f>
        <v/>
      </c>
      <c r="DT919" s="64">
        <f>$Q919-$Q920</f>
        <v/>
      </c>
      <c r="DU919" s="64">
        <f>$S919-$S920</f>
        <v/>
      </c>
      <c r="DV919" s="65">
        <f>IFERROR(AVERAGE($AA920/$AA919-1,$AB920/$AB919-1,$AC920/$AC919-1,$AD920/$AD919-1,$AE920/$AE919-1,$AG920/$AG919-1,$AH920/$AH919-1,$AI920/$AI919-1,$AJ920/$AJ919-1,$AL920/$AL919-1,$AM920/$AM919-1,$AR920/$AR919-1,$AS920/$AS919-1,$AT920/$AT919-1,$AU920/$AU919-1,$AV920/$AV919-1,$AW920/$AW919-1,$AX920/$AX919-1,$AY920/$AY919-1),"")</f>
        <v/>
      </c>
      <c r="DW919" s="66">
        <f>AVERAGE($CB919,$CC919,$CD919,$CE919,$CF919,$CG919,$CH919,$CI919,$CJ919,$CL919,$CM919,$CN919,$CO919,$CP919,$CQ919,$CR919,$CS919,$CT919)</f>
        <v/>
      </c>
      <c r="DX919" s="66">
        <f>AVERAGE($CB919,$CC919,$CM919,$CE919,$CP919)</f>
        <v/>
      </c>
      <c r="DY919" s="64">
        <f>($DW919-$DW920)*100</f>
        <v/>
      </c>
      <c r="DZ919" s="64">
        <f>($DX919-$DX920)*100</f>
        <v/>
      </c>
      <c r="EA919" s="64">
        <f>($DW919-$D919)*100</f>
        <v/>
      </c>
      <c r="EB919" s="64">
        <f>$Q919-$O919</f>
        <v/>
      </c>
      <c r="EC919" s="67">
        <f>IFERROR($Q919/$P919,"")</f>
        <v/>
      </c>
    </row>
    <row r="920">
      <c r="DG920" s="64">
        <f>($B920-$B921)*100</f>
        <v/>
      </c>
      <c r="DH920" s="64">
        <f>($D920-$D921)*100</f>
        <v/>
      </c>
      <c r="DI920" s="64">
        <f>($E920-$E921)*100</f>
        <v/>
      </c>
      <c r="DJ920" s="64">
        <f>($H920-$H921)*100</f>
        <v/>
      </c>
      <c r="DK920" s="65">
        <f>IFERROR($J920/$J921-1,"")</f>
        <v/>
      </c>
      <c r="DL920" s="64">
        <f>$L920-$L921</f>
        <v/>
      </c>
      <c r="DM920" s="64">
        <f>$K920-$K921</f>
        <v/>
      </c>
      <c r="DN920" s="65">
        <f>IFERROR($N920/$N921-1,"")</f>
        <v/>
      </c>
      <c r="DO920" s="65">
        <f>IFERROR($M920/$M921-1,"")</f>
        <v/>
      </c>
      <c r="DP920" s="65">
        <f>IFERROR($AZ920/$AZ921-1,"")</f>
        <v/>
      </c>
      <c r="DQ920" s="65">
        <f>IFERROR($BA920/$BA921-1,"")</f>
        <v/>
      </c>
      <c r="DR920" s="64">
        <f>$O920-$O921</f>
        <v/>
      </c>
      <c r="DS920" s="64">
        <f>$P920-$P921</f>
        <v/>
      </c>
      <c r="DT920" s="64">
        <f>$Q920-$Q921</f>
        <v/>
      </c>
      <c r="DU920" s="64">
        <f>$S920-$S921</f>
        <v/>
      </c>
      <c r="DV920" s="65">
        <f>IFERROR(AVERAGE($AA921/$AA920-1,$AB921/$AB920-1,$AC921/$AC920-1,$AD921/$AD920-1,$AE921/$AE920-1,$AG921/$AG920-1,$AH921/$AH920-1,$AI921/$AI920-1,$AJ921/$AJ920-1,$AL921/$AL920-1,$AM921/$AM920-1,$AR921/$AR920-1,$AS921/$AS920-1,$AT921/$AT920-1,$AU921/$AU920-1,$AV921/$AV920-1,$AW921/$AW920-1,$AX921/$AX920-1,$AY921/$AY920-1),"")</f>
        <v/>
      </c>
      <c r="DW920" s="66">
        <f>AVERAGE($CB920,$CC920,$CD920,$CE920,$CF920,$CG920,$CH920,$CI920,$CJ920,$CL920,$CM920,$CN920,$CO920,$CP920,$CQ920,$CR920,$CS920,$CT920)</f>
        <v/>
      </c>
      <c r="DX920" s="66">
        <f>AVERAGE($CB920,$CC920,$CM920,$CE920,$CP920)</f>
        <v/>
      </c>
      <c r="DY920" s="64">
        <f>($DW920-$DW921)*100</f>
        <v/>
      </c>
      <c r="DZ920" s="64">
        <f>($DX920-$DX921)*100</f>
        <v/>
      </c>
      <c r="EA920" s="64">
        <f>($DW920-$D920)*100</f>
        <v/>
      </c>
      <c r="EB920" s="64">
        <f>$Q920-$O920</f>
        <v/>
      </c>
      <c r="EC920" s="67">
        <f>IFERROR($Q920/$P920,"")</f>
        <v/>
      </c>
    </row>
    <row r="921">
      <c r="DG921" s="64">
        <f>($B921-$B922)*100</f>
        <v/>
      </c>
      <c r="DH921" s="64">
        <f>($D921-$D922)*100</f>
        <v/>
      </c>
      <c r="DI921" s="64">
        <f>($E921-$E922)*100</f>
        <v/>
      </c>
      <c r="DJ921" s="64">
        <f>($H921-$H922)*100</f>
        <v/>
      </c>
      <c r="DK921" s="65">
        <f>IFERROR($J921/$J922-1,"")</f>
        <v/>
      </c>
      <c r="DL921" s="64">
        <f>$L921-$L922</f>
        <v/>
      </c>
      <c r="DM921" s="64">
        <f>$K921-$K922</f>
        <v/>
      </c>
      <c r="DN921" s="65">
        <f>IFERROR($N921/$N922-1,"")</f>
        <v/>
      </c>
      <c r="DO921" s="65">
        <f>IFERROR($M921/$M922-1,"")</f>
        <v/>
      </c>
      <c r="DP921" s="65">
        <f>IFERROR($AZ921/$AZ922-1,"")</f>
        <v/>
      </c>
      <c r="DQ921" s="65">
        <f>IFERROR($BA921/$BA922-1,"")</f>
        <v/>
      </c>
      <c r="DR921" s="64">
        <f>$O921-$O922</f>
        <v/>
      </c>
      <c r="DS921" s="64">
        <f>$P921-$P922</f>
        <v/>
      </c>
      <c r="DT921" s="64">
        <f>$Q921-$Q922</f>
        <v/>
      </c>
      <c r="DU921" s="64">
        <f>$S921-$S922</f>
        <v/>
      </c>
      <c r="DV921" s="65">
        <f>IFERROR(AVERAGE($AA922/$AA921-1,$AB922/$AB921-1,$AC922/$AC921-1,$AD922/$AD921-1,$AE922/$AE921-1,$AG922/$AG921-1,$AH922/$AH921-1,$AI922/$AI921-1,$AJ922/$AJ921-1,$AL922/$AL921-1,$AM922/$AM921-1,$AR922/$AR921-1,$AS922/$AS921-1,$AT922/$AT921-1,$AU922/$AU921-1,$AV922/$AV921-1,$AW922/$AW921-1,$AX922/$AX921-1,$AY922/$AY921-1),"")</f>
        <v/>
      </c>
      <c r="DW921" s="66">
        <f>AVERAGE($CB921,$CC921,$CD921,$CE921,$CF921,$CG921,$CH921,$CI921,$CJ921,$CL921,$CM921,$CN921,$CO921,$CP921,$CQ921,$CR921,$CS921,$CT921)</f>
        <v/>
      </c>
      <c r="DX921" s="66">
        <f>AVERAGE($CB921,$CC921,$CM921,$CE921,$CP921)</f>
        <v/>
      </c>
      <c r="DY921" s="64">
        <f>($DW921-$DW922)*100</f>
        <v/>
      </c>
      <c r="DZ921" s="64">
        <f>($DX921-$DX922)*100</f>
        <v/>
      </c>
      <c r="EA921" s="64">
        <f>($DW921-$D921)*100</f>
        <v/>
      </c>
      <c r="EB921" s="64">
        <f>$Q921-$O921</f>
        <v/>
      </c>
      <c r="EC921" s="67">
        <f>IFERROR($Q921/$P921,"")</f>
        <v/>
      </c>
    </row>
    <row r="922">
      <c r="DG922" s="64">
        <f>($B922-$B923)*100</f>
        <v/>
      </c>
      <c r="DH922" s="64">
        <f>($D922-$D923)*100</f>
        <v/>
      </c>
      <c r="DI922" s="64">
        <f>($E922-$E923)*100</f>
        <v/>
      </c>
      <c r="DJ922" s="64">
        <f>($H922-$H923)*100</f>
        <v/>
      </c>
      <c r="DK922" s="65">
        <f>IFERROR($J922/$J923-1,"")</f>
        <v/>
      </c>
      <c r="DL922" s="64">
        <f>$L922-$L923</f>
        <v/>
      </c>
      <c r="DM922" s="64">
        <f>$K922-$K923</f>
        <v/>
      </c>
      <c r="DN922" s="65">
        <f>IFERROR($N922/$N923-1,"")</f>
        <v/>
      </c>
      <c r="DO922" s="65">
        <f>IFERROR($M922/$M923-1,"")</f>
        <v/>
      </c>
      <c r="DP922" s="65">
        <f>IFERROR($AZ922/$AZ923-1,"")</f>
        <v/>
      </c>
      <c r="DQ922" s="65">
        <f>IFERROR($BA922/$BA923-1,"")</f>
        <v/>
      </c>
      <c r="DR922" s="64">
        <f>$O922-$O923</f>
        <v/>
      </c>
      <c r="DS922" s="64">
        <f>$P922-$P923</f>
        <v/>
      </c>
      <c r="DT922" s="64">
        <f>$Q922-$Q923</f>
        <v/>
      </c>
      <c r="DU922" s="64">
        <f>$S922-$S923</f>
        <v/>
      </c>
      <c r="DV922" s="65">
        <f>IFERROR(AVERAGE($AA923/$AA922-1,$AB923/$AB922-1,$AC923/$AC922-1,$AD923/$AD922-1,$AE923/$AE922-1,$AG923/$AG922-1,$AH923/$AH922-1,$AI923/$AI922-1,$AJ923/$AJ922-1,$AL923/$AL922-1,$AM923/$AM922-1,$AR923/$AR922-1,$AS923/$AS922-1,$AT923/$AT922-1,$AU923/$AU922-1,$AV923/$AV922-1,$AW923/$AW922-1,$AX923/$AX922-1,$AY923/$AY922-1),"")</f>
        <v/>
      </c>
      <c r="DW922" s="66">
        <f>AVERAGE($CB922,$CC922,$CD922,$CE922,$CF922,$CG922,$CH922,$CI922,$CJ922,$CL922,$CM922,$CN922,$CO922,$CP922,$CQ922,$CR922,$CS922,$CT922)</f>
        <v/>
      </c>
      <c r="DX922" s="66">
        <f>AVERAGE($CB922,$CC922,$CM922,$CE922,$CP922)</f>
        <v/>
      </c>
      <c r="DY922" s="64">
        <f>($DW922-$DW923)*100</f>
        <v/>
      </c>
      <c r="DZ922" s="64">
        <f>($DX922-$DX923)*100</f>
        <v/>
      </c>
      <c r="EA922" s="64">
        <f>($DW922-$D922)*100</f>
        <v/>
      </c>
      <c r="EB922" s="64">
        <f>$Q922-$O922</f>
        <v/>
      </c>
      <c r="EC922" s="67">
        <f>IFERROR($Q922/$P922,"")</f>
        <v/>
      </c>
    </row>
    <row r="923">
      <c r="DG923" s="64">
        <f>($B923-$B924)*100</f>
        <v/>
      </c>
      <c r="DH923" s="64">
        <f>($D923-$D924)*100</f>
        <v/>
      </c>
      <c r="DI923" s="64">
        <f>($E923-$E924)*100</f>
        <v/>
      </c>
      <c r="DJ923" s="64">
        <f>($H923-$H924)*100</f>
        <v/>
      </c>
      <c r="DK923" s="65">
        <f>IFERROR($J923/$J924-1,"")</f>
        <v/>
      </c>
      <c r="DL923" s="64">
        <f>$L923-$L924</f>
        <v/>
      </c>
      <c r="DM923" s="64">
        <f>$K923-$K924</f>
        <v/>
      </c>
      <c r="DN923" s="65">
        <f>IFERROR($N923/$N924-1,"")</f>
        <v/>
      </c>
      <c r="DO923" s="65">
        <f>IFERROR($M923/$M924-1,"")</f>
        <v/>
      </c>
      <c r="DP923" s="65">
        <f>IFERROR($AZ923/$AZ924-1,"")</f>
        <v/>
      </c>
      <c r="DQ923" s="65">
        <f>IFERROR($BA923/$BA924-1,"")</f>
        <v/>
      </c>
      <c r="DR923" s="64">
        <f>$O923-$O924</f>
        <v/>
      </c>
      <c r="DS923" s="64">
        <f>$P923-$P924</f>
        <v/>
      </c>
      <c r="DT923" s="64">
        <f>$Q923-$Q924</f>
        <v/>
      </c>
      <c r="DU923" s="64">
        <f>$S923-$S924</f>
        <v/>
      </c>
      <c r="DV923" s="65">
        <f>IFERROR(AVERAGE($AA924/$AA923-1,$AB924/$AB923-1,$AC924/$AC923-1,$AD924/$AD923-1,$AE924/$AE923-1,$AG924/$AG923-1,$AH924/$AH923-1,$AI924/$AI923-1,$AJ924/$AJ923-1,$AL924/$AL923-1,$AM924/$AM923-1,$AR924/$AR923-1,$AS924/$AS923-1,$AT924/$AT923-1,$AU924/$AU923-1,$AV924/$AV923-1,$AW924/$AW923-1,$AX924/$AX923-1,$AY924/$AY923-1),"")</f>
        <v/>
      </c>
      <c r="DW923" s="66">
        <f>AVERAGE($CB923,$CC923,$CD923,$CE923,$CF923,$CG923,$CH923,$CI923,$CJ923,$CL923,$CM923,$CN923,$CO923,$CP923,$CQ923,$CR923,$CS923,$CT923)</f>
        <v/>
      </c>
      <c r="DX923" s="66">
        <f>AVERAGE($CB923,$CC923,$CM923,$CE923,$CP923)</f>
        <v/>
      </c>
      <c r="DY923" s="64">
        <f>($DW923-$DW924)*100</f>
        <v/>
      </c>
      <c r="DZ923" s="64">
        <f>($DX923-$DX924)*100</f>
        <v/>
      </c>
      <c r="EA923" s="64">
        <f>($DW923-$D923)*100</f>
        <v/>
      </c>
      <c r="EB923" s="64">
        <f>$Q923-$O923</f>
        <v/>
      </c>
      <c r="EC923" s="67">
        <f>IFERROR($Q923/$P923,"")</f>
        <v/>
      </c>
    </row>
    <row r="924">
      <c r="DG924" s="64">
        <f>($B924-$B925)*100</f>
        <v/>
      </c>
      <c r="DH924" s="64">
        <f>($D924-$D925)*100</f>
        <v/>
      </c>
      <c r="DI924" s="64">
        <f>($E924-$E925)*100</f>
        <v/>
      </c>
      <c r="DJ924" s="64">
        <f>($H924-$H925)*100</f>
        <v/>
      </c>
      <c r="DK924" s="65">
        <f>IFERROR($J924/$J925-1,"")</f>
        <v/>
      </c>
      <c r="DL924" s="64">
        <f>$L924-$L925</f>
        <v/>
      </c>
      <c r="DM924" s="64">
        <f>$K924-$K925</f>
        <v/>
      </c>
      <c r="DN924" s="65">
        <f>IFERROR($N924/$N925-1,"")</f>
        <v/>
      </c>
      <c r="DO924" s="65">
        <f>IFERROR($M924/$M925-1,"")</f>
        <v/>
      </c>
      <c r="DP924" s="65">
        <f>IFERROR($AZ924/$AZ925-1,"")</f>
        <v/>
      </c>
      <c r="DQ924" s="65">
        <f>IFERROR($BA924/$BA925-1,"")</f>
        <v/>
      </c>
      <c r="DR924" s="64">
        <f>$O924-$O925</f>
        <v/>
      </c>
      <c r="DS924" s="64">
        <f>$P924-$P925</f>
        <v/>
      </c>
      <c r="DT924" s="64">
        <f>$Q924-$Q925</f>
        <v/>
      </c>
      <c r="DU924" s="64">
        <f>$S924-$S925</f>
        <v/>
      </c>
      <c r="DV924" s="65">
        <f>IFERROR(AVERAGE($AA925/$AA924-1,$AB925/$AB924-1,$AC925/$AC924-1,$AD925/$AD924-1,$AE925/$AE924-1,$AG925/$AG924-1,$AH925/$AH924-1,$AI925/$AI924-1,$AJ925/$AJ924-1,$AL925/$AL924-1,$AM925/$AM924-1,$AR925/$AR924-1,$AS925/$AS924-1,$AT925/$AT924-1,$AU925/$AU924-1,$AV925/$AV924-1,$AW925/$AW924-1,$AX925/$AX924-1,$AY925/$AY924-1),"")</f>
        <v/>
      </c>
      <c r="DW924" s="66">
        <f>AVERAGE($CB924,$CC924,$CD924,$CE924,$CF924,$CG924,$CH924,$CI924,$CJ924,$CL924,$CM924,$CN924,$CO924,$CP924,$CQ924,$CR924,$CS924,$CT924)</f>
        <v/>
      </c>
      <c r="DX924" s="66">
        <f>AVERAGE($CB924,$CC924,$CM924,$CE924,$CP924)</f>
        <v/>
      </c>
      <c r="DY924" s="64">
        <f>($DW924-$DW925)*100</f>
        <v/>
      </c>
      <c r="DZ924" s="64">
        <f>($DX924-$DX925)*100</f>
        <v/>
      </c>
      <c r="EA924" s="64">
        <f>($DW924-$D924)*100</f>
        <v/>
      </c>
      <c r="EB924" s="64">
        <f>$Q924-$O924</f>
        <v/>
      </c>
      <c r="EC924" s="67">
        <f>IFERROR($Q924/$P924,"")</f>
        <v/>
      </c>
    </row>
    <row r="925">
      <c r="DG925" s="64">
        <f>($B925-$B926)*100</f>
        <v/>
      </c>
      <c r="DH925" s="64">
        <f>($D925-$D926)*100</f>
        <v/>
      </c>
      <c r="DI925" s="64">
        <f>($E925-$E926)*100</f>
        <v/>
      </c>
      <c r="DJ925" s="64">
        <f>($H925-$H926)*100</f>
        <v/>
      </c>
      <c r="DK925" s="65">
        <f>IFERROR($J925/$J926-1,"")</f>
        <v/>
      </c>
      <c r="DL925" s="64">
        <f>$L925-$L926</f>
        <v/>
      </c>
      <c r="DM925" s="64">
        <f>$K925-$K926</f>
        <v/>
      </c>
      <c r="DN925" s="65">
        <f>IFERROR($N925/$N926-1,"")</f>
        <v/>
      </c>
      <c r="DO925" s="65">
        <f>IFERROR($M925/$M926-1,"")</f>
        <v/>
      </c>
      <c r="DP925" s="65">
        <f>IFERROR($AZ925/$AZ926-1,"")</f>
        <v/>
      </c>
      <c r="DQ925" s="65">
        <f>IFERROR($BA925/$BA926-1,"")</f>
        <v/>
      </c>
      <c r="DR925" s="64">
        <f>$O925-$O926</f>
        <v/>
      </c>
      <c r="DS925" s="64">
        <f>$P925-$P926</f>
        <v/>
      </c>
      <c r="DT925" s="64">
        <f>$Q925-$Q926</f>
        <v/>
      </c>
      <c r="DU925" s="64">
        <f>$S925-$S926</f>
        <v/>
      </c>
      <c r="DV925" s="65">
        <f>IFERROR(AVERAGE($AA926/$AA925-1,$AB926/$AB925-1,$AC926/$AC925-1,$AD926/$AD925-1,$AE926/$AE925-1,$AG926/$AG925-1,$AH926/$AH925-1,$AI926/$AI925-1,$AJ926/$AJ925-1,$AL926/$AL925-1,$AM926/$AM925-1,$AR926/$AR925-1,$AS926/$AS925-1,$AT926/$AT925-1,$AU926/$AU925-1,$AV926/$AV925-1,$AW926/$AW925-1,$AX926/$AX925-1,$AY926/$AY925-1),"")</f>
        <v/>
      </c>
      <c r="DW925" s="66">
        <f>AVERAGE($CB925,$CC925,$CD925,$CE925,$CF925,$CG925,$CH925,$CI925,$CJ925,$CL925,$CM925,$CN925,$CO925,$CP925,$CQ925,$CR925,$CS925,$CT925)</f>
        <v/>
      </c>
      <c r="DX925" s="66">
        <f>AVERAGE($CB925,$CC925,$CM925,$CE925,$CP925)</f>
        <v/>
      </c>
      <c r="DY925" s="64">
        <f>($DW925-$DW926)*100</f>
        <v/>
      </c>
      <c r="DZ925" s="64">
        <f>($DX925-$DX926)*100</f>
        <v/>
      </c>
      <c r="EA925" s="64">
        <f>($DW925-$D925)*100</f>
        <v/>
      </c>
      <c r="EB925" s="64">
        <f>$Q925-$O925</f>
        <v/>
      </c>
      <c r="EC925" s="67">
        <f>IFERROR($Q925/$P925,"")</f>
        <v/>
      </c>
    </row>
    <row r="926">
      <c r="DG926" s="64">
        <f>($B926-$B927)*100</f>
        <v/>
      </c>
      <c r="DH926" s="64">
        <f>($D926-$D927)*100</f>
        <v/>
      </c>
      <c r="DI926" s="64">
        <f>($E926-$E927)*100</f>
        <v/>
      </c>
      <c r="DJ926" s="64">
        <f>($H926-$H927)*100</f>
        <v/>
      </c>
      <c r="DK926" s="65">
        <f>IFERROR($J926/$J927-1,"")</f>
        <v/>
      </c>
      <c r="DL926" s="64">
        <f>$L926-$L927</f>
        <v/>
      </c>
      <c r="DM926" s="64">
        <f>$K926-$K927</f>
        <v/>
      </c>
      <c r="DN926" s="65">
        <f>IFERROR($N926/$N927-1,"")</f>
        <v/>
      </c>
      <c r="DO926" s="65">
        <f>IFERROR($M926/$M927-1,"")</f>
        <v/>
      </c>
      <c r="DP926" s="65">
        <f>IFERROR($AZ926/$AZ927-1,"")</f>
        <v/>
      </c>
      <c r="DQ926" s="65">
        <f>IFERROR($BA926/$BA927-1,"")</f>
        <v/>
      </c>
      <c r="DR926" s="64">
        <f>$O926-$O927</f>
        <v/>
      </c>
      <c r="DS926" s="64">
        <f>$P926-$P927</f>
        <v/>
      </c>
      <c r="DT926" s="64">
        <f>$Q926-$Q927</f>
        <v/>
      </c>
      <c r="DU926" s="64">
        <f>$S926-$S927</f>
        <v/>
      </c>
      <c r="DV926" s="65">
        <f>IFERROR(AVERAGE($AA927/$AA926-1,$AB927/$AB926-1,$AC927/$AC926-1,$AD927/$AD926-1,$AE927/$AE926-1,$AG927/$AG926-1,$AH927/$AH926-1,$AI927/$AI926-1,$AJ927/$AJ926-1,$AL927/$AL926-1,$AM927/$AM926-1,$AR927/$AR926-1,$AS927/$AS926-1,$AT927/$AT926-1,$AU927/$AU926-1,$AV927/$AV926-1,$AW927/$AW926-1,$AX927/$AX926-1,$AY927/$AY926-1),"")</f>
        <v/>
      </c>
      <c r="DW926" s="66">
        <f>AVERAGE($CB926,$CC926,$CD926,$CE926,$CF926,$CG926,$CH926,$CI926,$CJ926,$CL926,$CM926,$CN926,$CO926,$CP926,$CQ926,$CR926,$CS926,$CT926)</f>
        <v/>
      </c>
      <c r="DX926" s="66">
        <f>AVERAGE($CB926,$CC926,$CM926,$CE926,$CP926)</f>
        <v/>
      </c>
      <c r="DY926" s="64">
        <f>($DW926-$DW927)*100</f>
        <v/>
      </c>
      <c r="DZ926" s="64">
        <f>($DX926-$DX927)*100</f>
        <v/>
      </c>
      <c r="EA926" s="64">
        <f>($DW926-$D926)*100</f>
        <v/>
      </c>
      <c r="EB926" s="64">
        <f>$Q926-$O926</f>
        <v/>
      </c>
      <c r="EC926" s="67">
        <f>IFERROR($Q926/$P926,"")</f>
        <v/>
      </c>
    </row>
    <row r="927">
      <c r="DG927" s="64">
        <f>($B927-$B928)*100</f>
        <v/>
      </c>
      <c r="DH927" s="64">
        <f>($D927-$D928)*100</f>
        <v/>
      </c>
      <c r="DI927" s="64">
        <f>($E927-$E928)*100</f>
        <v/>
      </c>
      <c r="DJ927" s="64">
        <f>($H927-$H928)*100</f>
        <v/>
      </c>
      <c r="DK927" s="65">
        <f>IFERROR($J927/$J928-1,"")</f>
        <v/>
      </c>
      <c r="DL927" s="64">
        <f>$L927-$L928</f>
        <v/>
      </c>
      <c r="DM927" s="64">
        <f>$K927-$K928</f>
        <v/>
      </c>
      <c r="DN927" s="65">
        <f>IFERROR($N927/$N928-1,"")</f>
        <v/>
      </c>
      <c r="DO927" s="65">
        <f>IFERROR($M927/$M928-1,"")</f>
        <v/>
      </c>
      <c r="DP927" s="65">
        <f>IFERROR($AZ927/$AZ928-1,"")</f>
        <v/>
      </c>
      <c r="DQ927" s="65">
        <f>IFERROR($BA927/$BA928-1,"")</f>
        <v/>
      </c>
      <c r="DR927" s="64">
        <f>$O927-$O928</f>
        <v/>
      </c>
      <c r="DS927" s="64">
        <f>$P927-$P928</f>
        <v/>
      </c>
      <c r="DT927" s="64">
        <f>$Q927-$Q928</f>
        <v/>
      </c>
      <c r="DU927" s="64">
        <f>$S927-$S928</f>
        <v/>
      </c>
      <c r="DV927" s="65">
        <f>IFERROR(AVERAGE($AA928/$AA927-1,$AB928/$AB927-1,$AC928/$AC927-1,$AD928/$AD927-1,$AE928/$AE927-1,$AG928/$AG927-1,$AH928/$AH927-1,$AI928/$AI927-1,$AJ928/$AJ927-1,$AL928/$AL927-1,$AM928/$AM927-1,$AR928/$AR927-1,$AS928/$AS927-1,$AT928/$AT927-1,$AU928/$AU927-1,$AV928/$AV927-1,$AW928/$AW927-1,$AX928/$AX927-1,$AY928/$AY927-1),"")</f>
        <v/>
      </c>
      <c r="DW927" s="66">
        <f>AVERAGE($CB927,$CC927,$CD927,$CE927,$CF927,$CG927,$CH927,$CI927,$CJ927,$CL927,$CM927,$CN927,$CO927,$CP927,$CQ927,$CR927,$CS927,$CT927)</f>
        <v/>
      </c>
      <c r="DX927" s="66">
        <f>AVERAGE($CB927,$CC927,$CM927,$CE927,$CP927)</f>
        <v/>
      </c>
      <c r="DY927" s="64">
        <f>($DW927-$DW928)*100</f>
        <v/>
      </c>
      <c r="DZ927" s="64">
        <f>($DX927-$DX928)*100</f>
        <v/>
      </c>
      <c r="EA927" s="64">
        <f>($DW927-$D927)*100</f>
        <v/>
      </c>
      <c r="EB927" s="64">
        <f>$Q927-$O927</f>
        <v/>
      </c>
      <c r="EC927" s="67">
        <f>IFERROR($Q927/$P927,"")</f>
        <v/>
      </c>
    </row>
    <row r="928">
      <c r="DG928" s="64">
        <f>($B928-$B929)*100</f>
        <v/>
      </c>
      <c r="DH928" s="64">
        <f>($D928-$D929)*100</f>
        <v/>
      </c>
      <c r="DI928" s="64">
        <f>($E928-$E929)*100</f>
        <v/>
      </c>
      <c r="DJ928" s="64">
        <f>($H928-$H929)*100</f>
        <v/>
      </c>
      <c r="DK928" s="65">
        <f>IFERROR($J928/$J929-1,"")</f>
        <v/>
      </c>
      <c r="DL928" s="64">
        <f>$L928-$L929</f>
        <v/>
      </c>
      <c r="DM928" s="64">
        <f>$K928-$K929</f>
        <v/>
      </c>
      <c r="DN928" s="65">
        <f>IFERROR($N928/$N929-1,"")</f>
        <v/>
      </c>
      <c r="DO928" s="65">
        <f>IFERROR($M928/$M929-1,"")</f>
        <v/>
      </c>
      <c r="DP928" s="65">
        <f>IFERROR($AZ928/$AZ929-1,"")</f>
        <v/>
      </c>
      <c r="DQ928" s="65">
        <f>IFERROR($BA928/$BA929-1,"")</f>
        <v/>
      </c>
      <c r="DR928" s="64">
        <f>$O928-$O929</f>
        <v/>
      </c>
      <c r="DS928" s="64">
        <f>$P928-$P929</f>
        <v/>
      </c>
      <c r="DT928" s="64">
        <f>$Q928-$Q929</f>
        <v/>
      </c>
      <c r="DU928" s="64">
        <f>$S928-$S929</f>
        <v/>
      </c>
      <c r="DV928" s="65">
        <f>IFERROR(AVERAGE($AA929/$AA928-1,$AB929/$AB928-1,$AC929/$AC928-1,$AD929/$AD928-1,$AE929/$AE928-1,$AG929/$AG928-1,$AH929/$AH928-1,$AI929/$AI928-1,$AJ929/$AJ928-1,$AL929/$AL928-1,$AM929/$AM928-1,$AR929/$AR928-1,$AS929/$AS928-1,$AT929/$AT928-1,$AU929/$AU928-1,$AV929/$AV928-1,$AW929/$AW928-1,$AX929/$AX928-1,$AY929/$AY928-1),"")</f>
        <v/>
      </c>
      <c r="DW928" s="66">
        <f>AVERAGE($CB928,$CC928,$CD928,$CE928,$CF928,$CG928,$CH928,$CI928,$CJ928,$CL928,$CM928,$CN928,$CO928,$CP928,$CQ928,$CR928,$CS928,$CT928)</f>
        <v/>
      </c>
      <c r="DX928" s="66">
        <f>AVERAGE($CB928,$CC928,$CM928,$CE928,$CP928)</f>
        <v/>
      </c>
      <c r="DY928" s="64">
        <f>($DW928-$DW929)*100</f>
        <v/>
      </c>
      <c r="DZ928" s="64">
        <f>($DX928-$DX929)*100</f>
        <v/>
      </c>
      <c r="EA928" s="64">
        <f>($DW928-$D928)*100</f>
        <v/>
      </c>
      <c r="EB928" s="64">
        <f>$Q928-$O928</f>
        <v/>
      </c>
      <c r="EC928" s="67">
        <f>IFERROR($Q928/$P928,"")</f>
        <v/>
      </c>
    </row>
    <row r="929">
      <c r="DG929" s="64">
        <f>($B929-$B930)*100</f>
        <v/>
      </c>
      <c r="DH929" s="64">
        <f>($D929-$D930)*100</f>
        <v/>
      </c>
      <c r="DI929" s="64">
        <f>($E929-$E930)*100</f>
        <v/>
      </c>
      <c r="DJ929" s="64">
        <f>($H929-$H930)*100</f>
        <v/>
      </c>
      <c r="DK929" s="65">
        <f>IFERROR($J929/$J930-1,"")</f>
        <v/>
      </c>
      <c r="DL929" s="64">
        <f>$L929-$L930</f>
        <v/>
      </c>
      <c r="DM929" s="64">
        <f>$K929-$K930</f>
        <v/>
      </c>
      <c r="DN929" s="65">
        <f>IFERROR($N929/$N930-1,"")</f>
        <v/>
      </c>
      <c r="DO929" s="65">
        <f>IFERROR($M929/$M930-1,"")</f>
        <v/>
      </c>
      <c r="DP929" s="65">
        <f>IFERROR($AZ929/$AZ930-1,"")</f>
        <v/>
      </c>
      <c r="DQ929" s="65">
        <f>IFERROR($BA929/$BA930-1,"")</f>
        <v/>
      </c>
      <c r="DR929" s="64">
        <f>$O929-$O930</f>
        <v/>
      </c>
      <c r="DS929" s="64">
        <f>$P929-$P930</f>
        <v/>
      </c>
      <c r="DT929" s="64">
        <f>$Q929-$Q930</f>
        <v/>
      </c>
      <c r="DU929" s="64">
        <f>$S929-$S930</f>
        <v/>
      </c>
      <c r="DV929" s="65">
        <f>IFERROR(AVERAGE($AA930/$AA929-1,$AB930/$AB929-1,$AC930/$AC929-1,$AD930/$AD929-1,$AE930/$AE929-1,$AG930/$AG929-1,$AH930/$AH929-1,$AI930/$AI929-1,$AJ930/$AJ929-1,$AL930/$AL929-1,$AM930/$AM929-1,$AR930/$AR929-1,$AS930/$AS929-1,$AT930/$AT929-1,$AU930/$AU929-1,$AV930/$AV929-1,$AW930/$AW929-1,$AX930/$AX929-1,$AY930/$AY929-1),"")</f>
        <v/>
      </c>
      <c r="DW929" s="66">
        <f>AVERAGE($CB929,$CC929,$CD929,$CE929,$CF929,$CG929,$CH929,$CI929,$CJ929,$CL929,$CM929,$CN929,$CO929,$CP929,$CQ929,$CR929,$CS929,$CT929)</f>
        <v/>
      </c>
      <c r="DX929" s="66">
        <f>AVERAGE($CB929,$CC929,$CM929,$CE929,$CP929)</f>
        <v/>
      </c>
      <c r="DY929" s="64">
        <f>($DW929-$DW930)*100</f>
        <v/>
      </c>
      <c r="DZ929" s="64">
        <f>($DX929-$DX930)*100</f>
        <v/>
      </c>
      <c r="EA929" s="64">
        <f>($DW929-$D929)*100</f>
        <v/>
      </c>
      <c r="EB929" s="64">
        <f>$Q929-$O929</f>
        <v/>
      </c>
      <c r="EC929" s="67">
        <f>IFERROR($Q929/$P929,"")</f>
        <v/>
      </c>
    </row>
    <row r="930">
      <c r="DG930" s="64">
        <f>($B930-$B931)*100</f>
        <v/>
      </c>
      <c r="DH930" s="64">
        <f>($D930-$D931)*100</f>
        <v/>
      </c>
      <c r="DI930" s="64">
        <f>($E930-$E931)*100</f>
        <v/>
      </c>
      <c r="DJ930" s="64">
        <f>($H930-$H931)*100</f>
        <v/>
      </c>
      <c r="DK930" s="65">
        <f>IFERROR($J930/$J931-1,"")</f>
        <v/>
      </c>
      <c r="DL930" s="64">
        <f>$L930-$L931</f>
        <v/>
      </c>
      <c r="DM930" s="64">
        <f>$K930-$K931</f>
        <v/>
      </c>
      <c r="DN930" s="65">
        <f>IFERROR($N930/$N931-1,"")</f>
        <v/>
      </c>
      <c r="DO930" s="65">
        <f>IFERROR($M930/$M931-1,"")</f>
        <v/>
      </c>
      <c r="DP930" s="65">
        <f>IFERROR($AZ930/$AZ931-1,"")</f>
        <v/>
      </c>
      <c r="DQ930" s="65">
        <f>IFERROR($BA930/$BA931-1,"")</f>
        <v/>
      </c>
      <c r="DR930" s="64">
        <f>$O930-$O931</f>
        <v/>
      </c>
      <c r="DS930" s="64">
        <f>$P930-$P931</f>
        <v/>
      </c>
      <c r="DT930" s="64">
        <f>$Q930-$Q931</f>
        <v/>
      </c>
      <c r="DU930" s="64">
        <f>$S930-$S931</f>
        <v/>
      </c>
      <c r="DV930" s="65">
        <f>IFERROR(AVERAGE($AA931/$AA930-1,$AB931/$AB930-1,$AC931/$AC930-1,$AD931/$AD930-1,$AE931/$AE930-1,$AG931/$AG930-1,$AH931/$AH930-1,$AI931/$AI930-1,$AJ931/$AJ930-1,$AL931/$AL930-1,$AM931/$AM930-1,$AR931/$AR930-1,$AS931/$AS930-1,$AT931/$AT930-1,$AU931/$AU930-1,$AV931/$AV930-1,$AW931/$AW930-1,$AX931/$AX930-1,$AY931/$AY930-1),"")</f>
        <v/>
      </c>
      <c r="DW930" s="66">
        <f>AVERAGE($CB930,$CC930,$CD930,$CE930,$CF930,$CG930,$CH930,$CI930,$CJ930,$CL930,$CM930,$CN930,$CO930,$CP930,$CQ930,$CR930,$CS930,$CT930)</f>
        <v/>
      </c>
      <c r="DX930" s="66">
        <f>AVERAGE($CB930,$CC930,$CM930,$CE930,$CP930)</f>
        <v/>
      </c>
      <c r="DY930" s="64">
        <f>($DW930-$DW931)*100</f>
        <v/>
      </c>
      <c r="DZ930" s="64">
        <f>($DX930-$DX931)*100</f>
        <v/>
      </c>
      <c r="EA930" s="64">
        <f>($DW930-$D930)*100</f>
        <v/>
      </c>
      <c r="EB930" s="64">
        <f>$Q930-$O930</f>
        <v/>
      </c>
      <c r="EC930" s="67">
        <f>IFERROR($Q930/$P930,"")</f>
        <v/>
      </c>
    </row>
    <row r="931">
      <c r="DG931" s="64">
        <f>($B931-$B932)*100</f>
        <v/>
      </c>
      <c r="DH931" s="64">
        <f>($D931-$D932)*100</f>
        <v/>
      </c>
      <c r="DI931" s="64">
        <f>($E931-$E932)*100</f>
        <v/>
      </c>
      <c r="DJ931" s="64">
        <f>($H931-$H932)*100</f>
        <v/>
      </c>
      <c r="DK931" s="65">
        <f>IFERROR($J931/$J932-1,"")</f>
        <v/>
      </c>
      <c r="DL931" s="64">
        <f>$L931-$L932</f>
        <v/>
      </c>
      <c r="DM931" s="64">
        <f>$K931-$K932</f>
        <v/>
      </c>
      <c r="DN931" s="65">
        <f>IFERROR($N931/$N932-1,"")</f>
        <v/>
      </c>
      <c r="DO931" s="65">
        <f>IFERROR($M931/$M932-1,"")</f>
        <v/>
      </c>
      <c r="DP931" s="65">
        <f>IFERROR($AZ931/$AZ932-1,"")</f>
        <v/>
      </c>
      <c r="DQ931" s="65">
        <f>IFERROR($BA931/$BA932-1,"")</f>
        <v/>
      </c>
      <c r="DR931" s="64">
        <f>$O931-$O932</f>
        <v/>
      </c>
      <c r="DS931" s="64">
        <f>$P931-$P932</f>
        <v/>
      </c>
      <c r="DT931" s="64">
        <f>$Q931-$Q932</f>
        <v/>
      </c>
      <c r="DU931" s="64">
        <f>$S931-$S932</f>
        <v/>
      </c>
      <c r="DV931" s="65">
        <f>IFERROR(AVERAGE($AA932/$AA931-1,$AB932/$AB931-1,$AC932/$AC931-1,$AD932/$AD931-1,$AE932/$AE931-1,$AG932/$AG931-1,$AH932/$AH931-1,$AI932/$AI931-1,$AJ932/$AJ931-1,$AL932/$AL931-1,$AM932/$AM931-1,$AR932/$AR931-1,$AS932/$AS931-1,$AT932/$AT931-1,$AU932/$AU931-1,$AV932/$AV931-1,$AW932/$AW931-1,$AX932/$AX931-1,$AY932/$AY931-1),"")</f>
        <v/>
      </c>
      <c r="DW931" s="66">
        <f>AVERAGE($CB931,$CC931,$CD931,$CE931,$CF931,$CG931,$CH931,$CI931,$CJ931,$CL931,$CM931,$CN931,$CO931,$CP931,$CQ931,$CR931,$CS931,$CT931)</f>
        <v/>
      </c>
      <c r="DX931" s="66">
        <f>AVERAGE($CB931,$CC931,$CM931,$CE931,$CP931)</f>
        <v/>
      </c>
      <c r="DY931" s="64">
        <f>($DW931-$DW932)*100</f>
        <v/>
      </c>
      <c r="DZ931" s="64">
        <f>($DX931-$DX932)*100</f>
        <v/>
      </c>
      <c r="EA931" s="64">
        <f>($DW931-$D931)*100</f>
        <v/>
      </c>
      <c r="EB931" s="64">
        <f>$Q931-$O931</f>
        <v/>
      </c>
      <c r="EC931" s="67">
        <f>IFERROR($Q931/$P931,"")</f>
        <v/>
      </c>
    </row>
    <row r="932">
      <c r="DG932" s="64">
        <f>($B932-$B933)*100</f>
        <v/>
      </c>
      <c r="DH932" s="64">
        <f>($D932-$D933)*100</f>
        <v/>
      </c>
      <c r="DI932" s="64">
        <f>($E932-$E933)*100</f>
        <v/>
      </c>
      <c r="DJ932" s="64">
        <f>($H932-$H933)*100</f>
        <v/>
      </c>
      <c r="DK932" s="65">
        <f>IFERROR($J932/$J933-1,"")</f>
        <v/>
      </c>
      <c r="DL932" s="64">
        <f>$L932-$L933</f>
        <v/>
      </c>
      <c r="DM932" s="64">
        <f>$K932-$K933</f>
        <v/>
      </c>
      <c r="DN932" s="65">
        <f>IFERROR($N932/$N933-1,"")</f>
        <v/>
      </c>
      <c r="DO932" s="65">
        <f>IFERROR($M932/$M933-1,"")</f>
        <v/>
      </c>
      <c r="DP932" s="65">
        <f>IFERROR($AZ932/$AZ933-1,"")</f>
        <v/>
      </c>
      <c r="DQ932" s="65">
        <f>IFERROR($BA932/$BA933-1,"")</f>
        <v/>
      </c>
      <c r="DR932" s="64">
        <f>$O932-$O933</f>
        <v/>
      </c>
      <c r="DS932" s="64">
        <f>$P932-$P933</f>
        <v/>
      </c>
      <c r="DT932" s="64">
        <f>$Q932-$Q933</f>
        <v/>
      </c>
      <c r="DU932" s="64">
        <f>$S932-$S933</f>
        <v/>
      </c>
      <c r="DV932" s="65">
        <f>IFERROR(AVERAGE($AA933/$AA932-1,$AB933/$AB932-1,$AC933/$AC932-1,$AD933/$AD932-1,$AE933/$AE932-1,$AG933/$AG932-1,$AH933/$AH932-1,$AI933/$AI932-1,$AJ933/$AJ932-1,$AL933/$AL932-1,$AM933/$AM932-1,$AR933/$AR932-1,$AS933/$AS932-1,$AT933/$AT932-1,$AU933/$AU932-1,$AV933/$AV932-1,$AW933/$AW932-1,$AX933/$AX932-1,$AY933/$AY932-1),"")</f>
        <v/>
      </c>
      <c r="DW932" s="66">
        <f>AVERAGE($CB932,$CC932,$CD932,$CE932,$CF932,$CG932,$CH932,$CI932,$CJ932,$CL932,$CM932,$CN932,$CO932,$CP932,$CQ932,$CR932,$CS932,$CT932)</f>
        <v/>
      </c>
      <c r="DX932" s="66">
        <f>AVERAGE($CB932,$CC932,$CM932,$CE932,$CP932)</f>
        <v/>
      </c>
      <c r="DY932" s="64">
        <f>($DW932-$DW933)*100</f>
        <v/>
      </c>
      <c r="DZ932" s="64">
        <f>($DX932-$DX933)*100</f>
        <v/>
      </c>
      <c r="EA932" s="64">
        <f>($DW932-$D932)*100</f>
        <v/>
      </c>
      <c r="EB932" s="64">
        <f>$Q932-$O932</f>
        <v/>
      </c>
      <c r="EC932" s="67">
        <f>IFERROR($Q932/$P932,"")</f>
        <v/>
      </c>
    </row>
    <row r="933">
      <c r="DG933" s="64">
        <f>($B933-$B934)*100</f>
        <v/>
      </c>
      <c r="DH933" s="64">
        <f>($D933-$D934)*100</f>
        <v/>
      </c>
      <c r="DI933" s="64">
        <f>($E933-$E934)*100</f>
        <v/>
      </c>
      <c r="DJ933" s="64">
        <f>($H933-$H934)*100</f>
        <v/>
      </c>
      <c r="DK933" s="65">
        <f>IFERROR($J933/$J934-1,"")</f>
        <v/>
      </c>
      <c r="DL933" s="64">
        <f>$L933-$L934</f>
        <v/>
      </c>
      <c r="DM933" s="64">
        <f>$K933-$K934</f>
        <v/>
      </c>
      <c r="DN933" s="65">
        <f>IFERROR($N933/$N934-1,"")</f>
        <v/>
      </c>
      <c r="DO933" s="65">
        <f>IFERROR($M933/$M934-1,"")</f>
        <v/>
      </c>
      <c r="DP933" s="65">
        <f>IFERROR($AZ933/$AZ934-1,"")</f>
        <v/>
      </c>
      <c r="DQ933" s="65">
        <f>IFERROR($BA933/$BA934-1,"")</f>
        <v/>
      </c>
      <c r="DR933" s="64">
        <f>$O933-$O934</f>
        <v/>
      </c>
      <c r="DS933" s="64">
        <f>$P933-$P934</f>
        <v/>
      </c>
      <c r="DT933" s="64">
        <f>$Q933-$Q934</f>
        <v/>
      </c>
      <c r="DU933" s="64">
        <f>$S933-$S934</f>
        <v/>
      </c>
      <c r="DV933" s="65">
        <f>IFERROR(AVERAGE($AA934/$AA933-1,$AB934/$AB933-1,$AC934/$AC933-1,$AD934/$AD933-1,$AE934/$AE933-1,$AG934/$AG933-1,$AH934/$AH933-1,$AI934/$AI933-1,$AJ934/$AJ933-1,$AL934/$AL933-1,$AM934/$AM933-1,$AR934/$AR933-1,$AS934/$AS933-1,$AT934/$AT933-1,$AU934/$AU933-1,$AV934/$AV933-1,$AW934/$AW933-1,$AX934/$AX933-1,$AY934/$AY933-1),"")</f>
        <v/>
      </c>
      <c r="DW933" s="66">
        <f>AVERAGE($CB933,$CC933,$CD933,$CE933,$CF933,$CG933,$CH933,$CI933,$CJ933,$CL933,$CM933,$CN933,$CO933,$CP933,$CQ933,$CR933,$CS933,$CT933)</f>
        <v/>
      </c>
      <c r="DX933" s="66">
        <f>AVERAGE($CB933,$CC933,$CM933,$CE933,$CP933)</f>
        <v/>
      </c>
      <c r="DY933" s="64">
        <f>($DW933-$DW934)*100</f>
        <v/>
      </c>
      <c r="DZ933" s="64">
        <f>($DX933-$DX934)*100</f>
        <v/>
      </c>
      <c r="EA933" s="64">
        <f>($DW933-$D933)*100</f>
        <v/>
      </c>
      <c r="EB933" s="64">
        <f>$Q933-$O933</f>
        <v/>
      </c>
      <c r="EC933" s="67">
        <f>IFERROR($Q933/$P933,"")</f>
        <v/>
      </c>
    </row>
    <row r="934">
      <c r="DG934" s="64">
        <f>($B934-$B935)*100</f>
        <v/>
      </c>
      <c r="DH934" s="64">
        <f>($D934-$D935)*100</f>
        <v/>
      </c>
      <c r="DI934" s="64">
        <f>($E934-$E935)*100</f>
        <v/>
      </c>
      <c r="DJ934" s="64">
        <f>($H934-$H935)*100</f>
        <v/>
      </c>
      <c r="DK934" s="65">
        <f>IFERROR($J934/$J935-1,"")</f>
        <v/>
      </c>
      <c r="DL934" s="64">
        <f>$L934-$L935</f>
        <v/>
      </c>
      <c r="DM934" s="64">
        <f>$K934-$K935</f>
        <v/>
      </c>
      <c r="DN934" s="65">
        <f>IFERROR($N934/$N935-1,"")</f>
        <v/>
      </c>
      <c r="DO934" s="65">
        <f>IFERROR($M934/$M935-1,"")</f>
        <v/>
      </c>
      <c r="DP934" s="65">
        <f>IFERROR($AZ934/$AZ935-1,"")</f>
        <v/>
      </c>
      <c r="DQ934" s="65">
        <f>IFERROR($BA934/$BA935-1,"")</f>
        <v/>
      </c>
      <c r="DR934" s="64">
        <f>$O934-$O935</f>
        <v/>
      </c>
      <c r="DS934" s="64">
        <f>$P934-$P935</f>
        <v/>
      </c>
      <c r="DT934" s="64">
        <f>$Q934-$Q935</f>
        <v/>
      </c>
      <c r="DU934" s="64">
        <f>$S934-$S935</f>
        <v/>
      </c>
      <c r="DV934" s="65">
        <f>IFERROR(AVERAGE($AA935/$AA934-1,$AB935/$AB934-1,$AC935/$AC934-1,$AD935/$AD934-1,$AE935/$AE934-1,$AG935/$AG934-1,$AH935/$AH934-1,$AI935/$AI934-1,$AJ935/$AJ934-1,$AL935/$AL934-1,$AM935/$AM934-1,$AR935/$AR934-1,$AS935/$AS934-1,$AT935/$AT934-1,$AU935/$AU934-1,$AV935/$AV934-1,$AW935/$AW934-1,$AX935/$AX934-1,$AY935/$AY934-1),"")</f>
        <v/>
      </c>
      <c r="DW934" s="66">
        <f>AVERAGE($CB934,$CC934,$CD934,$CE934,$CF934,$CG934,$CH934,$CI934,$CJ934,$CL934,$CM934,$CN934,$CO934,$CP934,$CQ934,$CR934,$CS934,$CT934)</f>
        <v/>
      </c>
      <c r="DX934" s="66">
        <f>AVERAGE($CB934,$CC934,$CM934,$CE934,$CP934)</f>
        <v/>
      </c>
      <c r="DY934" s="64">
        <f>($DW934-$DW935)*100</f>
        <v/>
      </c>
      <c r="DZ934" s="64">
        <f>($DX934-$DX935)*100</f>
        <v/>
      </c>
      <c r="EA934" s="64">
        <f>($DW934-$D934)*100</f>
        <v/>
      </c>
      <c r="EB934" s="64">
        <f>$Q934-$O934</f>
        <v/>
      </c>
      <c r="EC934" s="67">
        <f>IFERROR($Q934/$P934,"")</f>
        <v/>
      </c>
    </row>
    <row r="935">
      <c r="DG935" s="64">
        <f>($B935-$B936)*100</f>
        <v/>
      </c>
      <c r="DH935" s="64">
        <f>($D935-$D936)*100</f>
        <v/>
      </c>
      <c r="DI935" s="64">
        <f>($E935-$E936)*100</f>
        <v/>
      </c>
      <c r="DJ935" s="64">
        <f>($H935-$H936)*100</f>
        <v/>
      </c>
      <c r="DK935" s="65">
        <f>IFERROR($J935/$J936-1,"")</f>
        <v/>
      </c>
      <c r="DL935" s="64">
        <f>$L935-$L936</f>
        <v/>
      </c>
      <c r="DM935" s="64">
        <f>$K935-$K936</f>
        <v/>
      </c>
      <c r="DN935" s="65">
        <f>IFERROR($N935/$N936-1,"")</f>
        <v/>
      </c>
      <c r="DO935" s="65">
        <f>IFERROR($M935/$M936-1,"")</f>
        <v/>
      </c>
      <c r="DP935" s="65">
        <f>IFERROR($AZ935/$AZ936-1,"")</f>
        <v/>
      </c>
      <c r="DQ935" s="65">
        <f>IFERROR($BA935/$BA936-1,"")</f>
        <v/>
      </c>
      <c r="DR935" s="64">
        <f>$O935-$O936</f>
        <v/>
      </c>
      <c r="DS935" s="64">
        <f>$P935-$P936</f>
        <v/>
      </c>
      <c r="DT935" s="64">
        <f>$Q935-$Q936</f>
        <v/>
      </c>
      <c r="DU935" s="64">
        <f>$S935-$S936</f>
        <v/>
      </c>
      <c r="DV935" s="65">
        <f>IFERROR(AVERAGE($AA936/$AA935-1,$AB936/$AB935-1,$AC936/$AC935-1,$AD936/$AD935-1,$AE936/$AE935-1,$AG936/$AG935-1,$AH936/$AH935-1,$AI936/$AI935-1,$AJ936/$AJ935-1,$AL936/$AL935-1,$AM936/$AM935-1,$AR936/$AR935-1,$AS936/$AS935-1,$AT936/$AT935-1,$AU936/$AU935-1,$AV936/$AV935-1,$AW936/$AW935-1,$AX936/$AX935-1,$AY936/$AY935-1),"")</f>
        <v/>
      </c>
      <c r="DW935" s="66">
        <f>AVERAGE($CB935,$CC935,$CD935,$CE935,$CF935,$CG935,$CH935,$CI935,$CJ935,$CL935,$CM935,$CN935,$CO935,$CP935,$CQ935,$CR935,$CS935,$CT935)</f>
        <v/>
      </c>
      <c r="DX935" s="66">
        <f>AVERAGE($CB935,$CC935,$CM935,$CE935,$CP935)</f>
        <v/>
      </c>
      <c r="DY935" s="64">
        <f>($DW935-$DW936)*100</f>
        <v/>
      </c>
      <c r="DZ935" s="64">
        <f>($DX935-$DX936)*100</f>
        <v/>
      </c>
      <c r="EA935" s="64">
        <f>($DW935-$D935)*100</f>
        <v/>
      </c>
      <c r="EB935" s="64">
        <f>$Q935-$O935</f>
        <v/>
      </c>
      <c r="EC935" s="67">
        <f>IFERROR($Q935/$P935,"")</f>
        <v/>
      </c>
    </row>
    <row r="936">
      <c r="DG936" s="64">
        <f>($B936-$B937)*100</f>
        <v/>
      </c>
      <c r="DH936" s="64">
        <f>($D936-$D937)*100</f>
        <v/>
      </c>
      <c r="DI936" s="64">
        <f>($E936-$E937)*100</f>
        <v/>
      </c>
      <c r="DJ936" s="64">
        <f>($H936-$H937)*100</f>
        <v/>
      </c>
      <c r="DK936" s="65">
        <f>IFERROR($J936/$J937-1,"")</f>
        <v/>
      </c>
      <c r="DL936" s="64">
        <f>$L936-$L937</f>
        <v/>
      </c>
      <c r="DM936" s="64">
        <f>$K936-$K937</f>
        <v/>
      </c>
      <c r="DN936" s="65">
        <f>IFERROR($N936/$N937-1,"")</f>
        <v/>
      </c>
      <c r="DO936" s="65">
        <f>IFERROR($M936/$M937-1,"")</f>
        <v/>
      </c>
      <c r="DP936" s="65">
        <f>IFERROR($AZ936/$AZ937-1,"")</f>
        <v/>
      </c>
      <c r="DQ936" s="65">
        <f>IFERROR($BA936/$BA937-1,"")</f>
        <v/>
      </c>
      <c r="DR936" s="64">
        <f>$O936-$O937</f>
        <v/>
      </c>
      <c r="DS936" s="64">
        <f>$P936-$P937</f>
        <v/>
      </c>
      <c r="DT936" s="64">
        <f>$Q936-$Q937</f>
        <v/>
      </c>
      <c r="DU936" s="64">
        <f>$S936-$S937</f>
        <v/>
      </c>
      <c r="DV936" s="65">
        <f>IFERROR(AVERAGE($AA937/$AA936-1,$AB937/$AB936-1,$AC937/$AC936-1,$AD937/$AD936-1,$AE937/$AE936-1,$AG937/$AG936-1,$AH937/$AH936-1,$AI937/$AI936-1,$AJ937/$AJ936-1,$AL937/$AL936-1,$AM937/$AM936-1,$AR937/$AR936-1,$AS937/$AS936-1,$AT937/$AT936-1,$AU937/$AU936-1,$AV937/$AV936-1,$AW937/$AW936-1,$AX937/$AX936-1,$AY937/$AY936-1),"")</f>
        <v/>
      </c>
      <c r="DW936" s="66">
        <f>AVERAGE($CB936,$CC936,$CD936,$CE936,$CF936,$CG936,$CH936,$CI936,$CJ936,$CL936,$CM936,$CN936,$CO936,$CP936,$CQ936,$CR936,$CS936,$CT936)</f>
        <v/>
      </c>
      <c r="DX936" s="66">
        <f>AVERAGE($CB936,$CC936,$CM936,$CE936,$CP936)</f>
        <v/>
      </c>
      <c r="DY936" s="64">
        <f>($DW936-$DW937)*100</f>
        <v/>
      </c>
      <c r="DZ936" s="64">
        <f>($DX936-$DX937)*100</f>
        <v/>
      </c>
      <c r="EA936" s="64">
        <f>($DW936-$D936)*100</f>
        <v/>
      </c>
      <c r="EB936" s="64">
        <f>$Q936-$O936</f>
        <v/>
      </c>
      <c r="EC936" s="67">
        <f>IFERROR($Q936/$P936,"")</f>
        <v/>
      </c>
    </row>
    <row r="937">
      <c r="DG937" s="64">
        <f>($B937-$B938)*100</f>
        <v/>
      </c>
      <c r="DH937" s="64">
        <f>($D937-$D938)*100</f>
        <v/>
      </c>
      <c r="DI937" s="64">
        <f>($E937-$E938)*100</f>
        <v/>
      </c>
      <c r="DJ937" s="64">
        <f>($H937-$H938)*100</f>
        <v/>
      </c>
      <c r="DK937" s="65">
        <f>IFERROR($J937/$J938-1,"")</f>
        <v/>
      </c>
      <c r="DL937" s="64">
        <f>$L937-$L938</f>
        <v/>
      </c>
      <c r="DM937" s="64">
        <f>$K937-$K938</f>
        <v/>
      </c>
      <c r="DN937" s="65">
        <f>IFERROR($N937/$N938-1,"")</f>
        <v/>
      </c>
      <c r="DO937" s="65">
        <f>IFERROR($M937/$M938-1,"")</f>
        <v/>
      </c>
      <c r="DP937" s="65">
        <f>IFERROR($AZ937/$AZ938-1,"")</f>
        <v/>
      </c>
      <c r="DQ937" s="65">
        <f>IFERROR($BA937/$BA938-1,"")</f>
        <v/>
      </c>
      <c r="DR937" s="64">
        <f>$O937-$O938</f>
        <v/>
      </c>
      <c r="DS937" s="64">
        <f>$P937-$P938</f>
        <v/>
      </c>
      <c r="DT937" s="64">
        <f>$Q937-$Q938</f>
        <v/>
      </c>
      <c r="DU937" s="64">
        <f>$S937-$S938</f>
        <v/>
      </c>
      <c r="DV937" s="65">
        <f>IFERROR(AVERAGE($AA938/$AA937-1,$AB938/$AB937-1,$AC938/$AC937-1,$AD938/$AD937-1,$AE938/$AE937-1,$AG938/$AG937-1,$AH938/$AH937-1,$AI938/$AI937-1,$AJ938/$AJ937-1,$AL938/$AL937-1,$AM938/$AM937-1,$AR938/$AR937-1,$AS938/$AS937-1,$AT938/$AT937-1,$AU938/$AU937-1,$AV938/$AV937-1,$AW938/$AW937-1,$AX938/$AX937-1,$AY938/$AY937-1),"")</f>
        <v/>
      </c>
      <c r="DW937" s="66">
        <f>AVERAGE($CB937,$CC937,$CD937,$CE937,$CF937,$CG937,$CH937,$CI937,$CJ937,$CL937,$CM937,$CN937,$CO937,$CP937,$CQ937,$CR937,$CS937,$CT937)</f>
        <v/>
      </c>
      <c r="DX937" s="66">
        <f>AVERAGE($CB937,$CC937,$CM937,$CE937,$CP937)</f>
        <v/>
      </c>
      <c r="DY937" s="64">
        <f>($DW937-$DW938)*100</f>
        <v/>
      </c>
      <c r="DZ937" s="64">
        <f>($DX937-$DX938)*100</f>
        <v/>
      </c>
      <c r="EA937" s="64">
        <f>($DW937-$D937)*100</f>
        <v/>
      </c>
      <c r="EB937" s="64">
        <f>$Q937-$O937</f>
        <v/>
      </c>
      <c r="EC937" s="67">
        <f>IFERROR($Q937/$P937,"")</f>
        <v/>
      </c>
    </row>
    <row r="938">
      <c r="DG938" s="64">
        <f>($B938-$B939)*100</f>
        <v/>
      </c>
      <c r="DH938" s="64">
        <f>($D938-$D939)*100</f>
        <v/>
      </c>
      <c r="DI938" s="64">
        <f>($E938-$E939)*100</f>
        <v/>
      </c>
      <c r="DJ938" s="64">
        <f>($H938-$H939)*100</f>
        <v/>
      </c>
      <c r="DK938" s="65">
        <f>IFERROR($J938/$J939-1,"")</f>
        <v/>
      </c>
      <c r="DL938" s="64">
        <f>$L938-$L939</f>
        <v/>
      </c>
      <c r="DM938" s="64">
        <f>$K938-$K939</f>
        <v/>
      </c>
      <c r="DN938" s="65">
        <f>IFERROR($N938/$N939-1,"")</f>
        <v/>
      </c>
      <c r="DO938" s="65">
        <f>IFERROR($M938/$M939-1,"")</f>
        <v/>
      </c>
      <c r="DP938" s="65">
        <f>IFERROR($AZ938/$AZ939-1,"")</f>
        <v/>
      </c>
      <c r="DQ938" s="65">
        <f>IFERROR($BA938/$BA939-1,"")</f>
        <v/>
      </c>
      <c r="DR938" s="64">
        <f>$O938-$O939</f>
        <v/>
      </c>
      <c r="DS938" s="64">
        <f>$P938-$P939</f>
        <v/>
      </c>
      <c r="DT938" s="64">
        <f>$Q938-$Q939</f>
        <v/>
      </c>
      <c r="DU938" s="64">
        <f>$S938-$S939</f>
        <v/>
      </c>
      <c r="DV938" s="65">
        <f>IFERROR(AVERAGE($AA939/$AA938-1,$AB939/$AB938-1,$AC939/$AC938-1,$AD939/$AD938-1,$AE939/$AE938-1,$AG939/$AG938-1,$AH939/$AH938-1,$AI939/$AI938-1,$AJ939/$AJ938-1,$AL939/$AL938-1,$AM939/$AM938-1,$AR939/$AR938-1,$AS939/$AS938-1,$AT939/$AT938-1,$AU939/$AU938-1,$AV939/$AV938-1,$AW939/$AW938-1,$AX939/$AX938-1,$AY939/$AY938-1),"")</f>
        <v/>
      </c>
      <c r="DW938" s="66">
        <f>AVERAGE($CB938,$CC938,$CD938,$CE938,$CF938,$CG938,$CH938,$CI938,$CJ938,$CL938,$CM938,$CN938,$CO938,$CP938,$CQ938,$CR938,$CS938,$CT938)</f>
        <v/>
      </c>
      <c r="DX938" s="66">
        <f>AVERAGE($CB938,$CC938,$CM938,$CE938,$CP938)</f>
        <v/>
      </c>
      <c r="DY938" s="64">
        <f>($DW938-$DW939)*100</f>
        <v/>
      </c>
      <c r="DZ938" s="64">
        <f>($DX938-$DX939)*100</f>
        <v/>
      </c>
      <c r="EA938" s="64">
        <f>($DW938-$D938)*100</f>
        <v/>
      </c>
      <c r="EB938" s="64">
        <f>$Q938-$O938</f>
        <v/>
      </c>
      <c r="EC938" s="67">
        <f>IFERROR($Q938/$P938,"")</f>
        <v/>
      </c>
    </row>
    <row r="939">
      <c r="DG939" s="64">
        <f>($B939-$B940)*100</f>
        <v/>
      </c>
      <c r="DH939" s="64">
        <f>($D939-$D940)*100</f>
        <v/>
      </c>
      <c r="DI939" s="64">
        <f>($E939-$E940)*100</f>
        <v/>
      </c>
      <c r="DJ939" s="64">
        <f>($H939-$H940)*100</f>
        <v/>
      </c>
      <c r="DK939" s="65">
        <f>IFERROR($J939/$J940-1,"")</f>
        <v/>
      </c>
      <c r="DL939" s="64">
        <f>$L939-$L940</f>
        <v/>
      </c>
      <c r="DM939" s="64">
        <f>$K939-$K940</f>
        <v/>
      </c>
      <c r="DN939" s="65">
        <f>IFERROR($N939/$N940-1,"")</f>
        <v/>
      </c>
      <c r="DO939" s="65">
        <f>IFERROR($M939/$M940-1,"")</f>
        <v/>
      </c>
      <c r="DP939" s="65">
        <f>IFERROR($AZ939/$AZ940-1,"")</f>
        <v/>
      </c>
      <c r="DQ939" s="65">
        <f>IFERROR($BA939/$BA940-1,"")</f>
        <v/>
      </c>
      <c r="DR939" s="64">
        <f>$O939-$O940</f>
        <v/>
      </c>
      <c r="DS939" s="64">
        <f>$P939-$P940</f>
        <v/>
      </c>
      <c r="DT939" s="64">
        <f>$Q939-$Q940</f>
        <v/>
      </c>
      <c r="DU939" s="64">
        <f>$S939-$S940</f>
        <v/>
      </c>
      <c r="DV939" s="65">
        <f>IFERROR(AVERAGE($AA940/$AA939-1,$AB940/$AB939-1,$AC940/$AC939-1,$AD940/$AD939-1,$AE940/$AE939-1,$AG940/$AG939-1,$AH940/$AH939-1,$AI940/$AI939-1,$AJ940/$AJ939-1,$AL940/$AL939-1,$AM940/$AM939-1,$AR940/$AR939-1,$AS940/$AS939-1,$AT940/$AT939-1,$AU940/$AU939-1,$AV940/$AV939-1,$AW940/$AW939-1,$AX940/$AX939-1,$AY940/$AY939-1),"")</f>
        <v/>
      </c>
      <c r="DW939" s="66">
        <f>AVERAGE($CB939,$CC939,$CD939,$CE939,$CF939,$CG939,$CH939,$CI939,$CJ939,$CL939,$CM939,$CN939,$CO939,$CP939,$CQ939,$CR939,$CS939,$CT939)</f>
        <v/>
      </c>
      <c r="DX939" s="66">
        <f>AVERAGE($CB939,$CC939,$CM939,$CE939,$CP939)</f>
        <v/>
      </c>
      <c r="DY939" s="64">
        <f>($DW939-$DW940)*100</f>
        <v/>
      </c>
      <c r="DZ939" s="64">
        <f>($DX939-$DX940)*100</f>
        <v/>
      </c>
      <c r="EA939" s="64">
        <f>($DW939-$D939)*100</f>
        <v/>
      </c>
      <c r="EB939" s="64">
        <f>$Q939-$O939</f>
        <v/>
      </c>
      <c r="EC939" s="67">
        <f>IFERROR($Q939/$P939,"")</f>
        <v/>
      </c>
    </row>
    <row r="940">
      <c r="DG940" s="64">
        <f>($B940-$B941)*100</f>
        <v/>
      </c>
      <c r="DH940" s="64">
        <f>($D940-$D941)*100</f>
        <v/>
      </c>
      <c r="DI940" s="64">
        <f>($E940-$E941)*100</f>
        <v/>
      </c>
      <c r="DJ940" s="64">
        <f>($H940-$H941)*100</f>
        <v/>
      </c>
      <c r="DK940" s="65">
        <f>IFERROR($J940/$J941-1,"")</f>
        <v/>
      </c>
      <c r="DL940" s="64">
        <f>$L940-$L941</f>
        <v/>
      </c>
      <c r="DM940" s="64">
        <f>$K940-$K941</f>
        <v/>
      </c>
      <c r="DN940" s="65">
        <f>IFERROR($N940/$N941-1,"")</f>
        <v/>
      </c>
      <c r="DO940" s="65">
        <f>IFERROR($M940/$M941-1,"")</f>
        <v/>
      </c>
      <c r="DP940" s="65">
        <f>IFERROR($AZ940/$AZ941-1,"")</f>
        <v/>
      </c>
      <c r="DQ940" s="65">
        <f>IFERROR($BA940/$BA941-1,"")</f>
        <v/>
      </c>
      <c r="DR940" s="64">
        <f>$O940-$O941</f>
        <v/>
      </c>
      <c r="DS940" s="64">
        <f>$P940-$P941</f>
        <v/>
      </c>
      <c r="DT940" s="64">
        <f>$Q940-$Q941</f>
        <v/>
      </c>
      <c r="DU940" s="64">
        <f>$S940-$S941</f>
        <v/>
      </c>
      <c r="DV940" s="65">
        <f>IFERROR(AVERAGE($AA941/$AA940-1,$AB941/$AB940-1,$AC941/$AC940-1,$AD941/$AD940-1,$AE941/$AE940-1,$AG941/$AG940-1,$AH941/$AH940-1,$AI941/$AI940-1,$AJ941/$AJ940-1,$AL941/$AL940-1,$AM941/$AM940-1,$AR941/$AR940-1,$AS941/$AS940-1,$AT941/$AT940-1,$AU941/$AU940-1,$AV941/$AV940-1,$AW941/$AW940-1,$AX941/$AX940-1,$AY941/$AY940-1),"")</f>
        <v/>
      </c>
      <c r="DW940" s="66">
        <f>AVERAGE($CB940,$CC940,$CD940,$CE940,$CF940,$CG940,$CH940,$CI940,$CJ940,$CL940,$CM940,$CN940,$CO940,$CP940,$CQ940,$CR940,$CS940,$CT940)</f>
        <v/>
      </c>
      <c r="DX940" s="66">
        <f>AVERAGE($CB940,$CC940,$CM940,$CE940,$CP940)</f>
        <v/>
      </c>
      <c r="DY940" s="64">
        <f>($DW940-$DW941)*100</f>
        <v/>
      </c>
      <c r="DZ940" s="64">
        <f>($DX940-$DX941)*100</f>
        <v/>
      </c>
      <c r="EA940" s="64">
        <f>($DW940-$D940)*100</f>
        <v/>
      </c>
      <c r="EB940" s="64">
        <f>$Q940-$O940</f>
        <v/>
      </c>
      <c r="EC940" s="67">
        <f>IFERROR($Q940/$P940,"")</f>
        <v/>
      </c>
    </row>
    <row r="941">
      <c r="DG941" s="64">
        <f>($B941-$B942)*100</f>
        <v/>
      </c>
      <c r="DH941" s="64">
        <f>($D941-$D942)*100</f>
        <v/>
      </c>
      <c r="DI941" s="64">
        <f>($E941-$E942)*100</f>
        <v/>
      </c>
      <c r="DJ941" s="64">
        <f>($H941-$H942)*100</f>
        <v/>
      </c>
      <c r="DK941" s="65">
        <f>IFERROR($J941/$J942-1,"")</f>
        <v/>
      </c>
      <c r="DL941" s="64">
        <f>$L941-$L942</f>
        <v/>
      </c>
      <c r="DM941" s="64">
        <f>$K941-$K942</f>
        <v/>
      </c>
      <c r="DN941" s="65">
        <f>IFERROR($N941/$N942-1,"")</f>
        <v/>
      </c>
      <c r="DO941" s="65">
        <f>IFERROR($M941/$M942-1,"")</f>
        <v/>
      </c>
      <c r="DP941" s="65">
        <f>IFERROR($AZ941/$AZ942-1,"")</f>
        <v/>
      </c>
      <c r="DQ941" s="65">
        <f>IFERROR($BA941/$BA942-1,"")</f>
        <v/>
      </c>
      <c r="DR941" s="64">
        <f>$O941-$O942</f>
        <v/>
      </c>
      <c r="DS941" s="64">
        <f>$P941-$P942</f>
        <v/>
      </c>
      <c r="DT941" s="64">
        <f>$Q941-$Q942</f>
        <v/>
      </c>
      <c r="DU941" s="64">
        <f>$S941-$S942</f>
        <v/>
      </c>
      <c r="DV941" s="65">
        <f>IFERROR(AVERAGE($AA942/$AA941-1,$AB942/$AB941-1,$AC942/$AC941-1,$AD942/$AD941-1,$AE942/$AE941-1,$AG942/$AG941-1,$AH942/$AH941-1,$AI942/$AI941-1,$AJ942/$AJ941-1,$AL942/$AL941-1,$AM942/$AM941-1,$AR942/$AR941-1,$AS942/$AS941-1,$AT942/$AT941-1,$AU942/$AU941-1,$AV942/$AV941-1,$AW942/$AW941-1,$AX942/$AX941-1,$AY942/$AY941-1),"")</f>
        <v/>
      </c>
      <c r="DW941" s="66">
        <f>AVERAGE($CB941,$CC941,$CD941,$CE941,$CF941,$CG941,$CH941,$CI941,$CJ941,$CL941,$CM941,$CN941,$CO941,$CP941,$CQ941,$CR941,$CS941,$CT941)</f>
        <v/>
      </c>
      <c r="DX941" s="66">
        <f>AVERAGE($CB941,$CC941,$CM941,$CE941,$CP941)</f>
        <v/>
      </c>
      <c r="DY941" s="64">
        <f>($DW941-$DW942)*100</f>
        <v/>
      </c>
      <c r="DZ941" s="64">
        <f>($DX941-$DX942)*100</f>
        <v/>
      </c>
      <c r="EA941" s="64">
        <f>($DW941-$D941)*100</f>
        <v/>
      </c>
      <c r="EB941" s="64">
        <f>$Q941-$O941</f>
        <v/>
      </c>
      <c r="EC941" s="67">
        <f>IFERROR($Q941/$P941,"")</f>
        <v/>
      </c>
    </row>
    <row r="942">
      <c r="DG942" s="64">
        <f>($B942-$B943)*100</f>
        <v/>
      </c>
      <c r="DH942" s="64">
        <f>($D942-$D943)*100</f>
        <v/>
      </c>
      <c r="DI942" s="64">
        <f>($E942-$E943)*100</f>
        <v/>
      </c>
      <c r="DJ942" s="64">
        <f>($H942-$H943)*100</f>
        <v/>
      </c>
      <c r="DK942" s="65">
        <f>IFERROR($J942/$J943-1,"")</f>
        <v/>
      </c>
      <c r="DL942" s="64">
        <f>$L942-$L943</f>
        <v/>
      </c>
      <c r="DM942" s="64">
        <f>$K942-$K943</f>
        <v/>
      </c>
      <c r="DN942" s="65">
        <f>IFERROR($N942/$N943-1,"")</f>
        <v/>
      </c>
      <c r="DO942" s="65">
        <f>IFERROR($M942/$M943-1,"")</f>
        <v/>
      </c>
      <c r="DP942" s="65">
        <f>IFERROR($AZ942/$AZ943-1,"")</f>
        <v/>
      </c>
      <c r="DQ942" s="65">
        <f>IFERROR($BA942/$BA943-1,"")</f>
        <v/>
      </c>
      <c r="DR942" s="64">
        <f>$O942-$O943</f>
        <v/>
      </c>
      <c r="DS942" s="64">
        <f>$P942-$P943</f>
        <v/>
      </c>
      <c r="DT942" s="64">
        <f>$Q942-$Q943</f>
        <v/>
      </c>
      <c r="DU942" s="64">
        <f>$S942-$S943</f>
        <v/>
      </c>
      <c r="DV942" s="65">
        <f>IFERROR(AVERAGE($AA943/$AA942-1,$AB943/$AB942-1,$AC943/$AC942-1,$AD943/$AD942-1,$AE943/$AE942-1,$AG943/$AG942-1,$AH943/$AH942-1,$AI943/$AI942-1,$AJ943/$AJ942-1,$AL943/$AL942-1,$AM943/$AM942-1,$AR943/$AR942-1,$AS943/$AS942-1,$AT943/$AT942-1,$AU943/$AU942-1,$AV943/$AV942-1,$AW943/$AW942-1,$AX943/$AX942-1,$AY943/$AY942-1),"")</f>
        <v/>
      </c>
      <c r="DW942" s="66">
        <f>AVERAGE($CB942,$CC942,$CD942,$CE942,$CF942,$CG942,$CH942,$CI942,$CJ942,$CL942,$CM942,$CN942,$CO942,$CP942,$CQ942,$CR942,$CS942,$CT942)</f>
        <v/>
      </c>
      <c r="DX942" s="66">
        <f>AVERAGE($CB942,$CC942,$CM942,$CE942,$CP942)</f>
        <v/>
      </c>
      <c r="DY942" s="64">
        <f>($DW942-$DW943)*100</f>
        <v/>
      </c>
      <c r="DZ942" s="64">
        <f>($DX942-$DX943)*100</f>
        <v/>
      </c>
      <c r="EA942" s="64">
        <f>($DW942-$D942)*100</f>
        <v/>
      </c>
      <c r="EB942" s="64">
        <f>$Q942-$O942</f>
        <v/>
      </c>
      <c r="EC942" s="67">
        <f>IFERROR($Q942/$P942,"")</f>
        <v/>
      </c>
    </row>
    <row r="943">
      <c r="DG943" s="64">
        <f>($B943-$B944)*100</f>
        <v/>
      </c>
      <c r="DH943" s="64">
        <f>($D943-$D944)*100</f>
        <v/>
      </c>
      <c r="DI943" s="64">
        <f>($E943-$E944)*100</f>
        <v/>
      </c>
      <c r="DJ943" s="64">
        <f>($H943-$H944)*100</f>
        <v/>
      </c>
      <c r="DK943" s="65">
        <f>IFERROR($J943/$J944-1,"")</f>
        <v/>
      </c>
      <c r="DL943" s="64">
        <f>$L943-$L944</f>
        <v/>
      </c>
      <c r="DM943" s="64">
        <f>$K943-$K944</f>
        <v/>
      </c>
      <c r="DN943" s="65">
        <f>IFERROR($N943/$N944-1,"")</f>
        <v/>
      </c>
      <c r="DO943" s="65">
        <f>IFERROR($M943/$M944-1,"")</f>
        <v/>
      </c>
      <c r="DP943" s="65">
        <f>IFERROR($AZ943/$AZ944-1,"")</f>
        <v/>
      </c>
      <c r="DQ943" s="65">
        <f>IFERROR($BA943/$BA944-1,"")</f>
        <v/>
      </c>
      <c r="DR943" s="64">
        <f>$O943-$O944</f>
        <v/>
      </c>
      <c r="DS943" s="64">
        <f>$P943-$P944</f>
        <v/>
      </c>
      <c r="DT943" s="64">
        <f>$Q943-$Q944</f>
        <v/>
      </c>
      <c r="DU943" s="64">
        <f>$S943-$S944</f>
        <v/>
      </c>
      <c r="DV943" s="65">
        <f>IFERROR(AVERAGE($AA944/$AA943-1,$AB944/$AB943-1,$AC944/$AC943-1,$AD944/$AD943-1,$AE944/$AE943-1,$AG944/$AG943-1,$AH944/$AH943-1,$AI944/$AI943-1,$AJ944/$AJ943-1,$AL944/$AL943-1,$AM944/$AM943-1,$AR944/$AR943-1,$AS944/$AS943-1,$AT944/$AT943-1,$AU944/$AU943-1,$AV944/$AV943-1,$AW944/$AW943-1,$AX944/$AX943-1,$AY944/$AY943-1),"")</f>
        <v/>
      </c>
      <c r="DW943" s="66">
        <f>AVERAGE($CB943,$CC943,$CD943,$CE943,$CF943,$CG943,$CH943,$CI943,$CJ943,$CL943,$CM943,$CN943,$CO943,$CP943,$CQ943,$CR943,$CS943,$CT943)</f>
        <v/>
      </c>
      <c r="DX943" s="66">
        <f>AVERAGE($CB943,$CC943,$CM943,$CE943,$CP943)</f>
        <v/>
      </c>
      <c r="DY943" s="64">
        <f>($DW943-$DW944)*100</f>
        <v/>
      </c>
      <c r="DZ943" s="64">
        <f>($DX943-$DX944)*100</f>
        <v/>
      </c>
      <c r="EA943" s="64">
        <f>($DW943-$D943)*100</f>
        <v/>
      </c>
      <c r="EB943" s="64">
        <f>$Q943-$O943</f>
        <v/>
      </c>
      <c r="EC943" s="67">
        <f>IFERROR($Q943/$P943,"")</f>
        <v/>
      </c>
    </row>
    <row r="944">
      <c r="DG944" s="64">
        <f>($B944-$B945)*100</f>
        <v/>
      </c>
      <c r="DH944" s="64">
        <f>($D944-$D945)*100</f>
        <v/>
      </c>
      <c r="DI944" s="64">
        <f>($E944-$E945)*100</f>
        <v/>
      </c>
      <c r="DJ944" s="64">
        <f>($H944-$H945)*100</f>
        <v/>
      </c>
      <c r="DK944" s="65">
        <f>IFERROR($J944/$J945-1,"")</f>
        <v/>
      </c>
      <c r="DL944" s="64">
        <f>$L944-$L945</f>
        <v/>
      </c>
      <c r="DM944" s="64">
        <f>$K944-$K945</f>
        <v/>
      </c>
      <c r="DN944" s="65">
        <f>IFERROR($N944/$N945-1,"")</f>
        <v/>
      </c>
      <c r="DO944" s="65">
        <f>IFERROR($M944/$M945-1,"")</f>
        <v/>
      </c>
      <c r="DP944" s="65">
        <f>IFERROR($AZ944/$AZ945-1,"")</f>
        <v/>
      </c>
      <c r="DQ944" s="65">
        <f>IFERROR($BA944/$BA945-1,"")</f>
        <v/>
      </c>
      <c r="DR944" s="64">
        <f>$O944-$O945</f>
        <v/>
      </c>
      <c r="DS944" s="64">
        <f>$P944-$P945</f>
        <v/>
      </c>
      <c r="DT944" s="64">
        <f>$Q944-$Q945</f>
        <v/>
      </c>
      <c r="DU944" s="64">
        <f>$S944-$S945</f>
        <v/>
      </c>
      <c r="DV944" s="65">
        <f>IFERROR(AVERAGE($AA945/$AA944-1,$AB945/$AB944-1,$AC945/$AC944-1,$AD945/$AD944-1,$AE945/$AE944-1,$AG945/$AG944-1,$AH945/$AH944-1,$AI945/$AI944-1,$AJ945/$AJ944-1,$AL945/$AL944-1,$AM945/$AM944-1,$AR945/$AR944-1,$AS945/$AS944-1,$AT945/$AT944-1,$AU945/$AU944-1,$AV945/$AV944-1,$AW945/$AW944-1,$AX945/$AX944-1,$AY945/$AY944-1),"")</f>
        <v/>
      </c>
      <c r="DW944" s="66">
        <f>AVERAGE($CB944,$CC944,$CD944,$CE944,$CF944,$CG944,$CH944,$CI944,$CJ944,$CL944,$CM944,$CN944,$CO944,$CP944,$CQ944,$CR944,$CS944,$CT944)</f>
        <v/>
      </c>
      <c r="DX944" s="66">
        <f>AVERAGE($CB944,$CC944,$CM944,$CE944,$CP944)</f>
        <v/>
      </c>
      <c r="DY944" s="64">
        <f>($DW944-$DW945)*100</f>
        <v/>
      </c>
      <c r="DZ944" s="64">
        <f>($DX944-$DX945)*100</f>
        <v/>
      </c>
      <c r="EA944" s="64">
        <f>($DW944-$D944)*100</f>
        <v/>
      </c>
      <c r="EB944" s="64">
        <f>$Q944-$O944</f>
        <v/>
      </c>
      <c r="EC944" s="67">
        <f>IFERROR($Q944/$P944,"")</f>
        <v/>
      </c>
    </row>
    <row r="945">
      <c r="DG945" s="64">
        <f>($B945-$B946)*100</f>
        <v/>
      </c>
      <c r="DH945" s="64">
        <f>($D945-$D946)*100</f>
        <v/>
      </c>
      <c r="DI945" s="64">
        <f>($E945-$E946)*100</f>
        <v/>
      </c>
      <c r="DJ945" s="64">
        <f>($H945-$H946)*100</f>
        <v/>
      </c>
      <c r="DK945" s="65">
        <f>IFERROR($J945/$J946-1,"")</f>
        <v/>
      </c>
      <c r="DL945" s="64">
        <f>$L945-$L946</f>
        <v/>
      </c>
      <c r="DM945" s="64">
        <f>$K945-$K946</f>
        <v/>
      </c>
      <c r="DN945" s="65">
        <f>IFERROR($N945/$N946-1,"")</f>
        <v/>
      </c>
      <c r="DO945" s="65">
        <f>IFERROR($M945/$M946-1,"")</f>
        <v/>
      </c>
      <c r="DP945" s="65">
        <f>IFERROR($AZ945/$AZ946-1,"")</f>
        <v/>
      </c>
      <c r="DQ945" s="65">
        <f>IFERROR($BA945/$BA946-1,"")</f>
        <v/>
      </c>
      <c r="DR945" s="64">
        <f>$O945-$O946</f>
        <v/>
      </c>
      <c r="DS945" s="64">
        <f>$P945-$P946</f>
        <v/>
      </c>
      <c r="DT945" s="64">
        <f>$Q945-$Q946</f>
        <v/>
      </c>
      <c r="DU945" s="64">
        <f>$S945-$S946</f>
        <v/>
      </c>
      <c r="DV945" s="65">
        <f>IFERROR(AVERAGE($AA946/$AA945-1,$AB946/$AB945-1,$AC946/$AC945-1,$AD946/$AD945-1,$AE946/$AE945-1,$AG946/$AG945-1,$AH946/$AH945-1,$AI946/$AI945-1,$AJ946/$AJ945-1,$AL946/$AL945-1,$AM946/$AM945-1,$AR946/$AR945-1,$AS946/$AS945-1,$AT946/$AT945-1,$AU946/$AU945-1,$AV946/$AV945-1,$AW946/$AW945-1,$AX946/$AX945-1,$AY946/$AY945-1),"")</f>
        <v/>
      </c>
      <c r="DW945" s="66">
        <f>AVERAGE($CB945,$CC945,$CD945,$CE945,$CF945,$CG945,$CH945,$CI945,$CJ945,$CL945,$CM945,$CN945,$CO945,$CP945,$CQ945,$CR945,$CS945,$CT945)</f>
        <v/>
      </c>
      <c r="DX945" s="66">
        <f>AVERAGE($CB945,$CC945,$CM945,$CE945,$CP945)</f>
        <v/>
      </c>
      <c r="DY945" s="64">
        <f>($DW945-$DW946)*100</f>
        <v/>
      </c>
      <c r="DZ945" s="64">
        <f>($DX945-$DX946)*100</f>
        <v/>
      </c>
      <c r="EA945" s="64">
        <f>($DW945-$D945)*100</f>
        <v/>
      </c>
      <c r="EB945" s="64">
        <f>$Q945-$O945</f>
        <v/>
      </c>
      <c r="EC945" s="67">
        <f>IFERROR($Q945/$P945,"")</f>
        <v/>
      </c>
    </row>
    <row r="946">
      <c r="DG946" s="64">
        <f>($B946-$B947)*100</f>
        <v/>
      </c>
      <c r="DH946" s="64">
        <f>($D946-$D947)*100</f>
        <v/>
      </c>
      <c r="DI946" s="64">
        <f>($E946-$E947)*100</f>
        <v/>
      </c>
      <c r="DJ946" s="64">
        <f>($H946-$H947)*100</f>
        <v/>
      </c>
      <c r="DK946" s="65">
        <f>IFERROR($J946/$J947-1,"")</f>
        <v/>
      </c>
      <c r="DL946" s="64">
        <f>$L946-$L947</f>
        <v/>
      </c>
      <c r="DM946" s="64">
        <f>$K946-$K947</f>
        <v/>
      </c>
      <c r="DN946" s="65">
        <f>IFERROR($N946/$N947-1,"")</f>
        <v/>
      </c>
      <c r="DO946" s="65">
        <f>IFERROR($M946/$M947-1,"")</f>
        <v/>
      </c>
      <c r="DP946" s="65">
        <f>IFERROR($AZ946/$AZ947-1,"")</f>
        <v/>
      </c>
      <c r="DQ946" s="65">
        <f>IFERROR($BA946/$BA947-1,"")</f>
        <v/>
      </c>
      <c r="DR946" s="64">
        <f>$O946-$O947</f>
        <v/>
      </c>
      <c r="DS946" s="64">
        <f>$P946-$P947</f>
        <v/>
      </c>
      <c r="DT946" s="64">
        <f>$Q946-$Q947</f>
        <v/>
      </c>
      <c r="DU946" s="64">
        <f>$S946-$S947</f>
        <v/>
      </c>
      <c r="DV946" s="65">
        <f>IFERROR(AVERAGE($AA947/$AA946-1,$AB947/$AB946-1,$AC947/$AC946-1,$AD947/$AD946-1,$AE947/$AE946-1,$AG947/$AG946-1,$AH947/$AH946-1,$AI947/$AI946-1,$AJ947/$AJ946-1,$AL947/$AL946-1,$AM947/$AM946-1,$AR947/$AR946-1,$AS947/$AS946-1,$AT947/$AT946-1,$AU947/$AU946-1,$AV947/$AV946-1,$AW947/$AW946-1,$AX947/$AX946-1,$AY947/$AY946-1),"")</f>
        <v/>
      </c>
      <c r="DW946" s="66">
        <f>AVERAGE($CB946,$CC946,$CD946,$CE946,$CF946,$CG946,$CH946,$CI946,$CJ946,$CL946,$CM946,$CN946,$CO946,$CP946,$CQ946,$CR946,$CS946,$CT946)</f>
        <v/>
      </c>
      <c r="DX946" s="66">
        <f>AVERAGE($CB946,$CC946,$CM946,$CE946,$CP946)</f>
        <v/>
      </c>
      <c r="DY946" s="64">
        <f>($DW946-$DW947)*100</f>
        <v/>
      </c>
      <c r="DZ946" s="64">
        <f>($DX946-$DX947)*100</f>
        <v/>
      </c>
      <c r="EA946" s="64">
        <f>($DW946-$D946)*100</f>
        <v/>
      </c>
      <c r="EB946" s="64">
        <f>$Q946-$O946</f>
        <v/>
      </c>
      <c r="EC946" s="67">
        <f>IFERROR($Q946/$P946,"")</f>
        <v/>
      </c>
    </row>
    <row r="947">
      <c r="DG947" s="64">
        <f>($B947-$B948)*100</f>
        <v/>
      </c>
      <c r="DH947" s="64">
        <f>($D947-$D948)*100</f>
        <v/>
      </c>
      <c r="DI947" s="64">
        <f>($E947-$E948)*100</f>
        <v/>
      </c>
      <c r="DJ947" s="64">
        <f>($H947-$H948)*100</f>
        <v/>
      </c>
      <c r="DK947" s="65">
        <f>IFERROR($J947/$J948-1,"")</f>
        <v/>
      </c>
      <c r="DL947" s="64">
        <f>$L947-$L948</f>
        <v/>
      </c>
      <c r="DM947" s="64">
        <f>$K947-$K948</f>
        <v/>
      </c>
      <c r="DN947" s="65">
        <f>IFERROR($N947/$N948-1,"")</f>
        <v/>
      </c>
      <c r="DO947" s="65">
        <f>IFERROR($M947/$M948-1,"")</f>
        <v/>
      </c>
      <c r="DP947" s="65">
        <f>IFERROR($AZ947/$AZ948-1,"")</f>
        <v/>
      </c>
      <c r="DQ947" s="65">
        <f>IFERROR($BA947/$BA948-1,"")</f>
        <v/>
      </c>
      <c r="DR947" s="64">
        <f>$O947-$O948</f>
        <v/>
      </c>
      <c r="DS947" s="64">
        <f>$P947-$P948</f>
        <v/>
      </c>
      <c r="DT947" s="64">
        <f>$Q947-$Q948</f>
        <v/>
      </c>
      <c r="DU947" s="64">
        <f>$S947-$S948</f>
        <v/>
      </c>
      <c r="DV947" s="65">
        <f>IFERROR(AVERAGE($AA948/$AA947-1,$AB948/$AB947-1,$AC948/$AC947-1,$AD948/$AD947-1,$AE948/$AE947-1,$AG948/$AG947-1,$AH948/$AH947-1,$AI948/$AI947-1,$AJ948/$AJ947-1,$AL948/$AL947-1,$AM948/$AM947-1,$AR948/$AR947-1,$AS948/$AS947-1,$AT948/$AT947-1,$AU948/$AU947-1,$AV948/$AV947-1,$AW948/$AW947-1,$AX948/$AX947-1,$AY948/$AY947-1),"")</f>
        <v/>
      </c>
      <c r="DW947" s="66">
        <f>AVERAGE($CB947,$CC947,$CD947,$CE947,$CF947,$CG947,$CH947,$CI947,$CJ947,$CL947,$CM947,$CN947,$CO947,$CP947,$CQ947,$CR947,$CS947,$CT947)</f>
        <v/>
      </c>
      <c r="DX947" s="66">
        <f>AVERAGE($CB947,$CC947,$CM947,$CE947,$CP947)</f>
        <v/>
      </c>
      <c r="DY947" s="64">
        <f>($DW947-$DW948)*100</f>
        <v/>
      </c>
      <c r="DZ947" s="64">
        <f>($DX947-$DX948)*100</f>
        <v/>
      </c>
      <c r="EA947" s="64">
        <f>($DW947-$D947)*100</f>
        <v/>
      </c>
      <c r="EB947" s="64">
        <f>$Q947-$O947</f>
        <v/>
      </c>
      <c r="EC947" s="67">
        <f>IFERROR($Q947/$P947,"")</f>
        <v/>
      </c>
    </row>
    <row r="948">
      <c r="DG948" s="64">
        <f>($B948-$B949)*100</f>
        <v/>
      </c>
      <c r="DH948" s="64">
        <f>($D948-$D949)*100</f>
        <v/>
      </c>
      <c r="DI948" s="64">
        <f>($E948-$E949)*100</f>
        <v/>
      </c>
      <c r="DJ948" s="64">
        <f>($H948-$H949)*100</f>
        <v/>
      </c>
      <c r="DK948" s="65">
        <f>IFERROR($J948/$J949-1,"")</f>
        <v/>
      </c>
      <c r="DL948" s="64">
        <f>$L948-$L949</f>
        <v/>
      </c>
      <c r="DM948" s="64">
        <f>$K948-$K949</f>
        <v/>
      </c>
      <c r="DN948" s="65">
        <f>IFERROR($N948/$N949-1,"")</f>
        <v/>
      </c>
      <c r="DO948" s="65">
        <f>IFERROR($M948/$M949-1,"")</f>
        <v/>
      </c>
      <c r="DP948" s="65">
        <f>IFERROR($AZ948/$AZ949-1,"")</f>
        <v/>
      </c>
      <c r="DQ948" s="65">
        <f>IFERROR($BA948/$BA949-1,"")</f>
        <v/>
      </c>
      <c r="DR948" s="64">
        <f>$O948-$O949</f>
        <v/>
      </c>
      <c r="DS948" s="64">
        <f>$P948-$P949</f>
        <v/>
      </c>
      <c r="DT948" s="64">
        <f>$Q948-$Q949</f>
        <v/>
      </c>
      <c r="DU948" s="64">
        <f>$S948-$S949</f>
        <v/>
      </c>
      <c r="DV948" s="65">
        <f>IFERROR(AVERAGE($AA949/$AA948-1,$AB949/$AB948-1,$AC949/$AC948-1,$AD949/$AD948-1,$AE949/$AE948-1,$AG949/$AG948-1,$AH949/$AH948-1,$AI949/$AI948-1,$AJ949/$AJ948-1,$AL949/$AL948-1,$AM949/$AM948-1,$AR949/$AR948-1,$AS949/$AS948-1,$AT949/$AT948-1,$AU949/$AU948-1,$AV949/$AV948-1,$AW949/$AW948-1,$AX949/$AX948-1,$AY949/$AY948-1),"")</f>
        <v/>
      </c>
      <c r="DW948" s="66">
        <f>AVERAGE($CB948,$CC948,$CD948,$CE948,$CF948,$CG948,$CH948,$CI948,$CJ948,$CL948,$CM948,$CN948,$CO948,$CP948,$CQ948,$CR948,$CS948,$CT948)</f>
        <v/>
      </c>
      <c r="DX948" s="66">
        <f>AVERAGE($CB948,$CC948,$CM948,$CE948,$CP948)</f>
        <v/>
      </c>
      <c r="DY948" s="64">
        <f>($DW948-$DW949)*100</f>
        <v/>
      </c>
      <c r="DZ948" s="64">
        <f>($DX948-$DX949)*100</f>
        <v/>
      </c>
      <c r="EA948" s="64">
        <f>($DW948-$D948)*100</f>
        <v/>
      </c>
      <c r="EB948" s="64">
        <f>$Q948-$O948</f>
        <v/>
      </c>
      <c r="EC948" s="67">
        <f>IFERROR($Q948/$P948,"")</f>
        <v/>
      </c>
    </row>
    <row r="949">
      <c r="DG949" s="64">
        <f>($B949-$B950)*100</f>
        <v/>
      </c>
      <c r="DH949" s="64">
        <f>($D949-$D950)*100</f>
        <v/>
      </c>
      <c r="DI949" s="64">
        <f>($E949-$E950)*100</f>
        <v/>
      </c>
      <c r="DJ949" s="64">
        <f>($H949-$H950)*100</f>
        <v/>
      </c>
      <c r="DK949" s="65">
        <f>IFERROR($J949/$J950-1,"")</f>
        <v/>
      </c>
      <c r="DL949" s="64">
        <f>$L949-$L950</f>
        <v/>
      </c>
      <c r="DM949" s="64">
        <f>$K949-$K950</f>
        <v/>
      </c>
      <c r="DN949" s="65">
        <f>IFERROR($N949/$N950-1,"")</f>
        <v/>
      </c>
      <c r="DO949" s="65">
        <f>IFERROR($M949/$M950-1,"")</f>
        <v/>
      </c>
      <c r="DP949" s="65">
        <f>IFERROR($AZ949/$AZ950-1,"")</f>
        <v/>
      </c>
      <c r="DQ949" s="65">
        <f>IFERROR($BA949/$BA950-1,"")</f>
        <v/>
      </c>
      <c r="DR949" s="64">
        <f>$O949-$O950</f>
        <v/>
      </c>
      <c r="DS949" s="64">
        <f>$P949-$P950</f>
        <v/>
      </c>
      <c r="DT949" s="64">
        <f>$Q949-$Q950</f>
        <v/>
      </c>
      <c r="DU949" s="64">
        <f>$S949-$S950</f>
        <v/>
      </c>
      <c r="DV949" s="65">
        <f>IFERROR(AVERAGE($AA950/$AA949-1,$AB950/$AB949-1,$AC950/$AC949-1,$AD950/$AD949-1,$AE950/$AE949-1,$AG950/$AG949-1,$AH950/$AH949-1,$AI950/$AI949-1,$AJ950/$AJ949-1,$AL950/$AL949-1,$AM950/$AM949-1,$AR950/$AR949-1,$AS950/$AS949-1,$AT950/$AT949-1,$AU950/$AU949-1,$AV950/$AV949-1,$AW950/$AW949-1,$AX950/$AX949-1,$AY950/$AY949-1),"")</f>
        <v/>
      </c>
      <c r="DW949" s="66">
        <f>AVERAGE($CB949,$CC949,$CD949,$CE949,$CF949,$CG949,$CH949,$CI949,$CJ949,$CL949,$CM949,$CN949,$CO949,$CP949,$CQ949,$CR949,$CS949,$CT949)</f>
        <v/>
      </c>
      <c r="DX949" s="66">
        <f>AVERAGE($CB949,$CC949,$CM949,$CE949,$CP949)</f>
        <v/>
      </c>
      <c r="DY949" s="64">
        <f>($DW949-$DW950)*100</f>
        <v/>
      </c>
      <c r="DZ949" s="64">
        <f>($DX949-$DX950)*100</f>
        <v/>
      </c>
      <c r="EA949" s="64">
        <f>($DW949-$D949)*100</f>
        <v/>
      </c>
      <c r="EB949" s="64">
        <f>$Q949-$O949</f>
        <v/>
      </c>
      <c r="EC949" s="67">
        <f>IFERROR($Q949/$P949,"")</f>
        <v/>
      </c>
    </row>
    <row r="950">
      <c r="DG950" s="64">
        <f>($B950-$B951)*100</f>
        <v/>
      </c>
      <c r="DH950" s="64">
        <f>($D950-$D951)*100</f>
        <v/>
      </c>
      <c r="DI950" s="64">
        <f>($E950-$E951)*100</f>
        <v/>
      </c>
      <c r="DJ950" s="64">
        <f>($H950-$H951)*100</f>
        <v/>
      </c>
      <c r="DK950" s="65">
        <f>IFERROR($J950/$J951-1,"")</f>
        <v/>
      </c>
      <c r="DL950" s="64">
        <f>$L950-$L951</f>
        <v/>
      </c>
      <c r="DM950" s="64">
        <f>$K950-$K951</f>
        <v/>
      </c>
      <c r="DN950" s="65">
        <f>IFERROR($N950/$N951-1,"")</f>
        <v/>
      </c>
      <c r="DO950" s="65">
        <f>IFERROR($M950/$M951-1,"")</f>
        <v/>
      </c>
      <c r="DP950" s="65">
        <f>IFERROR($AZ950/$AZ951-1,"")</f>
        <v/>
      </c>
      <c r="DQ950" s="65">
        <f>IFERROR($BA950/$BA951-1,"")</f>
        <v/>
      </c>
      <c r="DR950" s="64">
        <f>$O950-$O951</f>
        <v/>
      </c>
      <c r="DS950" s="64">
        <f>$P950-$P951</f>
        <v/>
      </c>
      <c r="DT950" s="64">
        <f>$Q950-$Q951</f>
        <v/>
      </c>
      <c r="DU950" s="64">
        <f>$S950-$S951</f>
        <v/>
      </c>
      <c r="DV950" s="65">
        <f>IFERROR(AVERAGE($AA951/$AA950-1,$AB951/$AB950-1,$AC951/$AC950-1,$AD951/$AD950-1,$AE951/$AE950-1,$AG951/$AG950-1,$AH951/$AH950-1,$AI951/$AI950-1,$AJ951/$AJ950-1,$AL951/$AL950-1,$AM951/$AM950-1,$AR951/$AR950-1,$AS951/$AS950-1,$AT951/$AT950-1,$AU951/$AU950-1,$AV951/$AV950-1,$AW951/$AW950-1,$AX951/$AX950-1,$AY951/$AY950-1),"")</f>
        <v/>
      </c>
      <c r="DW950" s="66">
        <f>AVERAGE($CB950,$CC950,$CD950,$CE950,$CF950,$CG950,$CH950,$CI950,$CJ950,$CL950,$CM950,$CN950,$CO950,$CP950,$CQ950,$CR950,$CS950,$CT950)</f>
        <v/>
      </c>
      <c r="DX950" s="66">
        <f>AVERAGE($CB950,$CC950,$CM950,$CE950,$CP950)</f>
        <v/>
      </c>
      <c r="DY950" s="64">
        <f>($DW950-$DW951)*100</f>
        <v/>
      </c>
      <c r="DZ950" s="64">
        <f>($DX950-$DX951)*100</f>
        <v/>
      </c>
      <c r="EA950" s="64">
        <f>($DW950-$D950)*100</f>
        <v/>
      </c>
      <c r="EB950" s="64">
        <f>$Q950-$O950</f>
        <v/>
      </c>
      <c r="EC950" s="67">
        <f>IFERROR($Q950/$P950,"")</f>
        <v/>
      </c>
    </row>
    <row r="951">
      <c r="DG951" s="64">
        <f>($B951-$B952)*100</f>
        <v/>
      </c>
      <c r="DH951" s="64">
        <f>($D951-$D952)*100</f>
        <v/>
      </c>
      <c r="DI951" s="64">
        <f>($E951-$E952)*100</f>
        <v/>
      </c>
      <c r="DJ951" s="64">
        <f>($H951-$H952)*100</f>
        <v/>
      </c>
      <c r="DK951" s="65">
        <f>IFERROR($J951/$J952-1,"")</f>
        <v/>
      </c>
      <c r="DL951" s="64">
        <f>$L951-$L952</f>
        <v/>
      </c>
      <c r="DM951" s="64">
        <f>$K951-$K952</f>
        <v/>
      </c>
      <c r="DN951" s="65">
        <f>IFERROR($N951/$N952-1,"")</f>
        <v/>
      </c>
      <c r="DO951" s="65">
        <f>IFERROR($M951/$M952-1,"")</f>
        <v/>
      </c>
      <c r="DP951" s="65">
        <f>IFERROR($AZ951/$AZ952-1,"")</f>
        <v/>
      </c>
      <c r="DQ951" s="65">
        <f>IFERROR($BA951/$BA952-1,"")</f>
        <v/>
      </c>
      <c r="DR951" s="64">
        <f>$O951-$O952</f>
        <v/>
      </c>
      <c r="DS951" s="64">
        <f>$P951-$P952</f>
        <v/>
      </c>
      <c r="DT951" s="64">
        <f>$Q951-$Q952</f>
        <v/>
      </c>
      <c r="DU951" s="64">
        <f>$S951-$S952</f>
        <v/>
      </c>
      <c r="DV951" s="65">
        <f>IFERROR(AVERAGE($AA952/$AA951-1,$AB952/$AB951-1,$AC952/$AC951-1,$AD952/$AD951-1,$AE952/$AE951-1,$AG952/$AG951-1,$AH952/$AH951-1,$AI952/$AI951-1,$AJ952/$AJ951-1,$AL952/$AL951-1,$AM952/$AM951-1,$AR952/$AR951-1,$AS952/$AS951-1,$AT952/$AT951-1,$AU952/$AU951-1,$AV952/$AV951-1,$AW952/$AW951-1,$AX952/$AX951-1,$AY952/$AY951-1),"")</f>
        <v/>
      </c>
      <c r="DW951" s="66">
        <f>AVERAGE($CB951,$CC951,$CD951,$CE951,$CF951,$CG951,$CH951,$CI951,$CJ951,$CL951,$CM951,$CN951,$CO951,$CP951,$CQ951,$CR951,$CS951,$CT951)</f>
        <v/>
      </c>
      <c r="DX951" s="66">
        <f>AVERAGE($CB951,$CC951,$CM951,$CE951,$CP951)</f>
        <v/>
      </c>
      <c r="DY951" s="64">
        <f>($DW951-$DW952)*100</f>
        <v/>
      </c>
      <c r="DZ951" s="64">
        <f>($DX951-$DX952)*100</f>
        <v/>
      </c>
      <c r="EA951" s="64">
        <f>($DW951-$D951)*100</f>
        <v/>
      </c>
      <c r="EB951" s="64">
        <f>$Q951-$O951</f>
        <v/>
      </c>
      <c r="EC951" s="67">
        <f>IFERROR($Q951/$P951,"")</f>
        <v/>
      </c>
    </row>
    <row r="952">
      <c r="DG952" s="64">
        <f>($B952-$B953)*100</f>
        <v/>
      </c>
      <c r="DH952" s="64">
        <f>($D952-$D953)*100</f>
        <v/>
      </c>
      <c r="DI952" s="64">
        <f>($E952-$E953)*100</f>
        <v/>
      </c>
      <c r="DJ952" s="64">
        <f>($H952-$H953)*100</f>
        <v/>
      </c>
      <c r="DK952" s="65">
        <f>IFERROR($J952/$J953-1,"")</f>
        <v/>
      </c>
      <c r="DL952" s="64">
        <f>$L952-$L953</f>
        <v/>
      </c>
      <c r="DM952" s="64">
        <f>$K952-$K953</f>
        <v/>
      </c>
      <c r="DN952" s="65">
        <f>IFERROR($N952/$N953-1,"")</f>
        <v/>
      </c>
      <c r="DO952" s="65">
        <f>IFERROR($M952/$M953-1,"")</f>
        <v/>
      </c>
      <c r="DP952" s="65">
        <f>IFERROR($AZ952/$AZ953-1,"")</f>
        <v/>
      </c>
      <c r="DQ952" s="65">
        <f>IFERROR($BA952/$BA953-1,"")</f>
        <v/>
      </c>
      <c r="DR952" s="64">
        <f>$O952-$O953</f>
        <v/>
      </c>
      <c r="DS952" s="64">
        <f>$P952-$P953</f>
        <v/>
      </c>
      <c r="DT952" s="64">
        <f>$Q952-$Q953</f>
        <v/>
      </c>
      <c r="DU952" s="64">
        <f>$S952-$S953</f>
        <v/>
      </c>
      <c r="DV952" s="65">
        <f>IFERROR(AVERAGE($AA953/$AA952-1,$AB953/$AB952-1,$AC953/$AC952-1,$AD953/$AD952-1,$AE953/$AE952-1,$AG953/$AG952-1,$AH953/$AH952-1,$AI953/$AI952-1,$AJ953/$AJ952-1,$AL953/$AL952-1,$AM953/$AM952-1,$AR953/$AR952-1,$AS953/$AS952-1,$AT953/$AT952-1,$AU953/$AU952-1,$AV953/$AV952-1,$AW953/$AW952-1,$AX953/$AX952-1,$AY953/$AY952-1),"")</f>
        <v/>
      </c>
      <c r="DW952" s="66">
        <f>AVERAGE($CB952,$CC952,$CD952,$CE952,$CF952,$CG952,$CH952,$CI952,$CJ952,$CL952,$CM952,$CN952,$CO952,$CP952,$CQ952,$CR952,$CS952,$CT952)</f>
        <v/>
      </c>
      <c r="DX952" s="66">
        <f>AVERAGE($CB952,$CC952,$CM952,$CE952,$CP952)</f>
        <v/>
      </c>
      <c r="DY952" s="64">
        <f>($DW952-$DW953)*100</f>
        <v/>
      </c>
      <c r="DZ952" s="64">
        <f>($DX952-$DX953)*100</f>
        <v/>
      </c>
      <c r="EA952" s="64">
        <f>($DW952-$D952)*100</f>
        <v/>
      </c>
      <c r="EB952" s="64">
        <f>$Q952-$O952</f>
        <v/>
      </c>
      <c r="EC952" s="67">
        <f>IFERROR($Q952/$P952,"")</f>
        <v/>
      </c>
    </row>
    <row r="953">
      <c r="DG953" s="64">
        <f>($B953-$B954)*100</f>
        <v/>
      </c>
      <c r="DH953" s="64">
        <f>($D953-$D954)*100</f>
        <v/>
      </c>
      <c r="DI953" s="64">
        <f>($E953-$E954)*100</f>
        <v/>
      </c>
      <c r="DJ953" s="64">
        <f>($H953-$H954)*100</f>
        <v/>
      </c>
      <c r="DK953" s="65">
        <f>IFERROR($J953/$J954-1,"")</f>
        <v/>
      </c>
      <c r="DL953" s="64">
        <f>$L953-$L954</f>
        <v/>
      </c>
      <c r="DM953" s="64">
        <f>$K953-$K954</f>
        <v/>
      </c>
      <c r="DN953" s="65">
        <f>IFERROR($N953/$N954-1,"")</f>
        <v/>
      </c>
      <c r="DO953" s="65">
        <f>IFERROR($M953/$M954-1,"")</f>
        <v/>
      </c>
      <c r="DP953" s="65">
        <f>IFERROR($AZ953/$AZ954-1,"")</f>
        <v/>
      </c>
      <c r="DQ953" s="65">
        <f>IFERROR($BA953/$BA954-1,"")</f>
        <v/>
      </c>
      <c r="DR953" s="64">
        <f>$O953-$O954</f>
        <v/>
      </c>
      <c r="DS953" s="64">
        <f>$P953-$P954</f>
        <v/>
      </c>
      <c r="DT953" s="64">
        <f>$Q953-$Q954</f>
        <v/>
      </c>
      <c r="DU953" s="64">
        <f>$S953-$S954</f>
        <v/>
      </c>
      <c r="DV953" s="65">
        <f>IFERROR(AVERAGE($AA954/$AA953-1,$AB954/$AB953-1,$AC954/$AC953-1,$AD954/$AD953-1,$AE954/$AE953-1,$AG954/$AG953-1,$AH954/$AH953-1,$AI954/$AI953-1,$AJ954/$AJ953-1,$AL954/$AL953-1,$AM954/$AM953-1,$AR954/$AR953-1,$AS954/$AS953-1,$AT954/$AT953-1,$AU954/$AU953-1,$AV954/$AV953-1,$AW954/$AW953-1,$AX954/$AX953-1,$AY954/$AY953-1),"")</f>
        <v/>
      </c>
      <c r="DW953" s="66">
        <f>AVERAGE($CB953,$CC953,$CD953,$CE953,$CF953,$CG953,$CH953,$CI953,$CJ953,$CL953,$CM953,$CN953,$CO953,$CP953,$CQ953,$CR953,$CS953,$CT953)</f>
        <v/>
      </c>
      <c r="DX953" s="66">
        <f>AVERAGE($CB953,$CC953,$CM953,$CE953,$CP953)</f>
        <v/>
      </c>
      <c r="DY953" s="64">
        <f>($DW953-$DW954)*100</f>
        <v/>
      </c>
      <c r="DZ953" s="64">
        <f>($DX953-$DX954)*100</f>
        <v/>
      </c>
      <c r="EA953" s="64">
        <f>($DW953-$D953)*100</f>
        <v/>
      </c>
      <c r="EB953" s="64">
        <f>$Q953-$O953</f>
        <v/>
      </c>
      <c r="EC953" s="67">
        <f>IFERROR($Q953/$P953,"")</f>
        <v/>
      </c>
    </row>
    <row r="954">
      <c r="DG954" s="64">
        <f>($B954-$B955)*100</f>
        <v/>
      </c>
      <c r="DH954" s="64">
        <f>($D954-$D955)*100</f>
        <v/>
      </c>
      <c r="DI954" s="64">
        <f>($E954-$E955)*100</f>
        <v/>
      </c>
      <c r="DJ954" s="64">
        <f>($H954-$H955)*100</f>
        <v/>
      </c>
      <c r="DK954" s="65">
        <f>IFERROR($J954/$J955-1,"")</f>
        <v/>
      </c>
      <c r="DL954" s="64">
        <f>$L954-$L955</f>
        <v/>
      </c>
      <c r="DM954" s="64">
        <f>$K954-$K955</f>
        <v/>
      </c>
      <c r="DN954" s="65">
        <f>IFERROR($N954/$N955-1,"")</f>
        <v/>
      </c>
      <c r="DO954" s="65">
        <f>IFERROR($M954/$M955-1,"")</f>
        <v/>
      </c>
      <c r="DP954" s="65">
        <f>IFERROR($AZ954/$AZ955-1,"")</f>
        <v/>
      </c>
      <c r="DQ954" s="65">
        <f>IFERROR($BA954/$BA955-1,"")</f>
        <v/>
      </c>
      <c r="DR954" s="64">
        <f>$O954-$O955</f>
        <v/>
      </c>
      <c r="DS954" s="64">
        <f>$P954-$P955</f>
        <v/>
      </c>
      <c r="DT954" s="64">
        <f>$Q954-$Q955</f>
        <v/>
      </c>
      <c r="DU954" s="64">
        <f>$S954-$S955</f>
        <v/>
      </c>
      <c r="DV954" s="65">
        <f>IFERROR(AVERAGE($AA955/$AA954-1,$AB955/$AB954-1,$AC955/$AC954-1,$AD955/$AD954-1,$AE955/$AE954-1,$AG955/$AG954-1,$AH955/$AH954-1,$AI955/$AI954-1,$AJ955/$AJ954-1,$AL955/$AL954-1,$AM955/$AM954-1,$AR955/$AR954-1,$AS955/$AS954-1,$AT955/$AT954-1,$AU955/$AU954-1,$AV955/$AV954-1,$AW955/$AW954-1,$AX955/$AX954-1,$AY955/$AY954-1),"")</f>
        <v/>
      </c>
      <c r="DW954" s="66">
        <f>AVERAGE($CB954,$CC954,$CD954,$CE954,$CF954,$CG954,$CH954,$CI954,$CJ954,$CL954,$CM954,$CN954,$CO954,$CP954,$CQ954,$CR954,$CS954,$CT954)</f>
        <v/>
      </c>
      <c r="DX954" s="66">
        <f>AVERAGE($CB954,$CC954,$CM954,$CE954,$CP954)</f>
        <v/>
      </c>
      <c r="DY954" s="64">
        <f>($DW954-$DW955)*100</f>
        <v/>
      </c>
      <c r="DZ954" s="64">
        <f>($DX954-$DX955)*100</f>
        <v/>
      </c>
      <c r="EA954" s="64">
        <f>($DW954-$D954)*100</f>
        <v/>
      </c>
      <c r="EB954" s="64">
        <f>$Q954-$O954</f>
        <v/>
      </c>
      <c r="EC954" s="67">
        <f>IFERROR($Q954/$P954,"")</f>
        <v/>
      </c>
    </row>
    <row r="955">
      <c r="DG955" s="64">
        <f>($B955-$B956)*100</f>
        <v/>
      </c>
      <c r="DH955" s="64">
        <f>($D955-$D956)*100</f>
        <v/>
      </c>
      <c r="DI955" s="64">
        <f>($E955-$E956)*100</f>
        <v/>
      </c>
      <c r="DJ955" s="64">
        <f>($H955-$H956)*100</f>
        <v/>
      </c>
      <c r="DK955" s="65">
        <f>IFERROR($J955/$J956-1,"")</f>
        <v/>
      </c>
      <c r="DL955" s="64">
        <f>$L955-$L956</f>
        <v/>
      </c>
      <c r="DM955" s="64">
        <f>$K955-$K956</f>
        <v/>
      </c>
      <c r="DN955" s="65">
        <f>IFERROR($N955/$N956-1,"")</f>
        <v/>
      </c>
      <c r="DO955" s="65">
        <f>IFERROR($M955/$M956-1,"")</f>
        <v/>
      </c>
      <c r="DP955" s="65">
        <f>IFERROR($AZ955/$AZ956-1,"")</f>
        <v/>
      </c>
      <c r="DQ955" s="65">
        <f>IFERROR($BA955/$BA956-1,"")</f>
        <v/>
      </c>
      <c r="DR955" s="64">
        <f>$O955-$O956</f>
        <v/>
      </c>
      <c r="DS955" s="64">
        <f>$P955-$P956</f>
        <v/>
      </c>
      <c r="DT955" s="64">
        <f>$Q955-$Q956</f>
        <v/>
      </c>
      <c r="DU955" s="64">
        <f>$S955-$S956</f>
        <v/>
      </c>
      <c r="DV955" s="65">
        <f>IFERROR(AVERAGE($AA956/$AA955-1,$AB956/$AB955-1,$AC956/$AC955-1,$AD956/$AD955-1,$AE956/$AE955-1,$AG956/$AG955-1,$AH956/$AH955-1,$AI956/$AI955-1,$AJ956/$AJ955-1,$AL956/$AL955-1,$AM956/$AM955-1,$AR956/$AR955-1,$AS956/$AS955-1,$AT956/$AT955-1,$AU956/$AU955-1,$AV956/$AV955-1,$AW956/$AW955-1,$AX956/$AX955-1,$AY956/$AY955-1),"")</f>
        <v/>
      </c>
      <c r="DW955" s="66">
        <f>AVERAGE($CB955,$CC955,$CD955,$CE955,$CF955,$CG955,$CH955,$CI955,$CJ955,$CL955,$CM955,$CN955,$CO955,$CP955,$CQ955,$CR955,$CS955,$CT955)</f>
        <v/>
      </c>
      <c r="DX955" s="66">
        <f>AVERAGE($CB955,$CC955,$CM955,$CE955,$CP955)</f>
        <v/>
      </c>
      <c r="DY955" s="64">
        <f>($DW955-$DW956)*100</f>
        <v/>
      </c>
      <c r="DZ955" s="64">
        <f>($DX955-$DX956)*100</f>
        <v/>
      </c>
      <c r="EA955" s="64">
        <f>($DW955-$D955)*100</f>
        <v/>
      </c>
      <c r="EB955" s="64">
        <f>$Q955-$O955</f>
        <v/>
      </c>
      <c r="EC955" s="67">
        <f>IFERROR($Q955/$P955,"")</f>
        <v/>
      </c>
    </row>
    <row r="956">
      <c r="DG956" s="64">
        <f>($B956-$B957)*100</f>
        <v/>
      </c>
      <c r="DH956" s="64">
        <f>($D956-$D957)*100</f>
        <v/>
      </c>
      <c r="DI956" s="64">
        <f>($E956-$E957)*100</f>
        <v/>
      </c>
      <c r="DJ956" s="64">
        <f>($H956-$H957)*100</f>
        <v/>
      </c>
      <c r="DK956" s="65">
        <f>IFERROR($J956/$J957-1,"")</f>
        <v/>
      </c>
      <c r="DL956" s="64">
        <f>$L956-$L957</f>
        <v/>
      </c>
      <c r="DM956" s="64">
        <f>$K956-$K957</f>
        <v/>
      </c>
      <c r="DN956" s="65">
        <f>IFERROR($N956/$N957-1,"")</f>
        <v/>
      </c>
      <c r="DO956" s="65">
        <f>IFERROR($M956/$M957-1,"")</f>
        <v/>
      </c>
      <c r="DP956" s="65">
        <f>IFERROR($AZ956/$AZ957-1,"")</f>
        <v/>
      </c>
      <c r="DQ956" s="65">
        <f>IFERROR($BA956/$BA957-1,"")</f>
        <v/>
      </c>
      <c r="DR956" s="64">
        <f>$O956-$O957</f>
        <v/>
      </c>
      <c r="DS956" s="64">
        <f>$P956-$P957</f>
        <v/>
      </c>
      <c r="DT956" s="64">
        <f>$Q956-$Q957</f>
        <v/>
      </c>
      <c r="DU956" s="64">
        <f>$S956-$S957</f>
        <v/>
      </c>
      <c r="DV956" s="65">
        <f>IFERROR(AVERAGE($AA957/$AA956-1,$AB957/$AB956-1,$AC957/$AC956-1,$AD957/$AD956-1,$AE957/$AE956-1,$AG957/$AG956-1,$AH957/$AH956-1,$AI957/$AI956-1,$AJ957/$AJ956-1,$AL957/$AL956-1,$AM957/$AM956-1,$AR957/$AR956-1,$AS957/$AS956-1,$AT957/$AT956-1,$AU957/$AU956-1,$AV957/$AV956-1,$AW957/$AW956-1,$AX957/$AX956-1,$AY957/$AY956-1),"")</f>
        <v/>
      </c>
      <c r="DW956" s="66">
        <f>AVERAGE($CB956,$CC956,$CD956,$CE956,$CF956,$CG956,$CH956,$CI956,$CJ956,$CL956,$CM956,$CN956,$CO956,$CP956,$CQ956,$CR956,$CS956,$CT956)</f>
        <v/>
      </c>
      <c r="DX956" s="66">
        <f>AVERAGE($CB956,$CC956,$CM956,$CE956,$CP956)</f>
        <v/>
      </c>
      <c r="DY956" s="64">
        <f>($DW956-$DW957)*100</f>
        <v/>
      </c>
      <c r="DZ956" s="64">
        <f>($DX956-$DX957)*100</f>
        <v/>
      </c>
      <c r="EA956" s="64">
        <f>($DW956-$D956)*100</f>
        <v/>
      </c>
      <c r="EB956" s="64">
        <f>$Q956-$O956</f>
        <v/>
      </c>
      <c r="EC956" s="67">
        <f>IFERROR($Q956/$P956,"")</f>
        <v/>
      </c>
    </row>
    <row r="957">
      <c r="DG957" s="64">
        <f>($B957-$B958)*100</f>
        <v/>
      </c>
      <c r="DH957" s="64">
        <f>($D957-$D958)*100</f>
        <v/>
      </c>
      <c r="DI957" s="64">
        <f>($E957-$E958)*100</f>
        <v/>
      </c>
      <c r="DJ957" s="64">
        <f>($H957-$H958)*100</f>
        <v/>
      </c>
      <c r="DK957" s="65">
        <f>IFERROR($J957/$J958-1,"")</f>
        <v/>
      </c>
      <c r="DL957" s="64">
        <f>$L957-$L958</f>
        <v/>
      </c>
      <c r="DM957" s="64">
        <f>$K957-$K958</f>
        <v/>
      </c>
      <c r="DN957" s="65">
        <f>IFERROR($N957/$N958-1,"")</f>
        <v/>
      </c>
      <c r="DO957" s="65">
        <f>IFERROR($M957/$M958-1,"")</f>
        <v/>
      </c>
      <c r="DP957" s="65">
        <f>IFERROR($AZ957/$AZ958-1,"")</f>
        <v/>
      </c>
      <c r="DQ957" s="65">
        <f>IFERROR($BA957/$BA958-1,"")</f>
        <v/>
      </c>
      <c r="DR957" s="64">
        <f>$O957-$O958</f>
        <v/>
      </c>
      <c r="DS957" s="64">
        <f>$P957-$P958</f>
        <v/>
      </c>
      <c r="DT957" s="64">
        <f>$Q957-$Q958</f>
        <v/>
      </c>
      <c r="DU957" s="64">
        <f>$S957-$S958</f>
        <v/>
      </c>
      <c r="DV957" s="65">
        <f>IFERROR(AVERAGE($AA958/$AA957-1,$AB958/$AB957-1,$AC958/$AC957-1,$AD958/$AD957-1,$AE958/$AE957-1,$AG958/$AG957-1,$AH958/$AH957-1,$AI958/$AI957-1,$AJ958/$AJ957-1,$AL958/$AL957-1,$AM958/$AM957-1,$AR958/$AR957-1,$AS958/$AS957-1,$AT958/$AT957-1,$AU958/$AU957-1,$AV958/$AV957-1,$AW958/$AW957-1,$AX958/$AX957-1,$AY958/$AY957-1),"")</f>
        <v/>
      </c>
      <c r="DW957" s="66">
        <f>AVERAGE($CB957,$CC957,$CD957,$CE957,$CF957,$CG957,$CH957,$CI957,$CJ957,$CL957,$CM957,$CN957,$CO957,$CP957,$CQ957,$CR957,$CS957,$CT957)</f>
        <v/>
      </c>
      <c r="DX957" s="66">
        <f>AVERAGE($CB957,$CC957,$CM957,$CE957,$CP957)</f>
        <v/>
      </c>
      <c r="DY957" s="64">
        <f>($DW957-$DW958)*100</f>
        <v/>
      </c>
      <c r="DZ957" s="64">
        <f>($DX957-$DX958)*100</f>
        <v/>
      </c>
      <c r="EA957" s="64">
        <f>($DW957-$D957)*100</f>
        <v/>
      </c>
      <c r="EB957" s="64">
        <f>$Q957-$O957</f>
        <v/>
      </c>
      <c r="EC957" s="67">
        <f>IFERROR($Q957/$P957,"")</f>
        <v/>
      </c>
    </row>
    <row r="958">
      <c r="DG958" s="64">
        <f>($B958-$B959)*100</f>
        <v/>
      </c>
      <c r="DH958" s="64">
        <f>($D958-$D959)*100</f>
        <v/>
      </c>
      <c r="DI958" s="64">
        <f>($E958-$E959)*100</f>
        <v/>
      </c>
      <c r="DJ958" s="64">
        <f>($H958-$H959)*100</f>
        <v/>
      </c>
      <c r="DK958" s="65">
        <f>IFERROR($J958/$J959-1,"")</f>
        <v/>
      </c>
      <c r="DL958" s="64">
        <f>$L958-$L959</f>
        <v/>
      </c>
      <c r="DM958" s="64">
        <f>$K958-$K959</f>
        <v/>
      </c>
      <c r="DN958" s="65">
        <f>IFERROR($N958/$N959-1,"")</f>
        <v/>
      </c>
      <c r="DO958" s="65">
        <f>IFERROR($M958/$M959-1,"")</f>
        <v/>
      </c>
      <c r="DP958" s="65">
        <f>IFERROR($AZ958/$AZ959-1,"")</f>
        <v/>
      </c>
      <c r="DQ958" s="65">
        <f>IFERROR($BA958/$BA959-1,"")</f>
        <v/>
      </c>
      <c r="DR958" s="64">
        <f>$O958-$O959</f>
        <v/>
      </c>
      <c r="DS958" s="64">
        <f>$P958-$P959</f>
        <v/>
      </c>
      <c r="DT958" s="64">
        <f>$Q958-$Q959</f>
        <v/>
      </c>
      <c r="DU958" s="64">
        <f>$S958-$S959</f>
        <v/>
      </c>
      <c r="DV958" s="65">
        <f>IFERROR(AVERAGE($AA959/$AA958-1,$AB959/$AB958-1,$AC959/$AC958-1,$AD959/$AD958-1,$AE959/$AE958-1,$AG959/$AG958-1,$AH959/$AH958-1,$AI959/$AI958-1,$AJ959/$AJ958-1,$AL959/$AL958-1,$AM959/$AM958-1,$AR959/$AR958-1,$AS959/$AS958-1,$AT959/$AT958-1,$AU959/$AU958-1,$AV959/$AV958-1,$AW959/$AW958-1,$AX959/$AX958-1,$AY959/$AY958-1),"")</f>
        <v/>
      </c>
      <c r="DW958" s="66">
        <f>AVERAGE($CB958,$CC958,$CD958,$CE958,$CF958,$CG958,$CH958,$CI958,$CJ958,$CL958,$CM958,$CN958,$CO958,$CP958,$CQ958,$CR958,$CS958,$CT958)</f>
        <v/>
      </c>
      <c r="DX958" s="66">
        <f>AVERAGE($CB958,$CC958,$CM958,$CE958,$CP958)</f>
        <v/>
      </c>
      <c r="DY958" s="64">
        <f>($DW958-$DW959)*100</f>
        <v/>
      </c>
      <c r="DZ958" s="64">
        <f>($DX958-$DX959)*100</f>
        <v/>
      </c>
      <c r="EA958" s="64">
        <f>($DW958-$D958)*100</f>
        <v/>
      </c>
      <c r="EB958" s="64">
        <f>$Q958-$O958</f>
        <v/>
      </c>
      <c r="EC958" s="67">
        <f>IFERROR($Q958/$P958,"")</f>
        <v/>
      </c>
    </row>
    <row r="959">
      <c r="DG959" s="64">
        <f>($B959-$B960)*100</f>
        <v/>
      </c>
      <c r="DH959" s="64">
        <f>($D959-$D960)*100</f>
        <v/>
      </c>
      <c r="DI959" s="64">
        <f>($E959-$E960)*100</f>
        <v/>
      </c>
      <c r="DJ959" s="64">
        <f>($H959-$H960)*100</f>
        <v/>
      </c>
      <c r="DK959" s="65">
        <f>IFERROR($J959/$J960-1,"")</f>
        <v/>
      </c>
      <c r="DL959" s="64">
        <f>$L959-$L960</f>
        <v/>
      </c>
      <c r="DM959" s="64">
        <f>$K959-$K960</f>
        <v/>
      </c>
      <c r="DN959" s="65">
        <f>IFERROR($N959/$N960-1,"")</f>
        <v/>
      </c>
      <c r="DO959" s="65">
        <f>IFERROR($M959/$M960-1,"")</f>
        <v/>
      </c>
      <c r="DP959" s="65">
        <f>IFERROR($AZ959/$AZ960-1,"")</f>
        <v/>
      </c>
      <c r="DQ959" s="65">
        <f>IFERROR($BA959/$BA960-1,"")</f>
        <v/>
      </c>
      <c r="DR959" s="64">
        <f>$O959-$O960</f>
        <v/>
      </c>
      <c r="DS959" s="64">
        <f>$P959-$P960</f>
        <v/>
      </c>
      <c r="DT959" s="64">
        <f>$Q959-$Q960</f>
        <v/>
      </c>
      <c r="DU959" s="64">
        <f>$S959-$S960</f>
        <v/>
      </c>
      <c r="DV959" s="65">
        <f>IFERROR(AVERAGE($AA960/$AA959-1,$AB960/$AB959-1,$AC960/$AC959-1,$AD960/$AD959-1,$AE960/$AE959-1,$AG960/$AG959-1,$AH960/$AH959-1,$AI960/$AI959-1,$AJ960/$AJ959-1,$AL960/$AL959-1,$AM960/$AM959-1,$AR960/$AR959-1,$AS960/$AS959-1,$AT960/$AT959-1,$AU960/$AU959-1,$AV960/$AV959-1,$AW960/$AW959-1,$AX960/$AX959-1,$AY960/$AY959-1),"")</f>
        <v/>
      </c>
      <c r="DW959" s="66">
        <f>AVERAGE($CB959,$CC959,$CD959,$CE959,$CF959,$CG959,$CH959,$CI959,$CJ959,$CL959,$CM959,$CN959,$CO959,$CP959,$CQ959,$CR959,$CS959,$CT959)</f>
        <v/>
      </c>
      <c r="DX959" s="66">
        <f>AVERAGE($CB959,$CC959,$CM959,$CE959,$CP959)</f>
        <v/>
      </c>
      <c r="DY959" s="64">
        <f>($DW959-$DW960)*100</f>
        <v/>
      </c>
      <c r="DZ959" s="64">
        <f>($DX959-$DX960)*100</f>
        <v/>
      </c>
      <c r="EA959" s="64">
        <f>($DW959-$D959)*100</f>
        <v/>
      </c>
      <c r="EB959" s="64">
        <f>$Q959-$O959</f>
        <v/>
      </c>
      <c r="EC959" s="67">
        <f>IFERROR($Q959/$P959,"")</f>
        <v/>
      </c>
    </row>
    <row r="960">
      <c r="DG960" s="64">
        <f>($B960-$B961)*100</f>
        <v/>
      </c>
      <c r="DH960" s="64">
        <f>($D960-$D961)*100</f>
        <v/>
      </c>
      <c r="DI960" s="64">
        <f>($E960-$E961)*100</f>
        <v/>
      </c>
      <c r="DJ960" s="64">
        <f>($H960-$H961)*100</f>
        <v/>
      </c>
      <c r="DK960" s="65">
        <f>IFERROR($J960/$J961-1,"")</f>
        <v/>
      </c>
      <c r="DL960" s="64">
        <f>$L960-$L961</f>
        <v/>
      </c>
      <c r="DM960" s="64">
        <f>$K960-$K961</f>
        <v/>
      </c>
      <c r="DN960" s="65">
        <f>IFERROR($N960/$N961-1,"")</f>
        <v/>
      </c>
      <c r="DO960" s="65">
        <f>IFERROR($M960/$M961-1,"")</f>
        <v/>
      </c>
      <c r="DP960" s="65">
        <f>IFERROR($AZ960/$AZ961-1,"")</f>
        <v/>
      </c>
      <c r="DQ960" s="65">
        <f>IFERROR($BA960/$BA961-1,"")</f>
        <v/>
      </c>
      <c r="DR960" s="64">
        <f>$O960-$O961</f>
        <v/>
      </c>
      <c r="DS960" s="64">
        <f>$P960-$P961</f>
        <v/>
      </c>
      <c r="DT960" s="64">
        <f>$Q960-$Q961</f>
        <v/>
      </c>
      <c r="DU960" s="64">
        <f>$S960-$S961</f>
        <v/>
      </c>
      <c r="DV960" s="65">
        <f>IFERROR(AVERAGE($AA961/$AA960-1,$AB961/$AB960-1,$AC961/$AC960-1,$AD961/$AD960-1,$AE961/$AE960-1,$AG961/$AG960-1,$AH961/$AH960-1,$AI961/$AI960-1,$AJ961/$AJ960-1,$AL961/$AL960-1,$AM961/$AM960-1,$AR961/$AR960-1,$AS961/$AS960-1,$AT961/$AT960-1,$AU961/$AU960-1,$AV961/$AV960-1,$AW961/$AW960-1,$AX961/$AX960-1,$AY961/$AY960-1),"")</f>
        <v/>
      </c>
      <c r="DW960" s="66">
        <f>AVERAGE($CB960,$CC960,$CD960,$CE960,$CF960,$CG960,$CH960,$CI960,$CJ960,$CL960,$CM960,$CN960,$CO960,$CP960,$CQ960,$CR960,$CS960,$CT960)</f>
        <v/>
      </c>
      <c r="DX960" s="66">
        <f>AVERAGE($CB960,$CC960,$CM960,$CE960,$CP960)</f>
        <v/>
      </c>
      <c r="DY960" s="64">
        <f>($DW960-$DW961)*100</f>
        <v/>
      </c>
      <c r="DZ960" s="64">
        <f>($DX960-$DX961)*100</f>
        <v/>
      </c>
      <c r="EA960" s="64">
        <f>($DW960-$D960)*100</f>
        <v/>
      </c>
      <c r="EB960" s="64">
        <f>$Q960-$O960</f>
        <v/>
      </c>
      <c r="EC960" s="67">
        <f>IFERROR($Q960/$P960,"")</f>
        <v/>
      </c>
    </row>
    <row r="961">
      <c r="DG961" s="64">
        <f>($B961-$B962)*100</f>
        <v/>
      </c>
      <c r="DH961" s="64">
        <f>($D961-$D962)*100</f>
        <v/>
      </c>
      <c r="DI961" s="64">
        <f>($E961-$E962)*100</f>
        <v/>
      </c>
      <c r="DJ961" s="64">
        <f>($H961-$H962)*100</f>
        <v/>
      </c>
      <c r="DK961" s="65">
        <f>IFERROR($J961/$J962-1,"")</f>
        <v/>
      </c>
      <c r="DL961" s="64">
        <f>$L961-$L962</f>
        <v/>
      </c>
      <c r="DM961" s="64">
        <f>$K961-$K962</f>
        <v/>
      </c>
      <c r="DN961" s="65">
        <f>IFERROR($N961/$N962-1,"")</f>
        <v/>
      </c>
      <c r="DO961" s="65">
        <f>IFERROR($M961/$M962-1,"")</f>
        <v/>
      </c>
      <c r="DP961" s="65">
        <f>IFERROR($AZ961/$AZ962-1,"")</f>
        <v/>
      </c>
      <c r="DQ961" s="65">
        <f>IFERROR($BA961/$BA962-1,"")</f>
        <v/>
      </c>
      <c r="DR961" s="64">
        <f>$O961-$O962</f>
        <v/>
      </c>
      <c r="DS961" s="64">
        <f>$P961-$P962</f>
        <v/>
      </c>
      <c r="DT961" s="64">
        <f>$Q961-$Q962</f>
        <v/>
      </c>
      <c r="DU961" s="64">
        <f>$S961-$S962</f>
        <v/>
      </c>
      <c r="DV961" s="65">
        <f>IFERROR(AVERAGE($AA962/$AA961-1,$AB962/$AB961-1,$AC962/$AC961-1,$AD962/$AD961-1,$AE962/$AE961-1,$AG962/$AG961-1,$AH962/$AH961-1,$AI962/$AI961-1,$AJ962/$AJ961-1,$AL962/$AL961-1,$AM962/$AM961-1,$AR962/$AR961-1,$AS962/$AS961-1,$AT962/$AT961-1,$AU962/$AU961-1,$AV962/$AV961-1,$AW962/$AW961-1,$AX962/$AX961-1,$AY962/$AY961-1),"")</f>
        <v/>
      </c>
      <c r="DW961" s="66">
        <f>AVERAGE($CB961,$CC961,$CD961,$CE961,$CF961,$CG961,$CH961,$CI961,$CJ961,$CL961,$CM961,$CN961,$CO961,$CP961,$CQ961,$CR961,$CS961,$CT961)</f>
        <v/>
      </c>
      <c r="DX961" s="66">
        <f>AVERAGE($CB961,$CC961,$CM961,$CE961,$CP961)</f>
        <v/>
      </c>
      <c r="DY961" s="64">
        <f>($DW961-$DW962)*100</f>
        <v/>
      </c>
      <c r="DZ961" s="64">
        <f>($DX961-$DX962)*100</f>
        <v/>
      </c>
      <c r="EA961" s="64">
        <f>($DW961-$D961)*100</f>
        <v/>
      </c>
      <c r="EB961" s="64">
        <f>$Q961-$O961</f>
        <v/>
      </c>
      <c r="EC961" s="67">
        <f>IFERROR($Q961/$P961,"")</f>
        <v/>
      </c>
    </row>
    <row r="962">
      <c r="DG962" s="64">
        <f>($B962-$B963)*100</f>
        <v/>
      </c>
      <c r="DH962" s="64">
        <f>($D962-$D963)*100</f>
        <v/>
      </c>
      <c r="DI962" s="64">
        <f>($E962-$E963)*100</f>
        <v/>
      </c>
      <c r="DJ962" s="64">
        <f>($H962-$H963)*100</f>
        <v/>
      </c>
      <c r="DK962" s="65">
        <f>IFERROR($J962/$J963-1,"")</f>
        <v/>
      </c>
      <c r="DL962" s="64">
        <f>$L962-$L963</f>
        <v/>
      </c>
      <c r="DM962" s="64">
        <f>$K962-$K963</f>
        <v/>
      </c>
      <c r="DN962" s="65">
        <f>IFERROR($N962/$N963-1,"")</f>
        <v/>
      </c>
      <c r="DO962" s="65">
        <f>IFERROR($M962/$M963-1,"")</f>
        <v/>
      </c>
      <c r="DP962" s="65">
        <f>IFERROR($AZ962/$AZ963-1,"")</f>
        <v/>
      </c>
      <c r="DQ962" s="65">
        <f>IFERROR($BA962/$BA963-1,"")</f>
        <v/>
      </c>
      <c r="DR962" s="64">
        <f>$O962-$O963</f>
        <v/>
      </c>
      <c r="DS962" s="64">
        <f>$P962-$P963</f>
        <v/>
      </c>
      <c r="DT962" s="64">
        <f>$Q962-$Q963</f>
        <v/>
      </c>
      <c r="DU962" s="64">
        <f>$S962-$S963</f>
        <v/>
      </c>
      <c r="DV962" s="65">
        <f>IFERROR(AVERAGE($AA963/$AA962-1,$AB963/$AB962-1,$AC963/$AC962-1,$AD963/$AD962-1,$AE963/$AE962-1,$AG963/$AG962-1,$AH963/$AH962-1,$AI963/$AI962-1,$AJ963/$AJ962-1,$AL963/$AL962-1,$AM963/$AM962-1,$AR963/$AR962-1,$AS963/$AS962-1,$AT963/$AT962-1,$AU963/$AU962-1,$AV963/$AV962-1,$AW963/$AW962-1,$AX963/$AX962-1,$AY963/$AY962-1),"")</f>
        <v/>
      </c>
      <c r="DW962" s="66">
        <f>AVERAGE($CB962,$CC962,$CD962,$CE962,$CF962,$CG962,$CH962,$CI962,$CJ962,$CL962,$CM962,$CN962,$CO962,$CP962,$CQ962,$CR962,$CS962,$CT962)</f>
        <v/>
      </c>
      <c r="DX962" s="66">
        <f>AVERAGE($CB962,$CC962,$CM962,$CE962,$CP962)</f>
        <v/>
      </c>
      <c r="DY962" s="64">
        <f>($DW962-$DW963)*100</f>
        <v/>
      </c>
      <c r="DZ962" s="64">
        <f>($DX962-$DX963)*100</f>
        <v/>
      </c>
      <c r="EA962" s="64">
        <f>($DW962-$D962)*100</f>
        <v/>
      </c>
      <c r="EB962" s="64">
        <f>$Q962-$O962</f>
        <v/>
      </c>
      <c r="EC962" s="67">
        <f>IFERROR($Q962/$P962,"")</f>
        <v/>
      </c>
    </row>
    <row r="963">
      <c r="DG963" s="64">
        <f>($B963-$B964)*100</f>
        <v/>
      </c>
      <c r="DH963" s="64">
        <f>($D963-$D964)*100</f>
        <v/>
      </c>
      <c r="DI963" s="64">
        <f>($E963-$E964)*100</f>
        <v/>
      </c>
      <c r="DJ963" s="64">
        <f>($H963-$H964)*100</f>
        <v/>
      </c>
      <c r="DK963" s="65">
        <f>IFERROR($J963/$J964-1,"")</f>
        <v/>
      </c>
      <c r="DL963" s="64">
        <f>$L963-$L964</f>
        <v/>
      </c>
      <c r="DM963" s="64">
        <f>$K963-$K964</f>
        <v/>
      </c>
      <c r="DN963" s="65">
        <f>IFERROR($N963/$N964-1,"")</f>
        <v/>
      </c>
      <c r="DO963" s="65">
        <f>IFERROR($M963/$M964-1,"")</f>
        <v/>
      </c>
      <c r="DP963" s="65">
        <f>IFERROR($AZ963/$AZ964-1,"")</f>
        <v/>
      </c>
      <c r="DQ963" s="65">
        <f>IFERROR($BA963/$BA964-1,"")</f>
        <v/>
      </c>
      <c r="DR963" s="64">
        <f>$O963-$O964</f>
        <v/>
      </c>
      <c r="DS963" s="64">
        <f>$P963-$P964</f>
        <v/>
      </c>
      <c r="DT963" s="64">
        <f>$Q963-$Q964</f>
        <v/>
      </c>
      <c r="DU963" s="64">
        <f>$S963-$S964</f>
        <v/>
      </c>
      <c r="DV963" s="65">
        <f>IFERROR(AVERAGE($AA964/$AA963-1,$AB964/$AB963-1,$AC964/$AC963-1,$AD964/$AD963-1,$AE964/$AE963-1,$AG964/$AG963-1,$AH964/$AH963-1,$AI964/$AI963-1,$AJ964/$AJ963-1,$AL964/$AL963-1,$AM964/$AM963-1,$AR964/$AR963-1,$AS964/$AS963-1,$AT964/$AT963-1,$AU964/$AU963-1,$AV964/$AV963-1,$AW964/$AW963-1,$AX964/$AX963-1,$AY964/$AY963-1),"")</f>
        <v/>
      </c>
      <c r="DW963" s="66">
        <f>AVERAGE($CB963,$CC963,$CD963,$CE963,$CF963,$CG963,$CH963,$CI963,$CJ963,$CL963,$CM963,$CN963,$CO963,$CP963,$CQ963,$CR963,$CS963,$CT963)</f>
        <v/>
      </c>
      <c r="DX963" s="66">
        <f>AVERAGE($CB963,$CC963,$CM963,$CE963,$CP963)</f>
        <v/>
      </c>
      <c r="DY963" s="64">
        <f>($DW963-$DW964)*100</f>
        <v/>
      </c>
      <c r="DZ963" s="64">
        <f>($DX963-$DX964)*100</f>
        <v/>
      </c>
      <c r="EA963" s="64">
        <f>($DW963-$D963)*100</f>
        <v/>
      </c>
      <c r="EB963" s="64">
        <f>$Q963-$O963</f>
        <v/>
      </c>
      <c r="EC963" s="67">
        <f>IFERROR($Q963/$P963,"")</f>
        <v/>
      </c>
    </row>
    <row r="964">
      <c r="DG964" s="64">
        <f>($B964-$B965)*100</f>
        <v/>
      </c>
      <c r="DH964" s="64">
        <f>($D964-$D965)*100</f>
        <v/>
      </c>
      <c r="DI964" s="64">
        <f>($E964-$E965)*100</f>
        <v/>
      </c>
      <c r="DJ964" s="64">
        <f>($H964-$H965)*100</f>
        <v/>
      </c>
      <c r="DK964" s="65">
        <f>IFERROR($J964/$J965-1,"")</f>
        <v/>
      </c>
      <c r="DL964" s="64">
        <f>$L964-$L965</f>
        <v/>
      </c>
      <c r="DM964" s="64">
        <f>$K964-$K965</f>
        <v/>
      </c>
      <c r="DN964" s="65">
        <f>IFERROR($N964/$N965-1,"")</f>
        <v/>
      </c>
      <c r="DO964" s="65">
        <f>IFERROR($M964/$M965-1,"")</f>
        <v/>
      </c>
      <c r="DP964" s="65">
        <f>IFERROR($AZ964/$AZ965-1,"")</f>
        <v/>
      </c>
      <c r="DQ964" s="65">
        <f>IFERROR($BA964/$BA965-1,"")</f>
        <v/>
      </c>
      <c r="DR964" s="64">
        <f>$O964-$O965</f>
        <v/>
      </c>
      <c r="DS964" s="64">
        <f>$P964-$P965</f>
        <v/>
      </c>
      <c r="DT964" s="64">
        <f>$Q964-$Q965</f>
        <v/>
      </c>
      <c r="DU964" s="64">
        <f>$S964-$S965</f>
        <v/>
      </c>
      <c r="DV964" s="65">
        <f>IFERROR(AVERAGE($AA965/$AA964-1,$AB965/$AB964-1,$AC965/$AC964-1,$AD965/$AD964-1,$AE965/$AE964-1,$AG965/$AG964-1,$AH965/$AH964-1,$AI965/$AI964-1,$AJ965/$AJ964-1,$AL965/$AL964-1,$AM965/$AM964-1,$AR965/$AR964-1,$AS965/$AS964-1,$AT965/$AT964-1,$AU965/$AU964-1,$AV965/$AV964-1,$AW965/$AW964-1,$AX965/$AX964-1,$AY965/$AY964-1),"")</f>
        <v/>
      </c>
      <c r="DW964" s="66">
        <f>AVERAGE($CB964,$CC964,$CD964,$CE964,$CF964,$CG964,$CH964,$CI964,$CJ964,$CL964,$CM964,$CN964,$CO964,$CP964,$CQ964,$CR964,$CS964,$CT964)</f>
        <v/>
      </c>
      <c r="DX964" s="66">
        <f>AVERAGE($CB964,$CC964,$CM964,$CE964,$CP964)</f>
        <v/>
      </c>
      <c r="DY964" s="64">
        <f>($DW964-$DW965)*100</f>
        <v/>
      </c>
      <c r="DZ964" s="64">
        <f>($DX964-$DX965)*100</f>
        <v/>
      </c>
      <c r="EA964" s="64">
        <f>($DW964-$D964)*100</f>
        <v/>
      </c>
      <c r="EB964" s="64">
        <f>$Q964-$O964</f>
        <v/>
      </c>
      <c r="EC964" s="67">
        <f>IFERROR($Q964/$P964,"")</f>
        <v/>
      </c>
    </row>
    <row r="965">
      <c r="DG965" s="64">
        <f>($B965-$B966)*100</f>
        <v/>
      </c>
      <c r="DH965" s="64">
        <f>($D965-$D966)*100</f>
        <v/>
      </c>
      <c r="DI965" s="64">
        <f>($E965-$E966)*100</f>
        <v/>
      </c>
      <c r="DJ965" s="64">
        <f>($H965-$H966)*100</f>
        <v/>
      </c>
      <c r="DK965" s="65">
        <f>IFERROR($J965/$J966-1,"")</f>
        <v/>
      </c>
      <c r="DL965" s="64">
        <f>$L965-$L966</f>
        <v/>
      </c>
      <c r="DM965" s="64">
        <f>$K965-$K966</f>
        <v/>
      </c>
      <c r="DN965" s="65">
        <f>IFERROR($N965/$N966-1,"")</f>
        <v/>
      </c>
      <c r="DO965" s="65">
        <f>IFERROR($M965/$M966-1,"")</f>
        <v/>
      </c>
      <c r="DP965" s="65">
        <f>IFERROR($AZ965/$AZ966-1,"")</f>
        <v/>
      </c>
      <c r="DQ965" s="65">
        <f>IFERROR($BA965/$BA966-1,"")</f>
        <v/>
      </c>
      <c r="DR965" s="64">
        <f>$O965-$O966</f>
        <v/>
      </c>
      <c r="DS965" s="64">
        <f>$P965-$P966</f>
        <v/>
      </c>
      <c r="DT965" s="64">
        <f>$Q965-$Q966</f>
        <v/>
      </c>
      <c r="DU965" s="64">
        <f>$S965-$S966</f>
        <v/>
      </c>
      <c r="DV965" s="65">
        <f>IFERROR(AVERAGE($AA966/$AA965-1,$AB966/$AB965-1,$AC966/$AC965-1,$AD966/$AD965-1,$AE966/$AE965-1,$AG966/$AG965-1,$AH966/$AH965-1,$AI966/$AI965-1,$AJ966/$AJ965-1,$AL966/$AL965-1,$AM966/$AM965-1,$AR966/$AR965-1,$AS966/$AS965-1,$AT966/$AT965-1,$AU966/$AU965-1,$AV966/$AV965-1,$AW966/$AW965-1,$AX966/$AX965-1,$AY966/$AY965-1),"")</f>
        <v/>
      </c>
      <c r="DW965" s="66">
        <f>AVERAGE($CB965,$CC965,$CD965,$CE965,$CF965,$CG965,$CH965,$CI965,$CJ965,$CL965,$CM965,$CN965,$CO965,$CP965,$CQ965,$CR965,$CS965,$CT965)</f>
        <v/>
      </c>
      <c r="DX965" s="66">
        <f>AVERAGE($CB965,$CC965,$CM965,$CE965,$CP965)</f>
        <v/>
      </c>
      <c r="DY965" s="64">
        <f>($DW965-$DW966)*100</f>
        <v/>
      </c>
      <c r="DZ965" s="64">
        <f>($DX965-$DX966)*100</f>
        <v/>
      </c>
      <c r="EA965" s="64">
        <f>($DW965-$D965)*100</f>
        <v/>
      </c>
      <c r="EB965" s="64">
        <f>$Q965-$O965</f>
        <v/>
      </c>
      <c r="EC965" s="67">
        <f>IFERROR($Q965/$P965,"")</f>
        <v/>
      </c>
    </row>
    <row r="966">
      <c r="DG966" s="64">
        <f>($B966-$B967)*100</f>
        <v/>
      </c>
      <c r="DH966" s="64">
        <f>($D966-$D967)*100</f>
        <v/>
      </c>
      <c r="DI966" s="64">
        <f>($E966-$E967)*100</f>
        <v/>
      </c>
      <c r="DJ966" s="64">
        <f>($H966-$H967)*100</f>
        <v/>
      </c>
      <c r="DK966" s="65">
        <f>IFERROR($J966/$J967-1,"")</f>
        <v/>
      </c>
      <c r="DL966" s="64">
        <f>$L966-$L967</f>
        <v/>
      </c>
      <c r="DM966" s="64">
        <f>$K966-$K967</f>
        <v/>
      </c>
      <c r="DN966" s="65">
        <f>IFERROR($N966/$N967-1,"")</f>
        <v/>
      </c>
      <c r="DO966" s="65">
        <f>IFERROR($M966/$M967-1,"")</f>
        <v/>
      </c>
      <c r="DP966" s="65">
        <f>IFERROR($AZ966/$AZ967-1,"")</f>
        <v/>
      </c>
      <c r="DQ966" s="65">
        <f>IFERROR($BA966/$BA967-1,"")</f>
        <v/>
      </c>
      <c r="DR966" s="64">
        <f>$O966-$O967</f>
        <v/>
      </c>
      <c r="DS966" s="64">
        <f>$P966-$P967</f>
        <v/>
      </c>
      <c r="DT966" s="64">
        <f>$Q966-$Q967</f>
        <v/>
      </c>
      <c r="DU966" s="64">
        <f>$S966-$S967</f>
        <v/>
      </c>
      <c r="DV966" s="65">
        <f>IFERROR(AVERAGE($AA967/$AA966-1,$AB967/$AB966-1,$AC967/$AC966-1,$AD967/$AD966-1,$AE967/$AE966-1,$AG967/$AG966-1,$AH967/$AH966-1,$AI967/$AI966-1,$AJ967/$AJ966-1,$AL967/$AL966-1,$AM967/$AM966-1,$AR967/$AR966-1,$AS967/$AS966-1,$AT967/$AT966-1,$AU967/$AU966-1,$AV967/$AV966-1,$AW967/$AW966-1,$AX967/$AX966-1,$AY967/$AY966-1),"")</f>
        <v/>
      </c>
      <c r="DW966" s="66">
        <f>AVERAGE($CB966,$CC966,$CD966,$CE966,$CF966,$CG966,$CH966,$CI966,$CJ966,$CL966,$CM966,$CN966,$CO966,$CP966,$CQ966,$CR966,$CS966,$CT966)</f>
        <v/>
      </c>
      <c r="DX966" s="66">
        <f>AVERAGE($CB966,$CC966,$CM966,$CE966,$CP966)</f>
        <v/>
      </c>
      <c r="DY966" s="64">
        <f>($DW966-$DW967)*100</f>
        <v/>
      </c>
      <c r="DZ966" s="64">
        <f>($DX966-$DX967)*100</f>
        <v/>
      </c>
      <c r="EA966" s="64">
        <f>($DW966-$D966)*100</f>
        <v/>
      </c>
      <c r="EB966" s="64">
        <f>$Q966-$O966</f>
        <v/>
      </c>
      <c r="EC966" s="67">
        <f>IFERROR($Q966/$P966,"")</f>
        <v/>
      </c>
    </row>
    <row r="967">
      <c r="DG967" s="64">
        <f>($B967-$B968)*100</f>
        <v/>
      </c>
      <c r="DH967" s="64">
        <f>($D967-$D968)*100</f>
        <v/>
      </c>
      <c r="DI967" s="64">
        <f>($E967-$E968)*100</f>
        <v/>
      </c>
      <c r="DJ967" s="64">
        <f>($H967-$H968)*100</f>
        <v/>
      </c>
      <c r="DK967" s="65">
        <f>IFERROR($J967/$J968-1,"")</f>
        <v/>
      </c>
      <c r="DL967" s="64">
        <f>$L967-$L968</f>
        <v/>
      </c>
      <c r="DM967" s="64">
        <f>$K967-$K968</f>
        <v/>
      </c>
      <c r="DN967" s="65">
        <f>IFERROR($N967/$N968-1,"")</f>
        <v/>
      </c>
      <c r="DO967" s="65">
        <f>IFERROR($M967/$M968-1,"")</f>
        <v/>
      </c>
      <c r="DP967" s="65">
        <f>IFERROR($AZ967/$AZ968-1,"")</f>
        <v/>
      </c>
      <c r="DQ967" s="65">
        <f>IFERROR($BA967/$BA968-1,"")</f>
        <v/>
      </c>
      <c r="DR967" s="64">
        <f>$O967-$O968</f>
        <v/>
      </c>
      <c r="DS967" s="64">
        <f>$P967-$P968</f>
        <v/>
      </c>
      <c r="DT967" s="64">
        <f>$Q967-$Q968</f>
        <v/>
      </c>
      <c r="DU967" s="64">
        <f>$S967-$S968</f>
        <v/>
      </c>
      <c r="DV967" s="65">
        <f>IFERROR(AVERAGE($AA968/$AA967-1,$AB968/$AB967-1,$AC968/$AC967-1,$AD968/$AD967-1,$AE968/$AE967-1,$AG968/$AG967-1,$AH968/$AH967-1,$AI968/$AI967-1,$AJ968/$AJ967-1,$AL968/$AL967-1,$AM968/$AM967-1,$AR968/$AR967-1,$AS968/$AS967-1,$AT968/$AT967-1,$AU968/$AU967-1,$AV968/$AV967-1,$AW968/$AW967-1,$AX968/$AX967-1,$AY968/$AY967-1),"")</f>
        <v/>
      </c>
      <c r="DW967" s="66">
        <f>AVERAGE($CB967,$CC967,$CD967,$CE967,$CF967,$CG967,$CH967,$CI967,$CJ967,$CL967,$CM967,$CN967,$CO967,$CP967,$CQ967,$CR967,$CS967,$CT967)</f>
        <v/>
      </c>
      <c r="DX967" s="66">
        <f>AVERAGE($CB967,$CC967,$CM967,$CE967,$CP967)</f>
        <v/>
      </c>
      <c r="DY967" s="64">
        <f>($DW967-$DW968)*100</f>
        <v/>
      </c>
      <c r="DZ967" s="64">
        <f>($DX967-$DX968)*100</f>
        <v/>
      </c>
      <c r="EA967" s="64">
        <f>($DW967-$D967)*100</f>
        <v/>
      </c>
      <c r="EB967" s="64">
        <f>$Q967-$O967</f>
        <v/>
      </c>
      <c r="EC967" s="67">
        <f>IFERROR($Q967/$P967,"")</f>
        <v/>
      </c>
    </row>
    <row r="968">
      <c r="DG968" s="64">
        <f>($B968-$B969)*100</f>
        <v/>
      </c>
      <c r="DH968" s="64">
        <f>($D968-$D969)*100</f>
        <v/>
      </c>
      <c r="DI968" s="64">
        <f>($E968-$E969)*100</f>
        <v/>
      </c>
      <c r="DJ968" s="64">
        <f>($H968-$H969)*100</f>
        <v/>
      </c>
      <c r="DK968" s="65">
        <f>IFERROR($J968/$J969-1,"")</f>
        <v/>
      </c>
      <c r="DL968" s="64">
        <f>$L968-$L969</f>
        <v/>
      </c>
      <c r="DM968" s="64">
        <f>$K968-$K969</f>
        <v/>
      </c>
      <c r="DN968" s="65">
        <f>IFERROR($N968/$N969-1,"")</f>
        <v/>
      </c>
      <c r="DO968" s="65">
        <f>IFERROR($M968/$M969-1,"")</f>
        <v/>
      </c>
      <c r="DP968" s="65">
        <f>IFERROR($AZ968/$AZ969-1,"")</f>
        <v/>
      </c>
      <c r="DQ968" s="65">
        <f>IFERROR($BA968/$BA969-1,"")</f>
        <v/>
      </c>
      <c r="DR968" s="64">
        <f>$O968-$O969</f>
        <v/>
      </c>
      <c r="DS968" s="64">
        <f>$P968-$P969</f>
        <v/>
      </c>
      <c r="DT968" s="64">
        <f>$Q968-$Q969</f>
        <v/>
      </c>
      <c r="DU968" s="64">
        <f>$S968-$S969</f>
        <v/>
      </c>
      <c r="DV968" s="65">
        <f>IFERROR(AVERAGE($AA969/$AA968-1,$AB969/$AB968-1,$AC969/$AC968-1,$AD969/$AD968-1,$AE969/$AE968-1,$AG969/$AG968-1,$AH969/$AH968-1,$AI969/$AI968-1,$AJ969/$AJ968-1,$AL969/$AL968-1,$AM969/$AM968-1,$AR969/$AR968-1,$AS969/$AS968-1,$AT969/$AT968-1,$AU969/$AU968-1,$AV969/$AV968-1,$AW969/$AW968-1,$AX969/$AX968-1,$AY969/$AY968-1),"")</f>
        <v/>
      </c>
      <c r="DW968" s="66">
        <f>AVERAGE($CB968,$CC968,$CD968,$CE968,$CF968,$CG968,$CH968,$CI968,$CJ968,$CL968,$CM968,$CN968,$CO968,$CP968,$CQ968,$CR968,$CS968,$CT968)</f>
        <v/>
      </c>
      <c r="DX968" s="66">
        <f>AVERAGE($CB968,$CC968,$CM968,$CE968,$CP968)</f>
        <v/>
      </c>
      <c r="DY968" s="64">
        <f>($DW968-$DW969)*100</f>
        <v/>
      </c>
      <c r="DZ968" s="64">
        <f>($DX968-$DX969)*100</f>
        <v/>
      </c>
      <c r="EA968" s="64">
        <f>($DW968-$D968)*100</f>
        <v/>
      </c>
      <c r="EB968" s="64">
        <f>$Q968-$O968</f>
        <v/>
      </c>
      <c r="EC968" s="67">
        <f>IFERROR($Q968/$P968,"")</f>
        <v/>
      </c>
    </row>
    <row r="969">
      <c r="DG969" s="64">
        <f>($B969-$B970)*100</f>
        <v/>
      </c>
      <c r="DH969" s="64">
        <f>($D969-$D970)*100</f>
        <v/>
      </c>
      <c r="DI969" s="64">
        <f>($E969-$E970)*100</f>
        <v/>
      </c>
      <c r="DJ969" s="64">
        <f>($H969-$H970)*100</f>
        <v/>
      </c>
      <c r="DK969" s="65">
        <f>IFERROR($J969/$J970-1,"")</f>
        <v/>
      </c>
      <c r="DL969" s="64">
        <f>$L969-$L970</f>
        <v/>
      </c>
      <c r="DM969" s="64">
        <f>$K969-$K970</f>
        <v/>
      </c>
      <c r="DN969" s="65">
        <f>IFERROR($N969/$N970-1,"")</f>
        <v/>
      </c>
      <c r="DO969" s="65">
        <f>IFERROR($M969/$M970-1,"")</f>
        <v/>
      </c>
      <c r="DP969" s="65">
        <f>IFERROR($AZ969/$AZ970-1,"")</f>
        <v/>
      </c>
      <c r="DQ969" s="65">
        <f>IFERROR($BA969/$BA970-1,"")</f>
        <v/>
      </c>
      <c r="DR969" s="64">
        <f>$O969-$O970</f>
        <v/>
      </c>
      <c r="DS969" s="64">
        <f>$P969-$P970</f>
        <v/>
      </c>
      <c r="DT969" s="64">
        <f>$Q969-$Q970</f>
        <v/>
      </c>
      <c r="DU969" s="64">
        <f>$S969-$S970</f>
        <v/>
      </c>
      <c r="DV969" s="65">
        <f>IFERROR(AVERAGE($AA970/$AA969-1,$AB970/$AB969-1,$AC970/$AC969-1,$AD970/$AD969-1,$AE970/$AE969-1,$AG970/$AG969-1,$AH970/$AH969-1,$AI970/$AI969-1,$AJ970/$AJ969-1,$AL970/$AL969-1,$AM970/$AM969-1,$AR970/$AR969-1,$AS970/$AS969-1,$AT970/$AT969-1,$AU970/$AU969-1,$AV970/$AV969-1,$AW970/$AW969-1,$AX970/$AX969-1,$AY970/$AY969-1),"")</f>
        <v/>
      </c>
      <c r="DW969" s="66">
        <f>AVERAGE($CB969,$CC969,$CD969,$CE969,$CF969,$CG969,$CH969,$CI969,$CJ969,$CL969,$CM969,$CN969,$CO969,$CP969,$CQ969,$CR969,$CS969,$CT969)</f>
        <v/>
      </c>
      <c r="DX969" s="66">
        <f>AVERAGE($CB969,$CC969,$CM969,$CE969,$CP969)</f>
        <v/>
      </c>
      <c r="DY969" s="64">
        <f>($DW969-$DW970)*100</f>
        <v/>
      </c>
      <c r="DZ969" s="64">
        <f>($DX969-$DX970)*100</f>
        <v/>
      </c>
      <c r="EA969" s="64">
        <f>($DW969-$D969)*100</f>
        <v/>
      </c>
      <c r="EB969" s="64">
        <f>$Q969-$O969</f>
        <v/>
      </c>
      <c r="EC969" s="67">
        <f>IFERROR($Q969/$P969,"")</f>
        <v/>
      </c>
    </row>
    <row r="970">
      <c r="DG970" s="64">
        <f>($B970-$B971)*100</f>
        <v/>
      </c>
      <c r="DH970" s="64">
        <f>($D970-$D971)*100</f>
        <v/>
      </c>
      <c r="DI970" s="64">
        <f>($E970-$E971)*100</f>
        <v/>
      </c>
      <c r="DJ970" s="64">
        <f>($H970-$H971)*100</f>
        <v/>
      </c>
      <c r="DK970" s="65">
        <f>IFERROR($J970/$J971-1,"")</f>
        <v/>
      </c>
      <c r="DL970" s="64">
        <f>$L970-$L971</f>
        <v/>
      </c>
      <c r="DM970" s="64">
        <f>$K970-$K971</f>
        <v/>
      </c>
      <c r="DN970" s="65">
        <f>IFERROR($N970/$N971-1,"")</f>
        <v/>
      </c>
      <c r="DO970" s="65">
        <f>IFERROR($M970/$M971-1,"")</f>
        <v/>
      </c>
      <c r="DP970" s="65">
        <f>IFERROR($AZ970/$AZ971-1,"")</f>
        <v/>
      </c>
      <c r="DQ970" s="65">
        <f>IFERROR($BA970/$BA971-1,"")</f>
        <v/>
      </c>
      <c r="DR970" s="64">
        <f>$O970-$O971</f>
        <v/>
      </c>
      <c r="DS970" s="64">
        <f>$P970-$P971</f>
        <v/>
      </c>
      <c r="DT970" s="64">
        <f>$Q970-$Q971</f>
        <v/>
      </c>
      <c r="DU970" s="64">
        <f>$S970-$S971</f>
        <v/>
      </c>
      <c r="DV970" s="65">
        <f>IFERROR(AVERAGE($AA971/$AA970-1,$AB971/$AB970-1,$AC971/$AC970-1,$AD971/$AD970-1,$AE971/$AE970-1,$AG971/$AG970-1,$AH971/$AH970-1,$AI971/$AI970-1,$AJ971/$AJ970-1,$AL971/$AL970-1,$AM971/$AM970-1,$AR971/$AR970-1,$AS971/$AS970-1,$AT971/$AT970-1,$AU971/$AU970-1,$AV971/$AV970-1,$AW971/$AW970-1,$AX971/$AX970-1,$AY971/$AY970-1),"")</f>
        <v/>
      </c>
      <c r="DW970" s="66">
        <f>AVERAGE($CB970,$CC970,$CD970,$CE970,$CF970,$CG970,$CH970,$CI970,$CJ970,$CL970,$CM970,$CN970,$CO970,$CP970,$CQ970,$CR970,$CS970,$CT970)</f>
        <v/>
      </c>
      <c r="DX970" s="66">
        <f>AVERAGE($CB970,$CC970,$CM970,$CE970,$CP970)</f>
        <v/>
      </c>
      <c r="DY970" s="64">
        <f>($DW970-$DW971)*100</f>
        <v/>
      </c>
      <c r="DZ970" s="64">
        <f>($DX970-$DX971)*100</f>
        <v/>
      </c>
      <c r="EA970" s="64">
        <f>($DW970-$D970)*100</f>
        <v/>
      </c>
      <c r="EB970" s="64">
        <f>$Q970-$O970</f>
        <v/>
      </c>
      <c r="EC970" s="67">
        <f>IFERROR($Q970/$P970,"")</f>
        <v/>
      </c>
    </row>
    <row r="971">
      <c r="DG971" s="64">
        <f>($B971-$B972)*100</f>
        <v/>
      </c>
      <c r="DH971" s="64">
        <f>($D971-$D972)*100</f>
        <v/>
      </c>
      <c r="DI971" s="64">
        <f>($E971-$E972)*100</f>
        <v/>
      </c>
      <c r="DJ971" s="64">
        <f>($H971-$H972)*100</f>
        <v/>
      </c>
      <c r="DK971" s="65">
        <f>IFERROR($J971/$J972-1,"")</f>
        <v/>
      </c>
      <c r="DL971" s="64">
        <f>$L971-$L972</f>
        <v/>
      </c>
      <c r="DM971" s="64">
        <f>$K971-$K972</f>
        <v/>
      </c>
      <c r="DN971" s="65">
        <f>IFERROR($N971/$N972-1,"")</f>
        <v/>
      </c>
      <c r="DO971" s="65">
        <f>IFERROR($M971/$M972-1,"")</f>
        <v/>
      </c>
      <c r="DP971" s="65">
        <f>IFERROR($AZ971/$AZ972-1,"")</f>
        <v/>
      </c>
      <c r="DQ971" s="65">
        <f>IFERROR($BA971/$BA972-1,"")</f>
        <v/>
      </c>
      <c r="DR971" s="64">
        <f>$O971-$O972</f>
        <v/>
      </c>
      <c r="DS971" s="64">
        <f>$P971-$P972</f>
        <v/>
      </c>
      <c r="DT971" s="64">
        <f>$Q971-$Q972</f>
        <v/>
      </c>
      <c r="DU971" s="64">
        <f>$S971-$S972</f>
        <v/>
      </c>
      <c r="DV971" s="65">
        <f>IFERROR(AVERAGE($AA972/$AA971-1,$AB972/$AB971-1,$AC972/$AC971-1,$AD972/$AD971-1,$AE972/$AE971-1,$AG972/$AG971-1,$AH972/$AH971-1,$AI972/$AI971-1,$AJ972/$AJ971-1,$AL972/$AL971-1,$AM972/$AM971-1,$AR972/$AR971-1,$AS972/$AS971-1,$AT972/$AT971-1,$AU972/$AU971-1,$AV972/$AV971-1,$AW972/$AW971-1,$AX972/$AX971-1,$AY972/$AY971-1),"")</f>
        <v/>
      </c>
      <c r="DW971" s="66">
        <f>AVERAGE($CB971,$CC971,$CD971,$CE971,$CF971,$CG971,$CH971,$CI971,$CJ971,$CL971,$CM971,$CN971,$CO971,$CP971,$CQ971,$CR971,$CS971,$CT971)</f>
        <v/>
      </c>
      <c r="DX971" s="66">
        <f>AVERAGE($CB971,$CC971,$CM971,$CE971,$CP971)</f>
        <v/>
      </c>
      <c r="DY971" s="64">
        <f>($DW971-$DW972)*100</f>
        <v/>
      </c>
      <c r="DZ971" s="64">
        <f>($DX971-$DX972)*100</f>
        <v/>
      </c>
      <c r="EA971" s="64">
        <f>($DW971-$D971)*100</f>
        <v/>
      </c>
      <c r="EB971" s="64">
        <f>$Q971-$O971</f>
        <v/>
      </c>
      <c r="EC971" s="67">
        <f>IFERROR($Q971/$P971,"")</f>
        <v/>
      </c>
    </row>
    <row r="972">
      <c r="DG972" s="64">
        <f>($B972-$B973)*100</f>
        <v/>
      </c>
      <c r="DH972" s="64">
        <f>($D972-$D973)*100</f>
        <v/>
      </c>
      <c r="DI972" s="64">
        <f>($E972-$E973)*100</f>
        <v/>
      </c>
      <c r="DJ972" s="64">
        <f>($H972-$H973)*100</f>
        <v/>
      </c>
      <c r="DK972" s="65">
        <f>IFERROR($J972/$J973-1,"")</f>
        <v/>
      </c>
      <c r="DL972" s="64">
        <f>$L972-$L973</f>
        <v/>
      </c>
      <c r="DM972" s="64">
        <f>$K972-$K973</f>
        <v/>
      </c>
      <c r="DN972" s="65">
        <f>IFERROR($N972/$N973-1,"")</f>
        <v/>
      </c>
      <c r="DO972" s="65">
        <f>IFERROR($M972/$M973-1,"")</f>
        <v/>
      </c>
      <c r="DP972" s="65">
        <f>IFERROR($AZ972/$AZ973-1,"")</f>
        <v/>
      </c>
      <c r="DQ972" s="65">
        <f>IFERROR($BA972/$BA973-1,"")</f>
        <v/>
      </c>
      <c r="DR972" s="64">
        <f>$O972-$O973</f>
        <v/>
      </c>
      <c r="DS972" s="64">
        <f>$P972-$P973</f>
        <v/>
      </c>
      <c r="DT972" s="64">
        <f>$Q972-$Q973</f>
        <v/>
      </c>
      <c r="DU972" s="64">
        <f>$S972-$S973</f>
        <v/>
      </c>
      <c r="DV972" s="65">
        <f>IFERROR(AVERAGE($AA973/$AA972-1,$AB973/$AB972-1,$AC973/$AC972-1,$AD973/$AD972-1,$AE973/$AE972-1,$AG973/$AG972-1,$AH973/$AH972-1,$AI973/$AI972-1,$AJ973/$AJ972-1,$AL973/$AL972-1,$AM973/$AM972-1,$AR973/$AR972-1,$AS973/$AS972-1,$AT973/$AT972-1,$AU973/$AU972-1,$AV973/$AV972-1,$AW973/$AW972-1,$AX973/$AX972-1,$AY973/$AY972-1),"")</f>
        <v/>
      </c>
      <c r="DW972" s="66">
        <f>AVERAGE($CB972,$CC972,$CD972,$CE972,$CF972,$CG972,$CH972,$CI972,$CJ972,$CL972,$CM972,$CN972,$CO972,$CP972,$CQ972,$CR972,$CS972,$CT972)</f>
        <v/>
      </c>
      <c r="DX972" s="66">
        <f>AVERAGE($CB972,$CC972,$CM972,$CE972,$CP972)</f>
        <v/>
      </c>
      <c r="DY972" s="64">
        <f>($DW972-$DW973)*100</f>
        <v/>
      </c>
      <c r="DZ972" s="64">
        <f>($DX972-$DX973)*100</f>
        <v/>
      </c>
      <c r="EA972" s="64">
        <f>($DW972-$D972)*100</f>
        <v/>
      </c>
      <c r="EB972" s="64">
        <f>$Q972-$O972</f>
        <v/>
      </c>
      <c r="EC972" s="67">
        <f>IFERROR($Q972/$P972,"")</f>
        <v/>
      </c>
    </row>
    <row r="973">
      <c r="DG973" s="64">
        <f>($B973-$B974)*100</f>
        <v/>
      </c>
      <c r="DH973" s="64">
        <f>($D973-$D974)*100</f>
        <v/>
      </c>
      <c r="DI973" s="64">
        <f>($E973-$E974)*100</f>
        <v/>
      </c>
      <c r="DJ973" s="64">
        <f>($H973-$H974)*100</f>
        <v/>
      </c>
      <c r="DK973" s="65">
        <f>IFERROR($J973/$J974-1,"")</f>
        <v/>
      </c>
      <c r="DL973" s="64">
        <f>$L973-$L974</f>
        <v/>
      </c>
      <c r="DM973" s="64">
        <f>$K973-$K974</f>
        <v/>
      </c>
      <c r="DN973" s="65">
        <f>IFERROR($N973/$N974-1,"")</f>
        <v/>
      </c>
      <c r="DO973" s="65">
        <f>IFERROR($M973/$M974-1,"")</f>
        <v/>
      </c>
      <c r="DP973" s="65">
        <f>IFERROR($AZ973/$AZ974-1,"")</f>
        <v/>
      </c>
      <c r="DQ973" s="65">
        <f>IFERROR($BA973/$BA974-1,"")</f>
        <v/>
      </c>
      <c r="DR973" s="64">
        <f>$O973-$O974</f>
        <v/>
      </c>
      <c r="DS973" s="64">
        <f>$P973-$P974</f>
        <v/>
      </c>
      <c r="DT973" s="64">
        <f>$Q973-$Q974</f>
        <v/>
      </c>
      <c r="DU973" s="64">
        <f>$S973-$S974</f>
        <v/>
      </c>
      <c r="DV973" s="65">
        <f>IFERROR(AVERAGE($AA974/$AA973-1,$AB974/$AB973-1,$AC974/$AC973-1,$AD974/$AD973-1,$AE974/$AE973-1,$AG974/$AG973-1,$AH974/$AH973-1,$AI974/$AI973-1,$AJ974/$AJ973-1,$AL974/$AL973-1,$AM974/$AM973-1,$AR974/$AR973-1,$AS974/$AS973-1,$AT974/$AT973-1,$AU974/$AU973-1,$AV974/$AV973-1,$AW974/$AW973-1,$AX974/$AX973-1,$AY974/$AY973-1),"")</f>
        <v/>
      </c>
      <c r="DW973" s="66">
        <f>AVERAGE($CB973,$CC973,$CD973,$CE973,$CF973,$CG973,$CH973,$CI973,$CJ973,$CL973,$CM973,$CN973,$CO973,$CP973,$CQ973,$CR973,$CS973,$CT973)</f>
        <v/>
      </c>
      <c r="DX973" s="66">
        <f>AVERAGE($CB973,$CC973,$CM973,$CE973,$CP973)</f>
        <v/>
      </c>
      <c r="DY973" s="64">
        <f>($DW973-$DW974)*100</f>
        <v/>
      </c>
      <c r="DZ973" s="64">
        <f>($DX973-$DX974)*100</f>
        <v/>
      </c>
      <c r="EA973" s="64">
        <f>($DW973-$D973)*100</f>
        <v/>
      </c>
      <c r="EB973" s="64">
        <f>$Q973-$O973</f>
        <v/>
      </c>
      <c r="EC973" s="67">
        <f>IFERROR($Q973/$P973,"")</f>
        <v/>
      </c>
    </row>
    <row r="974">
      <c r="DG974" s="64">
        <f>($B974-$B975)*100</f>
        <v/>
      </c>
      <c r="DH974" s="64">
        <f>($D974-$D975)*100</f>
        <v/>
      </c>
      <c r="DI974" s="64">
        <f>($E974-$E975)*100</f>
        <v/>
      </c>
      <c r="DJ974" s="64">
        <f>($H974-$H975)*100</f>
        <v/>
      </c>
      <c r="DK974" s="65">
        <f>IFERROR($J974/$J975-1,"")</f>
        <v/>
      </c>
      <c r="DL974" s="64">
        <f>$L974-$L975</f>
        <v/>
      </c>
      <c r="DM974" s="64">
        <f>$K974-$K975</f>
        <v/>
      </c>
      <c r="DN974" s="65">
        <f>IFERROR($N974/$N975-1,"")</f>
        <v/>
      </c>
      <c r="DO974" s="65">
        <f>IFERROR($M974/$M975-1,"")</f>
        <v/>
      </c>
      <c r="DP974" s="65">
        <f>IFERROR($AZ974/$AZ975-1,"")</f>
        <v/>
      </c>
      <c r="DQ974" s="65">
        <f>IFERROR($BA974/$BA975-1,"")</f>
        <v/>
      </c>
      <c r="DR974" s="64">
        <f>$O974-$O975</f>
        <v/>
      </c>
      <c r="DS974" s="64">
        <f>$P974-$P975</f>
        <v/>
      </c>
      <c r="DT974" s="64">
        <f>$Q974-$Q975</f>
        <v/>
      </c>
      <c r="DU974" s="64">
        <f>$S974-$S975</f>
        <v/>
      </c>
      <c r="DV974" s="65">
        <f>IFERROR(AVERAGE($AA975/$AA974-1,$AB975/$AB974-1,$AC975/$AC974-1,$AD975/$AD974-1,$AE975/$AE974-1,$AG975/$AG974-1,$AH975/$AH974-1,$AI975/$AI974-1,$AJ975/$AJ974-1,$AL975/$AL974-1,$AM975/$AM974-1,$AR975/$AR974-1,$AS975/$AS974-1,$AT975/$AT974-1,$AU975/$AU974-1,$AV975/$AV974-1,$AW975/$AW974-1,$AX975/$AX974-1,$AY975/$AY974-1),"")</f>
        <v/>
      </c>
      <c r="DW974" s="66">
        <f>AVERAGE($CB974,$CC974,$CD974,$CE974,$CF974,$CG974,$CH974,$CI974,$CJ974,$CL974,$CM974,$CN974,$CO974,$CP974,$CQ974,$CR974,$CS974,$CT974)</f>
        <v/>
      </c>
      <c r="DX974" s="66">
        <f>AVERAGE($CB974,$CC974,$CM974,$CE974,$CP974)</f>
        <v/>
      </c>
      <c r="DY974" s="64">
        <f>($DW974-$DW975)*100</f>
        <v/>
      </c>
      <c r="DZ974" s="64">
        <f>($DX974-$DX975)*100</f>
        <v/>
      </c>
      <c r="EA974" s="64">
        <f>($DW974-$D974)*100</f>
        <v/>
      </c>
      <c r="EB974" s="64">
        <f>$Q974-$O974</f>
        <v/>
      </c>
      <c r="EC974" s="67">
        <f>IFERROR($Q974/$P974,"")</f>
        <v/>
      </c>
    </row>
    <row r="975">
      <c r="DG975" s="64">
        <f>($B975-$B976)*100</f>
        <v/>
      </c>
      <c r="DH975" s="64">
        <f>($D975-$D976)*100</f>
        <v/>
      </c>
      <c r="DI975" s="64">
        <f>($E975-$E976)*100</f>
        <v/>
      </c>
      <c r="DJ975" s="64">
        <f>($H975-$H976)*100</f>
        <v/>
      </c>
      <c r="DK975" s="65">
        <f>IFERROR($J975/$J976-1,"")</f>
        <v/>
      </c>
      <c r="DL975" s="64">
        <f>$L975-$L976</f>
        <v/>
      </c>
      <c r="DM975" s="64">
        <f>$K975-$K976</f>
        <v/>
      </c>
      <c r="DN975" s="65">
        <f>IFERROR($N975/$N976-1,"")</f>
        <v/>
      </c>
      <c r="DO975" s="65">
        <f>IFERROR($M975/$M976-1,"")</f>
        <v/>
      </c>
      <c r="DP975" s="65">
        <f>IFERROR($AZ975/$AZ976-1,"")</f>
        <v/>
      </c>
      <c r="DQ975" s="65">
        <f>IFERROR($BA975/$BA976-1,"")</f>
        <v/>
      </c>
      <c r="DR975" s="64">
        <f>$O975-$O976</f>
        <v/>
      </c>
      <c r="DS975" s="64">
        <f>$P975-$P976</f>
        <v/>
      </c>
      <c r="DT975" s="64">
        <f>$Q975-$Q976</f>
        <v/>
      </c>
      <c r="DU975" s="64">
        <f>$S975-$S976</f>
        <v/>
      </c>
      <c r="DV975" s="65">
        <f>IFERROR(AVERAGE($AA976/$AA975-1,$AB976/$AB975-1,$AC976/$AC975-1,$AD976/$AD975-1,$AE976/$AE975-1,$AG976/$AG975-1,$AH976/$AH975-1,$AI976/$AI975-1,$AJ976/$AJ975-1,$AL976/$AL975-1,$AM976/$AM975-1,$AR976/$AR975-1,$AS976/$AS975-1,$AT976/$AT975-1,$AU976/$AU975-1,$AV976/$AV975-1,$AW976/$AW975-1,$AX976/$AX975-1,$AY976/$AY975-1),"")</f>
        <v/>
      </c>
      <c r="DW975" s="66">
        <f>AVERAGE($CB975,$CC975,$CD975,$CE975,$CF975,$CG975,$CH975,$CI975,$CJ975,$CL975,$CM975,$CN975,$CO975,$CP975,$CQ975,$CR975,$CS975,$CT975)</f>
        <v/>
      </c>
      <c r="DX975" s="66">
        <f>AVERAGE($CB975,$CC975,$CM975,$CE975,$CP975)</f>
        <v/>
      </c>
      <c r="DY975" s="64">
        <f>($DW975-$DW976)*100</f>
        <v/>
      </c>
      <c r="DZ975" s="64">
        <f>($DX975-$DX976)*100</f>
        <v/>
      </c>
      <c r="EA975" s="64">
        <f>($DW975-$D975)*100</f>
        <v/>
      </c>
      <c r="EB975" s="64">
        <f>$Q975-$O975</f>
        <v/>
      </c>
      <c r="EC975" s="67">
        <f>IFERROR($Q975/$P975,"")</f>
        <v/>
      </c>
    </row>
    <row r="976">
      <c r="DG976" s="64">
        <f>($B976-$B977)*100</f>
        <v/>
      </c>
      <c r="DH976" s="64">
        <f>($D976-$D977)*100</f>
        <v/>
      </c>
      <c r="DI976" s="64">
        <f>($E976-$E977)*100</f>
        <v/>
      </c>
      <c r="DJ976" s="64">
        <f>($H976-$H977)*100</f>
        <v/>
      </c>
      <c r="DK976" s="65">
        <f>IFERROR($J976/$J977-1,"")</f>
        <v/>
      </c>
      <c r="DL976" s="64">
        <f>$L976-$L977</f>
        <v/>
      </c>
      <c r="DM976" s="64">
        <f>$K976-$K977</f>
        <v/>
      </c>
      <c r="DN976" s="65">
        <f>IFERROR($N976/$N977-1,"")</f>
        <v/>
      </c>
      <c r="DO976" s="65">
        <f>IFERROR($M976/$M977-1,"")</f>
        <v/>
      </c>
      <c r="DP976" s="65">
        <f>IFERROR($AZ976/$AZ977-1,"")</f>
        <v/>
      </c>
      <c r="DQ976" s="65">
        <f>IFERROR($BA976/$BA977-1,"")</f>
        <v/>
      </c>
      <c r="DR976" s="64">
        <f>$O976-$O977</f>
        <v/>
      </c>
      <c r="DS976" s="64">
        <f>$P976-$P977</f>
        <v/>
      </c>
      <c r="DT976" s="64">
        <f>$Q976-$Q977</f>
        <v/>
      </c>
      <c r="DU976" s="64">
        <f>$S976-$S977</f>
        <v/>
      </c>
      <c r="DV976" s="65">
        <f>IFERROR(AVERAGE($AA977/$AA976-1,$AB977/$AB976-1,$AC977/$AC976-1,$AD977/$AD976-1,$AE977/$AE976-1,$AG977/$AG976-1,$AH977/$AH976-1,$AI977/$AI976-1,$AJ977/$AJ976-1,$AL977/$AL976-1,$AM977/$AM976-1,$AR977/$AR976-1,$AS977/$AS976-1,$AT977/$AT976-1,$AU977/$AU976-1,$AV977/$AV976-1,$AW977/$AW976-1,$AX977/$AX976-1,$AY977/$AY976-1),"")</f>
        <v/>
      </c>
      <c r="DW976" s="66">
        <f>AVERAGE($CB976,$CC976,$CD976,$CE976,$CF976,$CG976,$CH976,$CI976,$CJ976,$CL976,$CM976,$CN976,$CO976,$CP976,$CQ976,$CR976,$CS976,$CT976)</f>
        <v/>
      </c>
      <c r="DX976" s="66">
        <f>AVERAGE($CB976,$CC976,$CM976,$CE976,$CP976)</f>
        <v/>
      </c>
      <c r="DY976" s="64">
        <f>($DW976-$DW977)*100</f>
        <v/>
      </c>
      <c r="DZ976" s="64">
        <f>($DX976-$DX977)*100</f>
        <v/>
      </c>
      <c r="EA976" s="64">
        <f>($DW976-$D976)*100</f>
        <v/>
      </c>
      <c r="EB976" s="64">
        <f>$Q976-$O976</f>
        <v/>
      </c>
      <c r="EC976" s="67">
        <f>IFERROR($Q976/$P976,"")</f>
        <v/>
      </c>
    </row>
    <row r="977">
      <c r="DG977" s="64">
        <f>($B977-$B978)*100</f>
        <v/>
      </c>
      <c r="DH977" s="64">
        <f>($D977-$D978)*100</f>
        <v/>
      </c>
      <c r="DI977" s="64">
        <f>($E977-$E978)*100</f>
        <v/>
      </c>
      <c r="DJ977" s="64">
        <f>($H977-$H978)*100</f>
        <v/>
      </c>
      <c r="DK977" s="65">
        <f>IFERROR($J977/$J978-1,"")</f>
        <v/>
      </c>
      <c r="DL977" s="64">
        <f>$L977-$L978</f>
        <v/>
      </c>
      <c r="DM977" s="64">
        <f>$K977-$K978</f>
        <v/>
      </c>
      <c r="DN977" s="65">
        <f>IFERROR($N977/$N978-1,"")</f>
        <v/>
      </c>
      <c r="DO977" s="65">
        <f>IFERROR($M977/$M978-1,"")</f>
        <v/>
      </c>
      <c r="DP977" s="65">
        <f>IFERROR($AZ977/$AZ978-1,"")</f>
        <v/>
      </c>
      <c r="DQ977" s="65">
        <f>IFERROR($BA977/$BA978-1,"")</f>
        <v/>
      </c>
      <c r="DR977" s="64">
        <f>$O977-$O978</f>
        <v/>
      </c>
      <c r="DS977" s="64">
        <f>$P977-$P978</f>
        <v/>
      </c>
      <c r="DT977" s="64">
        <f>$Q977-$Q978</f>
        <v/>
      </c>
      <c r="DU977" s="64">
        <f>$S977-$S978</f>
        <v/>
      </c>
      <c r="DV977" s="65">
        <f>IFERROR(AVERAGE($AA978/$AA977-1,$AB978/$AB977-1,$AC978/$AC977-1,$AD978/$AD977-1,$AE978/$AE977-1,$AG978/$AG977-1,$AH978/$AH977-1,$AI978/$AI977-1,$AJ978/$AJ977-1,$AL978/$AL977-1,$AM978/$AM977-1,$AR978/$AR977-1,$AS978/$AS977-1,$AT978/$AT977-1,$AU978/$AU977-1,$AV978/$AV977-1,$AW978/$AW977-1,$AX978/$AX977-1,$AY978/$AY977-1),"")</f>
        <v/>
      </c>
      <c r="DW977" s="66">
        <f>AVERAGE($CB977,$CC977,$CD977,$CE977,$CF977,$CG977,$CH977,$CI977,$CJ977,$CL977,$CM977,$CN977,$CO977,$CP977,$CQ977,$CR977,$CS977,$CT977)</f>
        <v/>
      </c>
      <c r="DX977" s="66">
        <f>AVERAGE($CB977,$CC977,$CM977,$CE977,$CP977)</f>
        <v/>
      </c>
      <c r="DY977" s="64">
        <f>($DW977-$DW978)*100</f>
        <v/>
      </c>
      <c r="DZ977" s="64">
        <f>($DX977-$DX978)*100</f>
        <v/>
      </c>
      <c r="EA977" s="64">
        <f>($DW977-$D977)*100</f>
        <v/>
      </c>
      <c r="EB977" s="64">
        <f>$Q977-$O977</f>
        <v/>
      </c>
      <c r="EC977" s="67">
        <f>IFERROR($Q977/$P977,"")</f>
        <v/>
      </c>
    </row>
    <row r="978">
      <c r="DG978" s="64">
        <f>($B978-$B979)*100</f>
        <v/>
      </c>
      <c r="DH978" s="64">
        <f>($D978-$D979)*100</f>
        <v/>
      </c>
      <c r="DI978" s="64">
        <f>($E978-$E979)*100</f>
        <v/>
      </c>
      <c r="DJ978" s="64">
        <f>($H978-$H979)*100</f>
        <v/>
      </c>
      <c r="DK978" s="65">
        <f>IFERROR($J978/$J979-1,"")</f>
        <v/>
      </c>
      <c r="DL978" s="64">
        <f>$L978-$L979</f>
        <v/>
      </c>
      <c r="DM978" s="64">
        <f>$K978-$K979</f>
        <v/>
      </c>
      <c r="DN978" s="65">
        <f>IFERROR($N978/$N979-1,"")</f>
        <v/>
      </c>
      <c r="DO978" s="65">
        <f>IFERROR($M978/$M979-1,"")</f>
        <v/>
      </c>
      <c r="DP978" s="65">
        <f>IFERROR($AZ978/$AZ979-1,"")</f>
        <v/>
      </c>
      <c r="DQ978" s="65">
        <f>IFERROR($BA978/$BA979-1,"")</f>
        <v/>
      </c>
      <c r="DR978" s="64">
        <f>$O978-$O979</f>
        <v/>
      </c>
      <c r="DS978" s="64">
        <f>$P978-$P979</f>
        <v/>
      </c>
      <c r="DT978" s="64">
        <f>$Q978-$Q979</f>
        <v/>
      </c>
      <c r="DU978" s="64">
        <f>$S978-$S979</f>
        <v/>
      </c>
      <c r="DV978" s="65">
        <f>IFERROR(AVERAGE($AA979/$AA978-1,$AB979/$AB978-1,$AC979/$AC978-1,$AD979/$AD978-1,$AE979/$AE978-1,$AG979/$AG978-1,$AH979/$AH978-1,$AI979/$AI978-1,$AJ979/$AJ978-1,$AL979/$AL978-1,$AM979/$AM978-1,$AR979/$AR978-1,$AS979/$AS978-1,$AT979/$AT978-1,$AU979/$AU978-1,$AV979/$AV978-1,$AW979/$AW978-1,$AX979/$AX978-1,$AY979/$AY978-1),"")</f>
        <v/>
      </c>
      <c r="DW978" s="66">
        <f>AVERAGE($CB978,$CC978,$CD978,$CE978,$CF978,$CG978,$CH978,$CI978,$CJ978,$CL978,$CM978,$CN978,$CO978,$CP978,$CQ978,$CR978,$CS978,$CT978)</f>
        <v/>
      </c>
      <c r="DX978" s="66">
        <f>AVERAGE($CB978,$CC978,$CM978,$CE978,$CP978)</f>
        <v/>
      </c>
      <c r="DY978" s="64">
        <f>($DW978-$DW979)*100</f>
        <v/>
      </c>
      <c r="DZ978" s="64">
        <f>($DX978-$DX979)*100</f>
        <v/>
      </c>
      <c r="EA978" s="64">
        <f>($DW978-$D978)*100</f>
        <v/>
      </c>
      <c r="EB978" s="64">
        <f>$Q978-$O978</f>
        <v/>
      </c>
      <c r="EC978" s="67">
        <f>IFERROR($Q978/$P978,"")</f>
        <v/>
      </c>
    </row>
    <row r="979">
      <c r="DG979" s="64">
        <f>($B979-$B980)*100</f>
        <v/>
      </c>
      <c r="DH979" s="64">
        <f>($D979-$D980)*100</f>
        <v/>
      </c>
      <c r="DI979" s="64">
        <f>($E979-$E980)*100</f>
        <v/>
      </c>
      <c r="DJ979" s="64">
        <f>($H979-$H980)*100</f>
        <v/>
      </c>
      <c r="DK979" s="65">
        <f>IFERROR($J979/$J980-1,"")</f>
        <v/>
      </c>
      <c r="DL979" s="64">
        <f>$L979-$L980</f>
        <v/>
      </c>
      <c r="DM979" s="64">
        <f>$K979-$K980</f>
        <v/>
      </c>
      <c r="DN979" s="65">
        <f>IFERROR($N979/$N980-1,"")</f>
        <v/>
      </c>
      <c r="DO979" s="65">
        <f>IFERROR($M979/$M980-1,"")</f>
        <v/>
      </c>
      <c r="DP979" s="65">
        <f>IFERROR($AZ979/$AZ980-1,"")</f>
        <v/>
      </c>
      <c r="DQ979" s="65">
        <f>IFERROR($BA979/$BA980-1,"")</f>
        <v/>
      </c>
      <c r="DR979" s="64">
        <f>$O979-$O980</f>
        <v/>
      </c>
      <c r="DS979" s="64">
        <f>$P979-$P980</f>
        <v/>
      </c>
      <c r="DT979" s="64">
        <f>$Q979-$Q980</f>
        <v/>
      </c>
      <c r="DU979" s="64">
        <f>$S979-$S980</f>
        <v/>
      </c>
      <c r="DV979" s="65">
        <f>IFERROR(AVERAGE($AA980/$AA979-1,$AB980/$AB979-1,$AC980/$AC979-1,$AD980/$AD979-1,$AE980/$AE979-1,$AG980/$AG979-1,$AH980/$AH979-1,$AI980/$AI979-1,$AJ980/$AJ979-1,$AL980/$AL979-1,$AM980/$AM979-1,$AR980/$AR979-1,$AS980/$AS979-1,$AT980/$AT979-1,$AU980/$AU979-1,$AV980/$AV979-1,$AW980/$AW979-1,$AX980/$AX979-1,$AY980/$AY979-1),"")</f>
        <v/>
      </c>
      <c r="DW979" s="66">
        <f>AVERAGE($CB979,$CC979,$CD979,$CE979,$CF979,$CG979,$CH979,$CI979,$CJ979,$CL979,$CM979,$CN979,$CO979,$CP979,$CQ979,$CR979,$CS979,$CT979)</f>
        <v/>
      </c>
      <c r="DX979" s="66">
        <f>AVERAGE($CB979,$CC979,$CM979,$CE979,$CP979)</f>
        <v/>
      </c>
      <c r="DY979" s="64">
        <f>($DW979-$DW980)*100</f>
        <v/>
      </c>
      <c r="DZ979" s="64">
        <f>($DX979-$DX980)*100</f>
        <v/>
      </c>
      <c r="EA979" s="64">
        <f>($DW979-$D979)*100</f>
        <v/>
      </c>
      <c r="EB979" s="64">
        <f>$Q979-$O979</f>
        <v/>
      </c>
      <c r="EC979" s="67">
        <f>IFERROR($Q979/$P979,"")</f>
        <v/>
      </c>
    </row>
    <row r="980">
      <c r="DG980" s="64">
        <f>($B980-$B981)*100</f>
        <v/>
      </c>
      <c r="DH980" s="64">
        <f>($D980-$D981)*100</f>
        <v/>
      </c>
      <c r="DI980" s="64">
        <f>($E980-$E981)*100</f>
        <v/>
      </c>
      <c r="DJ980" s="64">
        <f>($H980-$H981)*100</f>
        <v/>
      </c>
      <c r="DK980" s="65">
        <f>IFERROR($J980/$J981-1,"")</f>
        <v/>
      </c>
      <c r="DL980" s="64">
        <f>$L980-$L981</f>
        <v/>
      </c>
      <c r="DM980" s="64">
        <f>$K980-$K981</f>
        <v/>
      </c>
      <c r="DN980" s="65">
        <f>IFERROR($N980/$N981-1,"")</f>
        <v/>
      </c>
      <c r="DO980" s="65">
        <f>IFERROR($M980/$M981-1,"")</f>
        <v/>
      </c>
      <c r="DP980" s="65">
        <f>IFERROR($AZ980/$AZ981-1,"")</f>
        <v/>
      </c>
      <c r="DQ980" s="65">
        <f>IFERROR($BA980/$BA981-1,"")</f>
        <v/>
      </c>
      <c r="DR980" s="64">
        <f>$O980-$O981</f>
        <v/>
      </c>
      <c r="DS980" s="64">
        <f>$P980-$P981</f>
        <v/>
      </c>
      <c r="DT980" s="64">
        <f>$Q980-$Q981</f>
        <v/>
      </c>
      <c r="DU980" s="64">
        <f>$S980-$S981</f>
        <v/>
      </c>
      <c r="DV980" s="65">
        <f>IFERROR(AVERAGE($AA981/$AA980-1,$AB981/$AB980-1,$AC981/$AC980-1,$AD981/$AD980-1,$AE981/$AE980-1,$AG981/$AG980-1,$AH981/$AH980-1,$AI981/$AI980-1,$AJ981/$AJ980-1,$AL981/$AL980-1,$AM981/$AM980-1,$AR981/$AR980-1,$AS981/$AS980-1,$AT981/$AT980-1,$AU981/$AU980-1,$AV981/$AV980-1,$AW981/$AW980-1,$AX981/$AX980-1,$AY981/$AY980-1),"")</f>
        <v/>
      </c>
      <c r="DW980" s="66">
        <f>AVERAGE($CB980,$CC980,$CD980,$CE980,$CF980,$CG980,$CH980,$CI980,$CJ980,$CL980,$CM980,$CN980,$CO980,$CP980,$CQ980,$CR980,$CS980,$CT980)</f>
        <v/>
      </c>
      <c r="DX980" s="66">
        <f>AVERAGE($CB980,$CC980,$CM980,$CE980,$CP980)</f>
        <v/>
      </c>
      <c r="DY980" s="64">
        <f>($DW980-$DW981)*100</f>
        <v/>
      </c>
      <c r="DZ980" s="64">
        <f>($DX980-$DX981)*100</f>
        <v/>
      </c>
      <c r="EA980" s="64">
        <f>($DW980-$D980)*100</f>
        <v/>
      </c>
      <c r="EB980" s="64">
        <f>$Q980-$O980</f>
        <v/>
      </c>
      <c r="EC980" s="67">
        <f>IFERROR($Q980/$P980,"")</f>
        <v/>
      </c>
    </row>
    <row r="981">
      <c r="DG981" s="64">
        <f>($B981-$B982)*100</f>
        <v/>
      </c>
      <c r="DH981" s="64">
        <f>($D981-$D982)*100</f>
        <v/>
      </c>
      <c r="DI981" s="64">
        <f>($E981-$E982)*100</f>
        <v/>
      </c>
      <c r="DJ981" s="64">
        <f>($H981-$H982)*100</f>
        <v/>
      </c>
      <c r="DK981" s="65">
        <f>IFERROR($J981/$J982-1,"")</f>
        <v/>
      </c>
      <c r="DL981" s="64">
        <f>$L981-$L982</f>
        <v/>
      </c>
      <c r="DM981" s="64">
        <f>$K981-$K982</f>
        <v/>
      </c>
      <c r="DN981" s="65">
        <f>IFERROR($N981/$N982-1,"")</f>
        <v/>
      </c>
      <c r="DO981" s="65">
        <f>IFERROR($M981/$M982-1,"")</f>
        <v/>
      </c>
      <c r="DP981" s="65">
        <f>IFERROR($AZ981/$AZ982-1,"")</f>
        <v/>
      </c>
      <c r="DQ981" s="65">
        <f>IFERROR($BA981/$BA982-1,"")</f>
        <v/>
      </c>
      <c r="DR981" s="64">
        <f>$O981-$O982</f>
        <v/>
      </c>
      <c r="DS981" s="64">
        <f>$P981-$P982</f>
        <v/>
      </c>
      <c r="DT981" s="64">
        <f>$Q981-$Q982</f>
        <v/>
      </c>
      <c r="DU981" s="64">
        <f>$S981-$S982</f>
        <v/>
      </c>
      <c r="DV981" s="65">
        <f>IFERROR(AVERAGE($AA982/$AA981-1,$AB982/$AB981-1,$AC982/$AC981-1,$AD982/$AD981-1,$AE982/$AE981-1,$AG982/$AG981-1,$AH982/$AH981-1,$AI982/$AI981-1,$AJ982/$AJ981-1,$AL982/$AL981-1,$AM982/$AM981-1,$AR982/$AR981-1,$AS982/$AS981-1,$AT982/$AT981-1,$AU982/$AU981-1,$AV982/$AV981-1,$AW982/$AW981-1,$AX982/$AX981-1,$AY982/$AY981-1),"")</f>
        <v/>
      </c>
      <c r="DW981" s="66">
        <f>AVERAGE($CB981,$CC981,$CD981,$CE981,$CF981,$CG981,$CH981,$CI981,$CJ981,$CL981,$CM981,$CN981,$CO981,$CP981,$CQ981,$CR981,$CS981,$CT981)</f>
        <v/>
      </c>
      <c r="DX981" s="66">
        <f>AVERAGE($CB981,$CC981,$CM981,$CE981,$CP981)</f>
        <v/>
      </c>
      <c r="DY981" s="64">
        <f>($DW981-$DW982)*100</f>
        <v/>
      </c>
      <c r="DZ981" s="64">
        <f>($DX981-$DX982)*100</f>
        <v/>
      </c>
      <c r="EA981" s="64">
        <f>($DW981-$D981)*100</f>
        <v/>
      </c>
      <c r="EB981" s="64">
        <f>$Q981-$O981</f>
        <v/>
      </c>
      <c r="EC981" s="67">
        <f>IFERROR($Q981/$P981,"")</f>
        <v/>
      </c>
    </row>
    <row r="982">
      <c r="DG982" s="64">
        <f>($B982-$B983)*100</f>
        <v/>
      </c>
      <c r="DH982" s="64">
        <f>($D982-$D983)*100</f>
        <v/>
      </c>
      <c r="DI982" s="64">
        <f>($E982-$E983)*100</f>
        <v/>
      </c>
      <c r="DJ982" s="64">
        <f>($H982-$H983)*100</f>
        <v/>
      </c>
      <c r="DK982" s="65">
        <f>IFERROR($J982/$J983-1,"")</f>
        <v/>
      </c>
      <c r="DL982" s="64">
        <f>$L982-$L983</f>
        <v/>
      </c>
      <c r="DM982" s="64">
        <f>$K982-$K983</f>
        <v/>
      </c>
      <c r="DN982" s="65">
        <f>IFERROR($N982/$N983-1,"")</f>
        <v/>
      </c>
      <c r="DO982" s="65">
        <f>IFERROR($M982/$M983-1,"")</f>
        <v/>
      </c>
      <c r="DP982" s="65">
        <f>IFERROR($AZ982/$AZ983-1,"")</f>
        <v/>
      </c>
      <c r="DQ982" s="65">
        <f>IFERROR($BA982/$BA983-1,"")</f>
        <v/>
      </c>
      <c r="DR982" s="64">
        <f>$O982-$O983</f>
        <v/>
      </c>
      <c r="DS982" s="64">
        <f>$P982-$P983</f>
        <v/>
      </c>
      <c r="DT982" s="64">
        <f>$Q982-$Q983</f>
        <v/>
      </c>
      <c r="DU982" s="64">
        <f>$S982-$S983</f>
        <v/>
      </c>
      <c r="DV982" s="65">
        <f>IFERROR(AVERAGE($AA983/$AA982-1,$AB983/$AB982-1,$AC983/$AC982-1,$AD983/$AD982-1,$AE983/$AE982-1,$AG983/$AG982-1,$AH983/$AH982-1,$AI983/$AI982-1,$AJ983/$AJ982-1,$AL983/$AL982-1,$AM983/$AM982-1,$AR983/$AR982-1,$AS983/$AS982-1,$AT983/$AT982-1,$AU983/$AU982-1,$AV983/$AV982-1,$AW983/$AW982-1,$AX983/$AX982-1,$AY983/$AY982-1),"")</f>
        <v/>
      </c>
      <c r="DW982" s="66">
        <f>AVERAGE($CB982,$CC982,$CD982,$CE982,$CF982,$CG982,$CH982,$CI982,$CJ982,$CL982,$CM982,$CN982,$CO982,$CP982,$CQ982,$CR982,$CS982,$CT982)</f>
        <v/>
      </c>
      <c r="DX982" s="66">
        <f>AVERAGE($CB982,$CC982,$CM982,$CE982,$CP982)</f>
        <v/>
      </c>
      <c r="DY982" s="64">
        <f>($DW982-$DW983)*100</f>
        <v/>
      </c>
      <c r="DZ982" s="64">
        <f>($DX982-$DX983)*100</f>
        <v/>
      </c>
      <c r="EA982" s="64">
        <f>($DW982-$D982)*100</f>
        <v/>
      </c>
      <c r="EB982" s="64">
        <f>$Q982-$O982</f>
        <v/>
      </c>
      <c r="EC982" s="67">
        <f>IFERROR($Q982/$P982,"")</f>
        <v/>
      </c>
    </row>
    <row r="983">
      <c r="DG983" s="64">
        <f>($B983-$B984)*100</f>
        <v/>
      </c>
      <c r="DH983" s="64">
        <f>($D983-$D984)*100</f>
        <v/>
      </c>
      <c r="DI983" s="64">
        <f>($E983-$E984)*100</f>
        <v/>
      </c>
      <c r="DJ983" s="64">
        <f>($H983-$H984)*100</f>
        <v/>
      </c>
      <c r="DK983" s="65">
        <f>IFERROR($J983/$J984-1,"")</f>
        <v/>
      </c>
      <c r="DL983" s="64">
        <f>$L983-$L984</f>
        <v/>
      </c>
      <c r="DM983" s="64">
        <f>$K983-$K984</f>
        <v/>
      </c>
      <c r="DN983" s="65">
        <f>IFERROR($N983/$N984-1,"")</f>
        <v/>
      </c>
      <c r="DO983" s="65">
        <f>IFERROR($M983/$M984-1,"")</f>
        <v/>
      </c>
      <c r="DP983" s="65">
        <f>IFERROR($AZ983/$AZ984-1,"")</f>
        <v/>
      </c>
      <c r="DQ983" s="65">
        <f>IFERROR($BA983/$BA984-1,"")</f>
        <v/>
      </c>
      <c r="DR983" s="64">
        <f>$O983-$O984</f>
        <v/>
      </c>
      <c r="DS983" s="64">
        <f>$P983-$P984</f>
        <v/>
      </c>
      <c r="DT983" s="64">
        <f>$Q983-$Q984</f>
        <v/>
      </c>
      <c r="DU983" s="64">
        <f>$S983-$S984</f>
        <v/>
      </c>
      <c r="DV983" s="65">
        <f>IFERROR(AVERAGE($AA984/$AA983-1,$AB984/$AB983-1,$AC984/$AC983-1,$AD984/$AD983-1,$AE984/$AE983-1,$AG984/$AG983-1,$AH984/$AH983-1,$AI984/$AI983-1,$AJ984/$AJ983-1,$AL984/$AL983-1,$AM984/$AM983-1,$AR984/$AR983-1,$AS984/$AS983-1,$AT984/$AT983-1,$AU984/$AU983-1,$AV984/$AV983-1,$AW984/$AW983-1,$AX984/$AX983-1,$AY984/$AY983-1),"")</f>
        <v/>
      </c>
      <c r="DW983" s="66">
        <f>AVERAGE($CB983,$CC983,$CD983,$CE983,$CF983,$CG983,$CH983,$CI983,$CJ983,$CL983,$CM983,$CN983,$CO983,$CP983,$CQ983,$CR983,$CS983,$CT983)</f>
        <v/>
      </c>
      <c r="DX983" s="66">
        <f>AVERAGE($CB983,$CC983,$CM983,$CE983,$CP983)</f>
        <v/>
      </c>
      <c r="DY983" s="64">
        <f>($DW983-$DW984)*100</f>
        <v/>
      </c>
      <c r="DZ983" s="64">
        <f>($DX983-$DX984)*100</f>
        <v/>
      </c>
      <c r="EA983" s="64">
        <f>($DW983-$D983)*100</f>
        <v/>
      </c>
      <c r="EB983" s="64">
        <f>$Q983-$O983</f>
        <v/>
      </c>
      <c r="EC983" s="67">
        <f>IFERROR($Q983/$P983,"")</f>
        <v/>
      </c>
    </row>
    <row r="984">
      <c r="DG984" s="64">
        <f>($B984-$B985)*100</f>
        <v/>
      </c>
      <c r="DH984" s="64">
        <f>($D984-$D985)*100</f>
        <v/>
      </c>
      <c r="DI984" s="64">
        <f>($E984-$E985)*100</f>
        <v/>
      </c>
      <c r="DJ984" s="64">
        <f>($H984-$H985)*100</f>
        <v/>
      </c>
      <c r="DK984" s="65">
        <f>IFERROR($J984/$J985-1,"")</f>
        <v/>
      </c>
      <c r="DL984" s="64">
        <f>$L984-$L985</f>
        <v/>
      </c>
      <c r="DM984" s="64">
        <f>$K984-$K985</f>
        <v/>
      </c>
      <c r="DN984" s="65">
        <f>IFERROR($N984/$N985-1,"")</f>
        <v/>
      </c>
      <c r="DO984" s="65">
        <f>IFERROR($M984/$M985-1,"")</f>
        <v/>
      </c>
      <c r="DP984" s="65">
        <f>IFERROR($AZ984/$AZ985-1,"")</f>
        <v/>
      </c>
      <c r="DQ984" s="65">
        <f>IFERROR($BA984/$BA985-1,"")</f>
        <v/>
      </c>
      <c r="DR984" s="64">
        <f>$O984-$O985</f>
        <v/>
      </c>
      <c r="DS984" s="64">
        <f>$P984-$P985</f>
        <v/>
      </c>
      <c r="DT984" s="64">
        <f>$Q984-$Q985</f>
        <v/>
      </c>
      <c r="DU984" s="64">
        <f>$S984-$S985</f>
        <v/>
      </c>
      <c r="DV984" s="65">
        <f>IFERROR(AVERAGE($AA985/$AA984-1,$AB985/$AB984-1,$AC985/$AC984-1,$AD985/$AD984-1,$AE985/$AE984-1,$AG985/$AG984-1,$AH985/$AH984-1,$AI985/$AI984-1,$AJ985/$AJ984-1,$AL985/$AL984-1,$AM985/$AM984-1,$AR985/$AR984-1,$AS985/$AS984-1,$AT985/$AT984-1,$AU985/$AU984-1,$AV985/$AV984-1,$AW985/$AW984-1,$AX985/$AX984-1,$AY985/$AY984-1),"")</f>
        <v/>
      </c>
      <c r="DW984" s="66">
        <f>AVERAGE($CB984,$CC984,$CD984,$CE984,$CF984,$CG984,$CH984,$CI984,$CJ984,$CL984,$CM984,$CN984,$CO984,$CP984,$CQ984,$CR984,$CS984,$CT984)</f>
        <v/>
      </c>
      <c r="DX984" s="66">
        <f>AVERAGE($CB984,$CC984,$CM984,$CE984,$CP984)</f>
        <v/>
      </c>
      <c r="DY984" s="64">
        <f>($DW984-$DW985)*100</f>
        <v/>
      </c>
      <c r="DZ984" s="64">
        <f>($DX984-$DX985)*100</f>
        <v/>
      </c>
      <c r="EA984" s="64">
        <f>($DW984-$D984)*100</f>
        <v/>
      </c>
      <c r="EB984" s="64">
        <f>$Q984-$O984</f>
        <v/>
      </c>
      <c r="EC984" s="67">
        <f>IFERROR($Q984/$P984,"")</f>
        <v/>
      </c>
    </row>
    <row r="985">
      <c r="DG985" s="64">
        <f>($B985-$B986)*100</f>
        <v/>
      </c>
      <c r="DH985" s="64">
        <f>($D985-$D986)*100</f>
        <v/>
      </c>
      <c r="DI985" s="64">
        <f>($E985-$E986)*100</f>
        <v/>
      </c>
      <c r="DJ985" s="64">
        <f>($H985-$H986)*100</f>
        <v/>
      </c>
      <c r="DK985" s="65">
        <f>IFERROR($J985/$J986-1,"")</f>
        <v/>
      </c>
      <c r="DL985" s="64">
        <f>$L985-$L986</f>
        <v/>
      </c>
      <c r="DM985" s="64">
        <f>$K985-$K986</f>
        <v/>
      </c>
      <c r="DN985" s="65">
        <f>IFERROR($N985/$N986-1,"")</f>
        <v/>
      </c>
      <c r="DO985" s="65">
        <f>IFERROR($M985/$M986-1,"")</f>
        <v/>
      </c>
      <c r="DP985" s="65">
        <f>IFERROR($AZ985/$AZ986-1,"")</f>
        <v/>
      </c>
      <c r="DQ985" s="65">
        <f>IFERROR($BA985/$BA986-1,"")</f>
        <v/>
      </c>
      <c r="DR985" s="64">
        <f>$O985-$O986</f>
        <v/>
      </c>
      <c r="DS985" s="64">
        <f>$P985-$P986</f>
        <v/>
      </c>
      <c r="DT985" s="64">
        <f>$Q985-$Q986</f>
        <v/>
      </c>
      <c r="DU985" s="64">
        <f>$S985-$S986</f>
        <v/>
      </c>
      <c r="DV985" s="65">
        <f>IFERROR(AVERAGE($AA986/$AA985-1,$AB986/$AB985-1,$AC986/$AC985-1,$AD986/$AD985-1,$AE986/$AE985-1,$AG986/$AG985-1,$AH986/$AH985-1,$AI986/$AI985-1,$AJ986/$AJ985-1,$AL986/$AL985-1,$AM986/$AM985-1,$AR986/$AR985-1,$AS986/$AS985-1,$AT986/$AT985-1,$AU986/$AU985-1,$AV986/$AV985-1,$AW986/$AW985-1,$AX986/$AX985-1,$AY986/$AY985-1),"")</f>
        <v/>
      </c>
      <c r="DW985" s="66">
        <f>AVERAGE($CB985,$CC985,$CD985,$CE985,$CF985,$CG985,$CH985,$CI985,$CJ985,$CL985,$CM985,$CN985,$CO985,$CP985,$CQ985,$CR985,$CS985,$CT985)</f>
        <v/>
      </c>
      <c r="DX985" s="66">
        <f>AVERAGE($CB985,$CC985,$CM985,$CE985,$CP985)</f>
        <v/>
      </c>
      <c r="DY985" s="64">
        <f>($DW985-$DW986)*100</f>
        <v/>
      </c>
      <c r="DZ985" s="64">
        <f>($DX985-$DX986)*100</f>
        <v/>
      </c>
      <c r="EA985" s="64">
        <f>($DW985-$D985)*100</f>
        <v/>
      </c>
      <c r="EB985" s="64">
        <f>$Q985-$O985</f>
        <v/>
      </c>
      <c r="EC985" s="67">
        <f>IFERROR($Q985/$P985,"")</f>
        <v/>
      </c>
    </row>
    <row r="986">
      <c r="DG986" s="64">
        <f>($B986-$B987)*100</f>
        <v/>
      </c>
      <c r="DH986" s="64">
        <f>($D986-$D987)*100</f>
        <v/>
      </c>
      <c r="DI986" s="64">
        <f>($E986-$E987)*100</f>
        <v/>
      </c>
      <c r="DJ986" s="64">
        <f>($H986-$H987)*100</f>
        <v/>
      </c>
      <c r="DK986" s="65">
        <f>IFERROR($J986/$J987-1,"")</f>
        <v/>
      </c>
      <c r="DL986" s="64">
        <f>$L986-$L987</f>
        <v/>
      </c>
      <c r="DM986" s="64">
        <f>$K986-$K987</f>
        <v/>
      </c>
      <c r="DN986" s="65">
        <f>IFERROR($N986/$N987-1,"")</f>
        <v/>
      </c>
      <c r="DO986" s="65">
        <f>IFERROR($M986/$M987-1,"")</f>
        <v/>
      </c>
      <c r="DP986" s="65">
        <f>IFERROR($AZ986/$AZ987-1,"")</f>
        <v/>
      </c>
      <c r="DQ986" s="65">
        <f>IFERROR($BA986/$BA987-1,"")</f>
        <v/>
      </c>
      <c r="DR986" s="64">
        <f>$O986-$O987</f>
        <v/>
      </c>
      <c r="DS986" s="64">
        <f>$P986-$P987</f>
        <v/>
      </c>
      <c r="DT986" s="64">
        <f>$Q986-$Q987</f>
        <v/>
      </c>
      <c r="DU986" s="64">
        <f>$S986-$S987</f>
        <v/>
      </c>
      <c r="DV986" s="65">
        <f>IFERROR(AVERAGE($AA987/$AA986-1,$AB987/$AB986-1,$AC987/$AC986-1,$AD987/$AD986-1,$AE987/$AE986-1,$AG987/$AG986-1,$AH987/$AH986-1,$AI987/$AI986-1,$AJ987/$AJ986-1,$AL987/$AL986-1,$AM987/$AM986-1,$AR987/$AR986-1,$AS987/$AS986-1,$AT987/$AT986-1,$AU987/$AU986-1,$AV987/$AV986-1,$AW987/$AW986-1,$AX987/$AX986-1,$AY987/$AY986-1),"")</f>
        <v/>
      </c>
      <c r="DW986" s="66">
        <f>AVERAGE($CB986,$CC986,$CD986,$CE986,$CF986,$CG986,$CH986,$CI986,$CJ986,$CL986,$CM986,$CN986,$CO986,$CP986,$CQ986,$CR986,$CS986,$CT986)</f>
        <v/>
      </c>
      <c r="DX986" s="66">
        <f>AVERAGE($CB986,$CC986,$CM986,$CE986,$CP986)</f>
        <v/>
      </c>
      <c r="DY986" s="64">
        <f>($DW986-$DW987)*100</f>
        <v/>
      </c>
      <c r="DZ986" s="64">
        <f>($DX986-$DX987)*100</f>
        <v/>
      </c>
      <c r="EA986" s="64">
        <f>($DW986-$D986)*100</f>
        <v/>
      </c>
      <c r="EB986" s="64">
        <f>$Q986-$O986</f>
        <v/>
      </c>
      <c r="EC986" s="67">
        <f>IFERROR($Q986/$P986,"")</f>
        <v/>
      </c>
    </row>
    <row r="987">
      <c r="DG987" s="64">
        <f>($B987-$B988)*100</f>
        <v/>
      </c>
      <c r="DH987" s="64">
        <f>($D987-$D988)*100</f>
        <v/>
      </c>
      <c r="DI987" s="64">
        <f>($E987-$E988)*100</f>
        <v/>
      </c>
      <c r="DJ987" s="64">
        <f>($H987-$H988)*100</f>
        <v/>
      </c>
      <c r="DK987" s="65">
        <f>IFERROR($J987/$J988-1,"")</f>
        <v/>
      </c>
      <c r="DL987" s="64">
        <f>$L987-$L988</f>
        <v/>
      </c>
      <c r="DM987" s="64">
        <f>$K987-$K988</f>
        <v/>
      </c>
      <c r="DN987" s="65">
        <f>IFERROR($N987/$N988-1,"")</f>
        <v/>
      </c>
      <c r="DO987" s="65">
        <f>IFERROR($M987/$M988-1,"")</f>
        <v/>
      </c>
      <c r="DP987" s="65">
        <f>IFERROR($AZ987/$AZ988-1,"")</f>
        <v/>
      </c>
      <c r="DQ987" s="65">
        <f>IFERROR($BA987/$BA988-1,"")</f>
        <v/>
      </c>
      <c r="DR987" s="64">
        <f>$O987-$O988</f>
        <v/>
      </c>
      <c r="DS987" s="64">
        <f>$P987-$P988</f>
        <v/>
      </c>
      <c r="DT987" s="64">
        <f>$Q987-$Q988</f>
        <v/>
      </c>
      <c r="DU987" s="64">
        <f>$S987-$S988</f>
        <v/>
      </c>
      <c r="DV987" s="65">
        <f>IFERROR(AVERAGE($AA988/$AA987-1,$AB988/$AB987-1,$AC988/$AC987-1,$AD988/$AD987-1,$AE988/$AE987-1,$AG988/$AG987-1,$AH988/$AH987-1,$AI988/$AI987-1,$AJ988/$AJ987-1,$AL988/$AL987-1,$AM988/$AM987-1,$AR988/$AR987-1,$AS988/$AS987-1,$AT988/$AT987-1,$AU988/$AU987-1,$AV988/$AV987-1,$AW988/$AW987-1,$AX988/$AX987-1,$AY988/$AY987-1),"")</f>
        <v/>
      </c>
      <c r="DW987" s="66">
        <f>AVERAGE($CB987,$CC987,$CD987,$CE987,$CF987,$CG987,$CH987,$CI987,$CJ987,$CL987,$CM987,$CN987,$CO987,$CP987,$CQ987,$CR987,$CS987,$CT987)</f>
        <v/>
      </c>
      <c r="DX987" s="66">
        <f>AVERAGE($CB987,$CC987,$CM987,$CE987,$CP987)</f>
        <v/>
      </c>
      <c r="DY987" s="64">
        <f>($DW987-$DW988)*100</f>
        <v/>
      </c>
      <c r="DZ987" s="64">
        <f>($DX987-$DX988)*100</f>
        <v/>
      </c>
      <c r="EA987" s="64">
        <f>($DW987-$D987)*100</f>
        <v/>
      </c>
      <c r="EB987" s="64">
        <f>$Q987-$O987</f>
        <v/>
      </c>
      <c r="EC987" s="67">
        <f>IFERROR($Q987/$P987,"")</f>
        <v/>
      </c>
    </row>
    <row r="988">
      <c r="DG988" s="64">
        <f>($B988-$B989)*100</f>
        <v/>
      </c>
      <c r="DH988" s="64">
        <f>($D988-$D989)*100</f>
        <v/>
      </c>
      <c r="DI988" s="64">
        <f>($E988-$E989)*100</f>
        <v/>
      </c>
      <c r="DJ988" s="64">
        <f>($H988-$H989)*100</f>
        <v/>
      </c>
      <c r="DK988" s="65">
        <f>IFERROR($J988/$J989-1,"")</f>
        <v/>
      </c>
      <c r="DL988" s="64">
        <f>$L988-$L989</f>
        <v/>
      </c>
      <c r="DM988" s="64">
        <f>$K988-$K989</f>
        <v/>
      </c>
      <c r="DN988" s="65">
        <f>IFERROR($N988/$N989-1,"")</f>
        <v/>
      </c>
      <c r="DO988" s="65">
        <f>IFERROR($M988/$M989-1,"")</f>
        <v/>
      </c>
      <c r="DP988" s="65">
        <f>IFERROR($AZ988/$AZ989-1,"")</f>
        <v/>
      </c>
      <c r="DQ988" s="65">
        <f>IFERROR($BA988/$BA989-1,"")</f>
        <v/>
      </c>
      <c r="DR988" s="64">
        <f>$O988-$O989</f>
        <v/>
      </c>
      <c r="DS988" s="64">
        <f>$P988-$P989</f>
        <v/>
      </c>
      <c r="DT988" s="64">
        <f>$Q988-$Q989</f>
        <v/>
      </c>
      <c r="DU988" s="64">
        <f>$S988-$S989</f>
        <v/>
      </c>
      <c r="DV988" s="65">
        <f>IFERROR(AVERAGE($AA989/$AA988-1,$AB989/$AB988-1,$AC989/$AC988-1,$AD989/$AD988-1,$AE989/$AE988-1,$AG989/$AG988-1,$AH989/$AH988-1,$AI989/$AI988-1,$AJ989/$AJ988-1,$AL989/$AL988-1,$AM989/$AM988-1,$AR989/$AR988-1,$AS989/$AS988-1,$AT989/$AT988-1,$AU989/$AU988-1,$AV989/$AV988-1,$AW989/$AW988-1,$AX989/$AX988-1,$AY989/$AY988-1),"")</f>
        <v/>
      </c>
      <c r="DW988" s="66">
        <f>AVERAGE($CB988,$CC988,$CD988,$CE988,$CF988,$CG988,$CH988,$CI988,$CJ988,$CL988,$CM988,$CN988,$CO988,$CP988,$CQ988,$CR988,$CS988,$CT988)</f>
        <v/>
      </c>
      <c r="DX988" s="66">
        <f>AVERAGE($CB988,$CC988,$CM988,$CE988,$CP988)</f>
        <v/>
      </c>
      <c r="DY988" s="64">
        <f>($DW988-$DW989)*100</f>
        <v/>
      </c>
      <c r="DZ988" s="64">
        <f>($DX988-$DX989)*100</f>
        <v/>
      </c>
      <c r="EA988" s="64">
        <f>($DW988-$D988)*100</f>
        <v/>
      </c>
      <c r="EB988" s="64">
        <f>$Q988-$O988</f>
        <v/>
      </c>
      <c r="EC988" s="67">
        <f>IFERROR($Q988/$P988,"")</f>
        <v/>
      </c>
    </row>
    <row r="989">
      <c r="DG989" s="64">
        <f>($B989-$B990)*100</f>
        <v/>
      </c>
      <c r="DH989" s="64">
        <f>($D989-$D990)*100</f>
        <v/>
      </c>
      <c r="DI989" s="64">
        <f>($E989-$E990)*100</f>
        <v/>
      </c>
      <c r="DJ989" s="64">
        <f>($H989-$H990)*100</f>
        <v/>
      </c>
      <c r="DK989" s="65">
        <f>IFERROR($J989/$J990-1,"")</f>
        <v/>
      </c>
      <c r="DL989" s="64">
        <f>$L989-$L990</f>
        <v/>
      </c>
      <c r="DM989" s="64">
        <f>$K989-$K990</f>
        <v/>
      </c>
      <c r="DN989" s="65">
        <f>IFERROR($N989/$N990-1,"")</f>
        <v/>
      </c>
      <c r="DO989" s="65">
        <f>IFERROR($M989/$M990-1,"")</f>
        <v/>
      </c>
      <c r="DP989" s="65">
        <f>IFERROR($AZ989/$AZ990-1,"")</f>
        <v/>
      </c>
      <c r="DQ989" s="65">
        <f>IFERROR($BA989/$BA990-1,"")</f>
        <v/>
      </c>
      <c r="DR989" s="64">
        <f>$O989-$O990</f>
        <v/>
      </c>
      <c r="DS989" s="64">
        <f>$P989-$P990</f>
        <v/>
      </c>
      <c r="DT989" s="64">
        <f>$Q989-$Q990</f>
        <v/>
      </c>
      <c r="DU989" s="64">
        <f>$S989-$S990</f>
        <v/>
      </c>
      <c r="DV989" s="65">
        <f>IFERROR(AVERAGE($AA990/$AA989-1,$AB990/$AB989-1,$AC990/$AC989-1,$AD990/$AD989-1,$AE990/$AE989-1,$AG990/$AG989-1,$AH990/$AH989-1,$AI990/$AI989-1,$AJ990/$AJ989-1,$AL990/$AL989-1,$AM990/$AM989-1,$AR990/$AR989-1,$AS990/$AS989-1,$AT990/$AT989-1,$AU990/$AU989-1,$AV990/$AV989-1,$AW990/$AW989-1,$AX990/$AX989-1,$AY990/$AY989-1),"")</f>
        <v/>
      </c>
      <c r="DW989" s="66">
        <f>AVERAGE($CB989,$CC989,$CD989,$CE989,$CF989,$CG989,$CH989,$CI989,$CJ989,$CL989,$CM989,$CN989,$CO989,$CP989,$CQ989,$CR989,$CS989,$CT989)</f>
        <v/>
      </c>
      <c r="DX989" s="66">
        <f>AVERAGE($CB989,$CC989,$CM989,$CE989,$CP989)</f>
        <v/>
      </c>
      <c r="DY989" s="64">
        <f>($DW989-$DW990)*100</f>
        <v/>
      </c>
      <c r="DZ989" s="64">
        <f>($DX989-$DX990)*100</f>
        <v/>
      </c>
      <c r="EA989" s="64">
        <f>($DW989-$D989)*100</f>
        <v/>
      </c>
      <c r="EB989" s="64">
        <f>$Q989-$O989</f>
        <v/>
      </c>
      <c r="EC989" s="67">
        <f>IFERROR($Q989/$P989,"")</f>
        <v/>
      </c>
    </row>
    <row r="990">
      <c r="DG990" s="64">
        <f>($B990-$B991)*100</f>
        <v/>
      </c>
      <c r="DH990" s="64">
        <f>($D990-$D991)*100</f>
        <v/>
      </c>
      <c r="DI990" s="64">
        <f>($E990-$E991)*100</f>
        <v/>
      </c>
      <c r="DJ990" s="64">
        <f>($H990-$H991)*100</f>
        <v/>
      </c>
      <c r="DK990" s="65">
        <f>IFERROR($J990/$J991-1,"")</f>
        <v/>
      </c>
      <c r="DL990" s="64">
        <f>$L990-$L991</f>
        <v/>
      </c>
      <c r="DM990" s="64">
        <f>$K990-$K991</f>
        <v/>
      </c>
      <c r="DN990" s="65">
        <f>IFERROR($N990/$N991-1,"")</f>
        <v/>
      </c>
      <c r="DO990" s="65">
        <f>IFERROR($M990/$M991-1,"")</f>
        <v/>
      </c>
      <c r="DP990" s="65">
        <f>IFERROR($AZ990/$AZ991-1,"")</f>
        <v/>
      </c>
      <c r="DQ990" s="65">
        <f>IFERROR($BA990/$BA991-1,"")</f>
        <v/>
      </c>
      <c r="DR990" s="64">
        <f>$O990-$O991</f>
        <v/>
      </c>
      <c r="DS990" s="64">
        <f>$P990-$P991</f>
        <v/>
      </c>
      <c r="DT990" s="64">
        <f>$Q990-$Q991</f>
        <v/>
      </c>
      <c r="DU990" s="64">
        <f>$S990-$S991</f>
        <v/>
      </c>
      <c r="DV990" s="65">
        <f>IFERROR(AVERAGE($AA991/$AA990-1,$AB991/$AB990-1,$AC991/$AC990-1,$AD991/$AD990-1,$AE991/$AE990-1,$AG991/$AG990-1,$AH991/$AH990-1,$AI991/$AI990-1,$AJ991/$AJ990-1,$AL991/$AL990-1,$AM991/$AM990-1,$AR991/$AR990-1,$AS991/$AS990-1,$AT991/$AT990-1,$AU991/$AU990-1,$AV991/$AV990-1,$AW991/$AW990-1,$AX991/$AX990-1,$AY991/$AY990-1),"")</f>
        <v/>
      </c>
      <c r="DW990" s="66">
        <f>AVERAGE($CB990,$CC990,$CD990,$CE990,$CF990,$CG990,$CH990,$CI990,$CJ990,$CL990,$CM990,$CN990,$CO990,$CP990,$CQ990,$CR990,$CS990,$CT990)</f>
        <v/>
      </c>
      <c r="DX990" s="66">
        <f>AVERAGE($CB990,$CC990,$CM990,$CE990,$CP990)</f>
        <v/>
      </c>
      <c r="DY990" s="64">
        <f>($DW990-$DW991)*100</f>
        <v/>
      </c>
      <c r="DZ990" s="64">
        <f>($DX990-$DX991)*100</f>
        <v/>
      </c>
      <c r="EA990" s="64">
        <f>($DW990-$D990)*100</f>
        <v/>
      </c>
      <c r="EB990" s="64">
        <f>$Q990-$O990</f>
        <v/>
      </c>
      <c r="EC990" s="67">
        <f>IFERROR($Q990/$P990,"")</f>
        <v/>
      </c>
    </row>
    <row r="991">
      <c r="DG991" s="64">
        <f>($B991-$B992)*100</f>
        <v/>
      </c>
      <c r="DH991" s="64">
        <f>($D991-$D992)*100</f>
        <v/>
      </c>
      <c r="DI991" s="64">
        <f>($E991-$E992)*100</f>
        <v/>
      </c>
      <c r="DJ991" s="64">
        <f>($H991-$H992)*100</f>
        <v/>
      </c>
      <c r="DK991" s="65">
        <f>IFERROR($J991/$J992-1,"")</f>
        <v/>
      </c>
      <c r="DL991" s="64">
        <f>$L991-$L992</f>
        <v/>
      </c>
      <c r="DM991" s="64">
        <f>$K991-$K992</f>
        <v/>
      </c>
      <c r="DN991" s="65">
        <f>IFERROR($N991/$N992-1,"")</f>
        <v/>
      </c>
      <c r="DO991" s="65">
        <f>IFERROR($M991/$M992-1,"")</f>
        <v/>
      </c>
      <c r="DP991" s="65">
        <f>IFERROR($AZ991/$AZ992-1,"")</f>
        <v/>
      </c>
      <c r="DQ991" s="65">
        <f>IFERROR($BA991/$BA992-1,"")</f>
        <v/>
      </c>
      <c r="DR991" s="64">
        <f>$O991-$O992</f>
        <v/>
      </c>
      <c r="DS991" s="64">
        <f>$P991-$P992</f>
        <v/>
      </c>
      <c r="DT991" s="64">
        <f>$Q991-$Q992</f>
        <v/>
      </c>
      <c r="DU991" s="64">
        <f>$S991-$S992</f>
        <v/>
      </c>
      <c r="DV991" s="65">
        <f>IFERROR(AVERAGE($AA992/$AA991-1,$AB992/$AB991-1,$AC992/$AC991-1,$AD992/$AD991-1,$AE992/$AE991-1,$AG992/$AG991-1,$AH992/$AH991-1,$AI992/$AI991-1,$AJ992/$AJ991-1,$AL992/$AL991-1,$AM992/$AM991-1,$AR992/$AR991-1,$AS992/$AS991-1,$AT992/$AT991-1,$AU992/$AU991-1,$AV992/$AV991-1,$AW992/$AW991-1,$AX992/$AX991-1,$AY992/$AY991-1),"")</f>
        <v/>
      </c>
      <c r="DW991" s="66">
        <f>AVERAGE($CB991,$CC991,$CD991,$CE991,$CF991,$CG991,$CH991,$CI991,$CJ991,$CL991,$CM991,$CN991,$CO991,$CP991,$CQ991,$CR991,$CS991,$CT991)</f>
        <v/>
      </c>
      <c r="DX991" s="66">
        <f>AVERAGE($CB991,$CC991,$CM991,$CE991,$CP991)</f>
        <v/>
      </c>
      <c r="DY991" s="64">
        <f>($DW991-$DW992)*100</f>
        <v/>
      </c>
      <c r="DZ991" s="64">
        <f>($DX991-$DX992)*100</f>
        <v/>
      </c>
      <c r="EA991" s="64">
        <f>($DW991-$D991)*100</f>
        <v/>
      </c>
      <c r="EB991" s="64">
        <f>$Q991-$O991</f>
        <v/>
      </c>
      <c r="EC991" s="67">
        <f>IFERROR($Q991/$P991,"")</f>
        <v/>
      </c>
    </row>
    <row r="992">
      <c r="DG992" s="64">
        <f>($B992-$B993)*100</f>
        <v/>
      </c>
      <c r="DH992" s="64">
        <f>($D992-$D993)*100</f>
        <v/>
      </c>
      <c r="DI992" s="64">
        <f>($E992-$E993)*100</f>
        <v/>
      </c>
      <c r="DJ992" s="64">
        <f>($H992-$H993)*100</f>
        <v/>
      </c>
      <c r="DK992" s="65">
        <f>IFERROR($J992/$J993-1,"")</f>
        <v/>
      </c>
      <c r="DL992" s="64">
        <f>$L992-$L993</f>
        <v/>
      </c>
      <c r="DM992" s="64">
        <f>$K992-$K993</f>
        <v/>
      </c>
      <c r="DN992" s="65">
        <f>IFERROR($N992/$N993-1,"")</f>
        <v/>
      </c>
      <c r="DO992" s="65">
        <f>IFERROR($M992/$M993-1,"")</f>
        <v/>
      </c>
      <c r="DP992" s="65">
        <f>IFERROR($AZ992/$AZ993-1,"")</f>
        <v/>
      </c>
      <c r="DQ992" s="65">
        <f>IFERROR($BA992/$BA993-1,"")</f>
        <v/>
      </c>
      <c r="DR992" s="64">
        <f>$O992-$O993</f>
        <v/>
      </c>
      <c r="DS992" s="64">
        <f>$P992-$P993</f>
        <v/>
      </c>
      <c r="DT992" s="64">
        <f>$Q992-$Q993</f>
        <v/>
      </c>
      <c r="DU992" s="64">
        <f>$S992-$S993</f>
        <v/>
      </c>
      <c r="DV992" s="65">
        <f>IFERROR(AVERAGE($AA993/$AA992-1,$AB993/$AB992-1,$AC993/$AC992-1,$AD993/$AD992-1,$AE993/$AE992-1,$AG993/$AG992-1,$AH993/$AH992-1,$AI993/$AI992-1,$AJ993/$AJ992-1,$AL993/$AL992-1,$AM993/$AM992-1,$AR993/$AR992-1,$AS993/$AS992-1,$AT993/$AT992-1,$AU993/$AU992-1,$AV993/$AV992-1,$AW993/$AW992-1,$AX993/$AX992-1,$AY993/$AY992-1),"")</f>
        <v/>
      </c>
      <c r="DW992" s="66">
        <f>AVERAGE($CB992,$CC992,$CD992,$CE992,$CF992,$CG992,$CH992,$CI992,$CJ992,$CL992,$CM992,$CN992,$CO992,$CP992,$CQ992,$CR992,$CS992,$CT992)</f>
        <v/>
      </c>
      <c r="DX992" s="66">
        <f>AVERAGE($CB992,$CC992,$CM992,$CE992,$CP992)</f>
        <v/>
      </c>
      <c r="DY992" s="64">
        <f>($DW992-$DW993)*100</f>
        <v/>
      </c>
      <c r="DZ992" s="64">
        <f>($DX992-$DX993)*100</f>
        <v/>
      </c>
      <c r="EA992" s="64">
        <f>($DW992-$D992)*100</f>
        <v/>
      </c>
      <c r="EB992" s="64">
        <f>$Q992-$O992</f>
        <v/>
      </c>
      <c r="EC992" s="67">
        <f>IFERROR($Q992/$P992,"")</f>
        <v/>
      </c>
    </row>
    <row r="993">
      <c r="DG993" s="64">
        <f>($B993-$B994)*100</f>
        <v/>
      </c>
      <c r="DH993" s="64">
        <f>($D993-$D994)*100</f>
        <v/>
      </c>
      <c r="DI993" s="64">
        <f>($E993-$E994)*100</f>
        <v/>
      </c>
      <c r="DJ993" s="64">
        <f>($H993-$H994)*100</f>
        <v/>
      </c>
      <c r="DK993" s="65">
        <f>IFERROR($J993/$J994-1,"")</f>
        <v/>
      </c>
      <c r="DL993" s="64">
        <f>$L993-$L994</f>
        <v/>
      </c>
      <c r="DM993" s="64">
        <f>$K993-$K994</f>
        <v/>
      </c>
      <c r="DN993" s="65">
        <f>IFERROR($N993/$N994-1,"")</f>
        <v/>
      </c>
      <c r="DO993" s="65">
        <f>IFERROR($M993/$M994-1,"")</f>
        <v/>
      </c>
      <c r="DP993" s="65">
        <f>IFERROR($AZ993/$AZ994-1,"")</f>
        <v/>
      </c>
      <c r="DQ993" s="65">
        <f>IFERROR($BA993/$BA994-1,"")</f>
        <v/>
      </c>
      <c r="DR993" s="64">
        <f>$O993-$O994</f>
        <v/>
      </c>
      <c r="DS993" s="64">
        <f>$P993-$P994</f>
        <v/>
      </c>
      <c r="DT993" s="64">
        <f>$Q993-$Q994</f>
        <v/>
      </c>
      <c r="DU993" s="64">
        <f>$S993-$S994</f>
        <v/>
      </c>
      <c r="DV993" s="65">
        <f>IFERROR(AVERAGE($AA994/$AA993-1,$AB994/$AB993-1,$AC994/$AC993-1,$AD994/$AD993-1,$AE994/$AE993-1,$AG994/$AG993-1,$AH994/$AH993-1,$AI994/$AI993-1,$AJ994/$AJ993-1,$AL994/$AL993-1,$AM994/$AM993-1,$AR994/$AR993-1,$AS994/$AS993-1,$AT994/$AT993-1,$AU994/$AU993-1,$AV994/$AV993-1,$AW994/$AW993-1,$AX994/$AX993-1,$AY994/$AY993-1),"")</f>
        <v/>
      </c>
      <c r="DW993" s="66">
        <f>AVERAGE($CB993,$CC993,$CD993,$CE993,$CF993,$CG993,$CH993,$CI993,$CJ993,$CL993,$CM993,$CN993,$CO993,$CP993,$CQ993,$CR993,$CS993,$CT993)</f>
        <v/>
      </c>
      <c r="DX993" s="66">
        <f>AVERAGE($CB993,$CC993,$CM993,$CE993,$CP993)</f>
        <v/>
      </c>
      <c r="DY993" s="64">
        <f>($DW993-$DW994)*100</f>
        <v/>
      </c>
      <c r="DZ993" s="64">
        <f>($DX993-$DX994)*100</f>
        <v/>
      </c>
      <c r="EA993" s="64">
        <f>($DW993-$D993)*100</f>
        <v/>
      </c>
      <c r="EB993" s="64">
        <f>$Q993-$O993</f>
        <v/>
      </c>
      <c r="EC993" s="67">
        <f>IFERROR($Q993/$P993,"")</f>
        <v/>
      </c>
    </row>
    <row r="994">
      <c r="DG994" s="64">
        <f>($B994-$B995)*100</f>
        <v/>
      </c>
      <c r="DH994" s="64">
        <f>($D994-$D995)*100</f>
        <v/>
      </c>
      <c r="DI994" s="64">
        <f>($E994-$E995)*100</f>
        <v/>
      </c>
      <c r="DJ994" s="64">
        <f>($H994-$H995)*100</f>
        <v/>
      </c>
      <c r="DK994" s="65">
        <f>IFERROR($J994/$J995-1,"")</f>
        <v/>
      </c>
      <c r="DL994" s="64">
        <f>$L994-$L995</f>
        <v/>
      </c>
      <c r="DM994" s="64">
        <f>$K994-$K995</f>
        <v/>
      </c>
      <c r="DN994" s="65">
        <f>IFERROR($N994/$N995-1,"")</f>
        <v/>
      </c>
      <c r="DO994" s="65">
        <f>IFERROR($M994/$M995-1,"")</f>
        <v/>
      </c>
      <c r="DP994" s="65">
        <f>IFERROR($AZ994/$AZ995-1,"")</f>
        <v/>
      </c>
      <c r="DQ994" s="65">
        <f>IFERROR($BA994/$BA995-1,"")</f>
        <v/>
      </c>
      <c r="DR994" s="64">
        <f>$O994-$O995</f>
        <v/>
      </c>
      <c r="DS994" s="64">
        <f>$P994-$P995</f>
        <v/>
      </c>
      <c r="DT994" s="64">
        <f>$Q994-$Q995</f>
        <v/>
      </c>
      <c r="DU994" s="64">
        <f>$S994-$S995</f>
        <v/>
      </c>
      <c r="DV994" s="65">
        <f>IFERROR(AVERAGE($AA995/$AA994-1,$AB995/$AB994-1,$AC995/$AC994-1,$AD995/$AD994-1,$AE995/$AE994-1,$AG995/$AG994-1,$AH995/$AH994-1,$AI995/$AI994-1,$AJ995/$AJ994-1,$AL995/$AL994-1,$AM995/$AM994-1,$AR995/$AR994-1,$AS995/$AS994-1,$AT995/$AT994-1,$AU995/$AU994-1,$AV995/$AV994-1,$AW995/$AW994-1,$AX995/$AX994-1,$AY995/$AY994-1),"")</f>
        <v/>
      </c>
      <c r="DW994" s="66">
        <f>AVERAGE($CB994,$CC994,$CD994,$CE994,$CF994,$CG994,$CH994,$CI994,$CJ994,$CL994,$CM994,$CN994,$CO994,$CP994,$CQ994,$CR994,$CS994,$CT994)</f>
        <v/>
      </c>
      <c r="DX994" s="66">
        <f>AVERAGE($CB994,$CC994,$CM994,$CE994,$CP994)</f>
        <v/>
      </c>
      <c r="DY994" s="64">
        <f>($DW994-$DW995)*100</f>
        <v/>
      </c>
      <c r="DZ994" s="64">
        <f>($DX994-$DX995)*100</f>
        <v/>
      </c>
      <c r="EA994" s="64">
        <f>($DW994-$D994)*100</f>
        <v/>
      </c>
      <c r="EB994" s="64">
        <f>$Q994-$O994</f>
        <v/>
      </c>
      <c r="EC994" s="67">
        <f>IFERROR($Q994/$P994,"")</f>
        <v/>
      </c>
    </row>
    <row r="995">
      <c r="DG995" s="64">
        <f>($B995-$B996)*100</f>
        <v/>
      </c>
      <c r="DH995" s="64">
        <f>($D995-$D996)*100</f>
        <v/>
      </c>
      <c r="DI995" s="64">
        <f>($E995-$E996)*100</f>
        <v/>
      </c>
      <c r="DJ995" s="64">
        <f>($H995-$H996)*100</f>
        <v/>
      </c>
      <c r="DK995" s="65">
        <f>IFERROR($J995/$J996-1,"")</f>
        <v/>
      </c>
      <c r="DL995" s="64">
        <f>$L995-$L996</f>
        <v/>
      </c>
      <c r="DM995" s="64">
        <f>$K995-$K996</f>
        <v/>
      </c>
      <c r="DN995" s="65">
        <f>IFERROR($N995/$N996-1,"")</f>
        <v/>
      </c>
      <c r="DO995" s="65">
        <f>IFERROR($M995/$M996-1,"")</f>
        <v/>
      </c>
      <c r="DP995" s="65">
        <f>IFERROR($AZ995/$AZ996-1,"")</f>
        <v/>
      </c>
      <c r="DQ995" s="65">
        <f>IFERROR($BA995/$BA996-1,"")</f>
        <v/>
      </c>
      <c r="DR995" s="64">
        <f>$O995-$O996</f>
        <v/>
      </c>
      <c r="DS995" s="64">
        <f>$P995-$P996</f>
        <v/>
      </c>
      <c r="DT995" s="64">
        <f>$Q995-$Q996</f>
        <v/>
      </c>
      <c r="DU995" s="64">
        <f>$S995-$S996</f>
        <v/>
      </c>
      <c r="DV995" s="65">
        <f>IFERROR(AVERAGE($AA996/$AA995-1,$AB996/$AB995-1,$AC996/$AC995-1,$AD996/$AD995-1,$AE996/$AE995-1,$AG996/$AG995-1,$AH996/$AH995-1,$AI996/$AI995-1,$AJ996/$AJ995-1,$AL996/$AL995-1,$AM996/$AM995-1,$AR996/$AR995-1,$AS996/$AS995-1,$AT996/$AT995-1,$AU996/$AU995-1,$AV996/$AV995-1,$AW996/$AW995-1,$AX996/$AX995-1,$AY996/$AY995-1),"")</f>
        <v/>
      </c>
      <c r="DW995" s="66">
        <f>AVERAGE($CB995,$CC995,$CD995,$CE995,$CF995,$CG995,$CH995,$CI995,$CJ995,$CL995,$CM995,$CN995,$CO995,$CP995,$CQ995,$CR995,$CS995,$CT995)</f>
        <v/>
      </c>
      <c r="DX995" s="66">
        <f>AVERAGE($CB995,$CC995,$CM995,$CE995,$CP995)</f>
        <v/>
      </c>
      <c r="DY995" s="64">
        <f>($DW995-$DW996)*100</f>
        <v/>
      </c>
      <c r="DZ995" s="64">
        <f>($DX995-$DX996)*100</f>
        <v/>
      </c>
      <c r="EA995" s="64">
        <f>($DW995-$D995)*100</f>
        <v/>
      </c>
      <c r="EB995" s="64">
        <f>$Q995-$O995</f>
        <v/>
      </c>
      <c r="EC995" s="67">
        <f>IFERROR($Q995/$P995,"")</f>
        <v/>
      </c>
    </row>
    <row r="996">
      <c r="DG996" s="64">
        <f>($B996-$B997)*100</f>
        <v/>
      </c>
      <c r="DH996" s="64">
        <f>($D996-$D997)*100</f>
        <v/>
      </c>
      <c r="DI996" s="64">
        <f>($E996-$E997)*100</f>
        <v/>
      </c>
      <c r="DJ996" s="64">
        <f>($H996-$H997)*100</f>
        <v/>
      </c>
      <c r="DK996" s="65">
        <f>IFERROR($J996/$J997-1,"")</f>
        <v/>
      </c>
      <c r="DL996" s="64">
        <f>$L996-$L997</f>
        <v/>
      </c>
      <c r="DM996" s="64">
        <f>$K996-$K997</f>
        <v/>
      </c>
      <c r="DN996" s="65">
        <f>IFERROR($N996/$N997-1,"")</f>
        <v/>
      </c>
      <c r="DO996" s="65">
        <f>IFERROR($M996/$M997-1,"")</f>
        <v/>
      </c>
      <c r="DP996" s="65">
        <f>IFERROR($AZ996/$AZ997-1,"")</f>
        <v/>
      </c>
      <c r="DQ996" s="65">
        <f>IFERROR($BA996/$BA997-1,"")</f>
        <v/>
      </c>
      <c r="DR996" s="64">
        <f>$O996-$O997</f>
        <v/>
      </c>
      <c r="DS996" s="64">
        <f>$P996-$P997</f>
        <v/>
      </c>
      <c r="DT996" s="64">
        <f>$Q996-$Q997</f>
        <v/>
      </c>
      <c r="DU996" s="64">
        <f>$S996-$S997</f>
        <v/>
      </c>
      <c r="DV996" s="65">
        <f>IFERROR(AVERAGE($AA997/$AA996-1,$AB997/$AB996-1,$AC997/$AC996-1,$AD997/$AD996-1,$AE997/$AE996-1,$AG997/$AG996-1,$AH997/$AH996-1,$AI997/$AI996-1,$AJ997/$AJ996-1,$AL997/$AL996-1,$AM997/$AM996-1,$AR997/$AR996-1,$AS997/$AS996-1,$AT997/$AT996-1,$AU997/$AU996-1,$AV997/$AV996-1,$AW997/$AW996-1,$AX997/$AX996-1,$AY997/$AY996-1),"")</f>
        <v/>
      </c>
      <c r="DW996" s="66">
        <f>AVERAGE($CB996,$CC996,$CD996,$CE996,$CF996,$CG996,$CH996,$CI996,$CJ996,$CL996,$CM996,$CN996,$CO996,$CP996,$CQ996,$CR996,$CS996,$CT996)</f>
        <v/>
      </c>
      <c r="DX996" s="66">
        <f>AVERAGE($CB996,$CC996,$CM996,$CE996,$CP996)</f>
        <v/>
      </c>
      <c r="DY996" s="64">
        <f>($DW996-$DW997)*100</f>
        <v/>
      </c>
      <c r="DZ996" s="64">
        <f>($DX996-$DX997)*100</f>
        <v/>
      </c>
      <c r="EA996" s="64">
        <f>($DW996-$D996)*100</f>
        <v/>
      </c>
      <c r="EB996" s="64">
        <f>$Q996-$O996</f>
        <v/>
      </c>
      <c r="EC996" s="67">
        <f>IFERROR($Q996/$P996,"")</f>
        <v/>
      </c>
    </row>
    <row r="997">
      <c r="DG997" s="64">
        <f>($B997-$B998)*100</f>
        <v/>
      </c>
      <c r="DH997" s="64">
        <f>($D997-$D998)*100</f>
        <v/>
      </c>
      <c r="DI997" s="64">
        <f>($E997-$E998)*100</f>
        <v/>
      </c>
      <c r="DJ997" s="64">
        <f>($H997-$H998)*100</f>
        <v/>
      </c>
      <c r="DK997" s="65">
        <f>IFERROR($J997/$J998-1,"")</f>
        <v/>
      </c>
      <c r="DL997" s="64">
        <f>$L997-$L998</f>
        <v/>
      </c>
      <c r="DM997" s="64">
        <f>$K997-$K998</f>
        <v/>
      </c>
      <c r="DN997" s="65">
        <f>IFERROR($N997/$N998-1,"")</f>
        <v/>
      </c>
      <c r="DO997" s="65">
        <f>IFERROR($M997/$M998-1,"")</f>
        <v/>
      </c>
      <c r="DP997" s="65">
        <f>IFERROR($AZ997/$AZ998-1,"")</f>
        <v/>
      </c>
      <c r="DQ997" s="65">
        <f>IFERROR($BA997/$BA998-1,"")</f>
        <v/>
      </c>
      <c r="DR997" s="64">
        <f>$O997-$O998</f>
        <v/>
      </c>
      <c r="DS997" s="64">
        <f>$P997-$P998</f>
        <v/>
      </c>
      <c r="DT997" s="64">
        <f>$Q997-$Q998</f>
        <v/>
      </c>
      <c r="DU997" s="64">
        <f>$S997-$S998</f>
        <v/>
      </c>
      <c r="DV997" s="65">
        <f>IFERROR(AVERAGE($AA998/$AA997-1,$AB998/$AB997-1,$AC998/$AC997-1,$AD998/$AD997-1,$AE998/$AE997-1,$AG998/$AG997-1,$AH998/$AH997-1,$AI998/$AI997-1,$AJ998/$AJ997-1,$AL998/$AL997-1,$AM998/$AM997-1,$AR998/$AR997-1,$AS998/$AS997-1,$AT998/$AT997-1,$AU998/$AU997-1,$AV998/$AV997-1,$AW998/$AW997-1,$AX998/$AX997-1,$AY998/$AY997-1),"")</f>
        <v/>
      </c>
      <c r="DW997" s="66">
        <f>AVERAGE($CB997,$CC997,$CD997,$CE997,$CF997,$CG997,$CH997,$CI997,$CJ997,$CL997,$CM997,$CN997,$CO997,$CP997,$CQ997,$CR997,$CS997,$CT997)</f>
        <v/>
      </c>
      <c r="DX997" s="66">
        <f>AVERAGE($CB997,$CC997,$CM997,$CE997,$CP997)</f>
        <v/>
      </c>
      <c r="DY997" s="64">
        <f>($DW997-$DW998)*100</f>
        <v/>
      </c>
      <c r="DZ997" s="64">
        <f>($DX997-$DX998)*100</f>
        <v/>
      </c>
      <c r="EA997" s="64">
        <f>($DW997-$D997)*100</f>
        <v/>
      </c>
      <c r="EB997" s="64">
        <f>$Q997-$O997</f>
        <v/>
      </c>
      <c r="EC997" s="67">
        <f>IFERROR($Q997/$P997,"")</f>
        <v/>
      </c>
    </row>
    <row r="998">
      <c r="DG998" s="64">
        <f>($B998-$B999)*100</f>
        <v/>
      </c>
      <c r="DH998" s="64">
        <f>($D998-$D999)*100</f>
        <v/>
      </c>
      <c r="DI998" s="64">
        <f>($E998-$E999)*100</f>
        <v/>
      </c>
      <c r="DJ998" s="64">
        <f>($H998-$H999)*100</f>
        <v/>
      </c>
      <c r="DK998" s="65">
        <f>IFERROR($J998/$J999-1,"")</f>
        <v/>
      </c>
      <c r="DL998" s="64">
        <f>$L998-$L999</f>
        <v/>
      </c>
      <c r="DM998" s="64">
        <f>$K998-$K999</f>
        <v/>
      </c>
      <c r="DN998" s="65">
        <f>IFERROR($N998/$N999-1,"")</f>
        <v/>
      </c>
      <c r="DO998" s="65">
        <f>IFERROR($M998/$M999-1,"")</f>
        <v/>
      </c>
      <c r="DP998" s="65">
        <f>IFERROR($AZ998/$AZ999-1,"")</f>
        <v/>
      </c>
      <c r="DQ998" s="65">
        <f>IFERROR($BA998/$BA999-1,"")</f>
        <v/>
      </c>
      <c r="DR998" s="64">
        <f>$O998-$O999</f>
        <v/>
      </c>
      <c r="DS998" s="64">
        <f>$P998-$P999</f>
        <v/>
      </c>
      <c r="DT998" s="64">
        <f>$Q998-$Q999</f>
        <v/>
      </c>
      <c r="DU998" s="64">
        <f>$S998-$S999</f>
        <v/>
      </c>
      <c r="DV998" s="65">
        <f>IFERROR(AVERAGE($AA999/$AA998-1,$AB999/$AB998-1,$AC999/$AC998-1,$AD999/$AD998-1,$AE999/$AE998-1,$AG999/$AG998-1,$AH999/$AH998-1,$AI999/$AI998-1,$AJ999/$AJ998-1,$AL999/$AL998-1,$AM999/$AM998-1,$AR999/$AR998-1,$AS999/$AS998-1,$AT999/$AT998-1,$AU999/$AU998-1,$AV999/$AV998-1,$AW999/$AW998-1,$AX999/$AX998-1,$AY999/$AY998-1),"")</f>
        <v/>
      </c>
      <c r="DW998" s="66">
        <f>AVERAGE($CB998,$CC998,$CD998,$CE998,$CF998,$CG998,$CH998,$CI998,$CJ998,$CL998,$CM998,$CN998,$CO998,$CP998,$CQ998,$CR998,$CS998,$CT998)</f>
        <v/>
      </c>
      <c r="DX998" s="66">
        <f>AVERAGE($CB998,$CC998,$CM998,$CE998,$CP998)</f>
        <v/>
      </c>
      <c r="DY998" s="64">
        <f>($DW998-$DW999)*100</f>
        <v/>
      </c>
      <c r="DZ998" s="64">
        <f>($DX998-$DX999)*100</f>
        <v/>
      </c>
      <c r="EA998" s="64">
        <f>($DW998-$D998)*100</f>
        <v/>
      </c>
      <c r="EB998" s="64">
        <f>$Q998-$O998</f>
        <v/>
      </c>
      <c r="EC998" s="67">
        <f>IFERROR($Q998/$P998,"")</f>
        <v/>
      </c>
    </row>
    <row r="999">
      <c r="DG999" s="64">
        <f>($B999-$B1000)*100</f>
        <v/>
      </c>
      <c r="DH999" s="64">
        <f>($D999-$D1000)*100</f>
        <v/>
      </c>
      <c r="DI999" s="64">
        <f>($E999-$E1000)*100</f>
        <v/>
      </c>
      <c r="DJ999" s="64">
        <f>($H999-$H1000)*100</f>
        <v/>
      </c>
      <c r="DK999" s="65">
        <f>IFERROR($J999/$J1000-1,"")</f>
        <v/>
      </c>
      <c r="DL999" s="64">
        <f>$L999-$L1000</f>
        <v/>
      </c>
      <c r="DM999" s="64">
        <f>$K999-$K1000</f>
        <v/>
      </c>
      <c r="DN999" s="65">
        <f>IFERROR($N999/$N1000-1,"")</f>
        <v/>
      </c>
      <c r="DO999" s="65">
        <f>IFERROR($M999/$M1000-1,"")</f>
        <v/>
      </c>
      <c r="DP999" s="65">
        <f>IFERROR($AZ999/$AZ1000-1,"")</f>
        <v/>
      </c>
      <c r="DQ999" s="65">
        <f>IFERROR($BA999/$BA1000-1,"")</f>
        <v/>
      </c>
      <c r="DR999" s="64">
        <f>$O999-$O1000</f>
        <v/>
      </c>
      <c r="DS999" s="64">
        <f>$P999-$P1000</f>
        <v/>
      </c>
      <c r="DT999" s="64">
        <f>$Q999-$Q1000</f>
        <v/>
      </c>
      <c r="DU999" s="64">
        <f>$S999-$S1000</f>
        <v/>
      </c>
      <c r="DV999" s="65">
        <f>IFERROR(AVERAGE($AA1000/$AA999-1,$AB1000/$AB999-1,$AC1000/$AC999-1,$AD1000/$AD999-1,$AE1000/$AE999-1,$AG1000/$AG999-1,$AH1000/$AH999-1,$AI1000/$AI999-1,$AJ1000/$AJ999-1,$AL1000/$AL999-1,$AM1000/$AM999-1,$AR1000/$AR999-1,$AS1000/$AS999-1,$AT1000/$AT999-1,$AU1000/$AU999-1,$AV1000/$AV999-1,$AW1000/$AW999-1,$AX1000/$AX999-1,$AY1000/$AY999-1),"")</f>
        <v/>
      </c>
      <c r="DW999" s="66">
        <f>AVERAGE($CB999,$CC999,$CD999,$CE999,$CF999,$CG999,$CH999,$CI999,$CJ999,$CL999,$CM999,$CN999,$CO999,$CP999,$CQ999,$CR999,$CS999,$CT999)</f>
        <v/>
      </c>
      <c r="DX999" s="66">
        <f>AVERAGE($CB999,$CC999,$CM999,$CE999,$CP999)</f>
        <v/>
      </c>
      <c r="DY999" s="64">
        <f>($DW999-$DW1000)*100</f>
        <v/>
      </c>
      <c r="DZ999" s="64">
        <f>($DX999-$DX1000)*100</f>
        <v/>
      </c>
      <c r="EA999" s="64">
        <f>($DW999-$D999)*100</f>
        <v/>
      </c>
      <c r="EB999" s="64">
        <f>$Q999-$O999</f>
        <v/>
      </c>
      <c r="EC999" s="67">
        <f>IFERROR($Q999/$P999,"")</f>
        <v/>
      </c>
    </row>
    <row r="1000">
      <c r="DG1000" s="64">
        <f>($B1000-$B1001)*100</f>
        <v/>
      </c>
      <c r="DH1000" s="64">
        <f>($D1000-$D1001)*100</f>
        <v/>
      </c>
      <c r="DI1000" s="64">
        <f>($E1000-$E1001)*100</f>
        <v/>
      </c>
      <c r="DJ1000" s="64">
        <f>($H1000-$H1001)*100</f>
        <v/>
      </c>
      <c r="DK1000" s="65">
        <f>IFERROR($J1000/$J1001-1,"")</f>
        <v/>
      </c>
      <c r="DL1000" s="64">
        <f>$L1000-$L1001</f>
        <v/>
      </c>
      <c r="DM1000" s="64">
        <f>$K1000-$K1001</f>
        <v/>
      </c>
      <c r="DN1000" s="65">
        <f>IFERROR($N1000/$N1001-1,"")</f>
        <v/>
      </c>
      <c r="DO1000" s="65">
        <f>IFERROR($M1000/$M1001-1,"")</f>
        <v/>
      </c>
      <c r="DP1000" s="65">
        <f>IFERROR($AZ1000/$AZ1001-1,"")</f>
        <v/>
      </c>
      <c r="DQ1000" s="65">
        <f>IFERROR($BA1000/$BA1001-1,"")</f>
        <v/>
      </c>
      <c r="DR1000" s="64">
        <f>$O1000-$O1001</f>
        <v/>
      </c>
      <c r="DS1000" s="64">
        <f>$P1000-$P1001</f>
        <v/>
      </c>
      <c r="DT1000" s="64">
        <f>$Q1000-$Q1001</f>
        <v/>
      </c>
      <c r="DU1000" s="64">
        <f>$S1000-$S1001</f>
        <v/>
      </c>
      <c r="DV1000" s="65">
        <f>IFERROR(AVERAGE($AA1001/$AA1000-1,$AB1001/$AB1000-1,$AC1001/$AC1000-1,$AD1001/$AD1000-1,$AE1001/$AE1000-1,$AG1001/$AG1000-1,$AH1001/$AH1000-1,$AI1001/$AI1000-1,$AJ1001/$AJ1000-1,$AL1001/$AL1000-1,$AM1001/$AM1000-1,$AR1001/$AR1000-1,$AS1001/$AS1000-1,$AT1001/$AT1000-1,$AU1001/$AU1000-1,$AV1001/$AV1000-1,$AW1001/$AW1000-1,$AX1001/$AX1000-1,$AY1001/$AY1000-1),"")</f>
        <v/>
      </c>
      <c r="DW1000" s="66">
        <f>AVERAGE($CB1000,$CC1000,$CD1000,$CE1000,$CF1000,$CG1000,$CH1000,$CI1000,$CJ1000,$CL1000,$CM1000,$CN1000,$CO1000,$CP1000,$CQ1000,$CR1000,$CS1000,$CT1000)</f>
        <v/>
      </c>
      <c r="DX1000" s="66">
        <f>AVERAGE($CB1000,$CC1000,$CM1000,$CE1000,$CP1000)</f>
        <v/>
      </c>
      <c r="DY1000" s="64">
        <f>($DW1000-$DW1001)*100</f>
        <v/>
      </c>
      <c r="DZ1000" s="64">
        <f>($DX1000-$DX1001)*100</f>
        <v/>
      </c>
      <c r="EA1000" s="64">
        <f>($DW1000-$D1000)*100</f>
        <v/>
      </c>
      <c r="EB1000" s="64">
        <f>$Q1000-$O1000</f>
        <v/>
      </c>
      <c r="EC1000" s="67">
        <f>IFERROR($Q1000/$P1000,"")</f>
        <v/>
      </c>
    </row>
    <row r="1001">
      <c r="DG1001" s="64">
        <f>($B1001-$B1002)*100</f>
        <v/>
      </c>
      <c r="DH1001" s="64">
        <f>($D1001-$D1002)*100</f>
        <v/>
      </c>
      <c r="DI1001" s="64">
        <f>($E1001-$E1002)*100</f>
        <v/>
      </c>
      <c r="DJ1001" s="64">
        <f>($H1001-$H1002)*100</f>
        <v/>
      </c>
      <c r="DK1001" s="65">
        <f>IFERROR($J1001/$J1002-1,"")</f>
        <v/>
      </c>
      <c r="DL1001" s="64">
        <f>$L1001-$L1002</f>
        <v/>
      </c>
      <c r="DM1001" s="64">
        <f>$K1001-$K1002</f>
        <v/>
      </c>
      <c r="DN1001" s="65">
        <f>IFERROR($N1001/$N1002-1,"")</f>
        <v/>
      </c>
      <c r="DO1001" s="65">
        <f>IFERROR($M1001/$M1002-1,"")</f>
        <v/>
      </c>
      <c r="DP1001" s="65">
        <f>IFERROR($AZ1001/$AZ1002-1,"")</f>
        <v/>
      </c>
      <c r="DQ1001" s="65">
        <f>IFERROR($BA1001/$BA1002-1,"")</f>
        <v/>
      </c>
      <c r="DR1001" s="64">
        <f>$O1001-$O1002</f>
        <v/>
      </c>
      <c r="DS1001" s="64">
        <f>$P1001-$P1002</f>
        <v/>
      </c>
      <c r="DT1001" s="64">
        <f>$Q1001-$Q1002</f>
        <v/>
      </c>
      <c r="DU1001" s="64">
        <f>$S1001-$S1002</f>
        <v/>
      </c>
      <c r="DV1001" s="65">
        <f>IFERROR(AVERAGE($AA1002/$AA1001-1,$AB1002/$AB1001-1,$AC1002/$AC1001-1,$AD1002/$AD1001-1,$AE1002/$AE1001-1,$AG1002/$AG1001-1,$AH1002/$AH1001-1,$AI1002/$AI1001-1,$AJ1002/$AJ1001-1,$AL1002/$AL1001-1,$AM1002/$AM1001-1,$AR1002/$AR1001-1,$AS1002/$AS1001-1,$AT1002/$AT1001-1,$AU1002/$AU1001-1,$AV1002/$AV1001-1,$AW1002/$AW1001-1,$AX1002/$AX1001-1,$AY1002/$AY1001-1),"")</f>
        <v/>
      </c>
      <c r="DW1001" s="66">
        <f>AVERAGE($CB1001,$CC1001,$CD1001,$CE1001,$CF1001,$CG1001,$CH1001,$CI1001,$CJ1001,$CL1001,$CM1001,$CN1001,$CO1001,$CP1001,$CQ1001,$CR1001,$CS1001,$CT1001)</f>
        <v/>
      </c>
      <c r="DX1001" s="66">
        <f>AVERAGE($CB1001,$CC1001,$CM1001,$CE1001,$CP1001)</f>
        <v/>
      </c>
      <c r="DY1001" s="64">
        <f>($DW1001-$DW1002)*100</f>
        <v/>
      </c>
      <c r="DZ1001" s="64">
        <f>($DX1001-$DX1002)*100</f>
        <v/>
      </c>
      <c r="EA1001" s="64">
        <f>($DW1001-$D1001)*100</f>
        <v/>
      </c>
      <c r="EB1001" s="64">
        <f>$Q1001-$O1001</f>
        <v/>
      </c>
      <c r="EC1001" s="67">
        <f>IFERROR($Q1001/$P1001,"")</f>
        <v/>
      </c>
    </row>
    <row r="1002">
      <c r="DG1002" s="64">
        <f>($B1002-$B1003)*100</f>
        <v/>
      </c>
      <c r="DH1002" s="64">
        <f>($D1002-$D1003)*100</f>
        <v/>
      </c>
      <c r="DI1002" s="64">
        <f>($E1002-$E1003)*100</f>
        <v/>
      </c>
      <c r="DJ1002" s="64">
        <f>($H1002-$H1003)*100</f>
        <v/>
      </c>
      <c r="DK1002" s="65">
        <f>IFERROR($J1002/$J1003-1,"")</f>
        <v/>
      </c>
      <c r="DL1002" s="64">
        <f>$L1002-$L1003</f>
        <v/>
      </c>
      <c r="DM1002" s="64">
        <f>$K1002-$K1003</f>
        <v/>
      </c>
      <c r="DN1002" s="65">
        <f>IFERROR($N1002/$N1003-1,"")</f>
        <v/>
      </c>
      <c r="DO1002" s="65">
        <f>IFERROR($M1002/$M1003-1,"")</f>
        <v/>
      </c>
      <c r="DP1002" s="65">
        <f>IFERROR($AZ1002/$AZ1003-1,"")</f>
        <v/>
      </c>
      <c r="DQ1002" s="65">
        <f>IFERROR($BA1002/$BA1003-1,"")</f>
        <v/>
      </c>
      <c r="DR1002" s="64">
        <f>$O1002-$O1003</f>
        <v/>
      </c>
      <c r="DS1002" s="64">
        <f>$P1002-$P1003</f>
        <v/>
      </c>
      <c r="DT1002" s="64">
        <f>$Q1002-$Q1003</f>
        <v/>
      </c>
      <c r="DU1002" s="64">
        <f>$S1002-$S1003</f>
        <v/>
      </c>
      <c r="DV1002" s="65">
        <f>IFERROR(AVERAGE($AA1003/$AA1002-1,$AB1003/$AB1002-1,$AC1003/$AC1002-1,$AD1003/$AD1002-1,$AE1003/$AE1002-1,$AG1003/$AG1002-1,$AH1003/$AH1002-1,$AI1003/$AI1002-1,$AJ1003/$AJ1002-1,$AL1003/$AL1002-1,$AM1003/$AM1002-1,$AR1003/$AR1002-1,$AS1003/$AS1002-1,$AT1003/$AT1002-1,$AU1003/$AU1002-1,$AV1003/$AV1002-1,$AW1003/$AW1002-1,$AX1003/$AX1002-1,$AY1003/$AY1002-1),"")</f>
        <v/>
      </c>
      <c r="DW1002" s="66">
        <f>AVERAGE($CB1002,$CC1002,$CD1002,$CE1002,$CF1002,$CG1002,$CH1002,$CI1002,$CJ1002,$CL1002,$CM1002,$CN1002,$CO1002,$CP1002,$CQ1002,$CR1002,$CS1002,$CT1002)</f>
        <v/>
      </c>
      <c r="DX1002" s="66">
        <f>AVERAGE($CB1002,$CC1002,$CM1002,$CE1002,$CP1002)</f>
        <v/>
      </c>
      <c r="DY1002" s="64">
        <f>($DW1002-$DW1003)*100</f>
        <v/>
      </c>
      <c r="DZ1002" s="64">
        <f>($DX1002-$DX1003)*100</f>
        <v/>
      </c>
      <c r="EA1002" s="64">
        <f>($DW1002-$D1002)*100</f>
        <v/>
      </c>
      <c r="EB1002" s="64">
        <f>$Q1002-$O1002</f>
        <v/>
      </c>
      <c r="EC1002" s="67">
        <f>IFERROR($Q1002/$P1002,"")</f>
        <v/>
      </c>
    </row>
    <row r="1003">
      <c r="DG1003" s="64">
        <f>($B1003-$B1004)*100</f>
        <v/>
      </c>
      <c r="DH1003" s="64">
        <f>($D1003-$D1004)*100</f>
        <v/>
      </c>
      <c r="DI1003" s="64">
        <f>($E1003-$E1004)*100</f>
        <v/>
      </c>
      <c r="DJ1003" s="64">
        <f>($H1003-$H1004)*100</f>
        <v/>
      </c>
      <c r="DK1003" s="65">
        <f>IFERROR($J1003/$J1004-1,"")</f>
        <v/>
      </c>
      <c r="DL1003" s="64">
        <f>$L1003-$L1004</f>
        <v/>
      </c>
      <c r="DM1003" s="64">
        <f>$K1003-$K1004</f>
        <v/>
      </c>
      <c r="DN1003" s="65">
        <f>IFERROR($N1003/$N1004-1,"")</f>
        <v/>
      </c>
      <c r="DO1003" s="65">
        <f>IFERROR($M1003/$M1004-1,"")</f>
        <v/>
      </c>
      <c r="DP1003" s="65">
        <f>IFERROR($AZ1003/$AZ1004-1,"")</f>
        <v/>
      </c>
      <c r="DQ1003" s="65">
        <f>IFERROR($BA1003/$BA1004-1,"")</f>
        <v/>
      </c>
      <c r="DR1003" s="64">
        <f>$O1003-$O1004</f>
        <v/>
      </c>
      <c r="DS1003" s="64">
        <f>$P1003-$P1004</f>
        <v/>
      </c>
      <c r="DT1003" s="64">
        <f>$Q1003-$Q1004</f>
        <v/>
      </c>
      <c r="DU1003" s="64">
        <f>$S1003-$S1004</f>
        <v/>
      </c>
      <c r="DV1003" s="65">
        <f>IFERROR(AVERAGE($AA1004/$AA1003-1,$AB1004/$AB1003-1,$AC1004/$AC1003-1,$AD1004/$AD1003-1,$AE1004/$AE1003-1,$AG1004/$AG1003-1,$AH1004/$AH1003-1,$AI1004/$AI1003-1,$AJ1004/$AJ1003-1,$AL1004/$AL1003-1,$AM1004/$AM1003-1,$AR1004/$AR1003-1,$AS1004/$AS1003-1,$AT1004/$AT1003-1,$AU1004/$AU1003-1,$AV1004/$AV1003-1,$AW1004/$AW1003-1,$AX1004/$AX1003-1,$AY1004/$AY1003-1),"")</f>
        <v/>
      </c>
      <c r="DW1003" s="66">
        <f>AVERAGE($CB1003,$CC1003,$CD1003,$CE1003,$CF1003,$CG1003,$CH1003,$CI1003,$CJ1003,$CL1003,$CM1003,$CN1003,$CO1003,$CP1003,$CQ1003,$CR1003,$CS1003,$CT1003)</f>
        <v/>
      </c>
      <c r="DX1003" s="66">
        <f>AVERAGE($CB1003,$CC1003,$CM1003,$CE1003,$CP1003)</f>
        <v/>
      </c>
      <c r="DY1003" s="64">
        <f>($DW1003-$DW1004)*100</f>
        <v/>
      </c>
      <c r="DZ1003" s="64">
        <f>($DX1003-$DX1004)*100</f>
        <v/>
      </c>
      <c r="EA1003" s="64">
        <f>($DW1003-$D1003)*100</f>
        <v/>
      </c>
      <c r="EB1003" s="64">
        <f>$Q1003-$O1003</f>
        <v/>
      </c>
      <c r="EC1003" s="67">
        <f>IFERROR($Q1003/$P1003,"")</f>
        <v/>
      </c>
    </row>
    <row r="1004">
      <c r="DG1004" s="64">
        <f>($B1004-$B1005)*100</f>
        <v/>
      </c>
      <c r="DH1004" s="64">
        <f>($D1004-$D1005)*100</f>
        <v/>
      </c>
      <c r="DI1004" s="64">
        <f>($E1004-$E1005)*100</f>
        <v/>
      </c>
      <c r="DJ1004" s="64">
        <f>($H1004-$H1005)*100</f>
        <v/>
      </c>
      <c r="DK1004" s="65">
        <f>IFERROR($J1004/$J1005-1,"")</f>
        <v/>
      </c>
      <c r="DL1004" s="64">
        <f>$L1004-$L1005</f>
        <v/>
      </c>
      <c r="DM1004" s="64">
        <f>$K1004-$K1005</f>
        <v/>
      </c>
      <c r="DN1004" s="65">
        <f>IFERROR($N1004/$N1005-1,"")</f>
        <v/>
      </c>
      <c r="DO1004" s="65">
        <f>IFERROR($M1004/$M1005-1,"")</f>
        <v/>
      </c>
      <c r="DP1004" s="65">
        <f>IFERROR($AZ1004/$AZ1005-1,"")</f>
        <v/>
      </c>
      <c r="DQ1004" s="65">
        <f>IFERROR($BA1004/$BA1005-1,"")</f>
        <v/>
      </c>
      <c r="DR1004" s="64">
        <f>$O1004-$O1005</f>
        <v/>
      </c>
      <c r="DS1004" s="64">
        <f>$P1004-$P1005</f>
        <v/>
      </c>
      <c r="DT1004" s="64">
        <f>$Q1004-$Q1005</f>
        <v/>
      </c>
      <c r="DU1004" s="64">
        <f>$S1004-$S1005</f>
        <v/>
      </c>
      <c r="DV1004" s="65">
        <f>IFERROR(AVERAGE($AA1005/$AA1004-1,$AB1005/$AB1004-1,$AC1005/$AC1004-1,$AD1005/$AD1004-1,$AE1005/$AE1004-1,$AG1005/$AG1004-1,$AH1005/$AH1004-1,$AI1005/$AI1004-1,$AJ1005/$AJ1004-1,$AL1005/$AL1004-1,$AM1005/$AM1004-1,$AR1005/$AR1004-1,$AS1005/$AS1004-1,$AT1005/$AT1004-1,$AU1005/$AU1004-1,$AV1005/$AV1004-1,$AW1005/$AW1004-1,$AX1005/$AX1004-1,$AY1005/$AY1004-1),"")</f>
        <v/>
      </c>
      <c r="DW1004" s="66">
        <f>AVERAGE($CB1004,$CC1004,$CD1004,$CE1004,$CF1004,$CG1004,$CH1004,$CI1004,$CJ1004,$CL1004,$CM1004,$CN1004,$CO1004,$CP1004,$CQ1004,$CR1004,$CS1004,$CT1004)</f>
        <v/>
      </c>
      <c r="DX1004" s="66">
        <f>AVERAGE($CB1004,$CC1004,$CM1004,$CE1004,$CP1004)</f>
        <v/>
      </c>
      <c r="DY1004" s="64">
        <f>($DW1004-$DW1005)*100</f>
        <v/>
      </c>
      <c r="DZ1004" s="64">
        <f>($DX1004-$DX1005)*100</f>
        <v/>
      </c>
      <c r="EA1004" s="64">
        <f>($DW1004-$D1004)*100</f>
        <v/>
      </c>
      <c r="EB1004" s="64">
        <f>$Q1004-$O1004</f>
        <v/>
      </c>
      <c r="EC1004" s="67">
        <f>IFERROR($Q1004/$P1004,"")</f>
        <v/>
      </c>
    </row>
    <row r="1005">
      <c r="DG1005" s="64">
        <f>($B1005-$B1006)*100</f>
        <v/>
      </c>
      <c r="DH1005" s="64">
        <f>($D1005-$D1006)*100</f>
        <v/>
      </c>
      <c r="DI1005" s="64">
        <f>($E1005-$E1006)*100</f>
        <v/>
      </c>
      <c r="DJ1005" s="64">
        <f>($H1005-$H1006)*100</f>
        <v/>
      </c>
      <c r="DK1005" s="65">
        <f>IFERROR($J1005/$J1006-1,"")</f>
        <v/>
      </c>
      <c r="DL1005" s="64">
        <f>$L1005-$L1006</f>
        <v/>
      </c>
      <c r="DM1005" s="64">
        <f>$K1005-$K1006</f>
        <v/>
      </c>
      <c r="DN1005" s="65">
        <f>IFERROR($N1005/$N1006-1,"")</f>
        <v/>
      </c>
      <c r="DO1005" s="65">
        <f>IFERROR($M1005/$M1006-1,"")</f>
        <v/>
      </c>
      <c r="DP1005" s="65">
        <f>IFERROR($AZ1005/$AZ1006-1,"")</f>
        <v/>
      </c>
      <c r="DQ1005" s="65">
        <f>IFERROR($BA1005/$BA1006-1,"")</f>
        <v/>
      </c>
      <c r="DR1005" s="64">
        <f>$O1005-$O1006</f>
        <v/>
      </c>
      <c r="DS1005" s="64">
        <f>$P1005-$P1006</f>
        <v/>
      </c>
      <c r="DT1005" s="64">
        <f>$Q1005-$Q1006</f>
        <v/>
      </c>
      <c r="DU1005" s="64">
        <f>$S1005-$S1006</f>
        <v/>
      </c>
      <c r="DV1005" s="65">
        <f>IFERROR(AVERAGE($AA1006/$AA1005-1,$AB1006/$AB1005-1,$AC1006/$AC1005-1,$AD1006/$AD1005-1,$AE1006/$AE1005-1,$AG1006/$AG1005-1,$AH1006/$AH1005-1,$AI1006/$AI1005-1,$AJ1006/$AJ1005-1,$AL1006/$AL1005-1,$AM1006/$AM1005-1,$AR1006/$AR1005-1,$AS1006/$AS1005-1,$AT1006/$AT1005-1,$AU1006/$AU1005-1,$AV1006/$AV1005-1,$AW1006/$AW1005-1,$AX1006/$AX1005-1,$AY1006/$AY1005-1),"")</f>
        <v/>
      </c>
      <c r="DW1005" s="66">
        <f>AVERAGE($CB1005,$CC1005,$CD1005,$CE1005,$CF1005,$CG1005,$CH1005,$CI1005,$CJ1005,$CL1005,$CM1005,$CN1005,$CO1005,$CP1005,$CQ1005,$CR1005,$CS1005,$CT1005)</f>
        <v/>
      </c>
      <c r="DX1005" s="66">
        <f>AVERAGE($CB1005,$CC1005,$CM1005,$CE1005,$CP1005)</f>
        <v/>
      </c>
      <c r="DY1005" s="64">
        <f>($DW1005-$DW1006)*100</f>
        <v/>
      </c>
      <c r="DZ1005" s="64">
        <f>($DX1005-$DX1006)*100</f>
        <v/>
      </c>
      <c r="EA1005" s="64">
        <f>($DW1005-$D1005)*100</f>
        <v/>
      </c>
      <c r="EB1005" s="64">
        <f>$Q1005-$O1005</f>
        <v/>
      </c>
      <c r="EC1005" s="67">
        <f>IFERROR($Q1005/$P1005,"")</f>
        <v/>
      </c>
    </row>
    <row r="1006">
      <c r="DG1006" s="64">
        <f>($B1006-$B1007)*100</f>
        <v/>
      </c>
      <c r="DH1006" s="64">
        <f>($D1006-$D1007)*100</f>
        <v/>
      </c>
      <c r="DI1006" s="64">
        <f>($E1006-$E1007)*100</f>
        <v/>
      </c>
      <c r="DJ1006" s="64">
        <f>($H1006-$H1007)*100</f>
        <v/>
      </c>
      <c r="DK1006" s="65">
        <f>IFERROR($J1006/$J1007-1,"")</f>
        <v/>
      </c>
      <c r="DL1006" s="64">
        <f>$L1006-$L1007</f>
        <v/>
      </c>
      <c r="DM1006" s="64">
        <f>$K1006-$K1007</f>
        <v/>
      </c>
      <c r="DN1006" s="65">
        <f>IFERROR($N1006/$N1007-1,"")</f>
        <v/>
      </c>
      <c r="DO1006" s="65">
        <f>IFERROR($M1006/$M1007-1,"")</f>
        <v/>
      </c>
      <c r="DP1006" s="65">
        <f>IFERROR($AZ1006/$AZ1007-1,"")</f>
        <v/>
      </c>
      <c r="DQ1006" s="65">
        <f>IFERROR($BA1006/$BA1007-1,"")</f>
        <v/>
      </c>
      <c r="DR1006" s="64">
        <f>$O1006-$O1007</f>
        <v/>
      </c>
      <c r="DS1006" s="64">
        <f>$P1006-$P1007</f>
        <v/>
      </c>
      <c r="DT1006" s="64">
        <f>$Q1006-$Q1007</f>
        <v/>
      </c>
      <c r="DU1006" s="64">
        <f>$S1006-$S1007</f>
        <v/>
      </c>
      <c r="DV1006" s="65">
        <f>IFERROR(AVERAGE($AA1007/$AA1006-1,$AB1007/$AB1006-1,$AC1007/$AC1006-1,$AD1007/$AD1006-1,$AE1007/$AE1006-1,$AG1007/$AG1006-1,$AH1007/$AH1006-1,$AI1007/$AI1006-1,$AJ1007/$AJ1006-1,$AL1007/$AL1006-1,$AM1007/$AM1006-1,$AR1007/$AR1006-1,$AS1007/$AS1006-1,$AT1007/$AT1006-1,$AU1007/$AU1006-1,$AV1007/$AV1006-1,$AW1007/$AW1006-1,$AX1007/$AX1006-1,$AY1007/$AY1006-1),"")</f>
        <v/>
      </c>
      <c r="DW1006" s="66">
        <f>AVERAGE($CB1006,$CC1006,$CD1006,$CE1006,$CF1006,$CG1006,$CH1006,$CI1006,$CJ1006,$CL1006,$CM1006,$CN1006,$CO1006,$CP1006,$CQ1006,$CR1006,$CS1006,$CT1006)</f>
        <v/>
      </c>
      <c r="DX1006" s="66">
        <f>AVERAGE($CB1006,$CC1006,$CM1006,$CE1006,$CP1006)</f>
        <v/>
      </c>
      <c r="DY1006" s="64">
        <f>($DW1006-$DW1007)*100</f>
        <v/>
      </c>
      <c r="DZ1006" s="64">
        <f>($DX1006-$DX1007)*100</f>
        <v/>
      </c>
      <c r="EA1006" s="64">
        <f>($DW1006-$D1006)*100</f>
        <v/>
      </c>
      <c r="EB1006" s="64">
        <f>$Q1006-$O1006</f>
        <v/>
      </c>
      <c r="EC1006" s="67">
        <f>IFERROR($Q1006/$P1006,"")</f>
        <v/>
      </c>
    </row>
    <row r="1007">
      <c r="DG1007" s="64">
        <f>($B1007-$B1008)*100</f>
        <v/>
      </c>
      <c r="DH1007" s="64">
        <f>($D1007-$D1008)*100</f>
        <v/>
      </c>
      <c r="DI1007" s="64">
        <f>($E1007-$E1008)*100</f>
        <v/>
      </c>
      <c r="DJ1007" s="64">
        <f>($H1007-$H1008)*100</f>
        <v/>
      </c>
      <c r="DK1007" s="65">
        <f>IFERROR($J1007/$J1008-1,"")</f>
        <v/>
      </c>
      <c r="DL1007" s="64">
        <f>$L1007-$L1008</f>
        <v/>
      </c>
      <c r="DM1007" s="64">
        <f>$K1007-$K1008</f>
        <v/>
      </c>
      <c r="DN1007" s="65">
        <f>IFERROR($N1007/$N1008-1,"")</f>
        <v/>
      </c>
      <c r="DO1007" s="65">
        <f>IFERROR($M1007/$M1008-1,"")</f>
        <v/>
      </c>
      <c r="DP1007" s="65">
        <f>IFERROR($AZ1007/$AZ1008-1,"")</f>
        <v/>
      </c>
      <c r="DQ1007" s="65">
        <f>IFERROR($BA1007/$BA1008-1,"")</f>
        <v/>
      </c>
      <c r="DR1007" s="64">
        <f>$O1007-$O1008</f>
        <v/>
      </c>
      <c r="DS1007" s="64">
        <f>$P1007-$P1008</f>
        <v/>
      </c>
      <c r="DT1007" s="64">
        <f>$Q1007-$Q1008</f>
        <v/>
      </c>
      <c r="DU1007" s="64">
        <f>$S1007-$S1008</f>
        <v/>
      </c>
      <c r="DV1007" s="65">
        <f>IFERROR(AVERAGE($AA1008/$AA1007-1,$AB1008/$AB1007-1,$AC1008/$AC1007-1,$AD1008/$AD1007-1,$AE1008/$AE1007-1,$AG1008/$AG1007-1,$AH1008/$AH1007-1,$AI1008/$AI1007-1,$AJ1008/$AJ1007-1,$AL1008/$AL1007-1,$AM1008/$AM1007-1,$AR1008/$AR1007-1,$AS1008/$AS1007-1,$AT1008/$AT1007-1,$AU1008/$AU1007-1,$AV1008/$AV1007-1,$AW1008/$AW1007-1,$AX1008/$AX1007-1,$AY1008/$AY1007-1),"")</f>
        <v/>
      </c>
      <c r="DW1007" s="66">
        <f>AVERAGE($CB1007,$CC1007,$CD1007,$CE1007,$CF1007,$CG1007,$CH1007,$CI1007,$CJ1007,$CL1007,$CM1007,$CN1007,$CO1007,$CP1007,$CQ1007,$CR1007,$CS1007,$CT1007)</f>
        <v/>
      </c>
      <c r="DX1007" s="66">
        <f>AVERAGE($CB1007,$CC1007,$CM1007,$CE1007,$CP1007)</f>
        <v/>
      </c>
      <c r="DY1007" s="64">
        <f>($DW1007-$DW1008)*100</f>
        <v/>
      </c>
      <c r="DZ1007" s="64">
        <f>($DX1007-$DX1008)*100</f>
        <v/>
      </c>
      <c r="EA1007" s="64">
        <f>($DW1007-$D1007)*100</f>
        <v/>
      </c>
      <c r="EB1007" s="64">
        <f>$Q1007-$O1007</f>
        <v/>
      </c>
      <c r="EC1007" s="67">
        <f>IFERROR($Q1007/$P1007,"")</f>
        <v/>
      </c>
    </row>
    <row r="1008">
      <c r="DG1008" s="64">
        <f>($B1008-$B1009)*100</f>
        <v/>
      </c>
      <c r="DH1008" s="64">
        <f>($D1008-$D1009)*100</f>
        <v/>
      </c>
      <c r="DI1008" s="64">
        <f>($E1008-$E1009)*100</f>
        <v/>
      </c>
      <c r="DJ1008" s="64">
        <f>($H1008-$H1009)*100</f>
        <v/>
      </c>
      <c r="DK1008" s="65">
        <f>IFERROR($J1008/$J1009-1,"")</f>
        <v/>
      </c>
      <c r="DL1008" s="64">
        <f>$L1008-$L1009</f>
        <v/>
      </c>
      <c r="DM1008" s="64">
        <f>$K1008-$K1009</f>
        <v/>
      </c>
      <c r="DN1008" s="65">
        <f>IFERROR($N1008/$N1009-1,"")</f>
        <v/>
      </c>
      <c r="DO1008" s="65">
        <f>IFERROR($M1008/$M1009-1,"")</f>
        <v/>
      </c>
      <c r="DP1008" s="65">
        <f>IFERROR($AZ1008/$AZ1009-1,"")</f>
        <v/>
      </c>
      <c r="DQ1008" s="65">
        <f>IFERROR($BA1008/$BA1009-1,"")</f>
        <v/>
      </c>
      <c r="DR1008" s="64">
        <f>$O1008-$O1009</f>
        <v/>
      </c>
      <c r="DS1008" s="64">
        <f>$P1008-$P1009</f>
        <v/>
      </c>
      <c r="DT1008" s="64">
        <f>$Q1008-$Q1009</f>
        <v/>
      </c>
      <c r="DU1008" s="64">
        <f>$S1008-$S1009</f>
        <v/>
      </c>
      <c r="DV1008" s="65">
        <f>IFERROR(AVERAGE($AA1009/$AA1008-1,$AB1009/$AB1008-1,$AC1009/$AC1008-1,$AD1009/$AD1008-1,$AE1009/$AE1008-1,$AG1009/$AG1008-1,$AH1009/$AH1008-1,$AI1009/$AI1008-1,$AJ1009/$AJ1008-1,$AL1009/$AL1008-1,$AM1009/$AM1008-1,$AR1009/$AR1008-1,$AS1009/$AS1008-1,$AT1009/$AT1008-1,$AU1009/$AU1008-1,$AV1009/$AV1008-1,$AW1009/$AW1008-1,$AX1009/$AX1008-1,$AY1009/$AY1008-1),"")</f>
        <v/>
      </c>
      <c r="DW1008" s="66">
        <f>AVERAGE($CB1008,$CC1008,$CD1008,$CE1008,$CF1008,$CG1008,$CH1008,$CI1008,$CJ1008,$CL1008,$CM1008,$CN1008,$CO1008,$CP1008,$CQ1008,$CR1008,$CS1008,$CT1008)</f>
        <v/>
      </c>
      <c r="DX1008" s="66">
        <f>AVERAGE($CB1008,$CC1008,$CM1008,$CE1008,$CP1008)</f>
        <v/>
      </c>
      <c r="DY1008" s="64">
        <f>($DW1008-$DW1009)*100</f>
        <v/>
      </c>
      <c r="DZ1008" s="64">
        <f>($DX1008-$DX1009)*100</f>
        <v/>
      </c>
      <c r="EA1008" s="64">
        <f>($DW1008-$D1008)*100</f>
        <v/>
      </c>
      <c r="EB1008" s="64">
        <f>$Q1008-$O1008</f>
        <v/>
      </c>
      <c r="EC1008" s="67">
        <f>IFERROR($Q1008/$P1008,"")</f>
        <v/>
      </c>
    </row>
    <row r="1009">
      <c r="DG1009" s="64">
        <f>($B1009-$B1010)*100</f>
        <v/>
      </c>
      <c r="DH1009" s="64">
        <f>($D1009-$D1010)*100</f>
        <v/>
      </c>
      <c r="DI1009" s="64">
        <f>($E1009-$E1010)*100</f>
        <v/>
      </c>
      <c r="DJ1009" s="64">
        <f>($H1009-$H1010)*100</f>
        <v/>
      </c>
      <c r="DK1009" s="65">
        <f>IFERROR($J1009/$J1010-1,"")</f>
        <v/>
      </c>
      <c r="DL1009" s="64">
        <f>$L1009-$L1010</f>
        <v/>
      </c>
      <c r="DM1009" s="64">
        <f>$K1009-$K1010</f>
        <v/>
      </c>
      <c r="DN1009" s="65">
        <f>IFERROR($N1009/$N1010-1,"")</f>
        <v/>
      </c>
      <c r="DO1009" s="65">
        <f>IFERROR($M1009/$M1010-1,"")</f>
        <v/>
      </c>
      <c r="DP1009" s="65">
        <f>IFERROR($AZ1009/$AZ1010-1,"")</f>
        <v/>
      </c>
      <c r="DQ1009" s="65">
        <f>IFERROR($BA1009/$BA1010-1,"")</f>
        <v/>
      </c>
      <c r="DR1009" s="64">
        <f>$O1009-$O1010</f>
        <v/>
      </c>
      <c r="DS1009" s="64">
        <f>$P1009-$P1010</f>
        <v/>
      </c>
      <c r="DT1009" s="64">
        <f>$Q1009-$Q1010</f>
        <v/>
      </c>
      <c r="DU1009" s="64">
        <f>$S1009-$S1010</f>
        <v/>
      </c>
      <c r="DV1009" s="65">
        <f>IFERROR(AVERAGE($AA1010/$AA1009-1,$AB1010/$AB1009-1,$AC1010/$AC1009-1,$AD1010/$AD1009-1,$AE1010/$AE1009-1,$AG1010/$AG1009-1,$AH1010/$AH1009-1,$AI1010/$AI1009-1,$AJ1010/$AJ1009-1,$AL1010/$AL1009-1,$AM1010/$AM1009-1,$AR1010/$AR1009-1,$AS1010/$AS1009-1,$AT1010/$AT1009-1,$AU1010/$AU1009-1,$AV1010/$AV1009-1,$AW1010/$AW1009-1,$AX1010/$AX1009-1,$AY1010/$AY1009-1),"")</f>
        <v/>
      </c>
      <c r="DW1009" s="66">
        <f>AVERAGE($CB1009,$CC1009,$CD1009,$CE1009,$CF1009,$CG1009,$CH1009,$CI1009,$CJ1009,$CL1009,$CM1009,$CN1009,$CO1009,$CP1009,$CQ1009,$CR1009,$CS1009,$CT1009)</f>
        <v/>
      </c>
      <c r="DX1009" s="66">
        <f>AVERAGE($CB1009,$CC1009,$CM1009,$CE1009,$CP1009)</f>
        <v/>
      </c>
      <c r="DY1009" s="64">
        <f>($DW1009-$DW1010)*100</f>
        <v/>
      </c>
      <c r="DZ1009" s="64">
        <f>($DX1009-$DX1010)*100</f>
        <v/>
      </c>
      <c r="EA1009" s="64">
        <f>($DW1009-$D1009)*100</f>
        <v/>
      </c>
      <c r="EB1009" s="64">
        <f>$Q1009-$O1009</f>
        <v/>
      </c>
      <c r="EC1009" s="67">
        <f>IFERROR($Q1009/$P1009,"")</f>
        <v/>
      </c>
    </row>
    <row r="1010">
      <c r="DG1010" s="64">
        <f>($B1010-$B1011)*100</f>
        <v/>
      </c>
      <c r="DH1010" s="64">
        <f>($D1010-$D1011)*100</f>
        <v/>
      </c>
      <c r="DI1010" s="64">
        <f>($E1010-$E1011)*100</f>
        <v/>
      </c>
      <c r="DJ1010" s="64">
        <f>($H1010-$H1011)*100</f>
        <v/>
      </c>
      <c r="DK1010" s="65">
        <f>IFERROR($J1010/$J1011-1,"")</f>
        <v/>
      </c>
      <c r="DL1010" s="64">
        <f>$L1010-$L1011</f>
        <v/>
      </c>
      <c r="DM1010" s="64">
        <f>$K1010-$K1011</f>
        <v/>
      </c>
      <c r="DN1010" s="65">
        <f>IFERROR($N1010/$N1011-1,"")</f>
        <v/>
      </c>
      <c r="DO1010" s="65">
        <f>IFERROR($M1010/$M1011-1,"")</f>
        <v/>
      </c>
      <c r="DP1010" s="65">
        <f>IFERROR($AZ1010/$AZ1011-1,"")</f>
        <v/>
      </c>
      <c r="DQ1010" s="65">
        <f>IFERROR($BA1010/$BA1011-1,"")</f>
        <v/>
      </c>
      <c r="DR1010" s="64">
        <f>$O1010-$O1011</f>
        <v/>
      </c>
      <c r="DS1010" s="64">
        <f>$P1010-$P1011</f>
        <v/>
      </c>
      <c r="DT1010" s="64">
        <f>$Q1010-$Q1011</f>
        <v/>
      </c>
      <c r="DU1010" s="64">
        <f>$S1010-$S1011</f>
        <v/>
      </c>
      <c r="DV1010" s="65">
        <f>IFERROR(AVERAGE($AA1011/$AA1010-1,$AB1011/$AB1010-1,$AC1011/$AC1010-1,$AD1011/$AD1010-1,$AE1011/$AE1010-1,$AG1011/$AG1010-1,$AH1011/$AH1010-1,$AI1011/$AI1010-1,$AJ1011/$AJ1010-1,$AL1011/$AL1010-1,$AM1011/$AM1010-1,$AR1011/$AR1010-1,$AS1011/$AS1010-1,$AT1011/$AT1010-1,$AU1011/$AU1010-1,$AV1011/$AV1010-1,$AW1011/$AW1010-1,$AX1011/$AX1010-1,$AY1011/$AY1010-1),"")</f>
        <v/>
      </c>
      <c r="DW1010" s="66">
        <f>AVERAGE($CB1010,$CC1010,$CD1010,$CE1010,$CF1010,$CG1010,$CH1010,$CI1010,$CJ1010,$CL1010,$CM1010,$CN1010,$CO1010,$CP1010,$CQ1010,$CR1010,$CS1010,$CT1010)</f>
        <v/>
      </c>
      <c r="DX1010" s="66">
        <f>AVERAGE($CB1010,$CC1010,$CM1010,$CE1010,$CP1010)</f>
        <v/>
      </c>
      <c r="DY1010" s="64">
        <f>($DW1010-$DW1011)*100</f>
        <v/>
      </c>
      <c r="DZ1010" s="64">
        <f>($DX1010-$DX1011)*100</f>
        <v/>
      </c>
      <c r="EA1010" s="64">
        <f>($DW1010-$D1010)*100</f>
        <v/>
      </c>
      <c r="EB1010" s="64">
        <f>$Q1010-$O1010</f>
        <v/>
      </c>
      <c r="EC1010" s="67">
        <f>IFERROR($Q1010/$P1010,"")</f>
        <v/>
      </c>
    </row>
    <row r="1011">
      <c r="DG1011" s="64">
        <f>($B1011-$B1012)*100</f>
        <v/>
      </c>
      <c r="DH1011" s="64">
        <f>($D1011-$D1012)*100</f>
        <v/>
      </c>
      <c r="DI1011" s="64">
        <f>($E1011-$E1012)*100</f>
        <v/>
      </c>
      <c r="DJ1011" s="64">
        <f>($H1011-$H1012)*100</f>
        <v/>
      </c>
      <c r="DK1011" s="65">
        <f>IFERROR($J1011/$J1012-1,"")</f>
        <v/>
      </c>
      <c r="DL1011" s="64">
        <f>$L1011-$L1012</f>
        <v/>
      </c>
      <c r="DM1011" s="64">
        <f>$K1011-$K1012</f>
        <v/>
      </c>
      <c r="DN1011" s="65">
        <f>IFERROR($N1011/$N1012-1,"")</f>
        <v/>
      </c>
      <c r="DO1011" s="65">
        <f>IFERROR($M1011/$M1012-1,"")</f>
        <v/>
      </c>
      <c r="DP1011" s="65">
        <f>IFERROR($AZ1011/$AZ1012-1,"")</f>
        <v/>
      </c>
      <c r="DQ1011" s="65">
        <f>IFERROR($BA1011/$BA1012-1,"")</f>
        <v/>
      </c>
      <c r="DR1011" s="64">
        <f>$O1011-$O1012</f>
        <v/>
      </c>
      <c r="DS1011" s="64">
        <f>$P1011-$P1012</f>
        <v/>
      </c>
      <c r="DT1011" s="64">
        <f>$Q1011-$Q1012</f>
        <v/>
      </c>
      <c r="DU1011" s="64">
        <f>$S1011-$S1012</f>
        <v/>
      </c>
      <c r="DV1011" s="65">
        <f>IFERROR(AVERAGE($AA1012/$AA1011-1,$AB1012/$AB1011-1,$AC1012/$AC1011-1,$AD1012/$AD1011-1,$AE1012/$AE1011-1,$AG1012/$AG1011-1,$AH1012/$AH1011-1,$AI1012/$AI1011-1,$AJ1012/$AJ1011-1,$AL1012/$AL1011-1,$AM1012/$AM1011-1,$AR1012/$AR1011-1,$AS1012/$AS1011-1,$AT1012/$AT1011-1,$AU1012/$AU1011-1,$AV1012/$AV1011-1,$AW1012/$AW1011-1,$AX1012/$AX1011-1,$AY1012/$AY1011-1),"")</f>
        <v/>
      </c>
      <c r="DW1011" s="66">
        <f>AVERAGE($CB1011,$CC1011,$CD1011,$CE1011,$CF1011,$CG1011,$CH1011,$CI1011,$CJ1011,$CL1011,$CM1011,$CN1011,$CO1011,$CP1011,$CQ1011,$CR1011,$CS1011,$CT1011)</f>
        <v/>
      </c>
      <c r="DX1011" s="66">
        <f>AVERAGE($CB1011,$CC1011,$CM1011,$CE1011,$CP1011)</f>
        <v/>
      </c>
      <c r="DY1011" s="64">
        <f>($DW1011-$DW1012)*100</f>
        <v/>
      </c>
      <c r="DZ1011" s="64">
        <f>($DX1011-$DX1012)*100</f>
        <v/>
      </c>
      <c r="EA1011" s="64">
        <f>($DW1011-$D1011)*100</f>
        <v/>
      </c>
      <c r="EB1011" s="64">
        <f>$Q1011-$O1011</f>
        <v/>
      </c>
      <c r="EC1011" s="67">
        <f>IFERROR($Q1011/$P1011,"")</f>
        <v/>
      </c>
    </row>
    <row r="1012">
      <c r="DG1012" s="64">
        <f>($B1012-$B1013)*100</f>
        <v/>
      </c>
      <c r="DH1012" s="64">
        <f>($D1012-$D1013)*100</f>
        <v/>
      </c>
      <c r="DI1012" s="64">
        <f>($E1012-$E1013)*100</f>
        <v/>
      </c>
      <c r="DJ1012" s="64">
        <f>($H1012-$H1013)*100</f>
        <v/>
      </c>
      <c r="DK1012" s="65">
        <f>IFERROR($J1012/$J1013-1,"")</f>
        <v/>
      </c>
      <c r="DL1012" s="64">
        <f>$L1012-$L1013</f>
        <v/>
      </c>
      <c r="DM1012" s="64">
        <f>$K1012-$K1013</f>
        <v/>
      </c>
      <c r="DN1012" s="65">
        <f>IFERROR($N1012/$N1013-1,"")</f>
        <v/>
      </c>
      <c r="DO1012" s="65">
        <f>IFERROR($M1012/$M1013-1,"")</f>
        <v/>
      </c>
      <c r="DP1012" s="65">
        <f>IFERROR($AZ1012/$AZ1013-1,"")</f>
        <v/>
      </c>
      <c r="DQ1012" s="65">
        <f>IFERROR($BA1012/$BA1013-1,"")</f>
        <v/>
      </c>
      <c r="DR1012" s="64">
        <f>$O1012-$O1013</f>
        <v/>
      </c>
      <c r="DS1012" s="64">
        <f>$P1012-$P1013</f>
        <v/>
      </c>
      <c r="DT1012" s="64">
        <f>$Q1012-$Q1013</f>
        <v/>
      </c>
      <c r="DU1012" s="64">
        <f>$S1012-$S1013</f>
        <v/>
      </c>
      <c r="DV1012" s="65">
        <f>IFERROR(AVERAGE($AA1013/$AA1012-1,$AB1013/$AB1012-1,$AC1013/$AC1012-1,$AD1013/$AD1012-1,$AE1013/$AE1012-1,$AG1013/$AG1012-1,$AH1013/$AH1012-1,$AI1013/$AI1012-1,$AJ1013/$AJ1012-1,$AL1013/$AL1012-1,$AM1013/$AM1012-1,$AR1013/$AR1012-1,$AS1013/$AS1012-1,$AT1013/$AT1012-1,$AU1013/$AU1012-1,$AV1013/$AV1012-1,$AW1013/$AW1012-1,$AX1013/$AX1012-1,$AY1013/$AY1012-1),"")</f>
        <v/>
      </c>
      <c r="DW1012" s="66">
        <f>AVERAGE($CB1012,$CC1012,$CD1012,$CE1012,$CF1012,$CG1012,$CH1012,$CI1012,$CJ1012,$CL1012,$CM1012,$CN1012,$CO1012,$CP1012,$CQ1012,$CR1012,$CS1012,$CT1012)</f>
        <v/>
      </c>
      <c r="DX1012" s="66">
        <f>AVERAGE($CB1012,$CC1012,$CM1012,$CE1012,$CP1012)</f>
        <v/>
      </c>
      <c r="DY1012" s="64">
        <f>($DW1012-$DW1013)*100</f>
        <v/>
      </c>
      <c r="DZ1012" s="64">
        <f>($DX1012-$DX1013)*100</f>
        <v/>
      </c>
      <c r="EA1012" s="64">
        <f>($DW1012-$D1012)*100</f>
        <v/>
      </c>
      <c r="EB1012" s="64">
        <f>$Q1012-$O1012</f>
        <v/>
      </c>
      <c r="EC1012" s="67">
        <f>IFERROR($Q1012/$P1012,"")</f>
        <v/>
      </c>
    </row>
    <row r="1013">
      <c r="DG1013" s="64">
        <f>($B1013-$B1014)*100</f>
        <v/>
      </c>
      <c r="DH1013" s="64">
        <f>($D1013-$D1014)*100</f>
        <v/>
      </c>
      <c r="DI1013" s="64">
        <f>($E1013-$E1014)*100</f>
        <v/>
      </c>
      <c r="DJ1013" s="64">
        <f>($H1013-$H1014)*100</f>
        <v/>
      </c>
      <c r="DK1013" s="65">
        <f>IFERROR($J1013/$J1014-1,"")</f>
        <v/>
      </c>
      <c r="DL1013" s="64">
        <f>$L1013-$L1014</f>
        <v/>
      </c>
      <c r="DM1013" s="64">
        <f>$K1013-$K1014</f>
        <v/>
      </c>
      <c r="DN1013" s="65">
        <f>IFERROR($N1013/$N1014-1,"")</f>
        <v/>
      </c>
      <c r="DO1013" s="65">
        <f>IFERROR($M1013/$M1014-1,"")</f>
        <v/>
      </c>
      <c r="DP1013" s="65">
        <f>IFERROR($AZ1013/$AZ1014-1,"")</f>
        <v/>
      </c>
      <c r="DQ1013" s="65">
        <f>IFERROR($BA1013/$BA1014-1,"")</f>
        <v/>
      </c>
      <c r="DR1013" s="64">
        <f>$O1013-$O1014</f>
        <v/>
      </c>
      <c r="DS1013" s="64">
        <f>$P1013-$P1014</f>
        <v/>
      </c>
      <c r="DT1013" s="64">
        <f>$Q1013-$Q1014</f>
        <v/>
      </c>
      <c r="DU1013" s="64">
        <f>$S1013-$S1014</f>
        <v/>
      </c>
      <c r="DV1013" s="65">
        <f>IFERROR(AVERAGE($AA1014/$AA1013-1,$AB1014/$AB1013-1,$AC1014/$AC1013-1,$AD1014/$AD1013-1,$AE1014/$AE1013-1,$AG1014/$AG1013-1,$AH1014/$AH1013-1,$AI1014/$AI1013-1,$AJ1014/$AJ1013-1,$AL1014/$AL1013-1,$AM1014/$AM1013-1,$AR1014/$AR1013-1,$AS1014/$AS1013-1,$AT1014/$AT1013-1,$AU1014/$AU1013-1,$AV1014/$AV1013-1,$AW1014/$AW1013-1,$AX1014/$AX1013-1,$AY1014/$AY1013-1),"")</f>
        <v/>
      </c>
      <c r="DW1013" s="66">
        <f>AVERAGE($CB1013,$CC1013,$CD1013,$CE1013,$CF1013,$CG1013,$CH1013,$CI1013,$CJ1013,$CL1013,$CM1013,$CN1013,$CO1013,$CP1013,$CQ1013,$CR1013,$CS1013,$CT1013)</f>
        <v/>
      </c>
      <c r="DX1013" s="66">
        <f>AVERAGE($CB1013,$CC1013,$CM1013,$CE1013,$CP1013)</f>
        <v/>
      </c>
      <c r="DY1013" s="64">
        <f>($DW1013-$DW1014)*100</f>
        <v/>
      </c>
      <c r="DZ1013" s="64">
        <f>($DX1013-$DX1014)*100</f>
        <v/>
      </c>
      <c r="EA1013" s="64">
        <f>($DW1013-$D1013)*100</f>
        <v/>
      </c>
      <c r="EB1013" s="64">
        <f>$Q1013-$O1013</f>
        <v/>
      </c>
      <c r="EC1013" s="67">
        <f>IFERROR($Q1013/$P1013,"")</f>
        <v/>
      </c>
    </row>
    <row r="1014">
      <c r="DG1014" s="64">
        <f>($B1014-$B1015)*100</f>
        <v/>
      </c>
      <c r="DH1014" s="64">
        <f>($D1014-$D1015)*100</f>
        <v/>
      </c>
      <c r="DI1014" s="64">
        <f>($E1014-$E1015)*100</f>
        <v/>
      </c>
      <c r="DJ1014" s="64">
        <f>($H1014-$H1015)*100</f>
        <v/>
      </c>
      <c r="DK1014" s="65">
        <f>IFERROR($J1014/$J1015-1,"")</f>
        <v/>
      </c>
      <c r="DL1014" s="64">
        <f>$L1014-$L1015</f>
        <v/>
      </c>
      <c r="DM1014" s="64">
        <f>$K1014-$K1015</f>
        <v/>
      </c>
      <c r="DN1014" s="65">
        <f>IFERROR($N1014/$N1015-1,"")</f>
        <v/>
      </c>
      <c r="DO1014" s="65">
        <f>IFERROR($M1014/$M1015-1,"")</f>
        <v/>
      </c>
      <c r="DP1014" s="65">
        <f>IFERROR($AZ1014/$AZ1015-1,"")</f>
        <v/>
      </c>
      <c r="DQ1014" s="65">
        <f>IFERROR($BA1014/$BA1015-1,"")</f>
        <v/>
      </c>
      <c r="DR1014" s="64">
        <f>$O1014-$O1015</f>
        <v/>
      </c>
      <c r="DS1014" s="64">
        <f>$P1014-$P1015</f>
        <v/>
      </c>
      <c r="DT1014" s="64">
        <f>$Q1014-$Q1015</f>
        <v/>
      </c>
      <c r="DU1014" s="64">
        <f>$S1014-$S1015</f>
        <v/>
      </c>
      <c r="DV1014" s="65">
        <f>IFERROR(AVERAGE($AA1015/$AA1014-1,$AB1015/$AB1014-1,$AC1015/$AC1014-1,$AD1015/$AD1014-1,$AE1015/$AE1014-1,$AG1015/$AG1014-1,$AH1015/$AH1014-1,$AI1015/$AI1014-1,$AJ1015/$AJ1014-1,$AL1015/$AL1014-1,$AM1015/$AM1014-1,$AR1015/$AR1014-1,$AS1015/$AS1014-1,$AT1015/$AT1014-1,$AU1015/$AU1014-1,$AV1015/$AV1014-1,$AW1015/$AW1014-1,$AX1015/$AX1014-1,$AY1015/$AY1014-1),"")</f>
        <v/>
      </c>
      <c r="DW1014" s="66">
        <f>AVERAGE($CB1014,$CC1014,$CD1014,$CE1014,$CF1014,$CG1014,$CH1014,$CI1014,$CJ1014,$CL1014,$CM1014,$CN1014,$CO1014,$CP1014,$CQ1014,$CR1014,$CS1014,$CT1014)</f>
        <v/>
      </c>
      <c r="DX1014" s="66">
        <f>AVERAGE($CB1014,$CC1014,$CM1014,$CE1014,$CP1014)</f>
        <v/>
      </c>
      <c r="DY1014" s="64">
        <f>($DW1014-$DW1015)*100</f>
        <v/>
      </c>
      <c r="DZ1014" s="64">
        <f>($DX1014-$DX1015)*100</f>
        <v/>
      </c>
      <c r="EA1014" s="64">
        <f>($DW1014-$D1014)*100</f>
        <v/>
      </c>
      <c r="EB1014" s="64">
        <f>$Q1014-$O1014</f>
        <v/>
      </c>
      <c r="EC1014" s="67">
        <f>IFERROR($Q1014/$P1014,"")</f>
        <v/>
      </c>
    </row>
    <row r="1015">
      <c r="DG1015" s="64">
        <f>($B1015-$B1016)*100</f>
        <v/>
      </c>
      <c r="DH1015" s="64">
        <f>($D1015-$D1016)*100</f>
        <v/>
      </c>
      <c r="DI1015" s="64">
        <f>($E1015-$E1016)*100</f>
        <v/>
      </c>
      <c r="DJ1015" s="64">
        <f>($H1015-$H1016)*100</f>
        <v/>
      </c>
      <c r="DK1015" s="65">
        <f>IFERROR($J1015/$J1016-1,"")</f>
        <v/>
      </c>
      <c r="DL1015" s="64">
        <f>$L1015-$L1016</f>
        <v/>
      </c>
      <c r="DM1015" s="64">
        <f>$K1015-$K1016</f>
        <v/>
      </c>
      <c r="DN1015" s="65">
        <f>IFERROR($N1015/$N1016-1,"")</f>
        <v/>
      </c>
      <c r="DO1015" s="65">
        <f>IFERROR($M1015/$M1016-1,"")</f>
        <v/>
      </c>
      <c r="DP1015" s="65">
        <f>IFERROR($AZ1015/$AZ1016-1,"")</f>
        <v/>
      </c>
      <c r="DQ1015" s="65">
        <f>IFERROR($BA1015/$BA1016-1,"")</f>
        <v/>
      </c>
      <c r="DR1015" s="64">
        <f>$O1015-$O1016</f>
        <v/>
      </c>
      <c r="DS1015" s="64">
        <f>$P1015-$P1016</f>
        <v/>
      </c>
      <c r="DT1015" s="64">
        <f>$Q1015-$Q1016</f>
        <v/>
      </c>
      <c r="DU1015" s="64">
        <f>$S1015-$S1016</f>
        <v/>
      </c>
      <c r="DV1015" s="65">
        <f>IFERROR(AVERAGE($AA1016/$AA1015-1,$AB1016/$AB1015-1,$AC1016/$AC1015-1,$AD1016/$AD1015-1,$AE1016/$AE1015-1,$AG1016/$AG1015-1,$AH1016/$AH1015-1,$AI1016/$AI1015-1,$AJ1016/$AJ1015-1,$AL1016/$AL1015-1,$AM1016/$AM1015-1,$AR1016/$AR1015-1,$AS1016/$AS1015-1,$AT1016/$AT1015-1,$AU1016/$AU1015-1,$AV1016/$AV1015-1,$AW1016/$AW1015-1,$AX1016/$AX1015-1,$AY1016/$AY1015-1),"")</f>
        <v/>
      </c>
      <c r="DW1015" s="66">
        <f>AVERAGE($CB1015,$CC1015,$CD1015,$CE1015,$CF1015,$CG1015,$CH1015,$CI1015,$CJ1015,$CL1015,$CM1015,$CN1015,$CO1015,$CP1015,$CQ1015,$CR1015,$CS1015,$CT1015)</f>
        <v/>
      </c>
      <c r="DX1015" s="66">
        <f>AVERAGE($CB1015,$CC1015,$CM1015,$CE1015,$CP1015)</f>
        <v/>
      </c>
      <c r="DY1015" s="64">
        <f>($DW1015-$DW1016)*100</f>
        <v/>
      </c>
      <c r="DZ1015" s="64">
        <f>($DX1015-$DX1016)*100</f>
        <v/>
      </c>
      <c r="EA1015" s="64">
        <f>($DW1015-$D1015)*100</f>
        <v/>
      </c>
      <c r="EB1015" s="64">
        <f>$Q1015-$O1015</f>
        <v/>
      </c>
      <c r="EC1015" s="67">
        <f>IFERROR($Q1015/$P1015,"")</f>
        <v/>
      </c>
    </row>
    <row r="1016">
      <c r="DG1016" s="64">
        <f>($B1016-$B1017)*100</f>
        <v/>
      </c>
      <c r="DH1016" s="64">
        <f>($D1016-$D1017)*100</f>
        <v/>
      </c>
      <c r="DI1016" s="64">
        <f>($E1016-$E1017)*100</f>
        <v/>
      </c>
      <c r="DJ1016" s="64">
        <f>($H1016-$H1017)*100</f>
        <v/>
      </c>
      <c r="DK1016" s="65">
        <f>IFERROR($J1016/$J1017-1,"")</f>
        <v/>
      </c>
      <c r="DL1016" s="64">
        <f>$L1016-$L1017</f>
        <v/>
      </c>
      <c r="DM1016" s="64">
        <f>$K1016-$K1017</f>
        <v/>
      </c>
      <c r="DN1016" s="65">
        <f>IFERROR($N1016/$N1017-1,"")</f>
        <v/>
      </c>
      <c r="DO1016" s="65">
        <f>IFERROR($M1016/$M1017-1,"")</f>
        <v/>
      </c>
      <c r="DP1016" s="65">
        <f>IFERROR($AZ1016/$AZ1017-1,"")</f>
        <v/>
      </c>
      <c r="DQ1016" s="65">
        <f>IFERROR($BA1016/$BA1017-1,"")</f>
        <v/>
      </c>
      <c r="DR1016" s="64">
        <f>$O1016-$O1017</f>
        <v/>
      </c>
      <c r="DS1016" s="64">
        <f>$P1016-$P1017</f>
        <v/>
      </c>
      <c r="DT1016" s="64">
        <f>$Q1016-$Q1017</f>
        <v/>
      </c>
      <c r="DU1016" s="64">
        <f>$S1016-$S1017</f>
        <v/>
      </c>
      <c r="DV1016" s="65">
        <f>IFERROR(AVERAGE($AA1017/$AA1016-1,$AB1017/$AB1016-1,$AC1017/$AC1016-1,$AD1017/$AD1016-1,$AE1017/$AE1016-1,$AG1017/$AG1016-1,$AH1017/$AH1016-1,$AI1017/$AI1016-1,$AJ1017/$AJ1016-1,$AL1017/$AL1016-1,$AM1017/$AM1016-1,$AR1017/$AR1016-1,$AS1017/$AS1016-1,$AT1017/$AT1016-1,$AU1017/$AU1016-1,$AV1017/$AV1016-1,$AW1017/$AW1016-1,$AX1017/$AX1016-1,$AY1017/$AY1016-1),"")</f>
        <v/>
      </c>
      <c r="DW1016" s="66">
        <f>AVERAGE($CB1016,$CC1016,$CD1016,$CE1016,$CF1016,$CG1016,$CH1016,$CI1016,$CJ1016,$CL1016,$CM1016,$CN1016,$CO1016,$CP1016,$CQ1016,$CR1016,$CS1016,$CT1016)</f>
        <v/>
      </c>
      <c r="DX1016" s="66">
        <f>AVERAGE($CB1016,$CC1016,$CM1016,$CE1016,$CP1016)</f>
        <v/>
      </c>
      <c r="DY1016" s="64">
        <f>($DW1016-$DW1017)*100</f>
        <v/>
      </c>
      <c r="DZ1016" s="64">
        <f>($DX1016-$DX1017)*100</f>
        <v/>
      </c>
      <c r="EA1016" s="64">
        <f>($DW1016-$D1016)*100</f>
        <v/>
      </c>
      <c r="EB1016" s="64">
        <f>$Q1016-$O1016</f>
        <v/>
      </c>
      <c r="EC1016" s="67">
        <f>IFERROR($Q1016/$P1016,"")</f>
        <v/>
      </c>
    </row>
    <row r="1017">
      <c r="DG1017" s="64">
        <f>($B1017-$B1018)*100</f>
        <v/>
      </c>
      <c r="DH1017" s="64">
        <f>($D1017-$D1018)*100</f>
        <v/>
      </c>
      <c r="DI1017" s="64">
        <f>($E1017-$E1018)*100</f>
        <v/>
      </c>
      <c r="DJ1017" s="64">
        <f>($H1017-$H1018)*100</f>
        <v/>
      </c>
      <c r="DK1017" s="65">
        <f>IFERROR($J1017/$J1018-1,"")</f>
        <v/>
      </c>
      <c r="DL1017" s="64">
        <f>$L1017-$L1018</f>
        <v/>
      </c>
      <c r="DM1017" s="64">
        <f>$K1017-$K1018</f>
        <v/>
      </c>
      <c r="DN1017" s="65">
        <f>IFERROR($N1017/$N1018-1,"")</f>
        <v/>
      </c>
      <c r="DO1017" s="65">
        <f>IFERROR($M1017/$M1018-1,"")</f>
        <v/>
      </c>
      <c r="DP1017" s="65">
        <f>IFERROR($AZ1017/$AZ1018-1,"")</f>
        <v/>
      </c>
      <c r="DQ1017" s="65">
        <f>IFERROR($BA1017/$BA1018-1,"")</f>
        <v/>
      </c>
      <c r="DR1017" s="64">
        <f>$O1017-$O1018</f>
        <v/>
      </c>
      <c r="DS1017" s="64">
        <f>$P1017-$P1018</f>
        <v/>
      </c>
      <c r="DT1017" s="64">
        <f>$Q1017-$Q1018</f>
        <v/>
      </c>
      <c r="DU1017" s="64">
        <f>$S1017-$S1018</f>
        <v/>
      </c>
      <c r="DV1017" s="65">
        <f>IFERROR(AVERAGE($AA1018/$AA1017-1,$AB1018/$AB1017-1,$AC1018/$AC1017-1,$AD1018/$AD1017-1,$AE1018/$AE1017-1,$AG1018/$AG1017-1,$AH1018/$AH1017-1,$AI1018/$AI1017-1,$AJ1018/$AJ1017-1,$AL1018/$AL1017-1,$AM1018/$AM1017-1,$AR1018/$AR1017-1,$AS1018/$AS1017-1,$AT1018/$AT1017-1,$AU1018/$AU1017-1,$AV1018/$AV1017-1,$AW1018/$AW1017-1,$AX1018/$AX1017-1,$AY1018/$AY1017-1),"")</f>
        <v/>
      </c>
      <c r="DW1017" s="66">
        <f>AVERAGE($CB1017,$CC1017,$CD1017,$CE1017,$CF1017,$CG1017,$CH1017,$CI1017,$CJ1017,$CL1017,$CM1017,$CN1017,$CO1017,$CP1017,$CQ1017,$CR1017,$CS1017,$CT1017)</f>
        <v/>
      </c>
      <c r="DX1017" s="66">
        <f>AVERAGE($CB1017,$CC1017,$CM1017,$CE1017,$CP1017)</f>
        <v/>
      </c>
      <c r="DY1017" s="64">
        <f>($DW1017-$DW1018)*100</f>
        <v/>
      </c>
      <c r="DZ1017" s="64">
        <f>($DX1017-$DX1018)*100</f>
        <v/>
      </c>
      <c r="EA1017" s="64">
        <f>($DW1017-$D1017)*100</f>
        <v/>
      </c>
      <c r="EB1017" s="64">
        <f>$Q1017-$O1017</f>
        <v/>
      </c>
      <c r="EC1017" s="67">
        <f>IFERROR($Q1017/$P1017,"")</f>
        <v/>
      </c>
    </row>
    <row r="1018">
      <c r="DG1018" s="64">
        <f>($B1018-$B1019)*100</f>
        <v/>
      </c>
      <c r="DH1018" s="64">
        <f>($D1018-$D1019)*100</f>
        <v/>
      </c>
      <c r="DI1018" s="64">
        <f>($E1018-$E1019)*100</f>
        <v/>
      </c>
      <c r="DJ1018" s="64">
        <f>($H1018-$H1019)*100</f>
        <v/>
      </c>
      <c r="DK1018" s="65">
        <f>IFERROR($J1018/$J1019-1,"")</f>
        <v/>
      </c>
      <c r="DL1018" s="64">
        <f>$L1018-$L1019</f>
        <v/>
      </c>
      <c r="DM1018" s="64">
        <f>$K1018-$K1019</f>
        <v/>
      </c>
      <c r="DN1018" s="65">
        <f>IFERROR($N1018/$N1019-1,"")</f>
        <v/>
      </c>
      <c r="DO1018" s="65">
        <f>IFERROR($M1018/$M1019-1,"")</f>
        <v/>
      </c>
      <c r="DP1018" s="65">
        <f>IFERROR($AZ1018/$AZ1019-1,"")</f>
        <v/>
      </c>
      <c r="DQ1018" s="65">
        <f>IFERROR($BA1018/$BA1019-1,"")</f>
        <v/>
      </c>
      <c r="DR1018" s="64">
        <f>$O1018-$O1019</f>
        <v/>
      </c>
      <c r="DS1018" s="64">
        <f>$P1018-$P1019</f>
        <v/>
      </c>
      <c r="DT1018" s="64">
        <f>$Q1018-$Q1019</f>
        <v/>
      </c>
      <c r="DU1018" s="64">
        <f>$S1018-$S1019</f>
        <v/>
      </c>
      <c r="DV1018" s="65">
        <f>IFERROR(AVERAGE($AA1019/$AA1018-1,$AB1019/$AB1018-1,$AC1019/$AC1018-1,$AD1019/$AD1018-1,$AE1019/$AE1018-1,$AG1019/$AG1018-1,$AH1019/$AH1018-1,$AI1019/$AI1018-1,$AJ1019/$AJ1018-1,$AL1019/$AL1018-1,$AM1019/$AM1018-1,$AR1019/$AR1018-1,$AS1019/$AS1018-1,$AT1019/$AT1018-1,$AU1019/$AU1018-1,$AV1019/$AV1018-1,$AW1019/$AW1018-1,$AX1019/$AX1018-1,$AY1019/$AY1018-1),"")</f>
        <v/>
      </c>
      <c r="DW1018" s="66">
        <f>AVERAGE($CB1018,$CC1018,$CD1018,$CE1018,$CF1018,$CG1018,$CH1018,$CI1018,$CJ1018,$CL1018,$CM1018,$CN1018,$CO1018,$CP1018,$CQ1018,$CR1018,$CS1018,$CT1018)</f>
        <v/>
      </c>
      <c r="DX1018" s="66">
        <f>AVERAGE($CB1018,$CC1018,$CM1018,$CE1018,$CP1018)</f>
        <v/>
      </c>
      <c r="DY1018" s="64">
        <f>($DW1018-$DW1019)*100</f>
        <v/>
      </c>
      <c r="DZ1018" s="64">
        <f>($DX1018-$DX1019)*100</f>
        <v/>
      </c>
      <c r="EA1018" s="64">
        <f>($DW1018-$D1018)*100</f>
        <v/>
      </c>
      <c r="EB1018" s="64">
        <f>$Q1018-$O1018</f>
        <v/>
      </c>
      <c r="EC1018" s="67">
        <f>IFERROR($Q1018/$P1018,"")</f>
        <v/>
      </c>
    </row>
    <row r="1019">
      <c r="DG1019" s="64">
        <f>($B1019-$B1020)*100</f>
        <v/>
      </c>
      <c r="DH1019" s="64">
        <f>($D1019-$D1020)*100</f>
        <v/>
      </c>
      <c r="DI1019" s="64">
        <f>($E1019-$E1020)*100</f>
        <v/>
      </c>
      <c r="DJ1019" s="64">
        <f>($H1019-$H1020)*100</f>
        <v/>
      </c>
      <c r="DK1019" s="65">
        <f>IFERROR($J1019/$J1020-1,"")</f>
        <v/>
      </c>
      <c r="DL1019" s="64">
        <f>$L1019-$L1020</f>
        <v/>
      </c>
      <c r="DM1019" s="64">
        <f>$K1019-$K1020</f>
        <v/>
      </c>
      <c r="DN1019" s="65">
        <f>IFERROR($N1019/$N1020-1,"")</f>
        <v/>
      </c>
      <c r="DO1019" s="65">
        <f>IFERROR($M1019/$M1020-1,"")</f>
        <v/>
      </c>
      <c r="DP1019" s="65">
        <f>IFERROR($AZ1019/$AZ1020-1,"")</f>
        <v/>
      </c>
      <c r="DQ1019" s="65">
        <f>IFERROR($BA1019/$BA1020-1,"")</f>
        <v/>
      </c>
      <c r="DR1019" s="64">
        <f>$O1019-$O1020</f>
        <v/>
      </c>
      <c r="DS1019" s="64">
        <f>$P1019-$P1020</f>
        <v/>
      </c>
      <c r="DT1019" s="64">
        <f>$Q1019-$Q1020</f>
        <v/>
      </c>
      <c r="DU1019" s="64">
        <f>$S1019-$S1020</f>
        <v/>
      </c>
      <c r="DV1019" s="65">
        <f>IFERROR(AVERAGE($AA1020/$AA1019-1,$AB1020/$AB1019-1,$AC1020/$AC1019-1,$AD1020/$AD1019-1,$AE1020/$AE1019-1,$AG1020/$AG1019-1,$AH1020/$AH1019-1,$AI1020/$AI1019-1,$AJ1020/$AJ1019-1,$AL1020/$AL1019-1,$AM1020/$AM1019-1,$AR1020/$AR1019-1,$AS1020/$AS1019-1,$AT1020/$AT1019-1,$AU1020/$AU1019-1,$AV1020/$AV1019-1,$AW1020/$AW1019-1,$AX1020/$AX1019-1,$AY1020/$AY1019-1),"")</f>
        <v/>
      </c>
      <c r="DW1019" s="66">
        <f>AVERAGE($CB1019,$CC1019,$CD1019,$CE1019,$CF1019,$CG1019,$CH1019,$CI1019,$CJ1019,$CL1019,$CM1019,$CN1019,$CO1019,$CP1019,$CQ1019,$CR1019,$CS1019,$CT1019)</f>
        <v/>
      </c>
      <c r="DX1019" s="66">
        <f>AVERAGE($CB1019,$CC1019,$CM1019,$CE1019,$CP1019)</f>
        <v/>
      </c>
      <c r="DY1019" s="64">
        <f>($DW1019-$DW1020)*100</f>
        <v/>
      </c>
      <c r="DZ1019" s="64">
        <f>($DX1019-$DX1020)*100</f>
        <v/>
      </c>
      <c r="EA1019" s="64">
        <f>($DW1019-$D1019)*100</f>
        <v/>
      </c>
      <c r="EB1019" s="64">
        <f>$Q1019-$O1019</f>
        <v/>
      </c>
      <c r="EC1019" s="67">
        <f>IFERROR($Q1019/$P1019,"")</f>
        <v/>
      </c>
    </row>
    <row r="1020">
      <c r="DG1020" s="64">
        <f>($B1020-$B1021)*100</f>
        <v/>
      </c>
      <c r="DH1020" s="64">
        <f>($D1020-$D1021)*100</f>
        <v/>
      </c>
      <c r="DI1020" s="64">
        <f>($E1020-$E1021)*100</f>
        <v/>
      </c>
      <c r="DJ1020" s="64">
        <f>($H1020-$H1021)*100</f>
        <v/>
      </c>
      <c r="DK1020" s="65">
        <f>IFERROR($J1020/$J1021-1,"")</f>
        <v/>
      </c>
      <c r="DL1020" s="64">
        <f>$L1020-$L1021</f>
        <v/>
      </c>
      <c r="DM1020" s="64">
        <f>$K1020-$K1021</f>
        <v/>
      </c>
      <c r="DN1020" s="65">
        <f>IFERROR($N1020/$N1021-1,"")</f>
        <v/>
      </c>
      <c r="DO1020" s="65">
        <f>IFERROR($M1020/$M1021-1,"")</f>
        <v/>
      </c>
      <c r="DP1020" s="65">
        <f>IFERROR($AZ1020/$AZ1021-1,"")</f>
        <v/>
      </c>
      <c r="DQ1020" s="65">
        <f>IFERROR($BA1020/$BA1021-1,"")</f>
        <v/>
      </c>
      <c r="DR1020" s="64">
        <f>$O1020-$O1021</f>
        <v/>
      </c>
      <c r="DS1020" s="64">
        <f>$P1020-$P1021</f>
        <v/>
      </c>
      <c r="DT1020" s="64">
        <f>$Q1020-$Q1021</f>
        <v/>
      </c>
      <c r="DU1020" s="64">
        <f>$S1020-$S1021</f>
        <v/>
      </c>
      <c r="DV1020" s="65">
        <f>IFERROR(AVERAGE($AA1021/$AA1020-1,$AB1021/$AB1020-1,$AC1021/$AC1020-1,$AD1021/$AD1020-1,$AE1021/$AE1020-1,$AG1021/$AG1020-1,$AH1021/$AH1020-1,$AI1021/$AI1020-1,$AJ1021/$AJ1020-1,$AL1021/$AL1020-1,$AM1021/$AM1020-1,$AR1021/$AR1020-1,$AS1021/$AS1020-1,$AT1021/$AT1020-1,$AU1021/$AU1020-1,$AV1021/$AV1020-1,$AW1021/$AW1020-1,$AX1021/$AX1020-1,$AY1021/$AY1020-1),"")</f>
        <v/>
      </c>
      <c r="DW1020" s="66">
        <f>AVERAGE($CB1020,$CC1020,$CD1020,$CE1020,$CF1020,$CG1020,$CH1020,$CI1020,$CJ1020,$CL1020,$CM1020,$CN1020,$CO1020,$CP1020,$CQ1020,$CR1020,$CS1020,$CT1020)</f>
        <v/>
      </c>
      <c r="DX1020" s="66">
        <f>AVERAGE($CB1020,$CC1020,$CM1020,$CE1020,$CP1020)</f>
        <v/>
      </c>
      <c r="DY1020" s="64">
        <f>($DW1020-$DW1021)*100</f>
        <v/>
      </c>
      <c r="DZ1020" s="64">
        <f>($DX1020-$DX1021)*100</f>
        <v/>
      </c>
      <c r="EA1020" s="64">
        <f>($DW1020-$D1020)*100</f>
        <v/>
      </c>
      <c r="EB1020" s="64">
        <f>$Q1020-$O1020</f>
        <v/>
      </c>
      <c r="EC1020" s="67">
        <f>IFERROR($Q1020/$P1020,"")</f>
        <v/>
      </c>
    </row>
    <row r="1021">
      <c r="DG1021" s="64">
        <f>($B1021-$B1022)*100</f>
        <v/>
      </c>
      <c r="DH1021" s="64">
        <f>($D1021-$D1022)*100</f>
        <v/>
      </c>
      <c r="DI1021" s="64">
        <f>($E1021-$E1022)*100</f>
        <v/>
      </c>
      <c r="DJ1021" s="64">
        <f>($H1021-$H1022)*100</f>
        <v/>
      </c>
      <c r="DK1021" s="65">
        <f>IFERROR($J1021/$J1022-1,"")</f>
        <v/>
      </c>
      <c r="DL1021" s="64">
        <f>$L1021-$L1022</f>
        <v/>
      </c>
      <c r="DM1021" s="64">
        <f>$K1021-$K1022</f>
        <v/>
      </c>
      <c r="DN1021" s="65">
        <f>IFERROR($N1021/$N1022-1,"")</f>
        <v/>
      </c>
      <c r="DO1021" s="65">
        <f>IFERROR($M1021/$M1022-1,"")</f>
        <v/>
      </c>
      <c r="DP1021" s="65">
        <f>IFERROR($AZ1021/$AZ1022-1,"")</f>
        <v/>
      </c>
      <c r="DQ1021" s="65">
        <f>IFERROR($BA1021/$BA1022-1,"")</f>
        <v/>
      </c>
      <c r="DR1021" s="64">
        <f>$O1021-$O1022</f>
        <v/>
      </c>
      <c r="DS1021" s="64">
        <f>$P1021-$P1022</f>
        <v/>
      </c>
      <c r="DT1021" s="64">
        <f>$Q1021-$Q1022</f>
        <v/>
      </c>
      <c r="DU1021" s="64">
        <f>$S1021-$S1022</f>
        <v/>
      </c>
      <c r="DV1021" s="65">
        <f>IFERROR(AVERAGE($AA1022/$AA1021-1,$AB1022/$AB1021-1,$AC1022/$AC1021-1,$AD1022/$AD1021-1,$AE1022/$AE1021-1,$AG1022/$AG1021-1,$AH1022/$AH1021-1,$AI1022/$AI1021-1,$AJ1022/$AJ1021-1,$AL1022/$AL1021-1,$AM1022/$AM1021-1,$AR1022/$AR1021-1,$AS1022/$AS1021-1,$AT1022/$AT1021-1,$AU1022/$AU1021-1,$AV1022/$AV1021-1,$AW1022/$AW1021-1,$AX1022/$AX1021-1,$AY1022/$AY1021-1),"")</f>
        <v/>
      </c>
      <c r="DW1021" s="66">
        <f>AVERAGE($CB1021,$CC1021,$CD1021,$CE1021,$CF1021,$CG1021,$CH1021,$CI1021,$CJ1021,$CL1021,$CM1021,$CN1021,$CO1021,$CP1021,$CQ1021,$CR1021,$CS1021,$CT1021)</f>
        <v/>
      </c>
      <c r="DX1021" s="66">
        <f>AVERAGE($CB1021,$CC1021,$CM1021,$CE1021,$CP1021)</f>
        <v/>
      </c>
      <c r="DY1021" s="64">
        <f>($DW1021-$DW1022)*100</f>
        <v/>
      </c>
      <c r="DZ1021" s="64">
        <f>($DX1021-$DX1022)*100</f>
        <v/>
      </c>
      <c r="EA1021" s="64">
        <f>($DW1021-$D1021)*100</f>
        <v/>
      </c>
      <c r="EB1021" s="64">
        <f>$Q1021-$O1021</f>
        <v/>
      </c>
      <c r="EC1021" s="67">
        <f>IFERROR($Q1021/$P1021,"")</f>
        <v/>
      </c>
    </row>
    <row r="1022">
      <c r="DG1022" s="64">
        <f>($B1022-$B1023)*100</f>
        <v/>
      </c>
      <c r="DH1022" s="64">
        <f>($D1022-$D1023)*100</f>
        <v/>
      </c>
      <c r="DI1022" s="64">
        <f>($E1022-$E1023)*100</f>
        <v/>
      </c>
      <c r="DJ1022" s="64">
        <f>($H1022-$H1023)*100</f>
        <v/>
      </c>
      <c r="DK1022" s="65">
        <f>IFERROR($J1022/$J1023-1,"")</f>
        <v/>
      </c>
      <c r="DL1022" s="64">
        <f>$L1022-$L1023</f>
        <v/>
      </c>
      <c r="DM1022" s="64">
        <f>$K1022-$K1023</f>
        <v/>
      </c>
      <c r="DN1022" s="65">
        <f>IFERROR($N1022/$N1023-1,"")</f>
        <v/>
      </c>
      <c r="DO1022" s="65">
        <f>IFERROR($M1022/$M1023-1,"")</f>
        <v/>
      </c>
      <c r="DP1022" s="65">
        <f>IFERROR($AZ1022/$AZ1023-1,"")</f>
        <v/>
      </c>
      <c r="DQ1022" s="65">
        <f>IFERROR($BA1022/$BA1023-1,"")</f>
        <v/>
      </c>
      <c r="DR1022" s="64">
        <f>$O1022-$O1023</f>
        <v/>
      </c>
      <c r="DS1022" s="64">
        <f>$P1022-$P1023</f>
        <v/>
      </c>
      <c r="DT1022" s="64">
        <f>$Q1022-$Q1023</f>
        <v/>
      </c>
      <c r="DU1022" s="64">
        <f>$S1022-$S1023</f>
        <v/>
      </c>
      <c r="DV1022" s="65">
        <f>IFERROR(AVERAGE($AA1023/$AA1022-1,$AB1023/$AB1022-1,$AC1023/$AC1022-1,$AD1023/$AD1022-1,$AE1023/$AE1022-1,$AG1023/$AG1022-1,$AH1023/$AH1022-1,$AI1023/$AI1022-1,$AJ1023/$AJ1022-1,$AL1023/$AL1022-1,$AM1023/$AM1022-1,$AR1023/$AR1022-1,$AS1023/$AS1022-1,$AT1023/$AT1022-1,$AU1023/$AU1022-1,$AV1023/$AV1022-1,$AW1023/$AW1022-1,$AX1023/$AX1022-1,$AY1023/$AY1022-1),"")</f>
        <v/>
      </c>
      <c r="DW1022" s="66">
        <f>AVERAGE($CB1022,$CC1022,$CD1022,$CE1022,$CF1022,$CG1022,$CH1022,$CI1022,$CJ1022,$CL1022,$CM1022,$CN1022,$CO1022,$CP1022,$CQ1022,$CR1022,$CS1022,$CT1022)</f>
        <v/>
      </c>
      <c r="DX1022" s="66">
        <f>AVERAGE($CB1022,$CC1022,$CM1022,$CE1022,$CP1022)</f>
        <v/>
      </c>
      <c r="DY1022" s="64">
        <f>($DW1022-$DW1023)*100</f>
        <v/>
      </c>
      <c r="DZ1022" s="64">
        <f>($DX1022-$DX1023)*100</f>
        <v/>
      </c>
      <c r="EA1022" s="64">
        <f>($DW1022-$D1022)*100</f>
        <v/>
      </c>
      <c r="EB1022" s="64">
        <f>$Q1022-$O1022</f>
        <v/>
      </c>
      <c r="EC1022" s="67">
        <f>IFERROR($Q1022/$P1022,"")</f>
        <v/>
      </c>
    </row>
    <row r="1023">
      <c r="DG1023" s="64">
        <f>($B1023-$B1024)*100</f>
        <v/>
      </c>
      <c r="DH1023" s="64">
        <f>($D1023-$D1024)*100</f>
        <v/>
      </c>
      <c r="DI1023" s="64">
        <f>($E1023-$E1024)*100</f>
        <v/>
      </c>
      <c r="DJ1023" s="64">
        <f>($H1023-$H1024)*100</f>
        <v/>
      </c>
      <c r="DK1023" s="65">
        <f>IFERROR($J1023/$J1024-1,"")</f>
        <v/>
      </c>
      <c r="DL1023" s="64">
        <f>$L1023-$L1024</f>
        <v/>
      </c>
      <c r="DM1023" s="64">
        <f>$K1023-$K1024</f>
        <v/>
      </c>
      <c r="DN1023" s="65">
        <f>IFERROR($N1023/$N1024-1,"")</f>
        <v/>
      </c>
      <c r="DO1023" s="65">
        <f>IFERROR($M1023/$M1024-1,"")</f>
        <v/>
      </c>
      <c r="DP1023" s="65">
        <f>IFERROR($AZ1023/$AZ1024-1,"")</f>
        <v/>
      </c>
      <c r="DQ1023" s="65">
        <f>IFERROR($BA1023/$BA1024-1,"")</f>
        <v/>
      </c>
      <c r="DR1023" s="64">
        <f>$O1023-$O1024</f>
        <v/>
      </c>
      <c r="DS1023" s="64">
        <f>$P1023-$P1024</f>
        <v/>
      </c>
      <c r="DT1023" s="64">
        <f>$Q1023-$Q1024</f>
        <v/>
      </c>
      <c r="DU1023" s="64">
        <f>$S1023-$S1024</f>
        <v/>
      </c>
      <c r="DV1023" s="65">
        <f>IFERROR(AVERAGE($AA1024/$AA1023-1,$AB1024/$AB1023-1,$AC1024/$AC1023-1,$AD1024/$AD1023-1,$AE1024/$AE1023-1,$AG1024/$AG1023-1,$AH1024/$AH1023-1,$AI1024/$AI1023-1,$AJ1024/$AJ1023-1,$AL1024/$AL1023-1,$AM1024/$AM1023-1,$AR1024/$AR1023-1,$AS1024/$AS1023-1,$AT1024/$AT1023-1,$AU1024/$AU1023-1,$AV1024/$AV1023-1,$AW1024/$AW1023-1,$AX1024/$AX1023-1,$AY1024/$AY1023-1),"")</f>
        <v/>
      </c>
      <c r="DW1023" s="66">
        <f>AVERAGE($CB1023,$CC1023,$CD1023,$CE1023,$CF1023,$CG1023,$CH1023,$CI1023,$CJ1023,$CL1023,$CM1023,$CN1023,$CO1023,$CP1023,$CQ1023,$CR1023,$CS1023,$CT1023)</f>
        <v/>
      </c>
      <c r="DX1023" s="66">
        <f>AVERAGE($CB1023,$CC1023,$CM1023,$CE1023,$CP1023)</f>
        <v/>
      </c>
      <c r="DY1023" s="64">
        <f>($DW1023-$DW1024)*100</f>
        <v/>
      </c>
      <c r="DZ1023" s="64">
        <f>($DX1023-$DX1024)*100</f>
        <v/>
      </c>
      <c r="EA1023" s="64">
        <f>($DW1023-$D1023)*100</f>
        <v/>
      </c>
      <c r="EB1023" s="64">
        <f>$Q1023-$O1023</f>
        <v/>
      </c>
      <c r="EC1023" s="67">
        <f>IFERROR($Q1023/$P1023,"")</f>
        <v/>
      </c>
    </row>
    <row r="1024">
      <c r="DG1024" s="64">
        <f>($B1024-$B1025)*100</f>
        <v/>
      </c>
      <c r="DH1024" s="64">
        <f>($D1024-$D1025)*100</f>
        <v/>
      </c>
      <c r="DI1024" s="64">
        <f>($E1024-$E1025)*100</f>
        <v/>
      </c>
      <c r="DJ1024" s="64">
        <f>($H1024-$H1025)*100</f>
        <v/>
      </c>
      <c r="DK1024" s="65">
        <f>IFERROR($J1024/$J1025-1,"")</f>
        <v/>
      </c>
      <c r="DL1024" s="64">
        <f>$L1024-$L1025</f>
        <v/>
      </c>
      <c r="DM1024" s="64">
        <f>$K1024-$K1025</f>
        <v/>
      </c>
      <c r="DN1024" s="65">
        <f>IFERROR($N1024/$N1025-1,"")</f>
        <v/>
      </c>
      <c r="DO1024" s="65">
        <f>IFERROR($M1024/$M1025-1,"")</f>
        <v/>
      </c>
      <c r="DP1024" s="65">
        <f>IFERROR($AZ1024/$AZ1025-1,"")</f>
        <v/>
      </c>
      <c r="DQ1024" s="65">
        <f>IFERROR($BA1024/$BA1025-1,"")</f>
        <v/>
      </c>
      <c r="DR1024" s="64">
        <f>$O1024-$O1025</f>
        <v/>
      </c>
      <c r="DS1024" s="64">
        <f>$P1024-$P1025</f>
        <v/>
      </c>
      <c r="DT1024" s="64">
        <f>$Q1024-$Q1025</f>
        <v/>
      </c>
      <c r="DU1024" s="64">
        <f>$S1024-$S1025</f>
        <v/>
      </c>
      <c r="DV1024" s="65">
        <f>IFERROR(AVERAGE($AA1025/$AA1024-1,$AB1025/$AB1024-1,$AC1025/$AC1024-1,$AD1025/$AD1024-1,$AE1025/$AE1024-1,$AG1025/$AG1024-1,$AH1025/$AH1024-1,$AI1025/$AI1024-1,$AJ1025/$AJ1024-1,$AL1025/$AL1024-1,$AM1025/$AM1024-1,$AR1025/$AR1024-1,$AS1025/$AS1024-1,$AT1025/$AT1024-1,$AU1025/$AU1024-1,$AV1025/$AV1024-1,$AW1025/$AW1024-1,$AX1025/$AX1024-1,$AY1025/$AY1024-1),"")</f>
        <v/>
      </c>
      <c r="DW1024" s="66">
        <f>AVERAGE($CB1024,$CC1024,$CD1024,$CE1024,$CF1024,$CG1024,$CH1024,$CI1024,$CJ1024,$CL1024,$CM1024,$CN1024,$CO1024,$CP1024,$CQ1024,$CR1024,$CS1024,$CT1024)</f>
        <v/>
      </c>
      <c r="DX1024" s="66">
        <f>AVERAGE($CB1024,$CC1024,$CM1024,$CE1024,$CP1024)</f>
        <v/>
      </c>
      <c r="DY1024" s="64">
        <f>($DW1024-$DW1025)*100</f>
        <v/>
      </c>
      <c r="DZ1024" s="64">
        <f>($DX1024-$DX1025)*100</f>
        <v/>
      </c>
      <c r="EA1024" s="64">
        <f>($DW1024-$D1024)*100</f>
        <v/>
      </c>
      <c r="EB1024" s="64">
        <f>$Q1024-$O1024</f>
        <v/>
      </c>
      <c r="EC1024" s="67">
        <f>IFERROR($Q1024/$P1024,"")</f>
        <v/>
      </c>
    </row>
    <row r="1025">
      <c r="DG1025" s="64">
        <f>($B1025-$B1026)*100</f>
        <v/>
      </c>
      <c r="DH1025" s="64">
        <f>($D1025-$D1026)*100</f>
        <v/>
      </c>
      <c r="DI1025" s="64">
        <f>($E1025-$E1026)*100</f>
        <v/>
      </c>
      <c r="DJ1025" s="64">
        <f>($H1025-$H1026)*100</f>
        <v/>
      </c>
      <c r="DK1025" s="65">
        <f>IFERROR($J1025/$J1026-1,"")</f>
        <v/>
      </c>
      <c r="DL1025" s="64">
        <f>$L1025-$L1026</f>
        <v/>
      </c>
      <c r="DM1025" s="64">
        <f>$K1025-$K1026</f>
        <v/>
      </c>
      <c r="DN1025" s="65">
        <f>IFERROR($N1025/$N1026-1,"")</f>
        <v/>
      </c>
      <c r="DO1025" s="65">
        <f>IFERROR($M1025/$M1026-1,"")</f>
        <v/>
      </c>
      <c r="DP1025" s="65">
        <f>IFERROR($AZ1025/$AZ1026-1,"")</f>
        <v/>
      </c>
      <c r="DQ1025" s="65">
        <f>IFERROR($BA1025/$BA1026-1,"")</f>
        <v/>
      </c>
      <c r="DR1025" s="64">
        <f>$O1025-$O1026</f>
        <v/>
      </c>
      <c r="DS1025" s="64">
        <f>$P1025-$P1026</f>
        <v/>
      </c>
      <c r="DT1025" s="64">
        <f>$Q1025-$Q1026</f>
        <v/>
      </c>
      <c r="DU1025" s="64">
        <f>$S1025-$S1026</f>
        <v/>
      </c>
      <c r="DV1025" s="65">
        <f>IFERROR(AVERAGE($AA1026/$AA1025-1,$AB1026/$AB1025-1,$AC1026/$AC1025-1,$AD1026/$AD1025-1,$AE1026/$AE1025-1,$AG1026/$AG1025-1,$AH1026/$AH1025-1,$AI1026/$AI1025-1,$AJ1026/$AJ1025-1,$AL1026/$AL1025-1,$AM1026/$AM1025-1,$AR1026/$AR1025-1,$AS1026/$AS1025-1,$AT1026/$AT1025-1,$AU1026/$AU1025-1,$AV1026/$AV1025-1,$AW1026/$AW1025-1,$AX1026/$AX1025-1,$AY1026/$AY1025-1),"")</f>
        <v/>
      </c>
      <c r="DW1025" s="66">
        <f>AVERAGE($CB1025,$CC1025,$CD1025,$CE1025,$CF1025,$CG1025,$CH1025,$CI1025,$CJ1025,$CL1025,$CM1025,$CN1025,$CO1025,$CP1025,$CQ1025,$CR1025,$CS1025,$CT1025)</f>
        <v/>
      </c>
      <c r="DX1025" s="66">
        <f>AVERAGE($CB1025,$CC1025,$CM1025,$CE1025,$CP1025)</f>
        <v/>
      </c>
      <c r="DY1025" s="64">
        <f>($DW1025-$DW1026)*100</f>
        <v/>
      </c>
      <c r="DZ1025" s="64">
        <f>($DX1025-$DX1026)*100</f>
        <v/>
      </c>
      <c r="EA1025" s="64">
        <f>($DW1025-$D1025)*100</f>
        <v/>
      </c>
      <c r="EB1025" s="64">
        <f>$Q1025-$O1025</f>
        <v/>
      </c>
      <c r="EC1025" s="67">
        <f>IFERROR($Q1025/$P1025,"")</f>
        <v/>
      </c>
    </row>
    <row r="1026">
      <c r="DG1026" s="64">
        <f>($B1026-$B1027)*100</f>
        <v/>
      </c>
      <c r="DH1026" s="64">
        <f>($D1026-$D1027)*100</f>
        <v/>
      </c>
      <c r="DI1026" s="64">
        <f>($E1026-$E1027)*100</f>
        <v/>
      </c>
      <c r="DJ1026" s="64">
        <f>($H1026-$H1027)*100</f>
        <v/>
      </c>
      <c r="DK1026" s="65">
        <f>IFERROR($J1026/$J1027-1,"")</f>
        <v/>
      </c>
      <c r="DL1026" s="64">
        <f>$L1026-$L1027</f>
        <v/>
      </c>
      <c r="DM1026" s="64">
        <f>$K1026-$K1027</f>
        <v/>
      </c>
      <c r="DN1026" s="65">
        <f>IFERROR($N1026/$N1027-1,"")</f>
        <v/>
      </c>
      <c r="DO1026" s="65">
        <f>IFERROR($M1026/$M1027-1,"")</f>
        <v/>
      </c>
      <c r="DP1026" s="65">
        <f>IFERROR($AZ1026/$AZ1027-1,"")</f>
        <v/>
      </c>
      <c r="DQ1026" s="65">
        <f>IFERROR($BA1026/$BA1027-1,"")</f>
        <v/>
      </c>
      <c r="DR1026" s="64">
        <f>$O1026-$O1027</f>
        <v/>
      </c>
      <c r="DS1026" s="64">
        <f>$P1026-$P1027</f>
        <v/>
      </c>
      <c r="DT1026" s="64">
        <f>$Q1026-$Q1027</f>
        <v/>
      </c>
      <c r="DU1026" s="64">
        <f>$S1026-$S1027</f>
        <v/>
      </c>
      <c r="DV1026" s="65">
        <f>IFERROR(AVERAGE($AA1027/$AA1026-1,$AB1027/$AB1026-1,$AC1027/$AC1026-1,$AD1027/$AD1026-1,$AE1027/$AE1026-1,$AG1027/$AG1026-1,$AH1027/$AH1026-1,$AI1027/$AI1026-1,$AJ1027/$AJ1026-1,$AL1027/$AL1026-1,$AM1027/$AM1026-1,$AR1027/$AR1026-1,$AS1027/$AS1026-1,$AT1027/$AT1026-1,$AU1027/$AU1026-1,$AV1027/$AV1026-1,$AW1027/$AW1026-1,$AX1027/$AX1026-1,$AY1027/$AY1026-1),"")</f>
        <v/>
      </c>
      <c r="DW1026" s="66">
        <f>AVERAGE($CB1026,$CC1026,$CD1026,$CE1026,$CF1026,$CG1026,$CH1026,$CI1026,$CJ1026,$CL1026,$CM1026,$CN1026,$CO1026,$CP1026,$CQ1026,$CR1026,$CS1026,$CT1026)</f>
        <v/>
      </c>
      <c r="DX1026" s="66">
        <f>AVERAGE($CB1026,$CC1026,$CM1026,$CE1026,$CP1026)</f>
        <v/>
      </c>
      <c r="DY1026" s="64">
        <f>($DW1026-$DW1027)*100</f>
        <v/>
      </c>
      <c r="DZ1026" s="64">
        <f>($DX1026-$DX1027)*100</f>
        <v/>
      </c>
      <c r="EA1026" s="64">
        <f>($DW1026-$D1026)*100</f>
        <v/>
      </c>
      <c r="EB1026" s="64">
        <f>$Q1026-$O1026</f>
        <v/>
      </c>
      <c r="EC1026" s="67">
        <f>IFERROR($Q1026/$P1026,"")</f>
        <v/>
      </c>
    </row>
    <row r="1027">
      <c r="DG1027" s="64">
        <f>($B1027-$B1028)*100</f>
        <v/>
      </c>
      <c r="DH1027" s="64">
        <f>($D1027-$D1028)*100</f>
        <v/>
      </c>
      <c r="DI1027" s="64">
        <f>($E1027-$E1028)*100</f>
        <v/>
      </c>
      <c r="DJ1027" s="64">
        <f>($H1027-$H1028)*100</f>
        <v/>
      </c>
      <c r="DK1027" s="65">
        <f>IFERROR($J1027/$J1028-1,"")</f>
        <v/>
      </c>
      <c r="DL1027" s="64">
        <f>$L1027-$L1028</f>
        <v/>
      </c>
      <c r="DM1027" s="64">
        <f>$K1027-$K1028</f>
        <v/>
      </c>
      <c r="DN1027" s="65">
        <f>IFERROR($N1027/$N1028-1,"")</f>
        <v/>
      </c>
      <c r="DO1027" s="65">
        <f>IFERROR($M1027/$M1028-1,"")</f>
        <v/>
      </c>
      <c r="DP1027" s="65">
        <f>IFERROR($AZ1027/$AZ1028-1,"")</f>
        <v/>
      </c>
      <c r="DQ1027" s="65">
        <f>IFERROR($BA1027/$BA1028-1,"")</f>
        <v/>
      </c>
      <c r="DR1027" s="64">
        <f>$O1027-$O1028</f>
        <v/>
      </c>
      <c r="DS1027" s="64">
        <f>$P1027-$P1028</f>
        <v/>
      </c>
      <c r="DT1027" s="64">
        <f>$Q1027-$Q1028</f>
        <v/>
      </c>
      <c r="DU1027" s="64">
        <f>$S1027-$S1028</f>
        <v/>
      </c>
      <c r="DV1027" s="65">
        <f>IFERROR(AVERAGE($AA1028/$AA1027-1,$AB1028/$AB1027-1,$AC1028/$AC1027-1,$AD1028/$AD1027-1,$AE1028/$AE1027-1,$AG1028/$AG1027-1,$AH1028/$AH1027-1,$AI1028/$AI1027-1,$AJ1028/$AJ1027-1,$AL1028/$AL1027-1,$AM1028/$AM1027-1,$AR1028/$AR1027-1,$AS1028/$AS1027-1,$AT1028/$AT1027-1,$AU1028/$AU1027-1,$AV1028/$AV1027-1,$AW1028/$AW1027-1,$AX1028/$AX1027-1,$AY1028/$AY1027-1),"")</f>
        <v/>
      </c>
      <c r="DW1027" s="66">
        <f>AVERAGE($CB1027,$CC1027,$CD1027,$CE1027,$CF1027,$CG1027,$CH1027,$CI1027,$CJ1027,$CL1027,$CM1027,$CN1027,$CO1027,$CP1027,$CQ1027,$CR1027,$CS1027,$CT1027)</f>
        <v/>
      </c>
      <c r="DX1027" s="66">
        <f>AVERAGE($CB1027,$CC1027,$CM1027,$CE1027,$CP1027)</f>
        <v/>
      </c>
      <c r="DY1027" s="64">
        <f>($DW1027-$DW1028)*100</f>
        <v/>
      </c>
      <c r="DZ1027" s="64">
        <f>($DX1027-$DX1028)*100</f>
        <v/>
      </c>
      <c r="EA1027" s="64">
        <f>($DW1027-$D1027)*100</f>
        <v/>
      </c>
      <c r="EB1027" s="64">
        <f>$Q1027-$O1027</f>
        <v/>
      </c>
      <c r="EC1027" s="67">
        <f>IFERROR($Q1027/$P1027,"")</f>
        <v/>
      </c>
    </row>
    <row r="1028">
      <c r="DG1028" s="64">
        <f>($B1028-$B1029)*100</f>
        <v/>
      </c>
      <c r="DH1028" s="64">
        <f>($D1028-$D1029)*100</f>
        <v/>
      </c>
      <c r="DI1028" s="64">
        <f>($E1028-$E1029)*100</f>
        <v/>
      </c>
      <c r="DJ1028" s="64">
        <f>($H1028-$H1029)*100</f>
        <v/>
      </c>
      <c r="DK1028" s="65">
        <f>IFERROR($J1028/$J1029-1,"")</f>
        <v/>
      </c>
      <c r="DL1028" s="64">
        <f>$L1028-$L1029</f>
        <v/>
      </c>
      <c r="DM1028" s="64">
        <f>$K1028-$K1029</f>
        <v/>
      </c>
      <c r="DN1028" s="65">
        <f>IFERROR($N1028/$N1029-1,"")</f>
        <v/>
      </c>
      <c r="DO1028" s="65">
        <f>IFERROR($M1028/$M1029-1,"")</f>
        <v/>
      </c>
      <c r="DP1028" s="65">
        <f>IFERROR($AZ1028/$AZ1029-1,"")</f>
        <v/>
      </c>
      <c r="DQ1028" s="65">
        <f>IFERROR($BA1028/$BA1029-1,"")</f>
        <v/>
      </c>
      <c r="DR1028" s="64">
        <f>$O1028-$O1029</f>
        <v/>
      </c>
      <c r="DS1028" s="64">
        <f>$P1028-$P1029</f>
        <v/>
      </c>
      <c r="DT1028" s="64">
        <f>$Q1028-$Q1029</f>
        <v/>
      </c>
      <c r="DU1028" s="64">
        <f>$S1028-$S1029</f>
        <v/>
      </c>
      <c r="DV1028" s="65">
        <f>IFERROR(AVERAGE($AA1029/$AA1028-1,$AB1029/$AB1028-1,$AC1029/$AC1028-1,$AD1029/$AD1028-1,$AE1029/$AE1028-1,$AG1029/$AG1028-1,$AH1029/$AH1028-1,$AI1029/$AI1028-1,$AJ1029/$AJ1028-1,$AL1029/$AL1028-1,$AM1029/$AM1028-1,$AR1029/$AR1028-1,$AS1029/$AS1028-1,$AT1029/$AT1028-1,$AU1029/$AU1028-1,$AV1029/$AV1028-1,$AW1029/$AW1028-1,$AX1029/$AX1028-1,$AY1029/$AY1028-1),"")</f>
        <v/>
      </c>
      <c r="DW1028" s="66">
        <f>AVERAGE($CB1028,$CC1028,$CD1028,$CE1028,$CF1028,$CG1028,$CH1028,$CI1028,$CJ1028,$CL1028,$CM1028,$CN1028,$CO1028,$CP1028,$CQ1028,$CR1028,$CS1028,$CT1028)</f>
        <v/>
      </c>
      <c r="DX1028" s="66">
        <f>AVERAGE($CB1028,$CC1028,$CM1028,$CE1028,$CP1028)</f>
        <v/>
      </c>
      <c r="DY1028" s="64">
        <f>($DW1028-$DW1029)*100</f>
        <v/>
      </c>
      <c r="DZ1028" s="64">
        <f>($DX1028-$DX1029)*100</f>
        <v/>
      </c>
      <c r="EA1028" s="64">
        <f>($DW1028-$D1028)*100</f>
        <v/>
      </c>
      <c r="EB1028" s="64">
        <f>$Q1028-$O1028</f>
        <v/>
      </c>
      <c r="EC1028" s="67">
        <f>IFERROR($Q1028/$P1028,"")</f>
        <v/>
      </c>
    </row>
    <row r="1029">
      <c r="DG1029" s="64">
        <f>($B1029-$B1030)*100</f>
        <v/>
      </c>
      <c r="DH1029" s="64">
        <f>($D1029-$D1030)*100</f>
        <v/>
      </c>
      <c r="DI1029" s="64">
        <f>($E1029-$E1030)*100</f>
        <v/>
      </c>
      <c r="DJ1029" s="64">
        <f>($H1029-$H1030)*100</f>
        <v/>
      </c>
      <c r="DK1029" s="65">
        <f>IFERROR($J1029/$J1030-1,"")</f>
        <v/>
      </c>
      <c r="DL1029" s="64">
        <f>$L1029-$L1030</f>
        <v/>
      </c>
      <c r="DM1029" s="64">
        <f>$K1029-$K1030</f>
        <v/>
      </c>
      <c r="DN1029" s="65">
        <f>IFERROR($N1029/$N1030-1,"")</f>
        <v/>
      </c>
      <c r="DO1029" s="65">
        <f>IFERROR($M1029/$M1030-1,"")</f>
        <v/>
      </c>
      <c r="DP1029" s="65">
        <f>IFERROR($AZ1029/$AZ1030-1,"")</f>
        <v/>
      </c>
      <c r="DQ1029" s="65">
        <f>IFERROR($BA1029/$BA1030-1,"")</f>
        <v/>
      </c>
      <c r="DR1029" s="64">
        <f>$O1029-$O1030</f>
        <v/>
      </c>
      <c r="DS1029" s="64">
        <f>$P1029-$P1030</f>
        <v/>
      </c>
      <c r="DT1029" s="64">
        <f>$Q1029-$Q1030</f>
        <v/>
      </c>
      <c r="DU1029" s="64">
        <f>$S1029-$S1030</f>
        <v/>
      </c>
      <c r="DV1029" s="65">
        <f>IFERROR(AVERAGE($AA1030/$AA1029-1,$AB1030/$AB1029-1,$AC1030/$AC1029-1,$AD1030/$AD1029-1,$AE1030/$AE1029-1,$AG1030/$AG1029-1,$AH1030/$AH1029-1,$AI1030/$AI1029-1,$AJ1030/$AJ1029-1,$AL1030/$AL1029-1,$AM1030/$AM1029-1,$AR1030/$AR1029-1,$AS1030/$AS1029-1,$AT1030/$AT1029-1,$AU1030/$AU1029-1,$AV1030/$AV1029-1,$AW1030/$AW1029-1,$AX1030/$AX1029-1,$AY1030/$AY1029-1),"")</f>
        <v/>
      </c>
      <c r="DW1029" s="66">
        <f>AVERAGE($CB1029,$CC1029,$CD1029,$CE1029,$CF1029,$CG1029,$CH1029,$CI1029,$CJ1029,$CL1029,$CM1029,$CN1029,$CO1029,$CP1029,$CQ1029,$CR1029,$CS1029,$CT1029)</f>
        <v/>
      </c>
      <c r="DX1029" s="66">
        <f>AVERAGE($CB1029,$CC1029,$CM1029,$CE1029,$CP1029)</f>
        <v/>
      </c>
      <c r="DY1029" s="64">
        <f>($DW1029-$DW1030)*100</f>
        <v/>
      </c>
      <c r="DZ1029" s="64">
        <f>($DX1029-$DX1030)*100</f>
        <v/>
      </c>
      <c r="EA1029" s="64">
        <f>($DW1029-$D1029)*100</f>
        <v/>
      </c>
      <c r="EB1029" s="64">
        <f>$Q1029-$O1029</f>
        <v/>
      </c>
      <c r="EC1029" s="67">
        <f>IFERROR($Q1029/$P1029,"")</f>
        <v/>
      </c>
    </row>
    <row r="1030">
      <c r="DG1030" s="64">
        <f>($B1030-$B1031)*100</f>
        <v/>
      </c>
      <c r="DH1030" s="64">
        <f>($D1030-$D1031)*100</f>
        <v/>
      </c>
      <c r="DI1030" s="64">
        <f>($E1030-$E1031)*100</f>
        <v/>
      </c>
      <c r="DJ1030" s="64">
        <f>($H1030-$H1031)*100</f>
        <v/>
      </c>
      <c r="DK1030" s="65">
        <f>IFERROR($J1030/$J1031-1,"")</f>
        <v/>
      </c>
      <c r="DL1030" s="64">
        <f>$L1030-$L1031</f>
        <v/>
      </c>
      <c r="DM1030" s="64">
        <f>$K1030-$K1031</f>
        <v/>
      </c>
      <c r="DN1030" s="65">
        <f>IFERROR($N1030/$N1031-1,"")</f>
        <v/>
      </c>
      <c r="DO1030" s="65">
        <f>IFERROR($M1030/$M1031-1,"")</f>
        <v/>
      </c>
      <c r="DP1030" s="65">
        <f>IFERROR($AZ1030/$AZ1031-1,"")</f>
        <v/>
      </c>
      <c r="DQ1030" s="65">
        <f>IFERROR($BA1030/$BA1031-1,"")</f>
        <v/>
      </c>
      <c r="DR1030" s="64">
        <f>$O1030-$O1031</f>
        <v/>
      </c>
      <c r="DS1030" s="64">
        <f>$P1030-$P1031</f>
        <v/>
      </c>
      <c r="DT1030" s="64">
        <f>$Q1030-$Q1031</f>
        <v/>
      </c>
      <c r="DU1030" s="64">
        <f>$S1030-$S1031</f>
        <v/>
      </c>
      <c r="DV1030" s="65">
        <f>IFERROR(AVERAGE($AA1031/$AA1030-1,$AB1031/$AB1030-1,$AC1031/$AC1030-1,$AD1031/$AD1030-1,$AE1031/$AE1030-1,$AG1031/$AG1030-1,$AH1031/$AH1030-1,$AI1031/$AI1030-1,$AJ1031/$AJ1030-1,$AL1031/$AL1030-1,$AM1031/$AM1030-1,$AR1031/$AR1030-1,$AS1031/$AS1030-1,$AT1031/$AT1030-1,$AU1031/$AU1030-1,$AV1031/$AV1030-1,$AW1031/$AW1030-1,$AX1031/$AX1030-1,$AY1031/$AY1030-1),"")</f>
        <v/>
      </c>
      <c r="DW1030" s="66">
        <f>AVERAGE($CB1030,$CC1030,$CD1030,$CE1030,$CF1030,$CG1030,$CH1030,$CI1030,$CJ1030,$CL1030,$CM1030,$CN1030,$CO1030,$CP1030,$CQ1030,$CR1030,$CS1030,$CT1030)</f>
        <v/>
      </c>
      <c r="DX1030" s="66">
        <f>AVERAGE($CB1030,$CC1030,$CM1030,$CE1030,$CP1030)</f>
        <v/>
      </c>
      <c r="DY1030" s="64">
        <f>($DW1030-$DW1031)*100</f>
        <v/>
      </c>
      <c r="DZ1030" s="64">
        <f>($DX1030-$DX1031)*100</f>
        <v/>
      </c>
      <c r="EA1030" s="64">
        <f>($DW1030-$D1030)*100</f>
        <v/>
      </c>
      <c r="EB1030" s="64">
        <f>$Q1030-$O1030</f>
        <v/>
      </c>
      <c r="EC1030" s="67">
        <f>IFERROR($Q1030/$P1030,"")</f>
        <v/>
      </c>
    </row>
    <row r="1031">
      <c r="DG1031" s="64">
        <f>($B1031-$B1032)*100</f>
        <v/>
      </c>
      <c r="DH1031" s="64">
        <f>($D1031-$D1032)*100</f>
        <v/>
      </c>
      <c r="DI1031" s="64">
        <f>($E1031-$E1032)*100</f>
        <v/>
      </c>
      <c r="DJ1031" s="64">
        <f>($H1031-$H1032)*100</f>
        <v/>
      </c>
      <c r="DK1031" s="65">
        <f>IFERROR($J1031/$J1032-1,"")</f>
        <v/>
      </c>
      <c r="DL1031" s="64">
        <f>$L1031-$L1032</f>
        <v/>
      </c>
      <c r="DM1031" s="64">
        <f>$K1031-$K1032</f>
        <v/>
      </c>
      <c r="DN1031" s="65">
        <f>IFERROR($N1031/$N1032-1,"")</f>
        <v/>
      </c>
      <c r="DO1031" s="65">
        <f>IFERROR($M1031/$M1032-1,"")</f>
        <v/>
      </c>
      <c r="DP1031" s="65">
        <f>IFERROR($AZ1031/$AZ1032-1,"")</f>
        <v/>
      </c>
      <c r="DQ1031" s="65">
        <f>IFERROR($BA1031/$BA1032-1,"")</f>
        <v/>
      </c>
      <c r="DR1031" s="64">
        <f>$O1031-$O1032</f>
        <v/>
      </c>
      <c r="DS1031" s="64">
        <f>$P1031-$P1032</f>
        <v/>
      </c>
      <c r="DT1031" s="64">
        <f>$Q1031-$Q1032</f>
        <v/>
      </c>
      <c r="DU1031" s="64">
        <f>$S1031-$S1032</f>
        <v/>
      </c>
      <c r="DV1031" s="65">
        <f>IFERROR(AVERAGE($AA1032/$AA1031-1,$AB1032/$AB1031-1,$AC1032/$AC1031-1,$AD1032/$AD1031-1,$AE1032/$AE1031-1,$AG1032/$AG1031-1,$AH1032/$AH1031-1,$AI1032/$AI1031-1,$AJ1032/$AJ1031-1,$AL1032/$AL1031-1,$AM1032/$AM1031-1,$AR1032/$AR1031-1,$AS1032/$AS1031-1,$AT1032/$AT1031-1,$AU1032/$AU1031-1,$AV1032/$AV1031-1,$AW1032/$AW1031-1,$AX1032/$AX1031-1,$AY1032/$AY1031-1),"")</f>
        <v/>
      </c>
      <c r="DW1031" s="66">
        <f>AVERAGE($CB1031,$CC1031,$CD1031,$CE1031,$CF1031,$CG1031,$CH1031,$CI1031,$CJ1031,$CL1031,$CM1031,$CN1031,$CO1031,$CP1031,$CQ1031,$CR1031,$CS1031,$CT1031)</f>
        <v/>
      </c>
      <c r="DX1031" s="66">
        <f>AVERAGE($CB1031,$CC1031,$CM1031,$CE1031,$CP1031)</f>
        <v/>
      </c>
      <c r="DY1031" s="64">
        <f>($DW1031-$DW1032)*100</f>
        <v/>
      </c>
      <c r="DZ1031" s="64">
        <f>($DX1031-$DX1032)*100</f>
        <v/>
      </c>
      <c r="EA1031" s="64">
        <f>($DW1031-$D1031)*100</f>
        <v/>
      </c>
      <c r="EB1031" s="64">
        <f>$Q1031-$O1031</f>
        <v/>
      </c>
      <c r="EC1031" s="67">
        <f>IFERROR($Q1031/$P1031,"")</f>
        <v/>
      </c>
    </row>
    <row r="1032">
      <c r="DG1032" s="64">
        <f>($B1032-$B1033)*100</f>
        <v/>
      </c>
      <c r="DH1032" s="64">
        <f>($D1032-$D1033)*100</f>
        <v/>
      </c>
      <c r="DI1032" s="64">
        <f>($E1032-$E1033)*100</f>
        <v/>
      </c>
      <c r="DJ1032" s="64">
        <f>($H1032-$H1033)*100</f>
        <v/>
      </c>
      <c r="DK1032" s="65">
        <f>IFERROR($J1032/$J1033-1,"")</f>
        <v/>
      </c>
      <c r="DL1032" s="64">
        <f>$L1032-$L1033</f>
        <v/>
      </c>
      <c r="DM1032" s="64">
        <f>$K1032-$K1033</f>
        <v/>
      </c>
      <c r="DN1032" s="65">
        <f>IFERROR($N1032/$N1033-1,"")</f>
        <v/>
      </c>
      <c r="DO1032" s="65">
        <f>IFERROR($M1032/$M1033-1,"")</f>
        <v/>
      </c>
      <c r="DP1032" s="65">
        <f>IFERROR($AZ1032/$AZ1033-1,"")</f>
        <v/>
      </c>
      <c r="DQ1032" s="65">
        <f>IFERROR($BA1032/$BA1033-1,"")</f>
        <v/>
      </c>
      <c r="DR1032" s="64">
        <f>$O1032-$O1033</f>
        <v/>
      </c>
      <c r="DS1032" s="64">
        <f>$P1032-$P1033</f>
        <v/>
      </c>
      <c r="DT1032" s="64">
        <f>$Q1032-$Q1033</f>
        <v/>
      </c>
      <c r="DU1032" s="64">
        <f>$S1032-$S1033</f>
        <v/>
      </c>
      <c r="DV1032" s="65">
        <f>IFERROR(AVERAGE($AA1033/$AA1032-1,$AB1033/$AB1032-1,$AC1033/$AC1032-1,$AD1033/$AD1032-1,$AE1033/$AE1032-1,$AG1033/$AG1032-1,$AH1033/$AH1032-1,$AI1033/$AI1032-1,$AJ1033/$AJ1032-1,$AL1033/$AL1032-1,$AM1033/$AM1032-1,$AR1033/$AR1032-1,$AS1033/$AS1032-1,$AT1033/$AT1032-1,$AU1033/$AU1032-1,$AV1033/$AV1032-1,$AW1033/$AW1032-1,$AX1033/$AX1032-1,$AY1033/$AY1032-1),"")</f>
        <v/>
      </c>
      <c r="DW1032" s="66">
        <f>AVERAGE($CB1032,$CC1032,$CD1032,$CE1032,$CF1032,$CG1032,$CH1032,$CI1032,$CJ1032,$CL1032,$CM1032,$CN1032,$CO1032,$CP1032,$CQ1032,$CR1032,$CS1032,$CT1032)</f>
        <v/>
      </c>
      <c r="DX1032" s="66">
        <f>AVERAGE($CB1032,$CC1032,$CM1032,$CE1032,$CP1032)</f>
        <v/>
      </c>
      <c r="DY1032" s="64">
        <f>($DW1032-$DW1033)*100</f>
        <v/>
      </c>
      <c r="DZ1032" s="64">
        <f>($DX1032-$DX1033)*100</f>
        <v/>
      </c>
      <c r="EA1032" s="64">
        <f>($DW1032-$D1032)*100</f>
        <v/>
      </c>
      <c r="EB1032" s="64">
        <f>$Q1032-$O1032</f>
        <v/>
      </c>
      <c r="EC1032" s="67">
        <f>IFERROR($Q1032/$P1032,"")</f>
        <v/>
      </c>
    </row>
    <row r="1033">
      <c r="DG1033" s="64">
        <f>($B1033-$B1034)*100</f>
        <v/>
      </c>
      <c r="DH1033" s="64">
        <f>($D1033-$D1034)*100</f>
        <v/>
      </c>
      <c r="DI1033" s="64">
        <f>($E1033-$E1034)*100</f>
        <v/>
      </c>
      <c r="DJ1033" s="64">
        <f>($H1033-$H1034)*100</f>
        <v/>
      </c>
      <c r="DK1033" s="65">
        <f>IFERROR($J1033/$J1034-1,"")</f>
        <v/>
      </c>
      <c r="DL1033" s="64">
        <f>$L1033-$L1034</f>
        <v/>
      </c>
      <c r="DM1033" s="64">
        <f>$K1033-$K1034</f>
        <v/>
      </c>
      <c r="DN1033" s="65">
        <f>IFERROR($N1033/$N1034-1,"")</f>
        <v/>
      </c>
      <c r="DO1033" s="65">
        <f>IFERROR($M1033/$M1034-1,"")</f>
        <v/>
      </c>
      <c r="DP1033" s="65">
        <f>IFERROR($AZ1033/$AZ1034-1,"")</f>
        <v/>
      </c>
      <c r="DQ1033" s="65">
        <f>IFERROR($BA1033/$BA1034-1,"")</f>
        <v/>
      </c>
      <c r="DR1033" s="64">
        <f>$O1033-$O1034</f>
        <v/>
      </c>
      <c r="DS1033" s="64">
        <f>$P1033-$P1034</f>
        <v/>
      </c>
      <c r="DT1033" s="64">
        <f>$Q1033-$Q1034</f>
        <v/>
      </c>
      <c r="DU1033" s="64">
        <f>$S1033-$S1034</f>
        <v/>
      </c>
      <c r="DV1033" s="65">
        <f>IFERROR(AVERAGE($AA1034/$AA1033-1,$AB1034/$AB1033-1,$AC1034/$AC1033-1,$AD1034/$AD1033-1,$AE1034/$AE1033-1,$AG1034/$AG1033-1,$AH1034/$AH1033-1,$AI1034/$AI1033-1,$AJ1034/$AJ1033-1,$AL1034/$AL1033-1,$AM1034/$AM1033-1,$AR1034/$AR1033-1,$AS1034/$AS1033-1,$AT1034/$AT1033-1,$AU1034/$AU1033-1,$AV1034/$AV1033-1,$AW1034/$AW1033-1,$AX1034/$AX1033-1,$AY1034/$AY1033-1),"")</f>
        <v/>
      </c>
      <c r="DW1033" s="66">
        <f>AVERAGE($CB1033,$CC1033,$CD1033,$CE1033,$CF1033,$CG1033,$CH1033,$CI1033,$CJ1033,$CL1033,$CM1033,$CN1033,$CO1033,$CP1033,$CQ1033,$CR1033,$CS1033,$CT1033)</f>
        <v/>
      </c>
      <c r="DX1033" s="66">
        <f>AVERAGE($CB1033,$CC1033,$CM1033,$CE1033,$CP1033)</f>
        <v/>
      </c>
      <c r="DY1033" s="64">
        <f>($DW1033-$DW1034)*100</f>
        <v/>
      </c>
      <c r="DZ1033" s="64">
        <f>($DX1033-$DX1034)*100</f>
        <v/>
      </c>
      <c r="EA1033" s="64">
        <f>($DW1033-$D1033)*100</f>
        <v/>
      </c>
      <c r="EB1033" s="64">
        <f>$Q1033-$O1033</f>
        <v/>
      </c>
      <c r="EC1033" s="67">
        <f>IFERROR($Q1033/$P1033,"")</f>
        <v/>
      </c>
    </row>
    <row r="1034">
      <c r="DG1034" s="64">
        <f>($B1034-$B1035)*100</f>
        <v/>
      </c>
      <c r="DH1034" s="64">
        <f>($D1034-$D1035)*100</f>
        <v/>
      </c>
      <c r="DI1034" s="64">
        <f>($E1034-$E1035)*100</f>
        <v/>
      </c>
      <c r="DJ1034" s="64">
        <f>($H1034-$H1035)*100</f>
        <v/>
      </c>
      <c r="DK1034" s="65">
        <f>IFERROR($J1034/$J1035-1,"")</f>
        <v/>
      </c>
      <c r="DL1034" s="64">
        <f>$L1034-$L1035</f>
        <v/>
      </c>
      <c r="DM1034" s="64">
        <f>$K1034-$K1035</f>
        <v/>
      </c>
      <c r="DN1034" s="65">
        <f>IFERROR($N1034/$N1035-1,"")</f>
        <v/>
      </c>
      <c r="DO1034" s="65">
        <f>IFERROR($M1034/$M1035-1,"")</f>
        <v/>
      </c>
      <c r="DP1034" s="65">
        <f>IFERROR($AZ1034/$AZ1035-1,"")</f>
        <v/>
      </c>
      <c r="DQ1034" s="65">
        <f>IFERROR($BA1034/$BA1035-1,"")</f>
        <v/>
      </c>
      <c r="DR1034" s="64">
        <f>$O1034-$O1035</f>
        <v/>
      </c>
      <c r="DS1034" s="64">
        <f>$P1034-$P1035</f>
        <v/>
      </c>
      <c r="DT1034" s="64">
        <f>$Q1034-$Q1035</f>
        <v/>
      </c>
      <c r="DU1034" s="64">
        <f>$S1034-$S1035</f>
        <v/>
      </c>
      <c r="DV1034" s="65">
        <f>IFERROR(AVERAGE($AA1035/$AA1034-1,$AB1035/$AB1034-1,$AC1035/$AC1034-1,$AD1035/$AD1034-1,$AE1035/$AE1034-1,$AG1035/$AG1034-1,$AH1035/$AH1034-1,$AI1035/$AI1034-1,$AJ1035/$AJ1034-1,$AL1035/$AL1034-1,$AM1035/$AM1034-1,$AR1035/$AR1034-1,$AS1035/$AS1034-1,$AT1035/$AT1034-1,$AU1035/$AU1034-1,$AV1035/$AV1034-1,$AW1035/$AW1034-1,$AX1035/$AX1034-1,$AY1035/$AY1034-1),"")</f>
        <v/>
      </c>
      <c r="DW1034" s="66">
        <f>AVERAGE($CB1034,$CC1034,$CD1034,$CE1034,$CF1034,$CG1034,$CH1034,$CI1034,$CJ1034,$CL1034,$CM1034,$CN1034,$CO1034,$CP1034,$CQ1034,$CR1034,$CS1034,$CT1034)</f>
        <v/>
      </c>
      <c r="DX1034" s="66">
        <f>AVERAGE($CB1034,$CC1034,$CM1034,$CE1034,$CP1034)</f>
        <v/>
      </c>
      <c r="DY1034" s="64">
        <f>($DW1034-$DW1035)*100</f>
        <v/>
      </c>
      <c r="DZ1034" s="64">
        <f>($DX1034-$DX1035)*100</f>
        <v/>
      </c>
      <c r="EA1034" s="64">
        <f>($DW1034-$D1034)*100</f>
        <v/>
      </c>
      <c r="EB1034" s="64">
        <f>$Q1034-$O1034</f>
        <v/>
      </c>
      <c r="EC1034" s="67">
        <f>IFERROR($Q1034/$P1034,"")</f>
        <v/>
      </c>
    </row>
    <row r="1035">
      <c r="DG1035" s="64">
        <f>($B1035-$B1036)*100</f>
        <v/>
      </c>
      <c r="DH1035" s="64">
        <f>($D1035-$D1036)*100</f>
        <v/>
      </c>
      <c r="DI1035" s="64">
        <f>($E1035-$E1036)*100</f>
        <v/>
      </c>
      <c r="DJ1035" s="64">
        <f>($H1035-$H1036)*100</f>
        <v/>
      </c>
      <c r="DK1035" s="65">
        <f>IFERROR($J1035/$J1036-1,"")</f>
        <v/>
      </c>
      <c r="DL1035" s="64">
        <f>$L1035-$L1036</f>
        <v/>
      </c>
      <c r="DM1035" s="64">
        <f>$K1035-$K1036</f>
        <v/>
      </c>
      <c r="DN1035" s="65">
        <f>IFERROR($N1035/$N1036-1,"")</f>
        <v/>
      </c>
      <c r="DO1035" s="65">
        <f>IFERROR($M1035/$M1036-1,"")</f>
        <v/>
      </c>
      <c r="DP1035" s="65">
        <f>IFERROR($AZ1035/$AZ1036-1,"")</f>
        <v/>
      </c>
      <c r="DQ1035" s="65">
        <f>IFERROR($BA1035/$BA1036-1,"")</f>
        <v/>
      </c>
      <c r="DR1035" s="64">
        <f>$O1035-$O1036</f>
        <v/>
      </c>
      <c r="DS1035" s="64">
        <f>$P1035-$P1036</f>
        <v/>
      </c>
      <c r="DT1035" s="64">
        <f>$Q1035-$Q1036</f>
        <v/>
      </c>
      <c r="DU1035" s="64">
        <f>$S1035-$S1036</f>
        <v/>
      </c>
      <c r="DV1035" s="65">
        <f>IFERROR(AVERAGE($AA1036/$AA1035-1,$AB1036/$AB1035-1,$AC1036/$AC1035-1,$AD1036/$AD1035-1,$AE1036/$AE1035-1,$AG1036/$AG1035-1,$AH1036/$AH1035-1,$AI1036/$AI1035-1,$AJ1036/$AJ1035-1,$AL1036/$AL1035-1,$AM1036/$AM1035-1,$AR1036/$AR1035-1,$AS1036/$AS1035-1,$AT1036/$AT1035-1,$AU1036/$AU1035-1,$AV1036/$AV1035-1,$AW1036/$AW1035-1,$AX1036/$AX1035-1,$AY1036/$AY1035-1),"")</f>
        <v/>
      </c>
      <c r="DW1035" s="66">
        <f>AVERAGE($CB1035,$CC1035,$CD1035,$CE1035,$CF1035,$CG1035,$CH1035,$CI1035,$CJ1035,$CL1035,$CM1035,$CN1035,$CO1035,$CP1035,$CQ1035,$CR1035,$CS1035,$CT1035)</f>
        <v/>
      </c>
      <c r="DX1035" s="66">
        <f>AVERAGE($CB1035,$CC1035,$CM1035,$CE1035,$CP1035)</f>
        <v/>
      </c>
      <c r="DY1035" s="64">
        <f>($DW1035-$DW1036)*100</f>
        <v/>
      </c>
      <c r="DZ1035" s="64">
        <f>($DX1035-$DX1036)*100</f>
        <v/>
      </c>
      <c r="EA1035" s="64">
        <f>($DW1035-$D1035)*100</f>
        <v/>
      </c>
      <c r="EB1035" s="64">
        <f>$Q1035-$O1035</f>
        <v/>
      </c>
      <c r="EC1035" s="67">
        <f>IFERROR($Q1035/$P1035,"")</f>
        <v/>
      </c>
    </row>
    <row r="1036">
      <c r="DG1036" s="64">
        <f>($B1036-$B1037)*100</f>
        <v/>
      </c>
      <c r="DH1036" s="64">
        <f>($D1036-$D1037)*100</f>
        <v/>
      </c>
      <c r="DI1036" s="64">
        <f>($E1036-$E1037)*100</f>
        <v/>
      </c>
      <c r="DJ1036" s="64">
        <f>($H1036-$H1037)*100</f>
        <v/>
      </c>
      <c r="DK1036" s="65">
        <f>IFERROR($J1036/$J1037-1,"")</f>
        <v/>
      </c>
      <c r="DL1036" s="64">
        <f>$L1036-$L1037</f>
        <v/>
      </c>
      <c r="DM1036" s="64">
        <f>$K1036-$K1037</f>
        <v/>
      </c>
      <c r="DN1036" s="65">
        <f>IFERROR($N1036/$N1037-1,"")</f>
        <v/>
      </c>
      <c r="DO1036" s="65">
        <f>IFERROR($M1036/$M1037-1,"")</f>
        <v/>
      </c>
      <c r="DP1036" s="65">
        <f>IFERROR($AZ1036/$AZ1037-1,"")</f>
        <v/>
      </c>
      <c r="DQ1036" s="65">
        <f>IFERROR($BA1036/$BA1037-1,"")</f>
        <v/>
      </c>
      <c r="DR1036" s="64">
        <f>$O1036-$O1037</f>
        <v/>
      </c>
      <c r="DS1036" s="64">
        <f>$P1036-$P1037</f>
        <v/>
      </c>
      <c r="DT1036" s="64">
        <f>$Q1036-$Q1037</f>
        <v/>
      </c>
      <c r="DU1036" s="64">
        <f>$S1036-$S1037</f>
        <v/>
      </c>
      <c r="DV1036" s="65">
        <f>IFERROR(AVERAGE($AA1037/$AA1036-1,$AB1037/$AB1036-1,$AC1037/$AC1036-1,$AD1037/$AD1036-1,$AE1037/$AE1036-1,$AG1037/$AG1036-1,$AH1037/$AH1036-1,$AI1037/$AI1036-1,$AJ1037/$AJ1036-1,$AL1037/$AL1036-1,$AM1037/$AM1036-1,$AR1037/$AR1036-1,$AS1037/$AS1036-1,$AT1037/$AT1036-1,$AU1037/$AU1036-1,$AV1037/$AV1036-1,$AW1037/$AW1036-1,$AX1037/$AX1036-1,$AY1037/$AY1036-1),"")</f>
        <v/>
      </c>
      <c r="DW1036" s="66">
        <f>AVERAGE($CB1036,$CC1036,$CD1036,$CE1036,$CF1036,$CG1036,$CH1036,$CI1036,$CJ1036,$CL1036,$CM1036,$CN1036,$CO1036,$CP1036,$CQ1036,$CR1036,$CS1036,$CT1036)</f>
        <v/>
      </c>
      <c r="DX1036" s="66">
        <f>AVERAGE($CB1036,$CC1036,$CM1036,$CE1036,$CP1036)</f>
        <v/>
      </c>
      <c r="DY1036" s="64">
        <f>($DW1036-$DW1037)*100</f>
        <v/>
      </c>
      <c r="DZ1036" s="64">
        <f>($DX1036-$DX1037)*100</f>
        <v/>
      </c>
      <c r="EA1036" s="64">
        <f>($DW1036-$D1036)*100</f>
        <v/>
      </c>
      <c r="EB1036" s="64">
        <f>$Q1036-$O1036</f>
        <v/>
      </c>
      <c r="EC1036" s="67">
        <f>IFERROR($Q1036/$P1036,"")</f>
        <v/>
      </c>
    </row>
    <row r="1037">
      <c r="DG1037" s="64">
        <f>($B1037-$B1038)*100</f>
        <v/>
      </c>
      <c r="DH1037" s="64">
        <f>($D1037-$D1038)*100</f>
        <v/>
      </c>
      <c r="DI1037" s="64">
        <f>($E1037-$E1038)*100</f>
        <v/>
      </c>
      <c r="DJ1037" s="64">
        <f>($H1037-$H1038)*100</f>
        <v/>
      </c>
      <c r="DK1037" s="65">
        <f>IFERROR($J1037/$J1038-1,"")</f>
        <v/>
      </c>
      <c r="DL1037" s="64">
        <f>$L1037-$L1038</f>
        <v/>
      </c>
      <c r="DM1037" s="64">
        <f>$K1037-$K1038</f>
        <v/>
      </c>
      <c r="DN1037" s="65">
        <f>IFERROR($N1037/$N1038-1,"")</f>
        <v/>
      </c>
      <c r="DO1037" s="65">
        <f>IFERROR($M1037/$M1038-1,"")</f>
        <v/>
      </c>
      <c r="DP1037" s="65">
        <f>IFERROR($AZ1037/$AZ1038-1,"")</f>
        <v/>
      </c>
      <c r="DQ1037" s="65">
        <f>IFERROR($BA1037/$BA1038-1,"")</f>
        <v/>
      </c>
      <c r="DR1037" s="64">
        <f>$O1037-$O1038</f>
        <v/>
      </c>
      <c r="DS1037" s="64">
        <f>$P1037-$P1038</f>
        <v/>
      </c>
      <c r="DT1037" s="64">
        <f>$Q1037-$Q1038</f>
        <v/>
      </c>
      <c r="DU1037" s="64">
        <f>$S1037-$S1038</f>
        <v/>
      </c>
      <c r="DV1037" s="65">
        <f>IFERROR(AVERAGE($AA1038/$AA1037-1,$AB1038/$AB1037-1,$AC1038/$AC1037-1,$AD1038/$AD1037-1,$AE1038/$AE1037-1,$AG1038/$AG1037-1,$AH1038/$AH1037-1,$AI1038/$AI1037-1,$AJ1038/$AJ1037-1,$AL1038/$AL1037-1,$AM1038/$AM1037-1,$AR1038/$AR1037-1,$AS1038/$AS1037-1,$AT1038/$AT1037-1,$AU1038/$AU1037-1,$AV1038/$AV1037-1,$AW1038/$AW1037-1,$AX1038/$AX1037-1,$AY1038/$AY1037-1),"")</f>
        <v/>
      </c>
      <c r="DW1037" s="66">
        <f>AVERAGE($CB1037,$CC1037,$CD1037,$CE1037,$CF1037,$CG1037,$CH1037,$CI1037,$CJ1037,$CL1037,$CM1037,$CN1037,$CO1037,$CP1037,$CQ1037,$CR1037,$CS1037,$CT1037)</f>
        <v/>
      </c>
      <c r="DX1037" s="66">
        <f>AVERAGE($CB1037,$CC1037,$CM1037,$CE1037,$CP1037)</f>
        <v/>
      </c>
      <c r="DY1037" s="64">
        <f>($DW1037-$DW1038)*100</f>
        <v/>
      </c>
      <c r="DZ1037" s="64">
        <f>($DX1037-$DX1038)*100</f>
        <v/>
      </c>
      <c r="EA1037" s="64">
        <f>($DW1037-$D1037)*100</f>
        <v/>
      </c>
      <c r="EB1037" s="64">
        <f>$Q1037-$O1037</f>
        <v/>
      </c>
      <c r="EC1037" s="67">
        <f>IFERROR($Q1037/$P1037,"")</f>
        <v/>
      </c>
    </row>
    <row r="1038">
      <c r="DG1038" s="64">
        <f>($B1038-$B1039)*100</f>
        <v/>
      </c>
      <c r="DH1038" s="64">
        <f>($D1038-$D1039)*100</f>
        <v/>
      </c>
      <c r="DI1038" s="64">
        <f>($E1038-$E1039)*100</f>
        <v/>
      </c>
      <c r="DJ1038" s="64">
        <f>($H1038-$H1039)*100</f>
        <v/>
      </c>
      <c r="DK1038" s="65">
        <f>IFERROR($J1038/$J1039-1,"")</f>
        <v/>
      </c>
      <c r="DL1038" s="64">
        <f>$L1038-$L1039</f>
        <v/>
      </c>
      <c r="DM1038" s="64">
        <f>$K1038-$K1039</f>
        <v/>
      </c>
      <c r="DN1038" s="65">
        <f>IFERROR($N1038/$N1039-1,"")</f>
        <v/>
      </c>
      <c r="DO1038" s="65">
        <f>IFERROR($M1038/$M1039-1,"")</f>
        <v/>
      </c>
      <c r="DP1038" s="65">
        <f>IFERROR($AZ1038/$AZ1039-1,"")</f>
        <v/>
      </c>
      <c r="DQ1038" s="65">
        <f>IFERROR($BA1038/$BA1039-1,"")</f>
        <v/>
      </c>
      <c r="DR1038" s="64">
        <f>$O1038-$O1039</f>
        <v/>
      </c>
      <c r="DS1038" s="64">
        <f>$P1038-$P1039</f>
        <v/>
      </c>
      <c r="DT1038" s="64">
        <f>$Q1038-$Q1039</f>
        <v/>
      </c>
      <c r="DU1038" s="64">
        <f>$S1038-$S1039</f>
        <v/>
      </c>
      <c r="DV1038" s="65">
        <f>IFERROR(AVERAGE($AA1039/$AA1038-1,$AB1039/$AB1038-1,$AC1039/$AC1038-1,$AD1039/$AD1038-1,$AE1039/$AE1038-1,$AG1039/$AG1038-1,$AH1039/$AH1038-1,$AI1039/$AI1038-1,$AJ1039/$AJ1038-1,$AL1039/$AL1038-1,$AM1039/$AM1038-1,$AR1039/$AR1038-1,$AS1039/$AS1038-1,$AT1039/$AT1038-1,$AU1039/$AU1038-1,$AV1039/$AV1038-1,$AW1039/$AW1038-1,$AX1039/$AX1038-1,$AY1039/$AY1038-1),"")</f>
        <v/>
      </c>
      <c r="DW1038" s="66">
        <f>AVERAGE($CB1038,$CC1038,$CD1038,$CE1038,$CF1038,$CG1038,$CH1038,$CI1038,$CJ1038,$CL1038,$CM1038,$CN1038,$CO1038,$CP1038,$CQ1038,$CR1038,$CS1038,$CT1038)</f>
        <v/>
      </c>
      <c r="DX1038" s="66">
        <f>AVERAGE($CB1038,$CC1038,$CM1038,$CE1038,$CP1038)</f>
        <v/>
      </c>
      <c r="DY1038" s="64">
        <f>($DW1038-$DW1039)*100</f>
        <v/>
      </c>
      <c r="DZ1038" s="64">
        <f>($DX1038-$DX1039)*100</f>
        <v/>
      </c>
      <c r="EA1038" s="64">
        <f>($DW1038-$D1038)*100</f>
        <v/>
      </c>
      <c r="EB1038" s="64">
        <f>$Q1038-$O1038</f>
        <v/>
      </c>
      <c r="EC1038" s="67">
        <f>IFERROR($Q1038/$P1038,"")</f>
        <v/>
      </c>
    </row>
    <row r="1039">
      <c r="DG1039" s="64">
        <f>($B1039-$B1040)*100</f>
        <v/>
      </c>
      <c r="DH1039" s="64">
        <f>($D1039-$D1040)*100</f>
        <v/>
      </c>
      <c r="DI1039" s="64">
        <f>($E1039-$E1040)*100</f>
        <v/>
      </c>
      <c r="DJ1039" s="64">
        <f>($H1039-$H1040)*100</f>
        <v/>
      </c>
      <c r="DK1039" s="65">
        <f>IFERROR($J1039/$J1040-1,"")</f>
        <v/>
      </c>
      <c r="DL1039" s="64">
        <f>$L1039-$L1040</f>
        <v/>
      </c>
      <c r="DM1039" s="64">
        <f>$K1039-$K1040</f>
        <v/>
      </c>
      <c r="DN1039" s="65">
        <f>IFERROR($N1039/$N1040-1,"")</f>
        <v/>
      </c>
      <c r="DO1039" s="65">
        <f>IFERROR($M1039/$M1040-1,"")</f>
        <v/>
      </c>
      <c r="DP1039" s="65">
        <f>IFERROR($AZ1039/$AZ1040-1,"")</f>
        <v/>
      </c>
      <c r="DQ1039" s="65">
        <f>IFERROR($BA1039/$BA1040-1,"")</f>
        <v/>
      </c>
      <c r="DR1039" s="64">
        <f>$O1039-$O1040</f>
        <v/>
      </c>
      <c r="DS1039" s="64">
        <f>$P1039-$P1040</f>
        <v/>
      </c>
      <c r="DT1039" s="64">
        <f>$Q1039-$Q1040</f>
        <v/>
      </c>
      <c r="DU1039" s="64">
        <f>$S1039-$S1040</f>
        <v/>
      </c>
      <c r="DV1039" s="65">
        <f>IFERROR(AVERAGE($AA1040/$AA1039-1,$AB1040/$AB1039-1,$AC1040/$AC1039-1,$AD1040/$AD1039-1,$AE1040/$AE1039-1,$AG1040/$AG1039-1,$AH1040/$AH1039-1,$AI1040/$AI1039-1,$AJ1040/$AJ1039-1,$AL1040/$AL1039-1,$AM1040/$AM1039-1,$AR1040/$AR1039-1,$AS1040/$AS1039-1,$AT1040/$AT1039-1,$AU1040/$AU1039-1,$AV1040/$AV1039-1,$AW1040/$AW1039-1,$AX1040/$AX1039-1,$AY1040/$AY1039-1),"")</f>
        <v/>
      </c>
      <c r="DW1039" s="66">
        <f>AVERAGE($CB1039,$CC1039,$CD1039,$CE1039,$CF1039,$CG1039,$CH1039,$CI1039,$CJ1039,$CL1039,$CM1039,$CN1039,$CO1039,$CP1039,$CQ1039,$CR1039,$CS1039,$CT1039)</f>
        <v/>
      </c>
      <c r="DX1039" s="66">
        <f>AVERAGE($CB1039,$CC1039,$CM1039,$CE1039,$CP1039)</f>
        <v/>
      </c>
      <c r="DY1039" s="64">
        <f>($DW1039-$DW1040)*100</f>
        <v/>
      </c>
      <c r="DZ1039" s="64">
        <f>($DX1039-$DX1040)*100</f>
        <v/>
      </c>
      <c r="EA1039" s="64">
        <f>($DW1039-$D1039)*100</f>
        <v/>
      </c>
      <c r="EB1039" s="64">
        <f>$Q1039-$O1039</f>
        <v/>
      </c>
      <c r="EC1039" s="67">
        <f>IFERROR($Q1039/$P1039,"")</f>
        <v/>
      </c>
    </row>
    <row r="1040">
      <c r="DG1040" s="64">
        <f>($B1040-$B1041)*100</f>
        <v/>
      </c>
      <c r="DH1040" s="64">
        <f>($D1040-$D1041)*100</f>
        <v/>
      </c>
      <c r="DI1040" s="64">
        <f>($E1040-$E1041)*100</f>
        <v/>
      </c>
      <c r="DJ1040" s="64">
        <f>($H1040-$H1041)*100</f>
        <v/>
      </c>
      <c r="DK1040" s="65">
        <f>IFERROR($J1040/$J1041-1,"")</f>
        <v/>
      </c>
      <c r="DL1040" s="64">
        <f>$L1040-$L1041</f>
        <v/>
      </c>
      <c r="DM1040" s="64">
        <f>$K1040-$K1041</f>
        <v/>
      </c>
      <c r="DN1040" s="65">
        <f>IFERROR($N1040/$N1041-1,"")</f>
        <v/>
      </c>
      <c r="DO1040" s="65">
        <f>IFERROR($M1040/$M1041-1,"")</f>
        <v/>
      </c>
      <c r="DP1040" s="65">
        <f>IFERROR($AZ1040/$AZ1041-1,"")</f>
        <v/>
      </c>
      <c r="DQ1040" s="65">
        <f>IFERROR($BA1040/$BA1041-1,"")</f>
        <v/>
      </c>
      <c r="DR1040" s="64">
        <f>$O1040-$O1041</f>
        <v/>
      </c>
      <c r="DS1040" s="64">
        <f>$P1040-$P1041</f>
        <v/>
      </c>
      <c r="DT1040" s="64">
        <f>$Q1040-$Q1041</f>
        <v/>
      </c>
      <c r="DU1040" s="64">
        <f>$S1040-$S1041</f>
        <v/>
      </c>
      <c r="DV1040" s="65">
        <f>IFERROR(AVERAGE($AA1041/$AA1040-1,$AB1041/$AB1040-1,$AC1041/$AC1040-1,$AD1041/$AD1040-1,$AE1041/$AE1040-1,$AG1041/$AG1040-1,$AH1041/$AH1040-1,$AI1041/$AI1040-1,$AJ1041/$AJ1040-1,$AL1041/$AL1040-1,$AM1041/$AM1040-1,$AR1041/$AR1040-1,$AS1041/$AS1040-1,$AT1041/$AT1040-1,$AU1041/$AU1040-1,$AV1041/$AV1040-1,$AW1041/$AW1040-1,$AX1041/$AX1040-1,$AY1041/$AY1040-1),"")</f>
        <v/>
      </c>
      <c r="DW1040" s="66">
        <f>AVERAGE($CB1040,$CC1040,$CD1040,$CE1040,$CF1040,$CG1040,$CH1040,$CI1040,$CJ1040,$CL1040,$CM1040,$CN1040,$CO1040,$CP1040,$CQ1040,$CR1040,$CS1040,$CT1040)</f>
        <v/>
      </c>
      <c r="DX1040" s="66">
        <f>AVERAGE($CB1040,$CC1040,$CM1040,$CE1040,$CP1040)</f>
        <v/>
      </c>
      <c r="DY1040" s="64">
        <f>($DW1040-$DW1041)*100</f>
        <v/>
      </c>
      <c r="DZ1040" s="64">
        <f>($DX1040-$DX1041)*100</f>
        <v/>
      </c>
      <c r="EA1040" s="64">
        <f>($DW1040-$D1040)*100</f>
        <v/>
      </c>
      <c r="EB1040" s="64">
        <f>$Q1040-$O1040</f>
        <v/>
      </c>
      <c r="EC1040" s="67">
        <f>IFERROR($Q1040/$P1040,"")</f>
        <v/>
      </c>
    </row>
    <row r="1041">
      <c r="DG1041" s="64">
        <f>($B1041-$B1042)*100</f>
        <v/>
      </c>
      <c r="DH1041" s="64">
        <f>($D1041-$D1042)*100</f>
        <v/>
      </c>
      <c r="DI1041" s="64">
        <f>($E1041-$E1042)*100</f>
        <v/>
      </c>
      <c r="DJ1041" s="64">
        <f>($H1041-$H1042)*100</f>
        <v/>
      </c>
      <c r="DK1041" s="65">
        <f>IFERROR($J1041/$J1042-1,"")</f>
        <v/>
      </c>
      <c r="DL1041" s="64">
        <f>$L1041-$L1042</f>
        <v/>
      </c>
      <c r="DM1041" s="64">
        <f>$K1041-$K1042</f>
        <v/>
      </c>
      <c r="DN1041" s="65">
        <f>IFERROR($N1041/$N1042-1,"")</f>
        <v/>
      </c>
      <c r="DO1041" s="65">
        <f>IFERROR($M1041/$M1042-1,"")</f>
        <v/>
      </c>
      <c r="DP1041" s="65">
        <f>IFERROR($AZ1041/$AZ1042-1,"")</f>
        <v/>
      </c>
      <c r="DQ1041" s="65">
        <f>IFERROR($BA1041/$BA1042-1,"")</f>
        <v/>
      </c>
      <c r="DR1041" s="64">
        <f>$O1041-$O1042</f>
        <v/>
      </c>
      <c r="DS1041" s="64">
        <f>$P1041-$P1042</f>
        <v/>
      </c>
      <c r="DT1041" s="64">
        <f>$Q1041-$Q1042</f>
        <v/>
      </c>
      <c r="DU1041" s="64">
        <f>$S1041-$S1042</f>
        <v/>
      </c>
      <c r="DV1041" s="65">
        <f>IFERROR(AVERAGE($AA1042/$AA1041-1,$AB1042/$AB1041-1,$AC1042/$AC1041-1,$AD1042/$AD1041-1,$AE1042/$AE1041-1,$AG1042/$AG1041-1,$AH1042/$AH1041-1,$AI1042/$AI1041-1,$AJ1042/$AJ1041-1,$AL1042/$AL1041-1,$AM1042/$AM1041-1,$AR1042/$AR1041-1,$AS1042/$AS1041-1,$AT1042/$AT1041-1,$AU1042/$AU1041-1,$AV1042/$AV1041-1,$AW1042/$AW1041-1,$AX1042/$AX1041-1,$AY1042/$AY1041-1),"")</f>
        <v/>
      </c>
      <c r="DW1041" s="66">
        <f>AVERAGE($CB1041,$CC1041,$CD1041,$CE1041,$CF1041,$CG1041,$CH1041,$CI1041,$CJ1041,$CL1041,$CM1041,$CN1041,$CO1041,$CP1041,$CQ1041,$CR1041,$CS1041,$CT1041)</f>
        <v/>
      </c>
      <c r="DX1041" s="66">
        <f>AVERAGE($CB1041,$CC1041,$CM1041,$CE1041,$CP1041)</f>
        <v/>
      </c>
      <c r="DY1041" s="64">
        <f>($DW1041-$DW1042)*100</f>
        <v/>
      </c>
      <c r="DZ1041" s="64">
        <f>($DX1041-$DX1042)*100</f>
        <v/>
      </c>
      <c r="EA1041" s="64">
        <f>($DW1041-$D1041)*100</f>
        <v/>
      </c>
      <c r="EB1041" s="64">
        <f>$Q1041-$O1041</f>
        <v/>
      </c>
      <c r="EC1041" s="67">
        <f>IFERROR($Q1041/$P1041,"")</f>
        <v/>
      </c>
    </row>
    <row r="1042">
      <c r="DG1042" s="64">
        <f>($B1042-$B1043)*100</f>
        <v/>
      </c>
      <c r="DH1042" s="64">
        <f>($D1042-$D1043)*100</f>
        <v/>
      </c>
      <c r="DI1042" s="64">
        <f>($E1042-$E1043)*100</f>
        <v/>
      </c>
      <c r="DJ1042" s="64">
        <f>($H1042-$H1043)*100</f>
        <v/>
      </c>
      <c r="DK1042" s="65">
        <f>IFERROR($J1042/$J1043-1,"")</f>
        <v/>
      </c>
      <c r="DL1042" s="64">
        <f>$L1042-$L1043</f>
        <v/>
      </c>
      <c r="DM1042" s="64">
        <f>$K1042-$K1043</f>
        <v/>
      </c>
      <c r="DN1042" s="65">
        <f>IFERROR($N1042/$N1043-1,"")</f>
        <v/>
      </c>
      <c r="DO1042" s="65">
        <f>IFERROR($M1042/$M1043-1,"")</f>
        <v/>
      </c>
      <c r="DP1042" s="65">
        <f>IFERROR($AZ1042/$AZ1043-1,"")</f>
        <v/>
      </c>
      <c r="DQ1042" s="65">
        <f>IFERROR($BA1042/$BA1043-1,"")</f>
        <v/>
      </c>
      <c r="DR1042" s="64">
        <f>$O1042-$O1043</f>
        <v/>
      </c>
      <c r="DS1042" s="64">
        <f>$P1042-$P1043</f>
        <v/>
      </c>
      <c r="DT1042" s="64">
        <f>$Q1042-$Q1043</f>
        <v/>
      </c>
      <c r="DU1042" s="64">
        <f>$S1042-$S1043</f>
        <v/>
      </c>
      <c r="DV1042" s="65">
        <f>IFERROR(AVERAGE($AA1043/$AA1042-1,$AB1043/$AB1042-1,$AC1043/$AC1042-1,$AD1043/$AD1042-1,$AE1043/$AE1042-1,$AG1043/$AG1042-1,$AH1043/$AH1042-1,$AI1043/$AI1042-1,$AJ1043/$AJ1042-1,$AL1043/$AL1042-1,$AM1043/$AM1042-1,$AR1043/$AR1042-1,$AS1043/$AS1042-1,$AT1043/$AT1042-1,$AU1043/$AU1042-1,$AV1043/$AV1042-1,$AW1043/$AW1042-1,$AX1043/$AX1042-1,$AY1043/$AY1042-1),"")</f>
        <v/>
      </c>
      <c r="DW1042" s="66">
        <f>AVERAGE($CB1042,$CC1042,$CD1042,$CE1042,$CF1042,$CG1042,$CH1042,$CI1042,$CJ1042,$CL1042,$CM1042,$CN1042,$CO1042,$CP1042,$CQ1042,$CR1042,$CS1042,$CT1042)</f>
        <v/>
      </c>
      <c r="DX1042" s="66">
        <f>AVERAGE($CB1042,$CC1042,$CM1042,$CE1042,$CP1042)</f>
        <v/>
      </c>
      <c r="DY1042" s="64">
        <f>($DW1042-$DW1043)*100</f>
        <v/>
      </c>
      <c r="DZ1042" s="64">
        <f>($DX1042-$DX1043)*100</f>
        <v/>
      </c>
      <c r="EA1042" s="64">
        <f>($DW1042-$D1042)*100</f>
        <v/>
      </c>
      <c r="EB1042" s="64">
        <f>$Q1042-$O1042</f>
        <v/>
      </c>
      <c r="EC1042" s="67">
        <f>IFERROR($Q1042/$P1042,"")</f>
        <v/>
      </c>
    </row>
    <row r="1043">
      <c r="DG1043" s="64">
        <f>($B1043-$B1044)*100</f>
        <v/>
      </c>
      <c r="DH1043" s="64">
        <f>($D1043-$D1044)*100</f>
        <v/>
      </c>
      <c r="DI1043" s="64">
        <f>($E1043-$E1044)*100</f>
        <v/>
      </c>
      <c r="DJ1043" s="64">
        <f>($H1043-$H1044)*100</f>
        <v/>
      </c>
      <c r="DK1043" s="65">
        <f>IFERROR($J1043/$J1044-1,"")</f>
        <v/>
      </c>
      <c r="DL1043" s="64">
        <f>$L1043-$L1044</f>
        <v/>
      </c>
      <c r="DM1043" s="64">
        <f>$K1043-$K1044</f>
        <v/>
      </c>
      <c r="DN1043" s="65">
        <f>IFERROR($N1043/$N1044-1,"")</f>
        <v/>
      </c>
      <c r="DO1043" s="65">
        <f>IFERROR($M1043/$M1044-1,"")</f>
        <v/>
      </c>
      <c r="DP1043" s="65">
        <f>IFERROR($AZ1043/$AZ1044-1,"")</f>
        <v/>
      </c>
      <c r="DQ1043" s="65">
        <f>IFERROR($BA1043/$BA1044-1,"")</f>
        <v/>
      </c>
      <c r="DR1043" s="64">
        <f>$O1043-$O1044</f>
        <v/>
      </c>
      <c r="DS1043" s="64">
        <f>$P1043-$P1044</f>
        <v/>
      </c>
      <c r="DT1043" s="64">
        <f>$Q1043-$Q1044</f>
        <v/>
      </c>
      <c r="DU1043" s="64">
        <f>$S1043-$S1044</f>
        <v/>
      </c>
      <c r="DV1043" s="65">
        <f>IFERROR(AVERAGE($AA1044/$AA1043-1,$AB1044/$AB1043-1,$AC1044/$AC1043-1,$AD1044/$AD1043-1,$AE1044/$AE1043-1,$AG1044/$AG1043-1,$AH1044/$AH1043-1,$AI1044/$AI1043-1,$AJ1044/$AJ1043-1,$AL1044/$AL1043-1,$AM1044/$AM1043-1,$AR1044/$AR1043-1,$AS1044/$AS1043-1,$AT1044/$AT1043-1,$AU1044/$AU1043-1,$AV1044/$AV1043-1,$AW1044/$AW1043-1,$AX1044/$AX1043-1,$AY1044/$AY1043-1),"")</f>
        <v/>
      </c>
      <c r="DW1043" s="66">
        <f>AVERAGE($CB1043,$CC1043,$CD1043,$CE1043,$CF1043,$CG1043,$CH1043,$CI1043,$CJ1043,$CL1043,$CM1043,$CN1043,$CO1043,$CP1043,$CQ1043,$CR1043,$CS1043,$CT1043)</f>
        <v/>
      </c>
      <c r="DX1043" s="66">
        <f>AVERAGE($CB1043,$CC1043,$CM1043,$CE1043,$CP1043)</f>
        <v/>
      </c>
      <c r="DY1043" s="64">
        <f>($DW1043-$DW1044)*100</f>
        <v/>
      </c>
      <c r="DZ1043" s="64">
        <f>($DX1043-$DX1044)*100</f>
        <v/>
      </c>
      <c r="EA1043" s="64">
        <f>($DW1043-$D1043)*100</f>
        <v/>
      </c>
      <c r="EB1043" s="64">
        <f>$Q1043-$O1043</f>
        <v/>
      </c>
      <c r="EC1043" s="67">
        <f>IFERROR($Q1043/$P1043,"")</f>
        <v/>
      </c>
    </row>
    <row r="1044">
      <c r="DG1044" s="64">
        <f>($B1044-$B1045)*100</f>
        <v/>
      </c>
      <c r="DH1044" s="64">
        <f>($D1044-$D1045)*100</f>
        <v/>
      </c>
      <c r="DI1044" s="64">
        <f>($E1044-$E1045)*100</f>
        <v/>
      </c>
      <c r="DJ1044" s="64">
        <f>($H1044-$H1045)*100</f>
        <v/>
      </c>
      <c r="DK1044" s="65">
        <f>IFERROR($J1044/$J1045-1,"")</f>
        <v/>
      </c>
      <c r="DL1044" s="64">
        <f>$L1044-$L1045</f>
        <v/>
      </c>
      <c r="DM1044" s="64">
        <f>$K1044-$K1045</f>
        <v/>
      </c>
      <c r="DN1044" s="65">
        <f>IFERROR($N1044/$N1045-1,"")</f>
        <v/>
      </c>
      <c r="DO1044" s="65">
        <f>IFERROR($M1044/$M1045-1,"")</f>
        <v/>
      </c>
      <c r="DP1044" s="65">
        <f>IFERROR($AZ1044/$AZ1045-1,"")</f>
        <v/>
      </c>
      <c r="DQ1044" s="65">
        <f>IFERROR($BA1044/$BA1045-1,"")</f>
        <v/>
      </c>
      <c r="DR1044" s="64">
        <f>$O1044-$O1045</f>
        <v/>
      </c>
      <c r="DS1044" s="64">
        <f>$P1044-$P1045</f>
        <v/>
      </c>
      <c r="DT1044" s="64">
        <f>$Q1044-$Q1045</f>
        <v/>
      </c>
      <c r="DU1044" s="64">
        <f>$S1044-$S1045</f>
        <v/>
      </c>
      <c r="DV1044" s="65">
        <f>IFERROR(AVERAGE($AA1045/$AA1044-1,$AB1045/$AB1044-1,$AC1045/$AC1044-1,$AD1045/$AD1044-1,$AE1045/$AE1044-1,$AG1045/$AG1044-1,$AH1045/$AH1044-1,$AI1045/$AI1044-1,$AJ1045/$AJ1044-1,$AL1045/$AL1044-1,$AM1045/$AM1044-1,$AR1045/$AR1044-1,$AS1045/$AS1044-1,$AT1045/$AT1044-1,$AU1045/$AU1044-1,$AV1045/$AV1044-1,$AW1045/$AW1044-1,$AX1045/$AX1044-1,$AY1045/$AY1044-1),"")</f>
        <v/>
      </c>
      <c r="DW1044" s="66">
        <f>AVERAGE($CB1044,$CC1044,$CD1044,$CE1044,$CF1044,$CG1044,$CH1044,$CI1044,$CJ1044,$CL1044,$CM1044,$CN1044,$CO1044,$CP1044,$CQ1044,$CR1044,$CS1044,$CT1044)</f>
        <v/>
      </c>
      <c r="DX1044" s="66">
        <f>AVERAGE($CB1044,$CC1044,$CM1044,$CE1044,$CP1044)</f>
        <v/>
      </c>
      <c r="DY1044" s="64">
        <f>($DW1044-$DW1045)*100</f>
        <v/>
      </c>
      <c r="DZ1044" s="64">
        <f>($DX1044-$DX1045)*100</f>
        <v/>
      </c>
      <c r="EA1044" s="64">
        <f>($DW1044-$D1044)*100</f>
        <v/>
      </c>
      <c r="EB1044" s="64">
        <f>$Q1044-$O1044</f>
        <v/>
      </c>
      <c r="EC1044" s="67">
        <f>IFERROR($Q1044/$P1044,"")</f>
        <v/>
      </c>
    </row>
    <row r="1045">
      <c r="DG1045" s="64">
        <f>($B1045-$B1046)*100</f>
        <v/>
      </c>
      <c r="DH1045" s="64">
        <f>($D1045-$D1046)*100</f>
        <v/>
      </c>
      <c r="DI1045" s="64">
        <f>($E1045-$E1046)*100</f>
        <v/>
      </c>
      <c r="DJ1045" s="64">
        <f>($H1045-$H1046)*100</f>
        <v/>
      </c>
      <c r="DK1045" s="65">
        <f>IFERROR($J1045/$J1046-1,"")</f>
        <v/>
      </c>
      <c r="DL1045" s="64">
        <f>$L1045-$L1046</f>
        <v/>
      </c>
      <c r="DM1045" s="64">
        <f>$K1045-$K1046</f>
        <v/>
      </c>
      <c r="DN1045" s="65">
        <f>IFERROR($N1045/$N1046-1,"")</f>
        <v/>
      </c>
      <c r="DO1045" s="65">
        <f>IFERROR($M1045/$M1046-1,"")</f>
        <v/>
      </c>
      <c r="DP1045" s="65">
        <f>IFERROR($AZ1045/$AZ1046-1,"")</f>
        <v/>
      </c>
      <c r="DQ1045" s="65">
        <f>IFERROR($BA1045/$BA1046-1,"")</f>
        <v/>
      </c>
      <c r="DR1045" s="64">
        <f>$O1045-$O1046</f>
        <v/>
      </c>
      <c r="DS1045" s="64">
        <f>$P1045-$P1046</f>
        <v/>
      </c>
      <c r="DT1045" s="64">
        <f>$Q1045-$Q1046</f>
        <v/>
      </c>
      <c r="DU1045" s="64">
        <f>$S1045-$S1046</f>
        <v/>
      </c>
      <c r="DV1045" s="65">
        <f>IFERROR(AVERAGE($AA1046/$AA1045-1,$AB1046/$AB1045-1,$AC1046/$AC1045-1,$AD1046/$AD1045-1,$AE1046/$AE1045-1,$AG1046/$AG1045-1,$AH1046/$AH1045-1,$AI1046/$AI1045-1,$AJ1046/$AJ1045-1,$AL1046/$AL1045-1,$AM1046/$AM1045-1,$AR1046/$AR1045-1,$AS1046/$AS1045-1,$AT1046/$AT1045-1,$AU1046/$AU1045-1,$AV1046/$AV1045-1,$AW1046/$AW1045-1,$AX1046/$AX1045-1,$AY1046/$AY1045-1),"")</f>
        <v/>
      </c>
      <c r="DW1045" s="66">
        <f>AVERAGE($CB1045,$CC1045,$CD1045,$CE1045,$CF1045,$CG1045,$CH1045,$CI1045,$CJ1045,$CL1045,$CM1045,$CN1045,$CO1045,$CP1045,$CQ1045,$CR1045,$CS1045,$CT1045)</f>
        <v/>
      </c>
      <c r="DX1045" s="66">
        <f>AVERAGE($CB1045,$CC1045,$CM1045,$CE1045,$CP1045)</f>
        <v/>
      </c>
      <c r="DY1045" s="64">
        <f>($DW1045-$DW1046)*100</f>
        <v/>
      </c>
      <c r="DZ1045" s="64">
        <f>($DX1045-$DX1046)*100</f>
        <v/>
      </c>
      <c r="EA1045" s="64">
        <f>($DW1045-$D1045)*100</f>
        <v/>
      </c>
      <c r="EB1045" s="64">
        <f>$Q1045-$O1045</f>
        <v/>
      </c>
      <c r="EC1045" s="67">
        <f>IFERROR($Q1045/$P1045,"")</f>
        <v/>
      </c>
    </row>
    <row r="1046">
      <c r="DG1046" s="64">
        <f>($B1046-$B1047)*100</f>
        <v/>
      </c>
      <c r="DH1046" s="64">
        <f>($D1046-$D1047)*100</f>
        <v/>
      </c>
      <c r="DI1046" s="64">
        <f>($E1046-$E1047)*100</f>
        <v/>
      </c>
      <c r="DJ1046" s="64">
        <f>($H1046-$H1047)*100</f>
        <v/>
      </c>
      <c r="DK1046" s="65">
        <f>IFERROR($J1046/$J1047-1,"")</f>
        <v/>
      </c>
      <c r="DL1046" s="64">
        <f>$L1046-$L1047</f>
        <v/>
      </c>
      <c r="DM1046" s="64">
        <f>$K1046-$K1047</f>
        <v/>
      </c>
      <c r="DN1046" s="65">
        <f>IFERROR($N1046/$N1047-1,"")</f>
        <v/>
      </c>
      <c r="DO1046" s="65">
        <f>IFERROR($M1046/$M1047-1,"")</f>
        <v/>
      </c>
      <c r="DP1046" s="65">
        <f>IFERROR($AZ1046/$AZ1047-1,"")</f>
        <v/>
      </c>
      <c r="DQ1046" s="65">
        <f>IFERROR($BA1046/$BA1047-1,"")</f>
        <v/>
      </c>
      <c r="DR1046" s="64">
        <f>$O1046-$O1047</f>
        <v/>
      </c>
      <c r="DS1046" s="64">
        <f>$P1046-$P1047</f>
        <v/>
      </c>
      <c r="DT1046" s="64">
        <f>$Q1046-$Q1047</f>
        <v/>
      </c>
      <c r="DU1046" s="64">
        <f>$S1046-$S1047</f>
        <v/>
      </c>
      <c r="DV1046" s="65">
        <f>IFERROR(AVERAGE($AA1047/$AA1046-1,$AB1047/$AB1046-1,$AC1047/$AC1046-1,$AD1047/$AD1046-1,$AE1047/$AE1046-1,$AG1047/$AG1046-1,$AH1047/$AH1046-1,$AI1047/$AI1046-1,$AJ1047/$AJ1046-1,$AL1047/$AL1046-1,$AM1047/$AM1046-1,$AR1047/$AR1046-1,$AS1047/$AS1046-1,$AT1047/$AT1046-1,$AU1047/$AU1046-1,$AV1047/$AV1046-1,$AW1047/$AW1046-1,$AX1047/$AX1046-1,$AY1047/$AY1046-1),"")</f>
        <v/>
      </c>
      <c r="DW1046" s="66">
        <f>AVERAGE($CB1046,$CC1046,$CD1046,$CE1046,$CF1046,$CG1046,$CH1046,$CI1046,$CJ1046,$CL1046,$CM1046,$CN1046,$CO1046,$CP1046,$CQ1046,$CR1046,$CS1046,$CT1046)</f>
        <v/>
      </c>
      <c r="DX1046" s="66">
        <f>AVERAGE($CB1046,$CC1046,$CM1046,$CE1046,$CP1046)</f>
        <v/>
      </c>
      <c r="DY1046" s="64">
        <f>($DW1046-$DW1047)*100</f>
        <v/>
      </c>
      <c r="DZ1046" s="64">
        <f>($DX1046-$DX1047)*100</f>
        <v/>
      </c>
      <c r="EA1046" s="64">
        <f>($DW1046-$D1046)*100</f>
        <v/>
      </c>
      <c r="EB1046" s="64">
        <f>$Q1046-$O1046</f>
        <v/>
      </c>
      <c r="EC1046" s="67">
        <f>IFERROR($Q1046/$P1046,"")</f>
        <v/>
      </c>
    </row>
    <row r="1047">
      <c r="DG1047" s="64">
        <f>($B1047-$B1048)*100</f>
        <v/>
      </c>
      <c r="DH1047" s="64">
        <f>($D1047-$D1048)*100</f>
        <v/>
      </c>
      <c r="DI1047" s="64">
        <f>($E1047-$E1048)*100</f>
        <v/>
      </c>
      <c r="DJ1047" s="64">
        <f>($H1047-$H1048)*100</f>
        <v/>
      </c>
      <c r="DK1047" s="65">
        <f>IFERROR($J1047/$J1048-1,"")</f>
        <v/>
      </c>
      <c r="DL1047" s="64">
        <f>$L1047-$L1048</f>
        <v/>
      </c>
      <c r="DM1047" s="64">
        <f>$K1047-$K1048</f>
        <v/>
      </c>
      <c r="DN1047" s="65">
        <f>IFERROR($N1047/$N1048-1,"")</f>
        <v/>
      </c>
      <c r="DO1047" s="65">
        <f>IFERROR($M1047/$M1048-1,"")</f>
        <v/>
      </c>
      <c r="DP1047" s="65">
        <f>IFERROR($AZ1047/$AZ1048-1,"")</f>
        <v/>
      </c>
      <c r="DQ1047" s="65">
        <f>IFERROR($BA1047/$BA1048-1,"")</f>
        <v/>
      </c>
      <c r="DR1047" s="64">
        <f>$O1047-$O1048</f>
        <v/>
      </c>
      <c r="DS1047" s="64">
        <f>$P1047-$P1048</f>
        <v/>
      </c>
      <c r="DT1047" s="64">
        <f>$Q1047-$Q1048</f>
        <v/>
      </c>
      <c r="DU1047" s="64">
        <f>$S1047-$S1048</f>
        <v/>
      </c>
      <c r="DV1047" s="65">
        <f>IFERROR(AVERAGE($AA1048/$AA1047-1,$AB1048/$AB1047-1,$AC1048/$AC1047-1,$AD1048/$AD1047-1,$AE1048/$AE1047-1,$AG1048/$AG1047-1,$AH1048/$AH1047-1,$AI1048/$AI1047-1,$AJ1048/$AJ1047-1,$AL1048/$AL1047-1,$AM1048/$AM1047-1,$AR1048/$AR1047-1,$AS1048/$AS1047-1,$AT1048/$AT1047-1,$AU1048/$AU1047-1,$AV1048/$AV1047-1,$AW1048/$AW1047-1,$AX1048/$AX1047-1,$AY1048/$AY1047-1),"")</f>
        <v/>
      </c>
      <c r="DW1047" s="66">
        <f>AVERAGE($CB1047,$CC1047,$CD1047,$CE1047,$CF1047,$CG1047,$CH1047,$CI1047,$CJ1047,$CL1047,$CM1047,$CN1047,$CO1047,$CP1047,$CQ1047,$CR1047,$CS1047,$CT1047)</f>
        <v/>
      </c>
      <c r="DX1047" s="66">
        <f>AVERAGE($CB1047,$CC1047,$CM1047,$CE1047,$CP1047)</f>
        <v/>
      </c>
      <c r="DY1047" s="64">
        <f>($DW1047-$DW1048)*100</f>
        <v/>
      </c>
      <c r="DZ1047" s="64">
        <f>($DX1047-$DX1048)*100</f>
        <v/>
      </c>
      <c r="EA1047" s="64">
        <f>($DW1047-$D1047)*100</f>
        <v/>
      </c>
      <c r="EB1047" s="64">
        <f>$Q1047-$O1047</f>
        <v/>
      </c>
      <c r="EC1047" s="67">
        <f>IFERROR($Q1047/$P1047,"")</f>
        <v/>
      </c>
    </row>
    <row r="1048">
      <c r="DG1048" s="64">
        <f>($B1048-$B1049)*100</f>
        <v/>
      </c>
      <c r="DH1048" s="64">
        <f>($D1048-$D1049)*100</f>
        <v/>
      </c>
      <c r="DI1048" s="64">
        <f>($E1048-$E1049)*100</f>
        <v/>
      </c>
      <c r="DJ1048" s="64">
        <f>($H1048-$H1049)*100</f>
        <v/>
      </c>
      <c r="DK1048" s="65">
        <f>IFERROR($J1048/$J1049-1,"")</f>
        <v/>
      </c>
      <c r="DL1048" s="64">
        <f>$L1048-$L1049</f>
        <v/>
      </c>
      <c r="DM1048" s="64">
        <f>$K1048-$K1049</f>
        <v/>
      </c>
      <c r="DN1048" s="65">
        <f>IFERROR($N1048/$N1049-1,"")</f>
        <v/>
      </c>
      <c r="DO1048" s="65">
        <f>IFERROR($M1048/$M1049-1,"")</f>
        <v/>
      </c>
      <c r="DP1048" s="65">
        <f>IFERROR($AZ1048/$AZ1049-1,"")</f>
        <v/>
      </c>
      <c r="DQ1048" s="65">
        <f>IFERROR($BA1048/$BA1049-1,"")</f>
        <v/>
      </c>
      <c r="DR1048" s="64">
        <f>$O1048-$O1049</f>
        <v/>
      </c>
      <c r="DS1048" s="64">
        <f>$P1048-$P1049</f>
        <v/>
      </c>
      <c r="DT1048" s="64">
        <f>$Q1048-$Q1049</f>
        <v/>
      </c>
      <c r="DU1048" s="64">
        <f>$S1048-$S1049</f>
        <v/>
      </c>
      <c r="DV1048" s="65">
        <f>IFERROR(AVERAGE($AA1049/$AA1048-1,$AB1049/$AB1048-1,$AC1049/$AC1048-1,$AD1049/$AD1048-1,$AE1049/$AE1048-1,$AG1049/$AG1048-1,$AH1049/$AH1048-1,$AI1049/$AI1048-1,$AJ1049/$AJ1048-1,$AL1049/$AL1048-1,$AM1049/$AM1048-1,$AR1049/$AR1048-1,$AS1049/$AS1048-1,$AT1049/$AT1048-1,$AU1049/$AU1048-1,$AV1049/$AV1048-1,$AW1049/$AW1048-1,$AX1049/$AX1048-1,$AY1049/$AY1048-1),"")</f>
        <v/>
      </c>
      <c r="DW1048" s="66">
        <f>AVERAGE($CB1048,$CC1048,$CD1048,$CE1048,$CF1048,$CG1048,$CH1048,$CI1048,$CJ1048,$CL1048,$CM1048,$CN1048,$CO1048,$CP1048,$CQ1048,$CR1048,$CS1048,$CT1048)</f>
        <v/>
      </c>
      <c r="DX1048" s="66">
        <f>AVERAGE($CB1048,$CC1048,$CM1048,$CE1048,$CP1048)</f>
        <v/>
      </c>
      <c r="DY1048" s="64">
        <f>($DW1048-$DW1049)*100</f>
        <v/>
      </c>
      <c r="DZ1048" s="64">
        <f>($DX1048-$DX1049)*100</f>
        <v/>
      </c>
      <c r="EA1048" s="64">
        <f>($DW1048-$D1048)*100</f>
        <v/>
      </c>
      <c r="EB1048" s="64">
        <f>$Q1048-$O1048</f>
        <v/>
      </c>
      <c r="EC1048" s="67">
        <f>IFERROR($Q1048/$P1048,"")</f>
        <v/>
      </c>
    </row>
    <row r="1049">
      <c r="DG1049" s="64">
        <f>($B1049-$B1050)*100</f>
        <v/>
      </c>
      <c r="DH1049" s="64">
        <f>($D1049-$D1050)*100</f>
        <v/>
      </c>
      <c r="DI1049" s="64">
        <f>($E1049-$E1050)*100</f>
        <v/>
      </c>
      <c r="DJ1049" s="64">
        <f>($H1049-$H1050)*100</f>
        <v/>
      </c>
      <c r="DK1049" s="65">
        <f>IFERROR($J1049/$J1050-1,"")</f>
        <v/>
      </c>
      <c r="DL1049" s="64">
        <f>$L1049-$L1050</f>
        <v/>
      </c>
      <c r="DM1049" s="64">
        <f>$K1049-$K1050</f>
        <v/>
      </c>
      <c r="DN1049" s="65">
        <f>IFERROR($N1049/$N1050-1,"")</f>
        <v/>
      </c>
      <c r="DO1049" s="65">
        <f>IFERROR($M1049/$M1050-1,"")</f>
        <v/>
      </c>
      <c r="DP1049" s="65">
        <f>IFERROR($AZ1049/$AZ1050-1,"")</f>
        <v/>
      </c>
      <c r="DQ1049" s="65">
        <f>IFERROR($BA1049/$BA1050-1,"")</f>
        <v/>
      </c>
      <c r="DR1049" s="64">
        <f>$O1049-$O1050</f>
        <v/>
      </c>
      <c r="DS1049" s="64">
        <f>$P1049-$P1050</f>
        <v/>
      </c>
      <c r="DT1049" s="64">
        <f>$Q1049-$Q1050</f>
        <v/>
      </c>
      <c r="DU1049" s="64">
        <f>$S1049-$S1050</f>
        <v/>
      </c>
      <c r="DV1049" s="65">
        <f>IFERROR(AVERAGE($AA1050/$AA1049-1,$AB1050/$AB1049-1,$AC1050/$AC1049-1,$AD1050/$AD1049-1,$AE1050/$AE1049-1,$AG1050/$AG1049-1,$AH1050/$AH1049-1,$AI1050/$AI1049-1,$AJ1050/$AJ1049-1,$AL1050/$AL1049-1,$AM1050/$AM1049-1,$AR1050/$AR1049-1,$AS1050/$AS1049-1,$AT1050/$AT1049-1,$AU1050/$AU1049-1,$AV1050/$AV1049-1,$AW1050/$AW1049-1,$AX1050/$AX1049-1,$AY1050/$AY1049-1),"")</f>
        <v/>
      </c>
      <c r="DW1049" s="66">
        <f>AVERAGE($CB1049,$CC1049,$CD1049,$CE1049,$CF1049,$CG1049,$CH1049,$CI1049,$CJ1049,$CL1049,$CM1049,$CN1049,$CO1049,$CP1049,$CQ1049,$CR1049,$CS1049,$CT1049)</f>
        <v/>
      </c>
      <c r="DX1049" s="66">
        <f>AVERAGE($CB1049,$CC1049,$CM1049,$CE1049,$CP1049)</f>
        <v/>
      </c>
      <c r="DY1049" s="64">
        <f>($DW1049-$DW1050)*100</f>
        <v/>
      </c>
      <c r="DZ1049" s="64">
        <f>($DX1049-$DX1050)*100</f>
        <v/>
      </c>
      <c r="EA1049" s="64">
        <f>($DW1049-$D1049)*100</f>
        <v/>
      </c>
      <c r="EB1049" s="64">
        <f>$Q1049-$O1049</f>
        <v/>
      </c>
      <c r="EC1049" s="67">
        <f>IFERROR($Q1049/$P1049,"")</f>
        <v/>
      </c>
    </row>
    <row r="1050">
      <c r="DG1050" s="64">
        <f>($B1050-$B1051)*100</f>
        <v/>
      </c>
      <c r="DH1050" s="64">
        <f>($D1050-$D1051)*100</f>
        <v/>
      </c>
      <c r="DI1050" s="64">
        <f>($E1050-$E1051)*100</f>
        <v/>
      </c>
      <c r="DJ1050" s="64">
        <f>($H1050-$H1051)*100</f>
        <v/>
      </c>
      <c r="DK1050" s="65">
        <f>IFERROR($J1050/$J1051-1,"")</f>
        <v/>
      </c>
      <c r="DL1050" s="64">
        <f>$L1050-$L1051</f>
        <v/>
      </c>
      <c r="DM1050" s="64">
        <f>$K1050-$K1051</f>
        <v/>
      </c>
      <c r="DN1050" s="65">
        <f>IFERROR($N1050/$N1051-1,"")</f>
        <v/>
      </c>
      <c r="DO1050" s="65">
        <f>IFERROR($M1050/$M1051-1,"")</f>
        <v/>
      </c>
      <c r="DP1050" s="65">
        <f>IFERROR($AZ1050/$AZ1051-1,"")</f>
        <v/>
      </c>
      <c r="DQ1050" s="65">
        <f>IFERROR($BA1050/$BA1051-1,"")</f>
        <v/>
      </c>
      <c r="DR1050" s="64">
        <f>$O1050-$O1051</f>
        <v/>
      </c>
      <c r="DS1050" s="64">
        <f>$P1050-$P1051</f>
        <v/>
      </c>
      <c r="DT1050" s="64">
        <f>$Q1050-$Q1051</f>
        <v/>
      </c>
      <c r="DU1050" s="64">
        <f>$S1050-$S1051</f>
        <v/>
      </c>
      <c r="DV1050" s="65">
        <f>IFERROR(AVERAGE($AA1051/$AA1050-1,$AB1051/$AB1050-1,$AC1051/$AC1050-1,$AD1051/$AD1050-1,$AE1051/$AE1050-1,$AG1051/$AG1050-1,$AH1051/$AH1050-1,$AI1051/$AI1050-1,$AJ1051/$AJ1050-1,$AL1051/$AL1050-1,$AM1051/$AM1050-1,$AR1051/$AR1050-1,$AS1051/$AS1050-1,$AT1051/$AT1050-1,$AU1051/$AU1050-1,$AV1051/$AV1050-1,$AW1051/$AW1050-1,$AX1051/$AX1050-1,$AY1051/$AY1050-1),"")</f>
        <v/>
      </c>
      <c r="DW1050" s="66">
        <f>AVERAGE($CB1050,$CC1050,$CD1050,$CE1050,$CF1050,$CG1050,$CH1050,$CI1050,$CJ1050,$CL1050,$CM1050,$CN1050,$CO1050,$CP1050,$CQ1050,$CR1050,$CS1050,$CT1050)</f>
        <v/>
      </c>
      <c r="DX1050" s="66">
        <f>AVERAGE($CB1050,$CC1050,$CM1050,$CE1050,$CP1050)</f>
        <v/>
      </c>
      <c r="DY1050" s="64">
        <f>($DW1050-$DW1051)*100</f>
        <v/>
      </c>
      <c r="DZ1050" s="64">
        <f>($DX1050-$DX1051)*100</f>
        <v/>
      </c>
      <c r="EA1050" s="64">
        <f>($DW1050-$D1050)*100</f>
        <v/>
      </c>
      <c r="EB1050" s="64">
        <f>$Q1050-$O1050</f>
        <v/>
      </c>
      <c r="EC1050" s="67">
        <f>IFERROR($Q1050/$P1050,"")</f>
        <v/>
      </c>
    </row>
    <row r="1051">
      <c r="DG1051" s="64">
        <f>($B1051-$B1052)*100</f>
        <v/>
      </c>
      <c r="DH1051" s="64">
        <f>($D1051-$D1052)*100</f>
        <v/>
      </c>
      <c r="DI1051" s="64">
        <f>($E1051-$E1052)*100</f>
        <v/>
      </c>
      <c r="DJ1051" s="64">
        <f>($H1051-$H1052)*100</f>
        <v/>
      </c>
      <c r="DK1051" s="65">
        <f>IFERROR($J1051/$J1052-1,"")</f>
        <v/>
      </c>
      <c r="DL1051" s="64">
        <f>$L1051-$L1052</f>
        <v/>
      </c>
      <c r="DM1051" s="64">
        <f>$K1051-$K1052</f>
        <v/>
      </c>
      <c r="DN1051" s="65">
        <f>IFERROR($N1051/$N1052-1,"")</f>
        <v/>
      </c>
      <c r="DO1051" s="65">
        <f>IFERROR($M1051/$M1052-1,"")</f>
        <v/>
      </c>
      <c r="DP1051" s="65">
        <f>IFERROR($AZ1051/$AZ1052-1,"")</f>
        <v/>
      </c>
      <c r="DQ1051" s="65">
        <f>IFERROR($BA1051/$BA1052-1,"")</f>
        <v/>
      </c>
      <c r="DR1051" s="64">
        <f>$O1051-$O1052</f>
        <v/>
      </c>
      <c r="DS1051" s="64">
        <f>$P1051-$P1052</f>
        <v/>
      </c>
      <c r="DT1051" s="64">
        <f>$Q1051-$Q1052</f>
        <v/>
      </c>
      <c r="DU1051" s="64">
        <f>$S1051-$S1052</f>
        <v/>
      </c>
      <c r="DV1051" s="65">
        <f>IFERROR(AVERAGE($AA1052/$AA1051-1,$AB1052/$AB1051-1,$AC1052/$AC1051-1,$AD1052/$AD1051-1,$AE1052/$AE1051-1,$AG1052/$AG1051-1,$AH1052/$AH1051-1,$AI1052/$AI1051-1,$AJ1052/$AJ1051-1,$AL1052/$AL1051-1,$AM1052/$AM1051-1,$AR1052/$AR1051-1,$AS1052/$AS1051-1,$AT1052/$AT1051-1,$AU1052/$AU1051-1,$AV1052/$AV1051-1,$AW1052/$AW1051-1,$AX1052/$AX1051-1,$AY1052/$AY1051-1),"")</f>
        <v/>
      </c>
      <c r="DW1051" s="66">
        <f>AVERAGE($CB1051,$CC1051,$CD1051,$CE1051,$CF1051,$CG1051,$CH1051,$CI1051,$CJ1051,$CL1051,$CM1051,$CN1051,$CO1051,$CP1051,$CQ1051,$CR1051,$CS1051,$CT1051)</f>
        <v/>
      </c>
      <c r="DX1051" s="66">
        <f>AVERAGE($CB1051,$CC1051,$CM1051,$CE1051,$CP1051)</f>
        <v/>
      </c>
      <c r="DY1051" s="64">
        <f>($DW1051-$DW1052)*100</f>
        <v/>
      </c>
      <c r="DZ1051" s="64">
        <f>($DX1051-$DX1052)*100</f>
        <v/>
      </c>
      <c r="EA1051" s="64">
        <f>($DW1051-$D1051)*100</f>
        <v/>
      </c>
      <c r="EB1051" s="64">
        <f>$Q1051-$O1051</f>
        <v/>
      </c>
      <c r="EC1051" s="67">
        <f>IFERROR($Q1051/$P1051,"")</f>
        <v/>
      </c>
    </row>
    <row r="1052">
      <c r="DG1052" s="64">
        <f>($B1052-$B1053)*100</f>
        <v/>
      </c>
      <c r="DH1052" s="64">
        <f>($D1052-$D1053)*100</f>
        <v/>
      </c>
      <c r="DI1052" s="64">
        <f>($E1052-$E1053)*100</f>
        <v/>
      </c>
      <c r="DJ1052" s="64">
        <f>($H1052-$H1053)*100</f>
        <v/>
      </c>
      <c r="DK1052" s="65">
        <f>IFERROR($J1052/$J1053-1,"")</f>
        <v/>
      </c>
      <c r="DL1052" s="64">
        <f>$L1052-$L1053</f>
        <v/>
      </c>
      <c r="DM1052" s="64">
        <f>$K1052-$K1053</f>
        <v/>
      </c>
      <c r="DN1052" s="65">
        <f>IFERROR($N1052/$N1053-1,"")</f>
        <v/>
      </c>
      <c r="DO1052" s="65">
        <f>IFERROR($M1052/$M1053-1,"")</f>
        <v/>
      </c>
      <c r="DP1052" s="65">
        <f>IFERROR($AZ1052/$AZ1053-1,"")</f>
        <v/>
      </c>
      <c r="DQ1052" s="65">
        <f>IFERROR($BA1052/$BA1053-1,"")</f>
        <v/>
      </c>
      <c r="DR1052" s="64">
        <f>$O1052-$O1053</f>
        <v/>
      </c>
      <c r="DS1052" s="64">
        <f>$P1052-$P1053</f>
        <v/>
      </c>
      <c r="DT1052" s="64">
        <f>$Q1052-$Q1053</f>
        <v/>
      </c>
      <c r="DU1052" s="64">
        <f>$S1052-$S1053</f>
        <v/>
      </c>
      <c r="DV1052" s="65">
        <f>IFERROR(AVERAGE($AA1053/$AA1052-1,$AB1053/$AB1052-1,$AC1053/$AC1052-1,$AD1053/$AD1052-1,$AE1053/$AE1052-1,$AG1053/$AG1052-1,$AH1053/$AH1052-1,$AI1053/$AI1052-1,$AJ1053/$AJ1052-1,$AL1053/$AL1052-1,$AM1053/$AM1052-1,$AR1053/$AR1052-1,$AS1053/$AS1052-1,$AT1053/$AT1052-1,$AU1053/$AU1052-1,$AV1053/$AV1052-1,$AW1053/$AW1052-1,$AX1053/$AX1052-1,$AY1053/$AY1052-1),"")</f>
        <v/>
      </c>
      <c r="DW1052" s="66">
        <f>AVERAGE($CB1052,$CC1052,$CD1052,$CE1052,$CF1052,$CG1052,$CH1052,$CI1052,$CJ1052,$CL1052,$CM1052,$CN1052,$CO1052,$CP1052,$CQ1052,$CR1052,$CS1052,$CT1052)</f>
        <v/>
      </c>
      <c r="DX1052" s="66">
        <f>AVERAGE($CB1052,$CC1052,$CM1052,$CE1052,$CP1052)</f>
        <v/>
      </c>
      <c r="DY1052" s="64">
        <f>($DW1052-$DW1053)*100</f>
        <v/>
      </c>
      <c r="DZ1052" s="64">
        <f>($DX1052-$DX1053)*100</f>
        <v/>
      </c>
      <c r="EA1052" s="64">
        <f>($DW1052-$D1052)*100</f>
        <v/>
      </c>
      <c r="EB1052" s="64">
        <f>$Q1052-$O1052</f>
        <v/>
      </c>
      <c r="EC1052" s="67">
        <f>IFERROR($Q1052/$P1052,"")</f>
        <v/>
      </c>
    </row>
    <row r="1053">
      <c r="DG1053" s="64">
        <f>($B1053-$B1054)*100</f>
        <v/>
      </c>
      <c r="DH1053" s="64">
        <f>($D1053-$D1054)*100</f>
        <v/>
      </c>
      <c r="DI1053" s="64">
        <f>($E1053-$E1054)*100</f>
        <v/>
      </c>
      <c r="DJ1053" s="64">
        <f>($H1053-$H1054)*100</f>
        <v/>
      </c>
      <c r="DK1053" s="65">
        <f>IFERROR($J1053/$J1054-1,"")</f>
        <v/>
      </c>
      <c r="DL1053" s="64">
        <f>$L1053-$L1054</f>
        <v/>
      </c>
      <c r="DM1053" s="64">
        <f>$K1053-$K1054</f>
        <v/>
      </c>
      <c r="DN1053" s="65">
        <f>IFERROR($N1053/$N1054-1,"")</f>
        <v/>
      </c>
      <c r="DO1053" s="65">
        <f>IFERROR($M1053/$M1054-1,"")</f>
        <v/>
      </c>
      <c r="DP1053" s="65">
        <f>IFERROR($AZ1053/$AZ1054-1,"")</f>
        <v/>
      </c>
      <c r="DQ1053" s="65">
        <f>IFERROR($BA1053/$BA1054-1,"")</f>
        <v/>
      </c>
      <c r="DR1053" s="64">
        <f>$O1053-$O1054</f>
        <v/>
      </c>
      <c r="DS1053" s="64">
        <f>$P1053-$P1054</f>
        <v/>
      </c>
      <c r="DT1053" s="64">
        <f>$Q1053-$Q1054</f>
        <v/>
      </c>
      <c r="DU1053" s="64">
        <f>$S1053-$S1054</f>
        <v/>
      </c>
      <c r="DV1053" s="65">
        <f>IFERROR(AVERAGE($AA1054/$AA1053-1,$AB1054/$AB1053-1,$AC1054/$AC1053-1,$AD1054/$AD1053-1,$AE1054/$AE1053-1,$AG1054/$AG1053-1,$AH1054/$AH1053-1,$AI1054/$AI1053-1,$AJ1054/$AJ1053-1,$AL1054/$AL1053-1,$AM1054/$AM1053-1,$AR1054/$AR1053-1,$AS1054/$AS1053-1,$AT1054/$AT1053-1,$AU1054/$AU1053-1,$AV1054/$AV1053-1,$AW1054/$AW1053-1,$AX1054/$AX1053-1,$AY1054/$AY1053-1),"")</f>
        <v/>
      </c>
      <c r="DW1053" s="66">
        <f>AVERAGE($CB1053,$CC1053,$CD1053,$CE1053,$CF1053,$CG1053,$CH1053,$CI1053,$CJ1053,$CL1053,$CM1053,$CN1053,$CO1053,$CP1053,$CQ1053,$CR1053,$CS1053,$CT1053)</f>
        <v/>
      </c>
      <c r="DX1053" s="66">
        <f>AVERAGE($CB1053,$CC1053,$CM1053,$CE1053,$CP1053)</f>
        <v/>
      </c>
      <c r="DY1053" s="64">
        <f>($DW1053-$DW1054)*100</f>
        <v/>
      </c>
      <c r="DZ1053" s="64">
        <f>($DX1053-$DX1054)*100</f>
        <v/>
      </c>
      <c r="EA1053" s="64">
        <f>($DW1053-$D1053)*100</f>
        <v/>
      </c>
      <c r="EB1053" s="64">
        <f>$Q1053-$O1053</f>
        <v/>
      </c>
      <c r="EC1053" s="67">
        <f>IFERROR($Q1053/$P1053,"")</f>
        <v/>
      </c>
    </row>
    <row r="1054">
      <c r="DG1054" s="64">
        <f>($B1054-$B1055)*100</f>
        <v/>
      </c>
      <c r="DH1054" s="64">
        <f>($D1054-$D1055)*100</f>
        <v/>
      </c>
      <c r="DI1054" s="64">
        <f>($E1054-$E1055)*100</f>
        <v/>
      </c>
      <c r="DJ1054" s="64">
        <f>($H1054-$H1055)*100</f>
        <v/>
      </c>
      <c r="DK1054" s="65">
        <f>IFERROR($J1054/$J1055-1,"")</f>
        <v/>
      </c>
      <c r="DL1054" s="64">
        <f>$L1054-$L1055</f>
        <v/>
      </c>
      <c r="DM1054" s="64">
        <f>$K1054-$K1055</f>
        <v/>
      </c>
      <c r="DN1054" s="65">
        <f>IFERROR($N1054/$N1055-1,"")</f>
        <v/>
      </c>
      <c r="DO1054" s="65">
        <f>IFERROR($M1054/$M1055-1,"")</f>
        <v/>
      </c>
      <c r="DP1054" s="65">
        <f>IFERROR($AZ1054/$AZ1055-1,"")</f>
        <v/>
      </c>
      <c r="DQ1054" s="65">
        <f>IFERROR($BA1054/$BA1055-1,"")</f>
        <v/>
      </c>
      <c r="DR1054" s="64">
        <f>$O1054-$O1055</f>
        <v/>
      </c>
      <c r="DS1054" s="64">
        <f>$P1054-$P1055</f>
        <v/>
      </c>
      <c r="DT1054" s="64">
        <f>$Q1054-$Q1055</f>
        <v/>
      </c>
      <c r="DU1054" s="64">
        <f>$S1054-$S1055</f>
        <v/>
      </c>
      <c r="DV1054" s="65">
        <f>IFERROR(AVERAGE($AA1055/$AA1054-1,$AB1055/$AB1054-1,$AC1055/$AC1054-1,$AD1055/$AD1054-1,$AE1055/$AE1054-1,$AG1055/$AG1054-1,$AH1055/$AH1054-1,$AI1055/$AI1054-1,$AJ1055/$AJ1054-1,$AL1055/$AL1054-1,$AM1055/$AM1054-1,$AR1055/$AR1054-1,$AS1055/$AS1054-1,$AT1055/$AT1054-1,$AU1055/$AU1054-1,$AV1055/$AV1054-1,$AW1055/$AW1054-1,$AX1055/$AX1054-1,$AY1055/$AY1054-1),"")</f>
        <v/>
      </c>
      <c r="DW1054" s="66">
        <f>AVERAGE($CB1054,$CC1054,$CD1054,$CE1054,$CF1054,$CG1054,$CH1054,$CI1054,$CJ1054,$CL1054,$CM1054,$CN1054,$CO1054,$CP1054,$CQ1054,$CR1054,$CS1054,$CT1054)</f>
        <v/>
      </c>
      <c r="DX1054" s="66">
        <f>AVERAGE($CB1054,$CC1054,$CM1054,$CE1054,$CP1054)</f>
        <v/>
      </c>
      <c r="DY1054" s="64">
        <f>($DW1054-$DW1055)*100</f>
        <v/>
      </c>
      <c r="DZ1054" s="64">
        <f>($DX1054-$DX1055)*100</f>
        <v/>
      </c>
      <c r="EA1054" s="64">
        <f>($DW1054-$D1054)*100</f>
        <v/>
      </c>
      <c r="EB1054" s="64">
        <f>$Q1054-$O1054</f>
        <v/>
      </c>
      <c r="EC1054" s="67">
        <f>IFERROR($Q1054/$P1054,"")</f>
        <v/>
      </c>
    </row>
    <row r="1055">
      <c r="DG1055" s="64">
        <f>($B1055-$B1056)*100</f>
        <v/>
      </c>
      <c r="DH1055" s="64">
        <f>($D1055-$D1056)*100</f>
        <v/>
      </c>
      <c r="DI1055" s="64">
        <f>($E1055-$E1056)*100</f>
        <v/>
      </c>
      <c r="DJ1055" s="64">
        <f>($H1055-$H1056)*100</f>
        <v/>
      </c>
      <c r="DK1055" s="65">
        <f>IFERROR($J1055/$J1056-1,"")</f>
        <v/>
      </c>
      <c r="DL1055" s="64">
        <f>$L1055-$L1056</f>
        <v/>
      </c>
      <c r="DM1055" s="64">
        <f>$K1055-$K1056</f>
        <v/>
      </c>
      <c r="DN1055" s="65">
        <f>IFERROR($N1055/$N1056-1,"")</f>
        <v/>
      </c>
      <c r="DO1055" s="65">
        <f>IFERROR($M1055/$M1056-1,"")</f>
        <v/>
      </c>
      <c r="DP1055" s="65">
        <f>IFERROR($AZ1055/$AZ1056-1,"")</f>
        <v/>
      </c>
      <c r="DQ1055" s="65">
        <f>IFERROR($BA1055/$BA1056-1,"")</f>
        <v/>
      </c>
      <c r="DR1055" s="64">
        <f>$O1055-$O1056</f>
        <v/>
      </c>
      <c r="DS1055" s="64">
        <f>$P1055-$P1056</f>
        <v/>
      </c>
      <c r="DT1055" s="64">
        <f>$Q1055-$Q1056</f>
        <v/>
      </c>
      <c r="DU1055" s="64">
        <f>$S1055-$S1056</f>
        <v/>
      </c>
      <c r="DV1055" s="65">
        <f>IFERROR(AVERAGE($AA1056/$AA1055-1,$AB1056/$AB1055-1,$AC1056/$AC1055-1,$AD1056/$AD1055-1,$AE1056/$AE1055-1,$AG1056/$AG1055-1,$AH1056/$AH1055-1,$AI1056/$AI1055-1,$AJ1056/$AJ1055-1,$AL1056/$AL1055-1,$AM1056/$AM1055-1,$AR1056/$AR1055-1,$AS1056/$AS1055-1,$AT1056/$AT1055-1,$AU1056/$AU1055-1,$AV1056/$AV1055-1,$AW1056/$AW1055-1,$AX1056/$AX1055-1,$AY1056/$AY1055-1),"")</f>
        <v/>
      </c>
      <c r="DW1055" s="66">
        <f>AVERAGE($CB1055,$CC1055,$CD1055,$CE1055,$CF1055,$CG1055,$CH1055,$CI1055,$CJ1055,$CL1055,$CM1055,$CN1055,$CO1055,$CP1055,$CQ1055,$CR1055,$CS1055,$CT1055)</f>
        <v/>
      </c>
      <c r="DX1055" s="66">
        <f>AVERAGE($CB1055,$CC1055,$CM1055,$CE1055,$CP1055)</f>
        <v/>
      </c>
      <c r="DY1055" s="64">
        <f>($DW1055-$DW1056)*100</f>
        <v/>
      </c>
      <c r="DZ1055" s="64">
        <f>($DX1055-$DX1056)*100</f>
        <v/>
      </c>
      <c r="EA1055" s="64">
        <f>($DW1055-$D1055)*100</f>
        <v/>
      </c>
      <c r="EB1055" s="64">
        <f>$Q1055-$O1055</f>
        <v/>
      </c>
      <c r="EC1055" s="67">
        <f>IFERROR($Q1055/$P1055,"")</f>
        <v/>
      </c>
    </row>
    <row r="1056">
      <c r="DG1056" s="64">
        <f>($B1056-$B1057)*100</f>
        <v/>
      </c>
      <c r="DH1056" s="64">
        <f>($D1056-$D1057)*100</f>
        <v/>
      </c>
      <c r="DI1056" s="64">
        <f>($E1056-$E1057)*100</f>
        <v/>
      </c>
      <c r="DJ1056" s="64">
        <f>($H1056-$H1057)*100</f>
        <v/>
      </c>
      <c r="DK1056" s="65">
        <f>IFERROR($J1056/$J1057-1,"")</f>
        <v/>
      </c>
      <c r="DL1056" s="64">
        <f>$L1056-$L1057</f>
        <v/>
      </c>
      <c r="DM1056" s="64">
        <f>$K1056-$K1057</f>
        <v/>
      </c>
      <c r="DN1056" s="65">
        <f>IFERROR($N1056/$N1057-1,"")</f>
        <v/>
      </c>
      <c r="DO1056" s="65">
        <f>IFERROR($M1056/$M1057-1,"")</f>
        <v/>
      </c>
      <c r="DP1056" s="65">
        <f>IFERROR($AZ1056/$AZ1057-1,"")</f>
        <v/>
      </c>
      <c r="DQ1056" s="65">
        <f>IFERROR($BA1056/$BA1057-1,"")</f>
        <v/>
      </c>
      <c r="DR1056" s="64">
        <f>$O1056-$O1057</f>
        <v/>
      </c>
      <c r="DS1056" s="64">
        <f>$P1056-$P1057</f>
        <v/>
      </c>
      <c r="DT1056" s="64">
        <f>$Q1056-$Q1057</f>
        <v/>
      </c>
      <c r="DU1056" s="64">
        <f>$S1056-$S1057</f>
        <v/>
      </c>
      <c r="DV1056" s="65">
        <f>IFERROR(AVERAGE($AA1057/$AA1056-1,$AB1057/$AB1056-1,$AC1057/$AC1056-1,$AD1057/$AD1056-1,$AE1057/$AE1056-1,$AG1057/$AG1056-1,$AH1057/$AH1056-1,$AI1057/$AI1056-1,$AJ1057/$AJ1056-1,$AL1057/$AL1056-1,$AM1057/$AM1056-1,$AR1057/$AR1056-1,$AS1057/$AS1056-1,$AT1057/$AT1056-1,$AU1057/$AU1056-1,$AV1057/$AV1056-1,$AW1057/$AW1056-1,$AX1057/$AX1056-1,$AY1057/$AY1056-1),"")</f>
        <v/>
      </c>
      <c r="DW1056" s="66">
        <f>AVERAGE($CB1056,$CC1056,$CD1056,$CE1056,$CF1056,$CG1056,$CH1056,$CI1056,$CJ1056,$CL1056,$CM1056,$CN1056,$CO1056,$CP1056,$CQ1056,$CR1056,$CS1056,$CT1056)</f>
        <v/>
      </c>
      <c r="DX1056" s="66">
        <f>AVERAGE($CB1056,$CC1056,$CM1056,$CE1056,$CP1056)</f>
        <v/>
      </c>
      <c r="DY1056" s="64">
        <f>($DW1056-$DW1057)*100</f>
        <v/>
      </c>
      <c r="DZ1056" s="64">
        <f>($DX1056-$DX1057)*100</f>
        <v/>
      </c>
      <c r="EA1056" s="64">
        <f>($DW1056-$D1056)*100</f>
        <v/>
      </c>
      <c r="EB1056" s="64">
        <f>$Q1056-$O1056</f>
        <v/>
      </c>
      <c r="EC1056" s="67">
        <f>IFERROR($Q1056/$P1056,"")</f>
        <v/>
      </c>
    </row>
    <row r="1057">
      <c r="DG1057" s="64">
        <f>($B1057-$B1058)*100</f>
        <v/>
      </c>
      <c r="DH1057" s="64">
        <f>($D1057-$D1058)*100</f>
        <v/>
      </c>
      <c r="DI1057" s="64">
        <f>($E1057-$E1058)*100</f>
        <v/>
      </c>
      <c r="DJ1057" s="64">
        <f>($H1057-$H1058)*100</f>
        <v/>
      </c>
      <c r="DK1057" s="65">
        <f>IFERROR($J1057/$J1058-1,"")</f>
        <v/>
      </c>
      <c r="DL1057" s="64">
        <f>$L1057-$L1058</f>
        <v/>
      </c>
      <c r="DM1057" s="64">
        <f>$K1057-$K1058</f>
        <v/>
      </c>
      <c r="DN1057" s="65">
        <f>IFERROR($N1057/$N1058-1,"")</f>
        <v/>
      </c>
      <c r="DO1057" s="65">
        <f>IFERROR($M1057/$M1058-1,"")</f>
        <v/>
      </c>
      <c r="DP1057" s="65">
        <f>IFERROR($AZ1057/$AZ1058-1,"")</f>
        <v/>
      </c>
      <c r="DQ1057" s="65">
        <f>IFERROR($BA1057/$BA1058-1,"")</f>
        <v/>
      </c>
      <c r="DR1057" s="64">
        <f>$O1057-$O1058</f>
        <v/>
      </c>
      <c r="DS1057" s="64">
        <f>$P1057-$P1058</f>
        <v/>
      </c>
      <c r="DT1057" s="64">
        <f>$Q1057-$Q1058</f>
        <v/>
      </c>
      <c r="DU1057" s="64">
        <f>$S1057-$S1058</f>
        <v/>
      </c>
      <c r="DV1057" s="65">
        <f>IFERROR(AVERAGE($AA1058/$AA1057-1,$AB1058/$AB1057-1,$AC1058/$AC1057-1,$AD1058/$AD1057-1,$AE1058/$AE1057-1,$AG1058/$AG1057-1,$AH1058/$AH1057-1,$AI1058/$AI1057-1,$AJ1058/$AJ1057-1,$AL1058/$AL1057-1,$AM1058/$AM1057-1,$AR1058/$AR1057-1,$AS1058/$AS1057-1,$AT1058/$AT1057-1,$AU1058/$AU1057-1,$AV1058/$AV1057-1,$AW1058/$AW1057-1,$AX1058/$AX1057-1,$AY1058/$AY1057-1),"")</f>
        <v/>
      </c>
      <c r="DW1057" s="66">
        <f>AVERAGE($CB1057,$CC1057,$CD1057,$CE1057,$CF1057,$CG1057,$CH1057,$CI1057,$CJ1057,$CL1057,$CM1057,$CN1057,$CO1057,$CP1057,$CQ1057,$CR1057,$CS1057,$CT1057)</f>
        <v/>
      </c>
      <c r="DX1057" s="66">
        <f>AVERAGE($CB1057,$CC1057,$CM1057,$CE1057,$CP1057)</f>
        <v/>
      </c>
      <c r="DY1057" s="64">
        <f>($DW1057-$DW1058)*100</f>
        <v/>
      </c>
      <c r="DZ1057" s="64">
        <f>($DX1057-$DX1058)*100</f>
        <v/>
      </c>
      <c r="EA1057" s="64">
        <f>($DW1057-$D1057)*100</f>
        <v/>
      </c>
      <c r="EB1057" s="64">
        <f>$Q1057-$O1057</f>
        <v/>
      </c>
      <c r="EC1057" s="67">
        <f>IFERROR($Q1057/$P1057,"")</f>
        <v/>
      </c>
    </row>
    <row r="1058">
      <c r="DG1058" s="64">
        <f>($B1058-$B1059)*100</f>
        <v/>
      </c>
      <c r="DH1058" s="64">
        <f>($D1058-$D1059)*100</f>
        <v/>
      </c>
      <c r="DI1058" s="64">
        <f>($E1058-$E1059)*100</f>
        <v/>
      </c>
      <c r="DJ1058" s="64">
        <f>($H1058-$H1059)*100</f>
        <v/>
      </c>
      <c r="DK1058" s="65">
        <f>IFERROR($J1058/$J1059-1,"")</f>
        <v/>
      </c>
      <c r="DL1058" s="64">
        <f>$L1058-$L1059</f>
        <v/>
      </c>
      <c r="DM1058" s="64">
        <f>$K1058-$K1059</f>
        <v/>
      </c>
      <c r="DN1058" s="65">
        <f>IFERROR($N1058/$N1059-1,"")</f>
        <v/>
      </c>
      <c r="DO1058" s="65">
        <f>IFERROR($M1058/$M1059-1,"")</f>
        <v/>
      </c>
      <c r="DP1058" s="65">
        <f>IFERROR($AZ1058/$AZ1059-1,"")</f>
        <v/>
      </c>
      <c r="DQ1058" s="65">
        <f>IFERROR($BA1058/$BA1059-1,"")</f>
        <v/>
      </c>
      <c r="DR1058" s="64">
        <f>$O1058-$O1059</f>
        <v/>
      </c>
      <c r="DS1058" s="64">
        <f>$P1058-$P1059</f>
        <v/>
      </c>
      <c r="DT1058" s="64">
        <f>$Q1058-$Q1059</f>
        <v/>
      </c>
      <c r="DU1058" s="64">
        <f>$S1058-$S1059</f>
        <v/>
      </c>
      <c r="DV1058" s="65">
        <f>IFERROR(AVERAGE($AA1059/$AA1058-1,$AB1059/$AB1058-1,$AC1059/$AC1058-1,$AD1059/$AD1058-1,$AE1059/$AE1058-1,$AG1059/$AG1058-1,$AH1059/$AH1058-1,$AI1059/$AI1058-1,$AJ1059/$AJ1058-1,$AL1059/$AL1058-1,$AM1059/$AM1058-1,$AR1059/$AR1058-1,$AS1059/$AS1058-1,$AT1059/$AT1058-1,$AU1059/$AU1058-1,$AV1059/$AV1058-1,$AW1059/$AW1058-1,$AX1059/$AX1058-1,$AY1059/$AY1058-1),"")</f>
        <v/>
      </c>
      <c r="DW1058" s="66">
        <f>AVERAGE($CB1058,$CC1058,$CD1058,$CE1058,$CF1058,$CG1058,$CH1058,$CI1058,$CJ1058,$CL1058,$CM1058,$CN1058,$CO1058,$CP1058,$CQ1058,$CR1058,$CS1058,$CT1058)</f>
        <v/>
      </c>
      <c r="DX1058" s="66">
        <f>AVERAGE($CB1058,$CC1058,$CM1058,$CE1058,$CP1058)</f>
        <v/>
      </c>
      <c r="DY1058" s="64">
        <f>($DW1058-$DW1059)*100</f>
        <v/>
      </c>
      <c r="DZ1058" s="64">
        <f>($DX1058-$DX1059)*100</f>
        <v/>
      </c>
      <c r="EA1058" s="64">
        <f>($DW1058-$D1058)*100</f>
        <v/>
      </c>
      <c r="EB1058" s="64">
        <f>$Q1058-$O1058</f>
        <v/>
      </c>
      <c r="EC1058" s="67">
        <f>IFERROR($Q1058/$P1058,"")</f>
        <v/>
      </c>
    </row>
    <row r="1059">
      <c r="DG1059" s="64">
        <f>($B1059-$B1060)*100</f>
        <v/>
      </c>
      <c r="DH1059" s="64">
        <f>($D1059-$D1060)*100</f>
        <v/>
      </c>
      <c r="DI1059" s="64">
        <f>($E1059-$E1060)*100</f>
        <v/>
      </c>
      <c r="DJ1059" s="64">
        <f>($H1059-$H1060)*100</f>
        <v/>
      </c>
      <c r="DK1059" s="65">
        <f>IFERROR($J1059/$J1060-1,"")</f>
        <v/>
      </c>
      <c r="DL1059" s="64">
        <f>$L1059-$L1060</f>
        <v/>
      </c>
      <c r="DM1059" s="64">
        <f>$K1059-$K1060</f>
        <v/>
      </c>
      <c r="DN1059" s="65">
        <f>IFERROR($N1059/$N1060-1,"")</f>
        <v/>
      </c>
      <c r="DO1059" s="65">
        <f>IFERROR($M1059/$M1060-1,"")</f>
        <v/>
      </c>
      <c r="DP1059" s="65">
        <f>IFERROR($AZ1059/$AZ1060-1,"")</f>
        <v/>
      </c>
      <c r="DQ1059" s="65">
        <f>IFERROR($BA1059/$BA1060-1,"")</f>
        <v/>
      </c>
      <c r="DR1059" s="64">
        <f>$O1059-$O1060</f>
        <v/>
      </c>
      <c r="DS1059" s="64">
        <f>$P1059-$P1060</f>
        <v/>
      </c>
      <c r="DT1059" s="64">
        <f>$Q1059-$Q1060</f>
        <v/>
      </c>
      <c r="DU1059" s="64">
        <f>$S1059-$S1060</f>
        <v/>
      </c>
      <c r="DV1059" s="65">
        <f>IFERROR(AVERAGE($AA1060/$AA1059-1,$AB1060/$AB1059-1,$AC1060/$AC1059-1,$AD1060/$AD1059-1,$AE1060/$AE1059-1,$AG1060/$AG1059-1,$AH1060/$AH1059-1,$AI1060/$AI1059-1,$AJ1060/$AJ1059-1,$AL1060/$AL1059-1,$AM1060/$AM1059-1,$AR1060/$AR1059-1,$AS1060/$AS1059-1,$AT1060/$AT1059-1,$AU1060/$AU1059-1,$AV1060/$AV1059-1,$AW1060/$AW1059-1,$AX1060/$AX1059-1,$AY1060/$AY1059-1),"")</f>
        <v/>
      </c>
      <c r="DW1059" s="66">
        <f>AVERAGE($CB1059,$CC1059,$CD1059,$CE1059,$CF1059,$CG1059,$CH1059,$CI1059,$CJ1059,$CL1059,$CM1059,$CN1059,$CO1059,$CP1059,$CQ1059,$CR1059,$CS1059,$CT1059)</f>
        <v/>
      </c>
      <c r="DX1059" s="66">
        <f>AVERAGE($CB1059,$CC1059,$CM1059,$CE1059,$CP1059)</f>
        <v/>
      </c>
      <c r="DY1059" s="64">
        <f>($DW1059-$DW1060)*100</f>
        <v/>
      </c>
      <c r="DZ1059" s="64">
        <f>($DX1059-$DX1060)*100</f>
        <v/>
      </c>
      <c r="EA1059" s="64">
        <f>($DW1059-$D1059)*100</f>
        <v/>
      </c>
      <c r="EB1059" s="64">
        <f>$Q1059-$O1059</f>
        <v/>
      </c>
      <c r="EC1059" s="67">
        <f>IFERROR($Q1059/$P1059,"")</f>
        <v/>
      </c>
    </row>
    <row r="1060">
      <c r="DG1060" s="64">
        <f>($B1060-$B1061)*100</f>
        <v/>
      </c>
      <c r="DH1060" s="64">
        <f>($D1060-$D1061)*100</f>
        <v/>
      </c>
      <c r="DI1060" s="64">
        <f>($E1060-$E1061)*100</f>
        <v/>
      </c>
      <c r="DJ1060" s="64">
        <f>($H1060-$H1061)*100</f>
        <v/>
      </c>
      <c r="DK1060" s="65">
        <f>IFERROR($J1060/$J1061-1,"")</f>
        <v/>
      </c>
      <c r="DL1060" s="64">
        <f>$L1060-$L1061</f>
        <v/>
      </c>
      <c r="DM1060" s="64">
        <f>$K1060-$K1061</f>
        <v/>
      </c>
      <c r="DN1060" s="65">
        <f>IFERROR($N1060/$N1061-1,"")</f>
        <v/>
      </c>
      <c r="DO1060" s="65">
        <f>IFERROR($M1060/$M1061-1,"")</f>
        <v/>
      </c>
      <c r="DP1060" s="65">
        <f>IFERROR($AZ1060/$AZ1061-1,"")</f>
        <v/>
      </c>
      <c r="DQ1060" s="65">
        <f>IFERROR($BA1060/$BA1061-1,"")</f>
        <v/>
      </c>
      <c r="DR1060" s="64">
        <f>$O1060-$O1061</f>
        <v/>
      </c>
      <c r="DS1060" s="64">
        <f>$P1060-$P1061</f>
        <v/>
      </c>
      <c r="DT1060" s="64">
        <f>$Q1060-$Q1061</f>
        <v/>
      </c>
      <c r="DU1060" s="64">
        <f>$S1060-$S1061</f>
        <v/>
      </c>
      <c r="DV1060" s="65">
        <f>IFERROR(AVERAGE($AA1061/$AA1060-1,$AB1061/$AB1060-1,$AC1061/$AC1060-1,$AD1061/$AD1060-1,$AE1061/$AE1060-1,$AG1061/$AG1060-1,$AH1061/$AH1060-1,$AI1061/$AI1060-1,$AJ1061/$AJ1060-1,$AL1061/$AL1060-1,$AM1061/$AM1060-1,$AR1061/$AR1060-1,$AS1061/$AS1060-1,$AT1061/$AT1060-1,$AU1061/$AU1060-1,$AV1061/$AV1060-1,$AW1061/$AW1060-1,$AX1061/$AX1060-1,$AY1061/$AY1060-1),"")</f>
        <v/>
      </c>
      <c r="DW1060" s="66">
        <f>AVERAGE($CB1060,$CC1060,$CD1060,$CE1060,$CF1060,$CG1060,$CH1060,$CI1060,$CJ1060,$CL1060,$CM1060,$CN1060,$CO1060,$CP1060,$CQ1060,$CR1060,$CS1060,$CT1060)</f>
        <v/>
      </c>
      <c r="DX1060" s="66">
        <f>AVERAGE($CB1060,$CC1060,$CM1060,$CE1060,$CP1060)</f>
        <v/>
      </c>
      <c r="DY1060" s="64">
        <f>($DW1060-$DW1061)*100</f>
        <v/>
      </c>
      <c r="DZ1060" s="64">
        <f>($DX1060-$DX1061)*100</f>
        <v/>
      </c>
      <c r="EA1060" s="64">
        <f>($DW1060-$D1060)*100</f>
        <v/>
      </c>
      <c r="EB1060" s="64">
        <f>$Q1060-$O1060</f>
        <v/>
      </c>
      <c r="EC1060" s="67">
        <f>IFERROR($Q1060/$P1060,"")</f>
        <v/>
      </c>
    </row>
    <row r="1061">
      <c r="DG1061" s="64">
        <f>($B1061-$B1062)*100</f>
        <v/>
      </c>
      <c r="DH1061" s="64">
        <f>($D1061-$D1062)*100</f>
        <v/>
      </c>
      <c r="DI1061" s="64">
        <f>($E1061-$E1062)*100</f>
        <v/>
      </c>
      <c r="DJ1061" s="64">
        <f>($H1061-$H1062)*100</f>
        <v/>
      </c>
      <c r="DK1061" s="65">
        <f>IFERROR($J1061/$J1062-1,"")</f>
        <v/>
      </c>
      <c r="DL1061" s="64">
        <f>$L1061-$L1062</f>
        <v/>
      </c>
      <c r="DM1061" s="64">
        <f>$K1061-$K1062</f>
        <v/>
      </c>
      <c r="DN1061" s="65">
        <f>IFERROR($N1061/$N1062-1,"")</f>
        <v/>
      </c>
      <c r="DO1061" s="65">
        <f>IFERROR($M1061/$M1062-1,"")</f>
        <v/>
      </c>
      <c r="DP1061" s="65">
        <f>IFERROR($AZ1061/$AZ1062-1,"")</f>
        <v/>
      </c>
      <c r="DQ1061" s="65">
        <f>IFERROR($BA1061/$BA1062-1,"")</f>
        <v/>
      </c>
      <c r="DR1061" s="64">
        <f>$O1061-$O1062</f>
        <v/>
      </c>
      <c r="DS1061" s="64">
        <f>$P1061-$P1062</f>
        <v/>
      </c>
      <c r="DT1061" s="64">
        <f>$Q1061-$Q1062</f>
        <v/>
      </c>
      <c r="DU1061" s="64">
        <f>$S1061-$S1062</f>
        <v/>
      </c>
      <c r="DV1061" s="65">
        <f>IFERROR(AVERAGE($AA1062/$AA1061-1,$AB1062/$AB1061-1,$AC1062/$AC1061-1,$AD1062/$AD1061-1,$AE1062/$AE1061-1,$AG1062/$AG1061-1,$AH1062/$AH1061-1,$AI1062/$AI1061-1,$AJ1062/$AJ1061-1,$AL1062/$AL1061-1,$AM1062/$AM1061-1,$AR1062/$AR1061-1,$AS1062/$AS1061-1,$AT1062/$AT1061-1,$AU1062/$AU1061-1,$AV1062/$AV1061-1,$AW1062/$AW1061-1,$AX1062/$AX1061-1,$AY1062/$AY1061-1),"")</f>
        <v/>
      </c>
      <c r="DW1061" s="66">
        <f>AVERAGE($CB1061,$CC1061,$CD1061,$CE1061,$CF1061,$CG1061,$CH1061,$CI1061,$CJ1061,$CL1061,$CM1061,$CN1061,$CO1061,$CP1061,$CQ1061,$CR1061,$CS1061,$CT1061)</f>
        <v/>
      </c>
      <c r="DX1061" s="66">
        <f>AVERAGE($CB1061,$CC1061,$CM1061,$CE1061,$CP1061)</f>
        <v/>
      </c>
      <c r="DY1061" s="64">
        <f>($DW1061-$DW1062)*100</f>
        <v/>
      </c>
      <c r="DZ1061" s="64">
        <f>($DX1061-$DX1062)*100</f>
        <v/>
      </c>
      <c r="EA1061" s="64">
        <f>($DW1061-$D1061)*100</f>
        <v/>
      </c>
      <c r="EB1061" s="64">
        <f>$Q1061-$O1061</f>
        <v/>
      </c>
      <c r="EC1061" s="67">
        <f>IFERROR($Q1061/$P1061,"")</f>
        <v/>
      </c>
    </row>
    <row r="1062">
      <c r="DG1062" s="64">
        <f>($B1062-$B1063)*100</f>
        <v/>
      </c>
      <c r="DH1062" s="64">
        <f>($D1062-$D1063)*100</f>
        <v/>
      </c>
      <c r="DI1062" s="64">
        <f>($E1062-$E1063)*100</f>
        <v/>
      </c>
      <c r="DJ1062" s="64">
        <f>($H1062-$H1063)*100</f>
        <v/>
      </c>
      <c r="DK1062" s="65">
        <f>IFERROR($J1062/$J1063-1,"")</f>
        <v/>
      </c>
      <c r="DL1062" s="64">
        <f>$L1062-$L1063</f>
        <v/>
      </c>
      <c r="DM1062" s="64">
        <f>$K1062-$K1063</f>
        <v/>
      </c>
      <c r="DN1062" s="65">
        <f>IFERROR($N1062/$N1063-1,"")</f>
        <v/>
      </c>
      <c r="DO1062" s="65">
        <f>IFERROR($M1062/$M1063-1,"")</f>
        <v/>
      </c>
      <c r="DP1062" s="65">
        <f>IFERROR($AZ1062/$AZ1063-1,"")</f>
        <v/>
      </c>
      <c r="DQ1062" s="65">
        <f>IFERROR($BA1062/$BA1063-1,"")</f>
        <v/>
      </c>
      <c r="DR1062" s="64">
        <f>$O1062-$O1063</f>
        <v/>
      </c>
      <c r="DS1062" s="64">
        <f>$P1062-$P1063</f>
        <v/>
      </c>
      <c r="DT1062" s="64">
        <f>$Q1062-$Q1063</f>
        <v/>
      </c>
      <c r="DU1062" s="64">
        <f>$S1062-$S1063</f>
        <v/>
      </c>
      <c r="DV1062" s="65">
        <f>IFERROR(AVERAGE($AA1063/$AA1062-1,$AB1063/$AB1062-1,$AC1063/$AC1062-1,$AD1063/$AD1062-1,$AE1063/$AE1062-1,$AG1063/$AG1062-1,$AH1063/$AH1062-1,$AI1063/$AI1062-1,$AJ1063/$AJ1062-1,$AL1063/$AL1062-1,$AM1063/$AM1062-1,$AR1063/$AR1062-1,$AS1063/$AS1062-1,$AT1063/$AT1062-1,$AU1063/$AU1062-1,$AV1063/$AV1062-1,$AW1063/$AW1062-1,$AX1063/$AX1062-1,$AY1063/$AY1062-1),"")</f>
        <v/>
      </c>
      <c r="DW1062" s="66">
        <f>AVERAGE($CB1062,$CC1062,$CD1062,$CE1062,$CF1062,$CG1062,$CH1062,$CI1062,$CJ1062,$CL1062,$CM1062,$CN1062,$CO1062,$CP1062,$CQ1062,$CR1062,$CS1062,$CT1062)</f>
        <v/>
      </c>
      <c r="DX1062" s="66">
        <f>AVERAGE($CB1062,$CC1062,$CM1062,$CE1062,$CP1062)</f>
        <v/>
      </c>
      <c r="DY1062" s="64">
        <f>($DW1062-$DW1063)*100</f>
        <v/>
      </c>
      <c r="DZ1062" s="64">
        <f>($DX1062-$DX1063)*100</f>
        <v/>
      </c>
      <c r="EA1062" s="64">
        <f>($DW1062-$D1062)*100</f>
        <v/>
      </c>
      <c r="EB1062" s="64">
        <f>$Q1062-$O1062</f>
        <v/>
      </c>
      <c r="EC1062" s="67">
        <f>IFERROR($Q1062/$P1062,"")</f>
        <v/>
      </c>
    </row>
    <row r="1063">
      <c r="DG1063" s="64">
        <f>($B1063-$B1064)*100</f>
        <v/>
      </c>
      <c r="DH1063" s="64">
        <f>($D1063-$D1064)*100</f>
        <v/>
      </c>
      <c r="DI1063" s="64">
        <f>($E1063-$E1064)*100</f>
        <v/>
      </c>
      <c r="DJ1063" s="64">
        <f>($H1063-$H1064)*100</f>
        <v/>
      </c>
      <c r="DK1063" s="65">
        <f>IFERROR($J1063/$J1064-1,"")</f>
        <v/>
      </c>
      <c r="DL1063" s="64">
        <f>$L1063-$L1064</f>
        <v/>
      </c>
      <c r="DM1063" s="64">
        <f>$K1063-$K1064</f>
        <v/>
      </c>
      <c r="DN1063" s="65">
        <f>IFERROR($N1063/$N1064-1,"")</f>
        <v/>
      </c>
      <c r="DO1063" s="65">
        <f>IFERROR($M1063/$M1064-1,"")</f>
        <v/>
      </c>
      <c r="DP1063" s="65">
        <f>IFERROR($AZ1063/$AZ1064-1,"")</f>
        <v/>
      </c>
      <c r="DQ1063" s="65">
        <f>IFERROR($BA1063/$BA1064-1,"")</f>
        <v/>
      </c>
      <c r="DR1063" s="64">
        <f>$O1063-$O1064</f>
        <v/>
      </c>
      <c r="DS1063" s="64">
        <f>$P1063-$P1064</f>
        <v/>
      </c>
      <c r="DT1063" s="64">
        <f>$Q1063-$Q1064</f>
        <v/>
      </c>
      <c r="DU1063" s="64">
        <f>$S1063-$S1064</f>
        <v/>
      </c>
      <c r="DV1063" s="65">
        <f>IFERROR(AVERAGE($AA1064/$AA1063-1,$AB1064/$AB1063-1,$AC1064/$AC1063-1,$AD1064/$AD1063-1,$AE1064/$AE1063-1,$AG1064/$AG1063-1,$AH1064/$AH1063-1,$AI1064/$AI1063-1,$AJ1064/$AJ1063-1,$AL1064/$AL1063-1,$AM1064/$AM1063-1,$AR1064/$AR1063-1,$AS1064/$AS1063-1,$AT1064/$AT1063-1,$AU1064/$AU1063-1,$AV1064/$AV1063-1,$AW1064/$AW1063-1,$AX1064/$AX1063-1,$AY1064/$AY1063-1),"")</f>
        <v/>
      </c>
      <c r="DW1063" s="66">
        <f>AVERAGE($CB1063,$CC1063,$CD1063,$CE1063,$CF1063,$CG1063,$CH1063,$CI1063,$CJ1063,$CL1063,$CM1063,$CN1063,$CO1063,$CP1063,$CQ1063,$CR1063,$CS1063,$CT1063)</f>
        <v/>
      </c>
      <c r="DX1063" s="66">
        <f>AVERAGE($CB1063,$CC1063,$CM1063,$CE1063,$CP1063)</f>
        <v/>
      </c>
      <c r="DY1063" s="64">
        <f>($DW1063-$DW1064)*100</f>
        <v/>
      </c>
      <c r="DZ1063" s="64">
        <f>($DX1063-$DX1064)*100</f>
        <v/>
      </c>
      <c r="EA1063" s="64">
        <f>($DW1063-$D1063)*100</f>
        <v/>
      </c>
      <c r="EB1063" s="64">
        <f>$Q1063-$O1063</f>
        <v/>
      </c>
      <c r="EC1063" s="67">
        <f>IFERROR($Q1063/$P1063,"")</f>
        <v/>
      </c>
    </row>
    <row r="1064">
      <c r="DG1064" s="64">
        <f>($B1064-$B1065)*100</f>
        <v/>
      </c>
      <c r="DH1064" s="64">
        <f>($D1064-$D1065)*100</f>
        <v/>
      </c>
      <c r="DI1064" s="64">
        <f>($E1064-$E1065)*100</f>
        <v/>
      </c>
      <c r="DJ1064" s="64">
        <f>($H1064-$H1065)*100</f>
        <v/>
      </c>
      <c r="DK1064" s="65">
        <f>IFERROR($J1064/$J1065-1,"")</f>
        <v/>
      </c>
      <c r="DL1064" s="64">
        <f>$L1064-$L1065</f>
        <v/>
      </c>
      <c r="DM1064" s="64">
        <f>$K1064-$K1065</f>
        <v/>
      </c>
      <c r="DN1064" s="65">
        <f>IFERROR($N1064/$N1065-1,"")</f>
        <v/>
      </c>
      <c r="DO1064" s="65">
        <f>IFERROR($M1064/$M1065-1,"")</f>
        <v/>
      </c>
      <c r="DP1064" s="65">
        <f>IFERROR($AZ1064/$AZ1065-1,"")</f>
        <v/>
      </c>
      <c r="DQ1064" s="65">
        <f>IFERROR($BA1064/$BA1065-1,"")</f>
        <v/>
      </c>
      <c r="DR1064" s="64">
        <f>$O1064-$O1065</f>
        <v/>
      </c>
      <c r="DS1064" s="64">
        <f>$P1064-$P1065</f>
        <v/>
      </c>
      <c r="DT1064" s="64">
        <f>$Q1064-$Q1065</f>
        <v/>
      </c>
      <c r="DU1064" s="64">
        <f>$S1064-$S1065</f>
        <v/>
      </c>
      <c r="DV1064" s="65">
        <f>IFERROR(AVERAGE($AA1065/$AA1064-1,$AB1065/$AB1064-1,$AC1065/$AC1064-1,$AD1065/$AD1064-1,$AE1065/$AE1064-1,$AG1065/$AG1064-1,$AH1065/$AH1064-1,$AI1065/$AI1064-1,$AJ1065/$AJ1064-1,$AL1065/$AL1064-1,$AM1065/$AM1064-1,$AR1065/$AR1064-1,$AS1065/$AS1064-1,$AT1065/$AT1064-1,$AU1065/$AU1064-1,$AV1065/$AV1064-1,$AW1065/$AW1064-1,$AX1065/$AX1064-1,$AY1065/$AY1064-1),"")</f>
        <v/>
      </c>
      <c r="DW1064" s="66">
        <f>AVERAGE($CB1064,$CC1064,$CD1064,$CE1064,$CF1064,$CG1064,$CH1064,$CI1064,$CJ1064,$CL1064,$CM1064,$CN1064,$CO1064,$CP1064,$CQ1064,$CR1064,$CS1064,$CT1064)</f>
        <v/>
      </c>
      <c r="DX1064" s="66">
        <f>AVERAGE($CB1064,$CC1064,$CM1064,$CE1064,$CP1064)</f>
        <v/>
      </c>
      <c r="DY1064" s="64">
        <f>($DW1064-$DW1065)*100</f>
        <v/>
      </c>
      <c r="DZ1064" s="64">
        <f>($DX1064-$DX1065)*100</f>
        <v/>
      </c>
      <c r="EA1064" s="64">
        <f>($DW1064-$D1064)*100</f>
        <v/>
      </c>
      <c r="EB1064" s="64">
        <f>$Q1064-$O1064</f>
        <v/>
      </c>
      <c r="EC1064" s="67">
        <f>IFERROR($Q1064/$P1064,"")</f>
        <v/>
      </c>
    </row>
    <row r="1065">
      <c r="DG1065" s="64">
        <f>($B1065-$B1066)*100</f>
        <v/>
      </c>
      <c r="DH1065" s="64">
        <f>($D1065-$D1066)*100</f>
        <v/>
      </c>
      <c r="DI1065" s="64">
        <f>($E1065-$E1066)*100</f>
        <v/>
      </c>
      <c r="DJ1065" s="64">
        <f>($H1065-$H1066)*100</f>
        <v/>
      </c>
      <c r="DK1065" s="65">
        <f>IFERROR($J1065/$J1066-1,"")</f>
        <v/>
      </c>
      <c r="DL1065" s="64">
        <f>$L1065-$L1066</f>
        <v/>
      </c>
      <c r="DM1065" s="64">
        <f>$K1065-$K1066</f>
        <v/>
      </c>
      <c r="DN1065" s="65">
        <f>IFERROR($N1065/$N1066-1,"")</f>
        <v/>
      </c>
      <c r="DO1065" s="65">
        <f>IFERROR($M1065/$M1066-1,"")</f>
        <v/>
      </c>
      <c r="DP1065" s="65">
        <f>IFERROR($AZ1065/$AZ1066-1,"")</f>
        <v/>
      </c>
      <c r="DQ1065" s="65">
        <f>IFERROR($BA1065/$BA1066-1,"")</f>
        <v/>
      </c>
      <c r="DR1065" s="64">
        <f>$O1065-$O1066</f>
        <v/>
      </c>
      <c r="DS1065" s="64">
        <f>$P1065-$P1066</f>
        <v/>
      </c>
      <c r="DT1065" s="64">
        <f>$Q1065-$Q1066</f>
        <v/>
      </c>
      <c r="DU1065" s="64">
        <f>$S1065-$S1066</f>
        <v/>
      </c>
      <c r="DV1065" s="65">
        <f>IFERROR(AVERAGE($AA1066/$AA1065-1,$AB1066/$AB1065-1,$AC1066/$AC1065-1,$AD1066/$AD1065-1,$AE1066/$AE1065-1,$AG1066/$AG1065-1,$AH1066/$AH1065-1,$AI1066/$AI1065-1,$AJ1066/$AJ1065-1,$AL1066/$AL1065-1,$AM1066/$AM1065-1,$AR1066/$AR1065-1,$AS1066/$AS1065-1,$AT1066/$AT1065-1,$AU1066/$AU1065-1,$AV1066/$AV1065-1,$AW1066/$AW1065-1,$AX1066/$AX1065-1,$AY1066/$AY1065-1),"")</f>
        <v/>
      </c>
      <c r="DW1065" s="66">
        <f>AVERAGE($CB1065,$CC1065,$CD1065,$CE1065,$CF1065,$CG1065,$CH1065,$CI1065,$CJ1065,$CL1065,$CM1065,$CN1065,$CO1065,$CP1065,$CQ1065,$CR1065,$CS1065,$CT1065)</f>
        <v/>
      </c>
      <c r="DX1065" s="66">
        <f>AVERAGE($CB1065,$CC1065,$CM1065,$CE1065,$CP1065)</f>
        <v/>
      </c>
      <c r="DY1065" s="64">
        <f>($DW1065-$DW1066)*100</f>
        <v/>
      </c>
      <c r="DZ1065" s="64">
        <f>($DX1065-$DX1066)*100</f>
        <v/>
      </c>
      <c r="EA1065" s="64">
        <f>($DW1065-$D1065)*100</f>
        <v/>
      </c>
      <c r="EB1065" s="64">
        <f>$Q1065-$O1065</f>
        <v/>
      </c>
      <c r="EC1065" s="67">
        <f>IFERROR($Q1065/$P1065,"")</f>
        <v/>
      </c>
    </row>
    <row r="1066">
      <c r="DG1066" s="64">
        <f>($B1066-$B1067)*100</f>
        <v/>
      </c>
      <c r="DH1066" s="64">
        <f>($D1066-$D1067)*100</f>
        <v/>
      </c>
      <c r="DI1066" s="64">
        <f>($E1066-$E1067)*100</f>
        <v/>
      </c>
      <c r="DJ1066" s="64">
        <f>($H1066-$H1067)*100</f>
        <v/>
      </c>
      <c r="DK1066" s="65">
        <f>IFERROR($J1066/$J1067-1,"")</f>
        <v/>
      </c>
      <c r="DL1066" s="64">
        <f>$L1066-$L1067</f>
        <v/>
      </c>
      <c r="DM1066" s="64">
        <f>$K1066-$K1067</f>
        <v/>
      </c>
      <c r="DN1066" s="65">
        <f>IFERROR($N1066/$N1067-1,"")</f>
        <v/>
      </c>
      <c r="DO1066" s="65">
        <f>IFERROR($M1066/$M1067-1,"")</f>
        <v/>
      </c>
      <c r="DP1066" s="65">
        <f>IFERROR($AZ1066/$AZ1067-1,"")</f>
        <v/>
      </c>
      <c r="DQ1066" s="65">
        <f>IFERROR($BA1066/$BA1067-1,"")</f>
        <v/>
      </c>
      <c r="DR1066" s="64">
        <f>$O1066-$O1067</f>
        <v/>
      </c>
      <c r="DS1066" s="64">
        <f>$P1066-$P1067</f>
        <v/>
      </c>
      <c r="DT1066" s="64">
        <f>$Q1066-$Q1067</f>
        <v/>
      </c>
      <c r="DU1066" s="64">
        <f>$S1066-$S1067</f>
        <v/>
      </c>
      <c r="DV1066" s="65">
        <f>IFERROR(AVERAGE($AA1067/$AA1066-1,$AB1067/$AB1066-1,$AC1067/$AC1066-1,$AD1067/$AD1066-1,$AE1067/$AE1066-1,$AG1067/$AG1066-1,$AH1067/$AH1066-1,$AI1067/$AI1066-1,$AJ1067/$AJ1066-1,$AL1067/$AL1066-1,$AM1067/$AM1066-1,$AR1067/$AR1066-1,$AS1067/$AS1066-1,$AT1067/$AT1066-1,$AU1067/$AU1066-1,$AV1067/$AV1066-1,$AW1067/$AW1066-1,$AX1067/$AX1066-1,$AY1067/$AY1066-1),"")</f>
        <v/>
      </c>
      <c r="DW1066" s="66">
        <f>AVERAGE($CB1066,$CC1066,$CD1066,$CE1066,$CF1066,$CG1066,$CH1066,$CI1066,$CJ1066,$CL1066,$CM1066,$CN1066,$CO1066,$CP1066,$CQ1066,$CR1066,$CS1066,$CT1066)</f>
        <v/>
      </c>
      <c r="DX1066" s="66">
        <f>AVERAGE($CB1066,$CC1066,$CM1066,$CE1066,$CP1066)</f>
        <v/>
      </c>
      <c r="DY1066" s="64">
        <f>($DW1066-$DW1067)*100</f>
        <v/>
      </c>
      <c r="DZ1066" s="64">
        <f>($DX1066-$DX1067)*100</f>
        <v/>
      </c>
      <c r="EA1066" s="64">
        <f>($DW1066-$D1066)*100</f>
        <v/>
      </c>
      <c r="EB1066" s="64">
        <f>$Q1066-$O1066</f>
        <v/>
      </c>
      <c r="EC1066" s="67">
        <f>IFERROR($Q1066/$P1066,"")</f>
        <v/>
      </c>
    </row>
    <row r="1067">
      <c r="DG1067" s="64">
        <f>($B1067-$B1068)*100</f>
        <v/>
      </c>
      <c r="DH1067" s="64">
        <f>($D1067-$D1068)*100</f>
        <v/>
      </c>
      <c r="DI1067" s="64">
        <f>($E1067-$E1068)*100</f>
        <v/>
      </c>
      <c r="DJ1067" s="64">
        <f>($H1067-$H1068)*100</f>
        <v/>
      </c>
      <c r="DK1067" s="65">
        <f>IFERROR($J1067/$J1068-1,"")</f>
        <v/>
      </c>
      <c r="DL1067" s="64">
        <f>$L1067-$L1068</f>
        <v/>
      </c>
      <c r="DM1067" s="64">
        <f>$K1067-$K1068</f>
        <v/>
      </c>
      <c r="DN1067" s="65">
        <f>IFERROR($N1067/$N1068-1,"")</f>
        <v/>
      </c>
      <c r="DO1067" s="65">
        <f>IFERROR($M1067/$M1068-1,"")</f>
        <v/>
      </c>
      <c r="DP1067" s="65">
        <f>IFERROR($AZ1067/$AZ1068-1,"")</f>
        <v/>
      </c>
      <c r="DQ1067" s="65">
        <f>IFERROR($BA1067/$BA1068-1,"")</f>
        <v/>
      </c>
      <c r="DR1067" s="64">
        <f>$O1067-$O1068</f>
        <v/>
      </c>
      <c r="DS1067" s="64">
        <f>$P1067-$P1068</f>
        <v/>
      </c>
      <c r="DT1067" s="64">
        <f>$Q1067-$Q1068</f>
        <v/>
      </c>
      <c r="DU1067" s="64">
        <f>$S1067-$S1068</f>
        <v/>
      </c>
      <c r="DV1067" s="65">
        <f>IFERROR(AVERAGE($AA1068/$AA1067-1,$AB1068/$AB1067-1,$AC1068/$AC1067-1,$AD1068/$AD1067-1,$AE1068/$AE1067-1,$AG1068/$AG1067-1,$AH1068/$AH1067-1,$AI1068/$AI1067-1,$AJ1068/$AJ1067-1,$AL1068/$AL1067-1,$AM1068/$AM1067-1,$AR1068/$AR1067-1,$AS1068/$AS1067-1,$AT1068/$AT1067-1,$AU1068/$AU1067-1,$AV1068/$AV1067-1,$AW1068/$AW1067-1,$AX1068/$AX1067-1,$AY1068/$AY1067-1),"")</f>
        <v/>
      </c>
      <c r="DW1067" s="66">
        <f>AVERAGE($CB1067,$CC1067,$CD1067,$CE1067,$CF1067,$CG1067,$CH1067,$CI1067,$CJ1067,$CL1067,$CM1067,$CN1067,$CO1067,$CP1067,$CQ1067,$CR1067,$CS1067,$CT1067)</f>
        <v/>
      </c>
      <c r="DX1067" s="66">
        <f>AVERAGE($CB1067,$CC1067,$CM1067,$CE1067,$CP1067)</f>
        <v/>
      </c>
      <c r="DY1067" s="64">
        <f>($DW1067-$DW1068)*100</f>
        <v/>
      </c>
      <c r="DZ1067" s="64">
        <f>($DX1067-$DX1068)*100</f>
        <v/>
      </c>
      <c r="EA1067" s="64">
        <f>($DW1067-$D1067)*100</f>
        <v/>
      </c>
      <c r="EB1067" s="64">
        <f>$Q1067-$O1067</f>
        <v/>
      </c>
      <c r="EC1067" s="67">
        <f>IFERROR($Q1067/$P1067,"")</f>
        <v/>
      </c>
    </row>
    <row r="1068">
      <c r="DG1068" s="64">
        <f>($B1068-$B1069)*100</f>
        <v/>
      </c>
      <c r="DH1068" s="64">
        <f>($D1068-$D1069)*100</f>
        <v/>
      </c>
      <c r="DI1068" s="64">
        <f>($E1068-$E1069)*100</f>
        <v/>
      </c>
      <c r="DJ1068" s="64">
        <f>($H1068-$H1069)*100</f>
        <v/>
      </c>
      <c r="DK1068" s="65">
        <f>IFERROR($J1068/$J1069-1,"")</f>
        <v/>
      </c>
      <c r="DL1068" s="64">
        <f>$L1068-$L1069</f>
        <v/>
      </c>
      <c r="DM1068" s="64">
        <f>$K1068-$K1069</f>
        <v/>
      </c>
      <c r="DN1068" s="65">
        <f>IFERROR($N1068/$N1069-1,"")</f>
        <v/>
      </c>
      <c r="DO1068" s="65">
        <f>IFERROR($M1068/$M1069-1,"")</f>
        <v/>
      </c>
      <c r="DP1068" s="65">
        <f>IFERROR($AZ1068/$AZ1069-1,"")</f>
        <v/>
      </c>
      <c r="DQ1068" s="65">
        <f>IFERROR($BA1068/$BA1069-1,"")</f>
        <v/>
      </c>
      <c r="DR1068" s="64">
        <f>$O1068-$O1069</f>
        <v/>
      </c>
      <c r="DS1068" s="64">
        <f>$P1068-$P1069</f>
        <v/>
      </c>
      <c r="DT1068" s="64">
        <f>$Q1068-$Q1069</f>
        <v/>
      </c>
      <c r="DU1068" s="64">
        <f>$S1068-$S1069</f>
        <v/>
      </c>
      <c r="DV1068" s="65">
        <f>IFERROR(AVERAGE($AA1069/$AA1068-1,$AB1069/$AB1068-1,$AC1069/$AC1068-1,$AD1069/$AD1068-1,$AE1069/$AE1068-1,$AG1069/$AG1068-1,$AH1069/$AH1068-1,$AI1069/$AI1068-1,$AJ1069/$AJ1068-1,$AL1069/$AL1068-1,$AM1069/$AM1068-1,$AR1069/$AR1068-1,$AS1069/$AS1068-1,$AT1069/$AT1068-1,$AU1069/$AU1068-1,$AV1069/$AV1068-1,$AW1069/$AW1068-1,$AX1069/$AX1068-1,$AY1069/$AY1068-1),"")</f>
        <v/>
      </c>
      <c r="DW1068" s="66">
        <f>AVERAGE($CB1068,$CC1068,$CD1068,$CE1068,$CF1068,$CG1068,$CH1068,$CI1068,$CJ1068,$CL1068,$CM1068,$CN1068,$CO1068,$CP1068,$CQ1068,$CR1068,$CS1068,$CT1068)</f>
        <v/>
      </c>
      <c r="DX1068" s="66">
        <f>AVERAGE($CB1068,$CC1068,$CM1068,$CE1068,$CP1068)</f>
        <v/>
      </c>
      <c r="DY1068" s="64">
        <f>($DW1068-$DW1069)*100</f>
        <v/>
      </c>
      <c r="DZ1068" s="64">
        <f>($DX1068-$DX1069)*100</f>
        <v/>
      </c>
      <c r="EA1068" s="64">
        <f>($DW1068-$D1068)*100</f>
        <v/>
      </c>
      <c r="EB1068" s="64">
        <f>$Q1068-$O1068</f>
        <v/>
      </c>
      <c r="EC1068" s="67">
        <f>IFERROR($Q1068/$P1068,"")</f>
        <v/>
      </c>
    </row>
    <row r="1069">
      <c r="DG1069" s="64">
        <f>($B1069-$B1070)*100</f>
        <v/>
      </c>
      <c r="DH1069" s="64">
        <f>($D1069-$D1070)*100</f>
        <v/>
      </c>
      <c r="DI1069" s="64">
        <f>($E1069-$E1070)*100</f>
        <v/>
      </c>
      <c r="DJ1069" s="64">
        <f>($H1069-$H1070)*100</f>
        <v/>
      </c>
      <c r="DK1069" s="65">
        <f>IFERROR($J1069/$J1070-1,"")</f>
        <v/>
      </c>
      <c r="DL1069" s="64">
        <f>$L1069-$L1070</f>
        <v/>
      </c>
      <c r="DM1069" s="64">
        <f>$K1069-$K1070</f>
        <v/>
      </c>
      <c r="DN1069" s="65">
        <f>IFERROR($N1069/$N1070-1,"")</f>
        <v/>
      </c>
      <c r="DO1069" s="65">
        <f>IFERROR($M1069/$M1070-1,"")</f>
        <v/>
      </c>
      <c r="DP1069" s="65">
        <f>IFERROR($AZ1069/$AZ1070-1,"")</f>
        <v/>
      </c>
      <c r="DQ1069" s="65">
        <f>IFERROR($BA1069/$BA1070-1,"")</f>
        <v/>
      </c>
      <c r="DR1069" s="64">
        <f>$O1069-$O1070</f>
        <v/>
      </c>
      <c r="DS1069" s="64">
        <f>$P1069-$P1070</f>
        <v/>
      </c>
      <c r="DT1069" s="64">
        <f>$Q1069-$Q1070</f>
        <v/>
      </c>
      <c r="DU1069" s="64">
        <f>$S1069-$S1070</f>
        <v/>
      </c>
      <c r="DV1069" s="65">
        <f>IFERROR(AVERAGE($AA1070/$AA1069-1,$AB1070/$AB1069-1,$AC1070/$AC1069-1,$AD1070/$AD1069-1,$AE1070/$AE1069-1,$AG1070/$AG1069-1,$AH1070/$AH1069-1,$AI1070/$AI1069-1,$AJ1070/$AJ1069-1,$AL1070/$AL1069-1,$AM1070/$AM1069-1,$AR1070/$AR1069-1,$AS1070/$AS1069-1,$AT1070/$AT1069-1,$AU1070/$AU1069-1,$AV1070/$AV1069-1,$AW1070/$AW1069-1,$AX1070/$AX1069-1,$AY1070/$AY1069-1),"")</f>
        <v/>
      </c>
      <c r="DW1069" s="66">
        <f>AVERAGE($CB1069,$CC1069,$CD1069,$CE1069,$CF1069,$CG1069,$CH1069,$CI1069,$CJ1069,$CL1069,$CM1069,$CN1069,$CO1069,$CP1069,$CQ1069,$CR1069,$CS1069,$CT1069)</f>
        <v/>
      </c>
      <c r="DX1069" s="66">
        <f>AVERAGE($CB1069,$CC1069,$CM1069,$CE1069,$CP1069)</f>
        <v/>
      </c>
      <c r="DY1069" s="64">
        <f>($DW1069-$DW1070)*100</f>
        <v/>
      </c>
      <c r="DZ1069" s="64">
        <f>($DX1069-$DX1070)*100</f>
        <v/>
      </c>
      <c r="EA1069" s="64">
        <f>($DW1069-$D1069)*100</f>
        <v/>
      </c>
      <c r="EB1069" s="64">
        <f>$Q1069-$O1069</f>
        <v/>
      </c>
      <c r="EC1069" s="67">
        <f>IFERROR($Q1069/$P1069,"")</f>
        <v/>
      </c>
    </row>
    <row r="1070">
      <c r="DG1070" s="64">
        <f>($B1070-$B1071)*100</f>
        <v/>
      </c>
      <c r="DH1070" s="64">
        <f>($D1070-$D1071)*100</f>
        <v/>
      </c>
      <c r="DI1070" s="64">
        <f>($E1070-$E1071)*100</f>
        <v/>
      </c>
      <c r="DJ1070" s="64">
        <f>($H1070-$H1071)*100</f>
        <v/>
      </c>
      <c r="DK1070" s="65">
        <f>IFERROR($J1070/$J1071-1,"")</f>
        <v/>
      </c>
      <c r="DL1070" s="64">
        <f>$L1070-$L1071</f>
        <v/>
      </c>
      <c r="DM1070" s="64">
        <f>$K1070-$K1071</f>
        <v/>
      </c>
      <c r="DN1070" s="65">
        <f>IFERROR($N1070/$N1071-1,"")</f>
        <v/>
      </c>
      <c r="DO1070" s="65">
        <f>IFERROR($M1070/$M1071-1,"")</f>
        <v/>
      </c>
      <c r="DP1070" s="65">
        <f>IFERROR($AZ1070/$AZ1071-1,"")</f>
        <v/>
      </c>
      <c r="DQ1070" s="65">
        <f>IFERROR($BA1070/$BA1071-1,"")</f>
        <v/>
      </c>
      <c r="DR1070" s="64">
        <f>$O1070-$O1071</f>
        <v/>
      </c>
      <c r="DS1070" s="64">
        <f>$P1070-$P1071</f>
        <v/>
      </c>
      <c r="DT1070" s="64">
        <f>$Q1070-$Q1071</f>
        <v/>
      </c>
      <c r="DU1070" s="64">
        <f>$S1070-$S1071</f>
        <v/>
      </c>
      <c r="DV1070" s="65">
        <f>IFERROR(AVERAGE($AA1071/$AA1070-1,$AB1071/$AB1070-1,$AC1071/$AC1070-1,$AD1071/$AD1070-1,$AE1071/$AE1070-1,$AG1071/$AG1070-1,$AH1071/$AH1070-1,$AI1071/$AI1070-1,$AJ1071/$AJ1070-1,$AL1071/$AL1070-1,$AM1071/$AM1070-1,$AR1071/$AR1070-1,$AS1071/$AS1070-1,$AT1071/$AT1070-1,$AU1071/$AU1070-1,$AV1071/$AV1070-1,$AW1071/$AW1070-1,$AX1071/$AX1070-1,$AY1071/$AY1070-1),"")</f>
        <v/>
      </c>
      <c r="DW1070" s="66">
        <f>AVERAGE($CB1070,$CC1070,$CD1070,$CE1070,$CF1070,$CG1070,$CH1070,$CI1070,$CJ1070,$CL1070,$CM1070,$CN1070,$CO1070,$CP1070,$CQ1070,$CR1070,$CS1070,$CT1070)</f>
        <v/>
      </c>
      <c r="DX1070" s="66">
        <f>AVERAGE($CB1070,$CC1070,$CM1070,$CE1070,$CP1070)</f>
        <v/>
      </c>
      <c r="DY1070" s="64">
        <f>($DW1070-$DW1071)*100</f>
        <v/>
      </c>
      <c r="DZ1070" s="64">
        <f>($DX1070-$DX1071)*100</f>
        <v/>
      </c>
      <c r="EA1070" s="64">
        <f>($DW1070-$D1070)*100</f>
        <v/>
      </c>
      <c r="EB1070" s="64">
        <f>$Q1070-$O1070</f>
        <v/>
      </c>
      <c r="EC1070" s="67">
        <f>IFERROR($Q1070/$P1070,"")</f>
        <v/>
      </c>
    </row>
    <row r="1071">
      <c r="DG1071" s="64">
        <f>($B1071-$B1072)*100</f>
        <v/>
      </c>
      <c r="DH1071" s="64">
        <f>($D1071-$D1072)*100</f>
        <v/>
      </c>
      <c r="DI1071" s="64">
        <f>($E1071-$E1072)*100</f>
        <v/>
      </c>
      <c r="DJ1071" s="64">
        <f>($H1071-$H1072)*100</f>
        <v/>
      </c>
      <c r="DK1071" s="65">
        <f>IFERROR($J1071/$J1072-1,"")</f>
        <v/>
      </c>
      <c r="DL1071" s="64">
        <f>$L1071-$L1072</f>
        <v/>
      </c>
      <c r="DM1071" s="64">
        <f>$K1071-$K1072</f>
        <v/>
      </c>
      <c r="DN1071" s="65">
        <f>IFERROR($N1071/$N1072-1,"")</f>
        <v/>
      </c>
      <c r="DO1071" s="65">
        <f>IFERROR($M1071/$M1072-1,"")</f>
        <v/>
      </c>
      <c r="DP1071" s="65">
        <f>IFERROR($AZ1071/$AZ1072-1,"")</f>
        <v/>
      </c>
      <c r="DQ1071" s="65">
        <f>IFERROR($BA1071/$BA1072-1,"")</f>
        <v/>
      </c>
      <c r="DR1071" s="64">
        <f>$O1071-$O1072</f>
        <v/>
      </c>
      <c r="DS1071" s="64">
        <f>$P1071-$P1072</f>
        <v/>
      </c>
      <c r="DT1071" s="64">
        <f>$Q1071-$Q1072</f>
        <v/>
      </c>
      <c r="DU1071" s="64">
        <f>$S1071-$S1072</f>
        <v/>
      </c>
      <c r="DV1071" s="65">
        <f>IFERROR(AVERAGE($AA1072/$AA1071-1,$AB1072/$AB1071-1,$AC1072/$AC1071-1,$AD1072/$AD1071-1,$AE1072/$AE1071-1,$AG1072/$AG1071-1,$AH1072/$AH1071-1,$AI1072/$AI1071-1,$AJ1072/$AJ1071-1,$AL1072/$AL1071-1,$AM1072/$AM1071-1,$AR1072/$AR1071-1,$AS1072/$AS1071-1,$AT1072/$AT1071-1,$AU1072/$AU1071-1,$AV1072/$AV1071-1,$AW1072/$AW1071-1,$AX1072/$AX1071-1,$AY1072/$AY1071-1),"")</f>
        <v/>
      </c>
      <c r="DW1071" s="66">
        <f>AVERAGE($CB1071,$CC1071,$CD1071,$CE1071,$CF1071,$CG1071,$CH1071,$CI1071,$CJ1071,$CL1071,$CM1071,$CN1071,$CO1071,$CP1071,$CQ1071,$CR1071,$CS1071,$CT1071)</f>
        <v/>
      </c>
      <c r="DX1071" s="66">
        <f>AVERAGE($CB1071,$CC1071,$CM1071,$CE1071,$CP1071)</f>
        <v/>
      </c>
      <c r="DY1071" s="64">
        <f>($DW1071-$DW1072)*100</f>
        <v/>
      </c>
      <c r="DZ1071" s="64">
        <f>($DX1071-$DX1072)*100</f>
        <v/>
      </c>
      <c r="EA1071" s="64">
        <f>($DW1071-$D1071)*100</f>
        <v/>
      </c>
      <c r="EB1071" s="64">
        <f>$Q1071-$O1071</f>
        <v/>
      </c>
      <c r="EC1071" s="67">
        <f>IFERROR($Q1071/$P1071,"")</f>
        <v/>
      </c>
    </row>
    <row r="1072">
      <c r="DG1072" s="64">
        <f>($B1072-$B1073)*100</f>
        <v/>
      </c>
      <c r="DH1072" s="64">
        <f>($D1072-$D1073)*100</f>
        <v/>
      </c>
      <c r="DI1072" s="64">
        <f>($E1072-$E1073)*100</f>
        <v/>
      </c>
      <c r="DJ1072" s="64">
        <f>($H1072-$H1073)*100</f>
        <v/>
      </c>
      <c r="DK1072" s="65">
        <f>IFERROR($J1072/$J1073-1,"")</f>
        <v/>
      </c>
      <c r="DL1072" s="64">
        <f>$L1072-$L1073</f>
        <v/>
      </c>
      <c r="DM1072" s="64">
        <f>$K1072-$K1073</f>
        <v/>
      </c>
      <c r="DN1072" s="65">
        <f>IFERROR($N1072/$N1073-1,"")</f>
        <v/>
      </c>
      <c r="DO1072" s="65">
        <f>IFERROR($M1072/$M1073-1,"")</f>
        <v/>
      </c>
      <c r="DP1072" s="65">
        <f>IFERROR($AZ1072/$AZ1073-1,"")</f>
        <v/>
      </c>
      <c r="DQ1072" s="65">
        <f>IFERROR($BA1072/$BA1073-1,"")</f>
        <v/>
      </c>
      <c r="DR1072" s="64">
        <f>$O1072-$O1073</f>
        <v/>
      </c>
      <c r="DS1072" s="64">
        <f>$P1072-$P1073</f>
        <v/>
      </c>
      <c r="DT1072" s="64">
        <f>$Q1072-$Q1073</f>
        <v/>
      </c>
      <c r="DU1072" s="64">
        <f>$S1072-$S1073</f>
        <v/>
      </c>
      <c r="DV1072" s="65">
        <f>IFERROR(AVERAGE($AA1073/$AA1072-1,$AB1073/$AB1072-1,$AC1073/$AC1072-1,$AD1073/$AD1072-1,$AE1073/$AE1072-1,$AG1073/$AG1072-1,$AH1073/$AH1072-1,$AI1073/$AI1072-1,$AJ1073/$AJ1072-1,$AL1073/$AL1072-1,$AM1073/$AM1072-1,$AR1073/$AR1072-1,$AS1073/$AS1072-1,$AT1073/$AT1072-1,$AU1073/$AU1072-1,$AV1073/$AV1072-1,$AW1073/$AW1072-1,$AX1073/$AX1072-1,$AY1073/$AY1072-1),"")</f>
        <v/>
      </c>
      <c r="DW1072" s="66">
        <f>AVERAGE($CB1072,$CC1072,$CD1072,$CE1072,$CF1072,$CG1072,$CH1072,$CI1072,$CJ1072,$CL1072,$CM1072,$CN1072,$CO1072,$CP1072,$CQ1072,$CR1072,$CS1072,$CT1072)</f>
        <v/>
      </c>
      <c r="DX1072" s="66">
        <f>AVERAGE($CB1072,$CC1072,$CM1072,$CE1072,$CP1072)</f>
        <v/>
      </c>
      <c r="DY1072" s="64">
        <f>($DW1072-$DW1073)*100</f>
        <v/>
      </c>
      <c r="DZ1072" s="64">
        <f>($DX1072-$DX1073)*100</f>
        <v/>
      </c>
      <c r="EA1072" s="64">
        <f>($DW1072-$D1072)*100</f>
        <v/>
      </c>
      <c r="EB1072" s="64">
        <f>$Q1072-$O1072</f>
        <v/>
      </c>
      <c r="EC1072" s="67">
        <f>IFERROR($Q1072/$P1072,"")</f>
        <v/>
      </c>
    </row>
    <row r="1073">
      <c r="DG1073" s="64">
        <f>($B1073-$B1074)*100</f>
        <v/>
      </c>
      <c r="DH1073" s="64">
        <f>($D1073-$D1074)*100</f>
        <v/>
      </c>
      <c r="DI1073" s="64">
        <f>($E1073-$E1074)*100</f>
        <v/>
      </c>
      <c r="DJ1073" s="64">
        <f>($H1073-$H1074)*100</f>
        <v/>
      </c>
      <c r="DK1073" s="65">
        <f>IFERROR($J1073/$J1074-1,"")</f>
        <v/>
      </c>
      <c r="DL1073" s="64">
        <f>$L1073-$L1074</f>
        <v/>
      </c>
      <c r="DM1073" s="64">
        <f>$K1073-$K1074</f>
        <v/>
      </c>
      <c r="DN1073" s="65">
        <f>IFERROR($N1073/$N1074-1,"")</f>
        <v/>
      </c>
      <c r="DO1073" s="65">
        <f>IFERROR($M1073/$M1074-1,"")</f>
        <v/>
      </c>
      <c r="DP1073" s="65">
        <f>IFERROR($AZ1073/$AZ1074-1,"")</f>
        <v/>
      </c>
      <c r="DQ1073" s="65">
        <f>IFERROR($BA1073/$BA1074-1,"")</f>
        <v/>
      </c>
      <c r="DR1073" s="64">
        <f>$O1073-$O1074</f>
        <v/>
      </c>
      <c r="DS1073" s="64">
        <f>$P1073-$P1074</f>
        <v/>
      </c>
      <c r="DT1073" s="64">
        <f>$Q1073-$Q1074</f>
        <v/>
      </c>
      <c r="DU1073" s="64">
        <f>$S1073-$S1074</f>
        <v/>
      </c>
      <c r="DV1073" s="65">
        <f>IFERROR(AVERAGE($AA1074/$AA1073-1,$AB1074/$AB1073-1,$AC1074/$AC1073-1,$AD1074/$AD1073-1,$AE1074/$AE1073-1,$AG1074/$AG1073-1,$AH1074/$AH1073-1,$AI1074/$AI1073-1,$AJ1074/$AJ1073-1,$AL1074/$AL1073-1,$AM1074/$AM1073-1,$AR1074/$AR1073-1,$AS1074/$AS1073-1,$AT1074/$AT1073-1,$AU1074/$AU1073-1,$AV1074/$AV1073-1,$AW1074/$AW1073-1,$AX1074/$AX1073-1,$AY1074/$AY1073-1),"")</f>
        <v/>
      </c>
      <c r="DW1073" s="66">
        <f>AVERAGE($CB1073,$CC1073,$CD1073,$CE1073,$CF1073,$CG1073,$CH1073,$CI1073,$CJ1073,$CL1073,$CM1073,$CN1073,$CO1073,$CP1073,$CQ1073,$CR1073,$CS1073,$CT1073)</f>
        <v/>
      </c>
      <c r="DX1073" s="66">
        <f>AVERAGE($CB1073,$CC1073,$CM1073,$CE1073,$CP1073)</f>
        <v/>
      </c>
      <c r="DY1073" s="64">
        <f>($DW1073-$DW1074)*100</f>
        <v/>
      </c>
      <c r="DZ1073" s="64">
        <f>($DX1073-$DX1074)*100</f>
        <v/>
      </c>
      <c r="EA1073" s="64">
        <f>($DW1073-$D1073)*100</f>
        <v/>
      </c>
      <c r="EB1073" s="64">
        <f>$Q1073-$O1073</f>
        <v/>
      </c>
      <c r="EC1073" s="67">
        <f>IFERROR($Q1073/$P1073,"")</f>
        <v/>
      </c>
    </row>
    <row r="1074">
      <c r="DG1074" s="64">
        <f>($B1074-$B1075)*100</f>
        <v/>
      </c>
      <c r="DH1074" s="64">
        <f>($D1074-$D1075)*100</f>
        <v/>
      </c>
      <c r="DI1074" s="64">
        <f>($E1074-$E1075)*100</f>
        <v/>
      </c>
      <c r="DJ1074" s="64">
        <f>($H1074-$H1075)*100</f>
        <v/>
      </c>
      <c r="DK1074" s="65">
        <f>IFERROR($J1074/$J1075-1,"")</f>
        <v/>
      </c>
      <c r="DL1074" s="64">
        <f>$L1074-$L1075</f>
        <v/>
      </c>
      <c r="DM1074" s="64">
        <f>$K1074-$K1075</f>
        <v/>
      </c>
      <c r="DN1074" s="65">
        <f>IFERROR($N1074/$N1075-1,"")</f>
        <v/>
      </c>
      <c r="DO1074" s="65">
        <f>IFERROR($M1074/$M1075-1,"")</f>
        <v/>
      </c>
      <c r="DP1074" s="65">
        <f>IFERROR($AZ1074/$AZ1075-1,"")</f>
        <v/>
      </c>
      <c r="DQ1074" s="65">
        <f>IFERROR($BA1074/$BA1075-1,"")</f>
        <v/>
      </c>
      <c r="DR1074" s="64">
        <f>$O1074-$O1075</f>
        <v/>
      </c>
      <c r="DS1074" s="64">
        <f>$P1074-$P1075</f>
        <v/>
      </c>
      <c r="DT1074" s="64">
        <f>$Q1074-$Q1075</f>
        <v/>
      </c>
      <c r="DU1074" s="64">
        <f>$S1074-$S1075</f>
        <v/>
      </c>
      <c r="DV1074" s="65">
        <f>IFERROR(AVERAGE($AA1075/$AA1074-1,$AB1075/$AB1074-1,$AC1075/$AC1074-1,$AD1075/$AD1074-1,$AE1075/$AE1074-1,$AG1075/$AG1074-1,$AH1075/$AH1074-1,$AI1075/$AI1074-1,$AJ1075/$AJ1074-1,$AL1075/$AL1074-1,$AM1075/$AM1074-1,$AR1075/$AR1074-1,$AS1075/$AS1074-1,$AT1075/$AT1074-1,$AU1075/$AU1074-1,$AV1075/$AV1074-1,$AW1075/$AW1074-1,$AX1075/$AX1074-1,$AY1075/$AY1074-1),"")</f>
        <v/>
      </c>
      <c r="DW1074" s="66">
        <f>AVERAGE($CB1074,$CC1074,$CD1074,$CE1074,$CF1074,$CG1074,$CH1074,$CI1074,$CJ1074,$CL1074,$CM1074,$CN1074,$CO1074,$CP1074,$CQ1074,$CR1074,$CS1074,$CT1074)</f>
        <v/>
      </c>
      <c r="DX1074" s="66">
        <f>AVERAGE($CB1074,$CC1074,$CM1074,$CE1074,$CP1074)</f>
        <v/>
      </c>
      <c r="DY1074" s="64">
        <f>($DW1074-$DW1075)*100</f>
        <v/>
      </c>
      <c r="DZ1074" s="64">
        <f>($DX1074-$DX1075)*100</f>
        <v/>
      </c>
      <c r="EA1074" s="64">
        <f>($DW1074-$D1074)*100</f>
        <v/>
      </c>
      <c r="EB1074" s="64">
        <f>$Q1074-$O1074</f>
        <v/>
      </c>
      <c r="EC1074" s="67">
        <f>IFERROR($Q1074/$P1074,"")</f>
        <v/>
      </c>
    </row>
    <row r="1075">
      <c r="DG1075" s="64">
        <f>($B1075-$B1076)*100</f>
        <v/>
      </c>
      <c r="DH1075" s="64">
        <f>($D1075-$D1076)*100</f>
        <v/>
      </c>
      <c r="DI1075" s="64">
        <f>($E1075-$E1076)*100</f>
        <v/>
      </c>
      <c r="DJ1075" s="64">
        <f>($H1075-$H1076)*100</f>
        <v/>
      </c>
      <c r="DK1075" s="65">
        <f>IFERROR($J1075/$J1076-1,"")</f>
        <v/>
      </c>
      <c r="DL1075" s="64">
        <f>$L1075-$L1076</f>
        <v/>
      </c>
      <c r="DM1075" s="64">
        <f>$K1075-$K1076</f>
        <v/>
      </c>
      <c r="DN1075" s="65">
        <f>IFERROR($N1075/$N1076-1,"")</f>
        <v/>
      </c>
      <c r="DO1075" s="65">
        <f>IFERROR($M1075/$M1076-1,"")</f>
        <v/>
      </c>
      <c r="DP1075" s="65">
        <f>IFERROR($AZ1075/$AZ1076-1,"")</f>
        <v/>
      </c>
      <c r="DQ1075" s="65">
        <f>IFERROR($BA1075/$BA1076-1,"")</f>
        <v/>
      </c>
      <c r="DR1075" s="64">
        <f>$O1075-$O1076</f>
        <v/>
      </c>
      <c r="DS1075" s="64">
        <f>$P1075-$P1076</f>
        <v/>
      </c>
      <c r="DT1075" s="64">
        <f>$Q1075-$Q1076</f>
        <v/>
      </c>
      <c r="DU1075" s="64">
        <f>$S1075-$S1076</f>
        <v/>
      </c>
      <c r="DV1075" s="65">
        <f>IFERROR(AVERAGE($AA1076/$AA1075-1,$AB1076/$AB1075-1,$AC1076/$AC1075-1,$AD1076/$AD1075-1,$AE1076/$AE1075-1,$AG1076/$AG1075-1,$AH1076/$AH1075-1,$AI1076/$AI1075-1,$AJ1076/$AJ1075-1,$AL1076/$AL1075-1,$AM1076/$AM1075-1,$AR1076/$AR1075-1,$AS1076/$AS1075-1,$AT1076/$AT1075-1,$AU1076/$AU1075-1,$AV1076/$AV1075-1,$AW1076/$AW1075-1,$AX1076/$AX1075-1,$AY1076/$AY1075-1),"")</f>
        <v/>
      </c>
      <c r="DW1075" s="66">
        <f>AVERAGE($CB1075,$CC1075,$CD1075,$CE1075,$CF1075,$CG1075,$CH1075,$CI1075,$CJ1075,$CL1075,$CM1075,$CN1075,$CO1075,$CP1075,$CQ1075,$CR1075,$CS1075,$CT1075)</f>
        <v/>
      </c>
      <c r="DX1075" s="66">
        <f>AVERAGE($CB1075,$CC1075,$CM1075,$CE1075,$CP1075)</f>
        <v/>
      </c>
      <c r="DY1075" s="64">
        <f>($DW1075-$DW1076)*100</f>
        <v/>
      </c>
      <c r="DZ1075" s="64">
        <f>($DX1075-$DX1076)*100</f>
        <v/>
      </c>
      <c r="EA1075" s="64">
        <f>($DW1075-$D1075)*100</f>
        <v/>
      </c>
      <c r="EB1075" s="64">
        <f>$Q1075-$O1075</f>
        <v/>
      </c>
      <c r="EC1075" s="67">
        <f>IFERROR($Q1075/$P1075,"")</f>
        <v/>
      </c>
    </row>
    <row r="1076">
      <c r="DG1076" s="64">
        <f>($B1076-$B1077)*100</f>
        <v/>
      </c>
      <c r="DH1076" s="64">
        <f>($D1076-$D1077)*100</f>
        <v/>
      </c>
      <c r="DI1076" s="64">
        <f>($E1076-$E1077)*100</f>
        <v/>
      </c>
      <c r="DJ1076" s="64">
        <f>($H1076-$H1077)*100</f>
        <v/>
      </c>
      <c r="DK1076" s="65">
        <f>IFERROR($J1076/$J1077-1,"")</f>
        <v/>
      </c>
      <c r="DL1076" s="64">
        <f>$L1076-$L1077</f>
        <v/>
      </c>
      <c r="DM1076" s="64">
        <f>$K1076-$K1077</f>
        <v/>
      </c>
      <c r="DN1076" s="65">
        <f>IFERROR($N1076/$N1077-1,"")</f>
        <v/>
      </c>
      <c r="DO1076" s="65">
        <f>IFERROR($M1076/$M1077-1,"")</f>
        <v/>
      </c>
      <c r="DP1076" s="65">
        <f>IFERROR($AZ1076/$AZ1077-1,"")</f>
        <v/>
      </c>
      <c r="DQ1076" s="65">
        <f>IFERROR($BA1076/$BA1077-1,"")</f>
        <v/>
      </c>
      <c r="DR1076" s="64">
        <f>$O1076-$O1077</f>
        <v/>
      </c>
      <c r="DS1076" s="64">
        <f>$P1076-$P1077</f>
        <v/>
      </c>
      <c r="DT1076" s="64">
        <f>$Q1076-$Q1077</f>
        <v/>
      </c>
      <c r="DU1076" s="64">
        <f>$S1076-$S1077</f>
        <v/>
      </c>
      <c r="DV1076" s="65">
        <f>IFERROR(AVERAGE($AA1077/$AA1076-1,$AB1077/$AB1076-1,$AC1077/$AC1076-1,$AD1077/$AD1076-1,$AE1077/$AE1076-1,$AG1077/$AG1076-1,$AH1077/$AH1076-1,$AI1077/$AI1076-1,$AJ1077/$AJ1076-1,$AL1077/$AL1076-1,$AM1077/$AM1076-1,$AR1077/$AR1076-1,$AS1077/$AS1076-1,$AT1077/$AT1076-1,$AU1077/$AU1076-1,$AV1077/$AV1076-1,$AW1077/$AW1076-1,$AX1077/$AX1076-1,$AY1077/$AY1076-1),"")</f>
        <v/>
      </c>
      <c r="DW1076" s="66">
        <f>AVERAGE($CB1076,$CC1076,$CD1076,$CE1076,$CF1076,$CG1076,$CH1076,$CI1076,$CJ1076,$CL1076,$CM1076,$CN1076,$CO1076,$CP1076,$CQ1076,$CR1076,$CS1076,$CT1076)</f>
        <v/>
      </c>
      <c r="DX1076" s="66">
        <f>AVERAGE($CB1076,$CC1076,$CM1076,$CE1076,$CP1076)</f>
        <v/>
      </c>
      <c r="DY1076" s="64">
        <f>($DW1076-$DW1077)*100</f>
        <v/>
      </c>
      <c r="DZ1076" s="64">
        <f>($DX1076-$DX1077)*100</f>
        <v/>
      </c>
      <c r="EA1076" s="64">
        <f>($DW1076-$D1076)*100</f>
        <v/>
      </c>
      <c r="EB1076" s="64">
        <f>$Q1076-$O1076</f>
        <v/>
      </c>
      <c r="EC1076" s="67">
        <f>IFERROR($Q1076/$P1076,"")</f>
        <v/>
      </c>
    </row>
    <row r="1077">
      <c r="DG1077" s="64">
        <f>($B1077-$B1078)*100</f>
        <v/>
      </c>
      <c r="DH1077" s="64">
        <f>($D1077-$D1078)*100</f>
        <v/>
      </c>
      <c r="DI1077" s="64">
        <f>($E1077-$E1078)*100</f>
        <v/>
      </c>
      <c r="DJ1077" s="64">
        <f>($H1077-$H1078)*100</f>
        <v/>
      </c>
      <c r="DK1077" s="65">
        <f>IFERROR($J1077/$J1078-1,"")</f>
        <v/>
      </c>
      <c r="DL1077" s="64">
        <f>$L1077-$L1078</f>
        <v/>
      </c>
      <c r="DM1077" s="64">
        <f>$K1077-$K1078</f>
        <v/>
      </c>
      <c r="DN1077" s="65">
        <f>IFERROR($N1077/$N1078-1,"")</f>
        <v/>
      </c>
      <c r="DO1077" s="65">
        <f>IFERROR($M1077/$M1078-1,"")</f>
        <v/>
      </c>
      <c r="DP1077" s="65">
        <f>IFERROR($AZ1077/$AZ1078-1,"")</f>
        <v/>
      </c>
      <c r="DQ1077" s="65">
        <f>IFERROR($BA1077/$BA1078-1,"")</f>
        <v/>
      </c>
      <c r="DR1077" s="64">
        <f>$O1077-$O1078</f>
        <v/>
      </c>
      <c r="DS1077" s="64">
        <f>$P1077-$P1078</f>
        <v/>
      </c>
      <c r="DT1077" s="64">
        <f>$Q1077-$Q1078</f>
        <v/>
      </c>
      <c r="DU1077" s="64">
        <f>$S1077-$S1078</f>
        <v/>
      </c>
      <c r="DV1077" s="65">
        <f>IFERROR(AVERAGE($AA1078/$AA1077-1,$AB1078/$AB1077-1,$AC1078/$AC1077-1,$AD1078/$AD1077-1,$AE1078/$AE1077-1,$AG1078/$AG1077-1,$AH1078/$AH1077-1,$AI1078/$AI1077-1,$AJ1078/$AJ1077-1,$AL1078/$AL1077-1,$AM1078/$AM1077-1,$AR1078/$AR1077-1,$AS1078/$AS1077-1,$AT1078/$AT1077-1,$AU1078/$AU1077-1,$AV1078/$AV1077-1,$AW1078/$AW1077-1,$AX1078/$AX1077-1,$AY1078/$AY1077-1),"")</f>
        <v/>
      </c>
      <c r="DW1077" s="66">
        <f>AVERAGE($CB1077,$CC1077,$CD1077,$CE1077,$CF1077,$CG1077,$CH1077,$CI1077,$CJ1077,$CL1077,$CM1077,$CN1077,$CO1077,$CP1077,$CQ1077,$CR1077,$CS1077,$CT1077)</f>
        <v/>
      </c>
      <c r="DX1077" s="66">
        <f>AVERAGE($CB1077,$CC1077,$CM1077,$CE1077,$CP1077)</f>
        <v/>
      </c>
      <c r="DY1077" s="64">
        <f>($DW1077-$DW1078)*100</f>
        <v/>
      </c>
      <c r="DZ1077" s="64">
        <f>($DX1077-$DX1078)*100</f>
        <v/>
      </c>
      <c r="EA1077" s="64">
        <f>($DW1077-$D1077)*100</f>
        <v/>
      </c>
      <c r="EB1077" s="64">
        <f>$Q1077-$O1077</f>
        <v/>
      </c>
      <c r="EC1077" s="67">
        <f>IFERROR($Q1077/$P1077,"")</f>
        <v/>
      </c>
    </row>
    <row r="1078">
      <c r="DG1078" s="64">
        <f>($B1078-$B1079)*100</f>
        <v/>
      </c>
      <c r="DH1078" s="64">
        <f>($D1078-$D1079)*100</f>
        <v/>
      </c>
      <c r="DI1078" s="64">
        <f>($E1078-$E1079)*100</f>
        <v/>
      </c>
      <c r="DJ1078" s="64">
        <f>($H1078-$H1079)*100</f>
        <v/>
      </c>
      <c r="DK1078" s="65">
        <f>IFERROR($J1078/$J1079-1,"")</f>
        <v/>
      </c>
      <c r="DL1078" s="64">
        <f>$L1078-$L1079</f>
        <v/>
      </c>
      <c r="DM1078" s="64">
        <f>$K1078-$K1079</f>
        <v/>
      </c>
      <c r="DN1078" s="65">
        <f>IFERROR($N1078/$N1079-1,"")</f>
        <v/>
      </c>
      <c r="DO1078" s="65">
        <f>IFERROR($M1078/$M1079-1,"")</f>
        <v/>
      </c>
      <c r="DP1078" s="65">
        <f>IFERROR($AZ1078/$AZ1079-1,"")</f>
        <v/>
      </c>
      <c r="DQ1078" s="65">
        <f>IFERROR($BA1078/$BA1079-1,"")</f>
        <v/>
      </c>
      <c r="DR1078" s="64">
        <f>$O1078-$O1079</f>
        <v/>
      </c>
      <c r="DS1078" s="64">
        <f>$P1078-$P1079</f>
        <v/>
      </c>
      <c r="DT1078" s="64">
        <f>$Q1078-$Q1079</f>
        <v/>
      </c>
      <c r="DU1078" s="64">
        <f>$S1078-$S1079</f>
        <v/>
      </c>
      <c r="DV1078" s="65">
        <f>IFERROR(AVERAGE($AA1079/$AA1078-1,$AB1079/$AB1078-1,$AC1079/$AC1078-1,$AD1079/$AD1078-1,$AE1079/$AE1078-1,$AG1079/$AG1078-1,$AH1079/$AH1078-1,$AI1079/$AI1078-1,$AJ1079/$AJ1078-1,$AL1079/$AL1078-1,$AM1079/$AM1078-1,$AR1079/$AR1078-1,$AS1079/$AS1078-1,$AT1079/$AT1078-1,$AU1079/$AU1078-1,$AV1079/$AV1078-1,$AW1079/$AW1078-1,$AX1079/$AX1078-1,$AY1079/$AY1078-1),"")</f>
        <v/>
      </c>
      <c r="DW1078" s="66">
        <f>AVERAGE($CB1078,$CC1078,$CD1078,$CE1078,$CF1078,$CG1078,$CH1078,$CI1078,$CJ1078,$CL1078,$CM1078,$CN1078,$CO1078,$CP1078,$CQ1078,$CR1078,$CS1078,$CT1078)</f>
        <v/>
      </c>
      <c r="DX1078" s="66">
        <f>AVERAGE($CB1078,$CC1078,$CM1078,$CE1078,$CP1078)</f>
        <v/>
      </c>
      <c r="DY1078" s="64">
        <f>($DW1078-$DW1079)*100</f>
        <v/>
      </c>
      <c r="DZ1078" s="64">
        <f>($DX1078-$DX1079)*100</f>
        <v/>
      </c>
      <c r="EA1078" s="64">
        <f>($DW1078-$D1078)*100</f>
        <v/>
      </c>
      <c r="EB1078" s="64">
        <f>$Q1078-$O1078</f>
        <v/>
      </c>
      <c r="EC1078" s="67">
        <f>IFERROR($Q1078/$P1078,"")</f>
        <v/>
      </c>
    </row>
    <row r="1079">
      <c r="DG1079" s="64">
        <f>($B1079-$B1080)*100</f>
        <v/>
      </c>
      <c r="DH1079" s="64">
        <f>($D1079-$D1080)*100</f>
        <v/>
      </c>
      <c r="DI1079" s="64">
        <f>($E1079-$E1080)*100</f>
        <v/>
      </c>
      <c r="DJ1079" s="64">
        <f>($H1079-$H1080)*100</f>
        <v/>
      </c>
      <c r="DK1079" s="65">
        <f>IFERROR($J1079/$J1080-1,"")</f>
        <v/>
      </c>
      <c r="DL1079" s="64">
        <f>$L1079-$L1080</f>
        <v/>
      </c>
      <c r="DM1079" s="64">
        <f>$K1079-$K1080</f>
        <v/>
      </c>
      <c r="DN1079" s="65">
        <f>IFERROR($N1079/$N1080-1,"")</f>
        <v/>
      </c>
      <c r="DO1079" s="65">
        <f>IFERROR($M1079/$M1080-1,"")</f>
        <v/>
      </c>
      <c r="DP1079" s="65">
        <f>IFERROR($AZ1079/$AZ1080-1,"")</f>
        <v/>
      </c>
      <c r="DQ1079" s="65">
        <f>IFERROR($BA1079/$BA1080-1,"")</f>
        <v/>
      </c>
      <c r="DR1079" s="64">
        <f>$O1079-$O1080</f>
        <v/>
      </c>
      <c r="DS1079" s="64">
        <f>$P1079-$P1080</f>
        <v/>
      </c>
      <c r="DT1079" s="64">
        <f>$Q1079-$Q1080</f>
        <v/>
      </c>
      <c r="DU1079" s="64">
        <f>$S1079-$S1080</f>
        <v/>
      </c>
      <c r="DV1079" s="65">
        <f>IFERROR(AVERAGE($AA1080/$AA1079-1,$AB1080/$AB1079-1,$AC1080/$AC1079-1,$AD1080/$AD1079-1,$AE1080/$AE1079-1,$AG1080/$AG1079-1,$AH1080/$AH1079-1,$AI1080/$AI1079-1,$AJ1080/$AJ1079-1,$AL1080/$AL1079-1,$AM1080/$AM1079-1,$AR1080/$AR1079-1,$AS1080/$AS1079-1,$AT1080/$AT1079-1,$AU1080/$AU1079-1,$AV1080/$AV1079-1,$AW1080/$AW1079-1,$AX1080/$AX1079-1,$AY1080/$AY1079-1),"")</f>
        <v/>
      </c>
      <c r="DW1079" s="66">
        <f>AVERAGE($CB1079,$CC1079,$CD1079,$CE1079,$CF1079,$CG1079,$CH1079,$CI1079,$CJ1079,$CL1079,$CM1079,$CN1079,$CO1079,$CP1079,$CQ1079,$CR1079,$CS1079,$CT1079)</f>
        <v/>
      </c>
      <c r="DX1079" s="66">
        <f>AVERAGE($CB1079,$CC1079,$CM1079,$CE1079,$CP1079)</f>
        <v/>
      </c>
      <c r="DY1079" s="64">
        <f>($DW1079-$DW1080)*100</f>
        <v/>
      </c>
      <c r="DZ1079" s="64">
        <f>($DX1079-$DX1080)*100</f>
        <v/>
      </c>
      <c r="EA1079" s="64">
        <f>($DW1079-$D1079)*100</f>
        <v/>
      </c>
      <c r="EB1079" s="64">
        <f>$Q1079-$O1079</f>
        <v/>
      </c>
      <c r="EC1079" s="67">
        <f>IFERROR($Q1079/$P1079,"")</f>
        <v/>
      </c>
    </row>
    <row r="1080">
      <c r="DG1080" s="64">
        <f>($B1080-$B1081)*100</f>
        <v/>
      </c>
      <c r="DH1080" s="64">
        <f>($D1080-$D1081)*100</f>
        <v/>
      </c>
      <c r="DI1080" s="64">
        <f>($E1080-$E1081)*100</f>
        <v/>
      </c>
      <c r="DJ1080" s="64">
        <f>($H1080-$H1081)*100</f>
        <v/>
      </c>
      <c r="DK1080" s="65">
        <f>IFERROR($J1080/$J1081-1,"")</f>
        <v/>
      </c>
      <c r="DL1080" s="64">
        <f>$L1080-$L1081</f>
        <v/>
      </c>
      <c r="DM1080" s="64">
        <f>$K1080-$K1081</f>
        <v/>
      </c>
      <c r="DN1080" s="65">
        <f>IFERROR($N1080/$N1081-1,"")</f>
        <v/>
      </c>
      <c r="DO1080" s="65">
        <f>IFERROR($M1080/$M1081-1,"")</f>
        <v/>
      </c>
      <c r="DP1080" s="65">
        <f>IFERROR($AZ1080/$AZ1081-1,"")</f>
        <v/>
      </c>
      <c r="DQ1080" s="65">
        <f>IFERROR($BA1080/$BA1081-1,"")</f>
        <v/>
      </c>
      <c r="DR1080" s="64">
        <f>$O1080-$O1081</f>
        <v/>
      </c>
      <c r="DS1080" s="64">
        <f>$P1080-$P1081</f>
        <v/>
      </c>
      <c r="DT1080" s="64">
        <f>$Q1080-$Q1081</f>
        <v/>
      </c>
      <c r="DU1080" s="64">
        <f>$S1080-$S1081</f>
        <v/>
      </c>
      <c r="DV1080" s="65">
        <f>IFERROR(AVERAGE($AA1081/$AA1080-1,$AB1081/$AB1080-1,$AC1081/$AC1080-1,$AD1081/$AD1080-1,$AE1081/$AE1080-1,$AG1081/$AG1080-1,$AH1081/$AH1080-1,$AI1081/$AI1080-1,$AJ1081/$AJ1080-1,$AL1081/$AL1080-1,$AM1081/$AM1080-1,$AR1081/$AR1080-1,$AS1081/$AS1080-1,$AT1081/$AT1080-1,$AU1081/$AU1080-1,$AV1081/$AV1080-1,$AW1081/$AW1080-1,$AX1081/$AX1080-1,$AY1081/$AY1080-1),"")</f>
        <v/>
      </c>
      <c r="DW1080" s="66">
        <f>AVERAGE($CB1080,$CC1080,$CD1080,$CE1080,$CF1080,$CG1080,$CH1080,$CI1080,$CJ1080,$CL1080,$CM1080,$CN1080,$CO1080,$CP1080,$CQ1080,$CR1080,$CS1080,$CT1080)</f>
        <v/>
      </c>
      <c r="DX1080" s="66">
        <f>AVERAGE($CB1080,$CC1080,$CM1080,$CE1080,$CP1080)</f>
        <v/>
      </c>
      <c r="DY1080" s="64">
        <f>($DW1080-$DW1081)*100</f>
        <v/>
      </c>
      <c r="DZ1080" s="64">
        <f>($DX1080-$DX1081)*100</f>
        <v/>
      </c>
      <c r="EA1080" s="64">
        <f>($DW1080-$D1080)*100</f>
        <v/>
      </c>
      <c r="EB1080" s="64">
        <f>$Q1080-$O1080</f>
        <v/>
      </c>
      <c r="EC1080" s="67">
        <f>IFERROR($Q1080/$P1080,"")</f>
        <v/>
      </c>
    </row>
    <row r="1081">
      <c r="DG1081" s="64">
        <f>($B1081-$B1082)*100</f>
        <v/>
      </c>
      <c r="DH1081" s="64">
        <f>($D1081-$D1082)*100</f>
        <v/>
      </c>
      <c r="DI1081" s="64">
        <f>($E1081-$E1082)*100</f>
        <v/>
      </c>
      <c r="DJ1081" s="64">
        <f>($H1081-$H1082)*100</f>
        <v/>
      </c>
      <c r="DK1081" s="65">
        <f>IFERROR($J1081/$J1082-1,"")</f>
        <v/>
      </c>
      <c r="DL1081" s="64">
        <f>$L1081-$L1082</f>
        <v/>
      </c>
      <c r="DM1081" s="64">
        <f>$K1081-$K1082</f>
        <v/>
      </c>
      <c r="DN1081" s="65">
        <f>IFERROR($N1081/$N1082-1,"")</f>
        <v/>
      </c>
      <c r="DO1081" s="65">
        <f>IFERROR($M1081/$M1082-1,"")</f>
        <v/>
      </c>
      <c r="DP1081" s="65">
        <f>IFERROR($AZ1081/$AZ1082-1,"")</f>
        <v/>
      </c>
      <c r="DQ1081" s="65">
        <f>IFERROR($BA1081/$BA1082-1,"")</f>
        <v/>
      </c>
      <c r="DR1081" s="64">
        <f>$O1081-$O1082</f>
        <v/>
      </c>
      <c r="DS1081" s="64">
        <f>$P1081-$P1082</f>
        <v/>
      </c>
      <c r="DT1081" s="64">
        <f>$Q1081-$Q1082</f>
        <v/>
      </c>
      <c r="DU1081" s="64">
        <f>$S1081-$S1082</f>
        <v/>
      </c>
      <c r="DV1081" s="65">
        <f>IFERROR(AVERAGE($AA1082/$AA1081-1,$AB1082/$AB1081-1,$AC1082/$AC1081-1,$AD1082/$AD1081-1,$AE1082/$AE1081-1,$AG1082/$AG1081-1,$AH1082/$AH1081-1,$AI1082/$AI1081-1,$AJ1082/$AJ1081-1,$AL1082/$AL1081-1,$AM1082/$AM1081-1,$AR1082/$AR1081-1,$AS1082/$AS1081-1,$AT1082/$AT1081-1,$AU1082/$AU1081-1,$AV1082/$AV1081-1,$AW1082/$AW1081-1,$AX1082/$AX1081-1,$AY1082/$AY1081-1),"")</f>
        <v/>
      </c>
      <c r="DW1081" s="66">
        <f>AVERAGE($CB1081,$CC1081,$CD1081,$CE1081,$CF1081,$CG1081,$CH1081,$CI1081,$CJ1081,$CL1081,$CM1081,$CN1081,$CO1081,$CP1081,$CQ1081,$CR1081,$CS1081,$CT1081)</f>
        <v/>
      </c>
      <c r="DX1081" s="66">
        <f>AVERAGE($CB1081,$CC1081,$CM1081,$CE1081,$CP1081)</f>
        <v/>
      </c>
      <c r="DY1081" s="64">
        <f>($DW1081-$DW1082)*100</f>
        <v/>
      </c>
      <c r="DZ1081" s="64">
        <f>($DX1081-$DX1082)*100</f>
        <v/>
      </c>
      <c r="EA1081" s="64">
        <f>($DW1081-$D1081)*100</f>
        <v/>
      </c>
      <c r="EB1081" s="64">
        <f>$Q1081-$O1081</f>
        <v/>
      </c>
      <c r="EC1081" s="67">
        <f>IFERROR($Q1081/$P1081,"")</f>
        <v/>
      </c>
    </row>
    <row r="1082">
      <c r="DG1082" s="64">
        <f>($B1082-$B1083)*100</f>
        <v/>
      </c>
      <c r="DH1082" s="64">
        <f>($D1082-$D1083)*100</f>
        <v/>
      </c>
      <c r="DI1082" s="64">
        <f>($E1082-$E1083)*100</f>
        <v/>
      </c>
      <c r="DJ1082" s="64">
        <f>($H1082-$H1083)*100</f>
        <v/>
      </c>
      <c r="DK1082" s="65">
        <f>IFERROR($J1082/$J1083-1,"")</f>
        <v/>
      </c>
      <c r="DL1082" s="64">
        <f>$L1082-$L1083</f>
        <v/>
      </c>
      <c r="DM1082" s="64">
        <f>$K1082-$K1083</f>
        <v/>
      </c>
      <c r="DN1082" s="65">
        <f>IFERROR($N1082/$N1083-1,"")</f>
        <v/>
      </c>
      <c r="DO1082" s="65">
        <f>IFERROR($M1082/$M1083-1,"")</f>
        <v/>
      </c>
      <c r="DP1082" s="65">
        <f>IFERROR($AZ1082/$AZ1083-1,"")</f>
        <v/>
      </c>
      <c r="DQ1082" s="65">
        <f>IFERROR($BA1082/$BA1083-1,"")</f>
        <v/>
      </c>
      <c r="DR1082" s="64">
        <f>$O1082-$O1083</f>
        <v/>
      </c>
      <c r="DS1082" s="64">
        <f>$P1082-$P1083</f>
        <v/>
      </c>
      <c r="DT1082" s="64">
        <f>$Q1082-$Q1083</f>
        <v/>
      </c>
      <c r="DU1082" s="64">
        <f>$S1082-$S1083</f>
        <v/>
      </c>
      <c r="DV1082" s="65">
        <f>IFERROR(AVERAGE($AA1083/$AA1082-1,$AB1083/$AB1082-1,$AC1083/$AC1082-1,$AD1083/$AD1082-1,$AE1083/$AE1082-1,$AG1083/$AG1082-1,$AH1083/$AH1082-1,$AI1083/$AI1082-1,$AJ1083/$AJ1082-1,$AL1083/$AL1082-1,$AM1083/$AM1082-1,$AR1083/$AR1082-1,$AS1083/$AS1082-1,$AT1083/$AT1082-1,$AU1083/$AU1082-1,$AV1083/$AV1082-1,$AW1083/$AW1082-1,$AX1083/$AX1082-1,$AY1083/$AY1082-1),"")</f>
        <v/>
      </c>
      <c r="DW1082" s="66">
        <f>AVERAGE($CB1082,$CC1082,$CD1082,$CE1082,$CF1082,$CG1082,$CH1082,$CI1082,$CJ1082,$CL1082,$CM1082,$CN1082,$CO1082,$CP1082,$CQ1082,$CR1082,$CS1082,$CT1082)</f>
        <v/>
      </c>
      <c r="DX1082" s="66">
        <f>AVERAGE($CB1082,$CC1082,$CM1082,$CE1082,$CP1082)</f>
        <v/>
      </c>
      <c r="DY1082" s="64">
        <f>($DW1082-$DW1083)*100</f>
        <v/>
      </c>
      <c r="DZ1082" s="64">
        <f>($DX1082-$DX1083)*100</f>
        <v/>
      </c>
      <c r="EA1082" s="64">
        <f>($DW1082-$D1082)*100</f>
        <v/>
      </c>
      <c r="EB1082" s="64">
        <f>$Q1082-$O1082</f>
        <v/>
      </c>
      <c r="EC1082" s="67">
        <f>IFERROR($Q1082/$P1082,"")</f>
        <v/>
      </c>
    </row>
    <row r="1083">
      <c r="DG1083" s="64">
        <f>($B1083-$B1084)*100</f>
        <v/>
      </c>
      <c r="DH1083" s="64">
        <f>($D1083-$D1084)*100</f>
        <v/>
      </c>
      <c r="DI1083" s="64">
        <f>($E1083-$E1084)*100</f>
        <v/>
      </c>
      <c r="DJ1083" s="64">
        <f>($H1083-$H1084)*100</f>
        <v/>
      </c>
      <c r="DK1083" s="65">
        <f>IFERROR($J1083/$J1084-1,"")</f>
        <v/>
      </c>
      <c r="DL1083" s="64">
        <f>$L1083-$L1084</f>
        <v/>
      </c>
      <c r="DM1083" s="64">
        <f>$K1083-$K1084</f>
        <v/>
      </c>
      <c r="DN1083" s="65">
        <f>IFERROR($N1083/$N1084-1,"")</f>
        <v/>
      </c>
      <c r="DO1083" s="65">
        <f>IFERROR($M1083/$M1084-1,"")</f>
        <v/>
      </c>
      <c r="DP1083" s="65">
        <f>IFERROR($AZ1083/$AZ1084-1,"")</f>
        <v/>
      </c>
      <c r="DQ1083" s="65">
        <f>IFERROR($BA1083/$BA1084-1,"")</f>
        <v/>
      </c>
      <c r="DR1083" s="64">
        <f>$O1083-$O1084</f>
        <v/>
      </c>
      <c r="DS1083" s="64">
        <f>$P1083-$P1084</f>
        <v/>
      </c>
      <c r="DT1083" s="64">
        <f>$Q1083-$Q1084</f>
        <v/>
      </c>
      <c r="DU1083" s="64">
        <f>$S1083-$S1084</f>
        <v/>
      </c>
      <c r="DV1083" s="65">
        <f>IFERROR(AVERAGE($AA1084/$AA1083-1,$AB1084/$AB1083-1,$AC1084/$AC1083-1,$AD1084/$AD1083-1,$AE1084/$AE1083-1,$AG1084/$AG1083-1,$AH1084/$AH1083-1,$AI1084/$AI1083-1,$AJ1084/$AJ1083-1,$AL1084/$AL1083-1,$AM1084/$AM1083-1,$AR1084/$AR1083-1,$AS1084/$AS1083-1,$AT1084/$AT1083-1,$AU1084/$AU1083-1,$AV1084/$AV1083-1,$AW1084/$AW1083-1,$AX1084/$AX1083-1,$AY1084/$AY1083-1),"")</f>
        <v/>
      </c>
      <c r="DW1083" s="66">
        <f>AVERAGE($CB1083,$CC1083,$CD1083,$CE1083,$CF1083,$CG1083,$CH1083,$CI1083,$CJ1083,$CL1083,$CM1083,$CN1083,$CO1083,$CP1083,$CQ1083,$CR1083,$CS1083,$CT1083)</f>
        <v/>
      </c>
      <c r="DX1083" s="66">
        <f>AVERAGE($CB1083,$CC1083,$CM1083,$CE1083,$CP1083)</f>
        <v/>
      </c>
      <c r="DY1083" s="64">
        <f>($DW1083-$DW1084)*100</f>
        <v/>
      </c>
      <c r="DZ1083" s="64">
        <f>($DX1083-$DX1084)*100</f>
        <v/>
      </c>
      <c r="EA1083" s="64">
        <f>($DW1083-$D1083)*100</f>
        <v/>
      </c>
      <c r="EB1083" s="64">
        <f>$Q1083-$O1083</f>
        <v/>
      </c>
      <c r="EC1083" s="67">
        <f>IFERROR($Q1083/$P1083,"")</f>
        <v/>
      </c>
    </row>
    <row r="1084">
      <c r="DG1084" s="64">
        <f>($B1084-$B1085)*100</f>
        <v/>
      </c>
      <c r="DH1084" s="64">
        <f>($D1084-$D1085)*100</f>
        <v/>
      </c>
      <c r="DI1084" s="64">
        <f>($E1084-$E1085)*100</f>
        <v/>
      </c>
      <c r="DJ1084" s="64">
        <f>($H1084-$H1085)*100</f>
        <v/>
      </c>
      <c r="DK1084" s="65">
        <f>IFERROR($J1084/$J1085-1,"")</f>
        <v/>
      </c>
      <c r="DL1084" s="64">
        <f>$L1084-$L1085</f>
        <v/>
      </c>
      <c r="DM1084" s="64">
        <f>$K1084-$K1085</f>
        <v/>
      </c>
      <c r="DN1084" s="65">
        <f>IFERROR($N1084/$N1085-1,"")</f>
        <v/>
      </c>
      <c r="DO1084" s="65">
        <f>IFERROR($M1084/$M1085-1,"")</f>
        <v/>
      </c>
      <c r="DP1084" s="65">
        <f>IFERROR($AZ1084/$AZ1085-1,"")</f>
        <v/>
      </c>
      <c r="DQ1084" s="65">
        <f>IFERROR($BA1084/$BA1085-1,"")</f>
        <v/>
      </c>
      <c r="DR1084" s="64">
        <f>$O1084-$O1085</f>
        <v/>
      </c>
      <c r="DS1084" s="64">
        <f>$P1084-$P1085</f>
        <v/>
      </c>
      <c r="DT1084" s="64">
        <f>$Q1084-$Q1085</f>
        <v/>
      </c>
      <c r="DU1084" s="64">
        <f>$S1084-$S1085</f>
        <v/>
      </c>
      <c r="DV1084" s="65">
        <f>IFERROR(AVERAGE($AA1085/$AA1084-1,$AB1085/$AB1084-1,$AC1085/$AC1084-1,$AD1085/$AD1084-1,$AE1085/$AE1084-1,$AG1085/$AG1084-1,$AH1085/$AH1084-1,$AI1085/$AI1084-1,$AJ1085/$AJ1084-1,$AL1085/$AL1084-1,$AM1085/$AM1084-1,$AR1085/$AR1084-1,$AS1085/$AS1084-1,$AT1085/$AT1084-1,$AU1085/$AU1084-1,$AV1085/$AV1084-1,$AW1085/$AW1084-1,$AX1085/$AX1084-1,$AY1085/$AY1084-1),"")</f>
        <v/>
      </c>
      <c r="DW1084" s="66">
        <f>AVERAGE($CB1084,$CC1084,$CD1084,$CE1084,$CF1084,$CG1084,$CH1084,$CI1084,$CJ1084,$CL1084,$CM1084,$CN1084,$CO1084,$CP1084,$CQ1084,$CR1084,$CS1084,$CT1084)</f>
        <v/>
      </c>
      <c r="DX1084" s="66">
        <f>AVERAGE($CB1084,$CC1084,$CM1084,$CE1084,$CP1084)</f>
        <v/>
      </c>
      <c r="DY1084" s="64">
        <f>($DW1084-$DW1085)*100</f>
        <v/>
      </c>
      <c r="DZ1084" s="64">
        <f>($DX1084-$DX1085)*100</f>
        <v/>
      </c>
      <c r="EA1084" s="64">
        <f>($DW1084-$D1084)*100</f>
        <v/>
      </c>
      <c r="EB1084" s="64">
        <f>$Q1084-$O1084</f>
        <v/>
      </c>
      <c r="EC1084" s="67">
        <f>IFERROR($Q1084/$P1084,"")</f>
        <v/>
      </c>
    </row>
    <row r="1085">
      <c r="DG1085" s="64">
        <f>($B1085-$B1086)*100</f>
        <v/>
      </c>
      <c r="DH1085" s="64">
        <f>($D1085-$D1086)*100</f>
        <v/>
      </c>
      <c r="DI1085" s="64">
        <f>($E1085-$E1086)*100</f>
        <v/>
      </c>
      <c r="DJ1085" s="64">
        <f>($H1085-$H1086)*100</f>
        <v/>
      </c>
      <c r="DK1085" s="65">
        <f>IFERROR($J1085/$J1086-1,"")</f>
        <v/>
      </c>
      <c r="DL1085" s="64">
        <f>$L1085-$L1086</f>
        <v/>
      </c>
      <c r="DM1085" s="64">
        <f>$K1085-$K1086</f>
        <v/>
      </c>
      <c r="DN1085" s="65">
        <f>IFERROR($N1085/$N1086-1,"")</f>
        <v/>
      </c>
      <c r="DO1085" s="65">
        <f>IFERROR($M1085/$M1086-1,"")</f>
        <v/>
      </c>
      <c r="DP1085" s="65">
        <f>IFERROR($AZ1085/$AZ1086-1,"")</f>
        <v/>
      </c>
      <c r="DQ1085" s="65">
        <f>IFERROR($BA1085/$BA1086-1,"")</f>
        <v/>
      </c>
      <c r="DR1085" s="64">
        <f>$O1085-$O1086</f>
        <v/>
      </c>
      <c r="DS1085" s="64">
        <f>$P1085-$P1086</f>
        <v/>
      </c>
      <c r="DT1085" s="64">
        <f>$Q1085-$Q1086</f>
        <v/>
      </c>
      <c r="DU1085" s="64">
        <f>$S1085-$S1086</f>
        <v/>
      </c>
      <c r="DV1085" s="65">
        <f>IFERROR(AVERAGE($AA1086/$AA1085-1,$AB1086/$AB1085-1,$AC1086/$AC1085-1,$AD1086/$AD1085-1,$AE1086/$AE1085-1,$AG1086/$AG1085-1,$AH1086/$AH1085-1,$AI1086/$AI1085-1,$AJ1086/$AJ1085-1,$AL1086/$AL1085-1,$AM1086/$AM1085-1,$AR1086/$AR1085-1,$AS1086/$AS1085-1,$AT1086/$AT1085-1,$AU1086/$AU1085-1,$AV1086/$AV1085-1,$AW1086/$AW1085-1,$AX1086/$AX1085-1,$AY1086/$AY1085-1),"")</f>
        <v/>
      </c>
      <c r="DW1085" s="66">
        <f>AVERAGE($CB1085,$CC1085,$CD1085,$CE1085,$CF1085,$CG1085,$CH1085,$CI1085,$CJ1085,$CL1085,$CM1085,$CN1085,$CO1085,$CP1085,$CQ1085,$CR1085,$CS1085,$CT1085)</f>
        <v/>
      </c>
      <c r="DX1085" s="66">
        <f>AVERAGE($CB1085,$CC1085,$CM1085,$CE1085,$CP1085)</f>
        <v/>
      </c>
      <c r="DY1085" s="64">
        <f>($DW1085-$DW1086)*100</f>
        <v/>
      </c>
      <c r="DZ1085" s="64">
        <f>($DX1085-$DX1086)*100</f>
        <v/>
      </c>
      <c r="EA1085" s="64">
        <f>($DW1085-$D1085)*100</f>
        <v/>
      </c>
      <c r="EB1085" s="64">
        <f>$Q1085-$O1085</f>
        <v/>
      </c>
      <c r="EC1085" s="67">
        <f>IFERROR($Q1085/$P1085,"")</f>
        <v/>
      </c>
    </row>
    <row r="1086">
      <c r="DG1086" s="64">
        <f>($B1086-$B1087)*100</f>
        <v/>
      </c>
      <c r="DH1086" s="64">
        <f>($D1086-$D1087)*100</f>
        <v/>
      </c>
      <c r="DI1086" s="64">
        <f>($E1086-$E1087)*100</f>
        <v/>
      </c>
      <c r="DJ1086" s="64">
        <f>($H1086-$H1087)*100</f>
        <v/>
      </c>
      <c r="DK1086" s="65">
        <f>IFERROR($J1086/$J1087-1,"")</f>
        <v/>
      </c>
      <c r="DL1086" s="64">
        <f>$L1086-$L1087</f>
        <v/>
      </c>
      <c r="DM1086" s="64">
        <f>$K1086-$K1087</f>
        <v/>
      </c>
      <c r="DN1086" s="65">
        <f>IFERROR($N1086/$N1087-1,"")</f>
        <v/>
      </c>
      <c r="DO1086" s="65">
        <f>IFERROR($M1086/$M1087-1,"")</f>
        <v/>
      </c>
      <c r="DP1086" s="65">
        <f>IFERROR($AZ1086/$AZ1087-1,"")</f>
        <v/>
      </c>
      <c r="DQ1086" s="65">
        <f>IFERROR($BA1086/$BA1087-1,"")</f>
        <v/>
      </c>
      <c r="DR1086" s="64">
        <f>$O1086-$O1087</f>
        <v/>
      </c>
      <c r="DS1086" s="64">
        <f>$P1086-$P1087</f>
        <v/>
      </c>
      <c r="DT1086" s="64">
        <f>$Q1086-$Q1087</f>
        <v/>
      </c>
      <c r="DU1086" s="64">
        <f>$S1086-$S1087</f>
        <v/>
      </c>
      <c r="DV1086" s="65">
        <f>IFERROR(AVERAGE($AA1087/$AA1086-1,$AB1087/$AB1086-1,$AC1087/$AC1086-1,$AD1087/$AD1086-1,$AE1087/$AE1086-1,$AG1087/$AG1086-1,$AH1087/$AH1086-1,$AI1087/$AI1086-1,$AJ1087/$AJ1086-1,$AL1087/$AL1086-1,$AM1087/$AM1086-1,$AR1087/$AR1086-1,$AS1087/$AS1086-1,$AT1087/$AT1086-1,$AU1087/$AU1086-1,$AV1087/$AV1086-1,$AW1087/$AW1086-1,$AX1087/$AX1086-1,$AY1087/$AY1086-1),"")</f>
        <v/>
      </c>
      <c r="DW1086" s="66">
        <f>AVERAGE($CB1086,$CC1086,$CD1086,$CE1086,$CF1086,$CG1086,$CH1086,$CI1086,$CJ1086,$CL1086,$CM1086,$CN1086,$CO1086,$CP1086,$CQ1086,$CR1086,$CS1086,$CT1086)</f>
        <v/>
      </c>
      <c r="DX1086" s="66">
        <f>AVERAGE($CB1086,$CC1086,$CM1086,$CE1086,$CP1086)</f>
        <v/>
      </c>
      <c r="DY1086" s="64">
        <f>($DW1086-$DW1087)*100</f>
        <v/>
      </c>
      <c r="DZ1086" s="64">
        <f>($DX1086-$DX1087)*100</f>
        <v/>
      </c>
      <c r="EA1086" s="64">
        <f>($DW1086-$D1086)*100</f>
        <v/>
      </c>
      <c r="EB1086" s="64">
        <f>$Q1086-$O1086</f>
        <v/>
      </c>
      <c r="EC1086" s="67">
        <f>IFERROR($Q1086/$P1086,"")</f>
        <v/>
      </c>
    </row>
    <row r="1087">
      <c r="DG1087" s="64">
        <f>($B1087-$B1088)*100</f>
        <v/>
      </c>
      <c r="DH1087" s="64">
        <f>($D1087-$D1088)*100</f>
        <v/>
      </c>
      <c r="DI1087" s="64">
        <f>($E1087-$E1088)*100</f>
        <v/>
      </c>
      <c r="DJ1087" s="64">
        <f>($H1087-$H1088)*100</f>
        <v/>
      </c>
      <c r="DK1087" s="65">
        <f>IFERROR($J1087/$J1088-1,"")</f>
        <v/>
      </c>
      <c r="DL1087" s="64">
        <f>$L1087-$L1088</f>
        <v/>
      </c>
      <c r="DM1087" s="64">
        <f>$K1087-$K1088</f>
        <v/>
      </c>
      <c r="DN1087" s="65">
        <f>IFERROR($N1087/$N1088-1,"")</f>
        <v/>
      </c>
      <c r="DO1087" s="65">
        <f>IFERROR($M1087/$M1088-1,"")</f>
        <v/>
      </c>
      <c r="DP1087" s="65">
        <f>IFERROR($AZ1087/$AZ1088-1,"")</f>
        <v/>
      </c>
      <c r="DQ1087" s="65">
        <f>IFERROR($BA1087/$BA1088-1,"")</f>
        <v/>
      </c>
      <c r="DR1087" s="64">
        <f>$O1087-$O1088</f>
        <v/>
      </c>
      <c r="DS1087" s="64">
        <f>$P1087-$P1088</f>
        <v/>
      </c>
      <c r="DT1087" s="64">
        <f>$Q1087-$Q1088</f>
        <v/>
      </c>
      <c r="DU1087" s="64">
        <f>$S1087-$S1088</f>
        <v/>
      </c>
      <c r="DV1087" s="65">
        <f>IFERROR(AVERAGE($AA1088/$AA1087-1,$AB1088/$AB1087-1,$AC1088/$AC1087-1,$AD1088/$AD1087-1,$AE1088/$AE1087-1,$AG1088/$AG1087-1,$AH1088/$AH1087-1,$AI1088/$AI1087-1,$AJ1088/$AJ1087-1,$AL1088/$AL1087-1,$AM1088/$AM1087-1,$AR1088/$AR1087-1,$AS1088/$AS1087-1,$AT1088/$AT1087-1,$AU1088/$AU1087-1,$AV1088/$AV1087-1,$AW1088/$AW1087-1,$AX1088/$AX1087-1,$AY1088/$AY1087-1),"")</f>
        <v/>
      </c>
      <c r="DW1087" s="66">
        <f>AVERAGE($CB1087,$CC1087,$CD1087,$CE1087,$CF1087,$CG1087,$CH1087,$CI1087,$CJ1087,$CL1087,$CM1087,$CN1087,$CO1087,$CP1087,$CQ1087,$CR1087,$CS1087,$CT1087)</f>
        <v/>
      </c>
      <c r="DX1087" s="66">
        <f>AVERAGE($CB1087,$CC1087,$CM1087,$CE1087,$CP1087)</f>
        <v/>
      </c>
      <c r="DY1087" s="64">
        <f>($DW1087-$DW1088)*100</f>
        <v/>
      </c>
      <c r="DZ1087" s="64">
        <f>($DX1087-$DX1088)*100</f>
        <v/>
      </c>
      <c r="EA1087" s="64">
        <f>($DW1087-$D1087)*100</f>
        <v/>
      </c>
      <c r="EB1087" s="64">
        <f>$Q1087-$O1087</f>
        <v/>
      </c>
      <c r="EC1087" s="67">
        <f>IFERROR($Q1087/$P1087,"")</f>
        <v/>
      </c>
    </row>
    <row r="1088">
      <c r="DG1088" s="64">
        <f>($B1088-$B1089)*100</f>
        <v/>
      </c>
      <c r="DH1088" s="64">
        <f>($D1088-$D1089)*100</f>
        <v/>
      </c>
      <c r="DI1088" s="64">
        <f>($E1088-$E1089)*100</f>
        <v/>
      </c>
      <c r="DJ1088" s="64">
        <f>($H1088-$H1089)*100</f>
        <v/>
      </c>
      <c r="DK1088" s="65">
        <f>IFERROR($J1088/$J1089-1,"")</f>
        <v/>
      </c>
      <c r="DL1088" s="64">
        <f>$L1088-$L1089</f>
        <v/>
      </c>
      <c r="DM1088" s="64">
        <f>$K1088-$K1089</f>
        <v/>
      </c>
      <c r="DN1088" s="65">
        <f>IFERROR($N1088/$N1089-1,"")</f>
        <v/>
      </c>
      <c r="DO1088" s="65">
        <f>IFERROR($M1088/$M1089-1,"")</f>
        <v/>
      </c>
      <c r="DP1088" s="65">
        <f>IFERROR($AZ1088/$AZ1089-1,"")</f>
        <v/>
      </c>
      <c r="DQ1088" s="65">
        <f>IFERROR($BA1088/$BA1089-1,"")</f>
        <v/>
      </c>
      <c r="DR1088" s="64">
        <f>$O1088-$O1089</f>
        <v/>
      </c>
      <c r="DS1088" s="64">
        <f>$P1088-$P1089</f>
        <v/>
      </c>
      <c r="DT1088" s="64">
        <f>$Q1088-$Q1089</f>
        <v/>
      </c>
      <c r="DU1088" s="64">
        <f>$S1088-$S1089</f>
        <v/>
      </c>
      <c r="DV1088" s="65">
        <f>IFERROR(AVERAGE($AA1089/$AA1088-1,$AB1089/$AB1088-1,$AC1089/$AC1088-1,$AD1089/$AD1088-1,$AE1089/$AE1088-1,$AG1089/$AG1088-1,$AH1089/$AH1088-1,$AI1089/$AI1088-1,$AJ1089/$AJ1088-1,$AL1089/$AL1088-1,$AM1089/$AM1088-1,$AR1089/$AR1088-1,$AS1089/$AS1088-1,$AT1089/$AT1088-1,$AU1089/$AU1088-1,$AV1089/$AV1088-1,$AW1089/$AW1088-1,$AX1089/$AX1088-1,$AY1089/$AY1088-1),"")</f>
        <v/>
      </c>
      <c r="DW1088" s="66">
        <f>AVERAGE($CB1088,$CC1088,$CD1088,$CE1088,$CF1088,$CG1088,$CH1088,$CI1088,$CJ1088,$CL1088,$CM1088,$CN1088,$CO1088,$CP1088,$CQ1088,$CR1088,$CS1088,$CT1088)</f>
        <v/>
      </c>
      <c r="DX1088" s="66">
        <f>AVERAGE($CB1088,$CC1088,$CM1088,$CE1088,$CP1088)</f>
        <v/>
      </c>
      <c r="DY1088" s="64">
        <f>($DW1088-$DW1089)*100</f>
        <v/>
      </c>
      <c r="DZ1088" s="64">
        <f>($DX1088-$DX1089)*100</f>
        <v/>
      </c>
      <c r="EA1088" s="64">
        <f>($DW1088-$D1088)*100</f>
        <v/>
      </c>
      <c r="EB1088" s="64">
        <f>$Q1088-$O1088</f>
        <v/>
      </c>
      <c r="EC1088" s="67">
        <f>IFERROR($Q1088/$P1088,"")</f>
        <v/>
      </c>
    </row>
    <row r="1089">
      <c r="DG1089" s="64">
        <f>($B1089-$B1090)*100</f>
        <v/>
      </c>
      <c r="DH1089" s="64">
        <f>($D1089-$D1090)*100</f>
        <v/>
      </c>
      <c r="DI1089" s="64">
        <f>($E1089-$E1090)*100</f>
        <v/>
      </c>
      <c r="DJ1089" s="64">
        <f>($H1089-$H1090)*100</f>
        <v/>
      </c>
      <c r="DK1089" s="65">
        <f>IFERROR($J1089/$J1090-1,"")</f>
        <v/>
      </c>
      <c r="DL1089" s="64">
        <f>$L1089-$L1090</f>
        <v/>
      </c>
      <c r="DM1089" s="64">
        <f>$K1089-$K1090</f>
        <v/>
      </c>
      <c r="DN1089" s="65">
        <f>IFERROR($N1089/$N1090-1,"")</f>
        <v/>
      </c>
      <c r="DO1089" s="65">
        <f>IFERROR($M1089/$M1090-1,"")</f>
        <v/>
      </c>
      <c r="DP1089" s="65">
        <f>IFERROR($AZ1089/$AZ1090-1,"")</f>
        <v/>
      </c>
      <c r="DQ1089" s="65">
        <f>IFERROR($BA1089/$BA1090-1,"")</f>
        <v/>
      </c>
      <c r="DR1089" s="64">
        <f>$O1089-$O1090</f>
        <v/>
      </c>
      <c r="DS1089" s="64">
        <f>$P1089-$P1090</f>
        <v/>
      </c>
      <c r="DT1089" s="64">
        <f>$Q1089-$Q1090</f>
        <v/>
      </c>
      <c r="DU1089" s="64">
        <f>$S1089-$S1090</f>
        <v/>
      </c>
      <c r="DV1089" s="65">
        <f>IFERROR(AVERAGE($AA1090/$AA1089-1,$AB1090/$AB1089-1,$AC1090/$AC1089-1,$AD1090/$AD1089-1,$AE1090/$AE1089-1,$AG1090/$AG1089-1,$AH1090/$AH1089-1,$AI1090/$AI1089-1,$AJ1090/$AJ1089-1,$AL1090/$AL1089-1,$AM1090/$AM1089-1,$AR1090/$AR1089-1,$AS1090/$AS1089-1,$AT1090/$AT1089-1,$AU1090/$AU1089-1,$AV1090/$AV1089-1,$AW1090/$AW1089-1,$AX1090/$AX1089-1,$AY1090/$AY1089-1),"")</f>
        <v/>
      </c>
      <c r="DW1089" s="66">
        <f>AVERAGE($CB1089,$CC1089,$CD1089,$CE1089,$CF1089,$CG1089,$CH1089,$CI1089,$CJ1089,$CL1089,$CM1089,$CN1089,$CO1089,$CP1089,$CQ1089,$CR1089,$CS1089,$CT1089)</f>
        <v/>
      </c>
      <c r="DX1089" s="66">
        <f>AVERAGE($CB1089,$CC1089,$CM1089,$CE1089,$CP1089)</f>
        <v/>
      </c>
      <c r="DY1089" s="64">
        <f>($DW1089-$DW1090)*100</f>
        <v/>
      </c>
      <c r="DZ1089" s="64">
        <f>($DX1089-$DX1090)*100</f>
        <v/>
      </c>
      <c r="EA1089" s="64">
        <f>($DW1089-$D1089)*100</f>
        <v/>
      </c>
      <c r="EB1089" s="64">
        <f>$Q1089-$O1089</f>
        <v/>
      </c>
      <c r="EC1089" s="67">
        <f>IFERROR($Q1089/$P1089,"")</f>
        <v/>
      </c>
    </row>
    <row r="1090">
      <c r="DG1090" s="64">
        <f>($B1090-$B1091)*100</f>
        <v/>
      </c>
      <c r="DH1090" s="64">
        <f>($D1090-$D1091)*100</f>
        <v/>
      </c>
      <c r="DI1090" s="64">
        <f>($E1090-$E1091)*100</f>
        <v/>
      </c>
      <c r="DJ1090" s="64">
        <f>($H1090-$H1091)*100</f>
        <v/>
      </c>
      <c r="DK1090" s="65">
        <f>IFERROR($J1090/$J1091-1,"")</f>
        <v/>
      </c>
      <c r="DL1090" s="64">
        <f>$L1090-$L1091</f>
        <v/>
      </c>
      <c r="DM1090" s="64">
        <f>$K1090-$K1091</f>
        <v/>
      </c>
      <c r="DN1090" s="65">
        <f>IFERROR($N1090/$N1091-1,"")</f>
        <v/>
      </c>
      <c r="DO1090" s="65">
        <f>IFERROR($M1090/$M1091-1,"")</f>
        <v/>
      </c>
      <c r="DP1090" s="65">
        <f>IFERROR($AZ1090/$AZ1091-1,"")</f>
        <v/>
      </c>
      <c r="DQ1090" s="65">
        <f>IFERROR($BA1090/$BA1091-1,"")</f>
        <v/>
      </c>
      <c r="DR1090" s="64">
        <f>$O1090-$O1091</f>
        <v/>
      </c>
      <c r="DS1090" s="64">
        <f>$P1090-$P1091</f>
        <v/>
      </c>
      <c r="DT1090" s="64">
        <f>$Q1090-$Q1091</f>
        <v/>
      </c>
      <c r="DU1090" s="64">
        <f>$S1090-$S1091</f>
        <v/>
      </c>
      <c r="DV1090" s="65">
        <f>IFERROR(AVERAGE($AA1091/$AA1090-1,$AB1091/$AB1090-1,$AC1091/$AC1090-1,$AD1091/$AD1090-1,$AE1091/$AE1090-1,$AG1091/$AG1090-1,$AH1091/$AH1090-1,$AI1091/$AI1090-1,$AJ1091/$AJ1090-1,$AL1091/$AL1090-1,$AM1091/$AM1090-1,$AR1091/$AR1090-1,$AS1091/$AS1090-1,$AT1091/$AT1090-1,$AU1091/$AU1090-1,$AV1091/$AV1090-1,$AW1091/$AW1090-1,$AX1091/$AX1090-1,$AY1091/$AY1090-1),"")</f>
        <v/>
      </c>
      <c r="DW1090" s="66">
        <f>AVERAGE($CB1090,$CC1090,$CD1090,$CE1090,$CF1090,$CG1090,$CH1090,$CI1090,$CJ1090,$CL1090,$CM1090,$CN1090,$CO1090,$CP1090,$CQ1090,$CR1090,$CS1090,$CT1090)</f>
        <v/>
      </c>
      <c r="DX1090" s="66">
        <f>AVERAGE($CB1090,$CC1090,$CM1090,$CE1090,$CP1090)</f>
        <v/>
      </c>
      <c r="DY1090" s="64">
        <f>($DW1090-$DW1091)*100</f>
        <v/>
      </c>
      <c r="DZ1090" s="64">
        <f>($DX1090-$DX1091)*100</f>
        <v/>
      </c>
      <c r="EA1090" s="64">
        <f>($DW1090-$D1090)*100</f>
        <v/>
      </c>
      <c r="EB1090" s="64">
        <f>$Q1090-$O1090</f>
        <v/>
      </c>
      <c r="EC1090" s="67">
        <f>IFERROR($Q1090/$P1090,"")</f>
        <v/>
      </c>
    </row>
    <row r="1091">
      <c r="DG1091" s="64">
        <f>($B1091-$B1092)*100</f>
        <v/>
      </c>
      <c r="DH1091" s="64">
        <f>($D1091-$D1092)*100</f>
        <v/>
      </c>
      <c r="DI1091" s="64">
        <f>($E1091-$E1092)*100</f>
        <v/>
      </c>
      <c r="DJ1091" s="64">
        <f>($H1091-$H1092)*100</f>
        <v/>
      </c>
      <c r="DK1091" s="65">
        <f>IFERROR($J1091/$J1092-1,"")</f>
        <v/>
      </c>
      <c r="DL1091" s="64">
        <f>$L1091-$L1092</f>
        <v/>
      </c>
      <c r="DM1091" s="64">
        <f>$K1091-$K1092</f>
        <v/>
      </c>
      <c r="DN1091" s="65">
        <f>IFERROR($N1091/$N1092-1,"")</f>
        <v/>
      </c>
      <c r="DO1091" s="65">
        <f>IFERROR($M1091/$M1092-1,"")</f>
        <v/>
      </c>
      <c r="DP1091" s="65">
        <f>IFERROR($AZ1091/$AZ1092-1,"")</f>
        <v/>
      </c>
      <c r="DQ1091" s="65">
        <f>IFERROR($BA1091/$BA1092-1,"")</f>
        <v/>
      </c>
      <c r="DR1091" s="64">
        <f>$O1091-$O1092</f>
        <v/>
      </c>
      <c r="DS1091" s="64">
        <f>$P1091-$P1092</f>
        <v/>
      </c>
      <c r="DT1091" s="64">
        <f>$Q1091-$Q1092</f>
        <v/>
      </c>
      <c r="DU1091" s="64">
        <f>$S1091-$S1092</f>
        <v/>
      </c>
      <c r="DV1091" s="65">
        <f>IFERROR(AVERAGE($AA1092/$AA1091-1,$AB1092/$AB1091-1,$AC1092/$AC1091-1,$AD1092/$AD1091-1,$AE1092/$AE1091-1,$AG1092/$AG1091-1,$AH1092/$AH1091-1,$AI1092/$AI1091-1,$AJ1092/$AJ1091-1,$AL1092/$AL1091-1,$AM1092/$AM1091-1,$AR1092/$AR1091-1,$AS1092/$AS1091-1,$AT1092/$AT1091-1,$AU1092/$AU1091-1,$AV1092/$AV1091-1,$AW1092/$AW1091-1,$AX1092/$AX1091-1,$AY1092/$AY1091-1),"")</f>
        <v/>
      </c>
      <c r="DW1091" s="66">
        <f>AVERAGE($CB1091,$CC1091,$CD1091,$CE1091,$CF1091,$CG1091,$CH1091,$CI1091,$CJ1091,$CL1091,$CM1091,$CN1091,$CO1091,$CP1091,$CQ1091,$CR1091,$CS1091,$CT1091)</f>
        <v/>
      </c>
      <c r="DX1091" s="66">
        <f>AVERAGE($CB1091,$CC1091,$CM1091,$CE1091,$CP1091)</f>
        <v/>
      </c>
      <c r="DY1091" s="64">
        <f>($DW1091-$DW1092)*100</f>
        <v/>
      </c>
      <c r="DZ1091" s="64">
        <f>($DX1091-$DX1092)*100</f>
        <v/>
      </c>
      <c r="EA1091" s="64">
        <f>($DW1091-$D1091)*100</f>
        <v/>
      </c>
      <c r="EB1091" s="64">
        <f>$Q1091-$O1091</f>
        <v/>
      </c>
      <c r="EC1091" s="67">
        <f>IFERROR($Q1091/$P1091,"")</f>
        <v/>
      </c>
    </row>
    <row r="1092">
      <c r="DG1092" s="64">
        <f>($B1092-$B1093)*100</f>
        <v/>
      </c>
      <c r="DH1092" s="64">
        <f>($D1092-$D1093)*100</f>
        <v/>
      </c>
      <c r="DI1092" s="64">
        <f>($E1092-$E1093)*100</f>
        <v/>
      </c>
      <c r="DJ1092" s="64">
        <f>($H1092-$H1093)*100</f>
        <v/>
      </c>
      <c r="DK1092" s="65">
        <f>IFERROR($J1092/$J1093-1,"")</f>
        <v/>
      </c>
      <c r="DL1092" s="64">
        <f>$L1092-$L1093</f>
        <v/>
      </c>
      <c r="DM1092" s="64">
        <f>$K1092-$K1093</f>
        <v/>
      </c>
      <c r="DN1092" s="65">
        <f>IFERROR($N1092/$N1093-1,"")</f>
        <v/>
      </c>
      <c r="DO1092" s="65">
        <f>IFERROR($M1092/$M1093-1,"")</f>
        <v/>
      </c>
      <c r="DP1092" s="65">
        <f>IFERROR($AZ1092/$AZ1093-1,"")</f>
        <v/>
      </c>
      <c r="DQ1092" s="65">
        <f>IFERROR($BA1092/$BA1093-1,"")</f>
        <v/>
      </c>
      <c r="DR1092" s="64">
        <f>$O1092-$O1093</f>
        <v/>
      </c>
      <c r="DS1092" s="64">
        <f>$P1092-$P1093</f>
        <v/>
      </c>
      <c r="DT1092" s="64">
        <f>$Q1092-$Q1093</f>
        <v/>
      </c>
      <c r="DU1092" s="64">
        <f>$S1092-$S1093</f>
        <v/>
      </c>
      <c r="DV1092" s="65">
        <f>IFERROR(AVERAGE($AA1093/$AA1092-1,$AB1093/$AB1092-1,$AC1093/$AC1092-1,$AD1093/$AD1092-1,$AE1093/$AE1092-1,$AG1093/$AG1092-1,$AH1093/$AH1092-1,$AI1093/$AI1092-1,$AJ1093/$AJ1092-1,$AL1093/$AL1092-1,$AM1093/$AM1092-1,$AR1093/$AR1092-1,$AS1093/$AS1092-1,$AT1093/$AT1092-1,$AU1093/$AU1092-1,$AV1093/$AV1092-1,$AW1093/$AW1092-1,$AX1093/$AX1092-1,$AY1093/$AY1092-1),"")</f>
        <v/>
      </c>
      <c r="DW1092" s="66">
        <f>AVERAGE($CB1092,$CC1092,$CD1092,$CE1092,$CF1092,$CG1092,$CH1092,$CI1092,$CJ1092,$CL1092,$CM1092,$CN1092,$CO1092,$CP1092,$CQ1092,$CR1092,$CS1092,$CT1092)</f>
        <v/>
      </c>
      <c r="DX1092" s="66">
        <f>AVERAGE($CB1092,$CC1092,$CM1092,$CE1092,$CP1092)</f>
        <v/>
      </c>
      <c r="DY1092" s="64">
        <f>($DW1092-$DW1093)*100</f>
        <v/>
      </c>
      <c r="DZ1092" s="64">
        <f>($DX1092-$DX1093)*100</f>
        <v/>
      </c>
      <c r="EA1092" s="64">
        <f>($DW1092-$D1092)*100</f>
        <v/>
      </c>
      <c r="EB1092" s="64">
        <f>$Q1092-$O1092</f>
        <v/>
      </c>
      <c r="EC1092" s="67">
        <f>IFERROR($Q1092/$P1092,"")</f>
        <v/>
      </c>
    </row>
    <row r="1093">
      <c r="DG1093" s="64">
        <f>($B1093-$B1094)*100</f>
        <v/>
      </c>
      <c r="DH1093" s="64">
        <f>($D1093-$D1094)*100</f>
        <v/>
      </c>
      <c r="DI1093" s="64">
        <f>($E1093-$E1094)*100</f>
        <v/>
      </c>
      <c r="DJ1093" s="64">
        <f>($H1093-$H1094)*100</f>
        <v/>
      </c>
      <c r="DK1093" s="65">
        <f>IFERROR($J1093/$J1094-1,"")</f>
        <v/>
      </c>
      <c r="DL1093" s="64">
        <f>$L1093-$L1094</f>
        <v/>
      </c>
      <c r="DM1093" s="64">
        <f>$K1093-$K1094</f>
        <v/>
      </c>
      <c r="DN1093" s="65">
        <f>IFERROR($N1093/$N1094-1,"")</f>
        <v/>
      </c>
      <c r="DO1093" s="65">
        <f>IFERROR($M1093/$M1094-1,"")</f>
        <v/>
      </c>
      <c r="DP1093" s="65">
        <f>IFERROR($AZ1093/$AZ1094-1,"")</f>
        <v/>
      </c>
      <c r="DQ1093" s="65">
        <f>IFERROR($BA1093/$BA1094-1,"")</f>
        <v/>
      </c>
      <c r="DR1093" s="64">
        <f>$O1093-$O1094</f>
        <v/>
      </c>
      <c r="DS1093" s="64">
        <f>$P1093-$P1094</f>
        <v/>
      </c>
      <c r="DT1093" s="64">
        <f>$Q1093-$Q1094</f>
        <v/>
      </c>
      <c r="DU1093" s="64">
        <f>$S1093-$S1094</f>
        <v/>
      </c>
      <c r="DV1093" s="65">
        <f>IFERROR(AVERAGE($AA1094/$AA1093-1,$AB1094/$AB1093-1,$AC1094/$AC1093-1,$AD1094/$AD1093-1,$AE1094/$AE1093-1,$AG1094/$AG1093-1,$AH1094/$AH1093-1,$AI1094/$AI1093-1,$AJ1094/$AJ1093-1,$AL1094/$AL1093-1,$AM1094/$AM1093-1,$AR1094/$AR1093-1,$AS1094/$AS1093-1,$AT1094/$AT1093-1,$AU1094/$AU1093-1,$AV1094/$AV1093-1,$AW1094/$AW1093-1,$AX1094/$AX1093-1,$AY1094/$AY1093-1),"")</f>
        <v/>
      </c>
      <c r="DW1093" s="66">
        <f>AVERAGE($CB1093,$CC1093,$CD1093,$CE1093,$CF1093,$CG1093,$CH1093,$CI1093,$CJ1093,$CL1093,$CM1093,$CN1093,$CO1093,$CP1093,$CQ1093,$CR1093,$CS1093,$CT1093)</f>
        <v/>
      </c>
      <c r="DX1093" s="66">
        <f>AVERAGE($CB1093,$CC1093,$CM1093,$CE1093,$CP1093)</f>
        <v/>
      </c>
      <c r="DY1093" s="64">
        <f>($DW1093-$DW1094)*100</f>
        <v/>
      </c>
      <c r="DZ1093" s="64">
        <f>($DX1093-$DX1094)*100</f>
        <v/>
      </c>
      <c r="EA1093" s="64">
        <f>($DW1093-$D1093)*100</f>
        <v/>
      </c>
      <c r="EB1093" s="64">
        <f>$Q1093-$O1093</f>
        <v/>
      </c>
      <c r="EC1093" s="67">
        <f>IFERROR($Q1093/$P1093,"")</f>
        <v/>
      </c>
    </row>
    <row r="1094">
      <c r="DG1094" s="64">
        <f>($B1094-$B1095)*100</f>
        <v/>
      </c>
      <c r="DH1094" s="64">
        <f>($D1094-$D1095)*100</f>
        <v/>
      </c>
      <c r="DI1094" s="64">
        <f>($E1094-$E1095)*100</f>
        <v/>
      </c>
      <c r="DJ1094" s="64">
        <f>($H1094-$H1095)*100</f>
        <v/>
      </c>
      <c r="DK1094" s="65">
        <f>IFERROR($J1094/$J1095-1,"")</f>
        <v/>
      </c>
      <c r="DL1094" s="64">
        <f>$L1094-$L1095</f>
        <v/>
      </c>
      <c r="DM1094" s="64">
        <f>$K1094-$K1095</f>
        <v/>
      </c>
      <c r="DN1094" s="65">
        <f>IFERROR($N1094/$N1095-1,"")</f>
        <v/>
      </c>
      <c r="DO1094" s="65">
        <f>IFERROR($M1094/$M1095-1,"")</f>
        <v/>
      </c>
      <c r="DP1094" s="65">
        <f>IFERROR($AZ1094/$AZ1095-1,"")</f>
        <v/>
      </c>
      <c r="DQ1094" s="65">
        <f>IFERROR($BA1094/$BA1095-1,"")</f>
        <v/>
      </c>
      <c r="DR1094" s="64">
        <f>$O1094-$O1095</f>
        <v/>
      </c>
      <c r="DS1094" s="64">
        <f>$P1094-$P1095</f>
        <v/>
      </c>
      <c r="DT1094" s="64">
        <f>$Q1094-$Q1095</f>
        <v/>
      </c>
      <c r="DU1094" s="64">
        <f>$S1094-$S1095</f>
        <v/>
      </c>
      <c r="DV1094" s="65">
        <f>IFERROR(AVERAGE($AA1095/$AA1094-1,$AB1095/$AB1094-1,$AC1095/$AC1094-1,$AD1095/$AD1094-1,$AE1095/$AE1094-1,$AG1095/$AG1094-1,$AH1095/$AH1094-1,$AI1095/$AI1094-1,$AJ1095/$AJ1094-1,$AL1095/$AL1094-1,$AM1095/$AM1094-1,$AR1095/$AR1094-1,$AS1095/$AS1094-1,$AT1095/$AT1094-1,$AU1095/$AU1094-1,$AV1095/$AV1094-1,$AW1095/$AW1094-1,$AX1095/$AX1094-1,$AY1095/$AY1094-1),"")</f>
        <v/>
      </c>
      <c r="DW1094" s="66">
        <f>AVERAGE($CB1094,$CC1094,$CD1094,$CE1094,$CF1094,$CG1094,$CH1094,$CI1094,$CJ1094,$CL1094,$CM1094,$CN1094,$CO1094,$CP1094,$CQ1094,$CR1094,$CS1094,$CT1094)</f>
        <v/>
      </c>
      <c r="DX1094" s="66">
        <f>AVERAGE($CB1094,$CC1094,$CM1094,$CE1094,$CP1094)</f>
        <v/>
      </c>
      <c r="DY1094" s="64">
        <f>($DW1094-$DW1095)*100</f>
        <v/>
      </c>
      <c r="DZ1094" s="64">
        <f>($DX1094-$DX1095)*100</f>
        <v/>
      </c>
      <c r="EA1094" s="64">
        <f>($DW1094-$D1094)*100</f>
        <v/>
      </c>
      <c r="EB1094" s="64">
        <f>$Q1094-$O1094</f>
        <v/>
      </c>
      <c r="EC1094" s="67">
        <f>IFERROR($Q1094/$P1094,"")</f>
        <v/>
      </c>
    </row>
    <row r="1095">
      <c r="DG1095" s="64">
        <f>($B1095-$B1096)*100</f>
        <v/>
      </c>
      <c r="DH1095" s="64">
        <f>($D1095-$D1096)*100</f>
        <v/>
      </c>
      <c r="DI1095" s="64">
        <f>($E1095-$E1096)*100</f>
        <v/>
      </c>
      <c r="DJ1095" s="64">
        <f>($H1095-$H1096)*100</f>
        <v/>
      </c>
      <c r="DK1095" s="65">
        <f>IFERROR($J1095/$J1096-1,"")</f>
        <v/>
      </c>
      <c r="DL1095" s="64">
        <f>$L1095-$L1096</f>
        <v/>
      </c>
      <c r="DM1095" s="64">
        <f>$K1095-$K1096</f>
        <v/>
      </c>
      <c r="DN1095" s="65">
        <f>IFERROR($N1095/$N1096-1,"")</f>
        <v/>
      </c>
      <c r="DO1095" s="65">
        <f>IFERROR($M1095/$M1096-1,"")</f>
        <v/>
      </c>
      <c r="DP1095" s="65">
        <f>IFERROR($AZ1095/$AZ1096-1,"")</f>
        <v/>
      </c>
      <c r="DQ1095" s="65">
        <f>IFERROR($BA1095/$BA1096-1,"")</f>
        <v/>
      </c>
      <c r="DR1095" s="64">
        <f>$O1095-$O1096</f>
        <v/>
      </c>
      <c r="DS1095" s="64">
        <f>$P1095-$P1096</f>
        <v/>
      </c>
      <c r="DT1095" s="64">
        <f>$Q1095-$Q1096</f>
        <v/>
      </c>
      <c r="DU1095" s="64">
        <f>$S1095-$S1096</f>
        <v/>
      </c>
      <c r="DV1095" s="65">
        <f>IFERROR(AVERAGE($AA1096/$AA1095-1,$AB1096/$AB1095-1,$AC1096/$AC1095-1,$AD1096/$AD1095-1,$AE1096/$AE1095-1,$AG1096/$AG1095-1,$AH1096/$AH1095-1,$AI1096/$AI1095-1,$AJ1096/$AJ1095-1,$AL1096/$AL1095-1,$AM1096/$AM1095-1,$AR1096/$AR1095-1,$AS1096/$AS1095-1,$AT1096/$AT1095-1,$AU1096/$AU1095-1,$AV1096/$AV1095-1,$AW1096/$AW1095-1,$AX1096/$AX1095-1,$AY1096/$AY1095-1),"")</f>
        <v/>
      </c>
      <c r="DW1095" s="66">
        <f>AVERAGE($CB1095,$CC1095,$CD1095,$CE1095,$CF1095,$CG1095,$CH1095,$CI1095,$CJ1095,$CL1095,$CM1095,$CN1095,$CO1095,$CP1095,$CQ1095,$CR1095,$CS1095,$CT1095)</f>
        <v/>
      </c>
      <c r="DX1095" s="66">
        <f>AVERAGE($CB1095,$CC1095,$CM1095,$CE1095,$CP1095)</f>
        <v/>
      </c>
      <c r="DY1095" s="64">
        <f>($DW1095-$DW1096)*100</f>
        <v/>
      </c>
      <c r="DZ1095" s="64">
        <f>($DX1095-$DX1096)*100</f>
        <v/>
      </c>
      <c r="EA1095" s="64">
        <f>($DW1095-$D1095)*100</f>
        <v/>
      </c>
      <c r="EB1095" s="64">
        <f>$Q1095-$O1095</f>
        <v/>
      </c>
      <c r="EC1095" s="67">
        <f>IFERROR($Q1095/$P1095,"")</f>
        <v/>
      </c>
    </row>
    <row r="1096">
      <c r="DG1096" s="64">
        <f>($B1096-$B1097)*100</f>
        <v/>
      </c>
      <c r="DH1096" s="64">
        <f>($D1096-$D1097)*100</f>
        <v/>
      </c>
      <c r="DI1096" s="64">
        <f>($E1096-$E1097)*100</f>
        <v/>
      </c>
      <c r="DJ1096" s="64">
        <f>($H1096-$H1097)*100</f>
        <v/>
      </c>
      <c r="DK1096" s="65">
        <f>IFERROR($J1096/$J1097-1,"")</f>
        <v/>
      </c>
      <c r="DL1096" s="64">
        <f>$L1096-$L1097</f>
        <v/>
      </c>
      <c r="DM1096" s="64">
        <f>$K1096-$K1097</f>
        <v/>
      </c>
      <c r="DN1096" s="65">
        <f>IFERROR($N1096/$N1097-1,"")</f>
        <v/>
      </c>
      <c r="DO1096" s="65">
        <f>IFERROR($M1096/$M1097-1,"")</f>
        <v/>
      </c>
      <c r="DP1096" s="65">
        <f>IFERROR($AZ1096/$AZ1097-1,"")</f>
        <v/>
      </c>
      <c r="DQ1096" s="65">
        <f>IFERROR($BA1096/$BA1097-1,"")</f>
        <v/>
      </c>
      <c r="DR1096" s="64">
        <f>$O1096-$O1097</f>
        <v/>
      </c>
      <c r="DS1096" s="64">
        <f>$P1096-$P1097</f>
        <v/>
      </c>
      <c r="DT1096" s="64">
        <f>$Q1096-$Q1097</f>
        <v/>
      </c>
      <c r="DU1096" s="64">
        <f>$S1096-$S1097</f>
        <v/>
      </c>
      <c r="DV1096" s="65">
        <f>IFERROR(AVERAGE($AA1097/$AA1096-1,$AB1097/$AB1096-1,$AC1097/$AC1096-1,$AD1097/$AD1096-1,$AE1097/$AE1096-1,$AG1097/$AG1096-1,$AH1097/$AH1096-1,$AI1097/$AI1096-1,$AJ1097/$AJ1096-1,$AL1097/$AL1096-1,$AM1097/$AM1096-1,$AR1097/$AR1096-1,$AS1097/$AS1096-1,$AT1097/$AT1096-1,$AU1097/$AU1096-1,$AV1097/$AV1096-1,$AW1097/$AW1096-1,$AX1097/$AX1096-1,$AY1097/$AY1096-1),"")</f>
        <v/>
      </c>
      <c r="DW1096" s="66">
        <f>AVERAGE($CB1096,$CC1096,$CD1096,$CE1096,$CF1096,$CG1096,$CH1096,$CI1096,$CJ1096,$CL1096,$CM1096,$CN1096,$CO1096,$CP1096,$CQ1096,$CR1096,$CS1096,$CT1096)</f>
        <v/>
      </c>
      <c r="DX1096" s="66">
        <f>AVERAGE($CB1096,$CC1096,$CM1096,$CE1096,$CP1096)</f>
        <v/>
      </c>
      <c r="DY1096" s="64">
        <f>($DW1096-$DW1097)*100</f>
        <v/>
      </c>
      <c r="DZ1096" s="64">
        <f>($DX1096-$DX1097)*100</f>
        <v/>
      </c>
      <c r="EA1096" s="64">
        <f>($DW1096-$D1096)*100</f>
        <v/>
      </c>
      <c r="EB1096" s="64">
        <f>$Q1096-$O1096</f>
        <v/>
      </c>
      <c r="EC1096" s="67">
        <f>IFERROR($Q1096/$P1096,"")</f>
        <v/>
      </c>
    </row>
    <row r="1097">
      <c r="DG1097" s="64">
        <f>($B1097-$B1098)*100</f>
        <v/>
      </c>
      <c r="DH1097" s="64">
        <f>($D1097-$D1098)*100</f>
        <v/>
      </c>
      <c r="DI1097" s="64">
        <f>($E1097-$E1098)*100</f>
        <v/>
      </c>
      <c r="DJ1097" s="64">
        <f>($H1097-$H1098)*100</f>
        <v/>
      </c>
      <c r="DK1097" s="65">
        <f>IFERROR($J1097/$J1098-1,"")</f>
        <v/>
      </c>
      <c r="DL1097" s="64">
        <f>$L1097-$L1098</f>
        <v/>
      </c>
      <c r="DM1097" s="64">
        <f>$K1097-$K1098</f>
        <v/>
      </c>
      <c r="DN1097" s="65">
        <f>IFERROR($N1097/$N1098-1,"")</f>
        <v/>
      </c>
      <c r="DO1097" s="65">
        <f>IFERROR($M1097/$M1098-1,"")</f>
        <v/>
      </c>
      <c r="DP1097" s="65">
        <f>IFERROR($AZ1097/$AZ1098-1,"")</f>
        <v/>
      </c>
      <c r="DQ1097" s="65">
        <f>IFERROR($BA1097/$BA1098-1,"")</f>
        <v/>
      </c>
      <c r="DR1097" s="64">
        <f>$O1097-$O1098</f>
        <v/>
      </c>
      <c r="DS1097" s="64">
        <f>$P1097-$P1098</f>
        <v/>
      </c>
      <c r="DT1097" s="64">
        <f>$Q1097-$Q1098</f>
        <v/>
      </c>
      <c r="DU1097" s="64">
        <f>$S1097-$S1098</f>
        <v/>
      </c>
      <c r="DV1097" s="65">
        <f>IFERROR(AVERAGE($AA1098/$AA1097-1,$AB1098/$AB1097-1,$AC1098/$AC1097-1,$AD1098/$AD1097-1,$AE1098/$AE1097-1,$AG1098/$AG1097-1,$AH1098/$AH1097-1,$AI1098/$AI1097-1,$AJ1098/$AJ1097-1,$AL1098/$AL1097-1,$AM1098/$AM1097-1,$AR1098/$AR1097-1,$AS1098/$AS1097-1,$AT1098/$AT1097-1,$AU1098/$AU1097-1,$AV1098/$AV1097-1,$AW1098/$AW1097-1,$AX1098/$AX1097-1,$AY1098/$AY1097-1),"")</f>
        <v/>
      </c>
      <c r="DW1097" s="66">
        <f>AVERAGE($CB1097,$CC1097,$CD1097,$CE1097,$CF1097,$CG1097,$CH1097,$CI1097,$CJ1097,$CL1097,$CM1097,$CN1097,$CO1097,$CP1097,$CQ1097,$CR1097,$CS1097,$CT1097)</f>
        <v/>
      </c>
      <c r="DX1097" s="66">
        <f>AVERAGE($CB1097,$CC1097,$CM1097,$CE1097,$CP1097)</f>
        <v/>
      </c>
      <c r="DY1097" s="64">
        <f>($DW1097-$DW1098)*100</f>
        <v/>
      </c>
      <c r="DZ1097" s="64">
        <f>($DX1097-$DX1098)*100</f>
        <v/>
      </c>
      <c r="EA1097" s="64">
        <f>($DW1097-$D1097)*100</f>
        <v/>
      </c>
      <c r="EB1097" s="64">
        <f>$Q1097-$O1097</f>
        <v/>
      </c>
      <c r="EC1097" s="67">
        <f>IFERROR($Q1097/$P1097,"")</f>
        <v/>
      </c>
    </row>
    <row r="1098">
      <c r="DG1098" s="64">
        <f>($B1098-$B1099)*100</f>
        <v/>
      </c>
      <c r="DH1098" s="64">
        <f>($D1098-$D1099)*100</f>
        <v/>
      </c>
      <c r="DI1098" s="64">
        <f>($E1098-$E1099)*100</f>
        <v/>
      </c>
      <c r="DJ1098" s="64">
        <f>($H1098-$H1099)*100</f>
        <v/>
      </c>
      <c r="DK1098" s="65">
        <f>IFERROR($J1098/$J1099-1,"")</f>
        <v/>
      </c>
      <c r="DL1098" s="64">
        <f>$L1098-$L1099</f>
        <v/>
      </c>
      <c r="DM1098" s="64">
        <f>$K1098-$K1099</f>
        <v/>
      </c>
      <c r="DN1098" s="65">
        <f>IFERROR($N1098/$N1099-1,"")</f>
        <v/>
      </c>
      <c r="DO1098" s="65">
        <f>IFERROR($M1098/$M1099-1,"")</f>
        <v/>
      </c>
      <c r="DP1098" s="65">
        <f>IFERROR($AZ1098/$AZ1099-1,"")</f>
        <v/>
      </c>
      <c r="DQ1098" s="65">
        <f>IFERROR($BA1098/$BA1099-1,"")</f>
        <v/>
      </c>
      <c r="DR1098" s="64">
        <f>$O1098-$O1099</f>
        <v/>
      </c>
      <c r="DS1098" s="64">
        <f>$P1098-$P1099</f>
        <v/>
      </c>
      <c r="DT1098" s="64">
        <f>$Q1098-$Q1099</f>
        <v/>
      </c>
      <c r="DU1098" s="64">
        <f>$S1098-$S1099</f>
        <v/>
      </c>
      <c r="DV1098" s="65">
        <f>IFERROR(AVERAGE($AA1099/$AA1098-1,$AB1099/$AB1098-1,$AC1099/$AC1098-1,$AD1099/$AD1098-1,$AE1099/$AE1098-1,$AG1099/$AG1098-1,$AH1099/$AH1098-1,$AI1099/$AI1098-1,$AJ1099/$AJ1098-1,$AL1099/$AL1098-1,$AM1099/$AM1098-1,$AR1099/$AR1098-1,$AS1099/$AS1098-1,$AT1099/$AT1098-1,$AU1099/$AU1098-1,$AV1099/$AV1098-1,$AW1099/$AW1098-1,$AX1099/$AX1098-1,$AY1099/$AY1098-1),"")</f>
        <v/>
      </c>
      <c r="DW1098" s="66">
        <f>AVERAGE($CB1098,$CC1098,$CD1098,$CE1098,$CF1098,$CG1098,$CH1098,$CI1098,$CJ1098,$CL1098,$CM1098,$CN1098,$CO1098,$CP1098,$CQ1098,$CR1098,$CS1098,$CT1098)</f>
        <v/>
      </c>
      <c r="DX1098" s="66">
        <f>AVERAGE($CB1098,$CC1098,$CM1098,$CE1098,$CP1098)</f>
        <v/>
      </c>
      <c r="DY1098" s="64">
        <f>($DW1098-$DW1099)*100</f>
        <v/>
      </c>
      <c r="DZ1098" s="64">
        <f>($DX1098-$DX1099)*100</f>
        <v/>
      </c>
      <c r="EA1098" s="64">
        <f>($DW1098-$D1098)*100</f>
        <v/>
      </c>
      <c r="EB1098" s="64">
        <f>$Q1098-$O1098</f>
        <v/>
      </c>
      <c r="EC1098" s="67">
        <f>IFERROR($Q1098/$P1098,"")</f>
        <v/>
      </c>
    </row>
    <row r="1099">
      <c r="DG1099" s="64">
        <f>($B1099-$B1100)*100</f>
        <v/>
      </c>
      <c r="DH1099" s="64">
        <f>($D1099-$D1100)*100</f>
        <v/>
      </c>
      <c r="DI1099" s="64">
        <f>($E1099-$E1100)*100</f>
        <v/>
      </c>
      <c r="DJ1099" s="64">
        <f>($H1099-$H1100)*100</f>
        <v/>
      </c>
      <c r="DK1099" s="65">
        <f>IFERROR($J1099/$J1100-1,"")</f>
        <v/>
      </c>
      <c r="DL1099" s="64">
        <f>$L1099-$L1100</f>
        <v/>
      </c>
      <c r="DM1099" s="64">
        <f>$K1099-$K1100</f>
        <v/>
      </c>
      <c r="DN1099" s="65">
        <f>IFERROR($N1099/$N1100-1,"")</f>
        <v/>
      </c>
      <c r="DO1099" s="65">
        <f>IFERROR($M1099/$M1100-1,"")</f>
        <v/>
      </c>
      <c r="DP1099" s="65">
        <f>IFERROR($AZ1099/$AZ1100-1,"")</f>
        <v/>
      </c>
      <c r="DQ1099" s="65">
        <f>IFERROR($BA1099/$BA1100-1,"")</f>
        <v/>
      </c>
      <c r="DR1099" s="64">
        <f>$O1099-$O1100</f>
        <v/>
      </c>
      <c r="DS1099" s="64">
        <f>$P1099-$P1100</f>
        <v/>
      </c>
      <c r="DT1099" s="64">
        <f>$Q1099-$Q1100</f>
        <v/>
      </c>
      <c r="DU1099" s="64">
        <f>$S1099-$S1100</f>
        <v/>
      </c>
      <c r="DV1099" s="65">
        <f>IFERROR(AVERAGE($AA1100/$AA1099-1,$AB1100/$AB1099-1,$AC1100/$AC1099-1,$AD1100/$AD1099-1,$AE1100/$AE1099-1,$AG1100/$AG1099-1,$AH1100/$AH1099-1,$AI1100/$AI1099-1,$AJ1100/$AJ1099-1,$AL1100/$AL1099-1,$AM1100/$AM1099-1,$AR1100/$AR1099-1,$AS1100/$AS1099-1,$AT1100/$AT1099-1,$AU1100/$AU1099-1,$AV1100/$AV1099-1,$AW1100/$AW1099-1,$AX1100/$AX1099-1,$AY1100/$AY1099-1),"")</f>
        <v/>
      </c>
      <c r="DW1099" s="66">
        <f>AVERAGE($CB1099,$CC1099,$CD1099,$CE1099,$CF1099,$CG1099,$CH1099,$CI1099,$CJ1099,$CL1099,$CM1099,$CN1099,$CO1099,$CP1099,$CQ1099,$CR1099,$CS1099,$CT1099)</f>
        <v/>
      </c>
      <c r="DX1099" s="66">
        <f>AVERAGE($CB1099,$CC1099,$CM1099,$CE1099,$CP1099)</f>
        <v/>
      </c>
      <c r="DY1099" s="64">
        <f>($DW1099-$DW1100)*100</f>
        <v/>
      </c>
      <c r="DZ1099" s="64">
        <f>($DX1099-$DX1100)*100</f>
        <v/>
      </c>
      <c r="EA1099" s="64">
        <f>($DW1099-$D1099)*100</f>
        <v/>
      </c>
      <c r="EB1099" s="64">
        <f>$Q1099-$O1099</f>
        <v/>
      </c>
      <c r="EC1099" s="67">
        <f>IFERROR($Q1099/$P1099,"")</f>
        <v/>
      </c>
    </row>
    <row r="1100">
      <c r="DG1100" s="64">
        <f>($B1100-$B1101)*100</f>
        <v/>
      </c>
      <c r="DH1100" s="64">
        <f>($D1100-$D1101)*100</f>
        <v/>
      </c>
      <c r="DI1100" s="64">
        <f>($E1100-$E1101)*100</f>
        <v/>
      </c>
      <c r="DJ1100" s="64">
        <f>($H1100-$H1101)*100</f>
        <v/>
      </c>
      <c r="DK1100" s="65">
        <f>IFERROR($J1100/$J1101-1,"")</f>
        <v/>
      </c>
      <c r="DL1100" s="64">
        <f>$L1100-$L1101</f>
        <v/>
      </c>
      <c r="DM1100" s="64">
        <f>$K1100-$K1101</f>
        <v/>
      </c>
      <c r="DN1100" s="65">
        <f>IFERROR($N1100/$N1101-1,"")</f>
        <v/>
      </c>
      <c r="DO1100" s="65">
        <f>IFERROR($M1100/$M1101-1,"")</f>
        <v/>
      </c>
      <c r="DP1100" s="65">
        <f>IFERROR($AZ1100/$AZ1101-1,"")</f>
        <v/>
      </c>
      <c r="DQ1100" s="65">
        <f>IFERROR($BA1100/$BA1101-1,"")</f>
        <v/>
      </c>
      <c r="DR1100" s="64">
        <f>$O1100-$O1101</f>
        <v/>
      </c>
      <c r="DS1100" s="64">
        <f>$P1100-$P1101</f>
        <v/>
      </c>
      <c r="DT1100" s="64">
        <f>$Q1100-$Q1101</f>
        <v/>
      </c>
      <c r="DU1100" s="64">
        <f>$S1100-$S1101</f>
        <v/>
      </c>
      <c r="DV1100" s="65">
        <f>IFERROR(AVERAGE($AA1101/$AA1100-1,$AB1101/$AB1100-1,$AC1101/$AC1100-1,$AD1101/$AD1100-1,$AE1101/$AE1100-1,$AG1101/$AG1100-1,$AH1101/$AH1100-1,$AI1101/$AI1100-1,$AJ1101/$AJ1100-1,$AL1101/$AL1100-1,$AM1101/$AM1100-1,$AR1101/$AR1100-1,$AS1101/$AS1100-1,$AT1101/$AT1100-1,$AU1101/$AU1100-1,$AV1101/$AV1100-1,$AW1101/$AW1100-1,$AX1101/$AX1100-1,$AY1101/$AY1100-1),"")</f>
        <v/>
      </c>
      <c r="DW1100" s="66">
        <f>AVERAGE($CB1100,$CC1100,$CD1100,$CE1100,$CF1100,$CG1100,$CH1100,$CI1100,$CJ1100,$CL1100,$CM1100,$CN1100,$CO1100,$CP1100,$CQ1100,$CR1100,$CS1100,$CT1100)</f>
        <v/>
      </c>
      <c r="DX1100" s="66">
        <f>AVERAGE($CB1100,$CC1100,$CM1100,$CE1100,$CP1100)</f>
        <v/>
      </c>
      <c r="DY1100" s="64">
        <f>($DW1100-$DW1101)*100</f>
        <v/>
      </c>
      <c r="DZ1100" s="64">
        <f>($DX1100-$DX1101)*100</f>
        <v/>
      </c>
      <c r="EA1100" s="64">
        <f>($DW1100-$D1100)*100</f>
        <v/>
      </c>
      <c r="EB1100" s="64">
        <f>$Q1100-$O1100</f>
        <v/>
      </c>
      <c r="EC1100" s="67">
        <f>IFERROR($Q1100/$P1100,"")</f>
        <v/>
      </c>
    </row>
    <row r="1101">
      <c r="DG1101" s="64">
        <f>($B1101-$B1102)*100</f>
        <v/>
      </c>
      <c r="DH1101" s="64">
        <f>($D1101-$D1102)*100</f>
        <v/>
      </c>
      <c r="DI1101" s="64">
        <f>($E1101-$E1102)*100</f>
        <v/>
      </c>
      <c r="DJ1101" s="64">
        <f>($H1101-$H1102)*100</f>
        <v/>
      </c>
      <c r="DK1101" s="65">
        <f>IFERROR($J1101/$J1102-1,"")</f>
        <v/>
      </c>
      <c r="DL1101" s="64">
        <f>$L1101-$L1102</f>
        <v/>
      </c>
      <c r="DM1101" s="64">
        <f>$K1101-$K1102</f>
        <v/>
      </c>
      <c r="DN1101" s="65">
        <f>IFERROR($N1101/$N1102-1,"")</f>
        <v/>
      </c>
      <c r="DO1101" s="65">
        <f>IFERROR($M1101/$M1102-1,"")</f>
        <v/>
      </c>
      <c r="DP1101" s="65">
        <f>IFERROR($AZ1101/$AZ1102-1,"")</f>
        <v/>
      </c>
      <c r="DQ1101" s="65">
        <f>IFERROR($BA1101/$BA1102-1,"")</f>
        <v/>
      </c>
      <c r="DR1101" s="64">
        <f>$O1101-$O1102</f>
        <v/>
      </c>
      <c r="DS1101" s="64">
        <f>$P1101-$P1102</f>
        <v/>
      </c>
      <c r="DT1101" s="64">
        <f>$Q1101-$Q1102</f>
        <v/>
      </c>
      <c r="DU1101" s="64">
        <f>$S1101-$S1102</f>
        <v/>
      </c>
      <c r="DV1101" s="65">
        <f>IFERROR(AVERAGE($AA1102/$AA1101-1,$AB1102/$AB1101-1,$AC1102/$AC1101-1,$AD1102/$AD1101-1,$AE1102/$AE1101-1,$AG1102/$AG1101-1,$AH1102/$AH1101-1,$AI1102/$AI1101-1,$AJ1102/$AJ1101-1,$AL1102/$AL1101-1,$AM1102/$AM1101-1,$AR1102/$AR1101-1,$AS1102/$AS1101-1,$AT1102/$AT1101-1,$AU1102/$AU1101-1,$AV1102/$AV1101-1,$AW1102/$AW1101-1,$AX1102/$AX1101-1,$AY1102/$AY1101-1),"")</f>
        <v/>
      </c>
      <c r="DW1101" s="66">
        <f>AVERAGE($CB1101,$CC1101,$CD1101,$CE1101,$CF1101,$CG1101,$CH1101,$CI1101,$CJ1101,$CL1101,$CM1101,$CN1101,$CO1101,$CP1101,$CQ1101,$CR1101,$CS1101,$CT1101)</f>
        <v/>
      </c>
      <c r="DX1101" s="66">
        <f>AVERAGE($CB1101,$CC1101,$CM1101,$CE1101,$CP1101)</f>
        <v/>
      </c>
      <c r="DY1101" s="64">
        <f>($DW1101-$DW1102)*100</f>
        <v/>
      </c>
      <c r="DZ1101" s="64">
        <f>($DX1101-$DX1102)*100</f>
        <v/>
      </c>
      <c r="EA1101" s="64">
        <f>($DW1101-$D1101)*100</f>
        <v/>
      </c>
      <c r="EB1101" s="64">
        <f>$Q1101-$O1101</f>
        <v/>
      </c>
      <c r="EC1101" s="67">
        <f>IFERROR($Q1101/$P1101,"")</f>
        <v/>
      </c>
    </row>
    <row r="1102">
      <c r="DG1102" s="64">
        <f>($B1102-$B1103)*100</f>
        <v/>
      </c>
      <c r="DH1102" s="64">
        <f>($D1102-$D1103)*100</f>
        <v/>
      </c>
      <c r="DI1102" s="64">
        <f>($E1102-$E1103)*100</f>
        <v/>
      </c>
      <c r="DJ1102" s="64">
        <f>($H1102-$H1103)*100</f>
        <v/>
      </c>
      <c r="DK1102" s="65">
        <f>IFERROR($J1102/$J1103-1,"")</f>
        <v/>
      </c>
      <c r="DL1102" s="64">
        <f>$L1102-$L1103</f>
        <v/>
      </c>
      <c r="DM1102" s="64">
        <f>$K1102-$K1103</f>
        <v/>
      </c>
      <c r="DN1102" s="65">
        <f>IFERROR($N1102/$N1103-1,"")</f>
        <v/>
      </c>
      <c r="DO1102" s="65">
        <f>IFERROR($M1102/$M1103-1,"")</f>
        <v/>
      </c>
      <c r="DP1102" s="65">
        <f>IFERROR($AZ1102/$AZ1103-1,"")</f>
        <v/>
      </c>
      <c r="DQ1102" s="65">
        <f>IFERROR($BA1102/$BA1103-1,"")</f>
        <v/>
      </c>
      <c r="DR1102" s="64">
        <f>$O1102-$O1103</f>
        <v/>
      </c>
      <c r="DS1102" s="64">
        <f>$P1102-$P1103</f>
        <v/>
      </c>
      <c r="DT1102" s="64">
        <f>$Q1102-$Q1103</f>
        <v/>
      </c>
      <c r="DU1102" s="64">
        <f>$S1102-$S1103</f>
        <v/>
      </c>
      <c r="DV1102" s="65">
        <f>IFERROR(AVERAGE($AA1103/$AA1102-1,$AB1103/$AB1102-1,$AC1103/$AC1102-1,$AD1103/$AD1102-1,$AE1103/$AE1102-1,$AG1103/$AG1102-1,$AH1103/$AH1102-1,$AI1103/$AI1102-1,$AJ1103/$AJ1102-1,$AL1103/$AL1102-1,$AM1103/$AM1102-1,$AR1103/$AR1102-1,$AS1103/$AS1102-1,$AT1103/$AT1102-1,$AU1103/$AU1102-1,$AV1103/$AV1102-1,$AW1103/$AW1102-1,$AX1103/$AX1102-1,$AY1103/$AY1102-1),"")</f>
        <v/>
      </c>
      <c r="DW1102" s="66">
        <f>AVERAGE($CB1102,$CC1102,$CD1102,$CE1102,$CF1102,$CG1102,$CH1102,$CI1102,$CJ1102,$CL1102,$CM1102,$CN1102,$CO1102,$CP1102,$CQ1102,$CR1102,$CS1102,$CT1102)</f>
        <v/>
      </c>
      <c r="DX1102" s="66">
        <f>AVERAGE($CB1102,$CC1102,$CM1102,$CE1102,$CP1102)</f>
        <v/>
      </c>
      <c r="DY1102" s="64">
        <f>($DW1102-$DW1103)*100</f>
        <v/>
      </c>
      <c r="DZ1102" s="64">
        <f>($DX1102-$DX1103)*100</f>
        <v/>
      </c>
      <c r="EA1102" s="64">
        <f>($DW1102-$D1102)*100</f>
        <v/>
      </c>
      <c r="EB1102" s="64">
        <f>$Q1102-$O1102</f>
        <v/>
      </c>
      <c r="EC1102" s="67">
        <f>IFERROR($Q1102/$P1102,"")</f>
        <v/>
      </c>
    </row>
    <row r="1103">
      <c r="DG1103" s="64">
        <f>($B1103-$B1104)*100</f>
        <v/>
      </c>
      <c r="DH1103" s="64">
        <f>($D1103-$D1104)*100</f>
        <v/>
      </c>
      <c r="DI1103" s="64">
        <f>($E1103-$E1104)*100</f>
        <v/>
      </c>
      <c r="DJ1103" s="64">
        <f>($H1103-$H1104)*100</f>
        <v/>
      </c>
      <c r="DK1103" s="65">
        <f>IFERROR($J1103/$J1104-1,"")</f>
        <v/>
      </c>
      <c r="DL1103" s="64">
        <f>$L1103-$L1104</f>
        <v/>
      </c>
      <c r="DM1103" s="64">
        <f>$K1103-$K1104</f>
        <v/>
      </c>
      <c r="DN1103" s="65">
        <f>IFERROR($N1103/$N1104-1,"")</f>
        <v/>
      </c>
      <c r="DO1103" s="65">
        <f>IFERROR($M1103/$M1104-1,"")</f>
        <v/>
      </c>
      <c r="DP1103" s="65">
        <f>IFERROR($AZ1103/$AZ1104-1,"")</f>
        <v/>
      </c>
      <c r="DQ1103" s="65">
        <f>IFERROR($BA1103/$BA1104-1,"")</f>
        <v/>
      </c>
      <c r="DR1103" s="64">
        <f>$O1103-$O1104</f>
        <v/>
      </c>
      <c r="DS1103" s="64">
        <f>$P1103-$P1104</f>
        <v/>
      </c>
      <c r="DT1103" s="64">
        <f>$Q1103-$Q1104</f>
        <v/>
      </c>
      <c r="DU1103" s="64">
        <f>$S1103-$S1104</f>
        <v/>
      </c>
      <c r="DV1103" s="65">
        <f>IFERROR(AVERAGE($AA1104/$AA1103-1,$AB1104/$AB1103-1,$AC1104/$AC1103-1,$AD1104/$AD1103-1,$AE1104/$AE1103-1,$AG1104/$AG1103-1,$AH1104/$AH1103-1,$AI1104/$AI1103-1,$AJ1104/$AJ1103-1,$AL1104/$AL1103-1,$AM1104/$AM1103-1,$AR1104/$AR1103-1,$AS1104/$AS1103-1,$AT1104/$AT1103-1,$AU1104/$AU1103-1,$AV1104/$AV1103-1,$AW1104/$AW1103-1,$AX1104/$AX1103-1,$AY1104/$AY1103-1),"")</f>
        <v/>
      </c>
      <c r="DW1103" s="66">
        <f>AVERAGE($CB1103,$CC1103,$CD1103,$CE1103,$CF1103,$CG1103,$CH1103,$CI1103,$CJ1103,$CL1103,$CM1103,$CN1103,$CO1103,$CP1103,$CQ1103,$CR1103,$CS1103,$CT1103)</f>
        <v/>
      </c>
      <c r="DX1103" s="66">
        <f>AVERAGE($CB1103,$CC1103,$CM1103,$CE1103,$CP1103)</f>
        <v/>
      </c>
      <c r="DY1103" s="64">
        <f>($DW1103-$DW1104)*100</f>
        <v/>
      </c>
      <c r="DZ1103" s="64">
        <f>($DX1103-$DX1104)*100</f>
        <v/>
      </c>
      <c r="EA1103" s="64">
        <f>($DW1103-$D1103)*100</f>
        <v/>
      </c>
      <c r="EB1103" s="64">
        <f>$Q1103-$O1103</f>
        <v/>
      </c>
      <c r="EC1103" s="67">
        <f>IFERROR($Q1103/$P1103,"")</f>
        <v/>
      </c>
    </row>
    <row r="1104">
      <c r="DG1104" s="64">
        <f>($B1104-$B1105)*100</f>
        <v/>
      </c>
      <c r="DH1104" s="64">
        <f>($D1104-$D1105)*100</f>
        <v/>
      </c>
      <c r="DI1104" s="64">
        <f>($E1104-$E1105)*100</f>
        <v/>
      </c>
      <c r="DJ1104" s="64">
        <f>($H1104-$H1105)*100</f>
        <v/>
      </c>
      <c r="DK1104" s="65">
        <f>IFERROR($J1104/$J1105-1,"")</f>
        <v/>
      </c>
      <c r="DL1104" s="64">
        <f>$L1104-$L1105</f>
        <v/>
      </c>
      <c r="DM1104" s="64">
        <f>$K1104-$K1105</f>
        <v/>
      </c>
      <c r="DN1104" s="65">
        <f>IFERROR($N1104/$N1105-1,"")</f>
        <v/>
      </c>
      <c r="DO1104" s="65">
        <f>IFERROR($M1104/$M1105-1,"")</f>
        <v/>
      </c>
      <c r="DP1104" s="65">
        <f>IFERROR($AZ1104/$AZ1105-1,"")</f>
        <v/>
      </c>
      <c r="DQ1104" s="65">
        <f>IFERROR($BA1104/$BA1105-1,"")</f>
        <v/>
      </c>
      <c r="DR1104" s="64">
        <f>$O1104-$O1105</f>
        <v/>
      </c>
      <c r="DS1104" s="64">
        <f>$P1104-$P1105</f>
        <v/>
      </c>
      <c r="DT1104" s="64">
        <f>$Q1104-$Q1105</f>
        <v/>
      </c>
      <c r="DU1104" s="64">
        <f>$S1104-$S1105</f>
        <v/>
      </c>
      <c r="DV1104" s="65">
        <f>IFERROR(AVERAGE($AA1105/$AA1104-1,$AB1105/$AB1104-1,$AC1105/$AC1104-1,$AD1105/$AD1104-1,$AE1105/$AE1104-1,$AG1105/$AG1104-1,$AH1105/$AH1104-1,$AI1105/$AI1104-1,$AJ1105/$AJ1104-1,$AL1105/$AL1104-1,$AM1105/$AM1104-1,$AR1105/$AR1104-1,$AS1105/$AS1104-1,$AT1105/$AT1104-1,$AU1105/$AU1104-1,$AV1105/$AV1104-1,$AW1105/$AW1104-1,$AX1105/$AX1104-1,$AY1105/$AY1104-1),"")</f>
        <v/>
      </c>
      <c r="DW1104" s="66">
        <f>AVERAGE($CB1104,$CC1104,$CD1104,$CE1104,$CF1104,$CG1104,$CH1104,$CI1104,$CJ1104,$CL1104,$CM1104,$CN1104,$CO1104,$CP1104,$CQ1104,$CR1104,$CS1104,$CT1104)</f>
        <v/>
      </c>
      <c r="DX1104" s="66">
        <f>AVERAGE($CB1104,$CC1104,$CM1104,$CE1104,$CP1104)</f>
        <v/>
      </c>
      <c r="DY1104" s="64">
        <f>($DW1104-$DW1105)*100</f>
        <v/>
      </c>
      <c r="DZ1104" s="64">
        <f>($DX1104-$DX1105)*100</f>
        <v/>
      </c>
      <c r="EA1104" s="64">
        <f>($DW1104-$D1104)*100</f>
        <v/>
      </c>
      <c r="EB1104" s="64">
        <f>$Q1104-$O1104</f>
        <v/>
      </c>
      <c r="EC1104" s="67">
        <f>IFERROR($Q1104/$P1104,"")</f>
        <v/>
      </c>
    </row>
    <row r="1105">
      <c r="DG1105" s="64">
        <f>($B1105-$B1106)*100</f>
        <v/>
      </c>
      <c r="DH1105" s="64">
        <f>($D1105-$D1106)*100</f>
        <v/>
      </c>
      <c r="DI1105" s="64">
        <f>($E1105-$E1106)*100</f>
        <v/>
      </c>
      <c r="DJ1105" s="64">
        <f>($H1105-$H1106)*100</f>
        <v/>
      </c>
      <c r="DK1105" s="65">
        <f>IFERROR($J1105/$J1106-1,"")</f>
        <v/>
      </c>
      <c r="DL1105" s="64">
        <f>$L1105-$L1106</f>
        <v/>
      </c>
      <c r="DM1105" s="64">
        <f>$K1105-$K1106</f>
        <v/>
      </c>
      <c r="DN1105" s="65">
        <f>IFERROR($N1105/$N1106-1,"")</f>
        <v/>
      </c>
      <c r="DO1105" s="65">
        <f>IFERROR($M1105/$M1106-1,"")</f>
        <v/>
      </c>
      <c r="DP1105" s="65">
        <f>IFERROR($AZ1105/$AZ1106-1,"")</f>
        <v/>
      </c>
      <c r="DQ1105" s="65">
        <f>IFERROR($BA1105/$BA1106-1,"")</f>
        <v/>
      </c>
      <c r="DR1105" s="64">
        <f>$O1105-$O1106</f>
        <v/>
      </c>
      <c r="DS1105" s="64">
        <f>$P1105-$P1106</f>
        <v/>
      </c>
      <c r="DT1105" s="64">
        <f>$Q1105-$Q1106</f>
        <v/>
      </c>
      <c r="DU1105" s="64">
        <f>$S1105-$S1106</f>
        <v/>
      </c>
      <c r="DV1105" s="65">
        <f>IFERROR(AVERAGE($AA1106/$AA1105-1,$AB1106/$AB1105-1,$AC1106/$AC1105-1,$AD1106/$AD1105-1,$AE1106/$AE1105-1,$AG1106/$AG1105-1,$AH1106/$AH1105-1,$AI1106/$AI1105-1,$AJ1106/$AJ1105-1,$AL1106/$AL1105-1,$AM1106/$AM1105-1,$AR1106/$AR1105-1,$AS1106/$AS1105-1,$AT1106/$AT1105-1,$AU1106/$AU1105-1,$AV1106/$AV1105-1,$AW1106/$AW1105-1,$AX1106/$AX1105-1,$AY1106/$AY1105-1),"")</f>
        <v/>
      </c>
      <c r="DW1105" s="66">
        <f>AVERAGE($CB1105,$CC1105,$CD1105,$CE1105,$CF1105,$CG1105,$CH1105,$CI1105,$CJ1105,$CL1105,$CM1105,$CN1105,$CO1105,$CP1105,$CQ1105,$CR1105,$CS1105,$CT1105)</f>
        <v/>
      </c>
      <c r="DX1105" s="66">
        <f>AVERAGE($CB1105,$CC1105,$CM1105,$CE1105,$CP1105)</f>
        <v/>
      </c>
      <c r="DY1105" s="64">
        <f>($DW1105-$DW1106)*100</f>
        <v/>
      </c>
      <c r="DZ1105" s="64">
        <f>($DX1105-$DX1106)*100</f>
        <v/>
      </c>
      <c r="EA1105" s="64">
        <f>($DW1105-$D1105)*100</f>
        <v/>
      </c>
      <c r="EB1105" s="64">
        <f>$Q1105-$O1105</f>
        <v/>
      </c>
      <c r="EC1105" s="67">
        <f>IFERROR($Q1105/$P1105,"")</f>
        <v/>
      </c>
    </row>
    <row r="1106">
      <c r="DG1106" s="64">
        <f>($B1106-$B1107)*100</f>
        <v/>
      </c>
      <c r="DH1106" s="64">
        <f>($D1106-$D1107)*100</f>
        <v/>
      </c>
      <c r="DI1106" s="64">
        <f>($E1106-$E1107)*100</f>
        <v/>
      </c>
      <c r="DJ1106" s="64">
        <f>($H1106-$H1107)*100</f>
        <v/>
      </c>
      <c r="DK1106" s="65">
        <f>IFERROR($J1106/$J1107-1,"")</f>
        <v/>
      </c>
      <c r="DL1106" s="64">
        <f>$L1106-$L1107</f>
        <v/>
      </c>
      <c r="DM1106" s="64">
        <f>$K1106-$K1107</f>
        <v/>
      </c>
      <c r="DN1106" s="65">
        <f>IFERROR($N1106/$N1107-1,"")</f>
        <v/>
      </c>
      <c r="DO1106" s="65">
        <f>IFERROR($M1106/$M1107-1,"")</f>
        <v/>
      </c>
      <c r="DP1106" s="65">
        <f>IFERROR($AZ1106/$AZ1107-1,"")</f>
        <v/>
      </c>
      <c r="DQ1106" s="65">
        <f>IFERROR($BA1106/$BA1107-1,"")</f>
        <v/>
      </c>
      <c r="DR1106" s="64">
        <f>$O1106-$O1107</f>
        <v/>
      </c>
      <c r="DS1106" s="64">
        <f>$P1106-$P1107</f>
        <v/>
      </c>
      <c r="DT1106" s="64">
        <f>$Q1106-$Q1107</f>
        <v/>
      </c>
      <c r="DU1106" s="64">
        <f>$S1106-$S1107</f>
        <v/>
      </c>
      <c r="DV1106" s="65">
        <f>IFERROR(AVERAGE($AA1107/$AA1106-1,$AB1107/$AB1106-1,$AC1107/$AC1106-1,$AD1107/$AD1106-1,$AE1107/$AE1106-1,$AG1107/$AG1106-1,$AH1107/$AH1106-1,$AI1107/$AI1106-1,$AJ1107/$AJ1106-1,$AL1107/$AL1106-1,$AM1107/$AM1106-1,$AR1107/$AR1106-1,$AS1107/$AS1106-1,$AT1107/$AT1106-1,$AU1107/$AU1106-1,$AV1107/$AV1106-1,$AW1107/$AW1106-1,$AX1107/$AX1106-1,$AY1107/$AY1106-1),"")</f>
        <v/>
      </c>
      <c r="DW1106" s="66">
        <f>AVERAGE($CB1106,$CC1106,$CD1106,$CE1106,$CF1106,$CG1106,$CH1106,$CI1106,$CJ1106,$CL1106,$CM1106,$CN1106,$CO1106,$CP1106,$CQ1106,$CR1106,$CS1106,$CT1106)</f>
        <v/>
      </c>
      <c r="DX1106" s="66">
        <f>AVERAGE($CB1106,$CC1106,$CM1106,$CE1106,$CP1106)</f>
        <v/>
      </c>
      <c r="DY1106" s="64">
        <f>($DW1106-$DW1107)*100</f>
        <v/>
      </c>
      <c r="DZ1106" s="64">
        <f>($DX1106-$DX1107)*100</f>
        <v/>
      </c>
      <c r="EA1106" s="64">
        <f>($DW1106-$D1106)*100</f>
        <v/>
      </c>
      <c r="EB1106" s="64">
        <f>$Q1106-$O1106</f>
        <v/>
      </c>
      <c r="EC1106" s="67">
        <f>IFERROR($Q1106/$P1106,"")</f>
        <v/>
      </c>
    </row>
    <row r="1107">
      <c r="DG1107" s="64">
        <f>($B1107-$B1108)*100</f>
        <v/>
      </c>
      <c r="DH1107" s="64">
        <f>($D1107-$D1108)*100</f>
        <v/>
      </c>
      <c r="DI1107" s="64">
        <f>($E1107-$E1108)*100</f>
        <v/>
      </c>
      <c r="DJ1107" s="64">
        <f>($H1107-$H1108)*100</f>
        <v/>
      </c>
      <c r="DK1107" s="65">
        <f>IFERROR($J1107/$J1108-1,"")</f>
        <v/>
      </c>
      <c r="DL1107" s="64">
        <f>$L1107-$L1108</f>
        <v/>
      </c>
      <c r="DM1107" s="64">
        <f>$K1107-$K1108</f>
        <v/>
      </c>
      <c r="DN1107" s="65">
        <f>IFERROR($N1107/$N1108-1,"")</f>
        <v/>
      </c>
      <c r="DO1107" s="65">
        <f>IFERROR($M1107/$M1108-1,"")</f>
        <v/>
      </c>
      <c r="DP1107" s="65">
        <f>IFERROR($AZ1107/$AZ1108-1,"")</f>
        <v/>
      </c>
      <c r="DQ1107" s="65">
        <f>IFERROR($BA1107/$BA1108-1,"")</f>
        <v/>
      </c>
      <c r="DR1107" s="64">
        <f>$O1107-$O1108</f>
        <v/>
      </c>
      <c r="DS1107" s="64">
        <f>$P1107-$P1108</f>
        <v/>
      </c>
      <c r="DT1107" s="64">
        <f>$Q1107-$Q1108</f>
        <v/>
      </c>
      <c r="DU1107" s="64">
        <f>$S1107-$S1108</f>
        <v/>
      </c>
      <c r="DV1107" s="65">
        <f>IFERROR(AVERAGE($AA1108/$AA1107-1,$AB1108/$AB1107-1,$AC1108/$AC1107-1,$AD1108/$AD1107-1,$AE1108/$AE1107-1,$AG1108/$AG1107-1,$AH1108/$AH1107-1,$AI1108/$AI1107-1,$AJ1108/$AJ1107-1,$AL1108/$AL1107-1,$AM1108/$AM1107-1,$AR1108/$AR1107-1,$AS1108/$AS1107-1,$AT1108/$AT1107-1,$AU1108/$AU1107-1,$AV1108/$AV1107-1,$AW1108/$AW1107-1,$AX1108/$AX1107-1,$AY1108/$AY1107-1),"")</f>
        <v/>
      </c>
      <c r="DW1107" s="66">
        <f>AVERAGE($CB1107,$CC1107,$CD1107,$CE1107,$CF1107,$CG1107,$CH1107,$CI1107,$CJ1107,$CL1107,$CM1107,$CN1107,$CO1107,$CP1107,$CQ1107,$CR1107,$CS1107,$CT1107)</f>
        <v/>
      </c>
      <c r="DX1107" s="66">
        <f>AVERAGE($CB1107,$CC1107,$CM1107,$CE1107,$CP1107)</f>
        <v/>
      </c>
      <c r="DY1107" s="64">
        <f>($DW1107-$DW1108)*100</f>
        <v/>
      </c>
      <c r="DZ1107" s="64">
        <f>($DX1107-$DX1108)*100</f>
        <v/>
      </c>
      <c r="EA1107" s="64">
        <f>($DW1107-$D1107)*100</f>
        <v/>
      </c>
      <c r="EB1107" s="64">
        <f>$Q1107-$O1107</f>
        <v/>
      </c>
      <c r="EC1107" s="67">
        <f>IFERROR($Q1107/$P1107,"")</f>
        <v/>
      </c>
    </row>
    <row r="1108">
      <c r="DG1108" s="64">
        <f>($B1108-$B1109)*100</f>
        <v/>
      </c>
      <c r="DH1108" s="64">
        <f>($D1108-$D1109)*100</f>
        <v/>
      </c>
      <c r="DI1108" s="64">
        <f>($E1108-$E1109)*100</f>
        <v/>
      </c>
      <c r="DJ1108" s="64">
        <f>($H1108-$H1109)*100</f>
        <v/>
      </c>
      <c r="DK1108" s="65">
        <f>IFERROR($J1108/$J1109-1,"")</f>
        <v/>
      </c>
      <c r="DL1108" s="64">
        <f>$L1108-$L1109</f>
        <v/>
      </c>
      <c r="DM1108" s="64">
        <f>$K1108-$K1109</f>
        <v/>
      </c>
      <c r="DN1108" s="65">
        <f>IFERROR($N1108/$N1109-1,"")</f>
        <v/>
      </c>
      <c r="DO1108" s="65">
        <f>IFERROR($M1108/$M1109-1,"")</f>
        <v/>
      </c>
      <c r="DP1108" s="65">
        <f>IFERROR($AZ1108/$AZ1109-1,"")</f>
        <v/>
      </c>
      <c r="DQ1108" s="65">
        <f>IFERROR($BA1108/$BA1109-1,"")</f>
        <v/>
      </c>
      <c r="DR1108" s="64">
        <f>$O1108-$O1109</f>
        <v/>
      </c>
      <c r="DS1108" s="64">
        <f>$P1108-$P1109</f>
        <v/>
      </c>
      <c r="DT1108" s="64">
        <f>$Q1108-$Q1109</f>
        <v/>
      </c>
      <c r="DU1108" s="64">
        <f>$S1108-$S1109</f>
        <v/>
      </c>
      <c r="DV1108" s="65">
        <f>IFERROR(AVERAGE($AA1109/$AA1108-1,$AB1109/$AB1108-1,$AC1109/$AC1108-1,$AD1109/$AD1108-1,$AE1109/$AE1108-1,$AG1109/$AG1108-1,$AH1109/$AH1108-1,$AI1109/$AI1108-1,$AJ1109/$AJ1108-1,$AL1109/$AL1108-1,$AM1109/$AM1108-1,$AR1109/$AR1108-1,$AS1109/$AS1108-1,$AT1109/$AT1108-1,$AU1109/$AU1108-1,$AV1109/$AV1108-1,$AW1109/$AW1108-1,$AX1109/$AX1108-1,$AY1109/$AY1108-1),"")</f>
        <v/>
      </c>
      <c r="DW1108" s="66">
        <f>AVERAGE($CB1108,$CC1108,$CD1108,$CE1108,$CF1108,$CG1108,$CH1108,$CI1108,$CJ1108,$CL1108,$CM1108,$CN1108,$CO1108,$CP1108,$CQ1108,$CR1108,$CS1108,$CT1108)</f>
        <v/>
      </c>
      <c r="DX1108" s="66">
        <f>AVERAGE($CB1108,$CC1108,$CM1108,$CE1108,$CP1108)</f>
        <v/>
      </c>
      <c r="DY1108" s="64">
        <f>($DW1108-$DW1109)*100</f>
        <v/>
      </c>
      <c r="DZ1108" s="64">
        <f>($DX1108-$DX1109)*100</f>
        <v/>
      </c>
      <c r="EA1108" s="64">
        <f>($DW1108-$D1108)*100</f>
        <v/>
      </c>
      <c r="EB1108" s="64">
        <f>$Q1108-$O1108</f>
        <v/>
      </c>
      <c r="EC1108" s="67">
        <f>IFERROR($Q1108/$P1108,"")</f>
        <v/>
      </c>
    </row>
    <row r="1109">
      <c r="DG1109" s="64">
        <f>($B1109-$B1110)*100</f>
        <v/>
      </c>
      <c r="DH1109" s="64">
        <f>($D1109-$D1110)*100</f>
        <v/>
      </c>
      <c r="DI1109" s="64">
        <f>($E1109-$E1110)*100</f>
        <v/>
      </c>
      <c r="DJ1109" s="64">
        <f>($H1109-$H1110)*100</f>
        <v/>
      </c>
      <c r="DK1109" s="65">
        <f>IFERROR($J1109/$J1110-1,"")</f>
        <v/>
      </c>
      <c r="DL1109" s="64">
        <f>$L1109-$L1110</f>
        <v/>
      </c>
      <c r="DM1109" s="64">
        <f>$K1109-$K1110</f>
        <v/>
      </c>
      <c r="DN1109" s="65">
        <f>IFERROR($N1109/$N1110-1,"")</f>
        <v/>
      </c>
      <c r="DO1109" s="65">
        <f>IFERROR($M1109/$M1110-1,"")</f>
        <v/>
      </c>
      <c r="DP1109" s="65">
        <f>IFERROR($AZ1109/$AZ1110-1,"")</f>
        <v/>
      </c>
      <c r="DQ1109" s="65">
        <f>IFERROR($BA1109/$BA1110-1,"")</f>
        <v/>
      </c>
      <c r="DR1109" s="64">
        <f>$O1109-$O1110</f>
        <v/>
      </c>
      <c r="DS1109" s="64">
        <f>$P1109-$P1110</f>
        <v/>
      </c>
      <c r="DT1109" s="64">
        <f>$Q1109-$Q1110</f>
        <v/>
      </c>
      <c r="DU1109" s="64">
        <f>$S1109-$S1110</f>
        <v/>
      </c>
      <c r="DV1109" s="65">
        <f>IFERROR(AVERAGE($AA1110/$AA1109-1,$AB1110/$AB1109-1,$AC1110/$AC1109-1,$AD1110/$AD1109-1,$AE1110/$AE1109-1,$AG1110/$AG1109-1,$AH1110/$AH1109-1,$AI1110/$AI1109-1,$AJ1110/$AJ1109-1,$AL1110/$AL1109-1,$AM1110/$AM1109-1,$AR1110/$AR1109-1,$AS1110/$AS1109-1,$AT1110/$AT1109-1,$AU1110/$AU1109-1,$AV1110/$AV1109-1,$AW1110/$AW1109-1,$AX1110/$AX1109-1,$AY1110/$AY1109-1),"")</f>
        <v/>
      </c>
      <c r="DW1109" s="66">
        <f>AVERAGE($CB1109,$CC1109,$CD1109,$CE1109,$CF1109,$CG1109,$CH1109,$CI1109,$CJ1109,$CL1109,$CM1109,$CN1109,$CO1109,$CP1109,$CQ1109,$CR1109,$CS1109,$CT1109)</f>
        <v/>
      </c>
      <c r="DX1109" s="66">
        <f>AVERAGE($CB1109,$CC1109,$CM1109,$CE1109,$CP1109)</f>
        <v/>
      </c>
      <c r="DY1109" s="64">
        <f>($DW1109-$DW1110)*100</f>
        <v/>
      </c>
      <c r="DZ1109" s="64">
        <f>($DX1109-$DX1110)*100</f>
        <v/>
      </c>
      <c r="EA1109" s="64">
        <f>($DW1109-$D1109)*100</f>
        <v/>
      </c>
      <c r="EB1109" s="64">
        <f>$Q1109-$O1109</f>
        <v/>
      </c>
      <c r="EC1109" s="67">
        <f>IFERROR($Q1109/$P1109,"")</f>
        <v/>
      </c>
    </row>
    <row r="1110">
      <c r="DG1110" s="64">
        <f>($B1110-$B1111)*100</f>
        <v/>
      </c>
      <c r="DH1110" s="64">
        <f>($D1110-$D1111)*100</f>
        <v/>
      </c>
      <c r="DI1110" s="64">
        <f>($E1110-$E1111)*100</f>
        <v/>
      </c>
      <c r="DJ1110" s="64">
        <f>($H1110-$H1111)*100</f>
        <v/>
      </c>
      <c r="DK1110" s="65">
        <f>IFERROR($J1110/$J1111-1,"")</f>
        <v/>
      </c>
      <c r="DL1110" s="64">
        <f>$L1110-$L1111</f>
        <v/>
      </c>
      <c r="DM1110" s="64">
        <f>$K1110-$K1111</f>
        <v/>
      </c>
      <c r="DN1110" s="65">
        <f>IFERROR($N1110/$N1111-1,"")</f>
        <v/>
      </c>
      <c r="DO1110" s="65">
        <f>IFERROR($M1110/$M1111-1,"")</f>
        <v/>
      </c>
      <c r="DP1110" s="65">
        <f>IFERROR($AZ1110/$AZ1111-1,"")</f>
        <v/>
      </c>
      <c r="DQ1110" s="65">
        <f>IFERROR($BA1110/$BA1111-1,"")</f>
        <v/>
      </c>
      <c r="DR1110" s="64">
        <f>$O1110-$O1111</f>
        <v/>
      </c>
      <c r="DS1110" s="64">
        <f>$P1110-$P1111</f>
        <v/>
      </c>
      <c r="DT1110" s="64">
        <f>$Q1110-$Q1111</f>
        <v/>
      </c>
      <c r="DU1110" s="64">
        <f>$S1110-$S1111</f>
        <v/>
      </c>
      <c r="DV1110" s="65">
        <f>IFERROR(AVERAGE($AA1111/$AA1110-1,$AB1111/$AB1110-1,$AC1111/$AC1110-1,$AD1111/$AD1110-1,$AE1111/$AE1110-1,$AG1111/$AG1110-1,$AH1111/$AH1110-1,$AI1111/$AI1110-1,$AJ1111/$AJ1110-1,$AL1111/$AL1110-1,$AM1111/$AM1110-1,$AR1111/$AR1110-1,$AS1111/$AS1110-1,$AT1111/$AT1110-1,$AU1111/$AU1110-1,$AV1111/$AV1110-1,$AW1111/$AW1110-1,$AX1111/$AX1110-1,$AY1111/$AY1110-1),"")</f>
        <v/>
      </c>
      <c r="DW1110" s="66">
        <f>AVERAGE($CB1110,$CC1110,$CD1110,$CE1110,$CF1110,$CG1110,$CH1110,$CI1110,$CJ1110,$CL1110,$CM1110,$CN1110,$CO1110,$CP1110,$CQ1110,$CR1110,$CS1110,$CT1110)</f>
        <v/>
      </c>
      <c r="DX1110" s="66">
        <f>AVERAGE($CB1110,$CC1110,$CM1110,$CE1110,$CP1110)</f>
        <v/>
      </c>
      <c r="DY1110" s="64">
        <f>($DW1110-$DW1111)*100</f>
        <v/>
      </c>
      <c r="DZ1110" s="64">
        <f>($DX1110-$DX1111)*100</f>
        <v/>
      </c>
      <c r="EA1110" s="64">
        <f>($DW1110-$D1110)*100</f>
        <v/>
      </c>
      <c r="EB1110" s="64">
        <f>$Q1110-$O1110</f>
        <v/>
      </c>
      <c r="EC1110" s="67">
        <f>IFERROR($Q1110/$P1110,"")</f>
        <v/>
      </c>
    </row>
    <row r="1111">
      <c r="DG1111" s="64">
        <f>($B1111-$B1112)*100</f>
        <v/>
      </c>
      <c r="DH1111" s="64">
        <f>($D1111-$D1112)*100</f>
        <v/>
      </c>
      <c r="DI1111" s="64">
        <f>($E1111-$E1112)*100</f>
        <v/>
      </c>
      <c r="DJ1111" s="64">
        <f>($H1111-$H1112)*100</f>
        <v/>
      </c>
      <c r="DK1111" s="65">
        <f>IFERROR($J1111/$J1112-1,"")</f>
        <v/>
      </c>
      <c r="DL1111" s="64">
        <f>$L1111-$L1112</f>
        <v/>
      </c>
      <c r="DM1111" s="64">
        <f>$K1111-$K1112</f>
        <v/>
      </c>
      <c r="DN1111" s="65">
        <f>IFERROR($N1111/$N1112-1,"")</f>
        <v/>
      </c>
      <c r="DO1111" s="65">
        <f>IFERROR($M1111/$M1112-1,"")</f>
        <v/>
      </c>
      <c r="DP1111" s="65">
        <f>IFERROR($AZ1111/$AZ1112-1,"")</f>
        <v/>
      </c>
      <c r="DQ1111" s="65">
        <f>IFERROR($BA1111/$BA1112-1,"")</f>
        <v/>
      </c>
      <c r="DR1111" s="64">
        <f>$O1111-$O1112</f>
        <v/>
      </c>
      <c r="DS1111" s="64">
        <f>$P1111-$P1112</f>
        <v/>
      </c>
      <c r="DT1111" s="64">
        <f>$Q1111-$Q1112</f>
        <v/>
      </c>
      <c r="DU1111" s="64">
        <f>$S1111-$S1112</f>
        <v/>
      </c>
      <c r="DV1111" s="65">
        <f>IFERROR(AVERAGE($AA1112/$AA1111-1,$AB1112/$AB1111-1,$AC1112/$AC1111-1,$AD1112/$AD1111-1,$AE1112/$AE1111-1,$AG1112/$AG1111-1,$AH1112/$AH1111-1,$AI1112/$AI1111-1,$AJ1112/$AJ1111-1,$AL1112/$AL1111-1,$AM1112/$AM1111-1,$AR1112/$AR1111-1,$AS1112/$AS1111-1,$AT1112/$AT1111-1,$AU1112/$AU1111-1,$AV1112/$AV1111-1,$AW1112/$AW1111-1,$AX1112/$AX1111-1,$AY1112/$AY1111-1),"")</f>
        <v/>
      </c>
      <c r="DW1111" s="66">
        <f>AVERAGE($CB1111,$CC1111,$CD1111,$CE1111,$CF1111,$CG1111,$CH1111,$CI1111,$CJ1111,$CL1111,$CM1111,$CN1111,$CO1111,$CP1111,$CQ1111,$CR1111,$CS1111,$CT1111)</f>
        <v/>
      </c>
      <c r="DX1111" s="66">
        <f>AVERAGE($CB1111,$CC1111,$CM1111,$CE1111,$CP1111)</f>
        <v/>
      </c>
      <c r="DY1111" s="64">
        <f>($DW1111-$DW1112)*100</f>
        <v/>
      </c>
      <c r="DZ1111" s="64">
        <f>($DX1111-$DX1112)*100</f>
        <v/>
      </c>
      <c r="EA1111" s="64">
        <f>($DW1111-$D1111)*100</f>
        <v/>
      </c>
      <c r="EB1111" s="64">
        <f>$Q1111-$O1111</f>
        <v/>
      </c>
      <c r="EC1111" s="67">
        <f>IFERROR($Q1111/$P1111,"")</f>
        <v/>
      </c>
    </row>
    <row r="1112">
      <c r="DG1112" s="64">
        <f>($B1112-$B1113)*100</f>
        <v/>
      </c>
      <c r="DH1112" s="64">
        <f>($D1112-$D1113)*100</f>
        <v/>
      </c>
      <c r="DI1112" s="64">
        <f>($E1112-$E1113)*100</f>
        <v/>
      </c>
      <c r="DJ1112" s="64">
        <f>($H1112-$H1113)*100</f>
        <v/>
      </c>
      <c r="DK1112" s="65">
        <f>IFERROR($J1112/$J1113-1,"")</f>
        <v/>
      </c>
      <c r="DL1112" s="64">
        <f>$L1112-$L1113</f>
        <v/>
      </c>
      <c r="DM1112" s="64">
        <f>$K1112-$K1113</f>
        <v/>
      </c>
      <c r="DN1112" s="65">
        <f>IFERROR($N1112/$N1113-1,"")</f>
        <v/>
      </c>
      <c r="DO1112" s="65">
        <f>IFERROR($M1112/$M1113-1,"")</f>
        <v/>
      </c>
      <c r="DP1112" s="65">
        <f>IFERROR($AZ1112/$AZ1113-1,"")</f>
        <v/>
      </c>
      <c r="DQ1112" s="65">
        <f>IFERROR($BA1112/$BA1113-1,"")</f>
        <v/>
      </c>
      <c r="DR1112" s="64">
        <f>$O1112-$O1113</f>
        <v/>
      </c>
      <c r="DS1112" s="64">
        <f>$P1112-$P1113</f>
        <v/>
      </c>
      <c r="DT1112" s="64">
        <f>$Q1112-$Q1113</f>
        <v/>
      </c>
      <c r="DU1112" s="64">
        <f>$S1112-$S1113</f>
        <v/>
      </c>
      <c r="DV1112" s="65">
        <f>IFERROR(AVERAGE($AA1113/$AA1112-1,$AB1113/$AB1112-1,$AC1113/$AC1112-1,$AD1113/$AD1112-1,$AE1113/$AE1112-1,$AG1113/$AG1112-1,$AH1113/$AH1112-1,$AI1113/$AI1112-1,$AJ1113/$AJ1112-1,$AL1113/$AL1112-1,$AM1113/$AM1112-1,$AR1113/$AR1112-1,$AS1113/$AS1112-1,$AT1113/$AT1112-1,$AU1113/$AU1112-1,$AV1113/$AV1112-1,$AW1113/$AW1112-1,$AX1113/$AX1112-1,$AY1113/$AY1112-1),"")</f>
        <v/>
      </c>
      <c r="DW1112" s="66">
        <f>AVERAGE($CB1112,$CC1112,$CD1112,$CE1112,$CF1112,$CG1112,$CH1112,$CI1112,$CJ1112,$CL1112,$CM1112,$CN1112,$CO1112,$CP1112,$CQ1112,$CR1112,$CS1112,$CT1112)</f>
        <v/>
      </c>
      <c r="DX1112" s="66">
        <f>AVERAGE($CB1112,$CC1112,$CM1112,$CE1112,$CP1112)</f>
        <v/>
      </c>
      <c r="DY1112" s="64">
        <f>($DW1112-$DW1113)*100</f>
        <v/>
      </c>
      <c r="DZ1112" s="64">
        <f>($DX1112-$DX1113)*100</f>
        <v/>
      </c>
      <c r="EA1112" s="64">
        <f>($DW1112-$D1112)*100</f>
        <v/>
      </c>
      <c r="EB1112" s="64">
        <f>$Q1112-$O1112</f>
        <v/>
      </c>
      <c r="EC1112" s="67">
        <f>IFERROR($Q1112/$P1112,"")</f>
        <v/>
      </c>
    </row>
    <row r="1113">
      <c r="DG1113" s="64">
        <f>($B1113-$B1114)*100</f>
        <v/>
      </c>
      <c r="DH1113" s="64">
        <f>($D1113-$D1114)*100</f>
        <v/>
      </c>
      <c r="DI1113" s="64">
        <f>($E1113-$E1114)*100</f>
        <v/>
      </c>
      <c r="DJ1113" s="64">
        <f>($H1113-$H1114)*100</f>
        <v/>
      </c>
      <c r="DK1113" s="65">
        <f>IFERROR($J1113/$J1114-1,"")</f>
        <v/>
      </c>
      <c r="DL1113" s="64">
        <f>$L1113-$L1114</f>
        <v/>
      </c>
      <c r="DM1113" s="64">
        <f>$K1113-$K1114</f>
        <v/>
      </c>
      <c r="DN1113" s="65">
        <f>IFERROR($N1113/$N1114-1,"")</f>
        <v/>
      </c>
      <c r="DO1113" s="65">
        <f>IFERROR($M1113/$M1114-1,"")</f>
        <v/>
      </c>
      <c r="DP1113" s="65">
        <f>IFERROR($AZ1113/$AZ1114-1,"")</f>
        <v/>
      </c>
      <c r="DQ1113" s="65">
        <f>IFERROR($BA1113/$BA1114-1,"")</f>
        <v/>
      </c>
      <c r="DR1113" s="64">
        <f>$O1113-$O1114</f>
        <v/>
      </c>
      <c r="DS1113" s="64">
        <f>$P1113-$P1114</f>
        <v/>
      </c>
      <c r="DT1113" s="64">
        <f>$Q1113-$Q1114</f>
        <v/>
      </c>
      <c r="DU1113" s="64">
        <f>$S1113-$S1114</f>
        <v/>
      </c>
      <c r="DV1113" s="65">
        <f>IFERROR(AVERAGE($AA1114/$AA1113-1,$AB1114/$AB1113-1,$AC1114/$AC1113-1,$AD1114/$AD1113-1,$AE1114/$AE1113-1,$AG1114/$AG1113-1,$AH1114/$AH1113-1,$AI1114/$AI1113-1,$AJ1114/$AJ1113-1,$AL1114/$AL1113-1,$AM1114/$AM1113-1,$AR1114/$AR1113-1,$AS1114/$AS1113-1,$AT1114/$AT1113-1,$AU1114/$AU1113-1,$AV1114/$AV1113-1,$AW1114/$AW1113-1,$AX1114/$AX1113-1,$AY1114/$AY1113-1),"")</f>
        <v/>
      </c>
      <c r="DW1113" s="66">
        <f>AVERAGE($CB1113,$CC1113,$CD1113,$CE1113,$CF1113,$CG1113,$CH1113,$CI1113,$CJ1113,$CL1113,$CM1113,$CN1113,$CO1113,$CP1113,$CQ1113,$CR1113,$CS1113,$CT1113)</f>
        <v/>
      </c>
      <c r="DX1113" s="66">
        <f>AVERAGE($CB1113,$CC1113,$CM1113,$CE1113,$CP1113)</f>
        <v/>
      </c>
      <c r="DY1113" s="64">
        <f>($DW1113-$DW1114)*100</f>
        <v/>
      </c>
      <c r="DZ1113" s="64">
        <f>($DX1113-$DX1114)*100</f>
        <v/>
      </c>
      <c r="EA1113" s="64">
        <f>($DW1113-$D1113)*100</f>
        <v/>
      </c>
      <c r="EB1113" s="64">
        <f>$Q1113-$O1113</f>
        <v/>
      </c>
      <c r="EC1113" s="67">
        <f>IFERROR($Q1113/$P1113,"")</f>
        <v/>
      </c>
    </row>
    <row r="1114">
      <c r="DG1114" s="64">
        <f>($B1114-$B1115)*100</f>
        <v/>
      </c>
      <c r="DH1114" s="64">
        <f>($D1114-$D1115)*100</f>
        <v/>
      </c>
      <c r="DI1114" s="64">
        <f>($E1114-$E1115)*100</f>
        <v/>
      </c>
      <c r="DJ1114" s="64">
        <f>($H1114-$H1115)*100</f>
        <v/>
      </c>
      <c r="DK1114" s="65">
        <f>IFERROR($J1114/$J1115-1,"")</f>
        <v/>
      </c>
      <c r="DL1114" s="64">
        <f>$L1114-$L1115</f>
        <v/>
      </c>
      <c r="DM1114" s="64">
        <f>$K1114-$K1115</f>
        <v/>
      </c>
      <c r="DN1114" s="65">
        <f>IFERROR($N1114/$N1115-1,"")</f>
        <v/>
      </c>
      <c r="DO1114" s="65">
        <f>IFERROR($M1114/$M1115-1,"")</f>
        <v/>
      </c>
      <c r="DP1114" s="65">
        <f>IFERROR($AZ1114/$AZ1115-1,"")</f>
        <v/>
      </c>
      <c r="DQ1114" s="65">
        <f>IFERROR($BA1114/$BA1115-1,"")</f>
        <v/>
      </c>
      <c r="DR1114" s="64">
        <f>$O1114-$O1115</f>
        <v/>
      </c>
      <c r="DS1114" s="64">
        <f>$P1114-$P1115</f>
        <v/>
      </c>
      <c r="DT1114" s="64">
        <f>$Q1114-$Q1115</f>
        <v/>
      </c>
      <c r="DU1114" s="64">
        <f>$S1114-$S1115</f>
        <v/>
      </c>
      <c r="DV1114" s="65">
        <f>IFERROR(AVERAGE($AA1115/$AA1114-1,$AB1115/$AB1114-1,$AC1115/$AC1114-1,$AD1115/$AD1114-1,$AE1115/$AE1114-1,$AG1115/$AG1114-1,$AH1115/$AH1114-1,$AI1115/$AI1114-1,$AJ1115/$AJ1114-1,$AL1115/$AL1114-1,$AM1115/$AM1114-1,$AR1115/$AR1114-1,$AS1115/$AS1114-1,$AT1115/$AT1114-1,$AU1115/$AU1114-1,$AV1115/$AV1114-1,$AW1115/$AW1114-1,$AX1115/$AX1114-1,$AY1115/$AY1114-1),"")</f>
        <v/>
      </c>
      <c r="DW1114" s="66">
        <f>AVERAGE($CB1114,$CC1114,$CD1114,$CE1114,$CF1114,$CG1114,$CH1114,$CI1114,$CJ1114,$CL1114,$CM1114,$CN1114,$CO1114,$CP1114,$CQ1114,$CR1114,$CS1114,$CT1114)</f>
        <v/>
      </c>
      <c r="DX1114" s="66">
        <f>AVERAGE($CB1114,$CC1114,$CM1114,$CE1114,$CP1114)</f>
        <v/>
      </c>
      <c r="DY1114" s="64">
        <f>($DW1114-$DW1115)*100</f>
        <v/>
      </c>
      <c r="DZ1114" s="64">
        <f>($DX1114-$DX1115)*100</f>
        <v/>
      </c>
      <c r="EA1114" s="64">
        <f>($DW1114-$D1114)*100</f>
        <v/>
      </c>
      <c r="EB1114" s="64">
        <f>$Q1114-$O1114</f>
        <v/>
      </c>
      <c r="EC1114" s="67">
        <f>IFERROR($Q1114/$P1114,"")</f>
        <v/>
      </c>
    </row>
    <row r="1115">
      <c r="DG1115" s="64">
        <f>($B1115-$B1116)*100</f>
        <v/>
      </c>
      <c r="DH1115" s="64">
        <f>($D1115-$D1116)*100</f>
        <v/>
      </c>
      <c r="DI1115" s="64">
        <f>($E1115-$E1116)*100</f>
        <v/>
      </c>
      <c r="DJ1115" s="64">
        <f>($H1115-$H1116)*100</f>
        <v/>
      </c>
      <c r="DK1115" s="65">
        <f>IFERROR($J1115/$J1116-1,"")</f>
        <v/>
      </c>
      <c r="DL1115" s="64">
        <f>$L1115-$L1116</f>
        <v/>
      </c>
      <c r="DM1115" s="64">
        <f>$K1115-$K1116</f>
        <v/>
      </c>
      <c r="DN1115" s="65">
        <f>IFERROR($N1115/$N1116-1,"")</f>
        <v/>
      </c>
      <c r="DO1115" s="65">
        <f>IFERROR($M1115/$M1116-1,"")</f>
        <v/>
      </c>
      <c r="DP1115" s="65">
        <f>IFERROR($AZ1115/$AZ1116-1,"")</f>
        <v/>
      </c>
      <c r="DQ1115" s="65">
        <f>IFERROR($BA1115/$BA1116-1,"")</f>
        <v/>
      </c>
      <c r="DR1115" s="64">
        <f>$O1115-$O1116</f>
        <v/>
      </c>
      <c r="DS1115" s="64">
        <f>$P1115-$P1116</f>
        <v/>
      </c>
      <c r="DT1115" s="64">
        <f>$Q1115-$Q1116</f>
        <v/>
      </c>
      <c r="DU1115" s="64">
        <f>$S1115-$S1116</f>
        <v/>
      </c>
      <c r="DV1115" s="65">
        <f>IFERROR(AVERAGE($AA1116/$AA1115-1,$AB1116/$AB1115-1,$AC1116/$AC1115-1,$AD1116/$AD1115-1,$AE1116/$AE1115-1,$AG1116/$AG1115-1,$AH1116/$AH1115-1,$AI1116/$AI1115-1,$AJ1116/$AJ1115-1,$AL1116/$AL1115-1,$AM1116/$AM1115-1,$AR1116/$AR1115-1,$AS1116/$AS1115-1,$AT1116/$AT1115-1,$AU1116/$AU1115-1,$AV1116/$AV1115-1,$AW1116/$AW1115-1,$AX1116/$AX1115-1,$AY1116/$AY1115-1),"")</f>
        <v/>
      </c>
      <c r="DW1115" s="66">
        <f>AVERAGE($CB1115,$CC1115,$CD1115,$CE1115,$CF1115,$CG1115,$CH1115,$CI1115,$CJ1115,$CL1115,$CM1115,$CN1115,$CO1115,$CP1115,$CQ1115,$CR1115,$CS1115,$CT1115)</f>
        <v/>
      </c>
      <c r="DX1115" s="66">
        <f>AVERAGE($CB1115,$CC1115,$CM1115,$CE1115,$CP1115)</f>
        <v/>
      </c>
      <c r="DY1115" s="64">
        <f>($DW1115-$DW1116)*100</f>
        <v/>
      </c>
      <c r="DZ1115" s="64">
        <f>($DX1115-$DX1116)*100</f>
        <v/>
      </c>
      <c r="EA1115" s="64">
        <f>($DW1115-$D1115)*100</f>
        <v/>
      </c>
      <c r="EB1115" s="64">
        <f>$Q1115-$O1115</f>
        <v/>
      </c>
      <c r="EC1115" s="67">
        <f>IFERROR($Q1115/$P1115,"")</f>
        <v/>
      </c>
    </row>
    <row r="1116">
      <c r="DG1116" s="64">
        <f>($B1116-$B1117)*100</f>
        <v/>
      </c>
      <c r="DH1116" s="64">
        <f>($D1116-$D1117)*100</f>
        <v/>
      </c>
      <c r="DI1116" s="64">
        <f>($E1116-$E1117)*100</f>
        <v/>
      </c>
      <c r="DJ1116" s="64">
        <f>($H1116-$H1117)*100</f>
        <v/>
      </c>
      <c r="DK1116" s="65">
        <f>IFERROR($J1116/$J1117-1,"")</f>
        <v/>
      </c>
      <c r="DL1116" s="64">
        <f>$L1116-$L1117</f>
        <v/>
      </c>
      <c r="DM1116" s="64">
        <f>$K1116-$K1117</f>
        <v/>
      </c>
      <c r="DN1116" s="65">
        <f>IFERROR($N1116/$N1117-1,"")</f>
        <v/>
      </c>
      <c r="DO1116" s="65">
        <f>IFERROR($M1116/$M1117-1,"")</f>
        <v/>
      </c>
      <c r="DP1116" s="65">
        <f>IFERROR($AZ1116/$AZ1117-1,"")</f>
        <v/>
      </c>
      <c r="DQ1116" s="65">
        <f>IFERROR($BA1116/$BA1117-1,"")</f>
        <v/>
      </c>
      <c r="DR1116" s="64">
        <f>$O1116-$O1117</f>
        <v/>
      </c>
      <c r="DS1116" s="64">
        <f>$P1116-$P1117</f>
        <v/>
      </c>
      <c r="DT1116" s="64">
        <f>$Q1116-$Q1117</f>
        <v/>
      </c>
      <c r="DU1116" s="64">
        <f>$S1116-$S1117</f>
        <v/>
      </c>
      <c r="DV1116" s="65">
        <f>IFERROR(AVERAGE($AA1117/$AA1116-1,$AB1117/$AB1116-1,$AC1117/$AC1116-1,$AD1117/$AD1116-1,$AE1117/$AE1116-1,$AG1117/$AG1116-1,$AH1117/$AH1116-1,$AI1117/$AI1116-1,$AJ1117/$AJ1116-1,$AL1117/$AL1116-1,$AM1117/$AM1116-1,$AR1117/$AR1116-1,$AS1117/$AS1116-1,$AT1117/$AT1116-1,$AU1117/$AU1116-1,$AV1117/$AV1116-1,$AW1117/$AW1116-1,$AX1117/$AX1116-1,$AY1117/$AY1116-1),"")</f>
        <v/>
      </c>
      <c r="DW1116" s="66">
        <f>AVERAGE($CB1116,$CC1116,$CD1116,$CE1116,$CF1116,$CG1116,$CH1116,$CI1116,$CJ1116,$CL1116,$CM1116,$CN1116,$CO1116,$CP1116,$CQ1116,$CR1116,$CS1116,$CT1116)</f>
        <v/>
      </c>
      <c r="DX1116" s="66">
        <f>AVERAGE($CB1116,$CC1116,$CM1116,$CE1116,$CP1116)</f>
        <v/>
      </c>
      <c r="DY1116" s="64">
        <f>($DW1116-$DW1117)*100</f>
        <v/>
      </c>
      <c r="DZ1116" s="64">
        <f>($DX1116-$DX1117)*100</f>
        <v/>
      </c>
      <c r="EA1116" s="64">
        <f>($DW1116-$D1116)*100</f>
        <v/>
      </c>
      <c r="EB1116" s="64">
        <f>$Q1116-$O1116</f>
        <v/>
      </c>
      <c r="EC1116" s="67">
        <f>IFERROR($Q1116/$P1116,"")</f>
        <v/>
      </c>
    </row>
    <row r="1117">
      <c r="DG1117" s="64">
        <f>($B1117-$B1118)*100</f>
        <v/>
      </c>
      <c r="DH1117" s="64">
        <f>($D1117-$D1118)*100</f>
        <v/>
      </c>
      <c r="DI1117" s="64">
        <f>($E1117-$E1118)*100</f>
        <v/>
      </c>
      <c r="DJ1117" s="64">
        <f>($H1117-$H1118)*100</f>
        <v/>
      </c>
      <c r="DK1117" s="65">
        <f>IFERROR($J1117/$J1118-1,"")</f>
        <v/>
      </c>
      <c r="DL1117" s="64">
        <f>$L1117-$L1118</f>
        <v/>
      </c>
      <c r="DM1117" s="64">
        <f>$K1117-$K1118</f>
        <v/>
      </c>
      <c r="DN1117" s="65">
        <f>IFERROR($N1117/$N1118-1,"")</f>
        <v/>
      </c>
      <c r="DO1117" s="65">
        <f>IFERROR($M1117/$M1118-1,"")</f>
        <v/>
      </c>
      <c r="DP1117" s="65">
        <f>IFERROR($AZ1117/$AZ1118-1,"")</f>
        <v/>
      </c>
      <c r="DQ1117" s="65">
        <f>IFERROR($BA1117/$BA1118-1,"")</f>
        <v/>
      </c>
      <c r="DR1117" s="64">
        <f>$O1117-$O1118</f>
        <v/>
      </c>
      <c r="DS1117" s="64">
        <f>$P1117-$P1118</f>
        <v/>
      </c>
      <c r="DT1117" s="64">
        <f>$Q1117-$Q1118</f>
        <v/>
      </c>
      <c r="DU1117" s="64">
        <f>$S1117-$S1118</f>
        <v/>
      </c>
      <c r="DV1117" s="65">
        <f>IFERROR(AVERAGE($AA1118/$AA1117-1,$AB1118/$AB1117-1,$AC1118/$AC1117-1,$AD1118/$AD1117-1,$AE1118/$AE1117-1,$AG1118/$AG1117-1,$AH1118/$AH1117-1,$AI1118/$AI1117-1,$AJ1118/$AJ1117-1,$AL1118/$AL1117-1,$AM1118/$AM1117-1,$AR1118/$AR1117-1,$AS1118/$AS1117-1,$AT1118/$AT1117-1,$AU1118/$AU1117-1,$AV1118/$AV1117-1,$AW1118/$AW1117-1,$AX1118/$AX1117-1,$AY1118/$AY1117-1),"")</f>
        <v/>
      </c>
      <c r="DW1117" s="66">
        <f>AVERAGE($CB1117,$CC1117,$CD1117,$CE1117,$CF1117,$CG1117,$CH1117,$CI1117,$CJ1117,$CL1117,$CM1117,$CN1117,$CO1117,$CP1117,$CQ1117,$CR1117,$CS1117,$CT1117)</f>
        <v/>
      </c>
      <c r="DX1117" s="66">
        <f>AVERAGE($CB1117,$CC1117,$CM1117,$CE1117,$CP1117)</f>
        <v/>
      </c>
      <c r="DY1117" s="64">
        <f>($DW1117-$DW1118)*100</f>
        <v/>
      </c>
      <c r="DZ1117" s="64">
        <f>($DX1117-$DX1118)*100</f>
        <v/>
      </c>
      <c r="EA1117" s="64">
        <f>($DW1117-$D1117)*100</f>
        <v/>
      </c>
      <c r="EB1117" s="64">
        <f>$Q1117-$O1117</f>
        <v/>
      </c>
      <c r="EC1117" s="67">
        <f>IFERROR($Q1117/$P1117,"")</f>
        <v/>
      </c>
    </row>
    <row r="1118">
      <c r="DG1118" s="64">
        <f>($B1118-$B1119)*100</f>
        <v/>
      </c>
      <c r="DH1118" s="64">
        <f>($D1118-$D1119)*100</f>
        <v/>
      </c>
      <c r="DI1118" s="64">
        <f>($E1118-$E1119)*100</f>
        <v/>
      </c>
      <c r="DJ1118" s="64">
        <f>($H1118-$H1119)*100</f>
        <v/>
      </c>
      <c r="DK1118" s="65">
        <f>IFERROR($J1118/$J1119-1,"")</f>
        <v/>
      </c>
      <c r="DL1118" s="64">
        <f>$L1118-$L1119</f>
        <v/>
      </c>
      <c r="DM1118" s="64">
        <f>$K1118-$K1119</f>
        <v/>
      </c>
      <c r="DN1118" s="65">
        <f>IFERROR($N1118/$N1119-1,"")</f>
        <v/>
      </c>
      <c r="DO1118" s="65">
        <f>IFERROR($M1118/$M1119-1,"")</f>
        <v/>
      </c>
      <c r="DP1118" s="65">
        <f>IFERROR($AZ1118/$AZ1119-1,"")</f>
        <v/>
      </c>
      <c r="DQ1118" s="65">
        <f>IFERROR($BA1118/$BA1119-1,"")</f>
        <v/>
      </c>
      <c r="DR1118" s="64">
        <f>$O1118-$O1119</f>
        <v/>
      </c>
      <c r="DS1118" s="64">
        <f>$P1118-$P1119</f>
        <v/>
      </c>
      <c r="DT1118" s="64">
        <f>$Q1118-$Q1119</f>
        <v/>
      </c>
      <c r="DU1118" s="64">
        <f>$S1118-$S1119</f>
        <v/>
      </c>
      <c r="DV1118" s="65">
        <f>IFERROR(AVERAGE($AA1119/$AA1118-1,$AB1119/$AB1118-1,$AC1119/$AC1118-1,$AD1119/$AD1118-1,$AE1119/$AE1118-1,$AG1119/$AG1118-1,$AH1119/$AH1118-1,$AI1119/$AI1118-1,$AJ1119/$AJ1118-1,$AL1119/$AL1118-1,$AM1119/$AM1118-1,$AR1119/$AR1118-1,$AS1119/$AS1118-1,$AT1119/$AT1118-1,$AU1119/$AU1118-1,$AV1119/$AV1118-1,$AW1119/$AW1118-1,$AX1119/$AX1118-1,$AY1119/$AY1118-1),"")</f>
        <v/>
      </c>
      <c r="DW1118" s="66">
        <f>AVERAGE($CB1118,$CC1118,$CD1118,$CE1118,$CF1118,$CG1118,$CH1118,$CI1118,$CJ1118,$CL1118,$CM1118,$CN1118,$CO1118,$CP1118,$CQ1118,$CR1118,$CS1118,$CT1118)</f>
        <v/>
      </c>
      <c r="DX1118" s="66">
        <f>AVERAGE($CB1118,$CC1118,$CM1118,$CE1118,$CP1118)</f>
        <v/>
      </c>
      <c r="DY1118" s="64">
        <f>($DW1118-$DW1119)*100</f>
        <v/>
      </c>
      <c r="DZ1118" s="64">
        <f>($DX1118-$DX1119)*100</f>
        <v/>
      </c>
      <c r="EA1118" s="64">
        <f>($DW1118-$D1118)*100</f>
        <v/>
      </c>
      <c r="EB1118" s="64">
        <f>$Q1118-$O1118</f>
        <v/>
      </c>
      <c r="EC1118" s="67">
        <f>IFERROR($Q1118/$P1118,"")</f>
        <v/>
      </c>
    </row>
    <row r="1119">
      <c r="DG1119" s="64">
        <f>($B1119-$B1120)*100</f>
        <v/>
      </c>
      <c r="DH1119" s="64">
        <f>($D1119-$D1120)*100</f>
        <v/>
      </c>
      <c r="DI1119" s="64">
        <f>($E1119-$E1120)*100</f>
        <v/>
      </c>
      <c r="DJ1119" s="64">
        <f>($H1119-$H1120)*100</f>
        <v/>
      </c>
      <c r="DK1119" s="65">
        <f>IFERROR($J1119/$J1120-1,"")</f>
        <v/>
      </c>
      <c r="DL1119" s="64">
        <f>$L1119-$L1120</f>
        <v/>
      </c>
      <c r="DM1119" s="64">
        <f>$K1119-$K1120</f>
        <v/>
      </c>
      <c r="DN1119" s="65">
        <f>IFERROR($N1119/$N1120-1,"")</f>
        <v/>
      </c>
      <c r="DO1119" s="65">
        <f>IFERROR($M1119/$M1120-1,"")</f>
        <v/>
      </c>
      <c r="DP1119" s="65">
        <f>IFERROR($AZ1119/$AZ1120-1,"")</f>
        <v/>
      </c>
      <c r="DQ1119" s="65">
        <f>IFERROR($BA1119/$BA1120-1,"")</f>
        <v/>
      </c>
      <c r="DR1119" s="64">
        <f>$O1119-$O1120</f>
        <v/>
      </c>
      <c r="DS1119" s="64">
        <f>$P1119-$P1120</f>
        <v/>
      </c>
      <c r="DT1119" s="64">
        <f>$Q1119-$Q1120</f>
        <v/>
      </c>
      <c r="DU1119" s="64">
        <f>$S1119-$S1120</f>
        <v/>
      </c>
      <c r="DV1119" s="65">
        <f>IFERROR(AVERAGE($AA1120/$AA1119-1,$AB1120/$AB1119-1,$AC1120/$AC1119-1,$AD1120/$AD1119-1,$AE1120/$AE1119-1,$AG1120/$AG1119-1,$AH1120/$AH1119-1,$AI1120/$AI1119-1,$AJ1120/$AJ1119-1,$AL1120/$AL1119-1,$AM1120/$AM1119-1,$AR1120/$AR1119-1,$AS1120/$AS1119-1,$AT1120/$AT1119-1,$AU1120/$AU1119-1,$AV1120/$AV1119-1,$AW1120/$AW1119-1,$AX1120/$AX1119-1,$AY1120/$AY1119-1),"")</f>
        <v/>
      </c>
      <c r="DW1119" s="66">
        <f>AVERAGE($CB1119,$CC1119,$CD1119,$CE1119,$CF1119,$CG1119,$CH1119,$CI1119,$CJ1119,$CL1119,$CM1119,$CN1119,$CO1119,$CP1119,$CQ1119,$CR1119,$CS1119,$CT1119)</f>
        <v/>
      </c>
      <c r="DX1119" s="66">
        <f>AVERAGE($CB1119,$CC1119,$CM1119,$CE1119,$CP1119)</f>
        <v/>
      </c>
      <c r="DY1119" s="64">
        <f>($DW1119-$DW1120)*100</f>
        <v/>
      </c>
      <c r="DZ1119" s="64">
        <f>($DX1119-$DX1120)*100</f>
        <v/>
      </c>
      <c r="EA1119" s="64">
        <f>($DW1119-$D1119)*100</f>
        <v/>
      </c>
      <c r="EB1119" s="64">
        <f>$Q1119-$O1119</f>
        <v/>
      </c>
      <c r="EC1119" s="67">
        <f>IFERROR($Q1119/$P1119,"")</f>
        <v/>
      </c>
    </row>
    <row r="1120">
      <c r="DG1120" s="64">
        <f>($B1120-$B1121)*100</f>
        <v/>
      </c>
      <c r="DH1120" s="64">
        <f>($D1120-$D1121)*100</f>
        <v/>
      </c>
      <c r="DI1120" s="64">
        <f>($E1120-$E1121)*100</f>
        <v/>
      </c>
      <c r="DJ1120" s="64">
        <f>($H1120-$H1121)*100</f>
        <v/>
      </c>
      <c r="DK1120" s="65">
        <f>IFERROR($J1120/$J1121-1,"")</f>
        <v/>
      </c>
      <c r="DL1120" s="64">
        <f>$L1120-$L1121</f>
        <v/>
      </c>
      <c r="DM1120" s="64">
        <f>$K1120-$K1121</f>
        <v/>
      </c>
      <c r="DN1120" s="65">
        <f>IFERROR($N1120/$N1121-1,"")</f>
        <v/>
      </c>
      <c r="DO1120" s="65">
        <f>IFERROR($M1120/$M1121-1,"")</f>
        <v/>
      </c>
      <c r="DP1120" s="65">
        <f>IFERROR($AZ1120/$AZ1121-1,"")</f>
        <v/>
      </c>
      <c r="DQ1120" s="65">
        <f>IFERROR($BA1120/$BA1121-1,"")</f>
        <v/>
      </c>
      <c r="DR1120" s="64">
        <f>$O1120-$O1121</f>
        <v/>
      </c>
      <c r="DS1120" s="64">
        <f>$P1120-$P1121</f>
        <v/>
      </c>
      <c r="DT1120" s="64">
        <f>$Q1120-$Q1121</f>
        <v/>
      </c>
      <c r="DU1120" s="64">
        <f>$S1120-$S1121</f>
        <v/>
      </c>
      <c r="DV1120" s="65">
        <f>IFERROR(AVERAGE($AA1121/$AA1120-1,$AB1121/$AB1120-1,$AC1121/$AC1120-1,$AD1121/$AD1120-1,$AE1121/$AE1120-1,$AG1121/$AG1120-1,$AH1121/$AH1120-1,$AI1121/$AI1120-1,$AJ1121/$AJ1120-1,$AL1121/$AL1120-1,$AM1121/$AM1120-1,$AR1121/$AR1120-1,$AS1121/$AS1120-1,$AT1121/$AT1120-1,$AU1121/$AU1120-1,$AV1121/$AV1120-1,$AW1121/$AW1120-1,$AX1121/$AX1120-1,$AY1121/$AY1120-1),"")</f>
        <v/>
      </c>
      <c r="DW1120" s="66">
        <f>AVERAGE($CB1120,$CC1120,$CD1120,$CE1120,$CF1120,$CG1120,$CH1120,$CI1120,$CJ1120,$CL1120,$CM1120,$CN1120,$CO1120,$CP1120,$CQ1120,$CR1120,$CS1120,$CT1120)</f>
        <v/>
      </c>
      <c r="DX1120" s="66">
        <f>AVERAGE($CB1120,$CC1120,$CM1120,$CE1120,$CP1120)</f>
        <v/>
      </c>
      <c r="DY1120" s="64">
        <f>($DW1120-$DW1121)*100</f>
        <v/>
      </c>
      <c r="DZ1120" s="64">
        <f>($DX1120-$DX1121)*100</f>
        <v/>
      </c>
      <c r="EA1120" s="64">
        <f>($DW1120-$D1120)*100</f>
        <v/>
      </c>
      <c r="EB1120" s="64">
        <f>$Q1120-$O1120</f>
        <v/>
      </c>
      <c r="EC1120" s="67">
        <f>IFERROR($Q1120/$P1120,"")</f>
        <v/>
      </c>
    </row>
    <row r="1121">
      <c r="DG1121" s="64">
        <f>($B1121-$B1122)*100</f>
        <v/>
      </c>
      <c r="DH1121" s="64">
        <f>($D1121-$D1122)*100</f>
        <v/>
      </c>
      <c r="DI1121" s="64">
        <f>($E1121-$E1122)*100</f>
        <v/>
      </c>
      <c r="DJ1121" s="64">
        <f>($H1121-$H1122)*100</f>
        <v/>
      </c>
      <c r="DK1121" s="65">
        <f>IFERROR($J1121/$J1122-1,"")</f>
        <v/>
      </c>
      <c r="DL1121" s="64">
        <f>$L1121-$L1122</f>
        <v/>
      </c>
      <c r="DM1121" s="64">
        <f>$K1121-$K1122</f>
        <v/>
      </c>
      <c r="DN1121" s="65">
        <f>IFERROR($N1121/$N1122-1,"")</f>
        <v/>
      </c>
      <c r="DO1121" s="65">
        <f>IFERROR($M1121/$M1122-1,"")</f>
        <v/>
      </c>
      <c r="DP1121" s="65">
        <f>IFERROR($AZ1121/$AZ1122-1,"")</f>
        <v/>
      </c>
      <c r="DQ1121" s="65">
        <f>IFERROR($BA1121/$BA1122-1,"")</f>
        <v/>
      </c>
      <c r="DR1121" s="64">
        <f>$O1121-$O1122</f>
        <v/>
      </c>
      <c r="DS1121" s="64">
        <f>$P1121-$P1122</f>
        <v/>
      </c>
      <c r="DT1121" s="64">
        <f>$Q1121-$Q1122</f>
        <v/>
      </c>
      <c r="DU1121" s="64">
        <f>$S1121-$S1122</f>
        <v/>
      </c>
      <c r="DV1121" s="65">
        <f>IFERROR(AVERAGE($AA1122/$AA1121-1,$AB1122/$AB1121-1,$AC1122/$AC1121-1,$AD1122/$AD1121-1,$AE1122/$AE1121-1,$AG1122/$AG1121-1,$AH1122/$AH1121-1,$AI1122/$AI1121-1,$AJ1122/$AJ1121-1,$AL1122/$AL1121-1,$AM1122/$AM1121-1,$AR1122/$AR1121-1,$AS1122/$AS1121-1,$AT1122/$AT1121-1,$AU1122/$AU1121-1,$AV1122/$AV1121-1,$AW1122/$AW1121-1,$AX1122/$AX1121-1,$AY1122/$AY1121-1),"")</f>
        <v/>
      </c>
      <c r="DW1121" s="66">
        <f>AVERAGE($CB1121,$CC1121,$CD1121,$CE1121,$CF1121,$CG1121,$CH1121,$CI1121,$CJ1121,$CL1121,$CM1121,$CN1121,$CO1121,$CP1121,$CQ1121,$CR1121,$CS1121,$CT1121)</f>
        <v/>
      </c>
      <c r="DX1121" s="66">
        <f>AVERAGE($CB1121,$CC1121,$CM1121,$CE1121,$CP1121)</f>
        <v/>
      </c>
      <c r="DY1121" s="64">
        <f>($DW1121-$DW1122)*100</f>
        <v/>
      </c>
      <c r="DZ1121" s="64">
        <f>($DX1121-$DX1122)*100</f>
        <v/>
      </c>
      <c r="EA1121" s="64">
        <f>($DW1121-$D1121)*100</f>
        <v/>
      </c>
      <c r="EB1121" s="64">
        <f>$Q1121-$O1121</f>
        <v/>
      </c>
      <c r="EC1121" s="67">
        <f>IFERROR($Q1121/$P1121,"")</f>
        <v/>
      </c>
    </row>
    <row r="1122">
      <c r="DG1122" s="64">
        <f>($B1122-$B1123)*100</f>
        <v/>
      </c>
      <c r="DH1122" s="64">
        <f>($D1122-$D1123)*100</f>
        <v/>
      </c>
      <c r="DI1122" s="64">
        <f>($E1122-$E1123)*100</f>
        <v/>
      </c>
      <c r="DJ1122" s="64">
        <f>($H1122-$H1123)*100</f>
        <v/>
      </c>
      <c r="DK1122" s="65">
        <f>IFERROR($J1122/$J1123-1,"")</f>
        <v/>
      </c>
      <c r="DL1122" s="64">
        <f>$L1122-$L1123</f>
        <v/>
      </c>
      <c r="DM1122" s="64">
        <f>$K1122-$K1123</f>
        <v/>
      </c>
      <c r="DN1122" s="65">
        <f>IFERROR($N1122/$N1123-1,"")</f>
        <v/>
      </c>
      <c r="DO1122" s="65">
        <f>IFERROR($M1122/$M1123-1,"")</f>
        <v/>
      </c>
      <c r="DP1122" s="65">
        <f>IFERROR($AZ1122/$AZ1123-1,"")</f>
        <v/>
      </c>
      <c r="DQ1122" s="65">
        <f>IFERROR($BA1122/$BA1123-1,"")</f>
        <v/>
      </c>
      <c r="DR1122" s="64">
        <f>$O1122-$O1123</f>
        <v/>
      </c>
      <c r="DS1122" s="64">
        <f>$P1122-$P1123</f>
        <v/>
      </c>
      <c r="DT1122" s="64">
        <f>$Q1122-$Q1123</f>
        <v/>
      </c>
      <c r="DU1122" s="64">
        <f>$S1122-$S1123</f>
        <v/>
      </c>
      <c r="DV1122" s="65">
        <f>IFERROR(AVERAGE($AA1123/$AA1122-1,$AB1123/$AB1122-1,$AC1123/$AC1122-1,$AD1123/$AD1122-1,$AE1123/$AE1122-1,$AG1123/$AG1122-1,$AH1123/$AH1122-1,$AI1123/$AI1122-1,$AJ1123/$AJ1122-1,$AL1123/$AL1122-1,$AM1123/$AM1122-1,$AR1123/$AR1122-1,$AS1123/$AS1122-1,$AT1123/$AT1122-1,$AU1123/$AU1122-1,$AV1123/$AV1122-1,$AW1123/$AW1122-1,$AX1123/$AX1122-1,$AY1123/$AY1122-1),"")</f>
        <v/>
      </c>
      <c r="DW1122" s="66">
        <f>AVERAGE($CB1122,$CC1122,$CD1122,$CE1122,$CF1122,$CG1122,$CH1122,$CI1122,$CJ1122,$CL1122,$CM1122,$CN1122,$CO1122,$CP1122,$CQ1122,$CR1122,$CS1122,$CT1122)</f>
        <v/>
      </c>
      <c r="DX1122" s="66">
        <f>AVERAGE($CB1122,$CC1122,$CM1122,$CE1122,$CP1122)</f>
        <v/>
      </c>
      <c r="DY1122" s="64">
        <f>($DW1122-$DW1123)*100</f>
        <v/>
      </c>
      <c r="DZ1122" s="64">
        <f>($DX1122-$DX1123)*100</f>
        <v/>
      </c>
      <c r="EA1122" s="64">
        <f>($DW1122-$D1122)*100</f>
        <v/>
      </c>
      <c r="EB1122" s="64">
        <f>$Q1122-$O1122</f>
        <v/>
      </c>
      <c r="EC1122" s="67">
        <f>IFERROR($Q1122/$P1122,"")</f>
        <v/>
      </c>
    </row>
    <row r="1123">
      <c r="DG1123" s="64">
        <f>($B1123-$B1124)*100</f>
        <v/>
      </c>
      <c r="DH1123" s="64">
        <f>($D1123-$D1124)*100</f>
        <v/>
      </c>
      <c r="DI1123" s="64">
        <f>($E1123-$E1124)*100</f>
        <v/>
      </c>
      <c r="DJ1123" s="64">
        <f>($H1123-$H1124)*100</f>
        <v/>
      </c>
      <c r="DK1123" s="65">
        <f>IFERROR($J1123/$J1124-1,"")</f>
        <v/>
      </c>
      <c r="DL1123" s="64">
        <f>$L1123-$L1124</f>
        <v/>
      </c>
      <c r="DM1123" s="64">
        <f>$K1123-$K1124</f>
        <v/>
      </c>
      <c r="DN1123" s="65">
        <f>IFERROR($N1123/$N1124-1,"")</f>
        <v/>
      </c>
      <c r="DO1123" s="65">
        <f>IFERROR($M1123/$M1124-1,"")</f>
        <v/>
      </c>
      <c r="DP1123" s="65">
        <f>IFERROR($AZ1123/$AZ1124-1,"")</f>
        <v/>
      </c>
      <c r="DQ1123" s="65">
        <f>IFERROR($BA1123/$BA1124-1,"")</f>
        <v/>
      </c>
      <c r="DR1123" s="64">
        <f>$O1123-$O1124</f>
        <v/>
      </c>
      <c r="DS1123" s="64">
        <f>$P1123-$P1124</f>
        <v/>
      </c>
      <c r="DT1123" s="64">
        <f>$Q1123-$Q1124</f>
        <v/>
      </c>
      <c r="DU1123" s="64">
        <f>$S1123-$S1124</f>
        <v/>
      </c>
      <c r="DV1123" s="65">
        <f>IFERROR(AVERAGE($AA1124/$AA1123-1,$AB1124/$AB1123-1,$AC1124/$AC1123-1,$AD1124/$AD1123-1,$AE1124/$AE1123-1,$AG1124/$AG1123-1,$AH1124/$AH1123-1,$AI1124/$AI1123-1,$AJ1124/$AJ1123-1,$AL1124/$AL1123-1,$AM1124/$AM1123-1,$AR1124/$AR1123-1,$AS1124/$AS1123-1,$AT1124/$AT1123-1,$AU1124/$AU1123-1,$AV1124/$AV1123-1,$AW1124/$AW1123-1,$AX1124/$AX1123-1,$AY1124/$AY1123-1),"")</f>
        <v/>
      </c>
      <c r="DW1123" s="66">
        <f>AVERAGE($CB1123,$CC1123,$CD1123,$CE1123,$CF1123,$CG1123,$CH1123,$CI1123,$CJ1123,$CL1123,$CM1123,$CN1123,$CO1123,$CP1123,$CQ1123,$CR1123,$CS1123,$CT1123)</f>
        <v/>
      </c>
      <c r="DX1123" s="66">
        <f>AVERAGE($CB1123,$CC1123,$CM1123,$CE1123,$CP1123)</f>
        <v/>
      </c>
      <c r="DY1123" s="64">
        <f>($DW1123-$DW1124)*100</f>
        <v/>
      </c>
      <c r="DZ1123" s="64">
        <f>($DX1123-$DX1124)*100</f>
        <v/>
      </c>
      <c r="EA1123" s="64">
        <f>($DW1123-$D1123)*100</f>
        <v/>
      </c>
      <c r="EB1123" s="64">
        <f>$Q1123-$O1123</f>
        <v/>
      </c>
      <c r="EC1123" s="67">
        <f>IFERROR($Q1123/$P1123,"")</f>
        <v/>
      </c>
    </row>
    <row r="1124">
      <c r="DG1124" s="64">
        <f>($B1124-$B1125)*100</f>
        <v/>
      </c>
      <c r="DH1124" s="64">
        <f>($D1124-$D1125)*100</f>
        <v/>
      </c>
      <c r="DI1124" s="64">
        <f>($E1124-$E1125)*100</f>
        <v/>
      </c>
      <c r="DJ1124" s="64">
        <f>($H1124-$H1125)*100</f>
        <v/>
      </c>
      <c r="DK1124" s="65">
        <f>IFERROR($J1124/$J1125-1,"")</f>
        <v/>
      </c>
      <c r="DL1124" s="64">
        <f>$L1124-$L1125</f>
        <v/>
      </c>
      <c r="DM1124" s="64">
        <f>$K1124-$K1125</f>
        <v/>
      </c>
      <c r="DN1124" s="65">
        <f>IFERROR($N1124/$N1125-1,"")</f>
        <v/>
      </c>
      <c r="DO1124" s="65">
        <f>IFERROR($M1124/$M1125-1,"")</f>
        <v/>
      </c>
      <c r="DP1124" s="65">
        <f>IFERROR($AZ1124/$AZ1125-1,"")</f>
        <v/>
      </c>
      <c r="DQ1124" s="65">
        <f>IFERROR($BA1124/$BA1125-1,"")</f>
        <v/>
      </c>
      <c r="DR1124" s="64">
        <f>$O1124-$O1125</f>
        <v/>
      </c>
      <c r="DS1124" s="64">
        <f>$P1124-$P1125</f>
        <v/>
      </c>
      <c r="DT1124" s="64">
        <f>$Q1124-$Q1125</f>
        <v/>
      </c>
      <c r="DU1124" s="64">
        <f>$S1124-$S1125</f>
        <v/>
      </c>
      <c r="DV1124" s="65">
        <f>IFERROR(AVERAGE($AA1125/$AA1124-1,$AB1125/$AB1124-1,$AC1125/$AC1124-1,$AD1125/$AD1124-1,$AE1125/$AE1124-1,$AG1125/$AG1124-1,$AH1125/$AH1124-1,$AI1125/$AI1124-1,$AJ1125/$AJ1124-1,$AL1125/$AL1124-1,$AM1125/$AM1124-1,$AR1125/$AR1124-1,$AS1125/$AS1124-1,$AT1125/$AT1124-1,$AU1125/$AU1124-1,$AV1125/$AV1124-1,$AW1125/$AW1124-1,$AX1125/$AX1124-1,$AY1125/$AY1124-1),"")</f>
        <v/>
      </c>
      <c r="DW1124" s="66">
        <f>AVERAGE($CB1124,$CC1124,$CD1124,$CE1124,$CF1124,$CG1124,$CH1124,$CI1124,$CJ1124,$CL1124,$CM1124,$CN1124,$CO1124,$CP1124,$CQ1124,$CR1124,$CS1124,$CT1124)</f>
        <v/>
      </c>
      <c r="DX1124" s="66">
        <f>AVERAGE($CB1124,$CC1124,$CM1124,$CE1124,$CP1124)</f>
        <v/>
      </c>
      <c r="DY1124" s="64">
        <f>($DW1124-$DW1125)*100</f>
        <v/>
      </c>
      <c r="DZ1124" s="64">
        <f>($DX1124-$DX1125)*100</f>
        <v/>
      </c>
      <c r="EA1124" s="64">
        <f>($DW1124-$D1124)*100</f>
        <v/>
      </c>
      <c r="EB1124" s="64">
        <f>$Q1124-$O1124</f>
        <v/>
      </c>
      <c r="EC1124" s="67">
        <f>IFERROR($Q1124/$P1124,"")</f>
        <v/>
      </c>
    </row>
    <row r="1125">
      <c r="DG1125" s="64">
        <f>($B1125-$B1126)*100</f>
        <v/>
      </c>
      <c r="DH1125" s="64">
        <f>($D1125-$D1126)*100</f>
        <v/>
      </c>
      <c r="DI1125" s="64">
        <f>($E1125-$E1126)*100</f>
        <v/>
      </c>
      <c r="DJ1125" s="64">
        <f>($H1125-$H1126)*100</f>
        <v/>
      </c>
      <c r="DK1125" s="65">
        <f>IFERROR($J1125/$J1126-1,"")</f>
        <v/>
      </c>
      <c r="DL1125" s="64">
        <f>$L1125-$L1126</f>
        <v/>
      </c>
      <c r="DM1125" s="64">
        <f>$K1125-$K1126</f>
        <v/>
      </c>
      <c r="DN1125" s="65">
        <f>IFERROR($N1125/$N1126-1,"")</f>
        <v/>
      </c>
      <c r="DO1125" s="65">
        <f>IFERROR($M1125/$M1126-1,"")</f>
        <v/>
      </c>
      <c r="DP1125" s="65">
        <f>IFERROR($AZ1125/$AZ1126-1,"")</f>
        <v/>
      </c>
      <c r="DQ1125" s="65">
        <f>IFERROR($BA1125/$BA1126-1,"")</f>
        <v/>
      </c>
      <c r="DR1125" s="64">
        <f>$O1125-$O1126</f>
        <v/>
      </c>
      <c r="DS1125" s="64">
        <f>$P1125-$P1126</f>
        <v/>
      </c>
      <c r="DT1125" s="64">
        <f>$Q1125-$Q1126</f>
        <v/>
      </c>
      <c r="DU1125" s="64">
        <f>$S1125-$S1126</f>
        <v/>
      </c>
      <c r="DV1125" s="65">
        <f>IFERROR(AVERAGE($AA1126/$AA1125-1,$AB1126/$AB1125-1,$AC1126/$AC1125-1,$AD1126/$AD1125-1,$AE1126/$AE1125-1,$AG1126/$AG1125-1,$AH1126/$AH1125-1,$AI1126/$AI1125-1,$AJ1126/$AJ1125-1,$AL1126/$AL1125-1,$AM1126/$AM1125-1,$AR1126/$AR1125-1,$AS1126/$AS1125-1,$AT1126/$AT1125-1,$AU1126/$AU1125-1,$AV1126/$AV1125-1,$AW1126/$AW1125-1,$AX1126/$AX1125-1,$AY1126/$AY1125-1),"")</f>
        <v/>
      </c>
      <c r="DW1125" s="66">
        <f>AVERAGE($CB1125,$CC1125,$CD1125,$CE1125,$CF1125,$CG1125,$CH1125,$CI1125,$CJ1125,$CL1125,$CM1125,$CN1125,$CO1125,$CP1125,$CQ1125,$CR1125,$CS1125,$CT1125)</f>
        <v/>
      </c>
      <c r="DX1125" s="66">
        <f>AVERAGE($CB1125,$CC1125,$CM1125,$CE1125,$CP1125)</f>
        <v/>
      </c>
      <c r="DY1125" s="64">
        <f>($DW1125-$DW1126)*100</f>
        <v/>
      </c>
      <c r="DZ1125" s="64">
        <f>($DX1125-$DX1126)*100</f>
        <v/>
      </c>
      <c r="EA1125" s="64">
        <f>($DW1125-$D1125)*100</f>
        <v/>
      </c>
      <c r="EB1125" s="64">
        <f>$Q1125-$O1125</f>
        <v/>
      </c>
      <c r="EC1125" s="67">
        <f>IFERROR($Q1125/$P1125,"")</f>
        <v/>
      </c>
    </row>
    <row r="1126">
      <c r="DG1126" s="64">
        <f>($B1126-$B1127)*100</f>
        <v/>
      </c>
      <c r="DH1126" s="64">
        <f>($D1126-$D1127)*100</f>
        <v/>
      </c>
      <c r="DI1126" s="64">
        <f>($E1126-$E1127)*100</f>
        <v/>
      </c>
      <c r="DJ1126" s="64">
        <f>($H1126-$H1127)*100</f>
        <v/>
      </c>
      <c r="DK1126" s="65">
        <f>IFERROR($J1126/$J1127-1,"")</f>
        <v/>
      </c>
      <c r="DL1126" s="64">
        <f>$L1126-$L1127</f>
        <v/>
      </c>
      <c r="DM1126" s="64">
        <f>$K1126-$K1127</f>
        <v/>
      </c>
      <c r="DN1126" s="65">
        <f>IFERROR($N1126/$N1127-1,"")</f>
        <v/>
      </c>
      <c r="DO1126" s="65">
        <f>IFERROR($M1126/$M1127-1,"")</f>
        <v/>
      </c>
      <c r="DP1126" s="65">
        <f>IFERROR($AZ1126/$AZ1127-1,"")</f>
        <v/>
      </c>
      <c r="DQ1126" s="65">
        <f>IFERROR($BA1126/$BA1127-1,"")</f>
        <v/>
      </c>
      <c r="DR1126" s="64">
        <f>$O1126-$O1127</f>
        <v/>
      </c>
      <c r="DS1126" s="64">
        <f>$P1126-$P1127</f>
        <v/>
      </c>
      <c r="DT1126" s="64">
        <f>$Q1126-$Q1127</f>
        <v/>
      </c>
      <c r="DU1126" s="64">
        <f>$S1126-$S1127</f>
        <v/>
      </c>
      <c r="DV1126" s="65">
        <f>IFERROR(AVERAGE($AA1127/$AA1126-1,$AB1127/$AB1126-1,$AC1127/$AC1126-1,$AD1127/$AD1126-1,$AE1127/$AE1126-1,$AG1127/$AG1126-1,$AH1127/$AH1126-1,$AI1127/$AI1126-1,$AJ1127/$AJ1126-1,$AL1127/$AL1126-1,$AM1127/$AM1126-1,$AR1127/$AR1126-1,$AS1127/$AS1126-1,$AT1127/$AT1126-1,$AU1127/$AU1126-1,$AV1127/$AV1126-1,$AW1127/$AW1126-1,$AX1127/$AX1126-1,$AY1127/$AY1126-1),"")</f>
        <v/>
      </c>
      <c r="DW1126" s="66">
        <f>AVERAGE($CB1126,$CC1126,$CD1126,$CE1126,$CF1126,$CG1126,$CH1126,$CI1126,$CJ1126,$CL1126,$CM1126,$CN1126,$CO1126,$CP1126,$CQ1126,$CR1126,$CS1126,$CT1126)</f>
        <v/>
      </c>
      <c r="DX1126" s="66">
        <f>AVERAGE($CB1126,$CC1126,$CM1126,$CE1126,$CP1126)</f>
        <v/>
      </c>
      <c r="DY1126" s="64">
        <f>($DW1126-$DW1127)*100</f>
        <v/>
      </c>
      <c r="DZ1126" s="64">
        <f>($DX1126-$DX1127)*100</f>
        <v/>
      </c>
      <c r="EA1126" s="64">
        <f>($DW1126-$D1126)*100</f>
        <v/>
      </c>
      <c r="EB1126" s="64">
        <f>$Q1126-$O1126</f>
        <v/>
      </c>
      <c r="EC1126" s="67">
        <f>IFERROR($Q1126/$P1126,"")</f>
        <v/>
      </c>
    </row>
    <row r="1127">
      <c r="DG1127" s="64">
        <f>($B1127-$B1128)*100</f>
        <v/>
      </c>
      <c r="DH1127" s="64">
        <f>($D1127-$D1128)*100</f>
        <v/>
      </c>
      <c r="DI1127" s="64">
        <f>($E1127-$E1128)*100</f>
        <v/>
      </c>
      <c r="DJ1127" s="64">
        <f>($H1127-$H1128)*100</f>
        <v/>
      </c>
      <c r="DK1127" s="65">
        <f>IFERROR($J1127/$J1128-1,"")</f>
        <v/>
      </c>
      <c r="DL1127" s="64">
        <f>$L1127-$L1128</f>
        <v/>
      </c>
      <c r="DM1127" s="64">
        <f>$K1127-$K1128</f>
        <v/>
      </c>
      <c r="DN1127" s="65">
        <f>IFERROR($N1127/$N1128-1,"")</f>
        <v/>
      </c>
      <c r="DO1127" s="65">
        <f>IFERROR($M1127/$M1128-1,"")</f>
        <v/>
      </c>
      <c r="DP1127" s="65">
        <f>IFERROR($AZ1127/$AZ1128-1,"")</f>
        <v/>
      </c>
      <c r="DQ1127" s="65">
        <f>IFERROR($BA1127/$BA1128-1,"")</f>
        <v/>
      </c>
      <c r="DR1127" s="64">
        <f>$O1127-$O1128</f>
        <v/>
      </c>
      <c r="DS1127" s="64">
        <f>$P1127-$P1128</f>
        <v/>
      </c>
      <c r="DT1127" s="64">
        <f>$Q1127-$Q1128</f>
        <v/>
      </c>
      <c r="DU1127" s="64">
        <f>$S1127-$S1128</f>
        <v/>
      </c>
      <c r="DV1127" s="65">
        <f>IFERROR(AVERAGE($AA1128/$AA1127-1,$AB1128/$AB1127-1,$AC1128/$AC1127-1,$AD1128/$AD1127-1,$AE1128/$AE1127-1,$AG1128/$AG1127-1,$AH1128/$AH1127-1,$AI1128/$AI1127-1,$AJ1128/$AJ1127-1,$AL1128/$AL1127-1,$AM1128/$AM1127-1,$AR1128/$AR1127-1,$AS1128/$AS1127-1,$AT1128/$AT1127-1,$AU1128/$AU1127-1,$AV1128/$AV1127-1,$AW1128/$AW1127-1,$AX1128/$AX1127-1,$AY1128/$AY1127-1),"")</f>
        <v/>
      </c>
      <c r="DW1127" s="66">
        <f>AVERAGE($CB1127,$CC1127,$CD1127,$CE1127,$CF1127,$CG1127,$CH1127,$CI1127,$CJ1127,$CL1127,$CM1127,$CN1127,$CO1127,$CP1127,$CQ1127,$CR1127,$CS1127,$CT1127)</f>
        <v/>
      </c>
      <c r="DX1127" s="66">
        <f>AVERAGE($CB1127,$CC1127,$CM1127,$CE1127,$CP1127)</f>
        <v/>
      </c>
      <c r="DY1127" s="64">
        <f>($DW1127-$DW1128)*100</f>
        <v/>
      </c>
      <c r="DZ1127" s="64">
        <f>($DX1127-$DX1128)*100</f>
        <v/>
      </c>
      <c r="EA1127" s="64">
        <f>($DW1127-$D1127)*100</f>
        <v/>
      </c>
      <c r="EB1127" s="64">
        <f>$Q1127-$O1127</f>
        <v/>
      </c>
      <c r="EC1127" s="67">
        <f>IFERROR($Q1127/$P1127,"")</f>
        <v/>
      </c>
    </row>
    <row r="1128">
      <c r="DG1128" s="64">
        <f>($B1128-$B1129)*100</f>
        <v/>
      </c>
      <c r="DH1128" s="64">
        <f>($D1128-$D1129)*100</f>
        <v/>
      </c>
      <c r="DI1128" s="64">
        <f>($E1128-$E1129)*100</f>
        <v/>
      </c>
      <c r="DJ1128" s="64">
        <f>($H1128-$H1129)*100</f>
        <v/>
      </c>
      <c r="DK1128" s="65">
        <f>IFERROR($J1128/$J1129-1,"")</f>
        <v/>
      </c>
      <c r="DL1128" s="64">
        <f>$L1128-$L1129</f>
        <v/>
      </c>
      <c r="DM1128" s="64">
        <f>$K1128-$K1129</f>
        <v/>
      </c>
      <c r="DN1128" s="65">
        <f>IFERROR($N1128/$N1129-1,"")</f>
        <v/>
      </c>
      <c r="DO1128" s="65">
        <f>IFERROR($M1128/$M1129-1,"")</f>
        <v/>
      </c>
      <c r="DP1128" s="65">
        <f>IFERROR($AZ1128/$AZ1129-1,"")</f>
        <v/>
      </c>
      <c r="DQ1128" s="65">
        <f>IFERROR($BA1128/$BA1129-1,"")</f>
        <v/>
      </c>
      <c r="DR1128" s="64">
        <f>$O1128-$O1129</f>
        <v/>
      </c>
      <c r="DS1128" s="64">
        <f>$P1128-$P1129</f>
        <v/>
      </c>
      <c r="DT1128" s="64">
        <f>$Q1128-$Q1129</f>
        <v/>
      </c>
      <c r="DU1128" s="64">
        <f>$S1128-$S1129</f>
        <v/>
      </c>
      <c r="DV1128" s="65">
        <f>IFERROR(AVERAGE($AA1129/$AA1128-1,$AB1129/$AB1128-1,$AC1129/$AC1128-1,$AD1129/$AD1128-1,$AE1129/$AE1128-1,$AG1129/$AG1128-1,$AH1129/$AH1128-1,$AI1129/$AI1128-1,$AJ1129/$AJ1128-1,$AL1129/$AL1128-1,$AM1129/$AM1128-1,$AR1129/$AR1128-1,$AS1129/$AS1128-1,$AT1129/$AT1128-1,$AU1129/$AU1128-1,$AV1129/$AV1128-1,$AW1129/$AW1128-1,$AX1129/$AX1128-1,$AY1129/$AY1128-1),"")</f>
        <v/>
      </c>
      <c r="DW1128" s="66">
        <f>AVERAGE($CB1128,$CC1128,$CD1128,$CE1128,$CF1128,$CG1128,$CH1128,$CI1128,$CJ1128,$CL1128,$CM1128,$CN1128,$CO1128,$CP1128,$CQ1128,$CR1128,$CS1128,$CT1128)</f>
        <v/>
      </c>
      <c r="DX1128" s="66">
        <f>AVERAGE($CB1128,$CC1128,$CM1128,$CE1128,$CP1128)</f>
        <v/>
      </c>
      <c r="DY1128" s="64">
        <f>($DW1128-$DW1129)*100</f>
        <v/>
      </c>
      <c r="DZ1128" s="64">
        <f>($DX1128-$DX1129)*100</f>
        <v/>
      </c>
      <c r="EA1128" s="64">
        <f>($DW1128-$D1128)*100</f>
        <v/>
      </c>
      <c r="EB1128" s="64">
        <f>$Q1128-$O1128</f>
        <v/>
      </c>
      <c r="EC1128" s="67">
        <f>IFERROR($Q1128/$P1128,"")</f>
        <v/>
      </c>
    </row>
    <row r="1129">
      <c r="DG1129" s="64">
        <f>($B1129-$B1130)*100</f>
        <v/>
      </c>
      <c r="DH1129" s="64">
        <f>($D1129-$D1130)*100</f>
        <v/>
      </c>
      <c r="DI1129" s="64">
        <f>($E1129-$E1130)*100</f>
        <v/>
      </c>
      <c r="DJ1129" s="64">
        <f>($H1129-$H1130)*100</f>
        <v/>
      </c>
      <c r="DK1129" s="65">
        <f>IFERROR($J1129/$J1130-1,"")</f>
        <v/>
      </c>
      <c r="DL1129" s="64">
        <f>$L1129-$L1130</f>
        <v/>
      </c>
      <c r="DM1129" s="64">
        <f>$K1129-$K1130</f>
        <v/>
      </c>
      <c r="DN1129" s="65">
        <f>IFERROR($N1129/$N1130-1,"")</f>
        <v/>
      </c>
      <c r="DO1129" s="65">
        <f>IFERROR($M1129/$M1130-1,"")</f>
        <v/>
      </c>
      <c r="DP1129" s="65">
        <f>IFERROR($AZ1129/$AZ1130-1,"")</f>
        <v/>
      </c>
      <c r="DQ1129" s="65">
        <f>IFERROR($BA1129/$BA1130-1,"")</f>
        <v/>
      </c>
      <c r="DR1129" s="64">
        <f>$O1129-$O1130</f>
        <v/>
      </c>
      <c r="DS1129" s="64">
        <f>$P1129-$P1130</f>
        <v/>
      </c>
      <c r="DT1129" s="64">
        <f>$Q1129-$Q1130</f>
        <v/>
      </c>
      <c r="DU1129" s="64">
        <f>$S1129-$S1130</f>
        <v/>
      </c>
      <c r="DV1129" s="65">
        <f>IFERROR(AVERAGE($AA1130/$AA1129-1,$AB1130/$AB1129-1,$AC1130/$AC1129-1,$AD1130/$AD1129-1,$AE1130/$AE1129-1,$AG1130/$AG1129-1,$AH1130/$AH1129-1,$AI1130/$AI1129-1,$AJ1130/$AJ1129-1,$AL1130/$AL1129-1,$AM1130/$AM1129-1,$AR1130/$AR1129-1,$AS1130/$AS1129-1,$AT1130/$AT1129-1,$AU1130/$AU1129-1,$AV1130/$AV1129-1,$AW1130/$AW1129-1,$AX1130/$AX1129-1,$AY1130/$AY1129-1),"")</f>
        <v/>
      </c>
      <c r="DW1129" s="66">
        <f>AVERAGE($CB1129,$CC1129,$CD1129,$CE1129,$CF1129,$CG1129,$CH1129,$CI1129,$CJ1129,$CL1129,$CM1129,$CN1129,$CO1129,$CP1129,$CQ1129,$CR1129,$CS1129,$CT1129)</f>
        <v/>
      </c>
      <c r="DX1129" s="66">
        <f>AVERAGE($CB1129,$CC1129,$CM1129,$CE1129,$CP1129)</f>
        <v/>
      </c>
      <c r="DY1129" s="64">
        <f>($DW1129-$DW1130)*100</f>
        <v/>
      </c>
      <c r="DZ1129" s="64">
        <f>($DX1129-$DX1130)*100</f>
        <v/>
      </c>
      <c r="EA1129" s="64">
        <f>($DW1129-$D1129)*100</f>
        <v/>
      </c>
      <c r="EB1129" s="64">
        <f>$Q1129-$O1129</f>
        <v/>
      </c>
      <c r="EC1129" s="67">
        <f>IFERROR($Q1129/$P1129,"")</f>
        <v/>
      </c>
    </row>
    <row r="1130">
      <c r="DG1130" s="64">
        <f>($B1130-$B1131)*100</f>
        <v/>
      </c>
      <c r="DH1130" s="64">
        <f>($D1130-$D1131)*100</f>
        <v/>
      </c>
      <c r="DI1130" s="64">
        <f>($E1130-$E1131)*100</f>
        <v/>
      </c>
      <c r="DJ1130" s="64">
        <f>($H1130-$H1131)*100</f>
        <v/>
      </c>
      <c r="DK1130" s="65">
        <f>IFERROR($J1130/$J1131-1,"")</f>
        <v/>
      </c>
      <c r="DL1130" s="64">
        <f>$L1130-$L1131</f>
        <v/>
      </c>
      <c r="DM1130" s="64">
        <f>$K1130-$K1131</f>
        <v/>
      </c>
      <c r="DN1130" s="65">
        <f>IFERROR($N1130/$N1131-1,"")</f>
        <v/>
      </c>
      <c r="DO1130" s="65">
        <f>IFERROR($M1130/$M1131-1,"")</f>
        <v/>
      </c>
      <c r="DP1130" s="65">
        <f>IFERROR($AZ1130/$AZ1131-1,"")</f>
        <v/>
      </c>
      <c r="DQ1130" s="65">
        <f>IFERROR($BA1130/$BA1131-1,"")</f>
        <v/>
      </c>
      <c r="DR1130" s="64">
        <f>$O1130-$O1131</f>
        <v/>
      </c>
      <c r="DS1130" s="64">
        <f>$P1130-$P1131</f>
        <v/>
      </c>
      <c r="DT1130" s="64">
        <f>$Q1130-$Q1131</f>
        <v/>
      </c>
      <c r="DU1130" s="64">
        <f>$S1130-$S1131</f>
        <v/>
      </c>
      <c r="DV1130" s="65">
        <f>IFERROR(AVERAGE($AA1131/$AA1130-1,$AB1131/$AB1130-1,$AC1131/$AC1130-1,$AD1131/$AD1130-1,$AE1131/$AE1130-1,$AG1131/$AG1130-1,$AH1131/$AH1130-1,$AI1131/$AI1130-1,$AJ1131/$AJ1130-1,$AL1131/$AL1130-1,$AM1131/$AM1130-1,$AR1131/$AR1130-1,$AS1131/$AS1130-1,$AT1131/$AT1130-1,$AU1131/$AU1130-1,$AV1131/$AV1130-1,$AW1131/$AW1130-1,$AX1131/$AX1130-1,$AY1131/$AY1130-1),"")</f>
        <v/>
      </c>
      <c r="DW1130" s="66">
        <f>AVERAGE($CB1130,$CC1130,$CD1130,$CE1130,$CF1130,$CG1130,$CH1130,$CI1130,$CJ1130,$CL1130,$CM1130,$CN1130,$CO1130,$CP1130,$CQ1130,$CR1130,$CS1130,$CT1130)</f>
        <v/>
      </c>
      <c r="DX1130" s="66">
        <f>AVERAGE($CB1130,$CC1130,$CM1130,$CE1130,$CP1130)</f>
        <v/>
      </c>
      <c r="DY1130" s="64">
        <f>($DW1130-$DW1131)*100</f>
        <v/>
      </c>
      <c r="DZ1130" s="64">
        <f>($DX1130-$DX1131)*100</f>
        <v/>
      </c>
      <c r="EA1130" s="64">
        <f>($DW1130-$D1130)*100</f>
        <v/>
      </c>
      <c r="EB1130" s="64">
        <f>$Q1130-$O1130</f>
        <v/>
      </c>
      <c r="EC1130" s="67">
        <f>IFERROR($Q1130/$P1130,"")</f>
        <v/>
      </c>
    </row>
    <row r="1131">
      <c r="DG1131" s="64">
        <f>($B1131-$B1132)*100</f>
        <v/>
      </c>
      <c r="DH1131" s="64">
        <f>($D1131-$D1132)*100</f>
        <v/>
      </c>
      <c r="DI1131" s="64">
        <f>($E1131-$E1132)*100</f>
        <v/>
      </c>
      <c r="DJ1131" s="64">
        <f>($H1131-$H1132)*100</f>
        <v/>
      </c>
      <c r="DK1131" s="65">
        <f>IFERROR($J1131/$J1132-1,"")</f>
        <v/>
      </c>
      <c r="DL1131" s="64">
        <f>$L1131-$L1132</f>
        <v/>
      </c>
      <c r="DM1131" s="64">
        <f>$K1131-$K1132</f>
        <v/>
      </c>
      <c r="DN1131" s="65">
        <f>IFERROR($N1131/$N1132-1,"")</f>
        <v/>
      </c>
      <c r="DO1131" s="65">
        <f>IFERROR($M1131/$M1132-1,"")</f>
        <v/>
      </c>
      <c r="DP1131" s="65">
        <f>IFERROR($AZ1131/$AZ1132-1,"")</f>
        <v/>
      </c>
      <c r="DQ1131" s="65">
        <f>IFERROR($BA1131/$BA1132-1,"")</f>
        <v/>
      </c>
      <c r="DR1131" s="64">
        <f>$O1131-$O1132</f>
        <v/>
      </c>
      <c r="DS1131" s="64">
        <f>$P1131-$P1132</f>
        <v/>
      </c>
      <c r="DT1131" s="64">
        <f>$Q1131-$Q1132</f>
        <v/>
      </c>
      <c r="DU1131" s="64">
        <f>$S1131-$S1132</f>
        <v/>
      </c>
      <c r="DV1131" s="65">
        <f>IFERROR(AVERAGE($AA1132/$AA1131-1,$AB1132/$AB1131-1,$AC1132/$AC1131-1,$AD1132/$AD1131-1,$AE1132/$AE1131-1,$AG1132/$AG1131-1,$AH1132/$AH1131-1,$AI1132/$AI1131-1,$AJ1132/$AJ1131-1,$AL1132/$AL1131-1,$AM1132/$AM1131-1,$AR1132/$AR1131-1,$AS1132/$AS1131-1,$AT1132/$AT1131-1,$AU1132/$AU1131-1,$AV1132/$AV1131-1,$AW1132/$AW1131-1,$AX1132/$AX1131-1,$AY1132/$AY1131-1),"")</f>
        <v/>
      </c>
      <c r="DW1131" s="66">
        <f>AVERAGE($CB1131,$CC1131,$CD1131,$CE1131,$CF1131,$CG1131,$CH1131,$CI1131,$CJ1131,$CL1131,$CM1131,$CN1131,$CO1131,$CP1131,$CQ1131,$CR1131,$CS1131,$CT1131)</f>
        <v/>
      </c>
      <c r="DX1131" s="66">
        <f>AVERAGE($CB1131,$CC1131,$CM1131,$CE1131,$CP1131)</f>
        <v/>
      </c>
      <c r="DY1131" s="64">
        <f>($DW1131-$DW1132)*100</f>
        <v/>
      </c>
      <c r="DZ1131" s="64">
        <f>($DX1131-$DX1132)*100</f>
        <v/>
      </c>
      <c r="EA1131" s="64">
        <f>($DW1131-$D1131)*100</f>
        <v/>
      </c>
      <c r="EB1131" s="64">
        <f>$Q1131-$O1131</f>
        <v/>
      </c>
      <c r="EC1131" s="67">
        <f>IFERROR($Q1131/$P1131,"")</f>
        <v/>
      </c>
    </row>
    <row r="1132">
      <c r="DG1132" s="64">
        <f>($B1132-$B1133)*100</f>
        <v/>
      </c>
      <c r="DH1132" s="64">
        <f>($D1132-$D1133)*100</f>
        <v/>
      </c>
      <c r="DI1132" s="64">
        <f>($E1132-$E1133)*100</f>
        <v/>
      </c>
      <c r="DJ1132" s="64">
        <f>($H1132-$H1133)*100</f>
        <v/>
      </c>
      <c r="DK1132" s="65">
        <f>IFERROR($J1132/$J1133-1,"")</f>
        <v/>
      </c>
      <c r="DL1132" s="64">
        <f>$L1132-$L1133</f>
        <v/>
      </c>
      <c r="DM1132" s="64">
        <f>$K1132-$K1133</f>
        <v/>
      </c>
      <c r="DN1132" s="65">
        <f>IFERROR($N1132/$N1133-1,"")</f>
        <v/>
      </c>
      <c r="DO1132" s="65">
        <f>IFERROR($M1132/$M1133-1,"")</f>
        <v/>
      </c>
      <c r="DP1132" s="65">
        <f>IFERROR($AZ1132/$AZ1133-1,"")</f>
        <v/>
      </c>
      <c r="DQ1132" s="65">
        <f>IFERROR($BA1132/$BA1133-1,"")</f>
        <v/>
      </c>
      <c r="DR1132" s="64">
        <f>$O1132-$O1133</f>
        <v/>
      </c>
      <c r="DS1132" s="64">
        <f>$P1132-$P1133</f>
        <v/>
      </c>
      <c r="DT1132" s="64">
        <f>$Q1132-$Q1133</f>
        <v/>
      </c>
      <c r="DU1132" s="64">
        <f>$S1132-$S1133</f>
        <v/>
      </c>
      <c r="DV1132" s="65">
        <f>IFERROR(AVERAGE($AA1133/$AA1132-1,$AB1133/$AB1132-1,$AC1133/$AC1132-1,$AD1133/$AD1132-1,$AE1133/$AE1132-1,$AG1133/$AG1132-1,$AH1133/$AH1132-1,$AI1133/$AI1132-1,$AJ1133/$AJ1132-1,$AL1133/$AL1132-1,$AM1133/$AM1132-1,$AR1133/$AR1132-1,$AS1133/$AS1132-1,$AT1133/$AT1132-1,$AU1133/$AU1132-1,$AV1133/$AV1132-1,$AW1133/$AW1132-1,$AX1133/$AX1132-1,$AY1133/$AY1132-1),"")</f>
        <v/>
      </c>
      <c r="DW1132" s="66">
        <f>AVERAGE($CB1132,$CC1132,$CD1132,$CE1132,$CF1132,$CG1132,$CH1132,$CI1132,$CJ1132,$CL1132,$CM1132,$CN1132,$CO1132,$CP1132,$CQ1132,$CR1132,$CS1132,$CT1132)</f>
        <v/>
      </c>
      <c r="DX1132" s="66">
        <f>AVERAGE($CB1132,$CC1132,$CM1132,$CE1132,$CP1132)</f>
        <v/>
      </c>
      <c r="DY1132" s="64">
        <f>($DW1132-$DW1133)*100</f>
        <v/>
      </c>
      <c r="DZ1132" s="64">
        <f>($DX1132-$DX1133)*100</f>
        <v/>
      </c>
      <c r="EA1132" s="64">
        <f>($DW1132-$D1132)*100</f>
        <v/>
      </c>
      <c r="EB1132" s="64">
        <f>$Q1132-$O1132</f>
        <v/>
      </c>
      <c r="EC1132" s="67">
        <f>IFERROR($Q1132/$P1132,"")</f>
        <v/>
      </c>
    </row>
    <row r="1133">
      <c r="DG1133" s="64">
        <f>($B1133-$B1134)*100</f>
        <v/>
      </c>
      <c r="DH1133" s="64">
        <f>($D1133-$D1134)*100</f>
        <v/>
      </c>
      <c r="DI1133" s="64">
        <f>($E1133-$E1134)*100</f>
        <v/>
      </c>
      <c r="DJ1133" s="64">
        <f>($H1133-$H1134)*100</f>
        <v/>
      </c>
      <c r="DK1133" s="65">
        <f>IFERROR($J1133/$J1134-1,"")</f>
        <v/>
      </c>
      <c r="DL1133" s="64">
        <f>$L1133-$L1134</f>
        <v/>
      </c>
      <c r="DM1133" s="64">
        <f>$K1133-$K1134</f>
        <v/>
      </c>
      <c r="DN1133" s="65">
        <f>IFERROR($N1133/$N1134-1,"")</f>
        <v/>
      </c>
      <c r="DO1133" s="65">
        <f>IFERROR($M1133/$M1134-1,"")</f>
        <v/>
      </c>
      <c r="DP1133" s="65">
        <f>IFERROR($AZ1133/$AZ1134-1,"")</f>
        <v/>
      </c>
      <c r="DQ1133" s="65">
        <f>IFERROR($BA1133/$BA1134-1,"")</f>
        <v/>
      </c>
      <c r="DR1133" s="64">
        <f>$O1133-$O1134</f>
        <v/>
      </c>
      <c r="DS1133" s="64">
        <f>$P1133-$P1134</f>
        <v/>
      </c>
      <c r="DT1133" s="64">
        <f>$Q1133-$Q1134</f>
        <v/>
      </c>
      <c r="DU1133" s="64">
        <f>$S1133-$S1134</f>
        <v/>
      </c>
      <c r="DV1133" s="65">
        <f>IFERROR(AVERAGE($AA1134/$AA1133-1,$AB1134/$AB1133-1,$AC1134/$AC1133-1,$AD1134/$AD1133-1,$AE1134/$AE1133-1,$AG1134/$AG1133-1,$AH1134/$AH1133-1,$AI1134/$AI1133-1,$AJ1134/$AJ1133-1,$AL1134/$AL1133-1,$AM1134/$AM1133-1,$AR1134/$AR1133-1,$AS1134/$AS1133-1,$AT1134/$AT1133-1,$AU1134/$AU1133-1,$AV1134/$AV1133-1,$AW1134/$AW1133-1,$AX1134/$AX1133-1,$AY1134/$AY1133-1),"")</f>
        <v/>
      </c>
      <c r="DW1133" s="66">
        <f>AVERAGE($CB1133,$CC1133,$CD1133,$CE1133,$CF1133,$CG1133,$CH1133,$CI1133,$CJ1133,$CL1133,$CM1133,$CN1133,$CO1133,$CP1133,$CQ1133,$CR1133,$CS1133,$CT1133)</f>
        <v/>
      </c>
      <c r="DX1133" s="66">
        <f>AVERAGE($CB1133,$CC1133,$CM1133,$CE1133,$CP1133)</f>
        <v/>
      </c>
      <c r="DY1133" s="64">
        <f>($DW1133-$DW1134)*100</f>
        <v/>
      </c>
      <c r="DZ1133" s="64">
        <f>($DX1133-$DX1134)*100</f>
        <v/>
      </c>
      <c r="EA1133" s="64">
        <f>($DW1133-$D1133)*100</f>
        <v/>
      </c>
      <c r="EB1133" s="64">
        <f>$Q1133-$O1133</f>
        <v/>
      </c>
      <c r="EC1133" s="67">
        <f>IFERROR($Q1133/$P1133,"")</f>
        <v/>
      </c>
    </row>
    <row r="1134">
      <c r="DG1134" s="64">
        <f>($B1134-$B1135)*100</f>
        <v/>
      </c>
      <c r="DH1134" s="64">
        <f>($D1134-$D1135)*100</f>
        <v/>
      </c>
      <c r="DI1134" s="64">
        <f>($E1134-$E1135)*100</f>
        <v/>
      </c>
      <c r="DJ1134" s="64">
        <f>($H1134-$H1135)*100</f>
        <v/>
      </c>
      <c r="DK1134" s="65">
        <f>IFERROR($J1134/$J1135-1,"")</f>
        <v/>
      </c>
      <c r="DL1134" s="64">
        <f>$L1134-$L1135</f>
        <v/>
      </c>
      <c r="DM1134" s="64">
        <f>$K1134-$K1135</f>
        <v/>
      </c>
      <c r="DN1134" s="65">
        <f>IFERROR($N1134/$N1135-1,"")</f>
        <v/>
      </c>
      <c r="DO1134" s="65">
        <f>IFERROR($M1134/$M1135-1,"")</f>
        <v/>
      </c>
      <c r="DP1134" s="65">
        <f>IFERROR($AZ1134/$AZ1135-1,"")</f>
        <v/>
      </c>
      <c r="DQ1134" s="65">
        <f>IFERROR($BA1134/$BA1135-1,"")</f>
        <v/>
      </c>
      <c r="DR1134" s="64">
        <f>$O1134-$O1135</f>
        <v/>
      </c>
      <c r="DS1134" s="64">
        <f>$P1134-$P1135</f>
        <v/>
      </c>
      <c r="DT1134" s="64">
        <f>$Q1134-$Q1135</f>
        <v/>
      </c>
      <c r="DU1134" s="64">
        <f>$S1134-$S1135</f>
        <v/>
      </c>
      <c r="DV1134" s="65">
        <f>IFERROR(AVERAGE($AA1135/$AA1134-1,$AB1135/$AB1134-1,$AC1135/$AC1134-1,$AD1135/$AD1134-1,$AE1135/$AE1134-1,$AG1135/$AG1134-1,$AH1135/$AH1134-1,$AI1135/$AI1134-1,$AJ1135/$AJ1134-1,$AL1135/$AL1134-1,$AM1135/$AM1134-1,$AR1135/$AR1134-1,$AS1135/$AS1134-1,$AT1135/$AT1134-1,$AU1135/$AU1134-1,$AV1135/$AV1134-1,$AW1135/$AW1134-1,$AX1135/$AX1134-1,$AY1135/$AY1134-1),"")</f>
        <v/>
      </c>
      <c r="DW1134" s="66">
        <f>AVERAGE($CB1134,$CC1134,$CD1134,$CE1134,$CF1134,$CG1134,$CH1134,$CI1134,$CJ1134,$CL1134,$CM1134,$CN1134,$CO1134,$CP1134,$CQ1134,$CR1134,$CS1134,$CT1134)</f>
        <v/>
      </c>
      <c r="DX1134" s="66">
        <f>AVERAGE($CB1134,$CC1134,$CM1134,$CE1134,$CP1134)</f>
        <v/>
      </c>
      <c r="DY1134" s="64">
        <f>($DW1134-$DW1135)*100</f>
        <v/>
      </c>
      <c r="DZ1134" s="64">
        <f>($DX1134-$DX1135)*100</f>
        <v/>
      </c>
      <c r="EA1134" s="64">
        <f>($DW1134-$D1134)*100</f>
        <v/>
      </c>
      <c r="EB1134" s="64">
        <f>$Q1134-$O1134</f>
        <v/>
      </c>
      <c r="EC1134" s="67">
        <f>IFERROR($Q1134/$P1134,"")</f>
        <v/>
      </c>
    </row>
    <row r="1135">
      <c r="DG1135" s="64">
        <f>($B1135-$B1136)*100</f>
        <v/>
      </c>
      <c r="DH1135" s="64">
        <f>($D1135-$D1136)*100</f>
        <v/>
      </c>
      <c r="DI1135" s="64">
        <f>($E1135-$E1136)*100</f>
        <v/>
      </c>
      <c r="DJ1135" s="64">
        <f>($H1135-$H1136)*100</f>
        <v/>
      </c>
      <c r="DK1135" s="65">
        <f>IFERROR($J1135/$J1136-1,"")</f>
        <v/>
      </c>
      <c r="DL1135" s="64">
        <f>$L1135-$L1136</f>
        <v/>
      </c>
      <c r="DM1135" s="64">
        <f>$K1135-$K1136</f>
        <v/>
      </c>
      <c r="DN1135" s="65">
        <f>IFERROR($N1135/$N1136-1,"")</f>
        <v/>
      </c>
      <c r="DO1135" s="65">
        <f>IFERROR($M1135/$M1136-1,"")</f>
        <v/>
      </c>
      <c r="DP1135" s="65">
        <f>IFERROR($AZ1135/$AZ1136-1,"")</f>
        <v/>
      </c>
      <c r="DQ1135" s="65">
        <f>IFERROR($BA1135/$BA1136-1,"")</f>
        <v/>
      </c>
      <c r="DR1135" s="64">
        <f>$O1135-$O1136</f>
        <v/>
      </c>
      <c r="DS1135" s="64">
        <f>$P1135-$P1136</f>
        <v/>
      </c>
      <c r="DT1135" s="64">
        <f>$Q1135-$Q1136</f>
        <v/>
      </c>
      <c r="DU1135" s="64">
        <f>$S1135-$S1136</f>
        <v/>
      </c>
      <c r="DV1135" s="65">
        <f>IFERROR(AVERAGE($AA1136/$AA1135-1,$AB1136/$AB1135-1,$AC1136/$AC1135-1,$AD1136/$AD1135-1,$AE1136/$AE1135-1,$AG1136/$AG1135-1,$AH1136/$AH1135-1,$AI1136/$AI1135-1,$AJ1136/$AJ1135-1,$AL1136/$AL1135-1,$AM1136/$AM1135-1,$AR1136/$AR1135-1,$AS1136/$AS1135-1,$AT1136/$AT1135-1,$AU1136/$AU1135-1,$AV1136/$AV1135-1,$AW1136/$AW1135-1,$AX1136/$AX1135-1,$AY1136/$AY1135-1),"")</f>
        <v/>
      </c>
      <c r="DW1135" s="66">
        <f>AVERAGE($CB1135,$CC1135,$CD1135,$CE1135,$CF1135,$CG1135,$CH1135,$CI1135,$CJ1135,$CL1135,$CM1135,$CN1135,$CO1135,$CP1135,$CQ1135,$CR1135,$CS1135,$CT1135)</f>
        <v/>
      </c>
      <c r="DX1135" s="66">
        <f>AVERAGE($CB1135,$CC1135,$CM1135,$CE1135,$CP1135)</f>
        <v/>
      </c>
      <c r="DY1135" s="64">
        <f>($DW1135-$DW1136)*100</f>
        <v/>
      </c>
      <c r="DZ1135" s="64">
        <f>($DX1135-$DX1136)*100</f>
        <v/>
      </c>
      <c r="EA1135" s="64">
        <f>($DW1135-$D1135)*100</f>
        <v/>
      </c>
      <c r="EB1135" s="64">
        <f>$Q1135-$O1135</f>
        <v/>
      </c>
      <c r="EC1135" s="67">
        <f>IFERROR($Q1135/$P1135,"")</f>
        <v/>
      </c>
    </row>
    <row r="1136">
      <c r="DG1136" s="64">
        <f>($B1136-$B1137)*100</f>
        <v/>
      </c>
      <c r="DH1136" s="64">
        <f>($D1136-$D1137)*100</f>
        <v/>
      </c>
      <c r="DI1136" s="64">
        <f>($E1136-$E1137)*100</f>
        <v/>
      </c>
      <c r="DJ1136" s="64">
        <f>($H1136-$H1137)*100</f>
        <v/>
      </c>
      <c r="DK1136" s="65">
        <f>IFERROR($J1136/$J1137-1,"")</f>
        <v/>
      </c>
      <c r="DL1136" s="64">
        <f>$L1136-$L1137</f>
        <v/>
      </c>
      <c r="DM1136" s="64">
        <f>$K1136-$K1137</f>
        <v/>
      </c>
      <c r="DN1136" s="65">
        <f>IFERROR($N1136/$N1137-1,"")</f>
        <v/>
      </c>
      <c r="DO1136" s="65">
        <f>IFERROR($M1136/$M1137-1,"")</f>
        <v/>
      </c>
      <c r="DP1136" s="65">
        <f>IFERROR($AZ1136/$AZ1137-1,"")</f>
        <v/>
      </c>
      <c r="DQ1136" s="65">
        <f>IFERROR($BA1136/$BA1137-1,"")</f>
        <v/>
      </c>
      <c r="DR1136" s="64">
        <f>$O1136-$O1137</f>
        <v/>
      </c>
      <c r="DS1136" s="64">
        <f>$P1136-$P1137</f>
        <v/>
      </c>
      <c r="DT1136" s="64">
        <f>$Q1136-$Q1137</f>
        <v/>
      </c>
      <c r="DU1136" s="64">
        <f>$S1136-$S1137</f>
        <v/>
      </c>
      <c r="DV1136" s="65">
        <f>IFERROR(AVERAGE($AA1137/$AA1136-1,$AB1137/$AB1136-1,$AC1137/$AC1136-1,$AD1137/$AD1136-1,$AE1137/$AE1136-1,$AG1137/$AG1136-1,$AH1137/$AH1136-1,$AI1137/$AI1136-1,$AJ1137/$AJ1136-1,$AL1137/$AL1136-1,$AM1137/$AM1136-1,$AR1137/$AR1136-1,$AS1137/$AS1136-1,$AT1137/$AT1136-1,$AU1137/$AU1136-1,$AV1137/$AV1136-1,$AW1137/$AW1136-1,$AX1137/$AX1136-1,$AY1137/$AY1136-1),"")</f>
        <v/>
      </c>
      <c r="DW1136" s="66">
        <f>AVERAGE($CB1136,$CC1136,$CD1136,$CE1136,$CF1136,$CG1136,$CH1136,$CI1136,$CJ1136,$CL1136,$CM1136,$CN1136,$CO1136,$CP1136,$CQ1136,$CR1136,$CS1136,$CT1136)</f>
        <v/>
      </c>
      <c r="DX1136" s="66">
        <f>AVERAGE($CB1136,$CC1136,$CM1136,$CE1136,$CP1136)</f>
        <v/>
      </c>
      <c r="DY1136" s="64">
        <f>($DW1136-$DW1137)*100</f>
        <v/>
      </c>
      <c r="DZ1136" s="64">
        <f>($DX1136-$DX1137)*100</f>
        <v/>
      </c>
      <c r="EA1136" s="64">
        <f>($DW1136-$D1136)*100</f>
        <v/>
      </c>
      <c r="EB1136" s="64">
        <f>$Q1136-$O1136</f>
        <v/>
      </c>
      <c r="EC1136" s="67">
        <f>IFERROR($Q1136/$P1136,"")</f>
        <v/>
      </c>
    </row>
    <row r="1137">
      <c r="DG1137" s="64">
        <f>($B1137-$B1138)*100</f>
        <v/>
      </c>
      <c r="DH1137" s="64">
        <f>($D1137-$D1138)*100</f>
        <v/>
      </c>
      <c r="DI1137" s="64">
        <f>($E1137-$E1138)*100</f>
        <v/>
      </c>
      <c r="DJ1137" s="64">
        <f>($H1137-$H1138)*100</f>
        <v/>
      </c>
      <c r="DK1137" s="65">
        <f>IFERROR($J1137/$J1138-1,"")</f>
        <v/>
      </c>
      <c r="DL1137" s="64">
        <f>$L1137-$L1138</f>
        <v/>
      </c>
      <c r="DM1137" s="64">
        <f>$K1137-$K1138</f>
        <v/>
      </c>
      <c r="DN1137" s="65">
        <f>IFERROR($N1137/$N1138-1,"")</f>
        <v/>
      </c>
      <c r="DO1137" s="65">
        <f>IFERROR($M1137/$M1138-1,"")</f>
        <v/>
      </c>
      <c r="DP1137" s="65">
        <f>IFERROR($AZ1137/$AZ1138-1,"")</f>
        <v/>
      </c>
      <c r="DQ1137" s="65">
        <f>IFERROR($BA1137/$BA1138-1,"")</f>
        <v/>
      </c>
      <c r="DR1137" s="64">
        <f>$O1137-$O1138</f>
        <v/>
      </c>
      <c r="DS1137" s="64">
        <f>$P1137-$P1138</f>
        <v/>
      </c>
      <c r="DT1137" s="64">
        <f>$Q1137-$Q1138</f>
        <v/>
      </c>
      <c r="DU1137" s="64">
        <f>$S1137-$S1138</f>
        <v/>
      </c>
      <c r="DV1137" s="65">
        <f>IFERROR(AVERAGE($AA1138/$AA1137-1,$AB1138/$AB1137-1,$AC1138/$AC1137-1,$AD1138/$AD1137-1,$AE1138/$AE1137-1,$AG1138/$AG1137-1,$AH1138/$AH1137-1,$AI1138/$AI1137-1,$AJ1138/$AJ1137-1,$AL1138/$AL1137-1,$AM1138/$AM1137-1,$AR1138/$AR1137-1,$AS1138/$AS1137-1,$AT1138/$AT1137-1,$AU1138/$AU1137-1,$AV1138/$AV1137-1,$AW1138/$AW1137-1,$AX1138/$AX1137-1,$AY1138/$AY1137-1),"")</f>
        <v/>
      </c>
      <c r="DW1137" s="66">
        <f>AVERAGE($CB1137,$CC1137,$CD1137,$CE1137,$CF1137,$CG1137,$CH1137,$CI1137,$CJ1137,$CL1137,$CM1137,$CN1137,$CO1137,$CP1137,$CQ1137,$CR1137,$CS1137,$CT1137)</f>
        <v/>
      </c>
      <c r="DX1137" s="66">
        <f>AVERAGE($CB1137,$CC1137,$CM1137,$CE1137,$CP1137)</f>
        <v/>
      </c>
      <c r="DY1137" s="64">
        <f>($DW1137-$DW1138)*100</f>
        <v/>
      </c>
      <c r="DZ1137" s="64">
        <f>($DX1137-$DX1138)*100</f>
        <v/>
      </c>
      <c r="EA1137" s="64">
        <f>($DW1137-$D1137)*100</f>
        <v/>
      </c>
      <c r="EB1137" s="64">
        <f>$Q1137-$O1137</f>
        <v/>
      </c>
      <c r="EC1137" s="67">
        <f>IFERROR($Q1137/$P1137,"")</f>
        <v/>
      </c>
    </row>
    <row r="1138">
      <c r="DG1138" s="64">
        <f>($B1138-$B1139)*100</f>
        <v/>
      </c>
      <c r="DH1138" s="64">
        <f>($D1138-$D1139)*100</f>
        <v/>
      </c>
      <c r="DI1138" s="64">
        <f>($E1138-$E1139)*100</f>
        <v/>
      </c>
      <c r="DJ1138" s="64">
        <f>($H1138-$H1139)*100</f>
        <v/>
      </c>
      <c r="DK1138" s="65">
        <f>IFERROR($J1138/$J1139-1,"")</f>
        <v/>
      </c>
      <c r="DL1138" s="64">
        <f>$L1138-$L1139</f>
        <v/>
      </c>
      <c r="DM1138" s="64">
        <f>$K1138-$K1139</f>
        <v/>
      </c>
      <c r="DN1138" s="65">
        <f>IFERROR($N1138/$N1139-1,"")</f>
        <v/>
      </c>
      <c r="DO1138" s="65">
        <f>IFERROR($M1138/$M1139-1,"")</f>
        <v/>
      </c>
      <c r="DP1138" s="65">
        <f>IFERROR($AZ1138/$AZ1139-1,"")</f>
        <v/>
      </c>
      <c r="DQ1138" s="65">
        <f>IFERROR($BA1138/$BA1139-1,"")</f>
        <v/>
      </c>
      <c r="DR1138" s="64">
        <f>$O1138-$O1139</f>
        <v/>
      </c>
      <c r="DS1138" s="64">
        <f>$P1138-$P1139</f>
        <v/>
      </c>
      <c r="DT1138" s="64">
        <f>$Q1138-$Q1139</f>
        <v/>
      </c>
      <c r="DU1138" s="64">
        <f>$S1138-$S1139</f>
        <v/>
      </c>
      <c r="DV1138" s="65">
        <f>IFERROR(AVERAGE($AA1139/$AA1138-1,$AB1139/$AB1138-1,$AC1139/$AC1138-1,$AD1139/$AD1138-1,$AE1139/$AE1138-1,$AG1139/$AG1138-1,$AH1139/$AH1138-1,$AI1139/$AI1138-1,$AJ1139/$AJ1138-1,$AL1139/$AL1138-1,$AM1139/$AM1138-1,$AR1139/$AR1138-1,$AS1139/$AS1138-1,$AT1139/$AT1138-1,$AU1139/$AU1138-1,$AV1139/$AV1138-1,$AW1139/$AW1138-1,$AX1139/$AX1138-1,$AY1139/$AY1138-1),"")</f>
        <v/>
      </c>
      <c r="DW1138" s="66">
        <f>AVERAGE($CB1138,$CC1138,$CD1138,$CE1138,$CF1138,$CG1138,$CH1138,$CI1138,$CJ1138,$CL1138,$CM1138,$CN1138,$CO1138,$CP1138,$CQ1138,$CR1138,$CS1138,$CT1138)</f>
        <v/>
      </c>
      <c r="DX1138" s="66">
        <f>AVERAGE($CB1138,$CC1138,$CM1138,$CE1138,$CP1138)</f>
        <v/>
      </c>
      <c r="DY1138" s="64">
        <f>($DW1138-$DW1139)*100</f>
        <v/>
      </c>
      <c r="DZ1138" s="64">
        <f>($DX1138-$DX1139)*100</f>
        <v/>
      </c>
      <c r="EA1138" s="64">
        <f>($DW1138-$D1138)*100</f>
        <v/>
      </c>
      <c r="EB1138" s="64">
        <f>$Q1138-$O1138</f>
        <v/>
      </c>
      <c r="EC1138" s="67">
        <f>IFERROR($Q1138/$P1138,"")</f>
        <v/>
      </c>
    </row>
    <row r="1139">
      <c r="DG1139" s="64">
        <f>($B1139-$B1140)*100</f>
        <v/>
      </c>
      <c r="DH1139" s="64">
        <f>($D1139-$D1140)*100</f>
        <v/>
      </c>
      <c r="DI1139" s="64">
        <f>($E1139-$E1140)*100</f>
        <v/>
      </c>
      <c r="DJ1139" s="64">
        <f>($H1139-$H1140)*100</f>
        <v/>
      </c>
      <c r="DK1139" s="65">
        <f>IFERROR($J1139/$J1140-1,"")</f>
        <v/>
      </c>
      <c r="DL1139" s="64">
        <f>$L1139-$L1140</f>
        <v/>
      </c>
      <c r="DM1139" s="64">
        <f>$K1139-$K1140</f>
        <v/>
      </c>
      <c r="DN1139" s="65">
        <f>IFERROR($N1139/$N1140-1,"")</f>
        <v/>
      </c>
      <c r="DO1139" s="65">
        <f>IFERROR($M1139/$M1140-1,"")</f>
        <v/>
      </c>
      <c r="DP1139" s="65">
        <f>IFERROR($AZ1139/$AZ1140-1,"")</f>
        <v/>
      </c>
      <c r="DQ1139" s="65">
        <f>IFERROR($BA1139/$BA1140-1,"")</f>
        <v/>
      </c>
      <c r="DR1139" s="64">
        <f>$O1139-$O1140</f>
        <v/>
      </c>
      <c r="DS1139" s="64">
        <f>$P1139-$P1140</f>
        <v/>
      </c>
      <c r="DT1139" s="64">
        <f>$Q1139-$Q1140</f>
        <v/>
      </c>
      <c r="DU1139" s="64">
        <f>$S1139-$S1140</f>
        <v/>
      </c>
      <c r="DV1139" s="65">
        <f>IFERROR(AVERAGE($AA1140/$AA1139-1,$AB1140/$AB1139-1,$AC1140/$AC1139-1,$AD1140/$AD1139-1,$AE1140/$AE1139-1,$AG1140/$AG1139-1,$AH1140/$AH1139-1,$AI1140/$AI1139-1,$AJ1140/$AJ1139-1,$AL1140/$AL1139-1,$AM1140/$AM1139-1,$AR1140/$AR1139-1,$AS1140/$AS1139-1,$AT1140/$AT1139-1,$AU1140/$AU1139-1,$AV1140/$AV1139-1,$AW1140/$AW1139-1,$AX1140/$AX1139-1,$AY1140/$AY1139-1),"")</f>
        <v/>
      </c>
      <c r="DW1139" s="66">
        <f>AVERAGE($CB1139,$CC1139,$CD1139,$CE1139,$CF1139,$CG1139,$CH1139,$CI1139,$CJ1139,$CL1139,$CM1139,$CN1139,$CO1139,$CP1139,$CQ1139,$CR1139,$CS1139,$CT1139)</f>
        <v/>
      </c>
      <c r="DX1139" s="66">
        <f>AVERAGE($CB1139,$CC1139,$CM1139,$CE1139,$CP1139)</f>
        <v/>
      </c>
      <c r="DY1139" s="64">
        <f>($DW1139-$DW1140)*100</f>
        <v/>
      </c>
      <c r="DZ1139" s="64">
        <f>($DX1139-$DX1140)*100</f>
        <v/>
      </c>
      <c r="EA1139" s="64">
        <f>($DW1139-$D1139)*100</f>
        <v/>
      </c>
      <c r="EB1139" s="64">
        <f>$Q1139-$O1139</f>
        <v/>
      </c>
      <c r="EC1139" s="67">
        <f>IFERROR($Q1139/$P1139,"")</f>
        <v/>
      </c>
    </row>
    <row r="1140">
      <c r="DG1140" s="64">
        <f>($B1140-$B1141)*100</f>
        <v/>
      </c>
      <c r="DH1140" s="64">
        <f>($D1140-$D1141)*100</f>
        <v/>
      </c>
      <c r="DI1140" s="64">
        <f>($E1140-$E1141)*100</f>
        <v/>
      </c>
      <c r="DJ1140" s="64">
        <f>($H1140-$H1141)*100</f>
        <v/>
      </c>
      <c r="DK1140" s="65">
        <f>IFERROR($J1140/$J1141-1,"")</f>
        <v/>
      </c>
      <c r="DL1140" s="64">
        <f>$L1140-$L1141</f>
        <v/>
      </c>
      <c r="DM1140" s="64">
        <f>$K1140-$K1141</f>
        <v/>
      </c>
      <c r="DN1140" s="65">
        <f>IFERROR($N1140/$N1141-1,"")</f>
        <v/>
      </c>
      <c r="DO1140" s="65">
        <f>IFERROR($M1140/$M1141-1,"")</f>
        <v/>
      </c>
      <c r="DP1140" s="65">
        <f>IFERROR($AZ1140/$AZ1141-1,"")</f>
        <v/>
      </c>
      <c r="DQ1140" s="65">
        <f>IFERROR($BA1140/$BA1141-1,"")</f>
        <v/>
      </c>
      <c r="DR1140" s="64">
        <f>$O1140-$O1141</f>
        <v/>
      </c>
      <c r="DS1140" s="64">
        <f>$P1140-$P1141</f>
        <v/>
      </c>
      <c r="DT1140" s="64">
        <f>$Q1140-$Q1141</f>
        <v/>
      </c>
      <c r="DU1140" s="64">
        <f>$S1140-$S1141</f>
        <v/>
      </c>
      <c r="DV1140" s="65">
        <f>IFERROR(AVERAGE($AA1141/$AA1140-1,$AB1141/$AB1140-1,$AC1141/$AC1140-1,$AD1141/$AD1140-1,$AE1141/$AE1140-1,$AG1141/$AG1140-1,$AH1141/$AH1140-1,$AI1141/$AI1140-1,$AJ1141/$AJ1140-1,$AL1141/$AL1140-1,$AM1141/$AM1140-1,$AR1141/$AR1140-1,$AS1141/$AS1140-1,$AT1141/$AT1140-1,$AU1141/$AU1140-1,$AV1141/$AV1140-1,$AW1141/$AW1140-1,$AX1141/$AX1140-1,$AY1141/$AY1140-1),"")</f>
        <v/>
      </c>
      <c r="DW1140" s="66">
        <f>AVERAGE($CB1140,$CC1140,$CD1140,$CE1140,$CF1140,$CG1140,$CH1140,$CI1140,$CJ1140,$CL1140,$CM1140,$CN1140,$CO1140,$CP1140,$CQ1140,$CR1140,$CS1140,$CT1140)</f>
        <v/>
      </c>
      <c r="DX1140" s="66">
        <f>AVERAGE($CB1140,$CC1140,$CM1140,$CE1140,$CP1140)</f>
        <v/>
      </c>
      <c r="DY1140" s="64">
        <f>($DW1140-$DW1141)*100</f>
        <v/>
      </c>
      <c r="DZ1140" s="64">
        <f>($DX1140-$DX1141)*100</f>
        <v/>
      </c>
      <c r="EA1140" s="64">
        <f>($DW1140-$D1140)*100</f>
        <v/>
      </c>
      <c r="EB1140" s="64">
        <f>$Q1140-$O1140</f>
        <v/>
      </c>
      <c r="EC1140" s="67">
        <f>IFERROR($Q1140/$P1140,"")</f>
        <v/>
      </c>
    </row>
    <row r="1141">
      <c r="DG1141" s="64">
        <f>($B1141-$B1142)*100</f>
        <v/>
      </c>
      <c r="DH1141" s="64">
        <f>($D1141-$D1142)*100</f>
        <v/>
      </c>
      <c r="DI1141" s="64">
        <f>($E1141-$E1142)*100</f>
        <v/>
      </c>
      <c r="DJ1141" s="64">
        <f>($H1141-$H1142)*100</f>
        <v/>
      </c>
      <c r="DK1141" s="65">
        <f>IFERROR($J1141/$J1142-1,"")</f>
        <v/>
      </c>
      <c r="DL1141" s="64">
        <f>$L1141-$L1142</f>
        <v/>
      </c>
      <c r="DM1141" s="64">
        <f>$K1141-$K1142</f>
        <v/>
      </c>
      <c r="DN1141" s="65">
        <f>IFERROR($N1141/$N1142-1,"")</f>
        <v/>
      </c>
      <c r="DO1141" s="65">
        <f>IFERROR($M1141/$M1142-1,"")</f>
        <v/>
      </c>
      <c r="DP1141" s="65">
        <f>IFERROR($AZ1141/$AZ1142-1,"")</f>
        <v/>
      </c>
      <c r="DQ1141" s="65">
        <f>IFERROR($BA1141/$BA1142-1,"")</f>
        <v/>
      </c>
      <c r="DR1141" s="64">
        <f>$O1141-$O1142</f>
        <v/>
      </c>
      <c r="DS1141" s="64">
        <f>$P1141-$P1142</f>
        <v/>
      </c>
      <c r="DT1141" s="64">
        <f>$Q1141-$Q1142</f>
        <v/>
      </c>
      <c r="DU1141" s="64">
        <f>$S1141-$S1142</f>
        <v/>
      </c>
      <c r="DV1141" s="65">
        <f>IFERROR(AVERAGE($AA1142/$AA1141-1,$AB1142/$AB1141-1,$AC1142/$AC1141-1,$AD1142/$AD1141-1,$AE1142/$AE1141-1,$AG1142/$AG1141-1,$AH1142/$AH1141-1,$AI1142/$AI1141-1,$AJ1142/$AJ1141-1,$AL1142/$AL1141-1,$AM1142/$AM1141-1,$AR1142/$AR1141-1,$AS1142/$AS1141-1,$AT1142/$AT1141-1,$AU1142/$AU1141-1,$AV1142/$AV1141-1,$AW1142/$AW1141-1,$AX1142/$AX1141-1,$AY1142/$AY1141-1),"")</f>
        <v/>
      </c>
      <c r="DW1141" s="66">
        <f>AVERAGE($CB1141,$CC1141,$CD1141,$CE1141,$CF1141,$CG1141,$CH1141,$CI1141,$CJ1141,$CL1141,$CM1141,$CN1141,$CO1141,$CP1141,$CQ1141,$CR1141,$CS1141,$CT1141)</f>
        <v/>
      </c>
      <c r="DX1141" s="66">
        <f>AVERAGE($CB1141,$CC1141,$CM1141,$CE1141,$CP1141)</f>
        <v/>
      </c>
      <c r="DY1141" s="64">
        <f>($DW1141-$DW1142)*100</f>
        <v/>
      </c>
      <c r="DZ1141" s="64">
        <f>($DX1141-$DX1142)*100</f>
        <v/>
      </c>
      <c r="EA1141" s="64">
        <f>($DW1141-$D1141)*100</f>
        <v/>
      </c>
      <c r="EB1141" s="64">
        <f>$Q1141-$O1141</f>
        <v/>
      </c>
      <c r="EC1141" s="67">
        <f>IFERROR($Q1141/$P1141,"")</f>
        <v/>
      </c>
    </row>
    <row r="1142">
      <c r="DG1142" s="64">
        <f>($B1142-$B1143)*100</f>
        <v/>
      </c>
      <c r="DH1142" s="64">
        <f>($D1142-$D1143)*100</f>
        <v/>
      </c>
      <c r="DI1142" s="64">
        <f>($E1142-$E1143)*100</f>
        <v/>
      </c>
      <c r="DJ1142" s="64">
        <f>($H1142-$H1143)*100</f>
        <v/>
      </c>
      <c r="DK1142" s="65">
        <f>IFERROR($J1142/$J1143-1,"")</f>
        <v/>
      </c>
      <c r="DL1142" s="64">
        <f>$L1142-$L1143</f>
        <v/>
      </c>
      <c r="DM1142" s="64">
        <f>$K1142-$K1143</f>
        <v/>
      </c>
      <c r="DN1142" s="65">
        <f>IFERROR($N1142/$N1143-1,"")</f>
        <v/>
      </c>
      <c r="DO1142" s="65">
        <f>IFERROR($M1142/$M1143-1,"")</f>
        <v/>
      </c>
      <c r="DP1142" s="65">
        <f>IFERROR($AZ1142/$AZ1143-1,"")</f>
        <v/>
      </c>
      <c r="DQ1142" s="65">
        <f>IFERROR($BA1142/$BA1143-1,"")</f>
        <v/>
      </c>
      <c r="DR1142" s="64">
        <f>$O1142-$O1143</f>
        <v/>
      </c>
      <c r="DS1142" s="64">
        <f>$P1142-$P1143</f>
        <v/>
      </c>
      <c r="DT1142" s="64">
        <f>$Q1142-$Q1143</f>
        <v/>
      </c>
      <c r="DU1142" s="64">
        <f>$S1142-$S1143</f>
        <v/>
      </c>
      <c r="DV1142" s="65">
        <f>IFERROR(AVERAGE($AA1143/$AA1142-1,$AB1143/$AB1142-1,$AC1143/$AC1142-1,$AD1143/$AD1142-1,$AE1143/$AE1142-1,$AG1143/$AG1142-1,$AH1143/$AH1142-1,$AI1143/$AI1142-1,$AJ1143/$AJ1142-1,$AL1143/$AL1142-1,$AM1143/$AM1142-1,$AR1143/$AR1142-1,$AS1143/$AS1142-1,$AT1143/$AT1142-1,$AU1143/$AU1142-1,$AV1143/$AV1142-1,$AW1143/$AW1142-1,$AX1143/$AX1142-1,$AY1143/$AY1142-1),"")</f>
        <v/>
      </c>
      <c r="DW1142" s="66">
        <f>AVERAGE($CB1142,$CC1142,$CD1142,$CE1142,$CF1142,$CG1142,$CH1142,$CI1142,$CJ1142,$CL1142,$CM1142,$CN1142,$CO1142,$CP1142,$CQ1142,$CR1142,$CS1142,$CT1142)</f>
        <v/>
      </c>
      <c r="DX1142" s="66">
        <f>AVERAGE($CB1142,$CC1142,$CM1142,$CE1142,$CP1142)</f>
        <v/>
      </c>
      <c r="DY1142" s="64">
        <f>($DW1142-$DW1143)*100</f>
        <v/>
      </c>
      <c r="DZ1142" s="64">
        <f>($DX1142-$DX1143)*100</f>
        <v/>
      </c>
      <c r="EA1142" s="64">
        <f>($DW1142-$D1142)*100</f>
        <v/>
      </c>
      <c r="EB1142" s="64">
        <f>$Q1142-$O1142</f>
        <v/>
      </c>
      <c r="EC1142" s="67">
        <f>IFERROR($Q1142/$P1142,"")</f>
        <v/>
      </c>
    </row>
    <row r="1143">
      <c r="DG1143" s="64">
        <f>($B1143-$B1144)*100</f>
        <v/>
      </c>
      <c r="DH1143" s="64">
        <f>($D1143-$D1144)*100</f>
        <v/>
      </c>
      <c r="DI1143" s="64">
        <f>($E1143-$E1144)*100</f>
        <v/>
      </c>
      <c r="DJ1143" s="64">
        <f>($H1143-$H1144)*100</f>
        <v/>
      </c>
      <c r="DK1143" s="65">
        <f>IFERROR($J1143/$J1144-1,"")</f>
        <v/>
      </c>
      <c r="DL1143" s="64">
        <f>$L1143-$L1144</f>
        <v/>
      </c>
      <c r="DM1143" s="64">
        <f>$K1143-$K1144</f>
        <v/>
      </c>
      <c r="DN1143" s="65">
        <f>IFERROR($N1143/$N1144-1,"")</f>
        <v/>
      </c>
      <c r="DO1143" s="65">
        <f>IFERROR($M1143/$M1144-1,"")</f>
        <v/>
      </c>
      <c r="DP1143" s="65">
        <f>IFERROR($AZ1143/$AZ1144-1,"")</f>
        <v/>
      </c>
      <c r="DQ1143" s="65">
        <f>IFERROR($BA1143/$BA1144-1,"")</f>
        <v/>
      </c>
      <c r="DR1143" s="64">
        <f>$O1143-$O1144</f>
        <v/>
      </c>
      <c r="DS1143" s="64">
        <f>$P1143-$P1144</f>
        <v/>
      </c>
      <c r="DT1143" s="64">
        <f>$Q1143-$Q1144</f>
        <v/>
      </c>
      <c r="DU1143" s="64">
        <f>$S1143-$S1144</f>
        <v/>
      </c>
      <c r="DV1143" s="65">
        <f>IFERROR(AVERAGE($AA1144/$AA1143-1,$AB1144/$AB1143-1,$AC1144/$AC1143-1,$AD1144/$AD1143-1,$AE1144/$AE1143-1,$AG1144/$AG1143-1,$AH1144/$AH1143-1,$AI1144/$AI1143-1,$AJ1144/$AJ1143-1,$AL1144/$AL1143-1,$AM1144/$AM1143-1,$AR1144/$AR1143-1,$AS1144/$AS1143-1,$AT1144/$AT1143-1,$AU1144/$AU1143-1,$AV1144/$AV1143-1,$AW1144/$AW1143-1,$AX1144/$AX1143-1,$AY1144/$AY1143-1),"")</f>
        <v/>
      </c>
      <c r="DW1143" s="66">
        <f>AVERAGE($CB1143,$CC1143,$CD1143,$CE1143,$CF1143,$CG1143,$CH1143,$CI1143,$CJ1143,$CL1143,$CM1143,$CN1143,$CO1143,$CP1143,$CQ1143,$CR1143,$CS1143,$CT1143)</f>
        <v/>
      </c>
      <c r="DX1143" s="66">
        <f>AVERAGE($CB1143,$CC1143,$CM1143,$CE1143,$CP1143)</f>
        <v/>
      </c>
      <c r="DY1143" s="64">
        <f>($DW1143-$DW1144)*100</f>
        <v/>
      </c>
      <c r="DZ1143" s="64">
        <f>($DX1143-$DX1144)*100</f>
        <v/>
      </c>
      <c r="EA1143" s="64">
        <f>($DW1143-$D1143)*100</f>
        <v/>
      </c>
      <c r="EB1143" s="64">
        <f>$Q1143-$O1143</f>
        <v/>
      </c>
      <c r="EC1143" s="67">
        <f>IFERROR($Q1143/$P1143,"")</f>
        <v/>
      </c>
    </row>
    <row r="1144">
      <c r="DG1144" s="64">
        <f>($B1144-$B1145)*100</f>
        <v/>
      </c>
      <c r="DH1144" s="64">
        <f>($D1144-$D1145)*100</f>
        <v/>
      </c>
      <c r="DI1144" s="64">
        <f>($E1144-$E1145)*100</f>
        <v/>
      </c>
      <c r="DJ1144" s="64">
        <f>($H1144-$H1145)*100</f>
        <v/>
      </c>
      <c r="DK1144" s="65">
        <f>IFERROR($J1144/$J1145-1,"")</f>
        <v/>
      </c>
      <c r="DL1144" s="64">
        <f>$L1144-$L1145</f>
        <v/>
      </c>
      <c r="DM1144" s="64">
        <f>$K1144-$K1145</f>
        <v/>
      </c>
      <c r="DN1144" s="65">
        <f>IFERROR($N1144/$N1145-1,"")</f>
        <v/>
      </c>
      <c r="DO1144" s="65">
        <f>IFERROR($M1144/$M1145-1,"")</f>
        <v/>
      </c>
      <c r="DP1144" s="65">
        <f>IFERROR($AZ1144/$AZ1145-1,"")</f>
        <v/>
      </c>
      <c r="DQ1144" s="65">
        <f>IFERROR($BA1144/$BA1145-1,"")</f>
        <v/>
      </c>
      <c r="DR1144" s="64">
        <f>$O1144-$O1145</f>
        <v/>
      </c>
      <c r="DS1144" s="64">
        <f>$P1144-$P1145</f>
        <v/>
      </c>
      <c r="DT1144" s="64">
        <f>$Q1144-$Q1145</f>
        <v/>
      </c>
      <c r="DU1144" s="64">
        <f>$S1144-$S1145</f>
        <v/>
      </c>
      <c r="DV1144" s="65">
        <f>IFERROR(AVERAGE($AA1145/$AA1144-1,$AB1145/$AB1144-1,$AC1145/$AC1144-1,$AD1145/$AD1144-1,$AE1145/$AE1144-1,$AG1145/$AG1144-1,$AH1145/$AH1144-1,$AI1145/$AI1144-1,$AJ1145/$AJ1144-1,$AL1145/$AL1144-1,$AM1145/$AM1144-1,$AR1145/$AR1144-1,$AS1145/$AS1144-1,$AT1145/$AT1144-1,$AU1145/$AU1144-1,$AV1145/$AV1144-1,$AW1145/$AW1144-1,$AX1145/$AX1144-1,$AY1145/$AY1144-1),"")</f>
        <v/>
      </c>
      <c r="DW1144" s="66">
        <f>AVERAGE($CB1144,$CC1144,$CD1144,$CE1144,$CF1144,$CG1144,$CH1144,$CI1144,$CJ1144,$CL1144,$CM1144,$CN1144,$CO1144,$CP1144,$CQ1144,$CR1144,$CS1144,$CT1144)</f>
        <v/>
      </c>
      <c r="DX1144" s="66">
        <f>AVERAGE($CB1144,$CC1144,$CM1144,$CE1144,$CP1144)</f>
        <v/>
      </c>
      <c r="DY1144" s="64">
        <f>($DW1144-$DW1145)*100</f>
        <v/>
      </c>
      <c r="DZ1144" s="64">
        <f>($DX1144-$DX1145)*100</f>
        <v/>
      </c>
      <c r="EA1144" s="64">
        <f>($DW1144-$D1144)*100</f>
        <v/>
      </c>
      <c r="EB1144" s="64">
        <f>$Q1144-$O1144</f>
        <v/>
      </c>
      <c r="EC1144" s="67">
        <f>IFERROR($Q1144/$P1144,"")</f>
        <v/>
      </c>
    </row>
    <row r="1145">
      <c r="DG1145" s="64">
        <f>($B1145-$B1146)*100</f>
        <v/>
      </c>
      <c r="DH1145" s="64">
        <f>($D1145-$D1146)*100</f>
        <v/>
      </c>
      <c r="DI1145" s="64">
        <f>($E1145-$E1146)*100</f>
        <v/>
      </c>
      <c r="DJ1145" s="64">
        <f>($H1145-$H1146)*100</f>
        <v/>
      </c>
      <c r="DK1145" s="65">
        <f>IFERROR($J1145/$J1146-1,"")</f>
        <v/>
      </c>
      <c r="DL1145" s="64">
        <f>$L1145-$L1146</f>
        <v/>
      </c>
      <c r="DM1145" s="64">
        <f>$K1145-$K1146</f>
        <v/>
      </c>
      <c r="DN1145" s="65">
        <f>IFERROR($N1145/$N1146-1,"")</f>
        <v/>
      </c>
      <c r="DO1145" s="65">
        <f>IFERROR($M1145/$M1146-1,"")</f>
        <v/>
      </c>
      <c r="DP1145" s="65">
        <f>IFERROR($AZ1145/$AZ1146-1,"")</f>
        <v/>
      </c>
      <c r="DQ1145" s="65">
        <f>IFERROR($BA1145/$BA1146-1,"")</f>
        <v/>
      </c>
      <c r="DR1145" s="64">
        <f>$O1145-$O1146</f>
        <v/>
      </c>
      <c r="DS1145" s="64">
        <f>$P1145-$P1146</f>
        <v/>
      </c>
      <c r="DT1145" s="64">
        <f>$Q1145-$Q1146</f>
        <v/>
      </c>
      <c r="DU1145" s="64">
        <f>$S1145-$S1146</f>
        <v/>
      </c>
      <c r="DV1145" s="65">
        <f>IFERROR(AVERAGE($AA1146/$AA1145-1,$AB1146/$AB1145-1,$AC1146/$AC1145-1,$AD1146/$AD1145-1,$AE1146/$AE1145-1,$AG1146/$AG1145-1,$AH1146/$AH1145-1,$AI1146/$AI1145-1,$AJ1146/$AJ1145-1,$AL1146/$AL1145-1,$AM1146/$AM1145-1,$AR1146/$AR1145-1,$AS1146/$AS1145-1,$AT1146/$AT1145-1,$AU1146/$AU1145-1,$AV1146/$AV1145-1,$AW1146/$AW1145-1,$AX1146/$AX1145-1,$AY1146/$AY1145-1),"")</f>
        <v/>
      </c>
      <c r="DW1145" s="66">
        <f>AVERAGE($CB1145,$CC1145,$CD1145,$CE1145,$CF1145,$CG1145,$CH1145,$CI1145,$CJ1145,$CL1145,$CM1145,$CN1145,$CO1145,$CP1145,$CQ1145,$CR1145,$CS1145,$CT1145)</f>
        <v/>
      </c>
      <c r="DX1145" s="66">
        <f>AVERAGE($CB1145,$CC1145,$CM1145,$CE1145,$CP1145)</f>
        <v/>
      </c>
      <c r="DY1145" s="64">
        <f>($DW1145-$DW1146)*100</f>
        <v/>
      </c>
      <c r="DZ1145" s="64">
        <f>($DX1145-$DX1146)*100</f>
        <v/>
      </c>
      <c r="EA1145" s="64">
        <f>($DW1145-$D1145)*100</f>
        <v/>
      </c>
      <c r="EB1145" s="64">
        <f>$Q1145-$O1145</f>
        <v/>
      </c>
      <c r="EC1145" s="67">
        <f>IFERROR($Q1145/$P1145,"")</f>
        <v/>
      </c>
    </row>
    <row r="1146">
      <c r="DG1146" s="64">
        <f>($B1146-$B1147)*100</f>
        <v/>
      </c>
      <c r="DH1146" s="64">
        <f>($D1146-$D1147)*100</f>
        <v/>
      </c>
      <c r="DI1146" s="64">
        <f>($E1146-$E1147)*100</f>
        <v/>
      </c>
      <c r="DJ1146" s="64">
        <f>($H1146-$H1147)*100</f>
        <v/>
      </c>
      <c r="DK1146" s="65">
        <f>IFERROR($J1146/$J1147-1,"")</f>
        <v/>
      </c>
      <c r="DL1146" s="64">
        <f>$L1146-$L1147</f>
        <v/>
      </c>
      <c r="DM1146" s="64">
        <f>$K1146-$K1147</f>
        <v/>
      </c>
      <c r="DN1146" s="65">
        <f>IFERROR($N1146/$N1147-1,"")</f>
        <v/>
      </c>
      <c r="DO1146" s="65">
        <f>IFERROR($M1146/$M1147-1,"")</f>
        <v/>
      </c>
      <c r="DP1146" s="65">
        <f>IFERROR($AZ1146/$AZ1147-1,"")</f>
        <v/>
      </c>
      <c r="DQ1146" s="65">
        <f>IFERROR($BA1146/$BA1147-1,"")</f>
        <v/>
      </c>
      <c r="DR1146" s="64">
        <f>$O1146-$O1147</f>
        <v/>
      </c>
      <c r="DS1146" s="64">
        <f>$P1146-$P1147</f>
        <v/>
      </c>
      <c r="DT1146" s="64">
        <f>$Q1146-$Q1147</f>
        <v/>
      </c>
      <c r="DU1146" s="64">
        <f>$S1146-$S1147</f>
        <v/>
      </c>
      <c r="DV1146" s="65">
        <f>IFERROR(AVERAGE($AA1147/$AA1146-1,$AB1147/$AB1146-1,$AC1147/$AC1146-1,$AD1147/$AD1146-1,$AE1147/$AE1146-1,$AG1147/$AG1146-1,$AH1147/$AH1146-1,$AI1147/$AI1146-1,$AJ1147/$AJ1146-1,$AL1147/$AL1146-1,$AM1147/$AM1146-1,$AR1147/$AR1146-1,$AS1147/$AS1146-1,$AT1147/$AT1146-1,$AU1147/$AU1146-1,$AV1147/$AV1146-1,$AW1147/$AW1146-1,$AX1147/$AX1146-1,$AY1147/$AY1146-1),"")</f>
        <v/>
      </c>
      <c r="DW1146" s="66">
        <f>AVERAGE($CB1146,$CC1146,$CD1146,$CE1146,$CF1146,$CG1146,$CH1146,$CI1146,$CJ1146,$CL1146,$CM1146,$CN1146,$CO1146,$CP1146,$CQ1146,$CR1146,$CS1146,$CT1146)</f>
        <v/>
      </c>
      <c r="DX1146" s="66">
        <f>AVERAGE($CB1146,$CC1146,$CM1146,$CE1146,$CP1146)</f>
        <v/>
      </c>
      <c r="DY1146" s="64">
        <f>($DW1146-$DW1147)*100</f>
        <v/>
      </c>
      <c r="DZ1146" s="64">
        <f>($DX1146-$DX1147)*100</f>
        <v/>
      </c>
      <c r="EA1146" s="64">
        <f>($DW1146-$D1146)*100</f>
        <v/>
      </c>
      <c r="EB1146" s="64">
        <f>$Q1146-$O1146</f>
        <v/>
      </c>
      <c r="EC1146" s="67">
        <f>IFERROR($Q1146/$P1146,"")</f>
        <v/>
      </c>
    </row>
    <row r="1147">
      <c r="DG1147" s="64">
        <f>($B1147-$B1148)*100</f>
        <v/>
      </c>
      <c r="DH1147" s="64">
        <f>($D1147-$D1148)*100</f>
        <v/>
      </c>
      <c r="DI1147" s="64">
        <f>($E1147-$E1148)*100</f>
        <v/>
      </c>
      <c r="DJ1147" s="64">
        <f>($H1147-$H1148)*100</f>
        <v/>
      </c>
      <c r="DK1147" s="65">
        <f>IFERROR($J1147/$J1148-1,"")</f>
        <v/>
      </c>
      <c r="DL1147" s="64">
        <f>$L1147-$L1148</f>
        <v/>
      </c>
      <c r="DM1147" s="64">
        <f>$K1147-$K1148</f>
        <v/>
      </c>
      <c r="DN1147" s="65">
        <f>IFERROR($N1147/$N1148-1,"")</f>
        <v/>
      </c>
      <c r="DO1147" s="65">
        <f>IFERROR($M1147/$M1148-1,"")</f>
        <v/>
      </c>
      <c r="DP1147" s="65">
        <f>IFERROR($AZ1147/$AZ1148-1,"")</f>
        <v/>
      </c>
      <c r="DQ1147" s="65">
        <f>IFERROR($BA1147/$BA1148-1,"")</f>
        <v/>
      </c>
      <c r="DR1147" s="64">
        <f>$O1147-$O1148</f>
        <v/>
      </c>
      <c r="DS1147" s="64">
        <f>$P1147-$P1148</f>
        <v/>
      </c>
      <c r="DT1147" s="64">
        <f>$Q1147-$Q1148</f>
        <v/>
      </c>
      <c r="DU1147" s="64">
        <f>$S1147-$S1148</f>
        <v/>
      </c>
      <c r="DV1147" s="65">
        <f>IFERROR(AVERAGE($AA1148/$AA1147-1,$AB1148/$AB1147-1,$AC1148/$AC1147-1,$AD1148/$AD1147-1,$AE1148/$AE1147-1,$AG1148/$AG1147-1,$AH1148/$AH1147-1,$AI1148/$AI1147-1,$AJ1148/$AJ1147-1,$AL1148/$AL1147-1,$AM1148/$AM1147-1,$AR1148/$AR1147-1,$AS1148/$AS1147-1,$AT1148/$AT1147-1,$AU1148/$AU1147-1,$AV1148/$AV1147-1,$AW1148/$AW1147-1,$AX1148/$AX1147-1,$AY1148/$AY1147-1),"")</f>
        <v/>
      </c>
      <c r="DW1147" s="66">
        <f>AVERAGE($CB1147,$CC1147,$CD1147,$CE1147,$CF1147,$CG1147,$CH1147,$CI1147,$CJ1147,$CL1147,$CM1147,$CN1147,$CO1147,$CP1147,$CQ1147,$CR1147,$CS1147,$CT1147)</f>
        <v/>
      </c>
      <c r="DX1147" s="66">
        <f>AVERAGE($CB1147,$CC1147,$CM1147,$CE1147,$CP1147)</f>
        <v/>
      </c>
      <c r="DY1147" s="64">
        <f>($DW1147-$DW1148)*100</f>
        <v/>
      </c>
      <c r="DZ1147" s="64">
        <f>($DX1147-$DX1148)*100</f>
        <v/>
      </c>
      <c r="EA1147" s="64">
        <f>($DW1147-$D1147)*100</f>
        <v/>
      </c>
      <c r="EB1147" s="64">
        <f>$Q1147-$O1147</f>
        <v/>
      </c>
      <c r="EC1147" s="67">
        <f>IFERROR($Q1147/$P1147,"")</f>
        <v/>
      </c>
    </row>
    <row r="1148">
      <c r="DG1148" s="64">
        <f>($B1148-$B1149)*100</f>
        <v/>
      </c>
      <c r="DH1148" s="64">
        <f>($D1148-$D1149)*100</f>
        <v/>
      </c>
      <c r="DI1148" s="64">
        <f>($E1148-$E1149)*100</f>
        <v/>
      </c>
      <c r="DJ1148" s="64">
        <f>($H1148-$H1149)*100</f>
        <v/>
      </c>
      <c r="DK1148" s="65">
        <f>IFERROR($J1148/$J1149-1,"")</f>
        <v/>
      </c>
      <c r="DL1148" s="64">
        <f>$L1148-$L1149</f>
        <v/>
      </c>
      <c r="DM1148" s="64">
        <f>$K1148-$K1149</f>
        <v/>
      </c>
      <c r="DN1148" s="65">
        <f>IFERROR($N1148/$N1149-1,"")</f>
        <v/>
      </c>
      <c r="DO1148" s="65">
        <f>IFERROR($M1148/$M1149-1,"")</f>
        <v/>
      </c>
      <c r="DP1148" s="65">
        <f>IFERROR($AZ1148/$AZ1149-1,"")</f>
        <v/>
      </c>
      <c r="DQ1148" s="65">
        <f>IFERROR($BA1148/$BA1149-1,"")</f>
        <v/>
      </c>
      <c r="DR1148" s="64">
        <f>$O1148-$O1149</f>
        <v/>
      </c>
      <c r="DS1148" s="64">
        <f>$P1148-$P1149</f>
        <v/>
      </c>
      <c r="DT1148" s="64">
        <f>$Q1148-$Q1149</f>
        <v/>
      </c>
      <c r="DU1148" s="64">
        <f>$S1148-$S1149</f>
        <v/>
      </c>
      <c r="DV1148" s="65">
        <f>IFERROR(AVERAGE($AA1149/$AA1148-1,$AB1149/$AB1148-1,$AC1149/$AC1148-1,$AD1149/$AD1148-1,$AE1149/$AE1148-1,$AG1149/$AG1148-1,$AH1149/$AH1148-1,$AI1149/$AI1148-1,$AJ1149/$AJ1148-1,$AL1149/$AL1148-1,$AM1149/$AM1148-1,$AR1149/$AR1148-1,$AS1149/$AS1148-1,$AT1149/$AT1148-1,$AU1149/$AU1148-1,$AV1149/$AV1148-1,$AW1149/$AW1148-1,$AX1149/$AX1148-1,$AY1149/$AY1148-1),"")</f>
        <v/>
      </c>
      <c r="DW1148" s="66">
        <f>AVERAGE($CB1148,$CC1148,$CD1148,$CE1148,$CF1148,$CG1148,$CH1148,$CI1148,$CJ1148,$CL1148,$CM1148,$CN1148,$CO1148,$CP1148,$CQ1148,$CR1148,$CS1148,$CT1148)</f>
        <v/>
      </c>
      <c r="DX1148" s="66">
        <f>AVERAGE($CB1148,$CC1148,$CM1148,$CE1148,$CP1148)</f>
        <v/>
      </c>
      <c r="DY1148" s="64">
        <f>($DW1148-$DW1149)*100</f>
        <v/>
      </c>
      <c r="DZ1148" s="64">
        <f>($DX1148-$DX1149)*100</f>
        <v/>
      </c>
      <c r="EA1148" s="64">
        <f>($DW1148-$D1148)*100</f>
        <v/>
      </c>
      <c r="EB1148" s="64">
        <f>$Q1148-$O1148</f>
        <v/>
      </c>
      <c r="EC1148" s="67">
        <f>IFERROR($Q1148/$P1148,"")</f>
        <v/>
      </c>
    </row>
    <row r="1149">
      <c r="DG1149" s="64">
        <f>($B1149-$B1150)*100</f>
        <v/>
      </c>
      <c r="DH1149" s="64">
        <f>($D1149-$D1150)*100</f>
        <v/>
      </c>
      <c r="DI1149" s="64">
        <f>($E1149-$E1150)*100</f>
        <v/>
      </c>
      <c r="DJ1149" s="64">
        <f>($H1149-$H1150)*100</f>
        <v/>
      </c>
      <c r="DK1149" s="65">
        <f>IFERROR($J1149/$J1150-1,"")</f>
        <v/>
      </c>
      <c r="DL1149" s="64">
        <f>$L1149-$L1150</f>
        <v/>
      </c>
      <c r="DM1149" s="64">
        <f>$K1149-$K1150</f>
        <v/>
      </c>
      <c r="DN1149" s="65">
        <f>IFERROR($N1149/$N1150-1,"")</f>
        <v/>
      </c>
      <c r="DO1149" s="65">
        <f>IFERROR($M1149/$M1150-1,"")</f>
        <v/>
      </c>
      <c r="DP1149" s="65">
        <f>IFERROR($AZ1149/$AZ1150-1,"")</f>
        <v/>
      </c>
      <c r="DQ1149" s="65">
        <f>IFERROR($BA1149/$BA1150-1,"")</f>
        <v/>
      </c>
      <c r="DR1149" s="64">
        <f>$O1149-$O1150</f>
        <v/>
      </c>
      <c r="DS1149" s="64">
        <f>$P1149-$P1150</f>
        <v/>
      </c>
      <c r="DT1149" s="64">
        <f>$Q1149-$Q1150</f>
        <v/>
      </c>
      <c r="DU1149" s="64">
        <f>$S1149-$S1150</f>
        <v/>
      </c>
      <c r="DV1149" s="65">
        <f>IFERROR(AVERAGE($AA1150/$AA1149-1,$AB1150/$AB1149-1,$AC1150/$AC1149-1,$AD1150/$AD1149-1,$AE1150/$AE1149-1,$AG1150/$AG1149-1,$AH1150/$AH1149-1,$AI1150/$AI1149-1,$AJ1150/$AJ1149-1,$AL1150/$AL1149-1,$AM1150/$AM1149-1,$AR1150/$AR1149-1,$AS1150/$AS1149-1,$AT1150/$AT1149-1,$AU1150/$AU1149-1,$AV1150/$AV1149-1,$AW1150/$AW1149-1,$AX1150/$AX1149-1,$AY1150/$AY1149-1),"")</f>
        <v/>
      </c>
      <c r="DW1149" s="66">
        <f>AVERAGE($CB1149,$CC1149,$CD1149,$CE1149,$CF1149,$CG1149,$CH1149,$CI1149,$CJ1149,$CL1149,$CM1149,$CN1149,$CO1149,$CP1149,$CQ1149,$CR1149,$CS1149,$CT1149)</f>
        <v/>
      </c>
      <c r="DX1149" s="66">
        <f>AVERAGE($CB1149,$CC1149,$CM1149,$CE1149,$CP1149)</f>
        <v/>
      </c>
      <c r="DY1149" s="64">
        <f>($DW1149-$DW1150)*100</f>
        <v/>
      </c>
      <c r="DZ1149" s="64">
        <f>($DX1149-$DX1150)*100</f>
        <v/>
      </c>
      <c r="EA1149" s="64">
        <f>($DW1149-$D1149)*100</f>
        <v/>
      </c>
      <c r="EB1149" s="64">
        <f>$Q1149-$O1149</f>
        <v/>
      </c>
      <c r="EC1149" s="67">
        <f>IFERROR($Q1149/$P1149,"")</f>
        <v/>
      </c>
    </row>
    <row r="1150">
      <c r="DG1150" s="64">
        <f>($B1150-$B1151)*100</f>
        <v/>
      </c>
      <c r="DH1150" s="64">
        <f>($D1150-$D1151)*100</f>
        <v/>
      </c>
      <c r="DI1150" s="64">
        <f>($E1150-$E1151)*100</f>
        <v/>
      </c>
      <c r="DJ1150" s="64">
        <f>($H1150-$H1151)*100</f>
        <v/>
      </c>
      <c r="DK1150" s="65">
        <f>IFERROR($J1150/$J1151-1,"")</f>
        <v/>
      </c>
      <c r="DL1150" s="64">
        <f>$L1150-$L1151</f>
        <v/>
      </c>
      <c r="DM1150" s="64">
        <f>$K1150-$K1151</f>
        <v/>
      </c>
      <c r="DN1150" s="65">
        <f>IFERROR($N1150/$N1151-1,"")</f>
        <v/>
      </c>
      <c r="DO1150" s="65">
        <f>IFERROR($M1150/$M1151-1,"")</f>
        <v/>
      </c>
      <c r="DP1150" s="65">
        <f>IFERROR($AZ1150/$AZ1151-1,"")</f>
        <v/>
      </c>
      <c r="DQ1150" s="65">
        <f>IFERROR($BA1150/$BA1151-1,"")</f>
        <v/>
      </c>
      <c r="DR1150" s="64">
        <f>$O1150-$O1151</f>
        <v/>
      </c>
      <c r="DS1150" s="64">
        <f>$P1150-$P1151</f>
        <v/>
      </c>
      <c r="DT1150" s="64">
        <f>$Q1150-$Q1151</f>
        <v/>
      </c>
      <c r="DU1150" s="64">
        <f>$S1150-$S1151</f>
        <v/>
      </c>
      <c r="DV1150" s="65">
        <f>IFERROR(AVERAGE($AA1151/$AA1150-1,$AB1151/$AB1150-1,$AC1151/$AC1150-1,$AD1151/$AD1150-1,$AE1151/$AE1150-1,$AG1151/$AG1150-1,$AH1151/$AH1150-1,$AI1151/$AI1150-1,$AJ1151/$AJ1150-1,$AL1151/$AL1150-1,$AM1151/$AM1150-1,$AR1151/$AR1150-1,$AS1151/$AS1150-1,$AT1151/$AT1150-1,$AU1151/$AU1150-1,$AV1151/$AV1150-1,$AW1151/$AW1150-1,$AX1151/$AX1150-1,$AY1151/$AY1150-1),"")</f>
        <v/>
      </c>
      <c r="DW1150" s="66">
        <f>AVERAGE($CB1150,$CC1150,$CD1150,$CE1150,$CF1150,$CG1150,$CH1150,$CI1150,$CJ1150,$CL1150,$CM1150,$CN1150,$CO1150,$CP1150,$CQ1150,$CR1150,$CS1150,$CT1150)</f>
        <v/>
      </c>
      <c r="DX1150" s="66">
        <f>AVERAGE($CB1150,$CC1150,$CM1150,$CE1150,$CP1150)</f>
        <v/>
      </c>
      <c r="DY1150" s="64">
        <f>($DW1150-$DW1151)*100</f>
        <v/>
      </c>
      <c r="DZ1150" s="64">
        <f>($DX1150-$DX1151)*100</f>
        <v/>
      </c>
      <c r="EA1150" s="64">
        <f>($DW1150-$D1150)*100</f>
        <v/>
      </c>
      <c r="EB1150" s="64">
        <f>$Q1150-$O1150</f>
        <v/>
      </c>
      <c r="EC1150" s="67">
        <f>IFERROR($Q1150/$P1150,"")</f>
        <v/>
      </c>
    </row>
    <row r="1151">
      <c r="DG1151" s="64">
        <f>($B1151-$B1152)*100</f>
        <v/>
      </c>
      <c r="DH1151" s="64">
        <f>($D1151-$D1152)*100</f>
        <v/>
      </c>
      <c r="DI1151" s="64">
        <f>($E1151-$E1152)*100</f>
        <v/>
      </c>
      <c r="DJ1151" s="64">
        <f>($H1151-$H1152)*100</f>
        <v/>
      </c>
      <c r="DK1151" s="65">
        <f>IFERROR($J1151/$J1152-1,"")</f>
        <v/>
      </c>
      <c r="DL1151" s="64">
        <f>$L1151-$L1152</f>
        <v/>
      </c>
      <c r="DM1151" s="64">
        <f>$K1151-$K1152</f>
        <v/>
      </c>
      <c r="DN1151" s="65">
        <f>IFERROR($N1151/$N1152-1,"")</f>
        <v/>
      </c>
      <c r="DO1151" s="65">
        <f>IFERROR($M1151/$M1152-1,"")</f>
        <v/>
      </c>
      <c r="DP1151" s="65">
        <f>IFERROR($AZ1151/$AZ1152-1,"")</f>
        <v/>
      </c>
      <c r="DQ1151" s="65">
        <f>IFERROR($BA1151/$BA1152-1,"")</f>
        <v/>
      </c>
      <c r="DR1151" s="64">
        <f>$O1151-$O1152</f>
        <v/>
      </c>
      <c r="DS1151" s="64">
        <f>$P1151-$P1152</f>
        <v/>
      </c>
      <c r="DT1151" s="64">
        <f>$Q1151-$Q1152</f>
        <v/>
      </c>
      <c r="DU1151" s="64">
        <f>$S1151-$S1152</f>
        <v/>
      </c>
      <c r="DV1151" s="65">
        <f>IFERROR(AVERAGE($AA1152/$AA1151-1,$AB1152/$AB1151-1,$AC1152/$AC1151-1,$AD1152/$AD1151-1,$AE1152/$AE1151-1,$AG1152/$AG1151-1,$AH1152/$AH1151-1,$AI1152/$AI1151-1,$AJ1152/$AJ1151-1,$AL1152/$AL1151-1,$AM1152/$AM1151-1,$AR1152/$AR1151-1,$AS1152/$AS1151-1,$AT1152/$AT1151-1,$AU1152/$AU1151-1,$AV1152/$AV1151-1,$AW1152/$AW1151-1,$AX1152/$AX1151-1,$AY1152/$AY1151-1),"")</f>
        <v/>
      </c>
      <c r="DW1151" s="66">
        <f>AVERAGE($CB1151,$CC1151,$CD1151,$CE1151,$CF1151,$CG1151,$CH1151,$CI1151,$CJ1151,$CL1151,$CM1151,$CN1151,$CO1151,$CP1151,$CQ1151,$CR1151,$CS1151,$CT1151)</f>
        <v/>
      </c>
      <c r="DX1151" s="66">
        <f>AVERAGE($CB1151,$CC1151,$CM1151,$CE1151,$CP1151)</f>
        <v/>
      </c>
      <c r="DY1151" s="64">
        <f>($DW1151-$DW1152)*100</f>
        <v/>
      </c>
      <c r="DZ1151" s="64">
        <f>($DX1151-$DX1152)*100</f>
        <v/>
      </c>
      <c r="EA1151" s="64">
        <f>($DW1151-$D1151)*100</f>
        <v/>
      </c>
      <c r="EB1151" s="64">
        <f>$Q1151-$O1151</f>
        <v/>
      </c>
      <c r="EC1151" s="67">
        <f>IFERROR($Q1151/$P1151,"")</f>
        <v/>
      </c>
    </row>
    <row r="1152">
      <c r="DG1152" s="64">
        <f>($B1152-$B1153)*100</f>
        <v/>
      </c>
      <c r="DH1152" s="64">
        <f>($D1152-$D1153)*100</f>
        <v/>
      </c>
      <c r="DI1152" s="64">
        <f>($E1152-$E1153)*100</f>
        <v/>
      </c>
      <c r="DJ1152" s="64">
        <f>($H1152-$H1153)*100</f>
        <v/>
      </c>
      <c r="DK1152" s="65">
        <f>IFERROR($J1152/$J1153-1,"")</f>
        <v/>
      </c>
      <c r="DL1152" s="64">
        <f>$L1152-$L1153</f>
        <v/>
      </c>
      <c r="DM1152" s="64">
        <f>$K1152-$K1153</f>
        <v/>
      </c>
      <c r="DN1152" s="65">
        <f>IFERROR($N1152/$N1153-1,"")</f>
        <v/>
      </c>
      <c r="DO1152" s="65">
        <f>IFERROR($M1152/$M1153-1,"")</f>
        <v/>
      </c>
      <c r="DP1152" s="65">
        <f>IFERROR($AZ1152/$AZ1153-1,"")</f>
        <v/>
      </c>
      <c r="DQ1152" s="65">
        <f>IFERROR($BA1152/$BA1153-1,"")</f>
        <v/>
      </c>
      <c r="DR1152" s="64">
        <f>$O1152-$O1153</f>
        <v/>
      </c>
      <c r="DS1152" s="64">
        <f>$P1152-$P1153</f>
        <v/>
      </c>
      <c r="DT1152" s="64">
        <f>$Q1152-$Q1153</f>
        <v/>
      </c>
      <c r="DU1152" s="64">
        <f>$S1152-$S1153</f>
        <v/>
      </c>
      <c r="DV1152" s="65">
        <f>IFERROR(AVERAGE($AA1153/$AA1152-1,$AB1153/$AB1152-1,$AC1153/$AC1152-1,$AD1153/$AD1152-1,$AE1153/$AE1152-1,$AG1153/$AG1152-1,$AH1153/$AH1152-1,$AI1153/$AI1152-1,$AJ1153/$AJ1152-1,$AL1153/$AL1152-1,$AM1153/$AM1152-1,$AR1153/$AR1152-1,$AS1153/$AS1152-1,$AT1153/$AT1152-1,$AU1153/$AU1152-1,$AV1153/$AV1152-1,$AW1153/$AW1152-1,$AX1153/$AX1152-1,$AY1153/$AY1152-1),"")</f>
        <v/>
      </c>
      <c r="DW1152" s="66">
        <f>AVERAGE($CB1152,$CC1152,$CD1152,$CE1152,$CF1152,$CG1152,$CH1152,$CI1152,$CJ1152,$CL1152,$CM1152,$CN1152,$CO1152,$CP1152,$CQ1152,$CR1152,$CS1152,$CT1152)</f>
        <v/>
      </c>
      <c r="DX1152" s="66">
        <f>AVERAGE($CB1152,$CC1152,$CM1152,$CE1152,$CP1152)</f>
        <v/>
      </c>
      <c r="DY1152" s="64">
        <f>($DW1152-$DW1153)*100</f>
        <v/>
      </c>
      <c r="DZ1152" s="64">
        <f>($DX1152-$DX1153)*100</f>
        <v/>
      </c>
      <c r="EA1152" s="64">
        <f>($DW1152-$D1152)*100</f>
        <v/>
      </c>
      <c r="EB1152" s="64">
        <f>$Q1152-$O1152</f>
        <v/>
      </c>
      <c r="EC1152" s="67">
        <f>IFERROR($Q1152/$P1152,"")</f>
        <v/>
      </c>
    </row>
    <row r="1153">
      <c r="DG1153" s="64">
        <f>($B1153-$B1154)*100</f>
        <v/>
      </c>
      <c r="DH1153" s="64">
        <f>($D1153-$D1154)*100</f>
        <v/>
      </c>
      <c r="DI1153" s="64">
        <f>($E1153-$E1154)*100</f>
        <v/>
      </c>
      <c r="DJ1153" s="64">
        <f>($H1153-$H1154)*100</f>
        <v/>
      </c>
      <c r="DK1153" s="65">
        <f>IFERROR($J1153/$J1154-1,"")</f>
        <v/>
      </c>
      <c r="DL1153" s="64">
        <f>$L1153-$L1154</f>
        <v/>
      </c>
      <c r="DM1153" s="64">
        <f>$K1153-$K1154</f>
        <v/>
      </c>
      <c r="DN1153" s="65">
        <f>IFERROR($N1153/$N1154-1,"")</f>
        <v/>
      </c>
      <c r="DO1153" s="65">
        <f>IFERROR($M1153/$M1154-1,"")</f>
        <v/>
      </c>
      <c r="DP1153" s="65">
        <f>IFERROR($AZ1153/$AZ1154-1,"")</f>
        <v/>
      </c>
      <c r="DQ1153" s="65">
        <f>IFERROR($BA1153/$BA1154-1,"")</f>
        <v/>
      </c>
      <c r="DR1153" s="64">
        <f>$O1153-$O1154</f>
        <v/>
      </c>
      <c r="DS1153" s="64">
        <f>$P1153-$P1154</f>
        <v/>
      </c>
      <c r="DT1153" s="64">
        <f>$Q1153-$Q1154</f>
        <v/>
      </c>
      <c r="DU1153" s="64">
        <f>$S1153-$S1154</f>
        <v/>
      </c>
      <c r="DV1153" s="65">
        <f>IFERROR(AVERAGE($AA1154/$AA1153-1,$AB1154/$AB1153-1,$AC1154/$AC1153-1,$AD1154/$AD1153-1,$AE1154/$AE1153-1,$AG1154/$AG1153-1,$AH1154/$AH1153-1,$AI1154/$AI1153-1,$AJ1154/$AJ1153-1,$AL1154/$AL1153-1,$AM1154/$AM1153-1,$AR1154/$AR1153-1,$AS1154/$AS1153-1,$AT1154/$AT1153-1,$AU1154/$AU1153-1,$AV1154/$AV1153-1,$AW1154/$AW1153-1,$AX1154/$AX1153-1,$AY1154/$AY1153-1),"")</f>
        <v/>
      </c>
      <c r="DW1153" s="66">
        <f>AVERAGE($CB1153,$CC1153,$CD1153,$CE1153,$CF1153,$CG1153,$CH1153,$CI1153,$CJ1153,$CL1153,$CM1153,$CN1153,$CO1153,$CP1153,$CQ1153,$CR1153,$CS1153,$CT1153)</f>
        <v/>
      </c>
      <c r="DX1153" s="66">
        <f>AVERAGE($CB1153,$CC1153,$CM1153,$CE1153,$CP1153)</f>
        <v/>
      </c>
      <c r="DY1153" s="64">
        <f>($DW1153-$DW1154)*100</f>
        <v/>
      </c>
      <c r="DZ1153" s="64">
        <f>($DX1153-$DX1154)*100</f>
        <v/>
      </c>
      <c r="EA1153" s="64">
        <f>($DW1153-$D1153)*100</f>
        <v/>
      </c>
      <c r="EB1153" s="64">
        <f>$Q1153-$O1153</f>
        <v/>
      </c>
      <c r="EC1153" s="67">
        <f>IFERROR($Q1153/$P1153,"")</f>
        <v/>
      </c>
    </row>
    <row r="1154">
      <c r="DG1154" s="64">
        <f>($B1154-$B1155)*100</f>
        <v/>
      </c>
      <c r="DH1154" s="64">
        <f>($D1154-$D1155)*100</f>
        <v/>
      </c>
      <c r="DI1154" s="64">
        <f>($E1154-$E1155)*100</f>
        <v/>
      </c>
      <c r="DJ1154" s="64">
        <f>($H1154-$H1155)*100</f>
        <v/>
      </c>
      <c r="DK1154" s="65">
        <f>IFERROR($J1154/$J1155-1,"")</f>
        <v/>
      </c>
      <c r="DL1154" s="64">
        <f>$L1154-$L1155</f>
        <v/>
      </c>
      <c r="DM1154" s="64">
        <f>$K1154-$K1155</f>
        <v/>
      </c>
      <c r="DN1154" s="65">
        <f>IFERROR($N1154/$N1155-1,"")</f>
        <v/>
      </c>
      <c r="DO1154" s="65">
        <f>IFERROR($M1154/$M1155-1,"")</f>
        <v/>
      </c>
      <c r="DP1154" s="65">
        <f>IFERROR($AZ1154/$AZ1155-1,"")</f>
        <v/>
      </c>
      <c r="DQ1154" s="65">
        <f>IFERROR($BA1154/$BA1155-1,"")</f>
        <v/>
      </c>
      <c r="DR1154" s="64">
        <f>$O1154-$O1155</f>
        <v/>
      </c>
      <c r="DS1154" s="64">
        <f>$P1154-$P1155</f>
        <v/>
      </c>
      <c r="DT1154" s="64">
        <f>$Q1154-$Q1155</f>
        <v/>
      </c>
      <c r="DU1154" s="64">
        <f>$S1154-$S1155</f>
        <v/>
      </c>
      <c r="DV1154" s="65">
        <f>IFERROR(AVERAGE($AA1155/$AA1154-1,$AB1155/$AB1154-1,$AC1155/$AC1154-1,$AD1155/$AD1154-1,$AE1155/$AE1154-1,$AG1155/$AG1154-1,$AH1155/$AH1154-1,$AI1155/$AI1154-1,$AJ1155/$AJ1154-1,$AL1155/$AL1154-1,$AM1155/$AM1154-1,$AR1155/$AR1154-1,$AS1155/$AS1154-1,$AT1155/$AT1154-1,$AU1155/$AU1154-1,$AV1155/$AV1154-1,$AW1155/$AW1154-1,$AX1155/$AX1154-1,$AY1155/$AY1154-1),"")</f>
        <v/>
      </c>
      <c r="DW1154" s="66">
        <f>AVERAGE($CB1154,$CC1154,$CD1154,$CE1154,$CF1154,$CG1154,$CH1154,$CI1154,$CJ1154,$CL1154,$CM1154,$CN1154,$CO1154,$CP1154,$CQ1154,$CR1154,$CS1154,$CT1154)</f>
        <v/>
      </c>
      <c r="DX1154" s="66">
        <f>AVERAGE($CB1154,$CC1154,$CM1154,$CE1154,$CP1154)</f>
        <v/>
      </c>
      <c r="DY1154" s="64">
        <f>($DW1154-$DW1155)*100</f>
        <v/>
      </c>
      <c r="DZ1154" s="64">
        <f>($DX1154-$DX1155)*100</f>
        <v/>
      </c>
      <c r="EA1154" s="64">
        <f>($DW1154-$D1154)*100</f>
        <v/>
      </c>
      <c r="EB1154" s="64">
        <f>$Q1154-$O1154</f>
        <v/>
      </c>
      <c r="EC1154" s="67">
        <f>IFERROR($Q1154/$P1154,"")</f>
        <v/>
      </c>
    </row>
    <row r="1155">
      <c r="DG1155" s="64">
        <f>($B1155-$B1156)*100</f>
        <v/>
      </c>
      <c r="DH1155" s="64">
        <f>($D1155-$D1156)*100</f>
        <v/>
      </c>
      <c r="DI1155" s="64">
        <f>($E1155-$E1156)*100</f>
        <v/>
      </c>
      <c r="DJ1155" s="64">
        <f>($H1155-$H1156)*100</f>
        <v/>
      </c>
      <c r="DK1155" s="65">
        <f>IFERROR($J1155/$J1156-1,"")</f>
        <v/>
      </c>
      <c r="DL1155" s="64">
        <f>$L1155-$L1156</f>
        <v/>
      </c>
      <c r="DM1155" s="64">
        <f>$K1155-$K1156</f>
        <v/>
      </c>
      <c r="DN1155" s="65">
        <f>IFERROR($N1155/$N1156-1,"")</f>
        <v/>
      </c>
      <c r="DO1155" s="65">
        <f>IFERROR($M1155/$M1156-1,"")</f>
        <v/>
      </c>
      <c r="DP1155" s="65">
        <f>IFERROR($AZ1155/$AZ1156-1,"")</f>
        <v/>
      </c>
      <c r="DQ1155" s="65">
        <f>IFERROR($BA1155/$BA1156-1,"")</f>
        <v/>
      </c>
      <c r="DR1155" s="64">
        <f>$O1155-$O1156</f>
        <v/>
      </c>
      <c r="DS1155" s="64">
        <f>$P1155-$P1156</f>
        <v/>
      </c>
      <c r="DT1155" s="64">
        <f>$Q1155-$Q1156</f>
        <v/>
      </c>
      <c r="DU1155" s="64">
        <f>$S1155-$S1156</f>
        <v/>
      </c>
      <c r="DV1155" s="65">
        <f>IFERROR(AVERAGE($AA1156/$AA1155-1,$AB1156/$AB1155-1,$AC1156/$AC1155-1,$AD1156/$AD1155-1,$AE1156/$AE1155-1,$AG1156/$AG1155-1,$AH1156/$AH1155-1,$AI1156/$AI1155-1,$AJ1156/$AJ1155-1,$AL1156/$AL1155-1,$AM1156/$AM1155-1,$AR1156/$AR1155-1,$AS1156/$AS1155-1,$AT1156/$AT1155-1,$AU1156/$AU1155-1,$AV1156/$AV1155-1,$AW1156/$AW1155-1,$AX1156/$AX1155-1,$AY1156/$AY1155-1),"")</f>
        <v/>
      </c>
      <c r="DW1155" s="66">
        <f>AVERAGE($CB1155,$CC1155,$CD1155,$CE1155,$CF1155,$CG1155,$CH1155,$CI1155,$CJ1155,$CL1155,$CM1155,$CN1155,$CO1155,$CP1155,$CQ1155,$CR1155,$CS1155,$CT1155)</f>
        <v/>
      </c>
      <c r="DX1155" s="66">
        <f>AVERAGE($CB1155,$CC1155,$CM1155,$CE1155,$CP1155)</f>
        <v/>
      </c>
      <c r="DY1155" s="64">
        <f>($DW1155-$DW1156)*100</f>
        <v/>
      </c>
      <c r="DZ1155" s="64">
        <f>($DX1155-$DX1156)*100</f>
        <v/>
      </c>
      <c r="EA1155" s="64">
        <f>($DW1155-$D1155)*100</f>
        <v/>
      </c>
      <c r="EB1155" s="64">
        <f>$Q1155-$O1155</f>
        <v/>
      </c>
      <c r="EC1155" s="67">
        <f>IFERROR($Q1155/$P1155,"")</f>
        <v/>
      </c>
    </row>
    <row r="1156">
      <c r="DG1156" s="64">
        <f>($B1156-$B1157)*100</f>
        <v/>
      </c>
      <c r="DH1156" s="64">
        <f>($D1156-$D1157)*100</f>
        <v/>
      </c>
      <c r="DI1156" s="64">
        <f>($E1156-$E1157)*100</f>
        <v/>
      </c>
      <c r="DJ1156" s="64">
        <f>($H1156-$H1157)*100</f>
        <v/>
      </c>
      <c r="DK1156" s="65">
        <f>IFERROR($J1156/$J1157-1,"")</f>
        <v/>
      </c>
      <c r="DL1156" s="64">
        <f>$L1156-$L1157</f>
        <v/>
      </c>
      <c r="DM1156" s="64">
        <f>$K1156-$K1157</f>
        <v/>
      </c>
      <c r="DN1156" s="65">
        <f>IFERROR($N1156/$N1157-1,"")</f>
        <v/>
      </c>
      <c r="DO1156" s="65">
        <f>IFERROR($M1156/$M1157-1,"")</f>
        <v/>
      </c>
      <c r="DP1156" s="65">
        <f>IFERROR($AZ1156/$AZ1157-1,"")</f>
        <v/>
      </c>
      <c r="DQ1156" s="65">
        <f>IFERROR($BA1156/$BA1157-1,"")</f>
        <v/>
      </c>
      <c r="DR1156" s="64">
        <f>$O1156-$O1157</f>
        <v/>
      </c>
      <c r="DS1156" s="64">
        <f>$P1156-$P1157</f>
        <v/>
      </c>
      <c r="DT1156" s="64">
        <f>$Q1156-$Q1157</f>
        <v/>
      </c>
      <c r="DU1156" s="64">
        <f>$S1156-$S1157</f>
        <v/>
      </c>
      <c r="DV1156" s="65">
        <f>IFERROR(AVERAGE($AA1157/$AA1156-1,$AB1157/$AB1156-1,$AC1157/$AC1156-1,$AD1157/$AD1156-1,$AE1157/$AE1156-1,$AG1157/$AG1156-1,$AH1157/$AH1156-1,$AI1157/$AI1156-1,$AJ1157/$AJ1156-1,$AL1157/$AL1156-1,$AM1157/$AM1156-1,$AR1157/$AR1156-1,$AS1157/$AS1156-1,$AT1157/$AT1156-1,$AU1157/$AU1156-1,$AV1157/$AV1156-1,$AW1157/$AW1156-1,$AX1157/$AX1156-1,$AY1157/$AY1156-1),"")</f>
        <v/>
      </c>
      <c r="DW1156" s="66">
        <f>AVERAGE($CB1156,$CC1156,$CD1156,$CE1156,$CF1156,$CG1156,$CH1156,$CI1156,$CJ1156,$CL1156,$CM1156,$CN1156,$CO1156,$CP1156,$CQ1156,$CR1156,$CS1156,$CT1156)</f>
        <v/>
      </c>
      <c r="DX1156" s="66">
        <f>AVERAGE($CB1156,$CC1156,$CM1156,$CE1156,$CP1156)</f>
        <v/>
      </c>
      <c r="DY1156" s="64">
        <f>($DW1156-$DW1157)*100</f>
        <v/>
      </c>
      <c r="DZ1156" s="64">
        <f>($DX1156-$DX1157)*100</f>
        <v/>
      </c>
      <c r="EA1156" s="64">
        <f>($DW1156-$D1156)*100</f>
        <v/>
      </c>
      <c r="EB1156" s="64">
        <f>$Q1156-$O1156</f>
        <v/>
      </c>
      <c r="EC1156" s="67">
        <f>IFERROR($Q1156/$P1156,"")</f>
        <v/>
      </c>
    </row>
    <row r="1157">
      <c r="DG1157" s="64">
        <f>($B1157-$B1158)*100</f>
        <v/>
      </c>
      <c r="DH1157" s="64">
        <f>($D1157-$D1158)*100</f>
        <v/>
      </c>
      <c r="DI1157" s="64">
        <f>($E1157-$E1158)*100</f>
        <v/>
      </c>
      <c r="DJ1157" s="64">
        <f>($H1157-$H1158)*100</f>
        <v/>
      </c>
      <c r="DK1157" s="65">
        <f>IFERROR($J1157/$J1158-1,"")</f>
        <v/>
      </c>
      <c r="DL1157" s="64">
        <f>$L1157-$L1158</f>
        <v/>
      </c>
      <c r="DM1157" s="64">
        <f>$K1157-$K1158</f>
        <v/>
      </c>
      <c r="DN1157" s="65">
        <f>IFERROR($N1157/$N1158-1,"")</f>
        <v/>
      </c>
      <c r="DO1157" s="65">
        <f>IFERROR($M1157/$M1158-1,"")</f>
        <v/>
      </c>
      <c r="DP1157" s="65">
        <f>IFERROR($AZ1157/$AZ1158-1,"")</f>
        <v/>
      </c>
      <c r="DQ1157" s="65">
        <f>IFERROR($BA1157/$BA1158-1,"")</f>
        <v/>
      </c>
      <c r="DR1157" s="64">
        <f>$O1157-$O1158</f>
        <v/>
      </c>
      <c r="DS1157" s="64">
        <f>$P1157-$P1158</f>
        <v/>
      </c>
      <c r="DT1157" s="64">
        <f>$Q1157-$Q1158</f>
        <v/>
      </c>
      <c r="DU1157" s="64">
        <f>$S1157-$S1158</f>
        <v/>
      </c>
      <c r="DV1157" s="65">
        <f>IFERROR(AVERAGE($AA1158/$AA1157-1,$AB1158/$AB1157-1,$AC1158/$AC1157-1,$AD1158/$AD1157-1,$AE1158/$AE1157-1,$AG1158/$AG1157-1,$AH1158/$AH1157-1,$AI1158/$AI1157-1,$AJ1158/$AJ1157-1,$AL1158/$AL1157-1,$AM1158/$AM1157-1,$AR1158/$AR1157-1,$AS1158/$AS1157-1,$AT1158/$AT1157-1,$AU1158/$AU1157-1,$AV1158/$AV1157-1,$AW1158/$AW1157-1,$AX1158/$AX1157-1,$AY1158/$AY1157-1),"")</f>
        <v/>
      </c>
      <c r="DW1157" s="66">
        <f>AVERAGE($CB1157,$CC1157,$CD1157,$CE1157,$CF1157,$CG1157,$CH1157,$CI1157,$CJ1157,$CL1157,$CM1157,$CN1157,$CO1157,$CP1157,$CQ1157,$CR1157,$CS1157,$CT1157)</f>
        <v/>
      </c>
      <c r="DX1157" s="66">
        <f>AVERAGE($CB1157,$CC1157,$CM1157,$CE1157,$CP1157)</f>
        <v/>
      </c>
      <c r="DY1157" s="64">
        <f>($DW1157-$DW1158)*100</f>
        <v/>
      </c>
      <c r="DZ1157" s="64">
        <f>($DX1157-$DX1158)*100</f>
        <v/>
      </c>
      <c r="EA1157" s="64">
        <f>($DW1157-$D1157)*100</f>
        <v/>
      </c>
      <c r="EB1157" s="64">
        <f>$Q1157-$O1157</f>
        <v/>
      </c>
      <c r="EC1157" s="67">
        <f>IFERROR($Q1157/$P1157,"")</f>
        <v/>
      </c>
    </row>
    <row r="1158">
      <c r="DG1158" s="64">
        <f>($B1158-$B1159)*100</f>
        <v/>
      </c>
      <c r="DH1158" s="64">
        <f>($D1158-$D1159)*100</f>
        <v/>
      </c>
      <c r="DI1158" s="64">
        <f>($E1158-$E1159)*100</f>
        <v/>
      </c>
      <c r="DJ1158" s="64">
        <f>($H1158-$H1159)*100</f>
        <v/>
      </c>
      <c r="DK1158" s="65">
        <f>IFERROR($J1158/$J1159-1,"")</f>
        <v/>
      </c>
      <c r="DL1158" s="64">
        <f>$L1158-$L1159</f>
        <v/>
      </c>
      <c r="DM1158" s="64">
        <f>$K1158-$K1159</f>
        <v/>
      </c>
      <c r="DN1158" s="65">
        <f>IFERROR($N1158/$N1159-1,"")</f>
        <v/>
      </c>
      <c r="DO1158" s="65">
        <f>IFERROR($M1158/$M1159-1,"")</f>
        <v/>
      </c>
      <c r="DP1158" s="65">
        <f>IFERROR($AZ1158/$AZ1159-1,"")</f>
        <v/>
      </c>
      <c r="DQ1158" s="65">
        <f>IFERROR($BA1158/$BA1159-1,"")</f>
        <v/>
      </c>
      <c r="DR1158" s="64">
        <f>$O1158-$O1159</f>
        <v/>
      </c>
      <c r="DS1158" s="64">
        <f>$P1158-$P1159</f>
        <v/>
      </c>
      <c r="DT1158" s="64">
        <f>$Q1158-$Q1159</f>
        <v/>
      </c>
      <c r="DU1158" s="64">
        <f>$S1158-$S1159</f>
        <v/>
      </c>
      <c r="DV1158" s="65">
        <f>IFERROR(AVERAGE($AA1159/$AA1158-1,$AB1159/$AB1158-1,$AC1159/$AC1158-1,$AD1159/$AD1158-1,$AE1159/$AE1158-1,$AG1159/$AG1158-1,$AH1159/$AH1158-1,$AI1159/$AI1158-1,$AJ1159/$AJ1158-1,$AL1159/$AL1158-1,$AM1159/$AM1158-1,$AR1159/$AR1158-1,$AS1159/$AS1158-1,$AT1159/$AT1158-1,$AU1159/$AU1158-1,$AV1159/$AV1158-1,$AW1159/$AW1158-1,$AX1159/$AX1158-1,$AY1159/$AY1158-1),"")</f>
        <v/>
      </c>
      <c r="DW1158" s="66">
        <f>AVERAGE($CB1158,$CC1158,$CD1158,$CE1158,$CF1158,$CG1158,$CH1158,$CI1158,$CJ1158,$CL1158,$CM1158,$CN1158,$CO1158,$CP1158,$CQ1158,$CR1158,$CS1158,$CT1158)</f>
        <v/>
      </c>
      <c r="DX1158" s="66">
        <f>AVERAGE($CB1158,$CC1158,$CM1158,$CE1158,$CP1158)</f>
        <v/>
      </c>
      <c r="DY1158" s="64">
        <f>($DW1158-$DW1159)*100</f>
        <v/>
      </c>
      <c r="DZ1158" s="64">
        <f>($DX1158-$DX1159)*100</f>
        <v/>
      </c>
      <c r="EA1158" s="64">
        <f>($DW1158-$D1158)*100</f>
        <v/>
      </c>
      <c r="EB1158" s="64">
        <f>$Q1158-$O1158</f>
        <v/>
      </c>
      <c r="EC1158" s="67">
        <f>IFERROR($Q1158/$P1158,"")</f>
        <v/>
      </c>
    </row>
    <row r="1159">
      <c r="DG1159" s="64">
        <f>($B1159-$B1160)*100</f>
        <v/>
      </c>
      <c r="DH1159" s="64">
        <f>($D1159-$D1160)*100</f>
        <v/>
      </c>
      <c r="DI1159" s="64">
        <f>($E1159-$E1160)*100</f>
        <v/>
      </c>
      <c r="DJ1159" s="64">
        <f>($H1159-$H1160)*100</f>
        <v/>
      </c>
      <c r="DK1159" s="65">
        <f>IFERROR($J1159/$J1160-1,"")</f>
        <v/>
      </c>
      <c r="DL1159" s="64">
        <f>$L1159-$L1160</f>
        <v/>
      </c>
      <c r="DM1159" s="64">
        <f>$K1159-$K1160</f>
        <v/>
      </c>
      <c r="DN1159" s="65">
        <f>IFERROR($N1159/$N1160-1,"")</f>
        <v/>
      </c>
      <c r="DO1159" s="65">
        <f>IFERROR($M1159/$M1160-1,"")</f>
        <v/>
      </c>
      <c r="DP1159" s="65">
        <f>IFERROR($AZ1159/$AZ1160-1,"")</f>
        <v/>
      </c>
      <c r="DQ1159" s="65">
        <f>IFERROR($BA1159/$BA1160-1,"")</f>
        <v/>
      </c>
      <c r="DR1159" s="64">
        <f>$O1159-$O1160</f>
        <v/>
      </c>
      <c r="DS1159" s="64">
        <f>$P1159-$P1160</f>
        <v/>
      </c>
      <c r="DT1159" s="64">
        <f>$Q1159-$Q1160</f>
        <v/>
      </c>
      <c r="DU1159" s="64">
        <f>$S1159-$S1160</f>
        <v/>
      </c>
      <c r="DV1159" s="65">
        <f>IFERROR(AVERAGE($AA1160/$AA1159-1,$AB1160/$AB1159-1,$AC1160/$AC1159-1,$AD1160/$AD1159-1,$AE1160/$AE1159-1,$AG1160/$AG1159-1,$AH1160/$AH1159-1,$AI1160/$AI1159-1,$AJ1160/$AJ1159-1,$AL1160/$AL1159-1,$AM1160/$AM1159-1,$AR1160/$AR1159-1,$AS1160/$AS1159-1,$AT1160/$AT1159-1,$AU1160/$AU1159-1,$AV1160/$AV1159-1,$AW1160/$AW1159-1,$AX1160/$AX1159-1,$AY1160/$AY1159-1),"")</f>
        <v/>
      </c>
      <c r="DW1159" s="66">
        <f>AVERAGE($CB1159,$CC1159,$CD1159,$CE1159,$CF1159,$CG1159,$CH1159,$CI1159,$CJ1159,$CL1159,$CM1159,$CN1159,$CO1159,$CP1159,$CQ1159,$CR1159,$CS1159,$CT1159)</f>
        <v/>
      </c>
      <c r="DX1159" s="66">
        <f>AVERAGE($CB1159,$CC1159,$CM1159,$CE1159,$CP1159)</f>
        <v/>
      </c>
      <c r="DY1159" s="64">
        <f>($DW1159-$DW1160)*100</f>
        <v/>
      </c>
      <c r="DZ1159" s="64">
        <f>($DX1159-$DX1160)*100</f>
        <v/>
      </c>
      <c r="EA1159" s="64">
        <f>($DW1159-$D1159)*100</f>
        <v/>
      </c>
      <c r="EB1159" s="64">
        <f>$Q1159-$O1159</f>
        <v/>
      </c>
      <c r="EC1159" s="67">
        <f>IFERROR($Q1159/$P1159,"")</f>
        <v/>
      </c>
    </row>
    <row r="1160">
      <c r="DG1160" s="64">
        <f>($B1160-$B1161)*100</f>
        <v/>
      </c>
      <c r="DH1160" s="64">
        <f>($D1160-$D1161)*100</f>
        <v/>
      </c>
      <c r="DI1160" s="64">
        <f>($E1160-$E1161)*100</f>
        <v/>
      </c>
      <c r="DJ1160" s="64">
        <f>($H1160-$H1161)*100</f>
        <v/>
      </c>
      <c r="DK1160" s="65">
        <f>IFERROR($J1160/$J1161-1,"")</f>
        <v/>
      </c>
      <c r="DL1160" s="64">
        <f>$L1160-$L1161</f>
        <v/>
      </c>
      <c r="DM1160" s="64">
        <f>$K1160-$K1161</f>
        <v/>
      </c>
      <c r="DN1160" s="65">
        <f>IFERROR($N1160/$N1161-1,"")</f>
        <v/>
      </c>
      <c r="DO1160" s="65">
        <f>IFERROR($M1160/$M1161-1,"")</f>
        <v/>
      </c>
      <c r="DP1160" s="65">
        <f>IFERROR($AZ1160/$AZ1161-1,"")</f>
        <v/>
      </c>
      <c r="DQ1160" s="65">
        <f>IFERROR($BA1160/$BA1161-1,"")</f>
        <v/>
      </c>
      <c r="DR1160" s="64">
        <f>$O1160-$O1161</f>
        <v/>
      </c>
      <c r="DS1160" s="64">
        <f>$P1160-$P1161</f>
        <v/>
      </c>
      <c r="DT1160" s="64">
        <f>$Q1160-$Q1161</f>
        <v/>
      </c>
      <c r="DU1160" s="64">
        <f>$S1160-$S1161</f>
        <v/>
      </c>
      <c r="DV1160" s="65">
        <f>IFERROR(AVERAGE($AA1161/$AA1160-1,$AB1161/$AB1160-1,$AC1161/$AC1160-1,$AD1161/$AD1160-1,$AE1161/$AE1160-1,$AG1161/$AG1160-1,$AH1161/$AH1160-1,$AI1161/$AI1160-1,$AJ1161/$AJ1160-1,$AL1161/$AL1160-1,$AM1161/$AM1160-1,$AR1161/$AR1160-1,$AS1161/$AS1160-1,$AT1161/$AT1160-1,$AU1161/$AU1160-1,$AV1161/$AV1160-1,$AW1161/$AW1160-1,$AX1161/$AX1160-1,$AY1161/$AY1160-1),"")</f>
        <v/>
      </c>
      <c r="DW1160" s="66">
        <f>AVERAGE($CB1160,$CC1160,$CD1160,$CE1160,$CF1160,$CG1160,$CH1160,$CI1160,$CJ1160,$CL1160,$CM1160,$CN1160,$CO1160,$CP1160,$CQ1160,$CR1160,$CS1160,$CT1160)</f>
        <v/>
      </c>
      <c r="DX1160" s="66">
        <f>AVERAGE($CB1160,$CC1160,$CM1160,$CE1160,$CP1160)</f>
        <v/>
      </c>
      <c r="DY1160" s="64">
        <f>($DW1160-$DW1161)*100</f>
        <v/>
      </c>
      <c r="DZ1160" s="64">
        <f>($DX1160-$DX1161)*100</f>
        <v/>
      </c>
      <c r="EA1160" s="64">
        <f>($DW1160-$D1160)*100</f>
        <v/>
      </c>
      <c r="EB1160" s="64">
        <f>$Q1160-$O1160</f>
        <v/>
      </c>
      <c r="EC1160" s="67">
        <f>IFERROR($Q1160/$P1160,"")</f>
        <v/>
      </c>
    </row>
    <row r="1161">
      <c r="DG1161" s="64">
        <f>($B1161-$B1162)*100</f>
        <v/>
      </c>
      <c r="DH1161" s="64">
        <f>($D1161-$D1162)*100</f>
        <v/>
      </c>
      <c r="DI1161" s="64">
        <f>($E1161-$E1162)*100</f>
        <v/>
      </c>
      <c r="DJ1161" s="64">
        <f>($H1161-$H1162)*100</f>
        <v/>
      </c>
      <c r="DK1161" s="65">
        <f>IFERROR($J1161/$J1162-1,"")</f>
        <v/>
      </c>
      <c r="DL1161" s="64">
        <f>$L1161-$L1162</f>
        <v/>
      </c>
      <c r="DM1161" s="64">
        <f>$K1161-$K1162</f>
        <v/>
      </c>
      <c r="DN1161" s="65">
        <f>IFERROR($N1161/$N1162-1,"")</f>
        <v/>
      </c>
      <c r="DO1161" s="65">
        <f>IFERROR($M1161/$M1162-1,"")</f>
        <v/>
      </c>
      <c r="DP1161" s="65">
        <f>IFERROR($AZ1161/$AZ1162-1,"")</f>
        <v/>
      </c>
      <c r="DQ1161" s="65">
        <f>IFERROR($BA1161/$BA1162-1,"")</f>
        <v/>
      </c>
      <c r="DR1161" s="64">
        <f>$O1161-$O1162</f>
        <v/>
      </c>
      <c r="DS1161" s="64">
        <f>$P1161-$P1162</f>
        <v/>
      </c>
      <c r="DT1161" s="64">
        <f>$Q1161-$Q1162</f>
        <v/>
      </c>
      <c r="DU1161" s="64">
        <f>$S1161-$S1162</f>
        <v/>
      </c>
      <c r="DV1161" s="65">
        <f>IFERROR(AVERAGE($AA1162/$AA1161-1,$AB1162/$AB1161-1,$AC1162/$AC1161-1,$AD1162/$AD1161-1,$AE1162/$AE1161-1,$AG1162/$AG1161-1,$AH1162/$AH1161-1,$AI1162/$AI1161-1,$AJ1162/$AJ1161-1,$AL1162/$AL1161-1,$AM1162/$AM1161-1,$AR1162/$AR1161-1,$AS1162/$AS1161-1,$AT1162/$AT1161-1,$AU1162/$AU1161-1,$AV1162/$AV1161-1,$AW1162/$AW1161-1,$AX1162/$AX1161-1,$AY1162/$AY1161-1),"")</f>
        <v/>
      </c>
      <c r="DW1161" s="66">
        <f>AVERAGE($CB1161,$CC1161,$CD1161,$CE1161,$CF1161,$CG1161,$CH1161,$CI1161,$CJ1161,$CL1161,$CM1161,$CN1161,$CO1161,$CP1161,$CQ1161,$CR1161,$CS1161,$CT1161)</f>
        <v/>
      </c>
      <c r="DX1161" s="66">
        <f>AVERAGE($CB1161,$CC1161,$CM1161,$CE1161,$CP1161)</f>
        <v/>
      </c>
      <c r="DY1161" s="64">
        <f>($DW1161-$DW1162)*100</f>
        <v/>
      </c>
      <c r="DZ1161" s="64">
        <f>($DX1161-$DX1162)*100</f>
        <v/>
      </c>
      <c r="EA1161" s="64">
        <f>($DW1161-$D1161)*100</f>
        <v/>
      </c>
      <c r="EB1161" s="64">
        <f>$Q1161-$O1161</f>
        <v/>
      </c>
      <c r="EC1161" s="67">
        <f>IFERROR($Q1161/$P1161,"")</f>
        <v/>
      </c>
    </row>
    <row r="1162">
      <c r="DG1162" s="64">
        <f>($B1162-$B1163)*100</f>
        <v/>
      </c>
      <c r="DH1162" s="64">
        <f>($D1162-$D1163)*100</f>
        <v/>
      </c>
      <c r="DI1162" s="64">
        <f>($E1162-$E1163)*100</f>
        <v/>
      </c>
      <c r="DJ1162" s="64">
        <f>($H1162-$H1163)*100</f>
        <v/>
      </c>
      <c r="DK1162" s="65">
        <f>IFERROR($J1162/$J1163-1,"")</f>
        <v/>
      </c>
      <c r="DL1162" s="64">
        <f>$L1162-$L1163</f>
        <v/>
      </c>
      <c r="DM1162" s="64">
        <f>$K1162-$K1163</f>
        <v/>
      </c>
      <c r="DN1162" s="65">
        <f>IFERROR($N1162/$N1163-1,"")</f>
        <v/>
      </c>
      <c r="DO1162" s="65">
        <f>IFERROR($M1162/$M1163-1,"")</f>
        <v/>
      </c>
      <c r="DP1162" s="65">
        <f>IFERROR($AZ1162/$AZ1163-1,"")</f>
        <v/>
      </c>
      <c r="DQ1162" s="65">
        <f>IFERROR($BA1162/$BA1163-1,"")</f>
        <v/>
      </c>
      <c r="DR1162" s="64">
        <f>$O1162-$O1163</f>
        <v/>
      </c>
      <c r="DS1162" s="64">
        <f>$P1162-$P1163</f>
        <v/>
      </c>
      <c r="DT1162" s="64">
        <f>$Q1162-$Q1163</f>
        <v/>
      </c>
      <c r="DU1162" s="64">
        <f>$S1162-$S1163</f>
        <v/>
      </c>
      <c r="DV1162" s="65">
        <f>IFERROR(AVERAGE($AA1163/$AA1162-1,$AB1163/$AB1162-1,$AC1163/$AC1162-1,$AD1163/$AD1162-1,$AE1163/$AE1162-1,$AG1163/$AG1162-1,$AH1163/$AH1162-1,$AI1163/$AI1162-1,$AJ1163/$AJ1162-1,$AL1163/$AL1162-1,$AM1163/$AM1162-1,$AR1163/$AR1162-1,$AS1163/$AS1162-1,$AT1163/$AT1162-1,$AU1163/$AU1162-1,$AV1163/$AV1162-1,$AW1163/$AW1162-1,$AX1163/$AX1162-1,$AY1163/$AY1162-1),"")</f>
        <v/>
      </c>
      <c r="DW1162" s="66">
        <f>AVERAGE($CB1162,$CC1162,$CD1162,$CE1162,$CF1162,$CG1162,$CH1162,$CI1162,$CJ1162,$CL1162,$CM1162,$CN1162,$CO1162,$CP1162,$CQ1162,$CR1162,$CS1162,$CT1162)</f>
        <v/>
      </c>
      <c r="DX1162" s="66">
        <f>AVERAGE($CB1162,$CC1162,$CM1162,$CE1162,$CP1162)</f>
        <v/>
      </c>
      <c r="DY1162" s="64">
        <f>($DW1162-$DW1163)*100</f>
        <v/>
      </c>
      <c r="DZ1162" s="64">
        <f>($DX1162-$DX1163)*100</f>
        <v/>
      </c>
      <c r="EA1162" s="64">
        <f>($DW1162-$D1162)*100</f>
        <v/>
      </c>
      <c r="EB1162" s="64">
        <f>$Q1162-$O1162</f>
        <v/>
      </c>
      <c r="EC1162" s="67">
        <f>IFERROR($Q1162/$P1162,"")</f>
        <v/>
      </c>
    </row>
    <row r="1163">
      <c r="DG1163" s="64">
        <f>($B1163-$B1164)*100</f>
        <v/>
      </c>
      <c r="DH1163" s="64">
        <f>($D1163-$D1164)*100</f>
        <v/>
      </c>
      <c r="DI1163" s="64">
        <f>($E1163-$E1164)*100</f>
        <v/>
      </c>
      <c r="DJ1163" s="64">
        <f>($H1163-$H1164)*100</f>
        <v/>
      </c>
      <c r="DK1163" s="65">
        <f>IFERROR($J1163/$J1164-1,"")</f>
        <v/>
      </c>
      <c r="DL1163" s="64">
        <f>$L1163-$L1164</f>
        <v/>
      </c>
      <c r="DM1163" s="64">
        <f>$K1163-$K1164</f>
        <v/>
      </c>
      <c r="DN1163" s="65">
        <f>IFERROR($N1163/$N1164-1,"")</f>
        <v/>
      </c>
      <c r="DO1163" s="65">
        <f>IFERROR($M1163/$M1164-1,"")</f>
        <v/>
      </c>
      <c r="DP1163" s="65">
        <f>IFERROR($AZ1163/$AZ1164-1,"")</f>
        <v/>
      </c>
      <c r="DQ1163" s="65">
        <f>IFERROR($BA1163/$BA1164-1,"")</f>
        <v/>
      </c>
      <c r="DR1163" s="64">
        <f>$O1163-$O1164</f>
        <v/>
      </c>
      <c r="DS1163" s="64">
        <f>$P1163-$P1164</f>
        <v/>
      </c>
      <c r="DT1163" s="64">
        <f>$Q1163-$Q1164</f>
        <v/>
      </c>
      <c r="DU1163" s="64">
        <f>$S1163-$S1164</f>
        <v/>
      </c>
      <c r="DV1163" s="65">
        <f>IFERROR(AVERAGE($AA1164/$AA1163-1,$AB1164/$AB1163-1,$AC1164/$AC1163-1,$AD1164/$AD1163-1,$AE1164/$AE1163-1,$AG1164/$AG1163-1,$AH1164/$AH1163-1,$AI1164/$AI1163-1,$AJ1164/$AJ1163-1,$AL1164/$AL1163-1,$AM1164/$AM1163-1,$AR1164/$AR1163-1,$AS1164/$AS1163-1,$AT1164/$AT1163-1,$AU1164/$AU1163-1,$AV1164/$AV1163-1,$AW1164/$AW1163-1,$AX1164/$AX1163-1,$AY1164/$AY1163-1),"")</f>
        <v/>
      </c>
      <c r="DW1163" s="66">
        <f>AVERAGE($CB1163,$CC1163,$CD1163,$CE1163,$CF1163,$CG1163,$CH1163,$CI1163,$CJ1163,$CL1163,$CM1163,$CN1163,$CO1163,$CP1163,$CQ1163,$CR1163,$CS1163,$CT1163)</f>
        <v/>
      </c>
      <c r="DX1163" s="66">
        <f>AVERAGE($CB1163,$CC1163,$CM1163,$CE1163,$CP1163)</f>
        <v/>
      </c>
      <c r="DY1163" s="64">
        <f>($DW1163-$DW1164)*100</f>
        <v/>
      </c>
      <c r="DZ1163" s="64">
        <f>($DX1163-$DX1164)*100</f>
        <v/>
      </c>
      <c r="EA1163" s="64">
        <f>($DW1163-$D1163)*100</f>
        <v/>
      </c>
      <c r="EB1163" s="64">
        <f>$Q1163-$O1163</f>
        <v/>
      </c>
      <c r="EC1163" s="67">
        <f>IFERROR($Q1163/$P1163,"")</f>
        <v/>
      </c>
    </row>
    <row r="1164">
      <c r="DG1164" s="64">
        <f>($B1164-$B1165)*100</f>
        <v/>
      </c>
      <c r="DH1164" s="64">
        <f>($D1164-$D1165)*100</f>
        <v/>
      </c>
      <c r="DI1164" s="64">
        <f>($E1164-$E1165)*100</f>
        <v/>
      </c>
      <c r="DJ1164" s="64">
        <f>($H1164-$H1165)*100</f>
        <v/>
      </c>
      <c r="DK1164" s="65">
        <f>IFERROR($J1164/$J1165-1,"")</f>
        <v/>
      </c>
      <c r="DL1164" s="64">
        <f>$L1164-$L1165</f>
        <v/>
      </c>
      <c r="DM1164" s="64">
        <f>$K1164-$K1165</f>
        <v/>
      </c>
      <c r="DN1164" s="65">
        <f>IFERROR($N1164/$N1165-1,"")</f>
        <v/>
      </c>
      <c r="DO1164" s="65">
        <f>IFERROR($M1164/$M1165-1,"")</f>
        <v/>
      </c>
      <c r="DP1164" s="65">
        <f>IFERROR($AZ1164/$AZ1165-1,"")</f>
        <v/>
      </c>
      <c r="DQ1164" s="65">
        <f>IFERROR($BA1164/$BA1165-1,"")</f>
        <v/>
      </c>
      <c r="DR1164" s="64">
        <f>$O1164-$O1165</f>
        <v/>
      </c>
      <c r="DS1164" s="64">
        <f>$P1164-$P1165</f>
        <v/>
      </c>
      <c r="DT1164" s="64">
        <f>$Q1164-$Q1165</f>
        <v/>
      </c>
      <c r="DU1164" s="64">
        <f>$S1164-$S1165</f>
        <v/>
      </c>
      <c r="DV1164" s="65">
        <f>IFERROR(AVERAGE($AA1165/$AA1164-1,$AB1165/$AB1164-1,$AC1165/$AC1164-1,$AD1165/$AD1164-1,$AE1165/$AE1164-1,$AG1165/$AG1164-1,$AH1165/$AH1164-1,$AI1165/$AI1164-1,$AJ1165/$AJ1164-1,$AL1165/$AL1164-1,$AM1165/$AM1164-1,$AR1165/$AR1164-1,$AS1165/$AS1164-1,$AT1165/$AT1164-1,$AU1165/$AU1164-1,$AV1165/$AV1164-1,$AW1165/$AW1164-1,$AX1165/$AX1164-1,$AY1165/$AY1164-1),"")</f>
        <v/>
      </c>
      <c r="DW1164" s="66">
        <f>AVERAGE($CB1164,$CC1164,$CD1164,$CE1164,$CF1164,$CG1164,$CH1164,$CI1164,$CJ1164,$CL1164,$CM1164,$CN1164,$CO1164,$CP1164,$CQ1164,$CR1164,$CS1164,$CT1164)</f>
        <v/>
      </c>
      <c r="DX1164" s="66">
        <f>AVERAGE($CB1164,$CC1164,$CM1164,$CE1164,$CP1164)</f>
        <v/>
      </c>
      <c r="DY1164" s="64">
        <f>($DW1164-$DW1165)*100</f>
        <v/>
      </c>
      <c r="DZ1164" s="64">
        <f>($DX1164-$DX1165)*100</f>
        <v/>
      </c>
      <c r="EA1164" s="64">
        <f>($DW1164-$D1164)*100</f>
        <v/>
      </c>
      <c r="EB1164" s="64">
        <f>$Q1164-$O1164</f>
        <v/>
      </c>
      <c r="EC1164" s="67">
        <f>IFERROR($Q1164/$P1164,"")</f>
        <v/>
      </c>
    </row>
    <row r="1165">
      <c r="DG1165" s="64">
        <f>($B1165-$B1166)*100</f>
        <v/>
      </c>
      <c r="DH1165" s="64">
        <f>($D1165-$D1166)*100</f>
        <v/>
      </c>
      <c r="DI1165" s="64">
        <f>($E1165-$E1166)*100</f>
        <v/>
      </c>
      <c r="DJ1165" s="64">
        <f>($H1165-$H1166)*100</f>
        <v/>
      </c>
      <c r="DK1165" s="65">
        <f>IFERROR($J1165/$J1166-1,"")</f>
        <v/>
      </c>
      <c r="DL1165" s="64">
        <f>$L1165-$L1166</f>
        <v/>
      </c>
      <c r="DM1165" s="64">
        <f>$K1165-$K1166</f>
        <v/>
      </c>
      <c r="DN1165" s="65">
        <f>IFERROR($N1165/$N1166-1,"")</f>
        <v/>
      </c>
      <c r="DO1165" s="65">
        <f>IFERROR($M1165/$M1166-1,"")</f>
        <v/>
      </c>
      <c r="DP1165" s="65">
        <f>IFERROR($AZ1165/$AZ1166-1,"")</f>
        <v/>
      </c>
      <c r="DQ1165" s="65">
        <f>IFERROR($BA1165/$BA1166-1,"")</f>
        <v/>
      </c>
      <c r="DR1165" s="64">
        <f>$O1165-$O1166</f>
        <v/>
      </c>
      <c r="DS1165" s="64">
        <f>$P1165-$P1166</f>
        <v/>
      </c>
      <c r="DT1165" s="64">
        <f>$Q1165-$Q1166</f>
        <v/>
      </c>
      <c r="DU1165" s="64">
        <f>$S1165-$S1166</f>
        <v/>
      </c>
      <c r="DV1165" s="65">
        <f>IFERROR(AVERAGE($AA1166/$AA1165-1,$AB1166/$AB1165-1,$AC1166/$AC1165-1,$AD1166/$AD1165-1,$AE1166/$AE1165-1,$AG1166/$AG1165-1,$AH1166/$AH1165-1,$AI1166/$AI1165-1,$AJ1166/$AJ1165-1,$AL1166/$AL1165-1,$AM1166/$AM1165-1,$AR1166/$AR1165-1,$AS1166/$AS1165-1,$AT1166/$AT1165-1,$AU1166/$AU1165-1,$AV1166/$AV1165-1,$AW1166/$AW1165-1,$AX1166/$AX1165-1,$AY1166/$AY1165-1),"")</f>
        <v/>
      </c>
      <c r="DW1165" s="66">
        <f>AVERAGE($CB1165,$CC1165,$CD1165,$CE1165,$CF1165,$CG1165,$CH1165,$CI1165,$CJ1165,$CL1165,$CM1165,$CN1165,$CO1165,$CP1165,$CQ1165,$CR1165,$CS1165,$CT1165)</f>
        <v/>
      </c>
      <c r="DX1165" s="66">
        <f>AVERAGE($CB1165,$CC1165,$CM1165,$CE1165,$CP1165)</f>
        <v/>
      </c>
      <c r="DY1165" s="64">
        <f>($DW1165-$DW1166)*100</f>
        <v/>
      </c>
      <c r="DZ1165" s="64">
        <f>($DX1165-$DX1166)*100</f>
        <v/>
      </c>
      <c r="EA1165" s="64">
        <f>($DW1165-$D1165)*100</f>
        <v/>
      </c>
      <c r="EB1165" s="64">
        <f>$Q1165-$O1165</f>
        <v/>
      </c>
      <c r="EC1165" s="67">
        <f>IFERROR($Q1165/$P1165,"")</f>
        <v/>
      </c>
    </row>
    <row r="1166">
      <c r="DG1166" s="64">
        <f>($B1166-$B1167)*100</f>
        <v/>
      </c>
      <c r="DH1166" s="64">
        <f>($D1166-$D1167)*100</f>
        <v/>
      </c>
      <c r="DI1166" s="64">
        <f>($E1166-$E1167)*100</f>
        <v/>
      </c>
      <c r="DJ1166" s="64">
        <f>($H1166-$H1167)*100</f>
        <v/>
      </c>
      <c r="DK1166" s="65">
        <f>IFERROR($J1166/$J1167-1,"")</f>
        <v/>
      </c>
      <c r="DL1166" s="64">
        <f>$L1166-$L1167</f>
        <v/>
      </c>
      <c r="DM1166" s="64">
        <f>$K1166-$K1167</f>
        <v/>
      </c>
      <c r="DN1166" s="65">
        <f>IFERROR($N1166/$N1167-1,"")</f>
        <v/>
      </c>
      <c r="DO1166" s="65">
        <f>IFERROR($M1166/$M1167-1,"")</f>
        <v/>
      </c>
      <c r="DP1166" s="65">
        <f>IFERROR($AZ1166/$AZ1167-1,"")</f>
        <v/>
      </c>
      <c r="DQ1166" s="65">
        <f>IFERROR($BA1166/$BA1167-1,"")</f>
        <v/>
      </c>
      <c r="DR1166" s="64">
        <f>$O1166-$O1167</f>
        <v/>
      </c>
      <c r="DS1166" s="64">
        <f>$P1166-$P1167</f>
        <v/>
      </c>
      <c r="DT1166" s="64">
        <f>$Q1166-$Q1167</f>
        <v/>
      </c>
      <c r="DU1166" s="64">
        <f>$S1166-$S1167</f>
        <v/>
      </c>
      <c r="DV1166" s="65">
        <f>IFERROR(AVERAGE($AA1167/$AA1166-1,$AB1167/$AB1166-1,$AC1167/$AC1166-1,$AD1167/$AD1166-1,$AE1167/$AE1166-1,$AG1167/$AG1166-1,$AH1167/$AH1166-1,$AI1167/$AI1166-1,$AJ1167/$AJ1166-1,$AL1167/$AL1166-1,$AM1167/$AM1166-1,$AR1167/$AR1166-1,$AS1167/$AS1166-1,$AT1167/$AT1166-1,$AU1167/$AU1166-1,$AV1167/$AV1166-1,$AW1167/$AW1166-1,$AX1167/$AX1166-1,$AY1167/$AY1166-1),"")</f>
        <v/>
      </c>
      <c r="DW1166" s="66">
        <f>AVERAGE($CB1166,$CC1166,$CD1166,$CE1166,$CF1166,$CG1166,$CH1166,$CI1166,$CJ1166,$CL1166,$CM1166,$CN1166,$CO1166,$CP1166,$CQ1166,$CR1166,$CS1166,$CT1166)</f>
        <v/>
      </c>
      <c r="DX1166" s="66">
        <f>AVERAGE($CB1166,$CC1166,$CM1166,$CE1166,$CP1166)</f>
        <v/>
      </c>
      <c r="DY1166" s="64">
        <f>($DW1166-$DW1167)*100</f>
        <v/>
      </c>
      <c r="DZ1166" s="64">
        <f>($DX1166-$DX1167)*100</f>
        <v/>
      </c>
      <c r="EA1166" s="64">
        <f>($DW1166-$D1166)*100</f>
        <v/>
      </c>
      <c r="EB1166" s="64">
        <f>$Q1166-$O1166</f>
        <v/>
      </c>
      <c r="EC1166" s="67">
        <f>IFERROR($Q1166/$P1166,"")</f>
        <v/>
      </c>
    </row>
    <row r="1167">
      <c r="DG1167" s="64">
        <f>($B1167-$B1168)*100</f>
        <v/>
      </c>
      <c r="DH1167" s="64">
        <f>($D1167-$D1168)*100</f>
        <v/>
      </c>
      <c r="DI1167" s="64">
        <f>($E1167-$E1168)*100</f>
        <v/>
      </c>
      <c r="DJ1167" s="64">
        <f>($H1167-$H1168)*100</f>
        <v/>
      </c>
      <c r="DK1167" s="65">
        <f>IFERROR($J1167/$J1168-1,"")</f>
        <v/>
      </c>
      <c r="DL1167" s="64">
        <f>$L1167-$L1168</f>
        <v/>
      </c>
      <c r="DM1167" s="64">
        <f>$K1167-$K1168</f>
        <v/>
      </c>
      <c r="DN1167" s="65">
        <f>IFERROR($N1167/$N1168-1,"")</f>
        <v/>
      </c>
      <c r="DO1167" s="65">
        <f>IFERROR($M1167/$M1168-1,"")</f>
        <v/>
      </c>
      <c r="DP1167" s="65">
        <f>IFERROR($AZ1167/$AZ1168-1,"")</f>
        <v/>
      </c>
      <c r="DQ1167" s="65">
        <f>IFERROR($BA1167/$BA1168-1,"")</f>
        <v/>
      </c>
      <c r="DR1167" s="64">
        <f>$O1167-$O1168</f>
        <v/>
      </c>
      <c r="DS1167" s="64">
        <f>$P1167-$P1168</f>
        <v/>
      </c>
      <c r="DT1167" s="64">
        <f>$Q1167-$Q1168</f>
        <v/>
      </c>
      <c r="DU1167" s="64">
        <f>$S1167-$S1168</f>
        <v/>
      </c>
      <c r="DV1167" s="65">
        <f>IFERROR(AVERAGE($AA1168/$AA1167-1,$AB1168/$AB1167-1,$AC1168/$AC1167-1,$AD1168/$AD1167-1,$AE1168/$AE1167-1,$AG1168/$AG1167-1,$AH1168/$AH1167-1,$AI1168/$AI1167-1,$AJ1168/$AJ1167-1,$AL1168/$AL1167-1,$AM1168/$AM1167-1,$AR1168/$AR1167-1,$AS1168/$AS1167-1,$AT1168/$AT1167-1,$AU1168/$AU1167-1,$AV1168/$AV1167-1,$AW1168/$AW1167-1,$AX1168/$AX1167-1,$AY1168/$AY1167-1),"")</f>
        <v/>
      </c>
      <c r="DW1167" s="66">
        <f>AVERAGE($CB1167,$CC1167,$CD1167,$CE1167,$CF1167,$CG1167,$CH1167,$CI1167,$CJ1167,$CL1167,$CM1167,$CN1167,$CO1167,$CP1167,$CQ1167,$CR1167,$CS1167,$CT1167)</f>
        <v/>
      </c>
      <c r="DX1167" s="66">
        <f>AVERAGE($CB1167,$CC1167,$CM1167,$CE1167,$CP1167)</f>
        <v/>
      </c>
      <c r="DY1167" s="64">
        <f>($DW1167-$DW1168)*100</f>
        <v/>
      </c>
      <c r="DZ1167" s="64">
        <f>($DX1167-$DX1168)*100</f>
        <v/>
      </c>
      <c r="EA1167" s="64">
        <f>($DW1167-$D1167)*100</f>
        <v/>
      </c>
      <c r="EB1167" s="64">
        <f>$Q1167-$O1167</f>
        <v/>
      </c>
      <c r="EC1167" s="67">
        <f>IFERROR($Q1167/$P1167,"")</f>
        <v/>
      </c>
    </row>
    <row r="1168">
      <c r="DG1168" s="64">
        <f>($B1168-$B1169)*100</f>
        <v/>
      </c>
      <c r="DH1168" s="64">
        <f>($D1168-$D1169)*100</f>
        <v/>
      </c>
      <c r="DI1168" s="64">
        <f>($E1168-$E1169)*100</f>
        <v/>
      </c>
      <c r="DJ1168" s="64">
        <f>($H1168-$H1169)*100</f>
        <v/>
      </c>
      <c r="DK1168" s="65">
        <f>IFERROR($J1168/$J1169-1,"")</f>
        <v/>
      </c>
      <c r="DL1168" s="64">
        <f>$L1168-$L1169</f>
        <v/>
      </c>
      <c r="DM1168" s="64">
        <f>$K1168-$K1169</f>
        <v/>
      </c>
      <c r="DN1168" s="65">
        <f>IFERROR($N1168/$N1169-1,"")</f>
        <v/>
      </c>
      <c r="DO1168" s="65">
        <f>IFERROR($M1168/$M1169-1,"")</f>
        <v/>
      </c>
      <c r="DP1168" s="65">
        <f>IFERROR($AZ1168/$AZ1169-1,"")</f>
        <v/>
      </c>
      <c r="DQ1168" s="65">
        <f>IFERROR($BA1168/$BA1169-1,"")</f>
        <v/>
      </c>
      <c r="DR1168" s="64">
        <f>$O1168-$O1169</f>
        <v/>
      </c>
      <c r="DS1168" s="64">
        <f>$P1168-$P1169</f>
        <v/>
      </c>
      <c r="DT1168" s="64">
        <f>$Q1168-$Q1169</f>
        <v/>
      </c>
      <c r="DU1168" s="64">
        <f>$S1168-$S1169</f>
        <v/>
      </c>
      <c r="DV1168" s="65">
        <f>IFERROR(AVERAGE($AA1169/$AA1168-1,$AB1169/$AB1168-1,$AC1169/$AC1168-1,$AD1169/$AD1168-1,$AE1169/$AE1168-1,$AG1169/$AG1168-1,$AH1169/$AH1168-1,$AI1169/$AI1168-1,$AJ1169/$AJ1168-1,$AL1169/$AL1168-1,$AM1169/$AM1168-1,$AR1169/$AR1168-1,$AS1169/$AS1168-1,$AT1169/$AT1168-1,$AU1169/$AU1168-1,$AV1169/$AV1168-1,$AW1169/$AW1168-1,$AX1169/$AX1168-1,$AY1169/$AY1168-1),"")</f>
        <v/>
      </c>
      <c r="DW1168" s="66">
        <f>AVERAGE($CB1168,$CC1168,$CD1168,$CE1168,$CF1168,$CG1168,$CH1168,$CI1168,$CJ1168,$CL1168,$CM1168,$CN1168,$CO1168,$CP1168,$CQ1168,$CR1168,$CS1168,$CT1168)</f>
        <v/>
      </c>
      <c r="DX1168" s="66">
        <f>AVERAGE($CB1168,$CC1168,$CM1168,$CE1168,$CP1168)</f>
        <v/>
      </c>
      <c r="DY1168" s="64">
        <f>($DW1168-$DW1169)*100</f>
        <v/>
      </c>
      <c r="DZ1168" s="64">
        <f>($DX1168-$DX1169)*100</f>
        <v/>
      </c>
      <c r="EA1168" s="64">
        <f>($DW1168-$D1168)*100</f>
        <v/>
      </c>
      <c r="EB1168" s="64">
        <f>$Q1168-$O1168</f>
        <v/>
      </c>
      <c r="EC1168" s="67">
        <f>IFERROR($Q1168/$P1168,"")</f>
        <v/>
      </c>
    </row>
    <row r="1169">
      <c r="DG1169" s="64">
        <f>($B1169-$B1170)*100</f>
        <v/>
      </c>
      <c r="DH1169" s="64">
        <f>($D1169-$D1170)*100</f>
        <v/>
      </c>
      <c r="DI1169" s="64">
        <f>($E1169-$E1170)*100</f>
        <v/>
      </c>
      <c r="DJ1169" s="64">
        <f>($H1169-$H1170)*100</f>
        <v/>
      </c>
      <c r="DK1169" s="65">
        <f>IFERROR($J1169/$J1170-1,"")</f>
        <v/>
      </c>
      <c r="DL1169" s="64">
        <f>$L1169-$L1170</f>
        <v/>
      </c>
      <c r="DM1169" s="64">
        <f>$K1169-$K1170</f>
        <v/>
      </c>
      <c r="DN1169" s="65">
        <f>IFERROR($N1169/$N1170-1,"")</f>
        <v/>
      </c>
      <c r="DO1169" s="65">
        <f>IFERROR($M1169/$M1170-1,"")</f>
        <v/>
      </c>
      <c r="DP1169" s="65">
        <f>IFERROR($AZ1169/$AZ1170-1,"")</f>
        <v/>
      </c>
      <c r="DQ1169" s="65">
        <f>IFERROR($BA1169/$BA1170-1,"")</f>
        <v/>
      </c>
      <c r="DR1169" s="64">
        <f>$O1169-$O1170</f>
        <v/>
      </c>
      <c r="DS1169" s="64">
        <f>$P1169-$P1170</f>
        <v/>
      </c>
      <c r="DT1169" s="64">
        <f>$Q1169-$Q1170</f>
        <v/>
      </c>
      <c r="DU1169" s="64">
        <f>$S1169-$S1170</f>
        <v/>
      </c>
      <c r="DV1169" s="65">
        <f>IFERROR(AVERAGE($AA1170/$AA1169-1,$AB1170/$AB1169-1,$AC1170/$AC1169-1,$AD1170/$AD1169-1,$AE1170/$AE1169-1,$AG1170/$AG1169-1,$AH1170/$AH1169-1,$AI1170/$AI1169-1,$AJ1170/$AJ1169-1,$AL1170/$AL1169-1,$AM1170/$AM1169-1,$AR1170/$AR1169-1,$AS1170/$AS1169-1,$AT1170/$AT1169-1,$AU1170/$AU1169-1,$AV1170/$AV1169-1,$AW1170/$AW1169-1,$AX1170/$AX1169-1,$AY1170/$AY1169-1),"")</f>
        <v/>
      </c>
      <c r="DW1169" s="66">
        <f>AVERAGE($CB1169,$CC1169,$CD1169,$CE1169,$CF1169,$CG1169,$CH1169,$CI1169,$CJ1169,$CL1169,$CM1169,$CN1169,$CO1169,$CP1169,$CQ1169,$CR1169,$CS1169,$CT1169)</f>
        <v/>
      </c>
      <c r="DX1169" s="66">
        <f>AVERAGE($CB1169,$CC1169,$CM1169,$CE1169,$CP1169)</f>
        <v/>
      </c>
      <c r="DY1169" s="64">
        <f>($DW1169-$DW1170)*100</f>
        <v/>
      </c>
      <c r="DZ1169" s="64">
        <f>($DX1169-$DX1170)*100</f>
        <v/>
      </c>
      <c r="EA1169" s="64">
        <f>($DW1169-$D1169)*100</f>
        <v/>
      </c>
      <c r="EB1169" s="64">
        <f>$Q1169-$O1169</f>
        <v/>
      </c>
      <c r="EC1169" s="67">
        <f>IFERROR($Q1169/$P1169,"")</f>
        <v/>
      </c>
    </row>
    <row r="1170">
      <c r="DG1170" s="64">
        <f>($B1170-$B1171)*100</f>
        <v/>
      </c>
      <c r="DH1170" s="64">
        <f>($D1170-$D1171)*100</f>
        <v/>
      </c>
      <c r="DI1170" s="64">
        <f>($E1170-$E1171)*100</f>
        <v/>
      </c>
      <c r="DJ1170" s="64">
        <f>($H1170-$H1171)*100</f>
        <v/>
      </c>
      <c r="DK1170" s="65">
        <f>IFERROR($J1170/$J1171-1,"")</f>
        <v/>
      </c>
      <c r="DL1170" s="64">
        <f>$L1170-$L1171</f>
        <v/>
      </c>
      <c r="DM1170" s="64">
        <f>$K1170-$K1171</f>
        <v/>
      </c>
      <c r="DN1170" s="65">
        <f>IFERROR($N1170/$N1171-1,"")</f>
        <v/>
      </c>
      <c r="DO1170" s="65">
        <f>IFERROR($M1170/$M1171-1,"")</f>
        <v/>
      </c>
      <c r="DP1170" s="65">
        <f>IFERROR($AZ1170/$AZ1171-1,"")</f>
        <v/>
      </c>
      <c r="DQ1170" s="65">
        <f>IFERROR($BA1170/$BA1171-1,"")</f>
        <v/>
      </c>
      <c r="DR1170" s="64">
        <f>$O1170-$O1171</f>
        <v/>
      </c>
      <c r="DS1170" s="64">
        <f>$P1170-$P1171</f>
        <v/>
      </c>
      <c r="DT1170" s="64">
        <f>$Q1170-$Q1171</f>
        <v/>
      </c>
      <c r="DU1170" s="64">
        <f>$S1170-$S1171</f>
        <v/>
      </c>
      <c r="DV1170" s="65">
        <f>IFERROR(AVERAGE($AA1171/$AA1170-1,$AB1171/$AB1170-1,$AC1171/$AC1170-1,$AD1171/$AD1170-1,$AE1171/$AE1170-1,$AG1171/$AG1170-1,$AH1171/$AH1170-1,$AI1171/$AI1170-1,$AJ1171/$AJ1170-1,$AL1171/$AL1170-1,$AM1171/$AM1170-1,$AR1171/$AR1170-1,$AS1171/$AS1170-1,$AT1171/$AT1170-1,$AU1171/$AU1170-1,$AV1171/$AV1170-1,$AW1171/$AW1170-1,$AX1171/$AX1170-1,$AY1171/$AY1170-1),"")</f>
        <v/>
      </c>
      <c r="DW1170" s="66">
        <f>AVERAGE($CB1170,$CC1170,$CD1170,$CE1170,$CF1170,$CG1170,$CH1170,$CI1170,$CJ1170,$CL1170,$CM1170,$CN1170,$CO1170,$CP1170,$CQ1170,$CR1170,$CS1170,$CT1170)</f>
        <v/>
      </c>
      <c r="DX1170" s="66">
        <f>AVERAGE($CB1170,$CC1170,$CM1170,$CE1170,$CP1170)</f>
        <v/>
      </c>
      <c r="DY1170" s="64">
        <f>($DW1170-$DW1171)*100</f>
        <v/>
      </c>
      <c r="DZ1170" s="64">
        <f>($DX1170-$DX1171)*100</f>
        <v/>
      </c>
      <c r="EA1170" s="64">
        <f>($DW1170-$D1170)*100</f>
        <v/>
      </c>
      <c r="EB1170" s="64">
        <f>$Q1170-$O1170</f>
        <v/>
      </c>
      <c r="EC1170" s="67">
        <f>IFERROR($Q1170/$P1170,"")</f>
        <v/>
      </c>
    </row>
    <row r="1171">
      <c r="DG1171" s="64">
        <f>($B1171-$B1172)*100</f>
        <v/>
      </c>
      <c r="DH1171" s="64">
        <f>($D1171-$D1172)*100</f>
        <v/>
      </c>
      <c r="DI1171" s="64">
        <f>($E1171-$E1172)*100</f>
        <v/>
      </c>
      <c r="DJ1171" s="64">
        <f>($H1171-$H1172)*100</f>
        <v/>
      </c>
      <c r="DK1171" s="65">
        <f>IFERROR($J1171/$J1172-1,"")</f>
        <v/>
      </c>
      <c r="DL1171" s="64">
        <f>$L1171-$L1172</f>
        <v/>
      </c>
      <c r="DM1171" s="64">
        <f>$K1171-$K1172</f>
        <v/>
      </c>
      <c r="DN1171" s="65">
        <f>IFERROR($N1171/$N1172-1,"")</f>
        <v/>
      </c>
      <c r="DO1171" s="65">
        <f>IFERROR($M1171/$M1172-1,"")</f>
        <v/>
      </c>
      <c r="DP1171" s="65">
        <f>IFERROR($AZ1171/$AZ1172-1,"")</f>
        <v/>
      </c>
      <c r="DQ1171" s="65">
        <f>IFERROR($BA1171/$BA1172-1,"")</f>
        <v/>
      </c>
      <c r="DR1171" s="64">
        <f>$O1171-$O1172</f>
        <v/>
      </c>
      <c r="DS1171" s="64">
        <f>$P1171-$P1172</f>
        <v/>
      </c>
      <c r="DT1171" s="64">
        <f>$Q1171-$Q1172</f>
        <v/>
      </c>
      <c r="DU1171" s="64">
        <f>$S1171-$S1172</f>
        <v/>
      </c>
      <c r="DV1171" s="65">
        <f>IFERROR(AVERAGE($AA1172/$AA1171-1,$AB1172/$AB1171-1,$AC1172/$AC1171-1,$AD1172/$AD1171-1,$AE1172/$AE1171-1,$AG1172/$AG1171-1,$AH1172/$AH1171-1,$AI1172/$AI1171-1,$AJ1172/$AJ1171-1,$AL1172/$AL1171-1,$AM1172/$AM1171-1,$AR1172/$AR1171-1,$AS1172/$AS1171-1,$AT1172/$AT1171-1,$AU1172/$AU1171-1,$AV1172/$AV1171-1,$AW1172/$AW1171-1,$AX1172/$AX1171-1,$AY1172/$AY1171-1),"")</f>
        <v/>
      </c>
      <c r="DW1171" s="66">
        <f>AVERAGE($CB1171,$CC1171,$CD1171,$CE1171,$CF1171,$CG1171,$CH1171,$CI1171,$CJ1171,$CL1171,$CM1171,$CN1171,$CO1171,$CP1171,$CQ1171,$CR1171,$CS1171,$CT1171)</f>
        <v/>
      </c>
      <c r="DX1171" s="66">
        <f>AVERAGE($CB1171,$CC1171,$CM1171,$CE1171,$CP1171)</f>
        <v/>
      </c>
      <c r="DY1171" s="64">
        <f>($DW1171-$DW1172)*100</f>
        <v/>
      </c>
      <c r="DZ1171" s="64">
        <f>($DX1171-$DX1172)*100</f>
        <v/>
      </c>
      <c r="EA1171" s="64">
        <f>($DW1171-$D1171)*100</f>
        <v/>
      </c>
      <c r="EB1171" s="64">
        <f>$Q1171-$O1171</f>
        <v/>
      </c>
      <c r="EC1171" s="67">
        <f>IFERROR($Q1171/$P1171,"")</f>
        <v/>
      </c>
    </row>
    <row r="1172">
      <c r="DG1172" s="64">
        <f>($B1172-$B1173)*100</f>
        <v/>
      </c>
      <c r="DH1172" s="64">
        <f>($D1172-$D1173)*100</f>
        <v/>
      </c>
      <c r="DI1172" s="64">
        <f>($E1172-$E1173)*100</f>
        <v/>
      </c>
      <c r="DJ1172" s="64">
        <f>($H1172-$H1173)*100</f>
        <v/>
      </c>
      <c r="DK1172" s="65">
        <f>IFERROR($J1172/$J1173-1,"")</f>
        <v/>
      </c>
      <c r="DL1172" s="64">
        <f>$L1172-$L1173</f>
        <v/>
      </c>
      <c r="DM1172" s="64">
        <f>$K1172-$K1173</f>
        <v/>
      </c>
      <c r="DN1172" s="65">
        <f>IFERROR($N1172/$N1173-1,"")</f>
        <v/>
      </c>
      <c r="DO1172" s="65">
        <f>IFERROR($M1172/$M1173-1,"")</f>
        <v/>
      </c>
      <c r="DP1172" s="65">
        <f>IFERROR($AZ1172/$AZ1173-1,"")</f>
        <v/>
      </c>
      <c r="DQ1172" s="65">
        <f>IFERROR($BA1172/$BA1173-1,"")</f>
        <v/>
      </c>
      <c r="DR1172" s="64">
        <f>$O1172-$O1173</f>
        <v/>
      </c>
      <c r="DS1172" s="64">
        <f>$P1172-$P1173</f>
        <v/>
      </c>
      <c r="DT1172" s="64">
        <f>$Q1172-$Q1173</f>
        <v/>
      </c>
      <c r="DU1172" s="64">
        <f>$S1172-$S1173</f>
        <v/>
      </c>
      <c r="DV1172" s="65">
        <f>IFERROR(AVERAGE($AA1173/$AA1172-1,$AB1173/$AB1172-1,$AC1173/$AC1172-1,$AD1173/$AD1172-1,$AE1173/$AE1172-1,$AG1173/$AG1172-1,$AH1173/$AH1172-1,$AI1173/$AI1172-1,$AJ1173/$AJ1172-1,$AL1173/$AL1172-1,$AM1173/$AM1172-1,$AR1173/$AR1172-1,$AS1173/$AS1172-1,$AT1173/$AT1172-1,$AU1173/$AU1172-1,$AV1173/$AV1172-1,$AW1173/$AW1172-1,$AX1173/$AX1172-1,$AY1173/$AY1172-1),"")</f>
        <v/>
      </c>
      <c r="DW1172" s="66">
        <f>AVERAGE($CB1172,$CC1172,$CD1172,$CE1172,$CF1172,$CG1172,$CH1172,$CI1172,$CJ1172,$CL1172,$CM1172,$CN1172,$CO1172,$CP1172,$CQ1172,$CR1172,$CS1172,$CT1172)</f>
        <v/>
      </c>
      <c r="DX1172" s="66">
        <f>AVERAGE($CB1172,$CC1172,$CM1172,$CE1172,$CP1172)</f>
        <v/>
      </c>
      <c r="DY1172" s="64">
        <f>($DW1172-$DW1173)*100</f>
        <v/>
      </c>
      <c r="DZ1172" s="64">
        <f>($DX1172-$DX1173)*100</f>
        <v/>
      </c>
      <c r="EA1172" s="64">
        <f>($DW1172-$D1172)*100</f>
        <v/>
      </c>
      <c r="EB1172" s="64">
        <f>$Q1172-$O1172</f>
        <v/>
      </c>
      <c r="EC1172" s="67">
        <f>IFERROR($Q1172/$P1172,"")</f>
        <v/>
      </c>
    </row>
    <row r="1173">
      <c r="DG1173" s="64">
        <f>($B1173-$B1174)*100</f>
        <v/>
      </c>
      <c r="DH1173" s="64">
        <f>($D1173-$D1174)*100</f>
        <v/>
      </c>
      <c r="DI1173" s="64">
        <f>($E1173-$E1174)*100</f>
        <v/>
      </c>
      <c r="DJ1173" s="64">
        <f>($H1173-$H1174)*100</f>
        <v/>
      </c>
      <c r="DK1173" s="65">
        <f>IFERROR($J1173/$J1174-1,"")</f>
        <v/>
      </c>
      <c r="DL1173" s="64">
        <f>$L1173-$L1174</f>
        <v/>
      </c>
      <c r="DM1173" s="64">
        <f>$K1173-$K1174</f>
        <v/>
      </c>
      <c r="DN1173" s="65">
        <f>IFERROR($N1173/$N1174-1,"")</f>
        <v/>
      </c>
      <c r="DO1173" s="65">
        <f>IFERROR($M1173/$M1174-1,"")</f>
        <v/>
      </c>
      <c r="DP1173" s="65">
        <f>IFERROR($AZ1173/$AZ1174-1,"")</f>
        <v/>
      </c>
      <c r="DQ1173" s="65">
        <f>IFERROR($BA1173/$BA1174-1,"")</f>
        <v/>
      </c>
      <c r="DR1173" s="64">
        <f>$O1173-$O1174</f>
        <v/>
      </c>
      <c r="DS1173" s="64">
        <f>$P1173-$P1174</f>
        <v/>
      </c>
      <c r="DT1173" s="64">
        <f>$Q1173-$Q1174</f>
        <v/>
      </c>
      <c r="DU1173" s="64">
        <f>$S1173-$S1174</f>
        <v/>
      </c>
      <c r="DV1173" s="65">
        <f>IFERROR(AVERAGE($AA1174/$AA1173-1,$AB1174/$AB1173-1,$AC1174/$AC1173-1,$AD1174/$AD1173-1,$AE1174/$AE1173-1,$AG1174/$AG1173-1,$AH1174/$AH1173-1,$AI1174/$AI1173-1,$AJ1174/$AJ1173-1,$AL1174/$AL1173-1,$AM1174/$AM1173-1,$AR1174/$AR1173-1,$AS1174/$AS1173-1,$AT1174/$AT1173-1,$AU1174/$AU1173-1,$AV1174/$AV1173-1,$AW1174/$AW1173-1,$AX1174/$AX1173-1,$AY1174/$AY1173-1),"")</f>
        <v/>
      </c>
      <c r="DW1173" s="66">
        <f>AVERAGE($CB1173,$CC1173,$CD1173,$CE1173,$CF1173,$CG1173,$CH1173,$CI1173,$CJ1173,$CL1173,$CM1173,$CN1173,$CO1173,$CP1173,$CQ1173,$CR1173,$CS1173,$CT1173)</f>
        <v/>
      </c>
      <c r="DX1173" s="66">
        <f>AVERAGE($CB1173,$CC1173,$CM1173,$CE1173,$CP1173)</f>
        <v/>
      </c>
      <c r="DY1173" s="64">
        <f>($DW1173-$DW1174)*100</f>
        <v/>
      </c>
      <c r="DZ1173" s="64">
        <f>($DX1173-$DX1174)*100</f>
        <v/>
      </c>
      <c r="EA1173" s="64">
        <f>($DW1173-$D1173)*100</f>
        <v/>
      </c>
      <c r="EB1173" s="64">
        <f>$Q1173-$O1173</f>
        <v/>
      </c>
      <c r="EC1173" s="67">
        <f>IFERROR($Q1173/$P1173,"")</f>
        <v/>
      </c>
    </row>
    <row r="1174">
      <c r="DG1174" s="64">
        <f>($B1174-$B1175)*100</f>
        <v/>
      </c>
      <c r="DH1174" s="64">
        <f>($D1174-$D1175)*100</f>
        <v/>
      </c>
      <c r="DI1174" s="64">
        <f>($E1174-$E1175)*100</f>
        <v/>
      </c>
      <c r="DJ1174" s="64">
        <f>($H1174-$H1175)*100</f>
        <v/>
      </c>
      <c r="DK1174" s="65">
        <f>IFERROR($J1174/$J1175-1,"")</f>
        <v/>
      </c>
      <c r="DL1174" s="64">
        <f>$L1174-$L1175</f>
        <v/>
      </c>
      <c r="DM1174" s="64">
        <f>$K1174-$K1175</f>
        <v/>
      </c>
      <c r="DN1174" s="65">
        <f>IFERROR($N1174/$N1175-1,"")</f>
        <v/>
      </c>
      <c r="DO1174" s="65">
        <f>IFERROR($M1174/$M1175-1,"")</f>
        <v/>
      </c>
      <c r="DP1174" s="65">
        <f>IFERROR($AZ1174/$AZ1175-1,"")</f>
        <v/>
      </c>
      <c r="DQ1174" s="65">
        <f>IFERROR($BA1174/$BA1175-1,"")</f>
        <v/>
      </c>
      <c r="DR1174" s="64">
        <f>$O1174-$O1175</f>
        <v/>
      </c>
      <c r="DS1174" s="64">
        <f>$P1174-$P1175</f>
        <v/>
      </c>
      <c r="DT1174" s="64">
        <f>$Q1174-$Q1175</f>
        <v/>
      </c>
      <c r="DU1174" s="64">
        <f>$S1174-$S1175</f>
        <v/>
      </c>
      <c r="DV1174" s="65">
        <f>IFERROR(AVERAGE($AA1175/$AA1174-1,$AB1175/$AB1174-1,$AC1175/$AC1174-1,$AD1175/$AD1174-1,$AE1175/$AE1174-1,$AG1175/$AG1174-1,$AH1175/$AH1174-1,$AI1175/$AI1174-1,$AJ1175/$AJ1174-1,$AL1175/$AL1174-1,$AM1175/$AM1174-1,$AR1175/$AR1174-1,$AS1175/$AS1174-1,$AT1175/$AT1174-1,$AU1175/$AU1174-1,$AV1175/$AV1174-1,$AW1175/$AW1174-1,$AX1175/$AX1174-1,$AY1175/$AY1174-1),"")</f>
        <v/>
      </c>
      <c r="DW1174" s="66">
        <f>AVERAGE($CB1174,$CC1174,$CD1174,$CE1174,$CF1174,$CG1174,$CH1174,$CI1174,$CJ1174,$CL1174,$CM1174,$CN1174,$CO1174,$CP1174,$CQ1174,$CR1174,$CS1174,$CT1174)</f>
        <v/>
      </c>
      <c r="DX1174" s="66">
        <f>AVERAGE($CB1174,$CC1174,$CM1174,$CE1174,$CP1174)</f>
        <v/>
      </c>
      <c r="DY1174" s="64">
        <f>($DW1174-$DW1175)*100</f>
        <v/>
      </c>
      <c r="DZ1174" s="64">
        <f>($DX1174-$DX1175)*100</f>
        <v/>
      </c>
      <c r="EA1174" s="64">
        <f>($DW1174-$D1174)*100</f>
        <v/>
      </c>
      <c r="EB1174" s="64">
        <f>$Q1174-$O1174</f>
        <v/>
      </c>
      <c r="EC1174" s="67">
        <f>IFERROR($Q1174/$P1174,"")</f>
        <v/>
      </c>
    </row>
    <row r="1175">
      <c r="DG1175" s="64">
        <f>($B1175-$B1176)*100</f>
        <v/>
      </c>
      <c r="DH1175" s="64">
        <f>($D1175-$D1176)*100</f>
        <v/>
      </c>
      <c r="DI1175" s="64">
        <f>($E1175-$E1176)*100</f>
        <v/>
      </c>
      <c r="DJ1175" s="64">
        <f>($H1175-$H1176)*100</f>
        <v/>
      </c>
      <c r="DK1175" s="65">
        <f>IFERROR($J1175/$J1176-1,"")</f>
        <v/>
      </c>
      <c r="DL1175" s="64">
        <f>$L1175-$L1176</f>
        <v/>
      </c>
      <c r="DM1175" s="64">
        <f>$K1175-$K1176</f>
        <v/>
      </c>
      <c r="DN1175" s="65">
        <f>IFERROR($N1175/$N1176-1,"")</f>
        <v/>
      </c>
      <c r="DO1175" s="65">
        <f>IFERROR($M1175/$M1176-1,"")</f>
        <v/>
      </c>
      <c r="DP1175" s="65">
        <f>IFERROR($AZ1175/$AZ1176-1,"")</f>
        <v/>
      </c>
      <c r="DQ1175" s="65">
        <f>IFERROR($BA1175/$BA1176-1,"")</f>
        <v/>
      </c>
      <c r="DR1175" s="64">
        <f>$O1175-$O1176</f>
        <v/>
      </c>
      <c r="DS1175" s="64">
        <f>$P1175-$P1176</f>
        <v/>
      </c>
      <c r="DT1175" s="64">
        <f>$Q1175-$Q1176</f>
        <v/>
      </c>
      <c r="DU1175" s="64">
        <f>$S1175-$S1176</f>
        <v/>
      </c>
      <c r="DV1175" s="65">
        <f>IFERROR(AVERAGE($AA1176/$AA1175-1,$AB1176/$AB1175-1,$AC1176/$AC1175-1,$AD1176/$AD1175-1,$AE1176/$AE1175-1,$AG1176/$AG1175-1,$AH1176/$AH1175-1,$AI1176/$AI1175-1,$AJ1176/$AJ1175-1,$AL1176/$AL1175-1,$AM1176/$AM1175-1,$AR1176/$AR1175-1,$AS1176/$AS1175-1,$AT1176/$AT1175-1,$AU1176/$AU1175-1,$AV1176/$AV1175-1,$AW1176/$AW1175-1,$AX1176/$AX1175-1,$AY1176/$AY1175-1),"")</f>
        <v/>
      </c>
      <c r="DW1175" s="66">
        <f>AVERAGE($CB1175,$CC1175,$CD1175,$CE1175,$CF1175,$CG1175,$CH1175,$CI1175,$CJ1175,$CL1175,$CM1175,$CN1175,$CO1175,$CP1175,$CQ1175,$CR1175,$CS1175,$CT1175)</f>
        <v/>
      </c>
      <c r="DX1175" s="66">
        <f>AVERAGE($CB1175,$CC1175,$CM1175,$CE1175,$CP1175)</f>
        <v/>
      </c>
      <c r="DY1175" s="64">
        <f>($DW1175-$DW1176)*100</f>
        <v/>
      </c>
      <c r="DZ1175" s="64">
        <f>($DX1175-$DX1176)*100</f>
        <v/>
      </c>
      <c r="EA1175" s="64">
        <f>($DW1175-$D1175)*100</f>
        <v/>
      </c>
      <c r="EB1175" s="64">
        <f>$Q1175-$O1175</f>
        <v/>
      </c>
      <c r="EC1175" s="67">
        <f>IFERROR($Q1175/$P1175,"")</f>
        <v/>
      </c>
    </row>
    <row r="1176">
      <c r="DG1176" s="64">
        <f>($B1176-$B1177)*100</f>
        <v/>
      </c>
      <c r="DH1176" s="64">
        <f>($D1176-$D1177)*100</f>
        <v/>
      </c>
      <c r="DI1176" s="64">
        <f>($E1176-$E1177)*100</f>
        <v/>
      </c>
      <c r="DJ1176" s="64">
        <f>($H1176-$H1177)*100</f>
        <v/>
      </c>
      <c r="DK1176" s="65">
        <f>IFERROR($J1176/$J1177-1,"")</f>
        <v/>
      </c>
      <c r="DL1176" s="64">
        <f>$L1176-$L1177</f>
        <v/>
      </c>
      <c r="DM1176" s="64">
        <f>$K1176-$K1177</f>
        <v/>
      </c>
      <c r="DN1176" s="65">
        <f>IFERROR($N1176/$N1177-1,"")</f>
        <v/>
      </c>
      <c r="DO1176" s="65">
        <f>IFERROR($M1176/$M1177-1,"")</f>
        <v/>
      </c>
      <c r="DP1176" s="65">
        <f>IFERROR($AZ1176/$AZ1177-1,"")</f>
        <v/>
      </c>
      <c r="DQ1176" s="65">
        <f>IFERROR($BA1176/$BA1177-1,"")</f>
        <v/>
      </c>
      <c r="DR1176" s="64">
        <f>$O1176-$O1177</f>
        <v/>
      </c>
      <c r="DS1176" s="64">
        <f>$P1176-$P1177</f>
        <v/>
      </c>
      <c r="DT1176" s="64">
        <f>$Q1176-$Q1177</f>
        <v/>
      </c>
      <c r="DU1176" s="64">
        <f>$S1176-$S1177</f>
        <v/>
      </c>
      <c r="DV1176" s="65">
        <f>IFERROR(AVERAGE($AA1177/$AA1176-1,$AB1177/$AB1176-1,$AC1177/$AC1176-1,$AD1177/$AD1176-1,$AE1177/$AE1176-1,$AG1177/$AG1176-1,$AH1177/$AH1176-1,$AI1177/$AI1176-1,$AJ1177/$AJ1176-1,$AL1177/$AL1176-1,$AM1177/$AM1176-1,$AR1177/$AR1176-1,$AS1177/$AS1176-1,$AT1177/$AT1176-1,$AU1177/$AU1176-1,$AV1177/$AV1176-1,$AW1177/$AW1176-1,$AX1177/$AX1176-1,$AY1177/$AY1176-1),"")</f>
        <v/>
      </c>
      <c r="DW1176" s="66">
        <f>AVERAGE($CB1176,$CC1176,$CD1176,$CE1176,$CF1176,$CG1176,$CH1176,$CI1176,$CJ1176,$CL1176,$CM1176,$CN1176,$CO1176,$CP1176,$CQ1176,$CR1176,$CS1176,$CT1176)</f>
        <v/>
      </c>
      <c r="DX1176" s="66">
        <f>AVERAGE($CB1176,$CC1176,$CM1176,$CE1176,$CP1176)</f>
        <v/>
      </c>
      <c r="DY1176" s="64">
        <f>($DW1176-$DW1177)*100</f>
        <v/>
      </c>
      <c r="DZ1176" s="64">
        <f>($DX1176-$DX1177)*100</f>
        <v/>
      </c>
      <c r="EA1176" s="64">
        <f>($DW1176-$D1176)*100</f>
        <v/>
      </c>
      <c r="EB1176" s="64">
        <f>$Q1176-$O1176</f>
        <v/>
      </c>
      <c r="EC1176" s="67">
        <f>IFERROR($Q1176/$P1176,"")</f>
        <v/>
      </c>
    </row>
    <row r="1177">
      <c r="DG1177" s="64">
        <f>($B1177-$B1178)*100</f>
        <v/>
      </c>
      <c r="DH1177" s="64">
        <f>($D1177-$D1178)*100</f>
        <v/>
      </c>
      <c r="DI1177" s="64">
        <f>($E1177-$E1178)*100</f>
        <v/>
      </c>
      <c r="DJ1177" s="64">
        <f>($H1177-$H1178)*100</f>
        <v/>
      </c>
      <c r="DK1177" s="65">
        <f>IFERROR($J1177/$J1178-1,"")</f>
        <v/>
      </c>
      <c r="DL1177" s="64">
        <f>$L1177-$L1178</f>
        <v/>
      </c>
      <c r="DM1177" s="64">
        <f>$K1177-$K1178</f>
        <v/>
      </c>
      <c r="DN1177" s="65">
        <f>IFERROR($N1177/$N1178-1,"")</f>
        <v/>
      </c>
      <c r="DO1177" s="65">
        <f>IFERROR($M1177/$M1178-1,"")</f>
        <v/>
      </c>
      <c r="DP1177" s="65">
        <f>IFERROR($AZ1177/$AZ1178-1,"")</f>
        <v/>
      </c>
      <c r="DQ1177" s="65">
        <f>IFERROR($BA1177/$BA1178-1,"")</f>
        <v/>
      </c>
      <c r="DR1177" s="64">
        <f>$O1177-$O1178</f>
        <v/>
      </c>
      <c r="DS1177" s="64">
        <f>$P1177-$P1178</f>
        <v/>
      </c>
      <c r="DT1177" s="64">
        <f>$Q1177-$Q1178</f>
        <v/>
      </c>
      <c r="DU1177" s="64">
        <f>$S1177-$S1178</f>
        <v/>
      </c>
      <c r="DV1177" s="65">
        <f>IFERROR(AVERAGE($AA1178/$AA1177-1,$AB1178/$AB1177-1,$AC1178/$AC1177-1,$AD1178/$AD1177-1,$AE1178/$AE1177-1,$AG1178/$AG1177-1,$AH1178/$AH1177-1,$AI1178/$AI1177-1,$AJ1178/$AJ1177-1,$AL1178/$AL1177-1,$AM1178/$AM1177-1,$AR1178/$AR1177-1,$AS1178/$AS1177-1,$AT1178/$AT1177-1,$AU1178/$AU1177-1,$AV1178/$AV1177-1,$AW1178/$AW1177-1,$AX1178/$AX1177-1,$AY1178/$AY1177-1),"")</f>
        <v/>
      </c>
      <c r="DW1177" s="66">
        <f>AVERAGE($CB1177,$CC1177,$CD1177,$CE1177,$CF1177,$CG1177,$CH1177,$CI1177,$CJ1177,$CL1177,$CM1177,$CN1177,$CO1177,$CP1177,$CQ1177,$CR1177,$CS1177,$CT1177)</f>
        <v/>
      </c>
      <c r="DX1177" s="66">
        <f>AVERAGE($CB1177,$CC1177,$CM1177,$CE1177,$CP1177)</f>
        <v/>
      </c>
      <c r="DY1177" s="64">
        <f>($DW1177-$DW1178)*100</f>
        <v/>
      </c>
      <c r="DZ1177" s="64">
        <f>($DX1177-$DX1178)*100</f>
        <v/>
      </c>
      <c r="EA1177" s="64">
        <f>($DW1177-$D1177)*100</f>
        <v/>
      </c>
      <c r="EB1177" s="64">
        <f>$Q1177-$O1177</f>
        <v/>
      </c>
      <c r="EC1177" s="67">
        <f>IFERROR($Q1177/$P1177,"")</f>
        <v/>
      </c>
    </row>
    <row r="1178">
      <c r="DG1178" s="64">
        <f>($B1178-$B1179)*100</f>
        <v/>
      </c>
      <c r="DH1178" s="64">
        <f>($D1178-$D1179)*100</f>
        <v/>
      </c>
      <c r="DI1178" s="64">
        <f>($E1178-$E1179)*100</f>
        <v/>
      </c>
      <c r="DJ1178" s="64">
        <f>($H1178-$H1179)*100</f>
        <v/>
      </c>
      <c r="DK1178" s="65">
        <f>IFERROR($J1178/$J1179-1,"")</f>
        <v/>
      </c>
      <c r="DL1178" s="64">
        <f>$L1178-$L1179</f>
        <v/>
      </c>
      <c r="DM1178" s="64">
        <f>$K1178-$K1179</f>
        <v/>
      </c>
      <c r="DN1178" s="65">
        <f>IFERROR($N1178/$N1179-1,"")</f>
        <v/>
      </c>
      <c r="DO1178" s="65">
        <f>IFERROR($M1178/$M1179-1,"")</f>
        <v/>
      </c>
      <c r="DP1178" s="65">
        <f>IFERROR($AZ1178/$AZ1179-1,"")</f>
        <v/>
      </c>
      <c r="DQ1178" s="65">
        <f>IFERROR($BA1178/$BA1179-1,"")</f>
        <v/>
      </c>
      <c r="DR1178" s="64">
        <f>$O1178-$O1179</f>
        <v/>
      </c>
      <c r="DS1178" s="64">
        <f>$P1178-$P1179</f>
        <v/>
      </c>
      <c r="DT1178" s="64">
        <f>$Q1178-$Q1179</f>
        <v/>
      </c>
      <c r="DU1178" s="64">
        <f>$S1178-$S1179</f>
        <v/>
      </c>
      <c r="DV1178" s="65">
        <f>IFERROR(AVERAGE($AA1179/$AA1178-1,$AB1179/$AB1178-1,$AC1179/$AC1178-1,$AD1179/$AD1178-1,$AE1179/$AE1178-1,$AG1179/$AG1178-1,$AH1179/$AH1178-1,$AI1179/$AI1178-1,$AJ1179/$AJ1178-1,$AL1179/$AL1178-1,$AM1179/$AM1178-1,$AR1179/$AR1178-1,$AS1179/$AS1178-1,$AT1179/$AT1178-1,$AU1179/$AU1178-1,$AV1179/$AV1178-1,$AW1179/$AW1178-1,$AX1179/$AX1178-1,$AY1179/$AY1178-1),"")</f>
        <v/>
      </c>
      <c r="DW1178" s="66">
        <f>AVERAGE($CB1178,$CC1178,$CD1178,$CE1178,$CF1178,$CG1178,$CH1178,$CI1178,$CJ1178,$CL1178,$CM1178,$CN1178,$CO1178,$CP1178,$CQ1178,$CR1178,$CS1178,$CT1178)</f>
        <v/>
      </c>
      <c r="DX1178" s="66">
        <f>AVERAGE($CB1178,$CC1178,$CM1178,$CE1178,$CP1178)</f>
        <v/>
      </c>
      <c r="DY1178" s="64">
        <f>($DW1178-$DW1179)*100</f>
        <v/>
      </c>
      <c r="DZ1178" s="64">
        <f>($DX1178-$DX1179)*100</f>
        <v/>
      </c>
      <c r="EA1178" s="64">
        <f>($DW1178-$D1178)*100</f>
        <v/>
      </c>
      <c r="EB1178" s="64">
        <f>$Q1178-$O1178</f>
        <v/>
      </c>
      <c r="EC1178" s="67">
        <f>IFERROR($Q1178/$P1178,"")</f>
        <v/>
      </c>
    </row>
    <row r="1179">
      <c r="DG1179" s="64">
        <f>($B1179-$B1180)*100</f>
        <v/>
      </c>
      <c r="DH1179" s="64">
        <f>($D1179-$D1180)*100</f>
        <v/>
      </c>
      <c r="DI1179" s="64">
        <f>($E1179-$E1180)*100</f>
        <v/>
      </c>
      <c r="DJ1179" s="64">
        <f>($H1179-$H1180)*100</f>
        <v/>
      </c>
      <c r="DK1179" s="65">
        <f>IFERROR($J1179/$J1180-1,"")</f>
        <v/>
      </c>
      <c r="DL1179" s="64">
        <f>$L1179-$L1180</f>
        <v/>
      </c>
      <c r="DM1179" s="64">
        <f>$K1179-$K1180</f>
        <v/>
      </c>
      <c r="DN1179" s="65">
        <f>IFERROR($N1179/$N1180-1,"")</f>
        <v/>
      </c>
      <c r="DO1179" s="65">
        <f>IFERROR($M1179/$M1180-1,"")</f>
        <v/>
      </c>
      <c r="DP1179" s="65">
        <f>IFERROR($AZ1179/$AZ1180-1,"")</f>
        <v/>
      </c>
      <c r="DQ1179" s="65">
        <f>IFERROR($BA1179/$BA1180-1,"")</f>
        <v/>
      </c>
      <c r="DR1179" s="64">
        <f>$O1179-$O1180</f>
        <v/>
      </c>
      <c r="DS1179" s="64">
        <f>$P1179-$P1180</f>
        <v/>
      </c>
      <c r="DT1179" s="64">
        <f>$Q1179-$Q1180</f>
        <v/>
      </c>
      <c r="DU1179" s="64">
        <f>$S1179-$S1180</f>
        <v/>
      </c>
      <c r="DV1179" s="65">
        <f>IFERROR(AVERAGE($AA1180/$AA1179-1,$AB1180/$AB1179-1,$AC1180/$AC1179-1,$AD1180/$AD1179-1,$AE1180/$AE1179-1,$AG1180/$AG1179-1,$AH1180/$AH1179-1,$AI1180/$AI1179-1,$AJ1180/$AJ1179-1,$AL1180/$AL1179-1,$AM1180/$AM1179-1,$AR1180/$AR1179-1,$AS1180/$AS1179-1,$AT1180/$AT1179-1,$AU1180/$AU1179-1,$AV1180/$AV1179-1,$AW1180/$AW1179-1,$AX1180/$AX1179-1,$AY1180/$AY1179-1),"")</f>
        <v/>
      </c>
      <c r="DW1179" s="66">
        <f>AVERAGE($CB1179,$CC1179,$CD1179,$CE1179,$CF1179,$CG1179,$CH1179,$CI1179,$CJ1179,$CL1179,$CM1179,$CN1179,$CO1179,$CP1179,$CQ1179,$CR1179,$CS1179,$CT1179)</f>
        <v/>
      </c>
      <c r="DX1179" s="66">
        <f>AVERAGE($CB1179,$CC1179,$CM1179,$CE1179,$CP1179)</f>
        <v/>
      </c>
      <c r="DY1179" s="64">
        <f>($DW1179-$DW1180)*100</f>
        <v/>
      </c>
      <c r="DZ1179" s="64">
        <f>($DX1179-$DX1180)*100</f>
        <v/>
      </c>
      <c r="EA1179" s="64">
        <f>($DW1179-$D1179)*100</f>
        <v/>
      </c>
      <c r="EB1179" s="64">
        <f>$Q1179-$O1179</f>
        <v/>
      </c>
      <c r="EC1179" s="67">
        <f>IFERROR($Q1179/$P1179,"")</f>
        <v/>
      </c>
    </row>
    <row r="1180">
      <c r="DG1180" s="64">
        <f>($B1180-$B1181)*100</f>
        <v/>
      </c>
      <c r="DH1180" s="64">
        <f>($D1180-$D1181)*100</f>
        <v/>
      </c>
      <c r="DI1180" s="64">
        <f>($E1180-$E1181)*100</f>
        <v/>
      </c>
      <c r="DJ1180" s="64">
        <f>($H1180-$H1181)*100</f>
        <v/>
      </c>
      <c r="DK1180" s="65">
        <f>IFERROR($J1180/$J1181-1,"")</f>
        <v/>
      </c>
      <c r="DL1180" s="64">
        <f>$L1180-$L1181</f>
        <v/>
      </c>
      <c r="DM1180" s="64">
        <f>$K1180-$K1181</f>
        <v/>
      </c>
      <c r="DN1180" s="65">
        <f>IFERROR($N1180/$N1181-1,"")</f>
        <v/>
      </c>
      <c r="DO1180" s="65">
        <f>IFERROR($M1180/$M1181-1,"")</f>
        <v/>
      </c>
      <c r="DP1180" s="65">
        <f>IFERROR($AZ1180/$AZ1181-1,"")</f>
        <v/>
      </c>
      <c r="DQ1180" s="65">
        <f>IFERROR($BA1180/$BA1181-1,"")</f>
        <v/>
      </c>
      <c r="DR1180" s="64">
        <f>$O1180-$O1181</f>
        <v/>
      </c>
      <c r="DS1180" s="64">
        <f>$P1180-$P1181</f>
        <v/>
      </c>
      <c r="DT1180" s="64">
        <f>$Q1180-$Q1181</f>
        <v/>
      </c>
      <c r="DU1180" s="64">
        <f>$S1180-$S1181</f>
        <v/>
      </c>
      <c r="DV1180" s="65">
        <f>IFERROR(AVERAGE($AA1181/$AA1180-1,$AB1181/$AB1180-1,$AC1181/$AC1180-1,$AD1181/$AD1180-1,$AE1181/$AE1180-1,$AG1181/$AG1180-1,$AH1181/$AH1180-1,$AI1181/$AI1180-1,$AJ1181/$AJ1180-1,$AL1181/$AL1180-1,$AM1181/$AM1180-1,$AR1181/$AR1180-1,$AS1181/$AS1180-1,$AT1181/$AT1180-1,$AU1181/$AU1180-1,$AV1181/$AV1180-1,$AW1181/$AW1180-1,$AX1181/$AX1180-1,$AY1181/$AY1180-1),"")</f>
        <v/>
      </c>
      <c r="DW1180" s="66">
        <f>AVERAGE($CB1180,$CC1180,$CD1180,$CE1180,$CF1180,$CG1180,$CH1180,$CI1180,$CJ1180,$CL1180,$CM1180,$CN1180,$CO1180,$CP1180,$CQ1180,$CR1180,$CS1180,$CT1180)</f>
        <v/>
      </c>
      <c r="DX1180" s="66">
        <f>AVERAGE($CB1180,$CC1180,$CM1180,$CE1180,$CP1180)</f>
        <v/>
      </c>
      <c r="DY1180" s="64">
        <f>($DW1180-$DW1181)*100</f>
        <v/>
      </c>
      <c r="DZ1180" s="64">
        <f>($DX1180-$DX1181)*100</f>
        <v/>
      </c>
      <c r="EA1180" s="64">
        <f>($DW1180-$D1180)*100</f>
        <v/>
      </c>
      <c r="EB1180" s="64">
        <f>$Q1180-$O1180</f>
        <v/>
      </c>
      <c r="EC1180" s="67">
        <f>IFERROR($Q1180/$P1180,"")</f>
        <v/>
      </c>
    </row>
    <row r="1181">
      <c r="DG1181" s="64">
        <f>($B1181-$B1182)*100</f>
        <v/>
      </c>
      <c r="DH1181" s="64">
        <f>($D1181-$D1182)*100</f>
        <v/>
      </c>
      <c r="DI1181" s="64">
        <f>($E1181-$E1182)*100</f>
        <v/>
      </c>
      <c r="DJ1181" s="64">
        <f>($H1181-$H1182)*100</f>
        <v/>
      </c>
      <c r="DK1181" s="65">
        <f>IFERROR($J1181/$J1182-1,"")</f>
        <v/>
      </c>
      <c r="DL1181" s="64">
        <f>$L1181-$L1182</f>
        <v/>
      </c>
      <c r="DM1181" s="64">
        <f>$K1181-$K1182</f>
        <v/>
      </c>
      <c r="DN1181" s="65">
        <f>IFERROR($N1181/$N1182-1,"")</f>
        <v/>
      </c>
      <c r="DO1181" s="65">
        <f>IFERROR($M1181/$M1182-1,"")</f>
        <v/>
      </c>
      <c r="DP1181" s="65">
        <f>IFERROR($AZ1181/$AZ1182-1,"")</f>
        <v/>
      </c>
      <c r="DQ1181" s="65">
        <f>IFERROR($BA1181/$BA1182-1,"")</f>
        <v/>
      </c>
      <c r="DR1181" s="64">
        <f>$O1181-$O1182</f>
        <v/>
      </c>
      <c r="DS1181" s="64">
        <f>$P1181-$P1182</f>
        <v/>
      </c>
      <c r="DT1181" s="64">
        <f>$Q1181-$Q1182</f>
        <v/>
      </c>
      <c r="DU1181" s="64">
        <f>$S1181-$S1182</f>
        <v/>
      </c>
      <c r="DV1181" s="65">
        <f>IFERROR(AVERAGE($AA1182/$AA1181-1,$AB1182/$AB1181-1,$AC1182/$AC1181-1,$AD1182/$AD1181-1,$AE1182/$AE1181-1,$AG1182/$AG1181-1,$AH1182/$AH1181-1,$AI1182/$AI1181-1,$AJ1182/$AJ1181-1,$AL1182/$AL1181-1,$AM1182/$AM1181-1,$AR1182/$AR1181-1,$AS1182/$AS1181-1,$AT1182/$AT1181-1,$AU1182/$AU1181-1,$AV1182/$AV1181-1,$AW1182/$AW1181-1,$AX1182/$AX1181-1,$AY1182/$AY1181-1),"")</f>
        <v/>
      </c>
      <c r="DW1181" s="66">
        <f>AVERAGE($CB1181,$CC1181,$CD1181,$CE1181,$CF1181,$CG1181,$CH1181,$CI1181,$CJ1181,$CL1181,$CM1181,$CN1181,$CO1181,$CP1181,$CQ1181,$CR1181,$CS1181,$CT1181)</f>
        <v/>
      </c>
      <c r="DX1181" s="66">
        <f>AVERAGE($CB1181,$CC1181,$CM1181,$CE1181,$CP1181)</f>
        <v/>
      </c>
      <c r="DY1181" s="64">
        <f>($DW1181-$DW1182)*100</f>
        <v/>
      </c>
      <c r="DZ1181" s="64">
        <f>($DX1181-$DX1182)*100</f>
        <v/>
      </c>
      <c r="EA1181" s="64">
        <f>($DW1181-$D1181)*100</f>
        <v/>
      </c>
      <c r="EB1181" s="64">
        <f>$Q1181-$O1181</f>
        <v/>
      </c>
      <c r="EC1181" s="67">
        <f>IFERROR($Q1181/$P1181,"")</f>
        <v/>
      </c>
    </row>
    <row r="1182">
      <c r="DG1182" s="64">
        <f>($B1182-$B1183)*100</f>
        <v/>
      </c>
      <c r="DH1182" s="64">
        <f>($D1182-$D1183)*100</f>
        <v/>
      </c>
      <c r="DI1182" s="64">
        <f>($E1182-$E1183)*100</f>
        <v/>
      </c>
      <c r="DJ1182" s="64">
        <f>($H1182-$H1183)*100</f>
        <v/>
      </c>
      <c r="DK1182" s="65">
        <f>IFERROR($J1182/$J1183-1,"")</f>
        <v/>
      </c>
      <c r="DL1182" s="64">
        <f>$L1182-$L1183</f>
        <v/>
      </c>
      <c r="DM1182" s="64">
        <f>$K1182-$K1183</f>
        <v/>
      </c>
      <c r="DN1182" s="65">
        <f>IFERROR($N1182/$N1183-1,"")</f>
        <v/>
      </c>
      <c r="DO1182" s="65">
        <f>IFERROR($M1182/$M1183-1,"")</f>
        <v/>
      </c>
      <c r="DP1182" s="65">
        <f>IFERROR($AZ1182/$AZ1183-1,"")</f>
        <v/>
      </c>
      <c r="DQ1182" s="65">
        <f>IFERROR($BA1182/$BA1183-1,"")</f>
        <v/>
      </c>
      <c r="DR1182" s="64">
        <f>$O1182-$O1183</f>
        <v/>
      </c>
      <c r="DS1182" s="64">
        <f>$P1182-$P1183</f>
        <v/>
      </c>
      <c r="DT1182" s="64">
        <f>$Q1182-$Q1183</f>
        <v/>
      </c>
      <c r="DU1182" s="64">
        <f>$S1182-$S1183</f>
        <v/>
      </c>
      <c r="DV1182" s="65">
        <f>IFERROR(AVERAGE($AA1183/$AA1182-1,$AB1183/$AB1182-1,$AC1183/$AC1182-1,$AD1183/$AD1182-1,$AE1183/$AE1182-1,$AG1183/$AG1182-1,$AH1183/$AH1182-1,$AI1183/$AI1182-1,$AJ1183/$AJ1182-1,$AL1183/$AL1182-1,$AM1183/$AM1182-1,$AR1183/$AR1182-1,$AS1183/$AS1182-1,$AT1183/$AT1182-1,$AU1183/$AU1182-1,$AV1183/$AV1182-1,$AW1183/$AW1182-1,$AX1183/$AX1182-1,$AY1183/$AY1182-1),"")</f>
        <v/>
      </c>
      <c r="DW1182" s="66">
        <f>AVERAGE($CB1182,$CC1182,$CD1182,$CE1182,$CF1182,$CG1182,$CH1182,$CI1182,$CJ1182,$CL1182,$CM1182,$CN1182,$CO1182,$CP1182,$CQ1182,$CR1182,$CS1182,$CT1182)</f>
        <v/>
      </c>
      <c r="DX1182" s="66">
        <f>AVERAGE($CB1182,$CC1182,$CM1182,$CE1182,$CP1182)</f>
        <v/>
      </c>
      <c r="DY1182" s="64">
        <f>($DW1182-$DW1183)*100</f>
        <v/>
      </c>
      <c r="DZ1182" s="64">
        <f>($DX1182-$DX1183)*100</f>
        <v/>
      </c>
      <c r="EA1182" s="64">
        <f>($DW1182-$D1182)*100</f>
        <v/>
      </c>
      <c r="EB1182" s="64">
        <f>$Q1182-$O1182</f>
        <v/>
      </c>
      <c r="EC1182" s="67">
        <f>IFERROR($Q1182/$P1182,"")</f>
        <v/>
      </c>
    </row>
    <row r="1183">
      <c r="DG1183" s="64">
        <f>($B1183-$B1184)*100</f>
        <v/>
      </c>
      <c r="DH1183" s="64">
        <f>($D1183-$D1184)*100</f>
        <v/>
      </c>
      <c r="DI1183" s="64">
        <f>($E1183-$E1184)*100</f>
        <v/>
      </c>
      <c r="DJ1183" s="64">
        <f>($H1183-$H1184)*100</f>
        <v/>
      </c>
      <c r="DK1183" s="65">
        <f>IFERROR($J1183/$J1184-1,"")</f>
        <v/>
      </c>
      <c r="DL1183" s="64">
        <f>$L1183-$L1184</f>
        <v/>
      </c>
      <c r="DM1183" s="64">
        <f>$K1183-$K1184</f>
        <v/>
      </c>
      <c r="DN1183" s="65">
        <f>IFERROR($N1183/$N1184-1,"")</f>
        <v/>
      </c>
      <c r="DO1183" s="65">
        <f>IFERROR($M1183/$M1184-1,"")</f>
        <v/>
      </c>
      <c r="DP1183" s="65">
        <f>IFERROR($AZ1183/$AZ1184-1,"")</f>
        <v/>
      </c>
      <c r="DQ1183" s="65">
        <f>IFERROR($BA1183/$BA1184-1,"")</f>
        <v/>
      </c>
      <c r="DR1183" s="64">
        <f>$O1183-$O1184</f>
        <v/>
      </c>
      <c r="DS1183" s="64">
        <f>$P1183-$P1184</f>
        <v/>
      </c>
      <c r="DT1183" s="64">
        <f>$Q1183-$Q1184</f>
        <v/>
      </c>
      <c r="DU1183" s="64">
        <f>$S1183-$S1184</f>
        <v/>
      </c>
      <c r="DV1183" s="65">
        <f>IFERROR(AVERAGE($AA1184/$AA1183-1,$AB1184/$AB1183-1,$AC1184/$AC1183-1,$AD1184/$AD1183-1,$AE1184/$AE1183-1,$AG1184/$AG1183-1,$AH1184/$AH1183-1,$AI1184/$AI1183-1,$AJ1184/$AJ1183-1,$AL1184/$AL1183-1,$AM1184/$AM1183-1,$AR1184/$AR1183-1,$AS1184/$AS1183-1,$AT1184/$AT1183-1,$AU1184/$AU1183-1,$AV1184/$AV1183-1,$AW1184/$AW1183-1,$AX1184/$AX1183-1,$AY1184/$AY1183-1),"")</f>
        <v/>
      </c>
      <c r="DW1183" s="66">
        <f>AVERAGE($CB1183,$CC1183,$CD1183,$CE1183,$CF1183,$CG1183,$CH1183,$CI1183,$CJ1183,$CL1183,$CM1183,$CN1183,$CO1183,$CP1183,$CQ1183,$CR1183,$CS1183,$CT1183)</f>
        <v/>
      </c>
      <c r="DX1183" s="66">
        <f>AVERAGE($CB1183,$CC1183,$CM1183,$CE1183,$CP1183)</f>
        <v/>
      </c>
      <c r="DY1183" s="64">
        <f>($DW1183-$DW1184)*100</f>
        <v/>
      </c>
      <c r="DZ1183" s="64">
        <f>($DX1183-$DX1184)*100</f>
        <v/>
      </c>
      <c r="EA1183" s="64">
        <f>($DW1183-$D1183)*100</f>
        <v/>
      </c>
      <c r="EB1183" s="64">
        <f>$Q1183-$O1183</f>
        <v/>
      </c>
      <c r="EC1183" s="67">
        <f>IFERROR($Q1183/$P1183,"")</f>
        <v/>
      </c>
    </row>
    <row r="1184">
      <c r="DG1184" s="64">
        <f>($B1184-$B1185)*100</f>
        <v/>
      </c>
      <c r="DH1184" s="64">
        <f>($D1184-$D1185)*100</f>
        <v/>
      </c>
      <c r="DI1184" s="64">
        <f>($E1184-$E1185)*100</f>
        <v/>
      </c>
      <c r="DJ1184" s="64">
        <f>($H1184-$H1185)*100</f>
        <v/>
      </c>
      <c r="DK1184" s="65">
        <f>IFERROR($J1184/$J1185-1,"")</f>
        <v/>
      </c>
      <c r="DL1184" s="64">
        <f>$L1184-$L1185</f>
        <v/>
      </c>
      <c r="DM1184" s="64">
        <f>$K1184-$K1185</f>
        <v/>
      </c>
      <c r="DN1184" s="65">
        <f>IFERROR($N1184/$N1185-1,"")</f>
        <v/>
      </c>
      <c r="DO1184" s="65">
        <f>IFERROR($M1184/$M1185-1,"")</f>
        <v/>
      </c>
      <c r="DP1184" s="65">
        <f>IFERROR($AZ1184/$AZ1185-1,"")</f>
        <v/>
      </c>
      <c r="DQ1184" s="65">
        <f>IFERROR($BA1184/$BA1185-1,"")</f>
        <v/>
      </c>
      <c r="DR1184" s="64">
        <f>$O1184-$O1185</f>
        <v/>
      </c>
      <c r="DS1184" s="64">
        <f>$P1184-$P1185</f>
        <v/>
      </c>
      <c r="DT1184" s="64">
        <f>$Q1184-$Q1185</f>
        <v/>
      </c>
      <c r="DU1184" s="64">
        <f>$S1184-$S1185</f>
        <v/>
      </c>
      <c r="DV1184" s="65">
        <f>IFERROR(AVERAGE($AA1185/$AA1184-1,$AB1185/$AB1184-1,$AC1185/$AC1184-1,$AD1185/$AD1184-1,$AE1185/$AE1184-1,$AG1185/$AG1184-1,$AH1185/$AH1184-1,$AI1185/$AI1184-1,$AJ1185/$AJ1184-1,$AL1185/$AL1184-1,$AM1185/$AM1184-1,$AR1185/$AR1184-1,$AS1185/$AS1184-1,$AT1185/$AT1184-1,$AU1185/$AU1184-1,$AV1185/$AV1184-1,$AW1185/$AW1184-1,$AX1185/$AX1184-1,$AY1185/$AY1184-1),"")</f>
        <v/>
      </c>
      <c r="DW1184" s="66">
        <f>AVERAGE($CB1184,$CC1184,$CD1184,$CE1184,$CF1184,$CG1184,$CH1184,$CI1184,$CJ1184,$CL1184,$CM1184,$CN1184,$CO1184,$CP1184,$CQ1184,$CR1184,$CS1184,$CT1184)</f>
        <v/>
      </c>
      <c r="DX1184" s="66">
        <f>AVERAGE($CB1184,$CC1184,$CM1184,$CE1184,$CP1184)</f>
        <v/>
      </c>
      <c r="DY1184" s="64">
        <f>($DW1184-$DW1185)*100</f>
        <v/>
      </c>
      <c r="DZ1184" s="64">
        <f>($DX1184-$DX1185)*100</f>
        <v/>
      </c>
      <c r="EA1184" s="64">
        <f>($DW1184-$D1184)*100</f>
        <v/>
      </c>
      <c r="EB1184" s="64">
        <f>$Q1184-$O1184</f>
        <v/>
      </c>
      <c r="EC1184" s="67">
        <f>IFERROR($Q1184/$P1184,"")</f>
        <v/>
      </c>
    </row>
    <row r="1185">
      <c r="DG1185" s="64">
        <f>($B1185-$B1186)*100</f>
        <v/>
      </c>
      <c r="DH1185" s="64">
        <f>($D1185-$D1186)*100</f>
        <v/>
      </c>
      <c r="DI1185" s="64">
        <f>($E1185-$E1186)*100</f>
        <v/>
      </c>
      <c r="DJ1185" s="64">
        <f>($H1185-$H1186)*100</f>
        <v/>
      </c>
      <c r="DK1185" s="65">
        <f>IFERROR($J1185/$J1186-1,"")</f>
        <v/>
      </c>
      <c r="DL1185" s="64">
        <f>$L1185-$L1186</f>
        <v/>
      </c>
      <c r="DM1185" s="64">
        <f>$K1185-$K1186</f>
        <v/>
      </c>
      <c r="DN1185" s="65">
        <f>IFERROR($N1185/$N1186-1,"")</f>
        <v/>
      </c>
      <c r="DO1185" s="65">
        <f>IFERROR($M1185/$M1186-1,"")</f>
        <v/>
      </c>
      <c r="DP1185" s="65">
        <f>IFERROR($AZ1185/$AZ1186-1,"")</f>
        <v/>
      </c>
      <c r="DQ1185" s="65">
        <f>IFERROR($BA1185/$BA1186-1,"")</f>
        <v/>
      </c>
      <c r="DR1185" s="64">
        <f>$O1185-$O1186</f>
        <v/>
      </c>
      <c r="DS1185" s="64">
        <f>$P1185-$P1186</f>
        <v/>
      </c>
      <c r="DT1185" s="64">
        <f>$Q1185-$Q1186</f>
        <v/>
      </c>
      <c r="DU1185" s="64">
        <f>$S1185-$S1186</f>
        <v/>
      </c>
      <c r="DV1185" s="65">
        <f>IFERROR(AVERAGE($AA1186/$AA1185-1,$AB1186/$AB1185-1,$AC1186/$AC1185-1,$AD1186/$AD1185-1,$AE1186/$AE1185-1,$AG1186/$AG1185-1,$AH1186/$AH1185-1,$AI1186/$AI1185-1,$AJ1186/$AJ1185-1,$AL1186/$AL1185-1,$AM1186/$AM1185-1,$AR1186/$AR1185-1,$AS1186/$AS1185-1,$AT1186/$AT1185-1,$AU1186/$AU1185-1,$AV1186/$AV1185-1,$AW1186/$AW1185-1,$AX1186/$AX1185-1,$AY1186/$AY1185-1),"")</f>
        <v/>
      </c>
      <c r="DW1185" s="66">
        <f>AVERAGE($CB1185,$CC1185,$CD1185,$CE1185,$CF1185,$CG1185,$CH1185,$CI1185,$CJ1185,$CL1185,$CM1185,$CN1185,$CO1185,$CP1185,$CQ1185,$CR1185,$CS1185,$CT1185)</f>
        <v/>
      </c>
      <c r="DX1185" s="66">
        <f>AVERAGE($CB1185,$CC1185,$CM1185,$CE1185,$CP1185)</f>
        <v/>
      </c>
      <c r="DY1185" s="64">
        <f>($DW1185-$DW1186)*100</f>
        <v/>
      </c>
      <c r="DZ1185" s="64">
        <f>($DX1185-$DX1186)*100</f>
        <v/>
      </c>
      <c r="EA1185" s="64">
        <f>($DW1185-$D1185)*100</f>
        <v/>
      </c>
      <c r="EB1185" s="64">
        <f>$Q1185-$O1185</f>
        <v/>
      </c>
      <c r="EC1185" s="67">
        <f>IFERROR($Q1185/$P1185,"")</f>
        <v/>
      </c>
    </row>
    <row r="1186">
      <c r="DG1186" s="64">
        <f>($B1186-$B1187)*100</f>
        <v/>
      </c>
      <c r="DH1186" s="64">
        <f>($D1186-$D1187)*100</f>
        <v/>
      </c>
      <c r="DI1186" s="64">
        <f>($E1186-$E1187)*100</f>
        <v/>
      </c>
      <c r="DJ1186" s="64">
        <f>($H1186-$H1187)*100</f>
        <v/>
      </c>
      <c r="DK1186" s="65">
        <f>IFERROR($J1186/$J1187-1,"")</f>
        <v/>
      </c>
      <c r="DL1186" s="64">
        <f>$L1186-$L1187</f>
        <v/>
      </c>
      <c r="DM1186" s="64">
        <f>$K1186-$K1187</f>
        <v/>
      </c>
      <c r="DN1186" s="65">
        <f>IFERROR($N1186/$N1187-1,"")</f>
        <v/>
      </c>
      <c r="DO1186" s="65">
        <f>IFERROR($M1186/$M1187-1,"")</f>
        <v/>
      </c>
      <c r="DP1186" s="65">
        <f>IFERROR($AZ1186/$AZ1187-1,"")</f>
        <v/>
      </c>
      <c r="DQ1186" s="65">
        <f>IFERROR($BA1186/$BA1187-1,"")</f>
        <v/>
      </c>
      <c r="DR1186" s="64">
        <f>$O1186-$O1187</f>
        <v/>
      </c>
      <c r="DS1186" s="64">
        <f>$P1186-$P1187</f>
        <v/>
      </c>
      <c r="DT1186" s="64">
        <f>$Q1186-$Q1187</f>
        <v/>
      </c>
      <c r="DU1186" s="64">
        <f>$S1186-$S1187</f>
        <v/>
      </c>
      <c r="DV1186" s="65">
        <f>IFERROR(AVERAGE($AA1187/$AA1186-1,$AB1187/$AB1186-1,$AC1187/$AC1186-1,$AD1187/$AD1186-1,$AE1187/$AE1186-1,$AG1187/$AG1186-1,$AH1187/$AH1186-1,$AI1187/$AI1186-1,$AJ1187/$AJ1186-1,$AL1187/$AL1186-1,$AM1187/$AM1186-1,$AR1187/$AR1186-1,$AS1187/$AS1186-1,$AT1187/$AT1186-1,$AU1187/$AU1186-1,$AV1187/$AV1186-1,$AW1187/$AW1186-1,$AX1187/$AX1186-1,$AY1187/$AY1186-1),"")</f>
        <v/>
      </c>
      <c r="DW1186" s="66">
        <f>AVERAGE($CB1186,$CC1186,$CD1186,$CE1186,$CF1186,$CG1186,$CH1186,$CI1186,$CJ1186,$CL1186,$CM1186,$CN1186,$CO1186,$CP1186,$CQ1186,$CR1186,$CS1186,$CT1186)</f>
        <v/>
      </c>
      <c r="DX1186" s="66">
        <f>AVERAGE($CB1186,$CC1186,$CM1186,$CE1186,$CP1186)</f>
        <v/>
      </c>
      <c r="DY1186" s="64">
        <f>($DW1186-$DW1187)*100</f>
        <v/>
      </c>
      <c r="DZ1186" s="64">
        <f>($DX1186-$DX1187)*100</f>
        <v/>
      </c>
      <c r="EA1186" s="64">
        <f>($DW1186-$D1186)*100</f>
        <v/>
      </c>
      <c r="EB1186" s="64">
        <f>$Q1186-$O1186</f>
        <v/>
      </c>
      <c r="EC1186" s="67">
        <f>IFERROR($Q1186/$P1186,"")</f>
        <v/>
      </c>
    </row>
    <row r="1187">
      <c r="DG1187" s="64">
        <f>($B1187-$B1188)*100</f>
        <v/>
      </c>
      <c r="DH1187" s="64">
        <f>($D1187-$D1188)*100</f>
        <v/>
      </c>
      <c r="DI1187" s="64">
        <f>($E1187-$E1188)*100</f>
        <v/>
      </c>
      <c r="DJ1187" s="64">
        <f>($H1187-$H1188)*100</f>
        <v/>
      </c>
      <c r="DK1187" s="65">
        <f>IFERROR($J1187/$J1188-1,"")</f>
        <v/>
      </c>
      <c r="DL1187" s="64">
        <f>$L1187-$L1188</f>
        <v/>
      </c>
      <c r="DM1187" s="64">
        <f>$K1187-$K1188</f>
        <v/>
      </c>
      <c r="DN1187" s="65">
        <f>IFERROR($N1187/$N1188-1,"")</f>
        <v/>
      </c>
      <c r="DO1187" s="65">
        <f>IFERROR($M1187/$M1188-1,"")</f>
        <v/>
      </c>
      <c r="DP1187" s="65">
        <f>IFERROR($AZ1187/$AZ1188-1,"")</f>
        <v/>
      </c>
      <c r="DQ1187" s="65">
        <f>IFERROR($BA1187/$BA1188-1,"")</f>
        <v/>
      </c>
      <c r="DR1187" s="64">
        <f>$O1187-$O1188</f>
        <v/>
      </c>
      <c r="DS1187" s="64">
        <f>$P1187-$P1188</f>
        <v/>
      </c>
      <c r="DT1187" s="64">
        <f>$Q1187-$Q1188</f>
        <v/>
      </c>
      <c r="DU1187" s="64">
        <f>$S1187-$S1188</f>
        <v/>
      </c>
      <c r="DV1187" s="65">
        <f>IFERROR(AVERAGE($AA1188/$AA1187-1,$AB1188/$AB1187-1,$AC1188/$AC1187-1,$AD1188/$AD1187-1,$AE1188/$AE1187-1,$AG1188/$AG1187-1,$AH1188/$AH1187-1,$AI1188/$AI1187-1,$AJ1188/$AJ1187-1,$AL1188/$AL1187-1,$AM1188/$AM1187-1,$AR1188/$AR1187-1,$AS1188/$AS1187-1,$AT1188/$AT1187-1,$AU1188/$AU1187-1,$AV1188/$AV1187-1,$AW1188/$AW1187-1,$AX1188/$AX1187-1,$AY1188/$AY1187-1),"")</f>
        <v/>
      </c>
      <c r="DW1187" s="66">
        <f>AVERAGE($CB1187,$CC1187,$CD1187,$CE1187,$CF1187,$CG1187,$CH1187,$CI1187,$CJ1187,$CL1187,$CM1187,$CN1187,$CO1187,$CP1187,$CQ1187,$CR1187,$CS1187,$CT1187)</f>
        <v/>
      </c>
      <c r="DX1187" s="66">
        <f>AVERAGE($CB1187,$CC1187,$CM1187,$CE1187,$CP1187)</f>
        <v/>
      </c>
      <c r="DY1187" s="64">
        <f>($DW1187-$DW1188)*100</f>
        <v/>
      </c>
      <c r="DZ1187" s="64">
        <f>($DX1187-$DX1188)*100</f>
        <v/>
      </c>
      <c r="EA1187" s="64">
        <f>($DW1187-$D1187)*100</f>
        <v/>
      </c>
      <c r="EB1187" s="64">
        <f>$Q1187-$O1187</f>
        <v/>
      </c>
      <c r="EC1187" s="67">
        <f>IFERROR($Q1187/$P1187,"")</f>
        <v/>
      </c>
    </row>
    <row r="1188">
      <c r="DG1188" s="64">
        <f>($B1188-$B1189)*100</f>
        <v/>
      </c>
      <c r="DH1188" s="64">
        <f>($D1188-$D1189)*100</f>
        <v/>
      </c>
      <c r="DI1188" s="64">
        <f>($E1188-$E1189)*100</f>
        <v/>
      </c>
      <c r="DJ1188" s="64">
        <f>($H1188-$H1189)*100</f>
        <v/>
      </c>
      <c r="DK1188" s="65">
        <f>IFERROR($J1188/$J1189-1,"")</f>
        <v/>
      </c>
      <c r="DL1188" s="64">
        <f>$L1188-$L1189</f>
        <v/>
      </c>
      <c r="DM1188" s="64">
        <f>$K1188-$K1189</f>
        <v/>
      </c>
      <c r="DN1188" s="65">
        <f>IFERROR($N1188/$N1189-1,"")</f>
        <v/>
      </c>
      <c r="DO1188" s="65">
        <f>IFERROR($M1188/$M1189-1,"")</f>
        <v/>
      </c>
      <c r="DP1188" s="65">
        <f>IFERROR($AZ1188/$AZ1189-1,"")</f>
        <v/>
      </c>
      <c r="DQ1188" s="65">
        <f>IFERROR($BA1188/$BA1189-1,"")</f>
        <v/>
      </c>
      <c r="DR1188" s="64">
        <f>$O1188-$O1189</f>
        <v/>
      </c>
      <c r="DS1188" s="64">
        <f>$P1188-$P1189</f>
        <v/>
      </c>
      <c r="DT1188" s="64">
        <f>$Q1188-$Q1189</f>
        <v/>
      </c>
      <c r="DU1188" s="64">
        <f>$S1188-$S1189</f>
        <v/>
      </c>
      <c r="DV1188" s="65">
        <f>IFERROR(AVERAGE($AA1189/$AA1188-1,$AB1189/$AB1188-1,$AC1189/$AC1188-1,$AD1189/$AD1188-1,$AE1189/$AE1188-1,$AG1189/$AG1188-1,$AH1189/$AH1188-1,$AI1189/$AI1188-1,$AJ1189/$AJ1188-1,$AL1189/$AL1188-1,$AM1189/$AM1188-1,$AR1189/$AR1188-1,$AS1189/$AS1188-1,$AT1189/$AT1188-1,$AU1189/$AU1188-1,$AV1189/$AV1188-1,$AW1189/$AW1188-1,$AX1189/$AX1188-1,$AY1189/$AY1188-1),"")</f>
        <v/>
      </c>
      <c r="DW1188" s="66">
        <f>AVERAGE($CB1188,$CC1188,$CD1188,$CE1188,$CF1188,$CG1188,$CH1188,$CI1188,$CJ1188,$CL1188,$CM1188,$CN1188,$CO1188,$CP1188,$CQ1188,$CR1188,$CS1188,$CT1188)</f>
        <v/>
      </c>
      <c r="DX1188" s="66">
        <f>AVERAGE($CB1188,$CC1188,$CM1188,$CE1188,$CP1188)</f>
        <v/>
      </c>
      <c r="DY1188" s="64">
        <f>($DW1188-$DW1189)*100</f>
        <v/>
      </c>
      <c r="DZ1188" s="64">
        <f>($DX1188-$DX1189)*100</f>
        <v/>
      </c>
      <c r="EA1188" s="64">
        <f>($DW1188-$D1188)*100</f>
        <v/>
      </c>
      <c r="EB1188" s="64">
        <f>$Q1188-$O1188</f>
        <v/>
      </c>
      <c r="EC1188" s="67">
        <f>IFERROR($Q1188/$P1188,"")</f>
        <v/>
      </c>
    </row>
    <row r="1189">
      <c r="DG1189" s="64">
        <f>($B1189-$B1190)*100</f>
        <v/>
      </c>
      <c r="DH1189" s="64">
        <f>($D1189-$D1190)*100</f>
        <v/>
      </c>
      <c r="DI1189" s="64">
        <f>($E1189-$E1190)*100</f>
        <v/>
      </c>
      <c r="DJ1189" s="64">
        <f>($H1189-$H1190)*100</f>
        <v/>
      </c>
      <c r="DK1189" s="65">
        <f>IFERROR($J1189/$J1190-1,"")</f>
        <v/>
      </c>
      <c r="DL1189" s="64">
        <f>$L1189-$L1190</f>
        <v/>
      </c>
      <c r="DM1189" s="64">
        <f>$K1189-$K1190</f>
        <v/>
      </c>
      <c r="DN1189" s="65">
        <f>IFERROR($N1189/$N1190-1,"")</f>
        <v/>
      </c>
      <c r="DO1189" s="65">
        <f>IFERROR($M1189/$M1190-1,"")</f>
        <v/>
      </c>
      <c r="DP1189" s="65">
        <f>IFERROR($AZ1189/$AZ1190-1,"")</f>
        <v/>
      </c>
      <c r="DQ1189" s="65">
        <f>IFERROR($BA1189/$BA1190-1,"")</f>
        <v/>
      </c>
      <c r="DR1189" s="64">
        <f>$O1189-$O1190</f>
        <v/>
      </c>
      <c r="DS1189" s="64">
        <f>$P1189-$P1190</f>
        <v/>
      </c>
      <c r="DT1189" s="64">
        <f>$Q1189-$Q1190</f>
        <v/>
      </c>
      <c r="DU1189" s="64">
        <f>$S1189-$S1190</f>
        <v/>
      </c>
      <c r="DV1189" s="65">
        <f>IFERROR(AVERAGE($AA1190/$AA1189-1,$AB1190/$AB1189-1,$AC1190/$AC1189-1,$AD1190/$AD1189-1,$AE1190/$AE1189-1,$AG1190/$AG1189-1,$AH1190/$AH1189-1,$AI1190/$AI1189-1,$AJ1190/$AJ1189-1,$AL1190/$AL1189-1,$AM1190/$AM1189-1,$AR1190/$AR1189-1,$AS1190/$AS1189-1,$AT1190/$AT1189-1,$AU1190/$AU1189-1,$AV1190/$AV1189-1,$AW1190/$AW1189-1,$AX1190/$AX1189-1,$AY1190/$AY1189-1),"")</f>
        <v/>
      </c>
      <c r="DW1189" s="66">
        <f>AVERAGE($CB1189,$CC1189,$CD1189,$CE1189,$CF1189,$CG1189,$CH1189,$CI1189,$CJ1189,$CL1189,$CM1189,$CN1189,$CO1189,$CP1189,$CQ1189,$CR1189,$CS1189,$CT1189)</f>
        <v/>
      </c>
      <c r="DX1189" s="66">
        <f>AVERAGE($CB1189,$CC1189,$CM1189,$CE1189,$CP1189)</f>
        <v/>
      </c>
      <c r="DY1189" s="64">
        <f>($DW1189-$DW1190)*100</f>
        <v/>
      </c>
      <c r="DZ1189" s="64">
        <f>($DX1189-$DX1190)*100</f>
        <v/>
      </c>
      <c r="EA1189" s="64">
        <f>($DW1189-$D1189)*100</f>
        <v/>
      </c>
      <c r="EB1189" s="64">
        <f>$Q1189-$O1189</f>
        <v/>
      </c>
      <c r="EC1189" s="67">
        <f>IFERROR($Q1189/$P1189,"")</f>
        <v/>
      </c>
    </row>
    <row r="1190">
      <c r="DG1190" s="64">
        <f>($B1190-$B1191)*100</f>
        <v/>
      </c>
      <c r="DH1190" s="64">
        <f>($D1190-$D1191)*100</f>
        <v/>
      </c>
      <c r="DI1190" s="64">
        <f>($E1190-$E1191)*100</f>
        <v/>
      </c>
      <c r="DJ1190" s="64">
        <f>($H1190-$H1191)*100</f>
        <v/>
      </c>
      <c r="DK1190" s="65">
        <f>IFERROR($J1190/$J1191-1,"")</f>
        <v/>
      </c>
      <c r="DL1190" s="64">
        <f>$L1190-$L1191</f>
        <v/>
      </c>
      <c r="DM1190" s="64">
        <f>$K1190-$K1191</f>
        <v/>
      </c>
      <c r="DN1190" s="65">
        <f>IFERROR($N1190/$N1191-1,"")</f>
        <v/>
      </c>
      <c r="DO1190" s="65">
        <f>IFERROR($M1190/$M1191-1,"")</f>
        <v/>
      </c>
      <c r="DP1190" s="65">
        <f>IFERROR($AZ1190/$AZ1191-1,"")</f>
        <v/>
      </c>
      <c r="DQ1190" s="65">
        <f>IFERROR($BA1190/$BA1191-1,"")</f>
        <v/>
      </c>
      <c r="DR1190" s="64">
        <f>$O1190-$O1191</f>
        <v/>
      </c>
      <c r="DS1190" s="64">
        <f>$P1190-$P1191</f>
        <v/>
      </c>
      <c r="DT1190" s="64">
        <f>$Q1190-$Q1191</f>
        <v/>
      </c>
      <c r="DU1190" s="64">
        <f>$S1190-$S1191</f>
        <v/>
      </c>
      <c r="DV1190" s="65">
        <f>IFERROR(AVERAGE($AA1191/$AA1190-1,$AB1191/$AB1190-1,$AC1191/$AC1190-1,$AD1191/$AD1190-1,$AE1191/$AE1190-1,$AG1191/$AG1190-1,$AH1191/$AH1190-1,$AI1191/$AI1190-1,$AJ1191/$AJ1190-1,$AL1191/$AL1190-1,$AM1191/$AM1190-1,$AR1191/$AR1190-1,$AS1191/$AS1190-1,$AT1191/$AT1190-1,$AU1191/$AU1190-1,$AV1191/$AV1190-1,$AW1191/$AW1190-1,$AX1191/$AX1190-1,$AY1191/$AY1190-1),"")</f>
        <v/>
      </c>
      <c r="DW1190" s="66">
        <f>AVERAGE($CB1190,$CC1190,$CD1190,$CE1190,$CF1190,$CG1190,$CH1190,$CI1190,$CJ1190,$CL1190,$CM1190,$CN1190,$CO1190,$CP1190,$CQ1190,$CR1190,$CS1190,$CT1190)</f>
        <v/>
      </c>
      <c r="DX1190" s="66">
        <f>AVERAGE($CB1190,$CC1190,$CM1190,$CE1190,$CP1190)</f>
        <v/>
      </c>
      <c r="DY1190" s="64">
        <f>($DW1190-$DW1191)*100</f>
        <v/>
      </c>
      <c r="DZ1190" s="64">
        <f>($DX1190-$DX1191)*100</f>
        <v/>
      </c>
      <c r="EA1190" s="64">
        <f>($DW1190-$D1190)*100</f>
        <v/>
      </c>
      <c r="EB1190" s="64">
        <f>$Q1190-$O1190</f>
        <v/>
      </c>
      <c r="EC1190" s="67">
        <f>IFERROR($Q1190/$P1190,"")</f>
        <v/>
      </c>
    </row>
    <row r="1191">
      <c r="DG1191" s="64">
        <f>($B1191-$B1192)*100</f>
        <v/>
      </c>
      <c r="DH1191" s="64">
        <f>($D1191-$D1192)*100</f>
        <v/>
      </c>
      <c r="DI1191" s="64">
        <f>($E1191-$E1192)*100</f>
        <v/>
      </c>
      <c r="DJ1191" s="64">
        <f>($H1191-$H1192)*100</f>
        <v/>
      </c>
      <c r="DK1191" s="65">
        <f>IFERROR($J1191/$J1192-1,"")</f>
        <v/>
      </c>
      <c r="DL1191" s="64">
        <f>$L1191-$L1192</f>
        <v/>
      </c>
      <c r="DM1191" s="64">
        <f>$K1191-$K1192</f>
        <v/>
      </c>
      <c r="DN1191" s="65">
        <f>IFERROR($N1191/$N1192-1,"")</f>
        <v/>
      </c>
      <c r="DO1191" s="65">
        <f>IFERROR($M1191/$M1192-1,"")</f>
        <v/>
      </c>
      <c r="DP1191" s="65">
        <f>IFERROR($AZ1191/$AZ1192-1,"")</f>
        <v/>
      </c>
      <c r="DQ1191" s="65">
        <f>IFERROR($BA1191/$BA1192-1,"")</f>
        <v/>
      </c>
      <c r="DR1191" s="64">
        <f>$O1191-$O1192</f>
        <v/>
      </c>
      <c r="DS1191" s="64">
        <f>$P1191-$P1192</f>
        <v/>
      </c>
      <c r="DT1191" s="64">
        <f>$Q1191-$Q1192</f>
        <v/>
      </c>
      <c r="DU1191" s="64">
        <f>$S1191-$S1192</f>
        <v/>
      </c>
      <c r="DV1191" s="65">
        <f>IFERROR(AVERAGE($AA1192/$AA1191-1,$AB1192/$AB1191-1,$AC1192/$AC1191-1,$AD1192/$AD1191-1,$AE1192/$AE1191-1,$AG1192/$AG1191-1,$AH1192/$AH1191-1,$AI1192/$AI1191-1,$AJ1192/$AJ1191-1,$AL1192/$AL1191-1,$AM1192/$AM1191-1,$AR1192/$AR1191-1,$AS1192/$AS1191-1,$AT1192/$AT1191-1,$AU1192/$AU1191-1,$AV1192/$AV1191-1,$AW1192/$AW1191-1,$AX1192/$AX1191-1,$AY1192/$AY1191-1),"")</f>
        <v/>
      </c>
      <c r="DW1191" s="66">
        <f>AVERAGE($CB1191,$CC1191,$CD1191,$CE1191,$CF1191,$CG1191,$CH1191,$CI1191,$CJ1191,$CL1191,$CM1191,$CN1191,$CO1191,$CP1191,$CQ1191,$CR1191,$CS1191,$CT1191)</f>
        <v/>
      </c>
      <c r="DX1191" s="66">
        <f>AVERAGE($CB1191,$CC1191,$CM1191,$CE1191,$CP1191)</f>
        <v/>
      </c>
      <c r="DY1191" s="64">
        <f>($DW1191-$DW1192)*100</f>
        <v/>
      </c>
      <c r="DZ1191" s="64">
        <f>($DX1191-$DX1192)*100</f>
        <v/>
      </c>
      <c r="EA1191" s="64">
        <f>($DW1191-$D1191)*100</f>
        <v/>
      </c>
      <c r="EB1191" s="64">
        <f>$Q1191-$O1191</f>
        <v/>
      </c>
      <c r="EC1191" s="67">
        <f>IFERROR($Q1191/$P1191,"")</f>
        <v/>
      </c>
    </row>
    <row r="1192">
      <c r="DG1192" s="64">
        <f>($B1192-$B1193)*100</f>
        <v/>
      </c>
      <c r="DH1192" s="64">
        <f>($D1192-$D1193)*100</f>
        <v/>
      </c>
      <c r="DI1192" s="64">
        <f>($E1192-$E1193)*100</f>
        <v/>
      </c>
      <c r="DJ1192" s="64">
        <f>($H1192-$H1193)*100</f>
        <v/>
      </c>
      <c r="DK1192" s="65">
        <f>IFERROR($J1192/$J1193-1,"")</f>
        <v/>
      </c>
      <c r="DL1192" s="64">
        <f>$L1192-$L1193</f>
        <v/>
      </c>
      <c r="DM1192" s="64">
        <f>$K1192-$K1193</f>
        <v/>
      </c>
      <c r="DN1192" s="65">
        <f>IFERROR($N1192/$N1193-1,"")</f>
        <v/>
      </c>
      <c r="DO1192" s="65">
        <f>IFERROR($M1192/$M1193-1,"")</f>
        <v/>
      </c>
      <c r="DP1192" s="65">
        <f>IFERROR($AZ1192/$AZ1193-1,"")</f>
        <v/>
      </c>
      <c r="DQ1192" s="65">
        <f>IFERROR($BA1192/$BA1193-1,"")</f>
        <v/>
      </c>
      <c r="DR1192" s="64">
        <f>$O1192-$O1193</f>
        <v/>
      </c>
      <c r="DS1192" s="64">
        <f>$P1192-$P1193</f>
        <v/>
      </c>
      <c r="DT1192" s="64">
        <f>$Q1192-$Q1193</f>
        <v/>
      </c>
      <c r="DU1192" s="64">
        <f>$S1192-$S1193</f>
        <v/>
      </c>
      <c r="DV1192" s="65">
        <f>IFERROR(AVERAGE($AA1193/$AA1192-1,$AB1193/$AB1192-1,$AC1193/$AC1192-1,$AD1193/$AD1192-1,$AE1193/$AE1192-1,$AG1193/$AG1192-1,$AH1193/$AH1192-1,$AI1193/$AI1192-1,$AJ1193/$AJ1192-1,$AL1193/$AL1192-1,$AM1193/$AM1192-1,$AR1193/$AR1192-1,$AS1193/$AS1192-1,$AT1193/$AT1192-1,$AU1193/$AU1192-1,$AV1193/$AV1192-1,$AW1193/$AW1192-1,$AX1193/$AX1192-1,$AY1193/$AY1192-1),"")</f>
        <v/>
      </c>
      <c r="DW1192" s="66">
        <f>AVERAGE($CB1192,$CC1192,$CD1192,$CE1192,$CF1192,$CG1192,$CH1192,$CI1192,$CJ1192,$CL1192,$CM1192,$CN1192,$CO1192,$CP1192,$CQ1192,$CR1192,$CS1192,$CT1192)</f>
        <v/>
      </c>
      <c r="DX1192" s="66">
        <f>AVERAGE($CB1192,$CC1192,$CM1192,$CE1192,$CP1192)</f>
        <v/>
      </c>
      <c r="DY1192" s="64">
        <f>($DW1192-$DW1193)*100</f>
        <v/>
      </c>
      <c r="DZ1192" s="64">
        <f>($DX1192-$DX1193)*100</f>
        <v/>
      </c>
      <c r="EA1192" s="64">
        <f>($DW1192-$D1192)*100</f>
        <v/>
      </c>
      <c r="EB1192" s="64">
        <f>$Q1192-$O1192</f>
        <v/>
      </c>
      <c r="EC1192" s="67">
        <f>IFERROR($Q1192/$P1192,"")</f>
        <v/>
      </c>
    </row>
    <row r="1193">
      <c r="DG1193" s="64">
        <f>($B1193-$B1194)*100</f>
        <v/>
      </c>
      <c r="DH1193" s="64">
        <f>($D1193-$D1194)*100</f>
        <v/>
      </c>
      <c r="DI1193" s="64">
        <f>($E1193-$E1194)*100</f>
        <v/>
      </c>
      <c r="DJ1193" s="64">
        <f>($H1193-$H1194)*100</f>
        <v/>
      </c>
      <c r="DK1193" s="65">
        <f>IFERROR($J1193/$J1194-1,"")</f>
        <v/>
      </c>
      <c r="DL1193" s="64">
        <f>$L1193-$L1194</f>
        <v/>
      </c>
      <c r="DM1193" s="64">
        <f>$K1193-$K1194</f>
        <v/>
      </c>
      <c r="DN1193" s="65">
        <f>IFERROR($N1193/$N1194-1,"")</f>
        <v/>
      </c>
      <c r="DO1193" s="65">
        <f>IFERROR($M1193/$M1194-1,"")</f>
        <v/>
      </c>
      <c r="DP1193" s="65">
        <f>IFERROR($AZ1193/$AZ1194-1,"")</f>
        <v/>
      </c>
      <c r="DQ1193" s="65">
        <f>IFERROR($BA1193/$BA1194-1,"")</f>
        <v/>
      </c>
      <c r="DR1193" s="64">
        <f>$O1193-$O1194</f>
        <v/>
      </c>
      <c r="DS1193" s="64">
        <f>$P1193-$P1194</f>
        <v/>
      </c>
      <c r="DT1193" s="64">
        <f>$Q1193-$Q1194</f>
        <v/>
      </c>
      <c r="DU1193" s="64">
        <f>$S1193-$S1194</f>
        <v/>
      </c>
      <c r="DV1193" s="65">
        <f>IFERROR(AVERAGE($AA1194/$AA1193-1,$AB1194/$AB1193-1,$AC1194/$AC1193-1,$AD1194/$AD1193-1,$AE1194/$AE1193-1,$AG1194/$AG1193-1,$AH1194/$AH1193-1,$AI1194/$AI1193-1,$AJ1194/$AJ1193-1,$AL1194/$AL1193-1,$AM1194/$AM1193-1,$AR1194/$AR1193-1,$AS1194/$AS1193-1,$AT1194/$AT1193-1,$AU1194/$AU1193-1,$AV1194/$AV1193-1,$AW1194/$AW1193-1,$AX1194/$AX1193-1,$AY1194/$AY1193-1),"")</f>
        <v/>
      </c>
      <c r="DW1193" s="66">
        <f>AVERAGE($CB1193,$CC1193,$CD1193,$CE1193,$CF1193,$CG1193,$CH1193,$CI1193,$CJ1193,$CL1193,$CM1193,$CN1193,$CO1193,$CP1193,$CQ1193,$CR1193,$CS1193,$CT1193)</f>
        <v/>
      </c>
      <c r="DX1193" s="66">
        <f>AVERAGE($CB1193,$CC1193,$CM1193,$CE1193,$CP1193)</f>
        <v/>
      </c>
      <c r="DY1193" s="64">
        <f>($DW1193-$DW1194)*100</f>
        <v/>
      </c>
      <c r="DZ1193" s="64">
        <f>($DX1193-$DX1194)*100</f>
        <v/>
      </c>
      <c r="EA1193" s="64">
        <f>($DW1193-$D1193)*100</f>
        <v/>
      </c>
      <c r="EB1193" s="64">
        <f>$Q1193-$O1193</f>
        <v/>
      </c>
      <c r="EC1193" s="67">
        <f>IFERROR($Q1193/$P1193,"")</f>
        <v/>
      </c>
    </row>
    <row r="1194">
      <c r="DG1194" s="64">
        <f>($B1194-$B1195)*100</f>
        <v/>
      </c>
      <c r="DH1194" s="64">
        <f>($D1194-$D1195)*100</f>
        <v/>
      </c>
      <c r="DI1194" s="64">
        <f>($E1194-$E1195)*100</f>
        <v/>
      </c>
      <c r="DJ1194" s="64">
        <f>($H1194-$H1195)*100</f>
        <v/>
      </c>
      <c r="DK1194" s="65">
        <f>IFERROR($J1194/$J1195-1,"")</f>
        <v/>
      </c>
      <c r="DL1194" s="64">
        <f>$L1194-$L1195</f>
        <v/>
      </c>
      <c r="DM1194" s="64">
        <f>$K1194-$K1195</f>
        <v/>
      </c>
      <c r="DN1194" s="65">
        <f>IFERROR($N1194/$N1195-1,"")</f>
        <v/>
      </c>
      <c r="DO1194" s="65">
        <f>IFERROR($M1194/$M1195-1,"")</f>
        <v/>
      </c>
      <c r="DP1194" s="65">
        <f>IFERROR($AZ1194/$AZ1195-1,"")</f>
        <v/>
      </c>
      <c r="DQ1194" s="65">
        <f>IFERROR($BA1194/$BA1195-1,"")</f>
        <v/>
      </c>
      <c r="DR1194" s="64">
        <f>$O1194-$O1195</f>
        <v/>
      </c>
      <c r="DS1194" s="64">
        <f>$P1194-$P1195</f>
        <v/>
      </c>
      <c r="DT1194" s="64">
        <f>$Q1194-$Q1195</f>
        <v/>
      </c>
      <c r="DU1194" s="64">
        <f>$S1194-$S1195</f>
        <v/>
      </c>
      <c r="DV1194" s="65">
        <f>IFERROR(AVERAGE($AA1195/$AA1194-1,$AB1195/$AB1194-1,$AC1195/$AC1194-1,$AD1195/$AD1194-1,$AE1195/$AE1194-1,$AG1195/$AG1194-1,$AH1195/$AH1194-1,$AI1195/$AI1194-1,$AJ1195/$AJ1194-1,$AL1195/$AL1194-1,$AM1195/$AM1194-1,$AR1195/$AR1194-1,$AS1195/$AS1194-1,$AT1195/$AT1194-1,$AU1195/$AU1194-1,$AV1195/$AV1194-1,$AW1195/$AW1194-1,$AX1195/$AX1194-1,$AY1195/$AY1194-1),"")</f>
        <v/>
      </c>
      <c r="DW1194" s="66">
        <f>AVERAGE($CB1194,$CC1194,$CD1194,$CE1194,$CF1194,$CG1194,$CH1194,$CI1194,$CJ1194,$CL1194,$CM1194,$CN1194,$CO1194,$CP1194,$CQ1194,$CR1194,$CS1194,$CT1194)</f>
        <v/>
      </c>
      <c r="DX1194" s="66">
        <f>AVERAGE($CB1194,$CC1194,$CM1194,$CE1194,$CP1194)</f>
        <v/>
      </c>
      <c r="DY1194" s="64">
        <f>($DW1194-$DW1195)*100</f>
        <v/>
      </c>
      <c r="DZ1194" s="64">
        <f>($DX1194-$DX1195)*100</f>
        <v/>
      </c>
      <c r="EA1194" s="64">
        <f>($DW1194-$D1194)*100</f>
        <v/>
      </c>
      <c r="EB1194" s="64">
        <f>$Q1194-$O1194</f>
        <v/>
      </c>
      <c r="EC1194" s="67">
        <f>IFERROR($Q1194/$P1194,"")</f>
        <v/>
      </c>
    </row>
    <row r="1195">
      <c r="DG1195" s="64">
        <f>($B1195-$B1196)*100</f>
        <v/>
      </c>
      <c r="DH1195" s="64">
        <f>($D1195-$D1196)*100</f>
        <v/>
      </c>
      <c r="DI1195" s="64">
        <f>($E1195-$E1196)*100</f>
        <v/>
      </c>
      <c r="DJ1195" s="64">
        <f>($H1195-$H1196)*100</f>
        <v/>
      </c>
      <c r="DK1195" s="65">
        <f>IFERROR($J1195/$J1196-1,"")</f>
        <v/>
      </c>
      <c r="DL1195" s="64">
        <f>$L1195-$L1196</f>
        <v/>
      </c>
      <c r="DM1195" s="64">
        <f>$K1195-$K1196</f>
        <v/>
      </c>
      <c r="DN1195" s="65">
        <f>IFERROR($N1195/$N1196-1,"")</f>
        <v/>
      </c>
      <c r="DO1195" s="65">
        <f>IFERROR($M1195/$M1196-1,"")</f>
        <v/>
      </c>
      <c r="DP1195" s="65">
        <f>IFERROR($AZ1195/$AZ1196-1,"")</f>
        <v/>
      </c>
      <c r="DQ1195" s="65">
        <f>IFERROR($BA1195/$BA1196-1,"")</f>
        <v/>
      </c>
      <c r="DR1195" s="64">
        <f>$O1195-$O1196</f>
        <v/>
      </c>
      <c r="DS1195" s="64">
        <f>$P1195-$P1196</f>
        <v/>
      </c>
      <c r="DT1195" s="64">
        <f>$Q1195-$Q1196</f>
        <v/>
      </c>
      <c r="DU1195" s="64">
        <f>$S1195-$S1196</f>
        <v/>
      </c>
      <c r="DV1195" s="65">
        <f>IFERROR(AVERAGE($AA1196/$AA1195-1,$AB1196/$AB1195-1,$AC1196/$AC1195-1,$AD1196/$AD1195-1,$AE1196/$AE1195-1,$AG1196/$AG1195-1,$AH1196/$AH1195-1,$AI1196/$AI1195-1,$AJ1196/$AJ1195-1,$AL1196/$AL1195-1,$AM1196/$AM1195-1,$AR1196/$AR1195-1,$AS1196/$AS1195-1,$AT1196/$AT1195-1,$AU1196/$AU1195-1,$AV1196/$AV1195-1,$AW1196/$AW1195-1,$AX1196/$AX1195-1,$AY1196/$AY1195-1),"")</f>
        <v/>
      </c>
      <c r="DW1195" s="66">
        <f>AVERAGE($CB1195,$CC1195,$CD1195,$CE1195,$CF1195,$CG1195,$CH1195,$CI1195,$CJ1195,$CL1195,$CM1195,$CN1195,$CO1195,$CP1195,$CQ1195,$CR1195,$CS1195,$CT1195)</f>
        <v/>
      </c>
      <c r="DX1195" s="66">
        <f>AVERAGE($CB1195,$CC1195,$CM1195,$CE1195,$CP1195)</f>
        <v/>
      </c>
      <c r="DY1195" s="64">
        <f>($DW1195-$DW1196)*100</f>
        <v/>
      </c>
      <c r="DZ1195" s="64">
        <f>($DX1195-$DX1196)*100</f>
        <v/>
      </c>
      <c r="EA1195" s="64">
        <f>($DW1195-$D1195)*100</f>
        <v/>
      </c>
      <c r="EB1195" s="64">
        <f>$Q1195-$O1195</f>
        <v/>
      </c>
      <c r="EC1195" s="67">
        <f>IFERROR($Q1195/$P1195,"")</f>
        <v/>
      </c>
    </row>
    <row r="1196">
      <c r="DG1196" s="64">
        <f>($B1196-$B1197)*100</f>
        <v/>
      </c>
      <c r="DH1196" s="64">
        <f>($D1196-$D1197)*100</f>
        <v/>
      </c>
      <c r="DI1196" s="64">
        <f>($E1196-$E1197)*100</f>
        <v/>
      </c>
      <c r="DJ1196" s="64">
        <f>($H1196-$H1197)*100</f>
        <v/>
      </c>
      <c r="DK1196" s="65">
        <f>IFERROR($J1196/$J1197-1,"")</f>
        <v/>
      </c>
      <c r="DL1196" s="64">
        <f>$L1196-$L1197</f>
        <v/>
      </c>
      <c r="DM1196" s="64">
        <f>$K1196-$K1197</f>
        <v/>
      </c>
      <c r="DN1196" s="65">
        <f>IFERROR($N1196/$N1197-1,"")</f>
        <v/>
      </c>
      <c r="DO1196" s="65">
        <f>IFERROR($M1196/$M1197-1,"")</f>
        <v/>
      </c>
      <c r="DP1196" s="65">
        <f>IFERROR($AZ1196/$AZ1197-1,"")</f>
        <v/>
      </c>
      <c r="DQ1196" s="65">
        <f>IFERROR($BA1196/$BA1197-1,"")</f>
        <v/>
      </c>
      <c r="DR1196" s="64">
        <f>$O1196-$O1197</f>
        <v/>
      </c>
      <c r="DS1196" s="64">
        <f>$P1196-$P1197</f>
        <v/>
      </c>
      <c r="DT1196" s="64">
        <f>$Q1196-$Q1197</f>
        <v/>
      </c>
      <c r="DU1196" s="64">
        <f>$S1196-$S1197</f>
        <v/>
      </c>
      <c r="DV1196" s="65">
        <f>IFERROR(AVERAGE($AA1197/$AA1196-1,$AB1197/$AB1196-1,$AC1197/$AC1196-1,$AD1197/$AD1196-1,$AE1197/$AE1196-1,$AG1197/$AG1196-1,$AH1197/$AH1196-1,$AI1197/$AI1196-1,$AJ1197/$AJ1196-1,$AL1197/$AL1196-1,$AM1197/$AM1196-1,$AR1197/$AR1196-1,$AS1197/$AS1196-1,$AT1197/$AT1196-1,$AU1197/$AU1196-1,$AV1197/$AV1196-1,$AW1197/$AW1196-1,$AX1197/$AX1196-1,$AY1197/$AY1196-1),"")</f>
        <v/>
      </c>
      <c r="DW1196" s="66">
        <f>AVERAGE($CB1196,$CC1196,$CD1196,$CE1196,$CF1196,$CG1196,$CH1196,$CI1196,$CJ1196,$CL1196,$CM1196,$CN1196,$CO1196,$CP1196,$CQ1196,$CR1196,$CS1196,$CT1196)</f>
        <v/>
      </c>
      <c r="DX1196" s="66">
        <f>AVERAGE($CB1196,$CC1196,$CM1196,$CE1196,$CP1196)</f>
        <v/>
      </c>
      <c r="DY1196" s="64">
        <f>($DW1196-$DW1197)*100</f>
        <v/>
      </c>
      <c r="DZ1196" s="64">
        <f>($DX1196-$DX1197)*100</f>
        <v/>
      </c>
      <c r="EA1196" s="64">
        <f>($DW1196-$D1196)*100</f>
        <v/>
      </c>
      <c r="EB1196" s="64">
        <f>$Q1196-$O1196</f>
        <v/>
      </c>
      <c r="EC1196" s="67">
        <f>IFERROR($Q1196/$P1196,"")</f>
        <v/>
      </c>
    </row>
    <row r="1197">
      <c r="DG1197" s="64">
        <f>($B1197-$B1198)*100</f>
        <v/>
      </c>
      <c r="DH1197" s="64">
        <f>($D1197-$D1198)*100</f>
        <v/>
      </c>
      <c r="DI1197" s="64">
        <f>($E1197-$E1198)*100</f>
        <v/>
      </c>
      <c r="DJ1197" s="64">
        <f>($H1197-$H1198)*100</f>
        <v/>
      </c>
      <c r="DK1197" s="65">
        <f>IFERROR($J1197/$J1198-1,"")</f>
        <v/>
      </c>
      <c r="DL1197" s="64">
        <f>$L1197-$L1198</f>
        <v/>
      </c>
      <c r="DM1197" s="64">
        <f>$K1197-$K1198</f>
        <v/>
      </c>
      <c r="DN1197" s="65">
        <f>IFERROR($N1197/$N1198-1,"")</f>
        <v/>
      </c>
      <c r="DO1197" s="65">
        <f>IFERROR($M1197/$M1198-1,"")</f>
        <v/>
      </c>
      <c r="DP1197" s="65">
        <f>IFERROR($AZ1197/$AZ1198-1,"")</f>
        <v/>
      </c>
      <c r="DQ1197" s="65">
        <f>IFERROR($BA1197/$BA1198-1,"")</f>
        <v/>
      </c>
      <c r="DR1197" s="64">
        <f>$O1197-$O1198</f>
        <v/>
      </c>
      <c r="DS1197" s="64">
        <f>$P1197-$P1198</f>
        <v/>
      </c>
      <c r="DT1197" s="64">
        <f>$Q1197-$Q1198</f>
        <v/>
      </c>
      <c r="DU1197" s="64">
        <f>$S1197-$S1198</f>
        <v/>
      </c>
      <c r="DV1197" s="65">
        <f>IFERROR(AVERAGE($AA1198/$AA1197-1,$AB1198/$AB1197-1,$AC1198/$AC1197-1,$AD1198/$AD1197-1,$AE1198/$AE1197-1,$AG1198/$AG1197-1,$AH1198/$AH1197-1,$AI1198/$AI1197-1,$AJ1198/$AJ1197-1,$AL1198/$AL1197-1,$AM1198/$AM1197-1,$AR1198/$AR1197-1,$AS1198/$AS1197-1,$AT1198/$AT1197-1,$AU1198/$AU1197-1,$AV1198/$AV1197-1,$AW1198/$AW1197-1,$AX1198/$AX1197-1,$AY1198/$AY1197-1),"")</f>
        <v/>
      </c>
      <c r="DW1197" s="66">
        <f>AVERAGE($CB1197,$CC1197,$CD1197,$CE1197,$CF1197,$CG1197,$CH1197,$CI1197,$CJ1197,$CL1197,$CM1197,$CN1197,$CO1197,$CP1197,$CQ1197,$CR1197,$CS1197,$CT1197)</f>
        <v/>
      </c>
      <c r="DX1197" s="66">
        <f>AVERAGE($CB1197,$CC1197,$CM1197,$CE1197,$CP1197)</f>
        <v/>
      </c>
      <c r="DY1197" s="64">
        <f>($DW1197-$DW1198)*100</f>
        <v/>
      </c>
      <c r="DZ1197" s="64">
        <f>($DX1197-$DX1198)*100</f>
        <v/>
      </c>
      <c r="EA1197" s="64">
        <f>($DW1197-$D1197)*100</f>
        <v/>
      </c>
      <c r="EB1197" s="64">
        <f>$Q1197-$O1197</f>
        <v/>
      </c>
      <c r="EC1197" s="67">
        <f>IFERROR($Q1197/$P1197,"")</f>
        <v/>
      </c>
    </row>
    <row r="1198">
      <c r="DG1198" s="64">
        <f>($B1198-$B1199)*100</f>
        <v/>
      </c>
      <c r="DH1198" s="64">
        <f>($D1198-$D1199)*100</f>
        <v/>
      </c>
      <c r="DI1198" s="64">
        <f>($E1198-$E1199)*100</f>
        <v/>
      </c>
      <c r="DJ1198" s="64">
        <f>($H1198-$H1199)*100</f>
        <v/>
      </c>
      <c r="DK1198" s="65">
        <f>IFERROR($J1198/$J1199-1,"")</f>
        <v/>
      </c>
      <c r="DL1198" s="64">
        <f>$L1198-$L1199</f>
        <v/>
      </c>
      <c r="DM1198" s="64">
        <f>$K1198-$K1199</f>
        <v/>
      </c>
      <c r="DN1198" s="65">
        <f>IFERROR($N1198/$N1199-1,"")</f>
        <v/>
      </c>
      <c r="DO1198" s="65">
        <f>IFERROR($M1198/$M1199-1,"")</f>
        <v/>
      </c>
      <c r="DP1198" s="65">
        <f>IFERROR($AZ1198/$AZ1199-1,"")</f>
        <v/>
      </c>
      <c r="DQ1198" s="65">
        <f>IFERROR($BA1198/$BA1199-1,"")</f>
        <v/>
      </c>
      <c r="DR1198" s="64">
        <f>$O1198-$O1199</f>
        <v/>
      </c>
      <c r="DS1198" s="64">
        <f>$P1198-$P1199</f>
        <v/>
      </c>
      <c r="DT1198" s="64">
        <f>$Q1198-$Q1199</f>
        <v/>
      </c>
      <c r="DU1198" s="64">
        <f>$S1198-$S1199</f>
        <v/>
      </c>
      <c r="DV1198" s="65">
        <f>IFERROR(AVERAGE($AA1199/$AA1198-1,$AB1199/$AB1198-1,$AC1199/$AC1198-1,$AD1199/$AD1198-1,$AE1199/$AE1198-1,$AG1199/$AG1198-1,$AH1199/$AH1198-1,$AI1199/$AI1198-1,$AJ1199/$AJ1198-1,$AL1199/$AL1198-1,$AM1199/$AM1198-1,$AR1199/$AR1198-1,$AS1199/$AS1198-1,$AT1199/$AT1198-1,$AU1199/$AU1198-1,$AV1199/$AV1198-1,$AW1199/$AW1198-1,$AX1199/$AX1198-1,$AY1199/$AY1198-1),"")</f>
        <v/>
      </c>
      <c r="DW1198" s="66">
        <f>AVERAGE($CB1198,$CC1198,$CD1198,$CE1198,$CF1198,$CG1198,$CH1198,$CI1198,$CJ1198,$CL1198,$CM1198,$CN1198,$CO1198,$CP1198,$CQ1198,$CR1198,$CS1198,$CT1198)</f>
        <v/>
      </c>
      <c r="DX1198" s="66">
        <f>AVERAGE($CB1198,$CC1198,$CM1198,$CE1198,$CP1198)</f>
        <v/>
      </c>
      <c r="DY1198" s="64">
        <f>($DW1198-$DW1199)*100</f>
        <v/>
      </c>
      <c r="DZ1198" s="64">
        <f>($DX1198-$DX1199)*100</f>
        <v/>
      </c>
      <c r="EA1198" s="64">
        <f>($DW1198-$D1198)*100</f>
        <v/>
      </c>
      <c r="EB1198" s="64">
        <f>$Q1198-$O1198</f>
        <v/>
      </c>
      <c r="EC1198" s="67">
        <f>IFERROR($Q1198/$P1198,"")</f>
        <v/>
      </c>
    </row>
    <row r="1199">
      <c r="DG1199" s="64">
        <f>($B1199-$B1200)*100</f>
        <v/>
      </c>
      <c r="DH1199" s="64">
        <f>($D1199-$D1200)*100</f>
        <v/>
      </c>
      <c r="DI1199" s="64">
        <f>($E1199-$E1200)*100</f>
        <v/>
      </c>
      <c r="DJ1199" s="64">
        <f>($H1199-$H1200)*100</f>
        <v/>
      </c>
      <c r="DK1199" s="65">
        <f>IFERROR($J1199/$J1200-1,"")</f>
        <v/>
      </c>
      <c r="DL1199" s="64">
        <f>$L1199-$L1200</f>
        <v/>
      </c>
      <c r="DM1199" s="64">
        <f>$K1199-$K1200</f>
        <v/>
      </c>
      <c r="DN1199" s="65">
        <f>IFERROR($N1199/$N1200-1,"")</f>
        <v/>
      </c>
      <c r="DO1199" s="65">
        <f>IFERROR($M1199/$M1200-1,"")</f>
        <v/>
      </c>
      <c r="DP1199" s="65">
        <f>IFERROR($AZ1199/$AZ1200-1,"")</f>
        <v/>
      </c>
      <c r="DQ1199" s="65">
        <f>IFERROR($BA1199/$BA1200-1,"")</f>
        <v/>
      </c>
      <c r="DR1199" s="64">
        <f>$O1199-$O1200</f>
        <v/>
      </c>
      <c r="DS1199" s="64">
        <f>$P1199-$P1200</f>
        <v/>
      </c>
      <c r="DT1199" s="64">
        <f>$Q1199-$Q1200</f>
        <v/>
      </c>
      <c r="DU1199" s="64">
        <f>$S1199-$S1200</f>
        <v/>
      </c>
      <c r="DV1199" s="65">
        <f>IFERROR(AVERAGE($AA1200/$AA1199-1,$AB1200/$AB1199-1,$AC1200/$AC1199-1,$AD1200/$AD1199-1,$AE1200/$AE1199-1,$AG1200/$AG1199-1,$AH1200/$AH1199-1,$AI1200/$AI1199-1,$AJ1200/$AJ1199-1,$AL1200/$AL1199-1,$AM1200/$AM1199-1,$AR1200/$AR1199-1,$AS1200/$AS1199-1,$AT1200/$AT1199-1,$AU1200/$AU1199-1,$AV1200/$AV1199-1,$AW1200/$AW1199-1,$AX1200/$AX1199-1,$AY1200/$AY1199-1),"")</f>
        <v/>
      </c>
      <c r="DW1199" s="66">
        <f>AVERAGE($CB1199,$CC1199,$CD1199,$CE1199,$CF1199,$CG1199,$CH1199,$CI1199,$CJ1199,$CL1199,$CM1199,$CN1199,$CO1199,$CP1199,$CQ1199,$CR1199,$CS1199,$CT1199)</f>
        <v/>
      </c>
      <c r="DX1199" s="66">
        <f>AVERAGE($CB1199,$CC1199,$CM1199,$CE1199,$CP1199)</f>
        <v/>
      </c>
      <c r="DY1199" s="64">
        <f>($DW1199-$DW1200)*100</f>
        <v/>
      </c>
      <c r="DZ1199" s="64">
        <f>($DX1199-$DX1200)*100</f>
        <v/>
      </c>
      <c r="EA1199" s="64">
        <f>($DW1199-$D1199)*100</f>
        <v/>
      </c>
      <c r="EB1199" s="64">
        <f>$Q1199-$O1199</f>
        <v/>
      </c>
      <c r="EC1199" s="67">
        <f>IFERROR($Q1199/$P1199,"")</f>
        <v/>
      </c>
    </row>
    <row r="1200">
      <c r="DG1200" s="64">
        <f>($B1200-$B1201)*100</f>
        <v/>
      </c>
      <c r="DH1200" s="64">
        <f>($D1200-$D1201)*100</f>
        <v/>
      </c>
      <c r="DI1200" s="64">
        <f>($E1200-$E1201)*100</f>
        <v/>
      </c>
      <c r="DJ1200" s="64">
        <f>($H1200-$H1201)*100</f>
        <v/>
      </c>
      <c r="DK1200" s="65">
        <f>IFERROR($J1200/$J1201-1,"")</f>
        <v/>
      </c>
      <c r="DL1200" s="64">
        <f>$L1200-$L1201</f>
        <v/>
      </c>
      <c r="DM1200" s="64">
        <f>$K1200-$K1201</f>
        <v/>
      </c>
      <c r="DN1200" s="65">
        <f>IFERROR($N1200/$N1201-1,"")</f>
        <v/>
      </c>
      <c r="DO1200" s="65">
        <f>IFERROR($M1200/$M1201-1,"")</f>
        <v/>
      </c>
      <c r="DP1200" s="65">
        <f>IFERROR($AZ1200/$AZ1201-1,"")</f>
        <v/>
      </c>
      <c r="DQ1200" s="65">
        <f>IFERROR($BA1200/$BA1201-1,"")</f>
        <v/>
      </c>
      <c r="DR1200" s="64">
        <f>$O1200-$O1201</f>
        <v/>
      </c>
      <c r="DS1200" s="64">
        <f>$P1200-$P1201</f>
        <v/>
      </c>
      <c r="DT1200" s="64">
        <f>$Q1200-$Q1201</f>
        <v/>
      </c>
      <c r="DU1200" s="64">
        <f>$S1200-$S1201</f>
        <v/>
      </c>
      <c r="DV1200" s="65">
        <f>IFERROR(AVERAGE($AA1201/$AA1200-1,$AB1201/$AB1200-1,$AC1201/$AC1200-1,$AD1201/$AD1200-1,$AE1201/$AE1200-1,$AG1201/$AG1200-1,$AH1201/$AH1200-1,$AI1201/$AI1200-1,$AJ1201/$AJ1200-1,$AL1201/$AL1200-1,$AM1201/$AM1200-1,$AR1201/$AR1200-1,$AS1201/$AS1200-1,$AT1201/$AT1200-1,$AU1201/$AU1200-1,$AV1201/$AV1200-1,$AW1201/$AW1200-1,$AX1201/$AX1200-1,$AY1201/$AY1200-1),"")</f>
        <v/>
      </c>
      <c r="DW1200" s="66">
        <f>AVERAGE($CB1200,$CC1200,$CD1200,$CE1200,$CF1200,$CG1200,$CH1200,$CI1200,$CJ1200,$CL1200,$CM1200,$CN1200,$CO1200,$CP1200,$CQ1200,$CR1200,$CS1200,$CT1200)</f>
        <v/>
      </c>
      <c r="DX1200" s="66">
        <f>AVERAGE($CB1200,$CC1200,$CM1200,$CE1200,$CP1200)</f>
        <v/>
      </c>
      <c r="DY1200" s="64">
        <f>($DW1200-$DW1201)*100</f>
        <v/>
      </c>
      <c r="DZ1200" s="64">
        <f>($DX1200-$DX1201)*100</f>
        <v/>
      </c>
      <c r="EA1200" s="64">
        <f>($DW1200-$D1200)*100</f>
        <v/>
      </c>
      <c r="EB1200" s="64">
        <f>$Q1200-$O1200</f>
        <v/>
      </c>
      <c r="EC1200" s="67">
        <f>IFERROR($Q1200/$P1200,"")</f>
        <v/>
      </c>
    </row>
    <row r="1201">
      <c r="DG1201" s="64">
        <f>($B1201-$B1202)*100</f>
        <v/>
      </c>
      <c r="DH1201" s="64">
        <f>($D1201-$D1202)*100</f>
        <v/>
      </c>
      <c r="DI1201" s="64">
        <f>($E1201-$E1202)*100</f>
        <v/>
      </c>
      <c r="DJ1201" s="64">
        <f>($H1201-$H1202)*100</f>
        <v/>
      </c>
      <c r="DK1201" s="65">
        <f>IFERROR($J1201/$J1202-1,"")</f>
        <v/>
      </c>
      <c r="DL1201" s="64">
        <f>$L1201-$L1202</f>
        <v/>
      </c>
      <c r="DM1201" s="64">
        <f>$K1201-$K1202</f>
        <v/>
      </c>
      <c r="DN1201" s="65">
        <f>IFERROR($N1201/$N1202-1,"")</f>
        <v/>
      </c>
      <c r="DO1201" s="65">
        <f>IFERROR($M1201/$M1202-1,"")</f>
        <v/>
      </c>
      <c r="DP1201" s="65">
        <f>IFERROR($AZ1201/$AZ1202-1,"")</f>
        <v/>
      </c>
      <c r="DQ1201" s="65">
        <f>IFERROR($BA1201/$BA1202-1,"")</f>
        <v/>
      </c>
      <c r="DR1201" s="64">
        <f>$O1201-$O1202</f>
        <v/>
      </c>
      <c r="DS1201" s="64">
        <f>$P1201-$P1202</f>
        <v/>
      </c>
      <c r="DT1201" s="64">
        <f>$Q1201-$Q1202</f>
        <v/>
      </c>
      <c r="DU1201" s="64">
        <f>$S1201-$S1202</f>
        <v/>
      </c>
      <c r="DV1201" s="65">
        <f>IFERROR(AVERAGE($AA1202/$AA1201-1,$AB1202/$AB1201-1,$AC1202/$AC1201-1,$AD1202/$AD1201-1,$AE1202/$AE1201-1,$AG1202/$AG1201-1,$AH1202/$AH1201-1,$AI1202/$AI1201-1,$AJ1202/$AJ1201-1,$AL1202/$AL1201-1,$AM1202/$AM1201-1,$AR1202/$AR1201-1,$AS1202/$AS1201-1,$AT1202/$AT1201-1,$AU1202/$AU1201-1,$AV1202/$AV1201-1,$AW1202/$AW1201-1,$AX1202/$AX1201-1,$AY1202/$AY1201-1),"")</f>
        <v/>
      </c>
      <c r="DW1201" s="66">
        <f>AVERAGE($CB1201,$CC1201,$CD1201,$CE1201,$CF1201,$CG1201,$CH1201,$CI1201,$CJ1201,$CL1201,$CM1201,$CN1201,$CO1201,$CP1201,$CQ1201,$CR1201,$CS1201,$CT1201)</f>
        <v/>
      </c>
      <c r="DX1201" s="66">
        <f>AVERAGE($CB1201,$CC1201,$CM1201,$CE1201,$CP1201)</f>
        <v/>
      </c>
      <c r="DY1201" s="64">
        <f>($DW1201-$DW1202)*100</f>
        <v/>
      </c>
      <c r="DZ1201" s="64">
        <f>($DX1201-$DX1202)*100</f>
        <v/>
      </c>
      <c r="EA1201" s="64">
        <f>($DW1201-$D1201)*100</f>
        <v/>
      </c>
      <c r="EB1201" s="64">
        <f>$Q1201-$O1201</f>
        <v/>
      </c>
      <c r="EC1201" s="67">
        <f>IFERROR($Q1201/$P1201,"")</f>
        <v/>
      </c>
    </row>
    <row r="1202">
      <c r="DG1202" s="64">
        <f>($B1202-$B1203)*100</f>
        <v/>
      </c>
      <c r="DH1202" s="64">
        <f>($D1202-$D1203)*100</f>
        <v/>
      </c>
      <c r="DI1202" s="64">
        <f>($E1202-$E1203)*100</f>
        <v/>
      </c>
      <c r="DJ1202" s="64">
        <f>($H1202-$H1203)*100</f>
        <v/>
      </c>
      <c r="DK1202" s="65">
        <f>IFERROR($J1202/$J1203-1,"")</f>
        <v/>
      </c>
      <c r="DL1202" s="64">
        <f>$L1202-$L1203</f>
        <v/>
      </c>
      <c r="DM1202" s="64">
        <f>$K1202-$K1203</f>
        <v/>
      </c>
      <c r="DN1202" s="65">
        <f>IFERROR($N1202/$N1203-1,"")</f>
        <v/>
      </c>
      <c r="DO1202" s="65">
        <f>IFERROR($M1202/$M1203-1,"")</f>
        <v/>
      </c>
      <c r="DP1202" s="65">
        <f>IFERROR($AZ1202/$AZ1203-1,"")</f>
        <v/>
      </c>
      <c r="DQ1202" s="65">
        <f>IFERROR($BA1202/$BA1203-1,"")</f>
        <v/>
      </c>
      <c r="DR1202" s="64">
        <f>$O1202-$O1203</f>
        <v/>
      </c>
      <c r="DS1202" s="64">
        <f>$P1202-$P1203</f>
        <v/>
      </c>
      <c r="DT1202" s="64">
        <f>$Q1202-$Q1203</f>
        <v/>
      </c>
      <c r="DU1202" s="64">
        <f>$S1202-$S1203</f>
        <v/>
      </c>
      <c r="DV1202" s="65">
        <f>IFERROR(AVERAGE($AA1203/$AA1202-1,$AB1203/$AB1202-1,$AC1203/$AC1202-1,$AD1203/$AD1202-1,$AE1203/$AE1202-1,$AG1203/$AG1202-1,$AH1203/$AH1202-1,$AI1203/$AI1202-1,$AJ1203/$AJ1202-1,$AL1203/$AL1202-1,$AM1203/$AM1202-1,$AR1203/$AR1202-1,$AS1203/$AS1202-1,$AT1203/$AT1202-1,$AU1203/$AU1202-1,$AV1203/$AV1202-1,$AW1203/$AW1202-1,$AX1203/$AX1202-1,$AY1203/$AY1202-1),"")</f>
        <v/>
      </c>
      <c r="DW1202" s="66">
        <f>AVERAGE($CB1202,$CC1202,$CD1202,$CE1202,$CF1202,$CG1202,$CH1202,$CI1202,$CJ1202,$CL1202,$CM1202,$CN1202,$CO1202,$CP1202,$CQ1202,$CR1202,$CS1202,$CT1202)</f>
        <v/>
      </c>
      <c r="DX1202" s="66">
        <f>AVERAGE($CB1202,$CC1202,$CM1202,$CE1202,$CP1202)</f>
        <v/>
      </c>
      <c r="DY1202" s="64">
        <f>($DW1202-$DW1203)*100</f>
        <v/>
      </c>
      <c r="DZ1202" s="64">
        <f>($DX1202-$DX1203)*100</f>
        <v/>
      </c>
      <c r="EA1202" s="64">
        <f>($DW1202-$D1202)*100</f>
        <v/>
      </c>
      <c r="EB1202" s="64">
        <f>$Q1202-$O1202</f>
        <v/>
      </c>
      <c r="EC1202" s="67">
        <f>IFERROR($Q1202/$P1202,"")</f>
        <v/>
      </c>
    </row>
    <row r="1203">
      <c r="DG1203" s="64">
        <f>($B1203-$B1204)*100</f>
        <v/>
      </c>
      <c r="DH1203" s="64">
        <f>($D1203-$D1204)*100</f>
        <v/>
      </c>
      <c r="DI1203" s="64">
        <f>($E1203-$E1204)*100</f>
        <v/>
      </c>
      <c r="DJ1203" s="64">
        <f>($H1203-$H1204)*100</f>
        <v/>
      </c>
      <c r="DK1203" s="65">
        <f>IFERROR($J1203/$J1204-1,"")</f>
        <v/>
      </c>
      <c r="DL1203" s="64">
        <f>$L1203-$L1204</f>
        <v/>
      </c>
      <c r="DM1203" s="64">
        <f>$K1203-$K1204</f>
        <v/>
      </c>
      <c r="DN1203" s="65">
        <f>IFERROR($N1203/$N1204-1,"")</f>
        <v/>
      </c>
      <c r="DO1203" s="65">
        <f>IFERROR($M1203/$M1204-1,"")</f>
        <v/>
      </c>
      <c r="DP1203" s="65">
        <f>IFERROR($AZ1203/$AZ1204-1,"")</f>
        <v/>
      </c>
      <c r="DQ1203" s="65">
        <f>IFERROR($BA1203/$BA1204-1,"")</f>
        <v/>
      </c>
      <c r="DR1203" s="64">
        <f>$O1203-$O1204</f>
        <v/>
      </c>
      <c r="DS1203" s="64">
        <f>$P1203-$P1204</f>
        <v/>
      </c>
      <c r="DT1203" s="64">
        <f>$Q1203-$Q1204</f>
        <v/>
      </c>
      <c r="DU1203" s="64">
        <f>$S1203-$S1204</f>
        <v/>
      </c>
      <c r="DV1203" s="65">
        <f>IFERROR(AVERAGE($AA1204/$AA1203-1,$AB1204/$AB1203-1,$AC1204/$AC1203-1,$AD1204/$AD1203-1,$AE1204/$AE1203-1,$AG1204/$AG1203-1,$AH1204/$AH1203-1,$AI1204/$AI1203-1,$AJ1204/$AJ1203-1,$AL1204/$AL1203-1,$AM1204/$AM1203-1,$AR1204/$AR1203-1,$AS1204/$AS1203-1,$AT1204/$AT1203-1,$AU1204/$AU1203-1,$AV1204/$AV1203-1,$AW1204/$AW1203-1,$AX1204/$AX1203-1,$AY1204/$AY1203-1),"")</f>
        <v/>
      </c>
      <c r="DW1203" s="66">
        <f>AVERAGE($CB1203,$CC1203,$CD1203,$CE1203,$CF1203,$CG1203,$CH1203,$CI1203,$CJ1203,$CL1203,$CM1203,$CN1203,$CO1203,$CP1203,$CQ1203,$CR1203,$CS1203,$CT1203)</f>
        <v/>
      </c>
      <c r="DX1203" s="66">
        <f>AVERAGE($CB1203,$CC1203,$CM1203,$CE1203,$CP1203)</f>
        <v/>
      </c>
      <c r="DY1203" s="64">
        <f>($DW1203-$DW1204)*100</f>
        <v/>
      </c>
      <c r="DZ1203" s="64">
        <f>($DX1203-$DX1204)*100</f>
        <v/>
      </c>
      <c r="EA1203" s="64">
        <f>($DW1203-$D1203)*100</f>
        <v/>
      </c>
      <c r="EB1203" s="64">
        <f>$Q1203-$O1203</f>
        <v/>
      </c>
      <c r="EC1203" s="67">
        <f>IFERROR($Q1203/$P1203,"")</f>
        <v/>
      </c>
    </row>
    <row r="1204">
      <c r="DG1204" s="64">
        <f>($B1204-$B1205)*100</f>
        <v/>
      </c>
      <c r="DH1204" s="64">
        <f>($D1204-$D1205)*100</f>
        <v/>
      </c>
      <c r="DI1204" s="64">
        <f>($E1204-$E1205)*100</f>
        <v/>
      </c>
      <c r="DJ1204" s="64">
        <f>($H1204-$H1205)*100</f>
        <v/>
      </c>
      <c r="DK1204" s="65">
        <f>IFERROR($J1204/$J1205-1,"")</f>
        <v/>
      </c>
      <c r="DL1204" s="64">
        <f>$L1204-$L1205</f>
        <v/>
      </c>
      <c r="DM1204" s="64">
        <f>$K1204-$K1205</f>
        <v/>
      </c>
      <c r="DN1204" s="65">
        <f>IFERROR($N1204/$N1205-1,"")</f>
        <v/>
      </c>
      <c r="DO1204" s="65">
        <f>IFERROR($M1204/$M1205-1,"")</f>
        <v/>
      </c>
      <c r="DP1204" s="65">
        <f>IFERROR($AZ1204/$AZ1205-1,"")</f>
        <v/>
      </c>
      <c r="DQ1204" s="65">
        <f>IFERROR($BA1204/$BA1205-1,"")</f>
        <v/>
      </c>
      <c r="DR1204" s="64">
        <f>$O1204-$O1205</f>
        <v/>
      </c>
      <c r="DS1204" s="64">
        <f>$P1204-$P1205</f>
        <v/>
      </c>
      <c r="DT1204" s="64">
        <f>$Q1204-$Q1205</f>
        <v/>
      </c>
      <c r="DU1204" s="64">
        <f>$S1204-$S1205</f>
        <v/>
      </c>
      <c r="DV1204" s="65">
        <f>IFERROR(AVERAGE($AA1205/$AA1204-1,$AB1205/$AB1204-1,$AC1205/$AC1204-1,$AD1205/$AD1204-1,$AE1205/$AE1204-1,$AG1205/$AG1204-1,$AH1205/$AH1204-1,$AI1205/$AI1204-1,$AJ1205/$AJ1204-1,$AL1205/$AL1204-1,$AM1205/$AM1204-1,$AR1205/$AR1204-1,$AS1205/$AS1204-1,$AT1205/$AT1204-1,$AU1205/$AU1204-1,$AV1205/$AV1204-1,$AW1205/$AW1204-1,$AX1205/$AX1204-1,$AY1205/$AY1204-1),"")</f>
        <v/>
      </c>
      <c r="DW1204" s="66">
        <f>AVERAGE($CB1204,$CC1204,$CD1204,$CE1204,$CF1204,$CG1204,$CH1204,$CI1204,$CJ1204,$CL1204,$CM1204,$CN1204,$CO1204,$CP1204,$CQ1204,$CR1204,$CS1204,$CT1204)</f>
        <v/>
      </c>
      <c r="DX1204" s="66">
        <f>AVERAGE($CB1204,$CC1204,$CM1204,$CE1204,$CP1204)</f>
        <v/>
      </c>
      <c r="DY1204" s="64">
        <f>($DW1204-$DW1205)*100</f>
        <v/>
      </c>
      <c r="DZ1204" s="64">
        <f>($DX1204-$DX1205)*100</f>
        <v/>
      </c>
      <c r="EA1204" s="64">
        <f>($DW1204-$D1204)*100</f>
        <v/>
      </c>
      <c r="EB1204" s="64">
        <f>$Q1204-$O1204</f>
        <v/>
      </c>
      <c r="EC1204" s="67">
        <f>IFERROR($Q1204/$P1204,"")</f>
        <v/>
      </c>
    </row>
    <row r="1205">
      <c r="DG1205" s="64">
        <f>($B1205-$B1206)*100</f>
        <v/>
      </c>
      <c r="DH1205" s="64">
        <f>($D1205-$D1206)*100</f>
        <v/>
      </c>
      <c r="DI1205" s="64">
        <f>($E1205-$E1206)*100</f>
        <v/>
      </c>
      <c r="DJ1205" s="64">
        <f>($H1205-$H1206)*100</f>
        <v/>
      </c>
      <c r="DK1205" s="65">
        <f>IFERROR($J1205/$J1206-1,"")</f>
        <v/>
      </c>
      <c r="DL1205" s="64">
        <f>$L1205-$L1206</f>
        <v/>
      </c>
      <c r="DM1205" s="64">
        <f>$K1205-$K1206</f>
        <v/>
      </c>
      <c r="DN1205" s="65">
        <f>IFERROR($N1205/$N1206-1,"")</f>
        <v/>
      </c>
      <c r="DO1205" s="65">
        <f>IFERROR($M1205/$M1206-1,"")</f>
        <v/>
      </c>
      <c r="DP1205" s="65">
        <f>IFERROR($AZ1205/$AZ1206-1,"")</f>
        <v/>
      </c>
      <c r="DQ1205" s="65">
        <f>IFERROR($BA1205/$BA1206-1,"")</f>
        <v/>
      </c>
      <c r="DR1205" s="64">
        <f>$O1205-$O1206</f>
        <v/>
      </c>
      <c r="DS1205" s="64">
        <f>$P1205-$P1206</f>
        <v/>
      </c>
      <c r="DT1205" s="64">
        <f>$Q1205-$Q1206</f>
        <v/>
      </c>
      <c r="DU1205" s="64">
        <f>$S1205-$S1206</f>
        <v/>
      </c>
      <c r="DV1205" s="65">
        <f>IFERROR(AVERAGE($AA1206/$AA1205-1,$AB1206/$AB1205-1,$AC1206/$AC1205-1,$AD1206/$AD1205-1,$AE1206/$AE1205-1,$AG1206/$AG1205-1,$AH1206/$AH1205-1,$AI1206/$AI1205-1,$AJ1206/$AJ1205-1,$AL1206/$AL1205-1,$AM1206/$AM1205-1,$AR1206/$AR1205-1,$AS1206/$AS1205-1,$AT1206/$AT1205-1,$AU1206/$AU1205-1,$AV1206/$AV1205-1,$AW1206/$AW1205-1,$AX1206/$AX1205-1,$AY1206/$AY1205-1),"")</f>
        <v/>
      </c>
      <c r="DW1205" s="66">
        <f>AVERAGE($CB1205,$CC1205,$CD1205,$CE1205,$CF1205,$CG1205,$CH1205,$CI1205,$CJ1205,$CL1205,$CM1205,$CN1205,$CO1205,$CP1205,$CQ1205,$CR1205,$CS1205,$CT1205)</f>
        <v/>
      </c>
      <c r="DX1205" s="66">
        <f>AVERAGE($CB1205,$CC1205,$CM1205,$CE1205,$CP1205)</f>
        <v/>
      </c>
      <c r="DY1205" s="64">
        <f>($DW1205-$DW1206)*100</f>
        <v/>
      </c>
      <c r="DZ1205" s="64">
        <f>($DX1205-$DX1206)*100</f>
        <v/>
      </c>
      <c r="EA1205" s="64">
        <f>($DW1205-$D1205)*100</f>
        <v/>
      </c>
      <c r="EB1205" s="64">
        <f>$Q1205-$O1205</f>
        <v/>
      </c>
      <c r="EC1205" s="67">
        <f>IFERROR($Q1205/$P1205,"")</f>
        <v/>
      </c>
    </row>
    <row r="1206">
      <c r="DG1206" s="64">
        <f>($B1206-$B1207)*100</f>
        <v/>
      </c>
      <c r="DH1206" s="64">
        <f>($D1206-$D1207)*100</f>
        <v/>
      </c>
      <c r="DI1206" s="64">
        <f>($E1206-$E1207)*100</f>
        <v/>
      </c>
      <c r="DJ1206" s="64">
        <f>($H1206-$H1207)*100</f>
        <v/>
      </c>
      <c r="DK1206" s="65">
        <f>IFERROR($J1206/$J1207-1,"")</f>
        <v/>
      </c>
      <c r="DL1206" s="64">
        <f>$L1206-$L1207</f>
        <v/>
      </c>
      <c r="DM1206" s="64">
        <f>$K1206-$K1207</f>
        <v/>
      </c>
      <c r="DN1206" s="65">
        <f>IFERROR($N1206/$N1207-1,"")</f>
        <v/>
      </c>
      <c r="DO1206" s="65">
        <f>IFERROR($M1206/$M1207-1,"")</f>
        <v/>
      </c>
      <c r="DP1206" s="65">
        <f>IFERROR($AZ1206/$AZ1207-1,"")</f>
        <v/>
      </c>
      <c r="DQ1206" s="65">
        <f>IFERROR($BA1206/$BA1207-1,"")</f>
        <v/>
      </c>
      <c r="DR1206" s="64">
        <f>$O1206-$O1207</f>
        <v/>
      </c>
      <c r="DS1206" s="64">
        <f>$P1206-$P1207</f>
        <v/>
      </c>
      <c r="DT1206" s="64">
        <f>$Q1206-$Q1207</f>
        <v/>
      </c>
      <c r="DU1206" s="64">
        <f>$S1206-$S1207</f>
        <v/>
      </c>
      <c r="DV1206" s="65">
        <f>IFERROR(AVERAGE($AA1207/$AA1206-1,$AB1207/$AB1206-1,$AC1207/$AC1206-1,$AD1207/$AD1206-1,$AE1207/$AE1206-1,$AG1207/$AG1206-1,$AH1207/$AH1206-1,$AI1207/$AI1206-1,$AJ1207/$AJ1206-1,$AL1207/$AL1206-1,$AM1207/$AM1206-1,$AR1207/$AR1206-1,$AS1207/$AS1206-1,$AT1207/$AT1206-1,$AU1207/$AU1206-1,$AV1207/$AV1206-1,$AW1207/$AW1206-1,$AX1207/$AX1206-1,$AY1207/$AY1206-1),"")</f>
        <v/>
      </c>
      <c r="DW1206" s="66">
        <f>AVERAGE($CB1206,$CC1206,$CD1206,$CE1206,$CF1206,$CG1206,$CH1206,$CI1206,$CJ1206,$CL1206,$CM1206,$CN1206,$CO1206,$CP1206,$CQ1206,$CR1206,$CS1206,$CT1206)</f>
        <v/>
      </c>
      <c r="DX1206" s="66">
        <f>AVERAGE($CB1206,$CC1206,$CM1206,$CE1206,$CP1206)</f>
        <v/>
      </c>
      <c r="DY1206" s="64">
        <f>($DW1206-$DW1207)*100</f>
        <v/>
      </c>
      <c r="DZ1206" s="64">
        <f>($DX1206-$DX1207)*100</f>
        <v/>
      </c>
      <c r="EA1206" s="64">
        <f>($DW1206-$D1206)*100</f>
        <v/>
      </c>
      <c r="EB1206" s="64">
        <f>$Q1206-$O1206</f>
        <v/>
      </c>
      <c r="EC1206" s="67">
        <f>IFERROR($Q1206/$P1206,"")</f>
        <v/>
      </c>
    </row>
    <row r="1207">
      <c r="DG1207" s="64">
        <f>($B1207-$B1208)*100</f>
        <v/>
      </c>
      <c r="DH1207" s="64">
        <f>($D1207-$D1208)*100</f>
        <v/>
      </c>
      <c r="DI1207" s="64">
        <f>($E1207-$E1208)*100</f>
        <v/>
      </c>
      <c r="DJ1207" s="64">
        <f>($H1207-$H1208)*100</f>
        <v/>
      </c>
      <c r="DK1207" s="65">
        <f>IFERROR($J1207/$J1208-1,"")</f>
        <v/>
      </c>
      <c r="DL1207" s="64">
        <f>$L1207-$L1208</f>
        <v/>
      </c>
      <c r="DM1207" s="64">
        <f>$K1207-$K1208</f>
        <v/>
      </c>
      <c r="DN1207" s="65">
        <f>IFERROR($N1207/$N1208-1,"")</f>
        <v/>
      </c>
      <c r="DO1207" s="65">
        <f>IFERROR($M1207/$M1208-1,"")</f>
        <v/>
      </c>
      <c r="DP1207" s="65">
        <f>IFERROR($AZ1207/$AZ1208-1,"")</f>
        <v/>
      </c>
      <c r="DQ1207" s="65">
        <f>IFERROR($BA1207/$BA1208-1,"")</f>
        <v/>
      </c>
      <c r="DR1207" s="64">
        <f>$O1207-$O1208</f>
        <v/>
      </c>
      <c r="DS1207" s="64">
        <f>$P1207-$P1208</f>
        <v/>
      </c>
      <c r="DT1207" s="64">
        <f>$Q1207-$Q1208</f>
        <v/>
      </c>
      <c r="DU1207" s="64">
        <f>$S1207-$S1208</f>
        <v/>
      </c>
      <c r="DV1207" s="65">
        <f>IFERROR(AVERAGE($AA1208/$AA1207-1,$AB1208/$AB1207-1,$AC1208/$AC1207-1,$AD1208/$AD1207-1,$AE1208/$AE1207-1,$AG1208/$AG1207-1,$AH1208/$AH1207-1,$AI1208/$AI1207-1,$AJ1208/$AJ1207-1,$AL1208/$AL1207-1,$AM1208/$AM1207-1,$AR1208/$AR1207-1,$AS1208/$AS1207-1,$AT1208/$AT1207-1,$AU1208/$AU1207-1,$AV1208/$AV1207-1,$AW1208/$AW1207-1,$AX1208/$AX1207-1,$AY1208/$AY1207-1),"")</f>
        <v/>
      </c>
      <c r="DW1207" s="66">
        <f>AVERAGE($CB1207,$CC1207,$CD1207,$CE1207,$CF1207,$CG1207,$CH1207,$CI1207,$CJ1207,$CL1207,$CM1207,$CN1207,$CO1207,$CP1207,$CQ1207,$CR1207,$CS1207,$CT1207)</f>
        <v/>
      </c>
      <c r="DX1207" s="66">
        <f>AVERAGE($CB1207,$CC1207,$CM1207,$CE1207,$CP1207)</f>
        <v/>
      </c>
      <c r="DY1207" s="64">
        <f>($DW1207-$DW1208)*100</f>
        <v/>
      </c>
      <c r="DZ1207" s="64">
        <f>($DX1207-$DX1208)*100</f>
        <v/>
      </c>
      <c r="EA1207" s="64">
        <f>($DW1207-$D1207)*100</f>
        <v/>
      </c>
      <c r="EB1207" s="64">
        <f>$Q1207-$O1207</f>
        <v/>
      </c>
      <c r="EC1207" s="67">
        <f>IFERROR($Q1207/$P1207,"")</f>
        <v/>
      </c>
    </row>
    <row r="1208">
      <c r="DG1208" s="64">
        <f>($B1208-$B1209)*100</f>
        <v/>
      </c>
      <c r="DH1208" s="64">
        <f>($D1208-$D1209)*100</f>
        <v/>
      </c>
      <c r="DI1208" s="64">
        <f>($E1208-$E1209)*100</f>
        <v/>
      </c>
      <c r="DJ1208" s="64">
        <f>($H1208-$H1209)*100</f>
        <v/>
      </c>
      <c r="DK1208" s="65">
        <f>IFERROR($J1208/$J1209-1,"")</f>
        <v/>
      </c>
      <c r="DL1208" s="64">
        <f>$L1208-$L1209</f>
        <v/>
      </c>
      <c r="DM1208" s="64">
        <f>$K1208-$K1209</f>
        <v/>
      </c>
      <c r="DN1208" s="65">
        <f>IFERROR($N1208/$N1209-1,"")</f>
        <v/>
      </c>
      <c r="DO1208" s="65">
        <f>IFERROR($M1208/$M1209-1,"")</f>
        <v/>
      </c>
      <c r="DP1208" s="65">
        <f>IFERROR($AZ1208/$AZ1209-1,"")</f>
        <v/>
      </c>
      <c r="DQ1208" s="65">
        <f>IFERROR($BA1208/$BA1209-1,"")</f>
        <v/>
      </c>
      <c r="DR1208" s="64">
        <f>$O1208-$O1209</f>
        <v/>
      </c>
      <c r="DS1208" s="64">
        <f>$P1208-$P1209</f>
        <v/>
      </c>
      <c r="DT1208" s="64">
        <f>$Q1208-$Q1209</f>
        <v/>
      </c>
      <c r="DU1208" s="64">
        <f>$S1208-$S1209</f>
        <v/>
      </c>
      <c r="DV1208" s="65">
        <f>IFERROR(AVERAGE($AA1209/$AA1208-1,$AB1209/$AB1208-1,$AC1209/$AC1208-1,$AD1209/$AD1208-1,$AE1209/$AE1208-1,$AG1209/$AG1208-1,$AH1209/$AH1208-1,$AI1209/$AI1208-1,$AJ1209/$AJ1208-1,$AL1209/$AL1208-1,$AM1209/$AM1208-1,$AR1209/$AR1208-1,$AS1209/$AS1208-1,$AT1209/$AT1208-1,$AU1209/$AU1208-1,$AV1209/$AV1208-1,$AW1209/$AW1208-1,$AX1209/$AX1208-1,$AY1209/$AY1208-1),"")</f>
        <v/>
      </c>
      <c r="DW1208" s="66">
        <f>AVERAGE($CB1208,$CC1208,$CD1208,$CE1208,$CF1208,$CG1208,$CH1208,$CI1208,$CJ1208,$CL1208,$CM1208,$CN1208,$CO1208,$CP1208,$CQ1208,$CR1208,$CS1208,$CT1208)</f>
        <v/>
      </c>
      <c r="DX1208" s="66">
        <f>AVERAGE($CB1208,$CC1208,$CM1208,$CE1208,$CP1208)</f>
        <v/>
      </c>
      <c r="DY1208" s="64">
        <f>($DW1208-$DW1209)*100</f>
        <v/>
      </c>
      <c r="DZ1208" s="64">
        <f>($DX1208-$DX1209)*100</f>
        <v/>
      </c>
      <c r="EA1208" s="64">
        <f>($DW1208-$D1208)*100</f>
        <v/>
      </c>
      <c r="EB1208" s="64">
        <f>$Q1208-$O1208</f>
        <v/>
      </c>
      <c r="EC1208" s="67">
        <f>IFERROR($Q1208/$P1208,"")</f>
        <v/>
      </c>
    </row>
    <row r="1209">
      <c r="DG1209" s="64">
        <f>($B1209-$B1210)*100</f>
        <v/>
      </c>
      <c r="DH1209" s="64">
        <f>($D1209-$D1210)*100</f>
        <v/>
      </c>
      <c r="DI1209" s="64">
        <f>($E1209-$E1210)*100</f>
        <v/>
      </c>
      <c r="DJ1209" s="64">
        <f>($H1209-$H1210)*100</f>
        <v/>
      </c>
      <c r="DK1209" s="65">
        <f>IFERROR($J1209/$J1210-1,"")</f>
        <v/>
      </c>
      <c r="DL1209" s="64">
        <f>$L1209-$L1210</f>
        <v/>
      </c>
      <c r="DM1209" s="64">
        <f>$K1209-$K1210</f>
        <v/>
      </c>
      <c r="DN1209" s="65">
        <f>IFERROR($N1209/$N1210-1,"")</f>
        <v/>
      </c>
      <c r="DO1209" s="65">
        <f>IFERROR($M1209/$M1210-1,"")</f>
        <v/>
      </c>
      <c r="DP1209" s="65">
        <f>IFERROR($AZ1209/$AZ1210-1,"")</f>
        <v/>
      </c>
      <c r="DQ1209" s="65">
        <f>IFERROR($BA1209/$BA1210-1,"")</f>
        <v/>
      </c>
      <c r="DR1209" s="64">
        <f>$O1209-$O1210</f>
        <v/>
      </c>
      <c r="DS1209" s="64">
        <f>$P1209-$P1210</f>
        <v/>
      </c>
      <c r="DT1209" s="64">
        <f>$Q1209-$Q1210</f>
        <v/>
      </c>
      <c r="DU1209" s="64">
        <f>$S1209-$S1210</f>
        <v/>
      </c>
      <c r="DV1209" s="65">
        <f>IFERROR(AVERAGE($AA1210/$AA1209-1,$AB1210/$AB1209-1,$AC1210/$AC1209-1,$AD1210/$AD1209-1,$AE1210/$AE1209-1,$AG1210/$AG1209-1,$AH1210/$AH1209-1,$AI1210/$AI1209-1,$AJ1210/$AJ1209-1,$AL1210/$AL1209-1,$AM1210/$AM1209-1,$AR1210/$AR1209-1,$AS1210/$AS1209-1,$AT1210/$AT1209-1,$AU1210/$AU1209-1,$AV1210/$AV1209-1,$AW1210/$AW1209-1,$AX1210/$AX1209-1,$AY1210/$AY1209-1),"")</f>
        <v/>
      </c>
      <c r="DW1209" s="66">
        <f>AVERAGE($CB1209,$CC1209,$CD1209,$CE1209,$CF1209,$CG1209,$CH1209,$CI1209,$CJ1209,$CL1209,$CM1209,$CN1209,$CO1209,$CP1209,$CQ1209,$CR1209,$CS1209,$CT1209)</f>
        <v/>
      </c>
      <c r="DX1209" s="66">
        <f>AVERAGE($CB1209,$CC1209,$CM1209,$CE1209,$CP1209)</f>
        <v/>
      </c>
      <c r="DY1209" s="64">
        <f>($DW1209-$DW1210)*100</f>
        <v/>
      </c>
      <c r="DZ1209" s="64">
        <f>($DX1209-$DX1210)*100</f>
        <v/>
      </c>
      <c r="EA1209" s="64">
        <f>($DW1209-$D1209)*100</f>
        <v/>
      </c>
      <c r="EB1209" s="64">
        <f>$Q1209-$O1209</f>
        <v/>
      </c>
      <c r="EC1209" s="67">
        <f>IFERROR($Q1209/$P1209,"")</f>
        <v/>
      </c>
    </row>
    <row r="1210">
      <c r="DG1210" s="64">
        <f>($B1210-$B1211)*100</f>
        <v/>
      </c>
      <c r="DH1210" s="64">
        <f>($D1210-$D1211)*100</f>
        <v/>
      </c>
      <c r="DI1210" s="64">
        <f>($E1210-$E1211)*100</f>
        <v/>
      </c>
      <c r="DJ1210" s="64">
        <f>($H1210-$H1211)*100</f>
        <v/>
      </c>
      <c r="DK1210" s="65">
        <f>IFERROR($J1210/$J1211-1,"")</f>
        <v/>
      </c>
      <c r="DL1210" s="64">
        <f>$L1210-$L1211</f>
        <v/>
      </c>
      <c r="DM1210" s="64">
        <f>$K1210-$K1211</f>
        <v/>
      </c>
      <c r="DN1210" s="65">
        <f>IFERROR($N1210/$N1211-1,"")</f>
        <v/>
      </c>
      <c r="DO1210" s="65">
        <f>IFERROR($M1210/$M1211-1,"")</f>
        <v/>
      </c>
      <c r="DP1210" s="65">
        <f>IFERROR($AZ1210/$AZ1211-1,"")</f>
        <v/>
      </c>
      <c r="DQ1210" s="65">
        <f>IFERROR($BA1210/$BA1211-1,"")</f>
        <v/>
      </c>
      <c r="DR1210" s="64">
        <f>$O1210-$O1211</f>
        <v/>
      </c>
      <c r="DS1210" s="64">
        <f>$P1210-$P1211</f>
        <v/>
      </c>
      <c r="DT1210" s="64">
        <f>$Q1210-$Q1211</f>
        <v/>
      </c>
      <c r="DU1210" s="64">
        <f>$S1210-$S1211</f>
        <v/>
      </c>
      <c r="DV1210" s="65">
        <f>IFERROR(AVERAGE($AA1211/$AA1210-1,$AB1211/$AB1210-1,$AC1211/$AC1210-1,$AD1211/$AD1210-1,$AE1211/$AE1210-1,$AG1211/$AG1210-1,$AH1211/$AH1210-1,$AI1211/$AI1210-1,$AJ1211/$AJ1210-1,$AL1211/$AL1210-1,$AM1211/$AM1210-1,$AR1211/$AR1210-1,$AS1211/$AS1210-1,$AT1211/$AT1210-1,$AU1211/$AU1210-1,$AV1211/$AV1210-1,$AW1211/$AW1210-1,$AX1211/$AX1210-1,$AY1211/$AY1210-1),"")</f>
        <v/>
      </c>
      <c r="DW1210" s="66">
        <f>AVERAGE($CB1210,$CC1210,$CD1210,$CE1210,$CF1210,$CG1210,$CH1210,$CI1210,$CJ1210,$CL1210,$CM1210,$CN1210,$CO1210,$CP1210,$CQ1210,$CR1210,$CS1210,$CT1210)</f>
        <v/>
      </c>
      <c r="DX1210" s="66">
        <f>AVERAGE($CB1210,$CC1210,$CM1210,$CE1210,$CP1210)</f>
        <v/>
      </c>
      <c r="DY1210" s="64">
        <f>($DW1210-$DW1211)*100</f>
        <v/>
      </c>
      <c r="DZ1210" s="64">
        <f>($DX1210-$DX1211)*100</f>
        <v/>
      </c>
      <c r="EA1210" s="64">
        <f>($DW1210-$D1210)*100</f>
        <v/>
      </c>
      <c r="EB1210" s="64">
        <f>$Q1210-$O1210</f>
        <v/>
      </c>
      <c r="EC1210" s="67">
        <f>IFERROR($Q1210/$P1210,"")</f>
        <v/>
      </c>
    </row>
    <row r="1211">
      <c r="DG1211" s="64">
        <f>($B1211-$B1212)*100</f>
        <v/>
      </c>
      <c r="DH1211" s="64">
        <f>($D1211-$D1212)*100</f>
        <v/>
      </c>
      <c r="DI1211" s="64">
        <f>($E1211-$E1212)*100</f>
        <v/>
      </c>
      <c r="DJ1211" s="64">
        <f>($H1211-$H1212)*100</f>
        <v/>
      </c>
      <c r="DK1211" s="65">
        <f>IFERROR($J1211/$J1212-1,"")</f>
        <v/>
      </c>
      <c r="DL1211" s="64">
        <f>$L1211-$L1212</f>
        <v/>
      </c>
      <c r="DM1211" s="64">
        <f>$K1211-$K1212</f>
        <v/>
      </c>
      <c r="DN1211" s="65">
        <f>IFERROR($N1211/$N1212-1,"")</f>
        <v/>
      </c>
      <c r="DO1211" s="65">
        <f>IFERROR($M1211/$M1212-1,"")</f>
        <v/>
      </c>
      <c r="DP1211" s="65">
        <f>IFERROR($AZ1211/$AZ1212-1,"")</f>
        <v/>
      </c>
      <c r="DQ1211" s="65">
        <f>IFERROR($BA1211/$BA1212-1,"")</f>
        <v/>
      </c>
      <c r="DR1211" s="64">
        <f>$O1211-$O1212</f>
        <v/>
      </c>
      <c r="DS1211" s="64">
        <f>$P1211-$P1212</f>
        <v/>
      </c>
      <c r="DT1211" s="64">
        <f>$Q1211-$Q1212</f>
        <v/>
      </c>
      <c r="DU1211" s="64">
        <f>$S1211-$S1212</f>
        <v/>
      </c>
      <c r="DV1211" s="65">
        <f>IFERROR(AVERAGE($AA1212/$AA1211-1,$AB1212/$AB1211-1,$AC1212/$AC1211-1,$AD1212/$AD1211-1,$AE1212/$AE1211-1,$AG1212/$AG1211-1,$AH1212/$AH1211-1,$AI1212/$AI1211-1,$AJ1212/$AJ1211-1,$AL1212/$AL1211-1,$AM1212/$AM1211-1,$AR1212/$AR1211-1,$AS1212/$AS1211-1,$AT1212/$AT1211-1,$AU1212/$AU1211-1,$AV1212/$AV1211-1,$AW1212/$AW1211-1,$AX1212/$AX1211-1,$AY1212/$AY1211-1),"")</f>
        <v/>
      </c>
      <c r="DW1211" s="66">
        <f>AVERAGE($CB1211,$CC1211,$CD1211,$CE1211,$CF1211,$CG1211,$CH1211,$CI1211,$CJ1211,$CL1211,$CM1211,$CN1211,$CO1211,$CP1211,$CQ1211,$CR1211,$CS1211,$CT1211)</f>
        <v/>
      </c>
      <c r="DX1211" s="66">
        <f>AVERAGE($CB1211,$CC1211,$CM1211,$CE1211,$CP1211)</f>
        <v/>
      </c>
      <c r="DY1211" s="64">
        <f>($DW1211-$DW1212)*100</f>
        <v/>
      </c>
      <c r="DZ1211" s="64">
        <f>($DX1211-$DX1212)*100</f>
        <v/>
      </c>
      <c r="EA1211" s="64">
        <f>($DW1211-$D1211)*100</f>
        <v/>
      </c>
      <c r="EB1211" s="64">
        <f>$Q1211-$O1211</f>
        <v/>
      </c>
      <c r="EC1211" s="67">
        <f>IFERROR($Q1211/$P1211,"")</f>
        <v/>
      </c>
    </row>
    <row r="1212">
      <c r="DG1212" s="64">
        <f>($B1212-$B1213)*100</f>
        <v/>
      </c>
      <c r="DH1212" s="64">
        <f>($D1212-$D1213)*100</f>
        <v/>
      </c>
      <c r="DI1212" s="64">
        <f>($E1212-$E1213)*100</f>
        <v/>
      </c>
      <c r="DJ1212" s="64">
        <f>($H1212-$H1213)*100</f>
        <v/>
      </c>
      <c r="DK1212" s="65">
        <f>IFERROR($J1212/$J1213-1,"")</f>
        <v/>
      </c>
      <c r="DL1212" s="64">
        <f>$L1212-$L1213</f>
        <v/>
      </c>
      <c r="DM1212" s="64">
        <f>$K1212-$K1213</f>
        <v/>
      </c>
      <c r="DN1212" s="65">
        <f>IFERROR($N1212/$N1213-1,"")</f>
        <v/>
      </c>
      <c r="DO1212" s="65">
        <f>IFERROR($M1212/$M1213-1,"")</f>
        <v/>
      </c>
      <c r="DP1212" s="65">
        <f>IFERROR($AZ1212/$AZ1213-1,"")</f>
        <v/>
      </c>
      <c r="DQ1212" s="65">
        <f>IFERROR($BA1212/$BA1213-1,"")</f>
        <v/>
      </c>
      <c r="DR1212" s="64">
        <f>$O1212-$O1213</f>
        <v/>
      </c>
      <c r="DS1212" s="64">
        <f>$P1212-$P1213</f>
        <v/>
      </c>
      <c r="DT1212" s="64">
        <f>$Q1212-$Q1213</f>
        <v/>
      </c>
      <c r="DU1212" s="64">
        <f>$S1212-$S1213</f>
        <v/>
      </c>
      <c r="DV1212" s="65">
        <f>IFERROR(AVERAGE($AA1213/$AA1212-1,$AB1213/$AB1212-1,$AC1213/$AC1212-1,$AD1213/$AD1212-1,$AE1213/$AE1212-1,$AG1213/$AG1212-1,$AH1213/$AH1212-1,$AI1213/$AI1212-1,$AJ1213/$AJ1212-1,$AL1213/$AL1212-1,$AM1213/$AM1212-1,$AR1213/$AR1212-1,$AS1213/$AS1212-1,$AT1213/$AT1212-1,$AU1213/$AU1212-1,$AV1213/$AV1212-1,$AW1213/$AW1212-1,$AX1213/$AX1212-1,$AY1213/$AY1212-1),"")</f>
        <v/>
      </c>
      <c r="DW1212" s="66">
        <f>AVERAGE($CB1212,$CC1212,$CD1212,$CE1212,$CF1212,$CG1212,$CH1212,$CI1212,$CJ1212,$CL1212,$CM1212,$CN1212,$CO1212,$CP1212,$CQ1212,$CR1212,$CS1212,$CT1212)</f>
        <v/>
      </c>
      <c r="DX1212" s="66">
        <f>AVERAGE($CB1212,$CC1212,$CM1212,$CE1212,$CP1212)</f>
        <v/>
      </c>
      <c r="DY1212" s="64">
        <f>($DW1212-$DW1213)*100</f>
        <v/>
      </c>
      <c r="DZ1212" s="64">
        <f>($DX1212-$DX1213)*100</f>
        <v/>
      </c>
      <c r="EA1212" s="64">
        <f>($DW1212-$D1212)*100</f>
        <v/>
      </c>
      <c r="EB1212" s="64">
        <f>$Q1212-$O1212</f>
        <v/>
      </c>
      <c r="EC1212" s="67">
        <f>IFERROR($Q1212/$P1212,"")</f>
        <v/>
      </c>
    </row>
    <row r="1213">
      <c r="DG1213" s="64">
        <f>($B1213-$B1214)*100</f>
        <v/>
      </c>
      <c r="DH1213" s="64">
        <f>($D1213-$D1214)*100</f>
        <v/>
      </c>
      <c r="DI1213" s="64">
        <f>($E1213-$E1214)*100</f>
        <v/>
      </c>
      <c r="DJ1213" s="64">
        <f>($H1213-$H1214)*100</f>
        <v/>
      </c>
      <c r="DK1213" s="65">
        <f>IFERROR($J1213/$J1214-1,"")</f>
        <v/>
      </c>
      <c r="DL1213" s="64">
        <f>$L1213-$L1214</f>
        <v/>
      </c>
      <c r="DM1213" s="64">
        <f>$K1213-$K1214</f>
        <v/>
      </c>
      <c r="DN1213" s="65">
        <f>IFERROR($N1213/$N1214-1,"")</f>
        <v/>
      </c>
      <c r="DO1213" s="65">
        <f>IFERROR($M1213/$M1214-1,"")</f>
        <v/>
      </c>
      <c r="DP1213" s="65">
        <f>IFERROR($AZ1213/$AZ1214-1,"")</f>
        <v/>
      </c>
      <c r="DQ1213" s="65">
        <f>IFERROR($BA1213/$BA1214-1,"")</f>
        <v/>
      </c>
      <c r="DR1213" s="64">
        <f>$O1213-$O1214</f>
        <v/>
      </c>
      <c r="DS1213" s="64">
        <f>$P1213-$P1214</f>
        <v/>
      </c>
      <c r="DT1213" s="64">
        <f>$Q1213-$Q1214</f>
        <v/>
      </c>
      <c r="DU1213" s="64">
        <f>$S1213-$S1214</f>
        <v/>
      </c>
      <c r="DV1213" s="65">
        <f>IFERROR(AVERAGE($AA1214/$AA1213-1,$AB1214/$AB1213-1,$AC1214/$AC1213-1,$AD1214/$AD1213-1,$AE1214/$AE1213-1,$AG1214/$AG1213-1,$AH1214/$AH1213-1,$AI1214/$AI1213-1,$AJ1214/$AJ1213-1,$AL1214/$AL1213-1,$AM1214/$AM1213-1,$AR1214/$AR1213-1,$AS1214/$AS1213-1,$AT1214/$AT1213-1,$AU1214/$AU1213-1,$AV1214/$AV1213-1,$AW1214/$AW1213-1,$AX1214/$AX1213-1,$AY1214/$AY1213-1),"")</f>
        <v/>
      </c>
      <c r="DW1213" s="66">
        <f>AVERAGE($CB1213,$CC1213,$CD1213,$CE1213,$CF1213,$CG1213,$CH1213,$CI1213,$CJ1213,$CL1213,$CM1213,$CN1213,$CO1213,$CP1213,$CQ1213,$CR1213,$CS1213,$CT1213)</f>
        <v/>
      </c>
      <c r="DX1213" s="66">
        <f>AVERAGE($CB1213,$CC1213,$CM1213,$CE1213,$CP1213)</f>
        <v/>
      </c>
      <c r="DY1213" s="64">
        <f>($DW1213-$DW1214)*100</f>
        <v/>
      </c>
      <c r="DZ1213" s="64">
        <f>($DX1213-$DX1214)*100</f>
        <v/>
      </c>
      <c r="EA1213" s="64">
        <f>($DW1213-$D1213)*100</f>
        <v/>
      </c>
      <c r="EB1213" s="64">
        <f>$Q1213-$O1213</f>
        <v/>
      </c>
      <c r="EC1213" s="67">
        <f>IFERROR($Q1213/$P1213,"")</f>
        <v/>
      </c>
    </row>
    <row r="1214">
      <c r="DG1214" s="64">
        <f>($B1214-$B1215)*100</f>
        <v/>
      </c>
      <c r="DH1214" s="64">
        <f>($D1214-$D1215)*100</f>
        <v/>
      </c>
      <c r="DI1214" s="64">
        <f>($E1214-$E1215)*100</f>
        <v/>
      </c>
      <c r="DJ1214" s="64">
        <f>($H1214-$H1215)*100</f>
        <v/>
      </c>
      <c r="DK1214" s="65">
        <f>IFERROR($J1214/$J1215-1,"")</f>
        <v/>
      </c>
      <c r="DL1214" s="64">
        <f>$L1214-$L1215</f>
        <v/>
      </c>
      <c r="DM1214" s="64">
        <f>$K1214-$K1215</f>
        <v/>
      </c>
      <c r="DN1214" s="65">
        <f>IFERROR($N1214/$N1215-1,"")</f>
        <v/>
      </c>
      <c r="DO1214" s="65">
        <f>IFERROR($M1214/$M1215-1,"")</f>
        <v/>
      </c>
      <c r="DP1214" s="65">
        <f>IFERROR($AZ1214/$AZ1215-1,"")</f>
        <v/>
      </c>
      <c r="DQ1214" s="65">
        <f>IFERROR($BA1214/$BA1215-1,"")</f>
        <v/>
      </c>
      <c r="DR1214" s="64">
        <f>$O1214-$O1215</f>
        <v/>
      </c>
      <c r="DS1214" s="64">
        <f>$P1214-$P1215</f>
        <v/>
      </c>
      <c r="DT1214" s="64">
        <f>$Q1214-$Q1215</f>
        <v/>
      </c>
      <c r="DU1214" s="64">
        <f>$S1214-$S1215</f>
        <v/>
      </c>
      <c r="DV1214" s="65">
        <f>IFERROR(AVERAGE($AA1215/$AA1214-1,$AB1215/$AB1214-1,$AC1215/$AC1214-1,$AD1215/$AD1214-1,$AE1215/$AE1214-1,$AG1215/$AG1214-1,$AH1215/$AH1214-1,$AI1215/$AI1214-1,$AJ1215/$AJ1214-1,$AL1215/$AL1214-1,$AM1215/$AM1214-1,$AR1215/$AR1214-1,$AS1215/$AS1214-1,$AT1215/$AT1214-1,$AU1215/$AU1214-1,$AV1215/$AV1214-1,$AW1215/$AW1214-1,$AX1215/$AX1214-1,$AY1215/$AY1214-1),"")</f>
        <v/>
      </c>
      <c r="DW1214" s="66">
        <f>AVERAGE($CB1214,$CC1214,$CD1214,$CE1214,$CF1214,$CG1214,$CH1214,$CI1214,$CJ1214,$CL1214,$CM1214,$CN1214,$CO1214,$CP1214,$CQ1214,$CR1214,$CS1214,$CT1214)</f>
        <v/>
      </c>
      <c r="DX1214" s="66">
        <f>AVERAGE($CB1214,$CC1214,$CM1214,$CE1214,$CP1214)</f>
        <v/>
      </c>
      <c r="DY1214" s="64">
        <f>($DW1214-$DW1215)*100</f>
        <v/>
      </c>
      <c r="DZ1214" s="64">
        <f>($DX1214-$DX1215)*100</f>
        <v/>
      </c>
      <c r="EA1214" s="64">
        <f>($DW1214-$D1214)*100</f>
        <v/>
      </c>
      <c r="EB1214" s="64">
        <f>$Q1214-$O1214</f>
        <v/>
      </c>
      <c r="EC1214" s="67">
        <f>IFERROR($Q1214/$P1214,"")</f>
        <v/>
      </c>
    </row>
    <row r="1215">
      <c r="DG1215" s="64">
        <f>($B1215-$B1216)*100</f>
        <v/>
      </c>
      <c r="DH1215" s="64">
        <f>($D1215-$D1216)*100</f>
        <v/>
      </c>
      <c r="DI1215" s="64">
        <f>($E1215-$E1216)*100</f>
        <v/>
      </c>
      <c r="DJ1215" s="64">
        <f>($H1215-$H1216)*100</f>
        <v/>
      </c>
      <c r="DK1215" s="65">
        <f>IFERROR($J1215/$J1216-1,"")</f>
        <v/>
      </c>
      <c r="DL1215" s="64">
        <f>$L1215-$L1216</f>
        <v/>
      </c>
      <c r="DM1215" s="64">
        <f>$K1215-$K1216</f>
        <v/>
      </c>
      <c r="DN1215" s="65">
        <f>IFERROR($N1215/$N1216-1,"")</f>
        <v/>
      </c>
      <c r="DO1215" s="65">
        <f>IFERROR($M1215/$M1216-1,"")</f>
        <v/>
      </c>
      <c r="DP1215" s="65">
        <f>IFERROR($AZ1215/$AZ1216-1,"")</f>
        <v/>
      </c>
      <c r="DQ1215" s="65">
        <f>IFERROR($BA1215/$BA1216-1,"")</f>
        <v/>
      </c>
      <c r="DR1215" s="64">
        <f>$O1215-$O1216</f>
        <v/>
      </c>
      <c r="DS1215" s="64">
        <f>$P1215-$P1216</f>
        <v/>
      </c>
      <c r="DT1215" s="64">
        <f>$Q1215-$Q1216</f>
        <v/>
      </c>
      <c r="DU1215" s="64">
        <f>$S1215-$S1216</f>
        <v/>
      </c>
      <c r="DV1215" s="65">
        <f>IFERROR(AVERAGE($AA1216/$AA1215-1,$AB1216/$AB1215-1,$AC1216/$AC1215-1,$AD1216/$AD1215-1,$AE1216/$AE1215-1,$AG1216/$AG1215-1,$AH1216/$AH1215-1,$AI1216/$AI1215-1,$AJ1216/$AJ1215-1,$AL1216/$AL1215-1,$AM1216/$AM1215-1,$AR1216/$AR1215-1,$AS1216/$AS1215-1,$AT1216/$AT1215-1,$AU1216/$AU1215-1,$AV1216/$AV1215-1,$AW1216/$AW1215-1,$AX1216/$AX1215-1,$AY1216/$AY1215-1),"")</f>
        <v/>
      </c>
      <c r="DW1215" s="66">
        <f>AVERAGE($CB1215,$CC1215,$CD1215,$CE1215,$CF1215,$CG1215,$CH1215,$CI1215,$CJ1215,$CL1215,$CM1215,$CN1215,$CO1215,$CP1215,$CQ1215,$CR1215,$CS1215,$CT1215)</f>
        <v/>
      </c>
      <c r="DX1215" s="66">
        <f>AVERAGE($CB1215,$CC1215,$CM1215,$CE1215,$CP1215)</f>
        <v/>
      </c>
      <c r="DY1215" s="64">
        <f>($DW1215-$DW1216)*100</f>
        <v/>
      </c>
      <c r="DZ1215" s="64">
        <f>($DX1215-$DX1216)*100</f>
        <v/>
      </c>
      <c r="EA1215" s="64">
        <f>($DW1215-$D1215)*100</f>
        <v/>
      </c>
      <c r="EB1215" s="64">
        <f>$Q1215-$O1215</f>
        <v/>
      </c>
      <c r="EC1215" s="67">
        <f>IFERROR($Q1215/$P1215,"")</f>
        <v/>
      </c>
    </row>
    <row r="1216">
      <c r="DG1216" s="64">
        <f>($B1216-$B1217)*100</f>
        <v/>
      </c>
      <c r="DH1216" s="64">
        <f>($D1216-$D1217)*100</f>
        <v/>
      </c>
      <c r="DI1216" s="64">
        <f>($E1216-$E1217)*100</f>
        <v/>
      </c>
      <c r="DJ1216" s="64">
        <f>($H1216-$H1217)*100</f>
        <v/>
      </c>
      <c r="DK1216" s="65">
        <f>IFERROR($J1216/$J1217-1,"")</f>
        <v/>
      </c>
      <c r="DL1216" s="64">
        <f>$L1216-$L1217</f>
        <v/>
      </c>
      <c r="DM1216" s="64">
        <f>$K1216-$K1217</f>
        <v/>
      </c>
      <c r="DN1216" s="65">
        <f>IFERROR($N1216/$N1217-1,"")</f>
        <v/>
      </c>
      <c r="DO1216" s="65">
        <f>IFERROR($M1216/$M1217-1,"")</f>
        <v/>
      </c>
      <c r="DP1216" s="65">
        <f>IFERROR($AZ1216/$AZ1217-1,"")</f>
        <v/>
      </c>
      <c r="DQ1216" s="65">
        <f>IFERROR($BA1216/$BA1217-1,"")</f>
        <v/>
      </c>
      <c r="DR1216" s="64">
        <f>$O1216-$O1217</f>
        <v/>
      </c>
      <c r="DS1216" s="64">
        <f>$P1216-$P1217</f>
        <v/>
      </c>
      <c r="DT1216" s="64">
        <f>$Q1216-$Q1217</f>
        <v/>
      </c>
      <c r="DU1216" s="64">
        <f>$S1216-$S1217</f>
        <v/>
      </c>
      <c r="DV1216" s="65">
        <f>IFERROR(AVERAGE($AA1217/$AA1216-1,$AB1217/$AB1216-1,$AC1217/$AC1216-1,$AD1217/$AD1216-1,$AE1217/$AE1216-1,$AG1217/$AG1216-1,$AH1217/$AH1216-1,$AI1217/$AI1216-1,$AJ1217/$AJ1216-1,$AL1217/$AL1216-1,$AM1217/$AM1216-1,$AR1217/$AR1216-1,$AS1217/$AS1216-1,$AT1217/$AT1216-1,$AU1217/$AU1216-1,$AV1217/$AV1216-1,$AW1217/$AW1216-1,$AX1217/$AX1216-1,$AY1217/$AY1216-1),"")</f>
        <v/>
      </c>
      <c r="DW1216" s="66">
        <f>AVERAGE($CB1216,$CC1216,$CD1216,$CE1216,$CF1216,$CG1216,$CH1216,$CI1216,$CJ1216,$CL1216,$CM1216,$CN1216,$CO1216,$CP1216,$CQ1216,$CR1216,$CS1216,$CT1216)</f>
        <v/>
      </c>
      <c r="DX1216" s="66">
        <f>AVERAGE($CB1216,$CC1216,$CM1216,$CE1216,$CP1216)</f>
        <v/>
      </c>
      <c r="DY1216" s="64">
        <f>($DW1216-$DW1217)*100</f>
        <v/>
      </c>
      <c r="DZ1216" s="64">
        <f>($DX1216-$DX1217)*100</f>
        <v/>
      </c>
      <c r="EA1216" s="64">
        <f>($DW1216-$D1216)*100</f>
        <v/>
      </c>
      <c r="EB1216" s="64">
        <f>$Q1216-$O1216</f>
        <v/>
      </c>
      <c r="EC1216" s="67">
        <f>IFERROR($Q1216/$P1216,"")</f>
        <v/>
      </c>
    </row>
    <row r="1217">
      <c r="DG1217" s="64">
        <f>($B1217-$B1218)*100</f>
        <v/>
      </c>
      <c r="DH1217" s="64">
        <f>($D1217-$D1218)*100</f>
        <v/>
      </c>
      <c r="DI1217" s="64">
        <f>($E1217-$E1218)*100</f>
        <v/>
      </c>
      <c r="DJ1217" s="64">
        <f>($H1217-$H1218)*100</f>
        <v/>
      </c>
      <c r="DK1217" s="65">
        <f>IFERROR($J1217/$J1218-1,"")</f>
        <v/>
      </c>
      <c r="DL1217" s="64">
        <f>$L1217-$L1218</f>
        <v/>
      </c>
      <c r="DM1217" s="64">
        <f>$K1217-$K1218</f>
        <v/>
      </c>
      <c r="DN1217" s="65">
        <f>IFERROR($N1217/$N1218-1,"")</f>
        <v/>
      </c>
      <c r="DO1217" s="65">
        <f>IFERROR($M1217/$M1218-1,"")</f>
        <v/>
      </c>
      <c r="DP1217" s="65">
        <f>IFERROR($AZ1217/$AZ1218-1,"")</f>
        <v/>
      </c>
      <c r="DQ1217" s="65">
        <f>IFERROR($BA1217/$BA1218-1,"")</f>
        <v/>
      </c>
      <c r="DR1217" s="64">
        <f>$O1217-$O1218</f>
        <v/>
      </c>
      <c r="DS1217" s="64">
        <f>$P1217-$P1218</f>
        <v/>
      </c>
      <c r="DT1217" s="64">
        <f>$Q1217-$Q1218</f>
        <v/>
      </c>
      <c r="DU1217" s="64">
        <f>$S1217-$S1218</f>
        <v/>
      </c>
      <c r="DV1217" s="65">
        <f>IFERROR(AVERAGE($AA1218/$AA1217-1,$AB1218/$AB1217-1,$AC1218/$AC1217-1,$AD1218/$AD1217-1,$AE1218/$AE1217-1,$AG1218/$AG1217-1,$AH1218/$AH1217-1,$AI1218/$AI1217-1,$AJ1218/$AJ1217-1,$AL1218/$AL1217-1,$AM1218/$AM1217-1,$AR1218/$AR1217-1,$AS1218/$AS1217-1,$AT1218/$AT1217-1,$AU1218/$AU1217-1,$AV1218/$AV1217-1,$AW1218/$AW1217-1,$AX1218/$AX1217-1,$AY1218/$AY1217-1),"")</f>
        <v/>
      </c>
      <c r="DW1217" s="66">
        <f>AVERAGE($CB1217,$CC1217,$CD1217,$CE1217,$CF1217,$CG1217,$CH1217,$CI1217,$CJ1217,$CL1217,$CM1217,$CN1217,$CO1217,$CP1217,$CQ1217,$CR1217,$CS1217,$CT1217)</f>
        <v/>
      </c>
      <c r="DX1217" s="66">
        <f>AVERAGE($CB1217,$CC1217,$CM1217,$CE1217,$CP1217)</f>
        <v/>
      </c>
      <c r="DY1217" s="64">
        <f>($DW1217-$DW1218)*100</f>
        <v/>
      </c>
      <c r="DZ1217" s="64">
        <f>($DX1217-$DX1218)*100</f>
        <v/>
      </c>
      <c r="EA1217" s="64">
        <f>($DW1217-$D1217)*100</f>
        <v/>
      </c>
      <c r="EB1217" s="64">
        <f>$Q1217-$O1217</f>
        <v/>
      </c>
      <c r="EC1217" s="67">
        <f>IFERROR($Q1217/$P1217,"")</f>
        <v/>
      </c>
    </row>
    <row r="1218">
      <c r="DG1218" s="64">
        <f>($B1218-$B1219)*100</f>
        <v/>
      </c>
      <c r="DH1218" s="64">
        <f>($D1218-$D1219)*100</f>
        <v/>
      </c>
      <c r="DI1218" s="64">
        <f>($E1218-$E1219)*100</f>
        <v/>
      </c>
      <c r="DJ1218" s="64">
        <f>($H1218-$H1219)*100</f>
        <v/>
      </c>
      <c r="DK1218" s="65">
        <f>IFERROR($J1218/$J1219-1,"")</f>
        <v/>
      </c>
      <c r="DL1218" s="64">
        <f>$L1218-$L1219</f>
        <v/>
      </c>
      <c r="DM1218" s="64">
        <f>$K1218-$K1219</f>
        <v/>
      </c>
      <c r="DN1218" s="65">
        <f>IFERROR($N1218/$N1219-1,"")</f>
        <v/>
      </c>
      <c r="DO1218" s="65">
        <f>IFERROR($M1218/$M1219-1,"")</f>
        <v/>
      </c>
      <c r="DP1218" s="65">
        <f>IFERROR($AZ1218/$AZ1219-1,"")</f>
        <v/>
      </c>
      <c r="DQ1218" s="65">
        <f>IFERROR($BA1218/$BA1219-1,"")</f>
        <v/>
      </c>
      <c r="DR1218" s="64">
        <f>$O1218-$O1219</f>
        <v/>
      </c>
      <c r="DS1218" s="64">
        <f>$P1218-$P1219</f>
        <v/>
      </c>
      <c r="DT1218" s="64">
        <f>$Q1218-$Q1219</f>
        <v/>
      </c>
      <c r="DU1218" s="64">
        <f>$S1218-$S1219</f>
        <v/>
      </c>
      <c r="DV1218" s="65">
        <f>IFERROR(AVERAGE($AA1219/$AA1218-1,$AB1219/$AB1218-1,$AC1219/$AC1218-1,$AD1219/$AD1218-1,$AE1219/$AE1218-1,$AG1219/$AG1218-1,$AH1219/$AH1218-1,$AI1219/$AI1218-1,$AJ1219/$AJ1218-1,$AL1219/$AL1218-1,$AM1219/$AM1218-1,$AR1219/$AR1218-1,$AS1219/$AS1218-1,$AT1219/$AT1218-1,$AU1219/$AU1218-1,$AV1219/$AV1218-1,$AW1219/$AW1218-1,$AX1219/$AX1218-1,$AY1219/$AY1218-1),"")</f>
        <v/>
      </c>
      <c r="DW1218" s="66">
        <f>AVERAGE($CB1218,$CC1218,$CD1218,$CE1218,$CF1218,$CG1218,$CH1218,$CI1218,$CJ1218,$CL1218,$CM1218,$CN1218,$CO1218,$CP1218,$CQ1218,$CR1218,$CS1218,$CT1218)</f>
        <v/>
      </c>
      <c r="DX1218" s="66">
        <f>AVERAGE($CB1218,$CC1218,$CM1218,$CE1218,$CP1218)</f>
        <v/>
      </c>
      <c r="DY1218" s="64">
        <f>($DW1218-$DW1219)*100</f>
        <v/>
      </c>
      <c r="DZ1218" s="64">
        <f>($DX1218-$DX1219)*100</f>
        <v/>
      </c>
      <c r="EA1218" s="64">
        <f>($DW1218-$D1218)*100</f>
        <v/>
      </c>
      <c r="EB1218" s="64">
        <f>$Q1218-$O1218</f>
        <v/>
      </c>
      <c r="EC1218" s="67">
        <f>IFERROR($Q1218/$P1218,"")</f>
        <v/>
      </c>
    </row>
    <row r="1219">
      <c r="DG1219" s="64">
        <f>($B1219-$B1220)*100</f>
        <v/>
      </c>
      <c r="DH1219" s="64">
        <f>($D1219-$D1220)*100</f>
        <v/>
      </c>
      <c r="DI1219" s="64">
        <f>($E1219-$E1220)*100</f>
        <v/>
      </c>
      <c r="DJ1219" s="64">
        <f>($H1219-$H1220)*100</f>
        <v/>
      </c>
      <c r="DK1219" s="65">
        <f>IFERROR($J1219/$J1220-1,"")</f>
        <v/>
      </c>
      <c r="DL1219" s="64">
        <f>$L1219-$L1220</f>
        <v/>
      </c>
      <c r="DM1219" s="64">
        <f>$K1219-$K1220</f>
        <v/>
      </c>
      <c r="DN1219" s="65">
        <f>IFERROR($N1219/$N1220-1,"")</f>
        <v/>
      </c>
      <c r="DO1219" s="65">
        <f>IFERROR($M1219/$M1220-1,"")</f>
        <v/>
      </c>
      <c r="DP1219" s="65">
        <f>IFERROR($AZ1219/$AZ1220-1,"")</f>
        <v/>
      </c>
      <c r="DQ1219" s="65">
        <f>IFERROR($BA1219/$BA1220-1,"")</f>
        <v/>
      </c>
      <c r="DR1219" s="64">
        <f>$O1219-$O1220</f>
        <v/>
      </c>
      <c r="DS1219" s="64">
        <f>$P1219-$P1220</f>
        <v/>
      </c>
      <c r="DT1219" s="64">
        <f>$Q1219-$Q1220</f>
        <v/>
      </c>
      <c r="DU1219" s="64">
        <f>$S1219-$S1220</f>
        <v/>
      </c>
      <c r="DV1219" s="65">
        <f>IFERROR(AVERAGE($AA1220/$AA1219-1,$AB1220/$AB1219-1,$AC1220/$AC1219-1,$AD1220/$AD1219-1,$AE1220/$AE1219-1,$AG1220/$AG1219-1,$AH1220/$AH1219-1,$AI1220/$AI1219-1,$AJ1220/$AJ1219-1,$AL1220/$AL1219-1,$AM1220/$AM1219-1,$AR1220/$AR1219-1,$AS1220/$AS1219-1,$AT1220/$AT1219-1,$AU1220/$AU1219-1,$AV1220/$AV1219-1,$AW1220/$AW1219-1,$AX1220/$AX1219-1,$AY1220/$AY1219-1),"")</f>
        <v/>
      </c>
      <c r="DW1219" s="66">
        <f>AVERAGE($CB1219,$CC1219,$CD1219,$CE1219,$CF1219,$CG1219,$CH1219,$CI1219,$CJ1219,$CL1219,$CM1219,$CN1219,$CO1219,$CP1219,$CQ1219,$CR1219,$CS1219,$CT1219)</f>
        <v/>
      </c>
      <c r="DX1219" s="66">
        <f>AVERAGE($CB1219,$CC1219,$CM1219,$CE1219,$CP1219)</f>
        <v/>
      </c>
      <c r="DY1219" s="64">
        <f>($DW1219-$DW1220)*100</f>
        <v/>
      </c>
      <c r="DZ1219" s="64">
        <f>($DX1219-$DX1220)*100</f>
        <v/>
      </c>
      <c r="EA1219" s="64">
        <f>($DW1219-$D1219)*100</f>
        <v/>
      </c>
      <c r="EB1219" s="64">
        <f>$Q1219-$O1219</f>
        <v/>
      </c>
      <c r="EC1219" s="67">
        <f>IFERROR($Q1219/$P1219,"")</f>
        <v/>
      </c>
    </row>
    <row r="1220">
      <c r="DG1220" s="64">
        <f>($B1220-$B1221)*100</f>
        <v/>
      </c>
      <c r="DH1220" s="64">
        <f>($D1220-$D1221)*100</f>
        <v/>
      </c>
      <c r="DI1220" s="64">
        <f>($E1220-$E1221)*100</f>
        <v/>
      </c>
      <c r="DJ1220" s="64">
        <f>($H1220-$H1221)*100</f>
        <v/>
      </c>
      <c r="DK1220" s="65">
        <f>IFERROR($J1220/$J1221-1,"")</f>
        <v/>
      </c>
      <c r="DL1220" s="64">
        <f>$L1220-$L1221</f>
        <v/>
      </c>
      <c r="DM1220" s="64">
        <f>$K1220-$K1221</f>
        <v/>
      </c>
      <c r="DN1220" s="65">
        <f>IFERROR($N1220/$N1221-1,"")</f>
        <v/>
      </c>
      <c r="DO1220" s="65">
        <f>IFERROR($M1220/$M1221-1,"")</f>
        <v/>
      </c>
      <c r="DP1220" s="65">
        <f>IFERROR($AZ1220/$AZ1221-1,"")</f>
        <v/>
      </c>
      <c r="DQ1220" s="65">
        <f>IFERROR($BA1220/$BA1221-1,"")</f>
        <v/>
      </c>
      <c r="DR1220" s="64">
        <f>$O1220-$O1221</f>
        <v/>
      </c>
      <c r="DS1220" s="64">
        <f>$P1220-$P1221</f>
        <v/>
      </c>
      <c r="DT1220" s="64">
        <f>$Q1220-$Q1221</f>
        <v/>
      </c>
      <c r="DU1220" s="64">
        <f>$S1220-$S1221</f>
        <v/>
      </c>
      <c r="DV1220" s="65">
        <f>IFERROR(AVERAGE($AA1221/$AA1220-1,$AB1221/$AB1220-1,$AC1221/$AC1220-1,$AD1221/$AD1220-1,$AE1221/$AE1220-1,$AG1221/$AG1220-1,$AH1221/$AH1220-1,$AI1221/$AI1220-1,$AJ1221/$AJ1220-1,$AL1221/$AL1220-1,$AM1221/$AM1220-1,$AR1221/$AR1220-1,$AS1221/$AS1220-1,$AT1221/$AT1220-1,$AU1221/$AU1220-1,$AV1221/$AV1220-1,$AW1221/$AW1220-1,$AX1221/$AX1220-1,$AY1221/$AY1220-1),"")</f>
        <v/>
      </c>
      <c r="DW1220" s="66">
        <f>AVERAGE($CB1220,$CC1220,$CD1220,$CE1220,$CF1220,$CG1220,$CH1220,$CI1220,$CJ1220,$CL1220,$CM1220,$CN1220,$CO1220,$CP1220,$CQ1220,$CR1220,$CS1220,$CT1220)</f>
        <v/>
      </c>
      <c r="DX1220" s="66">
        <f>AVERAGE($CB1220,$CC1220,$CM1220,$CE1220,$CP1220)</f>
        <v/>
      </c>
      <c r="DY1220" s="64">
        <f>($DW1220-$DW1221)*100</f>
        <v/>
      </c>
      <c r="DZ1220" s="64">
        <f>($DX1220-$DX1221)*100</f>
        <v/>
      </c>
      <c r="EA1220" s="64">
        <f>($DW1220-$D1220)*100</f>
        <v/>
      </c>
      <c r="EB1220" s="64">
        <f>$Q1220-$O1220</f>
        <v/>
      </c>
      <c r="EC1220" s="67">
        <f>IFERROR($Q1220/$P1220,"")</f>
        <v/>
      </c>
    </row>
    <row r="1221">
      <c r="DG1221" s="64">
        <f>($B1221-$B1222)*100</f>
        <v/>
      </c>
      <c r="DH1221" s="64">
        <f>($D1221-$D1222)*100</f>
        <v/>
      </c>
      <c r="DI1221" s="64">
        <f>($E1221-$E1222)*100</f>
        <v/>
      </c>
      <c r="DJ1221" s="64">
        <f>($H1221-$H1222)*100</f>
        <v/>
      </c>
      <c r="DK1221" s="65">
        <f>IFERROR($J1221/$J1222-1,"")</f>
        <v/>
      </c>
      <c r="DL1221" s="64">
        <f>$L1221-$L1222</f>
        <v/>
      </c>
      <c r="DM1221" s="64">
        <f>$K1221-$K1222</f>
        <v/>
      </c>
      <c r="DN1221" s="65">
        <f>IFERROR($N1221/$N1222-1,"")</f>
        <v/>
      </c>
      <c r="DO1221" s="65">
        <f>IFERROR($M1221/$M1222-1,"")</f>
        <v/>
      </c>
      <c r="DP1221" s="65">
        <f>IFERROR($AZ1221/$AZ1222-1,"")</f>
        <v/>
      </c>
      <c r="DQ1221" s="65">
        <f>IFERROR($BA1221/$BA1222-1,"")</f>
        <v/>
      </c>
      <c r="DR1221" s="64">
        <f>$O1221-$O1222</f>
        <v/>
      </c>
      <c r="DS1221" s="64">
        <f>$P1221-$P1222</f>
        <v/>
      </c>
      <c r="DT1221" s="64">
        <f>$Q1221-$Q1222</f>
        <v/>
      </c>
      <c r="DU1221" s="64">
        <f>$S1221-$S1222</f>
        <v/>
      </c>
      <c r="DV1221" s="65">
        <f>IFERROR(AVERAGE($AA1222/$AA1221-1,$AB1222/$AB1221-1,$AC1222/$AC1221-1,$AD1222/$AD1221-1,$AE1222/$AE1221-1,$AG1222/$AG1221-1,$AH1222/$AH1221-1,$AI1222/$AI1221-1,$AJ1222/$AJ1221-1,$AL1222/$AL1221-1,$AM1222/$AM1221-1,$AR1222/$AR1221-1,$AS1222/$AS1221-1,$AT1222/$AT1221-1,$AU1222/$AU1221-1,$AV1222/$AV1221-1,$AW1222/$AW1221-1,$AX1222/$AX1221-1,$AY1222/$AY1221-1),"")</f>
        <v/>
      </c>
      <c r="DW1221" s="66">
        <f>AVERAGE($CB1221,$CC1221,$CD1221,$CE1221,$CF1221,$CG1221,$CH1221,$CI1221,$CJ1221,$CL1221,$CM1221,$CN1221,$CO1221,$CP1221,$CQ1221,$CR1221,$CS1221,$CT1221)</f>
        <v/>
      </c>
      <c r="DX1221" s="66">
        <f>AVERAGE($CB1221,$CC1221,$CM1221,$CE1221,$CP1221)</f>
        <v/>
      </c>
      <c r="DY1221" s="64">
        <f>($DW1221-$DW1222)*100</f>
        <v/>
      </c>
      <c r="DZ1221" s="64">
        <f>($DX1221-$DX1222)*100</f>
        <v/>
      </c>
      <c r="EA1221" s="64">
        <f>($DW1221-$D1221)*100</f>
        <v/>
      </c>
      <c r="EB1221" s="64">
        <f>$Q1221-$O1221</f>
        <v/>
      </c>
      <c r="EC1221" s="67">
        <f>IFERROR($Q1221/$P1221,"")</f>
        <v/>
      </c>
    </row>
    <row r="1222">
      <c r="DG1222" s="64">
        <f>($B1222-$B1223)*100</f>
        <v/>
      </c>
      <c r="DH1222" s="64">
        <f>($D1222-$D1223)*100</f>
        <v/>
      </c>
      <c r="DI1222" s="64">
        <f>($E1222-$E1223)*100</f>
        <v/>
      </c>
      <c r="DJ1222" s="64">
        <f>($H1222-$H1223)*100</f>
        <v/>
      </c>
      <c r="DK1222" s="65">
        <f>IFERROR($J1222/$J1223-1,"")</f>
        <v/>
      </c>
      <c r="DL1222" s="64">
        <f>$L1222-$L1223</f>
        <v/>
      </c>
      <c r="DM1222" s="64">
        <f>$K1222-$K1223</f>
        <v/>
      </c>
      <c r="DN1222" s="65">
        <f>IFERROR($N1222/$N1223-1,"")</f>
        <v/>
      </c>
      <c r="DO1222" s="65">
        <f>IFERROR($M1222/$M1223-1,"")</f>
        <v/>
      </c>
      <c r="DP1222" s="65">
        <f>IFERROR($AZ1222/$AZ1223-1,"")</f>
        <v/>
      </c>
      <c r="DQ1222" s="65">
        <f>IFERROR($BA1222/$BA1223-1,"")</f>
        <v/>
      </c>
      <c r="DR1222" s="64">
        <f>$O1222-$O1223</f>
        <v/>
      </c>
      <c r="DS1222" s="64">
        <f>$P1222-$P1223</f>
        <v/>
      </c>
      <c r="DT1222" s="64">
        <f>$Q1222-$Q1223</f>
        <v/>
      </c>
      <c r="DU1222" s="64">
        <f>$S1222-$S1223</f>
        <v/>
      </c>
      <c r="DV1222" s="65">
        <f>IFERROR(AVERAGE($AA1223/$AA1222-1,$AB1223/$AB1222-1,$AC1223/$AC1222-1,$AD1223/$AD1222-1,$AE1223/$AE1222-1,$AG1223/$AG1222-1,$AH1223/$AH1222-1,$AI1223/$AI1222-1,$AJ1223/$AJ1222-1,$AL1223/$AL1222-1,$AM1223/$AM1222-1,$AR1223/$AR1222-1,$AS1223/$AS1222-1,$AT1223/$AT1222-1,$AU1223/$AU1222-1,$AV1223/$AV1222-1,$AW1223/$AW1222-1,$AX1223/$AX1222-1,$AY1223/$AY1222-1),"")</f>
        <v/>
      </c>
      <c r="DW1222" s="66">
        <f>AVERAGE($CB1222,$CC1222,$CD1222,$CE1222,$CF1222,$CG1222,$CH1222,$CI1222,$CJ1222,$CL1222,$CM1222,$CN1222,$CO1222,$CP1222,$CQ1222,$CR1222,$CS1222,$CT1222)</f>
        <v/>
      </c>
      <c r="DX1222" s="66">
        <f>AVERAGE($CB1222,$CC1222,$CM1222,$CE1222,$CP1222)</f>
        <v/>
      </c>
      <c r="DY1222" s="64">
        <f>($DW1222-$DW1223)*100</f>
        <v/>
      </c>
      <c r="DZ1222" s="64">
        <f>($DX1222-$DX1223)*100</f>
        <v/>
      </c>
      <c r="EA1222" s="64">
        <f>($DW1222-$D1222)*100</f>
        <v/>
      </c>
      <c r="EB1222" s="64">
        <f>$Q1222-$O1222</f>
        <v/>
      </c>
      <c r="EC1222" s="67">
        <f>IFERROR($Q1222/$P1222,"")</f>
        <v/>
      </c>
    </row>
    <row r="1223">
      <c r="DG1223" s="64">
        <f>($B1223-$B1224)*100</f>
        <v/>
      </c>
      <c r="DH1223" s="64">
        <f>($D1223-$D1224)*100</f>
        <v/>
      </c>
      <c r="DI1223" s="64">
        <f>($E1223-$E1224)*100</f>
        <v/>
      </c>
      <c r="DJ1223" s="64">
        <f>($H1223-$H1224)*100</f>
        <v/>
      </c>
      <c r="DK1223" s="65">
        <f>IFERROR($J1223/$J1224-1,"")</f>
        <v/>
      </c>
      <c r="DL1223" s="64">
        <f>$L1223-$L1224</f>
        <v/>
      </c>
      <c r="DM1223" s="64">
        <f>$K1223-$K1224</f>
        <v/>
      </c>
      <c r="DN1223" s="65">
        <f>IFERROR($N1223/$N1224-1,"")</f>
        <v/>
      </c>
      <c r="DO1223" s="65">
        <f>IFERROR($M1223/$M1224-1,"")</f>
        <v/>
      </c>
      <c r="DP1223" s="65">
        <f>IFERROR($AZ1223/$AZ1224-1,"")</f>
        <v/>
      </c>
      <c r="DQ1223" s="65">
        <f>IFERROR($BA1223/$BA1224-1,"")</f>
        <v/>
      </c>
      <c r="DR1223" s="64">
        <f>$O1223-$O1224</f>
        <v/>
      </c>
      <c r="DS1223" s="64">
        <f>$P1223-$P1224</f>
        <v/>
      </c>
      <c r="DT1223" s="64">
        <f>$Q1223-$Q1224</f>
        <v/>
      </c>
      <c r="DU1223" s="64">
        <f>$S1223-$S1224</f>
        <v/>
      </c>
      <c r="DV1223" s="65">
        <f>IFERROR(AVERAGE($AA1224/$AA1223-1,$AB1224/$AB1223-1,$AC1224/$AC1223-1,$AD1224/$AD1223-1,$AE1224/$AE1223-1,$AG1224/$AG1223-1,$AH1224/$AH1223-1,$AI1224/$AI1223-1,$AJ1224/$AJ1223-1,$AL1224/$AL1223-1,$AM1224/$AM1223-1,$AR1224/$AR1223-1,$AS1224/$AS1223-1,$AT1224/$AT1223-1,$AU1224/$AU1223-1,$AV1224/$AV1223-1,$AW1224/$AW1223-1,$AX1224/$AX1223-1,$AY1224/$AY1223-1),"")</f>
        <v/>
      </c>
      <c r="DW1223" s="66">
        <f>AVERAGE($CB1223,$CC1223,$CD1223,$CE1223,$CF1223,$CG1223,$CH1223,$CI1223,$CJ1223,$CL1223,$CM1223,$CN1223,$CO1223,$CP1223,$CQ1223,$CR1223,$CS1223,$CT1223)</f>
        <v/>
      </c>
      <c r="DX1223" s="66">
        <f>AVERAGE($CB1223,$CC1223,$CM1223,$CE1223,$CP1223)</f>
        <v/>
      </c>
      <c r="DY1223" s="64">
        <f>($DW1223-$DW1224)*100</f>
        <v/>
      </c>
      <c r="DZ1223" s="64">
        <f>($DX1223-$DX1224)*100</f>
        <v/>
      </c>
      <c r="EA1223" s="64">
        <f>($DW1223-$D1223)*100</f>
        <v/>
      </c>
      <c r="EB1223" s="64">
        <f>$Q1223-$O1223</f>
        <v/>
      </c>
      <c r="EC1223" s="67">
        <f>IFERROR($Q1223/$P1223,"")</f>
        <v/>
      </c>
    </row>
    <row r="1224">
      <c r="DG1224" s="64">
        <f>($B1224-$B1225)*100</f>
        <v/>
      </c>
      <c r="DH1224" s="64">
        <f>($D1224-$D1225)*100</f>
        <v/>
      </c>
      <c r="DI1224" s="64">
        <f>($E1224-$E1225)*100</f>
        <v/>
      </c>
      <c r="DJ1224" s="64">
        <f>($H1224-$H1225)*100</f>
        <v/>
      </c>
      <c r="DK1224" s="65">
        <f>IFERROR($J1224/$J1225-1,"")</f>
        <v/>
      </c>
      <c r="DL1224" s="64">
        <f>$L1224-$L1225</f>
        <v/>
      </c>
      <c r="DM1224" s="64">
        <f>$K1224-$K1225</f>
        <v/>
      </c>
      <c r="DN1224" s="65">
        <f>IFERROR($N1224/$N1225-1,"")</f>
        <v/>
      </c>
      <c r="DO1224" s="65">
        <f>IFERROR($M1224/$M1225-1,"")</f>
        <v/>
      </c>
      <c r="DP1224" s="65">
        <f>IFERROR($AZ1224/$AZ1225-1,"")</f>
        <v/>
      </c>
      <c r="DQ1224" s="65">
        <f>IFERROR($BA1224/$BA1225-1,"")</f>
        <v/>
      </c>
      <c r="DR1224" s="64">
        <f>$O1224-$O1225</f>
        <v/>
      </c>
      <c r="DS1224" s="64">
        <f>$P1224-$P1225</f>
        <v/>
      </c>
      <c r="DT1224" s="64">
        <f>$Q1224-$Q1225</f>
        <v/>
      </c>
      <c r="DU1224" s="64">
        <f>$S1224-$S1225</f>
        <v/>
      </c>
      <c r="DV1224" s="65">
        <f>IFERROR(AVERAGE($AA1225/$AA1224-1,$AB1225/$AB1224-1,$AC1225/$AC1224-1,$AD1225/$AD1224-1,$AE1225/$AE1224-1,$AG1225/$AG1224-1,$AH1225/$AH1224-1,$AI1225/$AI1224-1,$AJ1225/$AJ1224-1,$AL1225/$AL1224-1,$AM1225/$AM1224-1,$AR1225/$AR1224-1,$AS1225/$AS1224-1,$AT1225/$AT1224-1,$AU1225/$AU1224-1,$AV1225/$AV1224-1,$AW1225/$AW1224-1,$AX1225/$AX1224-1,$AY1225/$AY1224-1),"")</f>
        <v/>
      </c>
      <c r="DW1224" s="66">
        <f>AVERAGE($CB1224,$CC1224,$CD1224,$CE1224,$CF1224,$CG1224,$CH1224,$CI1224,$CJ1224,$CL1224,$CM1224,$CN1224,$CO1224,$CP1224,$CQ1224,$CR1224,$CS1224,$CT1224)</f>
        <v/>
      </c>
      <c r="DX1224" s="66">
        <f>AVERAGE($CB1224,$CC1224,$CM1224,$CE1224,$CP1224)</f>
        <v/>
      </c>
      <c r="DY1224" s="64">
        <f>($DW1224-$DW1225)*100</f>
        <v/>
      </c>
      <c r="DZ1224" s="64">
        <f>($DX1224-$DX1225)*100</f>
        <v/>
      </c>
      <c r="EA1224" s="64">
        <f>($DW1224-$D1224)*100</f>
        <v/>
      </c>
      <c r="EB1224" s="64">
        <f>$Q1224-$O1224</f>
        <v/>
      </c>
      <c r="EC1224" s="67">
        <f>IFERROR($Q1224/$P1224,"")</f>
        <v/>
      </c>
    </row>
    <row r="1225">
      <c r="DG1225" s="64">
        <f>($B1225-$B1226)*100</f>
        <v/>
      </c>
      <c r="DH1225" s="64">
        <f>($D1225-$D1226)*100</f>
        <v/>
      </c>
      <c r="DI1225" s="64">
        <f>($E1225-$E1226)*100</f>
        <v/>
      </c>
      <c r="DJ1225" s="64">
        <f>($H1225-$H1226)*100</f>
        <v/>
      </c>
      <c r="DK1225" s="65">
        <f>IFERROR($J1225/$J1226-1,"")</f>
        <v/>
      </c>
      <c r="DL1225" s="64">
        <f>$L1225-$L1226</f>
        <v/>
      </c>
      <c r="DM1225" s="64">
        <f>$K1225-$K1226</f>
        <v/>
      </c>
      <c r="DN1225" s="65">
        <f>IFERROR($N1225/$N1226-1,"")</f>
        <v/>
      </c>
      <c r="DO1225" s="65">
        <f>IFERROR($M1225/$M1226-1,"")</f>
        <v/>
      </c>
      <c r="DP1225" s="65">
        <f>IFERROR($AZ1225/$AZ1226-1,"")</f>
        <v/>
      </c>
      <c r="DQ1225" s="65">
        <f>IFERROR($BA1225/$BA1226-1,"")</f>
        <v/>
      </c>
      <c r="DR1225" s="64">
        <f>$O1225-$O1226</f>
        <v/>
      </c>
      <c r="DS1225" s="64">
        <f>$P1225-$P1226</f>
        <v/>
      </c>
      <c r="DT1225" s="64">
        <f>$Q1225-$Q1226</f>
        <v/>
      </c>
      <c r="DU1225" s="64">
        <f>$S1225-$S1226</f>
        <v/>
      </c>
      <c r="DV1225" s="65">
        <f>IFERROR(AVERAGE($AA1226/$AA1225-1,$AB1226/$AB1225-1,$AC1226/$AC1225-1,$AD1226/$AD1225-1,$AE1226/$AE1225-1,$AG1226/$AG1225-1,$AH1226/$AH1225-1,$AI1226/$AI1225-1,$AJ1226/$AJ1225-1,$AL1226/$AL1225-1,$AM1226/$AM1225-1,$AR1226/$AR1225-1,$AS1226/$AS1225-1,$AT1226/$AT1225-1,$AU1226/$AU1225-1,$AV1226/$AV1225-1,$AW1226/$AW1225-1,$AX1226/$AX1225-1,$AY1226/$AY1225-1),"")</f>
        <v/>
      </c>
      <c r="DW1225" s="66">
        <f>AVERAGE($CB1225,$CC1225,$CD1225,$CE1225,$CF1225,$CG1225,$CH1225,$CI1225,$CJ1225,$CL1225,$CM1225,$CN1225,$CO1225,$CP1225,$CQ1225,$CR1225,$CS1225,$CT1225)</f>
        <v/>
      </c>
      <c r="DX1225" s="66">
        <f>AVERAGE($CB1225,$CC1225,$CM1225,$CE1225,$CP1225)</f>
        <v/>
      </c>
      <c r="DY1225" s="64">
        <f>($DW1225-$DW1226)*100</f>
        <v/>
      </c>
      <c r="DZ1225" s="64">
        <f>($DX1225-$DX1226)*100</f>
        <v/>
      </c>
      <c r="EA1225" s="64">
        <f>($DW1225-$D1225)*100</f>
        <v/>
      </c>
      <c r="EB1225" s="64">
        <f>$Q1225-$O1225</f>
        <v/>
      </c>
      <c r="EC1225" s="67">
        <f>IFERROR($Q1225/$P1225,"")</f>
        <v/>
      </c>
    </row>
    <row r="1226">
      <c r="DG1226" s="64">
        <f>($B1226-$B1227)*100</f>
        <v/>
      </c>
      <c r="DH1226" s="64">
        <f>($D1226-$D1227)*100</f>
        <v/>
      </c>
      <c r="DI1226" s="64">
        <f>($E1226-$E1227)*100</f>
        <v/>
      </c>
      <c r="DJ1226" s="64">
        <f>($H1226-$H1227)*100</f>
        <v/>
      </c>
      <c r="DK1226" s="65">
        <f>IFERROR($J1226/$J1227-1,"")</f>
        <v/>
      </c>
      <c r="DL1226" s="64">
        <f>$L1226-$L1227</f>
        <v/>
      </c>
      <c r="DM1226" s="64">
        <f>$K1226-$K1227</f>
        <v/>
      </c>
      <c r="DN1226" s="65">
        <f>IFERROR($N1226/$N1227-1,"")</f>
        <v/>
      </c>
      <c r="DO1226" s="65">
        <f>IFERROR($M1226/$M1227-1,"")</f>
        <v/>
      </c>
      <c r="DP1226" s="65">
        <f>IFERROR($AZ1226/$AZ1227-1,"")</f>
        <v/>
      </c>
      <c r="DQ1226" s="65">
        <f>IFERROR($BA1226/$BA1227-1,"")</f>
        <v/>
      </c>
      <c r="DR1226" s="64">
        <f>$O1226-$O1227</f>
        <v/>
      </c>
      <c r="DS1226" s="64">
        <f>$P1226-$P1227</f>
        <v/>
      </c>
      <c r="DT1226" s="64">
        <f>$Q1226-$Q1227</f>
        <v/>
      </c>
      <c r="DU1226" s="64">
        <f>$S1226-$S1227</f>
        <v/>
      </c>
      <c r="DV1226" s="65">
        <f>IFERROR(AVERAGE($AA1227/$AA1226-1,$AB1227/$AB1226-1,$AC1227/$AC1226-1,$AD1227/$AD1226-1,$AE1227/$AE1226-1,$AG1227/$AG1226-1,$AH1227/$AH1226-1,$AI1227/$AI1226-1,$AJ1227/$AJ1226-1,$AL1227/$AL1226-1,$AM1227/$AM1226-1,$AR1227/$AR1226-1,$AS1227/$AS1226-1,$AT1227/$AT1226-1,$AU1227/$AU1226-1,$AV1227/$AV1226-1,$AW1227/$AW1226-1,$AX1227/$AX1226-1,$AY1227/$AY1226-1),"")</f>
        <v/>
      </c>
      <c r="DW1226" s="66">
        <f>AVERAGE($CB1226,$CC1226,$CD1226,$CE1226,$CF1226,$CG1226,$CH1226,$CI1226,$CJ1226,$CL1226,$CM1226,$CN1226,$CO1226,$CP1226,$CQ1226,$CR1226,$CS1226,$CT1226)</f>
        <v/>
      </c>
      <c r="DX1226" s="66">
        <f>AVERAGE($CB1226,$CC1226,$CM1226,$CE1226,$CP1226)</f>
        <v/>
      </c>
      <c r="DY1226" s="64">
        <f>($DW1226-$DW1227)*100</f>
        <v/>
      </c>
      <c r="DZ1226" s="64">
        <f>($DX1226-$DX1227)*100</f>
        <v/>
      </c>
      <c r="EA1226" s="64">
        <f>($DW1226-$D1226)*100</f>
        <v/>
      </c>
      <c r="EB1226" s="64">
        <f>$Q1226-$O1226</f>
        <v/>
      </c>
      <c r="EC1226" s="67">
        <f>IFERROR($Q1226/$P1226,"")</f>
        <v/>
      </c>
    </row>
    <row r="1227">
      <c r="DG1227" s="64">
        <f>($B1227-$B1228)*100</f>
        <v/>
      </c>
      <c r="DH1227" s="64">
        <f>($D1227-$D1228)*100</f>
        <v/>
      </c>
      <c r="DI1227" s="64">
        <f>($E1227-$E1228)*100</f>
        <v/>
      </c>
      <c r="DJ1227" s="64">
        <f>($H1227-$H1228)*100</f>
        <v/>
      </c>
      <c r="DK1227" s="65">
        <f>IFERROR($J1227/$J1228-1,"")</f>
        <v/>
      </c>
      <c r="DL1227" s="64">
        <f>$L1227-$L1228</f>
        <v/>
      </c>
      <c r="DM1227" s="64">
        <f>$K1227-$K1228</f>
        <v/>
      </c>
      <c r="DN1227" s="65">
        <f>IFERROR($N1227/$N1228-1,"")</f>
        <v/>
      </c>
      <c r="DO1227" s="65">
        <f>IFERROR($M1227/$M1228-1,"")</f>
        <v/>
      </c>
      <c r="DP1227" s="65">
        <f>IFERROR($AZ1227/$AZ1228-1,"")</f>
        <v/>
      </c>
      <c r="DQ1227" s="65">
        <f>IFERROR($BA1227/$BA1228-1,"")</f>
        <v/>
      </c>
      <c r="DR1227" s="64">
        <f>$O1227-$O1228</f>
        <v/>
      </c>
      <c r="DS1227" s="64">
        <f>$P1227-$P1228</f>
        <v/>
      </c>
      <c r="DT1227" s="64">
        <f>$Q1227-$Q1228</f>
        <v/>
      </c>
      <c r="DU1227" s="64">
        <f>$S1227-$S1228</f>
        <v/>
      </c>
      <c r="DV1227" s="65">
        <f>IFERROR(AVERAGE($AA1228/$AA1227-1,$AB1228/$AB1227-1,$AC1228/$AC1227-1,$AD1228/$AD1227-1,$AE1228/$AE1227-1,$AG1228/$AG1227-1,$AH1228/$AH1227-1,$AI1228/$AI1227-1,$AJ1228/$AJ1227-1,$AL1228/$AL1227-1,$AM1228/$AM1227-1,$AR1228/$AR1227-1,$AS1228/$AS1227-1,$AT1228/$AT1227-1,$AU1228/$AU1227-1,$AV1228/$AV1227-1,$AW1228/$AW1227-1,$AX1228/$AX1227-1,$AY1228/$AY1227-1),"")</f>
        <v/>
      </c>
      <c r="DW1227" s="66">
        <f>AVERAGE($CB1227,$CC1227,$CD1227,$CE1227,$CF1227,$CG1227,$CH1227,$CI1227,$CJ1227,$CL1227,$CM1227,$CN1227,$CO1227,$CP1227,$CQ1227,$CR1227,$CS1227,$CT1227)</f>
        <v/>
      </c>
      <c r="DX1227" s="66">
        <f>AVERAGE($CB1227,$CC1227,$CM1227,$CE1227,$CP1227)</f>
        <v/>
      </c>
      <c r="DY1227" s="64">
        <f>($DW1227-$DW1228)*100</f>
        <v/>
      </c>
      <c r="DZ1227" s="64">
        <f>($DX1227-$DX1228)*100</f>
        <v/>
      </c>
      <c r="EA1227" s="64">
        <f>($DW1227-$D1227)*100</f>
        <v/>
      </c>
      <c r="EB1227" s="64">
        <f>$Q1227-$O1227</f>
        <v/>
      </c>
      <c r="EC1227" s="67">
        <f>IFERROR($Q1227/$P1227,"")</f>
        <v/>
      </c>
    </row>
    <row r="1228">
      <c r="DG1228" s="64">
        <f>($B1228-$B1229)*100</f>
        <v/>
      </c>
      <c r="DH1228" s="64">
        <f>($D1228-$D1229)*100</f>
        <v/>
      </c>
      <c r="DI1228" s="64">
        <f>($E1228-$E1229)*100</f>
        <v/>
      </c>
      <c r="DJ1228" s="64">
        <f>($H1228-$H1229)*100</f>
        <v/>
      </c>
      <c r="DK1228" s="65">
        <f>IFERROR($J1228/$J1229-1,"")</f>
        <v/>
      </c>
      <c r="DL1228" s="64">
        <f>$L1228-$L1229</f>
        <v/>
      </c>
      <c r="DM1228" s="64">
        <f>$K1228-$K1229</f>
        <v/>
      </c>
      <c r="DN1228" s="65">
        <f>IFERROR($N1228/$N1229-1,"")</f>
        <v/>
      </c>
      <c r="DO1228" s="65">
        <f>IFERROR($M1228/$M1229-1,"")</f>
        <v/>
      </c>
      <c r="DP1228" s="65">
        <f>IFERROR($AZ1228/$AZ1229-1,"")</f>
        <v/>
      </c>
      <c r="DQ1228" s="65">
        <f>IFERROR($BA1228/$BA1229-1,"")</f>
        <v/>
      </c>
      <c r="DR1228" s="64">
        <f>$O1228-$O1229</f>
        <v/>
      </c>
      <c r="DS1228" s="64">
        <f>$P1228-$P1229</f>
        <v/>
      </c>
      <c r="DT1228" s="64">
        <f>$Q1228-$Q1229</f>
        <v/>
      </c>
      <c r="DU1228" s="64">
        <f>$S1228-$S1229</f>
        <v/>
      </c>
      <c r="DV1228" s="65">
        <f>IFERROR(AVERAGE($AA1229/$AA1228-1,$AB1229/$AB1228-1,$AC1229/$AC1228-1,$AD1229/$AD1228-1,$AE1229/$AE1228-1,$AG1229/$AG1228-1,$AH1229/$AH1228-1,$AI1229/$AI1228-1,$AJ1229/$AJ1228-1,$AL1229/$AL1228-1,$AM1229/$AM1228-1,$AR1229/$AR1228-1,$AS1229/$AS1228-1,$AT1229/$AT1228-1,$AU1229/$AU1228-1,$AV1229/$AV1228-1,$AW1229/$AW1228-1,$AX1229/$AX1228-1,$AY1229/$AY1228-1),"")</f>
        <v/>
      </c>
      <c r="DW1228" s="66">
        <f>AVERAGE($CB1228,$CC1228,$CD1228,$CE1228,$CF1228,$CG1228,$CH1228,$CI1228,$CJ1228,$CL1228,$CM1228,$CN1228,$CO1228,$CP1228,$CQ1228,$CR1228,$CS1228,$CT1228)</f>
        <v/>
      </c>
      <c r="DX1228" s="66">
        <f>AVERAGE($CB1228,$CC1228,$CM1228,$CE1228,$CP1228)</f>
        <v/>
      </c>
      <c r="DY1228" s="64">
        <f>($DW1228-$DW1229)*100</f>
        <v/>
      </c>
      <c r="DZ1228" s="64">
        <f>($DX1228-$DX1229)*100</f>
        <v/>
      </c>
      <c r="EA1228" s="64">
        <f>($DW1228-$D1228)*100</f>
        <v/>
      </c>
      <c r="EB1228" s="64">
        <f>$Q1228-$O1228</f>
        <v/>
      </c>
      <c r="EC1228" s="67">
        <f>IFERROR($Q1228/$P1228,"")</f>
        <v/>
      </c>
    </row>
    <row r="1229">
      <c r="DG1229" s="64">
        <f>($B1229-$B1230)*100</f>
        <v/>
      </c>
      <c r="DH1229" s="64">
        <f>($D1229-$D1230)*100</f>
        <v/>
      </c>
      <c r="DI1229" s="64">
        <f>($E1229-$E1230)*100</f>
        <v/>
      </c>
      <c r="DJ1229" s="64">
        <f>($H1229-$H1230)*100</f>
        <v/>
      </c>
      <c r="DK1229" s="65">
        <f>IFERROR($J1229/$J1230-1,"")</f>
        <v/>
      </c>
      <c r="DL1229" s="64">
        <f>$L1229-$L1230</f>
        <v/>
      </c>
      <c r="DM1229" s="64">
        <f>$K1229-$K1230</f>
        <v/>
      </c>
      <c r="DN1229" s="65">
        <f>IFERROR($N1229/$N1230-1,"")</f>
        <v/>
      </c>
      <c r="DO1229" s="65">
        <f>IFERROR($M1229/$M1230-1,"")</f>
        <v/>
      </c>
      <c r="DP1229" s="65">
        <f>IFERROR($AZ1229/$AZ1230-1,"")</f>
        <v/>
      </c>
      <c r="DQ1229" s="65">
        <f>IFERROR($BA1229/$BA1230-1,"")</f>
        <v/>
      </c>
      <c r="DR1229" s="64">
        <f>$O1229-$O1230</f>
        <v/>
      </c>
      <c r="DS1229" s="64">
        <f>$P1229-$P1230</f>
        <v/>
      </c>
      <c r="DT1229" s="64">
        <f>$Q1229-$Q1230</f>
        <v/>
      </c>
      <c r="DU1229" s="64">
        <f>$S1229-$S1230</f>
        <v/>
      </c>
      <c r="DV1229" s="65">
        <f>IFERROR(AVERAGE($AA1230/$AA1229-1,$AB1230/$AB1229-1,$AC1230/$AC1229-1,$AD1230/$AD1229-1,$AE1230/$AE1229-1,$AG1230/$AG1229-1,$AH1230/$AH1229-1,$AI1230/$AI1229-1,$AJ1230/$AJ1229-1,$AL1230/$AL1229-1,$AM1230/$AM1229-1,$AR1230/$AR1229-1,$AS1230/$AS1229-1,$AT1230/$AT1229-1,$AU1230/$AU1229-1,$AV1230/$AV1229-1,$AW1230/$AW1229-1,$AX1230/$AX1229-1,$AY1230/$AY1229-1),"")</f>
        <v/>
      </c>
      <c r="DW1229" s="66">
        <f>AVERAGE($CB1229,$CC1229,$CD1229,$CE1229,$CF1229,$CG1229,$CH1229,$CI1229,$CJ1229,$CL1229,$CM1229,$CN1229,$CO1229,$CP1229,$CQ1229,$CR1229,$CS1229,$CT1229)</f>
        <v/>
      </c>
      <c r="DX1229" s="66">
        <f>AVERAGE($CB1229,$CC1229,$CM1229,$CE1229,$CP1229)</f>
        <v/>
      </c>
      <c r="DY1229" s="64">
        <f>($DW1229-$DW1230)*100</f>
        <v/>
      </c>
      <c r="DZ1229" s="64">
        <f>($DX1229-$DX1230)*100</f>
        <v/>
      </c>
      <c r="EA1229" s="64">
        <f>($DW1229-$D1229)*100</f>
        <v/>
      </c>
      <c r="EB1229" s="64">
        <f>$Q1229-$O1229</f>
        <v/>
      </c>
      <c r="EC1229" s="67">
        <f>IFERROR($Q1229/$P1229,"")</f>
        <v/>
      </c>
    </row>
    <row r="1230">
      <c r="DG1230" s="64">
        <f>($B1230-$B1231)*100</f>
        <v/>
      </c>
      <c r="DH1230" s="64">
        <f>($D1230-$D1231)*100</f>
        <v/>
      </c>
      <c r="DI1230" s="64">
        <f>($E1230-$E1231)*100</f>
        <v/>
      </c>
      <c r="DJ1230" s="64">
        <f>($H1230-$H1231)*100</f>
        <v/>
      </c>
      <c r="DK1230" s="65">
        <f>IFERROR($J1230/$J1231-1,"")</f>
        <v/>
      </c>
      <c r="DL1230" s="64">
        <f>$L1230-$L1231</f>
        <v/>
      </c>
      <c r="DM1230" s="64">
        <f>$K1230-$K1231</f>
        <v/>
      </c>
      <c r="DN1230" s="65">
        <f>IFERROR($N1230/$N1231-1,"")</f>
        <v/>
      </c>
      <c r="DO1230" s="65">
        <f>IFERROR($M1230/$M1231-1,"")</f>
        <v/>
      </c>
      <c r="DP1230" s="65">
        <f>IFERROR($AZ1230/$AZ1231-1,"")</f>
        <v/>
      </c>
      <c r="DQ1230" s="65">
        <f>IFERROR($BA1230/$BA1231-1,"")</f>
        <v/>
      </c>
      <c r="DR1230" s="64">
        <f>$O1230-$O1231</f>
        <v/>
      </c>
      <c r="DS1230" s="64">
        <f>$P1230-$P1231</f>
        <v/>
      </c>
      <c r="DT1230" s="64">
        <f>$Q1230-$Q1231</f>
        <v/>
      </c>
      <c r="DU1230" s="64">
        <f>$S1230-$S1231</f>
        <v/>
      </c>
      <c r="DV1230" s="65">
        <f>IFERROR(AVERAGE($AA1231/$AA1230-1,$AB1231/$AB1230-1,$AC1231/$AC1230-1,$AD1231/$AD1230-1,$AE1231/$AE1230-1,$AG1231/$AG1230-1,$AH1231/$AH1230-1,$AI1231/$AI1230-1,$AJ1231/$AJ1230-1,$AL1231/$AL1230-1,$AM1231/$AM1230-1,$AR1231/$AR1230-1,$AS1231/$AS1230-1,$AT1231/$AT1230-1,$AU1231/$AU1230-1,$AV1231/$AV1230-1,$AW1231/$AW1230-1,$AX1231/$AX1230-1,$AY1231/$AY1230-1),"")</f>
        <v/>
      </c>
      <c r="DW1230" s="66">
        <f>AVERAGE($CB1230,$CC1230,$CD1230,$CE1230,$CF1230,$CG1230,$CH1230,$CI1230,$CJ1230,$CL1230,$CM1230,$CN1230,$CO1230,$CP1230,$CQ1230,$CR1230,$CS1230,$CT1230)</f>
        <v/>
      </c>
      <c r="DX1230" s="66">
        <f>AVERAGE($CB1230,$CC1230,$CM1230,$CE1230,$CP1230)</f>
        <v/>
      </c>
      <c r="DY1230" s="64">
        <f>($DW1230-$DW1231)*100</f>
        <v/>
      </c>
      <c r="DZ1230" s="64">
        <f>($DX1230-$DX1231)*100</f>
        <v/>
      </c>
      <c r="EA1230" s="64">
        <f>($DW1230-$D1230)*100</f>
        <v/>
      </c>
      <c r="EB1230" s="64">
        <f>$Q1230-$O1230</f>
        <v/>
      </c>
      <c r="EC1230" s="67">
        <f>IFERROR($Q1230/$P1230,"")</f>
        <v/>
      </c>
    </row>
    <row r="1231">
      <c r="DG1231" s="64">
        <f>($B1231-$B1232)*100</f>
        <v/>
      </c>
      <c r="DH1231" s="64">
        <f>($D1231-$D1232)*100</f>
        <v/>
      </c>
      <c r="DI1231" s="64">
        <f>($E1231-$E1232)*100</f>
        <v/>
      </c>
      <c r="DJ1231" s="64">
        <f>($H1231-$H1232)*100</f>
        <v/>
      </c>
      <c r="DK1231" s="65">
        <f>IFERROR($J1231/$J1232-1,"")</f>
        <v/>
      </c>
      <c r="DL1231" s="64">
        <f>$L1231-$L1232</f>
        <v/>
      </c>
      <c r="DM1231" s="64">
        <f>$K1231-$K1232</f>
        <v/>
      </c>
      <c r="DN1231" s="65">
        <f>IFERROR($N1231/$N1232-1,"")</f>
        <v/>
      </c>
      <c r="DO1231" s="65">
        <f>IFERROR($M1231/$M1232-1,"")</f>
        <v/>
      </c>
      <c r="DP1231" s="65">
        <f>IFERROR($AZ1231/$AZ1232-1,"")</f>
        <v/>
      </c>
      <c r="DQ1231" s="65">
        <f>IFERROR($BA1231/$BA1232-1,"")</f>
        <v/>
      </c>
      <c r="DR1231" s="64">
        <f>$O1231-$O1232</f>
        <v/>
      </c>
      <c r="DS1231" s="64">
        <f>$P1231-$P1232</f>
        <v/>
      </c>
      <c r="DT1231" s="64">
        <f>$Q1231-$Q1232</f>
        <v/>
      </c>
      <c r="DU1231" s="64">
        <f>$S1231-$S1232</f>
        <v/>
      </c>
      <c r="DV1231" s="65">
        <f>IFERROR(AVERAGE($AA1232/$AA1231-1,$AB1232/$AB1231-1,$AC1232/$AC1231-1,$AD1232/$AD1231-1,$AE1232/$AE1231-1,$AG1232/$AG1231-1,$AH1232/$AH1231-1,$AI1232/$AI1231-1,$AJ1232/$AJ1231-1,$AL1232/$AL1231-1,$AM1232/$AM1231-1,$AR1232/$AR1231-1,$AS1232/$AS1231-1,$AT1232/$AT1231-1,$AU1232/$AU1231-1,$AV1232/$AV1231-1,$AW1232/$AW1231-1,$AX1232/$AX1231-1,$AY1232/$AY1231-1),"")</f>
        <v/>
      </c>
      <c r="DW1231" s="66">
        <f>AVERAGE($CB1231,$CC1231,$CD1231,$CE1231,$CF1231,$CG1231,$CH1231,$CI1231,$CJ1231,$CL1231,$CM1231,$CN1231,$CO1231,$CP1231,$CQ1231,$CR1231,$CS1231,$CT1231)</f>
        <v/>
      </c>
      <c r="DX1231" s="66">
        <f>AVERAGE($CB1231,$CC1231,$CM1231,$CE1231,$CP1231)</f>
        <v/>
      </c>
      <c r="DY1231" s="64">
        <f>($DW1231-$DW1232)*100</f>
        <v/>
      </c>
      <c r="DZ1231" s="64">
        <f>($DX1231-$DX1232)*100</f>
        <v/>
      </c>
      <c r="EA1231" s="64">
        <f>($DW1231-$D1231)*100</f>
        <v/>
      </c>
      <c r="EB1231" s="64">
        <f>$Q1231-$O1231</f>
        <v/>
      </c>
      <c r="EC1231" s="67">
        <f>IFERROR($Q1231/$P1231,"")</f>
        <v/>
      </c>
    </row>
    <row r="1232">
      <c r="DG1232" s="64">
        <f>($B1232-$B1233)*100</f>
        <v/>
      </c>
      <c r="DH1232" s="64">
        <f>($D1232-$D1233)*100</f>
        <v/>
      </c>
      <c r="DI1232" s="64">
        <f>($E1232-$E1233)*100</f>
        <v/>
      </c>
      <c r="DJ1232" s="64">
        <f>($H1232-$H1233)*100</f>
        <v/>
      </c>
      <c r="DK1232" s="65">
        <f>IFERROR($J1232/$J1233-1,"")</f>
        <v/>
      </c>
      <c r="DL1232" s="64">
        <f>$L1232-$L1233</f>
        <v/>
      </c>
      <c r="DM1232" s="64">
        <f>$K1232-$K1233</f>
        <v/>
      </c>
      <c r="DN1232" s="65">
        <f>IFERROR($N1232/$N1233-1,"")</f>
        <v/>
      </c>
      <c r="DO1232" s="65">
        <f>IFERROR($M1232/$M1233-1,"")</f>
        <v/>
      </c>
      <c r="DP1232" s="65">
        <f>IFERROR($AZ1232/$AZ1233-1,"")</f>
        <v/>
      </c>
      <c r="DQ1232" s="65">
        <f>IFERROR($BA1232/$BA1233-1,"")</f>
        <v/>
      </c>
      <c r="DR1232" s="64">
        <f>$O1232-$O1233</f>
        <v/>
      </c>
      <c r="DS1232" s="64">
        <f>$P1232-$P1233</f>
        <v/>
      </c>
      <c r="DT1232" s="64">
        <f>$Q1232-$Q1233</f>
        <v/>
      </c>
      <c r="DU1232" s="64">
        <f>$S1232-$S1233</f>
        <v/>
      </c>
      <c r="DV1232" s="65">
        <f>IFERROR(AVERAGE($AA1233/$AA1232-1,$AB1233/$AB1232-1,$AC1233/$AC1232-1,$AD1233/$AD1232-1,$AE1233/$AE1232-1,$AG1233/$AG1232-1,$AH1233/$AH1232-1,$AI1233/$AI1232-1,$AJ1233/$AJ1232-1,$AL1233/$AL1232-1,$AM1233/$AM1232-1,$AR1233/$AR1232-1,$AS1233/$AS1232-1,$AT1233/$AT1232-1,$AU1233/$AU1232-1,$AV1233/$AV1232-1,$AW1233/$AW1232-1,$AX1233/$AX1232-1,$AY1233/$AY1232-1),"")</f>
        <v/>
      </c>
      <c r="DW1232" s="66">
        <f>AVERAGE($CB1232,$CC1232,$CD1232,$CE1232,$CF1232,$CG1232,$CH1232,$CI1232,$CJ1232,$CL1232,$CM1232,$CN1232,$CO1232,$CP1232,$CQ1232,$CR1232,$CS1232,$CT1232)</f>
        <v/>
      </c>
      <c r="DX1232" s="66">
        <f>AVERAGE($CB1232,$CC1232,$CM1232,$CE1232,$CP1232)</f>
        <v/>
      </c>
      <c r="DY1232" s="64">
        <f>($DW1232-$DW1233)*100</f>
        <v/>
      </c>
      <c r="DZ1232" s="64">
        <f>($DX1232-$DX1233)*100</f>
        <v/>
      </c>
      <c r="EA1232" s="64">
        <f>($DW1232-$D1232)*100</f>
        <v/>
      </c>
      <c r="EB1232" s="64">
        <f>$Q1232-$O1232</f>
        <v/>
      </c>
      <c r="EC1232" s="67">
        <f>IFERROR($Q1232/$P1232,"")</f>
        <v/>
      </c>
    </row>
    <row r="1233">
      <c r="DG1233" s="64">
        <f>($B1233-$B1234)*100</f>
        <v/>
      </c>
      <c r="DH1233" s="64">
        <f>($D1233-$D1234)*100</f>
        <v/>
      </c>
      <c r="DI1233" s="64">
        <f>($E1233-$E1234)*100</f>
        <v/>
      </c>
      <c r="DJ1233" s="64">
        <f>($H1233-$H1234)*100</f>
        <v/>
      </c>
      <c r="DK1233" s="65">
        <f>IFERROR($J1233/$J1234-1,"")</f>
        <v/>
      </c>
      <c r="DL1233" s="64">
        <f>$L1233-$L1234</f>
        <v/>
      </c>
      <c r="DM1233" s="64">
        <f>$K1233-$K1234</f>
        <v/>
      </c>
      <c r="DN1233" s="65">
        <f>IFERROR($N1233/$N1234-1,"")</f>
        <v/>
      </c>
      <c r="DO1233" s="65">
        <f>IFERROR($M1233/$M1234-1,"")</f>
        <v/>
      </c>
      <c r="DP1233" s="65">
        <f>IFERROR($AZ1233/$AZ1234-1,"")</f>
        <v/>
      </c>
      <c r="DQ1233" s="65">
        <f>IFERROR($BA1233/$BA1234-1,"")</f>
        <v/>
      </c>
      <c r="DR1233" s="64">
        <f>$O1233-$O1234</f>
        <v/>
      </c>
      <c r="DS1233" s="64">
        <f>$P1233-$P1234</f>
        <v/>
      </c>
      <c r="DT1233" s="64">
        <f>$Q1233-$Q1234</f>
        <v/>
      </c>
      <c r="DU1233" s="64">
        <f>$S1233-$S1234</f>
        <v/>
      </c>
      <c r="DV1233" s="65">
        <f>IFERROR(AVERAGE($AA1234/$AA1233-1,$AB1234/$AB1233-1,$AC1234/$AC1233-1,$AD1234/$AD1233-1,$AE1234/$AE1233-1,$AG1234/$AG1233-1,$AH1234/$AH1233-1,$AI1234/$AI1233-1,$AJ1234/$AJ1233-1,$AL1234/$AL1233-1,$AM1234/$AM1233-1,$AR1234/$AR1233-1,$AS1234/$AS1233-1,$AT1234/$AT1233-1,$AU1234/$AU1233-1,$AV1234/$AV1233-1,$AW1234/$AW1233-1,$AX1234/$AX1233-1,$AY1234/$AY1233-1),"")</f>
        <v/>
      </c>
      <c r="DW1233" s="66">
        <f>AVERAGE($CB1233,$CC1233,$CD1233,$CE1233,$CF1233,$CG1233,$CH1233,$CI1233,$CJ1233,$CL1233,$CM1233,$CN1233,$CO1233,$CP1233,$CQ1233,$CR1233,$CS1233,$CT1233)</f>
        <v/>
      </c>
      <c r="DX1233" s="66">
        <f>AVERAGE($CB1233,$CC1233,$CM1233,$CE1233,$CP1233)</f>
        <v/>
      </c>
      <c r="DY1233" s="64">
        <f>($DW1233-$DW1234)*100</f>
        <v/>
      </c>
      <c r="DZ1233" s="64">
        <f>($DX1233-$DX1234)*100</f>
        <v/>
      </c>
      <c r="EA1233" s="64">
        <f>($DW1233-$D1233)*100</f>
        <v/>
      </c>
      <c r="EB1233" s="64">
        <f>$Q1233-$O1233</f>
        <v/>
      </c>
      <c r="EC1233" s="67">
        <f>IFERROR($Q1233/$P1233,"")</f>
        <v/>
      </c>
    </row>
    <row r="1234">
      <c r="DG1234" s="64">
        <f>($B1234-$B1235)*100</f>
        <v/>
      </c>
      <c r="DH1234" s="64">
        <f>($D1234-$D1235)*100</f>
        <v/>
      </c>
      <c r="DI1234" s="64">
        <f>($E1234-$E1235)*100</f>
        <v/>
      </c>
      <c r="DJ1234" s="64">
        <f>($H1234-$H1235)*100</f>
        <v/>
      </c>
      <c r="DK1234" s="65">
        <f>IFERROR($J1234/$J1235-1,"")</f>
        <v/>
      </c>
      <c r="DL1234" s="64">
        <f>$L1234-$L1235</f>
        <v/>
      </c>
      <c r="DM1234" s="64">
        <f>$K1234-$K1235</f>
        <v/>
      </c>
      <c r="DN1234" s="65">
        <f>IFERROR($N1234/$N1235-1,"")</f>
        <v/>
      </c>
      <c r="DO1234" s="65">
        <f>IFERROR($M1234/$M1235-1,"")</f>
        <v/>
      </c>
      <c r="DP1234" s="65">
        <f>IFERROR($AZ1234/$AZ1235-1,"")</f>
        <v/>
      </c>
      <c r="DQ1234" s="65">
        <f>IFERROR($BA1234/$BA1235-1,"")</f>
        <v/>
      </c>
      <c r="DR1234" s="64">
        <f>$O1234-$O1235</f>
        <v/>
      </c>
      <c r="DS1234" s="64">
        <f>$P1234-$P1235</f>
        <v/>
      </c>
      <c r="DT1234" s="64">
        <f>$Q1234-$Q1235</f>
        <v/>
      </c>
      <c r="DU1234" s="64">
        <f>$S1234-$S1235</f>
        <v/>
      </c>
      <c r="DV1234" s="65">
        <f>IFERROR(AVERAGE($AA1235/$AA1234-1,$AB1235/$AB1234-1,$AC1235/$AC1234-1,$AD1235/$AD1234-1,$AE1235/$AE1234-1,$AG1235/$AG1234-1,$AH1235/$AH1234-1,$AI1235/$AI1234-1,$AJ1235/$AJ1234-1,$AL1235/$AL1234-1,$AM1235/$AM1234-1,$AR1235/$AR1234-1,$AS1235/$AS1234-1,$AT1235/$AT1234-1,$AU1235/$AU1234-1,$AV1235/$AV1234-1,$AW1235/$AW1234-1,$AX1235/$AX1234-1,$AY1235/$AY1234-1),"")</f>
        <v/>
      </c>
      <c r="DW1234" s="66">
        <f>AVERAGE($CB1234,$CC1234,$CD1234,$CE1234,$CF1234,$CG1234,$CH1234,$CI1234,$CJ1234,$CL1234,$CM1234,$CN1234,$CO1234,$CP1234,$CQ1234,$CR1234,$CS1234,$CT1234)</f>
        <v/>
      </c>
      <c r="DX1234" s="66">
        <f>AVERAGE($CB1234,$CC1234,$CM1234,$CE1234,$CP1234)</f>
        <v/>
      </c>
      <c r="DY1234" s="64">
        <f>($DW1234-$DW1235)*100</f>
        <v/>
      </c>
      <c r="DZ1234" s="64">
        <f>($DX1234-$DX1235)*100</f>
        <v/>
      </c>
      <c r="EA1234" s="64">
        <f>($DW1234-$D1234)*100</f>
        <v/>
      </c>
      <c r="EB1234" s="64">
        <f>$Q1234-$O1234</f>
        <v/>
      </c>
      <c r="EC1234" s="67">
        <f>IFERROR($Q1234/$P1234,"")</f>
        <v/>
      </c>
    </row>
    <row r="1235">
      <c r="DG1235" s="64">
        <f>($B1235-$B1236)*100</f>
        <v/>
      </c>
      <c r="DH1235" s="64">
        <f>($D1235-$D1236)*100</f>
        <v/>
      </c>
      <c r="DI1235" s="64">
        <f>($E1235-$E1236)*100</f>
        <v/>
      </c>
      <c r="DJ1235" s="64">
        <f>($H1235-$H1236)*100</f>
        <v/>
      </c>
      <c r="DK1235" s="65">
        <f>IFERROR($J1235/$J1236-1,"")</f>
        <v/>
      </c>
      <c r="DL1235" s="64">
        <f>$L1235-$L1236</f>
        <v/>
      </c>
      <c r="DM1235" s="64">
        <f>$K1235-$K1236</f>
        <v/>
      </c>
      <c r="DN1235" s="65">
        <f>IFERROR($N1235/$N1236-1,"")</f>
        <v/>
      </c>
      <c r="DO1235" s="65">
        <f>IFERROR($M1235/$M1236-1,"")</f>
        <v/>
      </c>
      <c r="DP1235" s="65">
        <f>IFERROR($AZ1235/$AZ1236-1,"")</f>
        <v/>
      </c>
      <c r="DQ1235" s="65">
        <f>IFERROR($BA1235/$BA1236-1,"")</f>
        <v/>
      </c>
      <c r="DR1235" s="64">
        <f>$O1235-$O1236</f>
        <v/>
      </c>
      <c r="DS1235" s="64">
        <f>$P1235-$P1236</f>
        <v/>
      </c>
      <c r="DT1235" s="64">
        <f>$Q1235-$Q1236</f>
        <v/>
      </c>
      <c r="DU1235" s="64">
        <f>$S1235-$S1236</f>
        <v/>
      </c>
      <c r="DV1235" s="65">
        <f>IFERROR(AVERAGE($AA1236/$AA1235-1,$AB1236/$AB1235-1,$AC1236/$AC1235-1,$AD1236/$AD1235-1,$AE1236/$AE1235-1,$AG1236/$AG1235-1,$AH1236/$AH1235-1,$AI1236/$AI1235-1,$AJ1236/$AJ1235-1,$AL1236/$AL1235-1,$AM1236/$AM1235-1,$AR1236/$AR1235-1,$AS1236/$AS1235-1,$AT1236/$AT1235-1,$AU1236/$AU1235-1,$AV1236/$AV1235-1,$AW1236/$AW1235-1,$AX1236/$AX1235-1,$AY1236/$AY1235-1),"")</f>
        <v/>
      </c>
      <c r="DW1235" s="66">
        <f>AVERAGE($CB1235,$CC1235,$CD1235,$CE1235,$CF1235,$CG1235,$CH1235,$CI1235,$CJ1235,$CL1235,$CM1235,$CN1235,$CO1235,$CP1235,$CQ1235,$CR1235,$CS1235,$CT1235)</f>
        <v/>
      </c>
      <c r="DX1235" s="66">
        <f>AVERAGE($CB1235,$CC1235,$CM1235,$CE1235,$CP1235)</f>
        <v/>
      </c>
      <c r="DY1235" s="64">
        <f>($DW1235-$DW1236)*100</f>
        <v/>
      </c>
      <c r="DZ1235" s="64">
        <f>($DX1235-$DX1236)*100</f>
        <v/>
      </c>
      <c r="EA1235" s="64">
        <f>($DW1235-$D1235)*100</f>
        <v/>
      </c>
      <c r="EB1235" s="64">
        <f>$Q1235-$O1235</f>
        <v/>
      </c>
      <c r="EC1235" s="67">
        <f>IFERROR($Q1235/$P1235,"")</f>
        <v/>
      </c>
    </row>
    <row r="1236">
      <c r="DG1236" s="64">
        <f>($B1236-$B1237)*100</f>
        <v/>
      </c>
      <c r="DH1236" s="64">
        <f>($D1236-$D1237)*100</f>
        <v/>
      </c>
      <c r="DI1236" s="64">
        <f>($E1236-$E1237)*100</f>
        <v/>
      </c>
      <c r="DJ1236" s="64">
        <f>($H1236-$H1237)*100</f>
        <v/>
      </c>
      <c r="DK1236" s="65">
        <f>IFERROR($J1236/$J1237-1,"")</f>
        <v/>
      </c>
      <c r="DL1236" s="64">
        <f>$L1236-$L1237</f>
        <v/>
      </c>
      <c r="DM1236" s="64">
        <f>$K1236-$K1237</f>
        <v/>
      </c>
      <c r="DN1236" s="65">
        <f>IFERROR($N1236/$N1237-1,"")</f>
        <v/>
      </c>
      <c r="DO1236" s="65">
        <f>IFERROR($M1236/$M1237-1,"")</f>
        <v/>
      </c>
      <c r="DP1236" s="65">
        <f>IFERROR($AZ1236/$AZ1237-1,"")</f>
        <v/>
      </c>
      <c r="DQ1236" s="65">
        <f>IFERROR($BA1236/$BA1237-1,"")</f>
        <v/>
      </c>
      <c r="DR1236" s="64">
        <f>$O1236-$O1237</f>
        <v/>
      </c>
      <c r="DS1236" s="64">
        <f>$P1236-$P1237</f>
        <v/>
      </c>
      <c r="DT1236" s="64">
        <f>$Q1236-$Q1237</f>
        <v/>
      </c>
      <c r="DU1236" s="64">
        <f>$S1236-$S1237</f>
        <v/>
      </c>
      <c r="DV1236" s="65">
        <f>IFERROR(AVERAGE($AA1237/$AA1236-1,$AB1237/$AB1236-1,$AC1237/$AC1236-1,$AD1237/$AD1236-1,$AE1237/$AE1236-1,$AG1237/$AG1236-1,$AH1237/$AH1236-1,$AI1237/$AI1236-1,$AJ1237/$AJ1236-1,$AL1237/$AL1236-1,$AM1237/$AM1236-1,$AR1237/$AR1236-1,$AS1237/$AS1236-1,$AT1237/$AT1236-1,$AU1237/$AU1236-1,$AV1237/$AV1236-1,$AW1237/$AW1236-1,$AX1237/$AX1236-1,$AY1237/$AY1236-1),"")</f>
        <v/>
      </c>
      <c r="DW1236" s="66">
        <f>AVERAGE($CB1236,$CC1236,$CD1236,$CE1236,$CF1236,$CG1236,$CH1236,$CI1236,$CJ1236,$CL1236,$CM1236,$CN1236,$CO1236,$CP1236,$CQ1236,$CR1236,$CS1236,$CT1236)</f>
        <v/>
      </c>
      <c r="DX1236" s="66">
        <f>AVERAGE($CB1236,$CC1236,$CM1236,$CE1236,$CP1236)</f>
        <v/>
      </c>
      <c r="DY1236" s="64">
        <f>($DW1236-$DW1237)*100</f>
        <v/>
      </c>
      <c r="DZ1236" s="64">
        <f>($DX1236-$DX1237)*100</f>
        <v/>
      </c>
      <c r="EA1236" s="64">
        <f>($DW1236-$D1236)*100</f>
        <v/>
      </c>
      <c r="EB1236" s="64">
        <f>$Q1236-$O1236</f>
        <v/>
      </c>
      <c r="EC1236" s="67">
        <f>IFERROR($Q1236/$P1236,"")</f>
        <v/>
      </c>
    </row>
    <row r="1237">
      <c r="DG1237" s="64">
        <f>($B1237-$B1238)*100</f>
        <v/>
      </c>
      <c r="DH1237" s="64">
        <f>($D1237-$D1238)*100</f>
        <v/>
      </c>
      <c r="DI1237" s="64">
        <f>($E1237-$E1238)*100</f>
        <v/>
      </c>
      <c r="DJ1237" s="64">
        <f>($H1237-$H1238)*100</f>
        <v/>
      </c>
      <c r="DK1237" s="65">
        <f>IFERROR($J1237/$J1238-1,"")</f>
        <v/>
      </c>
      <c r="DL1237" s="64">
        <f>$L1237-$L1238</f>
        <v/>
      </c>
      <c r="DM1237" s="64">
        <f>$K1237-$K1238</f>
        <v/>
      </c>
      <c r="DN1237" s="65">
        <f>IFERROR($N1237/$N1238-1,"")</f>
        <v/>
      </c>
      <c r="DO1237" s="65">
        <f>IFERROR($M1237/$M1238-1,"")</f>
        <v/>
      </c>
      <c r="DP1237" s="65">
        <f>IFERROR($AZ1237/$AZ1238-1,"")</f>
        <v/>
      </c>
      <c r="DQ1237" s="65">
        <f>IFERROR($BA1237/$BA1238-1,"")</f>
        <v/>
      </c>
      <c r="DR1237" s="64">
        <f>$O1237-$O1238</f>
        <v/>
      </c>
      <c r="DS1237" s="64">
        <f>$P1237-$P1238</f>
        <v/>
      </c>
      <c r="DT1237" s="64">
        <f>$Q1237-$Q1238</f>
        <v/>
      </c>
      <c r="DU1237" s="64">
        <f>$S1237-$S1238</f>
        <v/>
      </c>
      <c r="DV1237" s="65">
        <f>IFERROR(AVERAGE($AA1238/$AA1237-1,$AB1238/$AB1237-1,$AC1238/$AC1237-1,$AD1238/$AD1237-1,$AE1238/$AE1237-1,$AG1238/$AG1237-1,$AH1238/$AH1237-1,$AI1238/$AI1237-1,$AJ1238/$AJ1237-1,$AL1238/$AL1237-1,$AM1238/$AM1237-1,$AR1238/$AR1237-1,$AS1238/$AS1237-1,$AT1238/$AT1237-1,$AU1238/$AU1237-1,$AV1238/$AV1237-1,$AW1238/$AW1237-1,$AX1238/$AX1237-1,$AY1238/$AY1237-1),"")</f>
        <v/>
      </c>
      <c r="DW1237" s="66">
        <f>AVERAGE($CB1237,$CC1237,$CD1237,$CE1237,$CF1237,$CG1237,$CH1237,$CI1237,$CJ1237,$CL1237,$CM1237,$CN1237,$CO1237,$CP1237,$CQ1237,$CR1237,$CS1237,$CT1237)</f>
        <v/>
      </c>
      <c r="DX1237" s="66">
        <f>AVERAGE($CB1237,$CC1237,$CM1237,$CE1237,$CP1237)</f>
        <v/>
      </c>
      <c r="DY1237" s="64">
        <f>($DW1237-$DW1238)*100</f>
        <v/>
      </c>
      <c r="DZ1237" s="64">
        <f>($DX1237-$DX1238)*100</f>
        <v/>
      </c>
      <c r="EA1237" s="64">
        <f>($DW1237-$D1237)*100</f>
        <v/>
      </c>
      <c r="EB1237" s="64">
        <f>$Q1237-$O1237</f>
        <v/>
      </c>
      <c r="EC1237" s="67">
        <f>IFERROR($Q1237/$P1237,"")</f>
        <v/>
      </c>
    </row>
    <row r="1238">
      <c r="DG1238" s="64">
        <f>($B1238-$B1239)*100</f>
        <v/>
      </c>
      <c r="DH1238" s="64">
        <f>($D1238-$D1239)*100</f>
        <v/>
      </c>
      <c r="DI1238" s="64">
        <f>($E1238-$E1239)*100</f>
        <v/>
      </c>
      <c r="DJ1238" s="64">
        <f>($H1238-$H1239)*100</f>
        <v/>
      </c>
      <c r="DK1238" s="65">
        <f>IFERROR($J1238/$J1239-1,"")</f>
        <v/>
      </c>
      <c r="DL1238" s="64">
        <f>$L1238-$L1239</f>
        <v/>
      </c>
      <c r="DM1238" s="64">
        <f>$K1238-$K1239</f>
        <v/>
      </c>
      <c r="DN1238" s="65">
        <f>IFERROR($N1238/$N1239-1,"")</f>
        <v/>
      </c>
      <c r="DO1238" s="65">
        <f>IFERROR($M1238/$M1239-1,"")</f>
        <v/>
      </c>
      <c r="DP1238" s="65">
        <f>IFERROR($AZ1238/$AZ1239-1,"")</f>
        <v/>
      </c>
      <c r="DQ1238" s="65">
        <f>IFERROR($BA1238/$BA1239-1,"")</f>
        <v/>
      </c>
      <c r="DR1238" s="64">
        <f>$O1238-$O1239</f>
        <v/>
      </c>
      <c r="DS1238" s="64">
        <f>$P1238-$P1239</f>
        <v/>
      </c>
      <c r="DT1238" s="64">
        <f>$Q1238-$Q1239</f>
        <v/>
      </c>
      <c r="DU1238" s="64">
        <f>$S1238-$S1239</f>
        <v/>
      </c>
      <c r="DV1238" s="65">
        <f>IFERROR(AVERAGE($AA1239/$AA1238-1,$AB1239/$AB1238-1,$AC1239/$AC1238-1,$AD1239/$AD1238-1,$AE1239/$AE1238-1,$AG1239/$AG1238-1,$AH1239/$AH1238-1,$AI1239/$AI1238-1,$AJ1239/$AJ1238-1,$AL1239/$AL1238-1,$AM1239/$AM1238-1,$AR1239/$AR1238-1,$AS1239/$AS1238-1,$AT1239/$AT1238-1,$AU1239/$AU1238-1,$AV1239/$AV1238-1,$AW1239/$AW1238-1,$AX1239/$AX1238-1,$AY1239/$AY1238-1),"")</f>
        <v/>
      </c>
      <c r="DW1238" s="66">
        <f>AVERAGE($CB1238,$CC1238,$CD1238,$CE1238,$CF1238,$CG1238,$CH1238,$CI1238,$CJ1238,$CL1238,$CM1238,$CN1238,$CO1238,$CP1238,$CQ1238,$CR1238,$CS1238,$CT1238)</f>
        <v/>
      </c>
      <c r="DX1238" s="66">
        <f>AVERAGE($CB1238,$CC1238,$CM1238,$CE1238,$CP1238)</f>
        <v/>
      </c>
      <c r="DY1238" s="64">
        <f>($DW1238-$DW1239)*100</f>
        <v/>
      </c>
      <c r="DZ1238" s="64">
        <f>($DX1238-$DX1239)*100</f>
        <v/>
      </c>
      <c r="EA1238" s="64">
        <f>($DW1238-$D1238)*100</f>
        <v/>
      </c>
      <c r="EB1238" s="64">
        <f>$Q1238-$O1238</f>
        <v/>
      </c>
      <c r="EC1238" s="67">
        <f>IFERROR($Q1238/$P1238,"")</f>
        <v/>
      </c>
    </row>
    <row r="1239">
      <c r="DG1239" s="64">
        <f>($B1239-$B1240)*100</f>
        <v/>
      </c>
      <c r="DH1239" s="64">
        <f>($D1239-$D1240)*100</f>
        <v/>
      </c>
      <c r="DI1239" s="64">
        <f>($E1239-$E1240)*100</f>
        <v/>
      </c>
      <c r="DJ1239" s="64">
        <f>($H1239-$H1240)*100</f>
        <v/>
      </c>
      <c r="DK1239" s="65">
        <f>IFERROR($J1239/$J1240-1,"")</f>
        <v/>
      </c>
      <c r="DL1239" s="64">
        <f>$L1239-$L1240</f>
        <v/>
      </c>
      <c r="DM1239" s="64">
        <f>$K1239-$K1240</f>
        <v/>
      </c>
      <c r="DN1239" s="65">
        <f>IFERROR($N1239/$N1240-1,"")</f>
        <v/>
      </c>
      <c r="DO1239" s="65">
        <f>IFERROR($M1239/$M1240-1,"")</f>
        <v/>
      </c>
      <c r="DP1239" s="65">
        <f>IFERROR($AZ1239/$AZ1240-1,"")</f>
        <v/>
      </c>
      <c r="DQ1239" s="65">
        <f>IFERROR($BA1239/$BA1240-1,"")</f>
        <v/>
      </c>
      <c r="DR1239" s="64">
        <f>$O1239-$O1240</f>
        <v/>
      </c>
      <c r="DS1239" s="64">
        <f>$P1239-$P1240</f>
        <v/>
      </c>
      <c r="DT1239" s="64">
        <f>$Q1239-$Q1240</f>
        <v/>
      </c>
      <c r="DU1239" s="64">
        <f>$S1239-$S1240</f>
        <v/>
      </c>
      <c r="DV1239" s="65">
        <f>IFERROR(AVERAGE($AA1240/$AA1239-1,$AB1240/$AB1239-1,$AC1240/$AC1239-1,$AD1240/$AD1239-1,$AE1240/$AE1239-1,$AG1240/$AG1239-1,$AH1240/$AH1239-1,$AI1240/$AI1239-1,$AJ1240/$AJ1239-1,$AL1240/$AL1239-1,$AM1240/$AM1239-1,$AR1240/$AR1239-1,$AS1240/$AS1239-1,$AT1240/$AT1239-1,$AU1240/$AU1239-1,$AV1240/$AV1239-1,$AW1240/$AW1239-1,$AX1240/$AX1239-1,$AY1240/$AY1239-1),"")</f>
        <v/>
      </c>
      <c r="DW1239" s="66">
        <f>AVERAGE($CB1239,$CC1239,$CD1239,$CE1239,$CF1239,$CG1239,$CH1239,$CI1239,$CJ1239,$CL1239,$CM1239,$CN1239,$CO1239,$CP1239,$CQ1239,$CR1239,$CS1239,$CT1239)</f>
        <v/>
      </c>
      <c r="DX1239" s="66">
        <f>AVERAGE($CB1239,$CC1239,$CM1239,$CE1239,$CP1239)</f>
        <v/>
      </c>
      <c r="DY1239" s="64">
        <f>($DW1239-$DW1240)*100</f>
        <v/>
      </c>
      <c r="DZ1239" s="64">
        <f>($DX1239-$DX1240)*100</f>
        <v/>
      </c>
      <c r="EA1239" s="64">
        <f>($DW1239-$D1239)*100</f>
        <v/>
      </c>
      <c r="EB1239" s="64">
        <f>$Q1239-$O1239</f>
        <v/>
      </c>
      <c r="EC1239" s="67">
        <f>IFERROR($Q1239/$P1239,"")</f>
        <v/>
      </c>
    </row>
    <row r="1240">
      <c r="DG1240" s="64">
        <f>($B1240-$B1241)*100</f>
        <v/>
      </c>
      <c r="DH1240" s="64">
        <f>($D1240-$D1241)*100</f>
        <v/>
      </c>
      <c r="DI1240" s="64">
        <f>($E1240-$E1241)*100</f>
        <v/>
      </c>
      <c r="DJ1240" s="64">
        <f>($H1240-$H1241)*100</f>
        <v/>
      </c>
      <c r="DK1240" s="65">
        <f>IFERROR($J1240/$J1241-1,"")</f>
        <v/>
      </c>
      <c r="DL1240" s="64">
        <f>$L1240-$L1241</f>
        <v/>
      </c>
      <c r="DM1240" s="64">
        <f>$K1240-$K1241</f>
        <v/>
      </c>
      <c r="DN1240" s="65">
        <f>IFERROR($N1240/$N1241-1,"")</f>
        <v/>
      </c>
      <c r="DO1240" s="65">
        <f>IFERROR($M1240/$M1241-1,"")</f>
        <v/>
      </c>
      <c r="DP1240" s="65">
        <f>IFERROR($AZ1240/$AZ1241-1,"")</f>
        <v/>
      </c>
      <c r="DQ1240" s="65">
        <f>IFERROR($BA1240/$BA1241-1,"")</f>
        <v/>
      </c>
      <c r="DR1240" s="64">
        <f>$O1240-$O1241</f>
        <v/>
      </c>
      <c r="DS1240" s="64">
        <f>$P1240-$P1241</f>
        <v/>
      </c>
      <c r="DT1240" s="64">
        <f>$Q1240-$Q1241</f>
        <v/>
      </c>
      <c r="DU1240" s="64">
        <f>$S1240-$S1241</f>
        <v/>
      </c>
      <c r="DV1240" s="65">
        <f>IFERROR(AVERAGE($AA1241/$AA1240-1,$AB1241/$AB1240-1,$AC1241/$AC1240-1,$AD1241/$AD1240-1,$AE1241/$AE1240-1,$AG1241/$AG1240-1,$AH1241/$AH1240-1,$AI1241/$AI1240-1,$AJ1241/$AJ1240-1,$AL1241/$AL1240-1,$AM1241/$AM1240-1,$AR1241/$AR1240-1,$AS1241/$AS1240-1,$AT1241/$AT1240-1,$AU1241/$AU1240-1,$AV1241/$AV1240-1,$AW1241/$AW1240-1,$AX1241/$AX1240-1,$AY1241/$AY1240-1),"")</f>
        <v/>
      </c>
      <c r="DW1240" s="66">
        <f>AVERAGE($CB1240,$CC1240,$CD1240,$CE1240,$CF1240,$CG1240,$CH1240,$CI1240,$CJ1240,$CL1240,$CM1240,$CN1240,$CO1240,$CP1240,$CQ1240,$CR1240,$CS1240,$CT1240)</f>
        <v/>
      </c>
      <c r="DX1240" s="66">
        <f>AVERAGE($CB1240,$CC1240,$CM1240,$CE1240,$CP1240)</f>
        <v/>
      </c>
      <c r="DY1240" s="64">
        <f>($DW1240-$DW1241)*100</f>
        <v/>
      </c>
      <c r="DZ1240" s="64">
        <f>($DX1240-$DX1241)*100</f>
        <v/>
      </c>
      <c r="EA1240" s="64">
        <f>($DW1240-$D1240)*100</f>
        <v/>
      </c>
      <c r="EB1240" s="64">
        <f>$Q1240-$O1240</f>
        <v/>
      </c>
      <c r="EC1240" s="67">
        <f>IFERROR($Q1240/$P1240,"")</f>
        <v/>
      </c>
    </row>
    <row r="1241">
      <c r="DG1241" s="64">
        <f>($B1241-$B1242)*100</f>
        <v/>
      </c>
      <c r="DH1241" s="64">
        <f>($D1241-$D1242)*100</f>
        <v/>
      </c>
      <c r="DI1241" s="64">
        <f>($E1241-$E1242)*100</f>
        <v/>
      </c>
      <c r="DJ1241" s="64">
        <f>($H1241-$H1242)*100</f>
        <v/>
      </c>
      <c r="DK1241" s="65">
        <f>IFERROR($J1241/$J1242-1,"")</f>
        <v/>
      </c>
      <c r="DL1241" s="64">
        <f>$L1241-$L1242</f>
        <v/>
      </c>
      <c r="DM1241" s="64">
        <f>$K1241-$K1242</f>
        <v/>
      </c>
      <c r="DN1241" s="65">
        <f>IFERROR($N1241/$N1242-1,"")</f>
        <v/>
      </c>
      <c r="DO1241" s="65">
        <f>IFERROR($M1241/$M1242-1,"")</f>
        <v/>
      </c>
      <c r="DP1241" s="65">
        <f>IFERROR($AZ1241/$AZ1242-1,"")</f>
        <v/>
      </c>
      <c r="DQ1241" s="65">
        <f>IFERROR($BA1241/$BA1242-1,"")</f>
        <v/>
      </c>
      <c r="DR1241" s="64">
        <f>$O1241-$O1242</f>
        <v/>
      </c>
      <c r="DS1241" s="64">
        <f>$P1241-$P1242</f>
        <v/>
      </c>
      <c r="DT1241" s="64">
        <f>$Q1241-$Q1242</f>
        <v/>
      </c>
      <c r="DU1241" s="64">
        <f>$S1241-$S1242</f>
        <v/>
      </c>
      <c r="DV1241" s="65">
        <f>IFERROR(AVERAGE($AA1242/$AA1241-1,$AB1242/$AB1241-1,$AC1242/$AC1241-1,$AD1242/$AD1241-1,$AE1242/$AE1241-1,$AG1242/$AG1241-1,$AH1242/$AH1241-1,$AI1242/$AI1241-1,$AJ1242/$AJ1241-1,$AL1242/$AL1241-1,$AM1242/$AM1241-1,$AR1242/$AR1241-1,$AS1242/$AS1241-1,$AT1242/$AT1241-1,$AU1242/$AU1241-1,$AV1242/$AV1241-1,$AW1242/$AW1241-1,$AX1242/$AX1241-1,$AY1242/$AY1241-1),"")</f>
        <v/>
      </c>
      <c r="DW1241" s="66">
        <f>AVERAGE($CB1241,$CC1241,$CD1241,$CE1241,$CF1241,$CG1241,$CH1241,$CI1241,$CJ1241,$CL1241,$CM1241,$CN1241,$CO1241,$CP1241,$CQ1241,$CR1241,$CS1241,$CT1241)</f>
        <v/>
      </c>
      <c r="DX1241" s="66">
        <f>AVERAGE($CB1241,$CC1241,$CM1241,$CE1241,$CP1241)</f>
        <v/>
      </c>
      <c r="DY1241" s="64">
        <f>($DW1241-$DW1242)*100</f>
        <v/>
      </c>
      <c r="DZ1241" s="64">
        <f>($DX1241-$DX1242)*100</f>
        <v/>
      </c>
      <c r="EA1241" s="64">
        <f>($DW1241-$D1241)*100</f>
        <v/>
      </c>
      <c r="EB1241" s="64">
        <f>$Q1241-$O1241</f>
        <v/>
      </c>
      <c r="EC1241" s="67">
        <f>IFERROR($Q1241/$P1241,"")</f>
        <v/>
      </c>
    </row>
    <row r="1242">
      <c r="DG1242" s="64">
        <f>($B1242-$B1243)*100</f>
        <v/>
      </c>
      <c r="DH1242" s="64">
        <f>($D1242-$D1243)*100</f>
        <v/>
      </c>
      <c r="DI1242" s="64">
        <f>($E1242-$E1243)*100</f>
        <v/>
      </c>
      <c r="DJ1242" s="64">
        <f>($H1242-$H1243)*100</f>
        <v/>
      </c>
      <c r="DK1242" s="65">
        <f>IFERROR($J1242/$J1243-1,"")</f>
        <v/>
      </c>
      <c r="DL1242" s="64">
        <f>$L1242-$L1243</f>
        <v/>
      </c>
      <c r="DM1242" s="64">
        <f>$K1242-$K1243</f>
        <v/>
      </c>
      <c r="DN1242" s="65">
        <f>IFERROR($N1242/$N1243-1,"")</f>
        <v/>
      </c>
      <c r="DO1242" s="65">
        <f>IFERROR($M1242/$M1243-1,"")</f>
        <v/>
      </c>
      <c r="DP1242" s="65">
        <f>IFERROR($AZ1242/$AZ1243-1,"")</f>
        <v/>
      </c>
      <c r="DQ1242" s="65">
        <f>IFERROR($BA1242/$BA1243-1,"")</f>
        <v/>
      </c>
      <c r="DR1242" s="64">
        <f>$O1242-$O1243</f>
        <v/>
      </c>
      <c r="DS1242" s="64">
        <f>$P1242-$P1243</f>
        <v/>
      </c>
      <c r="DT1242" s="64">
        <f>$Q1242-$Q1243</f>
        <v/>
      </c>
      <c r="DU1242" s="64">
        <f>$S1242-$S1243</f>
        <v/>
      </c>
      <c r="DV1242" s="65">
        <f>IFERROR(AVERAGE($AA1243/$AA1242-1,$AB1243/$AB1242-1,$AC1243/$AC1242-1,$AD1243/$AD1242-1,$AE1243/$AE1242-1,$AG1243/$AG1242-1,$AH1243/$AH1242-1,$AI1243/$AI1242-1,$AJ1243/$AJ1242-1,$AL1243/$AL1242-1,$AM1243/$AM1242-1,$AR1243/$AR1242-1,$AS1243/$AS1242-1,$AT1243/$AT1242-1,$AU1243/$AU1242-1,$AV1243/$AV1242-1,$AW1243/$AW1242-1,$AX1243/$AX1242-1,$AY1243/$AY1242-1),"")</f>
        <v/>
      </c>
      <c r="DW1242" s="66">
        <f>AVERAGE($CB1242,$CC1242,$CD1242,$CE1242,$CF1242,$CG1242,$CH1242,$CI1242,$CJ1242,$CL1242,$CM1242,$CN1242,$CO1242,$CP1242,$CQ1242,$CR1242,$CS1242,$CT1242)</f>
        <v/>
      </c>
      <c r="DX1242" s="66">
        <f>AVERAGE($CB1242,$CC1242,$CM1242,$CE1242,$CP1242)</f>
        <v/>
      </c>
      <c r="DY1242" s="64">
        <f>($DW1242-$DW1243)*100</f>
        <v/>
      </c>
      <c r="DZ1242" s="64">
        <f>($DX1242-$DX1243)*100</f>
        <v/>
      </c>
      <c r="EA1242" s="64">
        <f>($DW1242-$D1242)*100</f>
        <v/>
      </c>
      <c r="EB1242" s="64">
        <f>$Q1242-$O1242</f>
        <v/>
      </c>
      <c r="EC1242" s="67">
        <f>IFERROR($Q1242/$P1242,"")</f>
        <v/>
      </c>
    </row>
    <row r="1243">
      <c r="DG1243" s="64">
        <f>($B1243-$B1244)*100</f>
        <v/>
      </c>
      <c r="DH1243" s="64">
        <f>($D1243-$D1244)*100</f>
        <v/>
      </c>
      <c r="DI1243" s="64">
        <f>($E1243-$E1244)*100</f>
        <v/>
      </c>
      <c r="DJ1243" s="64">
        <f>($H1243-$H1244)*100</f>
        <v/>
      </c>
      <c r="DK1243" s="65">
        <f>IFERROR($J1243/$J1244-1,"")</f>
        <v/>
      </c>
      <c r="DL1243" s="64">
        <f>$L1243-$L1244</f>
        <v/>
      </c>
      <c r="DM1243" s="64">
        <f>$K1243-$K1244</f>
        <v/>
      </c>
      <c r="DN1243" s="65">
        <f>IFERROR($N1243/$N1244-1,"")</f>
        <v/>
      </c>
      <c r="DO1243" s="65">
        <f>IFERROR($M1243/$M1244-1,"")</f>
        <v/>
      </c>
      <c r="DP1243" s="65">
        <f>IFERROR($AZ1243/$AZ1244-1,"")</f>
        <v/>
      </c>
      <c r="DQ1243" s="65">
        <f>IFERROR($BA1243/$BA1244-1,"")</f>
        <v/>
      </c>
      <c r="DR1243" s="64">
        <f>$O1243-$O1244</f>
        <v/>
      </c>
      <c r="DS1243" s="64">
        <f>$P1243-$P1244</f>
        <v/>
      </c>
      <c r="DT1243" s="64">
        <f>$Q1243-$Q1244</f>
        <v/>
      </c>
      <c r="DU1243" s="64">
        <f>$S1243-$S1244</f>
        <v/>
      </c>
      <c r="DV1243" s="65">
        <f>IFERROR(AVERAGE($AA1244/$AA1243-1,$AB1244/$AB1243-1,$AC1244/$AC1243-1,$AD1244/$AD1243-1,$AE1244/$AE1243-1,$AG1244/$AG1243-1,$AH1244/$AH1243-1,$AI1244/$AI1243-1,$AJ1244/$AJ1243-1,$AL1244/$AL1243-1,$AM1244/$AM1243-1,$AR1244/$AR1243-1,$AS1244/$AS1243-1,$AT1244/$AT1243-1,$AU1244/$AU1243-1,$AV1244/$AV1243-1,$AW1244/$AW1243-1,$AX1244/$AX1243-1,$AY1244/$AY1243-1),"")</f>
        <v/>
      </c>
      <c r="DW1243" s="66">
        <f>AVERAGE($CB1243,$CC1243,$CD1243,$CE1243,$CF1243,$CG1243,$CH1243,$CI1243,$CJ1243,$CL1243,$CM1243,$CN1243,$CO1243,$CP1243,$CQ1243,$CR1243,$CS1243,$CT1243)</f>
        <v/>
      </c>
      <c r="DX1243" s="66">
        <f>AVERAGE($CB1243,$CC1243,$CM1243,$CE1243,$CP1243)</f>
        <v/>
      </c>
      <c r="DY1243" s="64">
        <f>($DW1243-$DW1244)*100</f>
        <v/>
      </c>
      <c r="DZ1243" s="64">
        <f>($DX1243-$DX1244)*100</f>
        <v/>
      </c>
      <c r="EA1243" s="64">
        <f>($DW1243-$D1243)*100</f>
        <v/>
      </c>
      <c r="EB1243" s="64">
        <f>$Q1243-$O1243</f>
        <v/>
      </c>
      <c r="EC1243" s="67">
        <f>IFERROR($Q1243/$P1243,"")</f>
        <v/>
      </c>
    </row>
    <row r="1244">
      <c r="DG1244" s="64">
        <f>($B1244-$B1245)*100</f>
        <v/>
      </c>
      <c r="DH1244" s="64">
        <f>($D1244-$D1245)*100</f>
        <v/>
      </c>
      <c r="DI1244" s="64">
        <f>($E1244-$E1245)*100</f>
        <v/>
      </c>
      <c r="DJ1244" s="64">
        <f>($H1244-$H1245)*100</f>
        <v/>
      </c>
      <c r="DK1244" s="65">
        <f>IFERROR($J1244/$J1245-1,"")</f>
        <v/>
      </c>
      <c r="DL1244" s="64">
        <f>$L1244-$L1245</f>
        <v/>
      </c>
      <c r="DM1244" s="64">
        <f>$K1244-$K1245</f>
        <v/>
      </c>
      <c r="DN1244" s="65">
        <f>IFERROR($N1244/$N1245-1,"")</f>
        <v/>
      </c>
      <c r="DO1244" s="65">
        <f>IFERROR($M1244/$M1245-1,"")</f>
        <v/>
      </c>
      <c r="DP1244" s="65">
        <f>IFERROR($AZ1244/$AZ1245-1,"")</f>
        <v/>
      </c>
      <c r="DQ1244" s="65">
        <f>IFERROR($BA1244/$BA1245-1,"")</f>
        <v/>
      </c>
      <c r="DR1244" s="64">
        <f>$O1244-$O1245</f>
        <v/>
      </c>
      <c r="DS1244" s="64">
        <f>$P1244-$P1245</f>
        <v/>
      </c>
      <c r="DT1244" s="64">
        <f>$Q1244-$Q1245</f>
        <v/>
      </c>
      <c r="DU1244" s="64">
        <f>$S1244-$S1245</f>
        <v/>
      </c>
      <c r="DV1244" s="65">
        <f>IFERROR(AVERAGE($AA1245/$AA1244-1,$AB1245/$AB1244-1,$AC1245/$AC1244-1,$AD1245/$AD1244-1,$AE1245/$AE1244-1,$AG1245/$AG1244-1,$AH1245/$AH1244-1,$AI1245/$AI1244-1,$AJ1245/$AJ1244-1,$AL1245/$AL1244-1,$AM1245/$AM1244-1,$AR1245/$AR1244-1,$AS1245/$AS1244-1,$AT1245/$AT1244-1,$AU1245/$AU1244-1,$AV1245/$AV1244-1,$AW1245/$AW1244-1,$AX1245/$AX1244-1,$AY1245/$AY1244-1),"")</f>
        <v/>
      </c>
      <c r="DW1244" s="66">
        <f>AVERAGE($CB1244,$CC1244,$CD1244,$CE1244,$CF1244,$CG1244,$CH1244,$CI1244,$CJ1244,$CL1244,$CM1244,$CN1244,$CO1244,$CP1244,$CQ1244,$CR1244,$CS1244,$CT1244)</f>
        <v/>
      </c>
      <c r="DX1244" s="66">
        <f>AVERAGE($CB1244,$CC1244,$CM1244,$CE1244,$CP1244)</f>
        <v/>
      </c>
      <c r="DY1244" s="64">
        <f>($DW1244-$DW1245)*100</f>
        <v/>
      </c>
      <c r="DZ1244" s="64">
        <f>($DX1244-$DX1245)*100</f>
        <v/>
      </c>
      <c r="EA1244" s="64">
        <f>($DW1244-$D1244)*100</f>
        <v/>
      </c>
      <c r="EB1244" s="64">
        <f>$Q1244-$O1244</f>
        <v/>
      </c>
      <c r="EC1244" s="67">
        <f>IFERROR($Q1244/$P1244,"")</f>
        <v/>
      </c>
    </row>
    <row r="1245">
      <c r="DG1245" s="64">
        <f>($B1245-$B1246)*100</f>
        <v/>
      </c>
      <c r="DH1245" s="64">
        <f>($D1245-$D1246)*100</f>
        <v/>
      </c>
      <c r="DI1245" s="64">
        <f>($E1245-$E1246)*100</f>
        <v/>
      </c>
      <c r="DJ1245" s="64">
        <f>($H1245-$H1246)*100</f>
        <v/>
      </c>
      <c r="DK1245" s="65">
        <f>IFERROR($J1245/$J1246-1,"")</f>
        <v/>
      </c>
      <c r="DL1245" s="64">
        <f>$L1245-$L1246</f>
        <v/>
      </c>
      <c r="DM1245" s="64">
        <f>$K1245-$K1246</f>
        <v/>
      </c>
      <c r="DN1245" s="65">
        <f>IFERROR($N1245/$N1246-1,"")</f>
        <v/>
      </c>
      <c r="DO1245" s="65">
        <f>IFERROR($M1245/$M1246-1,"")</f>
        <v/>
      </c>
      <c r="DP1245" s="65">
        <f>IFERROR($AZ1245/$AZ1246-1,"")</f>
        <v/>
      </c>
      <c r="DQ1245" s="65">
        <f>IFERROR($BA1245/$BA1246-1,"")</f>
        <v/>
      </c>
      <c r="DR1245" s="64">
        <f>$O1245-$O1246</f>
        <v/>
      </c>
      <c r="DS1245" s="64">
        <f>$P1245-$P1246</f>
        <v/>
      </c>
      <c r="DT1245" s="64">
        <f>$Q1245-$Q1246</f>
        <v/>
      </c>
      <c r="DU1245" s="64">
        <f>$S1245-$S1246</f>
        <v/>
      </c>
      <c r="DV1245" s="65">
        <f>IFERROR(AVERAGE($AA1246/$AA1245-1,$AB1246/$AB1245-1,$AC1246/$AC1245-1,$AD1246/$AD1245-1,$AE1246/$AE1245-1,$AG1246/$AG1245-1,$AH1246/$AH1245-1,$AI1246/$AI1245-1,$AJ1246/$AJ1245-1,$AL1246/$AL1245-1,$AM1246/$AM1245-1,$AR1246/$AR1245-1,$AS1246/$AS1245-1,$AT1246/$AT1245-1,$AU1246/$AU1245-1,$AV1246/$AV1245-1,$AW1246/$AW1245-1,$AX1246/$AX1245-1,$AY1246/$AY1245-1),"")</f>
        <v/>
      </c>
      <c r="DW1245" s="66">
        <f>AVERAGE($CB1245,$CC1245,$CD1245,$CE1245,$CF1245,$CG1245,$CH1245,$CI1245,$CJ1245,$CL1245,$CM1245,$CN1245,$CO1245,$CP1245,$CQ1245,$CR1245,$CS1245,$CT1245)</f>
        <v/>
      </c>
      <c r="DX1245" s="66">
        <f>AVERAGE($CB1245,$CC1245,$CM1245,$CE1245,$CP1245)</f>
        <v/>
      </c>
      <c r="DY1245" s="64">
        <f>($DW1245-$DW1246)*100</f>
        <v/>
      </c>
      <c r="DZ1245" s="64">
        <f>($DX1245-$DX1246)*100</f>
        <v/>
      </c>
      <c r="EA1245" s="64">
        <f>($DW1245-$D1245)*100</f>
        <v/>
      </c>
      <c r="EB1245" s="64">
        <f>$Q1245-$O1245</f>
        <v/>
      </c>
      <c r="EC1245" s="67">
        <f>IFERROR($Q1245/$P1245,"")</f>
        <v/>
      </c>
    </row>
    <row r="1246">
      <c r="DG1246" s="64">
        <f>($B1246-$B1247)*100</f>
        <v/>
      </c>
      <c r="DH1246" s="64">
        <f>($D1246-$D1247)*100</f>
        <v/>
      </c>
      <c r="DI1246" s="64">
        <f>($E1246-$E1247)*100</f>
        <v/>
      </c>
      <c r="DJ1246" s="64">
        <f>($H1246-$H1247)*100</f>
        <v/>
      </c>
      <c r="DK1246" s="65">
        <f>IFERROR($J1246/$J1247-1,"")</f>
        <v/>
      </c>
      <c r="DL1246" s="64">
        <f>$L1246-$L1247</f>
        <v/>
      </c>
      <c r="DM1246" s="64">
        <f>$K1246-$K1247</f>
        <v/>
      </c>
      <c r="DN1246" s="65">
        <f>IFERROR($N1246/$N1247-1,"")</f>
        <v/>
      </c>
      <c r="DO1246" s="65">
        <f>IFERROR($M1246/$M1247-1,"")</f>
        <v/>
      </c>
      <c r="DP1246" s="65">
        <f>IFERROR($AZ1246/$AZ1247-1,"")</f>
        <v/>
      </c>
      <c r="DQ1246" s="65">
        <f>IFERROR($BA1246/$BA1247-1,"")</f>
        <v/>
      </c>
      <c r="DR1246" s="64">
        <f>$O1246-$O1247</f>
        <v/>
      </c>
      <c r="DS1246" s="64">
        <f>$P1246-$P1247</f>
        <v/>
      </c>
      <c r="DT1246" s="64">
        <f>$Q1246-$Q1247</f>
        <v/>
      </c>
      <c r="DU1246" s="64">
        <f>$S1246-$S1247</f>
        <v/>
      </c>
      <c r="DV1246" s="65">
        <f>IFERROR(AVERAGE($AA1247/$AA1246-1,$AB1247/$AB1246-1,$AC1247/$AC1246-1,$AD1247/$AD1246-1,$AE1247/$AE1246-1,$AG1247/$AG1246-1,$AH1247/$AH1246-1,$AI1247/$AI1246-1,$AJ1247/$AJ1246-1,$AL1247/$AL1246-1,$AM1247/$AM1246-1,$AR1247/$AR1246-1,$AS1247/$AS1246-1,$AT1247/$AT1246-1,$AU1247/$AU1246-1,$AV1247/$AV1246-1,$AW1247/$AW1246-1,$AX1247/$AX1246-1,$AY1247/$AY1246-1),"")</f>
        <v/>
      </c>
      <c r="DW1246" s="66">
        <f>AVERAGE($CB1246,$CC1246,$CD1246,$CE1246,$CF1246,$CG1246,$CH1246,$CI1246,$CJ1246,$CL1246,$CM1246,$CN1246,$CO1246,$CP1246,$CQ1246,$CR1246,$CS1246,$CT1246)</f>
        <v/>
      </c>
      <c r="DX1246" s="66">
        <f>AVERAGE($CB1246,$CC1246,$CM1246,$CE1246,$CP1246)</f>
        <v/>
      </c>
      <c r="DY1246" s="64">
        <f>($DW1246-$DW1247)*100</f>
        <v/>
      </c>
      <c r="DZ1246" s="64">
        <f>($DX1246-$DX1247)*100</f>
        <v/>
      </c>
      <c r="EA1246" s="64">
        <f>($DW1246-$D1246)*100</f>
        <v/>
      </c>
      <c r="EB1246" s="64">
        <f>$Q1246-$O1246</f>
        <v/>
      </c>
      <c r="EC1246" s="67">
        <f>IFERROR($Q1246/$P1246,"")</f>
        <v/>
      </c>
    </row>
    <row r="1247">
      <c r="DG1247" s="64">
        <f>($B1247-$B1248)*100</f>
        <v/>
      </c>
      <c r="DH1247" s="64">
        <f>($D1247-$D1248)*100</f>
        <v/>
      </c>
      <c r="DI1247" s="64">
        <f>($E1247-$E1248)*100</f>
        <v/>
      </c>
      <c r="DJ1247" s="64">
        <f>($H1247-$H1248)*100</f>
        <v/>
      </c>
      <c r="DK1247" s="65">
        <f>IFERROR($J1247/$J1248-1,"")</f>
        <v/>
      </c>
      <c r="DL1247" s="64">
        <f>$L1247-$L1248</f>
        <v/>
      </c>
      <c r="DM1247" s="64">
        <f>$K1247-$K1248</f>
        <v/>
      </c>
      <c r="DN1247" s="65">
        <f>IFERROR($N1247/$N1248-1,"")</f>
        <v/>
      </c>
      <c r="DO1247" s="65">
        <f>IFERROR($M1247/$M1248-1,"")</f>
        <v/>
      </c>
      <c r="DP1247" s="65">
        <f>IFERROR($AZ1247/$AZ1248-1,"")</f>
        <v/>
      </c>
      <c r="DQ1247" s="65">
        <f>IFERROR($BA1247/$BA1248-1,"")</f>
        <v/>
      </c>
      <c r="DR1247" s="64">
        <f>$O1247-$O1248</f>
        <v/>
      </c>
      <c r="DS1247" s="64">
        <f>$P1247-$P1248</f>
        <v/>
      </c>
      <c r="DT1247" s="64">
        <f>$Q1247-$Q1248</f>
        <v/>
      </c>
      <c r="DU1247" s="64">
        <f>$S1247-$S1248</f>
        <v/>
      </c>
      <c r="DV1247" s="65">
        <f>IFERROR(AVERAGE($AA1248/$AA1247-1,$AB1248/$AB1247-1,$AC1248/$AC1247-1,$AD1248/$AD1247-1,$AE1248/$AE1247-1,$AG1248/$AG1247-1,$AH1248/$AH1247-1,$AI1248/$AI1247-1,$AJ1248/$AJ1247-1,$AL1248/$AL1247-1,$AM1248/$AM1247-1,$AR1248/$AR1247-1,$AS1248/$AS1247-1,$AT1248/$AT1247-1,$AU1248/$AU1247-1,$AV1248/$AV1247-1,$AW1248/$AW1247-1,$AX1248/$AX1247-1,$AY1248/$AY1247-1),"")</f>
        <v/>
      </c>
      <c r="DW1247" s="66">
        <f>AVERAGE($CB1247,$CC1247,$CD1247,$CE1247,$CF1247,$CG1247,$CH1247,$CI1247,$CJ1247,$CL1247,$CM1247,$CN1247,$CO1247,$CP1247,$CQ1247,$CR1247,$CS1247,$CT1247)</f>
        <v/>
      </c>
      <c r="DX1247" s="66">
        <f>AVERAGE($CB1247,$CC1247,$CM1247,$CE1247,$CP1247)</f>
        <v/>
      </c>
      <c r="DY1247" s="64">
        <f>($DW1247-$DW1248)*100</f>
        <v/>
      </c>
      <c r="DZ1247" s="64">
        <f>($DX1247-$DX1248)*100</f>
        <v/>
      </c>
      <c r="EA1247" s="64">
        <f>($DW1247-$D1247)*100</f>
        <v/>
      </c>
      <c r="EB1247" s="64">
        <f>$Q1247-$O1247</f>
        <v/>
      </c>
      <c r="EC1247" s="67">
        <f>IFERROR($Q1247/$P1247,"")</f>
        <v/>
      </c>
    </row>
    <row r="1248">
      <c r="DG1248" s="64">
        <f>($B1248-$B1249)*100</f>
        <v/>
      </c>
      <c r="DH1248" s="64">
        <f>($D1248-$D1249)*100</f>
        <v/>
      </c>
      <c r="DI1248" s="64">
        <f>($E1248-$E1249)*100</f>
        <v/>
      </c>
      <c r="DJ1248" s="64">
        <f>($H1248-$H1249)*100</f>
        <v/>
      </c>
      <c r="DK1248" s="65">
        <f>IFERROR($J1248/$J1249-1,"")</f>
        <v/>
      </c>
      <c r="DL1248" s="64">
        <f>$L1248-$L1249</f>
        <v/>
      </c>
      <c r="DM1248" s="64">
        <f>$K1248-$K1249</f>
        <v/>
      </c>
      <c r="DN1248" s="65">
        <f>IFERROR($N1248/$N1249-1,"")</f>
        <v/>
      </c>
      <c r="DO1248" s="65">
        <f>IFERROR($M1248/$M1249-1,"")</f>
        <v/>
      </c>
      <c r="DP1248" s="65">
        <f>IFERROR($AZ1248/$AZ1249-1,"")</f>
        <v/>
      </c>
      <c r="DQ1248" s="65">
        <f>IFERROR($BA1248/$BA1249-1,"")</f>
        <v/>
      </c>
      <c r="DR1248" s="64">
        <f>$O1248-$O1249</f>
        <v/>
      </c>
      <c r="DS1248" s="64">
        <f>$P1248-$P1249</f>
        <v/>
      </c>
      <c r="DT1248" s="64">
        <f>$Q1248-$Q1249</f>
        <v/>
      </c>
      <c r="DU1248" s="64">
        <f>$S1248-$S1249</f>
        <v/>
      </c>
      <c r="DV1248" s="65">
        <f>IFERROR(AVERAGE($AA1249/$AA1248-1,$AB1249/$AB1248-1,$AC1249/$AC1248-1,$AD1249/$AD1248-1,$AE1249/$AE1248-1,$AG1249/$AG1248-1,$AH1249/$AH1248-1,$AI1249/$AI1248-1,$AJ1249/$AJ1248-1,$AL1249/$AL1248-1,$AM1249/$AM1248-1,$AR1249/$AR1248-1,$AS1249/$AS1248-1,$AT1249/$AT1248-1,$AU1249/$AU1248-1,$AV1249/$AV1248-1,$AW1249/$AW1248-1,$AX1249/$AX1248-1,$AY1249/$AY1248-1),"")</f>
        <v/>
      </c>
      <c r="DW1248" s="66">
        <f>AVERAGE($CB1248,$CC1248,$CD1248,$CE1248,$CF1248,$CG1248,$CH1248,$CI1248,$CJ1248,$CL1248,$CM1248,$CN1248,$CO1248,$CP1248,$CQ1248,$CR1248,$CS1248,$CT1248)</f>
        <v/>
      </c>
      <c r="DX1248" s="66">
        <f>AVERAGE($CB1248,$CC1248,$CM1248,$CE1248,$CP1248)</f>
        <v/>
      </c>
      <c r="DY1248" s="64">
        <f>($DW1248-$DW1249)*100</f>
        <v/>
      </c>
      <c r="DZ1248" s="64">
        <f>($DX1248-$DX1249)*100</f>
        <v/>
      </c>
      <c r="EA1248" s="64">
        <f>($DW1248-$D1248)*100</f>
        <v/>
      </c>
      <c r="EB1248" s="64">
        <f>$Q1248-$O1248</f>
        <v/>
      </c>
      <c r="EC1248" s="67">
        <f>IFERROR($Q1248/$P1248,"")</f>
        <v/>
      </c>
    </row>
    <row r="1249">
      <c r="DG1249" s="64">
        <f>($B1249-$B1250)*100</f>
        <v/>
      </c>
      <c r="DH1249" s="64">
        <f>($D1249-$D1250)*100</f>
        <v/>
      </c>
      <c r="DI1249" s="64">
        <f>($E1249-$E1250)*100</f>
        <v/>
      </c>
      <c r="DJ1249" s="64">
        <f>($H1249-$H1250)*100</f>
        <v/>
      </c>
      <c r="DK1249" s="65">
        <f>IFERROR($J1249/$J1250-1,"")</f>
        <v/>
      </c>
      <c r="DL1249" s="64">
        <f>$L1249-$L1250</f>
        <v/>
      </c>
      <c r="DM1249" s="64">
        <f>$K1249-$K1250</f>
        <v/>
      </c>
      <c r="DN1249" s="65">
        <f>IFERROR($N1249/$N1250-1,"")</f>
        <v/>
      </c>
      <c r="DO1249" s="65">
        <f>IFERROR($M1249/$M1250-1,"")</f>
        <v/>
      </c>
      <c r="DP1249" s="65">
        <f>IFERROR($AZ1249/$AZ1250-1,"")</f>
        <v/>
      </c>
      <c r="DQ1249" s="65">
        <f>IFERROR($BA1249/$BA1250-1,"")</f>
        <v/>
      </c>
      <c r="DR1249" s="64">
        <f>$O1249-$O1250</f>
        <v/>
      </c>
      <c r="DS1249" s="64">
        <f>$P1249-$P1250</f>
        <v/>
      </c>
      <c r="DT1249" s="64">
        <f>$Q1249-$Q1250</f>
        <v/>
      </c>
      <c r="DU1249" s="64">
        <f>$S1249-$S1250</f>
        <v/>
      </c>
      <c r="DV1249" s="65">
        <f>IFERROR(AVERAGE($AA1250/$AA1249-1,$AB1250/$AB1249-1,$AC1250/$AC1249-1,$AD1250/$AD1249-1,$AE1250/$AE1249-1,$AG1250/$AG1249-1,$AH1250/$AH1249-1,$AI1250/$AI1249-1,$AJ1250/$AJ1249-1,$AL1250/$AL1249-1,$AM1250/$AM1249-1,$AR1250/$AR1249-1,$AS1250/$AS1249-1,$AT1250/$AT1249-1,$AU1250/$AU1249-1,$AV1250/$AV1249-1,$AW1250/$AW1249-1,$AX1250/$AX1249-1,$AY1250/$AY1249-1),"")</f>
        <v/>
      </c>
      <c r="DW1249" s="66">
        <f>AVERAGE($CB1249,$CC1249,$CD1249,$CE1249,$CF1249,$CG1249,$CH1249,$CI1249,$CJ1249,$CL1249,$CM1249,$CN1249,$CO1249,$CP1249,$CQ1249,$CR1249,$CS1249,$CT1249)</f>
        <v/>
      </c>
      <c r="DX1249" s="66">
        <f>AVERAGE($CB1249,$CC1249,$CM1249,$CE1249,$CP1249)</f>
        <v/>
      </c>
      <c r="DY1249" s="64">
        <f>($DW1249-$DW1250)*100</f>
        <v/>
      </c>
      <c r="DZ1249" s="64">
        <f>($DX1249-$DX1250)*100</f>
        <v/>
      </c>
      <c r="EA1249" s="64">
        <f>($DW1249-$D1249)*100</f>
        <v/>
      </c>
      <c r="EB1249" s="64">
        <f>$Q1249-$O1249</f>
        <v/>
      </c>
      <c r="EC1249" s="67">
        <f>IFERROR($Q1249/$P1249,"")</f>
        <v/>
      </c>
    </row>
    <row r="1250">
      <c r="DG1250" s="64">
        <f>($B1250-$B1251)*100</f>
        <v/>
      </c>
      <c r="DH1250" s="64">
        <f>($D1250-$D1251)*100</f>
        <v/>
      </c>
      <c r="DI1250" s="64">
        <f>($E1250-$E1251)*100</f>
        <v/>
      </c>
      <c r="DJ1250" s="64">
        <f>($H1250-$H1251)*100</f>
        <v/>
      </c>
      <c r="DK1250" s="65">
        <f>IFERROR($J1250/$J1251-1,"")</f>
        <v/>
      </c>
      <c r="DL1250" s="64">
        <f>$L1250-$L1251</f>
        <v/>
      </c>
      <c r="DM1250" s="64">
        <f>$K1250-$K1251</f>
        <v/>
      </c>
      <c r="DN1250" s="65">
        <f>IFERROR($N1250/$N1251-1,"")</f>
        <v/>
      </c>
      <c r="DO1250" s="65">
        <f>IFERROR($M1250/$M1251-1,"")</f>
        <v/>
      </c>
      <c r="DP1250" s="65">
        <f>IFERROR($AZ1250/$AZ1251-1,"")</f>
        <v/>
      </c>
      <c r="DQ1250" s="65">
        <f>IFERROR($BA1250/$BA1251-1,"")</f>
        <v/>
      </c>
      <c r="DR1250" s="64">
        <f>$O1250-$O1251</f>
        <v/>
      </c>
      <c r="DS1250" s="64">
        <f>$P1250-$P1251</f>
        <v/>
      </c>
      <c r="DT1250" s="64">
        <f>$Q1250-$Q1251</f>
        <v/>
      </c>
      <c r="DU1250" s="64">
        <f>$S1250-$S1251</f>
        <v/>
      </c>
      <c r="DV1250" s="65">
        <f>IFERROR(AVERAGE($AA1251/$AA1250-1,$AB1251/$AB1250-1,$AC1251/$AC1250-1,$AD1251/$AD1250-1,$AE1251/$AE1250-1,$AG1251/$AG1250-1,$AH1251/$AH1250-1,$AI1251/$AI1250-1,$AJ1251/$AJ1250-1,$AL1251/$AL1250-1,$AM1251/$AM1250-1,$AR1251/$AR1250-1,$AS1251/$AS1250-1,$AT1251/$AT1250-1,$AU1251/$AU1250-1,$AV1251/$AV1250-1,$AW1251/$AW1250-1,$AX1251/$AX1250-1,$AY1251/$AY1250-1),"")</f>
        <v/>
      </c>
      <c r="DW1250" s="66">
        <f>AVERAGE($CB1250,$CC1250,$CD1250,$CE1250,$CF1250,$CG1250,$CH1250,$CI1250,$CJ1250,$CL1250,$CM1250,$CN1250,$CO1250,$CP1250,$CQ1250,$CR1250,$CS1250,$CT1250)</f>
        <v/>
      </c>
      <c r="DX1250" s="66">
        <f>AVERAGE($CB1250,$CC1250,$CM1250,$CE1250,$CP1250)</f>
        <v/>
      </c>
      <c r="DY1250" s="64">
        <f>($DW1250-$DW1251)*100</f>
        <v/>
      </c>
      <c r="DZ1250" s="64">
        <f>($DX1250-$DX1251)*100</f>
        <v/>
      </c>
      <c r="EA1250" s="64">
        <f>($DW1250-$D1250)*100</f>
        <v/>
      </c>
      <c r="EB1250" s="64">
        <f>$Q1250-$O1250</f>
        <v/>
      </c>
      <c r="EC1250" s="67">
        <f>IFERROR($Q1250/$P1250,"")</f>
        <v/>
      </c>
    </row>
    <row r="1251">
      <c r="DG1251" s="64">
        <f>($B1251-$B1252)*100</f>
        <v/>
      </c>
      <c r="DH1251" s="64">
        <f>($D1251-$D1252)*100</f>
        <v/>
      </c>
      <c r="DI1251" s="64">
        <f>($E1251-$E1252)*100</f>
        <v/>
      </c>
      <c r="DJ1251" s="64">
        <f>($H1251-$H1252)*100</f>
        <v/>
      </c>
      <c r="DK1251" s="65">
        <f>IFERROR($J1251/$J1252-1,"")</f>
        <v/>
      </c>
      <c r="DL1251" s="64">
        <f>$L1251-$L1252</f>
        <v/>
      </c>
      <c r="DM1251" s="64">
        <f>$K1251-$K1252</f>
        <v/>
      </c>
      <c r="DN1251" s="65">
        <f>IFERROR($N1251/$N1252-1,"")</f>
        <v/>
      </c>
      <c r="DO1251" s="65">
        <f>IFERROR($M1251/$M1252-1,"")</f>
        <v/>
      </c>
      <c r="DP1251" s="65">
        <f>IFERROR($AZ1251/$AZ1252-1,"")</f>
        <v/>
      </c>
      <c r="DQ1251" s="65">
        <f>IFERROR($BA1251/$BA1252-1,"")</f>
        <v/>
      </c>
      <c r="DR1251" s="64">
        <f>$O1251-$O1252</f>
        <v/>
      </c>
      <c r="DS1251" s="64">
        <f>$P1251-$P1252</f>
        <v/>
      </c>
      <c r="DT1251" s="64">
        <f>$Q1251-$Q1252</f>
        <v/>
      </c>
      <c r="DU1251" s="64">
        <f>$S1251-$S1252</f>
        <v/>
      </c>
      <c r="DV1251" s="65">
        <f>IFERROR(AVERAGE($AA1252/$AA1251-1,$AB1252/$AB1251-1,$AC1252/$AC1251-1,$AD1252/$AD1251-1,$AE1252/$AE1251-1,$AG1252/$AG1251-1,$AH1252/$AH1251-1,$AI1252/$AI1251-1,$AJ1252/$AJ1251-1,$AL1252/$AL1251-1,$AM1252/$AM1251-1,$AR1252/$AR1251-1,$AS1252/$AS1251-1,$AT1252/$AT1251-1,$AU1252/$AU1251-1,$AV1252/$AV1251-1,$AW1252/$AW1251-1,$AX1252/$AX1251-1,$AY1252/$AY1251-1),"")</f>
        <v/>
      </c>
      <c r="DW1251" s="66">
        <f>AVERAGE($CB1251,$CC1251,$CD1251,$CE1251,$CF1251,$CG1251,$CH1251,$CI1251,$CJ1251,$CL1251,$CM1251,$CN1251,$CO1251,$CP1251,$CQ1251,$CR1251,$CS1251,$CT1251)</f>
        <v/>
      </c>
      <c r="DX1251" s="66">
        <f>AVERAGE($CB1251,$CC1251,$CM1251,$CE1251,$CP1251)</f>
        <v/>
      </c>
      <c r="DY1251" s="64">
        <f>($DW1251-$DW1252)*100</f>
        <v/>
      </c>
      <c r="DZ1251" s="64">
        <f>($DX1251-$DX1252)*100</f>
        <v/>
      </c>
      <c r="EA1251" s="64">
        <f>($DW1251-$D1251)*100</f>
        <v/>
      </c>
      <c r="EB1251" s="64">
        <f>$Q1251-$O1251</f>
        <v/>
      </c>
      <c r="EC1251" s="67">
        <f>IFERROR($Q1251/$P1251,"")</f>
        <v/>
      </c>
    </row>
    <row r="1252">
      <c r="DG1252" s="64">
        <f>($B1252-$B1253)*100</f>
        <v/>
      </c>
      <c r="DH1252" s="64">
        <f>($D1252-$D1253)*100</f>
        <v/>
      </c>
      <c r="DI1252" s="64">
        <f>($E1252-$E1253)*100</f>
        <v/>
      </c>
      <c r="DJ1252" s="64">
        <f>($H1252-$H1253)*100</f>
        <v/>
      </c>
      <c r="DK1252" s="65">
        <f>IFERROR($J1252/$J1253-1,"")</f>
        <v/>
      </c>
      <c r="DL1252" s="64">
        <f>$L1252-$L1253</f>
        <v/>
      </c>
      <c r="DM1252" s="64">
        <f>$K1252-$K1253</f>
        <v/>
      </c>
      <c r="DN1252" s="65">
        <f>IFERROR($N1252/$N1253-1,"")</f>
        <v/>
      </c>
      <c r="DO1252" s="65">
        <f>IFERROR($M1252/$M1253-1,"")</f>
        <v/>
      </c>
      <c r="DP1252" s="65">
        <f>IFERROR($AZ1252/$AZ1253-1,"")</f>
        <v/>
      </c>
      <c r="DQ1252" s="65">
        <f>IFERROR($BA1252/$BA1253-1,"")</f>
        <v/>
      </c>
      <c r="DR1252" s="64">
        <f>$O1252-$O1253</f>
        <v/>
      </c>
      <c r="DS1252" s="64">
        <f>$P1252-$P1253</f>
        <v/>
      </c>
      <c r="DT1252" s="64">
        <f>$Q1252-$Q1253</f>
        <v/>
      </c>
      <c r="DU1252" s="64">
        <f>$S1252-$S1253</f>
        <v/>
      </c>
      <c r="DV1252" s="65">
        <f>IFERROR(AVERAGE($AA1253/$AA1252-1,$AB1253/$AB1252-1,$AC1253/$AC1252-1,$AD1253/$AD1252-1,$AE1253/$AE1252-1,$AG1253/$AG1252-1,$AH1253/$AH1252-1,$AI1253/$AI1252-1,$AJ1253/$AJ1252-1,$AL1253/$AL1252-1,$AM1253/$AM1252-1,$AR1253/$AR1252-1,$AS1253/$AS1252-1,$AT1253/$AT1252-1,$AU1253/$AU1252-1,$AV1253/$AV1252-1,$AW1253/$AW1252-1,$AX1253/$AX1252-1,$AY1253/$AY1252-1),"")</f>
        <v/>
      </c>
      <c r="DW1252" s="66">
        <f>AVERAGE($CB1252,$CC1252,$CD1252,$CE1252,$CF1252,$CG1252,$CH1252,$CI1252,$CJ1252,$CL1252,$CM1252,$CN1252,$CO1252,$CP1252,$CQ1252,$CR1252,$CS1252,$CT1252)</f>
        <v/>
      </c>
      <c r="DX1252" s="66">
        <f>AVERAGE($CB1252,$CC1252,$CM1252,$CE1252,$CP1252)</f>
        <v/>
      </c>
      <c r="DY1252" s="64">
        <f>($DW1252-$DW1253)*100</f>
        <v/>
      </c>
      <c r="DZ1252" s="64">
        <f>($DX1252-$DX1253)*100</f>
        <v/>
      </c>
      <c r="EA1252" s="64">
        <f>($DW1252-$D1252)*100</f>
        <v/>
      </c>
      <c r="EB1252" s="64">
        <f>$Q1252-$O1252</f>
        <v/>
      </c>
      <c r="EC1252" s="67">
        <f>IFERROR($Q1252/$P1252,"")</f>
        <v/>
      </c>
    </row>
    <row r="1253">
      <c r="DG1253" s="64">
        <f>($B1253-$B1254)*100</f>
        <v/>
      </c>
      <c r="DH1253" s="64">
        <f>($D1253-$D1254)*100</f>
        <v/>
      </c>
      <c r="DI1253" s="64">
        <f>($E1253-$E1254)*100</f>
        <v/>
      </c>
      <c r="DJ1253" s="64">
        <f>($H1253-$H1254)*100</f>
        <v/>
      </c>
      <c r="DK1253" s="65">
        <f>IFERROR($J1253/$J1254-1,"")</f>
        <v/>
      </c>
      <c r="DL1253" s="64">
        <f>$L1253-$L1254</f>
        <v/>
      </c>
      <c r="DM1253" s="64">
        <f>$K1253-$K1254</f>
        <v/>
      </c>
      <c r="DN1253" s="65">
        <f>IFERROR($N1253/$N1254-1,"")</f>
        <v/>
      </c>
      <c r="DO1253" s="65">
        <f>IFERROR($M1253/$M1254-1,"")</f>
        <v/>
      </c>
      <c r="DP1253" s="65">
        <f>IFERROR($AZ1253/$AZ1254-1,"")</f>
        <v/>
      </c>
      <c r="DQ1253" s="65">
        <f>IFERROR($BA1253/$BA1254-1,"")</f>
        <v/>
      </c>
      <c r="DR1253" s="64">
        <f>$O1253-$O1254</f>
        <v/>
      </c>
      <c r="DS1253" s="64">
        <f>$P1253-$P1254</f>
        <v/>
      </c>
      <c r="DT1253" s="64">
        <f>$Q1253-$Q1254</f>
        <v/>
      </c>
      <c r="DU1253" s="64">
        <f>$S1253-$S1254</f>
        <v/>
      </c>
      <c r="DV1253" s="65">
        <f>IFERROR(AVERAGE($AA1254/$AA1253-1,$AB1254/$AB1253-1,$AC1254/$AC1253-1,$AD1254/$AD1253-1,$AE1254/$AE1253-1,$AG1254/$AG1253-1,$AH1254/$AH1253-1,$AI1254/$AI1253-1,$AJ1254/$AJ1253-1,$AL1254/$AL1253-1,$AM1254/$AM1253-1,$AR1254/$AR1253-1,$AS1254/$AS1253-1,$AT1254/$AT1253-1,$AU1254/$AU1253-1,$AV1254/$AV1253-1,$AW1254/$AW1253-1,$AX1254/$AX1253-1,$AY1254/$AY1253-1),"")</f>
        <v/>
      </c>
      <c r="DW1253" s="66">
        <f>AVERAGE($CB1253,$CC1253,$CD1253,$CE1253,$CF1253,$CG1253,$CH1253,$CI1253,$CJ1253,$CL1253,$CM1253,$CN1253,$CO1253,$CP1253,$CQ1253,$CR1253,$CS1253,$CT1253)</f>
        <v/>
      </c>
      <c r="DX1253" s="66">
        <f>AVERAGE($CB1253,$CC1253,$CM1253,$CE1253,$CP1253)</f>
        <v/>
      </c>
      <c r="DY1253" s="64">
        <f>($DW1253-$DW1254)*100</f>
        <v/>
      </c>
      <c r="DZ1253" s="64">
        <f>($DX1253-$DX1254)*100</f>
        <v/>
      </c>
      <c r="EA1253" s="64">
        <f>($DW1253-$D1253)*100</f>
        <v/>
      </c>
      <c r="EB1253" s="64">
        <f>$Q1253-$O1253</f>
        <v/>
      </c>
      <c r="EC1253" s="67">
        <f>IFERROR($Q1253/$P1253,"")</f>
        <v/>
      </c>
    </row>
    <row r="1254">
      <c r="DG1254" s="64">
        <f>($B1254-$B1255)*100</f>
        <v/>
      </c>
      <c r="DH1254" s="64">
        <f>($D1254-$D1255)*100</f>
        <v/>
      </c>
      <c r="DI1254" s="64">
        <f>($E1254-$E1255)*100</f>
        <v/>
      </c>
      <c r="DJ1254" s="64">
        <f>($H1254-$H1255)*100</f>
        <v/>
      </c>
      <c r="DK1254" s="65">
        <f>IFERROR($J1254/$J1255-1,"")</f>
        <v/>
      </c>
      <c r="DL1254" s="64">
        <f>$L1254-$L1255</f>
        <v/>
      </c>
      <c r="DM1254" s="64">
        <f>$K1254-$K1255</f>
        <v/>
      </c>
      <c r="DN1254" s="65">
        <f>IFERROR($N1254/$N1255-1,"")</f>
        <v/>
      </c>
      <c r="DO1254" s="65">
        <f>IFERROR($M1254/$M1255-1,"")</f>
        <v/>
      </c>
      <c r="DP1254" s="65">
        <f>IFERROR($AZ1254/$AZ1255-1,"")</f>
        <v/>
      </c>
      <c r="DQ1254" s="65">
        <f>IFERROR($BA1254/$BA1255-1,"")</f>
        <v/>
      </c>
      <c r="DR1254" s="64">
        <f>$O1254-$O1255</f>
        <v/>
      </c>
      <c r="DS1254" s="64">
        <f>$P1254-$P1255</f>
        <v/>
      </c>
      <c r="DT1254" s="64">
        <f>$Q1254-$Q1255</f>
        <v/>
      </c>
      <c r="DU1254" s="64">
        <f>$S1254-$S1255</f>
        <v/>
      </c>
      <c r="DV1254" s="65">
        <f>IFERROR(AVERAGE($AA1255/$AA1254-1,$AB1255/$AB1254-1,$AC1255/$AC1254-1,$AD1255/$AD1254-1,$AE1255/$AE1254-1,$AG1255/$AG1254-1,$AH1255/$AH1254-1,$AI1255/$AI1254-1,$AJ1255/$AJ1254-1,$AL1255/$AL1254-1,$AM1255/$AM1254-1,$AR1255/$AR1254-1,$AS1255/$AS1254-1,$AT1255/$AT1254-1,$AU1255/$AU1254-1,$AV1255/$AV1254-1,$AW1255/$AW1254-1,$AX1255/$AX1254-1,$AY1255/$AY1254-1),"")</f>
        <v/>
      </c>
      <c r="DW1254" s="66">
        <f>AVERAGE($CB1254,$CC1254,$CD1254,$CE1254,$CF1254,$CG1254,$CH1254,$CI1254,$CJ1254,$CL1254,$CM1254,$CN1254,$CO1254,$CP1254,$CQ1254,$CR1254,$CS1254,$CT1254)</f>
        <v/>
      </c>
      <c r="DX1254" s="66">
        <f>AVERAGE($CB1254,$CC1254,$CM1254,$CE1254,$CP1254)</f>
        <v/>
      </c>
      <c r="DY1254" s="64">
        <f>($DW1254-$DW1255)*100</f>
        <v/>
      </c>
      <c r="DZ1254" s="64">
        <f>($DX1254-$DX1255)*100</f>
        <v/>
      </c>
      <c r="EA1254" s="64">
        <f>($DW1254-$D1254)*100</f>
        <v/>
      </c>
      <c r="EB1254" s="64">
        <f>$Q1254-$O1254</f>
        <v/>
      </c>
      <c r="EC1254" s="67">
        <f>IFERROR($Q1254/$P1254,"")</f>
        <v/>
      </c>
    </row>
    <row r="1255">
      <c r="DG1255" s="64">
        <f>($B1255-$B1256)*100</f>
        <v/>
      </c>
      <c r="DH1255" s="64">
        <f>($D1255-$D1256)*100</f>
        <v/>
      </c>
      <c r="DI1255" s="64">
        <f>($E1255-$E1256)*100</f>
        <v/>
      </c>
      <c r="DJ1255" s="64">
        <f>($H1255-$H1256)*100</f>
        <v/>
      </c>
      <c r="DK1255" s="65">
        <f>IFERROR($J1255/$J1256-1,"")</f>
        <v/>
      </c>
      <c r="DL1255" s="64">
        <f>$L1255-$L1256</f>
        <v/>
      </c>
      <c r="DM1255" s="64">
        <f>$K1255-$K1256</f>
        <v/>
      </c>
      <c r="DN1255" s="65">
        <f>IFERROR($N1255/$N1256-1,"")</f>
        <v/>
      </c>
      <c r="DO1255" s="65">
        <f>IFERROR($M1255/$M1256-1,"")</f>
        <v/>
      </c>
      <c r="DP1255" s="65">
        <f>IFERROR($AZ1255/$AZ1256-1,"")</f>
        <v/>
      </c>
      <c r="DQ1255" s="65">
        <f>IFERROR($BA1255/$BA1256-1,"")</f>
        <v/>
      </c>
      <c r="DR1255" s="64">
        <f>$O1255-$O1256</f>
        <v/>
      </c>
      <c r="DS1255" s="64">
        <f>$P1255-$P1256</f>
        <v/>
      </c>
      <c r="DT1255" s="64">
        <f>$Q1255-$Q1256</f>
        <v/>
      </c>
      <c r="DU1255" s="64">
        <f>$S1255-$S1256</f>
        <v/>
      </c>
      <c r="DV1255" s="65">
        <f>IFERROR(AVERAGE($AA1256/$AA1255-1,$AB1256/$AB1255-1,$AC1256/$AC1255-1,$AD1256/$AD1255-1,$AE1256/$AE1255-1,$AG1256/$AG1255-1,$AH1256/$AH1255-1,$AI1256/$AI1255-1,$AJ1256/$AJ1255-1,$AL1256/$AL1255-1,$AM1256/$AM1255-1,$AR1256/$AR1255-1,$AS1256/$AS1255-1,$AT1256/$AT1255-1,$AU1256/$AU1255-1,$AV1256/$AV1255-1,$AW1256/$AW1255-1,$AX1256/$AX1255-1,$AY1256/$AY1255-1),"")</f>
        <v/>
      </c>
      <c r="DW1255" s="66">
        <f>AVERAGE($CB1255,$CC1255,$CD1255,$CE1255,$CF1255,$CG1255,$CH1255,$CI1255,$CJ1255,$CL1255,$CM1255,$CN1255,$CO1255,$CP1255,$CQ1255,$CR1255,$CS1255,$CT1255)</f>
        <v/>
      </c>
      <c r="DX1255" s="66">
        <f>AVERAGE($CB1255,$CC1255,$CM1255,$CE1255,$CP1255)</f>
        <v/>
      </c>
      <c r="DY1255" s="64">
        <f>($DW1255-$DW1256)*100</f>
        <v/>
      </c>
      <c r="DZ1255" s="64">
        <f>($DX1255-$DX1256)*100</f>
        <v/>
      </c>
      <c r="EA1255" s="64">
        <f>($DW1255-$D1255)*100</f>
        <v/>
      </c>
      <c r="EB1255" s="64">
        <f>$Q1255-$O1255</f>
        <v/>
      </c>
      <c r="EC1255" s="67">
        <f>IFERROR($Q1255/$P1255,"")</f>
        <v/>
      </c>
    </row>
    <row r="1256">
      <c r="DG1256" s="64">
        <f>($B1256-$B1257)*100</f>
        <v/>
      </c>
      <c r="DH1256" s="64">
        <f>($D1256-$D1257)*100</f>
        <v/>
      </c>
      <c r="DI1256" s="64">
        <f>($E1256-$E1257)*100</f>
        <v/>
      </c>
      <c r="DJ1256" s="64">
        <f>($H1256-$H1257)*100</f>
        <v/>
      </c>
      <c r="DK1256" s="65">
        <f>IFERROR($J1256/$J1257-1,"")</f>
        <v/>
      </c>
      <c r="DL1256" s="64">
        <f>$L1256-$L1257</f>
        <v/>
      </c>
      <c r="DM1256" s="64">
        <f>$K1256-$K1257</f>
        <v/>
      </c>
      <c r="DN1256" s="65">
        <f>IFERROR($N1256/$N1257-1,"")</f>
        <v/>
      </c>
      <c r="DO1256" s="65">
        <f>IFERROR($M1256/$M1257-1,"")</f>
        <v/>
      </c>
      <c r="DP1256" s="65">
        <f>IFERROR($AZ1256/$AZ1257-1,"")</f>
        <v/>
      </c>
      <c r="DQ1256" s="65">
        <f>IFERROR($BA1256/$BA1257-1,"")</f>
        <v/>
      </c>
      <c r="DR1256" s="64">
        <f>$O1256-$O1257</f>
        <v/>
      </c>
      <c r="DS1256" s="64">
        <f>$P1256-$P1257</f>
        <v/>
      </c>
      <c r="DT1256" s="64">
        <f>$Q1256-$Q1257</f>
        <v/>
      </c>
      <c r="DU1256" s="64">
        <f>$S1256-$S1257</f>
        <v/>
      </c>
      <c r="DV1256" s="65">
        <f>IFERROR(AVERAGE($AA1257/$AA1256-1,$AB1257/$AB1256-1,$AC1257/$AC1256-1,$AD1257/$AD1256-1,$AE1257/$AE1256-1,$AG1257/$AG1256-1,$AH1257/$AH1256-1,$AI1257/$AI1256-1,$AJ1257/$AJ1256-1,$AL1257/$AL1256-1,$AM1257/$AM1256-1,$AR1257/$AR1256-1,$AS1257/$AS1256-1,$AT1257/$AT1256-1,$AU1257/$AU1256-1,$AV1257/$AV1256-1,$AW1257/$AW1256-1,$AX1257/$AX1256-1,$AY1257/$AY1256-1),"")</f>
        <v/>
      </c>
      <c r="DW1256" s="66">
        <f>AVERAGE($CB1256,$CC1256,$CD1256,$CE1256,$CF1256,$CG1256,$CH1256,$CI1256,$CJ1256,$CL1256,$CM1256,$CN1256,$CO1256,$CP1256,$CQ1256,$CR1256,$CS1256,$CT1256)</f>
        <v/>
      </c>
      <c r="DX1256" s="66">
        <f>AVERAGE($CB1256,$CC1256,$CM1256,$CE1256,$CP1256)</f>
        <v/>
      </c>
      <c r="DY1256" s="64">
        <f>($DW1256-$DW1257)*100</f>
        <v/>
      </c>
      <c r="DZ1256" s="64">
        <f>($DX1256-$DX1257)*100</f>
        <v/>
      </c>
      <c r="EA1256" s="64">
        <f>($DW1256-$D1256)*100</f>
        <v/>
      </c>
      <c r="EB1256" s="64">
        <f>$Q1256-$O1256</f>
        <v/>
      </c>
      <c r="EC1256" s="67">
        <f>IFERROR($Q1256/$P1256,"")</f>
        <v/>
      </c>
    </row>
    <row r="1257">
      <c r="DG1257" s="64">
        <f>($B1257-$B1258)*100</f>
        <v/>
      </c>
      <c r="DH1257" s="64">
        <f>($D1257-$D1258)*100</f>
        <v/>
      </c>
      <c r="DI1257" s="64">
        <f>($E1257-$E1258)*100</f>
        <v/>
      </c>
      <c r="DJ1257" s="64">
        <f>($H1257-$H1258)*100</f>
        <v/>
      </c>
      <c r="DK1257" s="65">
        <f>IFERROR($J1257/$J1258-1,"")</f>
        <v/>
      </c>
      <c r="DL1257" s="64">
        <f>$L1257-$L1258</f>
        <v/>
      </c>
      <c r="DM1257" s="64">
        <f>$K1257-$K1258</f>
        <v/>
      </c>
      <c r="DN1257" s="65">
        <f>IFERROR($N1257/$N1258-1,"")</f>
        <v/>
      </c>
      <c r="DO1257" s="65">
        <f>IFERROR($M1257/$M1258-1,"")</f>
        <v/>
      </c>
      <c r="DP1257" s="65">
        <f>IFERROR($AZ1257/$AZ1258-1,"")</f>
        <v/>
      </c>
      <c r="DQ1257" s="65">
        <f>IFERROR($BA1257/$BA1258-1,"")</f>
        <v/>
      </c>
      <c r="DR1257" s="64">
        <f>$O1257-$O1258</f>
        <v/>
      </c>
      <c r="DS1257" s="64">
        <f>$P1257-$P1258</f>
        <v/>
      </c>
      <c r="DT1257" s="64">
        <f>$Q1257-$Q1258</f>
        <v/>
      </c>
      <c r="DU1257" s="64">
        <f>$S1257-$S1258</f>
        <v/>
      </c>
      <c r="DV1257" s="65">
        <f>IFERROR(AVERAGE($AA1258/$AA1257-1,$AB1258/$AB1257-1,$AC1258/$AC1257-1,$AD1258/$AD1257-1,$AE1258/$AE1257-1,$AG1258/$AG1257-1,$AH1258/$AH1257-1,$AI1258/$AI1257-1,$AJ1258/$AJ1257-1,$AL1258/$AL1257-1,$AM1258/$AM1257-1,$AR1258/$AR1257-1,$AS1258/$AS1257-1,$AT1258/$AT1257-1,$AU1258/$AU1257-1,$AV1258/$AV1257-1,$AW1258/$AW1257-1,$AX1258/$AX1257-1,$AY1258/$AY1257-1),"")</f>
        <v/>
      </c>
      <c r="DW1257" s="66">
        <f>AVERAGE($CB1257,$CC1257,$CD1257,$CE1257,$CF1257,$CG1257,$CH1257,$CI1257,$CJ1257,$CL1257,$CM1257,$CN1257,$CO1257,$CP1257,$CQ1257,$CR1257,$CS1257,$CT1257)</f>
        <v/>
      </c>
      <c r="DX1257" s="66">
        <f>AVERAGE($CB1257,$CC1257,$CM1257,$CE1257,$CP1257)</f>
        <v/>
      </c>
      <c r="DY1257" s="64">
        <f>($DW1257-$DW1258)*100</f>
        <v/>
      </c>
      <c r="DZ1257" s="64">
        <f>($DX1257-$DX1258)*100</f>
        <v/>
      </c>
      <c r="EA1257" s="64">
        <f>($DW1257-$D1257)*100</f>
        <v/>
      </c>
      <c r="EB1257" s="64">
        <f>$Q1257-$O1257</f>
        <v/>
      </c>
      <c r="EC1257" s="67">
        <f>IFERROR($Q1257/$P1257,"")</f>
        <v/>
      </c>
    </row>
    <row r="1258">
      <c r="DG1258" s="64">
        <f>($B1258-$B1259)*100</f>
        <v/>
      </c>
      <c r="DH1258" s="64">
        <f>($D1258-$D1259)*100</f>
        <v/>
      </c>
      <c r="DI1258" s="64">
        <f>($E1258-$E1259)*100</f>
        <v/>
      </c>
      <c r="DJ1258" s="64">
        <f>($H1258-$H1259)*100</f>
        <v/>
      </c>
      <c r="DK1258" s="65">
        <f>IFERROR($J1258/$J1259-1,"")</f>
        <v/>
      </c>
      <c r="DL1258" s="64">
        <f>$L1258-$L1259</f>
        <v/>
      </c>
      <c r="DM1258" s="64">
        <f>$K1258-$K1259</f>
        <v/>
      </c>
      <c r="DN1258" s="65">
        <f>IFERROR($N1258/$N1259-1,"")</f>
        <v/>
      </c>
      <c r="DO1258" s="65">
        <f>IFERROR($M1258/$M1259-1,"")</f>
        <v/>
      </c>
      <c r="DP1258" s="65">
        <f>IFERROR($AZ1258/$AZ1259-1,"")</f>
        <v/>
      </c>
      <c r="DQ1258" s="65">
        <f>IFERROR($BA1258/$BA1259-1,"")</f>
        <v/>
      </c>
      <c r="DR1258" s="64">
        <f>$O1258-$O1259</f>
        <v/>
      </c>
      <c r="DS1258" s="64">
        <f>$P1258-$P1259</f>
        <v/>
      </c>
      <c r="DT1258" s="64">
        <f>$Q1258-$Q1259</f>
        <v/>
      </c>
      <c r="DU1258" s="64">
        <f>$S1258-$S1259</f>
        <v/>
      </c>
      <c r="DV1258" s="65">
        <f>IFERROR(AVERAGE($AA1259/$AA1258-1,$AB1259/$AB1258-1,$AC1259/$AC1258-1,$AD1259/$AD1258-1,$AE1259/$AE1258-1,$AG1259/$AG1258-1,$AH1259/$AH1258-1,$AI1259/$AI1258-1,$AJ1259/$AJ1258-1,$AL1259/$AL1258-1,$AM1259/$AM1258-1,$AR1259/$AR1258-1,$AS1259/$AS1258-1,$AT1259/$AT1258-1,$AU1259/$AU1258-1,$AV1259/$AV1258-1,$AW1259/$AW1258-1,$AX1259/$AX1258-1,$AY1259/$AY1258-1),"")</f>
        <v/>
      </c>
      <c r="DW1258" s="66">
        <f>AVERAGE($CB1258,$CC1258,$CD1258,$CE1258,$CF1258,$CG1258,$CH1258,$CI1258,$CJ1258,$CL1258,$CM1258,$CN1258,$CO1258,$CP1258,$CQ1258,$CR1258,$CS1258,$CT1258)</f>
        <v/>
      </c>
      <c r="DX1258" s="66">
        <f>AVERAGE($CB1258,$CC1258,$CM1258,$CE1258,$CP1258)</f>
        <v/>
      </c>
      <c r="DY1258" s="64">
        <f>($DW1258-$DW1259)*100</f>
        <v/>
      </c>
      <c r="DZ1258" s="64">
        <f>($DX1258-$DX1259)*100</f>
        <v/>
      </c>
      <c r="EA1258" s="64">
        <f>($DW1258-$D1258)*100</f>
        <v/>
      </c>
      <c r="EB1258" s="64">
        <f>$Q1258-$O1258</f>
        <v/>
      </c>
      <c r="EC1258" s="67">
        <f>IFERROR($Q1258/$P1258,"")</f>
        <v/>
      </c>
    </row>
    <row r="1259">
      <c r="DG1259" s="64">
        <f>($B1259-$B1260)*100</f>
        <v/>
      </c>
      <c r="DH1259" s="64">
        <f>($D1259-$D1260)*100</f>
        <v/>
      </c>
      <c r="DI1259" s="64">
        <f>($E1259-$E1260)*100</f>
        <v/>
      </c>
      <c r="DJ1259" s="64">
        <f>($H1259-$H1260)*100</f>
        <v/>
      </c>
      <c r="DK1259" s="65">
        <f>IFERROR($J1259/$J1260-1,"")</f>
        <v/>
      </c>
      <c r="DL1259" s="64">
        <f>$L1259-$L1260</f>
        <v/>
      </c>
      <c r="DM1259" s="64">
        <f>$K1259-$K1260</f>
        <v/>
      </c>
      <c r="DN1259" s="65">
        <f>IFERROR($N1259/$N1260-1,"")</f>
        <v/>
      </c>
      <c r="DO1259" s="65">
        <f>IFERROR($M1259/$M1260-1,"")</f>
        <v/>
      </c>
      <c r="DP1259" s="65">
        <f>IFERROR($AZ1259/$AZ1260-1,"")</f>
        <v/>
      </c>
      <c r="DQ1259" s="65">
        <f>IFERROR($BA1259/$BA1260-1,"")</f>
        <v/>
      </c>
      <c r="DR1259" s="64">
        <f>$O1259-$O1260</f>
        <v/>
      </c>
      <c r="DS1259" s="64">
        <f>$P1259-$P1260</f>
        <v/>
      </c>
      <c r="DT1259" s="64">
        <f>$Q1259-$Q1260</f>
        <v/>
      </c>
      <c r="DU1259" s="64">
        <f>$S1259-$S1260</f>
        <v/>
      </c>
      <c r="DV1259" s="65">
        <f>IFERROR(AVERAGE($AA1260/$AA1259-1,$AB1260/$AB1259-1,$AC1260/$AC1259-1,$AD1260/$AD1259-1,$AE1260/$AE1259-1,$AG1260/$AG1259-1,$AH1260/$AH1259-1,$AI1260/$AI1259-1,$AJ1260/$AJ1259-1,$AL1260/$AL1259-1,$AM1260/$AM1259-1,$AR1260/$AR1259-1,$AS1260/$AS1259-1,$AT1260/$AT1259-1,$AU1260/$AU1259-1,$AV1260/$AV1259-1,$AW1260/$AW1259-1,$AX1260/$AX1259-1,$AY1260/$AY1259-1),"")</f>
        <v/>
      </c>
      <c r="DW1259" s="66">
        <f>AVERAGE($CB1259,$CC1259,$CD1259,$CE1259,$CF1259,$CG1259,$CH1259,$CI1259,$CJ1259,$CL1259,$CM1259,$CN1259,$CO1259,$CP1259,$CQ1259,$CR1259,$CS1259,$CT1259)</f>
        <v/>
      </c>
      <c r="DX1259" s="66">
        <f>AVERAGE($CB1259,$CC1259,$CM1259,$CE1259,$CP1259)</f>
        <v/>
      </c>
      <c r="DY1259" s="64">
        <f>($DW1259-$DW1260)*100</f>
        <v/>
      </c>
      <c r="DZ1259" s="64">
        <f>($DX1259-$DX1260)*100</f>
        <v/>
      </c>
      <c r="EA1259" s="64">
        <f>($DW1259-$D1259)*100</f>
        <v/>
      </c>
      <c r="EB1259" s="64">
        <f>$Q1259-$O1259</f>
        <v/>
      </c>
      <c r="EC1259" s="67">
        <f>IFERROR($Q1259/$P1259,"")</f>
        <v/>
      </c>
    </row>
    <row r="1260">
      <c r="DG1260" s="64">
        <f>($B1260-$B1261)*100</f>
        <v/>
      </c>
      <c r="DH1260" s="64">
        <f>($D1260-$D1261)*100</f>
        <v/>
      </c>
      <c r="DI1260" s="64">
        <f>($E1260-$E1261)*100</f>
        <v/>
      </c>
      <c r="DJ1260" s="64">
        <f>($H1260-$H1261)*100</f>
        <v/>
      </c>
      <c r="DK1260" s="65">
        <f>IFERROR($J1260/$J1261-1,"")</f>
        <v/>
      </c>
      <c r="DL1260" s="64">
        <f>$L1260-$L1261</f>
        <v/>
      </c>
      <c r="DM1260" s="64">
        <f>$K1260-$K1261</f>
        <v/>
      </c>
      <c r="DN1260" s="65">
        <f>IFERROR($N1260/$N1261-1,"")</f>
        <v/>
      </c>
      <c r="DO1260" s="65">
        <f>IFERROR($M1260/$M1261-1,"")</f>
        <v/>
      </c>
      <c r="DP1260" s="65">
        <f>IFERROR($AZ1260/$AZ1261-1,"")</f>
        <v/>
      </c>
      <c r="DQ1260" s="65">
        <f>IFERROR($BA1260/$BA1261-1,"")</f>
        <v/>
      </c>
      <c r="DR1260" s="64">
        <f>$O1260-$O1261</f>
        <v/>
      </c>
      <c r="DS1260" s="64">
        <f>$P1260-$P1261</f>
        <v/>
      </c>
      <c r="DT1260" s="64">
        <f>$Q1260-$Q1261</f>
        <v/>
      </c>
      <c r="DU1260" s="64">
        <f>$S1260-$S1261</f>
        <v/>
      </c>
      <c r="DV1260" s="65">
        <f>IFERROR(AVERAGE($AA1261/$AA1260-1,$AB1261/$AB1260-1,$AC1261/$AC1260-1,$AD1261/$AD1260-1,$AE1261/$AE1260-1,$AG1261/$AG1260-1,$AH1261/$AH1260-1,$AI1261/$AI1260-1,$AJ1261/$AJ1260-1,$AL1261/$AL1260-1,$AM1261/$AM1260-1,$AR1261/$AR1260-1,$AS1261/$AS1260-1,$AT1261/$AT1260-1,$AU1261/$AU1260-1,$AV1261/$AV1260-1,$AW1261/$AW1260-1,$AX1261/$AX1260-1,$AY1261/$AY1260-1),"")</f>
        <v/>
      </c>
      <c r="DW1260" s="66">
        <f>AVERAGE($CB1260,$CC1260,$CD1260,$CE1260,$CF1260,$CG1260,$CH1260,$CI1260,$CJ1260,$CL1260,$CM1260,$CN1260,$CO1260,$CP1260,$CQ1260,$CR1260,$CS1260,$CT1260)</f>
        <v/>
      </c>
      <c r="DX1260" s="66">
        <f>AVERAGE($CB1260,$CC1260,$CM1260,$CE1260,$CP1260)</f>
        <v/>
      </c>
      <c r="DY1260" s="64">
        <f>($DW1260-$DW1261)*100</f>
        <v/>
      </c>
      <c r="DZ1260" s="64">
        <f>($DX1260-$DX1261)*100</f>
        <v/>
      </c>
      <c r="EA1260" s="64">
        <f>($DW1260-$D1260)*100</f>
        <v/>
      </c>
      <c r="EB1260" s="64">
        <f>$Q1260-$O1260</f>
        <v/>
      </c>
      <c r="EC1260" s="67">
        <f>IFERROR($Q1260/$P1260,"")</f>
        <v/>
      </c>
    </row>
    <row r="1261">
      <c r="DG1261" s="64">
        <f>($B1261-$B1262)*100</f>
        <v/>
      </c>
      <c r="DH1261" s="64">
        <f>($D1261-$D1262)*100</f>
        <v/>
      </c>
      <c r="DI1261" s="64">
        <f>($E1261-$E1262)*100</f>
        <v/>
      </c>
      <c r="DJ1261" s="64">
        <f>($H1261-$H1262)*100</f>
        <v/>
      </c>
      <c r="DK1261" s="65">
        <f>IFERROR($J1261/$J1262-1,"")</f>
        <v/>
      </c>
      <c r="DL1261" s="64">
        <f>$L1261-$L1262</f>
        <v/>
      </c>
      <c r="DM1261" s="64">
        <f>$K1261-$K1262</f>
        <v/>
      </c>
      <c r="DN1261" s="65">
        <f>IFERROR($N1261/$N1262-1,"")</f>
        <v/>
      </c>
      <c r="DO1261" s="65">
        <f>IFERROR($M1261/$M1262-1,"")</f>
        <v/>
      </c>
      <c r="DP1261" s="65">
        <f>IFERROR($AZ1261/$AZ1262-1,"")</f>
        <v/>
      </c>
      <c r="DQ1261" s="65">
        <f>IFERROR($BA1261/$BA1262-1,"")</f>
        <v/>
      </c>
      <c r="DR1261" s="64">
        <f>$O1261-$O1262</f>
        <v/>
      </c>
      <c r="DS1261" s="64">
        <f>$P1261-$P1262</f>
        <v/>
      </c>
      <c r="DT1261" s="64">
        <f>$Q1261-$Q1262</f>
        <v/>
      </c>
      <c r="DU1261" s="64">
        <f>$S1261-$S1262</f>
        <v/>
      </c>
      <c r="DV1261" s="65">
        <f>IFERROR(AVERAGE($AA1262/$AA1261-1,$AB1262/$AB1261-1,$AC1262/$AC1261-1,$AD1262/$AD1261-1,$AE1262/$AE1261-1,$AG1262/$AG1261-1,$AH1262/$AH1261-1,$AI1262/$AI1261-1,$AJ1262/$AJ1261-1,$AL1262/$AL1261-1,$AM1262/$AM1261-1,$AR1262/$AR1261-1,$AS1262/$AS1261-1,$AT1262/$AT1261-1,$AU1262/$AU1261-1,$AV1262/$AV1261-1,$AW1262/$AW1261-1,$AX1262/$AX1261-1,$AY1262/$AY1261-1),"")</f>
        <v/>
      </c>
      <c r="DW1261" s="66">
        <f>AVERAGE($CB1261,$CC1261,$CD1261,$CE1261,$CF1261,$CG1261,$CH1261,$CI1261,$CJ1261,$CL1261,$CM1261,$CN1261,$CO1261,$CP1261,$CQ1261,$CR1261,$CS1261,$CT1261)</f>
        <v/>
      </c>
      <c r="DX1261" s="66">
        <f>AVERAGE($CB1261,$CC1261,$CM1261,$CE1261,$CP1261)</f>
        <v/>
      </c>
      <c r="DY1261" s="64">
        <f>($DW1261-$DW1262)*100</f>
        <v/>
      </c>
      <c r="DZ1261" s="64">
        <f>($DX1261-$DX1262)*100</f>
        <v/>
      </c>
      <c r="EA1261" s="64">
        <f>($DW1261-$D1261)*100</f>
        <v/>
      </c>
      <c r="EB1261" s="64">
        <f>$Q1261-$O1261</f>
        <v/>
      </c>
      <c r="EC1261" s="67">
        <f>IFERROR($Q1261/$P1261,"")</f>
        <v/>
      </c>
    </row>
    <row r="1262">
      <c r="DG1262" s="64">
        <f>($B1262-$B1263)*100</f>
        <v/>
      </c>
      <c r="DH1262" s="64">
        <f>($D1262-$D1263)*100</f>
        <v/>
      </c>
      <c r="DI1262" s="64">
        <f>($E1262-$E1263)*100</f>
        <v/>
      </c>
      <c r="DJ1262" s="64">
        <f>($H1262-$H1263)*100</f>
        <v/>
      </c>
      <c r="DK1262" s="65">
        <f>IFERROR($J1262/$J1263-1,"")</f>
        <v/>
      </c>
      <c r="DL1262" s="64">
        <f>$L1262-$L1263</f>
        <v/>
      </c>
      <c r="DM1262" s="64">
        <f>$K1262-$K1263</f>
        <v/>
      </c>
      <c r="DN1262" s="65">
        <f>IFERROR($N1262/$N1263-1,"")</f>
        <v/>
      </c>
      <c r="DO1262" s="65">
        <f>IFERROR($M1262/$M1263-1,"")</f>
        <v/>
      </c>
      <c r="DP1262" s="65">
        <f>IFERROR($AZ1262/$AZ1263-1,"")</f>
        <v/>
      </c>
      <c r="DQ1262" s="65">
        <f>IFERROR($BA1262/$BA1263-1,"")</f>
        <v/>
      </c>
      <c r="DR1262" s="64">
        <f>$O1262-$O1263</f>
        <v/>
      </c>
      <c r="DS1262" s="64">
        <f>$P1262-$P1263</f>
        <v/>
      </c>
      <c r="DT1262" s="64">
        <f>$Q1262-$Q1263</f>
        <v/>
      </c>
      <c r="DU1262" s="64">
        <f>$S1262-$S1263</f>
        <v/>
      </c>
      <c r="DV1262" s="65">
        <f>IFERROR(AVERAGE($AA1263/$AA1262-1,$AB1263/$AB1262-1,$AC1263/$AC1262-1,$AD1263/$AD1262-1,$AE1263/$AE1262-1,$AG1263/$AG1262-1,$AH1263/$AH1262-1,$AI1263/$AI1262-1,$AJ1263/$AJ1262-1,$AL1263/$AL1262-1,$AM1263/$AM1262-1,$AR1263/$AR1262-1,$AS1263/$AS1262-1,$AT1263/$AT1262-1,$AU1263/$AU1262-1,$AV1263/$AV1262-1,$AW1263/$AW1262-1,$AX1263/$AX1262-1,$AY1263/$AY1262-1),"")</f>
        <v/>
      </c>
      <c r="DW1262" s="66">
        <f>AVERAGE($CB1262,$CC1262,$CD1262,$CE1262,$CF1262,$CG1262,$CH1262,$CI1262,$CJ1262,$CL1262,$CM1262,$CN1262,$CO1262,$CP1262,$CQ1262,$CR1262,$CS1262,$CT1262)</f>
        <v/>
      </c>
      <c r="DX1262" s="66">
        <f>AVERAGE($CB1262,$CC1262,$CM1262,$CE1262,$CP1262)</f>
        <v/>
      </c>
      <c r="DY1262" s="64">
        <f>($DW1262-$DW1263)*100</f>
        <v/>
      </c>
      <c r="DZ1262" s="64">
        <f>($DX1262-$DX1263)*100</f>
        <v/>
      </c>
      <c r="EA1262" s="64">
        <f>($DW1262-$D1262)*100</f>
        <v/>
      </c>
      <c r="EB1262" s="64">
        <f>$Q1262-$O1262</f>
        <v/>
      </c>
      <c r="EC1262" s="67">
        <f>IFERROR($Q1262/$P1262,"")</f>
        <v/>
      </c>
    </row>
    <row r="1263">
      <c r="DG1263" s="64">
        <f>($B1263-$B1264)*100</f>
        <v/>
      </c>
      <c r="DH1263" s="64">
        <f>($D1263-$D1264)*100</f>
        <v/>
      </c>
      <c r="DI1263" s="64">
        <f>($E1263-$E1264)*100</f>
        <v/>
      </c>
      <c r="DJ1263" s="64">
        <f>($H1263-$H1264)*100</f>
        <v/>
      </c>
      <c r="DK1263" s="65">
        <f>IFERROR($J1263/$J1264-1,"")</f>
        <v/>
      </c>
      <c r="DL1263" s="64">
        <f>$L1263-$L1264</f>
        <v/>
      </c>
      <c r="DM1263" s="64">
        <f>$K1263-$K1264</f>
        <v/>
      </c>
      <c r="DN1263" s="65">
        <f>IFERROR($N1263/$N1264-1,"")</f>
        <v/>
      </c>
      <c r="DO1263" s="65">
        <f>IFERROR($M1263/$M1264-1,"")</f>
        <v/>
      </c>
      <c r="DP1263" s="65">
        <f>IFERROR($AZ1263/$AZ1264-1,"")</f>
        <v/>
      </c>
      <c r="DQ1263" s="65">
        <f>IFERROR($BA1263/$BA1264-1,"")</f>
        <v/>
      </c>
      <c r="DR1263" s="64">
        <f>$O1263-$O1264</f>
        <v/>
      </c>
      <c r="DS1263" s="64">
        <f>$P1263-$P1264</f>
        <v/>
      </c>
      <c r="DT1263" s="64">
        <f>$Q1263-$Q1264</f>
        <v/>
      </c>
      <c r="DU1263" s="64">
        <f>$S1263-$S1264</f>
        <v/>
      </c>
      <c r="DV1263" s="65">
        <f>IFERROR(AVERAGE($AA1264/$AA1263-1,$AB1264/$AB1263-1,$AC1264/$AC1263-1,$AD1264/$AD1263-1,$AE1264/$AE1263-1,$AG1264/$AG1263-1,$AH1264/$AH1263-1,$AI1264/$AI1263-1,$AJ1264/$AJ1263-1,$AL1264/$AL1263-1,$AM1264/$AM1263-1,$AR1264/$AR1263-1,$AS1264/$AS1263-1,$AT1264/$AT1263-1,$AU1264/$AU1263-1,$AV1264/$AV1263-1,$AW1264/$AW1263-1,$AX1264/$AX1263-1,$AY1264/$AY1263-1),"")</f>
        <v/>
      </c>
      <c r="DW1263" s="66">
        <f>AVERAGE($CB1263,$CC1263,$CD1263,$CE1263,$CF1263,$CG1263,$CH1263,$CI1263,$CJ1263,$CL1263,$CM1263,$CN1263,$CO1263,$CP1263,$CQ1263,$CR1263,$CS1263,$CT1263)</f>
        <v/>
      </c>
      <c r="DX1263" s="66">
        <f>AVERAGE($CB1263,$CC1263,$CM1263,$CE1263,$CP1263)</f>
        <v/>
      </c>
      <c r="DY1263" s="64">
        <f>($DW1263-$DW1264)*100</f>
        <v/>
      </c>
      <c r="DZ1263" s="64">
        <f>($DX1263-$DX1264)*100</f>
        <v/>
      </c>
      <c r="EA1263" s="64">
        <f>($DW1263-$D1263)*100</f>
        <v/>
      </c>
      <c r="EB1263" s="64">
        <f>$Q1263-$O1263</f>
        <v/>
      </c>
      <c r="EC1263" s="67">
        <f>IFERROR($Q1263/$P1263,"")</f>
        <v/>
      </c>
    </row>
    <row r="1264">
      <c r="DG1264" s="64">
        <f>($B1264-$B1265)*100</f>
        <v/>
      </c>
      <c r="DH1264" s="64">
        <f>($D1264-$D1265)*100</f>
        <v/>
      </c>
      <c r="DI1264" s="64">
        <f>($E1264-$E1265)*100</f>
        <v/>
      </c>
      <c r="DJ1264" s="64">
        <f>($H1264-$H1265)*100</f>
        <v/>
      </c>
      <c r="DK1264" s="65">
        <f>IFERROR($J1264/$J1265-1,"")</f>
        <v/>
      </c>
      <c r="DL1264" s="64">
        <f>$L1264-$L1265</f>
        <v/>
      </c>
      <c r="DM1264" s="64">
        <f>$K1264-$K1265</f>
        <v/>
      </c>
      <c r="DN1264" s="65">
        <f>IFERROR($N1264/$N1265-1,"")</f>
        <v/>
      </c>
      <c r="DO1264" s="65">
        <f>IFERROR($M1264/$M1265-1,"")</f>
        <v/>
      </c>
      <c r="DP1264" s="65">
        <f>IFERROR($AZ1264/$AZ1265-1,"")</f>
        <v/>
      </c>
      <c r="DQ1264" s="65">
        <f>IFERROR($BA1264/$BA1265-1,"")</f>
        <v/>
      </c>
      <c r="DR1264" s="64">
        <f>$O1264-$O1265</f>
        <v/>
      </c>
      <c r="DS1264" s="64">
        <f>$P1264-$P1265</f>
        <v/>
      </c>
      <c r="DT1264" s="64">
        <f>$Q1264-$Q1265</f>
        <v/>
      </c>
      <c r="DU1264" s="64">
        <f>$S1264-$S1265</f>
        <v/>
      </c>
      <c r="DV1264" s="65">
        <f>IFERROR(AVERAGE($AA1265/$AA1264-1,$AB1265/$AB1264-1,$AC1265/$AC1264-1,$AD1265/$AD1264-1,$AE1265/$AE1264-1,$AG1265/$AG1264-1,$AH1265/$AH1264-1,$AI1265/$AI1264-1,$AJ1265/$AJ1264-1,$AL1265/$AL1264-1,$AM1265/$AM1264-1,$AR1265/$AR1264-1,$AS1265/$AS1264-1,$AT1265/$AT1264-1,$AU1265/$AU1264-1,$AV1265/$AV1264-1,$AW1265/$AW1264-1,$AX1265/$AX1264-1,$AY1265/$AY1264-1),"")</f>
        <v/>
      </c>
      <c r="DW1264" s="66">
        <f>AVERAGE($CB1264,$CC1264,$CD1264,$CE1264,$CF1264,$CG1264,$CH1264,$CI1264,$CJ1264,$CL1264,$CM1264,$CN1264,$CO1264,$CP1264,$CQ1264,$CR1264,$CS1264,$CT1264)</f>
        <v/>
      </c>
      <c r="DX1264" s="66">
        <f>AVERAGE($CB1264,$CC1264,$CM1264,$CE1264,$CP1264)</f>
        <v/>
      </c>
      <c r="DY1264" s="64">
        <f>($DW1264-$DW1265)*100</f>
        <v/>
      </c>
      <c r="DZ1264" s="64">
        <f>($DX1264-$DX1265)*100</f>
        <v/>
      </c>
      <c r="EA1264" s="64">
        <f>($DW1264-$D1264)*100</f>
        <v/>
      </c>
      <c r="EB1264" s="64">
        <f>$Q1264-$O1264</f>
        <v/>
      </c>
      <c r="EC1264" s="67">
        <f>IFERROR($Q1264/$P1264,"")</f>
        <v/>
      </c>
    </row>
    <row r="1265">
      <c r="DG1265" s="64">
        <f>($B1265-$B1266)*100</f>
        <v/>
      </c>
      <c r="DH1265" s="64">
        <f>($D1265-$D1266)*100</f>
        <v/>
      </c>
      <c r="DI1265" s="64">
        <f>($E1265-$E1266)*100</f>
        <v/>
      </c>
      <c r="DJ1265" s="64">
        <f>($H1265-$H1266)*100</f>
        <v/>
      </c>
      <c r="DK1265" s="65">
        <f>IFERROR($J1265/$J1266-1,"")</f>
        <v/>
      </c>
      <c r="DL1265" s="64">
        <f>$L1265-$L1266</f>
        <v/>
      </c>
      <c r="DM1265" s="64">
        <f>$K1265-$K1266</f>
        <v/>
      </c>
      <c r="DN1265" s="65">
        <f>IFERROR($N1265/$N1266-1,"")</f>
        <v/>
      </c>
      <c r="DO1265" s="65">
        <f>IFERROR($M1265/$M1266-1,"")</f>
        <v/>
      </c>
      <c r="DP1265" s="65">
        <f>IFERROR($AZ1265/$AZ1266-1,"")</f>
        <v/>
      </c>
      <c r="DQ1265" s="65">
        <f>IFERROR($BA1265/$BA1266-1,"")</f>
        <v/>
      </c>
      <c r="DR1265" s="64">
        <f>$O1265-$O1266</f>
        <v/>
      </c>
      <c r="DS1265" s="64">
        <f>$P1265-$P1266</f>
        <v/>
      </c>
      <c r="DT1265" s="64">
        <f>$Q1265-$Q1266</f>
        <v/>
      </c>
      <c r="DU1265" s="64">
        <f>$S1265-$S1266</f>
        <v/>
      </c>
      <c r="DV1265" s="65">
        <f>IFERROR(AVERAGE($AA1266/$AA1265-1,$AB1266/$AB1265-1,$AC1266/$AC1265-1,$AD1266/$AD1265-1,$AE1266/$AE1265-1,$AG1266/$AG1265-1,$AH1266/$AH1265-1,$AI1266/$AI1265-1,$AJ1266/$AJ1265-1,$AL1266/$AL1265-1,$AM1266/$AM1265-1,$AR1266/$AR1265-1,$AS1266/$AS1265-1,$AT1266/$AT1265-1,$AU1266/$AU1265-1,$AV1266/$AV1265-1,$AW1266/$AW1265-1,$AX1266/$AX1265-1,$AY1266/$AY1265-1),"")</f>
        <v/>
      </c>
      <c r="DW1265" s="66">
        <f>AVERAGE($CB1265,$CC1265,$CD1265,$CE1265,$CF1265,$CG1265,$CH1265,$CI1265,$CJ1265,$CL1265,$CM1265,$CN1265,$CO1265,$CP1265,$CQ1265,$CR1265,$CS1265,$CT1265)</f>
        <v/>
      </c>
      <c r="DX1265" s="66">
        <f>AVERAGE($CB1265,$CC1265,$CM1265,$CE1265,$CP1265)</f>
        <v/>
      </c>
      <c r="DY1265" s="64">
        <f>($DW1265-$DW1266)*100</f>
        <v/>
      </c>
      <c r="DZ1265" s="64">
        <f>($DX1265-$DX1266)*100</f>
        <v/>
      </c>
      <c r="EA1265" s="64">
        <f>($DW1265-$D1265)*100</f>
        <v/>
      </c>
      <c r="EB1265" s="64">
        <f>$Q1265-$O1265</f>
        <v/>
      </c>
      <c r="EC1265" s="67">
        <f>IFERROR($Q1265/$P1265,"")</f>
        <v/>
      </c>
    </row>
    <row r="1266">
      <c r="DG1266" s="64">
        <f>($B1266-$B1267)*100</f>
        <v/>
      </c>
      <c r="DH1266" s="64">
        <f>($D1266-$D1267)*100</f>
        <v/>
      </c>
      <c r="DI1266" s="64">
        <f>($E1266-$E1267)*100</f>
        <v/>
      </c>
      <c r="DJ1266" s="64">
        <f>($H1266-$H1267)*100</f>
        <v/>
      </c>
      <c r="DK1266" s="65">
        <f>IFERROR($J1266/$J1267-1,"")</f>
        <v/>
      </c>
      <c r="DL1266" s="64">
        <f>$L1266-$L1267</f>
        <v/>
      </c>
      <c r="DM1266" s="64">
        <f>$K1266-$K1267</f>
        <v/>
      </c>
      <c r="DN1266" s="65">
        <f>IFERROR($N1266/$N1267-1,"")</f>
        <v/>
      </c>
      <c r="DO1266" s="65">
        <f>IFERROR($M1266/$M1267-1,"")</f>
        <v/>
      </c>
      <c r="DP1266" s="65">
        <f>IFERROR($AZ1266/$AZ1267-1,"")</f>
        <v/>
      </c>
      <c r="DQ1266" s="65">
        <f>IFERROR($BA1266/$BA1267-1,"")</f>
        <v/>
      </c>
      <c r="DR1266" s="64">
        <f>$O1266-$O1267</f>
        <v/>
      </c>
      <c r="DS1266" s="64">
        <f>$P1266-$P1267</f>
        <v/>
      </c>
      <c r="DT1266" s="64">
        <f>$Q1266-$Q1267</f>
        <v/>
      </c>
      <c r="DU1266" s="64">
        <f>$S1266-$S1267</f>
        <v/>
      </c>
      <c r="DV1266" s="65">
        <f>IFERROR(AVERAGE($AA1267/$AA1266-1,$AB1267/$AB1266-1,$AC1267/$AC1266-1,$AD1267/$AD1266-1,$AE1267/$AE1266-1,$AG1267/$AG1266-1,$AH1267/$AH1266-1,$AI1267/$AI1266-1,$AJ1267/$AJ1266-1,$AL1267/$AL1266-1,$AM1267/$AM1266-1,$AR1267/$AR1266-1,$AS1267/$AS1266-1,$AT1267/$AT1266-1,$AU1267/$AU1266-1,$AV1267/$AV1266-1,$AW1267/$AW1266-1,$AX1267/$AX1266-1,$AY1267/$AY1266-1),"")</f>
        <v/>
      </c>
      <c r="DW1266" s="66">
        <f>AVERAGE($CB1266,$CC1266,$CD1266,$CE1266,$CF1266,$CG1266,$CH1266,$CI1266,$CJ1266,$CL1266,$CM1266,$CN1266,$CO1266,$CP1266,$CQ1266,$CR1266,$CS1266,$CT1266)</f>
        <v/>
      </c>
      <c r="DX1266" s="66">
        <f>AVERAGE($CB1266,$CC1266,$CM1266,$CE1266,$CP1266)</f>
        <v/>
      </c>
      <c r="DY1266" s="64">
        <f>($DW1266-$DW1267)*100</f>
        <v/>
      </c>
      <c r="DZ1266" s="64">
        <f>($DX1266-$DX1267)*100</f>
        <v/>
      </c>
      <c r="EA1266" s="64">
        <f>($DW1266-$D1266)*100</f>
        <v/>
      </c>
      <c r="EB1266" s="64">
        <f>$Q1266-$O1266</f>
        <v/>
      </c>
      <c r="EC1266" s="67">
        <f>IFERROR($Q1266/$P1266,"")</f>
        <v/>
      </c>
    </row>
    <row r="1267">
      <c r="DG1267" s="64">
        <f>($B1267-$B1268)*100</f>
        <v/>
      </c>
      <c r="DH1267" s="64">
        <f>($D1267-$D1268)*100</f>
        <v/>
      </c>
      <c r="DI1267" s="64">
        <f>($E1267-$E1268)*100</f>
        <v/>
      </c>
      <c r="DJ1267" s="64">
        <f>($H1267-$H1268)*100</f>
        <v/>
      </c>
      <c r="DK1267" s="65">
        <f>IFERROR($J1267/$J1268-1,"")</f>
        <v/>
      </c>
      <c r="DL1267" s="64">
        <f>$L1267-$L1268</f>
        <v/>
      </c>
      <c r="DM1267" s="64">
        <f>$K1267-$K1268</f>
        <v/>
      </c>
      <c r="DN1267" s="65">
        <f>IFERROR($N1267/$N1268-1,"")</f>
        <v/>
      </c>
      <c r="DO1267" s="65">
        <f>IFERROR($M1267/$M1268-1,"")</f>
        <v/>
      </c>
      <c r="DP1267" s="65">
        <f>IFERROR($AZ1267/$AZ1268-1,"")</f>
        <v/>
      </c>
      <c r="DQ1267" s="65">
        <f>IFERROR($BA1267/$BA1268-1,"")</f>
        <v/>
      </c>
      <c r="DR1267" s="64">
        <f>$O1267-$O1268</f>
        <v/>
      </c>
      <c r="DS1267" s="64">
        <f>$P1267-$P1268</f>
        <v/>
      </c>
      <c r="DT1267" s="64">
        <f>$Q1267-$Q1268</f>
        <v/>
      </c>
      <c r="DU1267" s="64">
        <f>$S1267-$S1268</f>
        <v/>
      </c>
      <c r="DV1267" s="65">
        <f>IFERROR(AVERAGE($AA1268/$AA1267-1,$AB1268/$AB1267-1,$AC1268/$AC1267-1,$AD1268/$AD1267-1,$AE1268/$AE1267-1,$AG1268/$AG1267-1,$AH1268/$AH1267-1,$AI1268/$AI1267-1,$AJ1268/$AJ1267-1,$AL1268/$AL1267-1,$AM1268/$AM1267-1,$AR1268/$AR1267-1,$AS1268/$AS1267-1,$AT1268/$AT1267-1,$AU1268/$AU1267-1,$AV1268/$AV1267-1,$AW1268/$AW1267-1,$AX1268/$AX1267-1,$AY1268/$AY1267-1),"")</f>
        <v/>
      </c>
      <c r="DW1267" s="66">
        <f>AVERAGE($CB1267,$CC1267,$CD1267,$CE1267,$CF1267,$CG1267,$CH1267,$CI1267,$CJ1267,$CL1267,$CM1267,$CN1267,$CO1267,$CP1267,$CQ1267,$CR1267,$CS1267,$CT1267)</f>
        <v/>
      </c>
      <c r="DX1267" s="66">
        <f>AVERAGE($CB1267,$CC1267,$CM1267,$CE1267,$CP1267)</f>
        <v/>
      </c>
      <c r="DY1267" s="64">
        <f>($DW1267-$DW1268)*100</f>
        <v/>
      </c>
      <c r="DZ1267" s="64">
        <f>($DX1267-$DX1268)*100</f>
        <v/>
      </c>
      <c r="EA1267" s="64">
        <f>($DW1267-$D1267)*100</f>
        <v/>
      </c>
      <c r="EB1267" s="64">
        <f>$Q1267-$O1267</f>
        <v/>
      </c>
      <c r="EC1267" s="67">
        <f>IFERROR($Q1267/$P1267,"")</f>
        <v/>
      </c>
    </row>
    <row r="1268">
      <c r="DG1268" s="64">
        <f>($B1268-$B1269)*100</f>
        <v/>
      </c>
      <c r="DH1268" s="64">
        <f>($D1268-$D1269)*100</f>
        <v/>
      </c>
      <c r="DI1268" s="64">
        <f>($E1268-$E1269)*100</f>
        <v/>
      </c>
      <c r="DJ1268" s="64">
        <f>($H1268-$H1269)*100</f>
        <v/>
      </c>
      <c r="DK1268" s="65">
        <f>IFERROR($J1268/$J1269-1,"")</f>
        <v/>
      </c>
      <c r="DL1268" s="64">
        <f>$L1268-$L1269</f>
        <v/>
      </c>
      <c r="DM1268" s="64">
        <f>$K1268-$K1269</f>
        <v/>
      </c>
      <c r="DN1268" s="65">
        <f>IFERROR($N1268/$N1269-1,"")</f>
        <v/>
      </c>
      <c r="DO1268" s="65">
        <f>IFERROR($M1268/$M1269-1,"")</f>
        <v/>
      </c>
      <c r="DP1268" s="65">
        <f>IFERROR($AZ1268/$AZ1269-1,"")</f>
        <v/>
      </c>
      <c r="DQ1268" s="65">
        <f>IFERROR($BA1268/$BA1269-1,"")</f>
        <v/>
      </c>
      <c r="DR1268" s="64">
        <f>$O1268-$O1269</f>
        <v/>
      </c>
      <c r="DS1268" s="64">
        <f>$P1268-$P1269</f>
        <v/>
      </c>
      <c r="DT1268" s="64">
        <f>$Q1268-$Q1269</f>
        <v/>
      </c>
      <c r="DU1268" s="64">
        <f>$S1268-$S1269</f>
        <v/>
      </c>
      <c r="DV1268" s="65">
        <f>IFERROR(AVERAGE($AA1269/$AA1268-1,$AB1269/$AB1268-1,$AC1269/$AC1268-1,$AD1269/$AD1268-1,$AE1269/$AE1268-1,$AG1269/$AG1268-1,$AH1269/$AH1268-1,$AI1269/$AI1268-1,$AJ1269/$AJ1268-1,$AL1269/$AL1268-1,$AM1269/$AM1268-1,$AR1269/$AR1268-1,$AS1269/$AS1268-1,$AT1269/$AT1268-1,$AU1269/$AU1268-1,$AV1269/$AV1268-1,$AW1269/$AW1268-1,$AX1269/$AX1268-1,$AY1269/$AY1268-1),"")</f>
        <v/>
      </c>
      <c r="DW1268" s="66">
        <f>AVERAGE($CB1268,$CC1268,$CD1268,$CE1268,$CF1268,$CG1268,$CH1268,$CI1268,$CJ1268,$CL1268,$CM1268,$CN1268,$CO1268,$CP1268,$CQ1268,$CR1268,$CS1268,$CT1268)</f>
        <v/>
      </c>
      <c r="DX1268" s="66">
        <f>AVERAGE($CB1268,$CC1268,$CM1268,$CE1268,$CP1268)</f>
        <v/>
      </c>
      <c r="DY1268" s="64">
        <f>($DW1268-$DW1269)*100</f>
        <v/>
      </c>
      <c r="DZ1268" s="64">
        <f>($DX1268-$DX1269)*100</f>
        <v/>
      </c>
      <c r="EA1268" s="64">
        <f>($DW1268-$D1268)*100</f>
        <v/>
      </c>
      <c r="EB1268" s="64">
        <f>$Q1268-$O1268</f>
        <v/>
      </c>
      <c r="EC1268" s="67">
        <f>IFERROR($Q1268/$P1268,"")</f>
        <v/>
      </c>
    </row>
    <row r="1269">
      <c r="DG1269" s="64">
        <f>($B1269-$B1270)*100</f>
        <v/>
      </c>
      <c r="DH1269" s="64">
        <f>($D1269-$D1270)*100</f>
        <v/>
      </c>
      <c r="DI1269" s="64">
        <f>($E1269-$E1270)*100</f>
        <v/>
      </c>
      <c r="DJ1269" s="64">
        <f>($H1269-$H1270)*100</f>
        <v/>
      </c>
      <c r="DK1269" s="65">
        <f>IFERROR($J1269/$J1270-1,"")</f>
        <v/>
      </c>
      <c r="DL1269" s="64">
        <f>$L1269-$L1270</f>
        <v/>
      </c>
      <c r="DM1269" s="64">
        <f>$K1269-$K1270</f>
        <v/>
      </c>
      <c r="DN1269" s="65">
        <f>IFERROR($N1269/$N1270-1,"")</f>
        <v/>
      </c>
      <c r="DO1269" s="65">
        <f>IFERROR($M1269/$M1270-1,"")</f>
        <v/>
      </c>
      <c r="DP1269" s="65">
        <f>IFERROR($AZ1269/$AZ1270-1,"")</f>
        <v/>
      </c>
      <c r="DQ1269" s="65">
        <f>IFERROR($BA1269/$BA1270-1,"")</f>
        <v/>
      </c>
      <c r="DR1269" s="64">
        <f>$O1269-$O1270</f>
        <v/>
      </c>
      <c r="DS1269" s="64">
        <f>$P1269-$P1270</f>
        <v/>
      </c>
      <c r="DT1269" s="64">
        <f>$Q1269-$Q1270</f>
        <v/>
      </c>
      <c r="DU1269" s="64">
        <f>$S1269-$S1270</f>
        <v/>
      </c>
      <c r="DV1269" s="65">
        <f>IFERROR(AVERAGE($AA1270/$AA1269-1,$AB1270/$AB1269-1,$AC1270/$AC1269-1,$AD1270/$AD1269-1,$AE1270/$AE1269-1,$AG1270/$AG1269-1,$AH1270/$AH1269-1,$AI1270/$AI1269-1,$AJ1270/$AJ1269-1,$AL1270/$AL1269-1,$AM1270/$AM1269-1,$AR1270/$AR1269-1,$AS1270/$AS1269-1,$AT1270/$AT1269-1,$AU1270/$AU1269-1,$AV1270/$AV1269-1,$AW1270/$AW1269-1,$AX1270/$AX1269-1,$AY1270/$AY1269-1),"")</f>
        <v/>
      </c>
      <c r="DW1269" s="66">
        <f>AVERAGE($CB1269,$CC1269,$CD1269,$CE1269,$CF1269,$CG1269,$CH1269,$CI1269,$CJ1269,$CL1269,$CM1269,$CN1269,$CO1269,$CP1269,$CQ1269,$CR1269,$CS1269,$CT1269)</f>
        <v/>
      </c>
      <c r="DX1269" s="66">
        <f>AVERAGE($CB1269,$CC1269,$CM1269,$CE1269,$CP1269)</f>
        <v/>
      </c>
      <c r="DY1269" s="64">
        <f>($DW1269-$DW1270)*100</f>
        <v/>
      </c>
      <c r="DZ1269" s="64">
        <f>($DX1269-$DX1270)*100</f>
        <v/>
      </c>
      <c r="EA1269" s="64">
        <f>($DW1269-$D1269)*100</f>
        <v/>
      </c>
      <c r="EB1269" s="64">
        <f>$Q1269-$O1269</f>
        <v/>
      </c>
      <c r="EC1269" s="67">
        <f>IFERROR($Q1269/$P1269,"")</f>
        <v/>
      </c>
    </row>
    <row r="1270">
      <c r="DG1270" s="64">
        <f>($B1270-$B1271)*100</f>
        <v/>
      </c>
      <c r="DH1270" s="64">
        <f>($D1270-$D1271)*100</f>
        <v/>
      </c>
      <c r="DI1270" s="64">
        <f>($E1270-$E1271)*100</f>
        <v/>
      </c>
      <c r="DJ1270" s="64">
        <f>($H1270-$H1271)*100</f>
        <v/>
      </c>
      <c r="DK1270" s="65">
        <f>IFERROR($J1270/$J1271-1,"")</f>
        <v/>
      </c>
      <c r="DL1270" s="64">
        <f>$L1270-$L1271</f>
        <v/>
      </c>
      <c r="DM1270" s="64">
        <f>$K1270-$K1271</f>
        <v/>
      </c>
      <c r="DN1270" s="65">
        <f>IFERROR($N1270/$N1271-1,"")</f>
        <v/>
      </c>
      <c r="DO1270" s="65">
        <f>IFERROR($M1270/$M1271-1,"")</f>
        <v/>
      </c>
      <c r="DP1270" s="65">
        <f>IFERROR($AZ1270/$AZ1271-1,"")</f>
        <v/>
      </c>
      <c r="DQ1270" s="65">
        <f>IFERROR($BA1270/$BA1271-1,"")</f>
        <v/>
      </c>
      <c r="DR1270" s="64">
        <f>$O1270-$O1271</f>
        <v/>
      </c>
      <c r="DS1270" s="64">
        <f>$P1270-$P1271</f>
        <v/>
      </c>
      <c r="DT1270" s="64">
        <f>$Q1270-$Q1271</f>
        <v/>
      </c>
      <c r="DU1270" s="64">
        <f>$S1270-$S1271</f>
        <v/>
      </c>
      <c r="DV1270" s="65">
        <f>IFERROR(AVERAGE($AA1271/$AA1270-1,$AB1271/$AB1270-1,$AC1271/$AC1270-1,$AD1271/$AD1270-1,$AE1271/$AE1270-1,$AG1271/$AG1270-1,$AH1271/$AH1270-1,$AI1271/$AI1270-1,$AJ1271/$AJ1270-1,$AL1271/$AL1270-1,$AM1271/$AM1270-1,$AR1271/$AR1270-1,$AS1271/$AS1270-1,$AT1271/$AT1270-1,$AU1271/$AU1270-1,$AV1271/$AV1270-1,$AW1271/$AW1270-1,$AX1271/$AX1270-1,$AY1271/$AY1270-1),"")</f>
        <v/>
      </c>
      <c r="DW1270" s="66">
        <f>AVERAGE($CB1270,$CC1270,$CD1270,$CE1270,$CF1270,$CG1270,$CH1270,$CI1270,$CJ1270,$CL1270,$CM1270,$CN1270,$CO1270,$CP1270,$CQ1270,$CR1270,$CS1270,$CT1270)</f>
        <v/>
      </c>
      <c r="DX1270" s="66">
        <f>AVERAGE($CB1270,$CC1270,$CM1270,$CE1270,$CP1270)</f>
        <v/>
      </c>
      <c r="DY1270" s="64">
        <f>($DW1270-$DW1271)*100</f>
        <v/>
      </c>
      <c r="DZ1270" s="64">
        <f>($DX1270-$DX1271)*100</f>
        <v/>
      </c>
      <c r="EA1270" s="64">
        <f>($DW1270-$D1270)*100</f>
        <v/>
      </c>
      <c r="EB1270" s="64">
        <f>$Q1270-$O1270</f>
        <v/>
      </c>
      <c r="EC1270" s="67">
        <f>IFERROR($Q1270/$P1270,"")</f>
        <v/>
      </c>
    </row>
    <row r="1271">
      <c r="DG1271" s="64">
        <f>($B1271-$B1272)*100</f>
        <v/>
      </c>
      <c r="DH1271" s="64">
        <f>($D1271-$D1272)*100</f>
        <v/>
      </c>
      <c r="DI1271" s="64">
        <f>($E1271-$E1272)*100</f>
        <v/>
      </c>
      <c r="DJ1271" s="64">
        <f>($H1271-$H1272)*100</f>
        <v/>
      </c>
      <c r="DK1271" s="65">
        <f>IFERROR($J1271/$J1272-1,"")</f>
        <v/>
      </c>
      <c r="DL1271" s="64">
        <f>$L1271-$L1272</f>
        <v/>
      </c>
      <c r="DM1271" s="64">
        <f>$K1271-$K1272</f>
        <v/>
      </c>
      <c r="DN1271" s="65">
        <f>IFERROR($N1271/$N1272-1,"")</f>
        <v/>
      </c>
      <c r="DO1271" s="65">
        <f>IFERROR($M1271/$M1272-1,"")</f>
        <v/>
      </c>
      <c r="DP1271" s="65">
        <f>IFERROR($AZ1271/$AZ1272-1,"")</f>
        <v/>
      </c>
      <c r="DQ1271" s="65">
        <f>IFERROR($BA1271/$BA1272-1,"")</f>
        <v/>
      </c>
      <c r="DR1271" s="64">
        <f>$O1271-$O1272</f>
        <v/>
      </c>
      <c r="DS1271" s="64">
        <f>$P1271-$P1272</f>
        <v/>
      </c>
      <c r="DT1271" s="64">
        <f>$Q1271-$Q1272</f>
        <v/>
      </c>
      <c r="DU1271" s="64">
        <f>$S1271-$S1272</f>
        <v/>
      </c>
      <c r="DV1271" s="65">
        <f>IFERROR(AVERAGE($AA1272/$AA1271-1,$AB1272/$AB1271-1,$AC1272/$AC1271-1,$AD1272/$AD1271-1,$AE1272/$AE1271-1,$AG1272/$AG1271-1,$AH1272/$AH1271-1,$AI1272/$AI1271-1,$AJ1272/$AJ1271-1,$AL1272/$AL1271-1,$AM1272/$AM1271-1,$AR1272/$AR1271-1,$AS1272/$AS1271-1,$AT1272/$AT1271-1,$AU1272/$AU1271-1,$AV1272/$AV1271-1,$AW1272/$AW1271-1,$AX1272/$AX1271-1,$AY1272/$AY1271-1),"")</f>
        <v/>
      </c>
      <c r="DW1271" s="66">
        <f>AVERAGE($CB1271,$CC1271,$CD1271,$CE1271,$CF1271,$CG1271,$CH1271,$CI1271,$CJ1271,$CL1271,$CM1271,$CN1271,$CO1271,$CP1271,$CQ1271,$CR1271,$CS1271,$CT1271)</f>
        <v/>
      </c>
      <c r="DX1271" s="66">
        <f>AVERAGE($CB1271,$CC1271,$CM1271,$CE1271,$CP1271)</f>
        <v/>
      </c>
      <c r="DY1271" s="64">
        <f>($DW1271-$DW1272)*100</f>
        <v/>
      </c>
      <c r="DZ1271" s="64">
        <f>($DX1271-$DX1272)*100</f>
        <v/>
      </c>
      <c r="EA1271" s="64">
        <f>($DW1271-$D1271)*100</f>
        <v/>
      </c>
      <c r="EB1271" s="64">
        <f>$Q1271-$O1271</f>
        <v/>
      </c>
      <c r="EC1271" s="67">
        <f>IFERROR($Q1271/$P1271,"")</f>
        <v/>
      </c>
    </row>
    <row r="1272">
      <c r="DG1272" s="64">
        <f>($B1272-$B1273)*100</f>
        <v/>
      </c>
      <c r="DH1272" s="64">
        <f>($D1272-$D1273)*100</f>
        <v/>
      </c>
      <c r="DI1272" s="64">
        <f>($E1272-$E1273)*100</f>
        <v/>
      </c>
      <c r="DJ1272" s="64">
        <f>($H1272-$H1273)*100</f>
        <v/>
      </c>
      <c r="DK1272" s="65">
        <f>IFERROR($J1272/$J1273-1,"")</f>
        <v/>
      </c>
      <c r="DL1272" s="64">
        <f>$L1272-$L1273</f>
        <v/>
      </c>
      <c r="DM1272" s="64">
        <f>$K1272-$K1273</f>
        <v/>
      </c>
      <c r="DN1272" s="65">
        <f>IFERROR($N1272/$N1273-1,"")</f>
        <v/>
      </c>
      <c r="DO1272" s="65">
        <f>IFERROR($M1272/$M1273-1,"")</f>
        <v/>
      </c>
      <c r="DP1272" s="65">
        <f>IFERROR($AZ1272/$AZ1273-1,"")</f>
        <v/>
      </c>
      <c r="DQ1272" s="65">
        <f>IFERROR($BA1272/$BA1273-1,"")</f>
        <v/>
      </c>
      <c r="DR1272" s="64">
        <f>$O1272-$O1273</f>
        <v/>
      </c>
      <c r="DS1272" s="64">
        <f>$P1272-$P1273</f>
        <v/>
      </c>
      <c r="DT1272" s="64">
        <f>$Q1272-$Q1273</f>
        <v/>
      </c>
      <c r="DU1272" s="64">
        <f>$S1272-$S1273</f>
        <v/>
      </c>
      <c r="DV1272" s="65">
        <f>IFERROR(AVERAGE($AA1273/$AA1272-1,$AB1273/$AB1272-1,$AC1273/$AC1272-1,$AD1273/$AD1272-1,$AE1273/$AE1272-1,$AG1273/$AG1272-1,$AH1273/$AH1272-1,$AI1273/$AI1272-1,$AJ1273/$AJ1272-1,$AL1273/$AL1272-1,$AM1273/$AM1272-1,$AR1273/$AR1272-1,$AS1273/$AS1272-1,$AT1273/$AT1272-1,$AU1273/$AU1272-1,$AV1273/$AV1272-1,$AW1273/$AW1272-1,$AX1273/$AX1272-1,$AY1273/$AY1272-1),"")</f>
        <v/>
      </c>
      <c r="DW1272" s="66">
        <f>AVERAGE($CB1272,$CC1272,$CD1272,$CE1272,$CF1272,$CG1272,$CH1272,$CI1272,$CJ1272,$CL1272,$CM1272,$CN1272,$CO1272,$CP1272,$CQ1272,$CR1272,$CS1272,$CT1272)</f>
        <v/>
      </c>
      <c r="DX1272" s="66">
        <f>AVERAGE($CB1272,$CC1272,$CM1272,$CE1272,$CP1272)</f>
        <v/>
      </c>
      <c r="DY1272" s="64">
        <f>($DW1272-$DW1273)*100</f>
        <v/>
      </c>
      <c r="DZ1272" s="64">
        <f>($DX1272-$DX1273)*100</f>
        <v/>
      </c>
      <c r="EA1272" s="64">
        <f>($DW1272-$D1272)*100</f>
        <v/>
      </c>
      <c r="EB1272" s="64">
        <f>$Q1272-$O1272</f>
        <v/>
      </c>
      <c r="EC1272" s="67">
        <f>IFERROR($Q1272/$P1272,"")</f>
        <v/>
      </c>
    </row>
    <row r="1273">
      <c r="DG1273" s="64">
        <f>($B1273-$B1274)*100</f>
        <v/>
      </c>
      <c r="DH1273" s="64">
        <f>($D1273-$D1274)*100</f>
        <v/>
      </c>
      <c r="DI1273" s="64">
        <f>($E1273-$E1274)*100</f>
        <v/>
      </c>
      <c r="DJ1273" s="64">
        <f>($H1273-$H1274)*100</f>
        <v/>
      </c>
      <c r="DK1273" s="65">
        <f>IFERROR($J1273/$J1274-1,"")</f>
        <v/>
      </c>
      <c r="DL1273" s="64">
        <f>$L1273-$L1274</f>
        <v/>
      </c>
      <c r="DM1273" s="64">
        <f>$K1273-$K1274</f>
        <v/>
      </c>
      <c r="DN1273" s="65">
        <f>IFERROR($N1273/$N1274-1,"")</f>
        <v/>
      </c>
      <c r="DO1273" s="65">
        <f>IFERROR($M1273/$M1274-1,"")</f>
        <v/>
      </c>
      <c r="DP1273" s="65">
        <f>IFERROR($AZ1273/$AZ1274-1,"")</f>
        <v/>
      </c>
      <c r="DQ1273" s="65">
        <f>IFERROR($BA1273/$BA1274-1,"")</f>
        <v/>
      </c>
      <c r="DR1273" s="64">
        <f>$O1273-$O1274</f>
        <v/>
      </c>
      <c r="DS1273" s="64">
        <f>$P1273-$P1274</f>
        <v/>
      </c>
      <c r="DT1273" s="64">
        <f>$Q1273-$Q1274</f>
        <v/>
      </c>
      <c r="DU1273" s="64">
        <f>$S1273-$S1274</f>
        <v/>
      </c>
      <c r="DV1273" s="65">
        <f>IFERROR(AVERAGE($AA1274/$AA1273-1,$AB1274/$AB1273-1,$AC1274/$AC1273-1,$AD1274/$AD1273-1,$AE1274/$AE1273-1,$AG1274/$AG1273-1,$AH1274/$AH1273-1,$AI1274/$AI1273-1,$AJ1274/$AJ1273-1,$AL1274/$AL1273-1,$AM1274/$AM1273-1,$AR1274/$AR1273-1,$AS1274/$AS1273-1,$AT1274/$AT1273-1,$AU1274/$AU1273-1,$AV1274/$AV1273-1,$AW1274/$AW1273-1,$AX1274/$AX1273-1,$AY1274/$AY1273-1),"")</f>
        <v/>
      </c>
      <c r="DW1273" s="66">
        <f>AVERAGE($CB1273,$CC1273,$CD1273,$CE1273,$CF1273,$CG1273,$CH1273,$CI1273,$CJ1273,$CL1273,$CM1273,$CN1273,$CO1273,$CP1273,$CQ1273,$CR1273,$CS1273,$CT1273)</f>
        <v/>
      </c>
      <c r="DX1273" s="66">
        <f>AVERAGE($CB1273,$CC1273,$CM1273,$CE1273,$CP1273)</f>
        <v/>
      </c>
      <c r="DY1273" s="64">
        <f>($DW1273-$DW1274)*100</f>
        <v/>
      </c>
      <c r="DZ1273" s="64">
        <f>($DX1273-$DX1274)*100</f>
        <v/>
      </c>
      <c r="EA1273" s="64">
        <f>($DW1273-$D1273)*100</f>
        <v/>
      </c>
      <c r="EB1273" s="64">
        <f>$Q1273-$O1273</f>
        <v/>
      </c>
      <c r="EC1273" s="67">
        <f>IFERROR($Q1273/$P1273,"")</f>
        <v/>
      </c>
    </row>
    <row r="1274">
      <c r="DG1274" s="64">
        <f>($B1274-$B1275)*100</f>
        <v/>
      </c>
      <c r="DH1274" s="64">
        <f>($D1274-$D1275)*100</f>
        <v/>
      </c>
      <c r="DI1274" s="64">
        <f>($E1274-$E1275)*100</f>
        <v/>
      </c>
      <c r="DJ1274" s="64">
        <f>($H1274-$H1275)*100</f>
        <v/>
      </c>
      <c r="DK1274" s="65">
        <f>IFERROR($J1274/$J1275-1,"")</f>
        <v/>
      </c>
      <c r="DL1274" s="64">
        <f>$L1274-$L1275</f>
        <v/>
      </c>
      <c r="DM1274" s="64">
        <f>$K1274-$K1275</f>
        <v/>
      </c>
      <c r="DN1274" s="65">
        <f>IFERROR($N1274/$N1275-1,"")</f>
        <v/>
      </c>
      <c r="DO1274" s="65">
        <f>IFERROR($M1274/$M1275-1,"")</f>
        <v/>
      </c>
      <c r="DP1274" s="65">
        <f>IFERROR($AZ1274/$AZ1275-1,"")</f>
        <v/>
      </c>
      <c r="DQ1274" s="65">
        <f>IFERROR($BA1274/$BA1275-1,"")</f>
        <v/>
      </c>
      <c r="DR1274" s="64">
        <f>$O1274-$O1275</f>
        <v/>
      </c>
      <c r="DS1274" s="64">
        <f>$P1274-$P1275</f>
        <v/>
      </c>
      <c r="DT1274" s="64">
        <f>$Q1274-$Q1275</f>
        <v/>
      </c>
      <c r="DU1274" s="64">
        <f>$S1274-$S1275</f>
        <v/>
      </c>
      <c r="DV1274" s="65">
        <f>IFERROR(AVERAGE($AA1275/$AA1274-1,$AB1275/$AB1274-1,$AC1275/$AC1274-1,$AD1275/$AD1274-1,$AE1275/$AE1274-1,$AG1275/$AG1274-1,$AH1275/$AH1274-1,$AI1275/$AI1274-1,$AJ1275/$AJ1274-1,$AL1275/$AL1274-1,$AM1275/$AM1274-1,$AR1275/$AR1274-1,$AS1275/$AS1274-1,$AT1275/$AT1274-1,$AU1275/$AU1274-1,$AV1275/$AV1274-1,$AW1275/$AW1274-1,$AX1275/$AX1274-1,$AY1275/$AY1274-1),"")</f>
        <v/>
      </c>
      <c r="DW1274" s="66">
        <f>AVERAGE($CB1274,$CC1274,$CD1274,$CE1274,$CF1274,$CG1274,$CH1274,$CI1274,$CJ1274,$CL1274,$CM1274,$CN1274,$CO1274,$CP1274,$CQ1274,$CR1274,$CS1274,$CT1274)</f>
        <v/>
      </c>
      <c r="DX1274" s="66">
        <f>AVERAGE($CB1274,$CC1274,$CM1274,$CE1274,$CP1274)</f>
        <v/>
      </c>
      <c r="DY1274" s="64">
        <f>($DW1274-$DW1275)*100</f>
        <v/>
      </c>
      <c r="DZ1274" s="64">
        <f>($DX1274-$DX1275)*100</f>
        <v/>
      </c>
      <c r="EA1274" s="64">
        <f>($DW1274-$D1274)*100</f>
        <v/>
      </c>
      <c r="EB1274" s="64">
        <f>$Q1274-$O1274</f>
        <v/>
      </c>
      <c r="EC1274" s="67">
        <f>IFERROR($Q1274/$P1274,"")</f>
        <v/>
      </c>
    </row>
    <row r="1275">
      <c r="DG1275" s="64">
        <f>($B1275-$B1276)*100</f>
        <v/>
      </c>
      <c r="DH1275" s="64">
        <f>($D1275-$D1276)*100</f>
        <v/>
      </c>
      <c r="DI1275" s="64">
        <f>($E1275-$E1276)*100</f>
        <v/>
      </c>
      <c r="DJ1275" s="64">
        <f>($H1275-$H1276)*100</f>
        <v/>
      </c>
      <c r="DK1275" s="65">
        <f>IFERROR($J1275/$J1276-1,"")</f>
        <v/>
      </c>
      <c r="DL1275" s="64">
        <f>$L1275-$L1276</f>
        <v/>
      </c>
      <c r="DM1275" s="64">
        <f>$K1275-$K1276</f>
        <v/>
      </c>
      <c r="DN1275" s="65">
        <f>IFERROR($N1275/$N1276-1,"")</f>
        <v/>
      </c>
      <c r="DO1275" s="65">
        <f>IFERROR($M1275/$M1276-1,"")</f>
        <v/>
      </c>
      <c r="DP1275" s="65">
        <f>IFERROR($AZ1275/$AZ1276-1,"")</f>
        <v/>
      </c>
      <c r="DQ1275" s="65">
        <f>IFERROR($BA1275/$BA1276-1,"")</f>
        <v/>
      </c>
      <c r="DR1275" s="64">
        <f>$O1275-$O1276</f>
        <v/>
      </c>
      <c r="DS1275" s="64">
        <f>$P1275-$P1276</f>
        <v/>
      </c>
      <c r="DT1275" s="64">
        <f>$Q1275-$Q1276</f>
        <v/>
      </c>
      <c r="DU1275" s="64">
        <f>$S1275-$S1276</f>
        <v/>
      </c>
      <c r="DV1275" s="65">
        <f>IFERROR(AVERAGE($AA1276/$AA1275-1,$AB1276/$AB1275-1,$AC1276/$AC1275-1,$AD1276/$AD1275-1,$AE1276/$AE1275-1,$AG1276/$AG1275-1,$AH1276/$AH1275-1,$AI1276/$AI1275-1,$AJ1276/$AJ1275-1,$AL1276/$AL1275-1,$AM1276/$AM1275-1,$AR1276/$AR1275-1,$AS1276/$AS1275-1,$AT1276/$AT1275-1,$AU1276/$AU1275-1,$AV1276/$AV1275-1,$AW1276/$AW1275-1,$AX1276/$AX1275-1,$AY1276/$AY1275-1),"")</f>
        <v/>
      </c>
      <c r="DW1275" s="66">
        <f>AVERAGE($CB1275,$CC1275,$CD1275,$CE1275,$CF1275,$CG1275,$CH1275,$CI1275,$CJ1275,$CL1275,$CM1275,$CN1275,$CO1275,$CP1275,$CQ1275,$CR1275,$CS1275,$CT1275)</f>
        <v/>
      </c>
      <c r="DX1275" s="66">
        <f>AVERAGE($CB1275,$CC1275,$CM1275,$CE1275,$CP1275)</f>
        <v/>
      </c>
      <c r="DY1275" s="64">
        <f>($DW1275-$DW1276)*100</f>
        <v/>
      </c>
      <c r="DZ1275" s="64">
        <f>($DX1275-$DX1276)*100</f>
        <v/>
      </c>
      <c r="EA1275" s="64">
        <f>($DW1275-$D1275)*100</f>
        <v/>
      </c>
      <c r="EB1275" s="64">
        <f>$Q1275-$O1275</f>
        <v/>
      </c>
      <c r="EC1275" s="67">
        <f>IFERROR($Q1275/$P1275,"")</f>
        <v/>
      </c>
    </row>
    <row r="1276">
      <c r="DG1276" s="64">
        <f>($B1276-$B1277)*100</f>
        <v/>
      </c>
      <c r="DH1276" s="64">
        <f>($D1276-$D1277)*100</f>
        <v/>
      </c>
      <c r="DI1276" s="64">
        <f>($E1276-$E1277)*100</f>
        <v/>
      </c>
      <c r="DJ1276" s="64">
        <f>($H1276-$H1277)*100</f>
        <v/>
      </c>
      <c r="DK1276" s="65">
        <f>IFERROR($J1276/$J1277-1,"")</f>
        <v/>
      </c>
      <c r="DL1276" s="64">
        <f>$L1276-$L1277</f>
        <v/>
      </c>
      <c r="DM1276" s="64">
        <f>$K1276-$K1277</f>
        <v/>
      </c>
      <c r="DN1276" s="65">
        <f>IFERROR($N1276/$N1277-1,"")</f>
        <v/>
      </c>
      <c r="DO1276" s="65">
        <f>IFERROR($M1276/$M1277-1,"")</f>
        <v/>
      </c>
      <c r="DP1276" s="65">
        <f>IFERROR($AZ1276/$AZ1277-1,"")</f>
        <v/>
      </c>
      <c r="DQ1276" s="65">
        <f>IFERROR($BA1276/$BA1277-1,"")</f>
        <v/>
      </c>
      <c r="DR1276" s="64">
        <f>$O1276-$O1277</f>
        <v/>
      </c>
      <c r="DS1276" s="64">
        <f>$P1276-$P1277</f>
        <v/>
      </c>
      <c r="DT1276" s="64">
        <f>$Q1276-$Q1277</f>
        <v/>
      </c>
      <c r="DU1276" s="64">
        <f>$S1276-$S1277</f>
        <v/>
      </c>
      <c r="DV1276" s="65">
        <f>IFERROR(AVERAGE($AA1277/$AA1276-1,$AB1277/$AB1276-1,$AC1277/$AC1276-1,$AD1277/$AD1276-1,$AE1277/$AE1276-1,$AG1277/$AG1276-1,$AH1277/$AH1276-1,$AI1277/$AI1276-1,$AJ1277/$AJ1276-1,$AL1277/$AL1276-1,$AM1277/$AM1276-1,$AR1277/$AR1276-1,$AS1277/$AS1276-1,$AT1277/$AT1276-1,$AU1277/$AU1276-1,$AV1277/$AV1276-1,$AW1277/$AW1276-1,$AX1277/$AX1276-1,$AY1277/$AY1276-1),"")</f>
        <v/>
      </c>
      <c r="DW1276" s="66">
        <f>AVERAGE($CB1276,$CC1276,$CD1276,$CE1276,$CF1276,$CG1276,$CH1276,$CI1276,$CJ1276,$CL1276,$CM1276,$CN1276,$CO1276,$CP1276,$CQ1276,$CR1276,$CS1276,$CT1276)</f>
        <v/>
      </c>
      <c r="DX1276" s="66">
        <f>AVERAGE($CB1276,$CC1276,$CM1276,$CE1276,$CP1276)</f>
        <v/>
      </c>
      <c r="DY1276" s="64">
        <f>($DW1276-$DW1277)*100</f>
        <v/>
      </c>
      <c r="DZ1276" s="64">
        <f>($DX1276-$DX1277)*100</f>
        <v/>
      </c>
      <c r="EA1276" s="64">
        <f>($DW1276-$D1276)*100</f>
        <v/>
      </c>
      <c r="EB1276" s="64">
        <f>$Q1276-$O1276</f>
        <v/>
      </c>
      <c r="EC1276" s="67">
        <f>IFERROR($Q1276/$P1276,"")</f>
        <v/>
      </c>
    </row>
    <row r="1277">
      <c r="DG1277" s="64">
        <f>($B1277-$B1278)*100</f>
        <v/>
      </c>
      <c r="DH1277" s="64">
        <f>($D1277-$D1278)*100</f>
        <v/>
      </c>
      <c r="DI1277" s="64">
        <f>($E1277-$E1278)*100</f>
        <v/>
      </c>
      <c r="DJ1277" s="64">
        <f>($H1277-$H1278)*100</f>
        <v/>
      </c>
      <c r="DK1277" s="65">
        <f>IFERROR($J1277/$J1278-1,"")</f>
        <v/>
      </c>
      <c r="DL1277" s="64">
        <f>$L1277-$L1278</f>
        <v/>
      </c>
      <c r="DM1277" s="64">
        <f>$K1277-$K1278</f>
        <v/>
      </c>
      <c r="DN1277" s="65">
        <f>IFERROR($N1277/$N1278-1,"")</f>
        <v/>
      </c>
      <c r="DO1277" s="65">
        <f>IFERROR($M1277/$M1278-1,"")</f>
        <v/>
      </c>
      <c r="DP1277" s="65">
        <f>IFERROR($AZ1277/$AZ1278-1,"")</f>
        <v/>
      </c>
      <c r="DQ1277" s="65">
        <f>IFERROR($BA1277/$BA1278-1,"")</f>
        <v/>
      </c>
      <c r="DR1277" s="64">
        <f>$O1277-$O1278</f>
        <v/>
      </c>
      <c r="DS1277" s="64">
        <f>$P1277-$P1278</f>
        <v/>
      </c>
      <c r="DT1277" s="64">
        <f>$Q1277-$Q1278</f>
        <v/>
      </c>
      <c r="DU1277" s="64">
        <f>$S1277-$S1278</f>
        <v/>
      </c>
      <c r="DV1277" s="65">
        <f>IFERROR(AVERAGE($AA1278/$AA1277-1,$AB1278/$AB1277-1,$AC1278/$AC1277-1,$AD1278/$AD1277-1,$AE1278/$AE1277-1,$AG1278/$AG1277-1,$AH1278/$AH1277-1,$AI1278/$AI1277-1,$AJ1278/$AJ1277-1,$AL1278/$AL1277-1,$AM1278/$AM1277-1,$AR1278/$AR1277-1,$AS1278/$AS1277-1,$AT1278/$AT1277-1,$AU1278/$AU1277-1,$AV1278/$AV1277-1,$AW1278/$AW1277-1,$AX1278/$AX1277-1,$AY1278/$AY1277-1),"")</f>
        <v/>
      </c>
      <c r="DW1277" s="66">
        <f>AVERAGE($CB1277,$CC1277,$CD1277,$CE1277,$CF1277,$CG1277,$CH1277,$CI1277,$CJ1277,$CL1277,$CM1277,$CN1277,$CO1277,$CP1277,$CQ1277,$CR1277,$CS1277,$CT1277)</f>
        <v/>
      </c>
      <c r="DX1277" s="66">
        <f>AVERAGE($CB1277,$CC1277,$CM1277,$CE1277,$CP1277)</f>
        <v/>
      </c>
      <c r="DY1277" s="64">
        <f>($DW1277-$DW1278)*100</f>
        <v/>
      </c>
      <c r="DZ1277" s="64">
        <f>($DX1277-$DX1278)*100</f>
        <v/>
      </c>
      <c r="EA1277" s="64">
        <f>($DW1277-$D1277)*100</f>
        <v/>
      </c>
      <c r="EB1277" s="64">
        <f>$Q1277-$O1277</f>
        <v/>
      </c>
      <c r="EC1277" s="67">
        <f>IFERROR($Q1277/$P1277,"")</f>
        <v/>
      </c>
    </row>
    <row r="1278">
      <c r="DG1278" s="64">
        <f>($B1278-$B1279)*100</f>
        <v/>
      </c>
      <c r="DH1278" s="64">
        <f>($D1278-$D1279)*100</f>
        <v/>
      </c>
      <c r="DI1278" s="64">
        <f>($E1278-$E1279)*100</f>
        <v/>
      </c>
      <c r="DJ1278" s="64">
        <f>($H1278-$H1279)*100</f>
        <v/>
      </c>
      <c r="DK1278" s="65">
        <f>IFERROR($J1278/$J1279-1,"")</f>
        <v/>
      </c>
      <c r="DL1278" s="64">
        <f>$L1278-$L1279</f>
        <v/>
      </c>
      <c r="DM1278" s="64">
        <f>$K1278-$K1279</f>
        <v/>
      </c>
      <c r="DN1278" s="65">
        <f>IFERROR($N1278/$N1279-1,"")</f>
        <v/>
      </c>
      <c r="DO1278" s="65">
        <f>IFERROR($M1278/$M1279-1,"")</f>
        <v/>
      </c>
      <c r="DP1278" s="65">
        <f>IFERROR($AZ1278/$AZ1279-1,"")</f>
        <v/>
      </c>
      <c r="DQ1278" s="65">
        <f>IFERROR($BA1278/$BA1279-1,"")</f>
        <v/>
      </c>
      <c r="DR1278" s="64">
        <f>$O1278-$O1279</f>
        <v/>
      </c>
      <c r="DS1278" s="64">
        <f>$P1278-$P1279</f>
        <v/>
      </c>
      <c r="DT1278" s="64">
        <f>$Q1278-$Q1279</f>
        <v/>
      </c>
      <c r="DU1278" s="64">
        <f>$S1278-$S1279</f>
        <v/>
      </c>
      <c r="DV1278" s="65">
        <f>IFERROR(AVERAGE($AA1279/$AA1278-1,$AB1279/$AB1278-1,$AC1279/$AC1278-1,$AD1279/$AD1278-1,$AE1279/$AE1278-1,$AG1279/$AG1278-1,$AH1279/$AH1278-1,$AI1279/$AI1278-1,$AJ1279/$AJ1278-1,$AL1279/$AL1278-1,$AM1279/$AM1278-1,$AR1279/$AR1278-1,$AS1279/$AS1278-1,$AT1279/$AT1278-1,$AU1279/$AU1278-1,$AV1279/$AV1278-1,$AW1279/$AW1278-1,$AX1279/$AX1278-1,$AY1279/$AY1278-1),"")</f>
        <v/>
      </c>
      <c r="DW1278" s="66">
        <f>AVERAGE($CB1278,$CC1278,$CD1278,$CE1278,$CF1278,$CG1278,$CH1278,$CI1278,$CJ1278,$CL1278,$CM1278,$CN1278,$CO1278,$CP1278,$CQ1278,$CR1278,$CS1278,$CT1278)</f>
        <v/>
      </c>
      <c r="DX1278" s="66">
        <f>AVERAGE($CB1278,$CC1278,$CM1278,$CE1278,$CP1278)</f>
        <v/>
      </c>
      <c r="DY1278" s="64">
        <f>($DW1278-$DW1279)*100</f>
        <v/>
      </c>
      <c r="DZ1278" s="64">
        <f>($DX1278-$DX1279)*100</f>
        <v/>
      </c>
      <c r="EA1278" s="64">
        <f>($DW1278-$D1278)*100</f>
        <v/>
      </c>
      <c r="EB1278" s="64">
        <f>$Q1278-$O1278</f>
        <v/>
      </c>
      <c r="EC1278" s="67">
        <f>IFERROR($Q1278/$P1278,"")</f>
        <v/>
      </c>
    </row>
    <row r="1279">
      <c r="DG1279" s="64">
        <f>($B1279-$B1280)*100</f>
        <v/>
      </c>
      <c r="DH1279" s="64">
        <f>($D1279-$D1280)*100</f>
        <v/>
      </c>
      <c r="DI1279" s="64">
        <f>($E1279-$E1280)*100</f>
        <v/>
      </c>
      <c r="DJ1279" s="64">
        <f>($H1279-$H1280)*100</f>
        <v/>
      </c>
      <c r="DK1279" s="65">
        <f>IFERROR($J1279/$J1280-1,"")</f>
        <v/>
      </c>
      <c r="DL1279" s="64">
        <f>$L1279-$L1280</f>
        <v/>
      </c>
      <c r="DM1279" s="64">
        <f>$K1279-$K1280</f>
        <v/>
      </c>
      <c r="DN1279" s="65">
        <f>IFERROR($N1279/$N1280-1,"")</f>
        <v/>
      </c>
      <c r="DO1279" s="65">
        <f>IFERROR($M1279/$M1280-1,"")</f>
        <v/>
      </c>
      <c r="DP1279" s="65">
        <f>IFERROR($AZ1279/$AZ1280-1,"")</f>
        <v/>
      </c>
      <c r="DQ1279" s="65">
        <f>IFERROR($BA1279/$BA1280-1,"")</f>
        <v/>
      </c>
      <c r="DR1279" s="64">
        <f>$O1279-$O1280</f>
        <v/>
      </c>
      <c r="DS1279" s="64">
        <f>$P1279-$P1280</f>
        <v/>
      </c>
      <c r="DT1279" s="64">
        <f>$Q1279-$Q1280</f>
        <v/>
      </c>
      <c r="DU1279" s="64">
        <f>$S1279-$S1280</f>
        <v/>
      </c>
      <c r="DV1279" s="65">
        <f>IFERROR(AVERAGE($AA1280/$AA1279-1,$AB1280/$AB1279-1,$AC1280/$AC1279-1,$AD1280/$AD1279-1,$AE1280/$AE1279-1,$AG1280/$AG1279-1,$AH1280/$AH1279-1,$AI1280/$AI1279-1,$AJ1280/$AJ1279-1,$AL1280/$AL1279-1,$AM1280/$AM1279-1,$AR1280/$AR1279-1,$AS1280/$AS1279-1,$AT1280/$AT1279-1,$AU1280/$AU1279-1,$AV1280/$AV1279-1,$AW1280/$AW1279-1,$AX1280/$AX1279-1,$AY1280/$AY1279-1),"")</f>
        <v/>
      </c>
      <c r="DW1279" s="66">
        <f>AVERAGE($CB1279,$CC1279,$CD1279,$CE1279,$CF1279,$CG1279,$CH1279,$CI1279,$CJ1279,$CL1279,$CM1279,$CN1279,$CO1279,$CP1279,$CQ1279,$CR1279,$CS1279,$CT1279)</f>
        <v/>
      </c>
      <c r="DX1279" s="66">
        <f>AVERAGE($CB1279,$CC1279,$CM1279,$CE1279,$CP1279)</f>
        <v/>
      </c>
      <c r="DY1279" s="64">
        <f>($DW1279-$DW1280)*100</f>
        <v/>
      </c>
      <c r="DZ1279" s="64">
        <f>($DX1279-$DX1280)*100</f>
        <v/>
      </c>
      <c r="EA1279" s="64">
        <f>($DW1279-$D1279)*100</f>
        <v/>
      </c>
      <c r="EB1279" s="64">
        <f>$Q1279-$O1279</f>
        <v/>
      </c>
      <c r="EC1279" s="67">
        <f>IFERROR($Q1279/$P1279,"")</f>
        <v/>
      </c>
    </row>
    <row r="1280">
      <c r="DG1280" s="64">
        <f>($B1280-$B1281)*100</f>
        <v/>
      </c>
      <c r="DH1280" s="64">
        <f>($D1280-$D1281)*100</f>
        <v/>
      </c>
      <c r="DI1280" s="64">
        <f>($E1280-$E1281)*100</f>
        <v/>
      </c>
      <c r="DJ1280" s="64">
        <f>($H1280-$H1281)*100</f>
        <v/>
      </c>
      <c r="DK1280" s="65">
        <f>IFERROR($J1280/$J1281-1,"")</f>
        <v/>
      </c>
      <c r="DL1280" s="64">
        <f>$L1280-$L1281</f>
        <v/>
      </c>
      <c r="DM1280" s="64">
        <f>$K1280-$K1281</f>
        <v/>
      </c>
      <c r="DN1280" s="65">
        <f>IFERROR($N1280/$N1281-1,"")</f>
        <v/>
      </c>
      <c r="DO1280" s="65">
        <f>IFERROR($M1280/$M1281-1,"")</f>
        <v/>
      </c>
      <c r="DP1280" s="65">
        <f>IFERROR($AZ1280/$AZ1281-1,"")</f>
        <v/>
      </c>
      <c r="DQ1280" s="65">
        <f>IFERROR($BA1280/$BA1281-1,"")</f>
        <v/>
      </c>
      <c r="DR1280" s="64">
        <f>$O1280-$O1281</f>
        <v/>
      </c>
      <c r="DS1280" s="64">
        <f>$P1280-$P1281</f>
        <v/>
      </c>
      <c r="DT1280" s="64">
        <f>$Q1280-$Q1281</f>
        <v/>
      </c>
      <c r="DU1280" s="64">
        <f>$S1280-$S1281</f>
        <v/>
      </c>
      <c r="DV1280" s="65">
        <f>IFERROR(AVERAGE($AA1281/$AA1280-1,$AB1281/$AB1280-1,$AC1281/$AC1280-1,$AD1281/$AD1280-1,$AE1281/$AE1280-1,$AG1281/$AG1280-1,$AH1281/$AH1280-1,$AI1281/$AI1280-1,$AJ1281/$AJ1280-1,$AL1281/$AL1280-1,$AM1281/$AM1280-1,$AR1281/$AR1280-1,$AS1281/$AS1280-1,$AT1281/$AT1280-1,$AU1281/$AU1280-1,$AV1281/$AV1280-1,$AW1281/$AW1280-1,$AX1281/$AX1280-1,$AY1281/$AY1280-1),"")</f>
        <v/>
      </c>
      <c r="DW1280" s="66">
        <f>AVERAGE($CB1280,$CC1280,$CD1280,$CE1280,$CF1280,$CG1280,$CH1280,$CI1280,$CJ1280,$CL1280,$CM1280,$CN1280,$CO1280,$CP1280,$CQ1280,$CR1280,$CS1280,$CT1280)</f>
        <v/>
      </c>
      <c r="DX1280" s="66">
        <f>AVERAGE($CB1280,$CC1280,$CM1280,$CE1280,$CP1280)</f>
        <v/>
      </c>
      <c r="DY1280" s="64">
        <f>($DW1280-$DW1281)*100</f>
        <v/>
      </c>
      <c r="DZ1280" s="64">
        <f>($DX1280-$DX1281)*100</f>
        <v/>
      </c>
      <c r="EA1280" s="64">
        <f>($DW1280-$D1280)*100</f>
        <v/>
      </c>
      <c r="EB1280" s="64">
        <f>$Q1280-$O1280</f>
        <v/>
      </c>
      <c r="EC1280" s="67">
        <f>IFERROR($Q1280/$P1280,"")</f>
        <v/>
      </c>
    </row>
    <row r="1281">
      <c r="DG1281" s="64">
        <f>($B1281-$B1282)*100</f>
        <v/>
      </c>
      <c r="DH1281" s="64">
        <f>($D1281-$D1282)*100</f>
        <v/>
      </c>
      <c r="DI1281" s="64">
        <f>($E1281-$E1282)*100</f>
        <v/>
      </c>
      <c r="DJ1281" s="64">
        <f>($H1281-$H1282)*100</f>
        <v/>
      </c>
      <c r="DK1281" s="65">
        <f>IFERROR($J1281/$J1282-1,"")</f>
        <v/>
      </c>
      <c r="DL1281" s="64">
        <f>$L1281-$L1282</f>
        <v/>
      </c>
      <c r="DM1281" s="64">
        <f>$K1281-$K1282</f>
        <v/>
      </c>
      <c r="DN1281" s="65">
        <f>IFERROR($N1281/$N1282-1,"")</f>
        <v/>
      </c>
      <c r="DO1281" s="65">
        <f>IFERROR($M1281/$M1282-1,"")</f>
        <v/>
      </c>
      <c r="DP1281" s="65">
        <f>IFERROR($AZ1281/$AZ1282-1,"")</f>
        <v/>
      </c>
      <c r="DQ1281" s="65">
        <f>IFERROR($BA1281/$BA1282-1,"")</f>
        <v/>
      </c>
      <c r="DR1281" s="64">
        <f>$O1281-$O1282</f>
        <v/>
      </c>
      <c r="DS1281" s="64">
        <f>$P1281-$P1282</f>
        <v/>
      </c>
      <c r="DT1281" s="64">
        <f>$Q1281-$Q1282</f>
        <v/>
      </c>
      <c r="DU1281" s="64">
        <f>$S1281-$S1282</f>
        <v/>
      </c>
      <c r="DV1281" s="65">
        <f>IFERROR(AVERAGE($AA1282/$AA1281-1,$AB1282/$AB1281-1,$AC1282/$AC1281-1,$AD1282/$AD1281-1,$AE1282/$AE1281-1,$AG1282/$AG1281-1,$AH1282/$AH1281-1,$AI1282/$AI1281-1,$AJ1282/$AJ1281-1,$AL1282/$AL1281-1,$AM1282/$AM1281-1,$AR1282/$AR1281-1,$AS1282/$AS1281-1,$AT1282/$AT1281-1,$AU1282/$AU1281-1,$AV1282/$AV1281-1,$AW1282/$AW1281-1,$AX1282/$AX1281-1,$AY1282/$AY1281-1),"")</f>
        <v/>
      </c>
      <c r="DW1281" s="66">
        <f>AVERAGE($CB1281,$CC1281,$CD1281,$CE1281,$CF1281,$CG1281,$CH1281,$CI1281,$CJ1281,$CL1281,$CM1281,$CN1281,$CO1281,$CP1281,$CQ1281,$CR1281,$CS1281,$CT1281)</f>
        <v/>
      </c>
      <c r="DX1281" s="66">
        <f>AVERAGE($CB1281,$CC1281,$CM1281,$CE1281,$CP1281)</f>
        <v/>
      </c>
      <c r="DY1281" s="64">
        <f>($DW1281-$DW1282)*100</f>
        <v/>
      </c>
      <c r="DZ1281" s="64">
        <f>($DX1281-$DX1282)*100</f>
        <v/>
      </c>
      <c r="EA1281" s="64">
        <f>($DW1281-$D1281)*100</f>
        <v/>
      </c>
      <c r="EB1281" s="64">
        <f>$Q1281-$O1281</f>
        <v/>
      </c>
      <c r="EC1281" s="67">
        <f>IFERROR($Q1281/$P1281,"")</f>
        <v/>
      </c>
    </row>
    <row r="1282">
      <c r="DG1282" s="64">
        <f>($B1282-$B1283)*100</f>
        <v/>
      </c>
      <c r="DH1282" s="64">
        <f>($D1282-$D1283)*100</f>
        <v/>
      </c>
      <c r="DI1282" s="64">
        <f>($E1282-$E1283)*100</f>
        <v/>
      </c>
      <c r="DJ1282" s="64">
        <f>($H1282-$H1283)*100</f>
        <v/>
      </c>
      <c r="DK1282" s="65">
        <f>IFERROR($J1282/$J1283-1,"")</f>
        <v/>
      </c>
      <c r="DL1282" s="64">
        <f>$L1282-$L1283</f>
        <v/>
      </c>
      <c r="DM1282" s="64">
        <f>$K1282-$K1283</f>
        <v/>
      </c>
      <c r="DN1282" s="65">
        <f>IFERROR($N1282/$N1283-1,"")</f>
        <v/>
      </c>
      <c r="DO1282" s="65">
        <f>IFERROR($M1282/$M1283-1,"")</f>
        <v/>
      </c>
      <c r="DP1282" s="65">
        <f>IFERROR($AZ1282/$AZ1283-1,"")</f>
        <v/>
      </c>
      <c r="DQ1282" s="65">
        <f>IFERROR($BA1282/$BA1283-1,"")</f>
        <v/>
      </c>
      <c r="DR1282" s="64">
        <f>$O1282-$O1283</f>
        <v/>
      </c>
      <c r="DS1282" s="64">
        <f>$P1282-$P1283</f>
        <v/>
      </c>
      <c r="DT1282" s="64">
        <f>$Q1282-$Q1283</f>
        <v/>
      </c>
      <c r="DU1282" s="64">
        <f>$S1282-$S1283</f>
        <v/>
      </c>
      <c r="DV1282" s="65">
        <f>IFERROR(AVERAGE($AA1283/$AA1282-1,$AB1283/$AB1282-1,$AC1283/$AC1282-1,$AD1283/$AD1282-1,$AE1283/$AE1282-1,$AG1283/$AG1282-1,$AH1283/$AH1282-1,$AI1283/$AI1282-1,$AJ1283/$AJ1282-1,$AL1283/$AL1282-1,$AM1283/$AM1282-1,$AR1283/$AR1282-1,$AS1283/$AS1282-1,$AT1283/$AT1282-1,$AU1283/$AU1282-1,$AV1283/$AV1282-1,$AW1283/$AW1282-1,$AX1283/$AX1282-1,$AY1283/$AY1282-1),"")</f>
        <v/>
      </c>
      <c r="DW1282" s="66">
        <f>AVERAGE($CB1282,$CC1282,$CD1282,$CE1282,$CF1282,$CG1282,$CH1282,$CI1282,$CJ1282,$CL1282,$CM1282,$CN1282,$CO1282,$CP1282,$CQ1282,$CR1282,$CS1282,$CT1282)</f>
        <v/>
      </c>
      <c r="DX1282" s="66">
        <f>AVERAGE($CB1282,$CC1282,$CM1282,$CE1282,$CP1282)</f>
        <v/>
      </c>
      <c r="DY1282" s="64">
        <f>($DW1282-$DW1283)*100</f>
        <v/>
      </c>
      <c r="DZ1282" s="64">
        <f>($DX1282-$DX1283)*100</f>
        <v/>
      </c>
      <c r="EA1282" s="64">
        <f>($DW1282-$D1282)*100</f>
        <v/>
      </c>
      <c r="EB1282" s="64">
        <f>$Q1282-$O1282</f>
        <v/>
      </c>
      <c r="EC1282" s="67">
        <f>IFERROR($Q1282/$P1282,"")</f>
        <v/>
      </c>
    </row>
    <row r="1283">
      <c r="DG1283" s="64">
        <f>($B1283-$B1284)*100</f>
        <v/>
      </c>
      <c r="DH1283" s="64">
        <f>($D1283-$D1284)*100</f>
        <v/>
      </c>
      <c r="DI1283" s="64">
        <f>($E1283-$E1284)*100</f>
        <v/>
      </c>
      <c r="DJ1283" s="64">
        <f>($H1283-$H1284)*100</f>
        <v/>
      </c>
      <c r="DK1283" s="65">
        <f>IFERROR($J1283/$J1284-1,"")</f>
        <v/>
      </c>
      <c r="DL1283" s="64">
        <f>$L1283-$L1284</f>
        <v/>
      </c>
      <c r="DM1283" s="64">
        <f>$K1283-$K1284</f>
        <v/>
      </c>
      <c r="DN1283" s="65">
        <f>IFERROR($N1283/$N1284-1,"")</f>
        <v/>
      </c>
      <c r="DO1283" s="65">
        <f>IFERROR($M1283/$M1284-1,"")</f>
        <v/>
      </c>
      <c r="DP1283" s="65">
        <f>IFERROR($AZ1283/$AZ1284-1,"")</f>
        <v/>
      </c>
      <c r="DQ1283" s="65">
        <f>IFERROR($BA1283/$BA1284-1,"")</f>
        <v/>
      </c>
      <c r="DR1283" s="64">
        <f>$O1283-$O1284</f>
        <v/>
      </c>
      <c r="DS1283" s="64">
        <f>$P1283-$P1284</f>
        <v/>
      </c>
      <c r="DT1283" s="64">
        <f>$Q1283-$Q1284</f>
        <v/>
      </c>
      <c r="DU1283" s="64">
        <f>$S1283-$S1284</f>
        <v/>
      </c>
      <c r="DV1283" s="65">
        <f>IFERROR(AVERAGE($AA1284/$AA1283-1,$AB1284/$AB1283-1,$AC1284/$AC1283-1,$AD1284/$AD1283-1,$AE1284/$AE1283-1,$AG1284/$AG1283-1,$AH1284/$AH1283-1,$AI1284/$AI1283-1,$AJ1284/$AJ1283-1,$AL1284/$AL1283-1,$AM1284/$AM1283-1,$AR1284/$AR1283-1,$AS1284/$AS1283-1,$AT1284/$AT1283-1,$AU1284/$AU1283-1,$AV1284/$AV1283-1,$AW1284/$AW1283-1,$AX1284/$AX1283-1,$AY1284/$AY1283-1),"")</f>
        <v/>
      </c>
      <c r="DW1283" s="66">
        <f>AVERAGE($CB1283,$CC1283,$CD1283,$CE1283,$CF1283,$CG1283,$CH1283,$CI1283,$CJ1283,$CL1283,$CM1283,$CN1283,$CO1283,$CP1283,$CQ1283,$CR1283,$CS1283,$CT1283)</f>
        <v/>
      </c>
      <c r="DX1283" s="66">
        <f>AVERAGE($CB1283,$CC1283,$CM1283,$CE1283,$CP1283)</f>
        <v/>
      </c>
      <c r="DY1283" s="64">
        <f>($DW1283-$DW1284)*100</f>
        <v/>
      </c>
      <c r="DZ1283" s="64">
        <f>($DX1283-$DX1284)*100</f>
        <v/>
      </c>
      <c r="EA1283" s="64">
        <f>($DW1283-$D1283)*100</f>
        <v/>
      </c>
      <c r="EB1283" s="64">
        <f>$Q1283-$O1283</f>
        <v/>
      </c>
      <c r="EC1283" s="67">
        <f>IFERROR($Q1283/$P1283,"")</f>
        <v/>
      </c>
    </row>
    <row r="1284">
      <c r="DG1284" s="64">
        <f>($B1284-$B1285)*100</f>
        <v/>
      </c>
      <c r="DH1284" s="64">
        <f>($D1284-$D1285)*100</f>
        <v/>
      </c>
      <c r="DI1284" s="64">
        <f>($E1284-$E1285)*100</f>
        <v/>
      </c>
      <c r="DJ1284" s="64">
        <f>($H1284-$H1285)*100</f>
        <v/>
      </c>
      <c r="DK1284" s="65">
        <f>IFERROR($J1284/$J1285-1,"")</f>
        <v/>
      </c>
      <c r="DL1284" s="64">
        <f>$L1284-$L1285</f>
        <v/>
      </c>
      <c r="DM1284" s="64">
        <f>$K1284-$K1285</f>
        <v/>
      </c>
      <c r="DN1284" s="65">
        <f>IFERROR($N1284/$N1285-1,"")</f>
        <v/>
      </c>
      <c r="DO1284" s="65">
        <f>IFERROR($M1284/$M1285-1,"")</f>
        <v/>
      </c>
      <c r="DP1284" s="65">
        <f>IFERROR($AZ1284/$AZ1285-1,"")</f>
        <v/>
      </c>
      <c r="DQ1284" s="65">
        <f>IFERROR($BA1284/$BA1285-1,"")</f>
        <v/>
      </c>
      <c r="DR1284" s="64">
        <f>$O1284-$O1285</f>
        <v/>
      </c>
      <c r="DS1284" s="64">
        <f>$P1284-$P1285</f>
        <v/>
      </c>
      <c r="DT1284" s="64">
        <f>$Q1284-$Q1285</f>
        <v/>
      </c>
      <c r="DU1284" s="64">
        <f>$S1284-$S1285</f>
        <v/>
      </c>
      <c r="DV1284" s="65">
        <f>IFERROR(AVERAGE($AA1285/$AA1284-1,$AB1285/$AB1284-1,$AC1285/$AC1284-1,$AD1285/$AD1284-1,$AE1285/$AE1284-1,$AG1285/$AG1284-1,$AH1285/$AH1284-1,$AI1285/$AI1284-1,$AJ1285/$AJ1284-1,$AL1285/$AL1284-1,$AM1285/$AM1284-1,$AR1285/$AR1284-1,$AS1285/$AS1284-1,$AT1285/$AT1284-1,$AU1285/$AU1284-1,$AV1285/$AV1284-1,$AW1285/$AW1284-1,$AX1285/$AX1284-1,$AY1285/$AY1284-1),"")</f>
        <v/>
      </c>
      <c r="DW1284" s="66">
        <f>AVERAGE($CB1284,$CC1284,$CD1284,$CE1284,$CF1284,$CG1284,$CH1284,$CI1284,$CJ1284,$CL1284,$CM1284,$CN1284,$CO1284,$CP1284,$CQ1284,$CR1284,$CS1284,$CT1284)</f>
        <v/>
      </c>
      <c r="DX1284" s="66">
        <f>AVERAGE($CB1284,$CC1284,$CM1284,$CE1284,$CP1284)</f>
        <v/>
      </c>
      <c r="DY1284" s="64">
        <f>($DW1284-$DW1285)*100</f>
        <v/>
      </c>
      <c r="DZ1284" s="64">
        <f>($DX1284-$DX1285)*100</f>
        <v/>
      </c>
      <c r="EA1284" s="64">
        <f>($DW1284-$D1284)*100</f>
        <v/>
      </c>
      <c r="EB1284" s="64">
        <f>$Q1284-$O1284</f>
        <v/>
      </c>
      <c r="EC1284" s="67">
        <f>IFERROR($Q1284/$P1284,"")</f>
        <v/>
      </c>
    </row>
    <row r="1285">
      <c r="DG1285" s="64">
        <f>($B1285-$B1286)*100</f>
        <v/>
      </c>
      <c r="DH1285" s="64">
        <f>($D1285-$D1286)*100</f>
        <v/>
      </c>
      <c r="DI1285" s="64">
        <f>($E1285-$E1286)*100</f>
        <v/>
      </c>
      <c r="DJ1285" s="64">
        <f>($H1285-$H1286)*100</f>
        <v/>
      </c>
      <c r="DK1285" s="65">
        <f>IFERROR($J1285/$J1286-1,"")</f>
        <v/>
      </c>
      <c r="DL1285" s="64">
        <f>$L1285-$L1286</f>
        <v/>
      </c>
      <c r="DM1285" s="64">
        <f>$K1285-$K1286</f>
        <v/>
      </c>
      <c r="DN1285" s="65">
        <f>IFERROR($N1285/$N1286-1,"")</f>
        <v/>
      </c>
      <c r="DO1285" s="65">
        <f>IFERROR($M1285/$M1286-1,"")</f>
        <v/>
      </c>
      <c r="DP1285" s="65">
        <f>IFERROR($AZ1285/$AZ1286-1,"")</f>
        <v/>
      </c>
      <c r="DQ1285" s="65">
        <f>IFERROR($BA1285/$BA1286-1,"")</f>
        <v/>
      </c>
      <c r="DR1285" s="64">
        <f>$O1285-$O1286</f>
        <v/>
      </c>
      <c r="DS1285" s="64">
        <f>$P1285-$P1286</f>
        <v/>
      </c>
      <c r="DT1285" s="64">
        <f>$Q1285-$Q1286</f>
        <v/>
      </c>
      <c r="DU1285" s="64">
        <f>$S1285-$S1286</f>
        <v/>
      </c>
      <c r="DV1285" s="65">
        <f>IFERROR(AVERAGE($AA1286/$AA1285-1,$AB1286/$AB1285-1,$AC1286/$AC1285-1,$AD1286/$AD1285-1,$AE1286/$AE1285-1,$AG1286/$AG1285-1,$AH1286/$AH1285-1,$AI1286/$AI1285-1,$AJ1286/$AJ1285-1,$AL1286/$AL1285-1,$AM1286/$AM1285-1,$AR1286/$AR1285-1,$AS1286/$AS1285-1,$AT1286/$AT1285-1,$AU1286/$AU1285-1,$AV1286/$AV1285-1,$AW1286/$AW1285-1,$AX1286/$AX1285-1,$AY1286/$AY1285-1),"")</f>
        <v/>
      </c>
      <c r="DW1285" s="66">
        <f>AVERAGE($CB1285,$CC1285,$CD1285,$CE1285,$CF1285,$CG1285,$CH1285,$CI1285,$CJ1285,$CL1285,$CM1285,$CN1285,$CO1285,$CP1285,$CQ1285,$CR1285,$CS1285,$CT1285)</f>
        <v/>
      </c>
      <c r="DX1285" s="66">
        <f>AVERAGE($CB1285,$CC1285,$CM1285,$CE1285,$CP1285)</f>
        <v/>
      </c>
      <c r="DY1285" s="64">
        <f>($DW1285-$DW1286)*100</f>
        <v/>
      </c>
      <c r="DZ1285" s="64">
        <f>($DX1285-$DX1286)*100</f>
        <v/>
      </c>
      <c r="EA1285" s="64">
        <f>($DW1285-$D1285)*100</f>
        <v/>
      </c>
      <c r="EB1285" s="64">
        <f>$Q1285-$O1285</f>
        <v/>
      </c>
      <c r="EC1285" s="67">
        <f>IFERROR($Q1285/$P1285,"")</f>
        <v/>
      </c>
    </row>
    <row r="1286">
      <c r="DG1286" s="64">
        <f>($B1286-$B1287)*100</f>
        <v/>
      </c>
      <c r="DH1286" s="64">
        <f>($D1286-$D1287)*100</f>
        <v/>
      </c>
      <c r="DI1286" s="64">
        <f>($E1286-$E1287)*100</f>
        <v/>
      </c>
      <c r="DJ1286" s="64">
        <f>($H1286-$H1287)*100</f>
        <v/>
      </c>
      <c r="DK1286" s="65">
        <f>IFERROR($J1286/$J1287-1,"")</f>
        <v/>
      </c>
      <c r="DL1286" s="64">
        <f>$L1286-$L1287</f>
        <v/>
      </c>
      <c r="DM1286" s="64">
        <f>$K1286-$K1287</f>
        <v/>
      </c>
      <c r="DN1286" s="65">
        <f>IFERROR($N1286/$N1287-1,"")</f>
        <v/>
      </c>
      <c r="DO1286" s="65">
        <f>IFERROR($M1286/$M1287-1,"")</f>
        <v/>
      </c>
      <c r="DP1286" s="65">
        <f>IFERROR($AZ1286/$AZ1287-1,"")</f>
        <v/>
      </c>
      <c r="DQ1286" s="65">
        <f>IFERROR($BA1286/$BA1287-1,"")</f>
        <v/>
      </c>
      <c r="DR1286" s="64">
        <f>$O1286-$O1287</f>
        <v/>
      </c>
      <c r="DS1286" s="64">
        <f>$P1286-$P1287</f>
        <v/>
      </c>
      <c r="DT1286" s="64">
        <f>$Q1286-$Q1287</f>
        <v/>
      </c>
      <c r="DU1286" s="64">
        <f>$S1286-$S1287</f>
        <v/>
      </c>
      <c r="DV1286" s="65">
        <f>IFERROR(AVERAGE($AA1287/$AA1286-1,$AB1287/$AB1286-1,$AC1287/$AC1286-1,$AD1287/$AD1286-1,$AE1287/$AE1286-1,$AG1287/$AG1286-1,$AH1287/$AH1286-1,$AI1287/$AI1286-1,$AJ1287/$AJ1286-1,$AL1287/$AL1286-1,$AM1287/$AM1286-1,$AR1287/$AR1286-1,$AS1287/$AS1286-1,$AT1287/$AT1286-1,$AU1287/$AU1286-1,$AV1287/$AV1286-1,$AW1287/$AW1286-1,$AX1287/$AX1286-1,$AY1287/$AY1286-1),"")</f>
        <v/>
      </c>
      <c r="DW1286" s="66">
        <f>AVERAGE($CB1286,$CC1286,$CD1286,$CE1286,$CF1286,$CG1286,$CH1286,$CI1286,$CJ1286,$CL1286,$CM1286,$CN1286,$CO1286,$CP1286,$CQ1286,$CR1286,$CS1286,$CT1286)</f>
        <v/>
      </c>
      <c r="DX1286" s="66">
        <f>AVERAGE($CB1286,$CC1286,$CM1286,$CE1286,$CP1286)</f>
        <v/>
      </c>
      <c r="DY1286" s="64">
        <f>($DW1286-$DW1287)*100</f>
        <v/>
      </c>
      <c r="DZ1286" s="64">
        <f>($DX1286-$DX1287)*100</f>
        <v/>
      </c>
      <c r="EA1286" s="64">
        <f>($DW1286-$D1286)*100</f>
        <v/>
      </c>
      <c r="EB1286" s="64">
        <f>$Q1286-$O1286</f>
        <v/>
      </c>
      <c r="EC1286" s="67">
        <f>IFERROR($Q1286/$P1286,"")</f>
        <v/>
      </c>
    </row>
    <row r="1287">
      <c r="DG1287" s="64">
        <f>($B1287-$B1288)*100</f>
        <v/>
      </c>
      <c r="DH1287" s="64">
        <f>($D1287-$D1288)*100</f>
        <v/>
      </c>
      <c r="DI1287" s="64">
        <f>($E1287-$E1288)*100</f>
        <v/>
      </c>
      <c r="DJ1287" s="64">
        <f>($H1287-$H1288)*100</f>
        <v/>
      </c>
      <c r="DK1287" s="65">
        <f>IFERROR($J1287/$J1288-1,"")</f>
        <v/>
      </c>
      <c r="DL1287" s="64">
        <f>$L1287-$L1288</f>
        <v/>
      </c>
      <c r="DM1287" s="64">
        <f>$K1287-$K1288</f>
        <v/>
      </c>
      <c r="DN1287" s="65">
        <f>IFERROR($N1287/$N1288-1,"")</f>
        <v/>
      </c>
      <c r="DO1287" s="65">
        <f>IFERROR($M1287/$M1288-1,"")</f>
        <v/>
      </c>
      <c r="DP1287" s="65">
        <f>IFERROR($AZ1287/$AZ1288-1,"")</f>
        <v/>
      </c>
      <c r="DQ1287" s="65">
        <f>IFERROR($BA1287/$BA1288-1,"")</f>
        <v/>
      </c>
      <c r="DR1287" s="64">
        <f>$O1287-$O1288</f>
        <v/>
      </c>
      <c r="DS1287" s="64">
        <f>$P1287-$P1288</f>
        <v/>
      </c>
      <c r="DT1287" s="64">
        <f>$Q1287-$Q1288</f>
        <v/>
      </c>
      <c r="DU1287" s="64">
        <f>$S1287-$S1288</f>
        <v/>
      </c>
      <c r="DV1287" s="65">
        <f>IFERROR(AVERAGE($AA1288/$AA1287-1,$AB1288/$AB1287-1,$AC1288/$AC1287-1,$AD1288/$AD1287-1,$AE1288/$AE1287-1,$AG1288/$AG1287-1,$AH1288/$AH1287-1,$AI1288/$AI1287-1,$AJ1288/$AJ1287-1,$AL1288/$AL1287-1,$AM1288/$AM1287-1,$AR1288/$AR1287-1,$AS1288/$AS1287-1,$AT1288/$AT1287-1,$AU1288/$AU1287-1,$AV1288/$AV1287-1,$AW1288/$AW1287-1,$AX1288/$AX1287-1,$AY1288/$AY1287-1),"")</f>
        <v/>
      </c>
      <c r="DW1287" s="66">
        <f>AVERAGE($CB1287,$CC1287,$CD1287,$CE1287,$CF1287,$CG1287,$CH1287,$CI1287,$CJ1287,$CL1287,$CM1287,$CN1287,$CO1287,$CP1287,$CQ1287,$CR1287,$CS1287,$CT1287)</f>
        <v/>
      </c>
      <c r="DX1287" s="66">
        <f>AVERAGE($CB1287,$CC1287,$CM1287,$CE1287,$CP1287)</f>
        <v/>
      </c>
      <c r="DY1287" s="64">
        <f>($DW1287-$DW1288)*100</f>
        <v/>
      </c>
      <c r="DZ1287" s="64">
        <f>($DX1287-$DX1288)*100</f>
        <v/>
      </c>
      <c r="EA1287" s="64">
        <f>($DW1287-$D1287)*100</f>
        <v/>
      </c>
      <c r="EB1287" s="64">
        <f>$Q1287-$O1287</f>
        <v/>
      </c>
      <c r="EC1287" s="67">
        <f>IFERROR($Q1287/$P1287,"")</f>
        <v/>
      </c>
    </row>
    <row r="1288">
      <c r="DG1288" s="64">
        <f>($B1288-$B1289)*100</f>
        <v/>
      </c>
      <c r="DH1288" s="64">
        <f>($D1288-$D1289)*100</f>
        <v/>
      </c>
      <c r="DI1288" s="64">
        <f>($E1288-$E1289)*100</f>
        <v/>
      </c>
      <c r="DJ1288" s="64">
        <f>($H1288-$H1289)*100</f>
        <v/>
      </c>
      <c r="DK1288" s="65">
        <f>IFERROR($J1288/$J1289-1,"")</f>
        <v/>
      </c>
      <c r="DL1288" s="64">
        <f>$L1288-$L1289</f>
        <v/>
      </c>
      <c r="DM1288" s="64">
        <f>$K1288-$K1289</f>
        <v/>
      </c>
      <c r="DN1288" s="65">
        <f>IFERROR($N1288/$N1289-1,"")</f>
        <v/>
      </c>
      <c r="DO1288" s="65">
        <f>IFERROR($M1288/$M1289-1,"")</f>
        <v/>
      </c>
      <c r="DP1288" s="65">
        <f>IFERROR($AZ1288/$AZ1289-1,"")</f>
        <v/>
      </c>
      <c r="DQ1288" s="65">
        <f>IFERROR($BA1288/$BA1289-1,"")</f>
        <v/>
      </c>
      <c r="DR1288" s="64">
        <f>$O1288-$O1289</f>
        <v/>
      </c>
      <c r="DS1288" s="64">
        <f>$P1288-$P1289</f>
        <v/>
      </c>
      <c r="DT1288" s="64">
        <f>$Q1288-$Q1289</f>
        <v/>
      </c>
      <c r="DU1288" s="64">
        <f>$S1288-$S1289</f>
        <v/>
      </c>
      <c r="DV1288" s="65">
        <f>IFERROR(AVERAGE($AA1289/$AA1288-1,$AB1289/$AB1288-1,$AC1289/$AC1288-1,$AD1289/$AD1288-1,$AE1289/$AE1288-1,$AG1289/$AG1288-1,$AH1289/$AH1288-1,$AI1289/$AI1288-1,$AJ1289/$AJ1288-1,$AL1289/$AL1288-1,$AM1289/$AM1288-1,$AR1289/$AR1288-1,$AS1289/$AS1288-1,$AT1289/$AT1288-1,$AU1289/$AU1288-1,$AV1289/$AV1288-1,$AW1289/$AW1288-1,$AX1289/$AX1288-1,$AY1289/$AY1288-1),"")</f>
        <v/>
      </c>
      <c r="DW1288" s="66">
        <f>AVERAGE($CB1288,$CC1288,$CD1288,$CE1288,$CF1288,$CG1288,$CH1288,$CI1288,$CJ1288,$CL1288,$CM1288,$CN1288,$CO1288,$CP1288,$CQ1288,$CR1288,$CS1288,$CT1288)</f>
        <v/>
      </c>
      <c r="DX1288" s="66">
        <f>AVERAGE($CB1288,$CC1288,$CM1288,$CE1288,$CP1288)</f>
        <v/>
      </c>
      <c r="DY1288" s="64">
        <f>($DW1288-$DW1289)*100</f>
        <v/>
      </c>
      <c r="DZ1288" s="64">
        <f>($DX1288-$DX1289)*100</f>
        <v/>
      </c>
      <c r="EA1288" s="64">
        <f>($DW1288-$D1288)*100</f>
        <v/>
      </c>
      <c r="EB1288" s="64">
        <f>$Q1288-$O1288</f>
        <v/>
      </c>
      <c r="EC1288" s="67">
        <f>IFERROR($Q1288/$P1288,"")</f>
        <v/>
      </c>
    </row>
    <row r="1289">
      <c r="DG1289" s="64">
        <f>($B1289-$B1290)*100</f>
        <v/>
      </c>
      <c r="DH1289" s="64">
        <f>($D1289-$D1290)*100</f>
        <v/>
      </c>
      <c r="DI1289" s="64">
        <f>($E1289-$E1290)*100</f>
        <v/>
      </c>
      <c r="DJ1289" s="64">
        <f>($H1289-$H1290)*100</f>
        <v/>
      </c>
      <c r="DK1289" s="65">
        <f>IFERROR($J1289/$J1290-1,"")</f>
        <v/>
      </c>
      <c r="DL1289" s="64">
        <f>$L1289-$L1290</f>
        <v/>
      </c>
      <c r="DM1289" s="64">
        <f>$K1289-$K1290</f>
        <v/>
      </c>
      <c r="DN1289" s="65">
        <f>IFERROR($N1289/$N1290-1,"")</f>
        <v/>
      </c>
      <c r="DO1289" s="65">
        <f>IFERROR($M1289/$M1290-1,"")</f>
        <v/>
      </c>
      <c r="DP1289" s="65">
        <f>IFERROR($AZ1289/$AZ1290-1,"")</f>
        <v/>
      </c>
      <c r="DQ1289" s="65">
        <f>IFERROR($BA1289/$BA1290-1,"")</f>
        <v/>
      </c>
      <c r="DR1289" s="64">
        <f>$O1289-$O1290</f>
        <v/>
      </c>
      <c r="DS1289" s="64">
        <f>$P1289-$P1290</f>
        <v/>
      </c>
      <c r="DT1289" s="64">
        <f>$Q1289-$Q1290</f>
        <v/>
      </c>
      <c r="DU1289" s="64">
        <f>$S1289-$S1290</f>
        <v/>
      </c>
      <c r="DV1289" s="65">
        <f>IFERROR(AVERAGE($AA1290/$AA1289-1,$AB1290/$AB1289-1,$AC1290/$AC1289-1,$AD1290/$AD1289-1,$AE1290/$AE1289-1,$AG1290/$AG1289-1,$AH1290/$AH1289-1,$AI1290/$AI1289-1,$AJ1290/$AJ1289-1,$AL1290/$AL1289-1,$AM1290/$AM1289-1,$AR1290/$AR1289-1,$AS1290/$AS1289-1,$AT1290/$AT1289-1,$AU1290/$AU1289-1,$AV1290/$AV1289-1,$AW1290/$AW1289-1,$AX1290/$AX1289-1,$AY1290/$AY1289-1),"")</f>
        <v/>
      </c>
      <c r="DW1289" s="66">
        <f>AVERAGE($CB1289,$CC1289,$CD1289,$CE1289,$CF1289,$CG1289,$CH1289,$CI1289,$CJ1289,$CL1289,$CM1289,$CN1289,$CO1289,$CP1289,$CQ1289,$CR1289,$CS1289,$CT1289)</f>
        <v/>
      </c>
      <c r="DX1289" s="66">
        <f>AVERAGE($CB1289,$CC1289,$CM1289,$CE1289,$CP1289)</f>
        <v/>
      </c>
      <c r="DY1289" s="64">
        <f>($DW1289-$DW1290)*100</f>
        <v/>
      </c>
      <c r="DZ1289" s="64">
        <f>($DX1289-$DX1290)*100</f>
        <v/>
      </c>
      <c r="EA1289" s="64">
        <f>($DW1289-$D1289)*100</f>
        <v/>
      </c>
      <c r="EB1289" s="64">
        <f>$Q1289-$O1289</f>
        <v/>
      </c>
      <c r="EC1289" s="67">
        <f>IFERROR($Q1289/$P1289,"")</f>
        <v/>
      </c>
    </row>
    <row r="1290">
      <c r="DG1290" s="64">
        <f>($B1290-$B1291)*100</f>
        <v/>
      </c>
      <c r="DH1290" s="64">
        <f>($D1290-$D1291)*100</f>
        <v/>
      </c>
      <c r="DI1290" s="64">
        <f>($E1290-$E1291)*100</f>
        <v/>
      </c>
      <c r="DJ1290" s="64">
        <f>($H1290-$H1291)*100</f>
        <v/>
      </c>
      <c r="DK1290" s="65">
        <f>IFERROR($J1290/$J1291-1,"")</f>
        <v/>
      </c>
      <c r="DL1290" s="64">
        <f>$L1290-$L1291</f>
        <v/>
      </c>
      <c r="DM1290" s="64">
        <f>$K1290-$K1291</f>
        <v/>
      </c>
      <c r="DN1290" s="65">
        <f>IFERROR($N1290/$N1291-1,"")</f>
        <v/>
      </c>
      <c r="DO1290" s="65">
        <f>IFERROR($M1290/$M1291-1,"")</f>
        <v/>
      </c>
      <c r="DP1290" s="65">
        <f>IFERROR($AZ1290/$AZ1291-1,"")</f>
        <v/>
      </c>
      <c r="DQ1290" s="65">
        <f>IFERROR($BA1290/$BA1291-1,"")</f>
        <v/>
      </c>
      <c r="DR1290" s="64">
        <f>$O1290-$O1291</f>
        <v/>
      </c>
      <c r="DS1290" s="64">
        <f>$P1290-$P1291</f>
        <v/>
      </c>
      <c r="DT1290" s="64">
        <f>$Q1290-$Q1291</f>
        <v/>
      </c>
      <c r="DU1290" s="64">
        <f>$S1290-$S1291</f>
        <v/>
      </c>
      <c r="DV1290" s="65">
        <f>IFERROR(AVERAGE($AA1291/$AA1290-1,$AB1291/$AB1290-1,$AC1291/$AC1290-1,$AD1291/$AD1290-1,$AE1291/$AE1290-1,$AG1291/$AG1290-1,$AH1291/$AH1290-1,$AI1291/$AI1290-1,$AJ1291/$AJ1290-1,$AL1291/$AL1290-1,$AM1291/$AM1290-1,$AR1291/$AR1290-1,$AS1291/$AS1290-1,$AT1291/$AT1290-1,$AU1291/$AU1290-1,$AV1291/$AV1290-1,$AW1291/$AW1290-1,$AX1291/$AX1290-1,$AY1291/$AY1290-1),"")</f>
        <v/>
      </c>
      <c r="DW1290" s="66">
        <f>AVERAGE($CB1290,$CC1290,$CD1290,$CE1290,$CF1290,$CG1290,$CH1290,$CI1290,$CJ1290,$CL1290,$CM1290,$CN1290,$CO1290,$CP1290,$CQ1290,$CR1290,$CS1290,$CT1290)</f>
        <v/>
      </c>
      <c r="DX1290" s="66">
        <f>AVERAGE($CB1290,$CC1290,$CM1290,$CE1290,$CP1290)</f>
        <v/>
      </c>
      <c r="DY1290" s="64">
        <f>($DW1290-$DW1291)*100</f>
        <v/>
      </c>
      <c r="DZ1290" s="64">
        <f>($DX1290-$DX1291)*100</f>
        <v/>
      </c>
      <c r="EA1290" s="64">
        <f>($DW1290-$D1290)*100</f>
        <v/>
      </c>
      <c r="EB1290" s="64">
        <f>$Q1290-$O1290</f>
        <v/>
      </c>
      <c r="EC1290" s="67">
        <f>IFERROR($Q1290/$P1290,"")</f>
        <v/>
      </c>
    </row>
    <row r="1291">
      <c r="DG1291" s="64">
        <f>($B1291-$B1292)*100</f>
        <v/>
      </c>
      <c r="DH1291" s="64">
        <f>($D1291-$D1292)*100</f>
        <v/>
      </c>
      <c r="DI1291" s="64">
        <f>($E1291-$E1292)*100</f>
        <v/>
      </c>
      <c r="DJ1291" s="64">
        <f>($H1291-$H1292)*100</f>
        <v/>
      </c>
      <c r="DK1291" s="65">
        <f>IFERROR($J1291/$J1292-1,"")</f>
        <v/>
      </c>
      <c r="DL1291" s="64">
        <f>$L1291-$L1292</f>
        <v/>
      </c>
      <c r="DM1291" s="64">
        <f>$K1291-$K1292</f>
        <v/>
      </c>
      <c r="DN1291" s="65">
        <f>IFERROR($N1291/$N1292-1,"")</f>
        <v/>
      </c>
      <c r="DO1291" s="65">
        <f>IFERROR($M1291/$M1292-1,"")</f>
        <v/>
      </c>
      <c r="DP1291" s="65">
        <f>IFERROR($AZ1291/$AZ1292-1,"")</f>
        <v/>
      </c>
      <c r="DQ1291" s="65">
        <f>IFERROR($BA1291/$BA1292-1,"")</f>
        <v/>
      </c>
      <c r="DR1291" s="64">
        <f>$O1291-$O1292</f>
        <v/>
      </c>
      <c r="DS1291" s="64">
        <f>$P1291-$P1292</f>
        <v/>
      </c>
      <c r="DT1291" s="64">
        <f>$Q1291-$Q1292</f>
        <v/>
      </c>
      <c r="DU1291" s="64">
        <f>$S1291-$S1292</f>
        <v/>
      </c>
      <c r="DV1291" s="65">
        <f>IFERROR(AVERAGE($AA1292/$AA1291-1,$AB1292/$AB1291-1,$AC1292/$AC1291-1,$AD1292/$AD1291-1,$AE1292/$AE1291-1,$AG1292/$AG1291-1,$AH1292/$AH1291-1,$AI1292/$AI1291-1,$AJ1292/$AJ1291-1,$AL1292/$AL1291-1,$AM1292/$AM1291-1,$AR1292/$AR1291-1,$AS1292/$AS1291-1,$AT1292/$AT1291-1,$AU1292/$AU1291-1,$AV1292/$AV1291-1,$AW1292/$AW1291-1,$AX1292/$AX1291-1,$AY1292/$AY1291-1),"")</f>
        <v/>
      </c>
      <c r="DW1291" s="66">
        <f>AVERAGE($CB1291,$CC1291,$CD1291,$CE1291,$CF1291,$CG1291,$CH1291,$CI1291,$CJ1291,$CL1291,$CM1291,$CN1291,$CO1291,$CP1291,$CQ1291,$CR1291,$CS1291,$CT1291)</f>
        <v/>
      </c>
      <c r="DX1291" s="66">
        <f>AVERAGE($CB1291,$CC1291,$CM1291,$CE1291,$CP1291)</f>
        <v/>
      </c>
      <c r="DY1291" s="64">
        <f>($DW1291-$DW1292)*100</f>
        <v/>
      </c>
      <c r="DZ1291" s="64">
        <f>($DX1291-$DX1292)*100</f>
        <v/>
      </c>
      <c r="EA1291" s="64">
        <f>($DW1291-$D1291)*100</f>
        <v/>
      </c>
      <c r="EB1291" s="64">
        <f>$Q1291-$O1291</f>
        <v/>
      </c>
      <c r="EC1291" s="67">
        <f>IFERROR($Q1291/$P1291,"")</f>
        <v/>
      </c>
    </row>
    <row r="1292">
      <c r="DG1292" s="64">
        <f>($B1292-$B1293)*100</f>
        <v/>
      </c>
      <c r="DH1292" s="64">
        <f>($D1292-$D1293)*100</f>
        <v/>
      </c>
      <c r="DI1292" s="64">
        <f>($E1292-$E1293)*100</f>
        <v/>
      </c>
      <c r="DJ1292" s="64">
        <f>($H1292-$H1293)*100</f>
        <v/>
      </c>
      <c r="DK1292" s="65">
        <f>IFERROR($J1292/$J1293-1,"")</f>
        <v/>
      </c>
      <c r="DL1292" s="64">
        <f>$L1292-$L1293</f>
        <v/>
      </c>
      <c r="DM1292" s="64">
        <f>$K1292-$K1293</f>
        <v/>
      </c>
      <c r="DN1292" s="65">
        <f>IFERROR($N1292/$N1293-1,"")</f>
        <v/>
      </c>
      <c r="DO1292" s="65">
        <f>IFERROR($M1292/$M1293-1,"")</f>
        <v/>
      </c>
      <c r="DP1292" s="65">
        <f>IFERROR($AZ1292/$AZ1293-1,"")</f>
        <v/>
      </c>
      <c r="DQ1292" s="65">
        <f>IFERROR($BA1292/$BA1293-1,"")</f>
        <v/>
      </c>
      <c r="DR1292" s="64">
        <f>$O1292-$O1293</f>
        <v/>
      </c>
      <c r="DS1292" s="64">
        <f>$P1292-$P1293</f>
        <v/>
      </c>
      <c r="DT1292" s="64">
        <f>$Q1292-$Q1293</f>
        <v/>
      </c>
      <c r="DU1292" s="64">
        <f>$S1292-$S1293</f>
        <v/>
      </c>
      <c r="DV1292" s="65">
        <f>IFERROR(AVERAGE($AA1293/$AA1292-1,$AB1293/$AB1292-1,$AC1293/$AC1292-1,$AD1293/$AD1292-1,$AE1293/$AE1292-1,$AG1293/$AG1292-1,$AH1293/$AH1292-1,$AI1293/$AI1292-1,$AJ1293/$AJ1292-1,$AL1293/$AL1292-1,$AM1293/$AM1292-1,$AR1293/$AR1292-1,$AS1293/$AS1292-1,$AT1293/$AT1292-1,$AU1293/$AU1292-1,$AV1293/$AV1292-1,$AW1293/$AW1292-1,$AX1293/$AX1292-1,$AY1293/$AY1292-1),"")</f>
        <v/>
      </c>
      <c r="DW1292" s="66">
        <f>AVERAGE($CB1292,$CC1292,$CD1292,$CE1292,$CF1292,$CG1292,$CH1292,$CI1292,$CJ1292,$CL1292,$CM1292,$CN1292,$CO1292,$CP1292,$CQ1292,$CR1292,$CS1292,$CT1292)</f>
        <v/>
      </c>
      <c r="DX1292" s="66">
        <f>AVERAGE($CB1292,$CC1292,$CM1292,$CE1292,$CP1292)</f>
        <v/>
      </c>
      <c r="DY1292" s="64">
        <f>($DW1292-$DW1293)*100</f>
        <v/>
      </c>
      <c r="DZ1292" s="64">
        <f>($DX1292-$DX1293)*100</f>
        <v/>
      </c>
      <c r="EA1292" s="64">
        <f>($DW1292-$D1292)*100</f>
        <v/>
      </c>
      <c r="EB1292" s="64">
        <f>$Q1292-$O1292</f>
        <v/>
      </c>
      <c r="EC1292" s="67">
        <f>IFERROR($Q1292/$P1292,"")</f>
        <v/>
      </c>
    </row>
    <row r="1293">
      <c r="DG1293" s="64">
        <f>($B1293-$B1294)*100</f>
        <v/>
      </c>
      <c r="DH1293" s="64">
        <f>($D1293-$D1294)*100</f>
        <v/>
      </c>
      <c r="DI1293" s="64">
        <f>($E1293-$E1294)*100</f>
        <v/>
      </c>
      <c r="DJ1293" s="64">
        <f>($H1293-$H1294)*100</f>
        <v/>
      </c>
      <c r="DK1293" s="65">
        <f>IFERROR($J1293/$J1294-1,"")</f>
        <v/>
      </c>
      <c r="DL1293" s="64">
        <f>$L1293-$L1294</f>
        <v/>
      </c>
      <c r="DM1293" s="64">
        <f>$K1293-$K1294</f>
        <v/>
      </c>
      <c r="DN1293" s="65">
        <f>IFERROR($N1293/$N1294-1,"")</f>
        <v/>
      </c>
      <c r="DO1293" s="65">
        <f>IFERROR($M1293/$M1294-1,"")</f>
        <v/>
      </c>
      <c r="DP1293" s="65">
        <f>IFERROR($AZ1293/$AZ1294-1,"")</f>
        <v/>
      </c>
      <c r="DQ1293" s="65">
        <f>IFERROR($BA1293/$BA1294-1,"")</f>
        <v/>
      </c>
      <c r="DR1293" s="64">
        <f>$O1293-$O1294</f>
        <v/>
      </c>
      <c r="DS1293" s="64">
        <f>$P1293-$P1294</f>
        <v/>
      </c>
      <c r="DT1293" s="64">
        <f>$Q1293-$Q1294</f>
        <v/>
      </c>
      <c r="DU1293" s="64">
        <f>$S1293-$S1294</f>
        <v/>
      </c>
      <c r="DV1293" s="65">
        <f>IFERROR(AVERAGE($AA1294/$AA1293-1,$AB1294/$AB1293-1,$AC1294/$AC1293-1,$AD1294/$AD1293-1,$AE1294/$AE1293-1,$AG1294/$AG1293-1,$AH1294/$AH1293-1,$AI1294/$AI1293-1,$AJ1294/$AJ1293-1,$AL1294/$AL1293-1,$AM1294/$AM1293-1,$AR1294/$AR1293-1,$AS1294/$AS1293-1,$AT1294/$AT1293-1,$AU1294/$AU1293-1,$AV1294/$AV1293-1,$AW1294/$AW1293-1,$AX1294/$AX1293-1,$AY1294/$AY1293-1),"")</f>
        <v/>
      </c>
      <c r="DW1293" s="66">
        <f>AVERAGE($CB1293,$CC1293,$CD1293,$CE1293,$CF1293,$CG1293,$CH1293,$CI1293,$CJ1293,$CL1293,$CM1293,$CN1293,$CO1293,$CP1293,$CQ1293,$CR1293,$CS1293,$CT1293)</f>
        <v/>
      </c>
      <c r="DX1293" s="66">
        <f>AVERAGE($CB1293,$CC1293,$CM1293,$CE1293,$CP1293)</f>
        <v/>
      </c>
      <c r="DY1293" s="64">
        <f>($DW1293-$DW1294)*100</f>
        <v/>
      </c>
      <c r="DZ1293" s="64">
        <f>($DX1293-$DX1294)*100</f>
        <v/>
      </c>
      <c r="EA1293" s="64">
        <f>($DW1293-$D1293)*100</f>
        <v/>
      </c>
      <c r="EB1293" s="64">
        <f>$Q1293-$O1293</f>
        <v/>
      </c>
      <c r="EC1293" s="67">
        <f>IFERROR($Q1293/$P1293,"")</f>
        <v/>
      </c>
    </row>
    <row r="1294">
      <c r="DG1294" s="64">
        <f>($B1294-$B1295)*100</f>
        <v/>
      </c>
      <c r="DH1294" s="64">
        <f>($D1294-$D1295)*100</f>
        <v/>
      </c>
      <c r="DI1294" s="64">
        <f>($E1294-$E1295)*100</f>
        <v/>
      </c>
      <c r="DJ1294" s="64">
        <f>($H1294-$H1295)*100</f>
        <v/>
      </c>
      <c r="DK1294" s="65">
        <f>IFERROR($J1294/$J1295-1,"")</f>
        <v/>
      </c>
      <c r="DL1294" s="64">
        <f>$L1294-$L1295</f>
        <v/>
      </c>
      <c r="DM1294" s="64">
        <f>$K1294-$K1295</f>
        <v/>
      </c>
      <c r="DN1294" s="65">
        <f>IFERROR($N1294/$N1295-1,"")</f>
        <v/>
      </c>
      <c r="DO1294" s="65">
        <f>IFERROR($M1294/$M1295-1,"")</f>
        <v/>
      </c>
      <c r="DP1294" s="65">
        <f>IFERROR($AZ1294/$AZ1295-1,"")</f>
        <v/>
      </c>
      <c r="DQ1294" s="65">
        <f>IFERROR($BA1294/$BA1295-1,"")</f>
        <v/>
      </c>
      <c r="DR1294" s="64">
        <f>$O1294-$O1295</f>
        <v/>
      </c>
      <c r="DS1294" s="64">
        <f>$P1294-$P1295</f>
        <v/>
      </c>
      <c r="DT1294" s="64">
        <f>$Q1294-$Q1295</f>
        <v/>
      </c>
      <c r="DU1294" s="64">
        <f>$S1294-$S1295</f>
        <v/>
      </c>
      <c r="DV1294" s="65">
        <f>IFERROR(AVERAGE($AA1295/$AA1294-1,$AB1295/$AB1294-1,$AC1295/$AC1294-1,$AD1295/$AD1294-1,$AE1295/$AE1294-1,$AG1295/$AG1294-1,$AH1295/$AH1294-1,$AI1295/$AI1294-1,$AJ1295/$AJ1294-1,$AL1295/$AL1294-1,$AM1295/$AM1294-1,$AR1295/$AR1294-1,$AS1295/$AS1294-1,$AT1295/$AT1294-1,$AU1295/$AU1294-1,$AV1295/$AV1294-1,$AW1295/$AW1294-1,$AX1295/$AX1294-1,$AY1295/$AY1294-1),"")</f>
        <v/>
      </c>
      <c r="DW1294" s="66">
        <f>AVERAGE($CB1294,$CC1294,$CD1294,$CE1294,$CF1294,$CG1294,$CH1294,$CI1294,$CJ1294,$CL1294,$CM1294,$CN1294,$CO1294,$CP1294,$CQ1294,$CR1294,$CS1294,$CT1294)</f>
        <v/>
      </c>
      <c r="DX1294" s="66">
        <f>AVERAGE($CB1294,$CC1294,$CM1294,$CE1294,$CP1294)</f>
        <v/>
      </c>
      <c r="DY1294" s="64">
        <f>($DW1294-$DW1295)*100</f>
        <v/>
      </c>
      <c r="DZ1294" s="64">
        <f>($DX1294-$DX1295)*100</f>
        <v/>
      </c>
      <c r="EA1294" s="64">
        <f>($DW1294-$D1294)*100</f>
        <v/>
      </c>
      <c r="EB1294" s="64">
        <f>$Q1294-$O1294</f>
        <v/>
      </c>
      <c r="EC1294" s="67">
        <f>IFERROR($Q1294/$P1294,"")</f>
        <v/>
      </c>
    </row>
    <row r="1295">
      <c r="DG1295" s="64">
        <f>($B1295-$B1296)*100</f>
        <v/>
      </c>
      <c r="DH1295" s="64">
        <f>($D1295-$D1296)*100</f>
        <v/>
      </c>
      <c r="DI1295" s="64">
        <f>($E1295-$E1296)*100</f>
        <v/>
      </c>
      <c r="DJ1295" s="64">
        <f>($H1295-$H1296)*100</f>
        <v/>
      </c>
      <c r="DK1295" s="65">
        <f>IFERROR($J1295/$J1296-1,"")</f>
        <v/>
      </c>
      <c r="DL1295" s="64">
        <f>$L1295-$L1296</f>
        <v/>
      </c>
      <c r="DM1295" s="64">
        <f>$K1295-$K1296</f>
        <v/>
      </c>
      <c r="DN1295" s="65">
        <f>IFERROR($N1295/$N1296-1,"")</f>
        <v/>
      </c>
      <c r="DO1295" s="65">
        <f>IFERROR($M1295/$M1296-1,"")</f>
        <v/>
      </c>
      <c r="DP1295" s="65">
        <f>IFERROR($AZ1295/$AZ1296-1,"")</f>
        <v/>
      </c>
      <c r="DQ1295" s="65">
        <f>IFERROR($BA1295/$BA1296-1,"")</f>
        <v/>
      </c>
      <c r="DR1295" s="64">
        <f>$O1295-$O1296</f>
        <v/>
      </c>
      <c r="DS1295" s="64">
        <f>$P1295-$P1296</f>
        <v/>
      </c>
      <c r="DT1295" s="64">
        <f>$Q1295-$Q1296</f>
        <v/>
      </c>
      <c r="DU1295" s="64">
        <f>$S1295-$S1296</f>
        <v/>
      </c>
      <c r="DV1295" s="65">
        <f>IFERROR(AVERAGE($AA1296/$AA1295-1,$AB1296/$AB1295-1,$AC1296/$AC1295-1,$AD1296/$AD1295-1,$AE1296/$AE1295-1,$AG1296/$AG1295-1,$AH1296/$AH1295-1,$AI1296/$AI1295-1,$AJ1296/$AJ1295-1,$AL1296/$AL1295-1,$AM1296/$AM1295-1,$AR1296/$AR1295-1,$AS1296/$AS1295-1,$AT1296/$AT1295-1,$AU1296/$AU1295-1,$AV1296/$AV1295-1,$AW1296/$AW1295-1,$AX1296/$AX1295-1,$AY1296/$AY1295-1),"")</f>
        <v/>
      </c>
      <c r="DW1295" s="66">
        <f>AVERAGE($CB1295,$CC1295,$CD1295,$CE1295,$CF1295,$CG1295,$CH1295,$CI1295,$CJ1295,$CL1295,$CM1295,$CN1295,$CO1295,$CP1295,$CQ1295,$CR1295,$CS1295,$CT1295)</f>
        <v/>
      </c>
      <c r="DX1295" s="66">
        <f>AVERAGE($CB1295,$CC1295,$CM1295,$CE1295,$CP1295)</f>
        <v/>
      </c>
      <c r="DY1295" s="64">
        <f>($DW1295-$DW1296)*100</f>
        <v/>
      </c>
      <c r="DZ1295" s="64">
        <f>($DX1295-$DX1296)*100</f>
        <v/>
      </c>
      <c r="EA1295" s="64">
        <f>($DW1295-$D1295)*100</f>
        <v/>
      </c>
      <c r="EB1295" s="64">
        <f>$Q1295-$O1295</f>
        <v/>
      </c>
      <c r="EC1295" s="67">
        <f>IFERROR($Q1295/$P1295,"")</f>
        <v/>
      </c>
    </row>
    <row r="1296">
      <c r="DG1296" s="64">
        <f>($B1296-$B1297)*100</f>
        <v/>
      </c>
      <c r="DH1296" s="64">
        <f>($D1296-$D1297)*100</f>
        <v/>
      </c>
      <c r="DI1296" s="64">
        <f>($E1296-$E1297)*100</f>
        <v/>
      </c>
      <c r="DJ1296" s="64">
        <f>($H1296-$H1297)*100</f>
        <v/>
      </c>
      <c r="DK1296" s="65">
        <f>IFERROR($J1296/$J1297-1,"")</f>
        <v/>
      </c>
      <c r="DL1296" s="64">
        <f>$L1296-$L1297</f>
        <v/>
      </c>
      <c r="DM1296" s="64">
        <f>$K1296-$K1297</f>
        <v/>
      </c>
      <c r="DN1296" s="65">
        <f>IFERROR($N1296/$N1297-1,"")</f>
        <v/>
      </c>
      <c r="DO1296" s="65">
        <f>IFERROR($M1296/$M1297-1,"")</f>
        <v/>
      </c>
      <c r="DP1296" s="65">
        <f>IFERROR($AZ1296/$AZ1297-1,"")</f>
        <v/>
      </c>
      <c r="DQ1296" s="65">
        <f>IFERROR($BA1296/$BA1297-1,"")</f>
        <v/>
      </c>
      <c r="DR1296" s="64">
        <f>$O1296-$O1297</f>
        <v/>
      </c>
      <c r="DS1296" s="64">
        <f>$P1296-$P1297</f>
        <v/>
      </c>
      <c r="DT1296" s="64">
        <f>$Q1296-$Q1297</f>
        <v/>
      </c>
      <c r="DU1296" s="64">
        <f>$S1296-$S1297</f>
        <v/>
      </c>
      <c r="DV1296" s="65">
        <f>IFERROR(AVERAGE($AA1297/$AA1296-1,$AB1297/$AB1296-1,$AC1297/$AC1296-1,$AD1297/$AD1296-1,$AE1297/$AE1296-1,$AG1297/$AG1296-1,$AH1297/$AH1296-1,$AI1297/$AI1296-1,$AJ1297/$AJ1296-1,$AL1297/$AL1296-1,$AM1297/$AM1296-1,$AR1297/$AR1296-1,$AS1297/$AS1296-1,$AT1297/$AT1296-1,$AU1297/$AU1296-1,$AV1297/$AV1296-1,$AW1297/$AW1296-1,$AX1297/$AX1296-1,$AY1297/$AY1296-1),"")</f>
        <v/>
      </c>
      <c r="DW1296" s="66">
        <f>AVERAGE($CB1296,$CC1296,$CD1296,$CE1296,$CF1296,$CG1296,$CH1296,$CI1296,$CJ1296,$CL1296,$CM1296,$CN1296,$CO1296,$CP1296,$CQ1296,$CR1296,$CS1296,$CT1296)</f>
        <v/>
      </c>
      <c r="DX1296" s="66">
        <f>AVERAGE($CB1296,$CC1296,$CM1296,$CE1296,$CP1296)</f>
        <v/>
      </c>
      <c r="DY1296" s="64">
        <f>($DW1296-$DW1297)*100</f>
        <v/>
      </c>
      <c r="DZ1296" s="64">
        <f>($DX1296-$DX1297)*100</f>
        <v/>
      </c>
      <c r="EA1296" s="64">
        <f>($DW1296-$D1296)*100</f>
        <v/>
      </c>
      <c r="EB1296" s="64">
        <f>$Q1296-$O1296</f>
        <v/>
      </c>
      <c r="EC1296" s="67">
        <f>IFERROR($Q1296/$P1296,"")</f>
        <v/>
      </c>
    </row>
    <row r="1297">
      <c r="DG1297" s="64">
        <f>($B1297-$B1298)*100</f>
        <v/>
      </c>
      <c r="DH1297" s="64">
        <f>($D1297-$D1298)*100</f>
        <v/>
      </c>
      <c r="DI1297" s="64">
        <f>($E1297-$E1298)*100</f>
        <v/>
      </c>
      <c r="DJ1297" s="64">
        <f>($H1297-$H1298)*100</f>
        <v/>
      </c>
      <c r="DK1297" s="65">
        <f>IFERROR($J1297/$J1298-1,"")</f>
        <v/>
      </c>
      <c r="DL1297" s="64">
        <f>$L1297-$L1298</f>
        <v/>
      </c>
      <c r="DM1297" s="64">
        <f>$K1297-$K1298</f>
        <v/>
      </c>
      <c r="DN1297" s="65">
        <f>IFERROR($N1297/$N1298-1,"")</f>
        <v/>
      </c>
      <c r="DO1297" s="65">
        <f>IFERROR($M1297/$M1298-1,"")</f>
        <v/>
      </c>
      <c r="DP1297" s="65">
        <f>IFERROR($AZ1297/$AZ1298-1,"")</f>
        <v/>
      </c>
      <c r="DQ1297" s="65">
        <f>IFERROR($BA1297/$BA1298-1,"")</f>
        <v/>
      </c>
      <c r="DR1297" s="64">
        <f>$O1297-$O1298</f>
        <v/>
      </c>
      <c r="DS1297" s="64">
        <f>$P1297-$P1298</f>
        <v/>
      </c>
      <c r="DT1297" s="64">
        <f>$Q1297-$Q1298</f>
        <v/>
      </c>
      <c r="DU1297" s="64">
        <f>$S1297-$S1298</f>
        <v/>
      </c>
      <c r="DV1297" s="65">
        <f>IFERROR(AVERAGE($AA1298/$AA1297-1,$AB1298/$AB1297-1,$AC1298/$AC1297-1,$AD1298/$AD1297-1,$AE1298/$AE1297-1,$AG1298/$AG1297-1,$AH1298/$AH1297-1,$AI1298/$AI1297-1,$AJ1298/$AJ1297-1,$AL1298/$AL1297-1,$AM1298/$AM1297-1,$AR1298/$AR1297-1,$AS1298/$AS1297-1,$AT1298/$AT1297-1,$AU1298/$AU1297-1,$AV1298/$AV1297-1,$AW1298/$AW1297-1,$AX1298/$AX1297-1,$AY1298/$AY1297-1),"")</f>
        <v/>
      </c>
      <c r="DW1297" s="66">
        <f>AVERAGE($CB1297,$CC1297,$CD1297,$CE1297,$CF1297,$CG1297,$CH1297,$CI1297,$CJ1297,$CL1297,$CM1297,$CN1297,$CO1297,$CP1297,$CQ1297,$CR1297,$CS1297,$CT1297)</f>
        <v/>
      </c>
      <c r="DX1297" s="66">
        <f>AVERAGE($CB1297,$CC1297,$CM1297,$CE1297,$CP1297)</f>
        <v/>
      </c>
      <c r="DY1297" s="64">
        <f>($DW1297-$DW1298)*100</f>
        <v/>
      </c>
      <c r="DZ1297" s="64">
        <f>($DX1297-$DX1298)*100</f>
        <v/>
      </c>
      <c r="EA1297" s="64">
        <f>($DW1297-$D1297)*100</f>
        <v/>
      </c>
      <c r="EB1297" s="64">
        <f>$Q1297-$O1297</f>
        <v/>
      </c>
      <c r="EC1297" s="67">
        <f>IFERROR($Q1297/$P1297,"")</f>
        <v/>
      </c>
    </row>
    <row r="1298">
      <c r="DG1298" s="64">
        <f>($B1298-$B1299)*100</f>
        <v/>
      </c>
      <c r="DH1298" s="64">
        <f>($D1298-$D1299)*100</f>
        <v/>
      </c>
      <c r="DI1298" s="64">
        <f>($E1298-$E1299)*100</f>
        <v/>
      </c>
      <c r="DJ1298" s="64">
        <f>($H1298-$H1299)*100</f>
        <v/>
      </c>
      <c r="DK1298" s="65">
        <f>IFERROR($J1298/$J1299-1,"")</f>
        <v/>
      </c>
      <c r="DL1298" s="64">
        <f>$L1298-$L1299</f>
        <v/>
      </c>
      <c r="DM1298" s="64">
        <f>$K1298-$K1299</f>
        <v/>
      </c>
      <c r="DN1298" s="65">
        <f>IFERROR($N1298/$N1299-1,"")</f>
        <v/>
      </c>
      <c r="DO1298" s="65">
        <f>IFERROR($M1298/$M1299-1,"")</f>
        <v/>
      </c>
      <c r="DP1298" s="65">
        <f>IFERROR($AZ1298/$AZ1299-1,"")</f>
        <v/>
      </c>
      <c r="DQ1298" s="65">
        <f>IFERROR($BA1298/$BA1299-1,"")</f>
        <v/>
      </c>
      <c r="DR1298" s="64">
        <f>$O1298-$O1299</f>
        <v/>
      </c>
      <c r="DS1298" s="64">
        <f>$P1298-$P1299</f>
        <v/>
      </c>
      <c r="DT1298" s="64">
        <f>$Q1298-$Q1299</f>
        <v/>
      </c>
      <c r="DU1298" s="64">
        <f>$S1298-$S1299</f>
        <v/>
      </c>
      <c r="DV1298" s="65">
        <f>IFERROR(AVERAGE($AA1299/$AA1298-1,$AB1299/$AB1298-1,$AC1299/$AC1298-1,$AD1299/$AD1298-1,$AE1299/$AE1298-1,$AG1299/$AG1298-1,$AH1299/$AH1298-1,$AI1299/$AI1298-1,$AJ1299/$AJ1298-1,$AL1299/$AL1298-1,$AM1299/$AM1298-1,$AR1299/$AR1298-1,$AS1299/$AS1298-1,$AT1299/$AT1298-1,$AU1299/$AU1298-1,$AV1299/$AV1298-1,$AW1299/$AW1298-1,$AX1299/$AX1298-1,$AY1299/$AY1298-1),"")</f>
        <v/>
      </c>
      <c r="DW1298" s="66">
        <f>AVERAGE($CB1298,$CC1298,$CD1298,$CE1298,$CF1298,$CG1298,$CH1298,$CI1298,$CJ1298,$CL1298,$CM1298,$CN1298,$CO1298,$CP1298,$CQ1298,$CR1298,$CS1298,$CT1298)</f>
        <v/>
      </c>
      <c r="DX1298" s="66">
        <f>AVERAGE($CB1298,$CC1298,$CM1298,$CE1298,$CP1298)</f>
        <v/>
      </c>
      <c r="DY1298" s="64">
        <f>($DW1298-$DW1299)*100</f>
        <v/>
      </c>
      <c r="DZ1298" s="64">
        <f>($DX1298-$DX1299)*100</f>
        <v/>
      </c>
      <c r="EA1298" s="64">
        <f>($DW1298-$D1298)*100</f>
        <v/>
      </c>
      <c r="EB1298" s="64">
        <f>$Q1298-$O1298</f>
        <v/>
      </c>
      <c r="EC1298" s="67">
        <f>IFERROR($Q1298/$P1298,"")</f>
        <v/>
      </c>
    </row>
    <row r="1299">
      <c r="DG1299" s="64">
        <f>($B1299-$B1300)*100</f>
        <v/>
      </c>
      <c r="DH1299" s="64">
        <f>($D1299-$D1300)*100</f>
        <v/>
      </c>
      <c r="DI1299" s="64">
        <f>($E1299-$E1300)*100</f>
        <v/>
      </c>
      <c r="DJ1299" s="64">
        <f>($H1299-$H1300)*100</f>
        <v/>
      </c>
      <c r="DK1299" s="65">
        <f>IFERROR($J1299/$J1300-1,"")</f>
        <v/>
      </c>
      <c r="DL1299" s="64">
        <f>$L1299-$L1300</f>
        <v/>
      </c>
      <c r="DM1299" s="64">
        <f>$K1299-$K1300</f>
        <v/>
      </c>
      <c r="DN1299" s="65">
        <f>IFERROR($N1299/$N1300-1,"")</f>
        <v/>
      </c>
      <c r="DO1299" s="65">
        <f>IFERROR($M1299/$M1300-1,"")</f>
        <v/>
      </c>
      <c r="DP1299" s="65">
        <f>IFERROR($AZ1299/$AZ1300-1,"")</f>
        <v/>
      </c>
      <c r="DQ1299" s="65">
        <f>IFERROR($BA1299/$BA1300-1,"")</f>
        <v/>
      </c>
      <c r="DR1299" s="64">
        <f>$O1299-$O1300</f>
        <v/>
      </c>
      <c r="DS1299" s="64">
        <f>$P1299-$P1300</f>
        <v/>
      </c>
      <c r="DT1299" s="64">
        <f>$Q1299-$Q1300</f>
        <v/>
      </c>
      <c r="DU1299" s="64">
        <f>$S1299-$S1300</f>
        <v/>
      </c>
      <c r="DV1299" s="65">
        <f>IFERROR(AVERAGE($AA1300/$AA1299-1,$AB1300/$AB1299-1,$AC1300/$AC1299-1,$AD1300/$AD1299-1,$AE1300/$AE1299-1,$AG1300/$AG1299-1,$AH1300/$AH1299-1,$AI1300/$AI1299-1,$AJ1300/$AJ1299-1,$AL1300/$AL1299-1,$AM1300/$AM1299-1,$AR1300/$AR1299-1,$AS1300/$AS1299-1,$AT1300/$AT1299-1,$AU1300/$AU1299-1,$AV1300/$AV1299-1,$AW1300/$AW1299-1,$AX1300/$AX1299-1,$AY1300/$AY1299-1),"")</f>
        <v/>
      </c>
      <c r="DW1299" s="66">
        <f>AVERAGE($CB1299,$CC1299,$CD1299,$CE1299,$CF1299,$CG1299,$CH1299,$CI1299,$CJ1299,$CL1299,$CM1299,$CN1299,$CO1299,$CP1299,$CQ1299,$CR1299,$CS1299,$CT1299)</f>
        <v/>
      </c>
      <c r="DX1299" s="66">
        <f>AVERAGE($CB1299,$CC1299,$CM1299,$CE1299,$CP1299)</f>
        <v/>
      </c>
      <c r="DY1299" s="64">
        <f>($DW1299-$DW1300)*100</f>
        <v/>
      </c>
      <c r="DZ1299" s="64">
        <f>($DX1299-$DX1300)*100</f>
        <v/>
      </c>
      <c r="EA1299" s="64">
        <f>($DW1299-$D1299)*100</f>
        <v/>
      </c>
      <c r="EB1299" s="64">
        <f>$Q1299-$O1299</f>
        <v/>
      </c>
      <c r="EC1299" s="67">
        <f>IFERROR($Q1299/$P1299,"")</f>
        <v/>
      </c>
    </row>
    <row r="1300">
      <c r="DG1300" s="64">
        <f>($B1300-$B1301)*100</f>
        <v/>
      </c>
      <c r="DH1300" s="64">
        <f>($D1300-$D1301)*100</f>
        <v/>
      </c>
      <c r="DI1300" s="64">
        <f>($E1300-$E1301)*100</f>
        <v/>
      </c>
      <c r="DJ1300" s="64">
        <f>($H1300-$H1301)*100</f>
        <v/>
      </c>
      <c r="DK1300" s="65">
        <f>IFERROR($J1300/$J1301-1,"")</f>
        <v/>
      </c>
      <c r="DL1300" s="64">
        <f>$L1300-$L1301</f>
        <v/>
      </c>
      <c r="DM1300" s="64">
        <f>$K1300-$K1301</f>
        <v/>
      </c>
      <c r="DN1300" s="65">
        <f>IFERROR($N1300/$N1301-1,"")</f>
        <v/>
      </c>
      <c r="DO1300" s="65">
        <f>IFERROR($M1300/$M1301-1,"")</f>
        <v/>
      </c>
      <c r="DP1300" s="65">
        <f>IFERROR($AZ1300/$AZ1301-1,"")</f>
        <v/>
      </c>
      <c r="DQ1300" s="65">
        <f>IFERROR($BA1300/$BA1301-1,"")</f>
        <v/>
      </c>
      <c r="DR1300" s="64">
        <f>$O1300-$O1301</f>
        <v/>
      </c>
      <c r="DS1300" s="64">
        <f>$P1300-$P1301</f>
        <v/>
      </c>
      <c r="DT1300" s="64">
        <f>$Q1300-$Q1301</f>
        <v/>
      </c>
      <c r="DU1300" s="64">
        <f>$S1300-$S1301</f>
        <v/>
      </c>
      <c r="DV1300" s="65">
        <f>IFERROR(AVERAGE($AA1301/$AA1300-1,$AB1301/$AB1300-1,$AC1301/$AC1300-1,$AD1301/$AD1300-1,$AE1301/$AE1300-1,$AG1301/$AG1300-1,$AH1301/$AH1300-1,$AI1301/$AI1300-1,$AJ1301/$AJ1300-1,$AL1301/$AL1300-1,$AM1301/$AM1300-1,$AR1301/$AR1300-1,$AS1301/$AS1300-1,$AT1301/$AT1300-1,$AU1301/$AU1300-1,$AV1301/$AV1300-1,$AW1301/$AW1300-1,$AX1301/$AX1300-1,$AY1301/$AY1300-1),"")</f>
        <v/>
      </c>
      <c r="DW1300" s="66">
        <f>AVERAGE($CB1300,$CC1300,$CD1300,$CE1300,$CF1300,$CG1300,$CH1300,$CI1300,$CJ1300,$CL1300,$CM1300,$CN1300,$CO1300,$CP1300,$CQ1300,$CR1300,$CS1300,$CT1300)</f>
        <v/>
      </c>
      <c r="DX1300" s="66">
        <f>AVERAGE($CB1300,$CC1300,$CM1300,$CE1300,$CP1300)</f>
        <v/>
      </c>
      <c r="DY1300" s="64">
        <f>($DW1300-$DW1301)*100</f>
        <v/>
      </c>
      <c r="DZ1300" s="64">
        <f>($DX1300-$DX1301)*100</f>
        <v/>
      </c>
      <c r="EA1300" s="64">
        <f>($DW1300-$D1300)*100</f>
        <v/>
      </c>
      <c r="EB1300" s="64">
        <f>$Q1300-$O1300</f>
        <v/>
      </c>
      <c r="EC1300" s="67">
        <f>IFERROR($Q1300/$P1300,"")</f>
        <v/>
      </c>
    </row>
    <row r="1301">
      <c r="DG1301" s="64">
        <f>($B1301-$B1302)*100</f>
        <v/>
      </c>
      <c r="DH1301" s="64">
        <f>($D1301-$D1302)*100</f>
        <v/>
      </c>
      <c r="DI1301" s="64">
        <f>($E1301-$E1302)*100</f>
        <v/>
      </c>
      <c r="DJ1301" s="64">
        <f>($H1301-$H1302)*100</f>
        <v/>
      </c>
      <c r="DK1301" s="65">
        <f>IFERROR($J1301/$J1302-1,"")</f>
        <v/>
      </c>
      <c r="DL1301" s="64">
        <f>$L1301-$L1302</f>
        <v/>
      </c>
      <c r="DM1301" s="64">
        <f>$K1301-$K1302</f>
        <v/>
      </c>
      <c r="DN1301" s="65">
        <f>IFERROR($N1301/$N1302-1,"")</f>
        <v/>
      </c>
      <c r="DO1301" s="65">
        <f>IFERROR($M1301/$M1302-1,"")</f>
        <v/>
      </c>
      <c r="DP1301" s="65">
        <f>IFERROR($AZ1301/$AZ1302-1,"")</f>
        <v/>
      </c>
      <c r="DQ1301" s="65">
        <f>IFERROR($BA1301/$BA1302-1,"")</f>
        <v/>
      </c>
      <c r="DR1301" s="64">
        <f>$O1301-$O1302</f>
        <v/>
      </c>
      <c r="DS1301" s="64">
        <f>$P1301-$P1302</f>
        <v/>
      </c>
      <c r="DT1301" s="64">
        <f>$Q1301-$Q1302</f>
        <v/>
      </c>
      <c r="DU1301" s="64">
        <f>$S1301-$S1302</f>
        <v/>
      </c>
      <c r="DV1301" s="65">
        <f>IFERROR(AVERAGE($AA1302/$AA1301-1,$AB1302/$AB1301-1,$AC1302/$AC1301-1,$AD1302/$AD1301-1,$AE1302/$AE1301-1,$AG1302/$AG1301-1,$AH1302/$AH1301-1,$AI1302/$AI1301-1,$AJ1302/$AJ1301-1,$AL1302/$AL1301-1,$AM1302/$AM1301-1,$AR1302/$AR1301-1,$AS1302/$AS1301-1,$AT1302/$AT1301-1,$AU1302/$AU1301-1,$AV1302/$AV1301-1,$AW1302/$AW1301-1,$AX1302/$AX1301-1,$AY1302/$AY1301-1),"")</f>
        <v/>
      </c>
      <c r="DW1301" s="66">
        <f>AVERAGE($CB1301,$CC1301,$CD1301,$CE1301,$CF1301,$CG1301,$CH1301,$CI1301,$CJ1301,$CL1301,$CM1301,$CN1301,$CO1301,$CP1301,$CQ1301,$CR1301,$CS1301,$CT1301)</f>
        <v/>
      </c>
      <c r="DX1301" s="66">
        <f>AVERAGE($CB1301,$CC1301,$CM1301,$CE1301,$CP1301)</f>
        <v/>
      </c>
      <c r="DY1301" s="64">
        <f>($DW1301-$DW1302)*100</f>
        <v/>
      </c>
      <c r="DZ1301" s="64">
        <f>($DX1301-$DX1302)*100</f>
        <v/>
      </c>
      <c r="EA1301" s="64">
        <f>($DW1301-$D1301)*100</f>
        <v/>
      </c>
      <c r="EB1301" s="64">
        <f>$Q1301-$O1301</f>
        <v/>
      </c>
      <c r="EC1301" s="67">
        <f>IFERROR($Q1301/$P1301,"")</f>
        <v/>
      </c>
    </row>
    <row r="1302">
      <c r="DG1302" s="64">
        <f>($B1302-$B1303)*100</f>
        <v/>
      </c>
      <c r="DH1302" s="64">
        <f>($D1302-$D1303)*100</f>
        <v/>
      </c>
      <c r="DI1302" s="64">
        <f>($E1302-$E1303)*100</f>
        <v/>
      </c>
      <c r="DJ1302" s="64">
        <f>($H1302-$H1303)*100</f>
        <v/>
      </c>
      <c r="DK1302" s="65">
        <f>IFERROR($J1302/$J1303-1,"")</f>
        <v/>
      </c>
      <c r="DL1302" s="64">
        <f>$L1302-$L1303</f>
        <v/>
      </c>
      <c r="DM1302" s="64">
        <f>$K1302-$K1303</f>
        <v/>
      </c>
      <c r="DN1302" s="65">
        <f>IFERROR($N1302/$N1303-1,"")</f>
        <v/>
      </c>
      <c r="DO1302" s="65">
        <f>IFERROR($M1302/$M1303-1,"")</f>
        <v/>
      </c>
      <c r="DP1302" s="65">
        <f>IFERROR($AZ1302/$AZ1303-1,"")</f>
        <v/>
      </c>
      <c r="DQ1302" s="65">
        <f>IFERROR($BA1302/$BA1303-1,"")</f>
        <v/>
      </c>
      <c r="DR1302" s="64">
        <f>$O1302-$O1303</f>
        <v/>
      </c>
      <c r="DS1302" s="64">
        <f>$P1302-$P1303</f>
        <v/>
      </c>
      <c r="DT1302" s="64">
        <f>$Q1302-$Q1303</f>
        <v/>
      </c>
      <c r="DU1302" s="64">
        <f>$S1302-$S1303</f>
        <v/>
      </c>
      <c r="DV1302" s="65">
        <f>IFERROR(AVERAGE($AA1303/$AA1302-1,$AB1303/$AB1302-1,$AC1303/$AC1302-1,$AD1303/$AD1302-1,$AE1303/$AE1302-1,$AG1303/$AG1302-1,$AH1303/$AH1302-1,$AI1303/$AI1302-1,$AJ1303/$AJ1302-1,$AL1303/$AL1302-1,$AM1303/$AM1302-1,$AR1303/$AR1302-1,$AS1303/$AS1302-1,$AT1303/$AT1302-1,$AU1303/$AU1302-1,$AV1303/$AV1302-1,$AW1303/$AW1302-1,$AX1303/$AX1302-1,$AY1303/$AY1302-1),"")</f>
        <v/>
      </c>
      <c r="DW1302" s="66">
        <f>AVERAGE($CB1302,$CC1302,$CD1302,$CE1302,$CF1302,$CG1302,$CH1302,$CI1302,$CJ1302,$CL1302,$CM1302,$CN1302,$CO1302,$CP1302,$CQ1302,$CR1302,$CS1302,$CT1302)</f>
        <v/>
      </c>
      <c r="DX1302" s="66">
        <f>AVERAGE($CB1302,$CC1302,$CM1302,$CE1302,$CP1302)</f>
        <v/>
      </c>
      <c r="DY1302" s="64">
        <f>($DW1302-$DW1303)*100</f>
        <v/>
      </c>
      <c r="DZ1302" s="64">
        <f>($DX1302-$DX1303)*100</f>
        <v/>
      </c>
      <c r="EA1302" s="64">
        <f>($DW1302-$D1302)*100</f>
        <v/>
      </c>
      <c r="EB1302" s="64">
        <f>$Q1302-$O1302</f>
        <v/>
      </c>
      <c r="EC1302" s="67">
        <f>IFERROR($Q1302/$P1302,"")</f>
        <v/>
      </c>
    </row>
    <row r="1303">
      <c r="DG1303" s="64">
        <f>($B1303-$B1304)*100</f>
        <v/>
      </c>
      <c r="DH1303" s="64">
        <f>($D1303-$D1304)*100</f>
        <v/>
      </c>
      <c r="DI1303" s="64">
        <f>($E1303-$E1304)*100</f>
        <v/>
      </c>
      <c r="DJ1303" s="64">
        <f>($H1303-$H1304)*100</f>
        <v/>
      </c>
      <c r="DK1303" s="65">
        <f>IFERROR($J1303/$J1304-1,"")</f>
        <v/>
      </c>
      <c r="DL1303" s="64">
        <f>$L1303-$L1304</f>
        <v/>
      </c>
      <c r="DM1303" s="64">
        <f>$K1303-$K1304</f>
        <v/>
      </c>
      <c r="DN1303" s="65">
        <f>IFERROR($N1303/$N1304-1,"")</f>
        <v/>
      </c>
      <c r="DO1303" s="65">
        <f>IFERROR($M1303/$M1304-1,"")</f>
        <v/>
      </c>
      <c r="DP1303" s="65">
        <f>IFERROR($AZ1303/$AZ1304-1,"")</f>
        <v/>
      </c>
      <c r="DQ1303" s="65">
        <f>IFERROR($BA1303/$BA1304-1,"")</f>
        <v/>
      </c>
      <c r="DR1303" s="64">
        <f>$O1303-$O1304</f>
        <v/>
      </c>
      <c r="DS1303" s="64">
        <f>$P1303-$P1304</f>
        <v/>
      </c>
      <c r="DT1303" s="64">
        <f>$Q1303-$Q1304</f>
        <v/>
      </c>
      <c r="DU1303" s="64">
        <f>$S1303-$S1304</f>
        <v/>
      </c>
      <c r="DV1303" s="65">
        <f>IFERROR(AVERAGE($AA1304/$AA1303-1,$AB1304/$AB1303-1,$AC1304/$AC1303-1,$AD1304/$AD1303-1,$AE1304/$AE1303-1,$AG1304/$AG1303-1,$AH1304/$AH1303-1,$AI1304/$AI1303-1,$AJ1304/$AJ1303-1,$AL1304/$AL1303-1,$AM1304/$AM1303-1,$AR1304/$AR1303-1,$AS1304/$AS1303-1,$AT1304/$AT1303-1,$AU1304/$AU1303-1,$AV1304/$AV1303-1,$AW1304/$AW1303-1,$AX1304/$AX1303-1,$AY1304/$AY1303-1),"")</f>
        <v/>
      </c>
      <c r="DW1303" s="66">
        <f>AVERAGE($CB1303,$CC1303,$CD1303,$CE1303,$CF1303,$CG1303,$CH1303,$CI1303,$CJ1303,$CL1303,$CM1303,$CN1303,$CO1303,$CP1303,$CQ1303,$CR1303,$CS1303,$CT1303)</f>
        <v/>
      </c>
      <c r="DX1303" s="66">
        <f>AVERAGE($CB1303,$CC1303,$CM1303,$CE1303,$CP1303)</f>
        <v/>
      </c>
      <c r="DY1303" s="64">
        <f>($DW1303-$DW1304)*100</f>
        <v/>
      </c>
      <c r="DZ1303" s="64">
        <f>($DX1303-$DX1304)*100</f>
        <v/>
      </c>
      <c r="EA1303" s="64">
        <f>($DW1303-$D1303)*100</f>
        <v/>
      </c>
      <c r="EB1303" s="64">
        <f>$Q1303-$O1303</f>
        <v/>
      </c>
      <c r="EC1303" s="67">
        <f>IFERROR($Q1303/$P1303,"")</f>
        <v/>
      </c>
    </row>
    <row r="1304">
      <c r="DG1304" s="64">
        <f>($B1304-$B1305)*100</f>
        <v/>
      </c>
      <c r="DH1304" s="64">
        <f>($D1304-$D1305)*100</f>
        <v/>
      </c>
      <c r="DI1304" s="64">
        <f>($E1304-$E1305)*100</f>
        <v/>
      </c>
      <c r="DJ1304" s="64">
        <f>($H1304-$H1305)*100</f>
        <v/>
      </c>
      <c r="DK1304" s="65">
        <f>IFERROR($J1304/$J1305-1,"")</f>
        <v/>
      </c>
      <c r="DL1304" s="64">
        <f>$L1304-$L1305</f>
        <v/>
      </c>
      <c r="DM1304" s="64">
        <f>$K1304-$K1305</f>
        <v/>
      </c>
      <c r="DN1304" s="65">
        <f>IFERROR($N1304/$N1305-1,"")</f>
        <v/>
      </c>
      <c r="DO1304" s="65">
        <f>IFERROR($M1304/$M1305-1,"")</f>
        <v/>
      </c>
      <c r="DP1304" s="65">
        <f>IFERROR($AZ1304/$AZ1305-1,"")</f>
        <v/>
      </c>
      <c r="DQ1304" s="65">
        <f>IFERROR($BA1304/$BA1305-1,"")</f>
        <v/>
      </c>
      <c r="DR1304" s="64">
        <f>$O1304-$O1305</f>
        <v/>
      </c>
      <c r="DS1304" s="64">
        <f>$P1304-$P1305</f>
        <v/>
      </c>
      <c r="DT1304" s="64">
        <f>$Q1304-$Q1305</f>
        <v/>
      </c>
      <c r="DU1304" s="64">
        <f>$S1304-$S1305</f>
        <v/>
      </c>
      <c r="DV1304" s="65">
        <f>IFERROR(AVERAGE($AA1305/$AA1304-1,$AB1305/$AB1304-1,$AC1305/$AC1304-1,$AD1305/$AD1304-1,$AE1305/$AE1304-1,$AG1305/$AG1304-1,$AH1305/$AH1304-1,$AI1305/$AI1304-1,$AJ1305/$AJ1304-1,$AL1305/$AL1304-1,$AM1305/$AM1304-1,$AR1305/$AR1304-1,$AS1305/$AS1304-1,$AT1305/$AT1304-1,$AU1305/$AU1304-1,$AV1305/$AV1304-1,$AW1305/$AW1304-1,$AX1305/$AX1304-1,$AY1305/$AY1304-1),"")</f>
        <v/>
      </c>
      <c r="DW1304" s="66">
        <f>AVERAGE($CB1304,$CC1304,$CD1304,$CE1304,$CF1304,$CG1304,$CH1304,$CI1304,$CJ1304,$CL1304,$CM1304,$CN1304,$CO1304,$CP1304,$CQ1304,$CR1304,$CS1304,$CT1304)</f>
        <v/>
      </c>
      <c r="DX1304" s="66">
        <f>AVERAGE($CB1304,$CC1304,$CM1304,$CE1304,$CP1304)</f>
        <v/>
      </c>
      <c r="DY1304" s="64">
        <f>($DW1304-$DW1305)*100</f>
        <v/>
      </c>
      <c r="DZ1304" s="64">
        <f>($DX1304-$DX1305)*100</f>
        <v/>
      </c>
      <c r="EA1304" s="64">
        <f>($DW1304-$D1304)*100</f>
        <v/>
      </c>
      <c r="EB1304" s="64">
        <f>$Q1304-$O1304</f>
        <v/>
      </c>
      <c r="EC1304" s="67">
        <f>IFERROR($Q1304/$P1304,"")</f>
        <v/>
      </c>
    </row>
    <row r="1305">
      <c r="DG1305" s="64">
        <f>($B1305-$B1306)*100</f>
        <v/>
      </c>
      <c r="DH1305" s="64">
        <f>($D1305-$D1306)*100</f>
        <v/>
      </c>
      <c r="DI1305" s="64">
        <f>($E1305-$E1306)*100</f>
        <v/>
      </c>
      <c r="DJ1305" s="64">
        <f>($H1305-$H1306)*100</f>
        <v/>
      </c>
      <c r="DK1305" s="65">
        <f>IFERROR($J1305/$J1306-1,"")</f>
        <v/>
      </c>
      <c r="DL1305" s="64">
        <f>$L1305-$L1306</f>
        <v/>
      </c>
      <c r="DM1305" s="64">
        <f>$K1305-$K1306</f>
        <v/>
      </c>
      <c r="DN1305" s="65">
        <f>IFERROR($N1305/$N1306-1,"")</f>
        <v/>
      </c>
      <c r="DO1305" s="65">
        <f>IFERROR($M1305/$M1306-1,"")</f>
        <v/>
      </c>
      <c r="DP1305" s="65">
        <f>IFERROR($AZ1305/$AZ1306-1,"")</f>
        <v/>
      </c>
      <c r="DQ1305" s="65">
        <f>IFERROR($BA1305/$BA1306-1,"")</f>
        <v/>
      </c>
      <c r="DR1305" s="64">
        <f>$O1305-$O1306</f>
        <v/>
      </c>
      <c r="DS1305" s="64">
        <f>$P1305-$P1306</f>
        <v/>
      </c>
      <c r="DT1305" s="64">
        <f>$Q1305-$Q1306</f>
        <v/>
      </c>
      <c r="DU1305" s="64">
        <f>$S1305-$S1306</f>
        <v/>
      </c>
      <c r="DV1305" s="65">
        <f>IFERROR(AVERAGE($AA1306/$AA1305-1,$AB1306/$AB1305-1,$AC1306/$AC1305-1,$AD1306/$AD1305-1,$AE1306/$AE1305-1,$AG1306/$AG1305-1,$AH1306/$AH1305-1,$AI1306/$AI1305-1,$AJ1306/$AJ1305-1,$AL1306/$AL1305-1,$AM1306/$AM1305-1,$AR1306/$AR1305-1,$AS1306/$AS1305-1,$AT1306/$AT1305-1,$AU1306/$AU1305-1,$AV1306/$AV1305-1,$AW1306/$AW1305-1,$AX1306/$AX1305-1,$AY1306/$AY1305-1),"")</f>
        <v/>
      </c>
      <c r="DW1305" s="66">
        <f>AVERAGE($CB1305,$CC1305,$CD1305,$CE1305,$CF1305,$CG1305,$CH1305,$CI1305,$CJ1305,$CL1305,$CM1305,$CN1305,$CO1305,$CP1305,$CQ1305,$CR1305,$CS1305,$CT1305)</f>
        <v/>
      </c>
      <c r="DX1305" s="66">
        <f>AVERAGE($CB1305,$CC1305,$CM1305,$CE1305,$CP1305)</f>
        <v/>
      </c>
      <c r="DY1305" s="64">
        <f>($DW1305-$DW1306)*100</f>
        <v/>
      </c>
      <c r="DZ1305" s="64">
        <f>($DX1305-$DX1306)*100</f>
        <v/>
      </c>
      <c r="EA1305" s="64">
        <f>($DW1305-$D1305)*100</f>
        <v/>
      </c>
      <c r="EB1305" s="64">
        <f>$Q1305-$O1305</f>
        <v/>
      </c>
      <c r="EC1305" s="67">
        <f>IFERROR($Q1305/$P1305,"")</f>
        <v/>
      </c>
    </row>
    <row r="1306">
      <c r="DG1306" s="64">
        <f>($B1306-$B1307)*100</f>
        <v/>
      </c>
      <c r="DH1306" s="64">
        <f>($D1306-$D1307)*100</f>
        <v/>
      </c>
      <c r="DI1306" s="64">
        <f>($E1306-$E1307)*100</f>
        <v/>
      </c>
      <c r="DJ1306" s="64">
        <f>($H1306-$H1307)*100</f>
        <v/>
      </c>
      <c r="DK1306" s="65">
        <f>IFERROR($J1306/$J1307-1,"")</f>
        <v/>
      </c>
      <c r="DL1306" s="64">
        <f>$L1306-$L1307</f>
        <v/>
      </c>
      <c r="DM1306" s="64">
        <f>$K1306-$K1307</f>
        <v/>
      </c>
      <c r="DN1306" s="65">
        <f>IFERROR($N1306/$N1307-1,"")</f>
        <v/>
      </c>
      <c r="DO1306" s="65">
        <f>IFERROR($M1306/$M1307-1,"")</f>
        <v/>
      </c>
      <c r="DP1306" s="65">
        <f>IFERROR($AZ1306/$AZ1307-1,"")</f>
        <v/>
      </c>
      <c r="DQ1306" s="65">
        <f>IFERROR($BA1306/$BA1307-1,"")</f>
        <v/>
      </c>
      <c r="DR1306" s="64">
        <f>$O1306-$O1307</f>
        <v/>
      </c>
      <c r="DS1306" s="64">
        <f>$P1306-$P1307</f>
        <v/>
      </c>
      <c r="DT1306" s="64">
        <f>$Q1306-$Q1307</f>
        <v/>
      </c>
      <c r="DU1306" s="64">
        <f>$S1306-$S1307</f>
        <v/>
      </c>
      <c r="DV1306" s="65">
        <f>IFERROR(AVERAGE($AA1307/$AA1306-1,$AB1307/$AB1306-1,$AC1307/$AC1306-1,$AD1307/$AD1306-1,$AE1307/$AE1306-1,$AG1307/$AG1306-1,$AH1307/$AH1306-1,$AI1307/$AI1306-1,$AJ1307/$AJ1306-1,$AL1307/$AL1306-1,$AM1307/$AM1306-1,$AR1307/$AR1306-1,$AS1307/$AS1306-1,$AT1307/$AT1306-1,$AU1307/$AU1306-1,$AV1307/$AV1306-1,$AW1307/$AW1306-1,$AX1307/$AX1306-1,$AY1307/$AY1306-1),"")</f>
        <v/>
      </c>
      <c r="DW1306" s="66">
        <f>AVERAGE($CB1306,$CC1306,$CD1306,$CE1306,$CF1306,$CG1306,$CH1306,$CI1306,$CJ1306,$CL1306,$CM1306,$CN1306,$CO1306,$CP1306,$CQ1306,$CR1306,$CS1306,$CT1306)</f>
        <v/>
      </c>
      <c r="DX1306" s="66">
        <f>AVERAGE($CB1306,$CC1306,$CM1306,$CE1306,$CP1306)</f>
        <v/>
      </c>
      <c r="DY1306" s="64">
        <f>($DW1306-$DW1307)*100</f>
        <v/>
      </c>
      <c r="DZ1306" s="64">
        <f>($DX1306-$DX1307)*100</f>
        <v/>
      </c>
      <c r="EA1306" s="64">
        <f>($DW1306-$D1306)*100</f>
        <v/>
      </c>
      <c r="EB1306" s="64">
        <f>$Q1306-$O1306</f>
        <v/>
      </c>
      <c r="EC1306" s="67">
        <f>IFERROR($Q1306/$P1306,"")</f>
        <v/>
      </c>
    </row>
    <row r="1307">
      <c r="DG1307" s="64">
        <f>($B1307-$B1308)*100</f>
        <v/>
      </c>
      <c r="DH1307" s="64">
        <f>($D1307-$D1308)*100</f>
        <v/>
      </c>
      <c r="DI1307" s="64">
        <f>($E1307-$E1308)*100</f>
        <v/>
      </c>
      <c r="DJ1307" s="64">
        <f>($H1307-$H1308)*100</f>
        <v/>
      </c>
      <c r="DK1307" s="65">
        <f>IFERROR($J1307/$J1308-1,"")</f>
        <v/>
      </c>
      <c r="DL1307" s="64">
        <f>$L1307-$L1308</f>
        <v/>
      </c>
      <c r="DM1307" s="64">
        <f>$K1307-$K1308</f>
        <v/>
      </c>
      <c r="DN1307" s="65">
        <f>IFERROR($N1307/$N1308-1,"")</f>
        <v/>
      </c>
      <c r="DO1307" s="65">
        <f>IFERROR($M1307/$M1308-1,"")</f>
        <v/>
      </c>
      <c r="DP1307" s="65">
        <f>IFERROR($AZ1307/$AZ1308-1,"")</f>
        <v/>
      </c>
      <c r="DQ1307" s="65">
        <f>IFERROR($BA1307/$BA1308-1,"")</f>
        <v/>
      </c>
      <c r="DR1307" s="64">
        <f>$O1307-$O1308</f>
        <v/>
      </c>
      <c r="DS1307" s="64">
        <f>$P1307-$P1308</f>
        <v/>
      </c>
      <c r="DT1307" s="64">
        <f>$Q1307-$Q1308</f>
        <v/>
      </c>
      <c r="DU1307" s="64">
        <f>$S1307-$S1308</f>
        <v/>
      </c>
      <c r="DV1307" s="65">
        <f>IFERROR(AVERAGE($AA1308/$AA1307-1,$AB1308/$AB1307-1,$AC1308/$AC1307-1,$AD1308/$AD1307-1,$AE1308/$AE1307-1,$AG1308/$AG1307-1,$AH1308/$AH1307-1,$AI1308/$AI1307-1,$AJ1308/$AJ1307-1,$AL1308/$AL1307-1,$AM1308/$AM1307-1,$AR1308/$AR1307-1,$AS1308/$AS1307-1,$AT1308/$AT1307-1,$AU1308/$AU1307-1,$AV1308/$AV1307-1,$AW1308/$AW1307-1,$AX1308/$AX1307-1,$AY1308/$AY1307-1),"")</f>
        <v/>
      </c>
      <c r="DW1307" s="66">
        <f>AVERAGE($CB1307,$CC1307,$CD1307,$CE1307,$CF1307,$CG1307,$CH1307,$CI1307,$CJ1307,$CL1307,$CM1307,$CN1307,$CO1307,$CP1307,$CQ1307,$CR1307,$CS1307,$CT1307)</f>
        <v/>
      </c>
      <c r="DX1307" s="66">
        <f>AVERAGE($CB1307,$CC1307,$CM1307,$CE1307,$CP1307)</f>
        <v/>
      </c>
      <c r="DY1307" s="64">
        <f>($DW1307-$DW1308)*100</f>
        <v/>
      </c>
      <c r="DZ1307" s="64">
        <f>($DX1307-$DX1308)*100</f>
        <v/>
      </c>
      <c r="EA1307" s="64">
        <f>($DW1307-$D1307)*100</f>
        <v/>
      </c>
      <c r="EB1307" s="64">
        <f>$Q1307-$O1307</f>
        <v/>
      </c>
      <c r="EC1307" s="67">
        <f>IFERROR($Q1307/$P1307,"")</f>
        <v/>
      </c>
    </row>
    <row r="1308">
      <c r="DG1308" s="64">
        <f>($B1308-$B1309)*100</f>
        <v/>
      </c>
      <c r="DH1308" s="64">
        <f>($D1308-$D1309)*100</f>
        <v/>
      </c>
      <c r="DI1308" s="64">
        <f>($E1308-$E1309)*100</f>
        <v/>
      </c>
      <c r="DJ1308" s="64">
        <f>($H1308-$H1309)*100</f>
        <v/>
      </c>
      <c r="DK1308" s="65">
        <f>IFERROR($J1308/$J1309-1,"")</f>
        <v/>
      </c>
      <c r="DL1308" s="64">
        <f>$L1308-$L1309</f>
        <v/>
      </c>
      <c r="DM1308" s="64">
        <f>$K1308-$K1309</f>
        <v/>
      </c>
      <c r="DN1308" s="65">
        <f>IFERROR($N1308/$N1309-1,"")</f>
        <v/>
      </c>
      <c r="DO1308" s="65">
        <f>IFERROR($M1308/$M1309-1,"")</f>
        <v/>
      </c>
      <c r="DP1308" s="65">
        <f>IFERROR($AZ1308/$AZ1309-1,"")</f>
        <v/>
      </c>
      <c r="DQ1308" s="65">
        <f>IFERROR($BA1308/$BA1309-1,"")</f>
        <v/>
      </c>
      <c r="DR1308" s="64">
        <f>$O1308-$O1309</f>
        <v/>
      </c>
      <c r="DS1308" s="64">
        <f>$P1308-$P1309</f>
        <v/>
      </c>
      <c r="DT1308" s="64">
        <f>$Q1308-$Q1309</f>
        <v/>
      </c>
      <c r="DU1308" s="64">
        <f>$S1308-$S1309</f>
        <v/>
      </c>
      <c r="DV1308" s="65">
        <f>IFERROR(AVERAGE($AA1309/$AA1308-1,$AB1309/$AB1308-1,$AC1309/$AC1308-1,$AD1309/$AD1308-1,$AE1309/$AE1308-1,$AG1309/$AG1308-1,$AH1309/$AH1308-1,$AI1309/$AI1308-1,$AJ1309/$AJ1308-1,$AL1309/$AL1308-1,$AM1309/$AM1308-1,$AR1309/$AR1308-1,$AS1309/$AS1308-1,$AT1309/$AT1308-1,$AU1309/$AU1308-1,$AV1309/$AV1308-1,$AW1309/$AW1308-1,$AX1309/$AX1308-1,$AY1309/$AY1308-1),"")</f>
        <v/>
      </c>
      <c r="DW1308" s="66">
        <f>AVERAGE($CB1308,$CC1308,$CD1308,$CE1308,$CF1308,$CG1308,$CH1308,$CI1308,$CJ1308,$CL1308,$CM1308,$CN1308,$CO1308,$CP1308,$CQ1308,$CR1308,$CS1308,$CT1308)</f>
        <v/>
      </c>
      <c r="DX1308" s="66">
        <f>AVERAGE($CB1308,$CC1308,$CM1308,$CE1308,$CP1308)</f>
        <v/>
      </c>
      <c r="DY1308" s="64">
        <f>($DW1308-$DW1309)*100</f>
        <v/>
      </c>
      <c r="DZ1308" s="64">
        <f>($DX1308-$DX1309)*100</f>
        <v/>
      </c>
      <c r="EA1308" s="64">
        <f>($DW1308-$D1308)*100</f>
        <v/>
      </c>
      <c r="EB1308" s="64">
        <f>$Q1308-$O1308</f>
        <v/>
      </c>
      <c r="EC1308" s="67">
        <f>IFERROR($Q1308/$P1308,"")</f>
        <v/>
      </c>
    </row>
    <row r="1309">
      <c r="DG1309" s="64">
        <f>($B1309-$B1310)*100</f>
        <v/>
      </c>
      <c r="DH1309" s="64">
        <f>($D1309-$D1310)*100</f>
        <v/>
      </c>
      <c r="DI1309" s="64">
        <f>($E1309-$E1310)*100</f>
        <v/>
      </c>
      <c r="DJ1309" s="64">
        <f>($H1309-$H1310)*100</f>
        <v/>
      </c>
      <c r="DK1309" s="65">
        <f>IFERROR($J1309/$J1310-1,"")</f>
        <v/>
      </c>
      <c r="DL1309" s="64">
        <f>$L1309-$L1310</f>
        <v/>
      </c>
      <c r="DM1309" s="64">
        <f>$K1309-$K1310</f>
        <v/>
      </c>
      <c r="DN1309" s="65">
        <f>IFERROR($N1309/$N1310-1,"")</f>
        <v/>
      </c>
      <c r="DO1309" s="65">
        <f>IFERROR($M1309/$M1310-1,"")</f>
        <v/>
      </c>
      <c r="DP1309" s="65">
        <f>IFERROR($AZ1309/$AZ1310-1,"")</f>
        <v/>
      </c>
      <c r="DQ1309" s="65">
        <f>IFERROR($BA1309/$BA1310-1,"")</f>
        <v/>
      </c>
      <c r="DR1309" s="64">
        <f>$O1309-$O1310</f>
        <v/>
      </c>
      <c r="DS1309" s="64">
        <f>$P1309-$P1310</f>
        <v/>
      </c>
      <c r="DT1309" s="64">
        <f>$Q1309-$Q1310</f>
        <v/>
      </c>
      <c r="DU1309" s="64">
        <f>$S1309-$S1310</f>
        <v/>
      </c>
      <c r="DV1309" s="65">
        <f>IFERROR(AVERAGE($AA1310/$AA1309-1,$AB1310/$AB1309-1,$AC1310/$AC1309-1,$AD1310/$AD1309-1,$AE1310/$AE1309-1,$AG1310/$AG1309-1,$AH1310/$AH1309-1,$AI1310/$AI1309-1,$AJ1310/$AJ1309-1,$AL1310/$AL1309-1,$AM1310/$AM1309-1,$AR1310/$AR1309-1,$AS1310/$AS1309-1,$AT1310/$AT1309-1,$AU1310/$AU1309-1,$AV1310/$AV1309-1,$AW1310/$AW1309-1,$AX1310/$AX1309-1,$AY1310/$AY1309-1),"")</f>
        <v/>
      </c>
      <c r="DW1309" s="66">
        <f>AVERAGE($CB1309,$CC1309,$CD1309,$CE1309,$CF1309,$CG1309,$CH1309,$CI1309,$CJ1309,$CL1309,$CM1309,$CN1309,$CO1309,$CP1309,$CQ1309,$CR1309,$CS1309,$CT1309)</f>
        <v/>
      </c>
      <c r="DX1309" s="66">
        <f>AVERAGE($CB1309,$CC1309,$CM1309,$CE1309,$CP1309)</f>
        <v/>
      </c>
      <c r="DY1309" s="64">
        <f>($DW1309-$DW1310)*100</f>
        <v/>
      </c>
      <c r="DZ1309" s="64">
        <f>($DX1309-$DX1310)*100</f>
        <v/>
      </c>
      <c r="EA1309" s="64">
        <f>($DW1309-$D1309)*100</f>
        <v/>
      </c>
      <c r="EB1309" s="64">
        <f>$Q1309-$O1309</f>
        <v/>
      </c>
      <c r="EC1309" s="67">
        <f>IFERROR($Q1309/$P1309,"")</f>
        <v/>
      </c>
    </row>
    <row r="1310">
      <c r="DG1310" s="64">
        <f>($B1310-$B1311)*100</f>
        <v/>
      </c>
      <c r="DH1310" s="64">
        <f>($D1310-$D1311)*100</f>
        <v/>
      </c>
      <c r="DI1310" s="64">
        <f>($E1310-$E1311)*100</f>
        <v/>
      </c>
      <c r="DJ1310" s="64">
        <f>($H1310-$H1311)*100</f>
        <v/>
      </c>
      <c r="DK1310" s="65">
        <f>IFERROR($J1310/$J1311-1,"")</f>
        <v/>
      </c>
      <c r="DL1310" s="64">
        <f>$L1310-$L1311</f>
        <v/>
      </c>
      <c r="DM1310" s="64">
        <f>$K1310-$K1311</f>
        <v/>
      </c>
      <c r="DN1310" s="65">
        <f>IFERROR($N1310/$N1311-1,"")</f>
        <v/>
      </c>
      <c r="DO1310" s="65">
        <f>IFERROR($M1310/$M1311-1,"")</f>
        <v/>
      </c>
      <c r="DP1310" s="65">
        <f>IFERROR($AZ1310/$AZ1311-1,"")</f>
        <v/>
      </c>
      <c r="DQ1310" s="65">
        <f>IFERROR($BA1310/$BA1311-1,"")</f>
        <v/>
      </c>
      <c r="DR1310" s="64">
        <f>$O1310-$O1311</f>
        <v/>
      </c>
      <c r="DS1310" s="64">
        <f>$P1310-$P1311</f>
        <v/>
      </c>
      <c r="DT1310" s="64">
        <f>$Q1310-$Q1311</f>
        <v/>
      </c>
      <c r="DU1310" s="64">
        <f>$S1310-$S1311</f>
        <v/>
      </c>
      <c r="DV1310" s="65">
        <f>IFERROR(AVERAGE($AA1311/$AA1310-1,$AB1311/$AB1310-1,$AC1311/$AC1310-1,$AD1311/$AD1310-1,$AE1311/$AE1310-1,$AG1311/$AG1310-1,$AH1311/$AH1310-1,$AI1311/$AI1310-1,$AJ1311/$AJ1310-1,$AL1311/$AL1310-1,$AM1311/$AM1310-1,$AR1311/$AR1310-1,$AS1311/$AS1310-1,$AT1311/$AT1310-1,$AU1311/$AU1310-1,$AV1311/$AV1310-1,$AW1311/$AW1310-1,$AX1311/$AX1310-1,$AY1311/$AY1310-1),"")</f>
        <v/>
      </c>
      <c r="DW1310" s="66">
        <f>AVERAGE($CB1310,$CC1310,$CD1310,$CE1310,$CF1310,$CG1310,$CH1310,$CI1310,$CJ1310,$CL1310,$CM1310,$CN1310,$CO1310,$CP1310,$CQ1310,$CR1310,$CS1310,$CT1310)</f>
        <v/>
      </c>
      <c r="DX1310" s="66">
        <f>AVERAGE($CB1310,$CC1310,$CM1310,$CE1310,$CP1310)</f>
        <v/>
      </c>
      <c r="DY1310" s="64">
        <f>($DW1310-$DW1311)*100</f>
        <v/>
      </c>
      <c r="DZ1310" s="64">
        <f>($DX1310-$DX1311)*100</f>
        <v/>
      </c>
      <c r="EA1310" s="64">
        <f>($DW1310-$D1310)*100</f>
        <v/>
      </c>
      <c r="EB1310" s="64">
        <f>$Q1310-$O1310</f>
        <v/>
      </c>
      <c r="EC1310" s="67">
        <f>IFERROR($Q1310/$P1310,"")</f>
        <v/>
      </c>
    </row>
    <row r="1311">
      <c r="DG1311" s="64">
        <f>($B1311-$B1312)*100</f>
        <v/>
      </c>
      <c r="DH1311" s="64">
        <f>($D1311-$D1312)*100</f>
        <v/>
      </c>
      <c r="DI1311" s="64">
        <f>($E1311-$E1312)*100</f>
        <v/>
      </c>
      <c r="DJ1311" s="64">
        <f>($H1311-$H1312)*100</f>
        <v/>
      </c>
      <c r="DK1311" s="65">
        <f>IFERROR($J1311/$J1312-1,"")</f>
        <v/>
      </c>
      <c r="DL1311" s="64">
        <f>$L1311-$L1312</f>
        <v/>
      </c>
      <c r="DM1311" s="64">
        <f>$K1311-$K1312</f>
        <v/>
      </c>
      <c r="DN1311" s="65">
        <f>IFERROR($N1311/$N1312-1,"")</f>
        <v/>
      </c>
      <c r="DO1311" s="65">
        <f>IFERROR($M1311/$M1312-1,"")</f>
        <v/>
      </c>
      <c r="DP1311" s="65">
        <f>IFERROR($AZ1311/$AZ1312-1,"")</f>
        <v/>
      </c>
      <c r="DQ1311" s="65">
        <f>IFERROR($BA1311/$BA1312-1,"")</f>
        <v/>
      </c>
      <c r="DR1311" s="64">
        <f>$O1311-$O1312</f>
        <v/>
      </c>
      <c r="DS1311" s="64">
        <f>$P1311-$P1312</f>
        <v/>
      </c>
      <c r="DT1311" s="64">
        <f>$Q1311-$Q1312</f>
        <v/>
      </c>
      <c r="DU1311" s="64">
        <f>$S1311-$S1312</f>
        <v/>
      </c>
      <c r="DV1311" s="65">
        <f>IFERROR(AVERAGE($AA1312/$AA1311-1,$AB1312/$AB1311-1,$AC1312/$AC1311-1,$AD1312/$AD1311-1,$AE1312/$AE1311-1,$AG1312/$AG1311-1,$AH1312/$AH1311-1,$AI1312/$AI1311-1,$AJ1312/$AJ1311-1,$AL1312/$AL1311-1,$AM1312/$AM1311-1,$AR1312/$AR1311-1,$AS1312/$AS1311-1,$AT1312/$AT1311-1,$AU1312/$AU1311-1,$AV1312/$AV1311-1,$AW1312/$AW1311-1,$AX1312/$AX1311-1,$AY1312/$AY1311-1),"")</f>
        <v/>
      </c>
      <c r="DW1311" s="66">
        <f>AVERAGE($CB1311,$CC1311,$CD1311,$CE1311,$CF1311,$CG1311,$CH1311,$CI1311,$CJ1311,$CL1311,$CM1311,$CN1311,$CO1311,$CP1311,$CQ1311,$CR1311,$CS1311,$CT1311)</f>
        <v/>
      </c>
      <c r="DX1311" s="66">
        <f>AVERAGE($CB1311,$CC1311,$CM1311,$CE1311,$CP1311)</f>
        <v/>
      </c>
      <c r="DY1311" s="64">
        <f>($DW1311-$DW1312)*100</f>
        <v/>
      </c>
      <c r="DZ1311" s="64">
        <f>($DX1311-$DX1312)*100</f>
        <v/>
      </c>
      <c r="EA1311" s="64">
        <f>($DW1311-$D1311)*100</f>
        <v/>
      </c>
      <c r="EB1311" s="64">
        <f>$Q1311-$O1311</f>
        <v/>
      </c>
      <c r="EC1311" s="67">
        <f>IFERROR($Q1311/$P1311,"")</f>
        <v/>
      </c>
    </row>
    <row r="1312">
      <c r="DG1312" s="64">
        <f>($B1312-$B1313)*100</f>
        <v/>
      </c>
      <c r="DH1312" s="64">
        <f>($D1312-$D1313)*100</f>
        <v/>
      </c>
      <c r="DI1312" s="64">
        <f>($E1312-$E1313)*100</f>
        <v/>
      </c>
      <c r="DJ1312" s="64">
        <f>($H1312-$H1313)*100</f>
        <v/>
      </c>
      <c r="DK1312" s="65">
        <f>IFERROR($J1312/$J1313-1,"")</f>
        <v/>
      </c>
      <c r="DL1312" s="64">
        <f>$L1312-$L1313</f>
        <v/>
      </c>
      <c r="DM1312" s="64">
        <f>$K1312-$K1313</f>
        <v/>
      </c>
      <c r="DN1312" s="65">
        <f>IFERROR($N1312/$N1313-1,"")</f>
        <v/>
      </c>
      <c r="DO1312" s="65">
        <f>IFERROR($M1312/$M1313-1,"")</f>
        <v/>
      </c>
      <c r="DP1312" s="65">
        <f>IFERROR($AZ1312/$AZ1313-1,"")</f>
        <v/>
      </c>
      <c r="DQ1312" s="65">
        <f>IFERROR($BA1312/$BA1313-1,"")</f>
        <v/>
      </c>
      <c r="DR1312" s="64">
        <f>$O1312-$O1313</f>
        <v/>
      </c>
      <c r="DS1312" s="64">
        <f>$P1312-$P1313</f>
        <v/>
      </c>
      <c r="DT1312" s="64">
        <f>$Q1312-$Q1313</f>
        <v/>
      </c>
      <c r="DU1312" s="64">
        <f>$S1312-$S1313</f>
        <v/>
      </c>
      <c r="DV1312" s="65">
        <f>IFERROR(AVERAGE($AA1313/$AA1312-1,$AB1313/$AB1312-1,$AC1313/$AC1312-1,$AD1313/$AD1312-1,$AE1313/$AE1312-1,$AG1313/$AG1312-1,$AH1313/$AH1312-1,$AI1313/$AI1312-1,$AJ1313/$AJ1312-1,$AL1313/$AL1312-1,$AM1313/$AM1312-1,$AR1313/$AR1312-1,$AS1313/$AS1312-1,$AT1313/$AT1312-1,$AU1313/$AU1312-1,$AV1313/$AV1312-1,$AW1313/$AW1312-1,$AX1313/$AX1312-1,$AY1313/$AY1312-1),"")</f>
        <v/>
      </c>
      <c r="DW1312" s="66">
        <f>AVERAGE($CB1312,$CC1312,$CD1312,$CE1312,$CF1312,$CG1312,$CH1312,$CI1312,$CJ1312,$CL1312,$CM1312,$CN1312,$CO1312,$CP1312,$CQ1312,$CR1312,$CS1312,$CT1312)</f>
        <v/>
      </c>
      <c r="DX1312" s="66">
        <f>AVERAGE($CB1312,$CC1312,$CM1312,$CE1312,$CP1312)</f>
        <v/>
      </c>
      <c r="DY1312" s="64">
        <f>($DW1312-$DW1313)*100</f>
        <v/>
      </c>
      <c r="DZ1312" s="64">
        <f>($DX1312-$DX1313)*100</f>
        <v/>
      </c>
      <c r="EA1312" s="64">
        <f>($DW1312-$D1312)*100</f>
        <v/>
      </c>
      <c r="EB1312" s="64">
        <f>$Q1312-$O1312</f>
        <v/>
      </c>
      <c r="EC1312" s="67">
        <f>IFERROR($Q1312/$P1312,"")</f>
        <v/>
      </c>
    </row>
    <row r="1313">
      <c r="DG1313" s="64">
        <f>($B1313-$B1314)*100</f>
        <v/>
      </c>
      <c r="DH1313" s="64">
        <f>($D1313-$D1314)*100</f>
        <v/>
      </c>
      <c r="DI1313" s="64">
        <f>($E1313-$E1314)*100</f>
        <v/>
      </c>
      <c r="DJ1313" s="64">
        <f>($H1313-$H1314)*100</f>
        <v/>
      </c>
      <c r="DK1313" s="65">
        <f>IFERROR($J1313/$J1314-1,"")</f>
        <v/>
      </c>
      <c r="DL1313" s="64">
        <f>$L1313-$L1314</f>
        <v/>
      </c>
      <c r="DM1313" s="64">
        <f>$K1313-$K1314</f>
        <v/>
      </c>
      <c r="DN1313" s="65">
        <f>IFERROR($N1313/$N1314-1,"")</f>
        <v/>
      </c>
      <c r="DO1313" s="65">
        <f>IFERROR($M1313/$M1314-1,"")</f>
        <v/>
      </c>
      <c r="DP1313" s="65">
        <f>IFERROR($AZ1313/$AZ1314-1,"")</f>
        <v/>
      </c>
      <c r="DQ1313" s="65">
        <f>IFERROR($BA1313/$BA1314-1,"")</f>
        <v/>
      </c>
      <c r="DR1313" s="64">
        <f>$O1313-$O1314</f>
        <v/>
      </c>
      <c r="DS1313" s="64">
        <f>$P1313-$P1314</f>
        <v/>
      </c>
      <c r="DT1313" s="64">
        <f>$Q1313-$Q1314</f>
        <v/>
      </c>
      <c r="DU1313" s="64">
        <f>$S1313-$S1314</f>
        <v/>
      </c>
      <c r="DV1313" s="65">
        <f>IFERROR(AVERAGE($AA1314/$AA1313-1,$AB1314/$AB1313-1,$AC1314/$AC1313-1,$AD1314/$AD1313-1,$AE1314/$AE1313-1,$AG1314/$AG1313-1,$AH1314/$AH1313-1,$AI1314/$AI1313-1,$AJ1314/$AJ1313-1,$AL1314/$AL1313-1,$AM1314/$AM1313-1,$AR1314/$AR1313-1,$AS1314/$AS1313-1,$AT1314/$AT1313-1,$AU1314/$AU1313-1,$AV1314/$AV1313-1,$AW1314/$AW1313-1,$AX1314/$AX1313-1,$AY1314/$AY1313-1),"")</f>
        <v/>
      </c>
      <c r="DW1313" s="66">
        <f>AVERAGE($CB1313,$CC1313,$CD1313,$CE1313,$CF1313,$CG1313,$CH1313,$CI1313,$CJ1313,$CL1313,$CM1313,$CN1313,$CO1313,$CP1313,$CQ1313,$CR1313,$CS1313,$CT1313)</f>
        <v/>
      </c>
      <c r="DX1313" s="66">
        <f>AVERAGE($CB1313,$CC1313,$CM1313,$CE1313,$CP1313)</f>
        <v/>
      </c>
      <c r="DY1313" s="64">
        <f>($DW1313-$DW1314)*100</f>
        <v/>
      </c>
      <c r="DZ1313" s="64">
        <f>($DX1313-$DX1314)*100</f>
        <v/>
      </c>
      <c r="EA1313" s="64">
        <f>($DW1313-$D1313)*100</f>
        <v/>
      </c>
      <c r="EB1313" s="64">
        <f>$Q1313-$O1313</f>
        <v/>
      </c>
      <c r="EC1313" s="67">
        <f>IFERROR($Q1313/$P1313,"")</f>
        <v/>
      </c>
    </row>
    <row r="1314">
      <c r="DG1314" s="64">
        <f>($B1314-$B1315)*100</f>
        <v/>
      </c>
      <c r="DH1314" s="64">
        <f>($D1314-$D1315)*100</f>
        <v/>
      </c>
      <c r="DI1314" s="64">
        <f>($E1314-$E1315)*100</f>
        <v/>
      </c>
      <c r="DJ1314" s="64">
        <f>($H1314-$H1315)*100</f>
        <v/>
      </c>
      <c r="DK1314" s="65">
        <f>IFERROR($J1314/$J1315-1,"")</f>
        <v/>
      </c>
      <c r="DL1314" s="64">
        <f>$L1314-$L1315</f>
        <v/>
      </c>
      <c r="DM1314" s="64">
        <f>$K1314-$K1315</f>
        <v/>
      </c>
      <c r="DN1314" s="65">
        <f>IFERROR($N1314/$N1315-1,"")</f>
        <v/>
      </c>
      <c r="DO1314" s="65">
        <f>IFERROR($M1314/$M1315-1,"")</f>
        <v/>
      </c>
      <c r="DP1314" s="65">
        <f>IFERROR($AZ1314/$AZ1315-1,"")</f>
        <v/>
      </c>
      <c r="DQ1314" s="65">
        <f>IFERROR($BA1314/$BA1315-1,"")</f>
        <v/>
      </c>
      <c r="DR1314" s="64">
        <f>$O1314-$O1315</f>
        <v/>
      </c>
      <c r="DS1314" s="64">
        <f>$P1314-$P1315</f>
        <v/>
      </c>
      <c r="DT1314" s="64">
        <f>$Q1314-$Q1315</f>
        <v/>
      </c>
      <c r="DU1314" s="64">
        <f>$S1314-$S1315</f>
        <v/>
      </c>
      <c r="DV1314" s="65">
        <f>IFERROR(AVERAGE($AA1315/$AA1314-1,$AB1315/$AB1314-1,$AC1315/$AC1314-1,$AD1315/$AD1314-1,$AE1315/$AE1314-1,$AG1315/$AG1314-1,$AH1315/$AH1314-1,$AI1315/$AI1314-1,$AJ1315/$AJ1314-1,$AL1315/$AL1314-1,$AM1315/$AM1314-1,$AR1315/$AR1314-1,$AS1315/$AS1314-1,$AT1315/$AT1314-1,$AU1315/$AU1314-1,$AV1315/$AV1314-1,$AW1315/$AW1314-1,$AX1315/$AX1314-1,$AY1315/$AY1314-1),"")</f>
        <v/>
      </c>
      <c r="DW1314" s="66">
        <f>AVERAGE($CB1314,$CC1314,$CD1314,$CE1314,$CF1314,$CG1314,$CH1314,$CI1314,$CJ1314,$CL1314,$CM1314,$CN1314,$CO1314,$CP1314,$CQ1314,$CR1314,$CS1314,$CT1314)</f>
        <v/>
      </c>
      <c r="DX1314" s="66">
        <f>AVERAGE($CB1314,$CC1314,$CM1314,$CE1314,$CP1314)</f>
        <v/>
      </c>
      <c r="DY1314" s="64">
        <f>($DW1314-$DW1315)*100</f>
        <v/>
      </c>
      <c r="DZ1314" s="64">
        <f>($DX1314-$DX1315)*100</f>
        <v/>
      </c>
      <c r="EA1314" s="64">
        <f>($DW1314-$D1314)*100</f>
        <v/>
      </c>
      <c r="EB1314" s="64">
        <f>$Q1314-$O1314</f>
        <v/>
      </c>
      <c r="EC1314" s="67">
        <f>IFERROR($Q1314/$P1314,"")</f>
        <v/>
      </c>
    </row>
    <row r="1315">
      <c r="DG1315" s="64">
        <f>($B1315-$B1316)*100</f>
        <v/>
      </c>
      <c r="DH1315" s="64">
        <f>($D1315-$D1316)*100</f>
        <v/>
      </c>
      <c r="DI1315" s="64">
        <f>($E1315-$E1316)*100</f>
        <v/>
      </c>
      <c r="DJ1315" s="64">
        <f>($H1315-$H1316)*100</f>
        <v/>
      </c>
      <c r="DK1315" s="65">
        <f>IFERROR($J1315/$J1316-1,"")</f>
        <v/>
      </c>
      <c r="DL1315" s="64">
        <f>$L1315-$L1316</f>
        <v/>
      </c>
      <c r="DM1315" s="64">
        <f>$K1315-$K1316</f>
        <v/>
      </c>
      <c r="DN1315" s="65">
        <f>IFERROR($N1315/$N1316-1,"")</f>
        <v/>
      </c>
      <c r="DO1315" s="65">
        <f>IFERROR($M1315/$M1316-1,"")</f>
        <v/>
      </c>
      <c r="DP1315" s="65">
        <f>IFERROR($AZ1315/$AZ1316-1,"")</f>
        <v/>
      </c>
      <c r="DQ1315" s="65">
        <f>IFERROR($BA1315/$BA1316-1,"")</f>
        <v/>
      </c>
      <c r="DR1315" s="64">
        <f>$O1315-$O1316</f>
        <v/>
      </c>
      <c r="DS1315" s="64">
        <f>$P1315-$P1316</f>
        <v/>
      </c>
      <c r="DT1315" s="64">
        <f>$Q1315-$Q1316</f>
        <v/>
      </c>
      <c r="DU1315" s="64">
        <f>$S1315-$S1316</f>
        <v/>
      </c>
      <c r="DV1315" s="65">
        <f>IFERROR(AVERAGE($AA1316/$AA1315-1,$AB1316/$AB1315-1,$AC1316/$AC1315-1,$AD1316/$AD1315-1,$AE1316/$AE1315-1,$AG1316/$AG1315-1,$AH1316/$AH1315-1,$AI1316/$AI1315-1,$AJ1316/$AJ1315-1,$AL1316/$AL1315-1,$AM1316/$AM1315-1,$AR1316/$AR1315-1,$AS1316/$AS1315-1,$AT1316/$AT1315-1,$AU1316/$AU1315-1,$AV1316/$AV1315-1,$AW1316/$AW1315-1,$AX1316/$AX1315-1,$AY1316/$AY1315-1),"")</f>
        <v/>
      </c>
      <c r="DW1315" s="66">
        <f>AVERAGE($CB1315,$CC1315,$CD1315,$CE1315,$CF1315,$CG1315,$CH1315,$CI1315,$CJ1315,$CL1315,$CM1315,$CN1315,$CO1315,$CP1315,$CQ1315,$CR1315,$CS1315,$CT1315)</f>
        <v/>
      </c>
      <c r="DX1315" s="66">
        <f>AVERAGE($CB1315,$CC1315,$CM1315,$CE1315,$CP1315)</f>
        <v/>
      </c>
      <c r="DY1315" s="64">
        <f>($DW1315-$DW1316)*100</f>
        <v/>
      </c>
      <c r="DZ1315" s="64">
        <f>($DX1315-$DX1316)*100</f>
        <v/>
      </c>
      <c r="EA1315" s="64">
        <f>($DW1315-$D1315)*100</f>
        <v/>
      </c>
      <c r="EB1315" s="64">
        <f>$Q1315-$O1315</f>
        <v/>
      </c>
      <c r="EC1315" s="67">
        <f>IFERROR($Q1315/$P1315,"")</f>
        <v/>
      </c>
    </row>
    <row r="1316">
      <c r="DG1316" s="64">
        <f>($B1316-$B1317)*100</f>
        <v/>
      </c>
      <c r="DH1316" s="64">
        <f>($D1316-$D1317)*100</f>
        <v/>
      </c>
      <c r="DI1316" s="64">
        <f>($E1316-$E1317)*100</f>
        <v/>
      </c>
      <c r="DJ1316" s="64">
        <f>($H1316-$H1317)*100</f>
        <v/>
      </c>
      <c r="DK1316" s="65">
        <f>IFERROR($J1316/$J1317-1,"")</f>
        <v/>
      </c>
      <c r="DL1316" s="64">
        <f>$L1316-$L1317</f>
        <v/>
      </c>
      <c r="DM1316" s="64">
        <f>$K1316-$K1317</f>
        <v/>
      </c>
      <c r="DN1316" s="65">
        <f>IFERROR($N1316/$N1317-1,"")</f>
        <v/>
      </c>
      <c r="DO1316" s="65">
        <f>IFERROR($M1316/$M1317-1,"")</f>
        <v/>
      </c>
      <c r="DP1316" s="65">
        <f>IFERROR($AZ1316/$AZ1317-1,"")</f>
        <v/>
      </c>
      <c r="DQ1316" s="65">
        <f>IFERROR($BA1316/$BA1317-1,"")</f>
        <v/>
      </c>
      <c r="DR1316" s="64">
        <f>$O1316-$O1317</f>
        <v/>
      </c>
      <c r="DS1316" s="64">
        <f>$P1316-$P1317</f>
        <v/>
      </c>
      <c r="DT1316" s="64">
        <f>$Q1316-$Q1317</f>
        <v/>
      </c>
      <c r="DU1316" s="64">
        <f>$S1316-$S1317</f>
        <v/>
      </c>
      <c r="DV1316" s="65">
        <f>IFERROR(AVERAGE($AA1317/$AA1316-1,$AB1317/$AB1316-1,$AC1317/$AC1316-1,$AD1317/$AD1316-1,$AE1317/$AE1316-1,$AG1317/$AG1316-1,$AH1317/$AH1316-1,$AI1317/$AI1316-1,$AJ1317/$AJ1316-1,$AL1317/$AL1316-1,$AM1317/$AM1316-1,$AR1317/$AR1316-1,$AS1317/$AS1316-1,$AT1317/$AT1316-1,$AU1317/$AU1316-1,$AV1317/$AV1316-1,$AW1317/$AW1316-1,$AX1317/$AX1316-1,$AY1317/$AY1316-1),"")</f>
        <v/>
      </c>
      <c r="DW1316" s="66">
        <f>AVERAGE($CB1316,$CC1316,$CD1316,$CE1316,$CF1316,$CG1316,$CH1316,$CI1316,$CJ1316,$CL1316,$CM1316,$CN1316,$CO1316,$CP1316,$CQ1316,$CR1316,$CS1316,$CT1316)</f>
        <v/>
      </c>
      <c r="DX1316" s="66">
        <f>AVERAGE($CB1316,$CC1316,$CM1316,$CE1316,$CP1316)</f>
        <v/>
      </c>
      <c r="DY1316" s="64">
        <f>($DW1316-$DW1317)*100</f>
        <v/>
      </c>
      <c r="DZ1316" s="64">
        <f>($DX1316-$DX1317)*100</f>
        <v/>
      </c>
      <c r="EA1316" s="64">
        <f>($DW1316-$D1316)*100</f>
        <v/>
      </c>
      <c r="EB1316" s="64">
        <f>$Q1316-$O1316</f>
        <v/>
      </c>
      <c r="EC1316" s="67">
        <f>IFERROR($Q1316/$P1316,"")</f>
        <v/>
      </c>
    </row>
    <row r="1317">
      <c r="DG1317" s="64">
        <f>($B1317-$B1318)*100</f>
        <v/>
      </c>
      <c r="DH1317" s="64">
        <f>($D1317-$D1318)*100</f>
        <v/>
      </c>
      <c r="DI1317" s="64">
        <f>($E1317-$E1318)*100</f>
        <v/>
      </c>
      <c r="DJ1317" s="64">
        <f>($H1317-$H1318)*100</f>
        <v/>
      </c>
      <c r="DK1317" s="65">
        <f>IFERROR($J1317/$J1318-1,"")</f>
        <v/>
      </c>
      <c r="DL1317" s="64">
        <f>$L1317-$L1318</f>
        <v/>
      </c>
      <c r="DM1317" s="64">
        <f>$K1317-$K1318</f>
        <v/>
      </c>
      <c r="DN1317" s="65">
        <f>IFERROR($N1317/$N1318-1,"")</f>
        <v/>
      </c>
      <c r="DO1317" s="65">
        <f>IFERROR($M1317/$M1318-1,"")</f>
        <v/>
      </c>
      <c r="DP1317" s="65">
        <f>IFERROR($AZ1317/$AZ1318-1,"")</f>
        <v/>
      </c>
      <c r="DQ1317" s="65">
        <f>IFERROR($BA1317/$BA1318-1,"")</f>
        <v/>
      </c>
      <c r="DR1317" s="64">
        <f>$O1317-$O1318</f>
        <v/>
      </c>
      <c r="DS1317" s="64">
        <f>$P1317-$P1318</f>
        <v/>
      </c>
      <c r="DT1317" s="64">
        <f>$Q1317-$Q1318</f>
        <v/>
      </c>
      <c r="DU1317" s="64">
        <f>$S1317-$S1318</f>
        <v/>
      </c>
      <c r="DV1317" s="65">
        <f>IFERROR(AVERAGE($AA1318/$AA1317-1,$AB1318/$AB1317-1,$AC1318/$AC1317-1,$AD1318/$AD1317-1,$AE1318/$AE1317-1,$AG1318/$AG1317-1,$AH1318/$AH1317-1,$AI1318/$AI1317-1,$AJ1318/$AJ1317-1,$AL1318/$AL1317-1,$AM1318/$AM1317-1,$AR1318/$AR1317-1,$AS1318/$AS1317-1,$AT1318/$AT1317-1,$AU1318/$AU1317-1,$AV1318/$AV1317-1,$AW1318/$AW1317-1,$AX1318/$AX1317-1,$AY1318/$AY1317-1),"")</f>
        <v/>
      </c>
      <c r="DW1317" s="66">
        <f>AVERAGE($CB1317,$CC1317,$CD1317,$CE1317,$CF1317,$CG1317,$CH1317,$CI1317,$CJ1317,$CL1317,$CM1317,$CN1317,$CO1317,$CP1317,$CQ1317,$CR1317,$CS1317,$CT1317)</f>
        <v/>
      </c>
      <c r="DX1317" s="66">
        <f>AVERAGE($CB1317,$CC1317,$CM1317,$CE1317,$CP1317)</f>
        <v/>
      </c>
      <c r="DY1317" s="64">
        <f>($DW1317-$DW1318)*100</f>
        <v/>
      </c>
      <c r="DZ1317" s="64">
        <f>($DX1317-$DX1318)*100</f>
        <v/>
      </c>
      <c r="EA1317" s="64">
        <f>($DW1317-$D1317)*100</f>
        <v/>
      </c>
      <c r="EB1317" s="64">
        <f>$Q1317-$O1317</f>
        <v/>
      </c>
      <c r="EC1317" s="67">
        <f>IFERROR($Q1317/$P1317,"")</f>
        <v/>
      </c>
    </row>
    <row r="1318">
      <c r="DG1318" s="64">
        <f>($B1318-$B1319)*100</f>
        <v/>
      </c>
      <c r="DH1318" s="64">
        <f>($D1318-$D1319)*100</f>
        <v/>
      </c>
      <c r="DI1318" s="64">
        <f>($E1318-$E1319)*100</f>
        <v/>
      </c>
      <c r="DJ1318" s="64">
        <f>($H1318-$H1319)*100</f>
        <v/>
      </c>
      <c r="DK1318" s="65">
        <f>IFERROR($J1318/$J1319-1,"")</f>
        <v/>
      </c>
      <c r="DL1318" s="64">
        <f>$L1318-$L1319</f>
        <v/>
      </c>
      <c r="DM1318" s="64">
        <f>$K1318-$K1319</f>
        <v/>
      </c>
      <c r="DN1318" s="65">
        <f>IFERROR($N1318/$N1319-1,"")</f>
        <v/>
      </c>
      <c r="DO1318" s="65">
        <f>IFERROR($M1318/$M1319-1,"")</f>
        <v/>
      </c>
      <c r="DP1318" s="65">
        <f>IFERROR($AZ1318/$AZ1319-1,"")</f>
        <v/>
      </c>
      <c r="DQ1318" s="65">
        <f>IFERROR($BA1318/$BA1319-1,"")</f>
        <v/>
      </c>
      <c r="DR1318" s="64">
        <f>$O1318-$O1319</f>
        <v/>
      </c>
      <c r="DS1318" s="64">
        <f>$P1318-$P1319</f>
        <v/>
      </c>
      <c r="DT1318" s="64">
        <f>$Q1318-$Q1319</f>
        <v/>
      </c>
      <c r="DU1318" s="64">
        <f>$S1318-$S1319</f>
        <v/>
      </c>
      <c r="DV1318" s="65">
        <f>IFERROR(AVERAGE($AA1319/$AA1318-1,$AB1319/$AB1318-1,$AC1319/$AC1318-1,$AD1319/$AD1318-1,$AE1319/$AE1318-1,$AG1319/$AG1318-1,$AH1319/$AH1318-1,$AI1319/$AI1318-1,$AJ1319/$AJ1318-1,$AL1319/$AL1318-1,$AM1319/$AM1318-1,$AR1319/$AR1318-1,$AS1319/$AS1318-1,$AT1319/$AT1318-1,$AU1319/$AU1318-1,$AV1319/$AV1318-1,$AW1319/$AW1318-1,$AX1319/$AX1318-1,$AY1319/$AY1318-1),"")</f>
        <v/>
      </c>
      <c r="DW1318" s="66">
        <f>AVERAGE($CB1318,$CC1318,$CD1318,$CE1318,$CF1318,$CG1318,$CH1318,$CI1318,$CJ1318,$CL1318,$CM1318,$CN1318,$CO1318,$CP1318,$CQ1318,$CR1318,$CS1318,$CT1318)</f>
        <v/>
      </c>
      <c r="DX1318" s="66">
        <f>AVERAGE($CB1318,$CC1318,$CM1318,$CE1318,$CP1318)</f>
        <v/>
      </c>
      <c r="DY1318" s="64">
        <f>($DW1318-$DW1319)*100</f>
        <v/>
      </c>
      <c r="DZ1318" s="64">
        <f>($DX1318-$DX1319)*100</f>
        <v/>
      </c>
      <c r="EA1318" s="64">
        <f>($DW1318-$D1318)*100</f>
        <v/>
      </c>
      <c r="EB1318" s="64">
        <f>$Q1318-$O1318</f>
        <v/>
      </c>
      <c r="EC1318" s="67">
        <f>IFERROR($Q1318/$P1318,"")</f>
        <v/>
      </c>
    </row>
    <row r="1319">
      <c r="DG1319" s="64">
        <f>($B1319-$B1320)*100</f>
        <v/>
      </c>
      <c r="DH1319" s="64">
        <f>($D1319-$D1320)*100</f>
        <v/>
      </c>
      <c r="DI1319" s="64">
        <f>($E1319-$E1320)*100</f>
        <v/>
      </c>
      <c r="DJ1319" s="64">
        <f>($H1319-$H1320)*100</f>
        <v/>
      </c>
      <c r="DK1319" s="65">
        <f>IFERROR($J1319/$J1320-1,"")</f>
        <v/>
      </c>
      <c r="DL1319" s="64">
        <f>$L1319-$L1320</f>
        <v/>
      </c>
      <c r="DM1319" s="64">
        <f>$K1319-$K1320</f>
        <v/>
      </c>
      <c r="DN1319" s="65">
        <f>IFERROR($N1319/$N1320-1,"")</f>
        <v/>
      </c>
      <c r="DO1319" s="65">
        <f>IFERROR($M1319/$M1320-1,"")</f>
        <v/>
      </c>
      <c r="DP1319" s="65">
        <f>IFERROR($AZ1319/$AZ1320-1,"")</f>
        <v/>
      </c>
      <c r="DQ1319" s="65">
        <f>IFERROR($BA1319/$BA1320-1,"")</f>
        <v/>
      </c>
      <c r="DR1319" s="64">
        <f>$O1319-$O1320</f>
        <v/>
      </c>
      <c r="DS1319" s="64">
        <f>$P1319-$P1320</f>
        <v/>
      </c>
      <c r="DT1319" s="64">
        <f>$Q1319-$Q1320</f>
        <v/>
      </c>
      <c r="DU1319" s="64">
        <f>$S1319-$S1320</f>
        <v/>
      </c>
      <c r="DV1319" s="65">
        <f>IFERROR(AVERAGE($AA1320/$AA1319-1,$AB1320/$AB1319-1,$AC1320/$AC1319-1,$AD1320/$AD1319-1,$AE1320/$AE1319-1,$AG1320/$AG1319-1,$AH1320/$AH1319-1,$AI1320/$AI1319-1,$AJ1320/$AJ1319-1,$AL1320/$AL1319-1,$AM1320/$AM1319-1,$AR1320/$AR1319-1,$AS1320/$AS1319-1,$AT1320/$AT1319-1,$AU1320/$AU1319-1,$AV1320/$AV1319-1,$AW1320/$AW1319-1,$AX1320/$AX1319-1,$AY1320/$AY1319-1),"")</f>
        <v/>
      </c>
      <c r="DW1319" s="66">
        <f>AVERAGE($CB1319,$CC1319,$CD1319,$CE1319,$CF1319,$CG1319,$CH1319,$CI1319,$CJ1319,$CL1319,$CM1319,$CN1319,$CO1319,$CP1319,$CQ1319,$CR1319,$CS1319,$CT1319)</f>
        <v/>
      </c>
      <c r="DX1319" s="66">
        <f>AVERAGE($CB1319,$CC1319,$CM1319,$CE1319,$CP1319)</f>
        <v/>
      </c>
      <c r="DY1319" s="64">
        <f>($DW1319-$DW1320)*100</f>
        <v/>
      </c>
      <c r="DZ1319" s="64">
        <f>($DX1319-$DX1320)*100</f>
        <v/>
      </c>
      <c r="EA1319" s="64">
        <f>($DW1319-$D1319)*100</f>
        <v/>
      </c>
      <c r="EB1319" s="64">
        <f>$Q1319-$O1319</f>
        <v/>
      </c>
      <c r="EC1319" s="67">
        <f>IFERROR($Q1319/$P1319,"")</f>
        <v/>
      </c>
    </row>
    <row r="1320">
      <c r="DG1320" s="64">
        <f>($B1320-$B1321)*100</f>
        <v/>
      </c>
      <c r="DH1320" s="64">
        <f>($D1320-$D1321)*100</f>
        <v/>
      </c>
      <c r="DI1320" s="64">
        <f>($E1320-$E1321)*100</f>
        <v/>
      </c>
      <c r="DJ1320" s="64">
        <f>($H1320-$H1321)*100</f>
        <v/>
      </c>
      <c r="DK1320" s="65">
        <f>IFERROR($J1320/$J1321-1,"")</f>
        <v/>
      </c>
      <c r="DL1320" s="64">
        <f>$L1320-$L1321</f>
        <v/>
      </c>
      <c r="DM1320" s="64">
        <f>$K1320-$K1321</f>
        <v/>
      </c>
      <c r="DN1320" s="65">
        <f>IFERROR($N1320/$N1321-1,"")</f>
        <v/>
      </c>
      <c r="DO1320" s="65">
        <f>IFERROR($M1320/$M1321-1,"")</f>
        <v/>
      </c>
      <c r="DP1320" s="65">
        <f>IFERROR($AZ1320/$AZ1321-1,"")</f>
        <v/>
      </c>
      <c r="DQ1320" s="65">
        <f>IFERROR($BA1320/$BA1321-1,"")</f>
        <v/>
      </c>
      <c r="DR1320" s="64">
        <f>$O1320-$O1321</f>
        <v/>
      </c>
      <c r="DS1320" s="64">
        <f>$P1320-$P1321</f>
        <v/>
      </c>
      <c r="DT1320" s="64">
        <f>$Q1320-$Q1321</f>
        <v/>
      </c>
      <c r="DU1320" s="64">
        <f>$S1320-$S1321</f>
        <v/>
      </c>
      <c r="DV1320" s="65">
        <f>IFERROR(AVERAGE($AA1321/$AA1320-1,$AB1321/$AB1320-1,$AC1321/$AC1320-1,$AD1321/$AD1320-1,$AE1321/$AE1320-1,$AG1321/$AG1320-1,$AH1321/$AH1320-1,$AI1321/$AI1320-1,$AJ1321/$AJ1320-1,$AL1321/$AL1320-1,$AM1321/$AM1320-1,$AR1321/$AR1320-1,$AS1321/$AS1320-1,$AT1321/$AT1320-1,$AU1321/$AU1320-1,$AV1321/$AV1320-1,$AW1321/$AW1320-1,$AX1321/$AX1320-1,$AY1321/$AY1320-1),"")</f>
        <v/>
      </c>
      <c r="DW1320" s="66">
        <f>AVERAGE($CB1320,$CC1320,$CD1320,$CE1320,$CF1320,$CG1320,$CH1320,$CI1320,$CJ1320,$CL1320,$CM1320,$CN1320,$CO1320,$CP1320,$CQ1320,$CR1320,$CS1320,$CT1320)</f>
        <v/>
      </c>
      <c r="DX1320" s="66">
        <f>AVERAGE($CB1320,$CC1320,$CM1320,$CE1320,$CP1320)</f>
        <v/>
      </c>
      <c r="DY1320" s="64">
        <f>($DW1320-$DW1321)*100</f>
        <v/>
      </c>
      <c r="DZ1320" s="64">
        <f>($DX1320-$DX1321)*100</f>
        <v/>
      </c>
      <c r="EA1320" s="64">
        <f>($DW1320-$D1320)*100</f>
        <v/>
      </c>
      <c r="EB1320" s="64">
        <f>$Q1320-$O1320</f>
        <v/>
      </c>
      <c r="EC1320" s="67">
        <f>IFERROR($Q1320/$P1320,"")</f>
        <v/>
      </c>
    </row>
    <row r="1321">
      <c r="DG1321" s="64">
        <f>($B1321-$B1322)*100</f>
        <v/>
      </c>
      <c r="DH1321" s="64">
        <f>($D1321-$D1322)*100</f>
        <v/>
      </c>
      <c r="DI1321" s="64">
        <f>($E1321-$E1322)*100</f>
        <v/>
      </c>
      <c r="DJ1321" s="64">
        <f>($H1321-$H1322)*100</f>
        <v/>
      </c>
      <c r="DK1321" s="65">
        <f>IFERROR($J1321/$J1322-1,"")</f>
        <v/>
      </c>
      <c r="DL1321" s="64">
        <f>$L1321-$L1322</f>
        <v/>
      </c>
      <c r="DM1321" s="64">
        <f>$K1321-$K1322</f>
        <v/>
      </c>
      <c r="DN1321" s="65">
        <f>IFERROR($N1321/$N1322-1,"")</f>
        <v/>
      </c>
      <c r="DO1321" s="65">
        <f>IFERROR($M1321/$M1322-1,"")</f>
        <v/>
      </c>
      <c r="DP1321" s="65">
        <f>IFERROR($AZ1321/$AZ1322-1,"")</f>
        <v/>
      </c>
      <c r="DQ1321" s="65">
        <f>IFERROR($BA1321/$BA1322-1,"")</f>
        <v/>
      </c>
      <c r="DR1321" s="64">
        <f>$O1321-$O1322</f>
        <v/>
      </c>
      <c r="DS1321" s="64">
        <f>$P1321-$P1322</f>
        <v/>
      </c>
      <c r="DT1321" s="64">
        <f>$Q1321-$Q1322</f>
        <v/>
      </c>
      <c r="DU1321" s="64">
        <f>$S1321-$S1322</f>
        <v/>
      </c>
      <c r="DV1321" s="65">
        <f>IFERROR(AVERAGE($AA1322/$AA1321-1,$AB1322/$AB1321-1,$AC1322/$AC1321-1,$AD1322/$AD1321-1,$AE1322/$AE1321-1,$AG1322/$AG1321-1,$AH1322/$AH1321-1,$AI1322/$AI1321-1,$AJ1322/$AJ1321-1,$AL1322/$AL1321-1,$AM1322/$AM1321-1,$AR1322/$AR1321-1,$AS1322/$AS1321-1,$AT1322/$AT1321-1,$AU1322/$AU1321-1,$AV1322/$AV1321-1,$AW1322/$AW1321-1,$AX1322/$AX1321-1,$AY1322/$AY1321-1),"")</f>
        <v/>
      </c>
      <c r="DW1321" s="66">
        <f>AVERAGE($CB1321,$CC1321,$CD1321,$CE1321,$CF1321,$CG1321,$CH1321,$CI1321,$CJ1321,$CL1321,$CM1321,$CN1321,$CO1321,$CP1321,$CQ1321,$CR1321,$CS1321,$CT1321)</f>
        <v/>
      </c>
      <c r="DX1321" s="66">
        <f>AVERAGE($CB1321,$CC1321,$CM1321,$CE1321,$CP1321)</f>
        <v/>
      </c>
      <c r="DY1321" s="64">
        <f>($DW1321-$DW1322)*100</f>
        <v/>
      </c>
      <c r="DZ1321" s="64">
        <f>($DX1321-$DX1322)*100</f>
        <v/>
      </c>
      <c r="EA1321" s="64">
        <f>($DW1321-$D1321)*100</f>
        <v/>
      </c>
      <c r="EB1321" s="64">
        <f>$Q1321-$O1321</f>
        <v/>
      </c>
      <c r="EC1321" s="67">
        <f>IFERROR($Q1321/$P1321,"")</f>
        <v/>
      </c>
    </row>
    <row r="1322">
      <c r="DG1322" s="64">
        <f>($B1322-$B1323)*100</f>
        <v/>
      </c>
      <c r="DH1322" s="64">
        <f>($D1322-$D1323)*100</f>
        <v/>
      </c>
      <c r="DI1322" s="64">
        <f>($E1322-$E1323)*100</f>
        <v/>
      </c>
      <c r="DJ1322" s="64">
        <f>($H1322-$H1323)*100</f>
        <v/>
      </c>
      <c r="DK1322" s="65">
        <f>IFERROR($J1322/$J1323-1,"")</f>
        <v/>
      </c>
      <c r="DL1322" s="64">
        <f>$L1322-$L1323</f>
        <v/>
      </c>
      <c r="DM1322" s="64">
        <f>$K1322-$K1323</f>
        <v/>
      </c>
      <c r="DN1322" s="65">
        <f>IFERROR($N1322/$N1323-1,"")</f>
        <v/>
      </c>
      <c r="DO1322" s="65">
        <f>IFERROR($M1322/$M1323-1,"")</f>
        <v/>
      </c>
      <c r="DP1322" s="65">
        <f>IFERROR($AZ1322/$AZ1323-1,"")</f>
        <v/>
      </c>
      <c r="DQ1322" s="65">
        <f>IFERROR($BA1322/$BA1323-1,"")</f>
        <v/>
      </c>
      <c r="DR1322" s="64">
        <f>$O1322-$O1323</f>
        <v/>
      </c>
      <c r="DS1322" s="64">
        <f>$P1322-$P1323</f>
        <v/>
      </c>
      <c r="DT1322" s="64">
        <f>$Q1322-$Q1323</f>
        <v/>
      </c>
      <c r="DU1322" s="64">
        <f>$S1322-$S1323</f>
        <v/>
      </c>
      <c r="DV1322" s="65">
        <f>IFERROR(AVERAGE($AA1323/$AA1322-1,$AB1323/$AB1322-1,$AC1323/$AC1322-1,$AD1323/$AD1322-1,$AE1323/$AE1322-1,$AG1323/$AG1322-1,$AH1323/$AH1322-1,$AI1323/$AI1322-1,$AJ1323/$AJ1322-1,$AL1323/$AL1322-1,$AM1323/$AM1322-1,$AR1323/$AR1322-1,$AS1323/$AS1322-1,$AT1323/$AT1322-1,$AU1323/$AU1322-1,$AV1323/$AV1322-1,$AW1323/$AW1322-1,$AX1323/$AX1322-1,$AY1323/$AY1322-1),"")</f>
        <v/>
      </c>
      <c r="DW1322" s="66">
        <f>AVERAGE($CB1322,$CC1322,$CD1322,$CE1322,$CF1322,$CG1322,$CH1322,$CI1322,$CJ1322,$CL1322,$CM1322,$CN1322,$CO1322,$CP1322,$CQ1322,$CR1322,$CS1322,$CT1322)</f>
        <v/>
      </c>
      <c r="DX1322" s="66">
        <f>AVERAGE($CB1322,$CC1322,$CM1322,$CE1322,$CP1322)</f>
        <v/>
      </c>
      <c r="DY1322" s="64">
        <f>($DW1322-$DW1323)*100</f>
        <v/>
      </c>
      <c r="DZ1322" s="64">
        <f>($DX1322-$DX1323)*100</f>
        <v/>
      </c>
      <c r="EA1322" s="64">
        <f>($DW1322-$D1322)*100</f>
        <v/>
      </c>
      <c r="EB1322" s="64">
        <f>$Q1322-$O1322</f>
        <v/>
      </c>
      <c r="EC1322" s="67">
        <f>IFERROR($Q1322/$P1322,"")</f>
        <v/>
      </c>
    </row>
    <row r="1323">
      <c r="DG1323" s="64">
        <f>($B1323-$B1324)*100</f>
        <v/>
      </c>
      <c r="DH1323" s="64">
        <f>($D1323-$D1324)*100</f>
        <v/>
      </c>
      <c r="DI1323" s="64">
        <f>($E1323-$E1324)*100</f>
        <v/>
      </c>
      <c r="DJ1323" s="64">
        <f>($H1323-$H1324)*100</f>
        <v/>
      </c>
      <c r="DK1323" s="65">
        <f>IFERROR($J1323/$J1324-1,"")</f>
        <v/>
      </c>
      <c r="DL1323" s="64">
        <f>$L1323-$L1324</f>
        <v/>
      </c>
      <c r="DM1323" s="64">
        <f>$K1323-$K1324</f>
        <v/>
      </c>
      <c r="DN1323" s="65">
        <f>IFERROR($N1323/$N1324-1,"")</f>
        <v/>
      </c>
      <c r="DO1323" s="65">
        <f>IFERROR($M1323/$M1324-1,"")</f>
        <v/>
      </c>
      <c r="DP1323" s="65">
        <f>IFERROR($AZ1323/$AZ1324-1,"")</f>
        <v/>
      </c>
      <c r="DQ1323" s="65">
        <f>IFERROR($BA1323/$BA1324-1,"")</f>
        <v/>
      </c>
      <c r="DR1323" s="64">
        <f>$O1323-$O1324</f>
        <v/>
      </c>
      <c r="DS1323" s="64">
        <f>$P1323-$P1324</f>
        <v/>
      </c>
      <c r="DT1323" s="64">
        <f>$Q1323-$Q1324</f>
        <v/>
      </c>
      <c r="DU1323" s="64">
        <f>$S1323-$S1324</f>
        <v/>
      </c>
      <c r="DV1323" s="65">
        <f>IFERROR(AVERAGE($AA1324/$AA1323-1,$AB1324/$AB1323-1,$AC1324/$AC1323-1,$AD1324/$AD1323-1,$AE1324/$AE1323-1,$AG1324/$AG1323-1,$AH1324/$AH1323-1,$AI1324/$AI1323-1,$AJ1324/$AJ1323-1,$AL1324/$AL1323-1,$AM1324/$AM1323-1,$AR1324/$AR1323-1,$AS1324/$AS1323-1,$AT1324/$AT1323-1,$AU1324/$AU1323-1,$AV1324/$AV1323-1,$AW1324/$AW1323-1,$AX1324/$AX1323-1,$AY1324/$AY1323-1),"")</f>
        <v/>
      </c>
      <c r="DW1323" s="66">
        <f>AVERAGE($CB1323,$CC1323,$CD1323,$CE1323,$CF1323,$CG1323,$CH1323,$CI1323,$CJ1323,$CL1323,$CM1323,$CN1323,$CO1323,$CP1323,$CQ1323,$CR1323,$CS1323,$CT1323)</f>
        <v/>
      </c>
      <c r="DX1323" s="66">
        <f>AVERAGE($CB1323,$CC1323,$CM1323,$CE1323,$CP1323)</f>
        <v/>
      </c>
      <c r="DY1323" s="64">
        <f>($DW1323-$DW1324)*100</f>
        <v/>
      </c>
      <c r="DZ1323" s="64">
        <f>($DX1323-$DX1324)*100</f>
        <v/>
      </c>
      <c r="EA1323" s="64">
        <f>($DW1323-$D1323)*100</f>
        <v/>
      </c>
      <c r="EB1323" s="64">
        <f>$Q1323-$O1323</f>
        <v/>
      </c>
      <c r="EC1323" s="67">
        <f>IFERROR($Q1323/$P1323,"")</f>
        <v/>
      </c>
    </row>
    <row r="1324">
      <c r="DG1324" s="64">
        <f>($B1324-$B1325)*100</f>
        <v/>
      </c>
      <c r="DH1324" s="64">
        <f>($D1324-$D1325)*100</f>
        <v/>
      </c>
      <c r="DI1324" s="64">
        <f>($E1324-$E1325)*100</f>
        <v/>
      </c>
      <c r="DJ1324" s="64">
        <f>($H1324-$H1325)*100</f>
        <v/>
      </c>
      <c r="DK1324" s="65">
        <f>IFERROR($J1324/$J1325-1,"")</f>
        <v/>
      </c>
      <c r="DL1324" s="64">
        <f>$L1324-$L1325</f>
        <v/>
      </c>
      <c r="DM1324" s="64">
        <f>$K1324-$K1325</f>
        <v/>
      </c>
      <c r="DN1324" s="65">
        <f>IFERROR($N1324/$N1325-1,"")</f>
        <v/>
      </c>
      <c r="DO1324" s="65">
        <f>IFERROR($M1324/$M1325-1,"")</f>
        <v/>
      </c>
      <c r="DP1324" s="65">
        <f>IFERROR($AZ1324/$AZ1325-1,"")</f>
        <v/>
      </c>
      <c r="DQ1324" s="65">
        <f>IFERROR($BA1324/$BA1325-1,"")</f>
        <v/>
      </c>
      <c r="DR1324" s="64">
        <f>$O1324-$O1325</f>
        <v/>
      </c>
      <c r="DS1324" s="64">
        <f>$P1324-$P1325</f>
        <v/>
      </c>
      <c r="DT1324" s="64">
        <f>$Q1324-$Q1325</f>
        <v/>
      </c>
      <c r="DU1324" s="64">
        <f>$S1324-$S1325</f>
        <v/>
      </c>
      <c r="DV1324" s="65">
        <f>IFERROR(AVERAGE($AA1325/$AA1324-1,$AB1325/$AB1324-1,$AC1325/$AC1324-1,$AD1325/$AD1324-1,$AE1325/$AE1324-1,$AG1325/$AG1324-1,$AH1325/$AH1324-1,$AI1325/$AI1324-1,$AJ1325/$AJ1324-1,$AL1325/$AL1324-1,$AM1325/$AM1324-1,$AR1325/$AR1324-1,$AS1325/$AS1324-1,$AT1325/$AT1324-1,$AU1325/$AU1324-1,$AV1325/$AV1324-1,$AW1325/$AW1324-1,$AX1325/$AX1324-1,$AY1325/$AY1324-1),"")</f>
        <v/>
      </c>
      <c r="DW1324" s="66">
        <f>AVERAGE($CB1324,$CC1324,$CD1324,$CE1324,$CF1324,$CG1324,$CH1324,$CI1324,$CJ1324,$CL1324,$CM1324,$CN1324,$CO1324,$CP1324,$CQ1324,$CR1324,$CS1324,$CT1324)</f>
        <v/>
      </c>
      <c r="DX1324" s="66">
        <f>AVERAGE($CB1324,$CC1324,$CM1324,$CE1324,$CP1324)</f>
        <v/>
      </c>
      <c r="DY1324" s="64">
        <f>($DW1324-$DW1325)*100</f>
        <v/>
      </c>
      <c r="DZ1324" s="64">
        <f>($DX1324-$DX1325)*100</f>
        <v/>
      </c>
      <c r="EA1324" s="64">
        <f>($DW1324-$D1324)*100</f>
        <v/>
      </c>
      <c r="EB1324" s="64">
        <f>$Q1324-$O1324</f>
        <v/>
      </c>
      <c r="EC1324" s="67">
        <f>IFERROR($Q1324/$P1324,"")</f>
        <v/>
      </c>
    </row>
    <row r="1325">
      <c r="DG1325" s="64">
        <f>($B1325-$B1326)*100</f>
        <v/>
      </c>
      <c r="DH1325" s="64">
        <f>($D1325-$D1326)*100</f>
        <v/>
      </c>
      <c r="DI1325" s="64">
        <f>($E1325-$E1326)*100</f>
        <v/>
      </c>
      <c r="DJ1325" s="64">
        <f>($H1325-$H1326)*100</f>
        <v/>
      </c>
      <c r="DK1325" s="65">
        <f>IFERROR($J1325/$J1326-1,"")</f>
        <v/>
      </c>
      <c r="DL1325" s="64">
        <f>$L1325-$L1326</f>
        <v/>
      </c>
      <c r="DM1325" s="64">
        <f>$K1325-$K1326</f>
        <v/>
      </c>
      <c r="DN1325" s="65">
        <f>IFERROR($N1325/$N1326-1,"")</f>
        <v/>
      </c>
      <c r="DO1325" s="65">
        <f>IFERROR($M1325/$M1326-1,"")</f>
        <v/>
      </c>
      <c r="DP1325" s="65">
        <f>IFERROR($AZ1325/$AZ1326-1,"")</f>
        <v/>
      </c>
      <c r="DQ1325" s="65">
        <f>IFERROR($BA1325/$BA1326-1,"")</f>
        <v/>
      </c>
      <c r="DR1325" s="64">
        <f>$O1325-$O1326</f>
        <v/>
      </c>
      <c r="DS1325" s="64">
        <f>$P1325-$P1326</f>
        <v/>
      </c>
      <c r="DT1325" s="64">
        <f>$Q1325-$Q1326</f>
        <v/>
      </c>
      <c r="DU1325" s="64">
        <f>$S1325-$S1326</f>
        <v/>
      </c>
      <c r="DV1325" s="65">
        <f>IFERROR(AVERAGE($AA1326/$AA1325-1,$AB1326/$AB1325-1,$AC1326/$AC1325-1,$AD1326/$AD1325-1,$AE1326/$AE1325-1,$AG1326/$AG1325-1,$AH1326/$AH1325-1,$AI1326/$AI1325-1,$AJ1326/$AJ1325-1,$AL1326/$AL1325-1,$AM1326/$AM1325-1,$AR1326/$AR1325-1,$AS1326/$AS1325-1,$AT1326/$AT1325-1,$AU1326/$AU1325-1,$AV1326/$AV1325-1,$AW1326/$AW1325-1,$AX1326/$AX1325-1,$AY1326/$AY1325-1),"")</f>
        <v/>
      </c>
      <c r="DW1325" s="66">
        <f>AVERAGE($CB1325,$CC1325,$CD1325,$CE1325,$CF1325,$CG1325,$CH1325,$CI1325,$CJ1325,$CL1325,$CM1325,$CN1325,$CO1325,$CP1325,$CQ1325,$CR1325,$CS1325,$CT1325)</f>
        <v/>
      </c>
      <c r="DX1325" s="66">
        <f>AVERAGE($CB1325,$CC1325,$CM1325,$CE1325,$CP1325)</f>
        <v/>
      </c>
      <c r="DY1325" s="64">
        <f>($DW1325-$DW1326)*100</f>
        <v/>
      </c>
      <c r="DZ1325" s="64">
        <f>($DX1325-$DX1326)*100</f>
        <v/>
      </c>
      <c r="EA1325" s="64">
        <f>($DW1325-$D1325)*100</f>
        <v/>
      </c>
      <c r="EB1325" s="64">
        <f>$Q1325-$O1325</f>
        <v/>
      </c>
      <c r="EC1325" s="67">
        <f>IFERROR($Q1325/$P1325,"")</f>
        <v/>
      </c>
    </row>
    <row r="1326">
      <c r="DG1326" s="64">
        <f>($B1326-$B1327)*100</f>
        <v/>
      </c>
      <c r="DH1326" s="64">
        <f>($D1326-$D1327)*100</f>
        <v/>
      </c>
      <c r="DI1326" s="64">
        <f>($E1326-$E1327)*100</f>
        <v/>
      </c>
      <c r="DJ1326" s="64">
        <f>($H1326-$H1327)*100</f>
        <v/>
      </c>
      <c r="DK1326" s="65">
        <f>IFERROR($J1326/$J1327-1,"")</f>
        <v/>
      </c>
      <c r="DL1326" s="64">
        <f>$L1326-$L1327</f>
        <v/>
      </c>
      <c r="DM1326" s="64">
        <f>$K1326-$K1327</f>
        <v/>
      </c>
      <c r="DN1326" s="65">
        <f>IFERROR($N1326/$N1327-1,"")</f>
        <v/>
      </c>
      <c r="DO1326" s="65">
        <f>IFERROR($M1326/$M1327-1,"")</f>
        <v/>
      </c>
      <c r="DP1326" s="65">
        <f>IFERROR($AZ1326/$AZ1327-1,"")</f>
        <v/>
      </c>
      <c r="DQ1326" s="65">
        <f>IFERROR($BA1326/$BA1327-1,"")</f>
        <v/>
      </c>
      <c r="DR1326" s="64">
        <f>$O1326-$O1327</f>
        <v/>
      </c>
      <c r="DS1326" s="64">
        <f>$P1326-$P1327</f>
        <v/>
      </c>
      <c r="DT1326" s="64">
        <f>$Q1326-$Q1327</f>
        <v/>
      </c>
      <c r="DU1326" s="64">
        <f>$S1326-$S1327</f>
        <v/>
      </c>
      <c r="DV1326" s="65">
        <f>IFERROR(AVERAGE($AA1327/$AA1326-1,$AB1327/$AB1326-1,$AC1327/$AC1326-1,$AD1327/$AD1326-1,$AE1327/$AE1326-1,$AG1327/$AG1326-1,$AH1327/$AH1326-1,$AI1327/$AI1326-1,$AJ1327/$AJ1326-1,$AL1327/$AL1326-1,$AM1327/$AM1326-1,$AR1327/$AR1326-1,$AS1327/$AS1326-1,$AT1327/$AT1326-1,$AU1327/$AU1326-1,$AV1327/$AV1326-1,$AW1327/$AW1326-1,$AX1327/$AX1326-1,$AY1327/$AY1326-1),"")</f>
        <v/>
      </c>
      <c r="DW1326" s="66">
        <f>AVERAGE($CB1326,$CC1326,$CD1326,$CE1326,$CF1326,$CG1326,$CH1326,$CI1326,$CJ1326,$CL1326,$CM1326,$CN1326,$CO1326,$CP1326,$CQ1326,$CR1326,$CS1326,$CT1326)</f>
        <v/>
      </c>
      <c r="DX1326" s="66">
        <f>AVERAGE($CB1326,$CC1326,$CM1326,$CE1326,$CP1326)</f>
        <v/>
      </c>
      <c r="DY1326" s="64">
        <f>($DW1326-$DW1327)*100</f>
        <v/>
      </c>
      <c r="DZ1326" s="64">
        <f>($DX1326-$DX1327)*100</f>
        <v/>
      </c>
      <c r="EA1326" s="64">
        <f>($DW1326-$D1326)*100</f>
        <v/>
      </c>
      <c r="EB1326" s="64">
        <f>$Q1326-$O1326</f>
        <v/>
      </c>
      <c r="EC1326" s="67">
        <f>IFERROR($Q1326/$P1326,"")</f>
        <v/>
      </c>
    </row>
    <row r="1327">
      <c r="DG1327" s="64">
        <f>($B1327-$B1328)*100</f>
        <v/>
      </c>
      <c r="DH1327" s="64">
        <f>($D1327-$D1328)*100</f>
        <v/>
      </c>
      <c r="DI1327" s="64">
        <f>($E1327-$E1328)*100</f>
        <v/>
      </c>
      <c r="DJ1327" s="64">
        <f>($H1327-$H1328)*100</f>
        <v/>
      </c>
      <c r="DK1327" s="65">
        <f>IFERROR($J1327/$J1328-1,"")</f>
        <v/>
      </c>
      <c r="DL1327" s="64">
        <f>$L1327-$L1328</f>
        <v/>
      </c>
      <c r="DM1327" s="64">
        <f>$K1327-$K1328</f>
        <v/>
      </c>
      <c r="DN1327" s="65">
        <f>IFERROR($N1327/$N1328-1,"")</f>
        <v/>
      </c>
      <c r="DO1327" s="65">
        <f>IFERROR($M1327/$M1328-1,"")</f>
        <v/>
      </c>
      <c r="DP1327" s="65">
        <f>IFERROR($AZ1327/$AZ1328-1,"")</f>
        <v/>
      </c>
      <c r="DQ1327" s="65">
        <f>IFERROR($BA1327/$BA1328-1,"")</f>
        <v/>
      </c>
      <c r="DR1327" s="64">
        <f>$O1327-$O1328</f>
        <v/>
      </c>
      <c r="DS1327" s="64">
        <f>$P1327-$P1328</f>
        <v/>
      </c>
      <c r="DT1327" s="64">
        <f>$Q1327-$Q1328</f>
        <v/>
      </c>
      <c r="DU1327" s="64">
        <f>$S1327-$S1328</f>
        <v/>
      </c>
      <c r="DV1327" s="65">
        <f>IFERROR(AVERAGE($AA1328/$AA1327-1,$AB1328/$AB1327-1,$AC1328/$AC1327-1,$AD1328/$AD1327-1,$AE1328/$AE1327-1,$AG1328/$AG1327-1,$AH1328/$AH1327-1,$AI1328/$AI1327-1,$AJ1328/$AJ1327-1,$AL1328/$AL1327-1,$AM1328/$AM1327-1,$AR1328/$AR1327-1,$AS1328/$AS1327-1,$AT1328/$AT1327-1,$AU1328/$AU1327-1,$AV1328/$AV1327-1,$AW1328/$AW1327-1,$AX1328/$AX1327-1,$AY1328/$AY1327-1),"")</f>
        <v/>
      </c>
      <c r="DW1327" s="66">
        <f>AVERAGE($CB1327,$CC1327,$CD1327,$CE1327,$CF1327,$CG1327,$CH1327,$CI1327,$CJ1327,$CL1327,$CM1327,$CN1327,$CO1327,$CP1327,$CQ1327,$CR1327,$CS1327,$CT1327)</f>
        <v/>
      </c>
      <c r="DX1327" s="66">
        <f>AVERAGE($CB1327,$CC1327,$CM1327,$CE1327,$CP1327)</f>
        <v/>
      </c>
      <c r="DY1327" s="64">
        <f>($DW1327-$DW1328)*100</f>
        <v/>
      </c>
      <c r="DZ1327" s="64">
        <f>($DX1327-$DX1328)*100</f>
        <v/>
      </c>
      <c r="EA1327" s="64">
        <f>($DW1327-$D1327)*100</f>
        <v/>
      </c>
      <c r="EB1327" s="64">
        <f>$Q1327-$O1327</f>
        <v/>
      </c>
      <c r="EC1327" s="67">
        <f>IFERROR($Q1327/$P1327,"")</f>
        <v/>
      </c>
    </row>
    <row r="1328">
      <c r="DG1328" s="64">
        <f>($B1328-$B1329)*100</f>
        <v/>
      </c>
      <c r="DH1328" s="64">
        <f>($D1328-$D1329)*100</f>
        <v/>
      </c>
      <c r="DI1328" s="64">
        <f>($E1328-$E1329)*100</f>
        <v/>
      </c>
      <c r="DJ1328" s="64">
        <f>($H1328-$H1329)*100</f>
        <v/>
      </c>
      <c r="DK1328" s="65">
        <f>IFERROR($J1328/$J1329-1,"")</f>
        <v/>
      </c>
      <c r="DL1328" s="64">
        <f>$L1328-$L1329</f>
        <v/>
      </c>
      <c r="DM1328" s="64">
        <f>$K1328-$K1329</f>
        <v/>
      </c>
      <c r="DN1328" s="65">
        <f>IFERROR($N1328/$N1329-1,"")</f>
        <v/>
      </c>
      <c r="DO1328" s="65">
        <f>IFERROR($M1328/$M1329-1,"")</f>
        <v/>
      </c>
      <c r="DP1328" s="65">
        <f>IFERROR($AZ1328/$AZ1329-1,"")</f>
        <v/>
      </c>
      <c r="DQ1328" s="65">
        <f>IFERROR($BA1328/$BA1329-1,"")</f>
        <v/>
      </c>
      <c r="DR1328" s="64">
        <f>$O1328-$O1329</f>
        <v/>
      </c>
      <c r="DS1328" s="64">
        <f>$P1328-$P1329</f>
        <v/>
      </c>
      <c r="DT1328" s="64">
        <f>$Q1328-$Q1329</f>
        <v/>
      </c>
      <c r="DU1328" s="64">
        <f>$S1328-$S1329</f>
        <v/>
      </c>
      <c r="DV1328" s="65">
        <f>IFERROR(AVERAGE($AA1329/$AA1328-1,$AB1329/$AB1328-1,$AC1329/$AC1328-1,$AD1329/$AD1328-1,$AE1329/$AE1328-1,$AG1329/$AG1328-1,$AH1329/$AH1328-1,$AI1329/$AI1328-1,$AJ1329/$AJ1328-1,$AL1329/$AL1328-1,$AM1329/$AM1328-1,$AR1329/$AR1328-1,$AS1329/$AS1328-1,$AT1329/$AT1328-1,$AU1329/$AU1328-1,$AV1329/$AV1328-1,$AW1329/$AW1328-1,$AX1329/$AX1328-1,$AY1329/$AY1328-1),"")</f>
        <v/>
      </c>
      <c r="DW1328" s="66">
        <f>AVERAGE($CB1328,$CC1328,$CD1328,$CE1328,$CF1328,$CG1328,$CH1328,$CI1328,$CJ1328,$CL1328,$CM1328,$CN1328,$CO1328,$CP1328,$CQ1328,$CR1328,$CS1328,$CT1328)</f>
        <v/>
      </c>
      <c r="DX1328" s="66">
        <f>AVERAGE($CB1328,$CC1328,$CM1328,$CE1328,$CP1328)</f>
        <v/>
      </c>
      <c r="DY1328" s="64">
        <f>($DW1328-$DW1329)*100</f>
        <v/>
      </c>
      <c r="DZ1328" s="64">
        <f>($DX1328-$DX1329)*100</f>
        <v/>
      </c>
      <c r="EA1328" s="64">
        <f>($DW1328-$D1328)*100</f>
        <v/>
      </c>
      <c r="EB1328" s="64">
        <f>$Q1328-$O1328</f>
        <v/>
      </c>
      <c r="EC1328" s="67">
        <f>IFERROR($Q1328/$P1328,"")</f>
        <v/>
      </c>
    </row>
    <row r="1329">
      <c r="DG1329" s="64">
        <f>($B1329-$B1330)*100</f>
        <v/>
      </c>
      <c r="DH1329" s="64">
        <f>($D1329-$D1330)*100</f>
        <v/>
      </c>
      <c r="DI1329" s="64">
        <f>($E1329-$E1330)*100</f>
        <v/>
      </c>
      <c r="DJ1329" s="64">
        <f>($H1329-$H1330)*100</f>
        <v/>
      </c>
      <c r="DK1329" s="65">
        <f>IFERROR($J1329/$J1330-1,"")</f>
        <v/>
      </c>
      <c r="DL1329" s="64">
        <f>$L1329-$L1330</f>
        <v/>
      </c>
      <c r="DM1329" s="64">
        <f>$K1329-$K1330</f>
        <v/>
      </c>
      <c r="DN1329" s="65">
        <f>IFERROR($N1329/$N1330-1,"")</f>
        <v/>
      </c>
      <c r="DO1329" s="65">
        <f>IFERROR($M1329/$M1330-1,"")</f>
        <v/>
      </c>
      <c r="DP1329" s="65">
        <f>IFERROR($AZ1329/$AZ1330-1,"")</f>
        <v/>
      </c>
      <c r="DQ1329" s="65">
        <f>IFERROR($BA1329/$BA1330-1,"")</f>
        <v/>
      </c>
      <c r="DR1329" s="64">
        <f>$O1329-$O1330</f>
        <v/>
      </c>
      <c r="DS1329" s="64">
        <f>$P1329-$P1330</f>
        <v/>
      </c>
      <c r="DT1329" s="64">
        <f>$Q1329-$Q1330</f>
        <v/>
      </c>
      <c r="DU1329" s="64">
        <f>$S1329-$S1330</f>
        <v/>
      </c>
      <c r="DV1329" s="65">
        <f>IFERROR(AVERAGE($AA1330/$AA1329-1,$AB1330/$AB1329-1,$AC1330/$AC1329-1,$AD1330/$AD1329-1,$AE1330/$AE1329-1,$AG1330/$AG1329-1,$AH1330/$AH1329-1,$AI1330/$AI1329-1,$AJ1330/$AJ1329-1,$AL1330/$AL1329-1,$AM1330/$AM1329-1,$AR1330/$AR1329-1,$AS1330/$AS1329-1,$AT1330/$AT1329-1,$AU1330/$AU1329-1,$AV1330/$AV1329-1,$AW1330/$AW1329-1,$AX1330/$AX1329-1,$AY1330/$AY1329-1),"")</f>
        <v/>
      </c>
      <c r="DW1329" s="66">
        <f>AVERAGE($CB1329,$CC1329,$CD1329,$CE1329,$CF1329,$CG1329,$CH1329,$CI1329,$CJ1329,$CL1329,$CM1329,$CN1329,$CO1329,$CP1329,$CQ1329,$CR1329,$CS1329,$CT1329)</f>
        <v/>
      </c>
      <c r="DX1329" s="66">
        <f>AVERAGE($CB1329,$CC1329,$CM1329,$CE1329,$CP1329)</f>
        <v/>
      </c>
      <c r="DY1329" s="64">
        <f>($DW1329-$DW1330)*100</f>
        <v/>
      </c>
      <c r="DZ1329" s="64">
        <f>($DX1329-$DX1330)*100</f>
        <v/>
      </c>
      <c r="EA1329" s="64">
        <f>($DW1329-$D1329)*100</f>
        <v/>
      </c>
      <c r="EB1329" s="64">
        <f>$Q1329-$O1329</f>
        <v/>
      </c>
      <c r="EC1329" s="67">
        <f>IFERROR($Q1329/$P1329,"")</f>
        <v/>
      </c>
    </row>
    <row r="1330">
      <c r="DG1330" s="64">
        <f>($B1330-$B1331)*100</f>
        <v/>
      </c>
      <c r="DH1330" s="64">
        <f>($D1330-$D1331)*100</f>
        <v/>
      </c>
      <c r="DI1330" s="64">
        <f>($E1330-$E1331)*100</f>
        <v/>
      </c>
      <c r="DJ1330" s="64">
        <f>($H1330-$H1331)*100</f>
        <v/>
      </c>
      <c r="DK1330" s="65">
        <f>IFERROR($J1330/$J1331-1,"")</f>
        <v/>
      </c>
      <c r="DL1330" s="64">
        <f>$L1330-$L1331</f>
        <v/>
      </c>
      <c r="DM1330" s="64">
        <f>$K1330-$K1331</f>
        <v/>
      </c>
      <c r="DN1330" s="65">
        <f>IFERROR($N1330/$N1331-1,"")</f>
        <v/>
      </c>
      <c r="DO1330" s="65">
        <f>IFERROR($M1330/$M1331-1,"")</f>
        <v/>
      </c>
      <c r="DP1330" s="65">
        <f>IFERROR($AZ1330/$AZ1331-1,"")</f>
        <v/>
      </c>
      <c r="DQ1330" s="65">
        <f>IFERROR($BA1330/$BA1331-1,"")</f>
        <v/>
      </c>
      <c r="DR1330" s="64">
        <f>$O1330-$O1331</f>
        <v/>
      </c>
      <c r="DS1330" s="64">
        <f>$P1330-$P1331</f>
        <v/>
      </c>
      <c r="DT1330" s="64">
        <f>$Q1330-$Q1331</f>
        <v/>
      </c>
      <c r="DU1330" s="64">
        <f>$S1330-$S1331</f>
        <v/>
      </c>
      <c r="DV1330" s="65">
        <f>IFERROR(AVERAGE($AA1331/$AA1330-1,$AB1331/$AB1330-1,$AC1331/$AC1330-1,$AD1331/$AD1330-1,$AE1331/$AE1330-1,$AG1331/$AG1330-1,$AH1331/$AH1330-1,$AI1331/$AI1330-1,$AJ1331/$AJ1330-1,$AL1331/$AL1330-1,$AM1331/$AM1330-1,$AR1331/$AR1330-1,$AS1331/$AS1330-1,$AT1331/$AT1330-1,$AU1331/$AU1330-1,$AV1331/$AV1330-1,$AW1331/$AW1330-1,$AX1331/$AX1330-1,$AY1331/$AY1330-1),"")</f>
        <v/>
      </c>
      <c r="DW1330" s="66">
        <f>AVERAGE($CB1330,$CC1330,$CD1330,$CE1330,$CF1330,$CG1330,$CH1330,$CI1330,$CJ1330,$CL1330,$CM1330,$CN1330,$CO1330,$CP1330,$CQ1330,$CR1330,$CS1330,$CT1330)</f>
        <v/>
      </c>
      <c r="DX1330" s="66">
        <f>AVERAGE($CB1330,$CC1330,$CM1330,$CE1330,$CP1330)</f>
        <v/>
      </c>
      <c r="DY1330" s="64">
        <f>($DW1330-$DW1331)*100</f>
        <v/>
      </c>
      <c r="DZ1330" s="64">
        <f>($DX1330-$DX1331)*100</f>
        <v/>
      </c>
      <c r="EA1330" s="64">
        <f>($DW1330-$D1330)*100</f>
        <v/>
      </c>
      <c r="EB1330" s="64">
        <f>$Q1330-$O1330</f>
        <v/>
      </c>
      <c r="EC1330" s="67">
        <f>IFERROR($Q1330/$P1330,"")</f>
        <v/>
      </c>
    </row>
    <row r="1331">
      <c r="DG1331" s="64">
        <f>($B1331-$B1332)*100</f>
        <v/>
      </c>
      <c r="DH1331" s="64">
        <f>($D1331-$D1332)*100</f>
        <v/>
      </c>
      <c r="DI1331" s="64">
        <f>($E1331-$E1332)*100</f>
        <v/>
      </c>
      <c r="DJ1331" s="64">
        <f>($H1331-$H1332)*100</f>
        <v/>
      </c>
      <c r="DK1331" s="65">
        <f>IFERROR($J1331/$J1332-1,"")</f>
        <v/>
      </c>
      <c r="DL1331" s="64">
        <f>$L1331-$L1332</f>
        <v/>
      </c>
      <c r="DM1331" s="64">
        <f>$K1331-$K1332</f>
        <v/>
      </c>
      <c r="DN1331" s="65">
        <f>IFERROR($N1331/$N1332-1,"")</f>
        <v/>
      </c>
      <c r="DO1331" s="65">
        <f>IFERROR($M1331/$M1332-1,"")</f>
        <v/>
      </c>
      <c r="DP1331" s="65">
        <f>IFERROR($AZ1331/$AZ1332-1,"")</f>
        <v/>
      </c>
      <c r="DQ1331" s="65">
        <f>IFERROR($BA1331/$BA1332-1,"")</f>
        <v/>
      </c>
      <c r="DR1331" s="64">
        <f>$O1331-$O1332</f>
        <v/>
      </c>
      <c r="DS1331" s="64">
        <f>$P1331-$P1332</f>
        <v/>
      </c>
      <c r="DT1331" s="64">
        <f>$Q1331-$Q1332</f>
        <v/>
      </c>
      <c r="DU1331" s="64">
        <f>$S1331-$S1332</f>
        <v/>
      </c>
      <c r="DV1331" s="65">
        <f>IFERROR(AVERAGE($AA1332/$AA1331-1,$AB1332/$AB1331-1,$AC1332/$AC1331-1,$AD1332/$AD1331-1,$AE1332/$AE1331-1,$AG1332/$AG1331-1,$AH1332/$AH1331-1,$AI1332/$AI1331-1,$AJ1332/$AJ1331-1,$AL1332/$AL1331-1,$AM1332/$AM1331-1,$AR1332/$AR1331-1,$AS1332/$AS1331-1,$AT1332/$AT1331-1,$AU1332/$AU1331-1,$AV1332/$AV1331-1,$AW1332/$AW1331-1,$AX1332/$AX1331-1,$AY1332/$AY1331-1),"")</f>
        <v/>
      </c>
      <c r="DW1331" s="66">
        <f>AVERAGE($CB1331,$CC1331,$CD1331,$CE1331,$CF1331,$CG1331,$CH1331,$CI1331,$CJ1331,$CL1331,$CM1331,$CN1331,$CO1331,$CP1331,$CQ1331,$CR1331,$CS1331,$CT1331)</f>
        <v/>
      </c>
      <c r="DX1331" s="66">
        <f>AVERAGE($CB1331,$CC1331,$CM1331,$CE1331,$CP1331)</f>
        <v/>
      </c>
      <c r="DY1331" s="64">
        <f>($DW1331-$DW1332)*100</f>
        <v/>
      </c>
      <c r="DZ1331" s="64">
        <f>($DX1331-$DX1332)*100</f>
        <v/>
      </c>
      <c r="EA1331" s="64">
        <f>($DW1331-$D1331)*100</f>
        <v/>
      </c>
      <c r="EB1331" s="64">
        <f>$Q1331-$O1331</f>
        <v/>
      </c>
      <c r="EC1331" s="67">
        <f>IFERROR($Q1331/$P1331,"")</f>
        <v/>
      </c>
    </row>
    <row r="1332">
      <c r="DG1332" s="64">
        <f>($B1332-$B1333)*100</f>
        <v/>
      </c>
      <c r="DH1332" s="64">
        <f>($D1332-$D1333)*100</f>
        <v/>
      </c>
      <c r="DI1332" s="64">
        <f>($E1332-$E1333)*100</f>
        <v/>
      </c>
      <c r="DJ1332" s="64">
        <f>($H1332-$H1333)*100</f>
        <v/>
      </c>
      <c r="DK1332" s="65">
        <f>IFERROR($J1332/$J1333-1,"")</f>
        <v/>
      </c>
      <c r="DL1332" s="64">
        <f>$L1332-$L1333</f>
        <v/>
      </c>
      <c r="DM1332" s="64">
        <f>$K1332-$K1333</f>
        <v/>
      </c>
      <c r="DN1332" s="65">
        <f>IFERROR($N1332/$N1333-1,"")</f>
        <v/>
      </c>
      <c r="DO1332" s="65">
        <f>IFERROR($M1332/$M1333-1,"")</f>
        <v/>
      </c>
      <c r="DP1332" s="65">
        <f>IFERROR($AZ1332/$AZ1333-1,"")</f>
        <v/>
      </c>
      <c r="DQ1332" s="65">
        <f>IFERROR($BA1332/$BA1333-1,"")</f>
        <v/>
      </c>
      <c r="DR1332" s="64">
        <f>$O1332-$O1333</f>
        <v/>
      </c>
      <c r="DS1332" s="64">
        <f>$P1332-$P1333</f>
        <v/>
      </c>
      <c r="DT1332" s="64">
        <f>$Q1332-$Q1333</f>
        <v/>
      </c>
      <c r="DU1332" s="64">
        <f>$S1332-$S1333</f>
        <v/>
      </c>
      <c r="DV1332" s="65">
        <f>IFERROR(AVERAGE($AA1333/$AA1332-1,$AB1333/$AB1332-1,$AC1333/$AC1332-1,$AD1333/$AD1332-1,$AE1333/$AE1332-1,$AG1333/$AG1332-1,$AH1333/$AH1332-1,$AI1333/$AI1332-1,$AJ1333/$AJ1332-1,$AL1333/$AL1332-1,$AM1333/$AM1332-1,$AR1333/$AR1332-1,$AS1333/$AS1332-1,$AT1333/$AT1332-1,$AU1333/$AU1332-1,$AV1333/$AV1332-1,$AW1333/$AW1332-1,$AX1333/$AX1332-1,$AY1333/$AY1332-1),"")</f>
        <v/>
      </c>
      <c r="DW1332" s="66">
        <f>AVERAGE($CB1332,$CC1332,$CD1332,$CE1332,$CF1332,$CG1332,$CH1332,$CI1332,$CJ1332,$CL1332,$CM1332,$CN1332,$CO1332,$CP1332,$CQ1332,$CR1332,$CS1332,$CT1332)</f>
        <v/>
      </c>
      <c r="DX1332" s="66">
        <f>AVERAGE($CB1332,$CC1332,$CM1332,$CE1332,$CP1332)</f>
        <v/>
      </c>
      <c r="DY1332" s="64">
        <f>($DW1332-$DW1333)*100</f>
        <v/>
      </c>
      <c r="DZ1332" s="64">
        <f>($DX1332-$DX1333)*100</f>
        <v/>
      </c>
      <c r="EA1332" s="64">
        <f>($DW1332-$D1332)*100</f>
        <v/>
      </c>
      <c r="EB1332" s="64">
        <f>$Q1332-$O1332</f>
        <v/>
      </c>
      <c r="EC1332" s="67">
        <f>IFERROR($Q1332/$P1332,"")</f>
        <v/>
      </c>
    </row>
    <row r="1333">
      <c r="DG1333" s="64">
        <f>($B1333-$B1334)*100</f>
        <v/>
      </c>
      <c r="DH1333" s="64">
        <f>($D1333-$D1334)*100</f>
        <v/>
      </c>
      <c r="DI1333" s="64">
        <f>($E1333-$E1334)*100</f>
        <v/>
      </c>
      <c r="DJ1333" s="64">
        <f>($H1333-$H1334)*100</f>
        <v/>
      </c>
      <c r="DK1333" s="65">
        <f>IFERROR($J1333/$J1334-1,"")</f>
        <v/>
      </c>
      <c r="DL1333" s="64">
        <f>$L1333-$L1334</f>
        <v/>
      </c>
      <c r="DM1333" s="64">
        <f>$K1333-$K1334</f>
        <v/>
      </c>
      <c r="DN1333" s="65">
        <f>IFERROR($N1333/$N1334-1,"")</f>
        <v/>
      </c>
      <c r="DO1333" s="65">
        <f>IFERROR($M1333/$M1334-1,"")</f>
        <v/>
      </c>
      <c r="DP1333" s="65">
        <f>IFERROR($AZ1333/$AZ1334-1,"")</f>
        <v/>
      </c>
      <c r="DQ1333" s="65">
        <f>IFERROR($BA1333/$BA1334-1,"")</f>
        <v/>
      </c>
      <c r="DR1333" s="64">
        <f>$O1333-$O1334</f>
        <v/>
      </c>
      <c r="DS1333" s="64">
        <f>$P1333-$P1334</f>
        <v/>
      </c>
      <c r="DT1333" s="64">
        <f>$Q1333-$Q1334</f>
        <v/>
      </c>
      <c r="DU1333" s="64">
        <f>$S1333-$S1334</f>
        <v/>
      </c>
      <c r="DV1333" s="65">
        <f>IFERROR(AVERAGE($AA1334/$AA1333-1,$AB1334/$AB1333-1,$AC1334/$AC1333-1,$AD1334/$AD1333-1,$AE1334/$AE1333-1,$AG1334/$AG1333-1,$AH1334/$AH1333-1,$AI1334/$AI1333-1,$AJ1334/$AJ1333-1,$AL1334/$AL1333-1,$AM1334/$AM1333-1,$AR1334/$AR1333-1,$AS1334/$AS1333-1,$AT1334/$AT1333-1,$AU1334/$AU1333-1,$AV1334/$AV1333-1,$AW1334/$AW1333-1,$AX1334/$AX1333-1,$AY1334/$AY1333-1),"")</f>
        <v/>
      </c>
      <c r="DW1333" s="66">
        <f>AVERAGE($CB1333,$CC1333,$CD1333,$CE1333,$CF1333,$CG1333,$CH1333,$CI1333,$CJ1333,$CL1333,$CM1333,$CN1333,$CO1333,$CP1333,$CQ1333,$CR1333,$CS1333,$CT1333)</f>
        <v/>
      </c>
      <c r="DX1333" s="66">
        <f>AVERAGE($CB1333,$CC1333,$CM1333,$CE1333,$CP1333)</f>
        <v/>
      </c>
      <c r="DY1333" s="64">
        <f>($DW1333-$DW1334)*100</f>
        <v/>
      </c>
      <c r="DZ1333" s="64">
        <f>($DX1333-$DX1334)*100</f>
        <v/>
      </c>
      <c r="EA1333" s="64">
        <f>($DW1333-$D1333)*100</f>
        <v/>
      </c>
      <c r="EB1333" s="64">
        <f>$Q1333-$O1333</f>
        <v/>
      </c>
      <c r="EC1333" s="67">
        <f>IFERROR($Q1333/$P1333,"")</f>
        <v/>
      </c>
    </row>
    <row r="1334">
      <c r="DG1334" s="64">
        <f>($B1334-$B1335)*100</f>
        <v/>
      </c>
      <c r="DH1334" s="64">
        <f>($D1334-$D1335)*100</f>
        <v/>
      </c>
      <c r="DI1334" s="64">
        <f>($E1334-$E1335)*100</f>
        <v/>
      </c>
      <c r="DJ1334" s="64">
        <f>($H1334-$H1335)*100</f>
        <v/>
      </c>
      <c r="DK1334" s="65">
        <f>IFERROR($J1334/$J1335-1,"")</f>
        <v/>
      </c>
      <c r="DL1334" s="64">
        <f>$L1334-$L1335</f>
        <v/>
      </c>
      <c r="DM1334" s="64">
        <f>$K1334-$K1335</f>
        <v/>
      </c>
      <c r="DN1334" s="65">
        <f>IFERROR($N1334/$N1335-1,"")</f>
        <v/>
      </c>
      <c r="DO1334" s="65">
        <f>IFERROR($M1334/$M1335-1,"")</f>
        <v/>
      </c>
      <c r="DP1334" s="65">
        <f>IFERROR($AZ1334/$AZ1335-1,"")</f>
        <v/>
      </c>
      <c r="DQ1334" s="65">
        <f>IFERROR($BA1334/$BA1335-1,"")</f>
        <v/>
      </c>
      <c r="DR1334" s="64">
        <f>$O1334-$O1335</f>
        <v/>
      </c>
      <c r="DS1334" s="64">
        <f>$P1334-$P1335</f>
        <v/>
      </c>
      <c r="DT1334" s="64">
        <f>$Q1334-$Q1335</f>
        <v/>
      </c>
      <c r="DU1334" s="64">
        <f>$S1334-$S1335</f>
        <v/>
      </c>
      <c r="DV1334" s="65">
        <f>IFERROR(AVERAGE($AA1335/$AA1334-1,$AB1335/$AB1334-1,$AC1335/$AC1334-1,$AD1335/$AD1334-1,$AE1335/$AE1334-1,$AG1335/$AG1334-1,$AH1335/$AH1334-1,$AI1335/$AI1334-1,$AJ1335/$AJ1334-1,$AL1335/$AL1334-1,$AM1335/$AM1334-1,$AR1335/$AR1334-1,$AS1335/$AS1334-1,$AT1335/$AT1334-1,$AU1335/$AU1334-1,$AV1335/$AV1334-1,$AW1335/$AW1334-1,$AX1335/$AX1334-1,$AY1335/$AY1334-1),"")</f>
        <v/>
      </c>
      <c r="DW1334" s="66">
        <f>AVERAGE($CB1334,$CC1334,$CD1334,$CE1334,$CF1334,$CG1334,$CH1334,$CI1334,$CJ1334,$CL1334,$CM1334,$CN1334,$CO1334,$CP1334,$CQ1334,$CR1334,$CS1334,$CT1334)</f>
        <v/>
      </c>
      <c r="DX1334" s="66">
        <f>AVERAGE($CB1334,$CC1334,$CM1334,$CE1334,$CP1334)</f>
        <v/>
      </c>
      <c r="DY1334" s="64">
        <f>($DW1334-$DW1335)*100</f>
        <v/>
      </c>
      <c r="DZ1334" s="64">
        <f>($DX1334-$DX1335)*100</f>
        <v/>
      </c>
      <c r="EA1334" s="64">
        <f>($DW1334-$D1334)*100</f>
        <v/>
      </c>
      <c r="EB1334" s="64">
        <f>$Q1334-$O1334</f>
        <v/>
      </c>
      <c r="EC1334" s="67">
        <f>IFERROR($Q1334/$P1334,"")</f>
        <v/>
      </c>
    </row>
    <row r="1335">
      <c r="DG1335" s="64">
        <f>($B1335-$B1336)*100</f>
        <v/>
      </c>
      <c r="DH1335" s="64">
        <f>($D1335-$D1336)*100</f>
        <v/>
      </c>
      <c r="DI1335" s="64">
        <f>($E1335-$E1336)*100</f>
        <v/>
      </c>
      <c r="DJ1335" s="64">
        <f>($H1335-$H1336)*100</f>
        <v/>
      </c>
      <c r="DK1335" s="65">
        <f>IFERROR($J1335/$J1336-1,"")</f>
        <v/>
      </c>
      <c r="DL1335" s="64">
        <f>$L1335-$L1336</f>
        <v/>
      </c>
      <c r="DM1335" s="64">
        <f>$K1335-$K1336</f>
        <v/>
      </c>
      <c r="DN1335" s="65">
        <f>IFERROR($N1335/$N1336-1,"")</f>
        <v/>
      </c>
      <c r="DO1335" s="65">
        <f>IFERROR($M1335/$M1336-1,"")</f>
        <v/>
      </c>
      <c r="DP1335" s="65">
        <f>IFERROR($AZ1335/$AZ1336-1,"")</f>
        <v/>
      </c>
      <c r="DQ1335" s="65">
        <f>IFERROR($BA1335/$BA1336-1,"")</f>
        <v/>
      </c>
      <c r="DR1335" s="64">
        <f>$O1335-$O1336</f>
        <v/>
      </c>
      <c r="DS1335" s="64">
        <f>$P1335-$P1336</f>
        <v/>
      </c>
      <c r="DT1335" s="64">
        <f>$Q1335-$Q1336</f>
        <v/>
      </c>
      <c r="DU1335" s="64">
        <f>$S1335-$S1336</f>
        <v/>
      </c>
      <c r="DV1335" s="65">
        <f>IFERROR(AVERAGE($AA1336/$AA1335-1,$AB1336/$AB1335-1,$AC1336/$AC1335-1,$AD1336/$AD1335-1,$AE1336/$AE1335-1,$AG1336/$AG1335-1,$AH1336/$AH1335-1,$AI1336/$AI1335-1,$AJ1336/$AJ1335-1,$AL1336/$AL1335-1,$AM1336/$AM1335-1,$AR1336/$AR1335-1,$AS1336/$AS1335-1,$AT1336/$AT1335-1,$AU1336/$AU1335-1,$AV1336/$AV1335-1,$AW1336/$AW1335-1,$AX1336/$AX1335-1,$AY1336/$AY1335-1),"")</f>
        <v/>
      </c>
      <c r="DW1335" s="66">
        <f>AVERAGE($CB1335,$CC1335,$CD1335,$CE1335,$CF1335,$CG1335,$CH1335,$CI1335,$CJ1335,$CL1335,$CM1335,$CN1335,$CO1335,$CP1335,$CQ1335,$CR1335,$CS1335,$CT1335)</f>
        <v/>
      </c>
      <c r="DX1335" s="66">
        <f>AVERAGE($CB1335,$CC1335,$CM1335,$CE1335,$CP1335)</f>
        <v/>
      </c>
      <c r="DY1335" s="64">
        <f>($DW1335-$DW1336)*100</f>
        <v/>
      </c>
      <c r="DZ1335" s="64">
        <f>($DX1335-$DX1336)*100</f>
        <v/>
      </c>
      <c r="EA1335" s="64">
        <f>($DW1335-$D1335)*100</f>
        <v/>
      </c>
      <c r="EB1335" s="64">
        <f>$Q1335-$O1335</f>
        <v/>
      </c>
      <c r="EC1335" s="67">
        <f>IFERROR($Q1335/$P1335,"")</f>
        <v/>
      </c>
    </row>
    <row r="1336">
      <c r="DG1336" s="64">
        <f>($B1336-$B1337)*100</f>
        <v/>
      </c>
      <c r="DH1336" s="64">
        <f>($D1336-$D1337)*100</f>
        <v/>
      </c>
      <c r="DI1336" s="64">
        <f>($E1336-$E1337)*100</f>
        <v/>
      </c>
      <c r="DJ1336" s="64">
        <f>($H1336-$H1337)*100</f>
        <v/>
      </c>
      <c r="DK1336" s="65">
        <f>IFERROR($J1336/$J1337-1,"")</f>
        <v/>
      </c>
      <c r="DL1336" s="64">
        <f>$L1336-$L1337</f>
        <v/>
      </c>
      <c r="DM1336" s="64">
        <f>$K1336-$K1337</f>
        <v/>
      </c>
      <c r="DN1336" s="65">
        <f>IFERROR($N1336/$N1337-1,"")</f>
        <v/>
      </c>
      <c r="DO1336" s="65">
        <f>IFERROR($M1336/$M1337-1,"")</f>
        <v/>
      </c>
      <c r="DP1336" s="65">
        <f>IFERROR($AZ1336/$AZ1337-1,"")</f>
        <v/>
      </c>
      <c r="DQ1336" s="65">
        <f>IFERROR($BA1336/$BA1337-1,"")</f>
        <v/>
      </c>
      <c r="DR1336" s="64">
        <f>$O1336-$O1337</f>
        <v/>
      </c>
      <c r="DS1336" s="64">
        <f>$P1336-$P1337</f>
        <v/>
      </c>
      <c r="DT1336" s="64">
        <f>$Q1336-$Q1337</f>
        <v/>
      </c>
      <c r="DU1336" s="64">
        <f>$S1336-$S1337</f>
        <v/>
      </c>
      <c r="DV1336" s="65">
        <f>IFERROR(AVERAGE($AA1337/$AA1336-1,$AB1337/$AB1336-1,$AC1337/$AC1336-1,$AD1337/$AD1336-1,$AE1337/$AE1336-1,$AG1337/$AG1336-1,$AH1337/$AH1336-1,$AI1337/$AI1336-1,$AJ1337/$AJ1336-1,$AL1337/$AL1336-1,$AM1337/$AM1336-1,$AR1337/$AR1336-1,$AS1337/$AS1336-1,$AT1337/$AT1336-1,$AU1337/$AU1336-1,$AV1337/$AV1336-1,$AW1337/$AW1336-1,$AX1337/$AX1336-1,$AY1337/$AY1336-1),"")</f>
        <v/>
      </c>
      <c r="DW1336" s="66">
        <f>AVERAGE($CB1336,$CC1336,$CD1336,$CE1336,$CF1336,$CG1336,$CH1336,$CI1336,$CJ1336,$CL1336,$CM1336,$CN1336,$CO1336,$CP1336,$CQ1336,$CR1336,$CS1336,$CT1336)</f>
        <v/>
      </c>
      <c r="DX1336" s="66">
        <f>AVERAGE($CB1336,$CC1336,$CM1336,$CE1336,$CP1336)</f>
        <v/>
      </c>
      <c r="DY1336" s="64">
        <f>($DW1336-$DW1337)*100</f>
        <v/>
      </c>
      <c r="DZ1336" s="64">
        <f>($DX1336-$DX1337)*100</f>
        <v/>
      </c>
      <c r="EA1336" s="64">
        <f>($DW1336-$D1336)*100</f>
        <v/>
      </c>
      <c r="EB1336" s="64">
        <f>$Q1336-$O1336</f>
        <v/>
      </c>
      <c r="EC1336" s="67">
        <f>IFERROR($Q1336/$P1336,"")</f>
        <v/>
      </c>
    </row>
    <row r="1337">
      <c r="DG1337" s="64">
        <f>($B1337-$B1338)*100</f>
        <v/>
      </c>
      <c r="DH1337" s="64">
        <f>($D1337-$D1338)*100</f>
        <v/>
      </c>
      <c r="DI1337" s="64">
        <f>($E1337-$E1338)*100</f>
        <v/>
      </c>
      <c r="DJ1337" s="64">
        <f>($H1337-$H1338)*100</f>
        <v/>
      </c>
      <c r="DK1337" s="65">
        <f>IFERROR($J1337/$J1338-1,"")</f>
        <v/>
      </c>
      <c r="DL1337" s="64">
        <f>$L1337-$L1338</f>
        <v/>
      </c>
      <c r="DM1337" s="64">
        <f>$K1337-$K1338</f>
        <v/>
      </c>
      <c r="DN1337" s="65">
        <f>IFERROR($N1337/$N1338-1,"")</f>
        <v/>
      </c>
      <c r="DO1337" s="65">
        <f>IFERROR($M1337/$M1338-1,"")</f>
        <v/>
      </c>
      <c r="DP1337" s="65">
        <f>IFERROR($AZ1337/$AZ1338-1,"")</f>
        <v/>
      </c>
      <c r="DQ1337" s="65">
        <f>IFERROR($BA1337/$BA1338-1,"")</f>
        <v/>
      </c>
      <c r="DR1337" s="64">
        <f>$O1337-$O1338</f>
        <v/>
      </c>
      <c r="DS1337" s="64">
        <f>$P1337-$P1338</f>
        <v/>
      </c>
      <c r="DT1337" s="64">
        <f>$Q1337-$Q1338</f>
        <v/>
      </c>
      <c r="DU1337" s="64">
        <f>$S1337-$S1338</f>
        <v/>
      </c>
      <c r="DV1337" s="65">
        <f>IFERROR(AVERAGE($AA1338/$AA1337-1,$AB1338/$AB1337-1,$AC1338/$AC1337-1,$AD1338/$AD1337-1,$AE1338/$AE1337-1,$AG1338/$AG1337-1,$AH1338/$AH1337-1,$AI1338/$AI1337-1,$AJ1338/$AJ1337-1,$AL1338/$AL1337-1,$AM1338/$AM1337-1,$AR1338/$AR1337-1,$AS1338/$AS1337-1,$AT1338/$AT1337-1,$AU1338/$AU1337-1,$AV1338/$AV1337-1,$AW1338/$AW1337-1,$AX1338/$AX1337-1,$AY1338/$AY1337-1),"")</f>
        <v/>
      </c>
      <c r="DW1337" s="66">
        <f>AVERAGE($CB1337,$CC1337,$CD1337,$CE1337,$CF1337,$CG1337,$CH1337,$CI1337,$CJ1337,$CL1337,$CM1337,$CN1337,$CO1337,$CP1337,$CQ1337,$CR1337,$CS1337,$CT1337)</f>
        <v/>
      </c>
      <c r="DX1337" s="66">
        <f>AVERAGE($CB1337,$CC1337,$CM1337,$CE1337,$CP1337)</f>
        <v/>
      </c>
      <c r="DY1337" s="64">
        <f>($DW1337-$DW1338)*100</f>
        <v/>
      </c>
      <c r="DZ1337" s="64">
        <f>($DX1337-$DX1338)*100</f>
        <v/>
      </c>
      <c r="EA1337" s="64">
        <f>($DW1337-$D1337)*100</f>
        <v/>
      </c>
      <c r="EB1337" s="64">
        <f>$Q1337-$O1337</f>
        <v/>
      </c>
      <c r="EC1337" s="67">
        <f>IFERROR($Q1337/$P1337,"")</f>
        <v/>
      </c>
    </row>
    <row r="1338">
      <c r="DG1338" s="64">
        <f>($B1338-$B1339)*100</f>
        <v/>
      </c>
      <c r="DH1338" s="64">
        <f>($D1338-$D1339)*100</f>
        <v/>
      </c>
      <c r="DI1338" s="64">
        <f>($E1338-$E1339)*100</f>
        <v/>
      </c>
      <c r="DJ1338" s="64">
        <f>($H1338-$H1339)*100</f>
        <v/>
      </c>
      <c r="DK1338" s="65">
        <f>IFERROR($J1338/$J1339-1,"")</f>
        <v/>
      </c>
      <c r="DL1338" s="64">
        <f>$L1338-$L1339</f>
        <v/>
      </c>
      <c r="DM1338" s="64">
        <f>$K1338-$K1339</f>
        <v/>
      </c>
      <c r="DN1338" s="65">
        <f>IFERROR($N1338/$N1339-1,"")</f>
        <v/>
      </c>
      <c r="DO1338" s="65">
        <f>IFERROR($M1338/$M1339-1,"")</f>
        <v/>
      </c>
      <c r="DP1338" s="65">
        <f>IFERROR($AZ1338/$AZ1339-1,"")</f>
        <v/>
      </c>
      <c r="DQ1338" s="65">
        <f>IFERROR($BA1338/$BA1339-1,"")</f>
        <v/>
      </c>
      <c r="DR1338" s="64">
        <f>$O1338-$O1339</f>
        <v/>
      </c>
      <c r="DS1338" s="64">
        <f>$P1338-$P1339</f>
        <v/>
      </c>
      <c r="DT1338" s="64">
        <f>$Q1338-$Q1339</f>
        <v/>
      </c>
      <c r="DU1338" s="64">
        <f>$S1338-$S1339</f>
        <v/>
      </c>
      <c r="DV1338" s="65">
        <f>IFERROR(AVERAGE($AA1339/$AA1338-1,$AB1339/$AB1338-1,$AC1339/$AC1338-1,$AD1339/$AD1338-1,$AE1339/$AE1338-1,$AG1339/$AG1338-1,$AH1339/$AH1338-1,$AI1339/$AI1338-1,$AJ1339/$AJ1338-1,$AL1339/$AL1338-1,$AM1339/$AM1338-1,$AR1339/$AR1338-1,$AS1339/$AS1338-1,$AT1339/$AT1338-1,$AU1339/$AU1338-1,$AV1339/$AV1338-1,$AW1339/$AW1338-1,$AX1339/$AX1338-1,$AY1339/$AY1338-1),"")</f>
        <v/>
      </c>
      <c r="DW1338" s="66">
        <f>AVERAGE($CB1338,$CC1338,$CD1338,$CE1338,$CF1338,$CG1338,$CH1338,$CI1338,$CJ1338,$CL1338,$CM1338,$CN1338,$CO1338,$CP1338,$CQ1338,$CR1338,$CS1338,$CT1338)</f>
        <v/>
      </c>
      <c r="DX1338" s="66">
        <f>AVERAGE($CB1338,$CC1338,$CM1338,$CE1338,$CP1338)</f>
        <v/>
      </c>
      <c r="DY1338" s="64">
        <f>($DW1338-$DW1339)*100</f>
        <v/>
      </c>
      <c r="DZ1338" s="64">
        <f>($DX1338-$DX1339)*100</f>
        <v/>
      </c>
      <c r="EA1338" s="64">
        <f>($DW1338-$D1338)*100</f>
        <v/>
      </c>
      <c r="EB1338" s="64">
        <f>$Q1338-$O1338</f>
        <v/>
      </c>
      <c r="EC1338" s="67">
        <f>IFERROR($Q1338/$P1338,"")</f>
        <v/>
      </c>
    </row>
    <row r="1339">
      <c r="DG1339" s="64">
        <f>($B1339-$B1340)*100</f>
        <v/>
      </c>
      <c r="DH1339" s="64">
        <f>($D1339-$D1340)*100</f>
        <v/>
      </c>
      <c r="DI1339" s="64">
        <f>($E1339-$E1340)*100</f>
        <v/>
      </c>
      <c r="DJ1339" s="64">
        <f>($H1339-$H1340)*100</f>
        <v/>
      </c>
      <c r="DK1339" s="65">
        <f>IFERROR($J1339/$J1340-1,"")</f>
        <v/>
      </c>
      <c r="DL1339" s="64">
        <f>$L1339-$L1340</f>
        <v/>
      </c>
      <c r="DM1339" s="64">
        <f>$K1339-$K1340</f>
        <v/>
      </c>
      <c r="DN1339" s="65">
        <f>IFERROR($N1339/$N1340-1,"")</f>
        <v/>
      </c>
      <c r="DO1339" s="65">
        <f>IFERROR($M1339/$M1340-1,"")</f>
        <v/>
      </c>
      <c r="DP1339" s="65">
        <f>IFERROR($AZ1339/$AZ1340-1,"")</f>
        <v/>
      </c>
      <c r="DQ1339" s="65">
        <f>IFERROR($BA1339/$BA1340-1,"")</f>
        <v/>
      </c>
      <c r="DR1339" s="64">
        <f>$O1339-$O1340</f>
        <v/>
      </c>
      <c r="DS1339" s="64">
        <f>$P1339-$P1340</f>
        <v/>
      </c>
      <c r="DT1339" s="64">
        <f>$Q1339-$Q1340</f>
        <v/>
      </c>
      <c r="DU1339" s="64">
        <f>$S1339-$S1340</f>
        <v/>
      </c>
      <c r="DV1339" s="65">
        <f>IFERROR(AVERAGE($AA1340/$AA1339-1,$AB1340/$AB1339-1,$AC1340/$AC1339-1,$AD1340/$AD1339-1,$AE1340/$AE1339-1,$AG1340/$AG1339-1,$AH1340/$AH1339-1,$AI1340/$AI1339-1,$AJ1340/$AJ1339-1,$AL1340/$AL1339-1,$AM1340/$AM1339-1,$AR1340/$AR1339-1,$AS1340/$AS1339-1,$AT1340/$AT1339-1,$AU1340/$AU1339-1,$AV1340/$AV1339-1,$AW1340/$AW1339-1,$AX1340/$AX1339-1,$AY1340/$AY1339-1),"")</f>
        <v/>
      </c>
      <c r="DW1339" s="66">
        <f>AVERAGE($CB1339,$CC1339,$CD1339,$CE1339,$CF1339,$CG1339,$CH1339,$CI1339,$CJ1339,$CL1339,$CM1339,$CN1339,$CO1339,$CP1339,$CQ1339,$CR1339,$CS1339,$CT1339)</f>
        <v/>
      </c>
      <c r="DX1339" s="66">
        <f>AVERAGE($CB1339,$CC1339,$CM1339,$CE1339,$CP1339)</f>
        <v/>
      </c>
      <c r="DY1339" s="64">
        <f>($DW1339-$DW1340)*100</f>
        <v/>
      </c>
      <c r="DZ1339" s="64">
        <f>($DX1339-$DX1340)*100</f>
        <v/>
      </c>
      <c r="EA1339" s="64">
        <f>($DW1339-$D1339)*100</f>
        <v/>
      </c>
      <c r="EB1339" s="64">
        <f>$Q1339-$O1339</f>
        <v/>
      </c>
      <c r="EC1339" s="67">
        <f>IFERROR($Q1339/$P1339,"")</f>
        <v/>
      </c>
    </row>
    <row r="1340">
      <c r="DG1340" s="64">
        <f>($B1340-$B1341)*100</f>
        <v/>
      </c>
      <c r="DH1340" s="64">
        <f>($D1340-$D1341)*100</f>
        <v/>
      </c>
      <c r="DI1340" s="64">
        <f>($E1340-$E1341)*100</f>
        <v/>
      </c>
      <c r="DJ1340" s="64">
        <f>($H1340-$H1341)*100</f>
        <v/>
      </c>
      <c r="DK1340" s="65">
        <f>IFERROR($J1340/$J1341-1,"")</f>
        <v/>
      </c>
      <c r="DL1340" s="64">
        <f>$L1340-$L1341</f>
        <v/>
      </c>
      <c r="DM1340" s="64">
        <f>$K1340-$K1341</f>
        <v/>
      </c>
      <c r="DN1340" s="65">
        <f>IFERROR($N1340/$N1341-1,"")</f>
        <v/>
      </c>
      <c r="DO1340" s="65">
        <f>IFERROR($M1340/$M1341-1,"")</f>
        <v/>
      </c>
      <c r="DP1340" s="65">
        <f>IFERROR($AZ1340/$AZ1341-1,"")</f>
        <v/>
      </c>
      <c r="DQ1340" s="65">
        <f>IFERROR($BA1340/$BA1341-1,"")</f>
        <v/>
      </c>
      <c r="DR1340" s="64">
        <f>$O1340-$O1341</f>
        <v/>
      </c>
      <c r="DS1340" s="64">
        <f>$P1340-$P1341</f>
        <v/>
      </c>
      <c r="DT1340" s="64">
        <f>$Q1340-$Q1341</f>
        <v/>
      </c>
      <c r="DU1340" s="64">
        <f>$S1340-$S1341</f>
        <v/>
      </c>
      <c r="DV1340" s="65">
        <f>IFERROR(AVERAGE($AA1341/$AA1340-1,$AB1341/$AB1340-1,$AC1341/$AC1340-1,$AD1341/$AD1340-1,$AE1341/$AE1340-1,$AG1341/$AG1340-1,$AH1341/$AH1340-1,$AI1341/$AI1340-1,$AJ1341/$AJ1340-1,$AL1341/$AL1340-1,$AM1341/$AM1340-1,$AR1341/$AR1340-1,$AS1341/$AS1340-1,$AT1341/$AT1340-1,$AU1341/$AU1340-1,$AV1341/$AV1340-1,$AW1341/$AW1340-1,$AX1341/$AX1340-1,$AY1341/$AY1340-1),"")</f>
        <v/>
      </c>
      <c r="DW1340" s="66">
        <f>AVERAGE($CB1340,$CC1340,$CD1340,$CE1340,$CF1340,$CG1340,$CH1340,$CI1340,$CJ1340,$CL1340,$CM1340,$CN1340,$CO1340,$CP1340,$CQ1340,$CR1340,$CS1340,$CT1340)</f>
        <v/>
      </c>
      <c r="DX1340" s="66">
        <f>AVERAGE($CB1340,$CC1340,$CM1340,$CE1340,$CP1340)</f>
        <v/>
      </c>
      <c r="DY1340" s="64">
        <f>($DW1340-$DW1341)*100</f>
        <v/>
      </c>
      <c r="DZ1340" s="64">
        <f>($DX1340-$DX1341)*100</f>
        <v/>
      </c>
      <c r="EA1340" s="64">
        <f>($DW1340-$D1340)*100</f>
        <v/>
      </c>
      <c r="EB1340" s="64">
        <f>$Q1340-$O1340</f>
        <v/>
      </c>
      <c r="EC1340" s="67">
        <f>IFERROR($Q1340/$P1340,"")</f>
        <v/>
      </c>
    </row>
    <row r="1341">
      <c r="DG1341" s="64">
        <f>($B1341-$B1342)*100</f>
        <v/>
      </c>
      <c r="DH1341" s="64">
        <f>($D1341-$D1342)*100</f>
        <v/>
      </c>
      <c r="DI1341" s="64">
        <f>($E1341-$E1342)*100</f>
        <v/>
      </c>
      <c r="DJ1341" s="64">
        <f>($H1341-$H1342)*100</f>
        <v/>
      </c>
      <c r="DK1341" s="65">
        <f>IFERROR($J1341/$J1342-1,"")</f>
        <v/>
      </c>
      <c r="DL1341" s="64">
        <f>$L1341-$L1342</f>
        <v/>
      </c>
      <c r="DM1341" s="64">
        <f>$K1341-$K1342</f>
        <v/>
      </c>
      <c r="DN1341" s="65">
        <f>IFERROR($N1341/$N1342-1,"")</f>
        <v/>
      </c>
      <c r="DO1341" s="65">
        <f>IFERROR($M1341/$M1342-1,"")</f>
        <v/>
      </c>
      <c r="DP1341" s="65">
        <f>IFERROR($AZ1341/$AZ1342-1,"")</f>
        <v/>
      </c>
      <c r="DQ1341" s="65">
        <f>IFERROR($BA1341/$BA1342-1,"")</f>
        <v/>
      </c>
      <c r="DR1341" s="64">
        <f>$O1341-$O1342</f>
        <v/>
      </c>
      <c r="DS1341" s="64">
        <f>$P1341-$P1342</f>
        <v/>
      </c>
      <c r="DT1341" s="64">
        <f>$Q1341-$Q1342</f>
        <v/>
      </c>
      <c r="DU1341" s="64">
        <f>$S1341-$S1342</f>
        <v/>
      </c>
      <c r="DV1341" s="65">
        <f>IFERROR(AVERAGE($AA1342/$AA1341-1,$AB1342/$AB1341-1,$AC1342/$AC1341-1,$AD1342/$AD1341-1,$AE1342/$AE1341-1,$AG1342/$AG1341-1,$AH1342/$AH1341-1,$AI1342/$AI1341-1,$AJ1342/$AJ1341-1,$AL1342/$AL1341-1,$AM1342/$AM1341-1,$AR1342/$AR1341-1,$AS1342/$AS1341-1,$AT1342/$AT1341-1,$AU1342/$AU1341-1,$AV1342/$AV1341-1,$AW1342/$AW1341-1,$AX1342/$AX1341-1,$AY1342/$AY1341-1),"")</f>
        <v/>
      </c>
      <c r="DW1341" s="66">
        <f>AVERAGE($CB1341,$CC1341,$CD1341,$CE1341,$CF1341,$CG1341,$CH1341,$CI1341,$CJ1341,$CL1341,$CM1341,$CN1341,$CO1341,$CP1341,$CQ1341,$CR1341,$CS1341,$CT1341)</f>
        <v/>
      </c>
      <c r="DX1341" s="66">
        <f>AVERAGE($CB1341,$CC1341,$CM1341,$CE1341,$CP1341)</f>
        <v/>
      </c>
      <c r="DY1341" s="64">
        <f>($DW1341-$DW1342)*100</f>
        <v/>
      </c>
      <c r="DZ1341" s="64">
        <f>($DX1341-$DX1342)*100</f>
        <v/>
      </c>
      <c r="EA1341" s="64">
        <f>($DW1341-$D1341)*100</f>
        <v/>
      </c>
      <c r="EB1341" s="64">
        <f>$Q1341-$O1341</f>
        <v/>
      </c>
      <c r="EC1341" s="67">
        <f>IFERROR($Q1341/$P1341,"")</f>
        <v/>
      </c>
    </row>
    <row r="1342">
      <c r="DG1342" s="64">
        <f>($B1342-$B1343)*100</f>
        <v/>
      </c>
      <c r="DH1342" s="64">
        <f>($D1342-$D1343)*100</f>
        <v/>
      </c>
      <c r="DI1342" s="64">
        <f>($E1342-$E1343)*100</f>
        <v/>
      </c>
      <c r="DJ1342" s="64">
        <f>($H1342-$H1343)*100</f>
        <v/>
      </c>
      <c r="DK1342" s="65">
        <f>IFERROR($J1342/$J1343-1,"")</f>
        <v/>
      </c>
      <c r="DL1342" s="64">
        <f>$L1342-$L1343</f>
        <v/>
      </c>
      <c r="DM1342" s="64">
        <f>$K1342-$K1343</f>
        <v/>
      </c>
      <c r="DN1342" s="65">
        <f>IFERROR($N1342/$N1343-1,"")</f>
        <v/>
      </c>
      <c r="DO1342" s="65">
        <f>IFERROR($M1342/$M1343-1,"")</f>
        <v/>
      </c>
      <c r="DP1342" s="65">
        <f>IFERROR($AZ1342/$AZ1343-1,"")</f>
        <v/>
      </c>
      <c r="DQ1342" s="65">
        <f>IFERROR($BA1342/$BA1343-1,"")</f>
        <v/>
      </c>
      <c r="DR1342" s="64">
        <f>$O1342-$O1343</f>
        <v/>
      </c>
      <c r="DS1342" s="64">
        <f>$P1342-$P1343</f>
        <v/>
      </c>
      <c r="DT1342" s="64">
        <f>$Q1342-$Q1343</f>
        <v/>
      </c>
      <c r="DU1342" s="64">
        <f>$S1342-$S1343</f>
        <v/>
      </c>
      <c r="DV1342" s="65">
        <f>IFERROR(AVERAGE($AA1343/$AA1342-1,$AB1343/$AB1342-1,$AC1343/$AC1342-1,$AD1343/$AD1342-1,$AE1343/$AE1342-1,$AG1343/$AG1342-1,$AH1343/$AH1342-1,$AI1343/$AI1342-1,$AJ1343/$AJ1342-1,$AL1343/$AL1342-1,$AM1343/$AM1342-1,$AR1343/$AR1342-1,$AS1343/$AS1342-1,$AT1343/$AT1342-1,$AU1343/$AU1342-1,$AV1343/$AV1342-1,$AW1343/$AW1342-1,$AX1343/$AX1342-1,$AY1343/$AY1342-1),"")</f>
        <v/>
      </c>
      <c r="DW1342" s="66">
        <f>AVERAGE($CB1342,$CC1342,$CD1342,$CE1342,$CF1342,$CG1342,$CH1342,$CI1342,$CJ1342,$CL1342,$CM1342,$CN1342,$CO1342,$CP1342,$CQ1342,$CR1342,$CS1342,$CT1342)</f>
        <v/>
      </c>
      <c r="DX1342" s="66">
        <f>AVERAGE($CB1342,$CC1342,$CM1342,$CE1342,$CP1342)</f>
        <v/>
      </c>
      <c r="DY1342" s="64">
        <f>($DW1342-$DW1343)*100</f>
        <v/>
      </c>
      <c r="DZ1342" s="64">
        <f>($DX1342-$DX1343)*100</f>
        <v/>
      </c>
      <c r="EA1342" s="64">
        <f>($DW1342-$D1342)*100</f>
        <v/>
      </c>
      <c r="EB1342" s="64">
        <f>$Q1342-$O1342</f>
        <v/>
      </c>
      <c r="EC1342" s="67">
        <f>IFERROR($Q1342/$P1342,"")</f>
        <v/>
      </c>
    </row>
    <row r="1343">
      <c r="DG1343" s="64">
        <f>($B1343-$B1344)*100</f>
        <v/>
      </c>
      <c r="DH1343" s="64">
        <f>($D1343-$D1344)*100</f>
        <v/>
      </c>
      <c r="DI1343" s="64">
        <f>($E1343-$E1344)*100</f>
        <v/>
      </c>
      <c r="DJ1343" s="64">
        <f>($H1343-$H1344)*100</f>
        <v/>
      </c>
      <c r="DK1343" s="65">
        <f>IFERROR($J1343/$J1344-1,"")</f>
        <v/>
      </c>
      <c r="DL1343" s="64">
        <f>$L1343-$L1344</f>
        <v/>
      </c>
      <c r="DM1343" s="64">
        <f>$K1343-$K1344</f>
        <v/>
      </c>
      <c r="DN1343" s="65">
        <f>IFERROR($N1343/$N1344-1,"")</f>
        <v/>
      </c>
      <c r="DO1343" s="65">
        <f>IFERROR($M1343/$M1344-1,"")</f>
        <v/>
      </c>
      <c r="DP1343" s="65">
        <f>IFERROR($AZ1343/$AZ1344-1,"")</f>
        <v/>
      </c>
      <c r="DQ1343" s="65">
        <f>IFERROR($BA1343/$BA1344-1,"")</f>
        <v/>
      </c>
      <c r="DR1343" s="64">
        <f>$O1343-$O1344</f>
        <v/>
      </c>
      <c r="DS1343" s="64">
        <f>$P1343-$P1344</f>
        <v/>
      </c>
      <c r="DT1343" s="64">
        <f>$Q1343-$Q1344</f>
        <v/>
      </c>
      <c r="DU1343" s="64">
        <f>$S1343-$S1344</f>
        <v/>
      </c>
      <c r="DV1343" s="65">
        <f>IFERROR(AVERAGE($AA1344/$AA1343-1,$AB1344/$AB1343-1,$AC1344/$AC1343-1,$AD1344/$AD1343-1,$AE1344/$AE1343-1,$AG1344/$AG1343-1,$AH1344/$AH1343-1,$AI1344/$AI1343-1,$AJ1344/$AJ1343-1,$AL1344/$AL1343-1,$AM1344/$AM1343-1,$AR1344/$AR1343-1,$AS1344/$AS1343-1,$AT1344/$AT1343-1,$AU1344/$AU1343-1,$AV1344/$AV1343-1,$AW1344/$AW1343-1,$AX1344/$AX1343-1,$AY1344/$AY1343-1),"")</f>
        <v/>
      </c>
      <c r="DW1343" s="66">
        <f>AVERAGE($CB1343,$CC1343,$CD1343,$CE1343,$CF1343,$CG1343,$CH1343,$CI1343,$CJ1343,$CL1343,$CM1343,$CN1343,$CO1343,$CP1343,$CQ1343,$CR1343,$CS1343,$CT1343)</f>
        <v/>
      </c>
      <c r="DX1343" s="66">
        <f>AVERAGE($CB1343,$CC1343,$CM1343,$CE1343,$CP1343)</f>
        <v/>
      </c>
      <c r="DY1343" s="64">
        <f>($DW1343-$DW1344)*100</f>
        <v/>
      </c>
      <c r="DZ1343" s="64">
        <f>($DX1343-$DX1344)*100</f>
        <v/>
      </c>
      <c r="EA1343" s="64">
        <f>($DW1343-$D1343)*100</f>
        <v/>
      </c>
      <c r="EB1343" s="64">
        <f>$Q1343-$O1343</f>
        <v/>
      </c>
      <c r="EC1343" s="67">
        <f>IFERROR($Q1343/$P1343,"")</f>
        <v/>
      </c>
    </row>
    <row r="1344">
      <c r="DG1344" s="64">
        <f>($B1344-$B1345)*100</f>
        <v/>
      </c>
      <c r="DH1344" s="64">
        <f>($D1344-$D1345)*100</f>
        <v/>
      </c>
      <c r="DI1344" s="64">
        <f>($E1344-$E1345)*100</f>
        <v/>
      </c>
      <c r="DJ1344" s="64">
        <f>($H1344-$H1345)*100</f>
        <v/>
      </c>
      <c r="DK1344" s="65">
        <f>IFERROR($J1344/$J1345-1,"")</f>
        <v/>
      </c>
      <c r="DL1344" s="64">
        <f>$L1344-$L1345</f>
        <v/>
      </c>
      <c r="DM1344" s="64">
        <f>$K1344-$K1345</f>
        <v/>
      </c>
      <c r="DN1344" s="65">
        <f>IFERROR($N1344/$N1345-1,"")</f>
        <v/>
      </c>
      <c r="DO1344" s="65">
        <f>IFERROR($M1344/$M1345-1,"")</f>
        <v/>
      </c>
      <c r="DP1344" s="65">
        <f>IFERROR($AZ1344/$AZ1345-1,"")</f>
        <v/>
      </c>
      <c r="DQ1344" s="65">
        <f>IFERROR($BA1344/$BA1345-1,"")</f>
        <v/>
      </c>
      <c r="DR1344" s="64">
        <f>$O1344-$O1345</f>
        <v/>
      </c>
      <c r="DS1344" s="64">
        <f>$P1344-$P1345</f>
        <v/>
      </c>
      <c r="DT1344" s="64">
        <f>$Q1344-$Q1345</f>
        <v/>
      </c>
      <c r="DU1344" s="64">
        <f>$S1344-$S1345</f>
        <v/>
      </c>
      <c r="DV1344" s="65">
        <f>IFERROR(AVERAGE($AA1345/$AA1344-1,$AB1345/$AB1344-1,$AC1345/$AC1344-1,$AD1345/$AD1344-1,$AE1345/$AE1344-1,$AG1345/$AG1344-1,$AH1345/$AH1344-1,$AI1345/$AI1344-1,$AJ1345/$AJ1344-1,$AL1345/$AL1344-1,$AM1345/$AM1344-1,$AR1345/$AR1344-1,$AS1345/$AS1344-1,$AT1345/$AT1344-1,$AU1345/$AU1344-1,$AV1345/$AV1344-1,$AW1345/$AW1344-1,$AX1345/$AX1344-1,$AY1345/$AY1344-1),"")</f>
        <v/>
      </c>
      <c r="DW1344" s="66">
        <f>AVERAGE($CB1344,$CC1344,$CD1344,$CE1344,$CF1344,$CG1344,$CH1344,$CI1344,$CJ1344,$CL1344,$CM1344,$CN1344,$CO1344,$CP1344,$CQ1344,$CR1344,$CS1344,$CT1344)</f>
        <v/>
      </c>
      <c r="DX1344" s="66">
        <f>AVERAGE($CB1344,$CC1344,$CM1344,$CE1344,$CP1344)</f>
        <v/>
      </c>
      <c r="DY1344" s="64">
        <f>($DW1344-$DW1345)*100</f>
        <v/>
      </c>
      <c r="DZ1344" s="64">
        <f>($DX1344-$DX1345)*100</f>
        <v/>
      </c>
      <c r="EA1344" s="64">
        <f>($DW1344-$D1344)*100</f>
        <v/>
      </c>
      <c r="EB1344" s="64">
        <f>$Q1344-$O1344</f>
        <v/>
      </c>
      <c r="EC1344" s="67">
        <f>IFERROR($Q1344/$P1344,"")</f>
        <v/>
      </c>
    </row>
    <row r="1345">
      <c r="DG1345" s="64">
        <f>($B1345-$B1346)*100</f>
        <v/>
      </c>
      <c r="DH1345" s="64">
        <f>($D1345-$D1346)*100</f>
        <v/>
      </c>
      <c r="DI1345" s="64">
        <f>($E1345-$E1346)*100</f>
        <v/>
      </c>
      <c r="DJ1345" s="64">
        <f>($H1345-$H1346)*100</f>
        <v/>
      </c>
      <c r="DK1345" s="65">
        <f>IFERROR($J1345/$J1346-1,"")</f>
        <v/>
      </c>
      <c r="DL1345" s="64">
        <f>$L1345-$L1346</f>
        <v/>
      </c>
      <c r="DM1345" s="64">
        <f>$K1345-$K1346</f>
        <v/>
      </c>
      <c r="DN1345" s="65">
        <f>IFERROR($N1345/$N1346-1,"")</f>
        <v/>
      </c>
      <c r="DO1345" s="65">
        <f>IFERROR($M1345/$M1346-1,"")</f>
        <v/>
      </c>
      <c r="DP1345" s="65">
        <f>IFERROR($AZ1345/$AZ1346-1,"")</f>
        <v/>
      </c>
      <c r="DQ1345" s="65">
        <f>IFERROR($BA1345/$BA1346-1,"")</f>
        <v/>
      </c>
      <c r="DR1345" s="64">
        <f>$O1345-$O1346</f>
        <v/>
      </c>
      <c r="DS1345" s="64">
        <f>$P1345-$P1346</f>
        <v/>
      </c>
      <c r="DT1345" s="64">
        <f>$Q1345-$Q1346</f>
        <v/>
      </c>
      <c r="DU1345" s="64">
        <f>$S1345-$S1346</f>
        <v/>
      </c>
      <c r="DV1345" s="65">
        <f>IFERROR(AVERAGE($AA1346/$AA1345-1,$AB1346/$AB1345-1,$AC1346/$AC1345-1,$AD1346/$AD1345-1,$AE1346/$AE1345-1,$AG1346/$AG1345-1,$AH1346/$AH1345-1,$AI1346/$AI1345-1,$AJ1346/$AJ1345-1,$AL1346/$AL1345-1,$AM1346/$AM1345-1,$AR1346/$AR1345-1,$AS1346/$AS1345-1,$AT1346/$AT1345-1,$AU1346/$AU1345-1,$AV1346/$AV1345-1,$AW1346/$AW1345-1,$AX1346/$AX1345-1,$AY1346/$AY1345-1),"")</f>
        <v/>
      </c>
      <c r="DW1345" s="66">
        <f>AVERAGE($CB1345,$CC1345,$CD1345,$CE1345,$CF1345,$CG1345,$CH1345,$CI1345,$CJ1345,$CL1345,$CM1345,$CN1345,$CO1345,$CP1345,$CQ1345,$CR1345,$CS1345,$CT1345)</f>
        <v/>
      </c>
      <c r="DX1345" s="66">
        <f>AVERAGE($CB1345,$CC1345,$CM1345,$CE1345,$CP1345)</f>
        <v/>
      </c>
      <c r="DY1345" s="64">
        <f>($DW1345-$DW1346)*100</f>
        <v/>
      </c>
      <c r="DZ1345" s="64">
        <f>($DX1345-$DX1346)*100</f>
        <v/>
      </c>
      <c r="EA1345" s="64">
        <f>($DW1345-$D1345)*100</f>
        <v/>
      </c>
      <c r="EB1345" s="64">
        <f>$Q1345-$O1345</f>
        <v/>
      </c>
      <c r="EC1345" s="67">
        <f>IFERROR($Q1345/$P1345,"")</f>
        <v/>
      </c>
    </row>
    <row r="1346">
      <c r="DG1346" s="64">
        <f>($B1346-$B1347)*100</f>
        <v/>
      </c>
      <c r="DH1346" s="64">
        <f>($D1346-$D1347)*100</f>
        <v/>
      </c>
      <c r="DI1346" s="64">
        <f>($E1346-$E1347)*100</f>
        <v/>
      </c>
      <c r="DJ1346" s="64">
        <f>($H1346-$H1347)*100</f>
        <v/>
      </c>
      <c r="DK1346" s="65">
        <f>IFERROR($J1346/$J1347-1,"")</f>
        <v/>
      </c>
      <c r="DL1346" s="64">
        <f>$L1346-$L1347</f>
        <v/>
      </c>
      <c r="DM1346" s="64">
        <f>$K1346-$K1347</f>
        <v/>
      </c>
      <c r="DN1346" s="65">
        <f>IFERROR($N1346/$N1347-1,"")</f>
        <v/>
      </c>
      <c r="DO1346" s="65">
        <f>IFERROR($M1346/$M1347-1,"")</f>
        <v/>
      </c>
      <c r="DP1346" s="65">
        <f>IFERROR($AZ1346/$AZ1347-1,"")</f>
        <v/>
      </c>
      <c r="DQ1346" s="65">
        <f>IFERROR($BA1346/$BA1347-1,"")</f>
        <v/>
      </c>
      <c r="DR1346" s="64">
        <f>$O1346-$O1347</f>
        <v/>
      </c>
      <c r="DS1346" s="64">
        <f>$P1346-$P1347</f>
        <v/>
      </c>
      <c r="DT1346" s="64">
        <f>$Q1346-$Q1347</f>
        <v/>
      </c>
      <c r="DU1346" s="64">
        <f>$S1346-$S1347</f>
        <v/>
      </c>
      <c r="DV1346" s="65">
        <f>IFERROR(AVERAGE($AA1347/$AA1346-1,$AB1347/$AB1346-1,$AC1347/$AC1346-1,$AD1347/$AD1346-1,$AE1347/$AE1346-1,$AG1347/$AG1346-1,$AH1347/$AH1346-1,$AI1347/$AI1346-1,$AJ1347/$AJ1346-1,$AL1347/$AL1346-1,$AM1347/$AM1346-1,$AR1347/$AR1346-1,$AS1347/$AS1346-1,$AT1347/$AT1346-1,$AU1347/$AU1346-1,$AV1347/$AV1346-1,$AW1347/$AW1346-1,$AX1347/$AX1346-1,$AY1347/$AY1346-1),"")</f>
        <v/>
      </c>
      <c r="DW1346" s="66">
        <f>AVERAGE($CB1346,$CC1346,$CD1346,$CE1346,$CF1346,$CG1346,$CH1346,$CI1346,$CJ1346,$CL1346,$CM1346,$CN1346,$CO1346,$CP1346,$CQ1346,$CR1346,$CS1346,$CT1346)</f>
        <v/>
      </c>
      <c r="DX1346" s="66">
        <f>AVERAGE($CB1346,$CC1346,$CM1346,$CE1346,$CP1346)</f>
        <v/>
      </c>
      <c r="DY1346" s="64">
        <f>($DW1346-$DW1347)*100</f>
        <v/>
      </c>
      <c r="DZ1346" s="64">
        <f>($DX1346-$DX1347)*100</f>
        <v/>
      </c>
      <c r="EA1346" s="64">
        <f>($DW1346-$D1346)*100</f>
        <v/>
      </c>
      <c r="EB1346" s="64">
        <f>$Q1346-$O1346</f>
        <v/>
      </c>
      <c r="EC1346" s="67">
        <f>IFERROR($Q1346/$P1346,"")</f>
        <v/>
      </c>
    </row>
    <row r="1347">
      <c r="DG1347" s="64">
        <f>($B1347-$B1348)*100</f>
        <v/>
      </c>
      <c r="DH1347" s="64">
        <f>($D1347-$D1348)*100</f>
        <v/>
      </c>
      <c r="DI1347" s="64">
        <f>($E1347-$E1348)*100</f>
        <v/>
      </c>
      <c r="DJ1347" s="64">
        <f>($H1347-$H1348)*100</f>
        <v/>
      </c>
      <c r="DK1347" s="65">
        <f>IFERROR($J1347/$J1348-1,"")</f>
        <v/>
      </c>
      <c r="DL1347" s="64">
        <f>$L1347-$L1348</f>
        <v/>
      </c>
      <c r="DM1347" s="64">
        <f>$K1347-$K1348</f>
        <v/>
      </c>
      <c r="DN1347" s="65">
        <f>IFERROR($N1347/$N1348-1,"")</f>
        <v/>
      </c>
      <c r="DO1347" s="65">
        <f>IFERROR($M1347/$M1348-1,"")</f>
        <v/>
      </c>
      <c r="DP1347" s="65">
        <f>IFERROR($AZ1347/$AZ1348-1,"")</f>
        <v/>
      </c>
      <c r="DQ1347" s="65">
        <f>IFERROR($BA1347/$BA1348-1,"")</f>
        <v/>
      </c>
      <c r="DR1347" s="64">
        <f>$O1347-$O1348</f>
        <v/>
      </c>
      <c r="DS1347" s="64">
        <f>$P1347-$P1348</f>
        <v/>
      </c>
      <c r="DT1347" s="64">
        <f>$Q1347-$Q1348</f>
        <v/>
      </c>
      <c r="DU1347" s="64">
        <f>$S1347-$S1348</f>
        <v/>
      </c>
      <c r="DV1347" s="65">
        <f>IFERROR(AVERAGE($AA1348/$AA1347-1,$AB1348/$AB1347-1,$AC1348/$AC1347-1,$AD1348/$AD1347-1,$AE1348/$AE1347-1,$AG1348/$AG1347-1,$AH1348/$AH1347-1,$AI1348/$AI1347-1,$AJ1348/$AJ1347-1,$AL1348/$AL1347-1,$AM1348/$AM1347-1,$AR1348/$AR1347-1,$AS1348/$AS1347-1,$AT1348/$AT1347-1,$AU1348/$AU1347-1,$AV1348/$AV1347-1,$AW1348/$AW1347-1,$AX1348/$AX1347-1,$AY1348/$AY1347-1),"")</f>
        <v/>
      </c>
      <c r="DW1347" s="66">
        <f>AVERAGE($CB1347,$CC1347,$CD1347,$CE1347,$CF1347,$CG1347,$CH1347,$CI1347,$CJ1347,$CL1347,$CM1347,$CN1347,$CO1347,$CP1347,$CQ1347,$CR1347,$CS1347,$CT1347)</f>
        <v/>
      </c>
      <c r="DX1347" s="66">
        <f>AVERAGE($CB1347,$CC1347,$CM1347,$CE1347,$CP1347)</f>
        <v/>
      </c>
      <c r="DY1347" s="64">
        <f>($DW1347-$DW1348)*100</f>
        <v/>
      </c>
      <c r="DZ1347" s="64">
        <f>($DX1347-$DX1348)*100</f>
        <v/>
      </c>
      <c r="EA1347" s="64">
        <f>($DW1347-$D1347)*100</f>
        <v/>
      </c>
      <c r="EB1347" s="64">
        <f>$Q1347-$O1347</f>
        <v/>
      </c>
      <c r="EC1347" s="67">
        <f>IFERROR($Q1347/$P1347,"")</f>
        <v/>
      </c>
    </row>
    <row r="1348">
      <c r="DG1348" s="64">
        <f>($B1348-$B1349)*100</f>
        <v/>
      </c>
      <c r="DH1348" s="64">
        <f>($D1348-$D1349)*100</f>
        <v/>
      </c>
      <c r="DI1348" s="64">
        <f>($E1348-$E1349)*100</f>
        <v/>
      </c>
      <c r="DJ1348" s="64">
        <f>($H1348-$H1349)*100</f>
        <v/>
      </c>
      <c r="DK1348" s="65">
        <f>IFERROR($J1348/$J1349-1,"")</f>
        <v/>
      </c>
      <c r="DL1348" s="64">
        <f>$L1348-$L1349</f>
        <v/>
      </c>
      <c r="DM1348" s="64">
        <f>$K1348-$K1349</f>
        <v/>
      </c>
      <c r="DN1348" s="65">
        <f>IFERROR($N1348/$N1349-1,"")</f>
        <v/>
      </c>
      <c r="DO1348" s="65">
        <f>IFERROR($M1348/$M1349-1,"")</f>
        <v/>
      </c>
      <c r="DP1348" s="65">
        <f>IFERROR($AZ1348/$AZ1349-1,"")</f>
        <v/>
      </c>
      <c r="DQ1348" s="65">
        <f>IFERROR($BA1348/$BA1349-1,"")</f>
        <v/>
      </c>
      <c r="DR1348" s="64">
        <f>$O1348-$O1349</f>
        <v/>
      </c>
      <c r="DS1348" s="64">
        <f>$P1348-$P1349</f>
        <v/>
      </c>
      <c r="DT1348" s="64">
        <f>$Q1348-$Q1349</f>
        <v/>
      </c>
      <c r="DU1348" s="64">
        <f>$S1348-$S1349</f>
        <v/>
      </c>
      <c r="DV1348" s="65">
        <f>IFERROR(AVERAGE($AA1349/$AA1348-1,$AB1349/$AB1348-1,$AC1349/$AC1348-1,$AD1349/$AD1348-1,$AE1349/$AE1348-1,$AG1349/$AG1348-1,$AH1349/$AH1348-1,$AI1349/$AI1348-1,$AJ1349/$AJ1348-1,$AL1349/$AL1348-1,$AM1349/$AM1348-1,$AR1349/$AR1348-1,$AS1349/$AS1348-1,$AT1349/$AT1348-1,$AU1349/$AU1348-1,$AV1349/$AV1348-1,$AW1349/$AW1348-1,$AX1349/$AX1348-1,$AY1349/$AY1348-1),"")</f>
        <v/>
      </c>
      <c r="DW1348" s="66">
        <f>AVERAGE($CB1348,$CC1348,$CD1348,$CE1348,$CF1348,$CG1348,$CH1348,$CI1348,$CJ1348,$CL1348,$CM1348,$CN1348,$CO1348,$CP1348,$CQ1348,$CR1348,$CS1348,$CT1348)</f>
        <v/>
      </c>
      <c r="DX1348" s="66">
        <f>AVERAGE($CB1348,$CC1348,$CM1348,$CE1348,$CP1348)</f>
        <v/>
      </c>
      <c r="DY1348" s="64">
        <f>($DW1348-$DW1349)*100</f>
        <v/>
      </c>
      <c r="DZ1348" s="64">
        <f>($DX1348-$DX1349)*100</f>
        <v/>
      </c>
      <c r="EA1348" s="64">
        <f>($DW1348-$D1348)*100</f>
        <v/>
      </c>
      <c r="EB1348" s="64">
        <f>$Q1348-$O1348</f>
        <v/>
      </c>
      <c r="EC1348" s="67">
        <f>IFERROR($Q1348/$P1348,"")</f>
        <v/>
      </c>
    </row>
    <row r="1349">
      <c r="DG1349" s="64">
        <f>($B1349-$B1350)*100</f>
        <v/>
      </c>
      <c r="DH1349" s="64">
        <f>($D1349-$D1350)*100</f>
        <v/>
      </c>
      <c r="DI1349" s="64">
        <f>($E1349-$E1350)*100</f>
        <v/>
      </c>
      <c r="DJ1349" s="64">
        <f>($H1349-$H1350)*100</f>
        <v/>
      </c>
      <c r="DK1349" s="65">
        <f>IFERROR($J1349/$J1350-1,"")</f>
        <v/>
      </c>
      <c r="DL1349" s="64">
        <f>$L1349-$L1350</f>
        <v/>
      </c>
      <c r="DM1349" s="64">
        <f>$K1349-$K1350</f>
        <v/>
      </c>
      <c r="DN1349" s="65">
        <f>IFERROR($N1349/$N1350-1,"")</f>
        <v/>
      </c>
      <c r="DO1349" s="65">
        <f>IFERROR($M1349/$M1350-1,"")</f>
        <v/>
      </c>
      <c r="DP1349" s="65">
        <f>IFERROR($AZ1349/$AZ1350-1,"")</f>
        <v/>
      </c>
      <c r="DQ1349" s="65">
        <f>IFERROR($BA1349/$BA1350-1,"")</f>
        <v/>
      </c>
      <c r="DR1349" s="64">
        <f>$O1349-$O1350</f>
        <v/>
      </c>
      <c r="DS1349" s="64">
        <f>$P1349-$P1350</f>
        <v/>
      </c>
      <c r="DT1349" s="64">
        <f>$Q1349-$Q1350</f>
        <v/>
      </c>
      <c r="DU1349" s="64">
        <f>$S1349-$S1350</f>
        <v/>
      </c>
      <c r="DV1349" s="65">
        <f>IFERROR(AVERAGE($AA1350/$AA1349-1,$AB1350/$AB1349-1,$AC1350/$AC1349-1,$AD1350/$AD1349-1,$AE1350/$AE1349-1,$AG1350/$AG1349-1,$AH1350/$AH1349-1,$AI1350/$AI1349-1,$AJ1350/$AJ1349-1,$AL1350/$AL1349-1,$AM1350/$AM1349-1,$AR1350/$AR1349-1,$AS1350/$AS1349-1,$AT1350/$AT1349-1,$AU1350/$AU1349-1,$AV1350/$AV1349-1,$AW1350/$AW1349-1,$AX1350/$AX1349-1,$AY1350/$AY1349-1),"")</f>
        <v/>
      </c>
      <c r="DW1349" s="66">
        <f>AVERAGE($CB1349,$CC1349,$CD1349,$CE1349,$CF1349,$CG1349,$CH1349,$CI1349,$CJ1349,$CL1349,$CM1349,$CN1349,$CO1349,$CP1349,$CQ1349,$CR1349,$CS1349,$CT1349)</f>
        <v/>
      </c>
      <c r="DX1349" s="66">
        <f>AVERAGE($CB1349,$CC1349,$CM1349,$CE1349,$CP1349)</f>
        <v/>
      </c>
      <c r="DY1349" s="64">
        <f>($DW1349-$DW1350)*100</f>
        <v/>
      </c>
      <c r="DZ1349" s="64">
        <f>($DX1349-$DX1350)*100</f>
        <v/>
      </c>
      <c r="EA1349" s="64">
        <f>($DW1349-$D1349)*100</f>
        <v/>
      </c>
      <c r="EB1349" s="64">
        <f>$Q1349-$O1349</f>
        <v/>
      </c>
      <c r="EC1349" s="67">
        <f>IFERROR($Q1349/$P1349,"")</f>
        <v/>
      </c>
    </row>
    <row r="1350">
      <c r="DG1350" s="64">
        <f>($B1350-$B1351)*100</f>
        <v/>
      </c>
      <c r="DH1350" s="64">
        <f>($D1350-$D1351)*100</f>
        <v/>
      </c>
      <c r="DI1350" s="64">
        <f>($E1350-$E1351)*100</f>
        <v/>
      </c>
      <c r="DJ1350" s="64">
        <f>($H1350-$H1351)*100</f>
        <v/>
      </c>
      <c r="DK1350" s="65">
        <f>IFERROR($J1350/$J1351-1,"")</f>
        <v/>
      </c>
      <c r="DL1350" s="64">
        <f>$L1350-$L1351</f>
        <v/>
      </c>
      <c r="DM1350" s="64">
        <f>$K1350-$K1351</f>
        <v/>
      </c>
      <c r="DN1350" s="65">
        <f>IFERROR($N1350/$N1351-1,"")</f>
        <v/>
      </c>
      <c r="DO1350" s="65">
        <f>IFERROR($M1350/$M1351-1,"")</f>
        <v/>
      </c>
      <c r="DP1350" s="65">
        <f>IFERROR($AZ1350/$AZ1351-1,"")</f>
        <v/>
      </c>
      <c r="DQ1350" s="65">
        <f>IFERROR($BA1350/$BA1351-1,"")</f>
        <v/>
      </c>
      <c r="DR1350" s="64">
        <f>$O1350-$O1351</f>
        <v/>
      </c>
      <c r="DS1350" s="64">
        <f>$P1350-$P1351</f>
        <v/>
      </c>
      <c r="DT1350" s="64">
        <f>$Q1350-$Q1351</f>
        <v/>
      </c>
      <c r="DU1350" s="64">
        <f>$S1350-$S1351</f>
        <v/>
      </c>
      <c r="DV1350" s="65">
        <f>IFERROR(AVERAGE($AA1351/$AA1350-1,$AB1351/$AB1350-1,$AC1351/$AC1350-1,$AD1351/$AD1350-1,$AE1351/$AE1350-1,$AG1351/$AG1350-1,$AH1351/$AH1350-1,$AI1351/$AI1350-1,$AJ1351/$AJ1350-1,$AL1351/$AL1350-1,$AM1351/$AM1350-1,$AR1351/$AR1350-1,$AS1351/$AS1350-1,$AT1351/$AT1350-1,$AU1351/$AU1350-1,$AV1351/$AV1350-1,$AW1351/$AW1350-1,$AX1351/$AX1350-1,$AY1351/$AY1350-1),"")</f>
        <v/>
      </c>
      <c r="DW1350" s="66">
        <f>AVERAGE($CB1350,$CC1350,$CD1350,$CE1350,$CF1350,$CG1350,$CH1350,$CI1350,$CJ1350,$CL1350,$CM1350,$CN1350,$CO1350,$CP1350,$CQ1350,$CR1350,$CS1350,$CT1350)</f>
        <v/>
      </c>
      <c r="DX1350" s="66">
        <f>AVERAGE($CB1350,$CC1350,$CM1350,$CE1350,$CP1350)</f>
        <v/>
      </c>
      <c r="DY1350" s="64">
        <f>($DW1350-$DW1351)*100</f>
        <v/>
      </c>
      <c r="DZ1350" s="64">
        <f>($DX1350-$DX1351)*100</f>
        <v/>
      </c>
      <c r="EA1350" s="64">
        <f>($DW1350-$D1350)*100</f>
        <v/>
      </c>
      <c r="EB1350" s="64">
        <f>$Q1350-$O1350</f>
        <v/>
      </c>
      <c r="EC1350" s="67">
        <f>IFERROR($Q1350/$P1350,"")</f>
        <v/>
      </c>
    </row>
    <row r="1351">
      <c r="DG1351" s="64">
        <f>($B1351-$B1352)*100</f>
        <v/>
      </c>
      <c r="DH1351" s="64">
        <f>($D1351-$D1352)*100</f>
        <v/>
      </c>
      <c r="DI1351" s="64">
        <f>($E1351-$E1352)*100</f>
        <v/>
      </c>
      <c r="DJ1351" s="64">
        <f>($H1351-$H1352)*100</f>
        <v/>
      </c>
      <c r="DK1351" s="65">
        <f>IFERROR($J1351/$J1352-1,"")</f>
        <v/>
      </c>
      <c r="DL1351" s="64">
        <f>$L1351-$L1352</f>
        <v/>
      </c>
      <c r="DM1351" s="64">
        <f>$K1351-$K1352</f>
        <v/>
      </c>
      <c r="DN1351" s="65">
        <f>IFERROR($N1351/$N1352-1,"")</f>
        <v/>
      </c>
      <c r="DO1351" s="65">
        <f>IFERROR($M1351/$M1352-1,"")</f>
        <v/>
      </c>
      <c r="DP1351" s="65">
        <f>IFERROR($AZ1351/$AZ1352-1,"")</f>
        <v/>
      </c>
      <c r="DQ1351" s="65">
        <f>IFERROR($BA1351/$BA1352-1,"")</f>
        <v/>
      </c>
      <c r="DR1351" s="64">
        <f>$O1351-$O1352</f>
        <v/>
      </c>
      <c r="DS1351" s="64">
        <f>$P1351-$P1352</f>
        <v/>
      </c>
      <c r="DT1351" s="64">
        <f>$Q1351-$Q1352</f>
        <v/>
      </c>
      <c r="DU1351" s="64">
        <f>$S1351-$S1352</f>
        <v/>
      </c>
      <c r="DV1351" s="65">
        <f>IFERROR(AVERAGE($AA1352/$AA1351-1,$AB1352/$AB1351-1,$AC1352/$AC1351-1,$AD1352/$AD1351-1,$AE1352/$AE1351-1,$AG1352/$AG1351-1,$AH1352/$AH1351-1,$AI1352/$AI1351-1,$AJ1352/$AJ1351-1,$AL1352/$AL1351-1,$AM1352/$AM1351-1,$AR1352/$AR1351-1,$AS1352/$AS1351-1,$AT1352/$AT1351-1,$AU1352/$AU1351-1,$AV1352/$AV1351-1,$AW1352/$AW1351-1,$AX1352/$AX1351-1,$AY1352/$AY1351-1),"")</f>
        <v/>
      </c>
      <c r="DW1351" s="66">
        <f>AVERAGE($CB1351,$CC1351,$CD1351,$CE1351,$CF1351,$CG1351,$CH1351,$CI1351,$CJ1351,$CL1351,$CM1351,$CN1351,$CO1351,$CP1351,$CQ1351,$CR1351,$CS1351,$CT1351)</f>
        <v/>
      </c>
      <c r="DX1351" s="66">
        <f>AVERAGE($CB1351,$CC1351,$CM1351,$CE1351,$CP1351)</f>
        <v/>
      </c>
      <c r="DY1351" s="64">
        <f>($DW1351-$DW1352)*100</f>
        <v/>
      </c>
      <c r="DZ1351" s="64">
        <f>($DX1351-$DX1352)*100</f>
        <v/>
      </c>
      <c r="EA1351" s="64">
        <f>($DW1351-$D1351)*100</f>
        <v/>
      </c>
      <c r="EB1351" s="64">
        <f>$Q1351-$O1351</f>
        <v/>
      </c>
      <c r="EC1351" s="67">
        <f>IFERROR($Q1351/$P1351,"")</f>
        <v/>
      </c>
    </row>
    <row r="1352">
      <c r="DG1352" s="64">
        <f>($B1352-$B1353)*100</f>
        <v/>
      </c>
      <c r="DH1352" s="64">
        <f>($D1352-$D1353)*100</f>
        <v/>
      </c>
      <c r="DI1352" s="64">
        <f>($E1352-$E1353)*100</f>
        <v/>
      </c>
      <c r="DJ1352" s="64">
        <f>($H1352-$H1353)*100</f>
        <v/>
      </c>
      <c r="DK1352" s="65">
        <f>IFERROR($J1352/$J1353-1,"")</f>
        <v/>
      </c>
      <c r="DL1352" s="64">
        <f>$L1352-$L1353</f>
        <v/>
      </c>
      <c r="DM1352" s="64">
        <f>$K1352-$K1353</f>
        <v/>
      </c>
      <c r="DN1352" s="65">
        <f>IFERROR($N1352/$N1353-1,"")</f>
        <v/>
      </c>
      <c r="DO1352" s="65">
        <f>IFERROR($M1352/$M1353-1,"")</f>
        <v/>
      </c>
      <c r="DP1352" s="65">
        <f>IFERROR($AZ1352/$AZ1353-1,"")</f>
        <v/>
      </c>
      <c r="DQ1352" s="65">
        <f>IFERROR($BA1352/$BA1353-1,"")</f>
        <v/>
      </c>
      <c r="DR1352" s="64">
        <f>$O1352-$O1353</f>
        <v/>
      </c>
      <c r="DS1352" s="64">
        <f>$P1352-$P1353</f>
        <v/>
      </c>
      <c r="DT1352" s="64">
        <f>$Q1352-$Q1353</f>
        <v/>
      </c>
      <c r="DU1352" s="64">
        <f>$S1352-$S1353</f>
        <v/>
      </c>
      <c r="DV1352" s="65">
        <f>IFERROR(AVERAGE($AA1353/$AA1352-1,$AB1353/$AB1352-1,$AC1353/$AC1352-1,$AD1353/$AD1352-1,$AE1353/$AE1352-1,$AG1353/$AG1352-1,$AH1353/$AH1352-1,$AI1353/$AI1352-1,$AJ1353/$AJ1352-1,$AL1353/$AL1352-1,$AM1353/$AM1352-1,$AR1353/$AR1352-1,$AS1353/$AS1352-1,$AT1353/$AT1352-1,$AU1353/$AU1352-1,$AV1353/$AV1352-1,$AW1353/$AW1352-1,$AX1353/$AX1352-1,$AY1353/$AY1352-1),"")</f>
        <v/>
      </c>
      <c r="DW1352" s="66">
        <f>AVERAGE($CB1352,$CC1352,$CD1352,$CE1352,$CF1352,$CG1352,$CH1352,$CI1352,$CJ1352,$CL1352,$CM1352,$CN1352,$CO1352,$CP1352,$CQ1352,$CR1352,$CS1352,$CT1352)</f>
        <v/>
      </c>
      <c r="DX1352" s="66">
        <f>AVERAGE($CB1352,$CC1352,$CM1352,$CE1352,$CP1352)</f>
        <v/>
      </c>
      <c r="DY1352" s="64">
        <f>($DW1352-$DW1353)*100</f>
        <v/>
      </c>
      <c r="DZ1352" s="64">
        <f>($DX1352-$DX1353)*100</f>
        <v/>
      </c>
      <c r="EA1352" s="64">
        <f>($DW1352-$D1352)*100</f>
        <v/>
      </c>
      <c r="EB1352" s="64">
        <f>$Q1352-$O1352</f>
        <v/>
      </c>
      <c r="EC1352" s="67">
        <f>IFERROR($Q1352/$P1352,"")</f>
        <v/>
      </c>
    </row>
    <row r="1353">
      <c r="DG1353" s="64">
        <f>($B1353-$B1354)*100</f>
        <v/>
      </c>
      <c r="DH1353" s="64">
        <f>($D1353-$D1354)*100</f>
        <v/>
      </c>
      <c r="DI1353" s="64">
        <f>($E1353-$E1354)*100</f>
        <v/>
      </c>
      <c r="DJ1353" s="64">
        <f>($H1353-$H1354)*100</f>
        <v/>
      </c>
      <c r="DK1353" s="65">
        <f>IFERROR($J1353/$J1354-1,"")</f>
        <v/>
      </c>
      <c r="DL1353" s="64">
        <f>$L1353-$L1354</f>
        <v/>
      </c>
      <c r="DM1353" s="64">
        <f>$K1353-$K1354</f>
        <v/>
      </c>
      <c r="DN1353" s="65">
        <f>IFERROR($N1353/$N1354-1,"")</f>
        <v/>
      </c>
      <c r="DO1353" s="65">
        <f>IFERROR($M1353/$M1354-1,"")</f>
        <v/>
      </c>
      <c r="DP1353" s="65">
        <f>IFERROR($AZ1353/$AZ1354-1,"")</f>
        <v/>
      </c>
      <c r="DQ1353" s="65">
        <f>IFERROR($BA1353/$BA1354-1,"")</f>
        <v/>
      </c>
      <c r="DR1353" s="64">
        <f>$O1353-$O1354</f>
        <v/>
      </c>
      <c r="DS1353" s="64">
        <f>$P1353-$P1354</f>
        <v/>
      </c>
      <c r="DT1353" s="64">
        <f>$Q1353-$Q1354</f>
        <v/>
      </c>
      <c r="DU1353" s="64">
        <f>$S1353-$S1354</f>
        <v/>
      </c>
      <c r="DV1353" s="65">
        <f>IFERROR(AVERAGE($AA1354/$AA1353-1,$AB1354/$AB1353-1,$AC1354/$AC1353-1,$AD1354/$AD1353-1,$AE1354/$AE1353-1,$AG1354/$AG1353-1,$AH1354/$AH1353-1,$AI1354/$AI1353-1,$AJ1354/$AJ1353-1,$AL1354/$AL1353-1,$AM1354/$AM1353-1,$AR1354/$AR1353-1,$AS1354/$AS1353-1,$AT1354/$AT1353-1,$AU1354/$AU1353-1,$AV1354/$AV1353-1,$AW1354/$AW1353-1,$AX1354/$AX1353-1,$AY1354/$AY1353-1),"")</f>
        <v/>
      </c>
      <c r="DW1353" s="66">
        <f>AVERAGE($CB1353,$CC1353,$CD1353,$CE1353,$CF1353,$CG1353,$CH1353,$CI1353,$CJ1353,$CL1353,$CM1353,$CN1353,$CO1353,$CP1353,$CQ1353,$CR1353,$CS1353,$CT1353)</f>
        <v/>
      </c>
      <c r="DX1353" s="66">
        <f>AVERAGE($CB1353,$CC1353,$CM1353,$CE1353,$CP1353)</f>
        <v/>
      </c>
      <c r="DY1353" s="64">
        <f>($DW1353-$DW1354)*100</f>
        <v/>
      </c>
      <c r="DZ1353" s="64">
        <f>($DX1353-$DX1354)*100</f>
        <v/>
      </c>
      <c r="EA1353" s="64">
        <f>($DW1353-$D1353)*100</f>
        <v/>
      </c>
      <c r="EB1353" s="64">
        <f>$Q1353-$O1353</f>
        <v/>
      </c>
      <c r="EC1353" s="67">
        <f>IFERROR($Q1353/$P1353,"")</f>
        <v/>
      </c>
    </row>
    <row r="1354">
      <c r="DG1354" s="64">
        <f>($B1354-$B1355)*100</f>
        <v/>
      </c>
      <c r="DH1354" s="64">
        <f>($D1354-$D1355)*100</f>
        <v/>
      </c>
      <c r="DI1354" s="64">
        <f>($E1354-$E1355)*100</f>
        <v/>
      </c>
      <c r="DJ1354" s="64">
        <f>($H1354-$H1355)*100</f>
        <v/>
      </c>
      <c r="DK1354" s="65">
        <f>IFERROR($J1354/$J1355-1,"")</f>
        <v/>
      </c>
      <c r="DL1354" s="64">
        <f>$L1354-$L1355</f>
        <v/>
      </c>
      <c r="DM1354" s="64">
        <f>$K1354-$K1355</f>
        <v/>
      </c>
      <c r="DN1354" s="65">
        <f>IFERROR($N1354/$N1355-1,"")</f>
        <v/>
      </c>
      <c r="DO1354" s="65">
        <f>IFERROR($M1354/$M1355-1,"")</f>
        <v/>
      </c>
      <c r="DP1354" s="65">
        <f>IFERROR($AZ1354/$AZ1355-1,"")</f>
        <v/>
      </c>
      <c r="DQ1354" s="65">
        <f>IFERROR($BA1354/$BA1355-1,"")</f>
        <v/>
      </c>
      <c r="DR1354" s="64">
        <f>$O1354-$O1355</f>
        <v/>
      </c>
      <c r="DS1354" s="64">
        <f>$P1354-$P1355</f>
        <v/>
      </c>
      <c r="DT1354" s="64">
        <f>$Q1354-$Q1355</f>
        <v/>
      </c>
      <c r="DU1354" s="64">
        <f>$S1354-$S1355</f>
        <v/>
      </c>
      <c r="DV1354" s="65">
        <f>IFERROR(AVERAGE($AA1355/$AA1354-1,$AB1355/$AB1354-1,$AC1355/$AC1354-1,$AD1355/$AD1354-1,$AE1355/$AE1354-1,$AG1355/$AG1354-1,$AH1355/$AH1354-1,$AI1355/$AI1354-1,$AJ1355/$AJ1354-1,$AL1355/$AL1354-1,$AM1355/$AM1354-1,$AR1355/$AR1354-1,$AS1355/$AS1354-1,$AT1355/$AT1354-1,$AU1355/$AU1354-1,$AV1355/$AV1354-1,$AW1355/$AW1354-1,$AX1355/$AX1354-1,$AY1355/$AY1354-1),"")</f>
        <v/>
      </c>
      <c r="DW1354" s="66">
        <f>AVERAGE($CB1354,$CC1354,$CD1354,$CE1354,$CF1354,$CG1354,$CH1354,$CI1354,$CJ1354,$CL1354,$CM1354,$CN1354,$CO1354,$CP1354,$CQ1354,$CR1354,$CS1354,$CT1354)</f>
        <v/>
      </c>
      <c r="DX1354" s="66">
        <f>AVERAGE($CB1354,$CC1354,$CM1354,$CE1354,$CP1354)</f>
        <v/>
      </c>
      <c r="DY1354" s="64">
        <f>($DW1354-$DW1355)*100</f>
        <v/>
      </c>
      <c r="DZ1354" s="64">
        <f>($DX1354-$DX1355)*100</f>
        <v/>
      </c>
      <c r="EA1354" s="64">
        <f>($DW1354-$D1354)*100</f>
        <v/>
      </c>
      <c r="EB1354" s="64">
        <f>$Q1354-$O1354</f>
        <v/>
      </c>
      <c r="EC1354" s="67">
        <f>IFERROR($Q1354/$P1354,"")</f>
        <v/>
      </c>
    </row>
    <row r="1355">
      <c r="DG1355" s="64">
        <f>($B1355-$B1356)*100</f>
        <v/>
      </c>
      <c r="DH1355" s="64">
        <f>($D1355-$D1356)*100</f>
        <v/>
      </c>
      <c r="DI1355" s="64">
        <f>($E1355-$E1356)*100</f>
        <v/>
      </c>
      <c r="DJ1355" s="64">
        <f>($H1355-$H1356)*100</f>
        <v/>
      </c>
      <c r="DK1355" s="65">
        <f>IFERROR($J1355/$J1356-1,"")</f>
        <v/>
      </c>
      <c r="DL1355" s="64">
        <f>$L1355-$L1356</f>
        <v/>
      </c>
      <c r="DM1355" s="64">
        <f>$K1355-$K1356</f>
        <v/>
      </c>
      <c r="DN1355" s="65">
        <f>IFERROR($N1355/$N1356-1,"")</f>
        <v/>
      </c>
      <c r="DO1355" s="65">
        <f>IFERROR($M1355/$M1356-1,"")</f>
        <v/>
      </c>
      <c r="DP1355" s="65">
        <f>IFERROR($AZ1355/$AZ1356-1,"")</f>
        <v/>
      </c>
      <c r="DQ1355" s="65">
        <f>IFERROR($BA1355/$BA1356-1,"")</f>
        <v/>
      </c>
      <c r="DR1355" s="64">
        <f>$O1355-$O1356</f>
        <v/>
      </c>
      <c r="DS1355" s="64">
        <f>$P1355-$P1356</f>
        <v/>
      </c>
      <c r="DT1355" s="64">
        <f>$Q1355-$Q1356</f>
        <v/>
      </c>
      <c r="DU1355" s="64">
        <f>$S1355-$S1356</f>
        <v/>
      </c>
      <c r="DV1355" s="65">
        <f>IFERROR(AVERAGE($AA1356/$AA1355-1,$AB1356/$AB1355-1,$AC1356/$AC1355-1,$AD1356/$AD1355-1,$AE1356/$AE1355-1,$AG1356/$AG1355-1,$AH1356/$AH1355-1,$AI1356/$AI1355-1,$AJ1356/$AJ1355-1,$AL1356/$AL1355-1,$AM1356/$AM1355-1,$AR1356/$AR1355-1,$AS1356/$AS1355-1,$AT1356/$AT1355-1,$AU1356/$AU1355-1,$AV1356/$AV1355-1,$AW1356/$AW1355-1,$AX1356/$AX1355-1,$AY1356/$AY1355-1),"")</f>
        <v/>
      </c>
      <c r="DW1355" s="66">
        <f>AVERAGE($CB1355,$CC1355,$CD1355,$CE1355,$CF1355,$CG1355,$CH1355,$CI1355,$CJ1355,$CL1355,$CM1355,$CN1355,$CO1355,$CP1355,$CQ1355,$CR1355,$CS1355,$CT1355)</f>
        <v/>
      </c>
      <c r="DX1355" s="66">
        <f>AVERAGE($CB1355,$CC1355,$CM1355,$CE1355,$CP1355)</f>
        <v/>
      </c>
      <c r="DY1355" s="64">
        <f>($DW1355-$DW1356)*100</f>
        <v/>
      </c>
      <c r="DZ1355" s="64">
        <f>($DX1355-$DX1356)*100</f>
        <v/>
      </c>
      <c r="EA1355" s="64">
        <f>($DW1355-$D1355)*100</f>
        <v/>
      </c>
      <c r="EB1355" s="64">
        <f>$Q1355-$O1355</f>
        <v/>
      </c>
      <c r="EC1355" s="67">
        <f>IFERROR($Q1355/$P1355,"")</f>
        <v/>
      </c>
    </row>
    <row r="1356">
      <c r="DG1356" s="64">
        <f>($B1356-$B1357)*100</f>
        <v/>
      </c>
      <c r="DH1356" s="64">
        <f>($D1356-$D1357)*100</f>
        <v/>
      </c>
      <c r="DI1356" s="64">
        <f>($E1356-$E1357)*100</f>
        <v/>
      </c>
      <c r="DJ1356" s="64">
        <f>($H1356-$H1357)*100</f>
        <v/>
      </c>
      <c r="DK1356" s="65">
        <f>IFERROR($J1356/$J1357-1,"")</f>
        <v/>
      </c>
      <c r="DL1356" s="64">
        <f>$L1356-$L1357</f>
        <v/>
      </c>
      <c r="DM1356" s="64">
        <f>$K1356-$K1357</f>
        <v/>
      </c>
      <c r="DN1356" s="65">
        <f>IFERROR($N1356/$N1357-1,"")</f>
        <v/>
      </c>
      <c r="DO1356" s="65">
        <f>IFERROR($M1356/$M1357-1,"")</f>
        <v/>
      </c>
      <c r="DP1356" s="65">
        <f>IFERROR($AZ1356/$AZ1357-1,"")</f>
        <v/>
      </c>
      <c r="DQ1356" s="65">
        <f>IFERROR($BA1356/$BA1357-1,"")</f>
        <v/>
      </c>
      <c r="DR1356" s="64">
        <f>$O1356-$O1357</f>
        <v/>
      </c>
      <c r="DS1356" s="64">
        <f>$P1356-$P1357</f>
        <v/>
      </c>
      <c r="DT1356" s="64">
        <f>$Q1356-$Q1357</f>
        <v/>
      </c>
      <c r="DU1356" s="64">
        <f>$S1356-$S1357</f>
        <v/>
      </c>
      <c r="DV1356" s="65">
        <f>IFERROR(AVERAGE($AA1357/$AA1356-1,$AB1357/$AB1356-1,$AC1357/$AC1356-1,$AD1357/$AD1356-1,$AE1357/$AE1356-1,$AG1357/$AG1356-1,$AH1357/$AH1356-1,$AI1357/$AI1356-1,$AJ1357/$AJ1356-1,$AL1357/$AL1356-1,$AM1357/$AM1356-1,$AR1357/$AR1356-1,$AS1357/$AS1356-1,$AT1357/$AT1356-1,$AU1357/$AU1356-1,$AV1357/$AV1356-1,$AW1357/$AW1356-1,$AX1357/$AX1356-1,$AY1357/$AY1356-1),"")</f>
        <v/>
      </c>
      <c r="DW1356" s="66">
        <f>AVERAGE($CB1356,$CC1356,$CD1356,$CE1356,$CF1356,$CG1356,$CH1356,$CI1356,$CJ1356,$CL1356,$CM1356,$CN1356,$CO1356,$CP1356,$CQ1356,$CR1356,$CS1356,$CT1356)</f>
        <v/>
      </c>
      <c r="DX1356" s="66">
        <f>AVERAGE($CB1356,$CC1356,$CM1356,$CE1356,$CP1356)</f>
        <v/>
      </c>
      <c r="DY1356" s="64">
        <f>($DW1356-$DW1357)*100</f>
        <v/>
      </c>
      <c r="DZ1356" s="64">
        <f>($DX1356-$DX1357)*100</f>
        <v/>
      </c>
      <c r="EA1356" s="64">
        <f>($DW1356-$D1356)*100</f>
        <v/>
      </c>
      <c r="EB1356" s="64">
        <f>$Q1356-$O1356</f>
        <v/>
      </c>
      <c r="EC1356" s="67">
        <f>IFERROR($Q1356/$P1356,"")</f>
        <v/>
      </c>
    </row>
    <row r="1357">
      <c r="DG1357" s="64">
        <f>($B1357-$B1358)*100</f>
        <v/>
      </c>
      <c r="DH1357" s="64">
        <f>($D1357-$D1358)*100</f>
        <v/>
      </c>
      <c r="DI1357" s="64">
        <f>($E1357-$E1358)*100</f>
        <v/>
      </c>
      <c r="DJ1357" s="64">
        <f>($H1357-$H1358)*100</f>
        <v/>
      </c>
      <c r="DK1357" s="65">
        <f>IFERROR($J1357/$J1358-1,"")</f>
        <v/>
      </c>
      <c r="DL1357" s="64">
        <f>$L1357-$L1358</f>
        <v/>
      </c>
      <c r="DM1357" s="64">
        <f>$K1357-$K1358</f>
        <v/>
      </c>
      <c r="DN1357" s="65">
        <f>IFERROR($N1357/$N1358-1,"")</f>
        <v/>
      </c>
      <c r="DO1357" s="65">
        <f>IFERROR($M1357/$M1358-1,"")</f>
        <v/>
      </c>
      <c r="DP1357" s="65">
        <f>IFERROR($AZ1357/$AZ1358-1,"")</f>
        <v/>
      </c>
      <c r="DQ1357" s="65">
        <f>IFERROR($BA1357/$BA1358-1,"")</f>
        <v/>
      </c>
      <c r="DR1357" s="64">
        <f>$O1357-$O1358</f>
        <v/>
      </c>
      <c r="DS1357" s="64">
        <f>$P1357-$P1358</f>
        <v/>
      </c>
      <c r="DT1357" s="64">
        <f>$Q1357-$Q1358</f>
        <v/>
      </c>
      <c r="DU1357" s="64">
        <f>$S1357-$S1358</f>
        <v/>
      </c>
      <c r="DV1357" s="65">
        <f>IFERROR(AVERAGE($AA1358/$AA1357-1,$AB1358/$AB1357-1,$AC1358/$AC1357-1,$AD1358/$AD1357-1,$AE1358/$AE1357-1,$AG1358/$AG1357-1,$AH1358/$AH1357-1,$AI1358/$AI1357-1,$AJ1358/$AJ1357-1,$AL1358/$AL1357-1,$AM1358/$AM1357-1,$AR1358/$AR1357-1,$AS1358/$AS1357-1,$AT1358/$AT1357-1,$AU1358/$AU1357-1,$AV1358/$AV1357-1,$AW1358/$AW1357-1,$AX1358/$AX1357-1,$AY1358/$AY1357-1),"")</f>
        <v/>
      </c>
      <c r="DW1357" s="66">
        <f>AVERAGE($CB1357,$CC1357,$CD1357,$CE1357,$CF1357,$CG1357,$CH1357,$CI1357,$CJ1357,$CL1357,$CM1357,$CN1357,$CO1357,$CP1357,$CQ1357,$CR1357,$CS1357,$CT1357)</f>
        <v/>
      </c>
      <c r="DX1357" s="66">
        <f>AVERAGE($CB1357,$CC1357,$CM1357,$CE1357,$CP1357)</f>
        <v/>
      </c>
      <c r="DY1357" s="64">
        <f>($DW1357-$DW1358)*100</f>
        <v/>
      </c>
      <c r="DZ1357" s="64">
        <f>($DX1357-$DX1358)*100</f>
        <v/>
      </c>
      <c r="EA1357" s="64">
        <f>($DW1357-$D1357)*100</f>
        <v/>
      </c>
      <c r="EB1357" s="64">
        <f>$Q1357-$O1357</f>
        <v/>
      </c>
      <c r="EC1357" s="67">
        <f>IFERROR($Q1357/$P1357,"")</f>
        <v/>
      </c>
    </row>
    <row r="1358">
      <c r="DG1358" s="64">
        <f>($B1358-$B1359)*100</f>
        <v/>
      </c>
      <c r="DH1358" s="64">
        <f>($D1358-$D1359)*100</f>
        <v/>
      </c>
      <c r="DI1358" s="64">
        <f>($E1358-$E1359)*100</f>
        <v/>
      </c>
      <c r="DJ1358" s="64">
        <f>($H1358-$H1359)*100</f>
        <v/>
      </c>
      <c r="DK1358" s="65">
        <f>IFERROR($J1358/$J1359-1,"")</f>
        <v/>
      </c>
      <c r="DL1358" s="64">
        <f>$L1358-$L1359</f>
        <v/>
      </c>
      <c r="DM1358" s="64">
        <f>$K1358-$K1359</f>
        <v/>
      </c>
      <c r="DN1358" s="65">
        <f>IFERROR($N1358/$N1359-1,"")</f>
        <v/>
      </c>
      <c r="DO1358" s="65">
        <f>IFERROR($M1358/$M1359-1,"")</f>
        <v/>
      </c>
      <c r="DP1358" s="65">
        <f>IFERROR($AZ1358/$AZ1359-1,"")</f>
        <v/>
      </c>
      <c r="DQ1358" s="65">
        <f>IFERROR($BA1358/$BA1359-1,"")</f>
        <v/>
      </c>
      <c r="DR1358" s="64">
        <f>$O1358-$O1359</f>
        <v/>
      </c>
      <c r="DS1358" s="64">
        <f>$P1358-$P1359</f>
        <v/>
      </c>
      <c r="DT1358" s="64">
        <f>$Q1358-$Q1359</f>
        <v/>
      </c>
      <c r="DU1358" s="64">
        <f>$S1358-$S1359</f>
        <v/>
      </c>
      <c r="DV1358" s="65">
        <f>IFERROR(AVERAGE($AA1359/$AA1358-1,$AB1359/$AB1358-1,$AC1359/$AC1358-1,$AD1359/$AD1358-1,$AE1359/$AE1358-1,$AG1359/$AG1358-1,$AH1359/$AH1358-1,$AI1359/$AI1358-1,$AJ1359/$AJ1358-1,$AL1359/$AL1358-1,$AM1359/$AM1358-1,$AR1359/$AR1358-1,$AS1359/$AS1358-1,$AT1359/$AT1358-1,$AU1359/$AU1358-1,$AV1359/$AV1358-1,$AW1359/$AW1358-1,$AX1359/$AX1358-1,$AY1359/$AY1358-1),"")</f>
        <v/>
      </c>
      <c r="DW1358" s="66">
        <f>AVERAGE($CB1358,$CC1358,$CD1358,$CE1358,$CF1358,$CG1358,$CH1358,$CI1358,$CJ1358,$CL1358,$CM1358,$CN1358,$CO1358,$CP1358,$CQ1358,$CR1358,$CS1358,$CT1358)</f>
        <v/>
      </c>
      <c r="DX1358" s="66">
        <f>AVERAGE($CB1358,$CC1358,$CM1358,$CE1358,$CP1358)</f>
        <v/>
      </c>
      <c r="DY1358" s="64">
        <f>($DW1358-$DW1359)*100</f>
        <v/>
      </c>
      <c r="DZ1358" s="64">
        <f>($DX1358-$DX1359)*100</f>
        <v/>
      </c>
      <c r="EA1358" s="64">
        <f>($DW1358-$D1358)*100</f>
        <v/>
      </c>
      <c r="EB1358" s="64">
        <f>$Q1358-$O1358</f>
        <v/>
      </c>
      <c r="EC1358" s="67">
        <f>IFERROR($Q1358/$P1358,"")</f>
        <v/>
      </c>
    </row>
    <row r="1359">
      <c r="DG1359" s="64">
        <f>($B1359-$B1360)*100</f>
        <v/>
      </c>
      <c r="DH1359" s="64">
        <f>($D1359-$D1360)*100</f>
        <v/>
      </c>
      <c r="DI1359" s="64">
        <f>($E1359-$E1360)*100</f>
        <v/>
      </c>
      <c r="DJ1359" s="64">
        <f>($H1359-$H1360)*100</f>
        <v/>
      </c>
      <c r="DK1359" s="65">
        <f>IFERROR($J1359/$J1360-1,"")</f>
        <v/>
      </c>
      <c r="DL1359" s="64">
        <f>$L1359-$L1360</f>
        <v/>
      </c>
      <c r="DM1359" s="64">
        <f>$K1359-$K1360</f>
        <v/>
      </c>
      <c r="DN1359" s="65">
        <f>IFERROR($N1359/$N1360-1,"")</f>
        <v/>
      </c>
      <c r="DO1359" s="65">
        <f>IFERROR($M1359/$M1360-1,"")</f>
        <v/>
      </c>
      <c r="DP1359" s="65">
        <f>IFERROR($AZ1359/$AZ1360-1,"")</f>
        <v/>
      </c>
      <c r="DQ1359" s="65">
        <f>IFERROR($BA1359/$BA1360-1,"")</f>
        <v/>
      </c>
      <c r="DR1359" s="64">
        <f>$O1359-$O1360</f>
        <v/>
      </c>
      <c r="DS1359" s="64">
        <f>$P1359-$P1360</f>
        <v/>
      </c>
      <c r="DT1359" s="64">
        <f>$Q1359-$Q1360</f>
        <v/>
      </c>
      <c r="DU1359" s="64">
        <f>$S1359-$S1360</f>
        <v/>
      </c>
      <c r="DV1359" s="65">
        <f>IFERROR(AVERAGE($AA1360/$AA1359-1,$AB1360/$AB1359-1,$AC1360/$AC1359-1,$AD1360/$AD1359-1,$AE1360/$AE1359-1,$AG1360/$AG1359-1,$AH1360/$AH1359-1,$AI1360/$AI1359-1,$AJ1360/$AJ1359-1,$AL1360/$AL1359-1,$AM1360/$AM1359-1,$AR1360/$AR1359-1,$AS1360/$AS1359-1,$AT1360/$AT1359-1,$AU1360/$AU1359-1,$AV1360/$AV1359-1,$AW1360/$AW1359-1,$AX1360/$AX1359-1,$AY1360/$AY1359-1),"")</f>
        <v/>
      </c>
      <c r="DW1359" s="66">
        <f>AVERAGE($CB1359,$CC1359,$CD1359,$CE1359,$CF1359,$CG1359,$CH1359,$CI1359,$CJ1359,$CL1359,$CM1359,$CN1359,$CO1359,$CP1359,$CQ1359,$CR1359,$CS1359,$CT1359)</f>
        <v/>
      </c>
      <c r="DX1359" s="66">
        <f>AVERAGE($CB1359,$CC1359,$CM1359,$CE1359,$CP1359)</f>
        <v/>
      </c>
      <c r="DY1359" s="64">
        <f>($DW1359-$DW1360)*100</f>
        <v/>
      </c>
      <c r="DZ1359" s="64">
        <f>($DX1359-$DX1360)*100</f>
        <v/>
      </c>
      <c r="EA1359" s="64">
        <f>($DW1359-$D1359)*100</f>
        <v/>
      </c>
      <c r="EB1359" s="64">
        <f>$Q1359-$O1359</f>
        <v/>
      </c>
      <c r="EC1359" s="67">
        <f>IFERROR($Q1359/$P1359,"")</f>
        <v/>
      </c>
    </row>
    <row r="1360">
      <c r="DG1360" s="64">
        <f>($B1360-$B1361)*100</f>
        <v/>
      </c>
      <c r="DH1360" s="64">
        <f>($D1360-$D1361)*100</f>
        <v/>
      </c>
      <c r="DI1360" s="64">
        <f>($E1360-$E1361)*100</f>
        <v/>
      </c>
      <c r="DJ1360" s="64">
        <f>($H1360-$H1361)*100</f>
        <v/>
      </c>
      <c r="DK1360" s="65">
        <f>IFERROR($J1360/$J1361-1,"")</f>
        <v/>
      </c>
      <c r="DL1360" s="64">
        <f>$L1360-$L1361</f>
        <v/>
      </c>
      <c r="DM1360" s="64">
        <f>$K1360-$K1361</f>
        <v/>
      </c>
      <c r="DN1360" s="65">
        <f>IFERROR($N1360/$N1361-1,"")</f>
        <v/>
      </c>
      <c r="DO1360" s="65">
        <f>IFERROR($M1360/$M1361-1,"")</f>
        <v/>
      </c>
      <c r="DP1360" s="65">
        <f>IFERROR($AZ1360/$AZ1361-1,"")</f>
        <v/>
      </c>
      <c r="DQ1360" s="65">
        <f>IFERROR($BA1360/$BA1361-1,"")</f>
        <v/>
      </c>
      <c r="DR1360" s="64">
        <f>$O1360-$O1361</f>
        <v/>
      </c>
      <c r="DS1360" s="64">
        <f>$P1360-$P1361</f>
        <v/>
      </c>
      <c r="DT1360" s="64">
        <f>$Q1360-$Q1361</f>
        <v/>
      </c>
      <c r="DU1360" s="64">
        <f>$S1360-$S1361</f>
        <v/>
      </c>
      <c r="DV1360" s="65">
        <f>IFERROR(AVERAGE($AA1361/$AA1360-1,$AB1361/$AB1360-1,$AC1361/$AC1360-1,$AD1361/$AD1360-1,$AE1361/$AE1360-1,$AG1361/$AG1360-1,$AH1361/$AH1360-1,$AI1361/$AI1360-1,$AJ1361/$AJ1360-1,$AL1361/$AL1360-1,$AM1361/$AM1360-1,$AR1361/$AR1360-1,$AS1361/$AS1360-1,$AT1361/$AT1360-1,$AU1361/$AU1360-1,$AV1361/$AV1360-1,$AW1361/$AW1360-1,$AX1361/$AX1360-1,$AY1361/$AY1360-1),"")</f>
        <v/>
      </c>
      <c r="DW1360" s="66">
        <f>AVERAGE($CB1360,$CC1360,$CD1360,$CE1360,$CF1360,$CG1360,$CH1360,$CI1360,$CJ1360,$CL1360,$CM1360,$CN1360,$CO1360,$CP1360,$CQ1360,$CR1360,$CS1360,$CT1360)</f>
        <v/>
      </c>
      <c r="DX1360" s="66">
        <f>AVERAGE($CB1360,$CC1360,$CM1360,$CE1360,$CP1360)</f>
        <v/>
      </c>
      <c r="DY1360" s="64">
        <f>($DW1360-$DW1361)*100</f>
        <v/>
      </c>
      <c r="DZ1360" s="64">
        <f>($DX1360-$DX1361)*100</f>
        <v/>
      </c>
      <c r="EA1360" s="64">
        <f>($DW1360-$D1360)*100</f>
        <v/>
      </c>
      <c r="EB1360" s="64">
        <f>$Q1360-$O1360</f>
        <v/>
      </c>
      <c r="EC1360" s="67">
        <f>IFERROR($Q1360/$P1360,"")</f>
        <v/>
      </c>
    </row>
    <row r="1361">
      <c r="DG1361" s="64">
        <f>($B1361-$B1362)*100</f>
        <v/>
      </c>
      <c r="DH1361" s="64">
        <f>($D1361-$D1362)*100</f>
        <v/>
      </c>
      <c r="DI1361" s="64">
        <f>($E1361-$E1362)*100</f>
        <v/>
      </c>
      <c r="DJ1361" s="64">
        <f>($H1361-$H1362)*100</f>
        <v/>
      </c>
      <c r="DK1361" s="65">
        <f>IFERROR($J1361/$J1362-1,"")</f>
        <v/>
      </c>
      <c r="DL1361" s="64">
        <f>$L1361-$L1362</f>
        <v/>
      </c>
      <c r="DM1361" s="64">
        <f>$K1361-$K1362</f>
        <v/>
      </c>
      <c r="DN1361" s="65">
        <f>IFERROR($N1361/$N1362-1,"")</f>
        <v/>
      </c>
      <c r="DO1361" s="65">
        <f>IFERROR($M1361/$M1362-1,"")</f>
        <v/>
      </c>
      <c r="DP1361" s="65">
        <f>IFERROR($AZ1361/$AZ1362-1,"")</f>
        <v/>
      </c>
      <c r="DQ1361" s="65">
        <f>IFERROR($BA1361/$BA1362-1,"")</f>
        <v/>
      </c>
      <c r="DR1361" s="64">
        <f>$O1361-$O1362</f>
        <v/>
      </c>
      <c r="DS1361" s="64">
        <f>$P1361-$P1362</f>
        <v/>
      </c>
      <c r="DT1361" s="64">
        <f>$Q1361-$Q1362</f>
        <v/>
      </c>
      <c r="DU1361" s="64">
        <f>$S1361-$S1362</f>
        <v/>
      </c>
      <c r="DV1361" s="65">
        <f>IFERROR(AVERAGE($AA1362/$AA1361-1,$AB1362/$AB1361-1,$AC1362/$AC1361-1,$AD1362/$AD1361-1,$AE1362/$AE1361-1,$AG1362/$AG1361-1,$AH1362/$AH1361-1,$AI1362/$AI1361-1,$AJ1362/$AJ1361-1,$AL1362/$AL1361-1,$AM1362/$AM1361-1,$AR1362/$AR1361-1,$AS1362/$AS1361-1,$AT1362/$AT1361-1,$AU1362/$AU1361-1,$AV1362/$AV1361-1,$AW1362/$AW1361-1,$AX1362/$AX1361-1,$AY1362/$AY1361-1),"")</f>
        <v/>
      </c>
      <c r="DW1361" s="66">
        <f>AVERAGE($CB1361,$CC1361,$CD1361,$CE1361,$CF1361,$CG1361,$CH1361,$CI1361,$CJ1361,$CL1361,$CM1361,$CN1361,$CO1361,$CP1361,$CQ1361,$CR1361,$CS1361,$CT1361)</f>
        <v/>
      </c>
      <c r="DX1361" s="66">
        <f>AVERAGE($CB1361,$CC1361,$CM1361,$CE1361,$CP1361)</f>
        <v/>
      </c>
      <c r="DY1361" s="64">
        <f>($DW1361-$DW1362)*100</f>
        <v/>
      </c>
      <c r="DZ1361" s="64">
        <f>($DX1361-$DX1362)*100</f>
        <v/>
      </c>
      <c r="EA1361" s="64">
        <f>($DW1361-$D1361)*100</f>
        <v/>
      </c>
      <c r="EB1361" s="64">
        <f>$Q1361-$O1361</f>
        <v/>
      </c>
      <c r="EC1361" s="67">
        <f>IFERROR($Q1361/$P1361,"")</f>
        <v/>
      </c>
    </row>
    <row r="1362">
      <c r="DG1362" s="64">
        <f>($B1362-$B1363)*100</f>
        <v/>
      </c>
      <c r="DH1362" s="64">
        <f>($D1362-$D1363)*100</f>
        <v/>
      </c>
      <c r="DI1362" s="64">
        <f>($E1362-$E1363)*100</f>
        <v/>
      </c>
      <c r="DJ1362" s="64">
        <f>($H1362-$H1363)*100</f>
        <v/>
      </c>
      <c r="DK1362" s="65">
        <f>IFERROR($J1362/$J1363-1,"")</f>
        <v/>
      </c>
      <c r="DL1362" s="64">
        <f>$L1362-$L1363</f>
        <v/>
      </c>
      <c r="DM1362" s="64">
        <f>$K1362-$K1363</f>
        <v/>
      </c>
      <c r="DN1362" s="65">
        <f>IFERROR($N1362/$N1363-1,"")</f>
        <v/>
      </c>
      <c r="DO1362" s="65">
        <f>IFERROR($M1362/$M1363-1,"")</f>
        <v/>
      </c>
      <c r="DP1362" s="65">
        <f>IFERROR($AZ1362/$AZ1363-1,"")</f>
        <v/>
      </c>
      <c r="DQ1362" s="65">
        <f>IFERROR($BA1362/$BA1363-1,"")</f>
        <v/>
      </c>
      <c r="DR1362" s="64">
        <f>$O1362-$O1363</f>
        <v/>
      </c>
      <c r="DS1362" s="64">
        <f>$P1362-$P1363</f>
        <v/>
      </c>
      <c r="DT1362" s="64">
        <f>$Q1362-$Q1363</f>
        <v/>
      </c>
      <c r="DU1362" s="64">
        <f>$S1362-$S1363</f>
        <v/>
      </c>
      <c r="DV1362" s="65">
        <f>IFERROR(AVERAGE($AA1363/$AA1362-1,$AB1363/$AB1362-1,$AC1363/$AC1362-1,$AD1363/$AD1362-1,$AE1363/$AE1362-1,$AG1363/$AG1362-1,$AH1363/$AH1362-1,$AI1363/$AI1362-1,$AJ1363/$AJ1362-1,$AL1363/$AL1362-1,$AM1363/$AM1362-1,$AR1363/$AR1362-1,$AS1363/$AS1362-1,$AT1363/$AT1362-1,$AU1363/$AU1362-1,$AV1363/$AV1362-1,$AW1363/$AW1362-1,$AX1363/$AX1362-1,$AY1363/$AY1362-1),"")</f>
        <v/>
      </c>
      <c r="DW1362" s="66">
        <f>AVERAGE($CB1362,$CC1362,$CD1362,$CE1362,$CF1362,$CG1362,$CH1362,$CI1362,$CJ1362,$CL1362,$CM1362,$CN1362,$CO1362,$CP1362,$CQ1362,$CR1362,$CS1362,$CT1362)</f>
        <v/>
      </c>
      <c r="DX1362" s="66">
        <f>AVERAGE($CB1362,$CC1362,$CM1362,$CE1362,$CP1362)</f>
        <v/>
      </c>
      <c r="DY1362" s="64">
        <f>($DW1362-$DW1363)*100</f>
        <v/>
      </c>
      <c r="DZ1362" s="64">
        <f>($DX1362-$DX1363)*100</f>
        <v/>
      </c>
      <c r="EA1362" s="64">
        <f>($DW1362-$D1362)*100</f>
        <v/>
      </c>
      <c r="EB1362" s="64">
        <f>$Q1362-$O1362</f>
        <v/>
      </c>
      <c r="EC1362" s="67">
        <f>IFERROR($Q1362/$P1362,"")</f>
        <v/>
      </c>
    </row>
    <row r="1363">
      <c r="DG1363" s="64">
        <f>($B1363-$B1364)*100</f>
        <v/>
      </c>
      <c r="DH1363" s="64">
        <f>($D1363-$D1364)*100</f>
        <v/>
      </c>
      <c r="DI1363" s="64">
        <f>($E1363-$E1364)*100</f>
        <v/>
      </c>
      <c r="DJ1363" s="64">
        <f>($H1363-$H1364)*100</f>
        <v/>
      </c>
      <c r="DK1363" s="65">
        <f>IFERROR($J1363/$J1364-1,"")</f>
        <v/>
      </c>
      <c r="DL1363" s="64">
        <f>$L1363-$L1364</f>
        <v/>
      </c>
      <c r="DM1363" s="64">
        <f>$K1363-$K1364</f>
        <v/>
      </c>
      <c r="DN1363" s="65">
        <f>IFERROR($N1363/$N1364-1,"")</f>
        <v/>
      </c>
      <c r="DO1363" s="65">
        <f>IFERROR($M1363/$M1364-1,"")</f>
        <v/>
      </c>
      <c r="DP1363" s="65">
        <f>IFERROR($AZ1363/$AZ1364-1,"")</f>
        <v/>
      </c>
      <c r="DQ1363" s="65">
        <f>IFERROR($BA1363/$BA1364-1,"")</f>
        <v/>
      </c>
      <c r="DR1363" s="64">
        <f>$O1363-$O1364</f>
        <v/>
      </c>
      <c r="DS1363" s="64">
        <f>$P1363-$P1364</f>
        <v/>
      </c>
      <c r="DT1363" s="64">
        <f>$Q1363-$Q1364</f>
        <v/>
      </c>
      <c r="DU1363" s="64">
        <f>$S1363-$S1364</f>
        <v/>
      </c>
      <c r="DV1363" s="65">
        <f>IFERROR(AVERAGE($AA1364/$AA1363-1,$AB1364/$AB1363-1,$AC1364/$AC1363-1,$AD1364/$AD1363-1,$AE1364/$AE1363-1,$AG1364/$AG1363-1,$AH1364/$AH1363-1,$AI1364/$AI1363-1,$AJ1364/$AJ1363-1,$AL1364/$AL1363-1,$AM1364/$AM1363-1,$AR1364/$AR1363-1,$AS1364/$AS1363-1,$AT1364/$AT1363-1,$AU1364/$AU1363-1,$AV1364/$AV1363-1,$AW1364/$AW1363-1,$AX1364/$AX1363-1,$AY1364/$AY1363-1),"")</f>
        <v/>
      </c>
      <c r="DW1363" s="66">
        <f>AVERAGE($CB1363,$CC1363,$CD1363,$CE1363,$CF1363,$CG1363,$CH1363,$CI1363,$CJ1363,$CL1363,$CM1363,$CN1363,$CO1363,$CP1363,$CQ1363,$CR1363,$CS1363,$CT1363)</f>
        <v/>
      </c>
      <c r="DX1363" s="66">
        <f>AVERAGE($CB1363,$CC1363,$CM1363,$CE1363,$CP1363)</f>
        <v/>
      </c>
      <c r="DY1363" s="64">
        <f>($DW1363-$DW1364)*100</f>
        <v/>
      </c>
      <c r="DZ1363" s="64">
        <f>($DX1363-$DX1364)*100</f>
        <v/>
      </c>
      <c r="EA1363" s="64">
        <f>($DW1363-$D1363)*100</f>
        <v/>
      </c>
      <c r="EB1363" s="64">
        <f>$Q1363-$O1363</f>
        <v/>
      </c>
      <c r="EC1363" s="67">
        <f>IFERROR($Q1363/$P1363,"")</f>
        <v/>
      </c>
    </row>
    <row r="1364">
      <c r="DG1364" s="64">
        <f>($B1364-$B1365)*100</f>
        <v/>
      </c>
      <c r="DH1364" s="64">
        <f>($D1364-$D1365)*100</f>
        <v/>
      </c>
      <c r="DI1364" s="64">
        <f>($E1364-$E1365)*100</f>
        <v/>
      </c>
      <c r="DJ1364" s="64">
        <f>($H1364-$H1365)*100</f>
        <v/>
      </c>
      <c r="DK1364" s="65">
        <f>IFERROR($J1364/$J1365-1,"")</f>
        <v/>
      </c>
      <c r="DL1364" s="64">
        <f>$L1364-$L1365</f>
        <v/>
      </c>
      <c r="DM1364" s="64">
        <f>$K1364-$K1365</f>
        <v/>
      </c>
      <c r="DN1364" s="65">
        <f>IFERROR($N1364/$N1365-1,"")</f>
        <v/>
      </c>
      <c r="DO1364" s="65">
        <f>IFERROR($M1364/$M1365-1,"")</f>
        <v/>
      </c>
      <c r="DP1364" s="65">
        <f>IFERROR($AZ1364/$AZ1365-1,"")</f>
        <v/>
      </c>
      <c r="DQ1364" s="65">
        <f>IFERROR($BA1364/$BA1365-1,"")</f>
        <v/>
      </c>
      <c r="DR1364" s="64">
        <f>$O1364-$O1365</f>
        <v/>
      </c>
      <c r="DS1364" s="64">
        <f>$P1364-$P1365</f>
        <v/>
      </c>
      <c r="DT1364" s="64">
        <f>$Q1364-$Q1365</f>
        <v/>
      </c>
      <c r="DU1364" s="64">
        <f>$S1364-$S1365</f>
        <v/>
      </c>
      <c r="DV1364" s="65">
        <f>IFERROR(AVERAGE($AA1365/$AA1364-1,$AB1365/$AB1364-1,$AC1365/$AC1364-1,$AD1365/$AD1364-1,$AE1365/$AE1364-1,$AG1365/$AG1364-1,$AH1365/$AH1364-1,$AI1365/$AI1364-1,$AJ1365/$AJ1364-1,$AL1365/$AL1364-1,$AM1365/$AM1364-1,$AR1365/$AR1364-1,$AS1365/$AS1364-1,$AT1365/$AT1364-1,$AU1365/$AU1364-1,$AV1365/$AV1364-1,$AW1365/$AW1364-1,$AX1365/$AX1364-1,$AY1365/$AY1364-1),"")</f>
        <v/>
      </c>
      <c r="DW1364" s="66">
        <f>AVERAGE($CB1364,$CC1364,$CD1364,$CE1364,$CF1364,$CG1364,$CH1364,$CI1364,$CJ1364,$CL1364,$CM1364,$CN1364,$CO1364,$CP1364,$CQ1364,$CR1364,$CS1364,$CT1364)</f>
        <v/>
      </c>
      <c r="DX1364" s="66">
        <f>AVERAGE($CB1364,$CC1364,$CM1364,$CE1364,$CP1364)</f>
        <v/>
      </c>
      <c r="DY1364" s="64">
        <f>($DW1364-$DW1365)*100</f>
        <v/>
      </c>
      <c r="DZ1364" s="64">
        <f>($DX1364-$DX1365)*100</f>
        <v/>
      </c>
      <c r="EA1364" s="64">
        <f>($DW1364-$D1364)*100</f>
        <v/>
      </c>
      <c r="EB1364" s="64">
        <f>$Q1364-$O1364</f>
        <v/>
      </c>
      <c r="EC1364" s="67">
        <f>IFERROR($Q1364/$P1364,"")</f>
        <v/>
      </c>
    </row>
    <row r="1365">
      <c r="DG1365" s="64">
        <f>($B1365-$B1366)*100</f>
        <v/>
      </c>
      <c r="DH1365" s="64">
        <f>($D1365-$D1366)*100</f>
        <v/>
      </c>
      <c r="DI1365" s="64">
        <f>($E1365-$E1366)*100</f>
        <v/>
      </c>
      <c r="DJ1365" s="64">
        <f>($H1365-$H1366)*100</f>
        <v/>
      </c>
      <c r="DK1365" s="65">
        <f>IFERROR($J1365/$J1366-1,"")</f>
        <v/>
      </c>
      <c r="DL1365" s="64">
        <f>$L1365-$L1366</f>
        <v/>
      </c>
      <c r="DM1365" s="64">
        <f>$K1365-$K1366</f>
        <v/>
      </c>
      <c r="DN1365" s="65">
        <f>IFERROR($N1365/$N1366-1,"")</f>
        <v/>
      </c>
      <c r="DO1365" s="65">
        <f>IFERROR($M1365/$M1366-1,"")</f>
        <v/>
      </c>
      <c r="DP1365" s="65">
        <f>IFERROR($AZ1365/$AZ1366-1,"")</f>
        <v/>
      </c>
      <c r="DQ1365" s="65">
        <f>IFERROR($BA1365/$BA1366-1,"")</f>
        <v/>
      </c>
      <c r="DR1365" s="64">
        <f>$O1365-$O1366</f>
        <v/>
      </c>
      <c r="DS1365" s="64">
        <f>$P1365-$P1366</f>
        <v/>
      </c>
      <c r="DT1365" s="64">
        <f>$Q1365-$Q1366</f>
        <v/>
      </c>
      <c r="DU1365" s="64">
        <f>$S1365-$S1366</f>
        <v/>
      </c>
      <c r="DV1365" s="65">
        <f>IFERROR(AVERAGE($AA1366/$AA1365-1,$AB1366/$AB1365-1,$AC1366/$AC1365-1,$AD1366/$AD1365-1,$AE1366/$AE1365-1,$AG1366/$AG1365-1,$AH1366/$AH1365-1,$AI1366/$AI1365-1,$AJ1366/$AJ1365-1,$AL1366/$AL1365-1,$AM1366/$AM1365-1,$AR1366/$AR1365-1,$AS1366/$AS1365-1,$AT1366/$AT1365-1,$AU1366/$AU1365-1,$AV1366/$AV1365-1,$AW1366/$AW1365-1,$AX1366/$AX1365-1,$AY1366/$AY1365-1),"")</f>
        <v/>
      </c>
      <c r="DW1365" s="66">
        <f>AVERAGE($CB1365,$CC1365,$CD1365,$CE1365,$CF1365,$CG1365,$CH1365,$CI1365,$CJ1365,$CL1365,$CM1365,$CN1365,$CO1365,$CP1365,$CQ1365,$CR1365,$CS1365,$CT1365)</f>
        <v/>
      </c>
      <c r="DX1365" s="66">
        <f>AVERAGE($CB1365,$CC1365,$CM1365,$CE1365,$CP1365)</f>
        <v/>
      </c>
      <c r="DY1365" s="64">
        <f>($DW1365-$DW1366)*100</f>
        <v/>
      </c>
      <c r="DZ1365" s="64">
        <f>($DX1365-$DX1366)*100</f>
        <v/>
      </c>
      <c r="EA1365" s="64">
        <f>($DW1365-$D1365)*100</f>
        <v/>
      </c>
      <c r="EB1365" s="64">
        <f>$Q1365-$O1365</f>
        <v/>
      </c>
      <c r="EC1365" s="67">
        <f>IFERROR($Q1365/$P1365,"")</f>
        <v/>
      </c>
    </row>
    <row r="1366">
      <c r="DG1366" s="64">
        <f>($B1366-$B1367)*100</f>
        <v/>
      </c>
      <c r="DH1366" s="64">
        <f>($D1366-$D1367)*100</f>
        <v/>
      </c>
      <c r="DI1366" s="64">
        <f>($E1366-$E1367)*100</f>
        <v/>
      </c>
      <c r="DJ1366" s="64">
        <f>($H1366-$H1367)*100</f>
        <v/>
      </c>
      <c r="DK1366" s="65">
        <f>IFERROR($J1366/$J1367-1,"")</f>
        <v/>
      </c>
      <c r="DL1366" s="64">
        <f>$L1366-$L1367</f>
        <v/>
      </c>
      <c r="DM1366" s="64">
        <f>$K1366-$K1367</f>
        <v/>
      </c>
      <c r="DN1366" s="65">
        <f>IFERROR($N1366/$N1367-1,"")</f>
        <v/>
      </c>
      <c r="DO1366" s="65">
        <f>IFERROR($M1366/$M1367-1,"")</f>
        <v/>
      </c>
      <c r="DP1366" s="65">
        <f>IFERROR($AZ1366/$AZ1367-1,"")</f>
        <v/>
      </c>
      <c r="DQ1366" s="65">
        <f>IFERROR($BA1366/$BA1367-1,"")</f>
        <v/>
      </c>
      <c r="DR1366" s="64">
        <f>$O1366-$O1367</f>
        <v/>
      </c>
      <c r="DS1366" s="64">
        <f>$P1366-$P1367</f>
        <v/>
      </c>
      <c r="DT1366" s="64">
        <f>$Q1366-$Q1367</f>
        <v/>
      </c>
      <c r="DU1366" s="64">
        <f>$S1366-$S1367</f>
        <v/>
      </c>
      <c r="DV1366" s="65">
        <f>IFERROR(AVERAGE($AA1367/$AA1366-1,$AB1367/$AB1366-1,$AC1367/$AC1366-1,$AD1367/$AD1366-1,$AE1367/$AE1366-1,$AG1367/$AG1366-1,$AH1367/$AH1366-1,$AI1367/$AI1366-1,$AJ1367/$AJ1366-1,$AL1367/$AL1366-1,$AM1367/$AM1366-1,$AR1367/$AR1366-1,$AS1367/$AS1366-1,$AT1367/$AT1366-1,$AU1367/$AU1366-1,$AV1367/$AV1366-1,$AW1367/$AW1366-1,$AX1367/$AX1366-1,$AY1367/$AY1366-1),"")</f>
        <v/>
      </c>
      <c r="DW1366" s="66">
        <f>AVERAGE($CB1366,$CC1366,$CD1366,$CE1366,$CF1366,$CG1366,$CH1366,$CI1366,$CJ1366,$CL1366,$CM1366,$CN1366,$CO1366,$CP1366,$CQ1366,$CR1366,$CS1366,$CT1366)</f>
        <v/>
      </c>
      <c r="DX1366" s="66">
        <f>AVERAGE($CB1366,$CC1366,$CM1366,$CE1366,$CP1366)</f>
        <v/>
      </c>
      <c r="DY1366" s="64">
        <f>($DW1366-$DW1367)*100</f>
        <v/>
      </c>
      <c r="DZ1366" s="64">
        <f>($DX1366-$DX1367)*100</f>
        <v/>
      </c>
      <c r="EA1366" s="64">
        <f>($DW1366-$D1366)*100</f>
        <v/>
      </c>
      <c r="EB1366" s="64">
        <f>$Q1366-$O1366</f>
        <v/>
      </c>
      <c r="EC1366" s="67">
        <f>IFERROR($Q1366/$P1366,"")</f>
        <v/>
      </c>
    </row>
    <row r="1367">
      <c r="DG1367" s="64">
        <f>($B1367-$B1368)*100</f>
        <v/>
      </c>
      <c r="DH1367" s="64">
        <f>($D1367-$D1368)*100</f>
        <v/>
      </c>
      <c r="DI1367" s="64">
        <f>($E1367-$E1368)*100</f>
        <v/>
      </c>
      <c r="DJ1367" s="64">
        <f>($H1367-$H1368)*100</f>
        <v/>
      </c>
      <c r="DK1367" s="65">
        <f>IFERROR($J1367/$J1368-1,"")</f>
        <v/>
      </c>
      <c r="DL1367" s="64">
        <f>$L1367-$L1368</f>
        <v/>
      </c>
      <c r="DM1367" s="64">
        <f>$K1367-$K1368</f>
        <v/>
      </c>
      <c r="DN1367" s="65">
        <f>IFERROR($N1367/$N1368-1,"")</f>
        <v/>
      </c>
      <c r="DO1367" s="65">
        <f>IFERROR($M1367/$M1368-1,"")</f>
        <v/>
      </c>
      <c r="DP1367" s="65">
        <f>IFERROR($AZ1367/$AZ1368-1,"")</f>
        <v/>
      </c>
      <c r="DQ1367" s="65">
        <f>IFERROR($BA1367/$BA1368-1,"")</f>
        <v/>
      </c>
      <c r="DR1367" s="64">
        <f>$O1367-$O1368</f>
        <v/>
      </c>
      <c r="DS1367" s="64">
        <f>$P1367-$P1368</f>
        <v/>
      </c>
      <c r="DT1367" s="64">
        <f>$Q1367-$Q1368</f>
        <v/>
      </c>
      <c r="DU1367" s="64">
        <f>$S1367-$S1368</f>
        <v/>
      </c>
      <c r="DV1367" s="65">
        <f>IFERROR(AVERAGE($AA1368/$AA1367-1,$AB1368/$AB1367-1,$AC1368/$AC1367-1,$AD1368/$AD1367-1,$AE1368/$AE1367-1,$AG1368/$AG1367-1,$AH1368/$AH1367-1,$AI1368/$AI1367-1,$AJ1368/$AJ1367-1,$AL1368/$AL1367-1,$AM1368/$AM1367-1,$AR1368/$AR1367-1,$AS1368/$AS1367-1,$AT1368/$AT1367-1,$AU1368/$AU1367-1,$AV1368/$AV1367-1,$AW1368/$AW1367-1,$AX1368/$AX1367-1,$AY1368/$AY1367-1),"")</f>
        <v/>
      </c>
      <c r="DW1367" s="66">
        <f>AVERAGE($CB1367,$CC1367,$CD1367,$CE1367,$CF1367,$CG1367,$CH1367,$CI1367,$CJ1367,$CL1367,$CM1367,$CN1367,$CO1367,$CP1367,$CQ1367,$CR1367,$CS1367,$CT1367)</f>
        <v/>
      </c>
      <c r="DX1367" s="66">
        <f>AVERAGE($CB1367,$CC1367,$CM1367,$CE1367,$CP1367)</f>
        <v/>
      </c>
      <c r="DY1367" s="64">
        <f>($DW1367-$DW1368)*100</f>
        <v/>
      </c>
      <c r="DZ1367" s="64">
        <f>($DX1367-$DX1368)*100</f>
        <v/>
      </c>
      <c r="EA1367" s="64">
        <f>($DW1367-$D1367)*100</f>
        <v/>
      </c>
      <c r="EB1367" s="64">
        <f>$Q1367-$O1367</f>
        <v/>
      </c>
      <c r="EC1367" s="67">
        <f>IFERROR($Q1367/$P1367,"")</f>
        <v/>
      </c>
    </row>
    <row r="1368">
      <c r="DG1368" s="64">
        <f>($B1368-$B1369)*100</f>
        <v/>
      </c>
      <c r="DH1368" s="64">
        <f>($D1368-$D1369)*100</f>
        <v/>
      </c>
      <c r="DI1368" s="64">
        <f>($E1368-$E1369)*100</f>
        <v/>
      </c>
      <c r="DJ1368" s="64">
        <f>($H1368-$H1369)*100</f>
        <v/>
      </c>
      <c r="DK1368" s="65">
        <f>IFERROR($J1368/$J1369-1,"")</f>
        <v/>
      </c>
      <c r="DL1368" s="64">
        <f>$L1368-$L1369</f>
        <v/>
      </c>
      <c r="DM1368" s="64">
        <f>$K1368-$K1369</f>
        <v/>
      </c>
      <c r="DN1368" s="65">
        <f>IFERROR($N1368/$N1369-1,"")</f>
        <v/>
      </c>
      <c r="DO1368" s="65">
        <f>IFERROR($M1368/$M1369-1,"")</f>
        <v/>
      </c>
      <c r="DP1368" s="65">
        <f>IFERROR($AZ1368/$AZ1369-1,"")</f>
        <v/>
      </c>
      <c r="DQ1368" s="65">
        <f>IFERROR($BA1368/$BA1369-1,"")</f>
        <v/>
      </c>
      <c r="DR1368" s="64">
        <f>$O1368-$O1369</f>
        <v/>
      </c>
      <c r="DS1368" s="64">
        <f>$P1368-$P1369</f>
        <v/>
      </c>
      <c r="DT1368" s="64">
        <f>$Q1368-$Q1369</f>
        <v/>
      </c>
      <c r="DU1368" s="64">
        <f>$S1368-$S1369</f>
        <v/>
      </c>
      <c r="DV1368" s="65">
        <f>IFERROR(AVERAGE($AA1369/$AA1368-1,$AB1369/$AB1368-1,$AC1369/$AC1368-1,$AD1369/$AD1368-1,$AE1369/$AE1368-1,$AG1369/$AG1368-1,$AH1369/$AH1368-1,$AI1369/$AI1368-1,$AJ1369/$AJ1368-1,$AL1369/$AL1368-1,$AM1369/$AM1368-1,$AR1369/$AR1368-1,$AS1369/$AS1368-1,$AT1369/$AT1368-1,$AU1369/$AU1368-1,$AV1369/$AV1368-1,$AW1369/$AW1368-1,$AX1369/$AX1368-1,$AY1369/$AY1368-1),"")</f>
        <v/>
      </c>
      <c r="DW1368" s="66">
        <f>AVERAGE($CB1368,$CC1368,$CD1368,$CE1368,$CF1368,$CG1368,$CH1368,$CI1368,$CJ1368,$CL1368,$CM1368,$CN1368,$CO1368,$CP1368,$CQ1368,$CR1368,$CS1368,$CT1368)</f>
        <v/>
      </c>
      <c r="DX1368" s="66">
        <f>AVERAGE($CB1368,$CC1368,$CM1368,$CE1368,$CP1368)</f>
        <v/>
      </c>
      <c r="DY1368" s="64">
        <f>($DW1368-$DW1369)*100</f>
        <v/>
      </c>
      <c r="DZ1368" s="64">
        <f>($DX1368-$DX1369)*100</f>
        <v/>
      </c>
      <c r="EA1368" s="64">
        <f>($DW1368-$D1368)*100</f>
        <v/>
      </c>
      <c r="EB1368" s="64">
        <f>$Q1368-$O1368</f>
        <v/>
      </c>
      <c r="EC1368" s="67">
        <f>IFERROR($Q1368/$P1368,"")</f>
        <v/>
      </c>
    </row>
    <row r="1369">
      <c r="DG1369" s="64">
        <f>($B1369-$B1370)*100</f>
        <v/>
      </c>
      <c r="DH1369" s="64">
        <f>($D1369-$D1370)*100</f>
        <v/>
      </c>
      <c r="DI1369" s="64">
        <f>($E1369-$E1370)*100</f>
        <v/>
      </c>
      <c r="DJ1369" s="64">
        <f>($H1369-$H1370)*100</f>
        <v/>
      </c>
      <c r="DK1369" s="65">
        <f>IFERROR($J1369/$J1370-1,"")</f>
        <v/>
      </c>
      <c r="DL1369" s="64">
        <f>$L1369-$L1370</f>
        <v/>
      </c>
      <c r="DM1369" s="64">
        <f>$K1369-$K1370</f>
        <v/>
      </c>
      <c r="DN1369" s="65">
        <f>IFERROR($N1369/$N1370-1,"")</f>
        <v/>
      </c>
      <c r="DO1369" s="65">
        <f>IFERROR($M1369/$M1370-1,"")</f>
        <v/>
      </c>
      <c r="DP1369" s="65">
        <f>IFERROR($AZ1369/$AZ1370-1,"")</f>
        <v/>
      </c>
      <c r="DQ1369" s="65">
        <f>IFERROR($BA1369/$BA1370-1,"")</f>
        <v/>
      </c>
      <c r="DR1369" s="64">
        <f>$O1369-$O1370</f>
        <v/>
      </c>
      <c r="DS1369" s="64">
        <f>$P1369-$P1370</f>
        <v/>
      </c>
      <c r="DT1369" s="64">
        <f>$Q1369-$Q1370</f>
        <v/>
      </c>
      <c r="DU1369" s="64">
        <f>$S1369-$S1370</f>
        <v/>
      </c>
      <c r="DV1369" s="65">
        <f>IFERROR(AVERAGE($AA1370/$AA1369-1,$AB1370/$AB1369-1,$AC1370/$AC1369-1,$AD1370/$AD1369-1,$AE1370/$AE1369-1,$AG1370/$AG1369-1,$AH1370/$AH1369-1,$AI1370/$AI1369-1,$AJ1370/$AJ1369-1,$AL1370/$AL1369-1,$AM1370/$AM1369-1,$AR1370/$AR1369-1,$AS1370/$AS1369-1,$AT1370/$AT1369-1,$AU1370/$AU1369-1,$AV1370/$AV1369-1,$AW1370/$AW1369-1,$AX1370/$AX1369-1,$AY1370/$AY1369-1),"")</f>
        <v/>
      </c>
      <c r="DW1369" s="66">
        <f>AVERAGE($CB1369,$CC1369,$CD1369,$CE1369,$CF1369,$CG1369,$CH1369,$CI1369,$CJ1369,$CL1369,$CM1369,$CN1369,$CO1369,$CP1369,$CQ1369,$CR1369,$CS1369,$CT1369)</f>
        <v/>
      </c>
      <c r="DX1369" s="66">
        <f>AVERAGE($CB1369,$CC1369,$CM1369,$CE1369,$CP1369)</f>
        <v/>
      </c>
      <c r="DY1369" s="64">
        <f>($DW1369-$DW1370)*100</f>
        <v/>
      </c>
      <c r="DZ1369" s="64">
        <f>($DX1369-$DX1370)*100</f>
        <v/>
      </c>
      <c r="EA1369" s="64">
        <f>($DW1369-$D1369)*100</f>
        <v/>
      </c>
      <c r="EB1369" s="64">
        <f>$Q1369-$O1369</f>
        <v/>
      </c>
      <c r="EC1369" s="67">
        <f>IFERROR($Q1369/$P1369,"")</f>
        <v/>
      </c>
    </row>
    <row r="1370">
      <c r="DG1370" s="64">
        <f>($B1370-$B1371)*100</f>
        <v/>
      </c>
      <c r="DH1370" s="64">
        <f>($D1370-$D1371)*100</f>
        <v/>
      </c>
      <c r="DI1370" s="64">
        <f>($E1370-$E1371)*100</f>
        <v/>
      </c>
      <c r="DJ1370" s="64">
        <f>($H1370-$H1371)*100</f>
        <v/>
      </c>
      <c r="DK1370" s="65">
        <f>IFERROR($J1370/$J1371-1,"")</f>
        <v/>
      </c>
      <c r="DL1370" s="64">
        <f>$L1370-$L1371</f>
        <v/>
      </c>
      <c r="DM1370" s="64">
        <f>$K1370-$K1371</f>
        <v/>
      </c>
      <c r="DN1370" s="65">
        <f>IFERROR($N1370/$N1371-1,"")</f>
        <v/>
      </c>
      <c r="DO1370" s="65">
        <f>IFERROR($M1370/$M1371-1,"")</f>
        <v/>
      </c>
      <c r="DP1370" s="65">
        <f>IFERROR($AZ1370/$AZ1371-1,"")</f>
        <v/>
      </c>
      <c r="DQ1370" s="65">
        <f>IFERROR($BA1370/$BA1371-1,"")</f>
        <v/>
      </c>
      <c r="DR1370" s="64">
        <f>$O1370-$O1371</f>
        <v/>
      </c>
      <c r="DS1370" s="64">
        <f>$P1370-$P1371</f>
        <v/>
      </c>
      <c r="DT1370" s="64">
        <f>$Q1370-$Q1371</f>
        <v/>
      </c>
      <c r="DU1370" s="64">
        <f>$S1370-$S1371</f>
        <v/>
      </c>
      <c r="DV1370" s="65">
        <f>IFERROR(AVERAGE($AA1371/$AA1370-1,$AB1371/$AB1370-1,$AC1371/$AC1370-1,$AD1371/$AD1370-1,$AE1371/$AE1370-1,$AG1371/$AG1370-1,$AH1371/$AH1370-1,$AI1371/$AI1370-1,$AJ1371/$AJ1370-1,$AL1371/$AL1370-1,$AM1371/$AM1370-1,$AR1371/$AR1370-1,$AS1371/$AS1370-1,$AT1371/$AT1370-1,$AU1371/$AU1370-1,$AV1371/$AV1370-1,$AW1371/$AW1370-1,$AX1371/$AX1370-1,$AY1371/$AY1370-1),"")</f>
        <v/>
      </c>
      <c r="DW1370" s="66">
        <f>AVERAGE($CB1370,$CC1370,$CD1370,$CE1370,$CF1370,$CG1370,$CH1370,$CI1370,$CJ1370,$CL1370,$CM1370,$CN1370,$CO1370,$CP1370,$CQ1370,$CR1370,$CS1370,$CT1370)</f>
        <v/>
      </c>
      <c r="DX1370" s="66">
        <f>AVERAGE($CB1370,$CC1370,$CM1370,$CE1370,$CP1370)</f>
        <v/>
      </c>
      <c r="DY1370" s="64">
        <f>($DW1370-$DW1371)*100</f>
        <v/>
      </c>
      <c r="DZ1370" s="64">
        <f>($DX1370-$DX1371)*100</f>
        <v/>
      </c>
      <c r="EA1370" s="64">
        <f>($DW1370-$D1370)*100</f>
        <v/>
      </c>
      <c r="EB1370" s="64">
        <f>$Q1370-$O1370</f>
        <v/>
      </c>
      <c r="EC1370" s="67">
        <f>IFERROR($Q1370/$P1370,"")</f>
        <v/>
      </c>
    </row>
    <row r="1371">
      <c r="DG1371" s="64">
        <f>($B1371-$B1372)*100</f>
        <v/>
      </c>
      <c r="DH1371" s="64">
        <f>($D1371-$D1372)*100</f>
        <v/>
      </c>
      <c r="DI1371" s="64">
        <f>($E1371-$E1372)*100</f>
        <v/>
      </c>
      <c r="DJ1371" s="64">
        <f>($H1371-$H1372)*100</f>
        <v/>
      </c>
      <c r="DK1371" s="65">
        <f>IFERROR($J1371/$J1372-1,"")</f>
        <v/>
      </c>
      <c r="DL1371" s="64">
        <f>$L1371-$L1372</f>
        <v/>
      </c>
      <c r="DM1371" s="64">
        <f>$K1371-$K1372</f>
        <v/>
      </c>
      <c r="DN1371" s="65">
        <f>IFERROR($N1371/$N1372-1,"")</f>
        <v/>
      </c>
      <c r="DO1371" s="65">
        <f>IFERROR($M1371/$M1372-1,"")</f>
        <v/>
      </c>
      <c r="DP1371" s="65">
        <f>IFERROR($AZ1371/$AZ1372-1,"")</f>
        <v/>
      </c>
      <c r="DQ1371" s="65">
        <f>IFERROR($BA1371/$BA1372-1,"")</f>
        <v/>
      </c>
      <c r="DR1371" s="64">
        <f>$O1371-$O1372</f>
        <v/>
      </c>
      <c r="DS1371" s="64">
        <f>$P1371-$P1372</f>
        <v/>
      </c>
      <c r="DT1371" s="64">
        <f>$Q1371-$Q1372</f>
        <v/>
      </c>
      <c r="DU1371" s="64">
        <f>$S1371-$S1372</f>
        <v/>
      </c>
      <c r="DV1371" s="65">
        <f>IFERROR(AVERAGE($AA1372/$AA1371-1,$AB1372/$AB1371-1,$AC1372/$AC1371-1,$AD1372/$AD1371-1,$AE1372/$AE1371-1,$AG1372/$AG1371-1,$AH1372/$AH1371-1,$AI1372/$AI1371-1,$AJ1372/$AJ1371-1,$AL1372/$AL1371-1,$AM1372/$AM1371-1,$AR1372/$AR1371-1,$AS1372/$AS1371-1,$AT1372/$AT1371-1,$AU1372/$AU1371-1,$AV1372/$AV1371-1,$AW1372/$AW1371-1,$AX1372/$AX1371-1,$AY1372/$AY1371-1),"")</f>
        <v/>
      </c>
      <c r="DW1371" s="66">
        <f>AVERAGE($CB1371,$CC1371,$CD1371,$CE1371,$CF1371,$CG1371,$CH1371,$CI1371,$CJ1371,$CL1371,$CM1371,$CN1371,$CO1371,$CP1371,$CQ1371,$CR1371,$CS1371,$CT1371)</f>
        <v/>
      </c>
      <c r="DX1371" s="66">
        <f>AVERAGE($CB1371,$CC1371,$CM1371,$CE1371,$CP1371)</f>
        <v/>
      </c>
      <c r="DY1371" s="64">
        <f>($DW1371-$DW1372)*100</f>
        <v/>
      </c>
      <c r="DZ1371" s="64">
        <f>($DX1371-$DX1372)*100</f>
        <v/>
      </c>
      <c r="EA1371" s="64">
        <f>($DW1371-$D1371)*100</f>
        <v/>
      </c>
      <c r="EB1371" s="64">
        <f>$Q1371-$O1371</f>
        <v/>
      </c>
      <c r="EC1371" s="67">
        <f>IFERROR($Q1371/$P1371,"")</f>
        <v/>
      </c>
    </row>
    <row r="1372">
      <c r="DG1372" s="64">
        <f>($B1372-$B1373)*100</f>
        <v/>
      </c>
      <c r="DH1372" s="64">
        <f>($D1372-$D1373)*100</f>
        <v/>
      </c>
      <c r="DI1372" s="64">
        <f>($E1372-$E1373)*100</f>
        <v/>
      </c>
      <c r="DJ1372" s="64">
        <f>($H1372-$H1373)*100</f>
        <v/>
      </c>
      <c r="DK1372" s="65">
        <f>IFERROR($J1372/$J1373-1,"")</f>
        <v/>
      </c>
      <c r="DL1372" s="64">
        <f>$L1372-$L1373</f>
        <v/>
      </c>
      <c r="DM1372" s="64">
        <f>$K1372-$K1373</f>
        <v/>
      </c>
      <c r="DN1372" s="65">
        <f>IFERROR($N1372/$N1373-1,"")</f>
        <v/>
      </c>
      <c r="DO1372" s="65">
        <f>IFERROR($M1372/$M1373-1,"")</f>
        <v/>
      </c>
      <c r="DP1372" s="65">
        <f>IFERROR($AZ1372/$AZ1373-1,"")</f>
        <v/>
      </c>
      <c r="DQ1372" s="65">
        <f>IFERROR($BA1372/$BA1373-1,"")</f>
        <v/>
      </c>
      <c r="DR1372" s="64">
        <f>$O1372-$O1373</f>
        <v/>
      </c>
      <c r="DS1372" s="64">
        <f>$P1372-$P1373</f>
        <v/>
      </c>
      <c r="DT1372" s="64">
        <f>$Q1372-$Q1373</f>
        <v/>
      </c>
      <c r="DU1372" s="64">
        <f>$S1372-$S1373</f>
        <v/>
      </c>
      <c r="DV1372" s="65">
        <f>IFERROR(AVERAGE($AA1373/$AA1372-1,$AB1373/$AB1372-1,$AC1373/$AC1372-1,$AD1373/$AD1372-1,$AE1373/$AE1372-1,$AG1373/$AG1372-1,$AH1373/$AH1372-1,$AI1373/$AI1372-1,$AJ1373/$AJ1372-1,$AL1373/$AL1372-1,$AM1373/$AM1372-1,$AR1373/$AR1372-1,$AS1373/$AS1372-1,$AT1373/$AT1372-1,$AU1373/$AU1372-1,$AV1373/$AV1372-1,$AW1373/$AW1372-1,$AX1373/$AX1372-1,$AY1373/$AY1372-1),"")</f>
        <v/>
      </c>
      <c r="DW1372" s="66">
        <f>AVERAGE($CB1372,$CC1372,$CD1372,$CE1372,$CF1372,$CG1372,$CH1372,$CI1372,$CJ1372,$CL1372,$CM1372,$CN1372,$CO1372,$CP1372,$CQ1372,$CR1372,$CS1372,$CT1372)</f>
        <v/>
      </c>
      <c r="DX1372" s="66">
        <f>AVERAGE($CB1372,$CC1372,$CM1372,$CE1372,$CP1372)</f>
        <v/>
      </c>
      <c r="DY1372" s="64">
        <f>($DW1372-$DW1373)*100</f>
        <v/>
      </c>
      <c r="DZ1372" s="64">
        <f>($DX1372-$DX1373)*100</f>
        <v/>
      </c>
      <c r="EA1372" s="64">
        <f>($DW1372-$D1372)*100</f>
        <v/>
      </c>
      <c r="EB1372" s="64">
        <f>$Q1372-$O1372</f>
        <v/>
      </c>
      <c r="EC1372" s="67">
        <f>IFERROR($Q1372/$P1372,"")</f>
        <v/>
      </c>
    </row>
    <row r="1373">
      <c r="DG1373" s="64">
        <f>($B1373-$B1374)*100</f>
        <v/>
      </c>
      <c r="DH1373" s="64">
        <f>($D1373-$D1374)*100</f>
        <v/>
      </c>
      <c r="DI1373" s="64">
        <f>($E1373-$E1374)*100</f>
        <v/>
      </c>
      <c r="DJ1373" s="64">
        <f>($H1373-$H1374)*100</f>
        <v/>
      </c>
      <c r="DK1373" s="65">
        <f>IFERROR($J1373/$J1374-1,"")</f>
        <v/>
      </c>
      <c r="DL1373" s="64">
        <f>$L1373-$L1374</f>
        <v/>
      </c>
      <c r="DM1373" s="64">
        <f>$K1373-$K1374</f>
        <v/>
      </c>
      <c r="DN1373" s="65">
        <f>IFERROR($N1373/$N1374-1,"")</f>
        <v/>
      </c>
      <c r="DO1373" s="65">
        <f>IFERROR($M1373/$M1374-1,"")</f>
        <v/>
      </c>
      <c r="DP1373" s="65">
        <f>IFERROR($AZ1373/$AZ1374-1,"")</f>
        <v/>
      </c>
      <c r="DQ1373" s="65">
        <f>IFERROR($BA1373/$BA1374-1,"")</f>
        <v/>
      </c>
      <c r="DR1373" s="64">
        <f>$O1373-$O1374</f>
        <v/>
      </c>
      <c r="DS1373" s="64">
        <f>$P1373-$P1374</f>
        <v/>
      </c>
      <c r="DT1373" s="64">
        <f>$Q1373-$Q1374</f>
        <v/>
      </c>
      <c r="DU1373" s="64">
        <f>$S1373-$S1374</f>
        <v/>
      </c>
      <c r="DV1373" s="65">
        <f>IFERROR(AVERAGE($AA1374/$AA1373-1,$AB1374/$AB1373-1,$AC1374/$AC1373-1,$AD1374/$AD1373-1,$AE1374/$AE1373-1,$AG1374/$AG1373-1,$AH1374/$AH1373-1,$AI1374/$AI1373-1,$AJ1374/$AJ1373-1,$AL1374/$AL1373-1,$AM1374/$AM1373-1,$AR1374/$AR1373-1,$AS1374/$AS1373-1,$AT1374/$AT1373-1,$AU1374/$AU1373-1,$AV1374/$AV1373-1,$AW1374/$AW1373-1,$AX1374/$AX1373-1,$AY1374/$AY1373-1),"")</f>
        <v/>
      </c>
      <c r="DW1373" s="66">
        <f>AVERAGE($CB1373,$CC1373,$CD1373,$CE1373,$CF1373,$CG1373,$CH1373,$CI1373,$CJ1373,$CL1373,$CM1373,$CN1373,$CO1373,$CP1373,$CQ1373,$CR1373,$CS1373,$CT1373)</f>
        <v/>
      </c>
      <c r="DX1373" s="66">
        <f>AVERAGE($CB1373,$CC1373,$CM1373,$CE1373,$CP1373)</f>
        <v/>
      </c>
      <c r="DY1373" s="64">
        <f>($DW1373-$DW1374)*100</f>
        <v/>
      </c>
      <c r="DZ1373" s="64">
        <f>($DX1373-$DX1374)*100</f>
        <v/>
      </c>
      <c r="EA1373" s="64">
        <f>($DW1373-$D1373)*100</f>
        <v/>
      </c>
      <c r="EB1373" s="64">
        <f>$Q1373-$O1373</f>
        <v/>
      </c>
      <c r="EC1373" s="67">
        <f>IFERROR($Q1373/$P1373,"")</f>
        <v/>
      </c>
    </row>
    <row r="1374">
      <c r="DG1374" s="64">
        <f>($B1374-$B1375)*100</f>
        <v/>
      </c>
      <c r="DH1374" s="64">
        <f>($D1374-$D1375)*100</f>
        <v/>
      </c>
      <c r="DI1374" s="64">
        <f>($E1374-$E1375)*100</f>
        <v/>
      </c>
      <c r="DJ1374" s="64">
        <f>($H1374-$H1375)*100</f>
        <v/>
      </c>
      <c r="DK1374" s="65">
        <f>IFERROR($J1374/$J1375-1,"")</f>
        <v/>
      </c>
      <c r="DL1374" s="64">
        <f>$L1374-$L1375</f>
        <v/>
      </c>
      <c r="DM1374" s="64">
        <f>$K1374-$K1375</f>
        <v/>
      </c>
      <c r="DN1374" s="65">
        <f>IFERROR($N1374/$N1375-1,"")</f>
        <v/>
      </c>
      <c r="DO1374" s="65">
        <f>IFERROR($M1374/$M1375-1,"")</f>
        <v/>
      </c>
      <c r="DP1374" s="65">
        <f>IFERROR($AZ1374/$AZ1375-1,"")</f>
        <v/>
      </c>
      <c r="DQ1374" s="65">
        <f>IFERROR($BA1374/$BA1375-1,"")</f>
        <v/>
      </c>
      <c r="DR1374" s="64">
        <f>$O1374-$O1375</f>
        <v/>
      </c>
      <c r="DS1374" s="64">
        <f>$P1374-$P1375</f>
        <v/>
      </c>
      <c r="DT1374" s="64">
        <f>$Q1374-$Q1375</f>
        <v/>
      </c>
      <c r="DU1374" s="64">
        <f>$S1374-$S1375</f>
        <v/>
      </c>
      <c r="DV1374" s="65">
        <f>IFERROR(AVERAGE($AA1375/$AA1374-1,$AB1375/$AB1374-1,$AC1375/$AC1374-1,$AD1375/$AD1374-1,$AE1375/$AE1374-1,$AG1375/$AG1374-1,$AH1375/$AH1374-1,$AI1375/$AI1374-1,$AJ1375/$AJ1374-1,$AL1375/$AL1374-1,$AM1375/$AM1374-1,$AR1375/$AR1374-1,$AS1375/$AS1374-1,$AT1375/$AT1374-1,$AU1375/$AU1374-1,$AV1375/$AV1374-1,$AW1375/$AW1374-1,$AX1375/$AX1374-1,$AY1375/$AY1374-1),"")</f>
        <v/>
      </c>
      <c r="DW1374" s="66">
        <f>AVERAGE($CB1374,$CC1374,$CD1374,$CE1374,$CF1374,$CG1374,$CH1374,$CI1374,$CJ1374,$CL1374,$CM1374,$CN1374,$CO1374,$CP1374,$CQ1374,$CR1374,$CS1374,$CT1374)</f>
        <v/>
      </c>
      <c r="DX1374" s="66">
        <f>AVERAGE($CB1374,$CC1374,$CM1374,$CE1374,$CP1374)</f>
        <v/>
      </c>
      <c r="DY1374" s="64">
        <f>($DW1374-$DW1375)*100</f>
        <v/>
      </c>
      <c r="DZ1374" s="64">
        <f>($DX1374-$DX1375)*100</f>
        <v/>
      </c>
      <c r="EA1374" s="64">
        <f>($DW1374-$D1374)*100</f>
        <v/>
      </c>
      <c r="EB1374" s="64">
        <f>$Q1374-$O1374</f>
        <v/>
      </c>
      <c r="EC1374" s="67">
        <f>IFERROR($Q1374/$P1374,"")</f>
        <v/>
      </c>
    </row>
    <row r="1375">
      <c r="DG1375" s="64">
        <f>($B1375-$B1376)*100</f>
        <v/>
      </c>
      <c r="DH1375" s="64">
        <f>($D1375-$D1376)*100</f>
        <v/>
      </c>
      <c r="DI1375" s="64">
        <f>($E1375-$E1376)*100</f>
        <v/>
      </c>
      <c r="DJ1375" s="64">
        <f>($H1375-$H1376)*100</f>
        <v/>
      </c>
      <c r="DK1375" s="65">
        <f>IFERROR($J1375/$J1376-1,"")</f>
        <v/>
      </c>
      <c r="DL1375" s="64">
        <f>$L1375-$L1376</f>
        <v/>
      </c>
      <c r="DM1375" s="64">
        <f>$K1375-$K1376</f>
        <v/>
      </c>
      <c r="DN1375" s="65">
        <f>IFERROR($N1375/$N1376-1,"")</f>
        <v/>
      </c>
      <c r="DO1375" s="65">
        <f>IFERROR($M1375/$M1376-1,"")</f>
        <v/>
      </c>
      <c r="DP1375" s="65">
        <f>IFERROR($AZ1375/$AZ1376-1,"")</f>
        <v/>
      </c>
      <c r="DQ1375" s="65">
        <f>IFERROR($BA1375/$BA1376-1,"")</f>
        <v/>
      </c>
      <c r="DR1375" s="64">
        <f>$O1375-$O1376</f>
        <v/>
      </c>
      <c r="DS1375" s="64">
        <f>$P1375-$P1376</f>
        <v/>
      </c>
      <c r="DT1375" s="64">
        <f>$Q1375-$Q1376</f>
        <v/>
      </c>
      <c r="DU1375" s="64">
        <f>$S1375-$S1376</f>
        <v/>
      </c>
      <c r="DV1375" s="65">
        <f>IFERROR(AVERAGE($AA1376/$AA1375-1,$AB1376/$AB1375-1,$AC1376/$AC1375-1,$AD1376/$AD1375-1,$AE1376/$AE1375-1,$AG1376/$AG1375-1,$AH1376/$AH1375-1,$AI1376/$AI1375-1,$AJ1376/$AJ1375-1,$AL1376/$AL1375-1,$AM1376/$AM1375-1,$AR1376/$AR1375-1,$AS1376/$AS1375-1,$AT1376/$AT1375-1,$AU1376/$AU1375-1,$AV1376/$AV1375-1,$AW1376/$AW1375-1,$AX1376/$AX1375-1,$AY1376/$AY1375-1),"")</f>
        <v/>
      </c>
      <c r="DW1375" s="66">
        <f>AVERAGE($CB1375,$CC1375,$CD1375,$CE1375,$CF1375,$CG1375,$CH1375,$CI1375,$CJ1375,$CL1375,$CM1375,$CN1375,$CO1375,$CP1375,$CQ1375,$CR1375,$CS1375,$CT1375)</f>
        <v/>
      </c>
      <c r="DX1375" s="66">
        <f>AVERAGE($CB1375,$CC1375,$CM1375,$CE1375,$CP1375)</f>
        <v/>
      </c>
      <c r="DY1375" s="64">
        <f>($DW1375-$DW1376)*100</f>
        <v/>
      </c>
      <c r="DZ1375" s="64">
        <f>($DX1375-$DX1376)*100</f>
        <v/>
      </c>
      <c r="EA1375" s="64">
        <f>($DW1375-$D1375)*100</f>
        <v/>
      </c>
      <c r="EB1375" s="64">
        <f>$Q1375-$O1375</f>
        <v/>
      </c>
      <c r="EC1375" s="67">
        <f>IFERROR($Q1375/$P1375,"")</f>
        <v/>
      </c>
    </row>
    <row r="1376">
      <c r="DG1376" s="64">
        <f>($B1376-$B1377)*100</f>
        <v/>
      </c>
      <c r="DH1376" s="64">
        <f>($D1376-$D1377)*100</f>
        <v/>
      </c>
      <c r="DI1376" s="64">
        <f>($E1376-$E1377)*100</f>
        <v/>
      </c>
      <c r="DJ1376" s="64">
        <f>($H1376-$H1377)*100</f>
        <v/>
      </c>
      <c r="DK1376" s="65">
        <f>IFERROR($J1376/$J1377-1,"")</f>
        <v/>
      </c>
      <c r="DL1376" s="64">
        <f>$L1376-$L1377</f>
        <v/>
      </c>
      <c r="DM1376" s="64">
        <f>$K1376-$K1377</f>
        <v/>
      </c>
      <c r="DN1376" s="65">
        <f>IFERROR($N1376/$N1377-1,"")</f>
        <v/>
      </c>
      <c r="DO1376" s="65">
        <f>IFERROR($M1376/$M1377-1,"")</f>
        <v/>
      </c>
      <c r="DP1376" s="65">
        <f>IFERROR($AZ1376/$AZ1377-1,"")</f>
        <v/>
      </c>
      <c r="DQ1376" s="65">
        <f>IFERROR($BA1376/$BA1377-1,"")</f>
        <v/>
      </c>
      <c r="DR1376" s="64">
        <f>$O1376-$O1377</f>
        <v/>
      </c>
      <c r="DS1376" s="64">
        <f>$P1376-$P1377</f>
        <v/>
      </c>
      <c r="DT1376" s="64">
        <f>$Q1376-$Q1377</f>
        <v/>
      </c>
      <c r="DU1376" s="64">
        <f>$S1376-$S1377</f>
        <v/>
      </c>
      <c r="DV1376" s="65">
        <f>IFERROR(AVERAGE($AA1377/$AA1376-1,$AB1377/$AB1376-1,$AC1377/$AC1376-1,$AD1377/$AD1376-1,$AE1377/$AE1376-1,$AG1377/$AG1376-1,$AH1377/$AH1376-1,$AI1377/$AI1376-1,$AJ1377/$AJ1376-1,$AL1377/$AL1376-1,$AM1377/$AM1376-1,$AR1377/$AR1376-1,$AS1377/$AS1376-1,$AT1377/$AT1376-1,$AU1377/$AU1376-1,$AV1377/$AV1376-1,$AW1377/$AW1376-1,$AX1377/$AX1376-1,$AY1377/$AY1376-1),"")</f>
        <v/>
      </c>
      <c r="DW1376" s="66">
        <f>AVERAGE($CB1376,$CC1376,$CD1376,$CE1376,$CF1376,$CG1376,$CH1376,$CI1376,$CJ1376,$CL1376,$CM1376,$CN1376,$CO1376,$CP1376,$CQ1376,$CR1376,$CS1376,$CT1376)</f>
        <v/>
      </c>
      <c r="DX1376" s="66">
        <f>AVERAGE($CB1376,$CC1376,$CM1376,$CE1376,$CP1376)</f>
        <v/>
      </c>
      <c r="DY1376" s="64">
        <f>($DW1376-$DW1377)*100</f>
        <v/>
      </c>
      <c r="DZ1376" s="64">
        <f>($DX1376-$DX1377)*100</f>
        <v/>
      </c>
      <c r="EA1376" s="64">
        <f>($DW1376-$D1376)*100</f>
        <v/>
      </c>
      <c r="EB1376" s="64">
        <f>$Q1376-$O1376</f>
        <v/>
      </c>
      <c r="EC1376" s="67">
        <f>IFERROR($Q1376/$P1376,"")</f>
        <v/>
      </c>
    </row>
    <row r="1377">
      <c r="DG1377" s="64">
        <f>($B1377-$B1378)*100</f>
        <v/>
      </c>
      <c r="DH1377" s="64">
        <f>($D1377-$D1378)*100</f>
        <v/>
      </c>
      <c r="DI1377" s="64">
        <f>($E1377-$E1378)*100</f>
        <v/>
      </c>
      <c r="DJ1377" s="64">
        <f>($H1377-$H1378)*100</f>
        <v/>
      </c>
      <c r="DK1377" s="65">
        <f>IFERROR($J1377/$J1378-1,"")</f>
        <v/>
      </c>
      <c r="DL1377" s="64">
        <f>$L1377-$L1378</f>
        <v/>
      </c>
      <c r="DM1377" s="64">
        <f>$K1377-$K1378</f>
        <v/>
      </c>
      <c r="DN1377" s="65">
        <f>IFERROR($N1377/$N1378-1,"")</f>
        <v/>
      </c>
      <c r="DO1377" s="65">
        <f>IFERROR($M1377/$M1378-1,"")</f>
        <v/>
      </c>
      <c r="DP1377" s="65">
        <f>IFERROR($AZ1377/$AZ1378-1,"")</f>
        <v/>
      </c>
      <c r="DQ1377" s="65">
        <f>IFERROR($BA1377/$BA1378-1,"")</f>
        <v/>
      </c>
      <c r="DR1377" s="64">
        <f>$O1377-$O1378</f>
        <v/>
      </c>
      <c r="DS1377" s="64">
        <f>$P1377-$P1378</f>
        <v/>
      </c>
      <c r="DT1377" s="64">
        <f>$Q1377-$Q1378</f>
        <v/>
      </c>
      <c r="DU1377" s="64">
        <f>$S1377-$S1378</f>
        <v/>
      </c>
      <c r="DV1377" s="65">
        <f>IFERROR(AVERAGE($AA1378/$AA1377-1,$AB1378/$AB1377-1,$AC1378/$AC1377-1,$AD1378/$AD1377-1,$AE1378/$AE1377-1,$AG1378/$AG1377-1,$AH1378/$AH1377-1,$AI1378/$AI1377-1,$AJ1378/$AJ1377-1,$AL1378/$AL1377-1,$AM1378/$AM1377-1,$AR1378/$AR1377-1,$AS1378/$AS1377-1,$AT1378/$AT1377-1,$AU1378/$AU1377-1,$AV1378/$AV1377-1,$AW1378/$AW1377-1,$AX1378/$AX1377-1,$AY1378/$AY1377-1),"")</f>
        <v/>
      </c>
      <c r="DW1377" s="66">
        <f>AVERAGE($CB1377,$CC1377,$CD1377,$CE1377,$CF1377,$CG1377,$CH1377,$CI1377,$CJ1377,$CL1377,$CM1377,$CN1377,$CO1377,$CP1377,$CQ1377,$CR1377,$CS1377,$CT1377)</f>
        <v/>
      </c>
      <c r="DX1377" s="66">
        <f>AVERAGE($CB1377,$CC1377,$CM1377,$CE1377,$CP1377)</f>
        <v/>
      </c>
      <c r="DY1377" s="64">
        <f>($DW1377-$DW1378)*100</f>
        <v/>
      </c>
      <c r="DZ1377" s="64">
        <f>($DX1377-$DX1378)*100</f>
        <v/>
      </c>
      <c r="EA1377" s="64">
        <f>($DW1377-$D1377)*100</f>
        <v/>
      </c>
      <c r="EB1377" s="64">
        <f>$Q1377-$O1377</f>
        <v/>
      </c>
      <c r="EC1377" s="67">
        <f>IFERROR($Q1377/$P1377,"")</f>
        <v/>
      </c>
    </row>
    <row r="1378">
      <c r="DG1378" s="64">
        <f>($B1378-$B1379)*100</f>
        <v/>
      </c>
      <c r="DH1378" s="64">
        <f>($D1378-$D1379)*100</f>
        <v/>
      </c>
      <c r="DI1378" s="64">
        <f>($E1378-$E1379)*100</f>
        <v/>
      </c>
      <c r="DJ1378" s="64">
        <f>($H1378-$H1379)*100</f>
        <v/>
      </c>
      <c r="DK1378" s="65">
        <f>IFERROR($J1378/$J1379-1,"")</f>
        <v/>
      </c>
      <c r="DL1378" s="64">
        <f>$L1378-$L1379</f>
        <v/>
      </c>
      <c r="DM1378" s="64">
        <f>$K1378-$K1379</f>
        <v/>
      </c>
      <c r="DN1378" s="65">
        <f>IFERROR($N1378/$N1379-1,"")</f>
        <v/>
      </c>
      <c r="DO1378" s="65">
        <f>IFERROR($M1378/$M1379-1,"")</f>
        <v/>
      </c>
      <c r="DP1378" s="65">
        <f>IFERROR($AZ1378/$AZ1379-1,"")</f>
        <v/>
      </c>
      <c r="DQ1378" s="65">
        <f>IFERROR($BA1378/$BA1379-1,"")</f>
        <v/>
      </c>
      <c r="DR1378" s="64">
        <f>$O1378-$O1379</f>
        <v/>
      </c>
      <c r="DS1378" s="64">
        <f>$P1378-$P1379</f>
        <v/>
      </c>
      <c r="DT1378" s="64">
        <f>$Q1378-$Q1379</f>
        <v/>
      </c>
      <c r="DU1378" s="64">
        <f>$S1378-$S1379</f>
        <v/>
      </c>
      <c r="DV1378" s="65">
        <f>IFERROR(AVERAGE($AA1379/$AA1378-1,$AB1379/$AB1378-1,$AC1379/$AC1378-1,$AD1379/$AD1378-1,$AE1379/$AE1378-1,$AG1379/$AG1378-1,$AH1379/$AH1378-1,$AI1379/$AI1378-1,$AJ1379/$AJ1378-1,$AL1379/$AL1378-1,$AM1379/$AM1378-1,$AR1379/$AR1378-1,$AS1379/$AS1378-1,$AT1379/$AT1378-1,$AU1379/$AU1378-1,$AV1379/$AV1378-1,$AW1379/$AW1378-1,$AX1379/$AX1378-1,$AY1379/$AY1378-1),"")</f>
        <v/>
      </c>
      <c r="DW1378" s="66">
        <f>AVERAGE($CB1378,$CC1378,$CD1378,$CE1378,$CF1378,$CG1378,$CH1378,$CI1378,$CJ1378,$CL1378,$CM1378,$CN1378,$CO1378,$CP1378,$CQ1378,$CR1378,$CS1378,$CT1378)</f>
        <v/>
      </c>
      <c r="DX1378" s="66">
        <f>AVERAGE($CB1378,$CC1378,$CM1378,$CE1378,$CP1378)</f>
        <v/>
      </c>
      <c r="DY1378" s="64">
        <f>($DW1378-$DW1379)*100</f>
        <v/>
      </c>
      <c r="DZ1378" s="64">
        <f>($DX1378-$DX1379)*100</f>
        <v/>
      </c>
      <c r="EA1378" s="64">
        <f>($DW1378-$D1378)*100</f>
        <v/>
      </c>
      <c r="EB1378" s="64">
        <f>$Q1378-$O1378</f>
        <v/>
      </c>
      <c r="EC1378" s="67">
        <f>IFERROR($Q1378/$P1378,"")</f>
        <v/>
      </c>
    </row>
    <row r="1379">
      <c r="DG1379" s="64">
        <f>($B1379-$B1380)*100</f>
        <v/>
      </c>
      <c r="DH1379" s="64">
        <f>($D1379-$D1380)*100</f>
        <v/>
      </c>
      <c r="DI1379" s="64">
        <f>($E1379-$E1380)*100</f>
        <v/>
      </c>
      <c r="DJ1379" s="64">
        <f>($H1379-$H1380)*100</f>
        <v/>
      </c>
      <c r="DK1379" s="65">
        <f>IFERROR($J1379/$J1380-1,"")</f>
        <v/>
      </c>
      <c r="DL1379" s="64">
        <f>$L1379-$L1380</f>
        <v/>
      </c>
      <c r="DM1379" s="64">
        <f>$K1379-$K1380</f>
        <v/>
      </c>
      <c r="DN1379" s="65">
        <f>IFERROR($N1379/$N1380-1,"")</f>
        <v/>
      </c>
      <c r="DO1379" s="65">
        <f>IFERROR($M1379/$M1380-1,"")</f>
        <v/>
      </c>
      <c r="DP1379" s="65">
        <f>IFERROR($AZ1379/$AZ1380-1,"")</f>
        <v/>
      </c>
      <c r="DQ1379" s="65">
        <f>IFERROR($BA1379/$BA1380-1,"")</f>
        <v/>
      </c>
      <c r="DR1379" s="64">
        <f>$O1379-$O1380</f>
        <v/>
      </c>
      <c r="DS1379" s="64">
        <f>$P1379-$P1380</f>
        <v/>
      </c>
      <c r="DT1379" s="64">
        <f>$Q1379-$Q1380</f>
        <v/>
      </c>
      <c r="DU1379" s="64">
        <f>$S1379-$S1380</f>
        <v/>
      </c>
      <c r="DV1379" s="65">
        <f>IFERROR(AVERAGE($AA1380/$AA1379-1,$AB1380/$AB1379-1,$AC1380/$AC1379-1,$AD1380/$AD1379-1,$AE1380/$AE1379-1,$AG1380/$AG1379-1,$AH1380/$AH1379-1,$AI1380/$AI1379-1,$AJ1380/$AJ1379-1,$AL1380/$AL1379-1,$AM1380/$AM1379-1,$AR1380/$AR1379-1,$AS1380/$AS1379-1,$AT1380/$AT1379-1,$AU1380/$AU1379-1,$AV1380/$AV1379-1,$AW1380/$AW1379-1,$AX1380/$AX1379-1,$AY1380/$AY1379-1),"")</f>
        <v/>
      </c>
      <c r="DW1379" s="66">
        <f>AVERAGE($CB1379,$CC1379,$CD1379,$CE1379,$CF1379,$CG1379,$CH1379,$CI1379,$CJ1379,$CL1379,$CM1379,$CN1379,$CO1379,$CP1379,$CQ1379,$CR1379,$CS1379,$CT1379)</f>
        <v/>
      </c>
      <c r="DX1379" s="66">
        <f>AVERAGE($CB1379,$CC1379,$CM1379,$CE1379,$CP1379)</f>
        <v/>
      </c>
      <c r="DY1379" s="64">
        <f>($DW1379-$DW1380)*100</f>
        <v/>
      </c>
      <c r="DZ1379" s="64">
        <f>($DX1379-$DX1380)*100</f>
        <v/>
      </c>
      <c r="EA1379" s="64">
        <f>($DW1379-$D1379)*100</f>
        <v/>
      </c>
      <c r="EB1379" s="64">
        <f>$Q1379-$O1379</f>
        <v/>
      </c>
      <c r="EC1379" s="67">
        <f>IFERROR($Q1379/$P1379,"")</f>
        <v/>
      </c>
    </row>
    <row r="1380">
      <c r="DG1380" s="64">
        <f>($B1380-$B1381)*100</f>
        <v/>
      </c>
      <c r="DH1380" s="64">
        <f>($D1380-$D1381)*100</f>
        <v/>
      </c>
      <c r="DI1380" s="64">
        <f>($E1380-$E1381)*100</f>
        <v/>
      </c>
      <c r="DJ1380" s="64">
        <f>($H1380-$H1381)*100</f>
        <v/>
      </c>
      <c r="DK1380" s="65">
        <f>IFERROR($J1380/$J1381-1,"")</f>
        <v/>
      </c>
      <c r="DL1380" s="64">
        <f>$L1380-$L1381</f>
        <v/>
      </c>
      <c r="DM1380" s="64">
        <f>$K1380-$K1381</f>
        <v/>
      </c>
      <c r="DN1380" s="65">
        <f>IFERROR($N1380/$N1381-1,"")</f>
        <v/>
      </c>
      <c r="DO1380" s="65">
        <f>IFERROR($M1380/$M1381-1,"")</f>
        <v/>
      </c>
      <c r="DP1380" s="65">
        <f>IFERROR($AZ1380/$AZ1381-1,"")</f>
        <v/>
      </c>
      <c r="DQ1380" s="65">
        <f>IFERROR($BA1380/$BA1381-1,"")</f>
        <v/>
      </c>
      <c r="DR1380" s="64">
        <f>$O1380-$O1381</f>
        <v/>
      </c>
      <c r="DS1380" s="64">
        <f>$P1380-$P1381</f>
        <v/>
      </c>
      <c r="DT1380" s="64">
        <f>$Q1380-$Q1381</f>
        <v/>
      </c>
      <c r="DU1380" s="64">
        <f>$S1380-$S1381</f>
        <v/>
      </c>
      <c r="DV1380" s="65">
        <f>IFERROR(AVERAGE($AA1381/$AA1380-1,$AB1381/$AB1380-1,$AC1381/$AC1380-1,$AD1381/$AD1380-1,$AE1381/$AE1380-1,$AG1381/$AG1380-1,$AH1381/$AH1380-1,$AI1381/$AI1380-1,$AJ1381/$AJ1380-1,$AL1381/$AL1380-1,$AM1381/$AM1380-1,$AR1381/$AR1380-1,$AS1381/$AS1380-1,$AT1381/$AT1380-1,$AU1381/$AU1380-1,$AV1381/$AV1380-1,$AW1381/$AW1380-1,$AX1381/$AX1380-1,$AY1381/$AY1380-1),"")</f>
        <v/>
      </c>
      <c r="DW1380" s="66">
        <f>AVERAGE($CB1380,$CC1380,$CD1380,$CE1380,$CF1380,$CG1380,$CH1380,$CI1380,$CJ1380,$CL1380,$CM1380,$CN1380,$CO1380,$CP1380,$CQ1380,$CR1380,$CS1380,$CT1380)</f>
        <v/>
      </c>
      <c r="DX1380" s="66">
        <f>AVERAGE($CB1380,$CC1380,$CM1380,$CE1380,$CP1380)</f>
        <v/>
      </c>
      <c r="DY1380" s="64">
        <f>($DW1380-$DW1381)*100</f>
        <v/>
      </c>
      <c r="DZ1380" s="64">
        <f>($DX1380-$DX1381)*100</f>
        <v/>
      </c>
      <c r="EA1380" s="64">
        <f>($DW1380-$D1380)*100</f>
        <v/>
      </c>
      <c r="EB1380" s="64">
        <f>$Q1380-$O1380</f>
        <v/>
      </c>
      <c r="EC1380" s="67">
        <f>IFERROR($Q1380/$P1380,"")</f>
        <v/>
      </c>
    </row>
    <row r="1381">
      <c r="DG1381" s="64">
        <f>($B1381-$B1382)*100</f>
        <v/>
      </c>
      <c r="DH1381" s="64">
        <f>($D1381-$D1382)*100</f>
        <v/>
      </c>
      <c r="DI1381" s="64">
        <f>($E1381-$E1382)*100</f>
        <v/>
      </c>
      <c r="DJ1381" s="64">
        <f>($H1381-$H1382)*100</f>
        <v/>
      </c>
      <c r="DK1381" s="65">
        <f>IFERROR($J1381/$J1382-1,"")</f>
        <v/>
      </c>
      <c r="DL1381" s="64">
        <f>$L1381-$L1382</f>
        <v/>
      </c>
      <c r="DM1381" s="64">
        <f>$K1381-$K1382</f>
        <v/>
      </c>
      <c r="DN1381" s="65">
        <f>IFERROR($N1381/$N1382-1,"")</f>
        <v/>
      </c>
      <c r="DO1381" s="65">
        <f>IFERROR($M1381/$M1382-1,"")</f>
        <v/>
      </c>
      <c r="DP1381" s="65">
        <f>IFERROR($AZ1381/$AZ1382-1,"")</f>
        <v/>
      </c>
      <c r="DQ1381" s="65">
        <f>IFERROR($BA1381/$BA1382-1,"")</f>
        <v/>
      </c>
      <c r="DR1381" s="64">
        <f>$O1381-$O1382</f>
        <v/>
      </c>
      <c r="DS1381" s="64">
        <f>$P1381-$P1382</f>
        <v/>
      </c>
      <c r="DT1381" s="64">
        <f>$Q1381-$Q1382</f>
        <v/>
      </c>
      <c r="DU1381" s="64">
        <f>$S1381-$S1382</f>
        <v/>
      </c>
      <c r="DV1381" s="65">
        <f>IFERROR(AVERAGE($AA1382/$AA1381-1,$AB1382/$AB1381-1,$AC1382/$AC1381-1,$AD1382/$AD1381-1,$AE1382/$AE1381-1,$AG1382/$AG1381-1,$AH1382/$AH1381-1,$AI1382/$AI1381-1,$AJ1382/$AJ1381-1,$AL1382/$AL1381-1,$AM1382/$AM1381-1,$AR1382/$AR1381-1,$AS1382/$AS1381-1,$AT1382/$AT1381-1,$AU1382/$AU1381-1,$AV1382/$AV1381-1,$AW1382/$AW1381-1,$AX1382/$AX1381-1,$AY1382/$AY1381-1),"")</f>
        <v/>
      </c>
      <c r="DW1381" s="66">
        <f>AVERAGE($CB1381,$CC1381,$CD1381,$CE1381,$CF1381,$CG1381,$CH1381,$CI1381,$CJ1381,$CL1381,$CM1381,$CN1381,$CO1381,$CP1381,$CQ1381,$CR1381,$CS1381,$CT1381)</f>
        <v/>
      </c>
      <c r="DX1381" s="66">
        <f>AVERAGE($CB1381,$CC1381,$CM1381,$CE1381,$CP1381)</f>
        <v/>
      </c>
      <c r="DY1381" s="64">
        <f>($DW1381-$DW1382)*100</f>
        <v/>
      </c>
      <c r="DZ1381" s="64">
        <f>($DX1381-$DX1382)*100</f>
        <v/>
      </c>
      <c r="EA1381" s="64">
        <f>($DW1381-$D1381)*100</f>
        <v/>
      </c>
      <c r="EB1381" s="64">
        <f>$Q1381-$O1381</f>
        <v/>
      </c>
      <c r="EC1381" s="67">
        <f>IFERROR($Q1381/$P1381,"")</f>
        <v/>
      </c>
    </row>
    <row r="1382">
      <c r="DG1382" s="64">
        <f>($B1382-$B1383)*100</f>
        <v/>
      </c>
      <c r="DH1382" s="64">
        <f>($D1382-$D1383)*100</f>
        <v/>
      </c>
      <c r="DI1382" s="64">
        <f>($E1382-$E1383)*100</f>
        <v/>
      </c>
      <c r="DJ1382" s="64">
        <f>($H1382-$H1383)*100</f>
        <v/>
      </c>
      <c r="DK1382" s="65">
        <f>IFERROR($J1382/$J1383-1,"")</f>
        <v/>
      </c>
      <c r="DL1382" s="64">
        <f>$L1382-$L1383</f>
        <v/>
      </c>
      <c r="DM1382" s="64">
        <f>$K1382-$K1383</f>
        <v/>
      </c>
      <c r="DN1382" s="65">
        <f>IFERROR($N1382/$N1383-1,"")</f>
        <v/>
      </c>
      <c r="DO1382" s="65">
        <f>IFERROR($M1382/$M1383-1,"")</f>
        <v/>
      </c>
      <c r="DP1382" s="65">
        <f>IFERROR($AZ1382/$AZ1383-1,"")</f>
        <v/>
      </c>
      <c r="DQ1382" s="65">
        <f>IFERROR($BA1382/$BA1383-1,"")</f>
        <v/>
      </c>
      <c r="DR1382" s="64">
        <f>$O1382-$O1383</f>
        <v/>
      </c>
      <c r="DS1382" s="64">
        <f>$P1382-$P1383</f>
        <v/>
      </c>
      <c r="DT1382" s="64">
        <f>$Q1382-$Q1383</f>
        <v/>
      </c>
      <c r="DU1382" s="64">
        <f>$S1382-$S1383</f>
        <v/>
      </c>
      <c r="DV1382" s="65">
        <f>IFERROR(AVERAGE($AA1383/$AA1382-1,$AB1383/$AB1382-1,$AC1383/$AC1382-1,$AD1383/$AD1382-1,$AE1383/$AE1382-1,$AG1383/$AG1382-1,$AH1383/$AH1382-1,$AI1383/$AI1382-1,$AJ1383/$AJ1382-1,$AL1383/$AL1382-1,$AM1383/$AM1382-1,$AR1383/$AR1382-1,$AS1383/$AS1382-1,$AT1383/$AT1382-1,$AU1383/$AU1382-1,$AV1383/$AV1382-1,$AW1383/$AW1382-1,$AX1383/$AX1382-1,$AY1383/$AY1382-1),"")</f>
        <v/>
      </c>
      <c r="DW1382" s="66">
        <f>AVERAGE($CB1382,$CC1382,$CD1382,$CE1382,$CF1382,$CG1382,$CH1382,$CI1382,$CJ1382,$CL1382,$CM1382,$CN1382,$CO1382,$CP1382,$CQ1382,$CR1382,$CS1382,$CT1382)</f>
        <v/>
      </c>
      <c r="DX1382" s="66">
        <f>AVERAGE($CB1382,$CC1382,$CM1382,$CE1382,$CP1382)</f>
        <v/>
      </c>
      <c r="DY1382" s="64">
        <f>($DW1382-$DW1383)*100</f>
        <v/>
      </c>
      <c r="DZ1382" s="64">
        <f>($DX1382-$DX1383)*100</f>
        <v/>
      </c>
      <c r="EA1382" s="64">
        <f>($DW1382-$D1382)*100</f>
        <v/>
      </c>
      <c r="EB1382" s="64">
        <f>$Q1382-$O1382</f>
        <v/>
      </c>
      <c r="EC1382" s="67">
        <f>IFERROR($Q1382/$P1382,"")</f>
        <v/>
      </c>
    </row>
    <row r="1383">
      <c r="DG1383" s="64">
        <f>($B1383-$B1384)*100</f>
        <v/>
      </c>
      <c r="DH1383" s="64">
        <f>($D1383-$D1384)*100</f>
        <v/>
      </c>
      <c r="DI1383" s="64">
        <f>($E1383-$E1384)*100</f>
        <v/>
      </c>
      <c r="DJ1383" s="64">
        <f>($H1383-$H1384)*100</f>
        <v/>
      </c>
      <c r="DK1383" s="65">
        <f>IFERROR($J1383/$J1384-1,"")</f>
        <v/>
      </c>
      <c r="DL1383" s="64">
        <f>$L1383-$L1384</f>
        <v/>
      </c>
      <c r="DM1383" s="64">
        <f>$K1383-$K1384</f>
        <v/>
      </c>
      <c r="DN1383" s="65">
        <f>IFERROR($N1383/$N1384-1,"")</f>
        <v/>
      </c>
      <c r="DO1383" s="65">
        <f>IFERROR($M1383/$M1384-1,"")</f>
        <v/>
      </c>
      <c r="DP1383" s="65">
        <f>IFERROR($AZ1383/$AZ1384-1,"")</f>
        <v/>
      </c>
      <c r="DQ1383" s="65">
        <f>IFERROR($BA1383/$BA1384-1,"")</f>
        <v/>
      </c>
      <c r="DR1383" s="64">
        <f>$O1383-$O1384</f>
        <v/>
      </c>
      <c r="DS1383" s="64">
        <f>$P1383-$P1384</f>
        <v/>
      </c>
      <c r="DT1383" s="64">
        <f>$Q1383-$Q1384</f>
        <v/>
      </c>
      <c r="DU1383" s="64">
        <f>$S1383-$S1384</f>
        <v/>
      </c>
      <c r="DV1383" s="65">
        <f>IFERROR(AVERAGE($AA1384/$AA1383-1,$AB1384/$AB1383-1,$AC1384/$AC1383-1,$AD1384/$AD1383-1,$AE1384/$AE1383-1,$AG1384/$AG1383-1,$AH1384/$AH1383-1,$AI1384/$AI1383-1,$AJ1384/$AJ1383-1,$AL1384/$AL1383-1,$AM1384/$AM1383-1,$AR1384/$AR1383-1,$AS1384/$AS1383-1,$AT1384/$AT1383-1,$AU1384/$AU1383-1,$AV1384/$AV1383-1,$AW1384/$AW1383-1,$AX1384/$AX1383-1,$AY1384/$AY1383-1),"")</f>
        <v/>
      </c>
      <c r="DW1383" s="66">
        <f>AVERAGE($CB1383,$CC1383,$CD1383,$CE1383,$CF1383,$CG1383,$CH1383,$CI1383,$CJ1383,$CL1383,$CM1383,$CN1383,$CO1383,$CP1383,$CQ1383,$CR1383,$CS1383,$CT1383)</f>
        <v/>
      </c>
      <c r="DX1383" s="66">
        <f>AVERAGE($CB1383,$CC1383,$CM1383,$CE1383,$CP1383)</f>
        <v/>
      </c>
      <c r="DY1383" s="64">
        <f>($DW1383-$DW1384)*100</f>
        <v/>
      </c>
      <c r="DZ1383" s="64">
        <f>($DX1383-$DX1384)*100</f>
        <v/>
      </c>
      <c r="EA1383" s="64">
        <f>($DW1383-$D1383)*100</f>
        <v/>
      </c>
      <c r="EB1383" s="64">
        <f>$Q1383-$O1383</f>
        <v/>
      </c>
      <c r="EC1383" s="67">
        <f>IFERROR($Q1383/$P1383,"")</f>
        <v/>
      </c>
    </row>
    <row r="1384">
      <c r="DG1384" s="64">
        <f>($B1384-$B1385)*100</f>
        <v/>
      </c>
      <c r="DH1384" s="64">
        <f>($D1384-$D1385)*100</f>
        <v/>
      </c>
      <c r="DI1384" s="64">
        <f>($E1384-$E1385)*100</f>
        <v/>
      </c>
      <c r="DJ1384" s="64">
        <f>($H1384-$H1385)*100</f>
        <v/>
      </c>
      <c r="DK1384" s="65">
        <f>IFERROR($J1384/$J1385-1,"")</f>
        <v/>
      </c>
      <c r="DL1384" s="64">
        <f>$L1384-$L1385</f>
        <v/>
      </c>
      <c r="DM1384" s="64">
        <f>$K1384-$K1385</f>
        <v/>
      </c>
      <c r="DN1384" s="65">
        <f>IFERROR($N1384/$N1385-1,"")</f>
        <v/>
      </c>
      <c r="DO1384" s="65">
        <f>IFERROR($M1384/$M1385-1,"")</f>
        <v/>
      </c>
      <c r="DP1384" s="65">
        <f>IFERROR($AZ1384/$AZ1385-1,"")</f>
        <v/>
      </c>
      <c r="DQ1384" s="65">
        <f>IFERROR($BA1384/$BA1385-1,"")</f>
        <v/>
      </c>
      <c r="DR1384" s="64">
        <f>$O1384-$O1385</f>
        <v/>
      </c>
      <c r="DS1384" s="64">
        <f>$P1384-$P1385</f>
        <v/>
      </c>
      <c r="DT1384" s="64">
        <f>$Q1384-$Q1385</f>
        <v/>
      </c>
      <c r="DU1384" s="64">
        <f>$S1384-$S1385</f>
        <v/>
      </c>
      <c r="DV1384" s="65">
        <f>IFERROR(AVERAGE($AA1385/$AA1384-1,$AB1385/$AB1384-1,$AC1385/$AC1384-1,$AD1385/$AD1384-1,$AE1385/$AE1384-1,$AG1385/$AG1384-1,$AH1385/$AH1384-1,$AI1385/$AI1384-1,$AJ1385/$AJ1384-1,$AL1385/$AL1384-1,$AM1385/$AM1384-1,$AR1385/$AR1384-1,$AS1385/$AS1384-1,$AT1385/$AT1384-1,$AU1385/$AU1384-1,$AV1385/$AV1384-1,$AW1385/$AW1384-1,$AX1385/$AX1384-1,$AY1385/$AY1384-1),"")</f>
        <v/>
      </c>
      <c r="DW1384" s="66">
        <f>AVERAGE($CB1384,$CC1384,$CD1384,$CE1384,$CF1384,$CG1384,$CH1384,$CI1384,$CJ1384,$CL1384,$CM1384,$CN1384,$CO1384,$CP1384,$CQ1384,$CR1384,$CS1384,$CT1384)</f>
        <v/>
      </c>
      <c r="DX1384" s="66">
        <f>AVERAGE($CB1384,$CC1384,$CM1384,$CE1384,$CP1384)</f>
        <v/>
      </c>
      <c r="DY1384" s="64">
        <f>($DW1384-$DW1385)*100</f>
        <v/>
      </c>
      <c r="DZ1384" s="64">
        <f>($DX1384-$DX1385)*100</f>
        <v/>
      </c>
      <c r="EA1384" s="64">
        <f>($DW1384-$D1384)*100</f>
        <v/>
      </c>
      <c r="EB1384" s="64">
        <f>$Q1384-$O1384</f>
        <v/>
      </c>
      <c r="EC1384" s="67">
        <f>IFERROR($Q1384/$P1384,"")</f>
        <v/>
      </c>
    </row>
    <row r="1385">
      <c r="DG1385" s="64">
        <f>($B1385-$B1386)*100</f>
        <v/>
      </c>
      <c r="DH1385" s="64">
        <f>($D1385-$D1386)*100</f>
        <v/>
      </c>
      <c r="DI1385" s="64">
        <f>($E1385-$E1386)*100</f>
        <v/>
      </c>
      <c r="DJ1385" s="64">
        <f>($H1385-$H1386)*100</f>
        <v/>
      </c>
      <c r="DK1385" s="65">
        <f>IFERROR($J1385/$J1386-1,"")</f>
        <v/>
      </c>
      <c r="DL1385" s="64">
        <f>$L1385-$L1386</f>
        <v/>
      </c>
      <c r="DM1385" s="64">
        <f>$K1385-$K1386</f>
        <v/>
      </c>
      <c r="DN1385" s="65">
        <f>IFERROR($N1385/$N1386-1,"")</f>
        <v/>
      </c>
      <c r="DO1385" s="65">
        <f>IFERROR($M1385/$M1386-1,"")</f>
        <v/>
      </c>
      <c r="DP1385" s="65">
        <f>IFERROR($AZ1385/$AZ1386-1,"")</f>
        <v/>
      </c>
      <c r="DQ1385" s="65">
        <f>IFERROR($BA1385/$BA1386-1,"")</f>
        <v/>
      </c>
      <c r="DR1385" s="64">
        <f>$O1385-$O1386</f>
        <v/>
      </c>
      <c r="DS1385" s="64">
        <f>$P1385-$P1386</f>
        <v/>
      </c>
      <c r="DT1385" s="64">
        <f>$Q1385-$Q1386</f>
        <v/>
      </c>
      <c r="DU1385" s="64">
        <f>$S1385-$S1386</f>
        <v/>
      </c>
      <c r="DV1385" s="65">
        <f>IFERROR(AVERAGE($AA1386/$AA1385-1,$AB1386/$AB1385-1,$AC1386/$AC1385-1,$AD1386/$AD1385-1,$AE1386/$AE1385-1,$AG1386/$AG1385-1,$AH1386/$AH1385-1,$AI1386/$AI1385-1,$AJ1386/$AJ1385-1,$AL1386/$AL1385-1,$AM1386/$AM1385-1,$AR1386/$AR1385-1,$AS1386/$AS1385-1,$AT1386/$AT1385-1,$AU1386/$AU1385-1,$AV1386/$AV1385-1,$AW1386/$AW1385-1,$AX1386/$AX1385-1,$AY1386/$AY1385-1),"")</f>
        <v/>
      </c>
      <c r="DW1385" s="66">
        <f>AVERAGE($CB1385,$CC1385,$CD1385,$CE1385,$CF1385,$CG1385,$CH1385,$CI1385,$CJ1385,$CL1385,$CM1385,$CN1385,$CO1385,$CP1385,$CQ1385,$CR1385,$CS1385,$CT1385)</f>
        <v/>
      </c>
      <c r="DX1385" s="66">
        <f>AVERAGE($CB1385,$CC1385,$CM1385,$CE1385,$CP1385)</f>
        <v/>
      </c>
      <c r="DY1385" s="64">
        <f>($DW1385-$DW1386)*100</f>
        <v/>
      </c>
      <c r="DZ1385" s="64">
        <f>($DX1385-$DX1386)*100</f>
        <v/>
      </c>
      <c r="EA1385" s="64">
        <f>($DW1385-$D1385)*100</f>
        <v/>
      </c>
      <c r="EB1385" s="64">
        <f>$Q1385-$O1385</f>
        <v/>
      </c>
      <c r="EC1385" s="67">
        <f>IFERROR($Q1385/$P1385,"")</f>
        <v/>
      </c>
    </row>
    <row r="1386">
      <c r="DG1386" s="64">
        <f>($B1386-$B1387)*100</f>
        <v/>
      </c>
      <c r="DH1386" s="64">
        <f>($D1386-$D1387)*100</f>
        <v/>
      </c>
      <c r="DI1386" s="64">
        <f>($E1386-$E1387)*100</f>
        <v/>
      </c>
      <c r="DJ1386" s="64">
        <f>($H1386-$H1387)*100</f>
        <v/>
      </c>
      <c r="DK1386" s="65">
        <f>IFERROR($J1386/$J1387-1,"")</f>
        <v/>
      </c>
      <c r="DL1386" s="64">
        <f>$L1386-$L1387</f>
        <v/>
      </c>
      <c r="DM1386" s="64">
        <f>$K1386-$K1387</f>
        <v/>
      </c>
      <c r="DN1386" s="65">
        <f>IFERROR($N1386/$N1387-1,"")</f>
        <v/>
      </c>
      <c r="DO1386" s="65">
        <f>IFERROR($M1386/$M1387-1,"")</f>
        <v/>
      </c>
      <c r="DP1386" s="65">
        <f>IFERROR($AZ1386/$AZ1387-1,"")</f>
        <v/>
      </c>
      <c r="DQ1386" s="65">
        <f>IFERROR($BA1386/$BA1387-1,"")</f>
        <v/>
      </c>
      <c r="DR1386" s="64">
        <f>$O1386-$O1387</f>
        <v/>
      </c>
      <c r="DS1386" s="64">
        <f>$P1386-$P1387</f>
        <v/>
      </c>
      <c r="DT1386" s="64">
        <f>$Q1386-$Q1387</f>
        <v/>
      </c>
      <c r="DU1386" s="64">
        <f>$S1386-$S1387</f>
        <v/>
      </c>
      <c r="DV1386" s="65">
        <f>IFERROR(AVERAGE($AA1387/$AA1386-1,$AB1387/$AB1386-1,$AC1387/$AC1386-1,$AD1387/$AD1386-1,$AE1387/$AE1386-1,$AG1387/$AG1386-1,$AH1387/$AH1386-1,$AI1387/$AI1386-1,$AJ1387/$AJ1386-1,$AL1387/$AL1386-1,$AM1387/$AM1386-1,$AR1387/$AR1386-1,$AS1387/$AS1386-1,$AT1387/$AT1386-1,$AU1387/$AU1386-1,$AV1387/$AV1386-1,$AW1387/$AW1386-1,$AX1387/$AX1386-1,$AY1387/$AY1386-1),"")</f>
        <v/>
      </c>
      <c r="DW1386" s="66">
        <f>AVERAGE($CB1386,$CC1386,$CD1386,$CE1386,$CF1386,$CG1386,$CH1386,$CI1386,$CJ1386,$CL1386,$CM1386,$CN1386,$CO1386,$CP1386,$CQ1386,$CR1386,$CS1386,$CT1386)</f>
        <v/>
      </c>
      <c r="DX1386" s="66">
        <f>AVERAGE($CB1386,$CC1386,$CM1386,$CE1386,$CP1386)</f>
        <v/>
      </c>
      <c r="DY1386" s="64">
        <f>($DW1386-$DW1387)*100</f>
        <v/>
      </c>
      <c r="DZ1386" s="64">
        <f>($DX1386-$DX1387)*100</f>
        <v/>
      </c>
      <c r="EA1386" s="64">
        <f>($DW1386-$D1386)*100</f>
        <v/>
      </c>
      <c r="EB1386" s="64">
        <f>$Q1386-$O1386</f>
        <v/>
      </c>
      <c r="EC1386" s="67">
        <f>IFERROR($Q1386/$P1386,"")</f>
        <v/>
      </c>
    </row>
    <row r="1387">
      <c r="DG1387" s="64">
        <f>($B1387-$B1388)*100</f>
        <v/>
      </c>
      <c r="DH1387" s="64">
        <f>($D1387-$D1388)*100</f>
        <v/>
      </c>
      <c r="DI1387" s="64">
        <f>($E1387-$E1388)*100</f>
        <v/>
      </c>
      <c r="DJ1387" s="64">
        <f>($H1387-$H1388)*100</f>
        <v/>
      </c>
      <c r="DK1387" s="65">
        <f>IFERROR($J1387/$J1388-1,"")</f>
        <v/>
      </c>
      <c r="DL1387" s="64">
        <f>$L1387-$L1388</f>
        <v/>
      </c>
      <c r="DM1387" s="64">
        <f>$K1387-$K1388</f>
        <v/>
      </c>
      <c r="DN1387" s="65">
        <f>IFERROR($N1387/$N1388-1,"")</f>
        <v/>
      </c>
      <c r="DO1387" s="65">
        <f>IFERROR($M1387/$M1388-1,"")</f>
        <v/>
      </c>
      <c r="DP1387" s="65">
        <f>IFERROR($AZ1387/$AZ1388-1,"")</f>
        <v/>
      </c>
      <c r="DQ1387" s="65">
        <f>IFERROR($BA1387/$BA1388-1,"")</f>
        <v/>
      </c>
      <c r="DR1387" s="64">
        <f>$O1387-$O1388</f>
        <v/>
      </c>
      <c r="DS1387" s="64">
        <f>$P1387-$P1388</f>
        <v/>
      </c>
      <c r="DT1387" s="64">
        <f>$Q1387-$Q1388</f>
        <v/>
      </c>
      <c r="DU1387" s="64">
        <f>$S1387-$S1388</f>
        <v/>
      </c>
      <c r="DV1387" s="65">
        <f>IFERROR(AVERAGE($AA1388/$AA1387-1,$AB1388/$AB1387-1,$AC1388/$AC1387-1,$AD1388/$AD1387-1,$AE1388/$AE1387-1,$AG1388/$AG1387-1,$AH1388/$AH1387-1,$AI1388/$AI1387-1,$AJ1388/$AJ1387-1,$AL1388/$AL1387-1,$AM1388/$AM1387-1,$AR1388/$AR1387-1,$AS1388/$AS1387-1,$AT1388/$AT1387-1,$AU1388/$AU1387-1,$AV1388/$AV1387-1,$AW1388/$AW1387-1,$AX1388/$AX1387-1,$AY1388/$AY1387-1),"")</f>
        <v/>
      </c>
      <c r="DW1387" s="66">
        <f>AVERAGE($CB1387,$CC1387,$CD1387,$CE1387,$CF1387,$CG1387,$CH1387,$CI1387,$CJ1387,$CL1387,$CM1387,$CN1387,$CO1387,$CP1387,$CQ1387,$CR1387,$CS1387,$CT1387)</f>
        <v/>
      </c>
      <c r="DX1387" s="66">
        <f>AVERAGE($CB1387,$CC1387,$CM1387,$CE1387,$CP1387)</f>
        <v/>
      </c>
      <c r="DY1387" s="64">
        <f>($DW1387-$DW1388)*100</f>
        <v/>
      </c>
      <c r="DZ1387" s="64">
        <f>($DX1387-$DX1388)*100</f>
        <v/>
      </c>
      <c r="EA1387" s="64">
        <f>($DW1387-$D1387)*100</f>
        <v/>
      </c>
      <c r="EB1387" s="64">
        <f>$Q1387-$O1387</f>
        <v/>
      </c>
      <c r="EC1387" s="67">
        <f>IFERROR($Q1387/$P1387,"")</f>
        <v/>
      </c>
    </row>
    <row r="1388">
      <c r="DG1388" s="64">
        <f>($B1388-$B1389)*100</f>
        <v/>
      </c>
      <c r="DH1388" s="64">
        <f>($D1388-$D1389)*100</f>
        <v/>
      </c>
      <c r="DI1388" s="64">
        <f>($E1388-$E1389)*100</f>
        <v/>
      </c>
      <c r="DJ1388" s="64">
        <f>($H1388-$H1389)*100</f>
        <v/>
      </c>
      <c r="DK1388" s="65">
        <f>IFERROR($J1388/$J1389-1,"")</f>
        <v/>
      </c>
      <c r="DL1388" s="64">
        <f>$L1388-$L1389</f>
        <v/>
      </c>
      <c r="DM1388" s="64">
        <f>$K1388-$K1389</f>
        <v/>
      </c>
      <c r="DN1388" s="65">
        <f>IFERROR($N1388/$N1389-1,"")</f>
        <v/>
      </c>
      <c r="DO1388" s="65">
        <f>IFERROR($M1388/$M1389-1,"")</f>
        <v/>
      </c>
      <c r="DP1388" s="65">
        <f>IFERROR($AZ1388/$AZ1389-1,"")</f>
        <v/>
      </c>
      <c r="DQ1388" s="65">
        <f>IFERROR($BA1388/$BA1389-1,"")</f>
        <v/>
      </c>
      <c r="DR1388" s="64">
        <f>$O1388-$O1389</f>
        <v/>
      </c>
      <c r="DS1388" s="64">
        <f>$P1388-$P1389</f>
        <v/>
      </c>
      <c r="DT1388" s="64">
        <f>$Q1388-$Q1389</f>
        <v/>
      </c>
      <c r="DU1388" s="64">
        <f>$S1388-$S1389</f>
        <v/>
      </c>
      <c r="DV1388" s="65">
        <f>IFERROR(AVERAGE($AA1389/$AA1388-1,$AB1389/$AB1388-1,$AC1389/$AC1388-1,$AD1389/$AD1388-1,$AE1389/$AE1388-1,$AG1389/$AG1388-1,$AH1389/$AH1388-1,$AI1389/$AI1388-1,$AJ1389/$AJ1388-1,$AL1389/$AL1388-1,$AM1389/$AM1388-1,$AR1389/$AR1388-1,$AS1389/$AS1388-1,$AT1389/$AT1388-1,$AU1389/$AU1388-1,$AV1389/$AV1388-1,$AW1389/$AW1388-1,$AX1389/$AX1388-1,$AY1389/$AY1388-1),"")</f>
        <v/>
      </c>
      <c r="DW1388" s="66">
        <f>AVERAGE($CB1388,$CC1388,$CD1388,$CE1388,$CF1388,$CG1388,$CH1388,$CI1388,$CJ1388,$CL1388,$CM1388,$CN1388,$CO1388,$CP1388,$CQ1388,$CR1388,$CS1388,$CT1388)</f>
        <v/>
      </c>
      <c r="DX1388" s="66">
        <f>AVERAGE($CB1388,$CC1388,$CM1388,$CE1388,$CP1388)</f>
        <v/>
      </c>
      <c r="DY1388" s="64">
        <f>($DW1388-$DW1389)*100</f>
        <v/>
      </c>
      <c r="DZ1388" s="64">
        <f>($DX1388-$DX1389)*100</f>
        <v/>
      </c>
      <c r="EA1388" s="64">
        <f>($DW1388-$D1388)*100</f>
        <v/>
      </c>
      <c r="EB1388" s="64">
        <f>$Q1388-$O1388</f>
        <v/>
      </c>
      <c r="EC1388" s="67">
        <f>IFERROR($Q1388/$P1388,"")</f>
        <v/>
      </c>
    </row>
    <row r="1389">
      <c r="DG1389" s="64">
        <f>($B1389-$B1390)*100</f>
        <v/>
      </c>
      <c r="DH1389" s="64">
        <f>($D1389-$D1390)*100</f>
        <v/>
      </c>
      <c r="DI1389" s="64">
        <f>($E1389-$E1390)*100</f>
        <v/>
      </c>
      <c r="DJ1389" s="64">
        <f>($H1389-$H1390)*100</f>
        <v/>
      </c>
      <c r="DK1389" s="65">
        <f>IFERROR($J1389/$J1390-1,"")</f>
        <v/>
      </c>
      <c r="DL1389" s="64">
        <f>$L1389-$L1390</f>
        <v/>
      </c>
      <c r="DM1389" s="64">
        <f>$K1389-$K1390</f>
        <v/>
      </c>
      <c r="DN1389" s="65">
        <f>IFERROR($N1389/$N1390-1,"")</f>
        <v/>
      </c>
      <c r="DO1389" s="65">
        <f>IFERROR($M1389/$M1390-1,"")</f>
        <v/>
      </c>
      <c r="DP1389" s="65">
        <f>IFERROR($AZ1389/$AZ1390-1,"")</f>
        <v/>
      </c>
      <c r="DQ1389" s="65">
        <f>IFERROR($BA1389/$BA1390-1,"")</f>
        <v/>
      </c>
      <c r="DR1389" s="64">
        <f>$O1389-$O1390</f>
        <v/>
      </c>
      <c r="DS1389" s="64">
        <f>$P1389-$P1390</f>
        <v/>
      </c>
      <c r="DT1389" s="64">
        <f>$Q1389-$Q1390</f>
        <v/>
      </c>
      <c r="DU1389" s="64">
        <f>$S1389-$S1390</f>
        <v/>
      </c>
      <c r="DV1389" s="65">
        <f>IFERROR(AVERAGE($AA1390/$AA1389-1,$AB1390/$AB1389-1,$AC1390/$AC1389-1,$AD1390/$AD1389-1,$AE1390/$AE1389-1,$AG1390/$AG1389-1,$AH1390/$AH1389-1,$AI1390/$AI1389-1,$AJ1390/$AJ1389-1,$AL1390/$AL1389-1,$AM1390/$AM1389-1,$AR1390/$AR1389-1,$AS1390/$AS1389-1,$AT1390/$AT1389-1,$AU1390/$AU1389-1,$AV1390/$AV1389-1,$AW1390/$AW1389-1,$AX1390/$AX1389-1,$AY1390/$AY1389-1),"")</f>
        <v/>
      </c>
      <c r="DW1389" s="66">
        <f>AVERAGE($CB1389,$CC1389,$CD1389,$CE1389,$CF1389,$CG1389,$CH1389,$CI1389,$CJ1389,$CL1389,$CM1389,$CN1389,$CO1389,$CP1389,$CQ1389,$CR1389,$CS1389,$CT1389)</f>
        <v/>
      </c>
      <c r="DX1389" s="66">
        <f>AVERAGE($CB1389,$CC1389,$CM1389,$CE1389,$CP1389)</f>
        <v/>
      </c>
      <c r="DY1389" s="64">
        <f>($DW1389-$DW1390)*100</f>
        <v/>
      </c>
      <c r="DZ1389" s="64">
        <f>($DX1389-$DX1390)*100</f>
        <v/>
      </c>
      <c r="EA1389" s="64">
        <f>($DW1389-$D1389)*100</f>
        <v/>
      </c>
      <c r="EB1389" s="64">
        <f>$Q1389-$O1389</f>
        <v/>
      </c>
      <c r="EC1389" s="67">
        <f>IFERROR($Q1389/$P1389,"")</f>
        <v/>
      </c>
    </row>
    <row r="1390">
      <c r="DG1390" s="64">
        <f>($B1390-$B1391)*100</f>
        <v/>
      </c>
      <c r="DH1390" s="64">
        <f>($D1390-$D1391)*100</f>
        <v/>
      </c>
      <c r="DI1390" s="64">
        <f>($E1390-$E1391)*100</f>
        <v/>
      </c>
      <c r="DJ1390" s="64">
        <f>($H1390-$H1391)*100</f>
        <v/>
      </c>
      <c r="DK1390" s="65">
        <f>IFERROR($J1390/$J1391-1,"")</f>
        <v/>
      </c>
      <c r="DL1390" s="64">
        <f>$L1390-$L1391</f>
        <v/>
      </c>
      <c r="DM1390" s="64">
        <f>$K1390-$K1391</f>
        <v/>
      </c>
      <c r="DN1390" s="65">
        <f>IFERROR($N1390/$N1391-1,"")</f>
        <v/>
      </c>
      <c r="DO1390" s="65">
        <f>IFERROR($M1390/$M1391-1,"")</f>
        <v/>
      </c>
      <c r="DP1390" s="65">
        <f>IFERROR($AZ1390/$AZ1391-1,"")</f>
        <v/>
      </c>
      <c r="DQ1390" s="65">
        <f>IFERROR($BA1390/$BA1391-1,"")</f>
        <v/>
      </c>
      <c r="DR1390" s="64">
        <f>$O1390-$O1391</f>
        <v/>
      </c>
      <c r="DS1390" s="64">
        <f>$P1390-$P1391</f>
        <v/>
      </c>
      <c r="DT1390" s="64">
        <f>$Q1390-$Q1391</f>
        <v/>
      </c>
      <c r="DU1390" s="64">
        <f>$S1390-$S1391</f>
        <v/>
      </c>
      <c r="DV1390" s="65">
        <f>IFERROR(AVERAGE($AA1391/$AA1390-1,$AB1391/$AB1390-1,$AC1391/$AC1390-1,$AD1391/$AD1390-1,$AE1391/$AE1390-1,$AG1391/$AG1390-1,$AH1391/$AH1390-1,$AI1391/$AI1390-1,$AJ1391/$AJ1390-1,$AL1391/$AL1390-1,$AM1391/$AM1390-1,$AR1391/$AR1390-1,$AS1391/$AS1390-1,$AT1391/$AT1390-1,$AU1391/$AU1390-1,$AV1391/$AV1390-1,$AW1391/$AW1390-1,$AX1391/$AX1390-1,$AY1391/$AY1390-1),"")</f>
        <v/>
      </c>
      <c r="DW1390" s="66">
        <f>AVERAGE($CB1390,$CC1390,$CD1390,$CE1390,$CF1390,$CG1390,$CH1390,$CI1390,$CJ1390,$CL1390,$CM1390,$CN1390,$CO1390,$CP1390,$CQ1390,$CR1390,$CS1390,$CT1390)</f>
        <v/>
      </c>
      <c r="DX1390" s="66">
        <f>AVERAGE($CB1390,$CC1390,$CM1390,$CE1390,$CP1390)</f>
        <v/>
      </c>
      <c r="DY1390" s="64">
        <f>($DW1390-$DW1391)*100</f>
        <v/>
      </c>
      <c r="DZ1390" s="64">
        <f>($DX1390-$DX1391)*100</f>
        <v/>
      </c>
      <c r="EA1390" s="64">
        <f>($DW1390-$D1390)*100</f>
        <v/>
      </c>
      <c r="EB1390" s="64">
        <f>$Q1390-$O1390</f>
        <v/>
      </c>
      <c r="EC1390" s="67">
        <f>IFERROR($Q1390/$P1390,"")</f>
        <v/>
      </c>
    </row>
    <row r="1391">
      <c r="DG1391" s="64">
        <f>($B1391-$B1392)*100</f>
        <v/>
      </c>
      <c r="DH1391" s="64">
        <f>($D1391-$D1392)*100</f>
        <v/>
      </c>
      <c r="DI1391" s="64">
        <f>($E1391-$E1392)*100</f>
        <v/>
      </c>
      <c r="DJ1391" s="64">
        <f>($H1391-$H1392)*100</f>
        <v/>
      </c>
      <c r="DK1391" s="65">
        <f>IFERROR($J1391/$J1392-1,"")</f>
        <v/>
      </c>
      <c r="DL1391" s="64">
        <f>$L1391-$L1392</f>
        <v/>
      </c>
      <c r="DM1391" s="64">
        <f>$K1391-$K1392</f>
        <v/>
      </c>
      <c r="DN1391" s="65">
        <f>IFERROR($N1391/$N1392-1,"")</f>
        <v/>
      </c>
      <c r="DO1391" s="65">
        <f>IFERROR($M1391/$M1392-1,"")</f>
        <v/>
      </c>
      <c r="DP1391" s="65">
        <f>IFERROR($AZ1391/$AZ1392-1,"")</f>
        <v/>
      </c>
      <c r="DQ1391" s="65">
        <f>IFERROR($BA1391/$BA1392-1,"")</f>
        <v/>
      </c>
      <c r="DR1391" s="64">
        <f>$O1391-$O1392</f>
        <v/>
      </c>
      <c r="DS1391" s="64">
        <f>$P1391-$P1392</f>
        <v/>
      </c>
      <c r="DT1391" s="64">
        <f>$Q1391-$Q1392</f>
        <v/>
      </c>
      <c r="DU1391" s="64">
        <f>$S1391-$S1392</f>
        <v/>
      </c>
      <c r="DV1391" s="65">
        <f>IFERROR(AVERAGE($AA1392/$AA1391-1,$AB1392/$AB1391-1,$AC1392/$AC1391-1,$AD1392/$AD1391-1,$AE1392/$AE1391-1,$AG1392/$AG1391-1,$AH1392/$AH1391-1,$AI1392/$AI1391-1,$AJ1392/$AJ1391-1,$AL1392/$AL1391-1,$AM1392/$AM1391-1,$AR1392/$AR1391-1,$AS1392/$AS1391-1,$AT1392/$AT1391-1,$AU1392/$AU1391-1,$AV1392/$AV1391-1,$AW1392/$AW1391-1,$AX1392/$AX1391-1,$AY1392/$AY1391-1),"")</f>
        <v/>
      </c>
      <c r="DW1391" s="66">
        <f>AVERAGE($CB1391,$CC1391,$CD1391,$CE1391,$CF1391,$CG1391,$CH1391,$CI1391,$CJ1391,$CL1391,$CM1391,$CN1391,$CO1391,$CP1391,$CQ1391,$CR1391,$CS1391,$CT1391)</f>
        <v/>
      </c>
      <c r="DX1391" s="66">
        <f>AVERAGE($CB1391,$CC1391,$CM1391,$CE1391,$CP1391)</f>
        <v/>
      </c>
      <c r="DY1391" s="64">
        <f>($DW1391-$DW1392)*100</f>
        <v/>
      </c>
      <c r="DZ1391" s="64">
        <f>($DX1391-$DX1392)*100</f>
        <v/>
      </c>
      <c r="EA1391" s="64">
        <f>($DW1391-$D1391)*100</f>
        <v/>
      </c>
      <c r="EB1391" s="64">
        <f>$Q1391-$O1391</f>
        <v/>
      </c>
      <c r="EC1391" s="67">
        <f>IFERROR($Q1391/$P1391,"")</f>
        <v/>
      </c>
    </row>
    <row r="1392">
      <c r="DG1392" s="64">
        <f>($B1392-$B1393)*100</f>
        <v/>
      </c>
      <c r="DH1392" s="64">
        <f>($D1392-$D1393)*100</f>
        <v/>
      </c>
      <c r="DI1392" s="64">
        <f>($E1392-$E1393)*100</f>
        <v/>
      </c>
      <c r="DJ1392" s="64">
        <f>($H1392-$H1393)*100</f>
        <v/>
      </c>
      <c r="DK1392" s="65">
        <f>IFERROR($J1392/$J1393-1,"")</f>
        <v/>
      </c>
      <c r="DL1392" s="64">
        <f>$L1392-$L1393</f>
        <v/>
      </c>
      <c r="DM1392" s="64">
        <f>$K1392-$K1393</f>
        <v/>
      </c>
      <c r="DN1392" s="65">
        <f>IFERROR($N1392/$N1393-1,"")</f>
        <v/>
      </c>
      <c r="DO1392" s="65">
        <f>IFERROR($M1392/$M1393-1,"")</f>
        <v/>
      </c>
      <c r="DP1392" s="65">
        <f>IFERROR($AZ1392/$AZ1393-1,"")</f>
        <v/>
      </c>
      <c r="DQ1392" s="65">
        <f>IFERROR($BA1392/$BA1393-1,"")</f>
        <v/>
      </c>
      <c r="DR1392" s="64">
        <f>$O1392-$O1393</f>
        <v/>
      </c>
      <c r="DS1392" s="64">
        <f>$P1392-$P1393</f>
        <v/>
      </c>
      <c r="DT1392" s="64">
        <f>$Q1392-$Q1393</f>
        <v/>
      </c>
      <c r="DU1392" s="64">
        <f>$S1392-$S1393</f>
        <v/>
      </c>
      <c r="DV1392" s="65">
        <f>IFERROR(AVERAGE($AA1393/$AA1392-1,$AB1393/$AB1392-1,$AC1393/$AC1392-1,$AD1393/$AD1392-1,$AE1393/$AE1392-1,$AG1393/$AG1392-1,$AH1393/$AH1392-1,$AI1393/$AI1392-1,$AJ1393/$AJ1392-1,$AL1393/$AL1392-1,$AM1393/$AM1392-1,$AR1393/$AR1392-1,$AS1393/$AS1392-1,$AT1393/$AT1392-1,$AU1393/$AU1392-1,$AV1393/$AV1392-1,$AW1393/$AW1392-1,$AX1393/$AX1392-1,$AY1393/$AY1392-1),"")</f>
        <v/>
      </c>
      <c r="DW1392" s="66">
        <f>AVERAGE($CB1392,$CC1392,$CD1392,$CE1392,$CF1392,$CG1392,$CH1392,$CI1392,$CJ1392,$CL1392,$CM1392,$CN1392,$CO1392,$CP1392,$CQ1392,$CR1392,$CS1392,$CT1392)</f>
        <v/>
      </c>
      <c r="DX1392" s="66">
        <f>AVERAGE($CB1392,$CC1392,$CM1392,$CE1392,$CP1392)</f>
        <v/>
      </c>
      <c r="DY1392" s="64">
        <f>($DW1392-$DW1393)*100</f>
        <v/>
      </c>
      <c r="DZ1392" s="64">
        <f>($DX1392-$DX1393)*100</f>
        <v/>
      </c>
      <c r="EA1392" s="64">
        <f>($DW1392-$D1392)*100</f>
        <v/>
      </c>
      <c r="EB1392" s="64">
        <f>$Q1392-$O1392</f>
        <v/>
      </c>
      <c r="EC1392" s="67">
        <f>IFERROR($Q1392/$P1392,"")</f>
        <v/>
      </c>
    </row>
    <row r="1393">
      <c r="DG1393" s="64">
        <f>($B1393-$B1394)*100</f>
        <v/>
      </c>
      <c r="DH1393" s="64">
        <f>($D1393-$D1394)*100</f>
        <v/>
      </c>
      <c r="DI1393" s="64">
        <f>($E1393-$E1394)*100</f>
        <v/>
      </c>
      <c r="DJ1393" s="64">
        <f>($H1393-$H1394)*100</f>
        <v/>
      </c>
      <c r="DK1393" s="65">
        <f>IFERROR($J1393/$J1394-1,"")</f>
        <v/>
      </c>
      <c r="DL1393" s="64">
        <f>$L1393-$L1394</f>
        <v/>
      </c>
      <c r="DM1393" s="64">
        <f>$K1393-$K1394</f>
        <v/>
      </c>
      <c r="DN1393" s="65">
        <f>IFERROR($N1393/$N1394-1,"")</f>
        <v/>
      </c>
      <c r="DO1393" s="65">
        <f>IFERROR($M1393/$M1394-1,"")</f>
        <v/>
      </c>
      <c r="DP1393" s="65">
        <f>IFERROR($AZ1393/$AZ1394-1,"")</f>
        <v/>
      </c>
      <c r="DQ1393" s="65">
        <f>IFERROR($BA1393/$BA1394-1,"")</f>
        <v/>
      </c>
      <c r="DR1393" s="64">
        <f>$O1393-$O1394</f>
        <v/>
      </c>
      <c r="DS1393" s="64">
        <f>$P1393-$P1394</f>
        <v/>
      </c>
      <c r="DT1393" s="64">
        <f>$Q1393-$Q1394</f>
        <v/>
      </c>
      <c r="DU1393" s="64">
        <f>$S1393-$S1394</f>
        <v/>
      </c>
      <c r="DV1393" s="65">
        <f>IFERROR(AVERAGE($AA1394/$AA1393-1,$AB1394/$AB1393-1,$AC1394/$AC1393-1,$AD1394/$AD1393-1,$AE1394/$AE1393-1,$AG1394/$AG1393-1,$AH1394/$AH1393-1,$AI1394/$AI1393-1,$AJ1394/$AJ1393-1,$AL1394/$AL1393-1,$AM1394/$AM1393-1,$AR1394/$AR1393-1,$AS1394/$AS1393-1,$AT1394/$AT1393-1,$AU1394/$AU1393-1,$AV1394/$AV1393-1,$AW1394/$AW1393-1,$AX1394/$AX1393-1,$AY1394/$AY1393-1),"")</f>
        <v/>
      </c>
      <c r="DW1393" s="66">
        <f>AVERAGE($CB1393,$CC1393,$CD1393,$CE1393,$CF1393,$CG1393,$CH1393,$CI1393,$CJ1393,$CL1393,$CM1393,$CN1393,$CO1393,$CP1393,$CQ1393,$CR1393,$CS1393,$CT1393)</f>
        <v/>
      </c>
      <c r="DX1393" s="66">
        <f>AVERAGE($CB1393,$CC1393,$CM1393,$CE1393,$CP1393)</f>
        <v/>
      </c>
      <c r="DY1393" s="64">
        <f>($DW1393-$DW1394)*100</f>
        <v/>
      </c>
      <c r="DZ1393" s="64">
        <f>($DX1393-$DX1394)*100</f>
        <v/>
      </c>
      <c r="EA1393" s="64">
        <f>($DW1393-$D1393)*100</f>
        <v/>
      </c>
      <c r="EB1393" s="64">
        <f>$Q1393-$O1393</f>
        <v/>
      </c>
      <c r="EC1393" s="67">
        <f>IFERROR($Q1393/$P1393,"")</f>
        <v/>
      </c>
    </row>
    <row r="1394">
      <c r="DG1394" s="64">
        <f>($B1394-$B1395)*100</f>
        <v/>
      </c>
      <c r="DH1394" s="64">
        <f>($D1394-$D1395)*100</f>
        <v/>
      </c>
      <c r="DI1394" s="64">
        <f>($E1394-$E1395)*100</f>
        <v/>
      </c>
      <c r="DJ1394" s="64">
        <f>($H1394-$H1395)*100</f>
        <v/>
      </c>
      <c r="DK1394" s="65">
        <f>IFERROR($J1394/$J1395-1,"")</f>
        <v/>
      </c>
      <c r="DL1394" s="64">
        <f>$L1394-$L1395</f>
        <v/>
      </c>
      <c r="DM1394" s="64">
        <f>$K1394-$K1395</f>
        <v/>
      </c>
      <c r="DN1394" s="65">
        <f>IFERROR($N1394/$N1395-1,"")</f>
        <v/>
      </c>
      <c r="DO1394" s="65">
        <f>IFERROR($M1394/$M1395-1,"")</f>
        <v/>
      </c>
      <c r="DP1394" s="65">
        <f>IFERROR($AZ1394/$AZ1395-1,"")</f>
        <v/>
      </c>
      <c r="DQ1394" s="65">
        <f>IFERROR($BA1394/$BA1395-1,"")</f>
        <v/>
      </c>
      <c r="DR1394" s="64">
        <f>$O1394-$O1395</f>
        <v/>
      </c>
      <c r="DS1394" s="64">
        <f>$P1394-$P1395</f>
        <v/>
      </c>
      <c r="DT1394" s="64">
        <f>$Q1394-$Q1395</f>
        <v/>
      </c>
      <c r="DU1394" s="64">
        <f>$S1394-$S1395</f>
        <v/>
      </c>
      <c r="DV1394" s="65">
        <f>IFERROR(AVERAGE($AA1395/$AA1394-1,$AB1395/$AB1394-1,$AC1395/$AC1394-1,$AD1395/$AD1394-1,$AE1395/$AE1394-1,$AG1395/$AG1394-1,$AH1395/$AH1394-1,$AI1395/$AI1394-1,$AJ1395/$AJ1394-1,$AL1395/$AL1394-1,$AM1395/$AM1394-1,$AR1395/$AR1394-1,$AS1395/$AS1394-1,$AT1395/$AT1394-1,$AU1395/$AU1394-1,$AV1395/$AV1394-1,$AW1395/$AW1394-1,$AX1395/$AX1394-1,$AY1395/$AY1394-1),"")</f>
        <v/>
      </c>
      <c r="DW1394" s="66">
        <f>AVERAGE($CB1394,$CC1394,$CD1394,$CE1394,$CF1394,$CG1394,$CH1394,$CI1394,$CJ1394,$CL1394,$CM1394,$CN1394,$CO1394,$CP1394,$CQ1394,$CR1394,$CS1394,$CT1394)</f>
        <v/>
      </c>
      <c r="DX1394" s="66">
        <f>AVERAGE($CB1394,$CC1394,$CM1394,$CE1394,$CP1394)</f>
        <v/>
      </c>
      <c r="DY1394" s="64">
        <f>($DW1394-$DW1395)*100</f>
        <v/>
      </c>
      <c r="DZ1394" s="64">
        <f>($DX1394-$DX1395)*100</f>
        <v/>
      </c>
      <c r="EA1394" s="64">
        <f>($DW1394-$D1394)*100</f>
        <v/>
      </c>
      <c r="EB1394" s="64">
        <f>$Q1394-$O1394</f>
        <v/>
      </c>
      <c r="EC1394" s="67">
        <f>IFERROR($Q1394/$P1394,"")</f>
        <v/>
      </c>
    </row>
    <row r="1395">
      <c r="DG1395" s="64">
        <f>($B1395-$B1396)*100</f>
        <v/>
      </c>
      <c r="DH1395" s="64">
        <f>($D1395-$D1396)*100</f>
        <v/>
      </c>
      <c r="DI1395" s="64">
        <f>($E1395-$E1396)*100</f>
        <v/>
      </c>
      <c r="DJ1395" s="64">
        <f>($H1395-$H1396)*100</f>
        <v/>
      </c>
      <c r="DK1395" s="65">
        <f>IFERROR($J1395/$J1396-1,"")</f>
        <v/>
      </c>
      <c r="DL1395" s="64">
        <f>$L1395-$L1396</f>
        <v/>
      </c>
      <c r="DM1395" s="64">
        <f>$K1395-$K1396</f>
        <v/>
      </c>
      <c r="DN1395" s="65">
        <f>IFERROR($N1395/$N1396-1,"")</f>
        <v/>
      </c>
      <c r="DO1395" s="65">
        <f>IFERROR($M1395/$M1396-1,"")</f>
        <v/>
      </c>
      <c r="DP1395" s="65">
        <f>IFERROR($AZ1395/$AZ1396-1,"")</f>
        <v/>
      </c>
      <c r="DQ1395" s="65">
        <f>IFERROR($BA1395/$BA1396-1,"")</f>
        <v/>
      </c>
      <c r="DR1395" s="64">
        <f>$O1395-$O1396</f>
        <v/>
      </c>
      <c r="DS1395" s="64">
        <f>$P1395-$P1396</f>
        <v/>
      </c>
      <c r="DT1395" s="64">
        <f>$Q1395-$Q1396</f>
        <v/>
      </c>
      <c r="DU1395" s="64">
        <f>$S1395-$S1396</f>
        <v/>
      </c>
      <c r="DV1395" s="65">
        <f>IFERROR(AVERAGE($AA1396/$AA1395-1,$AB1396/$AB1395-1,$AC1396/$AC1395-1,$AD1396/$AD1395-1,$AE1396/$AE1395-1,$AG1396/$AG1395-1,$AH1396/$AH1395-1,$AI1396/$AI1395-1,$AJ1396/$AJ1395-1,$AL1396/$AL1395-1,$AM1396/$AM1395-1,$AR1396/$AR1395-1,$AS1396/$AS1395-1,$AT1396/$AT1395-1,$AU1396/$AU1395-1,$AV1396/$AV1395-1,$AW1396/$AW1395-1,$AX1396/$AX1395-1,$AY1396/$AY1395-1),"")</f>
        <v/>
      </c>
      <c r="DW1395" s="66">
        <f>AVERAGE($CB1395,$CC1395,$CD1395,$CE1395,$CF1395,$CG1395,$CH1395,$CI1395,$CJ1395,$CL1395,$CM1395,$CN1395,$CO1395,$CP1395,$CQ1395,$CR1395,$CS1395,$CT1395)</f>
        <v/>
      </c>
      <c r="DX1395" s="66">
        <f>AVERAGE($CB1395,$CC1395,$CM1395,$CE1395,$CP1395)</f>
        <v/>
      </c>
      <c r="DY1395" s="64">
        <f>($DW1395-$DW1396)*100</f>
        <v/>
      </c>
      <c r="DZ1395" s="64">
        <f>($DX1395-$DX1396)*100</f>
        <v/>
      </c>
      <c r="EA1395" s="64">
        <f>($DW1395-$D1395)*100</f>
        <v/>
      </c>
      <c r="EB1395" s="64">
        <f>$Q1395-$O1395</f>
        <v/>
      </c>
      <c r="EC1395" s="67">
        <f>IFERROR($Q1395/$P1395,"")</f>
        <v/>
      </c>
    </row>
    <row r="1396">
      <c r="DG1396" s="64">
        <f>($B1396-$B1397)*100</f>
        <v/>
      </c>
      <c r="DH1396" s="64">
        <f>($D1396-$D1397)*100</f>
        <v/>
      </c>
      <c r="DI1396" s="64">
        <f>($E1396-$E1397)*100</f>
        <v/>
      </c>
      <c r="DJ1396" s="64">
        <f>($H1396-$H1397)*100</f>
        <v/>
      </c>
      <c r="DK1396" s="65">
        <f>IFERROR($J1396/$J1397-1,"")</f>
        <v/>
      </c>
      <c r="DL1396" s="64">
        <f>$L1396-$L1397</f>
        <v/>
      </c>
      <c r="DM1396" s="64">
        <f>$K1396-$K1397</f>
        <v/>
      </c>
      <c r="DN1396" s="65">
        <f>IFERROR($N1396/$N1397-1,"")</f>
        <v/>
      </c>
      <c r="DO1396" s="65">
        <f>IFERROR($M1396/$M1397-1,"")</f>
        <v/>
      </c>
      <c r="DP1396" s="65">
        <f>IFERROR($AZ1396/$AZ1397-1,"")</f>
        <v/>
      </c>
      <c r="DQ1396" s="65">
        <f>IFERROR($BA1396/$BA1397-1,"")</f>
        <v/>
      </c>
      <c r="DR1396" s="64">
        <f>$O1396-$O1397</f>
        <v/>
      </c>
      <c r="DS1396" s="64">
        <f>$P1396-$P1397</f>
        <v/>
      </c>
      <c r="DT1396" s="64">
        <f>$Q1396-$Q1397</f>
        <v/>
      </c>
      <c r="DU1396" s="64">
        <f>$S1396-$S1397</f>
        <v/>
      </c>
      <c r="DV1396" s="65">
        <f>IFERROR(AVERAGE($AA1397/$AA1396-1,$AB1397/$AB1396-1,$AC1397/$AC1396-1,$AD1397/$AD1396-1,$AE1397/$AE1396-1,$AG1397/$AG1396-1,$AH1397/$AH1396-1,$AI1397/$AI1396-1,$AJ1397/$AJ1396-1,$AL1397/$AL1396-1,$AM1397/$AM1396-1,$AR1397/$AR1396-1,$AS1397/$AS1396-1,$AT1397/$AT1396-1,$AU1397/$AU1396-1,$AV1397/$AV1396-1,$AW1397/$AW1396-1,$AX1397/$AX1396-1,$AY1397/$AY1396-1),"")</f>
        <v/>
      </c>
      <c r="DW1396" s="66">
        <f>AVERAGE($CB1396,$CC1396,$CD1396,$CE1396,$CF1396,$CG1396,$CH1396,$CI1396,$CJ1396,$CL1396,$CM1396,$CN1396,$CO1396,$CP1396,$CQ1396,$CR1396,$CS1396,$CT1396)</f>
        <v/>
      </c>
      <c r="DX1396" s="66">
        <f>AVERAGE($CB1396,$CC1396,$CM1396,$CE1396,$CP1396)</f>
        <v/>
      </c>
      <c r="DY1396" s="64">
        <f>($DW1396-$DW1397)*100</f>
        <v/>
      </c>
      <c r="DZ1396" s="64">
        <f>($DX1396-$DX1397)*100</f>
        <v/>
      </c>
      <c r="EA1396" s="64">
        <f>($DW1396-$D1396)*100</f>
        <v/>
      </c>
      <c r="EB1396" s="64">
        <f>$Q1396-$O1396</f>
        <v/>
      </c>
      <c r="EC1396" s="67">
        <f>IFERROR($Q1396/$P1396,"")</f>
        <v/>
      </c>
    </row>
    <row r="1397">
      <c r="DG1397" s="64">
        <f>($B1397-$B1398)*100</f>
        <v/>
      </c>
      <c r="DH1397" s="64">
        <f>($D1397-$D1398)*100</f>
        <v/>
      </c>
      <c r="DI1397" s="64">
        <f>($E1397-$E1398)*100</f>
        <v/>
      </c>
      <c r="DJ1397" s="64">
        <f>($H1397-$H1398)*100</f>
        <v/>
      </c>
      <c r="DK1397" s="65">
        <f>IFERROR($J1397/$J1398-1,"")</f>
        <v/>
      </c>
      <c r="DL1397" s="64">
        <f>$L1397-$L1398</f>
        <v/>
      </c>
      <c r="DM1397" s="64">
        <f>$K1397-$K1398</f>
        <v/>
      </c>
      <c r="DN1397" s="65">
        <f>IFERROR($N1397/$N1398-1,"")</f>
        <v/>
      </c>
      <c r="DO1397" s="65">
        <f>IFERROR($M1397/$M1398-1,"")</f>
        <v/>
      </c>
      <c r="DP1397" s="65">
        <f>IFERROR($AZ1397/$AZ1398-1,"")</f>
        <v/>
      </c>
      <c r="DQ1397" s="65">
        <f>IFERROR($BA1397/$BA1398-1,"")</f>
        <v/>
      </c>
      <c r="DR1397" s="64">
        <f>$O1397-$O1398</f>
        <v/>
      </c>
      <c r="DS1397" s="64">
        <f>$P1397-$P1398</f>
        <v/>
      </c>
      <c r="DT1397" s="64">
        <f>$Q1397-$Q1398</f>
        <v/>
      </c>
      <c r="DU1397" s="64">
        <f>$S1397-$S1398</f>
        <v/>
      </c>
      <c r="DV1397" s="65">
        <f>IFERROR(AVERAGE($AA1398/$AA1397-1,$AB1398/$AB1397-1,$AC1398/$AC1397-1,$AD1398/$AD1397-1,$AE1398/$AE1397-1,$AG1398/$AG1397-1,$AH1398/$AH1397-1,$AI1398/$AI1397-1,$AJ1398/$AJ1397-1,$AL1398/$AL1397-1,$AM1398/$AM1397-1,$AR1398/$AR1397-1,$AS1398/$AS1397-1,$AT1398/$AT1397-1,$AU1398/$AU1397-1,$AV1398/$AV1397-1,$AW1398/$AW1397-1,$AX1398/$AX1397-1,$AY1398/$AY1397-1),"")</f>
        <v/>
      </c>
      <c r="DW1397" s="66">
        <f>AVERAGE($CB1397,$CC1397,$CD1397,$CE1397,$CF1397,$CG1397,$CH1397,$CI1397,$CJ1397,$CL1397,$CM1397,$CN1397,$CO1397,$CP1397,$CQ1397,$CR1397,$CS1397,$CT1397)</f>
        <v/>
      </c>
      <c r="DX1397" s="66">
        <f>AVERAGE($CB1397,$CC1397,$CM1397,$CE1397,$CP1397)</f>
        <v/>
      </c>
      <c r="DY1397" s="64">
        <f>($DW1397-$DW1398)*100</f>
        <v/>
      </c>
      <c r="DZ1397" s="64">
        <f>($DX1397-$DX1398)*100</f>
        <v/>
      </c>
      <c r="EA1397" s="64">
        <f>($DW1397-$D1397)*100</f>
        <v/>
      </c>
      <c r="EB1397" s="64">
        <f>$Q1397-$O1397</f>
        <v/>
      </c>
      <c r="EC1397" s="67">
        <f>IFERROR($Q1397/$P1397,"")</f>
        <v/>
      </c>
    </row>
    <row r="1398">
      <c r="DG1398" s="64">
        <f>($B1398-$B1399)*100</f>
        <v/>
      </c>
      <c r="DH1398" s="64">
        <f>($D1398-$D1399)*100</f>
        <v/>
      </c>
      <c r="DI1398" s="64">
        <f>($E1398-$E1399)*100</f>
        <v/>
      </c>
      <c r="DJ1398" s="64">
        <f>($H1398-$H1399)*100</f>
        <v/>
      </c>
      <c r="DK1398" s="65">
        <f>IFERROR($J1398/$J1399-1,"")</f>
        <v/>
      </c>
      <c r="DL1398" s="64">
        <f>$L1398-$L1399</f>
        <v/>
      </c>
      <c r="DM1398" s="64">
        <f>$K1398-$K1399</f>
        <v/>
      </c>
      <c r="DN1398" s="65">
        <f>IFERROR($N1398/$N1399-1,"")</f>
        <v/>
      </c>
      <c r="DO1398" s="65">
        <f>IFERROR($M1398/$M1399-1,"")</f>
        <v/>
      </c>
      <c r="DP1398" s="65">
        <f>IFERROR($AZ1398/$AZ1399-1,"")</f>
        <v/>
      </c>
      <c r="DQ1398" s="65">
        <f>IFERROR($BA1398/$BA1399-1,"")</f>
        <v/>
      </c>
      <c r="DR1398" s="64">
        <f>$O1398-$O1399</f>
        <v/>
      </c>
      <c r="DS1398" s="64">
        <f>$P1398-$P1399</f>
        <v/>
      </c>
      <c r="DT1398" s="64">
        <f>$Q1398-$Q1399</f>
        <v/>
      </c>
      <c r="DU1398" s="64">
        <f>$S1398-$S1399</f>
        <v/>
      </c>
      <c r="DV1398" s="65">
        <f>IFERROR(AVERAGE($AA1399/$AA1398-1,$AB1399/$AB1398-1,$AC1399/$AC1398-1,$AD1399/$AD1398-1,$AE1399/$AE1398-1,$AG1399/$AG1398-1,$AH1399/$AH1398-1,$AI1399/$AI1398-1,$AJ1399/$AJ1398-1,$AL1399/$AL1398-1,$AM1399/$AM1398-1,$AR1399/$AR1398-1,$AS1399/$AS1398-1,$AT1399/$AT1398-1,$AU1399/$AU1398-1,$AV1399/$AV1398-1,$AW1399/$AW1398-1,$AX1399/$AX1398-1,$AY1399/$AY1398-1),"")</f>
        <v/>
      </c>
      <c r="DW1398" s="66">
        <f>AVERAGE($CB1398,$CC1398,$CD1398,$CE1398,$CF1398,$CG1398,$CH1398,$CI1398,$CJ1398,$CL1398,$CM1398,$CN1398,$CO1398,$CP1398,$CQ1398,$CR1398,$CS1398,$CT1398)</f>
        <v/>
      </c>
      <c r="DX1398" s="66">
        <f>AVERAGE($CB1398,$CC1398,$CM1398,$CE1398,$CP1398)</f>
        <v/>
      </c>
      <c r="DY1398" s="64">
        <f>($DW1398-$DW1399)*100</f>
        <v/>
      </c>
      <c r="DZ1398" s="64">
        <f>($DX1398-$DX1399)*100</f>
        <v/>
      </c>
      <c r="EA1398" s="64">
        <f>($DW1398-$D1398)*100</f>
        <v/>
      </c>
      <c r="EB1398" s="64">
        <f>$Q1398-$O1398</f>
        <v/>
      </c>
      <c r="EC1398" s="67">
        <f>IFERROR($Q1398/$P1398,"")</f>
        <v/>
      </c>
    </row>
    <row r="1399">
      <c r="DG1399" s="64">
        <f>($B1399-$B1400)*100</f>
        <v/>
      </c>
      <c r="DH1399" s="64">
        <f>($D1399-$D1400)*100</f>
        <v/>
      </c>
      <c r="DI1399" s="64">
        <f>($E1399-$E1400)*100</f>
        <v/>
      </c>
      <c r="DJ1399" s="64">
        <f>($H1399-$H1400)*100</f>
        <v/>
      </c>
      <c r="DK1399" s="65">
        <f>IFERROR($J1399/$J1400-1,"")</f>
        <v/>
      </c>
      <c r="DL1399" s="64">
        <f>$L1399-$L1400</f>
        <v/>
      </c>
      <c r="DM1399" s="64">
        <f>$K1399-$K1400</f>
        <v/>
      </c>
      <c r="DN1399" s="65">
        <f>IFERROR($N1399/$N1400-1,"")</f>
        <v/>
      </c>
      <c r="DO1399" s="65">
        <f>IFERROR($M1399/$M1400-1,"")</f>
        <v/>
      </c>
      <c r="DP1399" s="65">
        <f>IFERROR($AZ1399/$AZ1400-1,"")</f>
        <v/>
      </c>
      <c r="DQ1399" s="65">
        <f>IFERROR($BA1399/$BA1400-1,"")</f>
        <v/>
      </c>
      <c r="DR1399" s="64">
        <f>$O1399-$O1400</f>
        <v/>
      </c>
      <c r="DS1399" s="64">
        <f>$P1399-$P1400</f>
        <v/>
      </c>
      <c r="DT1399" s="64">
        <f>$Q1399-$Q1400</f>
        <v/>
      </c>
      <c r="DU1399" s="64">
        <f>$S1399-$S1400</f>
        <v/>
      </c>
      <c r="DV1399" s="65">
        <f>IFERROR(AVERAGE($AA1400/$AA1399-1,$AB1400/$AB1399-1,$AC1400/$AC1399-1,$AD1400/$AD1399-1,$AE1400/$AE1399-1,$AG1400/$AG1399-1,$AH1400/$AH1399-1,$AI1400/$AI1399-1,$AJ1400/$AJ1399-1,$AL1400/$AL1399-1,$AM1400/$AM1399-1,$AR1400/$AR1399-1,$AS1400/$AS1399-1,$AT1400/$AT1399-1,$AU1400/$AU1399-1,$AV1400/$AV1399-1,$AW1400/$AW1399-1,$AX1400/$AX1399-1,$AY1400/$AY1399-1),"")</f>
        <v/>
      </c>
      <c r="DW1399" s="66">
        <f>AVERAGE($CB1399,$CC1399,$CD1399,$CE1399,$CF1399,$CG1399,$CH1399,$CI1399,$CJ1399,$CL1399,$CM1399,$CN1399,$CO1399,$CP1399,$CQ1399,$CR1399,$CS1399,$CT1399)</f>
        <v/>
      </c>
      <c r="DX1399" s="66">
        <f>AVERAGE($CB1399,$CC1399,$CM1399,$CE1399,$CP1399)</f>
        <v/>
      </c>
      <c r="DY1399" s="64">
        <f>($DW1399-$DW1400)*100</f>
        <v/>
      </c>
      <c r="DZ1399" s="64">
        <f>($DX1399-$DX1400)*100</f>
        <v/>
      </c>
      <c r="EA1399" s="64">
        <f>($DW1399-$D1399)*100</f>
        <v/>
      </c>
      <c r="EB1399" s="64">
        <f>$Q1399-$O1399</f>
        <v/>
      </c>
      <c r="EC1399" s="67">
        <f>IFERROR($Q1399/$P1399,"")</f>
        <v/>
      </c>
    </row>
    <row r="1400">
      <c r="DG1400" s="64">
        <f>($B1400-$B1401)*100</f>
        <v/>
      </c>
      <c r="DH1400" s="64">
        <f>($D1400-$D1401)*100</f>
        <v/>
      </c>
      <c r="DI1400" s="64">
        <f>($E1400-$E1401)*100</f>
        <v/>
      </c>
      <c r="DJ1400" s="64">
        <f>($H1400-$H1401)*100</f>
        <v/>
      </c>
      <c r="DK1400" s="65">
        <f>IFERROR($J1400/$J1401-1,"")</f>
        <v/>
      </c>
      <c r="DL1400" s="64">
        <f>$L1400-$L1401</f>
        <v/>
      </c>
      <c r="DM1400" s="64">
        <f>$K1400-$K1401</f>
        <v/>
      </c>
      <c r="DN1400" s="65">
        <f>IFERROR($N1400/$N1401-1,"")</f>
        <v/>
      </c>
      <c r="DO1400" s="65">
        <f>IFERROR($M1400/$M1401-1,"")</f>
        <v/>
      </c>
      <c r="DP1400" s="65">
        <f>IFERROR($AZ1400/$AZ1401-1,"")</f>
        <v/>
      </c>
      <c r="DQ1400" s="65">
        <f>IFERROR($BA1400/$BA1401-1,"")</f>
        <v/>
      </c>
      <c r="DR1400" s="64">
        <f>$O1400-$O1401</f>
        <v/>
      </c>
      <c r="DS1400" s="64">
        <f>$P1400-$P1401</f>
        <v/>
      </c>
      <c r="DT1400" s="64">
        <f>$Q1400-$Q1401</f>
        <v/>
      </c>
      <c r="DU1400" s="64">
        <f>$S1400-$S1401</f>
        <v/>
      </c>
      <c r="DV1400" s="65">
        <f>IFERROR(AVERAGE($AA1401/$AA1400-1,$AB1401/$AB1400-1,$AC1401/$AC1400-1,$AD1401/$AD1400-1,$AE1401/$AE1400-1,$AG1401/$AG1400-1,$AH1401/$AH1400-1,$AI1401/$AI1400-1,$AJ1401/$AJ1400-1,$AL1401/$AL1400-1,$AM1401/$AM1400-1,$AR1401/$AR1400-1,$AS1401/$AS1400-1,$AT1401/$AT1400-1,$AU1401/$AU1400-1,$AV1401/$AV1400-1,$AW1401/$AW1400-1,$AX1401/$AX1400-1,$AY1401/$AY1400-1),"")</f>
        <v/>
      </c>
      <c r="DW1400" s="66">
        <f>AVERAGE($CB1400,$CC1400,$CD1400,$CE1400,$CF1400,$CG1400,$CH1400,$CI1400,$CJ1400,$CL1400,$CM1400,$CN1400,$CO1400,$CP1400,$CQ1400,$CR1400,$CS1400,$CT1400)</f>
        <v/>
      </c>
      <c r="DX1400" s="66">
        <f>AVERAGE($CB1400,$CC1400,$CM1400,$CE1400,$CP1400)</f>
        <v/>
      </c>
      <c r="DY1400" s="64">
        <f>($DW1400-$DW1401)*100</f>
        <v/>
      </c>
      <c r="DZ1400" s="64">
        <f>($DX1400-$DX1401)*100</f>
        <v/>
      </c>
      <c r="EA1400" s="64">
        <f>($DW1400-$D1400)*100</f>
        <v/>
      </c>
      <c r="EB1400" s="64">
        <f>$Q1400-$O1400</f>
        <v/>
      </c>
      <c r="EC1400" s="67">
        <f>IFERROR($Q1400/$P1400,"")</f>
        <v/>
      </c>
    </row>
    <row r="1401">
      <c r="DG1401" s="64">
        <f>($B1401-$B1402)*100</f>
        <v/>
      </c>
      <c r="DH1401" s="64">
        <f>($D1401-$D1402)*100</f>
        <v/>
      </c>
      <c r="DI1401" s="64">
        <f>($E1401-$E1402)*100</f>
        <v/>
      </c>
      <c r="DJ1401" s="64">
        <f>($H1401-$H1402)*100</f>
        <v/>
      </c>
      <c r="DK1401" s="65">
        <f>IFERROR($J1401/$J1402-1,"")</f>
        <v/>
      </c>
      <c r="DL1401" s="64">
        <f>$L1401-$L1402</f>
        <v/>
      </c>
      <c r="DM1401" s="64">
        <f>$K1401-$K1402</f>
        <v/>
      </c>
      <c r="DN1401" s="65">
        <f>IFERROR($N1401/$N1402-1,"")</f>
        <v/>
      </c>
      <c r="DO1401" s="65">
        <f>IFERROR($M1401/$M1402-1,"")</f>
        <v/>
      </c>
      <c r="DP1401" s="65">
        <f>IFERROR($AZ1401/$AZ1402-1,"")</f>
        <v/>
      </c>
      <c r="DQ1401" s="65">
        <f>IFERROR($BA1401/$BA1402-1,"")</f>
        <v/>
      </c>
      <c r="DR1401" s="64">
        <f>$O1401-$O1402</f>
        <v/>
      </c>
      <c r="DS1401" s="64">
        <f>$P1401-$P1402</f>
        <v/>
      </c>
      <c r="DT1401" s="64">
        <f>$Q1401-$Q1402</f>
        <v/>
      </c>
      <c r="DU1401" s="64">
        <f>$S1401-$S1402</f>
        <v/>
      </c>
      <c r="DV1401" s="65">
        <f>IFERROR(AVERAGE($AA1402/$AA1401-1,$AB1402/$AB1401-1,$AC1402/$AC1401-1,$AD1402/$AD1401-1,$AE1402/$AE1401-1,$AG1402/$AG1401-1,$AH1402/$AH1401-1,$AI1402/$AI1401-1,$AJ1402/$AJ1401-1,$AL1402/$AL1401-1,$AM1402/$AM1401-1,$AR1402/$AR1401-1,$AS1402/$AS1401-1,$AT1402/$AT1401-1,$AU1402/$AU1401-1,$AV1402/$AV1401-1,$AW1402/$AW1401-1,$AX1402/$AX1401-1,$AY1402/$AY1401-1),"")</f>
        <v/>
      </c>
      <c r="DW1401" s="66">
        <f>AVERAGE($CB1401,$CC1401,$CD1401,$CE1401,$CF1401,$CG1401,$CH1401,$CI1401,$CJ1401,$CL1401,$CM1401,$CN1401,$CO1401,$CP1401,$CQ1401,$CR1401,$CS1401,$CT1401)</f>
        <v/>
      </c>
      <c r="DX1401" s="66">
        <f>AVERAGE($CB1401,$CC1401,$CM1401,$CE1401,$CP1401)</f>
        <v/>
      </c>
      <c r="DY1401" s="64">
        <f>($DW1401-$DW1402)*100</f>
        <v/>
      </c>
      <c r="DZ1401" s="64">
        <f>($DX1401-$DX1402)*100</f>
        <v/>
      </c>
      <c r="EA1401" s="64">
        <f>($DW1401-$D1401)*100</f>
        <v/>
      </c>
      <c r="EB1401" s="64">
        <f>$Q1401-$O1401</f>
        <v/>
      </c>
      <c r="EC1401" s="67">
        <f>IFERROR($Q1401/$P1401,"")</f>
        <v/>
      </c>
    </row>
    <row r="1402">
      <c r="DG1402" s="64">
        <f>($B1402-$B1403)*100</f>
        <v/>
      </c>
      <c r="DH1402" s="64">
        <f>($D1402-$D1403)*100</f>
        <v/>
      </c>
      <c r="DI1402" s="64">
        <f>($E1402-$E1403)*100</f>
        <v/>
      </c>
      <c r="DJ1402" s="64">
        <f>($H1402-$H1403)*100</f>
        <v/>
      </c>
      <c r="DK1402" s="65">
        <f>IFERROR($J1402/$J1403-1,"")</f>
        <v/>
      </c>
      <c r="DL1402" s="64">
        <f>$L1402-$L1403</f>
        <v/>
      </c>
      <c r="DM1402" s="64">
        <f>$K1402-$K1403</f>
        <v/>
      </c>
      <c r="DN1402" s="65">
        <f>IFERROR($N1402/$N1403-1,"")</f>
        <v/>
      </c>
      <c r="DO1402" s="65">
        <f>IFERROR($M1402/$M1403-1,"")</f>
        <v/>
      </c>
      <c r="DP1402" s="65">
        <f>IFERROR($AZ1402/$AZ1403-1,"")</f>
        <v/>
      </c>
      <c r="DQ1402" s="65">
        <f>IFERROR($BA1402/$BA1403-1,"")</f>
        <v/>
      </c>
      <c r="DR1402" s="64">
        <f>$O1402-$O1403</f>
        <v/>
      </c>
      <c r="DS1402" s="64">
        <f>$P1402-$P1403</f>
        <v/>
      </c>
      <c r="DT1402" s="64">
        <f>$Q1402-$Q1403</f>
        <v/>
      </c>
      <c r="DU1402" s="64">
        <f>$S1402-$S1403</f>
        <v/>
      </c>
      <c r="DV1402" s="65">
        <f>IFERROR(AVERAGE($AA1403/$AA1402-1,$AB1403/$AB1402-1,$AC1403/$AC1402-1,$AD1403/$AD1402-1,$AE1403/$AE1402-1,$AG1403/$AG1402-1,$AH1403/$AH1402-1,$AI1403/$AI1402-1,$AJ1403/$AJ1402-1,$AL1403/$AL1402-1,$AM1403/$AM1402-1,$AR1403/$AR1402-1,$AS1403/$AS1402-1,$AT1403/$AT1402-1,$AU1403/$AU1402-1,$AV1403/$AV1402-1,$AW1403/$AW1402-1,$AX1403/$AX1402-1,$AY1403/$AY1402-1),"")</f>
        <v/>
      </c>
      <c r="DW1402" s="66">
        <f>AVERAGE($CB1402,$CC1402,$CD1402,$CE1402,$CF1402,$CG1402,$CH1402,$CI1402,$CJ1402,$CL1402,$CM1402,$CN1402,$CO1402,$CP1402,$CQ1402,$CR1402,$CS1402,$CT1402)</f>
        <v/>
      </c>
      <c r="DX1402" s="66">
        <f>AVERAGE($CB1402,$CC1402,$CM1402,$CE1402,$CP1402)</f>
        <v/>
      </c>
      <c r="DY1402" s="64">
        <f>($DW1402-$DW1403)*100</f>
        <v/>
      </c>
      <c r="DZ1402" s="64">
        <f>($DX1402-$DX1403)*100</f>
        <v/>
      </c>
      <c r="EA1402" s="64">
        <f>($DW1402-$D1402)*100</f>
        <v/>
      </c>
      <c r="EB1402" s="64">
        <f>$Q1402-$O1402</f>
        <v/>
      </c>
      <c r="EC1402" s="67">
        <f>IFERROR($Q1402/$P1402,"")</f>
        <v/>
      </c>
    </row>
    <row r="1403">
      <c r="DG1403" s="64">
        <f>($B1403-$B1404)*100</f>
        <v/>
      </c>
      <c r="DH1403" s="64">
        <f>($D1403-$D1404)*100</f>
        <v/>
      </c>
      <c r="DI1403" s="64">
        <f>($E1403-$E1404)*100</f>
        <v/>
      </c>
      <c r="DJ1403" s="64">
        <f>($H1403-$H1404)*100</f>
        <v/>
      </c>
      <c r="DK1403" s="65">
        <f>IFERROR($J1403/$J1404-1,"")</f>
        <v/>
      </c>
      <c r="DL1403" s="64">
        <f>$L1403-$L1404</f>
        <v/>
      </c>
      <c r="DM1403" s="64">
        <f>$K1403-$K1404</f>
        <v/>
      </c>
      <c r="DN1403" s="65">
        <f>IFERROR($N1403/$N1404-1,"")</f>
        <v/>
      </c>
      <c r="DO1403" s="65">
        <f>IFERROR($M1403/$M1404-1,"")</f>
        <v/>
      </c>
      <c r="DP1403" s="65">
        <f>IFERROR($AZ1403/$AZ1404-1,"")</f>
        <v/>
      </c>
      <c r="DQ1403" s="65">
        <f>IFERROR($BA1403/$BA1404-1,"")</f>
        <v/>
      </c>
      <c r="DR1403" s="64">
        <f>$O1403-$O1404</f>
        <v/>
      </c>
      <c r="DS1403" s="64">
        <f>$P1403-$P1404</f>
        <v/>
      </c>
      <c r="DT1403" s="64">
        <f>$Q1403-$Q1404</f>
        <v/>
      </c>
      <c r="DU1403" s="64">
        <f>$S1403-$S1404</f>
        <v/>
      </c>
      <c r="DV1403" s="65">
        <f>IFERROR(AVERAGE($AA1404/$AA1403-1,$AB1404/$AB1403-1,$AC1404/$AC1403-1,$AD1404/$AD1403-1,$AE1404/$AE1403-1,$AG1404/$AG1403-1,$AH1404/$AH1403-1,$AI1404/$AI1403-1,$AJ1404/$AJ1403-1,$AL1404/$AL1403-1,$AM1404/$AM1403-1,$AR1404/$AR1403-1,$AS1404/$AS1403-1,$AT1404/$AT1403-1,$AU1404/$AU1403-1,$AV1404/$AV1403-1,$AW1404/$AW1403-1,$AX1404/$AX1403-1,$AY1404/$AY1403-1),"")</f>
        <v/>
      </c>
      <c r="DW1403" s="66">
        <f>AVERAGE($CB1403,$CC1403,$CD1403,$CE1403,$CF1403,$CG1403,$CH1403,$CI1403,$CJ1403,$CL1403,$CM1403,$CN1403,$CO1403,$CP1403,$CQ1403,$CR1403,$CS1403,$CT1403)</f>
        <v/>
      </c>
      <c r="DX1403" s="66">
        <f>AVERAGE($CB1403,$CC1403,$CM1403,$CE1403,$CP1403)</f>
        <v/>
      </c>
      <c r="DY1403" s="64">
        <f>($DW1403-$DW1404)*100</f>
        <v/>
      </c>
      <c r="DZ1403" s="64">
        <f>($DX1403-$DX1404)*100</f>
        <v/>
      </c>
      <c r="EA1403" s="64">
        <f>($DW1403-$D1403)*100</f>
        <v/>
      </c>
      <c r="EB1403" s="64">
        <f>$Q1403-$O1403</f>
        <v/>
      </c>
      <c r="EC1403" s="67">
        <f>IFERROR($Q1403/$P1403,"")</f>
        <v/>
      </c>
    </row>
    <row r="1404">
      <c r="DG1404" s="64">
        <f>($B1404-$B1405)*100</f>
        <v/>
      </c>
      <c r="DH1404" s="64">
        <f>($D1404-$D1405)*100</f>
        <v/>
      </c>
      <c r="DI1404" s="64">
        <f>($E1404-$E1405)*100</f>
        <v/>
      </c>
      <c r="DJ1404" s="64">
        <f>($H1404-$H1405)*100</f>
        <v/>
      </c>
      <c r="DK1404" s="65">
        <f>IFERROR($J1404/$J1405-1,"")</f>
        <v/>
      </c>
      <c r="DL1404" s="64">
        <f>$L1404-$L1405</f>
        <v/>
      </c>
      <c r="DM1404" s="64">
        <f>$K1404-$K1405</f>
        <v/>
      </c>
      <c r="DN1404" s="65">
        <f>IFERROR($N1404/$N1405-1,"")</f>
        <v/>
      </c>
      <c r="DO1404" s="65">
        <f>IFERROR($M1404/$M1405-1,"")</f>
        <v/>
      </c>
      <c r="DP1404" s="65">
        <f>IFERROR($AZ1404/$AZ1405-1,"")</f>
        <v/>
      </c>
      <c r="DQ1404" s="65">
        <f>IFERROR($BA1404/$BA1405-1,"")</f>
        <v/>
      </c>
      <c r="DR1404" s="64">
        <f>$O1404-$O1405</f>
        <v/>
      </c>
      <c r="DS1404" s="64">
        <f>$P1404-$P1405</f>
        <v/>
      </c>
      <c r="DT1404" s="64">
        <f>$Q1404-$Q1405</f>
        <v/>
      </c>
      <c r="DU1404" s="64">
        <f>$S1404-$S1405</f>
        <v/>
      </c>
      <c r="DV1404" s="65">
        <f>IFERROR(AVERAGE($AA1405/$AA1404-1,$AB1405/$AB1404-1,$AC1405/$AC1404-1,$AD1405/$AD1404-1,$AE1405/$AE1404-1,$AG1405/$AG1404-1,$AH1405/$AH1404-1,$AI1405/$AI1404-1,$AJ1405/$AJ1404-1,$AL1405/$AL1404-1,$AM1405/$AM1404-1,$AR1405/$AR1404-1,$AS1405/$AS1404-1,$AT1405/$AT1404-1,$AU1405/$AU1404-1,$AV1405/$AV1404-1,$AW1405/$AW1404-1,$AX1405/$AX1404-1,$AY1405/$AY1404-1),"")</f>
        <v/>
      </c>
      <c r="DW1404" s="66">
        <f>AVERAGE($CB1404,$CC1404,$CD1404,$CE1404,$CF1404,$CG1404,$CH1404,$CI1404,$CJ1404,$CL1404,$CM1404,$CN1404,$CO1404,$CP1404,$CQ1404,$CR1404,$CS1404,$CT1404)</f>
        <v/>
      </c>
      <c r="DX1404" s="66">
        <f>AVERAGE($CB1404,$CC1404,$CM1404,$CE1404,$CP1404)</f>
        <v/>
      </c>
      <c r="DY1404" s="64">
        <f>($DW1404-$DW1405)*100</f>
        <v/>
      </c>
      <c r="DZ1404" s="64">
        <f>($DX1404-$DX1405)*100</f>
        <v/>
      </c>
      <c r="EA1404" s="64">
        <f>($DW1404-$D1404)*100</f>
        <v/>
      </c>
      <c r="EB1404" s="64">
        <f>$Q1404-$O1404</f>
        <v/>
      </c>
      <c r="EC1404" s="67">
        <f>IFERROR($Q1404/$P1404,"")</f>
        <v/>
      </c>
    </row>
    <row r="1405">
      <c r="DG1405" s="64">
        <f>($B1405-$B1406)*100</f>
        <v/>
      </c>
      <c r="DH1405" s="64">
        <f>($D1405-$D1406)*100</f>
        <v/>
      </c>
      <c r="DI1405" s="64">
        <f>($E1405-$E1406)*100</f>
        <v/>
      </c>
      <c r="DJ1405" s="64">
        <f>($H1405-$H1406)*100</f>
        <v/>
      </c>
      <c r="DK1405" s="65">
        <f>IFERROR($J1405/$J1406-1,"")</f>
        <v/>
      </c>
      <c r="DL1405" s="64">
        <f>$L1405-$L1406</f>
        <v/>
      </c>
      <c r="DM1405" s="64">
        <f>$K1405-$K1406</f>
        <v/>
      </c>
      <c r="DN1405" s="65">
        <f>IFERROR($N1405/$N1406-1,"")</f>
        <v/>
      </c>
      <c r="DO1405" s="65">
        <f>IFERROR($M1405/$M1406-1,"")</f>
        <v/>
      </c>
      <c r="DP1405" s="65">
        <f>IFERROR($AZ1405/$AZ1406-1,"")</f>
        <v/>
      </c>
      <c r="DQ1405" s="65">
        <f>IFERROR($BA1405/$BA1406-1,"")</f>
        <v/>
      </c>
      <c r="DR1405" s="64">
        <f>$O1405-$O1406</f>
        <v/>
      </c>
      <c r="DS1405" s="64">
        <f>$P1405-$P1406</f>
        <v/>
      </c>
      <c r="DT1405" s="64">
        <f>$Q1405-$Q1406</f>
        <v/>
      </c>
      <c r="DU1405" s="64">
        <f>$S1405-$S1406</f>
        <v/>
      </c>
      <c r="DV1405" s="65">
        <f>IFERROR(AVERAGE($AA1406/$AA1405-1,$AB1406/$AB1405-1,$AC1406/$AC1405-1,$AD1406/$AD1405-1,$AE1406/$AE1405-1,$AG1406/$AG1405-1,$AH1406/$AH1405-1,$AI1406/$AI1405-1,$AJ1406/$AJ1405-1,$AL1406/$AL1405-1,$AM1406/$AM1405-1,$AR1406/$AR1405-1,$AS1406/$AS1405-1,$AT1406/$AT1405-1,$AU1406/$AU1405-1,$AV1406/$AV1405-1,$AW1406/$AW1405-1,$AX1406/$AX1405-1,$AY1406/$AY1405-1),"")</f>
        <v/>
      </c>
      <c r="DW1405" s="66">
        <f>AVERAGE($CB1405,$CC1405,$CD1405,$CE1405,$CF1405,$CG1405,$CH1405,$CI1405,$CJ1405,$CL1405,$CM1405,$CN1405,$CO1405,$CP1405,$CQ1405,$CR1405,$CS1405,$CT1405)</f>
        <v/>
      </c>
      <c r="DX1405" s="66">
        <f>AVERAGE($CB1405,$CC1405,$CM1405,$CE1405,$CP1405)</f>
        <v/>
      </c>
      <c r="DY1405" s="64">
        <f>($DW1405-$DW1406)*100</f>
        <v/>
      </c>
      <c r="DZ1405" s="64">
        <f>($DX1405-$DX1406)*100</f>
        <v/>
      </c>
      <c r="EA1405" s="64">
        <f>($DW1405-$D1405)*100</f>
        <v/>
      </c>
      <c r="EB1405" s="64">
        <f>$Q1405-$O1405</f>
        <v/>
      </c>
      <c r="EC1405" s="67">
        <f>IFERROR($Q1405/$P1405,"")</f>
        <v/>
      </c>
    </row>
    <row r="1406">
      <c r="DG1406" s="64">
        <f>($B1406-$B1407)*100</f>
        <v/>
      </c>
      <c r="DH1406" s="64">
        <f>($D1406-$D1407)*100</f>
        <v/>
      </c>
      <c r="DI1406" s="64">
        <f>($E1406-$E1407)*100</f>
        <v/>
      </c>
      <c r="DJ1406" s="64">
        <f>($H1406-$H1407)*100</f>
        <v/>
      </c>
      <c r="DK1406" s="65">
        <f>IFERROR($J1406/$J1407-1,"")</f>
        <v/>
      </c>
      <c r="DL1406" s="64">
        <f>$L1406-$L1407</f>
        <v/>
      </c>
      <c r="DM1406" s="64">
        <f>$K1406-$K1407</f>
        <v/>
      </c>
      <c r="DN1406" s="65">
        <f>IFERROR($N1406/$N1407-1,"")</f>
        <v/>
      </c>
      <c r="DO1406" s="65">
        <f>IFERROR($M1406/$M1407-1,"")</f>
        <v/>
      </c>
      <c r="DP1406" s="65">
        <f>IFERROR($AZ1406/$AZ1407-1,"")</f>
        <v/>
      </c>
      <c r="DQ1406" s="65">
        <f>IFERROR($BA1406/$BA1407-1,"")</f>
        <v/>
      </c>
      <c r="DR1406" s="64">
        <f>$O1406-$O1407</f>
        <v/>
      </c>
      <c r="DS1406" s="64">
        <f>$P1406-$P1407</f>
        <v/>
      </c>
      <c r="DT1406" s="64">
        <f>$Q1406-$Q1407</f>
        <v/>
      </c>
      <c r="DU1406" s="64">
        <f>$S1406-$S1407</f>
        <v/>
      </c>
      <c r="DV1406" s="65">
        <f>IFERROR(AVERAGE($AA1407/$AA1406-1,$AB1407/$AB1406-1,$AC1407/$AC1406-1,$AD1407/$AD1406-1,$AE1407/$AE1406-1,$AG1407/$AG1406-1,$AH1407/$AH1406-1,$AI1407/$AI1406-1,$AJ1407/$AJ1406-1,$AL1407/$AL1406-1,$AM1407/$AM1406-1,$AR1407/$AR1406-1,$AS1407/$AS1406-1,$AT1407/$AT1406-1,$AU1407/$AU1406-1,$AV1407/$AV1406-1,$AW1407/$AW1406-1,$AX1407/$AX1406-1,$AY1407/$AY1406-1),"")</f>
        <v/>
      </c>
      <c r="DW1406" s="66">
        <f>AVERAGE($CB1406,$CC1406,$CD1406,$CE1406,$CF1406,$CG1406,$CH1406,$CI1406,$CJ1406,$CL1406,$CM1406,$CN1406,$CO1406,$CP1406,$CQ1406,$CR1406,$CS1406,$CT1406)</f>
        <v/>
      </c>
      <c r="DX1406" s="66">
        <f>AVERAGE($CB1406,$CC1406,$CM1406,$CE1406,$CP1406)</f>
        <v/>
      </c>
      <c r="DY1406" s="64">
        <f>($DW1406-$DW1407)*100</f>
        <v/>
      </c>
      <c r="DZ1406" s="64">
        <f>($DX1406-$DX1407)*100</f>
        <v/>
      </c>
      <c r="EA1406" s="64">
        <f>($DW1406-$D1406)*100</f>
        <v/>
      </c>
      <c r="EB1406" s="64">
        <f>$Q1406-$O1406</f>
        <v/>
      </c>
      <c r="EC1406" s="67">
        <f>IFERROR($Q1406/$P1406,"")</f>
        <v/>
      </c>
    </row>
    <row r="1407">
      <c r="DG1407" s="64">
        <f>($B1407-$B1408)*100</f>
        <v/>
      </c>
      <c r="DH1407" s="64">
        <f>($D1407-$D1408)*100</f>
        <v/>
      </c>
      <c r="DI1407" s="64">
        <f>($E1407-$E1408)*100</f>
        <v/>
      </c>
      <c r="DJ1407" s="64">
        <f>($H1407-$H1408)*100</f>
        <v/>
      </c>
      <c r="DK1407" s="65">
        <f>IFERROR($J1407/$J1408-1,"")</f>
        <v/>
      </c>
      <c r="DL1407" s="64">
        <f>$L1407-$L1408</f>
        <v/>
      </c>
      <c r="DM1407" s="64">
        <f>$K1407-$K1408</f>
        <v/>
      </c>
      <c r="DN1407" s="65">
        <f>IFERROR($N1407/$N1408-1,"")</f>
        <v/>
      </c>
      <c r="DO1407" s="65">
        <f>IFERROR($M1407/$M1408-1,"")</f>
        <v/>
      </c>
      <c r="DP1407" s="65">
        <f>IFERROR($AZ1407/$AZ1408-1,"")</f>
        <v/>
      </c>
      <c r="DQ1407" s="65">
        <f>IFERROR($BA1407/$BA1408-1,"")</f>
        <v/>
      </c>
      <c r="DR1407" s="64">
        <f>$O1407-$O1408</f>
        <v/>
      </c>
      <c r="DS1407" s="64">
        <f>$P1407-$P1408</f>
        <v/>
      </c>
      <c r="DT1407" s="64">
        <f>$Q1407-$Q1408</f>
        <v/>
      </c>
      <c r="DU1407" s="64">
        <f>$S1407-$S1408</f>
        <v/>
      </c>
      <c r="DV1407" s="65">
        <f>IFERROR(AVERAGE($AA1408/$AA1407-1,$AB1408/$AB1407-1,$AC1408/$AC1407-1,$AD1408/$AD1407-1,$AE1408/$AE1407-1,$AG1408/$AG1407-1,$AH1408/$AH1407-1,$AI1408/$AI1407-1,$AJ1408/$AJ1407-1,$AL1408/$AL1407-1,$AM1408/$AM1407-1,$AR1408/$AR1407-1,$AS1408/$AS1407-1,$AT1408/$AT1407-1,$AU1408/$AU1407-1,$AV1408/$AV1407-1,$AW1408/$AW1407-1,$AX1408/$AX1407-1,$AY1408/$AY1407-1),"")</f>
        <v/>
      </c>
      <c r="DW1407" s="66">
        <f>AVERAGE($CB1407,$CC1407,$CD1407,$CE1407,$CF1407,$CG1407,$CH1407,$CI1407,$CJ1407,$CL1407,$CM1407,$CN1407,$CO1407,$CP1407,$CQ1407,$CR1407,$CS1407,$CT1407)</f>
        <v/>
      </c>
      <c r="DX1407" s="66">
        <f>AVERAGE($CB1407,$CC1407,$CM1407,$CE1407,$CP1407)</f>
        <v/>
      </c>
      <c r="DY1407" s="64">
        <f>($DW1407-$DW1408)*100</f>
        <v/>
      </c>
      <c r="DZ1407" s="64">
        <f>($DX1407-$DX1408)*100</f>
        <v/>
      </c>
      <c r="EA1407" s="64">
        <f>($DW1407-$D1407)*100</f>
        <v/>
      </c>
      <c r="EB1407" s="64">
        <f>$Q1407-$O1407</f>
        <v/>
      </c>
      <c r="EC1407" s="67">
        <f>IFERROR($Q1407/$P1407,"")</f>
        <v/>
      </c>
    </row>
    <row r="1408">
      <c r="DG1408" s="64">
        <f>($B1408-$B1409)*100</f>
        <v/>
      </c>
      <c r="DH1408" s="64">
        <f>($D1408-$D1409)*100</f>
        <v/>
      </c>
      <c r="DI1408" s="64">
        <f>($E1408-$E1409)*100</f>
        <v/>
      </c>
      <c r="DJ1408" s="64">
        <f>($H1408-$H1409)*100</f>
        <v/>
      </c>
      <c r="DK1408" s="65">
        <f>IFERROR($J1408/$J1409-1,"")</f>
        <v/>
      </c>
      <c r="DL1408" s="64">
        <f>$L1408-$L1409</f>
        <v/>
      </c>
      <c r="DM1408" s="64">
        <f>$K1408-$K1409</f>
        <v/>
      </c>
      <c r="DN1408" s="65">
        <f>IFERROR($N1408/$N1409-1,"")</f>
        <v/>
      </c>
      <c r="DO1408" s="65">
        <f>IFERROR($M1408/$M1409-1,"")</f>
        <v/>
      </c>
      <c r="DP1408" s="65">
        <f>IFERROR($AZ1408/$AZ1409-1,"")</f>
        <v/>
      </c>
      <c r="DQ1408" s="65">
        <f>IFERROR($BA1408/$BA1409-1,"")</f>
        <v/>
      </c>
      <c r="DR1408" s="64">
        <f>$O1408-$O1409</f>
        <v/>
      </c>
      <c r="DS1408" s="64">
        <f>$P1408-$P1409</f>
        <v/>
      </c>
      <c r="DT1408" s="64">
        <f>$Q1408-$Q1409</f>
        <v/>
      </c>
      <c r="DU1408" s="64">
        <f>$S1408-$S1409</f>
        <v/>
      </c>
      <c r="DV1408" s="65">
        <f>IFERROR(AVERAGE($AA1409/$AA1408-1,$AB1409/$AB1408-1,$AC1409/$AC1408-1,$AD1409/$AD1408-1,$AE1409/$AE1408-1,$AG1409/$AG1408-1,$AH1409/$AH1408-1,$AI1409/$AI1408-1,$AJ1409/$AJ1408-1,$AL1409/$AL1408-1,$AM1409/$AM1408-1,$AR1409/$AR1408-1,$AS1409/$AS1408-1,$AT1409/$AT1408-1,$AU1409/$AU1408-1,$AV1409/$AV1408-1,$AW1409/$AW1408-1,$AX1409/$AX1408-1,$AY1409/$AY1408-1),"")</f>
        <v/>
      </c>
      <c r="DW1408" s="66">
        <f>AVERAGE($CB1408,$CC1408,$CD1408,$CE1408,$CF1408,$CG1408,$CH1408,$CI1408,$CJ1408,$CL1408,$CM1408,$CN1408,$CO1408,$CP1408,$CQ1408,$CR1408,$CS1408,$CT1408)</f>
        <v/>
      </c>
      <c r="DX1408" s="66">
        <f>AVERAGE($CB1408,$CC1408,$CM1408,$CE1408,$CP1408)</f>
        <v/>
      </c>
      <c r="DY1408" s="64">
        <f>($DW1408-$DW1409)*100</f>
        <v/>
      </c>
      <c r="DZ1408" s="64">
        <f>($DX1408-$DX1409)*100</f>
        <v/>
      </c>
      <c r="EA1408" s="64">
        <f>($DW1408-$D1408)*100</f>
        <v/>
      </c>
      <c r="EB1408" s="64">
        <f>$Q1408-$O1408</f>
        <v/>
      </c>
      <c r="EC1408" s="67">
        <f>IFERROR($Q1408/$P1408,"")</f>
        <v/>
      </c>
    </row>
    <row r="1409">
      <c r="DG1409" s="64">
        <f>($B1409-$B1410)*100</f>
        <v/>
      </c>
      <c r="DH1409" s="64">
        <f>($D1409-$D1410)*100</f>
        <v/>
      </c>
      <c r="DI1409" s="64">
        <f>($E1409-$E1410)*100</f>
        <v/>
      </c>
      <c r="DJ1409" s="64">
        <f>($H1409-$H1410)*100</f>
        <v/>
      </c>
      <c r="DK1409" s="65">
        <f>IFERROR($J1409/$J1410-1,"")</f>
        <v/>
      </c>
      <c r="DL1409" s="64">
        <f>$L1409-$L1410</f>
        <v/>
      </c>
      <c r="DM1409" s="64">
        <f>$K1409-$K1410</f>
        <v/>
      </c>
      <c r="DN1409" s="65">
        <f>IFERROR($N1409/$N1410-1,"")</f>
        <v/>
      </c>
      <c r="DO1409" s="65">
        <f>IFERROR($M1409/$M1410-1,"")</f>
        <v/>
      </c>
      <c r="DP1409" s="65">
        <f>IFERROR($AZ1409/$AZ1410-1,"")</f>
        <v/>
      </c>
      <c r="DQ1409" s="65">
        <f>IFERROR($BA1409/$BA1410-1,"")</f>
        <v/>
      </c>
      <c r="DR1409" s="64">
        <f>$O1409-$O1410</f>
        <v/>
      </c>
      <c r="DS1409" s="64">
        <f>$P1409-$P1410</f>
        <v/>
      </c>
      <c r="DT1409" s="64">
        <f>$Q1409-$Q1410</f>
        <v/>
      </c>
      <c r="DU1409" s="64">
        <f>$S1409-$S1410</f>
        <v/>
      </c>
      <c r="DV1409" s="65">
        <f>IFERROR(AVERAGE($AA1410/$AA1409-1,$AB1410/$AB1409-1,$AC1410/$AC1409-1,$AD1410/$AD1409-1,$AE1410/$AE1409-1,$AG1410/$AG1409-1,$AH1410/$AH1409-1,$AI1410/$AI1409-1,$AJ1410/$AJ1409-1,$AL1410/$AL1409-1,$AM1410/$AM1409-1,$AR1410/$AR1409-1,$AS1410/$AS1409-1,$AT1410/$AT1409-1,$AU1410/$AU1409-1,$AV1410/$AV1409-1,$AW1410/$AW1409-1,$AX1410/$AX1409-1,$AY1410/$AY1409-1),"")</f>
        <v/>
      </c>
      <c r="DW1409" s="66">
        <f>AVERAGE($CB1409,$CC1409,$CD1409,$CE1409,$CF1409,$CG1409,$CH1409,$CI1409,$CJ1409,$CL1409,$CM1409,$CN1409,$CO1409,$CP1409,$CQ1409,$CR1409,$CS1409,$CT1409)</f>
        <v/>
      </c>
      <c r="DX1409" s="66">
        <f>AVERAGE($CB1409,$CC1409,$CM1409,$CE1409,$CP1409)</f>
        <v/>
      </c>
      <c r="DY1409" s="64">
        <f>($DW1409-$DW1410)*100</f>
        <v/>
      </c>
      <c r="DZ1409" s="64">
        <f>($DX1409-$DX1410)*100</f>
        <v/>
      </c>
      <c r="EA1409" s="64">
        <f>($DW1409-$D1409)*100</f>
        <v/>
      </c>
      <c r="EB1409" s="64">
        <f>$Q1409-$O1409</f>
        <v/>
      </c>
      <c r="EC1409" s="67">
        <f>IFERROR($Q1409/$P1409,"")</f>
        <v/>
      </c>
    </row>
    <row r="1410">
      <c r="DG1410" s="64">
        <f>($B1410-$B1411)*100</f>
        <v/>
      </c>
      <c r="DH1410" s="64">
        <f>($D1410-$D1411)*100</f>
        <v/>
      </c>
      <c r="DI1410" s="64">
        <f>($E1410-$E1411)*100</f>
        <v/>
      </c>
      <c r="DJ1410" s="64">
        <f>($H1410-$H1411)*100</f>
        <v/>
      </c>
      <c r="DK1410" s="65">
        <f>IFERROR($J1410/$J1411-1,"")</f>
        <v/>
      </c>
      <c r="DL1410" s="64">
        <f>$L1410-$L1411</f>
        <v/>
      </c>
      <c r="DM1410" s="64">
        <f>$K1410-$K1411</f>
        <v/>
      </c>
      <c r="DN1410" s="65">
        <f>IFERROR($N1410/$N1411-1,"")</f>
        <v/>
      </c>
      <c r="DO1410" s="65">
        <f>IFERROR($M1410/$M1411-1,"")</f>
        <v/>
      </c>
      <c r="DP1410" s="65">
        <f>IFERROR($AZ1410/$AZ1411-1,"")</f>
        <v/>
      </c>
      <c r="DQ1410" s="65">
        <f>IFERROR($BA1410/$BA1411-1,"")</f>
        <v/>
      </c>
      <c r="DR1410" s="64">
        <f>$O1410-$O1411</f>
        <v/>
      </c>
      <c r="DS1410" s="64">
        <f>$P1410-$P1411</f>
        <v/>
      </c>
      <c r="DT1410" s="64">
        <f>$Q1410-$Q1411</f>
        <v/>
      </c>
      <c r="DU1410" s="64">
        <f>$S1410-$S1411</f>
        <v/>
      </c>
      <c r="DV1410" s="65">
        <f>IFERROR(AVERAGE($AA1411/$AA1410-1,$AB1411/$AB1410-1,$AC1411/$AC1410-1,$AD1411/$AD1410-1,$AE1411/$AE1410-1,$AG1411/$AG1410-1,$AH1411/$AH1410-1,$AI1411/$AI1410-1,$AJ1411/$AJ1410-1,$AL1411/$AL1410-1,$AM1411/$AM1410-1,$AR1411/$AR1410-1,$AS1411/$AS1410-1,$AT1411/$AT1410-1,$AU1411/$AU1410-1,$AV1411/$AV1410-1,$AW1411/$AW1410-1,$AX1411/$AX1410-1,$AY1411/$AY1410-1),"")</f>
        <v/>
      </c>
      <c r="DW1410" s="66">
        <f>AVERAGE($CB1410,$CC1410,$CD1410,$CE1410,$CF1410,$CG1410,$CH1410,$CI1410,$CJ1410,$CL1410,$CM1410,$CN1410,$CO1410,$CP1410,$CQ1410,$CR1410,$CS1410,$CT1410)</f>
        <v/>
      </c>
      <c r="DX1410" s="66">
        <f>AVERAGE($CB1410,$CC1410,$CM1410,$CE1410,$CP1410)</f>
        <v/>
      </c>
      <c r="DY1410" s="64">
        <f>($DW1410-$DW1411)*100</f>
        <v/>
      </c>
      <c r="DZ1410" s="64">
        <f>($DX1410-$DX1411)*100</f>
        <v/>
      </c>
      <c r="EA1410" s="64">
        <f>($DW1410-$D1410)*100</f>
        <v/>
      </c>
      <c r="EB1410" s="64">
        <f>$Q1410-$O1410</f>
        <v/>
      </c>
      <c r="EC1410" s="67">
        <f>IFERROR($Q1410/$P1410,"")</f>
        <v/>
      </c>
    </row>
    <row r="1411">
      <c r="DG1411" s="64">
        <f>($B1411-$B1412)*100</f>
        <v/>
      </c>
      <c r="DH1411" s="64">
        <f>($D1411-$D1412)*100</f>
        <v/>
      </c>
      <c r="DI1411" s="64">
        <f>($E1411-$E1412)*100</f>
        <v/>
      </c>
      <c r="DJ1411" s="64">
        <f>($H1411-$H1412)*100</f>
        <v/>
      </c>
      <c r="DK1411" s="65">
        <f>IFERROR($J1411/$J1412-1,"")</f>
        <v/>
      </c>
      <c r="DL1411" s="64">
        <f>$L1411-$L1412</f>
        <v/>
      </c>
      <c r="DM1411" s="64">
        <f>$K1411-$K1412</f>
        <v/>
      </c>
      <c r="DN1411" s="65">
        <f>IFERROR($N1411/$N1412-1,"")</f>
        <v/>
      </c>
      <c r="DO1411" s="65">
        <f>IFERROR($M1411/$M1412-1,"")</f>
        <v/>
      </c>
      <c r="DP1411" s="65">
        <f>IFERROR($AZ1411/$AZ1412-1,"")</f>
        <v/>
      </c>
      <c r="DQ1411" s="65">
        <f>IFERROR($BA1411/$BA1412-1,"")</f>
        <v/>
      </c>
      <c r="DR1411" s="64">
        <f>$O1411-$O1412</f>
        <v/>
      </c>
      <c r="DS1411" s="64">
        <f>$P1411-$P1412</f>
        <v/>
      </c>
      <c r="DT1411" s="64">
        <f>$Q1411-$Q1412</f>
        <v/>
      </c>
      <c r="DU1411" s="64">
        <f>$S1411-$S1412</f>
        <v/>
      </c>
      <c r="DV1411" s="65">
        <f>IFERROR(AVERAGE($AA1412/$AA1411-1,$AB1412/$AB1411-1,$AC1412/$AC1411-1,$AD1412/$AD1411-1,$AE1412/$AE1411-1,$AG1412/$AG1411-1,$AH1412/$AH1411-1,$AI1412/$AI1411-1,$AJ1412/$AJ1411-1,$AL1412/$AL1411-1,$AM1412/$AM1411-1,$AR1412/$AR1411-1,$AS1412/$AS1411-1,$AT1412/$AT1411-1,$AU1412/$AU1411-1,$AV1412/$AV1411-1,$AW1412/$AW1411-1,$AX1412/$AX1411-1,$AY1412/$AY1411-1),"")</f>
        <v/>
      </c>
      <c r="DW1411" s="66">
        <f>AVERAGE($CB1411,$CC1411,$CD1411,$CE1411,$CF1411,$CG1411,$CH1411,$CI1411,$CJ1411,$CL1411,$CM1411,$CN1411,$CO1411,$CP1411,$CQ1411,$CR1411,$CS1411,$CT1411)</f>
        <v/>
      </c>
      <c r="DX1411" s="66">
        <f>AVERAGE($CB1411,$CC1411,$CM1411,$CE1411,$CP1411)</f>
        <v/>
      </c>
      <c r="DY1411" s="64">
        <f>($DW1411-$DW1412)*100</f>
        <v/>
      </c>
      <c r="DZ1411" s="64">
        <f>($DX1411-$DX1412)*100</f>
        <v/>
      </c>
      <c r="EA1411" s="64">
        <f>($DW1411-$D1411)*100</f>
        <v/>
      </c>
      <c r="EB1411" s="64">
        <f>$Q1411-$O1411</f>
        <v/>
      </c>
      <c r="EC1411" s="67">
        <f>IFERROR($Q1411/$P1411,"")</f>
        <v/>
      </c>
    </row>
    <row r="1412">
      <c r="DG1412" s="64">
        <f>($B1412-$B1413)*100</f>
        <v/>
      </c>
      <c r="DH1412" s="64">
        <f>($D1412-$D1413)*100</f>
        <v/>
      </c>
      <c r="DI1412" s="64">
        <f>($E1412-$E1413)*100</f>
        <v/>
      </c>
      <c r="DJ1412" s="64">
        <f>($H1412-$H1413)*100</f>
        <v/>
      </c>
      <c r="DK1412" s="65">
        <f>IFERROR($J1412/$J1413-1,"")</f>
        <v/>
      </c>
      <c r="DL1412" s="64">
        <f>$L1412-$L1413</f>
        <v/>
      </c>
      <c r="DM1412" s="64">
        <f>$K1412-$K1413</f>
        <v/>
      </c>
      <c r="DN1412" s="65">
        <f>IFERROR($N1412/$N1413-1,"")</f>
        <v/>
      </c>
      <c r="DO1412" s="65">
        <f>IFERROR($M1412/$M1413-1,"")</f>
        <v/>
      </c>
      <c r="DP1412" s="65">
        <f>IFERROR($AZ1412/$AZ1413-1,"")</f>
        <v/>
      </c>
      <c r="DQ1412" s="65">
        <f>IFERROR($BA1412/$BA1413-1,"")</f>
        <v/>
      </c>
      <c r="DR1412" s="64">
        <f>$O1412-$O1413</f>
        <v/>
      </c>
      <c r="DS1412" s="64">
        <f>$P1412-$P1413</f>
        <v/>
      </c>
      <c r="DT1412" s="64">
        <f>$Q1412-$Q1413</f>
        <v/>
      </c>
      <c r="DU1412" s="64">
        <f>$S1412-$S1413</f>
        <v/>
      </c>
      <c r="DV1412" s="65">
        <f>IFERROR(AVERAGE($AA1413/$AA1412-1,$AB1413/$AB1412-1,$AC1413/$AC1412-1,$AD1413/$AD1412-1,$AE1413/$AE1412-1,$AG1413/$AG1412-1,$AH1413/$AH1412-1,$AI1413/$AI1412-1,$AJ1413/$AJ1412-1,$AL1413/$AL1412-1,$AM1413/$AM1412-1,$AR1413/$AR1412-1,$AS1413/$AS1412-1,$AT1413/$AT1412-1,$AU1413/$AU1412-1,$AV1413/$AV1412-1,$AW1413/$AW1412-1,$AX1413/$AX1412-1,$AY1413/$AY1412-1),"")</f>
        <v/>
      </c>
      <c r="DW1412" s="66">
        <f>AVERAGE($CB1412,$CC1412,$CD1412,$CE1412,$CF1412,$CG1412,$CH1412,$CI1412,$CJ1412,$CL1412,$CM1412,$CN1412,$CO1412,$CP1412,$CQ1412,$CR1412,$CS1412,$CT1412)</f>
        <v/>
      </c>
      <c r="DX1412" s="66">
        <f>AVERAGE($CB1412,$CC1412,$CM1412,$CE1412,$CP1412)</f>
        <v/>
      </c>
      <c r="DY1412" s="64">
        <f>($DW1412-$DW1413)*100</f>
        <v/>
      </c>
      <c r="DZ1412" s="64">
        <f>($DX1412-$DX1413)*100</f>
        <v/>
      </c>
      <c r="EA1412" s="64">
        <f>($DW1412-$D1412)*100</f>
        <v/>
      </c>
      <c r="EB1412" s="64">
        <f>$Q1412-$O1412</f>
        <v/>
      </c>
      <c r="EC1412" s="67">
        <f>IFERROR($Q1412/$P1412,"")</f>
        <v/>
      </c>
    </row>
    <row r="1413">
      <c r="DG1413" s="64">
        <f>($B1413-$B1414)*100</f>
        <v/>
      </c>
      <c r="DH1413" s="64">
        <f>($D1413-$D1414)*100</f>
        <v/>
      </c>
      <c r="DI1413" s="64">
        <f>($E1413-$E1414)*100</f>
        <v/>
      </c>
      <c r="DJ1413" s="64">
        <f>($H1413-$H1414)*100</f>
        <v/>
      </c>
      <c r="DK1413" s="65">
        <f>IFERROR($J1413/$J1414-1,"")</f>
        <v/>
      </c>
      <c r="DL1413" s="64">
        <f>$L1413-$L1414</f>
        <v/>
      </c>
      <c r="DM1413" s="64">
        <f>$K1413-$K1414</f>
        <v/>
      </c>
      <c r="DN1413" s="65">
        <f>IFERROR($N1413/$N1414-1,"")</f>
        <v/>
      </c>
      <c r="DO1413" s="65">
        <f>IFERROR($M1413/$M1414-1,"")</f>
        <v/>
      </c>
      <c r="DP1413" s="65">
        <f>IFERROR($AZ1413/$AZ1414-1,"")</f>
        <v/>
      </c>
      <c r="DQ1413" s="65">
        <f>IFERROR($BA1413/$BA1414-1,"")</f>
        <v/>
      </c>
      <c r="DR1413" s="64">
        <f>$O1413-$O1414</f>
        <v/>
      </c>
      <c r="DS1413" s="64">
        <f>$P1413-$P1414</f>
        <v/>
      </c>
      <c r="DT1413" s="64">
        <f>$Q1413-$Q1414</f>
        <v/>
      </c>
      <c r="DU1413" s="64">
        <f>$S1413-$S1414</f>
        <v/>
      </c>
      <c r="DV1413" s="65">
        <f>IFERROR(AVERAGE($AA1414/$AA1413-1,$AB1414/$AB1413-1,$AC1414/$AC1413-1,$AD1414/$AD1413-1,$AE1414/$AE1413-1,$AG1414/$AG1413-1,$AH1414/$AH1413-1,$AI1414/$AI1413-1,$AJ1414/$AJ1413-1,$AL1414/$AL1413-1,$AM1414/$AM1413-1,$AR1414/$AR1413-1,$AS1414/$AS1413-1,$AT1414/$AT1413-1,$AU1414/$AU1413-1,$AV1414/$AV1413-1,$AW1414/$AW1413-1,$AX1414/$AX1413-1,$AY1414/$AY1413-1),"")</f>
        <v/>
      </c>
      <c r="DW1413" s="66">
        <f>AVERAGE($CB1413,$CC1413,$CD1413,$CE1413,$CF1413,$CG1413,$CH1413,$CI1413,$CJ1413,$CL1413,$CM1413,$CN1413,$CO1413,$CP1413,$CQ1413,$CR1413,$CS1413,$CT1413)</f>
        <v/>
      </c>
      <c r="DX1413" s="66">
        <f>AVERAGE($CB1413,$CC1413,$CM1413,$CE1413,$CP1413)</f>
        <v/>
      </c>
      <c r="DY1413" s="64">
        <f>($DW1413-$DW1414)*100</f>
        <v/>
      </c>
      <c r="DZ1413" s="64">
        <f>($DX1413-$DX1414)*100</f>
        <v/>
      </c>
      <c r="EA1413" s="64">
        <f>($DW1413-$D1413)*100</f>
        <v/>
      </c>
      <c r="EB1413" s="64">
        <f>$Q1413-$O1413</f>
        <v/>
      </c>
      <c r="EC1413" s="67">
        <f>IFERROR($Q1413/$P1413,"")</f>
        <v/>
      </c>
    </row>
    <row r="1414">
      <c r="DG1414" s="64">
        <f>($B1414-$B1415)*100</f>
        <v/>
      </c>
      <c r="DH1414" s="64">
        <f>($D1414-$D1415)*100</f>
        <v/>
      </c>
      <c r="DI1414" s="64">
        <f>($E1414-$E1415)*100</f>
        <v/>
      </c>
      <c r="DJ1414" s="64">
        <f>($H1414-$H1415)*100</f>
        <v/>
      </c>
      <c r="DK1414" s="65">
        <f>IFERROR($J1414/$J1415-1,"")</f>
        <v/>
      </c>
      <c r="DL1414" s="64">
        <f>$L1414-$L1415</f>
        <v/>
      </c>
      <c r="DM1414" s="64">
        <f>$K1414-$K1415</f>
        <v/>
      </c>
      <c r="DN1414" s="65">
        <f>IFERROR($N1414/$N1415-1,"")</f>
        <v/>
      </c>
      <c r="DO1414" s="65">
        <f>IFERROR($M1414/$M1415-1,"")</f>
        <v/>
      </c>
      <c r="DP1414" s="65">
        <f>IFERROR($AZ1414/$AZ1415-1,"")</f>
        <v/>
      </c>
      <c r="DQ1414" s="65">
        <f>IFERROR($BA1414/$BA1415-1,"")</f>
        <v/>
      </c>
      <c r="DR1414" s="64">
        <f>$O1414-$O1415</f>
        <v/>
      </c>
      <c r="DS1414" s="64">
        <f>$P1414-$P1415</f>
        <v/>
      </c>
      <c r="DT1414" s="64">
        <f>$Q1414-$Q1415</f>
        <v/>
      </c>
      <c r="DU1414" s="64">
        <f>$S1414-$S1415</f>
        <v/>
      </c>
      <c r="DV1414" s="65">
        <f>IFERROR(AVERAGE($AA1415/$AA1414-1,$AB1415/$AB1414-1,$AC1415/$AC1414-1,$AD1415/$AD1414-1,$AE1415/$AE1414-1,$AG1415/$AG1414-1,$AH1415/$AH1414-1,$AI1415/$AI1414-1,$AJ1415/$AJ1414-1,$AL1415/$AL1414-1,$AM1415/$AM1414-1,$AR1415/$AR1414-1,$AS1415/$AS1414-1,$AT1415/$AT1414-1,$AU1415/$AU1414-1,$AV1415/$AV1414-1,$AW1415/$AW1414-1,$AX1415/$AX1414-1,$AY1415/$AY1414-1),"")</f>
        <v/>
      </c>
      <c r="DW1414" s="66">
        <f>AVERAGE($CB1414,$CC1414,$CD1414,$CE1414,$CF1414,$CG1414,$CH1414,$CI1414,$CJ1414,$CL1414,$CM1414,$CN1414,$CO1414,$CP1414,$CQ1414,$CR1414,$CS1414,$CT1414)</f>
        <v/>
      </c>
      <c r="DX1414" s="66">
        <f>AVERAGE($CB1414,$CC1414,$CM1414,$CE1414,$CP1414)</f>
        <v/>
      </c>
      <c r="DY1414" s="64">
        <f>($DW1414-$DW1415)*100</f>
        <v/>
      </c>
      <c r="DZ1414" s="64">
        <f>($DX1414-$DX1415)*100</f>
        <v/>
      </c>
      <c r="EA1414" s="64">
        <f>($DW1414-$D1414)*100</f>
        <v/>
      </c>
      <c r="EB1414" s="64">
        <f>$Q1414-$O1414</f>
        <v/>
      </c>
      <c r="EC1414" s="67">
        <f>IFERROR($Q1414/$P1414,"")</f>
        <v/>
      </c>
    </row>
    <row r="1415">
      <c r="DG1415" s="64">
        <f>($B1415-$B1416)*100</f>
        <v/>
      </c>
      <c r="DH1415" s="64">
        <f>($D1415-$D1416)*100</f>
        <v/>
      </c>
      <c r="DI1415" s="64">
        <f>($E1415-$E1416)*100</f>
        <v/>
      </c>
      <c r="DJ1415" s="64">
        <f>($H1415-$H1416)*100</f>
        <v/>
      </c>
      <c r="DK1415" s="65">
        <f>IFERROR($J1415/$J1416-1,"")</f>
        <v/>
      </c>
      <c r="DL1415" s="64">
        <f>$L1415-$L1416</f>
        <v/>
      </c>
      <c r="DM1415" s="64">
        <f>$K1415-$K1416</f>
        <v/>
      </c>
      <c r="DN1415" s="65">
        <f>IFERROR($N1415/$N1416-1,"")</f>
        <v/>
      </c>
      <c r="DO1415" s="65">
        <f>IFERROR($M1415/$M1416-1,"")</f>
        <v/>
      </c>
      <c r="DP1415" s="65">
        <f>IFERROR($AZ1415/$AZ1416-1,"")</f>
        <v/>
      </c>
      <c r="DQ1415" s="65">
        <f>IFERROR($BA1415/$BA1416-1,"")</f>
        <v/>
      </c>
      <c r="DR1415" s="64">
        <f>$O1415-$O1416</f>
        <v/>
      </c>
      <c r="DS1415" s="64">
        <f>$P1415-$P1416</f>
        <v/>
      </c>
      <c r="DT1415" s="64">
        <f>$Q1415-$Q1416</f>
        <v/>
      </c>
      <c r="DU1415" s="64">
        <f>$S1415-$S1416</f>
        <v/>
      </c>
      <c r="DV1415" s="65">
        <f>IFERROR(AVERAGE($AA1416/$AA1415-1,$AB1416/$AB1415-1,$AC1416/$AC1415-1,$AD1416/$AD1415-1,$AE1416/$AE1415-1,$AG1416/$AG1415-1,$AH1416/$AH1415-1,$AI1416/$AI1415-1,$AJ1416/$AJ1415-1,$AL1416/$AL1415-1,$AM1416/$AM1415-1,$AR1416/$AR1415-1,$AS1416/$AS1415-1,$AT1416/$AT1415-1,$AU1416/$AU1415-1,$AV1416/$AV1415-1,$AW1416/$AW1415-1,$AX1416/$AX1415-1,$AY1416/$AY1415-1),"")</f>
        <v/>
      </c>
      <c r="DW1415" s="66">
        <f>AVERAGE($CB1415,$CC1415,$CD1415,$CE1415,$CF1415,$CG1415,$CH1415,$CI1415,$CJ1415,$CL1415,$CM1415,$CN1415,$CO1415,$CP1415,$CQ1415,$CR1415,$CS1415,$CT1415)</f>
        <v/>
      </c>
      <c r="DX1415" s="66">
        <f>AVERAGE($CB1415,$CC1415,$CM1415,$CE1415,$CP1415)</f>
        <v/>
      </c>
      <c r="DY1415" s="64">
        <f>($DW1415-$DW1416)*100</f>
        <v/>
      </c>
      <c r="DZ1415" s="64">
        <f>($DX1415-$DX1416)*100</f>
        <v/>
      </c>
      <c r="EA1415" s="64">
        <f>($DW1415-$D1415)*100</f>
        <v/>
      </c>
      <c r="EB1415" s="64">
        <f>$Q1415-$O1415</f>
        <v/>
      </c>
      <c r="EC1415" s="67">
        <f>IFERROR($Q1415/$P1415,"")</f>
        <v/>
      </c>
    </row>
    <row r="1416">
      <c r="DG1416" s="64">
        <f>($B1416-$B1417)*100</f>
        <v/>
      </c>
      <c r="DH1416" s="64">
        <f>($D1416-$D1417)*100</f>
        <v/>
      </c>
      <c r="DI1416" s="64">
        <f>($E1416-$E1417)*100</f>
        <v/>
      </c>
      <c r="DJ1416" s="64">
        <f>($H1416-$H1417)*100</f>
        <v/>
      </c>
      <c r="DK1416" s="65">
        <f>IFERROR($J1416/$J1417-1,"")</f>
        <v/>
      </c>
      <c r="DL1416" s="64">
        <f>$L1416-$L1417</f>
        <v/>
      </c>
      <c r="DM1416" s="64">
        <f>$K1416-$K1417</f>
        <v/>
      </c>
      <c r="DN1416" s="65">
        <f>IFERROR($N1416/$N1417-1,"")</f>
        <v/>
      </c>
      <c r="DO1416" s="65">
        <f>IFERROR($M1416/$M1417-1,"")</f>
        <v/>
      </c>
      <c r="DP1416" s="65">
        <f>IFERROR($AZ1416/$AZ1417-1,"")</f>
        <v/>
      </c>
      <c r="DQ1416" s="65">
        <f>IFERROR($BA1416/$BA1417-1,"")</f>
        <v/>
      </c>
      <c r="DR1416" s="64">
        <f>$O1416-$O1417</f>
        <v/>
      </c>
      <c r="DS1416" s="64">
        <f>$P1416-$P1417</f>
        <v/>
      </c>
      <c r="DT1416" s="64">
        <f>$Q1416-$Q1417</f>
        <v/>
      </c>
      <c r="DU1416" s="64">
        <f>$S1416-$S1417</f>
        <v/>
      </c>
      <c r="DV1416" s="65">
        <f>IFERROR(AVERAGE($AA1417/$AA1416-1,$AB1417/$AB1416-1,$AC1417/$AC1416-1,$AD1417/$AD1416-1,$AE1417/$AE1416-1,$AG1417/$AG1416-1,$AH1417/$AH1416-1,$AI1417/$AI1416-1,$AJ1417/$AJ1416-1,$AL1417/$AL1416-1,$AM1417/$AM1416-1,$AR1417/$AR1416-1,$AS1417/$AS1416-1,$AT1417/$AT1416-1,$AU1417/$AU1416-1,$AV1417/$AV1416-1,$AW1417/$AW1416-1,$AX1417/$AX1416-1,$AY1417/$AY1416-1),"")</f>
        <v/>
      </c>
      <c r="DW1416" s="66">
        <f>AVERAGE($CB1416,$CC1416,$CD1416,$CE1416,$CF1416,$CG1416,$CH1416,$CI1416,$CJ1416,$CL1416,$CM1416,$CN1416,$CO1416,$CP1416,$CQ1416,$CR1416,$CS1416,$CT1416)</f>
        <v/>
      </c>
      <c r="DX1416" s="66">
        <f>AVERAGE($CB1416,$CC1416,$CM1416,$CE1416,$CP1416)</f>
        <v/>
      </c>
      <c r="DY1416" s="64">
        <f>($DW1416-$DW1417)*100</f>
        <v/>
      </c>
      <c r="DZ1416" s="64">
        <f>($DX1416-$DX1417)*100</f>
        <v/>
      </c>
      <c r="EA1416" s="64">
        <f>($DW1416-$D1416)*100</f>
        <v/>
      </c>
      <c r="EB1416" s="64">
        <f>$Q1416-$O1416</f>
        <v/>
      </c>
      <c r="EC1416" s="67">
        <f>IFERROR($Q1416/$P1416,"")</f>
        <v/>
      </c>
    </row>
    <row r="1417">
      <c r="DG1417" s="64">
        <f>($B1417-$B1418)*100</f>
        <v/>
      </c>
      <c r="DH1417" s="64">
        <f>($D1417-$D1418)*100</f>
        <v/>
      </c>
      <c r="DI1417" s="64">
        <f>($E1417-$E1418)*100</f>
        <v/>
      </c>
      <c r="DJ1417" s="64">
        <f>($H1417-$H1418)*100</f>
        <v/>
      </c>
      <c r="DK1417" s="65">
        <f>IFERROR($J1417/$J1418-1,"")</f>
        <v/>
      </c>
      <c r="DL1417" s="64">
        <f>$L1417-$L1418</f>
        <v/>
      </c>
      <c r="DM1417" s="64">
        <f>$K1417-$K1418</f>
        <v/>
      </c>
      <c r="DN1417" s="65">
        <f>IFERROR($N1417/$N1418-1,"")</f>
        <v/>
      </c>
      <c r="DO1417" s="65">
        <f>IFERROR($M1417/$M1418-1,"")</f>
        <v/>
      </c>
      <c r="DP1417" s="65">
        <f>IFERROR($AZ1417/$AZ1418-1,"")</f>
        <v/>
      </c>
      <c r="DQ1417" s="65">
        <f>IFERROR($BA1417/$BA1418-1,"")</f>
        <v/>
      </c>
      <c r="DR1417" s="64">
        <f>$O1417-$O1418</f>
        <v/>
      </c>
      <c r="DS1417" s="64">
        <f>$P1417-$P1418</f>
        <v/>
      </c>
      <c r="DT1417" s="64">
        <f>$Q1417-$Q1418</f>
        <v/>
      </c>
      <c r="DU1417" s="64">
        <f>$S1417-$S1418</f>
        <v/>
      </c>
      <c r="DV1417" s="65">
        <f>IFERROR(AVERAGE($AA1418/$AA1417-1,$AB1418/$AB1417-1,$AC1418/$AC1417-1,$AD1418/$AD1417-1,$AE1418/$AE1417-1,$AG1418/$AG1417-1,$AH1418/$AH1417-1,$AI1418/$AI1417-1,$AJ1418/$AJ1417-1,$AL1418/$AL1417-1,$AM1418/$AM1417-1,$AR1418/$AR1417-1,$AS1418/$AS1417-1,$AT1418/$AT1417-1,$AU1418/$AU1417-1,$AV1418/$AV1417-1,$AW1418/$AW1417-1,$AX1418/$AX1417-1,$AY1418/$AY1417-1),"")</f>
        <v/>
      </c>
      <c r="DW1417" s="66">
        <f>AVERAGE($CB1417,$CC1417,$CD1417,$CE1417,$CF1417,$CG1417,$CH1417,$CI1417,$CJ1417,$CL1417,$CM1417,$CN1417,$CO1417,$CP1417,$CQ1417,$CR1417,$CS1417,$CT1417)</f>
        <v/>
      </c>
      <c r="DX1417" s="66">
        <f>AVERAGE($CB1417,$CC1417,$CM1417,$CE1417,$CP1417)</f>
        <v/>
      </c>
      <c r="DY1417" s="64">
        <f>($DW1417-$DW1418)*100</f>
        <v/>
      </c>
      <c r="DZ1417" s="64">
        <f>($DX1417-$DX1418)*100</f>
        <v/>
      </c>
      <c r="EA1417" s="64">
        <f>($DW1417-$D1417)*100</f>
        <v/>
      </c>
      <c r="EB1417" s="64">
        <f>$Q1417-$O1417</f>
        <v/>
      </c>
      <c r="EC1417" s="67">
        <f>IFERROR($Q1417/$P1417,"")</f>
        <v/>
      </c>
    </row>
    <row r="1418">
      <c r="DG1418" s="64">
        <f>($B1418-$B1419)*100</f>
        <v/>
      </c>
      <c r="DH1418" s="64">
        <f>($D1418-$D1419)*100</f>
        <v/>
      </c>
      <c r="DI1418" s="64">
        <f>($E1418-$E1419)*100</f>
        <v/>
      </c>
      <c r="DJ1418" s="64">
        <f>($H1418-$H1419)*100</f>
        <v/>
      </c>
      <c r="DK1418" s="65">
        <f>IFERROR($J1418/$J1419-1,"")</f>
        <v/>
      </c>
      <c r="DL1418" s="64">
        <f>$L1418-$L1419</f>
        <v/>
      </c>
      <c r="DM1418" s="64">
        <f>$K1418-$K1419</f>
        <v/>
      </c>
      <c r="DN1418" s="65">
        <f>IFERROR($N1418/$N1419-1,"")</f>
        <v/>
      </c>
      <c r="DO1418" s="65">
        <f>IFERROR($M1418/$M1419-1,"")</f>
        <v/>
      </c>
      <c r="DP1418" s="65">
        <f>IFERROR($AZ1418/$AZ1419-1,"")</f>
        <v/>
      </c>
      <c r="DQ1418" s="65">
        <f>IFERROR($BA1418/$BA1419-1,"")</f>
        <v/>
      </c>
      <c r="DR1418" s="64">
        <f>$O1418-$O1419</f>
        <v/>
      </c>
      <c r="DS1418" s="64">
        <f>$P1418-$P1419</f>
        <v/>
      </c>
      <c r="DT1418" s="64">
        <f>$Q1418-$Q1419</f>
        <v/>
      </c>
      <c r="DU1418" s="64">
        <f>$S1418-$S1419</f>
        <v/>
      </c>
      <c r="DV1418" s="65">
        <f>IFERROR(AVERAGE($AA1419/$AA1418-1,$AB1419/$AB1418-1,$AC1419/$AC1418-1,$AD1419/$AD1418-1,$AE1419/$AE1418-1,$AG1419/$AG1418-1,$AH1419/$AH1418-1,$AI1419/$AI1418-1,$AJ1419/$AJ1418-1,$AL1419/$AL1418-1,$AM1419/$AM1418-1,$AR1419/$AR1418-1,$AS1419/$AS1418-1,$AT1419/$AT1418-1,$AU1419/$AU1418-1,$AV1419/$AV1418-1,$AW1419/$AW1418-1,$AX1419/$AX1418-1,$AY1419/$AY1418-1),"")</f>
        <v/>
      </c>
      <c r="DW1418" s="66">
        <f>AVERAGE($CB1418,$CC1418,$CD1418,$CE1418,$CF1418,$CG1418,$CH1418,$CI1418,$CJ1418,$CL1418,$CM1418,$CN1418,$CO1418,$CP1418,$CQ1418,$CR1418,$CS1418,$CT1418)</f>
        <v/>
      </c>
      <c r="DX1418" s="66">
        <f>AVERAGE($CB1418,$CC1418,$CM1418,$CE1418,$CP1418)</f>
        <v/>
      </c>
      <c r="DY1418" s="64">
        <f>($DW1418-$DW1419)*100</f>
        <v/>
      </c>
      <c r="DZ1418" s="64">
        <f>($DX1418-$DX1419)*100</f>
        <v/>
      </c>
      <c r="EA1418" s="64">
        <f>($DW1418-$D1418)*100</f>
        <v/>
      </c>
      <c r="EB1418" s="64">
        <f>$Q1418-$O1418</f>
        <v/>
      </c>
      <c r="EC1418" s="67">
        <f>IFERROR($Q1418/$P1418,"")</f>
        <v/>
      </c>
    </row>
    <row r="1419">
      <c r="DG1419" s="64">
        <f>($B1419-$B1420)*100</f>
        <v/>
      </c>
      <c r="DH1419" s="64">
        <f>($D1419-$D1420)*100</f>
        <v/>
      </c>
      <c r="DI1419" s="64">
        <f>($E1419-$E1420)*100</f>
        <v/>
      </c>
      <c r="DJ1419" s="64">
        <f>($H1419-$H1420)*100</f>
        <v/>
      </c>
      <c r="DK1419" s="65">
        <f>IFERROR($J1419/$J1420-1,"")</f>
        <v/>
      </c>
      <c r="DL1419" s="64">
        <f>$L1419-$L1420</f>
        <v/>
      </c>
      <c r="DM1419" s="64">
        <f>$K1419-$K1420</f>
        <v/>
      </c>
      <c r="DN1419" s="65">
        <f>IFERROR($N1419/$N1420-1,"")</f>
        <v/>
      </c>
      <c r="DO1419" s="65">
        <f>IFERROR($M1419/$M1420-1,"")</f>
        <v/>
      </c>
      <c r="DP1419" s="65">
        <f>IFERROR($AZ1419/$AZ1420-1,"")</f>
        <v/>
      </c>
      <c r="DQ1419" s="65">
        <f>IFERROR($BA1419/$BA1420-1,"")</f>
        <v/>
      </c>
      <c r="DR1419" s="64">
        <f>$O1419-$O1420</f>
        <v/>
      </c>
      <c r="DS1419" s="64">
        <f>$P1419-$P1420</f>
        <v/>
      </c>
      <c r="DT1419" s="64">
        <f>$Q1419-$Q1420</f>
        <v/>
      </c>
      <c r="DU1419" s="64">
        <f>$S1419-$S1420</f>
        <v/>
      </c>
      <c r="DV1419" s="65">
        <f>IFERROR(AVERAGE($AA1420/$AA1419-1,$AB1420/$AB1419-1,$AC1420/$AC1419-1,$AD1420/$AD1419-1,$AE1420/$AE1419-1,$AG1420/$AG1419-1,$AH1420/$AH1419-1,$AI1420/$AI1419-1,$AJ1420/$AJ1419-1,$AL1420/$AL1419-1,$AM1420/$AM1419-1,$AR1420/$AR1419-1,$AS1420/$AS1419-1,$AT1420/$AT1419-1,$AU1420/$AU1419-1,$AV1420/$AV1419-1,$AW1420/$AW1419-1,$AX1420/$AX1419-1,$AY1420/$AY1419-1),"")</f>
        <v/>
      </c>
      <c r="DW1419" s="66">
        <f>AVERAGE($CB1419,$CC1419,$CD1419,$CE1419,$CF1419,$CG1419,$CH1419,$CI1419,$CJ1419,$CL1419,$CM1419,$CN1419,$CO1419,$CP1419,$CQ1419,$CR1419,$CS1419,$CT1419)</f>
        <v/>
      </c>
      <c r="DX1419" s="66">
        <f>AVERAGE($CB1419,$CC1419,$CM1419,$CE1419,$CP1419)</f>
        <v/>
      </c>
      <c r="DY1419" s="64">
        <f>($DW1419-$DW1420)*100</f>
        <v/>
      </c>
      <c r="DZ1419" s="64">
        <f>($DX1419-$DX1420)*100</f>
        <v/>
      </c>
      <c r="EA1419" s="64">
        <f>($DW1419-$D1419)*100</f>
        <v/>
      </c>
      <c r="EB1419" s="64">
        <f>$Q1419-$O1419</f>
        <v/>
      </c>
      <c r="EC1419" s="67">
        <f>IFERROR($Q1419/$P1419,"")</f>
        <v/>
      </c>
    </row>
    <row r="1420">
      <c r="DG1420" s="64">
        <f>($B1420-$B1421)*100</f>
        <v/>
      </c>
      <c r="DH1420" s="64">
        <f>($D1420-$D1421)*100</f>
        <v/>
      </c>
      <c r="DI1420" s="64">
        <f>($E1420-$E1421)*100</f>
        <v/>
      </c>
      <c r="DJ1420" s="64">
        <f>($H1420-$H1421)*100</f>
        <v/>
      </c>
      <c r="DK1420" s="65">
        <f>IFERROR($J1420/$J1421-1,"")</f>
        <v/>
      </c>
      <c r="DL1420" s="64">
        <f>$L1420-$L1421</f>
        <v/>
      </c>
      <c r="DM1420" s="64">
        <f>$K1420-$K1421</f>
        <v/>
      </c>
      <c r="DN1420" s="65">
        <f>IFERROR($N1420/$N1421-1,"")</f>
        <v/>
      </c>
      <c r="DO1420" s="65">
        <f>IFERROR($M1420/$M1421-1,"")</f>
        <v/>
      </c>
      <c r="DP1420" s="65">
        <f>IFERROR($AZ1420/$AZ1421-1,"")</f>
        <v/>
      </c>
      <c r="DQ1420" s="65">
        <f>IFERROR($BA1420/$BA1421-1,"")</f>
        <v/>
      </c>
      <c r="DR1420" s="64">
        <f>$O1420-$O1421</f>
        <v/>
      </c>
      <c r="DS1420" s="64">
        <f>$P1420-$P1421</f>
        <v/>
      </c>
      <c r="DT1420" s="64">
        <f>$Q1420-$Q1421</f>
        <v/>
      </c>
      <c r="DU1420" s="64">
        <f>$S1420-$S1421</f>
        <v/>
      </c>
      <c r="DV1420" s="65">
        <f>IFERROR(AVERAGE($AA1421/$AA1420-1,$AB1421/$AB1420-1,$AC1421/$AC1420-1,$AD1421/$AD1420-1,$AE1421/$AE1420-1,$AG1421/$AG1420-1,$AH1421/$AH1420-1,$AI1421/$AI1420-1,$AJ1421/$AJ1420-1,$AL1421/$AL1420-1,$AM1421/$AM1420-1,$AR1421/$AR1420-1,$AS1421/$AS1420-1,$AT1421/$AT1420-1,$AU1421/$AU1420-1,$AV1421/$AV1420-1,$AW1421/$AW1420-1,$AX1421/$AX1420-1,$AY1421/$AY1420-1),"")</f>
        <v/>
      </c>
      <c r="DW1420" s="66">
        <f>AVERAGE($CB1420,$CC1420,$CD1420,$CE1420,$CF1420,$CG1420,$CH1420,$CI1420,$CJ1420,$CL1420,$CM1420,$CN1420,$CO1420,$CP1420,$CQ1420,$CR1420,$CS1420,$CT1420)</f>
        <v/>
      </c>
      <c r="DX1420" s="66">
        <f>AVERAGE($CB1420,$CC1420,$CM1420,$CE1420,$CP1420)</f>
        <v/>
      </c>
      <c r="DY1420" s="64">
        <f>($DW1420-$DW1421)*100</f>
        <v/>
      </c>
      <c r="DZ1420" s="64">
        <f>($DX1420-$DX1421)*100</f>
        <v/>
      </c>
      <c r="EA1420" s="64">
        <f>($DW1420-$D1420)*100</f>
        <v/>
      </c>
      <c r="EB1420" s="64">
        <f>$Q1420-$O1420</f>
        <v/>
      </c>
      <c r="EC1420" s="67">
        <f>IFERROR($Q1420/$P1420,"")</f>
        <v/>
      </c>
    </row>
    <row r="1421">
      <c r="DG1421" s="64">
        <f>($B1421-$B1422)*100</f>
        <v/>
      </c>
      <c r="DH1421" s="64">
        <f>($D1421-$D1422)*100</f>
        <v/>
      </c>
      <c r="DI1421" s="64">
        <f>($E1421-$E1422)*100</f>
        <v/>
      </c>
      <c r="DJ1421" s="64">
        <f>($H1421-$H1422)*100</f>
        <v/>
      </c>
      <c r="DK1421" s="65">
        <f>IFERROR($J1421/$J1422-1,"")</f>
        <v/>
      </c>
      <c r="DL1421" s="64">
        <f>$L1421-$L1422</f>
        <v/>
      </c>
      <c r="DM1421" s="64">
        <f>$K1421-$K1422</f>
        <v/>
      </c>
      <c r="DN1421" s="65">
        <f>IFERROR($N1421/$N1422-1,"")</f>
        <v/>
      </c>
      <c r="DO1421" s="65">
        <f>IFERROR($M1421/$M1422-1,"")</f>
        <v/>
      </c>
      <c r="DP1421" s="65">
        <f>IFERROR($AZ1421/$AZ1422-1,"")</f>
        <v/>
      </c>
      <c r="DQ1421" s="65">
        <f>IFERROR($BA1421/$BA1422-1,"")</f>
        <v/>
      </c>
      <c r="DR1421" s="64">
        <f>$O1421-$O1422</f>
        <v/>
      </c>
      <c r="DS1421" s="64">
        <f>$P1421-$P1422</f>
        <v/>
      </c>
      <c r="DT1421" s="64">
        <f>$Q1421-$Q1422</f>
        <v/>
      </c>
      <c r="DU1421" s="64">
        <f>$S1421-$S1422</f>
        <v/>
      </c>
      <c r="DV1421" s="65">
        <f>IFERROR(AVERAGE($AA1422/$AA1421-1,$AB1422/$AB1421-1,$AC1422/$AC1421-1,$AD1422/$AD1421-1,$AE1422/$AE1421-1,$AG1422/$AG1421-1,$AH1422/$AH1421-1,$AI1422/$AI1421-1,$AJ1422/$AJ1421-1,$AL1422/$AL1421-1,$AM1422/$AM1421-1,$AR1422/$AR1421-1,$AS1422/$AS1421-1,$AT1422/$AT1421-1,$AU1422/$AU1421-1,$AV1422/$AV1421-1,$AW1422/$AW1421-1,$AX1422/$AX1421-1,$AY1422/$AY1421-1),"")</f>
        <v/>
      </c>
      <c r="DW1421" s="66">
        <f>AVERAGE($CB1421,$CC1421,$CD1421,$CE1421,$CF1421,$CG1421,$CH1421,$CI1421,$CJ1421,$CL1421,$CM1421,$CN1421,$CO1421,$CP1421,$CQ1421,$CR1421,$CS1421,$CT1421)</f>
        <v/>
      </c>
      <c r="DX1421" s="66">
        <f>AVERAGE($CB1421,$CC1421,$CM1421,$CE1421,$CP1421)</f>
        <v/>
      </c>
      <c r="DY1421" s="64">
        <f>($DW1421-$DW1422)*100</f>
        <v/>
      </c>
      <c r="DZ1421" s="64">
        <f>($DX1421-$DX1422)*100</f>
        <v/>
      </c>
      <c r="EA1421" s="64">
        <f>($DW1421-$D1421)*100</f>
        <v/>
      </c>
      <c r="EB1421" s="64">
        <f>$Q1421-$O1421</f>
        <v/>
      </c>
      <c r="EC1421" s="67">
        <f>IFERROR($Q1421/$P1421,"")</f>
        <v/>
      </c>
    </row>
    <row r="1422">
      <c r="DG1422" s="64">
        <f>($B1422-$B1423)*100</f>
        <v/>
      </c>
      <c r="DH1422" s="64">
        <f>($D1422-$D1423)*100</f>
        <v/>
      </c>
      <c r="DI1422" s="64">
        <f>($E1422-$E1423)*100</f>
        <v/>
      </c>
      <c r="DJ1422" s="64">
        <f>($H1422-$H1423)*100</f>
        <v/>
      </c>
      <c r="DK1422" s="65">
        <f>IFERROR($J1422/$J1423-1,"")</f>
        <v/>
      </c>
      <c r="DL1422" s="64">
        <f>$L1422-$L1423</f>
        <v/>
      </c>
      <c r="DM1422" s="64">
        <f>$K1422-$K1423</f>
        <v/>
      </c>
      <c r="DN1422" s="65">
        <f>IFERROR($N1422/$N1423-1,"")</f>
        <v/>
      </c>
      <c r="DO1422" s="65">
        <f>IFERROR($M1422/$M1423-1,"")</f>
        <v/>
      </c>
      <c r="DP1422" s="65">
        <f>IFERROR($AZ1422/$AZ1423-1,"")</f>
        <v/>
      </c>
      <c r="DQ1422" s="65">
        <f>IFERROR($BA1422/$BA1423-1,"")</f>
        <v/>
      </c>
      <c r="DR1422" s="64">
        <f>$O1422-$O1423</f>
        <v/>
      </c>
      <c r="DS1422" s="64">
        <f>$P1422-$P1423</f>
        <v/>
      </c>
      <c r="DT1422" s="64">
        <f>$Q1422-$Q1423</f>
        <v/>
      </c>
      <c r="DU1422" s="64">
        <f>$S1422-$S1423</f>
        <v/>
      </c>
      <c r="DV1422" s="65">
        <f>IFERROR(AVERAGE($AA1423/$AA1422-1,$AB1423/$AB1422-1,$AC1423/$AC1422-1,$AD1423/$AD1422-1,$AE1423/$AE1422-1,$AG1423/$AG1422-1,$AH1423/$AH1422-1,$AI1423/$AI1422-1,$AJ1423/$AJ1422-1,$AL1423/$AL1422-1,$AM1423/$AM1422-1,$AR1423/$AR1422-1,$AS1423/$AS1422-1,$AT1423/$AT1422-1,$AU1423/$AU1422-1,$AV1423/$AV1422-1,$AW1423/$AW1422-1,$AX1423/$AX1422-1,$AY1423/$AY1422-1),"")</f>
        <v/>
      </c>
      <c r="DW1422" s="66">
        <f>AVERAGE($CB1422,$CC1422,$CD1422,$CE1422,$CF1422,$CG1422,$CH1422,$CI1422,$CJ1422,$CL1422,$CM1422,$CN1422,$CO1422,$CP1422,$CQ1422,$CR1422,$CS1422,$CT1422)</f>
        <v/>
      </c>
      <c r="DX1422" s="66">
        <f>AVERAGE($CB1422,$CC1422,$CM1422,$CE1422,$CP1422)</f>
        <v/>
      </c>
      <c r="DY1422" s="64">
        <f>($DW1422-$DW1423)*100</f>
        <v/>
      </c>
      <c r="DZ1422" s="64">
        <f>($DX1422-$DX1423)*100</f>
        <v/>
      </c>
      <c r="EA1422" s="64">
        <f>($DW1422-$D1422)*100</f>
        <v/>
      </c>
      <c r="EB1422" s="64">
        <f>$Q1422-$O1422</f>
        <v/>
      </c>
      <c r="EC1422" s="67">
        <f>IFERROR($Q1422/$P1422,"")</f>
        <v/>
      </c>
    </row>
    <row r="1423">
      <c r="DG1423" s="64">
        <f>($B1423-$B1424)*100</f>
        <v/>
      </c>
      <c r="DH1423" s="64">
        <f>($D1423-$D1424)*100</f>
        <v/>
      </c>
      <c r="DI1423" s="64">
        <f>($E1423-$E1424)*100</f>
        <v/>
      </c>
      <c r="DJ1423" s="64">
        <f>($H1423-$H1424)*100</f>
        <v/>
      </c>
      <c r="DK1423" s="65">
        <f>IFERROR($J1423/$J1424-1,"")</f>
        <v/>
      </c>
      <c r="DL1423" s="64">
        <f>$L1423-$L1424</f>
        <v/>
      </c>
      <c r="DM1423" s="64">
        <f>$K1423-$K1424</f>
        <v/>
      </c>
      <c r="DN1423" s="65">
        <f>IFERROR($N1423/$N1424-1,"")</f>
        <v/>
      </c>
      <c r="DO1423" s="65">
        <f>IFERROR($M1423/$M1424-1,"")</f>
        <v/>
      </c>
      <c r="DP1423" s="65">
        <f>IFERROR($AZ1423/$AZ1424-1,"")</f>
        <v/>
      </c>
      <c r="DQ1423" s="65">
        <f>IFERROR($BA1423/$BA1424-1,"")</f>
        <v/>
      </c>
      <c r="DR1423" s="64">
        <f>$O1423-$O1424</f>
        <v/>
      </c>
      <c r="DS1423" s="64">
        <f>$P1423-$P1424</f>
        <v/>
      </c>
      <c r="DT1423" s="64">
        <f>$Q1423-$Q1424</f>
        <v/>
      </c>
      <c r="DU1423" s="64">
        <f>$S1423-$S1424</f>
        <v/>
      </c>
      <c r="DV1423" s="65">
        <f>IFERROR(AVERAGE($AA1424/$AA1423-1,$AB1424/$AB1423-1,$AC1424/$AC1423-1,$AD1424/$AD1423-1,$AE1424/$AE1423-1,$AG1424/$AG1423-1,$AH1424/$AH1423-1,$AI1424/$AI1423-1,$AJ1424/$AJ1423-1,$AL1424/$AL1423-1,$AM1424/$AM1423-1,$AR1424/$AR1423-1,$AS1424/$AS1423-1,$AT1424/$AT1423-1,$AU1424/$AU1423-1,$AV1424/$AV1423-1,$AW1424/$AW1423-1,$AX1424/$AX1423-1,$AY1424/$AY1423-1),"")</f>
        <v/>
      </c>
      <c r="DW1423" s="66">
        <f>AVERAGE($CB1423,$CC1423,$CD1423,$CE1423,$CF1423,$CG1423,$CH1423,$CI1423,$CJ1423,$CL1423,$CM1423,$CN1423,$CO1423,$CP1423,$CQ1423,$CR1423,$CS1423,$CT1423)</f>
        <v/>
      </c>
      <c r="DX1423" s="66">
        <f>AVERAGE($CB1423,$CC1423,$CM1423,$CE1423,$CP1423)</f>
        <v/>
      </c>
      <c r="DY1423" s="64">
        <f>($DW1423-$DW1424)*100</f>
        <v/>
      </c>
      <c r="DZ1423" s="64">
        <f>($DX1423-$DX1424)*100</f>
        <v/>
      </c>
      <c r="EA1423" s="64">
        <f>($DW1423-$D1423)*100</f>
        <v/>
      </c>
      <c r="EB1423" s="64">
        <f>$Q1423-$O1423</f>
        <v/>
      </c>
      <c r="EC1423" s="67">
        <f>IFERROR($Q1423/$P1423,"")</f>
        <v/>
      </c>
    </row>
    <row r="1424">
      <c r="DG1424" s="64">
        <f>($B1424-$B1425)*100</f>
        <v/>
      </c>
      <c r="DH1424" s="64">
        <f>($D1424-$D1425)*100</f>
        <v/>
      </c>
      <c r="DI1424" s="64">
        <f>($E1424-$E1425)*100</f>
        <v/>
      </c>
      <c r="DJ1424" s="64">
        <f>($H1424-$H1425)*100</f>
        <v/>
      </c>
      <c r="DK1424" s="65">
        <f>IFERROR($J1424/$J1425-1,"")</f>
        <v/>
      </c>
      <c r="DL1424" s="64">
        <f>$L1424-$L1425</f>
        <v/>
      </c>
      <c r="DM1424" s="64">
        <f>$K1424-$K1425</f>
        <v/>
      </c>
      <c r="DN1424" s="65">
        <f>IFERROR($N1424/$N1425-1,"")</f>
        <v/>
      </c>
      <c r="DO1424" s="65">
        <f>IFERROR($M1424/$M1425-1,"")</f>
        <v/>
      </c>
      <c r="DP1424" s="65">
        <f>IFERROR($AZ1424/$AZ1425-1,"")</f>
        <v/>
      </c>
      <c r="DQ1424" s="65">
        <f>IFERROR($BA1424/$BA1425-1,"")</f>
        <v/>
      </c>
      <c r="DR1424" s="64">
        <f>$O1424-$O1425</f>
        <v/>
      </c>
      <c r="DS1424" s="64">
        <f>$P1424-$P1425</f>
        <v/>
      </c>
      <c r="DT1424" s="64">
        <f>$Q1424-$Q1425</f>
        <v/>
      </c>
      <c r="DU1424" s="64">
        <f>$S1424-$S1425</f>
        <v/>
      </c>
      <c r="DV1424" s="65">
        <f>IFERROR(AVERAGE($AA1425/$AA1424-1,$AB1425/$AB1424-1,$AC1425/$AC1424-1,$AD1425/$AD1424-1,$AE1425/$AE1424-1,$AG1425/$AG1424-1,$AH1425/$AH1424-1,$AI1425/$AI1424-1,$AJ1425/$AJ1424-1,$AL1425/$AL1424-1,$AM1425/$AM1424-1,$AR1425/$AR1424-1,$AS1425/$AS1424-1,$AT1425/$AT1424-1,$AU1425/$AU1424-1,$AV1425/$AV1424-1,$AW1425/$AW1424-1,$AX1425/$AX1424-1,$AY1425/$AY1424-1),"")</f>
        <v/>
      </c>
      <c r="DW1424" s="66">
        <f>AVERAGE($CB1424,$CC1424,$CD1424,$CE1424,$CF1424,$CG1424,$CH1424,$CI1424,$CJ1424,$CL1424,$CM1424,$CN1424,$CO1424,$CP1424,$CQ1424,$CR1424,$CS1424,$CT1424)</f>
        <v/>
      </c>
      <c r="DX1424" s="66">
        <f>AVERAGE($CB1424,$CC1424,$CM1424,$CE1424,$CP1424)</f>
        <v/>
      </c>
      <c r="DY1424" s="64">
        <f>($DW1424-$DW1425)*100</f>
        <v/>
      </c>
      <c r="DZ1424" s="64">
        <f>($DX1424-$DX1425)*100</f>
        <v/>
      </c>
      <c r="EA1424" s="64">
        <f>($DW1424-$D1424)*100</f>
        <v/>
      </c>
      <c r="EB1424" s="64">
        <f>$Q1424-$O1424</f>
        <v/>
      </c>
      <c r="EC1424" s="67">
        <f>IFERROR($Q1424/$P1424,"")</f>
        <v/>
      </c>
    </row>
    <row r="1425">
      <c r="DG1425" s="64">
        <f>($B1425-$B1426)*100</f>
        <v/>
      </c>
      <c r="DH1425" s="64">
        <f>($D1425-$D1426)*100</f>
        <v/>
      </c>
      <c r="DI1425" s="64">
        <f>($E1425-$E1426)*100</f>
        <v/>
      </c>
      <c r="DJ1425" s="64">
        <f>($H1425-$H1426)*100</f>
        <v/>
      </c>
      <c r="DK1425" s="65">
        <f>IFERROR($J1425/$J1426-1,"")</f>
        <v/>
      </c>
      <c r="DL1425" s="64">
        <f>$L1425-$L1426</f>
        <v/>
      </c>
      <c r="DM1425" s="64">
        <f>$K1425-$K1426</f>
        <v/>
      </c>
      <c r="DN1425" s="65">
        <f>IFERROR($N1425/$N1426-1,"")</f>
        <v/>
      </c>
      <c r="DO1425" s="65">
        <f>IFERROR($M1425/$M1426-1,"")</f>
        <v/>
      </c>
      <c r="DP1425" s="65">
        <f>IFERROR($AZ1425/$AZ1426-1,"")</f>
        <v/>
      </c>
      <c r="DQ1425" s="65">
        <f>IFERROR($BA1425/$BA1426-1,"")</f>
        <v/>
      </c>
      <c r="DR1425" s="64">
        <f>$O1425-$O1426</f>
        <v/>
      </c>
      <c r="DS1425" s="64">
        <f>$P1425-$P1426</f>
        <v/>
      </c>
      <c r="DT1425" s="64">
        <f>$Q1425-$Q1426</f>
        <v/>
      </c>
      <c r="DU1425" s="64">
        <f>$S1425-$S1426</f>
        <v/>
      </c>
      <c r="DV1425" s="65">
        <f>IFERROR(AVERAGE($AA1426/$AA1425-1,$AB1426/$AB1425-1,$AC1426/$AC1425-1,$AD1426/$AD1425-1,$AE1426/$AE1425-1,$AG1426/$AG1425-1,$AH1426/$AH1425-1,$AI1426/$AI1425-1,$AJ1426/$AJ1425-1,$AL1426/$AL1425-1,$AM1426/$AM1425-1,$AR1426/$AR1425-1,$AS1426/$AS1425-1,$AT1426/$AT1425-1,$AU1426/$AU1425-1,$AV1426/$AV1425-1,$AW1426/$AW1425-1,$AX1426/$AX1425-1,$AY1426/$AY1425-1),"")</f>
        <v/>
      </c>
      <c r="DW1425" s="66">
        <f>AVERAGE($CB1425,$CC1425,$CD1425,$CE1425,$CF1425,$CG1425,$CH1425,$CI1425,$CJ1425,$CL1425,$CM1425,$CN1425,$CO1425,$CP1425,$CQ1425,$CR1425,$CS1425,$CT1425)</f>
        <v/>
      </c>
      <c r="DX1425" s="66">
        <f>AVERAGE($CB1425,$CC1425,$CM1425,$CE1425,$CP1425)</f>
        <v/>
      </c>
      <c r="DY1425" s="64">
        <f>($DW1425-$DW1426)*100</f>
        <v/>
      </c>
      <c r="DZ1425" s="64">
        <f>($DX1425-$DX1426)*100</f>
        <v/>
      </c>
      <c r="EA1425" s="64">
        <f>($DW1425-$D1425)*100</f>
        <v/>
      </c>
      <c r="EB1425" s="64">
        <f>$Q1425-$O1425</f>
        <v/>
      </c>
      <c r="EC1425" s="67">
        <f>IFERROR($Q1425/$P1425,"")</f>
        <v/>
      </c>
    </row>
    <row r="1426">
      <c r="DG1426" s="64">
        <f>($B1426-$B1427)*100</f>
        <v/>
      </c>
      <c r="DH1426" s="64">
        <f>($D1426-$D1427)*100</f>
        <v/>
      </c>
      <c r="DI1426" s="64">
        <f>($E1426-$E1427)*100</f>
        <v/>
      </c>
      <c r="DJ1426" s="64">
        <f>($H1426-$H1427)*100</f>
        <v/>
      </c>
      <c r="DK1426" s="65">
        <f>IFERROR($J1426/$J1427-1,"")</f>
        <v/>
      </c>
      <c r="DL1426" s="64">
        <f>$L1426-$L1427</f>
        <v/>
      </c>
      <c r="DM1426" s="64">
        <f>$K1426-$K1427</f>
        <v/>
      </c>
      <c r="DN1426" s="65">
        <f>IFERROR($N1426/$N1427-1,"")</f>
        <v/>
      </c>
      <c r="DO1426" s="65">
        <f>IFERROR($M1426/$M1427-1,"")</f>
        <v/>
      </c>
      <c r="DP1426" s="65">
        <f>IFERROR($AZ1426/$AZ1427-1,"")</f>
        <v/>
      </c>
      <c r="DQ1426" s="65">
        <f>IFERROR($BA1426/$BA1427-1,"")</f>
        <v/>
      </c>
      <c r="DR1426" s="64">
        <f>$O1426-$O1427</f>
        <v/>
      </c>
      <c r="DS1426" s="64">
        <f>$P1426-$P1427</f>
        <v/>
      </c>
      <c r="DT1426" s="64">
        <f>$Q1426-$Q1427</f>
        <v/>
      </c>
      <c r="DU1426" s="64">
        <f>$S1426-$S1427</f>
        <v/>
      </c>
      <c r="DV1426" s="65">
        <f>IFERROR(AVERAGE($AA1427/$AA1426-1,$AB1427/$AB1426-1,$AC1427/$AC1426-1,$AD1427/$AD1426-1,$AE1427/$AE1426-1,$AG1427/$AG1426-1,$AH1427/$AH1426-1,$AI1427/$AI1426-1,$AJ1427/$AJ1426-1,$AL1427/$AL1426-1,$AM1427/$AM1426-1,$AR1427/$AR1426-1,$AS1427/$AS1426-1,$AT1427/$AT1426-1,$AU1427/$AU1426-1,$AV1427/$AV1426-1,$AW1427/$AW1426-1,$AX1427/$AX1426-1,$AY1427/$AY1426-1),"")</f>
        <v/>
      </c>
      <c r="DW1426" s="66">
        <f>AVERAGE($CB1426,$CC1426,$CD1426,$CE1426,$CF1426,$CG1426,$CH1426,$CI1426,$CJ1426,$CL1426,$CM1426,$CN1426,$CO1426,$CP1426,$CQ1426,$CR1426,$CS1426,$CT1426)</f>
        <v/>
      </c>
      <c r="DX1426" s="66">
        <f>AVERAGE($CB1426,$CC1426,$CM1426,$CE1426,$CP1426)</f>
        <v/>
      </c>
      <c r="DY1426" s="64">
        <f>($DW1426-$DW1427)*100</f>
        <v/>
      </c>
      <c r="DZ1426" s="64">
        <f>($DX1426-$DX1427)*100</f>
        <v/>
      </c>
      <c r="EA1426" s="64">
        <f>($DW1426-$D1426)*100</f>
        <v/>
      </c>
      <c r="EB1426" s="64">
        <f>$Q1426-$O1426</f>
        <v/>
      </c>
      <c r="EC1426" s="67">
        <f>IFERROR($Q1426/$P1426,"")</f>
        <v/>
      </c>
    </row>
    <row r="1427">
      <c r="DG1427" s="64">
        <f>($B1427-$B1428)*100</f>
        <v/>
      </c>
      <c r="DH1427" s="64">
        <f>($D1427-$D1428)*100</f>
        <v/>
      </c>
      <c r="DI1427" s="64">
        <f>($E1427-$E1428)*100</f>
        <v/>
      </c>
      <c r="DJ1427" s="64">
        <f>($H1427-$H1428)*100</f>
        <v/>
      </c>
      <c r="DK1427" s="65">
        <f>IFERROR($J1427/$J1428-1,"")</f>
        <v/>
      </c>
      <c r="DL1427" s="64">
        <f>$L1427-$L1428</f>
        <v/>
      </c>
      <c r="DM1427" s="64">
        <f>$K1427-$K1428</f>
        <v/>
      </c>
      <c r="DN1427" s="65">
        <f>IFERROR($N1427/$N1428-1,"")</f>
        <v/>
      </c>
      <c r="DO1427" s="65">
        <f>IFERROR($M1427/$M1428-1,"")</f>
        <v/>
      </c>
      <c r="DP1427" s="65">
        <f>IFERROR($AZ1427/$AZ1428-1,"")</f>
        <v/>
      </c>
      <c r="DQ1427" s="65">
        <f>IFERROR($BA1427/$BA1428-1,"")</f>
        <v/>
      </c>
      <c r="DR1427" s="64">
        <f>$O1427-$O1428</f>
        <v/>
      </c>
      <c r="DS1427" s="64">
        <f>$P1427-$P1428</f>
        <v/>
      </c>
      <c r="DT1427" s="64">
        <f>$Q1427-$Q1428</f>
        <v/>
      </c>
      <c r="DU1427" s="64">
        <f>$S1427-$S1428</f>
        <v/>
      </c>
      <c r="DV1427" s="65">
        <f>IFERROR(AVERAGE($AA1428/$AA1427-1,$AB1428/$AB1427-1,$AC1428/$AC1427-1,$AD1428/$AD1427-1,$AE1428/$AE1427-1,$AG1428/$AG1427-1,$AH1428/$AH1427-1,$AI1428/$AI1427-1,$AJ1428/$AJ1427-1,$AL1428/$AL1427-1,$AM1428/$AM1427-1,$AR1428/$AR1427-1,$AS1428/$AS1427-1,$AT1428/$AT1427-1,$AU1428/$AU1427-1,$AV1428/$AV1427-1,$AW1428/$AW1427-1,$AX1428/$AX1427-1,$AY1428/$AY1427-1),"")</f>
        <v/>
      </c>
      <c r="DW1427" s="66">
        <f>AVERAGE($CB1427,$CC1427,$CD1427,$CE1427,$CF1427,$CG1427,$CH1427,$CI1427,$CJ1427,$CL1427,$CM1427,$CN1427,$CO1427,$CP1427,$CQ1427,$CR1427,$CS1427,$CT1427)</f>
        <v/>
      </c>
      <c r="DX1427" s="66">
        <f>AVERAGE($CB1427,$CC1427,$CM1427,$CE1427,$CP1427)</f>
        <v/>
      </c>
      <c r="DY1427" s="64">
        <f>($DW1427-$DW1428)*100</f>
        <v/>
      </c>
      <c r="DZ1427" s="64">
        <f>($DX1427-$DX1428)*100</f>
        <v/>
      </c>
      <c r="EA1427" s="64">
        <f>($DW1427-$D1427)*100</f>
        <v/>
      </c>
      <c r="EB1427" s="64">
        <f>$Q1427-$O1427</f>
        <v/>
      </c>
      <c r="EC1427" s="67">
        <f>IFERROR($Q1427/$P1427,"")</f>
        <v/>
      </c>
    </row>
    <row r="1428">
      <c r="DG1428" s="64">
        <f>($B1428-$B1429)*100</f>
        <v/>
      </c>
      <c r="DH1428" s="64">
        <f>($D1428-$D1429)*100</f>
        <v/>
      </c>
      <c r="DI1428" s="64">
        <f>($E1428-$E1429)*100</f>
        <v/>
      </c>
      <c r="DJ1428" s="64">
        <f>($H1428-$H1429)*100</f>
        <v/>
      </c>
      <c r="DK1428" s="65">
        <f>IFERROR($J1428/$J1429-1,"")</f>
        <v/>
      </c>
      <c r="DL1428" s="64">
        <f>$L1428-$L1429</f>
        <v/>
      </c>
      <c r="DM1428" s="64">
        <f>$K1428-$K1429</f>
        <v/>
      </c>
      <c r="DN1428" s="65">
        <f>IFERROR($N1428/$N1429-1,"")</f>
        <v/>
      </c>
      <c r="DO1428" s="65">
        <f>IFERROR($M1428/$M1429-1,"")</f>
        <v/>
      </c>
      <c r="DP1428" s="65">
        <f>IFERROR($AZ1428/$AZ1429-1,"")</f>
        <v/>
      </c>
      <c r="DQ1428" s="65">
        <f>IFERROR($BA1428/$BA1429-1,"")</f>
        <v/>
      </c>
      <c r="DR1428" s="64">
        <f>$O1428-$O1429</f>
        <v/>
      </c>
      <c r="DS1428" s="64">
        <f>$P1428-$P1429</f>
        <v/>
      </c>
      <c r="DT1428" s="64">
        <f>$Q1428-$Q1429</f>
        <v/>
      </c>
      <c r="DU1428" s="64">
        <f>$S1428-$S1429</f>
        <v/>
      </c>
      <c r="DV1428" s="65">
        <f>IFERROR(AVERAGE($AA1429/$AA1428-1,$AB1429/$AB1428-1,$AC1429/$AC1428-1,$AD1429/$AD1428-1,$AE1429/$AE1428-1,$AG1429/$AG1428-1,$AH1429/$AH1428-1,$AI1429/$AI1428-1,$AJ1429/$AJ1428-1,$AL1429/$AL1428-1,$AM1429/$AM1428-1,$AR1429/$AR1428-1,$AS1429/$AS1428-1,$AT1429/$AT1428-1,$AU1429/$AU1428-1,$AV1429/$AV1428-1,$AW1429/$AW1428-1,$AX1429/$AX1428-1,$AY1429/$AY1428-1),"")</f>
        <v/>
      </c>
      <c r="DW1428" s="66">
        <f>AVERAGE($CB1428,$CC1428,$CD1428,$CE1428,$CF1428,$CG1428,$CH1428,$CI1428,$CJ1428,$CL1428,$CM1428,$CN1428,$CO1428,$CP1428,$CQ1428,$CR1428,$CS1428,$CT1428)</f>
        <v/>
      </c>
      <c r="DX1428" s="66">
        <f>AVERAGE($CB1428,$CC1428,$CM1428,$CE1428,$CP1428)</f>
        <v/>
      </c>
      <c r="DY1428" s="64">
        <f>($DW1428-$DW1429)*100</f>
        <v/>
      </c>
      <c r="DZ1428" s="64">
        <f>($DX1428-$DX1429)*100</f>
        <v/>
      </c>
      <c r="EA1428" s="64">
        <f>($DW1428-$D1428)*100</f>
        <v/>
      </c>
      <c r="EB1428" s="64">
        <f>$Q1428-$O1428</f>
        <v/>
      </c>
      <c r="EC1428" s="67">
        <f>IFERROR($Q1428/$P1428,"")</f>
        <v/>
      </c>
    </row>
    <row r="1429">
      <c r="DG1429" s="64">
        <f>($B1429-$B1430)*100</f>
        <v/>
      </c>
      <c r="DH1429" s="64">
        <f>($D1429-$D1430)*100</f>
        <v/>
      </c>
      <c r="DI1429" s="64">
        <f>($E1429-$E1430)*100</f>
        <v/>
      </c>
      <c r="DJ1429" s="64">
        <f>($H1429-$H1430)*100</f>
        <v/>
      </c>
      <c r="DK1429" s="65">
        <f>IFERROR($J1429/$J1430-1,"")</f>
        <v/>
      </c>
      <c r="DL1429" s="64">
        <f>$L1429-$L1430</f>
        <v/>
      </c>
      <c r="DM1429" s="64">
        <f>$K1429-$K1430</f>
        <v/>
      </c>
      <c r="DN1429" s="65">
        <f>IFERROR($N1429/$N1430-1,"")</f>
        <v/>
      </c>
      <c r="DO1429" s="65">
        <f>IFERROR($M1429/$M1430-1,"")</f>
        <v/>
      </c>
      <c r="DP1429" s="65">
        <f>IFERROR($AZ1429/$AZ1430-1,"")</f>
        <v/>
      </c>
      <c r="DQ1429" s="65">
        <f>IFERROR($BA1429/$BA1430-1,"")</f>
        <v/>
      </c>
      <c r="DR1429" s="64">
        <f>$O1429-$O1430</f>
        <v/>
      </c>
      <c r="DS1429" s="64">
        <f>$P1429-$P1430</f>
        <v/>
      </c>
      <c r="DT1429" s="64">
        <f>$Q1429-$Q1430</f>
        <v/>
      </c>
      <c r="DU1429" s="64">
        <f>$S1429-$S1430</f>
        <v/>
      </c>
      <c r="DV1429" s="65">
        <f>IFERROR(AVERAGE($AA1430/$AA1429-1,$AB1430/$AB1429-1,$AC1430/$AC1429-1,$AD1430/$AD1429-1,$AE1430/$AE1429-1,$AG1430/$AG1429-1,$AH1430/$AH1429-1,$AI1430/$AI1429-1,$AJ1430/$AJ1429-1,$AL1430/$AL1429-1,$AM1430/$AM1429-1,$AR1430/$AR1429-1,$AS1430/$AS1429-1,$AT1430/$AT1429-1,$AU1430/$AU1429-1,$AV1430/$AV1429-1,$AW1430/$AW1429-1,$AX1430/$AX1429-1,$AY1430/$AY1429-1),"")</f>
        <v/>
      </c>
      <c r="DW1429" s="66">
        <f>AVERAGE($CB1429,$CC1429,$CD1429,$CE1429,$CF1429,$CG1429,$CH1429,$CI1429,$CJ1429,$CL1429,$CM1429,$CN1429,$CO1429,$CP1429,$CQ1429,$CR1429,$CS1429,$CT1429)</f>
        <v/>
      </c>
      <c r="DX1429" s="66">
        <f>AVERAGE($CB1429,$CC1429,$CM1429,$CE1429,$CP1429)</f>
        <v/>
      </c>
      <c r="DY1429" s="64">
        <f>($DW1429-$DW1430)*100</f>
        <v/>
      </c>
      <c r="DZ1429" s="64">
        <f>($DX1429-$DX1430)*100</f>
        <v/>
      </c>
      <c r="EA1429" s="64">
        <f>($DW1429-$D1429)*100</f>
        <v/>
      </c>
      <c r="EB1429" s="64">
        <f>$Q1429-$O1429</f>
        <v/>
      </c>
      <c r="EC1429" s="67">
        <f>IFERROR($Q1429/$P1429,"")</f>
        <v/>
      </c>
    </row>
    <row r="1430">
      <c r="DG1430" s="64">
        <f>($B1430-$B1431)*100</f>
        <v/>
      </c>
      <c r="DH1430" s="64">
        <f>($D1430-$D1431)*100</f>
        <v/>
      </c>
      <c r="DI1430" s="64">
        <f>($E1430-$E1431)*100</f>
        <v/>
      </c>
      <c r="DJ1430" s="64">
        <f>($H1430-$H1431)*100</f>
        <v/>
      </c>
      <c r="DK1430" s="65">
        <f>IFERROR($J1430/$J1431-1,"")</f>
        <v/>
      </c>
      <c r="DL1430" s="64">
        <f>$L1430-$L1431</f>
        <v/>
      </c>
      <c r="DM1430" s="64">
        <f>$K1430-$K1431</f>
        <v/>
      </c>
      <c r="DN1430" s="65">
        <f>IFERROR($N1430/$N1431-1,"")</f>
        <v/>
      </c>
      <c r="DO1430" s="65">
        <f>IFERROR($M1430/$M1431-1,"")</f>
        <v/>
      </c>
      <c r="DP1430" s="65">
        <f>IFERROR($AZ1430/$AZ1431-1,"")</f>
        <v/>
      </c>
      <c r="DQ1430" s="65">
        <f>IFERROR($BA1430/$BA1431-1,"")</f>
        <v/>
      </c>
      <c r="DR1430" s="64">
        <f>$O1430-$O1431</f>
        <v/>
      </c>
      <c r="DS1430" s="64">
        <f>$P1430-$P1431</f>
        <v/>
      </c>
      <c r="DT1430" s="64">
        <f>$Q1430-$Q1431</f>
        <v/>
      </c>
      <c r="DU1430" s="64">
        <f>$S1430-$S1431</f>
        <v/>
      </c>
      <c r="DV1430" s="65">
        <f>IFERROR(AVERAGE($AA1431/$AA1430-1,$AB1431/$AB1430-1,$AC1431/$AC1430-1,$AD1431/$AD1430-1,$AE1431/$AE1430-1,$AG1431/$AG1430-1,$AH1431/$AH1430-1,$AI1431/$AI1430-1,$AJ1431/$AJ1430-1,$AL1431/$AL1430-1,$AM1431/$AM1430-1,$AR1431/$AR1430-1,$AS1431/$AS1430-1,$AT1431/$AT1430-1,$AU1431/$AU1430-1,$AV1431/$AV1430-1,$AW1431/$AW1430-1,$AX1431/$AX1430-1,$AY1431/$AY1430-1),"")</f>
        <v/>
      </c>
      <c r="DW1430" s="66">
        <f>AVERAGE($CB1430,$CC1430,$CD1430,$CE1430,$CF1430,$CG1430,$CH1430,$CI1430,$CJ1430,$CL1430,$CM1430,$CN1430,$CO1430,$CP1430,$CQ1430,$CR1430,$CS1430,$CT1430)</f>
        <v/>
      </c>
      <c r="DX1430" s="66">
        <f>AVERAGE($CB1430,$CC1430,$CM1430,$CE1430,$CP1430)</f>
        <v/>
      </c>
      <c r="DY1430" s="64">
        <f>($DW1430-$DW1431)*100</f>
        <v/>
      </c>
      <c r="DZ1430" s="64">
        <f>($DX1430-$DX1431)*100</f>
        <v/>
      </c>
      <c r="EA1430" s="64">
        <f>($DW1430-$D1430)*100</f>
        <v/>
      </c>
      <c r="EB1430" s="64">
        <f>$Q1430-$O1430</f>
        <v/>
      </c>
      <c r="EC1430" s="67">
        <f>IFERROR($Q1430/$P1430,"")</f>
        <v/>
      </c>
    </row>
    <row r="1431">
      <c r="DG1431" s="64">
        <f>($B1431-$B1432)*100</f>
        <v/>
      </c>
      <c r="DH1431" s="64">
        <f>($D1431-$D1432)*100</f>
        <v/>
      </c>
      <c r="DI1431" s="64">
        <f>($E1431-$E1432)*100</f>
        <v/>
      </c>
      <c r="DJ1431" s="64">
        <f>($H1431-$H1432)*100</f>
        <v/>
      </c>
      <c r="DK1431" s="65">
        <f>IFERROR($J1431/$J1432-1,"")</f>
        <v/>
      </c>
      <c r="DL1431" s="64">
        <f>$L1431-$L1432</f>
        <v/>
      </c>
      <c r="DM1431" s="64">
        <f>$K1431-$K1432</f>
        <v/>
      </c>
      <c r="DN1431" s="65">
        <f>IFERROR($N1431/$N1432-1,"")</f>
        <v/>
      </c>
      <c r="DO1431" s="65">
        <f>IFERROR($M1431/$M1432-1,"")</f>
        <v/>
      </c>
      <c r="DP1431" s="65">
        <f>IFERROR($AZ1431/$AZ1432-1,"")</f>
        <v/>
      </c>
      <c r="DQ1431" s="65">
        <f>IFERROR($BA1431/$BA1432-1,"")</f>
        <v/>
      </c>
      <c r="DR1431" s="64">
        <f>$O1431-$O1432</f>
        <v/>
      </c>
      <c r="DS1431" s="64">
        <f>$P1431-$P1432</f>
        <v/>
      </c>
      <c r="DT1431" s="64">
        <f>$Q1431-$Q1432</f>
        <v/>
      </c>
      <c r="DU1431" s="64">
        <f>$S1431-$S1432</f>
        <v/>
      </c>
      <c r="DV1431" s="65">
        <f>IFERROR(AVERAGE($AA1432/$AA1431-1,$AB1432/$AB1431-1,$AC1432/$AC1431-1,$AD1432/$AD1431-1,$AE1432/$AE1431-1,$AG1432/$AG1431-1,$AH1432/$AH1431-1,$AI1432/$AI1431-1,$AJ1432/$AJ1431-1,$AL1432/$AL1431-1,$AM1432/$AM1431-1,$AR1432/$AR1431-1,$AS1432/$AS1431-1,$AT1432/$AT1431-1,$AU1432/$AU1431-1,$AV1432/$AV1431-1,$AW1432/$AW1431-1,$AX1432/$AX1431-1,$AY1432/$AY1431-1),"")</f>
        <v/>
      </c>
      <c r="DW1431" s="66">
        <f>AVERAGE($CB1431,$CC1431,$CD1431,$CE1431,$CF1431,$CG1431,$CH1431,$CI1431,$CJ1431,$CL1431,$CM1431,$CN1431,$CO1431,$CP1431,$CQ1431,$CR1431,$CS1431,$CT1431)</f>
        <v/>
      </c>
      <c r="DX1431" s="66">
        <f>AVERAGE($CB1431,$CC1431,$CM1431,$CE1431,$CP1431)</f>
        <v/>
      </c>
      <c r="DY1431" s="64">
        <f>($DW1431-$DW1432)*100</f>
        <v/>
      </c>
      <c r="DZ1431" s="64">
        <f>($DX1431-$DX1432)*100</f>
        <v/>
      </c>
      <c r="EA1431" s="64">
        <f>($DW1431-$D1431)*100</f>
        <v/>
      </c>
      <c r="EB1431" s="64">
        <f>$Q1431-$O1431</f>
        <v/>
      </c>
      <c r="EC1431" s="67">
        <f>IFERROR($Q1431/$P1431,"")</f>
        <v/>
      </c>
    </row>
    <row r="1432">
      <c r="DG1432" s="64">
        <f>($B1432-$B1433)*100</f>
        <v/>
      </c>
      <c r="DH1432" s="64">
        <f>($D1432-$D1433)*100</f>
        <v/>
      </c>
      <c r="DI1432" s="64">
        <f>($E1432-$E1433)*100</f>
        <v/>
      </c>
      <c r="DJ1432" s="64">
        <f>($H1432-$H1433)*100</f>
        <v/>
      </c>
      <c r="DK1432" s="65">
        <f>IFERROR($J1432/$J1433-1,"")</f>
        <v/>
      </c>
      <c r="DL1432" s="64">
        <f>$L1432-$L1433</f>
        <v/>
      </c>
      <c r="DM1432" s="64">
        <f>$K1432-$K1433</f>
        <v/>
      </c>
      <c r="DN1432" s="65">
        <f>IFERROR($N1432/$N1433-1,"")</f>
        <v/>
      </c>
      <c r="DO1432" s="65">
        <f>IFERROR($M1432/$M1433-1,"")</f>
        <v/>
      </c>
      <c r="DP1432" s="65">
        <f>IFERROR($AZ1432/$AZ1433-1,"")</f>
        <v/>
      </c>
      <c r="DQ1432" s="65">
        <f>IFERROR($BA1432/$BA1433-1,"")</f>
        <v/>
      </c>
      <c r="DR1432" s="64">
        <f>$O1432-$O1433</f>
        <v/>
      </c>
      <c r="DS1432" s="64">
        <f>$P1432-$P1433</f>
        <v/>
      </c>
      <c r="DT1432" s="64">
        <f>$Q1432-$Q1433</f>
        <v/>
      </c>
      <c r="DU1432" s="64">
        <f>$S1432-$S1433</f>
        <v/>
      </c>
      <c r="DV1432" s="65">
        <f>IFERROR(AVERAGE($AA1433/$AA1432-1,$AB1433/$AB1432-1,$AC1433/$AC1432-1,$AD1433/$AD1432-1,$AE1433/$AE1432-1,$AG1433/$AG1432-1,$AH1433/$AH1432-1,$AI1433/$AI1432-1,$AJ1433/$AJ1432-1,$AL1433/$AL1432-1,$AM1433/$AM1432-1,$AR1433/$AR1432-1,$AS1433/$AS1432-1,$AT1433/$AT1432-1,$AU1433/$AU1432-1,$AV1433/$AV1432-1,$AW1433/$AW1432-1,$AX1433/$AX1432-1,$AY1433/$AY1432-1),"")</f>
        <v/>
      </c>
      <c r="DW1432" s="66">
        <f>AVERAGE($CB1432,$CC1432,$CD1432,$CE1432,$CF1432,$CG1432,$CH1432,$CI1432,$CJ1432,$CL1432,$CM1432,$CN1432,$CO1432,$CP1432,$CQ1432,$CR1432,$CS1432,$CT1432)</f>
        <v/>
      </c>
      <c r="DX1432" s="66">
        <f>AVERAGE($CB1432,$CC1432,$CM1432,$CE1432,$CP1432)</f>
        <v/>
      </c>
      <c r="DY1432" s="64">
        <f>($DW1432-$DW1433)*100</f>
        <v/>
      </c>
      <c r="DZ1432" s="64">
        <f>($DX1432-$DX1433)*100</f>
        <v/>
      </c>
      <c r="EA1432" s="64">
        <f>($DW1432-$D1432)*100</f>
        <v/>
      </c>
      <c r="EB1432" s="64">
        <f>$Q1432-$O1432</f>
        <v/>
      </c>
      <c r="EC1432" s="67">
        <f>IFERROR($Q1432/$P1432,"")</f>
        <v/>
      </c>
    </row>
    <row r="1433">
      <c r="DG1433" s="64">
        <f>($B1433-$B1434)*100</f>
        <v/>
      </c>
      <c r="DH1433" s="64">
        <f>($D1433-$D1434)*100</f>
        <v/>
      </c>
      <c r="DI1433" s="64">
        <f>($E1433-$E1434)*100</f>
        <v/>
      </c>
      <c r="DJ1433" s="64">
        <f>($H1433-$H1434)*100</f>
        <v/>
      </c>
      <c r="DK1433" s="65">
        <f>IFERROR($J1433/$J1434-1,"")</f>
        <v/>
      </c>
      <c r="DL1433" s="64">
        <f>$L1433-$L1434</f>
        <v/>
      </c>
      <c r="DM1433" s="64">
        <f>$K1433-$K1434</f>
        <v/>
      </c>
      <c r="DN1433" s="65">
        <f>IFERROR($N1433/$N1434-1,"")</f>
        <v/>
      </c>
      <c r="DO1433" s="65">
        <f>IFERROR($M1433/$M1434-1,"")</f>
        <v/>
      </c>
      <c r="DP1433" s="65">
        <f>IFERROR($AZ1433/$AZ1434-1,"")</f>
        <v/>
      </c>
      <c r="DQ1433" s="65">
        <f>IFERROR($BA1433/$BA1434-1,"")</f>
        <v/>
      </c>
      <c r="DR1433" s="64">
        <f>$O1433-$O1434</f>
        <v/>
      </c>
      <c r="DS1433" s="64">
        <f>$P1433-$P1434</f>
        <v/>
      </c>
      <c r="DT1433" s="64">
        <f>$Q1433-$Q1434</f>
        <v/>
      </c>
      <c r="DU1433" s="64">
        <f>$S1433-$S1434</f>
        <v/>
      </c>
      <c r="DV1433" s="65">
        <f>IFERROR(AVERAGE($AA1434/$AA1433-1,$AB1434/$AB1433-1,$AC1434/$AC1433-1,$AD1434/$AD1433-1,$AE1434/$AE1433-1,$AG1434/$AG1433-1,$AH1434/$AH1433-1,$AI1434/$AI1433-1,$AJ1434/$AJ1433-1,$AL1434/$AL1433-1,$AM1434/$AM1433-1,$AR1434/$AR1433-1,$AS1434/$AS1433-1,$AT1434/$AT1433-1,$AU1434/$AU1433-1,$AV1434/$AV1433-1,$AW1434/$AW1433-1,$AX1434/$AX1433-1,$AY1434/$AY1433-1),"")</f>
        <v/>
      </c>
      <c r="DW1433" s="66">
        <f>AVERAGE($CB1433,$CC1433,$CD1433,$CE1433,$CF1433,$CG1433,$CH1433,$CI1433,$CJ1433,$CL1433,$CM1433,$CN1433,$CO1433,$CP1433,$CQ1433,$CR1433,$CS1433,$CT1433)</f>
        <v/>
      </c>
      <c r="DX1433" s="66">
        <f>AVERAGE($CB1433,$CC1433,$CM1433,$CE1433,$CP1433)</f>
        <v/>
      </c>
      <c r="DY1433" s="64">
        <f>($DW1433-$DW1434)*100</f>
        <v/>
      </c>
      <c r="DZ1433" s="64">
        <f>($DX1433-$DX1434)*100</f>
        <v/>
      </c>
      <c r="EA1433" s="64">
        <f>($DW1433-$D1433)*100</f>
        <v/>
      </c>
      <c r="EB1433" s="64">
        <f>$Q1433-$O1433</f>
        <v/>
      </c>
      <c r="EC1433" s="67">
        <f>IFERROR($Q1433/$P1433,"")</f>
        <v/>
      </c>
    </row>
    <row r="1434">
      <c r="DG1434" s="64">
        <f>($B1434-$B1435)*100</f>
        <v/>
      </c>
      <c r="DH1434" s="64">
        <f>($D1434-$D1435)*100</f>
        <v/>
      </c>
      <c r="DI1434" s="64">
        <f>($E1434-$E1435)*100</f>
        <v/>
      </c>
      <c r="DJ1434" s="64">
        <f>($H1434-$H1435)*100</f>
        <v/>
      </c>
      <c r="DK1434" s="65">
        <f>IFERROR($J1434/$J1435-1,"")</f>
        <v/>
      </c>
      <c r="DL1434" s="64">
        <f>$L1434-$L1435</f>
        <v/>
      </c>
      <c r="DM1434" s="64">
        <f>$K1434-$K1435</f>
        <v/>
      </c>
      <c r="DN1434" s="65">
        <f>IFERROR($N1434/$N1435-1,"")</f>
        <v/>
      </c>
      <c r="DO1434" s="65">
        <f>IFERROR($M1434/$M1435-1,"")</f>
        <v/>
      </c>
      <c r="DP1434" s="65">
        <f>IFERROR($AZ1434/$AZ1435-1,"")</f>
        <v/>
      </c>
      <c r="DQ1434" s="65">
        <f>IFERROR($BA1434/$BA1435-1,"")</f>
        <v/>
      </c>
      <c r="DR1434" s="64">
        <f>$O1434-$O1435</f>
        <v/>
      </c>
      <c r="DS1434" s="64">
        <f>$P1434-$P1435</f>
        <v/>
      </c>
      <c r="DT1434" s="64">
        <f>$Q1434-$Q1435</f>
        <v/>
      </c>
      <c r="DU1434" s="64">
        <f>$S1434-$S1435</f>
        <v/>
      </c>
      <c r="DV1434" s="65">
        <f>IFERROR(AVERAGE($AA1435/$AA1434-1,$AB1435/$AB1434-1,$AC1435/$AC1434-1,$AD1435/$AD1434-1,$AE1435/$AE1434-1,$AG1435/$AG1434-1,$AH1435/$AH1434-1,$AI1435/$AI1434-1,$AJ1435/$AJ1434-1,$AL1435/$AL1434-1,$AM1435/$AM1434-1,$AR1435/$AR1434-1,$AS1435/$AS1434-1,$AT1435/$AT1434-1,$AU1435/$AU1434-1,$AV1435/$AV1434-1,$AW1435/$AW1434-1,$AX1435/$AX1434-1,$AY1435/$AY1434-1),"")</f>
        <v/>
      </c>
      <c r="DW1434" s="66">
        <f>AVERAGE($CB1434,$CC1434,$CD1434,$CE1434,$CF1434,$CG1434,$CH1434,$CI1434,$CJ1434,$CL1434,$CM1434,$CN1434,$CO1434,$CP1434,$CQ1434,$CR1434,$CS1434,$CT1434)</f>
        <v/>
      </c>
      <c r="DX1434" s="66">
        <f>AVERAGE($CB1434,$CC1434,$CM1434,$CE1434,$CP1434)</f>
        <v/>
      </c>
      <c r="DY1434" s="64">
        <f>($DW1434-$DW1435)*100</f>
        <v/>
      </c>
      <c r="DZ1434" s="64">
        <f>($DX1434-$DX1435)*100</f>
        <v/>
      </c>
      <c r="EA1434" s="64">
        <f>($DW1434-$D1434)*100</f>
        <v/>
      </c>
      <c r="EB1434" s="64">
        <f>$Q1434-$O1434</f>
        <v/>
      </c>
      <c r="EC1434" s="67">
        <f>IFERROR($Q1434/$P1434,"")</f>
        <v/>
      </c>
    </row>
    <row r="1435">
      <c r="DG1435" s="64">
        <f>($B1435-$B1436)*100</f>
        <v/>
      </c>
      <c r="DH1435" s="64">
        <f>($D1435-$D1436)*100</f>
        <v/>
      </c>
      <c r="DI1435" s="64">
        <f>($E1435-$E1436)*100</f>
        <v/>
      </c>
      <c r="DJ1435" s="64">
        <f>($H1435-$H1436)*100</f>
        <v/>
      </c>
      <c r="DK1435" s="65">
        <f>IFERROR($J1435/$J1436-1,"")</f>
        <v/>
      </c>
      <c r="DL1435" s="64">
        <f>$L1435-$L1436</f>
        <v/>
      </c>
      <c r="DM1435" s="64">
        <f>$K1435-$K1436</f>
        <v/>
      </c>
      <c r="DN1435" s="65">
        <f>IFERROR($N1435/$N1436-1,"")</f>
        <v/>
      </c>
      <c r="DO1435" s="65">
        <f>IFERROR($M1435/$M1436-1,"")</f>
        <v/>
      </c>
      <c r="DP1435" s="65">
        <f>IFERROR($AZ1435/$AZ1436-1,"")</f>
        <v/>
      </c>
      <c r="DQ1435" s="65">
        <f>IFERROR($BA1435/$BA1436-1,"")</f>
        <v/>
      </c>
      <c r="DR1435" s="64">
        <f>$O1435-$O1436</f>
        <v/>
      </c>
      <c r="DS1435" s="64">
        <f>$P1435-$P1436</f>
        <v/>
      </c>
      <c r="DT1435" s="64">
        <f>$Q1435-$Q1436</f>
        <v/>
      </c>
      <c r="DU1435" s="64">
        <f>$S1435-$S1436</f>
        <v/>
      </c>
      <c r="DV1435" s="65">
        <f>IFERROR(AVERAGE($AA1436/$AA1435-1,$AB1436/$AB1435-1,$AC1436/$AC1435-1,$AD1436/$AD1435-1,$AE1436/$AE1435-1,$AG1436/$AG1435-1,$AH1436/$AH1435-1,$AI1436/$AI1435-1,$AJ1436/$AJ1435-1,$AL1436/$AL1435-1,$AM1436/$AM1435-1,$AR1436/$AR1435-1,$AS1436/$AS1435-1,$AT1436/$AT1435-1,$AU1436/$AU1435-1,$AV1436/$AV1435-1,$AW1436/$AW1435-1,$AX1436/$AX1435-1,$AY1436/$AY1435-1),"")</f>
        <v/>
      </c>
      <c r="DW1435" s="66">
        <f>AVERAGE($CB1435,$CC1435,$CD1435,$CE1435,$CF1435,$CG1435,$CH1435,$CI1435,$CJ1435,$CL1435,$CM1435,$CN1435,$CO1435,$CP1435,$CQ1435,$CR1435,$CS1435,$CT1435)</f>
        <v/>
      </c>
      <c r="DX1435" s="66">
        <f>AVERAGE($CB1435,$CC1435,$CM1435,$CE1435,$CP1435)</f>
        <v/>
      </c>
      <c r="DY1435" s="64">
        <f>($DW1435-$DW1436)*100</f>
        <v/>
      </c>
      <c r="DZ1435" s="64">
        <f>($DX1435-$DX1436)*100</f>
        <v/>
      </c>
      <c r="EA1435" s="64">
        <f>($DW1435-$D1435)*100</f>
        <v/>
      </c>
      <c r="EB1435" s="64">
        <f>$Q1435-$O1435</f>
        <v/>
      </c>
      <c r="EC1435" s="67">
        <f>IFERROR($Q1435/$P1435,"")</f>
        <v/>
      </c>
    </row>
    <row r="1436">
      <c r="DG1436" s="64">
        <f>($B1436-$B1437)*100</f>
        <v/>
      </c>
      <c r="DH1436" s="64">
        <f>($D1436-$D1437)*100</f>
        <v/>
      </c>
      <c r="DI1436" s="64">
        <f>($E1436-$E1437)*100</f>
        <v/>
      </c>
      <c r="DJ1436" s="64">
        <f>($H1436-$H1437)*100</f>
        <v/>
      </c>
      <c r="DK1436" s="65">
        <f>IFERROR($J1436/$J1437-1,"")</f>
        <v/>
      </c>
      <c r="DL1436" s="64">
        <f>$L1436-$L1437</f>
        <v/>
      </c>
      <c r="DM1436" s="64">
        <f>$K1436-$K1437</f>
        <v/>
      </c>
      <c r="DN1436" s="65">
        <f>IFERROR($N1436/$N1437-1,"")</f>
        <v/>
      </c>
      <c r="DO1436" s="65">
        <f>IFERROR($M1436/$M1437-1,"")</f>
        <v/>
      </c>
      <c r="DP1436" s="65">
        <f>IFERROR($AZ1436/$AZ1437-1,"")</f>
        <v/>
      </c>
      <c r="DQ1436" s="65">
        <f>IFERROR($BA1436/$BA1437-1,"")</f>
        <v/>
      </c>
      <c r="DR1436" s="64">
        <f>$O1436-$O1437</f>
        <v/>
      </c>
      <c r="DS1436" s="64">
        <f>$P1436-$P1437</f>
        <v/>
      </c>
      <c r="DT1436" s="64">
        <f>$Q1436-$Q1437</f>
        <v/>
      </c>
      <c r="DU1436" s="64">
        <f>$S1436-$S1437</f>
        <v/>
      </c>
      <c r="DV1436" s="65">
        <f>IFERROR(AVERAGE($AA1437/$AA1436-1,$AB1437/$AB1436-1,$AC1437/$AC1436-1,$AD1437/$AD1436-1,$AE1437/$AE1436-1,$AG1437/$AG1436-1,$AH1437/$AH1436-1,$AI1437/$AI1436-1,$AJ1437/$AJ1436-1,$AL1437/$AL1436-1,$AM1437/$AM1436-1,$AR1437/$AR1436-1,$AS1437/$AS1436-1,$AT1437/$AT1436-1,$AU1437/$AU1436-1,$AV1437/$AV1436-1,$AW1437/$AW1436-1,$AX1437/$AX1436-1,$AY1437/$AY1436-1),"")</f>
        <v/>
      </c>
      <c r="DW1436" s="66">
        <f>AVERAGE($CB1436,$CC1436,$CD1436,$CE1436,$CF1436,$CG1436,$CH1436,$CI1436,$CJ1436,$CL1436,$CM1436,$CN1436,$CO1436,$CP1436,$CQ1436,$CR1436,$CS1436,$CT1436)</f>
        <v/>
      </c>
      <c r="DX1436" s="66">
        <f>AVERAGE($CB1436,$CC1436,$CM1436,$CE1436,$CP1436)</f>
        <v/>
      </c>
      <c r="DY1436" s="64">
        <f>($DW1436-$DW1437)*100</f>
        <v/>
      </c>
      <c r="DZ1436" s="64">
        <f>($DX1436-$DX1437)*100</f>
        <v/>
      </c>
      <c r="EA1436" s="64">
        <f>($DW1436-$D1436)*100</f>
        <v/>
      </c>
      <c r="EB1436" s="64">
        <f>$Q1436-$O1436</f>
        <v/>
      </c>
      <c r="EC1436" s="67">
        <f>IFERROR($Q1436/$P1436,"")</f>
        <v/>
      </c>
    </row>
    <row r="1437">
      <c r="DG1437" s="64">
        <f>($B1437-$B1438)*100</f>
        <v/>
      </c>
      <c r="DH1437" s="64">
        <f>($D1437-$D1438)*100</f>
        <v/>
      </c>
      <c r="DI1437" s="64">
        <f>($E1437-$E1438)*100</f>
        <v/>
      </c>
      <c r="DJ1437" s="64">
        <f>($H1437-$H1438)*100</f>
        <v/>
      </c>
      <c r="DK1437" s="65">
        <f>IFERROR($J1437/$J1438-1,"")</f>
        <v/>
      </c>
      <c r="DL1437" s="64">
        <f>$L1437-$L1438</f>
        <v/>
      </c>
      <c r="DM1437" s="64">
        <f>$K1437-$K1438</f>
        <v/>
      </c>
      <c r="DN1437" s="65">
        <f>IFERROR($N1437/$N1438-1,"")</f>
        <v/>
      </c>
      <c r="DO1437" s="65">
        <f>IFERROR($M1437/$M1438-1,"")</f>
        <v/>
      </c>
      <c r="DP1437" s="65">
        <f>IFERROR($AZ1437/$AZ1438-1,"")</f>
        <v/>
      </c>
      <c r="DQ1437" s="65">
        <f>IFERROR($BA1437/$BA1438-1,"")</f>
        <v/>
      </c>
      <c r="DR1437" s="64">
        <f>$O1437-$O1438</f>
        <v/>
      </c>
      <c r="DS1437" s="64">
        <f>$P1437-$P1438</f>
        <v/>
      </c>
      <c r="DT1437" s="64">
        <f>$Q1437-$Q1438</f>
        <v/>
      </c>
      <c r="DU1437" s="64">
        <f>$S1437-$S1438</f>
        <v/>
      </c>
      <c r="DV1437" s="65">
        <f>IFERROR(AVERAGE($AA1438/$AA1437-1,$AB1438/$AB1437-1,$AC1438/$AC1437-1,$AD1438/$AD1437-1,$AE1438/$AE1437-1,$AG1438/$AG1437-1,$AH1438/$AH1437-1,$AI1438/$AI1437-1,$AJ1438/$AJ1437-1,$AL1438/$AL1437-1,$AM1438/$AM1437-1,$AR1438/$AR1437-1,$AS1438/$AS1437-1,$AT1438/$AT1437-1,$AU1438/$AU1437-1,$AV1438/$AV1437-1,$AW1438/$AW1437-1,$AX1438/$AX1437-1,$AY1438/$AY1437-1),"")</f>
        <v/>
      </c>
      <c r="DW1437" s="66">
        <f>AVERAGE($CB1437,$CC1437,$CD1437,$CE1437,$CF1437,$CG1437,$CH1437,$CI1437,$CJ1437,$CL1437,$CM1437,$CN1437,$CO1437,$CP1437,$CQ1437,$CR1437,$CS1437,$CT1437)</f>
        <v/>
      </c>
      <c r="DX1437" s="66">
        <f>AVERAGE($CB1437,$CC1437,$CM1437,$CE1437,$CP1437)</f>
        <v/>
      </c>
      <c r="DY1437" s="64">
        <f>($DW1437-$DW1438)*100</f>
        <v/>
      </c>
      <c r="DZ1437" s="64">
        <f>($DX1437-$DX1438)*100</f>
        <v/>
      </c>
      <c r="EA1437" s="64">
        <f>($DW1437-$D1437)*100</f>
        <v/>
      </c>
      <c r="EB1437" s="64">
        <f>$Q1437-$O1437</f>
        <v/>
      </c>
      <c r="EC1437" s="67">
        <f>IFERROR($Q1437/$P1437,"")</f>
        <v/>
      </c>
    </row>
    <row r="1438">
      <c r="DG1438" s="64">
        <f>($B1438-$B1439)*100</f>
        <v/>
      </c>
      <c r="DH1438" s="64">
        <f>($D1438-$D1439)*100</f>
        <v/>
      </c>
      <c r="DI1438" s="64">
        <f>($E1438-$E1439)*100</f>
        <v/>
      </c>
      <c r="DJ1438" s="64">
        <f>($H1438-$H1439)*100</f>
        <v/>
      </c>
      <c r="DK1438" s="65">
        <f>IFERROR($J1438/$J1439-1,"")</f>
        <v/>
      </c>
      <c r="DL1438" s="64">
        <f>$L1438-$L1439</f>
        <v/>
      </c>
      <c r="DM1438" s="64">
        <f>$K1438-$K1439</f>
        <v/>
      </c>
      <c r="DN1438" s="65">
        <f>IFERROR($N1438/$N1439-1,"")</f>
        <v/>
      </c>
      <c r="DO1438" s="65">
        <f>IFERROR($M1438/$M1439-1,"")</f>
        <v/>
      </c>
      <c r="DP1438" s="65">
        <f>IFERROR($AZ1438/$AZ1439-1,"")</f>
        <v/>
      </c>
      <c r="DQ1438" s="65">
        <f>IFERROR($BA1438/$BA1439-1,"")</f>
        <v/>
      </c>
      <c r="DR1438" s="64">
        <f>$O1438-$O1439</f>
        <v/>
      </c>
      <c r="DS1438" s="64">
        <f>$P1438-$P1439</f>
        <v/>
      </c>
      <c r="DT1438" s="64">
        <f>$Q1438-$Q1439</f>
        <v/>
      </c>
      <c r="DU1438" s="64">
        <f>$S1438-$S1439</f>
        <v/>
      </c>
      <c r="DV1438" s="65">
        <f>IFERROR(AVERAGE($AA1439/$AA1438-1,$AB1439/$AB1438-1,$AC1439/$AC1438-1,$AD1439/$AD1438-1,$AE1439/$AE1438-1,$AG1439/$AG1438-1,$AH1439/$AH1438-1,$AI1439/$AI1438-1,$AJ1439/$AJ1438-1,$AL1439/$AL1438-1,$AM1439/$AM1438-1,$AR1439/$AR1438-1,$AS1439/$AS1438-1,$AT1439/$AT1438-1,$AU1439/$AU1438-1,$AV1439/$AV1438-1,$AW1439/$AW1438-1,$AX1439/$AX1438-1,$AY1439/$AY1438-1),"")</f>
        <v/>
      </c>
      <c r="DW1438" s="66">
        <f>AVERAGE($CB1438,$CC1438,$CD1438,$CE1438,$CF1438,$CG1438,$CH1438,$CI1438,$CJ1438,$CL1438,$CM1438,$CN1438,$CO1438,$CP1438,$CQ1438,$CR1438,$CS1438,$CT1438)</f>
        <v/>
      </c>
      <c r="DX1438" s="66">
        <f>AVERAGE($CB1438,$CC1438,$CM1438,$CE1438,$CP1438)</f>
        <v/>
      </c>
      <c r="DY1438" s="64">
        <f>($DW1438-$DW1439)*100</f>
        <v/>
      </c>
      <c r="DZ1438" s="64">
        <f>($DX1438-$DX1439)*100</f>
        <v/>
      </c>
      <c r="EA1438" s="64">
        <f>($DW1438-$D1438)*100</f>
        <v/>
      </c>
      <c r="EB1438" s="64">
        <f>$Q1438-$O1438</f>
        <v/>
      </c>
      <c r="EC1438" s="67">
        <f>IFERROR($Q1438/$P1438,"")</f>
        <v/>
      </c>
    </row>
    <row r="1439">
      <c r="DG1439" s="64">
        <f>($B1439-$B1440)*100</f>
        <v/>
      </c>
      <c r="DH1439" s="64">
        <f>($D1439-$D1440)*100</f>
        <v/>
      </c>
      <c r="DI1439" s="64">
        <f>($E1439-$E1440)*100</f>
        <v/>
      </c>
      <c r="DJ1439" s="64">
        <f>($H1439-$H1440)*100</f>
        <v/>
      </c>
      <c r="DK1439" s="65">
        <f>IFERROR($J1439/$J1440-1,"")</f>
        <v/>
      </c>
      <c r="DL1439" s="64">
        <f>$L1439-$L1440</f>
        <v/>
      </c>
      <c r="DM1439" s="64">
        <f>$K1439-$K1440</f>
        <v/>
      </c>
      <c r="DN1439" s="65">
        <f>IFERROR($N1439/$N1440-1,"")</f>
        <v/>
      </c>
      <c r="DO1439" s="65">
        <f>IFERROR($M1439/$M1440-1,"")</f>
        <v/>
      </c>
      <c r="DP1439" s="65">
        <f>IFERROR($AZ1439/$AZ1440-1,"")</f>
        <v/>
      </c>
      <c r="DQ1439" s="65">
        <f>IFERROR($BA1439/$BA1440-1,"")</f>
        <v/>
      </c>
      <c r="DR1439" s="64">
        <f>$O1439-$O1440</f>
        <v/>
      </c>
      <c r="DS1439" s="64">
        <f>$P1439-$P1440</f>
        <v/>
      </c>
      <c r="DT1439" s="64">
        <f>$Q1439-$Q1440</f>
        <v/>
      </c>
      <c r="DU1439" s="64">
        <f>$S1439-$S1440</f>
        <v/>
      </c>
      <c r="DV1439" s="65">
        <f>IFERROR(AVERAGE($AA1440/$AA1439-1,$AB1440/$AB1439-1,$AC1440/$AC1439-1,$AD1440/$AD1439-1,$AE1440/$AE1439-1,$AG1440/$AG1439-1,$AH1440/$AH1439-1,$AI1440/$AI1439-1,$AJ1440/$AJ1439-1,$AL1440/$AL1439-1,$AM1440/$AM1439-1,$AR1440/$AR1439-1,$AS1440/$AS1439-1,$AT1440/$AT1439-1,$AU1440/$AU1439-1,$AV1440/$AV1439-1,$AW1440/$AW1439-1,$AX1440/$AX1439-1,$AY1440/$AY1439-1),"")</f>
        <v/>
      </c>
      <c r="DW1439" s="66">
        <f>AVERAGE($CB1439,$CC1439,$CD1439,$CE1439,$CF1439,$CG1439,$CH1439,$CI1439,$CJ1439,$CL1439,$CM1439,$CN1439,$CO1439,$CP1439,$CQ1439,$CR1439,$CS1439,$CT1439)</f>
        <v/>
      </c>
      <c r="DX1439" s="66">
        <f>AVERAGE($CB1439,$CC1439,$CM1439,$CE1439,$CP1439)</f>
        <v/>
      </c>
      <c r="DY1439" s="64">
        <f>($DW1439-$DW1440)*100</f>
        <v/>
      </c>
      <c r="DZ1439" s="64">
        <f>($DX1439-$DX1440)*100</f>
        <v/>
      </c>
      <c r="EA1439" s="64">
        <f>($DW1439-$D1439)*100</f>
        <v/>
      </c>
      <c r="EB1439" s="64">
        <f>$Q1439-$O1439</f>
        <v/>
      </c>
      <c r="EC1439" s="67">
        <f>IFERROR($Q1439/$P1439,"")</f>
        <v/>
      </c>
    </row>
    <row r="1440">
      <c r="DG1440" s="64">
        <f>($B1440-$B1441)*100</f>
        <v/>
      </c>
      <c r="DH1440" s="64">
        <f>($D1440-$D1441)*100</f>
        <v/>
      </c>
      <c r="DI1440" s="64">
        <f>($E1440-$E1441)*100</f>
        <v/>
      </c>
      <c r="DJ1440" s="64">
        <f>($H1440-$H1441)*100</f>
        <v/>
      </c>
      <c r="DK1440" s="65">
        <f>IFERROR($J1440/$J1441-1,"")</f>
        <v/>
      </c>
      <c r="DL1440" s="64">
        <f>$L1440-$L1441</f>
        <v/>
      </c>
      <c r="DM1440" s="64">
        <f>$K1440-$K1441</f>
        <v/>
      </c>
      <c r="DN1440" s="65">
        <f>IFERROR($N1440/$N1441-1,"")</f>
        <v/>
      </c>
      <c r="DO1440" s="65">
        <f>IFERROR($M1440/$M1441-1,"")</f>
        <v/>
      </c>
      <c r="DP1440" s="65">
        <f>IFERROR($AZ1440/$AZ1441-1,"")</f>
        <v/>
      </c>
      <c r="DQ1440" s="65">
        <f>IFERROR($BA1440/$BA1441-1,"")</f>
        <v/>
      </c>
      <c r="DR1440" s="64">
        <f>$O1440-$O1441</f>
        <v/>
      </c>
      <c r="DS1440" s="64">
        <f>$P1440-$P1441</f>
        <v/>
      </c>
      <c r="DT1440" s="64">
        <f>$Q1440-$Q1441</f>
        <v/>
      </c>
      <c r="DU1440" s="64">
        <f>$S1440-$S1441</f>
        <v/>
      </c>
      <c r="DV1440" s="65">
        <f>IFERROR(AVERAGE($AA1441/$AA1440-1,$AB1441/$AB1440-1,$AC1441/$AC1440-1,$AD1441/$AD1440-1,$AE1441/$AE1440-1,$AG1441/$AG1440-1,$AH1441/$AH1440-1,$AI1441/$AI1440-1,$AJ1441/$AJ1440-1,$AL1441/$AL1440-1,$AM1441/$AM1440-1,$AR1441/$AR1440-1,$AS1441/$AS1440-1,$AT1441/$AT1440-1,$AU1441/$AU1440-1,$AV1441/$AV1440-1,$AW1441/$AW1440-1,$AX1441/$AX1440-1,$AY1441/$AY1440-1),"")</f>
        <v/>
      </c>
      <c r="DW1440" s="66">
        <f>AVERAGE($CB1440,$CC1440,$CD1440,$CE1440,$CF1440,$CG1440,$CH1440,$CI1440,$CJ1440,$CL1440,$CM1440,$CN1440,$CO1440,$CP1440,$CQ1440,$CR1440,$CS1440,$CT1440)</f>
        <v/>
      </c>
      <c r="DX1440" s="66">
        <f>AVERAGE($CB1440,$CC1440,$CM1440,$CE1440,$CP1440)</f>
        <v/>
      </c>
      <c r="DY1440" s="64">
        <f>($DW1440-$DW1441)*100</f>
        <v/>
      </c>
      <c r="DZ1440" s="64">
        <f>($DX1440-$DX1441)*100</f>
        <v/>
      </c>
      <c r="EA1440" s="64">
        <f>($DW1440-$D1440)*100</f>
        <v/>
      </c>
      <c r="EB1440" s="64">
        <f>$Q1440-$O1440</f>
        <v/>
      </c>
      <c r="EC1440" s="67">
        <f>IFERROR($Q1440/$P1440,"")</f>
        <v/>
      </c>
    </row>
    <row r="1441">
      <c r="DG1441" s="64">
        <f>($B1441-$B1442)*100</f>
        <v/>
      </c>
      <c r="DH1441" s="64">
        <f>($D1441-$D1442)*100</f>
        <v/>
      </c>
      <c r="DI1441" s="64">
        <f>($E1441-$E1442)*100</f>
        <v/>
      </c>
      <c r="DJ1441" s="64">
        <f>($H1441-$H1442)*100</f>
        <v/>
      </c>
      <c r="DK1441" s="65">
        <f>IFERROR($J1441/$J1442-1,"")</f>
        <v/>
      </c>
      <c r="DL1441" s="64">
        <f>$L1441-$L1442</f>
        <v/>
      </c>
      <c r="DM1441" s="64">
        <f>$K1441-$K1442</f>
        <v/>
      </c>
      <c r="DN1441" s="65">
        <f>IFERROR($N1441/$N1442-1,"")</f>
        <v/>
      </c>
      <c r="DO1441" s="65">
        <f>IFERROR($M1441/$M1442-1,"")</f>
        <v/>
      </c>
      <c r="DP1441" s="65">
        <f>IFERROR($AZ1441/$AZ1442-1,"")</f>
        <v/>
      </c>
      <c r="DQ1441" s="65">
        <f>IFERROR($BA1441/$BA1442-1,"")</f>
        <v/>
      </c>
      <c r="DR1441" s="64">
        <f>$O1441-$O1442</f>
        <v/>
      </c>
      <c r="DS1441" s="64">
        <f>$P1441-$P1442</f>
        <v/>
      </c>
      <c r="DT1441" s="64">
        <f>$Q1441-$Q1442</f>
        <v/>
      </c>
      <c r="DU1441" s="64">
        <f>$S1441-$S1442</f>
        <v/>
      </c>
      <c r="DV1441" s="65">
        <f>IFERROR(AVERAGE($AA1442/$AA1441-1,$AB1442/$AB1441-1,$AC1442/$AC1441-1,$AD1442/$AD1441-1,$AE1442/$AE1441-1,$AG1442/$AG1441-1,$AH1442/$AH1441-1,$AI1442/$AI1441-1,$AJ1442/$AJ1441-1,$AL1442/$AL1441-1,$AM1442/$AM1441-1,$AR1442/$AR1441-1,$AS1442/$AS1441-1,$AT1442/$AT1441-1,$AU1442/$AU1441-1,$AV1442/$AV1441-1,$AW1442/$AW1441-1,$AX1442/$AX1441-1,$AY1442/$AY1441-1),"")</f>
        <v/>
      </c>
      <c r="DW1441" s="66">
        <f>AVERAGE($CB1441,$CC1441,$CD1441,$CE1441,$CF1441,$CG1441,$CH1441,$CI1441,$CJ1441,$CL1441,$CM1441,$CN1441,$CO1441,$CP1441,$CQ1441,$CR1441,$CS1441,$CT1441)</f>
        <v/>
      </c>
      <c r="DX1441" s="66">
        <f>AVERAGE($CB1441,$CC1441,$CM1441,$CE1441,$CP1441)</f>
        <v/>
      </c>
      <c r="DY1441" s="64">
        <f>($DW1441-$DW1442)*100</f>
        <v/>
      </c>
      <c r="DZ1441" s="64">
        <f>($DX1441-$DX1442)*100</f>
        <v/>
      </c>
      <c r="EA1441" s="64">
        <f>($DW1441-$D1441)*100</f>
        <v/>
      </c>
      <c r="EB1441" s="64">
        <f>$Q1441-$O1441</f>
        <v/>
      </c>
      <c r="EC1441" s="67">
        <f>IFERROR($Q1441/$P1441,"")</f>
        <v/>
      </c>
    </row>
    <row r="1442">
      <c r="DG1442" s="64">
        <f>($B1442-$B1443)*100</f>
        <v/>
      </c>
      <c r="DH1442" s="64">
        <f>($D1442-$D1443)*100</f>
        <v/>
      </c>
      <c r="DI1442" s="64">
        <f>($E1442-$E1443)*100</f>
        <v/>
      </c>
      <c r="DJ1442" s="64">
        <f>($H1442-$H1443)*100</f>
        <v/>
      </c>
      <c r="DK1442" s="65">
        <f>IFERROR($J1442/$J1443-1,"")</f>
        <v/>
      </c>
      <c r="DL1442" s="64">
        <f>$L1442-$L1443</f>
        <v/>
      </c>
      <c r="DM1442" s="64">
        <f>$K1442-$K1443</f>
        <v/>
      </c>
      <c r="DN1442" s="65">
        <f>IFERROR($N1442/$N1443-1,"")</f>
        <v/>
      </c>
      <c r="DO1442" s="65">
        <f>IFERROR($M1442/$M1443-1,"")</f>
        <v/>
      </c>
      <c r="DP1442" s="65">
        <f>IFERROR($AZ1442/$AZ1443-1,"")</f>
        <v/>
      </c>
      <c r="DQ1442" s="65">
        <f>IFERROR($BA1442/$BA1443-1,"")</f>
        <v/>
      </c>
      <c r="DR1442" s="64">
        <f>$O1442-$O1443</f>
        <v/>
      </c>
      <c r="DS1442" s="64">
        <f>$P1442-$P1443</f>
        <v/>
      </c>
      <c r="DT1442" s="64">
        <f>$Q1442-$Q1443</f>
        <v/>
      </c>
      <c r="DU1442" s="64">
        <f>$S1442-$S1443</f>
        <v/>
      </c>
      <c r="DV1442" s="65">
        <f>IFERROR(AVERAGE($AA1443/$AA1442-1,$AB1443/$AB1442-1,$AC1443/$AC1442-1,$AD1443/$AD1442-1,$AE1443/$AE1442-1,$AG1443/$AG1442-1,$AH1443/$AH1442-1,$AI1443/$AI1442-1,$AJ1443/$AJ1442-1,$AL1443/$AL1442-1,$AM1443/$AM1442-1,$AR1443/$AR1442-1,$AS1443/$AS1442-1,$AT1443/$AT1442-1,$AU1443/$AU1442-1,$AV1443/$AV1442-1,$AW1443/$AW1442-1,$AX1443/$AX1442-1,$AY1443/$AY1442-1),"")</f>
        <v/>
      </c>
      <c r="DW1442" s="66">
        <f>AVERAGE($CB1442,$CC1442,$CD1442,$CE1442,$CF1442,$CG1442,$CH1442,$CI1442,$CJ1442,$CL1442,$CM1442,$CN1442,$CO1442,$CP1442,$CQ1442,$CR1442,$CS1442,$CT1442)</f>
        <v/>
      </c>
      <c r="DX1442" s="66">
        <f>AVERAGE($CB1442,$CC1442,$CM1442,$CE1442,$CP1442)</f>
        <v/>
      </c>
      <c r="DY1442" s="64">
        <f>($DW1442-$DW1443)*100</f>
        <v/>
      </c>
      <c r="DZ1442" s="64">
        <f>($DX1442-$DX1443)*100</f>
        <v/>
      </c>
      <c r="EA1442" s="64">
        <f>($DW1442-$D1442)*100</f>
        <v/>
      </c>
      <c r="EB1442" s="64">
        <f>$Q1442-$O1442</f>
        <v/>
      </c>
      <c r="EC1442" s="67">
        <f>IFERROR($Q1442/$P1442,"")</f>
        <v/>
      </c>
    </row>
    <row r="1443">
      <c r="DG1443" s="64">
        <f>($B1443-$B1444)*100</f>
        <v/>
      </c>
      <c r="DH1443" s="64">
        <f>($D1443-$D1444)*100</f>
        <v/>
      </c>
      <c r="DI1443" s="64">
        <f>($E1443-$E1444)*100</f>
        <v/>
      </c>
      <c r="DJ1443" s="64">
        <f>($H1443-$H1444)*100</f>
        <v/>
      </c>
      <c r="DK1443" s="65">
        <f>IFERROR($J1443/$J1444-1,"")</f>
        <v/>
      </c>
      <c r="DL1443" s="64">
        <f>$L1443-$L1444</f>
        <v/>
      </c>
      <c r="DM1443" s="64">
        <f>$K1443-$K1444</f>
        <v/>
      </c>
      <c r="DN1443" s="65">
        <f>IFERROR($N1443/$N1444-1,"")</f>
        <v/>
      </c>
      <c r="DO1443" s="65">
        <f>IFERROR($M1443/$M1444-1,"")</f>
        <v/>
      </c>
      <c r="DP1443" s="65">
        <f>IFERROR($AZ1443/$AZ1444-1,"")</f>
        <v/>
      </c>
      <c r="DQ1443" s="65">
        <f>IFERROR($BA1443/$BA1444-1,"")</f>
        <v/>
      </c>
      <c r="DR1443" s="64">
        <f>$O1443-$O1444</f>
        <v/>
      </c>
      <c r="DS1443" s="64">
        <f>$P1443-$P1444</f>
        <v/>
      </c>
      <c r="DT1443" s="64">
        <f>$Q1443-$Q1444</f>
        <v/>
      </c>
      <c r="DU1443" s="64">
        <f>$S1443-$S1444</f>
        <v/>
      </c>
      <c r="DV1443" s="65">
        <f>IFERROR(AVERAGE($AA1444/$AA1443-1,$AB1444/$AB1443-1,$AC1444/$AC1443-1,$AD1444/$AD1443-1,$AE1444/$AE1443-1,$AG1444/$AG1443-1,$AH1444/$AH1443-1,$AI1444/$AI1443-1,$AJ1444/$AJ1443-1,$AL1444/$AL1443-1,$AM1444/$AM1443-1,$AR1444/$AR1443-1,$AS1444/$AS1443-1,$AT1444/$AT1443-1,$AU1444/$AU1443-1,$AV1444/$AV1443-1,$AW1444/$AW1443-1,$AX1444/$AX1443-1,$AY1444/$AY1443-1),"")</f>
        <v/>
      </c>
      <c r="DW1443" s="66">
        <f>AVERAGE($CB1443,$CC1443,$CD1443,$CE1443,$CF1443,$CG1443,$CH1443,$CI1443,$CJ1443,$CL1443,$CM1443,$CN1443,$CO1443,$CP1443,$CQ1443,$CR1443,$CS1443,$CT1443)</f>
        <v/>
      </c>
      <c r="DX1443" s="66">
        <f>AVERAGE($CB1443,$CC1443,$CM1443,$CE1443,$CP1443)</f>
        <v/>
      </c>
      <c r="DY1443" s="64">
        <f>($DW1443-$DW1444)*100</f>
        <v/>
      </c>
      <c r="DZ1443" s="64">
        <f>($DX1443-$DX1444)*100</f>
        <v/>
      </c>
      <c r="EA1443" s="64">
        <f>($DW1443-$D1443)*100</f>
        <v/>
      </c>
      <c r="EB1443" s="64">
        <f>$Q1443-$O1443</f>
        <v/>
      </c>
      <c r="EC1443" s="67">
        <f>IFERROR($Q1443/$P1443,"")</f>
        <v/>
      </c>
    </row>
    <row r="1444">
      <c r="DG1444" s="64">
        <f>($B1444-$B1445)*100</f>
        <v/>
      </c>
      <c r="DH1444" s="64">
        <f>($D1444-$D1445)*100</f>
        <v/>
      </c>
      <c r="DI1444" s="64">
        <f>($E1444-$E1445)*100</f>
        <v/>
      </c>
      <c r="DJ1444" s="64">
        <f>($H1444-$H1445)*100</f>
        <v/>
      </c>
      <c r="DK1444" s="65">
        <f>IFERROR($J1444/$J1445-1,"")</f>
        <v/>
      </c>
      <c r="DL1444" s="64">
        <f>$L1444-$L1445</f>
        <v/>
      </c>
      <c r="DM1444" s="64">
        <f>$K1444-$K1445</f>
        <v/>
      </c>
      <c r="DN1444" s="65">
        <f>IFERROR($N1444/$N1445-1,"")</f>
        <v/>
      </c>
      <c r="DO1444" s="65">
        <f>IFERROR($M1444/$M1445-1,"")</f>
        <v/>
      </c>
      <c r="DP1444" s="65">
        <f>IFERROR($AZ1444/$AZ1445-1,"")</f>
        <v/>
      </c>
      <c r="DQ1444" s="65">
        <f>IFERROR($BA1444/$BA1445-1,"")</f>
        <v/>
      </c>
      <c r="DR1444" s="64">
        <f>$O1444-$O1445</f>
        <v/>
      </c>
      <c r="DS1444" s="64">
        <f>$P1444-$P1445</f>
        <v/>
      </c>
      <c r="DT1444" s="64">
        <f>$Q1444-$Q1445</f>
        <v/>
      </c>
      <c r="DU1444" s="64">
        <f>$S1444-$S1445</f>
        <v/>
      </c>
      <c r="DV1444" s="65">
        <f>IFERROR(AVERAGE($AA1445/$AA1444-1,$AB1445/$AB1444-1,$AC1445/$AC1444-1,$AD1445/$AD1444-1,$AE1445/$AE1444-1,$AG1445/$AG1444-1,$AH1445/$AH1444-1,$AI1445/$AI1444-1,$AJ1445/$AJ1444-1,$AL1445/$AL1444-1,$AM1445/$AM1444-1,$AR1445/$AR1444-1,$AS1445/$AS1444-1,$AT1445/$AT1444-1,$AU1445/$AU1444-1,$AV1445/$AV1444-1,$AW1445/$AW1444-1,$AX1445/$AX1444-1,$AY1445/$AY1444-1),"")</f>
        <v/>
      </c>
      <c r="DW1444" s="66">
        <f>AVERAGE($CB1444,$CC1444,$CD1444,$CE1444,$CF1444,$CG1444,$CH1444,$CI1444,$CJ1444,$CL1444,$CM1444,$CN1444,$CO1444,$CP1444,$CQ1444,$CR1444,$CS1444,$CT1444)</f>
        <v/>
      </c>
      <c r="DX1444" s="66">
        <f>AVERAGE($CB1444,$CC1444,$CM1444,$CE1444,$CP1444)</f>
        <v/>
      </c>
      <c r="DY1444" s="64">
        <f>($DW1444-$DW1445)*100</f>
        <v/>
      </c>
      <c r="DZ1444" s="64">
        <f>($DX1444-$DX1445)*100</f>
        <v/>
      </c>
      <c r="EA1444" s="64">
        <f>($DW1444-$D1444)*100</f>
        <v/>
      </c>
      <c r="EB1444" s="64">
        <f>$Q1444-$O1444</f>
        <v/>
      </c>
      <c r="EC1444" s="67">
        <f>IFERROR($Q1444/$P1444,"")</f>
        <v/>
      </c>
    </row>
    <row r="1445">
      <c r="DG1445" s="64">
        <f>($B1445-$B1446)*100</f>
        <v/>
      </c>
      <c r="DH1445" s="64">
        <f>($D1445-$D1446)*100</f>
        <v/>
      </c>
      <c r="DI1445" s="64">
        <f>($E1445-$E1446)*100</f>
        <v/>
      </c>
      <c r="DJ1445" s="64">
        <f>($H1445-$H1446)*100</f>
        <v/>
      </c>
      <c r="DK1445" s="65">
        <f>IFERROR($J1445/$J1446-1,"")</f>
        <v/>
      </c>
      <c r="DL1445" s="64">
        <f>$L1445-$L1446</f>
        <v/>
      </c>
      <c r="DM1445" s="64">
        <f>$K1445-$K1446</f>
        <v/>
      </c>
      <c r="DN1445" s="65">
        <f>IFERROR($N1445/$N1446-1,"")</f>
        <v/>
      </c>
      <c r="DO1445" s="65">
        <f>IFERROR($M1445/$M1446-1,"")</f>
        <v/>
      </c>
      <c r="DP1445" s="65">
        <f>IFERROR($AZ1445/$AZ1446-1,"")</f>
        <v/>
      </c>
      <c r="DQ1445" s="65">
        <f>IFERROR($BA1445/$BA1446-1,"")</f>
        <v/>
      </c>
      <c r="DR1445" s="64">
        <f>$O1445-$O1446</f>
        <v/>
      </c>
      <c r="DS1445" s="64">
        <f>$P1445-$P1446</f>
        <v/>
      </c>
      <c r="DT1445" s="64">
        <f>$Q1445-$Q1446</f>
        <v/>
      </c>
      <c r="DU1445" s="64">
        <f>$S1445-$S1446</f>
        <v/>
      </c>
      <c r="DV1445" s="65">
        <f>IFERROR(AVERAGE($AA1446/$AA1445-1,$AB1446/$AB1445-1,$AC1446/$AC1445-1,$AD1446/$AD1445-1,$AE1446/$AE1445-1,$AG1446/$AG1445-1,$AH1446/$AH1445-1,$AI1446/$AI1445-1,$AJ1446/$AJ1445-1,$AL1446/$AL1445-1,$AM1446/$AM1445-1,$AR1446/$AR1445-1,$AS1446/$AS1445-1,$AT1446/$AT1445-1,$AU1446/$AU1445-1,$AV1446/$AV1445-1,$AW1446/$AW1445-1,$AX1446/$AX1445-1,$AY1446/$AY1445-1),"")</f>
        <v/>
      </c>
      <c r="DW1445" s="66">
        <f>AVERAGE($CB1445,$CC1445,$CD1445,$CE1445,$CF1445,$CG1445,$CH1445,$CI1445,$CJ1445,$CL1445,$CM1445,$CN1445,$CO1445,$CP1445,$CQ1445,$CR1445,$CS1445,$CT1445)</f>
        <v/>
      </c>
      <c r="DX1445" s="66">
        <f>AVERAGE($CB1445,$CC1445,$CM1445,$CE1445,$CP1445)</f>
        <v/>
      </c>
      <c r="DY1445" s="64">
        <f>($DW1445-$DW1446)*100</f>
        <v/>
      </c>
      <c r="DZ1445" s="64">
        <f>($DX1445-$DX1446)*100</f>
        <v/>
      </c>
      <c r="EA1445" s="64">
        <f>($DW1445-$D1445)*100</f>
        <v/>
      </c>
      <c r="EB1445" s="64">
        <f>$Q1445-$O1445</f>
        <v/>
      </c>
      <c r="EC1445" s="67">
        <f>IFERROR($Q1445/$P1445,"")</f>
        <v/>
      </c>
    </row>
    <row r="1446">
      <c r="DG1446" s="64">
        <f>($B1446-$B1447)*100</f>
        <v/>
      </c>
      <c r="DH1446" s="64">
        <f>($D1446-$D1447)*100</f>
        <v/>
      </c>
      <c r="DI1446" s="64">
        <f>($E1446-$E1447)*100</f>
        <v/>
      </c>
      <c r="DJ1446" s="64">
        <f>($H1446-$H1447)*100</f>
        <v/>
      </c>
      <c r="DK1446" s="65">
        <f>IFERROR($J1446/$J1447-1,"")</f>
        <v/>
      </c>
      <c r="DL1446" s="64">
        <f>$L1446-$L1447</f>
        <v/>
      </c>
      <c r="DM1446" s="64">
        <f>$K1446-$K1447</f>
        <v/>
      </c>
      <c r="DN1446" s="65">
        <f>IFERROR($N1446/$N1447-1,"")</f>
        <v/>
      </c>
      <c r="DO1446" s="65">
        <f>IFERROR($M1446/$M1447-1,"")</f>
        <v/>
      </c>
      <c r="DP1446" s="65">
        <f>IFERROR($AZ1446/$AZ1447-1,"")</f>
        <v/>
      </c>
      <c r="DQ1446" s="65">
        <f>IFERROR($BA1446/$BA1447-1,"")</f>
        <v/>
      </c>
      <c r="DR1446" s="64">
        <f>$O1446-$O1447</f>
        <v/>
      </c>
      <c r="DS1446" s="64">
        <f>$P1446-$P1447</f>
        <v/>
      </c>
      <c r="DT1446" s="64">
        <f>$Q1446-$Q1447</f>
        <v/>
      </c>
      <c r="DU1446" s="64">
        <f>$S1446-$S1447</f>
        <v/>
      </c>
      <c r="DV1446" s="65">
        <f>IFERROR(AVERAGE($AA1447/$AA1446-1,$AB1447/$AB1446-1,$AC1447/$AC1446-1,$AD1447/$AD1446-1,$AE1447/$AE1446-1,$AG1447/$AG1446-1,$AH1447/$AH1446-1,$AI1447/$AI1446-1,$AJ1447/$AJ1446-1,$AL1447/$AL1446-1,$AM1447/$AM1446-1,$AR1447/$AR1446-1,$AS1447/$AS1446-1,$AT1447/$AT1446-1,$AU1447/$AU1446-1,$AV1447/$AV1446-1,$AW1447/$AW1446-1,$AX1447/$AX1446-1,$AY1447/$AY1446-1),"")</f>
        <v/>
      </c>
      <c r="DW1446" s="66">
        <f>AVERAGE($CB1446,$CC1446,$CD1446,$CE1446,$CF1446,$CG1446,$CH1446,$CI1446,$CJ1446,$CL1446,$CM1446,$CN1446,$CO1446,$CP1446,$CQ1446,$CR1446,$CS1446,$CT1446)</f>
        <v/>
      </c>
      <c r="DX1446" s="66">
        <f>AVERAGE($CB1446,$CC1446,$CM1446,$CE1446,$CP1446)</f>
        <v/>
      </c>
      <c r="DY1446" s="64">
        <f>($DW1446-$DW1447)*100</f>
        <v/>
      </c>
      <c r="DZ1446" s="64">
        <f>($DX1446-$DX1447)*100</f>
        <v/>
      </c>
      <c r="EA1446" s="64">
        <f>($DW1446-$D1446)*100</f>
        <v/>
      </c>
      <c r="EB1446" s="64">
        <f>$Q1446-$O1446</f>
        <v/>
      </c>
      <c r="EC1446" s="67">
        <f>IFERROR($Q1446/$P1446,"")</f>
        <v/>
      </c>
    </row>
    <row r="1447">
      <c r="DG1447" s="64">
        <f>($B1447-$B1448)*100</f>
        <v/>
      </c>
      <c r="DH1447" s="64">
        <f>($D1447-$D1448)*100</f>
        <v/>
      </c>
      <c r="DI1447" s="64">
        <f>($E1447-$E1448)*100</f>
        <v/>
      </c>
      <c r="DJ1447" s="64">
        <f>($H1447-$H1448)*100</f>
        <v/>
      </c>
      <c r="DK1447" s="65">
        <f>IFERROR($J1447/$J1448-1,"")</f>
        <v/>
      </c>
      <c r="DL1447" s="64">
        <f>$L1447-$L1448</f>
        <v/>
      </c>
      <c r="DM1447" s="64">
        <f>$K1447-$K1448</f>
        <v/>
      </c>
      <c r="DN1447" s="65">
        <f>IFERROR($N1447/$N1448-1,"")</f>
        <v/>
      </c>
      <c r="DO1447" s="65">
        <f>IFERROR($M1447/$M1448-1,"")</f>
        <v/>
      </c>
      <c r="DP1447" s="65">
        <f>IFERROR($AZ1447/$AZ1448-1,"")</f>
        <v/>
      </c>
      <c r="DQ1447" s="65">
        <f>IFERROR($BA1447/$BA1448-1,"")</f>
        <v/>
      </c>
      <c r="DR1447" s="64">
        <f>$O1447-$O1448</f>
        <v/>
      </c>
      <c r="DS1447" s="64">
        <f>$P1447-$P1448</f>
        <v/>
      </c>
      <c r="DT1447" s="64">
        <f>$Q1447-$Q1448</f>
        <v/>
      </c>
      <c r="DU1447" s="64">
        <f>$S1447-$S1448</f>
        <v/>
      </c>
      <c r="DV1447" s="65">
        <f>IFERROR(AVERAGE($AA1448/$AA1447-1,$AB1448/$AB1447-1,$AC1448/$AC1447-1,$AD1448/$AD1447-1,$AE1448/$AE1447-1,$AG1448/$AG1447-1,$AH1448/$AH1447-1,$AI1448/$AI1447-1,$AJ1448/$AJ1447-1,$AL1448/$AL1447-1,$AM1448/$AM1447-1,$AR1448/$AR1447-1,$AS1448/$AS1447-1,$AT1448/$AT1447-1,$AU1448/$AU1447-1,$AV1448/$AV1447-1,$AW1448/$AW1447-1,$AX1448/$AX1447-1,$AY1448/$AY1447-1),"")</f>
        <v/>
      </c>
      <c r="DW1447" s="66">
        <f>AVERAGE($CB1447,$CC1447,$CD1447,$CE1447,$CF1447,$CG1447,$CH1447,$CI1447,$CJ1447,$CL1447,$CM1447,$CN1447,$CO1447,$CP1447,$CQ1447,$CR1447,$CS1447,$CT1447)</f>
        <v/>
      </c>
      <c r="DX1447" s="66">
        <f>AVERAGE($CB1447,$CC1447,$CM1447,$CE1447,$CP1447)</f>
        <v/>
      </c>
      <c r="DY1447" s="64">
        <f>($DW1447-$DW1448)*100</f>
        <v/>
      </c>
      <c r="DZ1447" s="64">
        <f>($DX1447-$DX1448)*100</f>
        <v/>
      </c>
      <c r="EA1447" s="64">
        <f>($DW1447-$D1447)*100</f>
        <v/>
      </c>
      <c r="EB1447" s="64">
        <f>$Q1447-$O1447</f>
        <v/>
      </c>
      <c r="EC1447" s="67">
        <f>IFERROR($Q1447/$P1447,"")</f>
        <v/>
      </c>
    </row>
    <row r="1448">
      <c r="DG1448" s="64">
        <f>($B1448-$B1449)*100</f>
        <v/>
      </c>
      <c r="DH1448" s="64">
        <f>($D1448-$D1449)*100</f>
        <v/>
      </c>
      <c r="DI1448" s="64">
        <f>($E1448-$E1449)*100</f>
        <v/>
      </c>
      <c r="DJ1448" s="64">
        <f>($H1448-$H1449)*100</f>
        <v/>
      </c>
      <c r="DK1448" s="65">
        <f>IFERROR($J1448/$J1449-1,"")</f>
        <v/>
      </c>
      <c r="DL1448" s="64">
        <f>$L1448-$L1449</f>
        <v/>
      </c>
      <c r="DM1448" s="64">
        <f>$K1448-$K1449</f>
        <v/>
      </c>
      <c r="DN1448" s="65">
        <f>IFERROR($N1448/$N1449-1,"")</f>
        <v/>
      </c>
      <c r="DO1448" s="65">
        <f>IFERROR($M1448/$M1449-1,"")</f>
        <v/>
      </c>
      <c r="DP1448" s="65">
        <f>IFERROR($AZ1448/$AZ1449-1,"")</f>
        <v/>
      </c>
      <c r="DQ1448" s="65">
        <f>IFERROR($BA1448/$BA1449-1,"")</f>
        <v/>
      </c>
      <c r="DR1448" s="64">
        <f>$O1448-$O1449</f>
        <v/>
      </c>
      <c r="DS1448" s="64">
        <f>$P1448-$P1449</f>
        <v/>
      </c>
      <c r="DT1448" s="64">
        <f>$Q1448-$Q1449</f>
        <v/>
      </c>
      <c r="DU1448" s="64">
        <f>$S1448-$S1449</f>
        <v/>
      </c>
      <c r="DV1448" s="65">
        <f>IFERROR(AVERAGE($AA1449/$AA1448-1,$AB1449/$AB1448-1,$AC1449/$AC1448-1,$AD1449/$AD1448-1,$AE1449/$AE1448-1,$AG1449/$AG1448-1,$AH1449/$AH1448-1,$AI1449/$AI1448-1,$AJ1449/$AJ1448-1,$AL1449/$AL1448-1,$AM1449/$AM1448-1,$AR1449/$AR1448-1,$AS1449/$AS1448-1,$AT1449/$AT1448-1,$AU1449/$AU1448-1,$AV1449/$AV1448-1,$AW1449/$AW1448-1,$AX1449/$AX1448-1,$AY1449/$AY1448-1),"")</f>
        <v/>
      </c>
      <c r="DW1448" s="66">
        <f>AVERAGE($CB1448,$CC1448,$CD1448,$CE1448,$CF1448,$CG1448,$CH1448,$CI1448,$CJ1448,$CL1448,$CM1448,$CN1448,$CO1448,$CP1448,$CQ1448,$CR1448,$CS1448,$CT1448)</f>
        <v/>
      </c>
      <c r="DX1448" s="66">
        <f>AVERAGE($CB1448,$CC1448,$CM1448,$CE1448,$CP1448)</f>
        <v/>
      </c>
      <c r="DY1448" s="64">
        <f>($DW1448-$DW1449)*100</f>
        <v/>
      </c>
      <c r="DZ1448" s="64">
        <f>($DX1448-$DX1449)*100</f>
        <v/>
      </c>
      <c r="EA1448" s="64">
        <f>($DW1448-$D1448)*100</f>
        <v/>
      </c>
      <c r="EB1448" s="64">
        <f>$Q1448-$O1448</f>
        <v/>
      </c>
      <c r="EC1448" s="67">
        <f>IFERROR($Q1448/$P1448,"")</f>
        <v/>
      </c>
    </row>
    <row r="1449">
      <c r="DG1449" s="64">
        <f>($B1449-$B1450)*100</f>
        <v/>
      </c>
      <c r="DH1449" s="64">
        <f>($D1449-$D1450)*100</f>
        <v/>
      </c>
      <c r="DI1449" s="64">
        <f>($E1449-$E1450)*100</f>
        <v/>
      </c>
      <c r="DJ1449" s="64">
        <f>($H1449-$H1450)*100</f>
        <v/>
      </c>
      <c r="DK1449" s="65">
        <f>IFERROR($J1449/$J1450-1,"")</f>
        <v/>
      </c>
      <c r="DL1449" s="64">
        <f>$L1449-$L1450</f>
        <v/>
      </c>
      <c r="DM1449" s="64">
        <f>$K1449-$K1450</f>
        <v/>
      </c>
      <c r="DN1449" s="65">
        <f>IFERROR($N1449/$N1450-1,"")</f>
        <v/>
      </c>
      <c r="DO1449" s="65">
        <f>IFERROR($M1449/$M1450-1,"")</f>
        <v/>
      </c>
      <c r="DP1449" s="65">
        <f>IFERROR($AZ1449/$AZ1450-1,"")</f>
        <v/>
      </c>
      <c r="DQ1449" s="65">
        <f>IFERROR($BA1449/$BA1450-1,"")</f>
        <v/>
      </c>
      <c r="DR1449" s="64">
        <f>$O1449-$O1450</f>
        <v/>
      </c>
      <c r="DS1449" s="64">
        <f>$P1449-$P1450</f>
        <v/>
      </c>
      <c r="DT1449" s="64">
        <f>$Q1449-$Q1450</f>
        <v/>
      </c>
      <c r="DU1449" s="64">
        <f>$S1449-$S1450</f>
        <v/>
      </c>
      <c r="DV1449" s="65">
        <f>IFERROR(AVERAGE($AA1450/$AA1449-1,$AB1450/$AB1449-1,$AC1450/$AC1449-1,$AD1450/$AD1449-1,$AE1450/$AE1449-1,$AG1450/$AG1449-1,$AH1450/$AH1449-1,$AI1450/$AI1449-1,$AJ1450/$AJ1449-1,$AL1450/$AL1449-1,$AM1450/$AM1449-1,$AR1450/$AR1449-1,$AS1450/$AS1449-1,$AT1450/$AT1449-1,$AU1450/$AU1449-1,$AV1450/$AV1449-1,$AW1450/$AW1449-1,$AX1450/$AX1449-1,$AY1450/$AY1449-1),"")</f>
        <v/>
      </c>
      <c r="DW1449" s="66">
        <f>AVERAGE($CB1449,$CC1449,$CD1449,$CE1449,$CF1449,$CG1449,$CH1449,$CI1449,$CJ1449,$CL1449,$CM1449,$CN1449,$CO1449,$CP1449,$CQ1449,$CR1449,$CS1449,$CT1449)</f>
        <v/>
      </c>
      <c r="DX1449" s="66">
        <f>AVERAGE($CB1449,$CC1449,$CM1449,$CE1449,$CP1449)</f>
        <v/>
      </c>
      <c r="DY1449" s="64">
        <f>($DW1449-$DW1450)*100</f>
        <v/>
      </c>
      <c r="DZ1449" s="64">
        <f>($DX1449-$DX1450)*100</f>
        <v/>
      </c>
      <c r="EA1449" s="64">
        <f>($DW1449-$D1449)*100</f>
        <v/>
      </c>
      <c r="EB1449" s="64">
        <f>$Q1449-$O1449</f>
        <v/>
      </c>
      <c r="EC1449" s="67">
        <f>IFERROR($Q1449/$P1449,"")</f>
        <v/>
      </c>
    </row>
    <row r="1450">
      <c r="DG1450" s="64">
        <f>($B1450-$B1451)*100</f>
        <v/>
      </c>
      <c r="DH1450" s="64">
        <f>($D1450-$D1451)*100</f>
        <v/>
      </c>
      <c r="DI1450" s="64">
        <f>($E1450-$E1451)*100</f>
        <v/>
      </c>
      <c r="DJ1450" s="64">
        <f>($H1450-$H1451)*100</f>
        <v/>
      </c>
      <c r="DK1450" s="65">
        <f>IFERROR($J1450/$J1451-1,"")</f>
        <v/>
      </c>
      <c r="DL1450" s="64">
        <f>$L1450-$L1451</f>
        <v/>
      </c>
      <c r="DM1450" s="64">
        <f>$K1450-$K1451</f>
        <v/>
      </c>
      <c r="DN1450" s="65">
        <f>IFERROR($N1450/$N1451-1,"")</f>
        <v/>
      </c>
      <c r="DO1450" s="65">
        <f>IFERROR($M1450/$M1451-1,"")</f>
        <v/>
      </c>
      <c r="DP1450" s="65">
        <f>IFERROR($AZ1450/$AZ1451-1,"")</f>
        <v/>
      </c>
      <c r="DQ1450" s="65">
        <f>IFERROR($BA1450/$BA1451-1,"")</f>
        <v/>
      </c>
      <c r="DR1450" s="64">
        <f>$O1450-$O1451</f>
        <v/>
      </c>
      <c r="DS1450" s="64">
        <f>$P1450-$P1451</f>
        <v/>
      </c>
      <c r="DT1450" s="64">
        <f>$Q1450-$Q1451</f>
        <v/>
      </c>
      <c r="DU1450" s="64">
        <f>$S1450-$S1451</f>
        <v/>
      </c>
      <c r="DV1450" s="65">
        <f>IFERROR(AVERAGE($AA1451/$AA1450-1,$AB1451/$AB1450-1,$AC1451/$AC1450-1,$AD1451/$AD1450-1,$AE1451/$AE1450-1,$AG1451/$AG1450-1,$AH1451/$AH1450-1,$AI1451/$AI1450-1,$AJ1451/$AJ1450-1,$AL1451/$AL1450-1,$AM1451/$AM1450-1,$AR1451/$AR1450-1,$AS1451/$AS1450-1,$AT1451/$AT1450-1,$AU1451/$AU1450-1,$AV1451/$AV1450-1,$AW1451/$AW1450-1,$AX1451/$AX1450-1,$AY1451/$AY1450-1),"")</f>
        <v/>
      </c>
      <c r="DW1450" s="66">
        <f>AVERAGE($CB1450,$CC1450,$CD1450,$CE1450,$CF1450,$CG1450,$CH1450,$CI1450,$CJ1450,$CL1450,$CM1450,$CN1450,$CO1450,$CP1450,$CQ1450,$CR1450,$CS1450,$CT1450)</f>
        <v/>
      </c>
      <c r="DX1450" s="66">
        <f>AVERAGE($CB1450,$CC1450,$CM1450,$CE1450,$CP1450)</f>
        <v/>
      </c>
      <c r="DY1450" s="64">
        <f>($DW1450-$DW1451)*100</f>
        <v/>
      </c>
      <c r="DZ1450" s="64">
        <f>($DX1450-$DX1451)*100</f>
        <v/>
      </c>
      <c r="EA1450" s="64">
        <f>($DW1450-$D1450)*100</f>
        <v/>
      </c>
      <c r="EB1450" s="64">
        <f>$Q1450-$O1450</f>
        <v/>
      </c>
      <c r="EC1450" s="67">
        <f>IFERROR($Q1450/$P1450,"")</f>
        <v/>
      </c>
    </row>
    <row r="1451">
      <c r="DG1451" s="64">
        <f>($B1451-$B1452)*100</f>
        <v/>
      </c>
      <c r="DH1451" s="64">
        <f>($D1451-$D1452)*100</f>
        <v/>
      </c>
      <c r="DI1451" s="64">
        <f>($E1451-$E1452)*100</f>
        <v/>
      </c>
      <c r="DJ1451" s="64">
        <f>($H1451-$H1452)*100</f>
        <v/>
      </c>
      <c r="DK1451" s="65">
        <f>IFERROR($J1451/$J1452-1,"")</f>
        <v/>
      </c>
      <c r="DL1451" s="64">
        <f>$L1451-$L1452</f>
        <v/>
      </c>
      <c r="DM1451" s="64">
        <f>$K1451-$K1452</f>
        <v/>
      </c>
      <c r="DN1451" s="65">
        <f>IFERROR($N1451/$N1452-1,"")</f>
        <v/>
      </c>
      <c r="DO1451" s="65">
        <f>IFERROR($M1451/$M1452-1,"")</f>
        <v/>
      </c>
      <c r="DP1451" s="65">
        <f>IFERROR($AZ1451/$AZ1452-1,"")</f>
        <v/>
      </c>
      <c r="DQ1451" s="65">
        <f>IFERROR($BA1451/$BA1452-1,"")</f>
        <v/>
      </c>
      <c r="DR1451" s="64">
        <f>$O1451-$O1452</f>
        <v/>
      </c>
      <c r="DS1451" s="64">
        <f>$P1451-$P1452</f>
        <v/>
      </c>
      <c r="DT1451" s="64">
        <f>$Q1451-$Q1452</f>
        <v/>
      </c>
      <c r="DU1451" s="64">
        <f>$S1451-$S1452</f>
        <v/>
      </c>
      <c r="DV1451" s="65">
        <f>IFERROR(AVERAGE($AA1452/$AA1451-1,$AB1452/$AB1451-1,$AC1452/$AC1451-1,$AD1452/$AD1451-1,$AE1452/$AE1451-1,$AG1452/$AG1451-1,$AH1452/$AH1451-1,$AI1452/$AI1451-1,$AJ1452/$AJ1451-1,$AL1452/$AL1451-1,$AM1452/$AM1451-1,$AR1452/$AR1451-1,$AS1452/$AS1451-1,$AT1452/$AT1451-1,$AU1452/$AU1451-1,$AV1452/$AV1451-1,$AW1452/$AW1451-1,$AX1452/$AX1451-1,$AY1452/$AY1451-1),"")</f>
        <v/>
      </c>
      <c r="DW1451" s="66">
        <f>AVERAGE($CB1451,$CC1451,$CD1451,$CE1451,$CF1451,$CG1451,$CH1451,$CI1451,$CJ1451,$CL1451,$CM1451,$CN1451,$CO1451,$CP1451,$CQ1451,$CR1451,$CS1451,$CT1451)</f>
        <v/>
      </c>
      <c r="DX1451" s="66">
        <f>AVERAGE($CB1451,$CC1451,$CM1451,$CE1451,$CP1451)</f>
        <v/>
      </c>
      <c r="DY1451" s="64">
        <f>($DW1451-$DW1452)*100</f>
        <v/>
      </c>
      <c r="DZ1451" s="64">
        <f>($DX1451-$DX1452)*100</f>
        <v/>
      </c>
      <c r="EA1451" s="64">
        <f>($DW1451-$D1451)*100</f>
        <v/>
      </c>
      <c r="EB1451" s="64">
        <f>$Q1451-$O1451</f>
        <v/>
      </c>
      <c r="EC1451" s="67">
        <f>IFERROR($Q1451/$P1451,"")</f>
        <v/>
      </c>
    </row>
    <row r="1452">
      <c r="DG1452" s="64">
        <f>($B1452-$B1453)*100</f>
        <v/>
      </c>
      <c r="DH1452" s="64">
        <f>($D1452-$D1453)*100</f>
        <v/>
      </c>
      <c r="DI1452" s="64">
        <f>($E1452-$E1453)*100</f>
        <v/>
      </c>
      <c r="DJ1452" s="64">
        <f>($H1452-$H1453)*100</f>
        <v/>
      </c>
      <c r="DK1452" s="65">
        <f>IFERROR($J1452/$J1453-1,"")</f>
        <v/>
      </c>
      <c r="DL1452" s="64">
        <f>$L1452-$L1453</f>
        <v/>
      </c>
      <c r="DM1452" s="64">
        <f>$K1452-$K1453</f>
        <v/>
      </c>
      <c r="DN1452" s="65">
        <f>IFERROR($N1452/$N1453-1,"")</f>
        <v/>
      </c>
      <c r="DO1452" s="65">
        <f>IFERROR($M1452/$M1453-1,"")</f>
        <v/>
      </c>
      <c r="DP1452" s="65">
        <f>IFERROR($AZ1452/$AZ1453-1,"")</f>
        <v/>
      </c>
      <c r="DQ1452" s="65">
        <f>IFERROR($BA1452/$BA1453-1,"")</f>
        <v/>
      </c>
      <c r="DR1452" s="64">
        <f>$O1452-$O1453</f>
        <v/>
      </c>
      <c r="DS1452" s="64">
        <f>$P1452-$P1453</f>
        <v/>
      </c>
      <c r="DT1452" s="64">
        <f>$Q1452-$Q1453</f>
        <v/>
      </c>
      <c r="DU1452" s="64">
        <f>$S1452-$S1453</f>
        <v/>
      </c>
      <c r="DV1452" s="65">
        <f>IFERROR(AVERAGE($AA1453/$AA1452-1,$AB1453/$AB1452-1,$AC1453/$AC1452-1,$AD1453/$AD1452-1,$AE1453/$AE1452-1,$AG1453/$AG1452-1,$AH1453/$AH1452-1,$AI1453/$AI1452-1,$AJ1453/$AJ1452-1,$AL1453/$AL1452-1,$AM1453/$AM1452-1,$AR1453/$AR1452-1,$AS1453/$AS1452-1,$AT1453/$AT1452-1,$AU1453/$AU1452-1,$AV1453/$AV1452-1,$AW1453/$AW1452-1,$AX1453/$AX1452-1,$AY1453/$AY1452-1),"")</f>
        <v/>
      </c>
      <c r="DW1452" s="66">
        <f>AVERAGE($CB1452,$CC1452,$CD1452,$CE1452,$CF1452,$CG1452,$CH1452,$CI1452,$CJ1452,$CL1452,$CM1452,$CN1452,$CO1452,$CP1452,$CQ1452,$CR1452,$CS1452,$CT1452)</f>
        <v/>
      </c>
      <c r="DX1452" s="66">
        <f>AVERAGE($CB1452,$CC1452,$CM1452,$CE1452,$CP1452)</f>
        <v/>
      </c>
      <c r="DY1452" s="64">
        <f>($DW1452-$DW1453)*100</f>
        <v/>
      </c>
      <c r="DZ1452" s="64">
        <f>($DX1452-$DX1453)*100</f>
        <v/>
      </c>
      <c r="EA1452" s="64">
        <f>($DW1452-$D1452)*100</f>
        <v/>
      </c>
      <c r="EB1452" s="64">
        <f>$Q1452-$O1452</f>
        <v/>
      </c>
      <c r="EC1452" s="67">
        <f>IFERROR($Q1452/$P1452,"")</f>
        <v/>
      </c>
    </row>
    <row r="1453">
      <c r="DG1453" s="64">
        <f>($B1453-$B1454)*100</f>
        <v/>
      </c>
      <c r="DH1453" s="64">
        <f>($D1453-$D1454)*100</f>
        <v/>
      </c>
      <c r="DI1453" s="64">
        <f>($E1453-$E1454)*100</f>
        <v/>
      </c>
      <c r="DJ1453" s="64">
        <f>($H1453-$H1454)*100</f>
        <v/>
      </c>
      <c r="DK1453" s="65">
        <f>IFERROR($J1453/$J1454-1,"")</f>
        <v/>
      </c>
      <c r="DL1453" s="64">
        <f>$L1453-$L1454</f>
        <v/>
      </c>
      <c r="DM1453" s="64">
        <f>$K1453-$K1454</f>
        <v/>
      </c>
      <c r="DN1453" s="65">
        <f>IFERROR($N1453/$N1454-1,"")</f>
        <v/>
      </c>
      <c r="DO1453" s="65">
        <f>IFERROR($M1453/$M1454-1,"")</f>
        <v/>
      </c>
      <c r="DP1453" s="65">
        <f>IFERROR($AZ1453/$AZ1454-1,"")</f>
        <v/>
      </c>
      <c r="DQ1453" s="65">
        <f>IFERROR($BA1453/$BA1454-1,"")</f>
        <v/>
      </c>
      <c r="DR1453" s="64">
        <f>$O1453-$O1454</f>
        <v/>
      </c>
      <c r="DS1453" s="64">
        <f>$P1453-$P1454</f>
        <v/>
      </c>
      <c r="DT1453" s="64">
        <f>$Q1453-$Q1454</f>
        <v/>
      </c>
      <c r="DU1453" s="64">
        <f>$S1453-$S1454</f>
        <v/>
      </c>
      <c r="DV1453" s="65">
        <f>IFERROR(AVERAGE($AA1454/$AA1453-1,$AB1454/$AB1453-1,$AC1454/$AC1453-1,$AD1454/$AD1453-1,$AE1454/$AE1453-1,$AG1454/$AG1453-1,$AH1454/$AH1453-1,$AI1454/$AI1453-1,$AJ1454/$AJ1453-1,$AL1454/$AL1453-1,$AM1454/$AM1453-1,$AR1454/$AR1453-1,$AS1454/$AS1453-1,$AT1454/$AT1453-1,$AU1454/$AU1453-1,$AV1454/$AV1453-1,$AW1454/$AW1453-1,$AX1454/$AX1453-1,$AY1454/$AY1453-1),"")</f>
        <v/>
      </c>
      <c r="DW1453" s="66">
        <f>AVERAGE($CB1453,$CC1453,$CD1453,$CE1453,$CF1453,$CG1453,$CH1453,$CI1453,$CJ1453,$CL1453,$CM1453,$CN1453,$CO1453,$CP1453,$CQ1453,$CR1453,$CS1453,$CT1453)</f>
        <v/>
      </c>
      <c r="DX1453" s="66">
        <f>AVERAGE($CB1453,$CC1453,$CM1453,$CE1453,$CP1453)</f>
        <v/>
      </c>
      <c r="DY1453" s="64">
        <f>($DW1453-$DW1454)*100</f>
        <v/>
      </c>
      <c r="DZ1453" s="64">
        <f>($DX1453-$DX1454)*100</f>
        <v/>
      </c>
      <c r="EA1453" s="64">
        <f>($DW1453-$D1453)*100</f>
        <v/>
      </c>
      <c r="EB1453" s="64">
        <f>$Q1453-$O1453</f>
        <v/>
      </c>
      <c r="EC1453" s="67">
        <f>IFERROR($Q1453/$P1453,"")</f>
        <v/>
      </c>
    </row>
    <row r="1454">
      <c r="DG1454" s="64">
        <f>($B1454-$B1455)*100</f>
        <v/>
      </c>
      <c r="DH1454" s="64">
        <f>($D1454-$D1455)*100</f>
        <v/>
      </c>
      <c r="DI1454" s="64">
        <f>($E1454-$E1455)*100</f>
        <v/>
      </c>
      <c r="DJ1454" s="64">
        <f>($H1454-$H1455)*100</f>
        <v/>
      </c>
      <c r="DK1454" s="65">
        <f>IFERROR($J1454/$J1455-1,"")</f>
        <v/>
      </c>
      <c r="DL1454" s="64">
        <f>$L1454-$L1455</f>
        <v/>
      </c>
      <c r="DM1454" s="64">
        <f>$K1454-$K1455</f>
        <v/>
      </c>
      <c r="DN1454" s="65">
        <f>IFERROR($N1454/$N1455-1,"")</f>
        <v/>
      </c>
      <c r="DO1454" s="65">
        <f>IFERROR($M1454/$M1455-1,"")</f>
        <v/>
      </c>
      <c r="DP1454" s="65">
        <f>IFERROR($AZ1454/$AZ1455-1,"")</f>
        <v/>
      </c>
      <c r="DQ1454" s="65">
        <f>IFERROR($BA1454/$BA1455-1,"")</f>
        <v/>
      </c>
      <c r="DR1454" s="64">
        <f>$O1454-$O1455</f>
        <v/>
      </c>
      <c r="DS1454" s="64">
        <f>$P1454-$P1455</f>
        <v/>
      </c>
      <c r="DT1454" s="64">
        <f>$Q1454-$Q1455</f>
        <v/>
      </c>
      <c r="DU1454" s="64">
        <f>$S1454-$S1455</f>
        <v/>
      </c>
      <c r="DV1454" s="65">
        <f>IFERROR(AVERAGE($AA1455/$AA1454-1,$AB1455/$AB1454-1,$AC1455/$AC1454-1,$AD1455/$AD1454-1,$AE1455/$AE1454-1,$AG1455/$AG1454-1,$AH1455/$AH1454-1,$AI1455/$AI1454-1,$AJ1455/$AJ1454-1,$AL1455/$AL1454-1,$AM1455/$AM1454-1,$AR1455/$AR1454-1,$AS1455/$AS1454-1,$AT1455/$AT1454-1,$AU1455/$AU1454-1,$AV1455/$AV1454-1,$AW1455/$AW1454-1,$AX1455/$AX1454-1,$AY1455/$AY1454-1),"")</f>
        <v/>
      </c>
      <c r="DW1454" s="66">
        <f>AVERAGE($CB1454,$CC1454,$CD1454,$CE1454,$CF1454,$CG1454,$CH1454,$CI1454,$CJ1454,$CL1454,$CM1454,$CN1454,$CO1454,$CP1454,$CQ1454,$CR1454,$CS1454,$CT1454)</f>
        <v/>
      </c>
      <c r="DX1454" s="66">
        <f>AVERAGE($CB1454,$CC1454,$CM1454,$CE1454,$CP1454)</f>
        <v/>
      </c>
      <c r="DY1454" s="64">
        <f>($DW1454-$DW1455)*100</f>
        <v/>
      </c>
      <c r="DZ1454" s="64">
        <f>($DX1454-$DX1455)*100</f>
        <v/>
      </c>
      <c r="EA1454" s="64">
        <f>($DW1454-$D1454)*100</f>
        <v/>
      </c>
      <c r="EB1454" s="64">
        <f>$Q1454-$O1454</f>
        <v/>
      </c>
      <c r="EC1454" s="67">
        <f>IFERROR($Q1454/$P1454,"")</f>
        <v/>
      </c>
    </row>
    <row r="1455">
      <c r="DG1455" s="64">
        <f>($B1455-$B1456)*100</f>
        <v/>
      </c>
      <c r="DH1455" s="64">
        <f>($D1455-$D1456)*100</f>
        <v/>
      </c>
      <c r="DI1455" s="64">
        <f>($E1455-$E1456)*100</f>
        <v/>
      </c>
      <c r="DJ1455" s="64">
        <f>($H1455-$H1456)*100</f>
        <v/>
      </c>
      <c r="DK1455" s="65">
        <f>IFERROR($J1455/$J1456-1,"")</f>
        <v/>
      </c>
      <c r="DL1455" s="64">
        <f>$L1455-$L1456</f>
        <v/>
      </c>
      <c r="DM1455" s="64">
        <f>$K1455-$K1456</f>
        <v/>
      </c>
      <c r="DN1455" s="65">
        <f>IFERROR($N1455/$N1456-1,"")</f>
        <v/>
      </c>
      <c r="DO1455" s="65">
        <f>IFERROR($M1455/$M1456-1,"")</f>
        <v/>
      </c>
      <c r="DP1455" s="65">
        <f>IFERROR($AZ1455/$AZ1456-1,"")</f>
        <v/>
      </c>
      <c r="DQ1455" s="65">
        <f>IFERROR($BA1455/$BA1456-1,"")</f>
        <v/>
      </c>
      <c r="DR1455" s="64">
        <f>$O1455-$O1456</f>
        <v/>
      </c>
      <c r="DS1455" s="64">
        <f>$P1455-$P1456</f>
        <v/>
      </c>
      <c r="DT1455" s="64">
        <f>$Q1455-$Q1456</f>
        <v/>
      </c>
      <c r="DU1455" s="64">
        <f>$S1455-$S1456</f>
        <v/>
      </c>
      <c r="DV1455" s="65">
        <f>IFERROR(AVERAGE($AA1456/$AA1455-1,$AB1456/$AB1455-1,$AC1456/$AC1455-1,$AD1456/$AD1455-1,$AE1456/$AE1455-1,$AG1456/$AG1455-1,$AH1456/$AH1455-1,$AI1456/$AI1455-1,$AJ1456/$AJ1455-1,$AL1456/$AL1455-1,$AM1456/$AM1455-1,$AR1456/$AR1455-1,$AS1456/$AS1455-1,$AT1456/$AT1455-1,$AU1456/$AU1455-1,$AV1456/$AV1455-1,$AW1456/$AW1455-1,$AX1456/$AX1455-1,$AY1456/$AY1455-1),"")</f>
        <v/>
      </c>
      <c r="DW1455" s="66">
        <f>AVERAGE($CB1455,$CC1455,$CD1455,$CE1455,$CF1455,$CG1455,$CH1455,$CI1455,$CJ1455,$CL1455,$CM1455,$CN1455,$CO1455,$CP1455,$CQ1455,$CR1455,$CS1455,$CT1455)</f>
        <v/>
      </c>
      <c r="DX1455" s="66">
        <f>AVERAGE($CB1455,$CC1455,$CM1455,$CE1455,$CP1455)</f>
        <v/>
      </c>
      <c r="DY1455" s="64">
        <f>($DW1455-$DW1456)*100</f>
        <v/>
      </c>
      <c r="DZ1455" s="64">
        <f>($DX1455-$DX1456)*100</f>
        <v/>
      </c>
      <c r="EA1455" s="64">
        <f>($DW1455-$D1455)*100</f>
        <v/>
      </c>
      <c r="EB1455" s="64">
        <f>$Q1455-$O1455</f>
        <v/>
      </c>
      <c r="EC1455" s="67">
        <f>IFERROR($Q1455/$P1455,"")</f>
        <v/>
      </c>
    </row>
    <row r="1456">
      <c r="DG1456" s="64">
        <f>($B1456-$B1457)*100</f>
        <v/>
      </c>
      <c r="DH1456" s="64">
        <f>($D1456-$D1457)*100</f>
        <v/>
      </c>
      <c r="DI1456" s="64">
        <f>($E1456-$E1457)*100</f>
        <v/>
      </c>
      <c r="DJ1456" s="64">
        <f>($H1456-$H1457)*100</f>
        <v/>
      </c>
      <c r="DK1456" s="65">
        <f>IFERROR($J1456/$J1457-1,"")</f>
        <v/>
      </c>
      <c r="DL1456" s="64">
        <f>$L1456-$L1457</f>
        <v/>
      </c>
      <c r="DM1456" s="64">
        <f>$K1456-$K1457</f>
        <v/>
      </c>
      <c r="DN1456" s="65">
        <f>IFERROR($N1456/$N1457-1,"")</f>
        <v/>
      </c>
      <c r="DO1456" s="65">
        <f>IFERROR($M1456/$M1457-1,"")</f>
        <v/>
      </c>
      <c r="DP1456" s="65">
        <f>IFERROR($AZ1456/$AZ1457-1,"")</f>
        <v/>
      </c>
      <c r="DQ1456" s="65">
        <f>IFERROR($BA1456/$BA1457-1,"")</f>
        <v/>
      </c>
      <c r="DR1456" s="64">
        <f>$O1456-$O1457</f>
        <v/>
      </c>
      <c r="DS1456" s="64">
        <f>$P1456-$P1457</f>
        <v/>
      </c>
      <c r="DT1456" s="64">
        <f>$Q1456-$Q1457</f>
        <v/>
      </c>
      <c r="DU1456" s="64">
        <f>$S1456-$S1457</f>
        <v/>
      </c>
      <c r="DV1456" s="65">
        <f>IFERROR(AVERAGE($AA1457/$AA1456-1,$AB1457/$AB1456-1,$AC1457/$AC1456-1,$AD1457/$AD1456-1,$AE1457/$AE1456-1,$AG1457/$AG1456-1,$AH1457/$AH1456-1,$AI1457/$AI1456-1,$AJ1457/$AJ1456-1,$AL1457/$AL1456-1,$AM1457/$AM1456-1,$AR1457/$AR1456-1,$AS1457/$AS1456-1,$AT1457/$AT1456-1,$AU1457/$AU1456-1,$AV1457/$AV1456-1,$AW1457/$AW1456-1,$AX1457/$AX1456-1,$AY1457/$AY1456-1),"")</f>
        <v/>
      </c>
      <c r="DW1456" s="66">
        <f>AVERAGE($CB1456,$CC1456,$CD1456,$CE1456,$CF1456,$CG1456,$CH1456,$CI1456,$CJ1456,$CL1456,$CM1456,$CN1456,$CO1456,$CP1456,$CQ1456,$CR1456,$CS1456,$CT1456)</f>
        <v/>
      </c>
      <c r="DX1456" s="66">
        <f>AVERAGE($CB1456,$CC1456,$CM1456,$CE1456,$CP1456)</f>
        <v/>
      </c>
      <c r="DY1456" s="64">
        <f>($DW1456-$DW1457)*100</f>
        <v/>
      </c>
      <c r="DZ1456" s="64">
        <f>($DX1456-$DX1457)*100</f>
        <v/>
      </c>
      <c r="EA1456" s="64">
        <f>($DW1456-$D1456)*100</f>
        <v/>
      </c>
      <c r="EB1456" s="64">
        <f>$Q1456-$O1456</f>
        <v/>
      </c>
      <c r="EC1456" s="67">
        <f>IFERROR($Q1456/$P1456,"")</f>
        <v/>
      </c>
    </row>
    <row r="1457">
      <c r="DG1457" s="64">
        <f>($B1457-$B1458)*100</f>
        <v/>
      </c>
      <c r="DH1457" s="64">
        <f>($D1457-$D1458)*100</f>
        <v/>
      </c>
      <c r="DI1457" s="64">
        <f>($E1457-$E1458)*100</f>
        <v/>
      </c>
      <c r="DJ1457" s="64">
        <f>($H1457-$H1458)*100</f>
        <v/>
      </c>
      <c r="DK1457" s="65">
        <f>IFERROR($J1457/$J1458-1,"")</f>
        <v/>
      </c>
      <c r="DL1457" s="64">
        <f>$L1457-$L1458</f>
        <v/>
      </c>
      <c r="DM1457" s="64">
        <f>$K1457-$K1458</f>
        <v/>
      </c>
      <c r="DN1457" s="65">
        <f>IFERROR($N1457/$N1458-1,"")</f>
        <v/>
      </c>
      <c r="DO1457" s="65">
        <f>IFERROR($M1457/$M1458-1,"")</f>
        <v/>
      </c>
      <c r="DP1457" s="65">
        <f>IFERROR($AZ1457/$AZ1458-1,"")</f>
        <v/>
      </c>
      <c r="DQ1457" s="65">
        <f>IFERROR($BA1457/$BA1458-1,"")</f>
        <v/>
      </c>
      <c r="DR1457" s="64">
        <f>$O1457-$O1458</f>
        <v/>
      </c>
      <c r="DS1457" s="64">
        <f>$P1457-$P1458</f>
        <v/>
      </c>
      <c r="DT1457" s="64">
        <f>$Q1457-$Q1458</f>
        <v/>
      </c>
      <c r="DU1457" s="64">
        <f>$S1457-$S1458</f>
        <v/>
      </c>
      <c r="DV1457" s="65">
        <f>IFERROR(AVERAGE($AA1458/$AA1457-1,$AB1458/$AB1457-1,$AC1458/$AC1457-1,$AD1458/$AD1457-1,$AE1458/$AE1457-1,$AG1458/$AG1457-1,$AH1458/$AH1457-1,$AI1458/$AI1457-1,$AJ1458/$AJ1457-1,$AL1458/$AL1457-1,$AM1458/$AM1457-1,$AR1458/$AR1457-1,$AS1458/$AS1457-1,$AT1458/$AT1457-1,$AU1458/$AU1457-1,$AV1458/$AV1457-1,$AW1458/$AW1457-1,$AX1458/$AX1457-1,$AY1458/$AY1457-1),"")</f>
        <v/>
      </c>
      <c r="DW1457" s="66">
        <f>AVERAGE($CB1457,$CC1457,$CD1457,$CE1457,$CF1457,$CG1457,$CH1457,$CI1457,$CJ1457,$CL1457,$CM1457,$CN1457,$CO1457,$CP1457,$CQ1457,$CR1457,$CS1457,$CT1457)</f>
        <v/>
      </c>
      <c r="DX1457" s="66">
        <f>AVERAGE($CB1457,$CC1457,$CM1457,$CE1457,$CP1457)</f>
        <v/>
      </c>
      <c r="DY1457" s="64">
        <f>($DW1457-$DW1458)*100</f>
        <v/>
      </c>
      <c r="DZ1457" s="64">
        <f>($DX1457-$DX1458)*100</f>
        <v/>
      </c>
      <c r="EA1457" s="64">
        <f>($DW1457-$D1457)*100</f>
        <v/>
      </c>
      <c r="EB1457" s="64">
        <f>$Q1457-$O1457</f>
        <v/>
      </c>
      <c r="EC1457" s="67">
        <f>IFERROR($Q1457/$P1457,"")</f>
        <v/>
      </c>
    </row>
    <row r="1458">
      <c r="DG1458" s="64">
        <f>($B1458-$B1459)*100</f>
        <v/>
      </c>
      <c r="DH1458" s="64">
        <f>($D1458-$D1459)*100</f>
        <v/>
      </c>
      <c r="DI1458" s="64">
        <f>($E1458-$E1459)*100</f>
        <v/>
      </c>
      <c r="DJ1458" s="64">
        <f>($H1458-$H1459)*100</f>
        <v/>
      </c>
      <c r="DK1458" s="65">
        <f>IFERROR($J1458/$J1459-1,"")</f>
        <v/>
      </c>
      <c r="DL1458" s="64">
        <f>$L1458-$L1459</f>
        <v/>
      </c>
      <c r="DM1458" s="64">
        <f>$K1458-$K1459</f>
        <v/>
      </c>
      <c r="DN1458" s="65">
        <f>IFERROR($N1458/$N1459-1,"")</f>
        <v/>
      </c>
      <c r="DO1458" s="65">
        <f>IFERROR($M1458/$M1459-1,"")</f>
        <v/>
      </c>
      <c r="DP1458" s="65">
        <f>IFERROR($AZ1458/$AZ1459-1,"")</f>
        <v/>
      </c>
      <c r="DQ1458" s="65">
        <f>IFERROR($BA1458/$BA1459-1,"")</f>
        <v/>
      </c>
      <c r="DR1458" s="64">
        <f>$O1458-$O1459</f>
        <v/>
      </c>
      <c r="DS1458" s="64">
        <f>$P1458-$P1459</f>
        <v/>
      </c>
      <c r="DT1458" s="64">
        <f>$Q1458-$Q1459</f>
        <v/>
      </c>
      <c r="DU1458" s="64">
        <f>$S1458-$S1459</f>
        <v/>
      </c>
      <c r="DV1458" s="65">
        <f>IFERROR(AVERAGE($AA1459/$AA1458-1,$AB1459/$AB1458-1,$AC1459/$AC1458-1,$AD1459/$AD1458-1,$AE1459/$AE1458-1,$AG1459/$AG1458-1,$AH1459/$AH1458-1,$AI1459/$AI1458-1,$AJ1459/$AJ1458-1,$AL1459/$AL1458-1,$AM1459/$AM1458-1,$AR1459/$AR1458-1,$AS1459/$AS1458-1,$AT1459/$AT1458-1,$AU1459/$AU1458-1,$AV1459/$AV1458-1,$AW1459/$AW1458-1,$AX1459/$AX1458-1,$AY1459/$AY1458-1),"")</f>
        <v/>
      </c>
      <c r="DW1458" s="66">
        <f>AVERAGE($CB1458,$CC1458,$CD1458,$CE1458,$CF1458,$CG1458,$CH1458,$CI1458,$CJ1458,$CL1458,$CM1458,$CN1458,$CO1458,$CP1458,$CQ1458,$CR1458,$CS1458,$CT1458)</f>
        <v/>
      </c>
      <c r="DX1458" s="66">
        <f>AVERAGE($CB1458,$CC1458,$CM1458,$CE1458,$CP1458)</f>
        <v/>
      </c>
      <c r="DY1458" s="64">
        <f>($DW1458-$DW1459)*100</f>
        <v/>
      </c>
      <c r="DZ1458" s="64">
        <f>($DX1458-$DX1459)*100</f>
        <v/>
      </c>
      <c r="EA1458" s="64">
        <f>($DW1458-$D1458)*100</f>
        <v/>
      </c>
      <c r="EB1458" s="64">
        <f>$Q1458-$O1458</f>
        <v/>
      </c>
      <c r="EC1458" s="67">
        <f>IFERROR($Q1458/$P1458,"")</f>
        <v/>
      </c>
    </row>
    <row r="1459">
      <c r="DG1459" s="64">
        <f>($B1459-$B1460)*100</f>
        <v/>
      </c>
      <c r="DH1459" s="64">
        <f>($D1459-$D1460)*100</f>
        <v/>
      </c>
      <c r="DI1459" s="64">
        <f>($E1459-$E1460)*100</f>
        <v/>
      </c>
      <c r="DJ1459" s="64">
        <f>($H1459-$H1460)*100</f>
        <v/>
      </c>
      <c r="DK1459" s="65">
        <f>IFERROR($J1459/$J1460-1,"")</f>
        <v/>
      </c>
      <c r="DL1459" s="64">
        <f>$L1459-$L1460</f>
        <v/>
      </c>
      <c r="DM1459" s="64">
        <f>$K1459-$K1460</f>
        <v/>
      </c>
      <c r="DN1459" s="65">
        <f>IFERROR($N1459/$N1460-1,"")</f>
        <v/>
      </c>
      <c r="DO1459" s="65">
        <f>IFERROR($M1459/$M1460-1,"")</f>
        <v/>
      </c>
      <c r="DP1459" s="65">
        <f>IFERROR($AZ1459/$AZ1460-1,"")</f>
        <v/>
      </c>
      <c r="DQ1459" s="65">
        <f>IFERROR($BA1459/$BA1460-1,"")</f>
        <v/>
      </c>
      <c r="DR1459" s="64">
        <f>$O1459-$O1460</f>
        <v/>
      </c>
      <c r="DS1459" s="64">
        <f>$P1459-$P1460</f>
        <v/>
      </c>
      <c r="DT1459" s="64">
        <f>$Q1459-$Q1460</f>
        <v/>
      </c>
      <c r="DU1459" s="64">
        <f>$S1459-$S1460</f>
        <v/>
      </c>
      <c r="DV1459" s="65">
        <f>IFERROR(AVERAGE($AA1460/$AA1459-1,$AB1460/$AB1459-1,$AC1460/$AC1459-1,$AD1460/$AD1459-1,$AE1460/$AE1459-1,$AG1460/$AG1459-1,$AH1460/$AH1459-1,$AI1460/$AI1459-1,$AJ1460/$AJ1459-1,$AL1460/$AL1459-1,$AM1460/$AM1459-1,$AR1460/$AR1459-1,$AS1460/$AS1459-1,$AT1460/$AT1459-1,$AU1460/$AU1459-1,$AV1460/$AV1459-1,$AW1460/$AW1459-1,$AX1460/$AX1459-1,$AY1460/$AY1459-1),"")</f>
        <v/>
      </c>
      <c r="DW1459" s="66">
        <f>AVERAGE($CB1459,$CC1459,$CD1459,$CE1459,$CF1459,$CG1459,$CH1459,$CI1459,$CJ1459,$CL1459,$CM1459,$CN1459,$CO1459,$CP1459,$CQ1459,$CR1459,$CS1459,$CT1459)</f>
        <v/>
      </c>
      <c r="DX1459" s="66">
        <f>AVERAGE($CB1459,$CC1459,$CM1459,$CE1459,$CP1459)</f>
        <v/>
      </c>
      <c r="DY1459" s="64">
        <f>($DW1459-$DW1460)*100</f>
        <v/>
      </c>
      <c r="DZ1459" s="64">
        <f>($DX1459-$DX1460)*100</f>
        <v/>
      </c>
      <c r="EA1459" s="64">
        <f>($DW1459-$D1459)*100</f>
        <v/>
      </c>
      <c r="EB1459" s="64">
        <f>$Q1459-$O1459</f>
        <v/>
      </c>
      <c r="EC1459" s="67">
        <f>IFERROR($Q1459/$P1459,"")</f>
        <v/>
      </c>
    </row>
    <row r="1460">
      <c r="DG1460" s="64">
        <f>($B1460-$B1461)*100</f>
        <v/>
      </c>
      <c r="DH1460" s="64">
        <f>($D1460-$D1461)*100</f>
        <v/>
      </c>
      <c r="DI1460" s="64">
        <f>($E1460-$E1461)*100</f>
        <v/>
      </c>
      <c r="DJ1460" s="64">
        <f>($H1460-$H1461)*100</f>
        <v/>
      </c>
      <c r="DK1460" s="65">
        <f>IFERROR($J1460/$J1461-1,"")</f>
        <v/>
      </c>
      <c r="DL1460" s="64">
        <f>$L1460-$L1461</f>
        <v/>
      </c>
      <c r="DM1460" s="64">
        <f>$K1460-$K1461</f>
        <v/>
      </c>
      <c r="DN1460" s="65">
        <f>IFERROR($N1460/$N1461-1,"")</f>
        <v/>
      </c>
      <c r="DO1460" s="65">
        <f>IFERROR($M1460/$M1461-1,"")</f>
        <v/>
      </c>
      <c r="DP1460" s="65">
        <f>IFERROR($AZ1460/$AZ1461-1,"")</f>
        <v/>
      </c>
      <c r="DQ1460" s="65">
        <f>IFERROR($BA1460/$BA1461-1,"")</f>
        <v/>
      </c>
      <c r="DR1460" s="64">
        <f>$O1460-$O1461</f>
        <v/>
      </c>
      <c r="DS1460" s="64">
        <f>$P1460-$P1461</f>
        <v/>
      </c>
      <c r="DT1460" s="64">
        <f>$Q1460-$Q1461</f>
        <v/>
      </c>
      <c r="DU1460" s="64">
        <f>$S1460-$S1461</f>
        <v/>
      </c>
      <c r="DV1460" s="65">
        <f>IFERROR(AVERAGE($AA1461/$AA1460-1,$AB1461/$AB1460-1,$AC1461/$AC1460-1,$AD1461/$AD1460-1,$AE1461/$AE1460-1,$AG1461/$AG1460-1,$AH1461/$AH1460-1,$AI1461/$AI1460-1,$AJ1461/$AJ1460-1,$AL1461/$AL1460-1,$AM1461/$AM1460-1,$AR1461/$AR1460-1,$AS1461/$AS1460-1,$AT1461/$AT1460-1,$AU1461/$AU1460-1,$AV1461/$AV1460-1,$AW1461/$AW1460-1,$AX1461/$AX1460-1,$AY1461/$AY1460-1),"")</f>
        <v/>
      </c>
      <c r="DW1460" s="66">
        <f>AVERAGE($CB1460,$CC1460,$CD1460,$CE1460,$CF1460,$CG1460,$CH1460,$CI1460,$CJ1460,$CL1460,$CM1460,$CN1460,$CO1460,$CP1460,$CQ1460,$CR1460,$CS1460,$CT1460)</f>
        <v/>
      </c>
      <c r="DX1460" s="66">
        <f>AVERAGE($CB1460,$CC1460,$CM1460,$CE1460,$CP1460)</f>
        <v/>
      </c>
      <c r="DY1460" s="64">
        <f>($DW1460-$DW1461)*100</f>
        <v/>
      </c>
      <c r="DZ1460" s="64">
        <f>($DX1460-$DX1461)*100</f>
        <v/>
      </c>
      <c r="EA1460" s="64">
        <f>($DW1460-$D1460)*100</f>
        <v/>
      </c>
      <c r="EB1460" s="64">
        <f>$Q1460-$O1460</f>
        <v/>
      </c>
      <c r="EC1460" s="67">
        <f>IFERROR($Q1460/$P1460,"")</f>
        <v/>
      </c>
    </row>
    <row r="1461">
      <c r="DG1461" s="64">
        <f>($B1461-$B1462)*100</f>
        <v/>
      </c>
      <c r="DH1461" s="64">
        <f>($D1461-$D1462)*100</f>
        <v/>
      </c>
      <c r="DI1461" s="64">
        <f>($E1461-$E1462)*100</f>
        <v/>
      </c>
      <c r="DJ1461" s="64">
        <f>($H1461-$H1462)*100</f>
        <v/>
      </c>
      <c r="DK1461" s="65">
        <f>IFERROR($J1461/$J1462-1,"")</f>
        <v/>
      </c>
      <c r="DL1461" s="64">
        <f>$L1461-$L1462</f>
        <v/>
      </c>
      <c r="DM1461" s="64">
        <f>$K1461-$K1462</f>
        <v/>
      </c>
      <c r="DN1461" s="65">
        <f>IFERROR($N1461/$N1462-1,"")</f>
        <v/>
      </c>
      <c r="DO1461" s="65">
        <f>IFERROR($M1461/$M1462-1,"")</f>
        <v/>
      </c>
      <c r="DP1461" s="65">
        <f>IFERROR($AZ1461/$AZ1462-1,"")</f>
        <v/>
      </c>
      <c r="DQ1461" s="65">
        <f>IFERROR($BA1461/$BA1462-1,"")</f>
        <v/>
      </c>
      <c r="DR1461" s="64">
        <f>$O1461-$O1462</f>
        <v/>
      </c>
      <c r="DS1461" s="64">
        <f>$P1461-$P1462</f>
        <v/>
      </c>
      <c r="DT1461" s="64">
        <f>$Q1461-$Q1462</f>
        <v/>
      </c>
      <c r="DU1461" s="64">
        <f>$S1461-$S1462</f>
        <v/>
      </c>
      <c r="DV1461" s="65">
        <f>IFERROR(AVERAGE($AA1462/$AA1461-1,$AB1462/$AB1461-1,$AC1462/$AC1461-1,$AD1462/$AD1461-1,$AE1462/$AE1461-1,$AG1462/$AG1461-1,$AH1462/$AH1461-1,$AI1462/$AI1461-1,$AJ1462/$AJ1461-1,$AL1462/$AL1461-1,$AM1462/$AM1461-1,$AR1462/$AR1461-1,$AS1462/$AS1461-1,$AT1462/$AT1461-1,$AU1462/$AU1461-1,$AV1462/$AV1461-1,$AW1462/$AW1461-1,$AX1462/$AX1461-1,$AY1462/$AY1461-1),"")</f>
        <v/>
      </c>
      <c r="DW1461" s="66">
        <f>AVERAGE($CB1461,$CC1461,$CD1461,$CE1461,$CF1461,$CG1461,$CH1461,$CI1461,$CJ1461,$CL1461,$CM1461,$CN1461,$CO1461,$CP1461,$CQ1461,$CR1461,$CS1461,$CT1461)</f>
        <v/>
      </c>
      <c r="DX1461" s="66">
        <f>AVERAGE($CB1461,$CC1461,$CM1461,$CE1461,$CP1461)</f>
        <v/>
      </c>
      <c r="DY1461" s="64">
        <f>($DW1461-$DW1462)*100</f>
        <v/>
      </c>
      <c r="DZ1461" s="64">
        <f>($DX1461-$DX1462)*100</f>
        <v/>
      </c>
      <c r="EA1461" s="64">
        <f>($DW1461-$D1461)*100</f>
        <v/>
      </c>
      <c r="EB1461" s="64">
        <f>$Q1461-$O1461</f>
        <v/>
      </c>
      <c r="EC1461" s="67">
        <f>IFERROR($Q1461/$P1461,"")</f>
        <v/>
      </c>
    </row>
    <row r="1462">
      <c r="DG1462" s="64">
        <f>($B1462-$B1463)*100</f>
        <v/>
      </c>
      <c r="DH1462" s="64">
        <f>($D1462-$D1463)*100</f>
        <v/>
      </c>
      <c r="DI1462" s="64">
        <f>($E1462-$E1463)*100</f>
        <v/>
      </c>
      <c r="DJ1462" s="64">
        <f>($H1462-$H1463)*100</f>
        <v/>
      </c>
      <c r="DK1462" s="65">
        <f>IFERROR($J1462/$J1463-1,"")</f>
        <v/>
      </c>
      <c r="DL1462" s="64">
        <f>$L1462-$L1463</f>
        <v/>
      </c>
      <c r="DM1462" s="64">
        <f>$K1462-$K1463</f>
        <v/>
      </c>
      <c r="DN1462" s="65">
        <f>IFERROR($N1462/$N1463-1,"")</f>
        <v/>
      </c>
      <c r="DO1462" s="65">
        <f>IFERROR($M1462/$M1463-1,"")</f>
        <v/>
      </c>
      <c r="DP1462" s="65">
        <f>IFERROR($AZ1462/$AZ1463-1,"")</f>
        <v/>
      </c>
      <c r="DQ1462" s="65">
        <f>IFERROR($BA1462/$BA1463-1,"")</f>
        <v/>
      </c>
      <c r="DR1462" s="64">
        <f>$O1462-$O1463</f>
        <v/>
      </c>
      <c r="DS1462" s="64">
        <f>$P1462-$P1463</f>
        <v/>
      </c>
      <c r="DT1462" s="64">
        <f>$Q1462-$Q1463</f>
        <v/>
      </c>
      <c r="DU1462" s="64">
        <f>$S1462-$S1463</f>
        <v/>
      </c>
      <c r="DV1462" s="65">
        <f>IFERROR(AVERAGE($AA1463/$AA1462-1,$AB1463/$AB1462-1,$AC1463/$AC1462-1,$AD1463/$AD1462-1,$AE1463/$AE1462-1,$AG1463/$AG1462-1,$AH1463/$AH1462-1,$AI1463/$AI1462-1,$AJ1463/$AJ1462-1,$AL1463/$AL1462-1,$AM1463/$AM1462-1,$AR1463/$AR1462-1,$AS1463/$AS1462-1,$AT1463/$AT1462-1,$AU1463/$AU1462-1,$AV1463/$AV1462-1,$AW1463/$AW1462-1,$AX1463/$AX1462-1,$AY1463/$AY1462-1),"")</f>
        <v/>
      </c>
      <c r="DW1462" s="66">
        <f>AVERAGE($CB1462,$CC1462,$CD1462,$CE1462,$CF1462,$CG1462,$CH1462,$CI1462,$CJ1462,$CL1462,$CM1462,$CN1462,$CO1462,$CP1462,$CQ1462,$CR1462,$CS1462,$CT1462)</f>
        <v/>
      </c>
      <c r="DX1462" s="66">
        <f>AVERAGE($CB1462,$CC1462,$CM1462,$CE1462,$CP1462)</f>
        <v/>
      </c>
      <c r="DY1462" s="64">
        <f>($DW1462-$DW1463)*100</f>
        <v/>
      </c>
      <c r="DZ1462" s="64">
        <f>($DX1462-$DX1463)*100</f>
        <v/>
      </c>
      <c r="EA1462" s="64">
        <f>($DW1462-$D1462)*100</f>
        <v/>
      </c>
      <c r="EB1462" s="64">
        <f>$Q1462-$O1462</f>
        <v/>
      </c>
      <c r="EC1462" s="67">
        <f>IFERROR($Q1462/$P1462,"")</f>
        <v/>
      </c>
    </row>
    <row r="1463">
      <c r="DG1463" s="64">
        <f>($B1463-$B1464)*100</f>
        <v/>
      </c>
      <c r="DH1463" s="64">
        <f>($D1463-$D1464)*100</f>
        <v/>
      </c>
      <c r="DI1463" s="64">
        <f>($E1463-$E1464)*100</f>
        <v/>
      </c>
      <c r="DJ1463" s="64">
        <f>($H1463-$H1464)*100</f>
        <v/>
      </c>
      <c r="DK1463" s="65">
        <f>IFERROR($J1463/$J1464-1,"")</f>
        <v/>
      </c>
      <c r="DL1463" s="64">
        <f>$L1463-$L1464</f>
        <v/>
      </c>
      <c r="DM1463" s="64">
        <f>$K1463-$K1464</f>
        <v/>
      </c>
      <c r="DN1463" s="65">
        <f>IFERROR($N1463/$N1464-1,"")</f>
        <v/>
      </c>
      <c r="DO1463" s="65">
        <f>IFERROR($M1463/$M1464-1,"")</f>
        <v/>
      </c>
      <c r="DP1463" s="65">
        <f>IFERROR($AZ1463/$AZ1464-1,"")</f>
        <v/>
      </c>
      <c r="DQ1463" s="65">
        <f>IFERROR($BA1463/$BA1464-1,"")</f>
        <v/>
      </c>
      <c r="DR1463" s="64">
        <f>$O1463-$O1464</f>
        <v/>
      </c>
      <c r="DS1463" s="64">
        <f>$P1463-$P1464</f>
        <v/>
      </c>
      <c r="DT1463" s="64">
        <f>$Q1463-$Q1464</f>
        <v/>
      </c>
      <c r="DU1463" s="64">
        <f>$S1463-$S1464</f>
        <v/>
      </c>
      <c r="DV1463" s="65">
        <f>IFERROR(AVERAGE($AA1464/$AA1463-1,$AB1464/$AB1463-1,$AC1464/$AC1463-1,$AD1464/$AD1463-1,$AE1464/$AE1463-1,$AG1464/$AG1463-1,$AH1464/$AH1463-1,$AI1464/$AI1463-1,$AJ1464/$AJ1463-1,$AL1464/$AL1463-1,$AM1464/$AM1463-1,$AR1464/$AR1463-1,$AS1464/$AS1463-1,$AT1464/$AT1463-1,$AU1464/$AU1463-1,$AV1464/$AV1463-1,$AW1464/$AW1463-1,$AX1464/$AX1463-1,$AY1464/$AY1463-1),"")</f>
        <v/>
      </c>
      <c r="DW1463" s="66">
        <f>AVERAGE($CB1463,$CC1463,$CD1463,$CE1463,$CF1463,$CG1463,$CH1463,$CI1463,$CJ1463,$CL1463,$CM1463,$CN1463,$CO1463,$CP1463,$CQ1463,$CR1463,$CS1463,$CT1463)</f>
        <v/>
      </c>
      <c r="DX1463" s="66">
        <f>AVERAGE($CB1463,$CC1463,$CM1463,$CE1463,$CP1463)</f>
        <v/>
      </c>
      <c r="DY1463" s="64">
        <f>($DW1463-$DW1464)*100</f>
        <v/>
      </c>
      <c r="DZ1463" s="64">
        <f>($DX1463-$DX1464)*100</f>
        <v/>
      </c>
      <c r="EA1463" s="64">
        <f>($DW1463-$D1463)*100</f>
        <v/>
      </c>
      <c r="EB1463" s="64">
        <f>$Q1463-$O1463</f>
        <v/>
      </c>
      <c r="EC1463" s="67">
        <f>IFERROR($Q1463/$P1463,"")</f>
        <v/>
      </c>
    </row>
    <row r="1464">
      <c r="DG1464" s="64">
        <f>($B1464-$B1465)*100</f>
        <v/>
      </c>
      <c r="DH1464" s="64">
        <f>($D1464-$D1465)*100</f>
        <v/>
      </c>
      <c r="DI1464" s="64">
        <f>($E1464-$E1465)*100</f>
        <v/>
      </c>
      <c r="DJ1464" s="64">
        <f>($H1464-$H1465)*100</f>
        <v/>
      </c>
      <c r="DK1464" s="65">
        <f>IFERROR($J1464/$J1465-1,"")</f>
        <v/>
      </c>
      <c r="DL1464" s="64">
        <f>$L1464-$L1465</f>
        <v/>
      </c>
      <c r="DM1464" s="64">
        <f>$K1464-$K1465</f>
        <v/>
      </c>
      <c r="DN1464" s="65">
        <f>IFERROR($N1464/$N1465-1,"")</f>
        <v/>
      </c>
      <c r="DO1464" s="65">
        <f>IFERROR($M1464/$M1465-1,"")</f>
        <v/>
      </c>
      <c r="DP1464" s="65">
        <f>IFERROR($AZ1464/$AZ1465-1,"")</f>
        <v/>
      </c>
      <c r="DQ1464" s="65">
        <f>IFERROR($BA1464/$BA1465-1,"")</f>
        <v/>
      </c>
      <c r="DR1464" s="64">
        <f>$O1464-$O1465</f>
        <v/>
      </c>
      <c r="DS1464" s="64">
        <f>$P1464-$P1465</f>
        <v/>
      </c>
      <c r="DT1464" s="64">
        <f>$Q1464-$Q1465</f>
        <v/>
      </c>
      <c r="DU1464" s="64">
        <f>$S1464-$S1465</f>
        <v/>
      </c>
      <c r="DV1464" s="65">
        <f>IFERROR(AVERAGE($AA1465/$AA1464-1,$AB1465/$AB1464-1,$AC1465/$AC1464-1,$AD1465/$AD1464-1,$AE1465/$AE1464-1,$AG1465/$AG1464-1,$AH1465/$AH1464-1,$AI1465/$AI1464-1,$AJ1465/$AJ1464-1,$AL1465/$AL1464-1,$AM1465/$AM1464-1,$AR1465/$AR1464-1,$AS1465/$AS1464-1,$AT1465/$AT1464-1,$AU1465/$AU1464-1,$AV1465/$AV1464-1,$AW1465/$AW1464-1,$AX1465/$AX1464-1,$AY1465/$AY1464-1),"")</f>
        <v/>
      </c>
      <c r="DW1464" s="66">
        <f>AVERAGE($CB1464,$CC1464,$CD1464,$CE1464,$CF1464,$CG1464,$CH1464,$CI1464,$CJ1464,$CL1464,$CM1464,$CN1464,$CO1464,$CP1464,$CQ1464,$CR1464,$CS1464,$CT1464)</f>
        <v/>
      </c>
      <c r="DX1464" s="66">
        <f>AVERAGE($CB1464,$CC1464,$CM1464,$CE1464,$CP1464)</f>
        <v/>
      </c>
      <c r="DY1464" s="64">
        <f>($DW1464-$DW1465)*100</f>
        <v/>
      </c>
      <c r="DZ1464" s="64">
        <f>($DX1464-$DX1465)*100</f>
        <v/>
      </c>
      <c r="EA1464" s="64">
        <f>($DW1464-$D1464)*100</f>
        <v/>
      </c>
      <c r="EB1464" s="64">
        <f>$Q1464-$O1464</f>
        <v/>
      </c>
      <c r="EC1464" s="67">
        <f>IFERROR($Q1464/$P1464,"")</f>
        <v/>
      </c>
    </row>
    <row r="1465">
      <c r="DG1465" s="64">
        <f>($B1465-$B1466)*100</f>
        <v/>
      </c>
      <c r="DH1465" s="64">
        <f>($D1465-$D1466)*100</f>
        <v/>
      </c>
      <c r="DI1465" s="64">
        <f>($E1465-$E1466)*100</f>
        <v/>
      </c>
      <c r="DJ1465" s="64">
        <f>($H1465-$H1466)*100</f>
        <v/>
      </c>
      <c r="DK1465" s="65">
        <f>IFERROR($J1465/$J1466-1,"")</f>
        <v/>
      </c>
      <c r="DL1465" s="64">
        <f>$L1465-$L1466</f>
        <v/>
      </c>
      <c r="DM1465" s="64">
        <f>$K1465-$K1466</f>
        <v/>
      </c>
      <c r="DN1465" s="65">
        <f>IFERROR($N1465/$N1466-1,"")</f>
        <v/>
      </c>
      <c r="DO1465" s="65">
        <f>IFERROR($M1465/$M1466-1,"")</f>
        <v/>
      </c>
      <c r="DP1465" s="65">
        <f>IFERROR($AZ1465/$AZ1466-1,"")</f>
        <v/>
      </c>
      <c r="DQ1465" s="65">
        <f>IFERROR($BA1465/$BA1466-1,"")</f>
        <v/>
      </c>
      <c r="DR1465" s="64">
        <f>$O1465-$O1466</f>
        <v/>
      </c>
      <c r="DS1465" s="64">
        <f>$P1465-$P1466</f>
        <v/>
      </c>
      <c r="DT1465" s="64">
        <f>$Q1465-$Q1466</f>
        <v/>
      </c>
      <c r="DU1465" s="64">
        <f>$S1465-$S1466</f>
        <v/>
      </c>
      <c r="DV1465" s="65">
        <f>IFERROR(AVERAGE($AA1466/$AA1465-1,$AB1466/$AB1465-1,$AC1466/$AC1465-1,$AD1466/$AD1465-1,$AE1466/$AE1465-1,$AG1466/$AG1465-1,$AH1466/$AH1465-1,$AI1466/$AI1465-1,$AJ1466/$AJ1465-1,$AL1466/$AL1465-1,$AM1466/$AM1465-1,$AR1466/$AR1465-1,$AS1466/$AS1465-1,$AT1466/$AT1465-1,$AU1466/$AU1465-1,$AV1466/$AV1465-1,$AW1466/$AW1465-1,$AX1466/$AX1465-1,$AY1466/$AY1465-1),"")</f>
        <v/>
      </c>
      <c r="DW1465" s="66">
        <f>AVERAGE($CB1465,$CC1465,$CD1465,$CE1465,$CF1465,$CG1465,$CH1465,$CI1465,$CJ1465,$CL1465,$CM1465,$CN1465,$CO1465,$CP1465,$CQ1465,$CR1465,$CS1465,$CT1465)</f>
        <v/>
      </c>
      <c r="DX1465" s="66">
        <f>AVERAGE($CB1465,$CC1465,$CM1465,$CE1465,$CP1465)</f>
        <v/>
      </c>
      <c r="DY1465" s="64">
        <f>($DW1465-$DW1466)*100</f>
        <v/>
      </c>
      <c r="DZ1465" s="64">
        <f>($DX1465-$DX1466)*100</f>
        <v/>
      </c>
      <c r="EA1465" s="64">
        <f>($DW1465-$D1465)*100</f>
        <v/>
      </c>
      <c r="EB1465" s="64">
        <f>$Q1465-$O1465</f>
        <v/>
      </c>
      <c r="EC1465" s="67">
        <f>IFERROR($Q1465/$P1465,"")</f>
        <v/>
      </c>
    </row>
    <row r="1466">
      <c r="DG1466" s="64">
        <f>($B1466-$B1467)*100</f>
        <v/>
      </c>
      <c r="DH1466" s="64">
        <f>($D1466-$D1467)*100</f>
        <v/>
      </c>
      <c r="DI1466" s="64">
        <f>($E1466-$E1467)*100</f>
        <v/>
      </c>
      <c r="DJ1466" s="64">
        <f>($H1466-$H1467)*100</f>
        <v/>
      </c>
      <c r="DK1466" s="65">
        <f>IFERROR($J1466/$J1467-1,"")</f>
        <v/>
      </c>
      <c r="DL1466" s="64">
        <f>$L1466-$L1467</f>
        <v/>
      </c>
      <c r="DM1466" s="64">
        <f>$K1466-$K1467</f>
        <v/>
      </c>
      <c r="DN1466" s="65">
        <f>IFERROR($N1466/$N1467-1,"")</f>
        <v/>
      </c>
      <c r="DO1466" s="65">
        <f>IFERROR($M1466/$M1467-1,"")</f>
        <v/>
      </c>
      <c r="DP1466" s="65">
        <f>IFERROR($AZ1466/$AZ1467-1,"")</f>
        <v/>
      </c>
      <c r="DQ1466" s="65">
        <f>IFERROR($BA1466/$BA1467-1,"")</f>
        <v/>
      </c>
      <c r="DR1466" s="64">
        <f>$O1466-$O1467</f>
        <v/>
      </c>
      <c r="DS1466" s="64">
        <f>$P1466-$P1467</f>
        <v/>
      </c>
      <c r="DT1466" s="64">
        <f>$Q1466-$Q1467</f>
        <v/>
      </c>
      <c r="DU1466" s="64">
        <f>$S1466-$S1467</f>
        <v/>
      </c>
      <c r="DV1466" s="65">
        <f>IFERROR(AVERAGE($AA1467/$AA1466-1,$AB1467/$AB1466-1,$AC1467/$AC1466-1,$AD1467/$AD1466-1,$AE1467/$AE1466-1,$AG1467/$AG1466-1,$AH1467/$AH1466-1,$AI1467/$AI1466-1,$AJ1467/$AJ1466-1,$AL1467/$AL1466-1,$AM1467/$AM1466-1,$AR1467/$AR1466-1,$AS1467/$AS1466-1,$AT1467/$AT1466-1,$AU1467/$AU1466-1,$AV1467/$AV1466-1,$AW1467/$AW1466-1,$AX1467/$AX1466-1,$AY1467/$AY1466-1),"")</f>
        <v/>
      </c>
      <c r="DW1466" s="66">
        <f>AVERAGE($CB1466,$CC1466,$CD1466,$CE1466,$CF1466,$CG1466,$CH1466,$CI1466,$CJ1466,$CL1466,$CM1466,$CN1466,$CO1466,$CP1466,$CQ1466,$CR1466,$CS1466,$CT1466)</f>
        <v/>
      </c>
      <c r="DX1466" s="66">
        <f>AVERAGE($CB1466,$CC1466,$CM1466,$CE1466,$CP1466)</f>
        <v/>
      </c>
      <c r="DY1466" s="64">
        <f>($DW1466-$DW1467)*100</f>
        <v/>
      </c>
      <c r="DZ1466" s="64">
        <f>($DX1466-$DX1467)*100</f>
        <v/>
      </c>
      <c r="EA1466" s="64">
        <f>($DW1466-$D1466)*100</f>
        <v/>
      </c>
      <c r="EB1466" s="64">
        <f>$Q1466-$O1466</f>
        <v/>
      </c>
      <c r="EC1466" s="67">
        <f>IFERROR($Q1466/$P1466,"")</f>
        <v/>
      </c>
    </row>
    <row r="1467">
      <c r="DG1467" s="64">
        <f>($B1467-$B1468)*100</f>
        <v/>
      </c>
      <c r="DH1467" s="64">
        <f>($D1467-$D1468)*100</f>
        <v/>
      </c>
      <c r="DI1467" s="64">
        <f>($E1467-$E1468)*100</f>
        <v/>
      </c>
      <c r="DJ1467" s="64">
        <f>($H1467-$H1468)*100</f>
        <v/>
      </c>
      <c r="DK1467" s="65">
        <f>IFERROR($J1467/$J1468-1,"")</f>
        <v/>
      </c>
      <c r="DL1467" s="64">
        <f>$L1467-$L1468</f>
        <v/>
      </c>
      <c r="DM1467" s="64">
        <f>$K1467-$K1468</f>
        <v/>
      </c>
      <c r="DN1467" s="65">
        <f>IFERROR($N1467/$N1468-1,"")</f>
        <v/>
      </c>
      <c r="DO1467" s="65">
        <f>IFERROR($M1467/$M1468-1,"")</f>
        <v/>
      </c>
      <c r="DP1467" s="65">
        <f>IFERROR($AZ1467/$AZ1468-1,"")</f>
        <v/>
      </c>
      <c r="DQ1467" s="65">
        <f>IFERROR($BA1467/$BA1468-1,"")</f>
        <v/>
      </c>
      <c r="DR1467" s="64">
        <f>$O1467-$O1468</f>
        <v/>
      </c>
      <c r="DS1467" s="64">
        <f>$P1467-$P1468</f>
        <v/>
      </c>
      <c r="DT1467" s="64">
        <f>$Q1467-$Q1468</f>
        <v/>
      </c>
      <c r="DU1467" s="64">
        <f>$S1467-$S1468</f>
        <v/>
      </c>
      <c r="DV1467" s="65">
        <f>IFERROR(AVERAGE($AA1468/$AA1467-1,$AB1468/$AB1467-1,$AC1468/$AC1467-1,$AD1468/$AD1467-1,$AE1468/$AE1467-1,$AG1468/$AG1467-1,$AH1468/$AH1467-1,$AI1468/$AI1467-1,$AJ1468/$AJ1467-1,$AL1468/$AL1467-1,$AM1468/$AM1467-1,$AR1468/$AR1467-1,$AS1468/$AS1467-1,$AT1468/$AT1467-1,$AU1468/$AU1467-1,$AV1468/$AV1467-1,$AW1468/$AW1467-1,$AX1468/$AX1467-1,$AY1468/$AY1467-1),"")</f>
        <v/>
      </c>
      <c r="DW1467" s="66">
        <f>AVERAGE($CB1467,$CC1467,$CD1467,$CE1467,$CF1467,$CG1467,$CH1467,$CI1467,$CJ1467,$CL1467,$CM1467,$CN1467,$CO1467,$CP1467,$CQ1467,$CR1467,$CS1467,$CT1467)</f>
        <v/>
      </c>
      <c r="DX1467" s="66">
        <f>AVERAGE($CB1467,$CC1467,$CM1467,$CE1467,$CP1467)</f>
        <v/>
      </c>
      <c r="DY1467" s="64">
        <f>($DW1467-$DW1468)*100</f>
        <v/>
      </c>
      <c r="DZ1467" s="64">
        <f>($DX1467-$DX1468)*100</f>
        <v/>
      </c>
      <c r="EA1467" s="64">
        <f>($DW1467-$D1467)*100</f>
        <v/>
      </c>
      <c r="EB1467" s="64">
        <f>$Q1467-$O1467</f>
        <v/>
      </c>
      <c r="EC1467" s="67">
        <f>IFERROR($Q1467/$P1467,"")</f>
        <v/>
      </c>
    </row>
    <row r="1468">
      <c r="DG1468" s="64">
        <f>($B1468-$B1469)*100</f>
        <v/>
      </c>
      <c r="DH1468" s="64">
        <f>($D1468-$D1469)*100</f>
        <v/>
      </c>
      <c r="DI1468" s="64">
        <f>($E1468-$E1469)*100</f>
        <v/>
      </c>
      <c r="DJ1468" s="64">
        <f>($H1468-$H1469)*100</f>
        <v/>
      </c>
      <c r="DK1468" s="65">
        <f>IFERROR($J1468/$J1469-1,"")</f>
        <v/>
      </c>
      <c r="DL1468" s="64">
        <f>$L1468-$L1469</f>
        <v/>
      </c>
      <c r="DM1468" s="64">
        <f>$K1468-$K1469</f>
        <v/>
      </c>
      <c r="DN1468" s="65">
        <f>IFERROR($N1468/$N1469-1,"")</f>
        <v/>
      </c>
      <c r="DO1468" s="65">
        <f>IFERROR($M1468/$M1469-1,"")</f>
        <v/>
      </c>
      <c r="DP1468" s="65">
        <f>IFERROR($AZ1468/$AZ1469-1,"")</f>
        <v/>
      </c>
      <c r="DQ1468" s="65">
        <f>IFERROR($BA1468/$BA1469-1,"")</f>
        <v/>
      </c>
      <c r="DR1468" s="64">
        <f>$O1468-$O1469</f>
        <v/>
      </c>
      <c r="DS1468" s="64">
        <f>$P1468-$P1469</f>
        <v/>
      </c>
      <c r="DT1468" s="64">
        <f>$Q1468-$Q1469</f>
        <v/>
      </c>
      <c r="DU1468" s="64">
        <f>$S1468-$S1469</f>
        <v/>
      </c>
      <c r="DV1468" s="65">
        <f>IFERROR(AVERAGE($AA1469/$AA1468-1,$AB1469/$AB1468-1,$AC1469/$AC1468-1,$AD1469/$AD1468-1,$AE1469/$AE1468-1,$AG1469/$AG1468-1,$AH1469/$AH1468-1,$AI1469/$AI1468-1,$AJ1469/$AJ1468-1,$AL1469/$AL1468-1,$AM1469/$AM1468-1,$AR1469/$AR1468-1,$AS1469/$AS1468-1,$AT1469/$AT1468-1,$AU1469/$AU1468-1,$AV1469/$AV1468-1,$AW1469/$AW1468-1,$AX1469/$AX1468-1,$AY1469/$AY1468-1),"")</f>
        <v/>
      </c>
      <c r="DW1468" s="66">
        <f>AVERAGE($CB1468,$CC1468,$CD1468,$CE1468,$CF1468,$CG1468,$CH1468,$CI1468,$CJ1468,$CL1468,$CM1468,$CN1468,$CO1468,$CP1468,$CQ1468,$CR1468,$CS1468,$CT1468)</f>
        <v/>
      </c>
      <c r="DX1468" s="66">
        <f>AVERAGE($CB1468,$CC1468,$CM1468,$CE1468,$CP1468)</f>
        <v/>
      </c>
      <c r="DY1468" s="64">
        <f>($DW1468-$DW1469)*100</f>
        <v/>
      </c>
      <c r="DZ1468" s="64">
        <f>($DX1468-$DX1469)*100</f>
        <v/>
      </c>
      <c r="EA1468" s="64">
        <f>($DW1468-$D1468)*100</f>
        <v/>
      </c>
      <c r="EB1468" s="64">
        <f>$Q1468-$O1468</f>
        <v/>
      </c>
      <c r="EC1468" s="67">
        <f>IFERROR($Q1468/$P1468,"")</f>
        <v/>
      </c>
    </row>
    <row r="1469">
      <c r="DG1469" s="64">
        <f>($B1469-$B1470)*100</f>
        <v/>
      </c>
      <c r="DH1469" s="64">
        <f>($D1469-$D1470)*100</f>
        <v/>
      </c>
      <c r="DI1469" s="64">
        <f>($E1469-$E1470)*100</f>
        <v/>
      </c>
      <c r="DJ1469" s="64">
        <f>($H1469-$H1470)*100</f>
        <v/>
      </c>
      <c r="DK1469" s="65">
        <f>IFERROR($J1469/$J1470-1,"")</f>
        <v/>
      </c>
      <c r="DL1469" s="64">
        <f>$L1469-$L1470</f>
        <v/>
      </c>
      <c r="DM1469" s="64">
        <f>$K1469-$K1470</f>
        <v/>
      </c>
      <c r="DN1469" s="65">
        <f>IFERROR($N1469/$N1470-1,"")</f>
        <v/>
      </c>
      <c r="DO1469" s="65">
        <f>IFERROR($M1469/$M1470-1,"")</f>
        <v/>
      </c>
      <c r="DP1469" s="65">
        <f>IFERROR($AZ1469/$AZ1470-1,"")</f>
        <v/>
      </c>
      <c r="DQ1469" s="65">
        <f>IFERROR($BA1469/$BA1470-1,"")</f>
        <v/>
      </c>
      <c r="DR1469" s="64">
        <f>$O1469-$O1470</f>
        <v/>
      </c>
      <c r="DS1469" s="64">
        <f>$P1469-$P1470</f>
        <v/>
      </c>
      <c r="DT1469" s="64">
        <f>$Q1469-$Q1470</f>
        <v/>
      </c>
      <c r="DU1469" s="64">
        <f>$S1469-$S1470</f>
        <v/>
      </c>
      <c r="DV1469" s="65">
        <f>IFERROR(AVERAGE($AA1470/$AA1469-1,$AB1470/$AB1469-1,$AC1470/$AC1469-1,$AD1470/$AD1469-1,$AE1470/$AE1469-1,$AG1470/$AG1469-1,$AH1470/$AH1469-1,$AI1470/$AI1469-1,$AJ1470/$AJ1469-1,$AL1470/$AL1469-1,$AM1470/$AM1469-1,$AR1470/$AR1469-1,$AS1470/$AS1469-1,$AT1470/$AT1469-1,$AU1470/$AU1469-1,$AV1470/$AV1469-1,$AW1470/$AW1469-1,$AX1470/$AX1469-1,$AY1470/$AY1469-1),"")</f>
        <v/>
      </c>
      <c r="DW1469" s="66">
        <f>AVERAGE($CB1469,$CC1469,$CD1469,$CE1469,$CF1469,$CG1469,$CH1469,$CI1469,$CJ1469,$CL1469,$CM1469,$CN1469,$CO1469,$CP1469,$CQ1469,$CR1469,$CS1469,$CT1469)</f>
        <v/>
      </c>
      <c r="DX1469" s="66">
        <f>AVERAGE($CB1469,$CC1469,$CM1469,$CE1469,$CP1469)</f>
        <v/>
      </c>
      <c r="DY1469" s="64">
        <f>($DW1469-$DW1470)*100</f>
        <v/>
      </c>
      <c r="DZ1469" s="64">
        <f>($DX1469-$DX1470)*100</f>
        <v/>
      </c>
      <c r="EA1469" s="64">
        <f>($DW1469-$D1469)*100</f>
        <v/>
      </c>
      <c r="EB1469" s="64">
        <f>$Q1469-$O1469</f>
        <v/>
      </c>
      <c r="EC1469" s="67">
        <f>IFERROR($Q1469/$P1469,"")</f>
        <v/>
      </c>
    </row>
    <row r="1470">
      <c r="DG1470" s="64">
        <f>($B1470-$B1471)*100</f>
        <v/>
      </c>
      <c r="DH1470" s="64">
        <f>($D1470-$D1471)*100</f>
        <v/>
      </c>
      <c r="DI1470" s="64">
        <f>($E1470-$E1471)*100</f>
        <v/>
      </c>
      <c r="DJ1470" s="64">
        <f>($H1470-$H1471)*100</f>
        <v/>
      </c>
      <c r="DK1470" s="65">
        <f>IFERROR($J1470/$J1471-1,"")</f>
        <v/>
      </c>
      <c r="DL1470" s="64">
        <f>$L1470-$L1471</f>
        <v/>
      </c>
      <c r="DM1470" s="64">
        <f>$K1470-$K1471</f>
        <v/>
      </c>
      <c r="DN1470" s="65">
        <f>IFERROR($N1470/$N1471-1,"")</f>
        <v/>
      </c>
      <c r="DO1470" s="65">
        <f>IFERROR($M1470/$M1471-1,"")</f>
        <v/>
      </c>
      <c r="DP1470" s="65">
        <f>IFERROR($AZ1470/$AZ1471-1,"")</f>
        <v/>
      </c>
      <c r="DQ1470" s="65">
        <f>IFERROR($BA1470/$BA1471-1,"")</f>
        <v/>
      </c>
      <c r="DR1470" s="64">
        <f>$O1470-$O1471</f>
        <v/>
      </c>
      <c r="DS1470" s="64">
        <f>$P1470-$P1471</f>
        <v/>
      </c>
      <c r="DT1470" s="64">
        <f>$Q1470-$Q1471</f>
        <v/>
      </c>
      <c r="DU1470" s="64">
        <f>$S1470-$S1471</f>
        <v/>
      </c>
      <c r="DV1470" s="65">
        <f>IFERROR(AVERAGE($AA1471/$AA1470-1,$AB1471/$AB1470-1,$AC1471/$AC1470-1,$AD1471/$AD1470-1,$AE1471/$AE1470-1,$AG1471/$AG1470-1,$AH1471/$AH1470-1,$AI1471/$AI1470-1,$AJ1471/$AJ1470-1,$AL1471/$AL1470-1,$AM1471/$AM1470-1,$AR1471/$AR1470-1,$AS1471/$AS1470-1,$AT1471/$AT1470-1,$AU1471/$AU1470-1,$AV1471/$AV1470-1,$AW1471/$AW1470-1,$AX1471/$AX1470-1,$AY1471/$AY1470-1),"")</f>
        <v/>
      </c>
      <c r="DW1470" s="66">
        <f>AVERAGE($CB1470,$CC1470,$CD1470,$CE1470,$CF1470,$CG1470,$CH1470,$CI1470,$CJ1470,$CL1470,$CM1470,$CN1470,$CO1470,$CP1470,$CQ1470,$CR1470,$CS1470,$CT1470)</f>
        <v/>
      </c>
      <c r="DX1470" s="66">
        <f>AVERAGE($CB1470,$CC1470,$CM1470,$CE1470,$CP1470)</f>
        <v/>
      </c>
      <c r="DY1470" s="64">
        <f>($DW1470-$DW1471)*100</f>
        <v/>
      </c>
      <c r="DZ1470" s="64">
        <f>($DX1470-$DX1471)*100</f>
        <v/>
      </c>
      <c r="EA1470" s="64">
        <f>($DW1470-$D1470)*100</f>
        <v/>
      </c>
      <c r="EB1470" s="64">
        <f>$Q1470-$O1470</f>
        <v/>
      </c>
      <c r="EC1470" s="67">
        <f>IFERROR($Q1470/$P1470,"")</f>
        <v/>
      </c>
    </row>
    <row r="1471">
      <c r="DG1471" s="64">
        <f>($B1471-$B1472)*100</f>
        <v/>
      </c>
      <c r="DH1471" s="64">
        <f>($D1471-$D1472)*100</f>
        <v/>
      </c>
      <c r="DI1471" s="64">
        <f>($E1471-$E1472)*100</f>
        <v/>
      </c>
      <c r="DJ1471" s="64">
        <f>($H1471-$H1472)*100</f>
        <v/>
      </c>
      <c r="DK1471" s="65">
        <f>IFERROR($J1471/$J1472-1,"")</f>
        <v/>
      </c>
      <c r="DL1471" s="64">
        <f>$L1471-$L1472</f>
        <v/>
      </c>
      <c r="DM1471" s="64">
        <f>$K1471-$K1472</f>
        <v/>
      </c>
      <c r="DN1471" s="65">
        <f>IFERROR($N1471/$N1472-1,"")</f>
        <v/>
      </c>
      <c r="DO1471" s="65">
        <f>IFERROR($M1471/$M1472-1,"")</f>
        <v/>
      </c>
      <c r="DP1471" s="65">
        <f>IFERROR($AZ1471/$AZ1472-1,"")</f>
        <v/>
      </c>
      <c r="DQ1471" s="65">
        <f>IFERROR($BA1471/$BA1472-1,"")</f>
        <v/>
      </c>
      <c r="DR1471" s="64">
        <f>$O1471-$O1472</f>
        <v/>
      </c>
      <c r="DS1471" s="64">
        <f>$P1471-$P1472</f>
        <v/>
      </c>
      <c r="DT1471" s="64">
        <f>$Q1471-$Q1472</f>
        <v/>
      </c>
      <c r="DU1471" s="64">
        <f>$S1471-$S1472</f>
        <v/>
      </c>
      <c r="DV1471" s="65">
        <f>IFERROR(AVERAGE($AA1472/$AA1471-1,$AB1472/$AB1471-1,$AC1472/$AC1471-1,$AD1472/$AD1471-1,$AE1472/$AE1471-1,$AG1472/$AG1471-1,$AH1472/$AH1471-1,$AI1472/$AI1471-1,$AJ1472/$AJ1471-1,$AL1472/$AL1471-1,$AM1472/$AM1471-1,$AR1472/$AR1471-1,$AS1472/$AS1471-1,$AT1472/$AT1471-1,$AU1472/$AU1471-1,$AV1472/$AV1471-1,$AW1472/$AW1471-1,$AX1472/$AX1471-1,$AY1472/$AY1471-1),"")</f>
        <v/>
      </c>
      <c r="DW1471" s="66">
        <f>AVERAGE($CB1471,$CC1471,$CD1471,$CE1471,$CF1471,$CG1471,$CH1471,$CI1471,$CJ1471,$CL1471,$CM1471,$CN1471,$CO1471,$CP1471,$CQ1471,$CR1471,$CS1471,$CT1471)</f>
        <v/>
      </c>
      <c r="DX1471" s="66">
        <f>AVERAGE($CB1471,$CC1471,$CM1471,$CE1471,$CP1471)</f>
        <v/>
      </c>
      <c r="DY1471" s="64">
        <f>($DW1471-$DW1472)*100</f>
        <v/>
      </c>
      <c r="DZ1471" s="64">
        <f>($DX1471-$DX1472)*100</f>
        <v/>
      </c>
      <c r="EA1471" s="64">
        <f>($DW1471-$D1471)*100</f>
        <v/>
      </c>
      <c r="EB1471" s="64">
        <f>$Q1471-$O1471</f>
        <v/>
      </c>
      <c r="EC1471" s="67">
        <f>IFERROR($Q1471/$P1471,"")</f>
        <v/>
      </c>
    </row>
    <row r="1472">
      <c r="DG1472" s="64">
        <f>($B1472-$B1473)*100</f>
        <v/>
      </c>
      <c r="DH1472" s="64">
        <f>($D1472-$D1473)*100</f>
        <v/>
      </c>
      <c r="DI1472" s="64">
        <f>($E1472-$E1473)*100</f>
        <v/>
      </c>
      <c r="DJ1472" s="64">
        <f>($H1472-$H1473)*100</f>
        <v/>
      </c>
      <c r="DK1472" s="65">
        <f>IFERROR($J1472/$J1473-1,"")</f>
        <v/>
      </c>
      <c r="DL1472" s="64">
        <f>$L1472-$L1473</f>
        <v/>
      </c>
      <c r="DM1472" s="64">
        <f>$K1472-$K1473</f>
        <v/>
      </c>
      <c r="DN1472" s="65">
        <f>IFERROR($N1472/$N1473-1,"")</f>
        <v/>
      </c>
      <c r="DO1472" s="65">
        <f>IFERROR($M1472/$M1473-1,"")</f>
        <v/>
      </c>
      <c r="DP1472" s="65">
        <f>IFERROR($AZ1472/$AZ1473-1,"")</f>
        <v/>
      </c>
      <c r="DQ1472" s="65">
        <f>IFERROR($BA1472/$BA1473-1,"")</f>
        <v/>
      </c>
      <c r="DR1472" s="64">
        <f>$O1472-$O1473</f>
        <v/>
      </c>
      <c r="DS1472" s="64">
        <f>$P1472-$P1473</f>
        <v/>
      </c>
      <c r="DT1472" s="64">
        <f>$Q1472-$Q1473</f>
        <v/>
      </c>
      <c r="DU1472" s="64">
        <f>$S1472-$S1473</f>
        <v/>
      </c>
      <c r="DV1472" s="65">
        <f>IFERROR(AVERAGE($AA1473/$AA1472-1,$AB1473/$AB1472-1,$AC1473/$AC1472-1,$AD1473/$AD1472-1,$AE1473/$AE1472-1,$AG1473/$AG1472-1,$AH1473/$AH1472-1,$AI1473/$AI1472-1,$AJ1473/$AJ1472-1,$AL1473/$AL1472-1,$AM1473/$AM1472-1,$AR1473/$AR1472-1,$AS1473/$AS1472-1,$AT1473/$AT1472-1,$AU1473/$AU1472-1,$AV1473/$AV1472-1,$AW1473/$AW1472-1,$AX1473/$AX1472-1,$AY1473/$AY1472-1),"")</f>
        <v/>
      </c>
      <c r="DW1472" s="66">
        <f>AVERAGE($CB1472,$CC1472,$CD1472,$CE1472,$CF1472,$CG1472,$CH1472,$CI1472,$CJ1472,$CL1472,$CM1472,$CN1472,$CO1472,$CP1472,$CQ1472,$CR1472,$CS1472,$CT1472)</f>
        <v/>
      </c>
      <c r="DX1472" s="66">
        <f>AVERAGE($CB1472,$CC1472,$CM1472,$CE1472,$CP1472)</f>
        <v/>
      </c>
      <c r="DY1472" s="64">
        <f>($DW1472-$DW1473)*100</f>
        <v/>
      </c>
      <c r="DZ1472" s="64">
        <f>($DX1472-$DX1473)*100</f>
        <v/>
      </c>
      <c r="EA1472" s="64">
        <f>($DW1472-$D1472)*100</f>
        <v/>
      </c>
      <c r="EB1472" s="64">
        <f>$Q1472-$O1472</f>
        <v/>
      </c>
      <c r="EC1472" s="67">
        <f>IFERROR($Q1472/$P1472,"")</f>
        <v/>
      </c>
    </row>
    <row r="1473">
      <c r="DG1473" s="64">
        <f>($B1473-$B1474)*100</f>
        <v/>
      </c>
      <c r="DH1473" s="64">
        <f>($D1473-$D1474)*100</f>
        <v/>
      </c>
      <c r="DI1473" s="64">
        <f>($E1473-$E1474)*100</f>
        <v/>
      </c>
      <c r="DJ1473" s="64">
        <f>($H1473-$H1474)*100</f>
        <v/>
      </c>
      <c r="DK1473" s="65">
        <f>IFERROR($J1473/$J1474-1,"")</f>
        <v/>
      </c>
      <c r="DL1473" s="64">
        <f>$L1473-$L1474</f>
        <v/>
      </c>
      <c r="DM1473" s="64">
        <f>$K1473-$K1474</f>
        <v/>
      </c>
      <c r="DN1473" s="65">
        <f>IFERROR($N1473/$N1474-1,"")</f>
        <v/>
      </c>
      <c r="DO1473" s="65">
        <f>IFERROR($M1473/$M1474-1,"")</f>
        <v/>
      </c>
      <c r="DP1473" s="65">
        <f>IFERROR($AZ1473/$AZ1474-1,"")</f>
        <v/>
      </c>
      <c r="DQ1473" s="65">
        <f>IFERROR($BA1473/$BA1474-1,"")</f>
        <v/>
      </c>
      <c r="DR1473" s="64">
        <f>$O1473-$O1474</f>
        <v/>
      </c>
      <c r="DS1473" s="64">
        <f>$P1473-$P1474</f>
        <v/>
      </c>
      <c r="DT1473" s="64">
        <f>$Q1473-$Q1474</f>
        <v/>
      </c>
      <c r="DU1473" s="64">
        <f>$S1473-$S1474</f>
        <v/>
      </c>
      <c r="DV1473" s="65">
        <f>IFERROR(AVERAGE($AA1474/$AA1473-1,$AB1474/$AB1473-1,$AC1474/$AC1473-1,$AD1474/$AD1473-1,$AE1474/$AE1473-1,$AG1474/$AG1473-1,$AH1474/$AH1473-1,$AI1474/$AI1473-1,$AJ1474/$AJ1473-1,$AL1474/$AL1473-1,$AM1474/$AM1473-1,$AR1474/$AR1473-1,$AS1474/$AS1473-1,$AT1474/$AT1473-1,$AU1474/$AU1473-1,$AV1474/$AV1473-1,$AW1474/$AW1473-1,$AX1474/$AX1473-1,$AY1474/$AY1473-1),"")</f>
        <v/>
      </c>
      <c r="DW1473" s="66">
        <f>AVERAGE($CB1473,$CC1473,$CD1473,$CE1473,$CF1473,$CG1473,$CH1473,$CI1473,$CJ1473,$CL1473,$CM1473,$CN1473,$CO1473,$CP1473,$CQ1473,$CR1473,$CS1473,$CT1473)</f>
        <v/>
      </c>
      <c r="DX1473" s="66">
        <f>AVERAGE($CB1473,$CC1473,$CM1473,$CE1473,$CP1473)</f>
        <v/>
      </c>
      <c r="DY1473" s="64">
        <f>($DW1473-$DW1474)*100</f>
        <v/>
      </c>
      <c r="DZ1473" s="64">
        <f>($DX1473-$DX1474)*100</f>
        <v/>
      </c>
      <c r="EA1473" s="64">
        <f>($DW1473-$D1473)*100</f>
        <v/>
      </c>
      <c r="EB1473" s="64">
        <f>$Q1473-$O1473</f>
        <v/>
      </c>
      <c r="EC1473" s="67">
        <f>IFERROR($Q1473/$P1473,"")</f>
        <v/>
      </c>
    </row>
    <row r="1474">
      <c r="DG1474" s="64">
        <f>($B1474-$B1475)*100</f>
        <v/>
      </c>
      <c r="DH1474" s="64">
        <f>($D1474-$D1475)*100</f>
        <v/>
      </c>
      <c r="DI1474" s="64">
        <f>($E1474-$E1475)*100</f>
        <v/>
      </c>
      <c r="DJ1474" s="64">
        <f>($H1474-$H1475)*100</f>
        <v/>
      </c>
      <c r="DK1474" s="65">
        <f>IFERROR($J1474/$J1475-1,"")</f>
        <v/>
      </c>
      <c r="DL1474" s="64">
        <f>$L1474-$L1475</f>
        <v/>
      </c>
      <c r="DM1474" s="64">
        <f>$K1474-$K1475</f>
        <v/>
      </c>
      <c r="DN1474" s="65">
        <f>IFERROR($N1474/$N1475-1,"")</f>
        <v/>
      </c>
      <c r="DO1474" s="65">
        <f>IFERROR($M1474/$M1475-1,"")</f>
        <v/>
      </c>
      <c r="DP1474" s="65">
        <f>IFERROR($AZ1474/$AZ1475-1,"")</f>
        <v/>
      </c>
      <c r="DQ1474" s="65">
        <f>IFERROR($BA1474/$BA1475-1,"")</f>
        <v/>
      </c>
      <c r="DR1474" s="64">
        <f>$O1474-$O1475</f>
        <v/>
      </c>
      <c r="DS1474" s="64">
        <f>$P1474-$P1475</f>
        <v/>
      </c>
      <c r="DT1474" s="64">
        <f>$Q1474-$Q1475</f>
        <v/>
      </c>
      <c r="DU1474" s="64">
        <f>$S1474-$S1475</f>
        <v/>
      </c>
      <c r="DV1474" s="65">
        <f>IFERROR(AVERAGE($AA1475/$AA1474-1,$AB1475/$AB1474-1,$AC1475/$AC1474-1,$AD1475/$AD1474-1,$AE1475/$AE1474-1,$AG1475/$AG1474-1,$AH1475/$AH1474-1,$AI1475/$AI1474-1,$AJ1475/$AJ1474-1,$AL1475/$AL1474-1,$AM1475/$AM1474-1,$AR1475/$AR1474-1,$AS1475/$AS1474-1,$AT1475/$AT1474-1,$AU1475/$AU1474-1,$AV1475/$AV1474-1,$AW1475/$AW1474-1,$AX1475/$AX1474-1,$AY1475/$AY1474-1),"")</f>
        <v/>
      </c>
      <c r="DW1474" s="66">
        <f>AVERAGE($CB1474,$CC1474,$CD1474,$CE1474,$CF1474,$CG1474,$CH1474,$CI1474,$CJ1474,$CL1474,$CM1474,$CN1474,$CO1474,$CP1474,$CQ1474,$CR1474,$CS1474,$CT1474)</f>
        <v/>
      </c>
      <c r="DX1474" s="66">
        <f>AVERAGE($CB1474,$CC1474,$CM1474,$CE1474,$CP1474)</f>
        <v/>
      </c>
      <c r="DY1474" s="64">
        <f>($DW1474-$DW1475)*100</f>
        <v/>
      </c>
      <c r="DZ1474" s="64">
        <f>($DX1474-$DX1475)*100</f>
        <v/>
      </c>
      <c r="EA1474" s="64">
        <f>($DW1474-$D1474)*100</f>
        <v/>
      </c>
      <c r="EB1474" s="64">
        <f>$Q1474-$O1474</f>
        <v/>
      </c>
      <c r="EC1474" s="67">
        <f>IFERROR($Q1474/$P1474,"")</f>
        <v/>
      </c>
    </row>
    <row r="1475">
      <c r="DG1475" s="64">
        <f>($B1475-$B1476)*100</f>
        <v/>
      </c>
      <c r="DH1475" s="64">
        <f>($D1475-$D1476)*100</f>
        <v/>
      </c>
      <c r="DI1475" s="64">
        <f>($E1475-$E1476)*100</f>
        <v/>
      </c>
      <c r="DJ1475" s="64">
        <f>($H1475-$H1476)*100</f>
        <v/>
      </c>
      <c r="DK1475" s="65">
        <f>IFERROR($J1475/$J1476-1,"")</f>
        <v/>
      </c>
      <c r="DL1475" s="64">
        <f>$L1475-$L1476</f>
        <v/>
      </c>
      <c r="DM1475" s="64">
        <f>$K1475-$K1476</f>
        <v/>
      </c>
      <c r="DN1475" s="65">
        <f>IFERROR($N1475/$N1476-1,"")</f>
        <v/>
      </c>
      <c r="DO1475" s="65">
        <f>IFERROR($M1475/$M1476-1,"")</f>
        <v/>
      </c>
      <c r="DP1475" s="65">
        <f>IFERROR($AZ1475/$AZ1476-1,"")</f>
        <v/>
      </c>
      <c r="DQ1475" s="65">
        <f>IFERROR($BA1475/$BA1476-1,"")</f>
        <v/>
      </c>
      <c r="DR1475" s="64">
        <f>$O1475-$O1476</f>
        <v/>
      </c>
      <c r="DS1475" s="64">
        <f>$P1475-$P1476</f>
        <v/>
      </c>
      <c r="DT1475" s="64">
        <f>$Q1475-$Q1476</f>
        <v/>
      </c>
      <c r="DU1475" s="64">
        <f>$S1475-$S1476</f>
        <v/>
      </c>
      <c r="DV1475" s="65">
        <f>IFERROR(AVERAGE($AA1476/$AA1475-1,$AB1476/$AB1475-1,$AC1476/$AC1475-1,$AD1476/$AD1475-1,$AE1476/$AE1475-1,$AG1476/$AG1475-1,$AH1476/$AH1475-1,$AI1476/$AI1475-1,$AJ1476/$AJ1475-1,$AL1476/$AL1475-1,$AM1476/$AM1475-1,$AR1476/$AR1475-1,$AS1476/$AS1475-1,$AT1476/$AT1475-1,$AU1476/$AU1475-1,$AV1476/$AV1475-1,$AW1476/$AW1475-1,$AX1476/$AX1475-1,$AY1476/$AY1475-1),"")</f>
        <v/>
      </c>
      <c r="DW1475" s="66">
        <f>AVERAGE($CB1475,$CC1475,$CD1475,$CE1475,$CF1475,$CG1475,$CH1475,$CI1475,$CJ1475,$CL1475,$CM1475,$CN1475,$CO1475,$CP1475,$CQ1475,$CR1475,$CS1475,$CT1475)</f>
        <v/>
      </c>
      <c r="DX1475" s="66">
        <f>AVERAGE($CB1475,$CC1475,$CM1475,$CE1475,$CP1475)</f>
        <v/>
      </c>
      <c r="DY1475" s="64">
        <f>($DW1475-$DW1476)*100</f>
        <v/>
      </c>
      <c r="DZ1475" s="64">
        <f>($DX1475-$DX1476)*100</f>
        <v/>
      </c>
      <c r="EA1475" s="64">
        <f>($DW1475-$D1475)*100</f>
        <v/>
      </c>
      <c r="EB1475" s="64">
        <f>$Q1475-$O1475</f>
        <v/>
      </c>
      <c r="EC1475" s="67">
        <f>IFERROR($Q1475/$P1475,"")</f>
        <v/>
      </c>
    </row>
    <row r="1476">
      <c r="DG1476" s="64">
        <f>($B1476-$B1477)*100</f>
        <v/>
      </c>
      <c r="DH1476" s="64">
        <f>($D1476-$D1477)*100</f>
        <v/>
      </c>
      <c r="DI1476" s="64">
        <f>($E1476-$E1477)*100</f>
        <v/>
      </c>
      <c r="DJ1476" s="64">
        <f>($H1476-$H1477)*100</f>
        <v/>
      </c>
      <c r="DK1476" s="65">
        <f>IFERROR($J1476/$J1477-1,"")</f>
        <v/>
      </c>
      <c r="DL1476" s="64">
        <f>$L1476-$L1477</f>
        <v/>
      </c>
      <c r="DM1476" s="64">
        <f>$K1476-$K1477</f>
        <v/>
      </c>
      <c r="DN1476" s="65">
        <f>IFERROR($N1476/$N1477-1,"")</f>
        <v/>
      </c>
      <c r="DO1476" s="65">
        <f>IFERROR($M1476/$M1477-1,"")</f>
        <v/>
      </c>
      <c r="DP1476" s="65">
        <f>IFERROR($AZ1476/$AZ1477-1,"")</f>
        <v/>
      </c>
      <c r="DQ1476" s="65">
        <f>IFERROR($BA1476/$BA1477-1,"")</f>
        <v/>
      </c>
      <c r="DR1476" s="64">
        <f>$O1476-$O1477</f>
        <v/>
      </c>
      <c r="DS1476" s="64">
        <f>$P1476-$P1477</f>
        <v/>
      </c>
      <c r="DT1476" s="64">
        <f>$Q1476-$Q1477</f>
        <v/>
      </c>
      <c r="DU1476" s="64">
        <f>$S1476-$S1477</f>
        <v/>
      </c>
      <c r="DV1476" s="65">
        <f>IFERROR(AVERAGE($AA1477/$AA1476-1,$AB1477/$AB1476-1,$AC1477/$AC1476-1,$AD1477/$AD1476-1,$AE1477/$AE1476-1,$AG1477/$AG1476-1,$AH1477/$AH1476-1,$AI1477/$AI1476-1,$AJ1477/$AJ1476-1,$AL1477/$AL1476-1,$AM1477/$AM1476-1,$AR1477/$AR1476-1,$AS1477/$AS1476-1,$AT1477/$AT1476-1,$AU1477/$AU1476-1,$AV1477/$AV1476-1,$AW1477/$AW1476-1,$AX1477/$AX1476-1,$AY1477/$AY1476-1),"")</f>
        <v/>
      </c>
      <c r="DW1476" s="66">
        <f>AVERAGE($CB1476,$CC1476,$CD1476,$CE1476,$CF1476,$CG1476,$CH1476,$CI1476,$CJ1476,$CL1476,$CM1476,$CN1476,$CO1476,$CP1476,$CQ1476,$CR1476,$CS1476,$CT1476)</f>
        <v/>
      </c>
      <c r="DX1476" s="66">
        <f>AVERAGE($CB1476,$CC1476,$CM1476,$CE1476,$CP1476)</f>
        <v/>
      </c>
      <c r="DY1476" s="64">
        <f>($DW1476-$DW1477)*100</f>
        <v/>
      </c>
      <c r="DZ1476" s="64">
        <f>($DX1476-$DX1477)*100</f>
        <v/>
      </c>
      <c r="EA1476" s="64">
        <f>($DW1476-$D1476)*100</f>
        <v/>
      </c>
      <c r="EB1476" s="64">
        <f>$Q1476-$O1476</f>
        <v/>
      </c>
      <c r="EC1476" s="67">
        <f>IFERROR($Q1476/$P1476,"")</f>
        <v/>
      </c>
    </row>
    <row r="1477">
      <c r="DG1477" s="64">
        <f>($B1477-$B1478)*100</f>
        <v/>
      </c>
      <c r="DH1477" s="64">
        <f>($D1477-$D1478)*100</f>
        <v/>
      </c>
      <c r="DI1477" s="64">
        <f>($E1477-$E1478)*100</f>
        <v/>
      </c>
      <c r="DJ1477" s="64">
        <f>($H1477-$H1478)*100</f>
        <v/>
      </c>
      <c r="DK1477" s="65">
        <f>IFERROR($J1477/$J1478-1,"")</f>
        <v/>
      </c>
      <c r="DL1477" s="64">
        <f>$L1477-$L1478</f>
        <v/>
      </c>
      <c r="DM1477" s="64">
        <f>$K1477-$K1478</f>
        <v/>
      </c>
      <c r="DN1477" s="65">
        <f>IFERROR($N1477/$N1478-1,"")</f>
        <v/>
      </c>
      <c r="DO1477" s="65">
        <f>IFERROR($M1477/$M1478-1,"")</f>
        <v/>
      </c>
      <c r="DP1477" s="65">
        <f>IFERROR($AZ1477/$AZ1478-1,"")</f>
        <v/>
      </c>
      <c r="DQ1477" s="65">
        <f>IFERROR($BA1477/$BA1478-1,"")</f>
        <v/>
      </c>
      <c r="DR1477" s="64">
        <f>$O1477-$O1478</f>
        <v/>
      </c>
      <c r="DS1477" s="64">
        <f>$P1477-$P1478</f>
        <v/>
      </c>
      <c r="DT1477" s="64">
        <f>$Q1477-$Q1478</f>
        <v/>
      </c>
      <c r="DU1477" s="64">
        <f>$S1477-$S1478</f>
        <v/>
      </c>
      <c r="DV1477" s="65">
        <f>IFERROR(AVERAGE($AA1478/$AA1477-1,$AB1478/$AB1477-1,$AC1478/$AC1477-1,$AD1478/$AD1477-1,$AE1478/$AE1477-1,$AG1478/$AG1477-1,$AH1478/$AH1477-1,$AI1478/$AI1477-1,$AJ1478/$AJ1477-1,$AL1478/$AL1477-1,$AM1478/$AM1477-1,$AR1478/$AR1477-1,$AS1478/$AS1477-1,$AT1478/$AT1477-1,$AU1478/$AU1477-1,$AV1478/$AV1477-1,$AW1478/$AW1477-1,$AX1478/$AX1477-1,$AY1478/$AY1477-1),"")</f>
        <v/>
      </c>
      <c r="DW1477" s="66">
        <f>AVERAGE($CB1477,$CC1477,$CD1477,$CE1477,$CF1477,$CG1477,$CH1477,$CI1477,$CJ1477,$CL1477,$CM1477,$CN1477,$CO1477,$CP1477,$CQ1477,$CR1477,$CS1477,$CT1477)</f>
        <v/>
      </c>
      <c r="DX1477" s="66">
        <f>AVERAGE($CB1477,$CC1477,$CM1477,$CE1477,$CP1477)</f>
        <v/>
      </c>
      <c r="DY1477" s="64">
        <f>($DW1477-$DW1478)*100</f>
        <v/>
      </c>
      <c r="DZ1477" s="64">
        <f>($DX1477-$DX1478)*100</f>
        <v/>
      </c>
      <c r="EA1477" s="64">
        <f>($DW1477-$D1477)*100</f>
        <v/>
      </c>
      <c r="EB1477" s="64">
        <f>$Q1477-$O1477</f>
        <v/>
      </c>
      <c r="EC1477" s="67">
        <f>IFERROR($Q1477/$P1477,"")</f>
        <v/>
      </c>
    </row>
    <row r="1478">
      <c r="DG1478" s="64">
        <f>($B1478-$B1479)*100</f>
        <v/>
      </c>
      <c r="DH1478" s="64">
        <f>($D1478-$D1479)*100</f>
        <v/>
      </c>
      <c r="DI1478" s="64">
        <f>($E1478-$E1479)*100</f>
        <v/>
      </c>
      <c r="DJ1478" s="64">
        <f>($H1478-$H1479)*100</f>
        <v/>
      </c>
      <c r="DK1478" s="65">
        <f>IFERROR($J1478/$J1479-1,"")</f>
        <v/>
      </c>
      <c r="DL1478" s="64">
        <f>$L1478-$L1479</f>
        <v/>
      </c>
      <c r="DM1478" s="64">
        <f>$K1478-$K1479</f>
        <v/>
      </c>
      <c r="DN1478" s="65">
        <f>IFERROR($N1478/$N1479-1,"")</f>
        <v/>
      </c>
      <c r="DO1478" s="65">
        <f>IFERROR($M1478/$M1479-1,"")</f>
        <v/>
      </c>
      <c r="DP1478" s="65">
        <f>IFERROR($AZ1478/$AZ1479-1,"")</f>
        <v/>
      </c>
      <c r="DQ1478" s="65">
        <f>IFERROR($BA1478/$BA1479-1,"")</f>
        <v/>
      </c>
      <c r="DR1478" s="64">
        <f>$O1478-$O1479</f>
        <v/>
      </c>
      <c r="DS1478" s="64">
        <f>$P1478-$P1479</f>
        <v/>
      </c>
      <c r="DT1478" s="64">
        <f>$Q1478-$Q1479</f>
        <v/>
      </c>
      <c r="DU1478" s="64">
        <f>$S1478-$S1479</f>
        <v/>
      </c>
      <c r="DV1478" s="65">
        <f>IFERROR(AVERAGE($AA1479/$AA1478-1,$AB1479/$AB1478-1,$AC1479/$AC1478-1,$AD1479/$AD1478-1,$AE1479/$AE1478-1,$AG1479/$AG1478-1,$AH1479/$AH1478-1,$AI1479/$AI1478-1,$AJ1479/$AJ1478-1,$AL1479/$AL1478-1,$AM1479/$AM1478-1,$AR1479/$AR1478-1,$AS1479/$AS1478-1,$AT1479/$AT1478-1,$AU1479/$AU1478-1,$AV1479/$AV1478-1,$AW1479/$AW1478-1,$AX1479/$AX1478-1,$AY1479/$AY1478-1),"")</f>
        <v/>
      </c>
      <c r="DW1478" s="66">
        <f>AVERAGE($CB1478,$CC1478,$CD1478,$CE1478,$CF1478,$CG1478,$CH1478,$CI1478,$CJ1478,$CL1478,$CM1478,$CN1478,$CO1478,$CP1478,$CQ1478,$CR1478,$CS1478,$CT1478)</f>
        <v/>
      </c>
      <c r="DX1478" s="66">
        <f>AVERAGE($CB1478,$CC1478,$CM1478,$CE1478,$CP1478)</f>
        <v/>
      </c>
      <c r="DY1478" s="64">
        <f>($DW1478-$DW1479)*100</f>
        <v/>
      </c>
      <c r="DZ1478" s="64">
        <f>($DX1478-$DX1479)*100</f>
        <v/>
      </c>
      <c r="EA1478" s="64">
        <f>($DW1478-$D1478)*100</f>
        <v/>
      </c>
      <c r="EB1478" s="64">
        <f>$Q1478-$O1478</f>
        <v/>
      </c>
      <c r="EC1478" s="67">
        <f>IFERROR($Q1478/$P1478,"")</f>
        <v/>
      </c>
    </row>
    <row r="1479">
      <c r="DG1479" s="64">
        <f>($B1479-$B1480)*100</f>
        <v/>
      </c>
      <c r="DH1479" s="64">
        <f>($D1479-$D1480)*100</f>
        <v/>
      </c>
      <c r="DI1479" s="64">
        <f>($E1479-$E1480)*100</f>
        <v/>
      </c>
      <c r="DJ1479" s="64">
        <f>($H1479-$H1480)*100</f>
        <v/>
      </c>
      <c r="DK1479" s="65">
        <f>IFERROR($J1479/$J1480-1,"")</f>
        <v/>
      </c>
      <c r="DL1479" s="64">
        <f>$L1479-$L1480</f>
        <v/>
      </c>
      <c r="DM1479" s="64">
        <f>$K1479-$K1480</f>
        <v/>
      </c>
      <c r="DN1479" s="65">
        <f>IFERROR($N1479/$N1480-1,"")</f>
        <v/>
      </c>
      <c r="DO1479" s="65">
        <f>IFERROR($M1479/$M1480-1,"")</f>
        <v/>
      </c>
      <c r="DP1479" s="65">
        <f>IFERROR($AZ1479/$AZ1480-1,"")</f>
        <v/>
      </c>
      <c r="DQ1479" s="65">
        <f>IFERROR($BA1479/$BA1480-1,"")</f>
        <v/>
      </c>
      <c r="DR1479" s="64">
        <f>$O1479-$O1480</f>
        <v/>
      </c>
      <c r="DS1479" s="64">
        <f>$P1479-$P1480</f>
        <v/>
      </c>
      <c r="DT1479" s="64">
        <f>$Q1479-$Q1480</f>
        <v/>
      </c>
      <c r="DU1479" s="64">
        <f>$S1479-$S1480</f>
        <v/>
      </c>
      <c r="DV1479" s="65">
        <f>IFERROR(AVERAGE($AA1480/$AA1479-1,$AB1480/$AB1479-1,$AC1480/$AC1479-1,$AD1480/$AD1479-1,$AE1480/$AE1479-1,$AG1480/$AG1479-1,$AH1480/$AH1479-1,$AI1480/$AI1479-1,$AJ1480/$AJ1479-1,$AL1480/$AL1479-1,$AM1480/$AM1479-1,$AR1480/$AR1479-1,$AS1480/$AS1479-1,$AT1480/$AT1479-1,$AU1480/$AU1479-1,$AV1480/$AV1479-1,$AW1480/$AW1479-1,$AX1480/$AX1479-1,$AY1480/$AY1479-1),"")</f>
        <v/>
      </c>
      <c r="DW1479" s="66">
        <f>AVERAGE($CB1479,$CC1479,$CD1479,$CE1479,$CF1479,$CG1479,$CH1479,$CI1479,$CJ1479,$CL1479,$CM1479,$CN1479,$CO1479,$CP1479,$CQ1479,$CR1479,$CS1479,$CT1479)</f>
        <v/>
      </c>
      <c r="DX1479" s="66">
        <f>AVERAGE($CB1479,$CC1479,$CM1479,$CE1479,$CP1479)</f>
        <v/>
      </c>
      <c r="DY1479" s="64">
        <f>($DW1479-$DW1480)*100</f>
        <v/>
      </c>
      <c r="DZ1479" s="64">
        <f>($DX1479-$DX1480)*100</f>
        <v/>
      </c>
      <c r="EA1479" s="64">
        <f>($DW1479-$D1479)*100</f>
        <v/>
      </c>
      <c r="EB1479" s="64">
        <f>$Q1479-$O1479</f>
        <v/>
      </c>
      <c r="EC1479" s="67">
        <f>IFERROR($Q1479/$P1479,"")</f>
        <v/>
      </c>
    </row>
    <row r="1480">
      <c r="DG1480" s="64">
        <f>($B1480-$B1481)*100</f>
        <v/>
      </c>
      <c r="DH1480" s="64">
        <f>($D1480-$D1481)*100</f>
        <v/>
      </c>
      <c r="DI1480" s="64">
        <f>($E1480-$E1481)*100</f>
        <v/>
      </c>
      <c r="DJ1480" s="64">
        <f>($H1480-$H1481)*100</f>
        <v/>
      </c>
      <c r="DK1480" s="65">
        <f>IFERROR($J1480/$J1481-1,"")</f>
        <v/>
      </c>
      <c r="DL1480" s="64">
        <f>$L1480-$L1481</f>
        <v/>
      </c>
      <c r="DM1480" s="64">
        <f>$K1480-$K1481</f>
        <v/>
      </c>
      <c r="DN1480" s="65">
        <f>IFERROR($N1480/$N1481-1,"")</f>
        <v/>
      </c>
      <c r="DO1480" s="65">
        <f>IFERROR($M1480/$M1481-1,"")</f>
        <v/>
      </c>
      <c r="DP1480" s="65">
        <f>IFERROR($AZ1480/$AZ1481-1,"")</f>
        <v/>
      </c>
      <c r="DQ1480" s="65">
        <f>IFERROR($BA1480/$BA1481-1,"")</f>
        <v/>
      </c>
      <c r="DR1480" s="64">
        <f>$O1480-$O1481</f>
        <v/>
      </c>
      <c r="DS1480" s="64">
        <f>$P1480-$P1481</f>
        <v/>
      </c>
      <c r="DT1480" s="64">
        <f>$Q1480-$Q1481</f>
        <v/>
      </c>
      <c r="DU1480" s="64">
        <f>$S1480-$S1481</f>
        <v/>
      </c>
      <c r="DV1480" s="65">
        <f>IFERROR(AVERAGE($AA1481/$AA1480-1,$AB1481/$AB1480-1,$AC1481/$AC1480-1,$AD1481/$AD1480-1,$AE1481/$AE1480-1,$AG1481/$AG1480-1,$AH1481/$AH1480-1,$AI1481/$AI1480-1,$AJ1481/$AJ1480-1,$AL1481/$AL1480-1,$AM1481/$AM1480-1,$AR1481/$AR1480-1,$AS1481/$AS1480-1,$AT1481/$AT1480-1,$AU1481/$AU1480-1,$AV1481/$AV1480-1,$AW1481/$AW1480-1,$AX1481/$AX1480-1,$AY1481/$AY1480-1),"")</f>
        <v/>
      </c>
      <c r="DW1480" s="66">
        <f>AVERAGE($CB1480,$CC1480,$CD1480,$CE1480,$CF1480,$CG1480,$CH1480,$CI1480,$CJ1480,$CL1480,$CM1480,$CN1480,$CO1480,$CP1480,$CQ1480,$CR1480,$CS1480,$CT1480)</f>
        <v/>
      </c>
      <c r="DX1480" s="66">
        <f>AVERAGE($CB1480,$CC1480,$CM1480,$CE1480,$CP1480)</f>
        <v/>
      </c>
      <c r="DY1480" s="64">
        <f>($DW1480-$DW1481)*100</f>
        <v/>
      </c>
      <c r="DZ1480" s="64">
        <f>($DX1480-$DX1481)*100</f>
        <v/>
      </c>
      <c r="EA1480" s="64">
        <f>($DW1480-$D1480)*100</f>
        <v/>
      </c>
      <c r="EB1480" s="64">
        <f>$Q1480-$O1480</f>
        <v/>
      </c>
      <c r="EC1480" s="67">
        <f>IFERROR($Q1480/$P1480,"")</f>
        <v/>
      </c>
    </row>
    <row r="1481">
      <c r="DG1481" s="64">
        <f>($B1481-$B1482)*100</f>
        <v/>
      </c>
      <c r="DH1481" s="64">
        <f>($D1481-$D1482)*100</f>
        <v/>
      </c>
      <c r="DI1481" s="64">
        <f>($E1481-$E1482)*100</f>
        <v/>
      </c>
      <c r="DJ1481" s="64">
        <f>($H1481-$H1482)*100</f>
        <v/>
      </c>
      <c r="DK1481" s="65">
        <f>IFERROR($J1481/$J1482-1,"")</f>
        <v/>
      </c>
      <c r="DL1481" s="64">
        <f>$L1481-$L1482</f>
        <v/>
      </c>
      <c r="DM1481" s="64">
        <f>$K1481-$K1482</f>
        <v/>
      </c>
      <c r="DN1481" s="65">
        <f>IFERROR($N1481/$N1482-1,"")</f>
        <v/>
      </c>
      <c r="DO1481" s="65">
        <f>IFERROR($M1481/$M1482-1,"")</f>
        <v/>
      </c>
      <c r="DP1481" s="65">
        <f>IFERROR($AZ1481/$AZ1482-1,"")</f>
        <v/>
      </c>
      <c r="DQ1481" s="65">
        <f>IFERROR($BA1481/$BA1482-1,"")</f>
        <v/>
      </c>
      <c r="DR1481" s="64">
        <f>$O1481-$O1482</f>
        <v/>
      </c>
      <c r="DS1481" s="64">
        <f>$P1481-$P1482</f>
        <v/>
      </c>
      <c r="DT1481" s="64">
        <f>$Q1481-$Q1482</f>
        <v/>
      </c>
      <c r="DU1481" s="64">
        <f>$S1481-$S1482</f>
        <v/>
      </c>
      <c r="DV1481" s="65">
        <f>IFERROR(AVERAGE($AA1482/$AA1481-1,$AB1482/$AB1481-1,$AC1482/$AC1481-1,$AD1482/$AD1481-1,$AE1482/$AE1481-1,$AG1482/$AG1481-1,$AH1482/$AH1481-1,$AI1482/$AI1481-1,$AJ1482/$AJ1481-1,$AL1482/$AL1481-1,$AM1482/$AM1481-1,$AR1482/$AR1481-1,$AS1482/$AS1481-1,$AT1482/$AT1481-1,$AU1482/$AU1481-1,$AV1482/$AV1481-1,$AW1482/$AW1481-1,$AX1482/$AX1481-1,$AY1482/$AY1481-1),"")</f>
        <v/>
      </c>
      <c r="DW1481" s="66">
        <f>AVERAGE($CB1481,$CC1481,$CD1481,$CE1481,$CF1481,$CG1481,$CH1481,$CI1481,$CJ1481,$CL1481,$CM1481,$CN1481,$CO1481,$CP1481,$CQ1481,$CR1481,$CS1481,$CT1481)</f>
        <v/>
      </c>
      <c r="DX1481" s="66">
        <f>AVERAGE($CB1481,$CC1481,$CM1481,$CE1481,$CP1481)</f>
        <v/>
      </c>
      <c r="DY1481" s="64">
        <f>($DW1481-$DW1482)*100</f>
        <v/>
      </c>
      <c r="DZ1481" s="64">
        <f>($DX1481-$DX1482)*100</f>
        <v/>
      </c>
      <c r="EA1481" s="64">
        <f>($DW1481-$D1481)*100</f>
        <v/>
      </c>
      <c r="EB1481" s="64">
        <f>$Q1481-$O1481</f>
        <v/>
      </c>
      <c r="EC1481" s="67">
        <f>IFERROR($Q1481/$P1481,"")</f>
        <v/>
      </c>
    </row>
    <row r="1482">
      <c r="DG1482" s="64">
        <f>($B1482-$B1483)*100</f>
        <v/>
      </c>
      <c r="DH1482" s="64">
        <f>($D1482-$D1483)*100</f>
        <v/>
      </c>
      <c r="DI1482" s="64">
        <f>($E1482-$E1483)*100</f>
        <v/>
      </c>
      <c r="DJ1482" s="64">
        <f>($H1482-$H1483)*100</f>
        <v/>
      </c>
      <c r="DK1482" s="65">
        <f>IFERROR($J1482/$J1483-1,"")</f>
        <v/>
      </c>
      <c r="DL1482" s="64">
        <f>$L1482-$L1483</f>
        <v/>
      </c>
      <c r="DM1482" s="64">
        <f>$K1482-$K1483</f>
        <v/>
      </c>
      <c r="DN1482" s="65">
        <f>IFERROR($N1482/$N1483-1,"")</f>
        <v/>
      </c>
      <c r="DO1482" s="65">
        <f>IFERROR($M1482/$M1483-1,"")</f>
        <v/>
      </c>
      <c r="DP1482" s="65">
        <f>IFERROR($AZ1482/$AZ1483-1,"")</f>
        <v/>
      </c>
      <c r="DQ1482" s="65">
        <f>IFERROR($BA1482/$BA1483-1,"")</f>
        <v/>
      </c>
      <c r="DR1482" s="64">
        <f>$O1482-$O1483</f>
        <v/>
      </c>
      <c r="DS1482" s="64">
        <f>$P1482-$P1483</f>
        <v/>
      </c>
      <c r="DT1482" s="64">
        <f>$Q1482-$Q1483</f>
        <v/>
      </c>
      <c r="DU1482" s="64">
        <f>$S1482-$S1483</f>
        <v/>
      </c>
      <c r="DV1482" s="65">
        <f>IFERROR(AVERAGE($AA1483/$AA1482-1,$AB1483/$AB1482-1,$AC1483/$AC1482-1,$AD1483/$AD1482-1,$AE1483/$AE1482-1,$AG1483/$AG1482-1,$AH1483/$AH1482-1,$AI1483/$AI1482-1,$AJ1483/$AJ1482-1,$AL1483/$AL1482-1,$AM1483/$AM1482-1,$AR1483/$AR1482-1,$AS1483/$AS1482-1,$AT1483/$AT1482-1,$AU1483/$AU1482-1,$AV1483/$AV1482-1,$AW1483/$AW1482-1,$AX1483/$AX1482-1,$AY1483/$AY1482-1),"")</f>
        <v/>
      </c>
      <c r="DW1482" s="66">
        <f>AVERAGE($CB1482,$CC1482,$CD1482,$CE1482,$CF1482,$CG1482,$CH1482,$CI1482,$CJ1482,$CL1482,$CM1482,$CN1482,$CO1482,$CP1482,$CQ1482,$CR1482,$CS1482,$CT1482)</f>
        <v/>
      </c>
      <c r="DX1482" s="66">
        <f>AVERAGE($CB1482,$CC1482,$CM1482,$CE1482,$CP1482)</f>
        <v/>
      </c>
      <c r="DY1482" s="64">
        <f>($DW1482-$DW1483)*100</f>
        <v/>
      </c>
      <c r="DZ1482" s="64">
        <f>($DX1482-$DX1483)*100</f>
        <v/>
      </c>
      <c r="EA1482" s="64">
        <f>($DW1482-$D1482)*100</f>
        <v/>
      </c>
      <c r="EB1482" s="64">
        <f>$Q1482-$O1482</f>
        <v/>
      </c>
      <c r="EC1482" s="67">
        <f>IFERROR($Q1482/$P1482,"")</f>
        <v/>
      </c>
    </row>
    <row r="1483">
      <c r="DG1483" s="64">
        <f>($B1483-$B1484)*100</f>
        <v/>
      </c>
      <c r="DH1483" s="64">
        <f>($D1483-$D1484)*100</f>
        <v/>
      </c>
      <c r="DI1483" s="64">
        <f>($E1483-$E1484)*100</f>
        <v/>
      </c>
      <c r="DJ1483" s="64">
        <f>($H1483-$H1484)*100</f>
        <v/>
      </c>
      <c r="DK1483" s="65">
        <f>IFERROR($J1483/$J1484-1,"")</f>
        <v/>
      </c>
      <c r="DL1483" s="64">
        <f>$L1483-$L1484</f>
        <v/>
      </c>
      <c r="DM1483" s="64">
        <f>$K1483-$K1484</f>
        <v/>
      </c>
      <c r="DN1483" s="65">
        <f>IFERROR($N1483/$N1484-1,"")</f>
        <v/>
      </c>
      <c r="DO1483" s="65">
        <f>IFERROR($M1483/$M1484-1,"")</f>
        <v/>
      </c>
      <c r="DP1483" s="65">
        <f>IFERROR($AZ1483/$AZ1484-1,"")</f>
        <v/>
      </c>
      <c r="DQ1483" s="65">
        <f>IFERROR($BA1483/$BA1484-1,"")</f>
        <v/>
      </c>
      <c r="DR1483" s="64">
        <f>$O1483-$O1484</f>
        <v/>
      </c>
      <c r="DS1483" s="64">
        <f>$P1483-$P1484</f>
        <v/>
      </c>
      <c r="DT1483" s="64">
        <f>$Q1483-$Q1484</f>
        <v/>
      </c>
      <c r="DU1483" s="64">
        <f>$S1483-$S1484</f>
        <v/>
      </c>
      <c r="DV1483" s="65">
        <f>IFERROR(AVERAGE($AA1484/$AA1483-1,$AB1484/$AB1483-1,$AC1484/$AC1483-1,$AD1484/$AD1483-1,$AE1484/$AE1483-1,$AG1484/$AG1483-1,$AH1484/$AH1483-1,$AI1484/$AI1483-1,$AJ1484/$AJ1483-1,$AL1484/$AL1483-1,$AM1484/$AM1483-1,$AR1484/$AR1483-1,$AS1484/$AS1483-1,$AT1484/$AT1483-1,$AU1484/$AU1483-1,$AV1484/$AV1483-1,$AW1484/$AW1483-1,$AX1484/$AX1483-1,$AY1484/$AY1483-1),"")</f>
        <v/>
      </c>
      <c r="DW1483" s="66">
        <f>AVERAGE($CB1483,$CC1483,$CD1483,$CE1483,$CF1483,$CG1483,$CH1483,$CI1483,$CJ1483,$CL1483,$CM1483,$CN1483,$CO1483,$CP1483,$CQ1483,$CR1483,$CS1483,$CT1483)</f>
        <v/>
      </c>
      <c r="DX1483" s="66">
        <f>AVERAGE($CB1483,$CC1483,$CM1483,$CE1483,$CP1483)</f>
        <v/>
      </c>
      <c r="DY1483" s="64">
        <f>($DW1483-$DW1484)*100</f>
        <v/>
      </c>
      <c r="DZ1483" s="64">
        <f>($DX1483-$DX1484)*100</f>
        <v/>
      </c>
      <c r="EA1483" s="64">
        <f>($DW1483-$D1483)*100</f>
        <v/>
      </c>
      <c r="EB1483" s="64">
        <f>$Q1483-$O1483</f>
        <v/>
      </c>
      <c r="EC1483" s="67">
        <f>IFERROR($Q1483/$P1483,"")</f>
        <v/>
      </c>
    </row>
    <row r="1484">
      <c r="DG1484" s="64">
        <f>($B1484-$B1485)*100</f>
        <v/>
      </c>
      <c r="DH1484" s="64">
        <f>($D1484-$D1485)*100</f>
        <v/>
      </c>
      <c r="DI1484" s="64">
        <f>($E1484-$E1485)*100</f>
        <v/>
      </c>
      <c r="DJ1484" s="64">
        <f>($H1484-$H1485)*100</f>
        <v/>
      </c>
      <c r="DK1484" s="65">
        <f>IFERROR($J1484/$J1485-1,"")</f>
        <v/>
      </c>
      <c r="DL1484" s="64">
        <f>$L1484-$L1485</f>
        <v/>
      </c>
      <c r="DM1484" s="64">
        <f>$K1484-$K1485</f>
        <v/>
      </c>
      <c r="DN1484" s="65">
        <f>IFERROR($N1484/$N1485-1,"")</f>
        <v/>
      </c>
      <c r="DO1484" s="65">
        <f>IFERROR($M1484/$M1485-1,"")</f>
        <v/>
      </c>
      <c r="DP1484" s="65">
        <f>IFERROR($AZ1484/$AZ1485-1,"")</f>
        <v/>
      </c>
      <c r="DQ1484" s="65">
        <f>IFERROR($BA1484/$BA1485-1,"")</f>
        <v/>
      </c>
      <c r="DR1484" s="64">
        <f>$O1484-$O1485</f>
        <v/>
      </c>
      <c r="DS1484" s="64">
        <f>$P1484-$P1485</f>
        <v/>
      </c>
      <c r="DT1484" s="64">
        <f>$Q1484-$Q1485</f>
        <v/>
      </c>
      <c r="DU1484" s="64">
        <f>$S1484-$S1485</f>
        <v/>
      </c>
      <c r="DV1484" s="65">
        <f>IFERROR(AVERAGE($AA1485/$AA1484-1,$AB1485/$AB1484-1,$AC1485/$AC1484-1,$AD1485/$AD1484-1,$AE1485/$AE1484-1,$AG1485/$AG1484-1,$AH1485/$AH1484-1,$AI1485/$AI1484-1,$AJ1485/$AJ1484-1,$AL1485/$AL1484-1,$AM1485/$AM1484-1,$AR1485/$AR1484-1,$AS1485/$AS1484-1,$AT1485/$AT1484-1,$AU1485/$AU1484-1,$AV1485/$AV1484-1,$AW1485/$AW1484-1,$AX1485/$AX1484-1,$AY1485/$AY1484-1),"")</f>
        <v/>
      </c>
      <c r="DW1484" s="66">
        <f>AVERAGE($CB1484,$CC1484,$CD1484,$CE1484,$CF1484,$CG1484,$CH1484,$CI1484,$CJ1484,$CL1484,$CM1484,$CN1484,$CO1484,$CP1484,$CQ1484,$CR1484,$CS1484,$CT1484)</f>
        <v/>
      </c>
      <c r="DX1484" s="66">
        <f>AVERAGE($CB1484,$CC1484,$CM1484,$CE1484,$CP1484)</f>
        <v/>
      </c>
      <c r="DY1484" s="64">
        <f>($DW1484-$DW1485)*100</f>
        <v/>
      </c>
      <c r="DZ1484" s="64">
        <f>($DX1484-$DX1485)*100</f>
        <v/>
      </c>
      <c r="EA1484" s="64">
        <f>($DW1484-$D1484)*100</f>
        <v/>
      </c>
      <c r="EB1484" s="64">
        <f>$Q1484-$O1484</f>
        <v/>
      </c>
      <c r="EC1484" s="67">
        <f>IFERROR($Q1484/$P1484,"")</f>
        <v/>
      </c>
    </row>
    <row r="1485">
      <c r="DG1485" s="64">
        <f>($B1485-$B1486)*100</f>
        <v/>
      </c>
      <c r="DH1485" s="64">
        <f>($D1485-$D1486)*100</f>
        <v/>
      </c>
      <c r="DI1485" s="64">
        <f>($E1485-$E1486)*100</f>
        <v/>
      </c>
      <c r="DJ1485" s="64">
        <f>($H1485-$H1486)*100</f>
        <v/>
      </c>
      <c r="DK1485" s="65">
        <f>IFERROR($J1485/$J1486-1,"")</f>
        <v/>
      </c>
      <c r="DL1485" s="64">
        <f>$L1485-$L1486</f>
        <v/>
      </c>
      <c r="DM1485" s="64">
        <f>$K1485-$K1486</f>
        <v/>
      </c>
      <c r="DN1485" s="65">
        <f>IFERROR($N1485/$N1486-1,"")</f>
        <v/>
      </c>
      <c r="DO1485" s="65">
        <f>IFERROR($M1485/$M1486-1,"")</f>
        <v/>
      </c>
      <c r="DP1485" s="65">
        <f>IFERROR($AZ1485/$AZ1486-1,"")</f>
        <v/>
      </c>
      <c r="DQ1485" s="65">
        <f>IFERROR($BA1485/$BA1486-1,"")</f>
        <v/>
      </c>
      <c r="DR1485" s="64">
        <f>$O1485-$O1486</f>
        <v/>
      </c>
      <c r="DS1485" s="64">
        <f>$P1485-$P1486</f>
        <v/>
      </c>
      <c r="DT1485" s="64">
        <f>$Q1485-$Q1486</f>
        <v/>
      </c>
      <c r="DU1485" s="64">
        <f>$S1485-$S1486</f>
        <v/>
      </c>
      <c r="DV1485" s="65">
        <f>IFERROR(AVERAGE($AA1486/$AA1485-1,$AB1486/$AB1485-1,$AC1486/$AC1485-1,$AD1486/$AD1485-1,$AE1486/$AE1485-1,$AG1486/$AG1485-1,$AH1486/$AH1485-1,$AI1486/$AI1485-1,$AJ1486/$AJ1485-1,$AL1486/$AL1485-1,$AM1486/$AM1485-1,$AR1486/$AR1485-1,$AS1486/$AS1485-1,$AT1486/$AT1485-1,$AU1486/$AU1485-1,$AV1486/$AV1485-1,$AW1486/$AW1485-1,$AX1486/$AX1485-1,$AY1486/$AY1485-1),"")</f>
        <v/>
      </c>
      <c r="DW1485" s="66">
        <f>AVERAGE($CB1485,$CC1485,$CD1485,$CE1485,$CF1485,$CG1485,$CH1485,$CI1485,$CJ1485,$CL1485,$CM1485,$CN1485,$CO1485,$CP1485,$CQ1485,$CR1485,$CS1485,$CT1485)</f>
        <v/>
      </c>
      <c r="DX1485" s="66">
        <f>AVERAGE($CB1485,$CC1485,$CM1485,$CE1485,$CP1485)</f>
        <v/>
      </c>
      <c r="DY1485" s="64">
        <f>($DW1485-$DW1486)*100</f>
        <v/>
      </c>
      <c r="DZ1485" s="64">
        <f>($DX1485-$DX1486)*100</f>
        <v/>
      </c>
      <c r="EA1485" s="64">
        <f>($DW1485-$D1485)*100</f>
        <v/>
      </c>
      <c r="EB1485" s="64">
        <f>$Q1485-$O1485</f>
        <v/>
      </c>
      <c r="EC1485" s="67">
        <f>IFERROR($Q1485/$P1485,"")</f>
        <v/>
      </c>
    </row>
    <row r="1486">
      <c r="DG1486" s="64">
        <f>($B1486-$B1487)*100</f>
        <v/>
      </c>
      <c r="DH1486" s="64">
        <f>($D1486-$D1487)*100</f>
        <v/>
      </c>
      <c r="DI1486" s="64">
        <f>($E1486-$E1487)*100</f>
        <v/>
      </c>
      <c r="DJ1486" s="64">
        <f>($H1486-$H1487)*100</f>
        <v/>
      </c>
      <c r="DK1486" s="65">
        <f>IFERROR($J1486/$J1487-1,"")</f>
        <v/>
      </c>
      <c r="DL1486" s="64">
        <f>$L1486-$L1487</f>
        <v/>
      </c>
      <c r="DM1486" s="64">
        <f>$K1486-$K1487</f>
        <v/>
      </c>
      <c r="DN1486" s="65">
        <f>IFERROR($N1486/$N1487-1,"")</f>
        <v/>
      </c>
      <c r="DO1486" s="65">
        <f>IFERROR($M1486/$M1487-1,"")</f>
        <v/>
      </c>
      <c r="DP1486" s="65">
        <f>IFERROR($AZ1486/$AZ1487-1,"")</f>
        <v/>
      </c>
      <c r="DQ1486" s="65">
        <f>IFERROR($BA1486/$BA1487-1,"")</f>
        <v/>
      </c>
      <c r="DR1486" s="64">
        <f>$O1486-$O1487</f>
        <v/>
      </c>
      <c r="DS1486" s="64">
        <f>$P1486-$P1487</f>
        <v/>
      </c>
      <c r="DT1486" s="64">
        <f>$Q1486-$Q1487</f>
        <v/>
      </c>
      <c r="DU1486" s="64">
        <f>$S1486-$S1487</f>
        <v/>
      </c>
      <c r="DV1486" s="65">
        <f>IFERROR(AVERAGE($AA1487/$AA1486-1,$AB1487/$AB1486-1,$AC1487/$AC1486-1,$AD1487/$AD1486-1,$AE1487/$AE1486-1,$AG1487/$AG1486-1,$AH1487/$AH1486-1,$AI1487/$AI1486-1,$AJ1487/$AJ1486-1,$AL1487/$AL1486-1,$AM1487/$AM1486-1,$AR1487/$AR1486-1,$AS1487/$AS1486-1,$AT1487/$AT1486-1,$AU1487/$AU1486-1,$AV1487/$AV1486-1,$AW1487/$AW1486-1,$AX1487/$AX1486-1,$AY1487/$AY1486-1),"")</f>
        <v/>
      </c>
      <c r="DW1486" s="66">
        <f>AVERAGE($CB1486,$CC1486,$CD1486,$CE1486,$CF1486,$CG1486,$CH1486,$CI1486,$CJ1486,$CL1486,$CM1486,$CN1486,$CO1486,$CP1486,$CQ1486,$CR1486,$CS1486,$CT1486)</f>
        <v/>
      </c>
      <c r="DX1486" s="66">
        <f>AVERAGE($CB1486,$CC1486,$CM1486,$CE1486,$CP1486)</f>
        <v/>
      </c>
      <c r="DY1486" s="64">
        <f>($DW1486-$DW1487)*100</f>
        <v/>
      </c>
      <c r="DZ1486" s="64">
        <f>($DX1486-$DX1487)*100</f>
        <v/>
      </c>
      <c r="EA1486" s="64">
        <f>($DW1486-$D1486)*100</f>
        <v/>
      </c>
      <c r="EB1486" s="64">
        <f>$Q1486-$O1486</f>
        <v/>
      </c>
      <c r="EC1486" s="67">
        <f>IFERROR($Q1486/$P1486,"")</f>
        <v/>
      </c>
    </row>
    <row r="1487">
      <c r="DG1487" s="64">
        <f>($B1487-$B1488)*100</f>
        <v/>
      </c>
      <c r="DH1487" s="64">
        <f>($D1487-$D1488)*100</f>
        <v/>
      </c>
      <c r="DI1487" s="64">
        <f>($E1487-$E1488)*100</f>
        <v/>
      </c>
      <c r="DJ1487" s="64">
        <f>($H1487-$H1488)*100</f>
        <v/>
      </c>
      <c r="DK1487" s="65">
        <f>IFERROR($J1487/$J1488-1,"")</f>
        <v/>
      </c>
      <c r="DL1487" s="64">
        <f>$L1487-$L1488</f>
        <v/>
      </c>
      <c r="DM1487" s="64">
        <f>$K1487-$K1488</f>
        <v/>
      </c>
      <c r="DN1487" s="65">
        <f>IFERROR($N1487/$N1488-1,"")</f>
        <v/>
      </c>
      <c r="DO1487" s="65">
        <f>IFERROR($M1487/$M1488-1,"")</f>
        <v/>
      </c>
      <c r="DP1487" s="65">
        <f>IFERROR($AZ1487/$AZ1488-1,"")</f>
        <v/>
      </c>
      <c r="DQ1487" s="65">
        <f>IFERROR($BA1487/$BA1488-1,"")</f>
        <v/>
      </c>
      <c r="DR1487" s="64">
        <f>$O1487-$O1488</f>
        <v/>
      </c>
      <c r="DS1487" s="64">
        <f>$P1487-$P1488</f>
        <v/>
      </c>
      <c r="DT1487" s="64">
        <f>$Q1487-$Q1488</f>
        <v/>
      </c>
      <c r="DU1487" s="64">
        <f>$S1487-$S1488</f>
        <v/>
      </c>
      <c r="DV1487" s="65">
        <f>IFERROR(AVERAGE($AA1488/$AA1487-1,$AB1488/$AB1487-1,$AC1488/$AC1487-1,$AD1488/$AD1487-1,$AE1488/$AE1487-1,$AG1488/$AG1487-1,$AH1488/$AH1487-1,$AI1488/$AI1487-1,$AJ1488/$AJ1487-1,$AL1488/$AL1487-1,$AM1488/$AM1487-1,$AR1488/$AR1487-1,$AS1488/$AS1487-1,$AT1488/$AT1487-1,$AU1488/$AU1487-1,$AV1488/$AV1487-1,$AW1488/$AW1487-1,$AX1488/$AX1487-1,$AY1488/$AY1487-1),"")</f>
        <v/>
      </c>
      <c r="DW1487" s="66">
        <f>AVERAGE($CB1487,$CC1487,$CD1487,$CE1487,$CF1487,$CG1487,$CH1487,$CI1487,$CJ1487,$CL1487,$CM1487,$CN1487,$CO1487,$CP1487,$CQ1487,$CR1487,$CS1487,$CT1487)</f>
        <v/>
      </c>
      <c r="DX1487" s="66">
        <f>AVERAGE($CB1487,$CC1487,$CM1487,$CE1487,$CP1487)</f>
        <v/>
      </c>
      <c r="DY1487" s="64">
        <f>($DW1487-$DW1488)*100</f>
        <v/>
      </c>
      <c r="DZ1487" s="64">
        <f>($DX1487-$DX1488)*100</f>
        <v/>
      </c>
      <c r="EA1487" s="64">
        <f>($DW1487-$D1487)*100</f>
        <v/>
      </c>
      <c r="EB1487" s="64">
        <f>$Q1487-$O1487</f>
        <v/>
      </c>
      <c r="EC1487" s="67">
        <f>IFERROR($Q1487/$P1487,"")</f>
        <v/>
      </c>
    </row>
    <row r="1488">
      <c r="DG1488" s="64">
        <f>($B1488-$B1489)*100</f>
        <v/>
      </c>
      <c r="DH1488" s="64">
        <f>($D1488-$D1489)*100</f>
        <v/>
      </c>
      <c r="DI1488" s="64">
        <f>($E1488-$E1489)*100</f>
        <v/>
      </c>
      <c r="DJ1488" s="64">
        <f>($H1488-$H1489)*100</f>
        <v/>
      </c>
      <c r="DK1488" s="65">
        <f>IFERROR($J1488/$J1489-1,"")</f>
        <v/>
      </c>
      <c r="DL1488" s="64">
        <f>$L1488-$L1489</f>
        <v/>
      </c>
      <c r="DM1488" s="64">
        <f>$K1488-$K1489</f>
        <v/>
      </c>
      <c r="DN1488" s="65">
        <f>IFERROR($N1488/$N1489-1,"")</f>
        <v/>
      </c>
      <c r="DO1488" s="65">
        <f>IFERROR($M1488/$M1489-1,"")</f>
        <v/>
      </c>
      <c r="DP1488" s="65">
        <f>IFERROR($AZ1488/$AZ1489-1,"")</f>
        <v/>
      </c>
      <c r="DQ1488" s="65">
        <f>IFERROR($BA1488/$BA1489-1,"")</f>
        <v/>
      </c>
      <c r="DR1488" s="64">
        <f>$O1488-$O1489</f>
        <v/>
      </c>
      <c r="DS1488" s="64">
        <f>$P1488-$P1489</f>
        <v/>
      </c>
      <c r="DT1488" s="64">
        <f>$Q1488-$Q1489</f>
        <v/>
      </c>
      <c r="DU1488" s="64">
        <f>$S1488-$S1489</f>
        <v/>
      </c>
      <c r="DV1488" s="65">
        <f>IFERROR(AVERAGE($AA1489/$AA1488-1,$AB1489/$AB1488-1,$AC1489/$AC1488-1,$AD1489/$AD1488-1,$AE1489/$AE1488-1,$AG1489/$AG1488-1,$AH1489/$AH1488-1,$AI1489/$AI1488-1,$AJ1489/$AJ1488-1,$AL1489/$AL1488-1,$AM1489/$AM1488-1,$AR1489/$AR1488-1,$AS1489/$AS1488-1,$AT1489/$AT1488-1,$AU1489/$AU1488-1,$AV1489/$AV1488-1,$AW1489/$AW1488-1,$AX1489/$AX1488-1,$AY1489/$AY1488-1),"")</f>
        <v/>
      </c>
      <c r="DW1488" s="66">
        <f>AVERAGE($CB1488,$CC1488,$CD1488,$CE1488,$CF1488,$CG1488,$CH1488,$CI1488,$CJ1488,$CL1488,$CM1488,$CN1488,$CO1488,$CP1488,$CQ1488,$CR1488,$CS1488,$CT1488)</f>
        <v/>
      </c>
      <c r="DX1488" s="66">
        <f>AVERAGE($CB1488,$CC1488,$CM1488,$CE1488,$CP1488)</f>
        <v/>
      </c>
      <c r="DY1488" s="64">
        <f>($DW1488-$DW1489)*100</f>
        <v/>
      </c>
      <c r="DZ1488" s="64">
        <f>($DX1488-$DX1489)*100</f>
        <v/>
      </c>
      <c r="EA1488" s="64">
        <f>($DW1488-$D1488)*100</f>
        <v/>
      </c>
      <c r="EB1488" s="64">
        <f>$Q1488-$O1488</f>
        <v/>
      </c>
      <c r="EC1488" s="67">
        <f>IFERROR($Q1488/$P1488,"")</f>
        <v/>
      </c>
    </row>
    <row r="1489">
      <c r="DG1489" s="64">
        <f>($B1489-$B1490)*100</f>
        <v/>
      </c>
      <c r="DH1489" s="64">
        <f>($D1489-$D1490)*100</f>
        <v/>
      </c>
      <c r="DI1489" s="64">
        <f>($E1489-$E1490)*100</f>
        <v/>
      </c>
      <c r="DJ1489" s="64">
        <f>($H1489-$H1490)*100</f>
        <v/>
      </c>
      <c r="DK1489" s="65">
        <f>IFERROR($J1489/$J1490-1,"")</f>
        <v/>
      </c>
      <c r="DL1489" s="64">
        <f>$L1489-$L1490</f>
        <v/>
      </c>
      <c r="DM1489" s="64">
        <f>$K1489-$K1490</f>
        <v/>
      </c>
      <c r="DN1489" s="65">
        <f>IFERROR($N1489/$N1490-1,"")</f>
        <v/>
      </c>
      <c r="DO1489" s="65">
        <f>IFERROR($M1489/$M1490-1,"")</f>
        <v/>
      </c>
      <c r="DP1489" s="65">
        <f>IFERROR($AZ1489/$AZ1490-1,"")</f>
        <v/>
      </c>
      <c r="DQ1489" s="65">
        <f>IFERROR($BA1489/$BA1490-1,"")</f>
        <v/>
      </c>
      <c r="DR1489" s="64">
        <f>$O1489-$O1490</f>
        <v/>
      </c>
      <c r="DS1489" s="64">
        <f>$P1489-$P1490</f>
        <v/>
      </c>
      <c r="DT1489" s="64">
        <f>$Q1489-$Q1490</f>
        <v/>
      </c>
      <c r="DU1489" s="64">
        <f>$S1489-$S1490</f>
        <v/>
      </c>
      <c r="DV1489" s="65">
        <f>IFERROR(AVERAGE($AA1490/$AA1489-1,$AB1490/$AB1489-1,$AC1490/$AC1489-1,$AD1490/$AD1489-1,$AE1490/$AE1489-1,$AG1490/$AG1489-1,$AH1490/$AH1489-1,$AI1490/$AI1489-1,$AJ1490/$AJ1489-1,$AL1490/$AL1489-1,$AM1490/$AM1489-1,$AR1490/$AR1489-1,$AS1490/$AS1489-1,$AT1490/$AT1489-1,$AU1490/$AU1489-1,$AV1490/$AV1489-1,$AW1490/$AW1489-1,$AX1490/$AX1489-1,$AY1490/$AY1489-1),"")</f>
        <v/>
      </c>
      <c r="DW1489" s="66">
        <f>AVERAGE($CB1489,$CC1489,$CD1489,$CE1489,$CF1489,$CG1489,$CH1489,$CI1489,$CJ1489,$CL1489,$CM1489,$CN1489,$CO1489,$CP1489,$CQ1489,$CR1489,$CS1489,$CT1489)</f>
        <v/>
      </c>
      <c r="DX1489" s="66">
        <f>AVERAGE($CB1489,$CC1489,$CM1489,$CE1489,$CP1489)</f>
        <v/>
      </c>
      <c r="DY1489" s="64">
        <f>($DW1489-$DW1490)*100</f>
        <v/>
      </c>
      <c r="DZ1489" s="64">
        <f>($DX1489-$DX1490)*100</f>
        <v/>
      </c>
      <c r="EA1489" s="64">
        <f>($DW1489-$D1489)*100</f>
        <v/>
      </c>
      <c r="EB1489" s="64">
        <f>$Q1489-$O1489</f>
        <v/>
      </c>
      <c r="EC1489" s="67">
        <f>IFERROR($Q1489/$P1489,"")</f>
        <v/>
      </c>
    </row>
    <row r="1490">
      <c r="DG1490" s="64">
        <f>($B1490-$B1491)*100</f>
        <v/>
      </c>
      <c r="DH1490" s="64">
        <f>($D1490-$D1491)*100</f>
        <v/>
      </c>
      <c r="DI1490" s="64">
        <f>($E1490-$E1491)*100</f>
        <v/>
      </c>
      <c r="DJ1490" s="64">
        <f>($H1490-$H1491)*100</f>
        <v/>
      </c>
      <c r="DK1490" s="65">
        <f>IFERROR($J1490/$J1491-1,"")</f>
        <v/>
      </c>
      <c r="DL1490" s="64">
        <f>$L1490-$L1491</f>
        <v/>
      </c>
      <c r="DM1490" s="64">
        <f>$K1490-$K1491</f>
        <v/>
      </c>
      <c r="DN1490" s="65">
        <f>IFERROR($N1490/$N1491-1,"")</f>
        <v/>
      </c>
      <c r="DO1490" s="65">
        <f>IFERROR($M1490/$M1491-1,"")</f>
        <v/>
      </c>
      <c r="DP1490" s="65">
        <f>IFERROR($AZ1490/$AZ1491-1,"")</f>
        <v/>
      </c>
      <c r="DQ1490" s="65">
        <f>IFERROR($BA1490/$BA1491-1,"")</f>
        <v/>
      </c>
      <c r="DR1490" s="64">
        <f>$O1490-$O1491</f>
        <v/>
      </c>
      <c r="DS1490" s="64">
        <f>$P1490-$P1491</f>
        <v/>
      </c>
      <c r="DT1490" s="64">
        <f>$Q1490-$Q1491</f>
        <v/>
      </c>
      <c r="DU1490" s="64">
        <f>$S1490-$S1491</f>
        <v/>
      </c>
      <c r="DV1490" s="65">
        <f>IFERROR(AVERAGE($AA1491/$AA1490-1,$AB1491/$AB1490-1,$AC1491/$AC1490-1,$AD1491/$AD1490-1,$AE1491/$AE1490-1,$AG1491/$AG1490-1,$AH1491/$AH1490-1,$AI1491/$AI1490-1,$AJ1491/$AJ1490-1,$AL1491/$AL1490-1,$AM1491/$AM1490-1,$AR1491/$AR1490-1,$AS1491/$AS1490-1,$AT1491/$AT1490-1,$AU1491/$AU1490-1,$AV1491/$AV1490-1,$AW1491/$AW1490-1,$AX1491/$AX1490-1,$AY1491/$AY1490-1),"")</f>
        <v/>
      </c>
      <c r="DW1490" s="66">
        <f>AVERAGE($CB1490,$CC1490,$CD1490,$CE1490,$CF1490,$CG1490,$CH1490,$CI1490,$CJ1490,$CL1490,$CM1490,$CN1490,$CO1490,$CP1490,$CQ1490,$CR1490,$CS1490,$CT1490)</f>
        <v/>
      </c>
      <c r="DX1490" s="66">
        <f>AVERAGE($CB1490,$CC1490,$CM1490,$CE1490,$CP1490)</f>
        <v/>
      </c>
      <c r="DY1490" s="64">
        <f>($DW1490-$DW1491)*100</f>
        <v/>
      </c>
      <c r="DZ1490" s="64">
        <f>($DX1490-$DX1491)*100</f>
        <v/>
      </c>
      <c r="EA1490" s="64">
        <f>($DW1490-$D1490)*100</f>
        <v/>
      </c>
      <c r="EB1490" s="64">
        <f>$Q1490-$O1490</f>
        <v/>
      </c>
      <c r="EC1490" s="67">
        <f>IFERROR($Q1490/$P1490,"")</f>
        <v/>
      </c>
    </row>
    <row r="1491">
      <c r="DG1491" s="64">
        <f>($B1491-$B1492)*100</f>
        <v/>
      </c>
      <c r="DH1491" s="64">
        <f>($D1491-$D1492)*100</f>
        <v/>
      </c>
      <c r="DI1491" s="64">
        <f>($E1491-$E1492)*100</f>
        <v/>
      </c>
      <c r="DJ1491" s="64">
        <f>($H1491-$H1492)*100</f>
        <v/>
      </c>
      <c r="DK1491" s="65">
        <f>IFERROR($J1491/$J1492-1,"")</f>
        <v/>
      </c>
      <c r="DL1491" s="64">
        <f>$L1491-$L1492</f>
        <v/>
      </c>
      <c r="DM1491" s="64">
        <f>$K1491-$K1492</f>
        <v/>
      </c>
      <c r="DN1491" s="65">
        <f>IFERROR($N1491/$N1492-1,"")</f>
        <v/>
      </c>
      <c r="DO1491" s="65">
        <f>IFERROR($M1491/$M1492-1,"")</f>
        <v/>
      </c>
      <c r="DP1491" s="65">
        <f>IFERROR($AZ1491/$AZ1492-1,"")</f>
        <v/>
      </c>
      <c r="DQ1491" s="65">
        <f>IFERROR($BA1491/$BA1492-1,"")</f>
        <v/>
      </c>
      <c r="DR1491" s="64">
        <f>$O1491-$O1492</f>
        <v/>
      </c>
      <c r="DS1491" s="64">
        <f>$P1491-$P1492</f>
        <v/>
      </c>
      <c r="DT1491" s="64">
        <f>$Q1491-$Q1492</f>
        <v/>
      </c>
      <c r="DU1491" s="64">
        <f>$S1491-$S1492</f>
        <v/>
      </c>
      <c r="DV1491" s="65">
        <f>IFERROR(AVERAGE($AA1492/$AA1491-1,$AB1492/$AB1491-1,$AC1492/$AC1491-1,$AD1492/$AD1491-1,$AE1492/$AE1491-1,$AG1492/$AG1491-1,$AH1492/$AH1491-1,$AI1492/$AI1491-1,$AJ1492/$AJ1491-1,$AL1492/$AL1491-1,$AM1492/$AM1491-1,$AR1492/$AR1491-1,$AS1492/$AS1491-1,$AT1492/$AT1491-1,$AU1492/$AU1491-1,$AV1492/$AV1491-1,$AW1492/$AW1491-1,$AX1492/$AX1491-1,$AY1492/$AY1491-1),"")</f>
        <v/>
      </c>
      <c r="DW1491" s="66">
        <f>AVERAGE($CB1491,$CC1491,$CD1491,$CE1491,$CF1491,$CG1491,$CH1491,$CI1491,$CJ1491,$CL1491,$CM1491,$CN1491,$CO1491,$CP1491,$CQ1491,$CR1491,$CS1491,$CT1491)</f>
        <v/>
      </c>
      <c r="DX1491" s="66">
        <f>AVERAGE($CB1491,$CC1491,$CM1491,$CE1491,$CP1491)</f>
        <v/>
      </c>
      <c r="DY1491" s="64">
        <f>($DW1491-$DW1492)*100</f>
        <v/>
      </c>
      <c r="DZ1491" s="64">
        <f>($DX1491-$DX1492)*100</f>
        <v/>
      </c>
      <c r="EA1491" s="64">
        <f>($DW1491-$D1491)*100</f>
        <v/>
      </c>
      <c r="EB1491" s="64">
        <f>$Q1491-$O1491</f>
        <v/>
      </c>
      <c r="EC1491" s="67">
        <f>IFERROR($Q1491/$P1491,"")</f>
        <v/>
      </c>
    </row>
    <row r="1492">
      <c r="DG1492" s="64">
        <f>($B1492-$B1493)*100</f>
        <v/>
      </c>
      <c r="DH1492" s="64">
        <f>($D1492-$D1493)*100</f>
        <v/>
      </c>
      <c r="DI1492" s="64">
        <f>($E1492-$E1493)*100</f>
        <v/>
      </c>
      <c r="DJ1492" s="64">
        <f>($H1492-$H1493)*100</f>
        <v/>
      </c>
      <c r="DK1492" s="65">
        <f>IFERROR($J1492/$J1493-1,"")</f>
        <v/>
      </c>
      <c r="DL1492" s="64">
        <f>$L1492-$L1493</f>
        <v/>
      </c>
      <c r="DM1492" s="64">
        <f>$K1492-$K1493</f>
        <v/>
      </c>
      <c r="DN1492" s="65">
        <f>IFERROR($N1492/$N1493-1,"")</f>
        <v/>
      </c>
      <c r="DO1492" s="65">
        <f>IFERROR($M1492/$M1493-1,"")</f>
        <v/>
      </c>
      <c r="DP1492" s="65">
        <f>IFERROR($AZ1492/$AZ1493-1,"")</f>
        <v/>
      </c>
      <c r="DQ1492" s="65">
        <f>IFERROR($BA1492/$BA1493-1,"")</f>
        <v/>
      </c>
      <c r="DR1492" s="64">
        <f>$O1492-$O1493</f>
        <v/>
      </c>
      <c r="DS1492" s="64">
        <f>$P1492-$P1493</f>
        <v/>
      </c>
      <c r="DT1492" s="64">
        <f>$Q1492-$Q1493</f>
        <v/>
      </c>
      <c r="DU1492" s="64">
        <f>$S1492-$S1493</f>
        <v/>
      </c>
      <c r="DV1492" s="65">
        <f>IFERROR(AVERAGE($AA1493/$AA1492-1,$AB1493/$AB1492-1,$AC1493/$AC1492-1,$AD1493/$AD1492-1,$AE1493/$AE1492-1,$AG1493/$AG1492-1,$AH1493/$AH1492-1,$AI1493/$AI1492-1,$AJ1493/$AJ1492-1,$AL1493/$AL1492-1,$AM1493/$AM1492-1,$AR1493/$AR1492-1,$AS1493/$AS1492-1,$AT1493/$AT1492-1,$AU1493/$AU1492-1,$AV1493/$AV1492-1,$AW1493/$AW1492-1,$AX1493/$AX1492-1,$AY1493/$AY1492-1),"")</f>
        <v/>
      </c>
      <c r="DW1492" s="66">
        <f>AVERAGE($CB1492,$CC1492,$CD1492,$CE1492,$CF1492,$CG1492,$CH1492,$CI1492,$CJ1492,$CL1492,$CM1492,$CN1492,$CO1492,$CP1492,$CQ1492,$CR1492,$CS1492,$CT1492)</f>
        <v/>
      </c>
      <c r="DX1492" s="66">
        <f>AVERAGE($CB1492,$CC1492,$CM1492,$CE1492,$CP1492)</f>
        <v/>
      </c>
      <c r="DY1492" s="64">
        <f>($DW1492-$DW1493)*100</f>
        <v/>
      </c>
      <c r="DZ1492" s="64">
        <f>($DX1492-$DX1493)*100</f>
        <v/>
      </c>
      <c r="EA1492" s="64">
        <f>($DW1492-$D1492)*100</f>
        <v/>
      </c>
      <c r="EB1492" s="64">
        <f>$Q1492-$O1492</f>
        <v/>
      </c>
      <c r="EC1492" s="67">
        <f>IFERROR($Q1492/$P1492,"")</f>
        <v/>
      </c>
    </row>
    <row r="1493">
      <c r="DG1493" s="64">
        <f>($B1493-$B1494)*100</f>
        <v/>
      </c>
      <c r="DH1493" s="64">
        <f>($D1493-$D1494)*100</f>
        <v/>
      </c>
      <c r="DI1493" s="64">
        <f>($E1493-$E1494)*100</f>
        <v/>
      </c>
      <c r="DJ1493" s="64">
        <f>($H1493-$H1494)*100</f>
        <v/>
      </c>
      <c r="DK1493" s="65">
        <f>IFERROR($J1493/$J1494-1,"")</f>
        <v/>
      </c>
      <c r="DL1493" s="64">
        <f>$L1493-$L1494</f>
        <v/>
      </c>
      <c r="DM1493" s="64">
        <f>$K1493-$K1494</f>
        <v/>
      </c>
      <c r="DN1493" s="65">
        <f>IFERROR($N1493/$N1494-1,"")</f>
        <v/>
      </c>
      <c r="DO1493" s="65">
        <f>IFERROR($M1493/$M1494-1,"")</f>
        <v/>
      </c>
      <c r="DP1493" s="65">
        <f>IFERROR($AZ1493/$AZ1494-1,"")</f>
        <v/>
      </c>
      <c r="DQ1493" s="65">
        <f>IFERROR($BA1493/$BA1494-1,"")</f>
        <v/>
      </c>
      <c r="DR1493" s="64">
        <f>$O1493-$O1494</f>
        <v/>
      </c>
      <c r="DS1493" s="64">
        <f>$P1493-$P1494</f>
        <v/>
      </c>
      <c r="DT1493" s="64">
        <f>$Q1493-$Q1494</f>
        <v/>
      </c>
      <c r="DU1493" s="64">
        <f>$S1493-$S1494</f>
        <v/>
      </c>
      <c r="DV1493" s="65">
        <f>IFERROR(AVERAGE($AA1494/$AA1493-1,$AB1494/$AB1493-1,$AC1494/$AC1493-1,$AD1494/$AD1493-1,$AE1494/$AE1493-1,$AG1494/$AG1493-1,$AH1494/$AH1493-1,$AI1494/$AI1493-1,$AJ1494/$AJ1493-1,$AL1494/$AL1493-1,$AM1494/$AM1493-1,$AR1494/$AR1493-1,$AS1494/$AS1493-1,$AT1494/$AT1493-1,$AU1494/$AU1493-1,$AV1494/$AV1493-1,$AW1494/$AW1493-1,$AX1494/$AX1493-1,$AY1494/$AY1493-1),"")</f>
        <v/>
      </c>
      <c r="DW1493" s="66">
        <f>AVERAGE($CB1493,$CC1493,$CD1493,$CE1493,$CF1493,$CG1493,$CH1493,$CI1493,$CJ1493,$CL1493,$CM1493,$CN1493,$CO1493,$CP1493,$CQ1493,$CR1493,$CS1493,$CT1493)</f>
        <v/>
      </c>
      <c r="DX1493" s="66">
        <f>AVERAGE($CB1493,$CC1493,$CM1493,$CE1493,$CP1493)</f>
        <v/>
      </c>
      <c r="DY1493" s="64">
        <f>($DW1493-$DW1494)*100</f>
        <v/>
      </c>
      <c r="DZ1493" s="64">
        <f>($DX1493-$DX1494)*100</f>
        <v/>
      </c>
      <c r="EA1493" s="64">
        <f>($DW1493-$D1493)*100</f>
        <v/>
      </c>
      <c r="EB1493" s="64">
        <f>$Q1493-$O1493</f>
        <v/>
      </c>
      <c r="EC1493" s="67">
        <f>IFERROR($Q1493/$P1493,"")</f>
        <v/>
      </c>
    </row>
    <row r="1494">
      <c r="DG1494" s="64">
        <f>($B1494-$B1495)*100</f>
        <v/>
      </c>
      <c r="DH1494" s="64">
        <f>($D1494-$D1495)*100</f>
        <v/>
      </c>
      <c r="DI1494" s="64">
        <f>($E1494-$E1495)*100</f>
        <v/>
      </c>
      <c r="DJ1494" s="64">
        <f>($H1494-$H1495)*100</f>
        <v/>
      </c>
      <c r="DK1494" s="65">
        <f>IFERROR($J1494/$J1495-1,"")</f>
        <v/>
      </c>
      <c r="DL1494" s="64">
        <f>$L1494-$L1495</f>
        <v/>
      </c>
      <c r="DM1494" s="64">
        <f>$K1494-$K1495</f>
        <v/>
      </c>
      <c r="DN1494" s="65">
        <f>IFERROR($N1494/$N1495-1,"")</f>
        <v/>
      </c>
      <c r="DO1494" s="65">
        <f>IFERROR($M1494/$M1495-1,"")</f>
        <v/>
      </c>
      <c r="DP1494" s="65">
        <f>IFERROR($AZ1494/$AZ1495-1,"")</f>
        <v/>
      </c>
      <c r="DQ1494" s="65">
        <f>IFERROR($BA1494/$BA1495-1,"")</f>
        <v/>
      </c>
      <c r="DR1494" s="64">
        <f>$O1494-$O1495</f>
        <v/>
      </c>
      <c r="DS1494" s="64">
        <f>$P1494-$P1495</f>
        <v/>
      </c>
      <c r="DT1494" s="64">
        <f>$Q1494-$Q1495</f>
        <v/>
      </c>
      <c r="DU1494" s="64">
        <f>$S1494-$S1495</f>
        <v/>
      </c>
      <c r="DV1494" s="65">
        <f>IFERROR(AVERAGE($AA1495/$AA1494-1,$AB1495/$AB1494-1,$AC1495/$AC1494-1,$AD1495/$AD1494-1,$AE1495/$AE1494-1,$AG1495/$AG1494-1,$AH1495/$AH1494-1,$AI1495/$AI1494-1,$AJ1495/$AJ1494-1,$AL1495/$AL1494-1,$AM1495/$AM1494-1,$AR1495/$AR1494-1,$AS1495/$AS1494-1,$AT1495/$AT1494-1,$AU1495/$AU1494-1,$AV1495/$AV1494-1,$AW1495/$AW1494-1,$AX1495/$AX1494-1,$AY1495/$AY1494-1),"")</f>
        <v/>
      </c>
      <c r="DW1494" s="66">
        <f>AVERAGE($CB1494,$CC1494,$CD1494,$CE1494,$CF1494,$CG1494,$CH1494,$CI1494,$CJ1494,$CL1494,$CM1494,$CN1494,$CO1494,$CP1494,$CQ1494,$CR1494,$CS1494,$CT1494)</f>
        <v/>
      </c>
      <c r="DX1494" s="66">
        <f>AVERAGE($CB1494,$CC1494,$CM1494,$CE1494,$CP1494)</f>
        <v/>
      </c>
      <c r="DY1494" s="64">
        <f>($DW1494-$DW1495)*100</f>
        <v/>
      </c>
      <c r="DZ1494" s="64">
        <f>($DX1494-$DX1495)*100</f>
        <v/>
      </c>
      <c r="EA1494" s="64">
        <f>($DW1494-$D1494)*100</f>
        <v/>
      </c>
      <c r="EB1494" s="64">
        <f>$Q1494-$O1494</f>
        <v/>
      </c>
      <c r="EC1494" s="67">
        <f>IFERROR($Q1494/$P1494,"")</f>
        <v/>
      </c>
    </row>
    <row r="1495">
      <c r="DG1495" s="64">
        <f>($B1495-$B1496)*100</f>
        <v/>
      </c>
      <c r="DH1495" s="64">
        <f>($D1495-$D1496)*100</f>
        <v/>
      </c>
      <c r="DI1495" s="64">
        <f>($E1495-$E1496)*100</f>
        <v/>
      </c>
      <c r="DJ1495" s="64">
        <f>($H1495-$H1496)*100</f>
        <v/>
      </c>
      <c r="DK1495" s="65">
        <f>IFERROR($J1495/$J1496-1,"")</f>
        <v/>
      </c>
      <c r="DL1495" s="64">
        <f>$L1495-$L1496</f>
        <v/>
      </c>
      <c r="DM1495" s="64">
        <f>$K1495-$K1496</f>
        <v/>
      </c>
      <c r="DN1495" s="65">
        <f>IFERROR($N1495/$N1496-1,"")</f>
        <v/>
      </c>
      <c r="DO1495" s="65">
        <f>IFERROR($M1495/$M1496-1,"")</f>
        <v/>
      </c>
      <c r="DP1495" s="65">
        <f>IFERROR($AZ1495/$AZ1496-1,"")</f>
        <v/>
      </c>
      <c r="DQ1495" s="65">
        <f>IFERROR($BA1495/$BA1496-1,"")</f>
        <v/>
      </c>
      <c r="DR1495" s="64">
        <f>$O1495-$O1496</f>
        <v/>
      </c>
      <c r="DS1495" s="64">
        <f>$P1495-$P1496</f>
        <v/>
      </c>
      <c r="DT1495" s="64">
        <f>$Q1495-$Q1496</f>
        <v/>
      </c>
      <c r="DU1495" s="64">
        <f>$S1495-$S1496</f>
        <v/>
      </c>
      <c r="DV1495" s="65">
        <f>IFERROR(AVERAGE($AA1496/$AA1495-1,$AB1496/$AB1495-1,$AC1496/$AC1495-1,$AD1496/$AD1495-1,$AE1496/$AE1495-1,$AG1496/$AG1495-1,$AH1496/$AH1495-1,$AI1496/$AI1495-1,$AJ1496/$AJ1495-1,$AL1496/$AL1495-1,$AM1496/$AM1495-1,$AR1496/$AR1495-1,$AS1496/$AS1495-1,$AT1496/$AT1495-1,$AU1496/$AU1495-1,$AV1496/$AV1495-1,$AW1496/$AW1495-1,$AX1496/$AX1495-1,$AY1496/$AY1495-1),"")</f>
        <v/>
      </c>
      <c r="DW1495" s="66">
        <f>AVERAGE($CB1495,$CC1495,$CD1495,$CE1495,$CF1495,$CG1495,$CH1495,$CI1495,$CJ1495,$CL1495,$CM1495,$CN1495,$CO1495,$CP1495,$CQ1495,$CR1495,$CS1495,$CT1495)</f>
        <v/>
      </c>
      <c r="DX1495" s="66">
        <f>AVERAGE($CB1495,$CC1495,$CM1495,$CE1495,$CP1495)</f>
        <v/>
      </c>
      <c r="DY1495" s="64">
        <f>($DW1495-$DW1496)*100</f>
        <v/>
      </c>
      <c r="DZ1495" s="64">
        <f>($DX1495-$DX1496)*100</f>
        <v/>
      </c>
      <c r="EA1495" s="64">
        <f>($DW1495-$D1495)*100</f>
        <v/>
      </c>
      <c r="EB1495" s="64">
        <f>$Q1495-$O1495</f>
        <v/>
      </c>
      <c r="EC1495" s="67">
        <f>IFERROR($Q1495/$P1495,"")</f>
        <v/>
      </c>
    </row>
    <row r="1496">
      <c r="DG1496" s="64">
        <f>($B1496-$B1497)*100</f>
        <v/>
      </c>
      <c r="DH1496" s="64">
        <f>($D1496-$D1497)*100</f>
        <v/>
      </c>
      <c r="DI1496" s="64">
        <f>($E1496-$E1497)*100</f>
        <v/>
      </c>
      <c r="DJ1496" s="64">
        <f>($H1496-$H1497)*100</f>
        <v/>
      </c>
      <c r="DK1496" s="65">
        <f>IFERROR($J1496/$J1497-1,"")</f>
        <v/>
      </c>
      <c r="DL1496" s="64">
        <f>$L1496-$L1497</f>
        <v/>
      </c>
      <c r="DM1496" s="64">
        <f>$K1496-$K1497</f>
        <v/>
      </c>
      <c r="DN1496" s="65">
        <f>IFERROR($N1496/$N1497-1,"")</f>
        <v/>
      </c>
      <c r="DO1496" s="65">
        <f>IFERROR($M1496/$M1497-1,"")</f>
        <v/>
      </c>
      <c r="DP1496" s="65">
        <f>IFERROR($AZ1496/$AZ1497-1,"")</f>
        <v/>
      </c>
      <c r="DQ1496" s="65">
        <f>IFERROR($BA1496/$BA1497-1,"")</f>
        <v/>
      </c>
      <c r="DR1496" s="64">
        <f>$O1496-$O1497</f>
        <v/>
      </c>
      <c r="DS1496" s="64">
        <f>$P1496-$P1497</f>
        <v/>
      </c>
      <c r="DT1496" s="64">
        <f>$Q1496-$Q1497</f>
        <v/>
      </c>
      <c r="DU1496" s="64">
        <f>$S1496-$S1497</f>
        <v/>
      </c>
      <c r="DV1496" s="65">
        <f>IFERROR(AVERAGE($AA1497/$AA1496-1,$AB1497/$AB1496-1,$AC1497/$AC1496-1,$AD1497/$AD1496-1,$AE1497/$AE1496-1,$AG1497/$AG1496-1,$AH1497/$AH1496-1,$AI1497/$AI1496-1,$AJ1497/$AJ1496-1,$AL1497/$AL1496-1,$AM1497/$AM1496-1,$AR1497/$AR1496-1,$AS1497/$AS1496-1,$AT1497/$AT1496-1,$AU1497/$AU1496-1,$AV1497/$AV1496-1,$AW1497/$AW1496-1,$AX1497/$AX1496-1,$AY1497/$AY1496-1),"")</f>
        <v/>
      </c>
      <c r="DW1496" s="66">
        <f>AVERAGE($CB1496,$CC1496,$CD1496,$CE1496,$CF1496,$CG1496,$CH1496,$CI1496,$CJ1496,$CL1496,$CM1496,$CN1496,$CO1496,$CP1496,$CQ1496,$CR1496,$CS1496,$CT1496)</f>
        <v/>
      </c>
      <c r="DX1496" s="66">
        <f>AVERAGE($CB1496,$CC1496,$CM1496,$CE1496,$CP1496)</f>
        <v/>
      </c>
      <c r="DY1496" s="64">
        <f>($DW1496-$DW1497)*100</f>
        <v/>
      </c>
      <c r="DZ1496" s="64">
        <f>($DX1496-$DX1497)*100</f>
        <v/>
      </c>
      <c r="EA1496" s="64">
        <f>($DW1496-$D1496)*100</f>
        <v/>
      </c>
      <c r="EB1496" s="64">
        <f>$Q1496-$O1496</f>
        <v/>
      </c>
      <c r="EC1496" s="67">
        <f>IFERROR($Q1496/$P1496,"")</f>
        <v/>
      </c>
    </row>
    <row r="1497">
      <c r="DG1497" s="64">
        <f>($B1497-$B1498)*100</f>
        <v/>
      </c>
      <c r="DH1497" s="64">
        <f>($D1497-$D1498)*100</f>
        <v/>
      </c>
      <c r="DI1497" s="64">
        <f>($E1497-$E1498)*100</f>
        <v/>
      </c>
      <c r="DJ1497" s="64">
        <f>($H1497-$H1498)*100</f>
        <v/>
      </c>
      <c r="DK1497" s="65">
        <f>IFERROR($J1497/$J1498-1,"")</f>
        <v/>
      </c>
      <c r="DL1497" s="64">
        <f>$L1497-$L1498</f>
        <v/>
      </c>
      <c r="DM1497" s="64">
        <f>$K1497-$K1498</f>
        <v/>
      </c>
      <c r="DN1497" s="65">
        <f>IFERROR($N1497/$N1498-1,"")</f>
        <v/>
      </c>
      <c r="DO1497" s="65">
        <f>IFERROR($M1497/$M1498-1,"")</f>
        <v/>
      </c>
      <c r="DP1497" s="65">
        <f>IFERROR($AZ1497/$AZ1498-1,"")</f>
        <v/>
      </c>
      <c r="DQ1497" s="65">
        <f>IFERROR($BA1497/$BA1498-1,"")</f>
        <v/>
      </c>
      <c r="DR1497" s="64">
        <f>$O1497-$O1498</f>
        <v/>
      </c>
      <c r="DS1497" s="64">
        <f>$P1497-$P1498</f>
        <v/>
      </c>
      <c r="DT1497" s="64">
        <f>$Q1497-$Q1498</f>
        <v/>
      </c>
      <c r="DU1497" s="64">
        <f>$S1497-$S1498</f>
        <v/>
      </c>
      <c r="DV1497" s="65">
        <f>IFERROR(AVERAGE($AA1498/$AA1497-1,$AB1498/$AB1497-1,$AC1498/$AC1497-1,$AD1498/$AD1497-1,$AE1498/$AE1497-1,$AG1498/$AG1497-1,$AH1498/$AH1497-1,$AI1498/$AI1497-1,$AJ1498/$AJ1497-1,$AL1498/$AL1497-1,$AM1498/$AM1497-1,$AR1498/$AR1497-1,$AS1498/$AS1497-1,$AT1498/$AT1497-1,$AU1498/$AU1497-1,$AV1498/$AV1497-1,$AW1498/$AW1497-1,$AX1498/$AX1497-1,$AY1498/$AY1497-1),"")</f>
        <v/>
      </c>
      <c r="DW1497" s="66">
        <f>AVERAGE($CB1497,$CC1497,$CD1497,$CE1497,$CF1497,$CG1497,$CH1497,$CI1497,$CJ1497,$CL1497,$CM1497,$CN1497,$CO1497,$CP1497,$CQ1497,$CR1497,$CS1497,$CT1497)</f>
        <v/>
      </c>
      <c r="DX1497" s="66">
        <f>AVERAGE($CB1497,$CC1497,$CM1497,$CE1497,$CP1497)</f>
        <v/>
      </c>
      <c r="DY1497" s="64">
        <f>($DW1497-$DW1498)*100</f>
        <v/>
      </c>
      <c r="DZ1497" s="64">
        <f>($DX1497-$DX1498)*100</f>
        <v/>
      </c>
      <c r="EA1497" s="64">
        <f>($DW1497-$D1497)*100</f>
        <v/>
      </c>
      <c r="EB1497" s="64">
        <f>$Q1497-$O1497</f>
        <v/>
      </c>
      <c r="EC1497" s="67">
        <f>IFERROR($Q1497/$P1497,"")</f>
        <v/>
      </c>
    </row>
    <row r="1498">
      <c r="DG1498" s="64">
        <f>($B1498-$B1499)*100</f>
        <v/>
      </c>
      <c r="DH1498" s="64">
        <f>($D1498-$D1499)*100</f>
        <v/>
      </c>
      <c r="DI1498" s="64">
        <f>($E1498-$E1499)*100</f>
        <v/>
      </c>
      <c r="DJ1498" s="64">
        <f>($H1498-$H1499)*100</f>
        <v/>
      </c>
      <c r="DK1498" s="65">
        <f>IFERROR($J1498/$J1499-1,"")</f>
        <v/>
      </c>
      <c r="DL1498" s="64">
        <f>$L1498-$L1499</f>
        <v/>
      </c>
      <c r="DM1498" s="64">
        <f>$K1498-$K1499</f>
        <v/>
      </c>
      <c r="DN1498" s="65">
        <f>IFERROR($N1498/$N1499-1,"")</f>
        <v/>
      </c>
      <c r="DO1498" s="65">
        <f>IFERROR($M1498/$M1499-1,"")</f>
        <v/>
      </c>
      <c r="DP1498" s="65">
        <f>IFERROR($AZ1498/$AZ1499-1,"")</f>
        <v/>
      </c>
      <c r="DQ1498" s="65">
        <f>IFERROR($BA1498/$BA1499-1,"")</f>
        <v/>
      </c>
      <c r="DR1498" s="64">
        <f>$O1498-$O1499</f>
        <v/>
      </c>
      <c r="DS1498" s="64">
        <f>$P1498-$P1499</f>
        <v/>
      </c>
      <c r="DT1498" s="64">
        <f>$Q1498-$Q1499</f>
        <v/>
      </c>
      <c r="DU1498" s="64">
        <f>$S1498-$S1499</f>
        <v/>
      </c>
      <c r="DV1498" s="65">
        <f>IFERROR(AVERAGE($AA1499/$AA1498-1,$AB1499/$AB1498-1,$AC1499/$AC1498-1,$AD1499/$AD1498-1,$AE1499/$AE1498-1,$AG1499/$AG1498-1,$AH1499/$AH1498-1,$AI1499/$AI1498-1,$AJ1499/$AJ1498-1,$AL1499/$AL1498-1,$AM1499/$AM1498-1,$AR1499/$AR1498-1,$AS1499/$AS1498-1,$AT1499/$AT1498-1,$AU1499/$AU1498-1,$AV1499/$AV1498-1,$AW1499/$AW1498-1,$AX1499/$AX1498-1,$AY1499/$AY1498-1),"")</f>
        <v/>
      </c>
      <c r="DW1498" s="66">
        <f>AVERAGE($CB1498,$CC1498,$CD1498,$CE1498,$CF1498,$CG1498,$CH1498,$CI1498,$CJ1498,$CL1498,$CM1498,$CN1498,$CO1498,$CP1498,$CQ1498,$CR1498,$CS1498,$CT1498)</f>
        <v/>
      </c>
      <c r="DX1498" s="66">
        <f>AVERAGE($CB1498,$CC1498,$CM1498,$CE1498,$CP1498)</f>
        <v/>
      </c>
      <c r="DY1498" s="64">
        <f>($DW1498-$DW1499)*100</f>
        <v/>
      </c>
      <c r="DZ1498" s="64">
        <f>($DX1498-$DX1499)*100</f>
        <v/>
      </c>
      <c r="EA1498" s="64">
        <f>($DW1498-$D1498)*100</f>
        <v/>
      </c>
      <c r="EB1498" s="64">
        <f>$Q1498-$O1498</f>
        <v/>
      </c>
      <c r="EC1498" s="67">
        <f>IFERROR($Q1498/$P1498,"")</f>
        <v/>
      </c>
    </row>
    <row r="1499">
      <c r="DG1499" s="64">
        <f>($B1499-$B1500)*100</f>
        <v/>
      </c>
      <c r="DH1499" s="64">
        <f>($D1499-$D1500)*100</f>
        <v/>
      </c>
      <c r="DI1499" s="64">
        <f>($E1499-$E1500)*100</f>
        <v/>
      </c>
      <c r="DJ1499" s="64">
        <f>($H1499-$H1500)*100</f>
        <v/>
      </c>
      <c r="DK1499" s="65">
        <f>IFERROR($J1499/$J1500-1,"")</f>
        <v/>
      </c>
      <c r="DL1499" s="64">
        <f>$L1499-$L1500</f>
        <v/>
      </c>
      <c r="DM1499" s="64">
        <f>$K1499-$K1500</f>
        <v/>
      </c>
      <c r="DN1499" s="65">
        <f>IFERROR($N1499/$N1500-1,"")</f>
        <v/>
      </c>
      <c r="DO1499" s="65">
        <f>IFERROR($M1499/$M1500-1,"")</f>
        <v/>
      </c>
      <c r="DP1499" s="65">
        <f>IFERROR($AZ1499/$AZ1500-1,"")</f>
        <v/>
      </c>
      <c r="DQ1499" s="65">
        <f>IFERROR($BA1499/$BA1500-1,"")</f>
        <v/>
      </c>
      <c r="DR1499" s="64">
        <f>$O1499-$O1500</f>
        <v/>
      </c>
      <c r="DS1499" s="64">
        <f>$P1499-$P1500</f>
        <v/>
      </c>
      <c r="DT1499" s="64">
        <f>$Q1499-$Q1500</f>
        <v/>
      </c>
      <c r="DU1499" s="64">
        <f>$S1499-$S1500</f>
        <v/>
      </c>
      <c r="DV1499" s="65">
        <f>IFERROR(AVERAGE($AA1500/$AA1499-1,$AB1500/$AB1499-1,$AC1500/$AC1499-1,$AD1500/$AD1499-1,$AE1500/$AE1499-1,$AG1500/$AG1499-1,$AH1500/$AH1499-1,$AI1500/$AI1499-1,$AJ1500/$AJ1499-1,$AL1500/$AL1499-1,$AM1500/$AM1499-1,$AR1500/$AR1499-1,$AS1500/$AS1499-1,$AT1500/$AT1499-1,$AU1500/$AU1499-1,$AV1500/$AV1499-1,$AW1500/$AW1499-1,$AX1500/$AX1499-1,$AY1500/$AY1499-1),"")</f>
        <v/>
      </c>
      <c r="DW1499" s="66">
        <f>AVERAGE($CB1499,$CC1499,$CD1499,$CE1499,$CF1499,$CG1499,$CH1499,$CI1499,$CJ1499,$CL1499,$CM1499,$CN1499,$CO1499,$CP1499,$CQ1499,$CR1499,$CS1499,$CT1499)</f>
        <v/>
      </c>
      <c r="DX1499" s="66">
        <f>AVERAGE($CB1499,$CC1499,$CM1499,$CE1499,$CP1499)</f>
        <v/>
      </c>
      <c r="DY1499" s="64">
        <f>($DW1499-$DW1500)*100</f>
        <v/>
      </c>
      <c r="DZ1499" s="64">
        <f>($DX1499-$DX1500)*100</f>
        <v/>
      </c>
      <c r="EA1499" s="64">
        <f>($DW1499-$D1499)*100</f>
        <v/>
      </c>
      <c r="EB1499" s="64">
        <f>$Q1499-$O1499</f>
        <v/>
      </c>
      <c r="EC1499" s="67">
        <f>IFERROR($Q1499/$P1499,"")</f>
        <v/>
      </c>
    </row>
    <row r="1500">
      <c r="DG1500" s="64">
        <f>($B1500-$B1501)*100</f>
        <v/>
      </c>
      <c r="DH1500" s="64">
        <f>($D1500-$D1501)*100</f>
        <v/>
      </c>
      <c r="DI1500" s="64">
        <f>($E1500-$E1501)*100</f>
        <v/>
      </c>
      <c r="DJ1500" s="64">
        <f>($H1500-$H1501)*100</f>
        <v/>
      </c>
      <c r="DK1500" s="65">
        <f>IFERROR($J1500/$J1501-1,"")</f>
        <v/>
      </c>
      <c r="DL1500" s="64">
        <f>$L1500-$L1501</f>
        <v/>
      </c>
      <c r="DM1500" s="64">
        <f>$K1500-$K1501</f>
        <v/>
      </c>
      <c r="DN1500" s="65">
        <f>IFERROR($N1500/$N1501-1,"")</f>
        <v/>
      </c>
      <c r="DO1500" s="65">
        <f>IFERROR($M1500/$M1501-1,"")</f>
        <v/>
      </c>
      <c r="DP1500" s="65">
        <f>IFERROR($AZ1500/$AZ1501-1,"")</f>
        <v/>
      </c>
      <c r="DQ1500" s="65">
        <f>IFERROR($BA1500/$BA1501-1,"")</f>
        <v/>
      </c>
      <c r="DR1500" s="64">
        <f>$O1500-$O1501</f>
        <v/>
      </c>
      <c r="DS1500" s="64">
        <f>$P1500-$P1501</f>
        <v/>
      </c>
      <c r="DT1500" s="64">
        <f>$Q1500-$Q1501</f>
        <v/>
      </c>
      <c r="DU1500" s="64">
        <f>$S1500-$S1501</f>
        <v/>
      </c>
      <c r="DV1500" s="65">
        <f>IFERROR(AVERAGE($AA1501/$AA1500-1,$AB1501/$AB1500-1,$AC1501/$AC1500-1,$AD1501/$AD1500-1,$AE1501/$AE1500-1,$AG1501/$AG1500-1,$AH1501/$AH1500-1,$AI1501/$AI1500-1,$AJ1501/$AJ1500-1,$AL1501/$AL1500-1,$AM1501/$AM1500-1,$AR1501/$AR1500-1,$AS1501/$AS1500-1,$AT1501/$AT1500-1,$AU1501/$AU1500-1,$AV1501/$AV1500-1,$AW1501/$AW1500-1,$AX1501/$AX1500-1,$AY1501/$AY1500-1),"")</f>
        <v/>
      </c>
      <c r="DW1500" s="66">
        <f>AVERAGE($CB1500,$CC1500,$CD1500,$CE1500,$CF1500,$CG1500,$CH1500,$CI1500,$CJ1500,$CL1500,$CM1500,$CN1500,$CO1500,$CP1500,$CQ1500,$CR1500,$CS1500,$CT1500)</f>
        <v/>
      </c>
      <c r="DX1500" s="66">
        <f>AVERAGE($CB1500,$CC1500,$CM1500,$CE1500,$CP1500)</f>
        <v/>
      </c>
      <c r="DY1500" s="64">
        <f>($DW1500-$DW1501)*100</f>
        <v/>
      </c>
      <c r="DZ1500" s="64">
        <f>($DX1500-$DX1501)*100</f>
        <v/>
      </c>
      <c r="EA1500" s="64">
        <f>($DW1500-$D1500)*100</f>
        <v/>
      </c>
      <c r="EB1500" s="64">
        <f>$Q1500-$O1500</f>
        <v/>
      </c>
      <c r="EC1500" s="67">
        <f>IFERROR($Q1500/$P1500,"")</f>
        <v/>
      </c>
    </row>
    <row r="1501">
      <c r="DG1501" s="64">
        <f>($B1501-$B1502)*100</f>
        <v/>
      </c>
      <c r="DH1501" s="64">
        <f>($D1501-$D1502)*100</f>
        <v/>
      </c>
      <c r="DI1501" s="64">
        <f>($E1501-$E1502)*100</f>
        <v/>
      </c>
      <c r="DJ1501" s="64">
        <f>($H1501-$H1502)*100</f>
        <v/>
      </c>
      <c r="DK1501" s="65">
        <f>IFERROR($J1501/$J1502-1,"")</f>
        <v/>
      </c>
      <c r="DL1501" s="64">
        <f>$L1501-$L1502</f>
        <v/>
      </c>
      <c r="DM1501" s="64">
        <f>$K1501-$K1502</f>
        <v/>
      </c>
      <c r="DN1501" s="65">
        <f>IFERROR($N1501/$N1502-1,"")</f>
        <v/>
      </c>
      <c r="DO1501" s="65">
        <f>IFERROR($M1501/$M1502-1,"")</f>
        <v/>
      </c>
      <c r="DP1501" s="65">
        <f>IFERROR($AZ1501/$AZ1502-1,"")</f>
        <v/>
      </c>
      <c r="DQ1501" s="65">
        <f>IFERROR($BA1501/$BA1502-1,"")</f>
        <v/>
      </c>
      <c r="DR1501" s="64">
        <f>$O1501-$O1502</f>
        <v/>
      </c>
      <c r="DS1501" s="64">
        <f>$P1501-$P1502</f>
        <v/>
      </c>
      <c r="DT1501" s="64">
        <f>$Q1501-$Q1502</f>
        <v/>
      </c>
      <c r="DU1501" s="64">
        <f>$S1501-$S1502</f>
        <v/>
      </c>
      <c r="DV1501" s="65">
        <f>IFERROR(AVERAGE($AA1502/$AA1501-1,$AB1502/$AB1501-1,$AC1502/$AC1501-1,$AD1502/$AD1501-1,$AE1502/$AE1501-1,$AG1502/$AG1501-1,$AH1502/$AH1501-1,$AI1502/$AI1501-1,$AJ1502/$AJ1501-1,$AL1502/$AL1501-1,$AM1502/$AM1501-1,$AR1502/$AR1501-1,$AS1502/$AS1501-1,$AT1502/$AT1501-1,$AU1502/$AU1501-1,$AV1502/$AV1501-1,$AW1502/$AW1501-1,$AX1502/$AX1501-1,$AY1502/$AY1501-1),"")</f>
        <v/>
      </c>
      <c r="DW1501" s="66">
        <f>AVERAGE($CB1501,$CC1501,$CD1501,$CE1501,$CF1501,$CG1501,$CH1501,$CI1501,$CJ1501,$CL1501,$CM1501,$CN1501,$CO1501,$CP1501,$CQ1501,$CR1501,$CS1501,$CT1501)</f>
        <v/>
      </c>
      <c r="DX1501" s="66">
        <f>AVERAGE($CB1501,$CC1501,$CM1501,$CE1501,$CP1501)</f>
        <v/>
      </c>
      <c r="DY1501" s="64">
        <f>($DW1501-$DW1502)*100</f>
        <v/>
      </c>
      <c r="DZ1501" s="64">
        <f>($DX1501-$DX1502)*100</f>
        <v/>
      </c>
      <c r="EA1501" s="64">
        <f>($DW1501-$D1501)*100</f>
        <v/>
      </c>
      <c r="EB1501" s="64">
        <f>$Q1501-$O1501</f>
        <v/>
      </c>
      <c r="EC1501" s="67">
        <f>IFERROR($Q1501/$P1501,"")</f>
        <v/>
      </c>
    </row>
    <row r="1502">
      <c r="DG1502" s="64">
        <f>($B1502-$B1503)*100</f>
        <v/>
      </c>
      <c r="DH1502" s="64">
        <f>($D1502-$D1503)*100</f>
        <v/>
      </c>
      <c r="DI1502" s="64">
        <f>($E1502-$E1503)*100</f>
        <v/>
      </c>
      <c r="DJ1502" s="64">
        <f>($H1502-$H1503)*100</f>
        <v/>
      </c>
      <c r="DK1502" s="65">
        <f>IFERROR($J1502/$J1503-1,"")</f>
        <v/>
      </c>
      <c r="DL1502" s="64">
        <f>$L1502-$L1503</f>
        <v/>
      </c>
      <c r="DM1502" s="64">
        <f>$K1502-$K1503</f>
        <v/>
      </c>
      <c r="DN1502" s="65">
        <f>IFERROR($N1502/$N1503-1,"")</f>
        <v/>
      </c>
      <c r="DO1502" s="65">
        <f>IFERROR($M1502/$M1503-1,"")</f>
        <v/>
      </c>
      <c r="DP1502" s="65">
        <f>IFERROR($AZ1502/$AZ1503-1,"")</f>
        <v/>
      </c>
      <c r="DQ1502" s="65">
        <f>IFERROR($BA1502/$BA1503-1,"")</f>
        <v/>
      </c>
      <c r="DR1502" s="64">
        <f>$O1502-$O1503</f>
        <v/>
      </c>
      <c r="DS1502" s="64">
        <f>$P1502-$P1503</f>
        <v/>
      </c>
      <c r="DT1502" s="64">
        <f>$Q1502-$Q1503</f>
        <v/>
      </c>
      <c r="DU1502" s="64">
        <f>$S1502-$S1503</f>
        <v/>
      </c>
      <c r="DV1502" s="65">
        <f>IFERROR(AVERAGE($AA1503/$AA1502-1,$AB1503/$AB1502-1,$AC1503/$AC1502-1,$AD1503/$AD1502-1,$AE1503/$AE1502-1,$AG1503/$AG1502-1,$AH1503/$AH1502-1,$AI1503/$AI1502-1,$AJ1503/$AJ1502-1,$AL1503/$AL1502-1,$AM1503/$AM1502-1,$AR1503/$AR1502-1,$AS1503/$AS1502-1,$AT1503/$AT1502-1,$AU1503/$AU1502-1,$AV1503/$AV1502-1,$AW1503/$AW1502-1,$AX1503/$AX1502-1,$AY1503/$AY1502-1),"")</f>
        <v/>
      </c>
      <c r="DW1502" s="66">
        <f>AVERAGE($CB1502,$CC1502,$CD1502,$CE1502,$CF1502,$CG1502,$CH1502,$CI1502,$CJ1502,$CL1502,$CM1502,$CN1502,$CO1502,$CP1502,$CQ1502,$CR1502,$CS1502,$CT1502)</f>
        <v/>
      </c>
      <c r="DX1502" s="66">
        <f>AVERAGE($CB1502,$CC1502,$CM1502,$CE1502,$CP1502)</f>
        <v/>
      </c>
      <c r="DY1502" s="64">
        <f>($DW1502-$DW1503)*100</f>
        <v/>
      </c>
      <c r="DZ1502" s="64">
        <f>($DX1502-$DX1503)*100</f>
        <v/>
      </c>
      <c r="EA1502" s="64">
        <f>($DW1502-$D1502)*100</f>
        <v/>
      </c>
      <c r="EB1502" s="64">
        <f>$Q1502-$O1502</f>
        <v/>
      </c>
      <c r="EC1502" s="67">
        <f>IFERROR($Q1502/$P1502,"")</f>
        <v/>
      </c>
    </row>
    <row r="1503">
      <c r="DG1503" s="64">
        <f>($B1503-$B1504)*100</f>
        <v/>
      </c>
      <c r="DH1503" s="64">
        <f>($D1503-$D1504)*100</f>
        <v/>
      </c>
      <c r="DI1503" s="64">
        <f>($E1503-$E1504)*100</f>
        <v/>
      </c>
      <c r="DJ1503" s="64">
        <f>($H1503-$H1504)*100</f>
        <v/>
      </c>
      <c r="DK1503" s="65">
        <f>IFERROR($J1503/$J1504-1,"")</f>
        <v/>
      </c>
      <c r="DL1503" s="64">
        <f>$L1503-$L1504</f>
        <v/>
      </c>
      <c r="DM1503" s="64">
        <f>$K1503-$K1504</f>
        <v/>
      </c>
      <c r="DN1503" s="65">
        <f>IFERROR($N1503/$N1504-1,"")</f>
        <v/>
      </c>
      <c r="DO1503" s="65">
        <f>IFERROR($M1503/$M1504-1,"")</f>
        <v/>
      </c>
      <c r="DP1503" s="65">
        <f>IFERROR($AZ1503/$AZ1504-1,"")</f>
        <v/>
      </c>
      <c r="DQ1503" s="65">
        <f>IFERROR($BA1503/$BA1504-1,"")</f>
        <v/>
      </c>
      <c r="DR1503" s="64">
        <f>$O1503-$O1504</f>
        <v/>
      </c>
      <c r="DS1503" s="64">
        <f>$P1503-$P1504</f>
        <v/>
      </c>
      <c r="DT1503" s="64">
        <f>$Q1503-$Q1504</f>
        <v/>
      </c>
      <c r="DU1503" s="64">
        <f>$S1503-$S1504</f>
        <v/>
      </c>
      <c r="DV1503" s="65">
        <f>IFERROR(AVERAGE($AA1504/$AA1503-1,$AB1504/$AB1503-1,$AC1504/$AC1503-1,$AD1504/$AD1503-1,$AE1504/$AE1503-1,$AG1504/$AG1503-1,$AH1504/$AH1503-1,$AI1504/$AI1503-1,$AJ1504/$AJ1503-1,$AL1504/$AL1503-1,$AM1504/$AM1503-1,$AR1504/$AR1503-1,$AS1504/$AS1503-1,$AT1504/$AT1503-1,$AU1504/$AU1503-1,$AV1504/$AV1503-1,$AW1504/$AW1503-1,$AX1504/$AX1503-1,$AY1504/$AY1503-1),"")</f>
        <v/>
      </c>
      <c r="DW1503" s="66">
        <f>AVERAGE($CB1503,$CC1503,$CD1503,$CE1503,$CF1503,$CG1503,$CH1503,$CI1503,$CJ1503,$CL1503,$CM1503,$CN1503,$CO1503,$CP1503,$CQ1503,$CR1503,$CS1503,$CT1503)</f>
        <v/>
      </c>
      <c r="DX1503" s="66">
        <f>AVERAGE($CB1503,$CC1503,$CM1503,$CE1503,$CP1503)</f>
        <v/>
      </c>
      <c r="DY1503" s="64">
        <f>($DW1503-$DW1504)*100</f>
        <v/>
      </c>
      <c r="DZ1503" s="64">
        <f>($DX1503-$DX1504)*100</f>
        <v/>
      </c>
      <c r="EA1503" s="64">
        <f>($DW1503-$D1503)*100</f>
        <v/>
      </c>
      <c r="EB1503" s="64">
        <f>$Q1503-$O1503</f>
        <v/>
      </c>
      <c r="EC1503" s="67">
        <f>IFERROR($Q1503/$P1503,"")</f>
        <v/>
      </c>
    </row>
    <row r="1504">
      <c r="DG1504" s="64">
        <f>($B1504-$B1505)*100</f>
        <v/>
      </c>
      <c r="DH1504" s="64">
        <f>($D1504-$D1505)*100</f>
        <v/>
      </c>
      <c r="DI1504" s="64">
        <f>($E1504-$E1505)*100</f>
        <v/>
      </c>
      <c r="DJ1504" s="64">
        <f>($H1504-$H1505)*100</f>
        <v/>
      </c>
      <c r="DK1504" s="65">
        <f>IFERROR($J1504/$J1505-1,"")</f>
        <v/>
      </c>
      <c r="DL1504" s="64">
        <f>$L1504-$L1505</f>
        <v/>
      </c>
      <c r="DM1504" s="64">
        <f>$K1504-$K1505</f>
        <v/>
      </c>
      <c r="DN1504" s="65">
        <f>IFERROR($N1504/$N1505-1,"")</f>
        <v/>
      </c>
      <c r="DO1504" s="65">
        <f>IFERROR($M1504/$M1505-1,"")</f>
        <v/>
      </c>
      <c r="DP1504" s="65">
        <f>IFERROR($AZ1504/$AZ1505-1,"")</f>
        <v/>
      </c>
      <c r="DQ1504" s="65">
        <f>IFERROR($BA1504/$BA1505-1,"")</f>
        <v/>
      </c>
      <c r="DR1504" s="64">
        <f>$O1504-$O1505</f>
        <v/>
      </c>
      <c r="DS1504" s="64">
        <f>$P1504-$P1505</f>
        <v/>
      </c>
      <c r="DT1504" s="64">
        <f>$Q1504-$Q1505</f>
        <v/>
      </c>
      <c r="DU1504" s="64">
        <f>$S1504-$S1505</f>
        <v/>
      </c>
      <c r="DV1504" s="65">
        <f>IFERROR(AVERAGE($AA1505/$AA1504-1,$AB1505/$AB1504-1,$AC1505/$AC1504-1,$AD1505/$AD1504-1,$AE1505/$AE1504-1,$AG1505/$AG1504-1,$AH1505/$AH1504-1,$AI1505/$AI1504-1,$AJ1505/$AJ1504-1,$AL1505/$AL1504-1,$AM1505/$AM1504-1,$AR1505/$AR1504-1,$AS1505/$AS1504-1,$AT1505/$AT1504-1,$AU1505/$AU1504-1,$AV1505/$AV1504-1,$AW1505/$AW1504-1,$AX1505/$AX1504-1,$AY1505/$AY1504-1),"")</f>
        <v/>
      </c>
      <c r="DW1504" s="66">
        <f>AVERAGE($CB1504,$CC1504,$CD1504,$CE1504,$CF1504,$CG1504,$CH1504,$CI1504,$CJ1504,$CL1504,$CM1504,$CN1504,$CO1504,$CP1504,$CQ1504,$CR1504,$CS1504,$CT1504)</f>
        <v/>
      </c>
      <c r="DX1504" s="66">
        <f>AVERAGE($CB1504,$CC1504,$CM1504,$CE1504,$CP1504)</f>
        <v/>
      </c>
      <c r="DY1504" s="64">
        <f>($DW1504-$DW1505)*100</f>
        <v/>
      </c>
      <c r="DZ1504" s="64">
        <f>($DX1504-$DX1505)*100</f>
        <v/>
      </c>
      <c r="EA1504" s="64">
        <f>($DW1504-$D1504)*100</f>
        <v/>
      </c>
      <c r="EB1504" s="64">
        <f>$Q1504-$O1504</f>
        <v/>
      </c>
      <c r="EC1504" s="67">
        <f>IFERROR($Q1504/$P1504,"")</f>
        <v/>
      </c>
    </row>
    <row r="1505">
      <c r="DG1505" s="64">
        <f>($B1505-$B1506)*100</f>
        <v/>
      </c>
      <c r="DH1505" s="64">
        <f>($D1505-$D1506)*100</f>
        <v/>
      </c>
      <c r="DI1505" s="64">
        <f>($E1505-$E1506)*100</f>
        <v/>
      </c>
      <c r="DJ1505" s="64">
        <f>($H1505-$H1506)*100</f>
        <v/>
      </c>
      <c r="DK1505" s="65">
        <f>IFERROR($J1505/$J1506-1,"")</f>
        <v/>
      </c>
      <c r="DL1505" s="64">
        <f>$L1505-$L1506</f>
        <v/>
      </c>
      <c r="DM1505" s="64">
        <f>$K1505-$K1506</f>
        <v/>
      </c>
      <c r="DN1505" s="65">
        <f>IFERROR($N1505/$N1506-1,"")</f>
        <v/>
      </c>
      <c r="DO1505" s="65">
        <f>IFERROR($M1505/$M1506-1,"")</f>
        <v/>
      </c>
      <c r="DP1505" s="65">
        <f>IFERROR($AZ1505/$AZ1506-1,"")</f>
        <v/>
      </c>
      <c r="DQ1505" s="65">
        <f>IFERROR($BA1505/$BA1506-1,"")</f>
        <v/>
      </c>
      <c r="DR1505" s="64">
        <f>$O1505-$O1506</f>
        <v/>
      </c>
      <c r="DS1505" s="64">
        <f>$P1505-$P1506</f>
        <v/>
      </c>
      <c r="DT1505" s="64">
        <f>$Q1505-$Q1506</f>
        <v/>
      </c>
      <c r="DU1505" s="64">
        <f>$S1505-$S1506</f>
        <v/>
      </c>
      <c r="DV1505" s="65">
        <f>IFERROR(AVERAGE($AA1506/$AA1505-1,$AB1506/$AB1505-1,$AC1506/$AC1505-1,$AD1506/$AD1505-1,$AE1506/$AE1505-1,$AG1506/$AG1505-1,$AH1506/$AH1505-1,$AI1506/$AI1505-1,$AJ1506/$AJ1505-1,$AL1506/$AL1505-1,$AM1506/$AM1505-1,$AR1506/$AR1505-1,$AS1506/$AS1505-1,$AT1506/$AT1505-1,$AU1506/$AU1505-1,$AV1506/$AV1505-1,$AW1506/$AW1505-1,$AX1506/$AX1505-1,$AY1506/$AY1505-1),"")</f>
        <v/>
      </c>
      <c r="DW1505" s="66">
        <f>AVERAGE($CB1505,$CC1505,$CD1505,$CE1505,$CF1505,$CG1505,$CH1505,$CI1505,$CJ1505,$CL1505,$CM1505,$CN1505,$CO1505,$CP1505,$CQ1505,$CR1505,$CS1505,$CT1505)</f>
        <v/>
      </c>
      <c r="DX1505" s="66">
        <f>AVERAGE($CB1505,$CC1505,$CM1505,$CE1505,$CP1505)</f>
        <v/>
      </c>
      <c r="DY1505" s="64">
        <f>($DW1505-$DW1506)*100</f>
        <v/>
      </c>
      <c r="DZ1505" s="64">
        <f>($DX1505-$DX1506)*100</f>
        <v/>
      </c>
      <c r="EA1505" s="64">
        <f>($DW1505-$D1505)*100</f>
        <v/>
      </c>
      <c r="EB1505" s="64">
        <f>$Q1505-$O1505</f>
        <v/>
      </c>
      <c r="EC1505" s="67">
        <f>IFERROR($Q1505/$P1505,"")</f>
        <v/>
      </c>
    </row>
    <row r="1506">
      <c r="DG1506" s="64">
        <f>($B1506-$B1507)*100</f>
        <v/>
      </c>
      <c r="DH1506" s="64">
        <f>($D1506-$D1507)*100</f>
        <v/>
      </c>
      <c r="DI1506" s="64">
        <f>($E1506-$E1507)*100</f>
        <v/>
      </c>
      <c r="DJ1506" s="64">
        <f>($H1506-$H1507)*100</f>
        <v/>
      </c>
      <c r="DK1506" s="65">
        <f>IFERROR($J1506/$J1507-1,"")</f>
        <v/>
      </c>
      <c r="DL1506" s="64">
        <f>$L1506-$L1507</f>
        <v/>
      </c>
      <c r="DM1506" s="64">
        <f>$K1506-$K1507</f>
        <v/>
      </c>
      <c r="DN1506" s="65">
        <f>IFERROR($N1506/$N1507-1,"")</f>
        <v/>
      </c>
      <c r="DO1506" s="65">
        <f>IFERROR($M1506/$M1507-1,"")</f>
        <v/>
      </c>
      <c r="DP1506" s="65">
        <f>IFERROR($AZ1506/$AZ1507-1,"")</f>
        <v/>
      </c>
      <c r="DQ1506" s="65">
        <f>IFERROR($BA1506/$BA1507-1,"")</f>
        <v/>
      </c>
      <c r="DR1506" s="64">
        <f>$O1506-$O1507</f>
        <v/>
      </c>
      <c r="DS1506" s="64">
        <f>$P1506-$P1507</f>
        <v/>
      </c>
      <c r="DT1506" s="64">
        <f>$Q1506-$Q1507</f>
        <v/>
      </c>
      <c r="DU1506" s="64">
        <f>$S1506-$S1507</f>
        <v/>
      </c>
      <c r="DV1506" s="65">
        <f>IFERROR(AVERAGE($AA1507/$AA1506-1,$AB1507/$AB1506-1,$AC1507/$AC1506-1,$AD1507/$AD1506-1,$AE1507/$AE1506-1,$AG1507/$AG1506-1,$AH1507/$AH1506-1,$AI1507/$AI1506-1,$AJ1507/$AJ1506-1,$AL1507/$AL1506-1,$AM1507/$AM1506-1,$AR1507/$AR1506-1,$AS1507/$AS1506-1,$AT1507/$AT1506-1,$AU1507/$AU1506-1,$AV1507/$AV1506-1,$AW1507/$AW1506-1,$AX1507/$AX1506-1,$AY1507/$AY1506-1),"")</f>
        <v/>
      </c>
      <c r="DW1506" s="66">
        <f>AVERAGE($CB1506,$CC1506,$CD1506,$CE1506,$CF1506,$CG1506,$CH1506,$CI1506,$CJ1506,$CL1506,$CM1506,$CN1506,$CO1506,$CP1506,$CQ1506,$CR1506,$CS1506,$CT1506)</f>
        <v/>
      </c>
      <c r="DX1506" s="66">
        <f>AVERAGE($CB1506,$CC1506,$CM1506,$CE1506,$CP1506)</f>
        <v/>
      </c>
      <c r="DY1506" s="64">
        <f>($DW1506-$DW1507)*100</f>
        <v/>
      </c>
      <c r="DZ1506" s="64">
        <f>($DX1506-$DX1507)*100</f>
        <v/>
      </c>
      <c r="EA1506" s="64">
        <f>($DW1506-$D1506)*100</f>
        <v/>
      </c>
      <c r="EB1506" s="64">
        <f>$Q1506-$O1506</f>
        <v/>
      </c>
      <c r="EC1506" s="67">
        <f>IFERROR($Q1506/$P1506,"")</f>
        <v/>
      </c>
    </row>
    <row r="1507">
      <c r="DG1507" s="64">
        <f>($B1507-$B1508)*100</f>
        <v/>
      </c>
      <c r="DH1507" s="64">
        <f>($D1507-$D1508)*100</f>
        <v/>
      </c>
      <c r="DI1507" s="64">
        <f>($E1507-$E1508)*100</f>
        <v/>
      </c>
      <c r="DJ1507" s="64">
        <f>($H1507-$H1508)*100</f>
        <v/>
      </c>
      <c r="DK1507" s="65">
        <f>IFERROR($J1507/$J1508-1,"")</f>
        <v/>
      </c>
      <c r="DL1507" s="64">
        <f>$L1507-$L1508</f>
        <v/>
      </c>
      <c r="DM1507" s="64">
        <f>$K1507-$K1508</f>
        <v/>
      </c>
      <c r="DN1507" s="65">
        <f>IFERROR($N1507/$N1508-1,"")</f>
        <v/>
      </c>
      <c r="DO1507" s="65">
        <f>IFERROR($M1507/$M1508-1,"")</f>
        <v/>
      </c>
      <c r="DP1507" s="65">
        <f>IFERROR($AZ1507/$AZ1508-1,"")</f>
        <v/>
      </c>
      <c r="DQ1507" s="65">
        <f>IFERROR($BA1507/$BA1508-1,"")</f>
        <v/>
      </c>
      <c r="DR1507" s="64">
        <f>$O1507-$O1508</f>
        <v/>
      </c>
      <c r="DS1507" s="64">
        <f>$P1507-$P1508</f>
        <v/>
      </c>
      <c r="DT1507" s="64">
        <f>$Q1507-$Q1508</f>
        <v/>
      </c>
      <c r="DU1507" s="64">
        <f>$S1507-$S1508</f>
        <v/>
      </c>
      <c r="DV1507" s="65">
        <f>IFERROR(AVERAGE($AA1508/$AA1507-1,$AB1508/$AB1507-1,$AC1508/$AC1507-1,$AD1508/$AD1507-1,$AE1508/$AE1507-1,$AG1508/$AG1507-1,$AH1508/$AH1507-1,$AI1508/$AI1507-1,$AJ1508/$AJ1507-1,$AL1508/$AL1507-1,$AM1508/$AM1507-1,$AR1508/$AR1507-1,$AS1508/$AS1507-1,$AT1508/$AT1507-1,$AU1508/$AU1507-1,$AV1508/$AV1507-1,$AW1508/$AW1507-1,$AX1508/$AX1507-1,$AY1508/$AY1507-1),"")</f>
        <v/>
      </c>
      <c r="DW1507" s="66">
        <f>AVERAGE($CB1507,$CC1507,$CD1507,$CE1507,$CF1507,$CG1507,$CH1507,$CI1507,$CJ1507,$CL1507,$CM1507,$CN1507,$CO1507,$CP1507,$CQ1507,$CR1507,$CS1507,$CT1507)</f>
        <v/>
      </c>
      <c r="DX1507" s="66">
        <f>AVERAGE($CB1507,$CC1507,$CM1507,$CE1507,$CP1507)</f>
        <v/>
      </c>
      <c r="DY1507" s="64">
        <f>($DW1507-$DW1508)*100</f>
        <v/>
      </c>
      <c r="DZ1507" s="64">
        <f>($DX1507-$DX1508)*100</f>
        <v/>
      </c>
      <c r="EA1507" s="64">
        <f>($DW1507-$D1507)*100</f>
        <v/>
      </c>
      <c r="EB1507" s="64">
        <f>$Q1507-$O1507</f>
        <v/>
      </c>
      <c r="EC1507" s="67">
        <f>IFERROR($Q1507/$P1507,"")</f>
        <v/>
      </c>
    </row>
    <row r="1508">
      <c r="DG1508" s="64">
        <f>($B1508-$B1509)*100</f>
        <v/>
      </c>
      <c r="DH1508" s="64">
        <f>($D1508-$D1509)*100</f>
        <v/>
      </c>
      <c r="DI1508" s="64">
        <f>($E1508-$E1509)*100</f>
        <v/>
      </c>
      <c r="DJ1508" s="64">
        <f>($H1508-$H1509)*100</f>
        <v/>
      </c>
      <c r="DK1508" s="65">
        <f>IFERROR($J1508/$J1509-1,"")</f>
        <v/>
      </c>
      <c r="DL1508" s="64">
        <f>$L1508-$L1509</f>
        <v/>
      </c>
      <c r="DM1508" s="64">
        <f>$K1508-$K1509</f>
        <v/>
      </c>
      <c r="DN1508" s="65">
        <f>IFERROR($N1508/$N1509-1,"")</f>
        <v/>
      </c>
      <c r="DO1508" s="65">
        <f>IFERROR($M1508/$M1509-1,"")</f>
        <v/>
      </c>
      <c r="DP1508" s="65">
        <f>IFERROR($AZ1508/$AZ1509-1,"")</f>
        <v/>
      </c>
      <c r="DQ1508" s="65">
        <f>IFERROR($BA1508/$BA1509-1,"")</f>
        <v/>
      </c>
      <c r="DR1508" s="64">
        <f>$O1508-$O1509</f>
        <v/>
      </c>
      <c r="DS1508" s="64">
        <f>$P1508-$P1509</f>
        <v/>
      </c>
      <c r="DT1508" s="64">
        <f>$Q1508-$Q1509</f>
        <v/>
      </c>
      <c r="DU1508" s="64">
        <f>$S1508-$S1509</f>
        <v/>
      </c>
      <c r="DV1508" s="65">
        <f>IFERROR(AVERAGE($AA1509/$AA1508-1,$AB1509/$AB1508-1,$AC1509/$AC1508-1,$AD1509/$AD1508-1,$AE1509/$AE1508-1,$AG1509/$AG1508-1,$AH1509/$AH1508-1,$AI1509/$AI1508-1,$AJ1509/$AJ1508-1,$AL1509/$AL1508-1,$AM1509/$AM1508-1,$AR1509/$AR1508-1,$AS1509/$AS1508-1,$AT1509/$AT1508-1,$AU1509/$AU1508-1,$AV1509/$AV1508-1,$AW1509/$AW1508-1,$AX1509/$AX1508-1,$AY1509/$AY1508-1),"")</f>
        <v/>
      </c>
      <c r="DW1508" s="66">
        <f>AVERAGE($CB1508,$CC1508,$CD1508,$CE1508,$CF1508,$CG1508,$CH1508,$CI1508,$CJ1508,$CL1508,$CM1508,$CN1508,$CO1508,$CP1508,$CQ1508,$CR1508,$CS1508,$CT1508)</f>
        <v/>
      </c>
      <c r="DX1508" s="66">
        <f>AVERAGE($CB1508,$CC1508,$CM1508,$CE1508,$CP1508)</f>
        <v/>
      </c>
      <c r="DY1508" s="64">
        <f>($DW1508-$DW1509)*100</f>
        <v/>
      </c>
      <c r="DZ1508" s="64">
        <f>($DX1508-$DX1509)*100</f>
        <v/>
      </c>
      <c r="EA1508" s="64">
        <f>($DW1508-$D1508)*100</f>
        <v/>
      </c>
      <c r="EB1508" s="64">
        <f>$Q1508-$O1508</f>
        <v/>
      </c>
      <c r="EC1508" s="67">
        <f>IFERROR($Q1508/$P1508,"")</f>
        <v/>
      </c>
    </row>
    <row r="1509">
      <c r="DG1509" s="64">
        <f>($B1509-$B1510)*100</f>
        <v/>
      </c>
      <c r="DH1509" s="64">
        <f>($D1509-$D1510)*100</f>
        <v/>
      </c>
      <c r="DI1509" s="64">
        <f>($E1509-$E1510)*100</f>
        <v/>
      </c>
      <c r="DJ1509" s="64">
        <f>($H1509-$H1510)*100</f>
        <v/>
      </c>
      <c r="DK1509" s="65">
        <f>IFERROR($J1509/$J1510-1,"")</f>
        <v/>
      </c>
      <c r="DL1509" s="64">
        <f>$L1509-$L1510</f>
        <v/>
      </c>
      <c r="DM1509" s="64">
        <f>$K1509-$K1510</f>
        <v/>
      </c>
      <c r="DN1509" s="65">
        <f>IFERROR($N1509/$N1510-1,"")</f>
        <v/>
      </c>
      <c r="DO1509" s="65">
        <f>IFERROR($M1509/$M1510-1,"")</f>
        <v/>
      </c>
      <c r="DP1509" s="65">
        <f>IFERROR($AZ1509/$AZ1510-1,"")</f>
        <v/>
      </c>
      <c r="DQ1509" s="65">
        <f>IFERROR($BA1509/$BA1510-1,"")</f>
        <v/>
      </c>
      <c r="DR1509" s="64">
        <f>$O1509-$O1510</f>
        <v/>
      </c>
      <c r="DS1509" s="64">
        <f>$P1509-$P1510</f>
        <v/>
      </c>
      <c r="DT1509" s="64">
        <f>$Q1509-$Q1510</f>
        <v/>
      </c>
      <c r="DU1509" s="64">
        <f>$S1509-$S1510</f>
        <v/>
      </c>
      <c r="DV1509" s="65">
        <f>IFERROR(AVERAGE($AA1510/$AA1509-1,$AB1510/$AB1509-1,$AC1510/$AC1509-1,$AD1510/$AD1509-1,$AE1510/$AE1509-1,$AG1510/$AG1509-1,$AH1510/$AH1509-1,$AI1510/$AI1509-1,$AJ1510/$AJ1509-1,$AL1510/$AL1509-1,$AM1510/$AM1509-1,$AR1510/$AR1509-1,$AS1510/$AS1509-1,$AT1510/$AT1509-1,$AU1510/$AU1509-1,$AV1510/$AV1509-1,$AW1510/$AW1509-1,$AX1510/$AX1509-1,$AY1510/$AY1509-1),"")</f>
        <v/>
      </c>
      <c r="DW1509" s="66">
        <f>AVERAGE($CB1509,$CC1509,$CD1509,$CE1509,$CF1509,$CG1509,$CH1509,$CI1509,$CJ1509,$CL1509,$CM1509,$CN1509,$CO1509,$CP1509,$CQ1509,$CR1509,$CS1509,$CT1509)</f>
        <v/>
      </c>
      <c r="DX1509" s="66">
        <f>AVERAGE($CB1509,$CC1509,$CM1509,$CE1509,$CP1509)</f>
        <v/>
      </c>
      <c r="DY1509" s="64">
        <f>($DW1509-$DW1510)*100</f>
        <v/>
      </c>
      <c r="DZ1509" s="64">
        <f>($DX1509-$DX1510)*100</f>
        <v/>
      </c>
      <c r="EA1509" s="64">
        <f>($DW1509-$D1509)*100</f>
        <v/>
      </c>
      <c r="EB1509" s="64">
        <f>$Q1509-$O1509</f>
        <v/>
      </c>
      <c r="EC1509" s="67">
        <f>IFERROR($Q1509/$P1509,"")</f>
        <v/>
      </c>
    </row>
    <row r="1510">
      <c r="DG1510" s="64">
        <f>($B1510-$B1511)*100</f>
        <v/>
      </c>
      <c r="DH1510" s="64">
        <f>($D1510-$D1511)*100</f>
        <v/>
      </c>
      <c r="DI1510" s="64">
        <f>($E1510-$E1511)*100</f>
        <v/>
      </c>
      <c r="DJ1510" s="64">
        <f>($H1510-$H1511)*100</f>
        <v/>
      </c>
      <c r="DK1510" s="65">
        <f>IFERROR($J1510/$J1511-1,"")</f>
        <v/>
      </c>
      <c r="DL1510" s="64">
        <f>$L1510-$L1511</f>
        <v/>
      </c>
      <c r="DM1510" s="64">
        <f>$K1510-$K1511</f>
        <v/>
      </c>
      <c r="DN1510" s="65">
        <f>IFERROR($N1510/$N1511-1,"")</f>
        <v/>
      </c>
      <c r="DO1510" s="65">
        <f>IFERROR($M1510/$M1511-1,"")</f>
        <v/>
      </c>
      <c r="DP1510" s="65">
        <f>IFERROR($AZ1510/$AZ1511-1,"")</f>
        <v/>
      </c>
      <c r="DQ1510" s="65">
        <f>IFERROR($BA1510/$BA1511-1,"")</f>
        <v/>
      </c>
      <c r="DR1510" s="64">
        <f>$O1510-$O1511</f>
        <v/>
      </c>
      <c r="DS1510" s="64">
        <f>$P1510-$P1511</f>
        <v/>
      </c>
      <c r="DT1510" s="64">
        <f>$Q1510-$Q1511</f>
        <v/>
      </c>
      <c r="DU1510" s="64">
        <f>$S1510-$S1511</f>
        <v/>
      </c>
      <c r="DV1510" s="65">
        <f>IFERROR(AVERAGE($AA1511/$AA1510-1,$AB1511/$AB1510-1,$AC1511/$AC1510-1,$AD1511/$AD1510-1,$AE1511/$AE1510-1,$AG1511/$AG1510-1,$AH1511/$AH1510-1,$AI1511/$AI1510-1,$AJ1511/$AJ1510-1,$AL1511/$AL1510-1,$AM1511/$AM1510-1,$AR1511/$AR1510-1,$AS1511/$AS1510-1,$AT1511/$AT1510-1,$AU1511/$AU1510-1,$AV1511/$AV1510-1,$AW1511/$AW1510-1,$AX1511/$AX1510-1,$AY1511/$AY1510-1),"")</f>
        <v/>
      </c>
      <c r="DW1510" s="66">
        <f>AVERAGE($CB1510,$CC1510,$CD1510,$CE1510,$CF1510,$CG1510,$CH1510,$CI1510,$CJ1510,$CL1510,$CM1510,$CN1510,$CO1510,$CP1510,$CQ1510,$CR1510,$CS1510,$CT1510)</f>
        <v/>
      </c>
      <c r="DX1510" s="66">
        <f>AVERAGE($CB1510,$CC1510,$CM1510,$CE1510,$CP1510)</f>
        <v/>
      </c>
      <c r="DY1510" s="64">
        <f>($DW1510-$DW1511)*100</f>
        <v/>
      </c>
      <c r="DZ1510" s="64">
        <f>($DX1510-$DX1511)*100</f>
        <v/>
      </c>
      <c r="EA1510" s="64">
        <f>($DW1510-$D1510)*100</f>
        <v/>
      </c>
      <c r="EB1510" s="64">
        <f>$Q1510-$O1510</f>
        <v/>
      </c>
      <c r="EC1510" s="67">
        <f>IFERROR($Q1510/$P1510,"")</f>
        <v/>
      </c>
    </row>
    <row r="1511">
      <c r="DG1511" s="64">
        <f>($B1511-$B1512)*100</f>
        <v/>
      </c>
      <c r="DH1511" s="64">
        <f>($D1511-$D1512)*100</f>
        <v/>
      </c>
      <c r="DI1511" s="64">
        <f>($E1511-$E1512)*100</f>
        <v/>
      </c>
      <c r="DJ1511" s="64">
        <f>($H1511-$H1512)*100</f>
        <v/>
      </c>
      <c r="DK1511" s="65">
        <f>IFERROR($J1511/$J1512-1,"")</f>
        <v/>
      </c>
      <c r="DL1511" s="64">
        <f>$L1511-$L1512</f>
        <v/>
      </c>
      <c r="DM1511" s="64">
        <f>$K1511-$K1512</f>
        <v/>
      </c>
      <c r="DN1511" s="65">
        <f>IFERROR($N1511/$N1512-1,"")</f>
        <v/>
      </c>
      <c r="DO1511" s="65">
        <f>IFERROR($M1511/$M1512-1,"")</f>
        <v/>
      </c>
      <c r="DP1511" s="65">
        <f>IFERROR($AZ1511/$AZ1512-1,"")</f>
        <v/>
      </c>
      <c r="DQ1511" s="65">
        <f>IFERROR($BA1511/$BA1512-1,"")</f>
        <v/>
      </c>
      <c r="DR1511" s="64">
        <f>$O1511-$O1512</f>
        <v/>
      </c>
      <c r="DS1511" s="64">
        <f>$P1511-$P1512</f>
        <v/>
      </c>
      <c r="DT1511" s="64">
        <f>$Q1511-$Q1512</f>
        <v/>
      </c>
      <c r="DU1511" s="64">
        <f>$S1511-$S1512</f>
        <v/>
      </c>
      <c r="DV1511" s="65">
        <f>IFERROR(AVERAGE($AA1512/$AA1511-1,$AB1512/$AB1511-1,$AC1512/$AC1511-1,$AD1512/$AD1511-1,$AE1512/$AE1511-1,$AG1512/$AG1511-1,$AH1512/$AH1511-1,$AI1512/$AI1511-1,$AJ1512/$AJ1511-1,$AL1512/$AL1511-1,$AM1512/$AM1511-1,$AR1512/$AR1511-1,$AS1512/$AS1511-1,$AT1512/$AT1511-1,$AU1512/$AU1511-1,$AV1512/$AV1511-1,$AW1512/$AW1511-1,$AX1512/$AX1511-1,$AY1512/$AY1511-1),"")</f>
        <v/>
      </c>
      <c r="DW1511" s="66">
        <f>AVERAGE($CB1511,$CC1511,$CD1511,$CE1511,$CF1511,$CG1511,$CH1511,$CI1511,$CJ1511,$CL1511,$CM1511,$CN1511,$CO1511,$CP1511,$CQ1511,$CR1511,$CS1511,$CT1511)</f>
        <v/>
      </c>
      <c r="DX1511" s="66">
        <f>AVERAGE($CB1511,$CC1511,$CM1511,$CE1511,$CP1511)</f>
        <v/>
      </c>
      <c r="DY1511" s="64">
        <f>($DW1511-$DW1512)*100</f>
        <v/>
      </c>
      <c r="DZ1511" s="64">
        <f>($DX1511-$DX1512)*100</f>
        <v/>
      </c>
      <c r="EA1511" s="64">
        <f>($DW1511-$D1511)*100</f>
        <v/>
      </c>
      <c r="EB1511" s="64">
        <f>$Q1511-$O1511</f>
        <v/>
      </c>
      <c r="EC1511" s="67">
        <f>IFERROR($Q1511/$P1511,"")</f>
        <v/>
      </c>
    </row>
    <row r="1512">
      <c r="DG1512" s="64">
        <f>($B1512-$B1513)*100</f>
        <v/>
      </c>
      <c r="DH1512" s="64">
        <f>($D1512-$D1513)*100</f>
        <v/>
      </c>
      <c r="DI1512" s="64">
        <f>($E1512-$E1513)*100</f>
        <v/>
      </c>
      <c r="DJ1512" s="64">
        <f>($H1512-$H1513)*100</f>
        <v/>
      </c>
      <c r="DK1512" s="65">
        <f>IFERROR($J1512/$J1513-1,"")</f>
        <v/>
      </c>
      <c r="DL1512" s="64">
        <f>$L1512-$L1513</f>
        <v/>
      </c>
      <c r="DM1512" s="64">
        <f>$K1512-$K1513</f>
        <v/>
      </c>
      <c r="DN1512" s="65">
        <f>IFERROR($N1512/$N1513-1,"")</f>
        <v/>
      </c>
      <c r="DO1512" s="65">
        <f>IFERROR($M1512/$M1513-1,"")</f>
        <v/>
      </c>
      <c r="DP1512" s="65">
        <f>IFERROR($AZ1512/$AZ1513-1,"")</f>
        <v/>
      </c>
      <c r="DQ1512" s="65">
        <f>IFERROR($BA1512/$BA1513-1,"")</f>
        <v/>
      </c>
      <c r="DR1512" s="64">
        <f>$O1512-$O1513</f>
        <v/>
      </c>
      <c r="DS1512" s="64">
        <f>$P1512-$P1513</f>
        <v/>
      </c>
      <c r="DT1512" s="64">
        <f>$Q1512-$Q1513</f>
        <v/>
      </c>
      <c r="DU1512" s="64">
        <f>$S1512-$S1513</f>
        <v/>
      </c>
      <c r="DV1512" s="65">
        <f>IFERROR(AVERAGE($AA1513/$AA1512-1,$AB1513/$AB1512-1,$AC1513/$AC1512-1,$AD1513/$AD1512-1,$AE1513/$AE1512-1,$AG1513/$AG1512-1,$AH1513/$AH1512-1,$AI1513/$AI1512-1,$AJ1513/$AJ1512-1,$AL1513/$AL1512-1,$AM1513/$AM1512-1,$AR1513/$AR1512-1,$AS1513/$AS1512-1,$AT1513/$AT1512-1,$AU1513/$AU1512-1,$AV1513/$AV1512-1,$AW1513/$AW1512-1,$AX1513/$AX1512-1,$AY1513/$AY1512-1),"")</f>
        <v/>
      </c>
      <c r="DW1512" s="66">
        <f>AVERAGE($CB1512,$CC1512,$CD1512,$CE1512,$CF1512,$CG1512,$CH1512,$CI1512,$CJ1512,$CL1512,$CM1512,$CN1512,$CO1512,$CP1512,$CQ1512,$CR1512,$CS1512,$CT1512)</f>
        <v/>
      </c>
      <c r="DX1512" s="66">
        <f>AVERAGE($CB1512,$CC1512,$CM1512,$CE1512,$CP1512)</f>
        <v/>
      </c>
      <c r="DY1512" s="64">
        <f>($DW1512-$DW1513)*100</f>
        <v/>
      </c>
      <c r="DZ1512" s="64">
        <f>($DX1512-$DX1513)*100</f>
        <v/>
      </c>
      <c r="EA1512" s="64">
        <f>($DW1512-$D1512)*100</f>
        <v/>
      </c>
      <c r="EB1512" s="64">
        <f>$Q1512-$O1512</f>
        <v/>
      </c>
      <c r="EC1512" s="67">
        <f>IFERROR($Q1512/$P1512,"")</f>
        <v/>
      </c>
    </row>
    <row r="1513">
      <c r="DG1513" s="64">
        <f>($B1513-$B1514)*100</f>
        <v/>
      </c>
      <c r="DH1513" s="64">
        <f>($D1513-$D1514)*100</f>
        <v/>
      </c>
      <c r="DI1513" s="64">
        <f>($E1513-$E1514)*100</f>
        <v/>
      </c>
      <c r="DJ1513" s="64">
        <f>($H1513-$H1514)*100</f>
        <v/>
      </c>
      <c r="DK1513" s="65">
        <f>IFERROR($J1513/$J1514-1,"")</f>
        <v/>
      </c>
      <c r="DL1513" s="64">
        <f>$L1513-$L1514</f>
        <v/>
      </c>
      <c r="DM1513" s="64">
        <f>$K1513-$K1514</f>
        <v/>
      </c>
      <c r="DN1513" s="65">
        <f>IFERROR($N1513/$N1514-1,"")</f>
        <v/>
      </c>
      <c r="DO1513" s="65">
        <f>IFERROR($M1513/$M1514-1,"")</f>
        <v/>
      </c>
      <c r="DP1513" s="65">
        <f>IFERROR($AZ1513/$AZ1514-1,"")</f>
        <v/>
      </c>
      <c r="DQ1513" s="65">
        <f>IFERROR($BA1513/$BA1514-1,"")</f>
        <v/>
      </c>
      <c r="DR1513" s="64">
        <f>$O1513-$O1514</f>
        <v/>
      </c>
      <c r="DS1513" s="64">
        <f>$P1513-$P1514</f>
        <v/>
      </c>
      <c r="DT1513" s="64">
        <f>$Q1513-$Q1514</f>
        <v/>
      </c>
      <c r="DU1513" s="64">
        <f>$S1513-$S1514</f>
        <v/>
      </c>
      <c r="DV1513" s="65">
        <f>IFERROR(AVERAGE($AA1514/$AA1513-1,$AB1514/$AB1513-1,$AC1514/$AC1513-1,$AD1514/$AD1513-1,$AE1514/$AE1513-1,$AG1514/$AG1513-1,$AH1514/$AH1513-1,$AI1514/$AI1513-1,$AJ1514/$AJ1513-1,$AL1514/$AL1513-1,$AM1514/$AM1513-1,$AR1514/$AR1513-1,$AS1514/$AS1513-1,$AT1514/$AT1513-1,$AU1514/$AU1513-1,$AV1514/$AV1513-1,$AW1514/$AW1513-1,$AX1514/$AX1513-1,$AY1514/$AY1513-1),"")</f>
        <v/>
      </c>
      <c r="DW1513" s="66">
        <f>AVERAGE($CB1513,$CC1513,$CD1513,$CE1513,$CF1513,$CG1513,$CH1513,$CI1513,$CJ1513,$CL1513,$CM1513,$CN1513,$CO1513,$CP1513,$CQ1513,$CR1513,$CS1513,$CT1513)</f>
        <v/>
      </c>
      <c r="DX1513" s="66">
        <f>AVERAGE($CB1513,$CC1513,$CM1513,$CE1513,$CP1513)</f>
        <v/>
      </c>
      <c r="DY1513" s="64">
        <f>($DW1513-$DW1514)*100</f>
        <v/>
      </c>
      <c r="DZ1513" s="64">
        <f>($DX1513-$DX1514)*100</f>
        <v/>
      </c>
      <c r="EA1513" s="64">
        <f>($DW1513-$D1513)*100</f>
        <v/>
      </c>
      <c r="EB1513" s="64">
        <f>$Q1513-$O1513</f>
        <v/>
      </c>
      <c r="EC1513" s="67">
        <f>IFERROR($Q1513/$P1513,"")</f>
        <v/>
      </c>
    </row>
    <row r="1514">
      <c r="DG1514" s="64">
        <f>($B1514-$B1515)*100</f>
        <v/>
      </c>
      <c r="DH1514" s="64">
        <f>($D1514-$D1515)*100</f>
        <v/>
      </c>
      <c r="DI1514" s="64">
        <f>($E1514-$E1515)*100</f>
        <v/>
      </c>
      <c r="DJ1514" s="64">
        <f>($H1514-$H1515)*100</f>
        <v/>
      </c>
      <c r="DK1514" s="65">
        <f>IFERROR($J1514/$J1515-1,"")</f>
        <v/>
      </c>
      <c r="DL1514" s="64">
        <f>$L1514-$L1515</f>
        <v/>
      </c>
      <c r="DM1514" s="64">
        <f>$K1514-$K1515</f>
        <v/>
      </c>
      <c r="DN1514" s="65">
        <f>IFERROR($N1514/$N1515-1,"")</f>
        <v/>
      </c>
      <c r="DO1514" s="65">
        <f>IFERROR($M1514/$M1515-1,"")</f>
        <v/>
      </c>
      <c r="DP1514" s="65">
        <f>IFERROR($AZ1514/$AZ1515-1,"")</f>
        <v/>
      </c>
      <c r="DQ1514" s="65">
        <f>IFERROR($BA1514/$BA1515-1,"")</f>
        <v/>
      </c>
      <c r="DR1514" s="64">
        <f>$O1514-$O1515</f>
        <v/>
      </c>
      <c r="DS1514" s="64">
        <f>$P1514-$P1515</f>
        <v/>
      </c>
      <c r="DT1514" s="64">
        <f>$Q1514-$Q1515</f>
        <v/>
      </c>
      <c r="DU1514" s="64">
        <f>$S1514-$S1515</f>
        <v/>
      </c>
      <c r="DV1514" s="65">
        <f>IFERROR(AVERAGE($AA1515/$AA1514-1,$AB1515/$AB1514-1,$AC1515/$AC1514-1,$AD1515/$AD1514-1,$AE1515/$AE1514-1,$AG1515/$AG1514-1,$AH1515/$AH1514-1,$AI1515/$AI1514-1,$AJ1515/$AJ1514-1,$AL1515/$AL1514-1,$AM1515/$AM1514-1,$AR1515/$AR1514-1,$AS1515/$AS1514-1,$AT1515/$AT1514-1,$AU1515/$AU1514-1,$AV1515/$AV1514-1,$AW1515/$AW1514-1,$AX1515/$AX1514-1,$AY1515/$AY1514-1),"")</f>
        <v/>
      </c>
      <c r="DW1514" s="66">
        <f>AVERAGE($CB1514,$CC1514,$CD1514,$CE1514,$CF1514,$CG1514,$CH1514,$CI1514,$CJ1514,$CL1514,$CM1514,$CN1514,$CO1514,$CP1514,$CQ1514,$CR1514,$CS1514,$CT1514)</f>
        <v/>
      </c>
      <c r="DX1514" s="66">
        <f>AVERAGE($CB1514,$CC1514,$CM1514,$CE1514,$CP1514)</f>
        <v/>
      </c>
      <c r="DY1514" s="64">
        <f>($DW1514-$DW1515)*100</f>
        <v/>
      </c>
      <c r="DZ1514" s="64">
        <f>($DX1514-$DX1515)*100</f>
        <v/>
      </c>
      <c r="EA1514" s="64">
        <f>($DW1514-$D1514)*100</f>
        <v/>
      </c>
      <c r="EB1514" s="64">
        <f>$Q1514-$O1514</f>
        <v/>
      </c>
      <c r="EC1514" s="67">
        <f>IFERROR($Q1514/$P1514,"")</f>
        <v/>
      </c>
    </row>
    <row r="1515">
      <c r="DG1515" s="64">
        <f>($B1515-$B1516)*100</f>
        <v/>
      </c>
      <c r="DH1515" s="64">
        <f>($D1515-$D1516)*100</f>
        <v/>
      </c>
      <c r="DI1515" s="64">
        <f>($E1515-$E1516)*100</f>
        <v/>
      </c>
      <c r="DJ1515" s="64">
        <f>($H1515-$H1516)*100</f>
        <v/>
      </c>
      <c r="DK1515" s="65">
        <f>IFERROR($J1515/$J1516-1,"")</f>
        <v/>
      </c>
      <c r="DL1515" s="64">
        <f>$L1515-$L1516</f>
        <v/>
      </c>
      <c r="DM1515" s="64">
        <f>$K1515-$K1516</f>
        <v/>
      </c>
      <c r="DN1515" s="65">
        <f>IFERROR($N1515/$N1516-1,"")</f>
        <v/>
      </c>
      <c r="DO1515" s="65">
        <f>IFERROR($M1515/$M1516-1,"")</f>
        <v/>
      </c>
      <c r="DP1515" s="65">
        <f>IFERROR($AZ1515/$AZ1516-1,"")</f>
        <v/>
      </c>
      <c r="DQ1515" s="65">
        <f>IFERROR($BA1515/$BA1516-1,"")</f>
        <v/>
      </c>
      <c r="DR1515" s="64">
        <f>$O1515-$O1516</f>
        <v/>
      </c>
      <c r="DS1515" s="64">
        <f>$P1515-$P1516</f>
        <v/>
      </c>
      <c r="DT1515" s="64">
        <f>$Q1515-$Q1516</f>
        <v/>
      </c>
      <c r="DU1515" s="64">
        <f>$S1515-$S1516</f>
        <v/>
      </c>
      <c r="DV1515" s="65">
        <f>IFERROR(AVERAGE($AA1516/$AA1515-1,$AB1516/$AB1515-1,$AC1516/$AC1515-1,$AD1516/$AD1515-1,$AE1516/$AE1515-1,$AG1516/$AG1515-1,$AH1516/$AH1515-1,$AI1516/$AI1515-1,$AJ1516/$AJ1515-1,$AL1516/$AL1515-1,$AM1516/$AM1515-1,$AR1516/$AR1515-1,$AS1516/$AS1515-1,$AT1516/$AT1515-1,$AU1516/$AU1515-1,$AV1516/$AV1515-1,$AW1516/$AW1515-1,$AX1516/$AX1515-1,$AY1516/$AY1515-1),"")</f>
        <v/>
      </c>
      <c r="DW1515" s="66">
        <f>AVERAGE($CB1515,$CC1515,$CD1515,$CE1515,$CF1515,$CG1515,$CH1515,$CI1515,$CJ1515,$CL1515,$CM1515,$CN1515,$CO1515,$CP1515,$CQ1515,$CR1515,$CS1515,$CT1515)</f>
        <v/>
      </c>
      <c r="DX1515" s="66">
        <f>AVERAGE($CB1515,$CC1515,$CM1515,$CE1515,$CP1515)</f>
        <v/>
      </c>
      <c r="DY1515" s="64">
        <f>($DW1515-$DW1516)*100</f>
        <v/>
      </c>
      <c r="DZ1515" s="64">
        <f>($DX1515-$DX1516)*100</f>
        <v/>
      </c>
      <c r="EA1515" s="64">
        <f>($DW1515-$D1515)*100</f>
        <v/>
      </c>
      <c r="EB1515" s="64">
        <f>$Q1515-$O1515</f>
        <v/>
      </c>
      <c r="EC1515" s="67">
        <f>IFERROR($Q1515/$P1515,"")</f>
        <v/>
      </c>
    </row>
    <row r="1516">
      <c r="DG1516" s="64">
        <f>($B1516-$B1517)*100</f>
        <v/>
      </c>
      <c r="DH1516" s="64">
        <f>($D1516-$D1517)*100</f>
        <v/>
      </c>
      <c r="DI1516" s="64">
        <f>($E1516-$E1517)*100</f>
        <v/>
      </c>
      <c r="DJ1516" s="64">
        <f>($H1516-$H1517)*100</f>
        <v/>
      </c>
      <c r="DK1516" s="65">
        <f>IFERROR($J1516/$J1517-1,"")</f>
        <v/>
      </c>
      <c r="DL1516" s="64">
        <f>$L1516-$L1517</f>
        <v/>
      </c>
      <c r="DM1516" s="64">
        <f>$K1516-$K1517</f>
        <v/>
      </c>
      <c r="DN1516" s="65">
        <f>IFERROR($N1516/$N1517-1,"")</f>
        <v/>
      </c>
      <c r="DO1516" s="65">
        <f>IFERROR($M1516/$M1517-1,"")</f>
        <v/>
      </c>
      <c r="DP1516" s="65">
        <f>IFERROR($AZ1516/$AZ1517-1,"")</f>
        <v/>
      </c>
      <c r="DQ1516" s="65">
        <f>IFERROR($BA1516/$BA1517-1,"")</f>
        <v/>
      </c>
      <c r="DR1516" s="64">
        <f>$O1516-$O1517</f>
        <v/>
      </c>
      <c r="DS1516" s="64">
        <f>$P1516-$P1517</f>
        <v/>
      </c>
      <c r="DT1516" s="64">
        <f>$Q1516-$Q1517</f>
        <v/>
      </c>
      <c r="DU1516" s="64">
        <f>$S1516-$S1517</f>
        <v/>
      </c>
      <c r="DV1516" s="65">
        <f>IFERROR(AVERAGE($AA1517/$AA1516-1,$AB1517/$AB1516-1,$AC1517/$AC1516-1,$AD1517/$AD1516-1,$AE1517/$AE1516-1,$AG1517/$AG1516-1,$AH1517/$AH1516-1,$AI1517/$AI1516-1,$AJ1517/$AJ1516-1,$AL1517/$AL1516-1,$AM1517/$AM1516-1,$AR1517/$AR1516-1,$AS1517/$AS1516-1,$AT1517/$AT1516-1,$AU1517/$AU1516-1,$AV1517/$AV1516-1,$AW1517/$AW1516-1,$AX1517/$AX1516-1,$AY1517/$AY1516-1),"")</f>
        <v/>
      </c>
      <c r="DW1516" s="66">
        <f>AVERAGE($CB1516,$CC1516,$CD1516,$CE1516,$CF1516,$CG1516,$CH1516,$CI1516,$CJ1516,$CL1516,$CM1516,$CN1516,$CO1516,$CP1516,$CQ1516,$CR1516,$CS1516,$CT1516)</f>
        <v/>
      </c>
      <c r="DX1516" s="66">
        <f>AVERAGE($CB1516,$CC1516,$CM1516,$CE1516,$CP1516)</f>
        <v/>
      </c>
      <c r="DY1516" s="64">
        <f>($DW1516-$DW1517)*100</f>
        <v/>
      </c>
      <c r="DZ1516" s="64">
        <f>($DX1516-$DX1517)*100</f>
        <v/>
      </c>
      <c r="EA1516" s="64">
        <f>($DW1516-$D1516)*100</f>
        <v/>
      </c>
      <c r="EB1516" s="64">
        <f>$Q1516-$O1516</f>
        <v/>
      </c>
      <c r="EC1516" s="67">
        <f>IFERROR($Q1516/$P1516,"")</f>
        <v/>
      </c>
    </row>
    <row r="1517">
      <c r="DG1517" s="64">
        <f>($B1517-$B1518)*100</f>
        <v/>
      </c>
      <c r="DH1517" s="64">
        <f>($D1517-$D1518)*100</f>
        <v/>
      </c>
      <c r="DI1517" s="64">
        <f>($E1517-$E1518)*100</f>
        <v/>
      </c>
      <c r="DJ1517" s="64">
        <f>($H1517-$H1518)*100</f>
        <v/>
      </c>
      <c r="DK1517" s="65">
        <f>IFERROR($J1517/$J1518-1,"")</f>
        <v/>
      </c>
      <c r="DL1517" s="64">
        <f>$L1517-$L1518</f>
        <v/>
      </c>
      <c r="DM1517" s="64">
        <f>$K1517-$K1518</f>
        <v/>
      </c>
      <c r="DN1517" s="65">
        <f>IFERROR($N1517/$N1518-1,"")</f>
        <v/>
      </c>
      <c r="DO1517" s="65">
        <f>IFERROR($M1517/$M1518-1,"")</f>
        <v/>
      </c>
      <c r="DP1517" s="65">
        <f>IFERROR($AZ1517/$AZ1518-1,"")</f>
        <v/>
      </c>
      <c r="DQ1517" s="65">
        <f>IFERROR($BA1517/$BA1518-1,"")</f>
        <v/>
      </c>
      <c r="DR1517" s="64">
        <f>$O1517-$O1518</f>
        <v/>
      </c>
      <c r="DS1517" s="64">
        <f>$P1517-$P1518</f>
        <v/>
      </c>
      <c r="DT1517" s="64">
        <f>$Q1517-$Q1518</f>
        <v/>
      </c>
      <c r="DU1517" s="64">
        <f>$S1517-$S1518</f>
        <v/>
      </c>
      <c r="DV1517" s="65">
        <f>IFERROR(AVERAGE($AA1518/$AA1517-1,$AB1518/$AB1517-1,$AC1518/$AC1517-1,$AD1518/$AD1517-1,$AE1518/$AE1517-1,$AG1518/$AG1517-1,$AH1518/$AH1517-1,$AI1518/$AI1517-1,$AJ1518/$AJ1517-1,$AL1518/$AL1517-1,$AM1518/$AM1517-1,$AR1518/$AR1517-1,$AS1518/$AS1517-1,$AT1518/$AT1517-1,$AU1518/$AU1517-1,$AV1518/$AV1517-1,$AW1518/$AW1517-1,$AX1518/$AX1517-1,$AY1518/$AY1517-1),"")</f>
        <v/>
      </c>
      <c r="DW1517" s="66">
        <f>AVERAGE($CB1517,$CC1517,$CD1517,$CE1517,$CF1517,$CG1517,$CH1517,$CI1517,$CJ1517,$CL1517,$CM1517,$CN1517,$CO1517,$CP1517,$CQ1517,$CR1517,$CS1517,$CT1517)</f>
        <v/>
      </c>
      <c r="DX1517" s="66">
        <f>AVERAGE($CB1517,$CC1517,$CM1517,$CE1517,$CP1517)</f>
        <v/>
      </c>
      <c r="DY1517" s="64">
        <f>($DW1517-$DW1518)*100</f>
        <v/>
      </c>
      <c r="DZ1517" s="64">
        <f>($DX1517-$DX1518)*100</f>
        <v/>
      </c>
      <c r="EA1517" s="64">
        <f>($DW1517-$D1517)*100</f>
        <v/>
      </c>
      <c r="EB1517" s="64">
        <f>$Q1517-$O1517</f>
        <v/>
      </c>
      <c r="EC1517" s="67">
        <f>IFERROR($Q1517/$P1517,"")</f>
        <v/>
      </c>
    </row>
    <row r="1518">
      <c r="DG1518" s="64">
        <f>($B1518-$B1519)*100</f>
        <v/>
      </c>
      <c r="DH1518" s="64">
        <f>($D1518-$D1519)*100</f>
        <v/>
      </c>
      <c r="DI1518" s="64">
        <f>($E1518-$E1519)*100</f>
        <v/>
      </c>
      <c r="DJ1518" s="64">
        <f>($H1518-$H1519)*100</f>
        <v/>
      </c>
      <c r="DK1518" s="65">
        <f>IFERROR($J1518/$J1519-1,"")</f>
        <v/>
      </c>
      <c r="DL1518" s="64">
        <f>$L1518-$L1519</f>
        <v/>
      </c>
      <c r="DM1518" s="64">
        <f>$K1518-$K1519</f>
        <v/>
      </c>
      <c r="DN1518" s="65">
        <f>IFERROR($N1518/$N1519-1,"")</f>
        <v/>
      </c>
      <c r="DO1518" s="65">
        <f>IFERROR($M1518/$M1519-1,"")</f>
        <v/>
      </c>
      <c r="DP1518" s="65">
        <f>IFERROR($AZ1518/$AZ1519-1,"")</f>
        <v/>
      </c>
      <c r="DQ1518" s="65">
        <f>IFERROR($BA1518/$BA1519-1,"")</f>
        <v/>
      </c>
      <c r="DR1518" s="64">
        <f>$O1518-$O1519</f>
        <v/>
      </c>
      <c r="DS1518" s="64">
        <f>$P1518-$P1519</f>
        <v/>
      </c>
      <c r="DT1518" s="64">
        <f>$Q1518-$Q1519</f>
        <v/>
      </c>
      <c r="DU1518" s="64">
        <f>$S1518-$S1519</f>
        <v/>
      </c>
      <c r="DV1518" s="65">
        <f>IFERROR(AVERAGE($AA1519/$AA1518-1,$AB1519/$AB1518-1,$AC1519/$AC1518-1,$AD1519/$AD1518-1,$AE1519/$AE1518-1,$AG1519/$AG1518-1,$AH1519/$AH1518-1,$AI1519/$AI1518-1,$AJ1519/$AJ1518-1,$AL1519/$AL1518-1,$AM1519/$AM1518-1,$AR1519/$AR1518-1,$AS1519/$AS1518-1,$AT1519/$AT1518-1,$AU1519/$AU1518-1,$AV1519/$AV1518-1,$AW1519/$AW1518-1,$AX1519/$AX1518-1,$AY1519/$AY1518-1),"")</f>
        <v/>
      </c>
      <c r="DW1518" s="66">
        <f>AVERAGE($CB1518,$CC1518,$CD1518,$CE1518,$CF1518,$CG1518,$CH1518,$CI1518,$CJ1518,$CL1518,$CM1518,$CN1518,$CO1518,$CP1518,$CQ1518,$CR1518,$CS1518,$CT1518)</f>
        <v/>
      </c>
      <c r="DX1518" s="66">
        <f>AVERAGE($CB1518,$CC1518,$CM1518,$CE1518,$CP1518)</f>
        <v/>
      </c>
      <c r="DY1518" s="64">
        <f>($DW1518-$DW1519)*100</f>
        <v/>
      </c>
      <c r="DZ1518" s="64">
        <f>($DX1518-$DX1519)*100</f>
        <v/>
      </c>
      <c r="EA1518" s="64">
        <f>($DW1518-$D1518)*100</f>
        <v/>
      </c>
      <c r="EB1518" s="64">
        <f>$Q1518-$O1518</f>
        <v/>
      </c>
      <c r="EC1518" s="67">
        <f>IFERROR($Q1518/$P1518,"")</f>
        <v/>
      </c>
    </row>
    <row r="1519">
      <c r="DG1519" s="64">
        <f>($B1519-$B1520)*100</f>
        <v/>
      </c>
      <c r="DH1519" s="64">
        <f>($D1519-$D1520)*100</f>
        <v/>
      </c>
      <c r="DI1519" s="64">
        <f>($E1519-$E1520)*100</f>
        <v/>
      </c>
      <c r="DJ1519" s="64">
        <f>($H1519-$H1520)*100</f>
        <v/>
      </c>
      <c r="DK1519" s="65">
        <f>IFERROR($J1519/$J1520-1,"")</f>
        <v/>
      </c>
      <c r="DL1519" s="64">
        <f>$L1519-$L1520</f>
        <v/>
      </c>
      <c r="DM1519" s="64">
        <f>$K1519-$K1520</f>
        <v/>
      </c>
      <c r="DN1519" s="65">
        <f>IFERROR($N1519/$N1520-1,"")</f>
        <v/>
      </c>
      <c r="DO1519" s="65">
        <f>IFERROR($M1519/$M1520-1,"")</f>
        <v/>
      </c>
      <c r="DP1519" s="65">
        <f>IFERROR($AZ1519/$AZ1520-1,"")</f>
        <v/>
      </c>
      <c r="DQ1519" s="65">
        <f>IFERROR($BA1519/$BA1520-1,"")</f>
        <v/>
      </c>
      <c r="DR1519" s="64">
        <f>$O1519-$O1520</f>
        <v/>
      </c>
      <c r="DS1519" s="64">
        <f>$P1519-$P1520</f>
        <v/>
      </c>
      <c r="DT1519" s="64">
        <f>$Q1519-$Q1520</f>
        <v/>
      </c>
      <c r="DU1519" s="64">
        <f>$S1519-$S1520</f>
        <v/>
      </c>
      <c r="DV1519" s="65">
        <f>IFERROR(AVERAGE($AA1520/$AA1519-1,$AB1520/$AB1519-1,$AC1520/$AC1519-1,$AD1520/$AD1519-1,$AE1520/$AE1519-1,$AG1520/$AG1519-1,$AH1520/$AH1519-1,$AI1520/$AI1519-1,$AJ1520/$AJ1519-1,$AL1520/$AL1519-1,$AM1520/$AM1519-1,$AR1520/$AR1519-1,$AS1520/$AS1519-1,$AT1520/$AT1519-1,$AU1520/$AU1519-1,$AV1520/$AV1519-1,$AW1520/$AW1519-1,$AX1520/$AX1519-1,$AY1520/$AY1519-1),"")</f>
        <v/>
      </c>
      <c r="DW1519" s="66">
        <f>AVERAGE($CB1519,$CC1519,$CD1519,$CE1519,$CF1519,$CG1519,$CH1519,$CI1519,$CJ1519,$CL1519,$CM1519,$CN1519,$CO1519,$CP1519,$CQ1519,$CR1519,$CS1519,$CT1519)</f>
        <v/>
      </c>
      <c r="DX1519" s="66">
        <f>AVERAGE($CB1519,$CC1519,$CM1519,$CE1519,$CP1519)</f>
        <v/>
      </c>
      <c r="DY1519" s="64">
        <f>($DW1519-$DW1520)*100</f>
        <v/>
      </c>
      <c r="DZ1519" s="64">
        <f>($DX1519-$DX1520)*100</f>
        <v/>
      </c>
      <c r="EA1519" s="64">
        <f>($DW1519-$D1519)*100</f>
        <v/>
      </c>
      <c r="EB1519" s="64">
        <f>$Q1519-$O1519</f>
        <v/>
      </c>
      <c r="EC1519" s="67">
        <f>IFERROR($Q1519/$P1519,"")</f>
        <v/>
      </c>
    </row>
    <row r="1520">
      <c r="DG1520" s="64">
        <f>($B1520-$B1521)*100</f>
        <v/>
      </c>
      <c r="DH1520" s="64">
        <f>($D1520-$D1521)*100</f>
        <v/>
      </c>
      <c r="DI1520" s="64">
        <f>($E1520-$E1521)*100</f>
        <v/>
      </c>
      <c r="DJ1520" s="64">
        <f>($H1520-$H1521)*100</f>
        <v/>
      </c>
      <c r="DK1520" s="65">
        <f>IFERROR($J1520/$J1521-1,"")</f>
        <v/>
      </c>
      <c r="DL1520" s="64">
        <f>$L1520-$L1521</f>
        <v/>
      </c>
      <c r="DM1520" s="64">
        <f>$K1520-$K1521</f>
        <v/>
      </c>
      <c r="DN1520" s="65">
        <f>IFERROR($N1520/$N1521-1,"")</f>
        <v/>
      </c>
      <c r="DO1520" s="65">
        <f>IFERROR($M1520/$M1521-1,"")</f>
        <v/>
      </c>
      <c r="DP1520" s="65">
        <f>IFERROR($AZ1520/$AZ1521-1,"")</f>
        <v/>
      </c>
      <c r="DQ1520" s="65">
        <f>IFERROR($BA1520/$BA1521-1,"")</f>
        <v/>
      </c>
      <c r="DR1520" s="64">
        <f>$O1520-$O1521</f>
        <v/>
      </c>
      <c r="DS1520" s="64">
        <f>$P1520-$P1521</f>
        <v/>
      </c>
      <c r="DT1520" s="64">
        <f>$Q1520-$Q1521</f>
        <v/>
      </c>
      <c r="DU1520" s="64">
        <f>$S1520-$S1521</f>
        <v/>
      </c>
      <c r="DV1520" s="65">
        <f>IFERROR(AVERAGE($AA1521/$AA1520-1,$AB1521/$AB1520-1,$AC1521/$AC1520-1,$AD1521/$AD1520-1,$AE1521/$AE1520-1,$AG1521/$AG1520-1,$AH1521/$AH1520-1,$AI1521/$AI1520-1,$AJ1521/$AJ1520-1,$AL1521/$AL1520-1,$AM1521/$AM1520-1,$AR1521/$AR1520-1,$AS1521/$AS1520-1,$AT1521/$AT1520-1,$AU1521/$AU1520-1,$AV1521/$AV1520-1,$AW1521/$AW1520-1,$AX1521/$AX1520-1,$AY1521/$AY1520-1),"")</f>
        <v/>
      </c>
      <c r="DW1520" s="66">
        <f>AVERAGE($CB1520,$CC1520,$CD1520,$CE1520,$CF1520,$CG1520,$CH1520,$CI1520,$CJ1520,$CL1520,$CM1520,$CN1520,$CO1520,$CP1520,$CQ1520,$CR1520,$CS1520,$CT1520)</f>
        <v/>
      </c>
      <c r="DX1520" s="66">
        <f>AVERAGE($CB1520,$CC1520,$CM1520,$CE1520,$CP1520)</f>
        <v/>
      </c>
      <c r="DY1520" s="64">
        <f>($DW1520-$DW1521)*100</f>
        <v/>
      </c>
      <c r="DZ1520" s="64">
        <f>($DX1520-$DX1521)*100</f>
        <v/>
      </c>
      <c r="EA1520" s="64">
        <f>($DW1520-$D1520)*100</f>
        <v/>
      </c>
      <c r="EB1520" s="64">
        <f>$Q1520-$O1520</f>
        <v/>
      </c>
      <c r="EC1520" s="67">
        <f>IFERROR($Q1520/$P1520,"")</f>
        <v/>
      </c>
    </row>
    <row r="1521">
      <c r="DG1521" s="64">
        <f>($B1521-$B1522)*100</f>
        <v/>
      </c>
      <c r="DH1521" s="64">
        <f>($D1521-$D1522)*100</f>
        <v/>
      </c>
      <c r="DI1521" s="64">
        <f>($E1521-$E1522)*100</f>
        <v/>
      </c>
      <c r="DJ1521" s="64">
        <f>($H1521-$H1522)*100</f>
        <v/>
      </c>
      <c r="DK1521" s="65">
        <f>IFERROR($J1521/$J1522-1,"")</f>
        <v/>
      </c>
      <c r="DL1521" s="64">
        <f>$L1521-$L1522</f>
        <v/>
      </c>
      <c r="DM1521" s="64">
        <f>$K1521-$K1522</f>
        <v/>
      </c>
      <c r="DN1521" s="65">
        <f>IFERROR($N1521/$N1522-1,"")</f>
        <v/>
      </c>
      <c r="DO1521" s="65">
        <f>IFERROR($M1521/$M1522-1,"")</f>
        <v/>
      </c>
      <c r="DP1521" s="65">
        <f>IFERROR($AZ1521/$AZ1522-1,"")</f>
        <v/>
      </c>
      <c r="DQ1521" s="65">
        <f>IFERROR($BA1521/$BA1522-1,"")</f>
        <v/>
      </c>
      <c r="DR1521" s="64">
        <f>$O1521-$O1522</f>
        <v/>
      </c>
      <c r="DS1521" s="64">
        <f>$P1521-$P1522</f>
        <v/>
      </c>
      <c r="DT1521" s="64">
        <f>$Q1521-$Q1522</f>
        <v/>
      </c>
      <c r="DU1521" s="64">
        <f>$S1521-$S1522</f>
        <v/>
      </c>
      <c r="DV1521" s="65">
        <f>IFERROR(AVERAGE($AA1522/$AA1521-1,$AB1522/$AB1521-1,$AC1522/$AC1521-1,$AD1522/$AD1521-1,$AE1522/$AE1521-1,$AG1522/$AG1521-1,$AH1522/$AH1521-1,$AI1522/$AI1521-1,$AJ1522/$AJ1521-1,$AL1522/$AL1521-1,$AM1522/$AM1521-1,$AR1522/$AR1521-1,$AS1522/$AS1521-1,$AT1522/$AT1521-1,$AU1522/$AU1521-1,$AV1522/$AV1521-1,$AW1522/$AW1521-1,$AX1522/$AX1521-1,$AY1522/$AY1521-1),"")</f>
        <v/>
      </c>
      <c r="DW1521" s="66">
        <f>AVERAGE($CB1521,$CC1521,$CD1521,$CE1521,$CF1521,$CG1521,$CH1521,$CI1521,$CJ1521,$CL1521,$CM1521,$CN1521,$CO1521,$CP1521,$CQ1521,$CR1521,$CS1521,$CT1521)</f>
        <v/>
      </c>
      <c r="DX1521" s="66">
        <f>AVERAGE($CB1521,$CC1521,$CM1521,$CE1521,$CP1521)</f>
        <v/>
      </c>
      <c r="DY1521" s="64">
        <f>($DW1521-$DW1522)*100</f>
        <v/>
      </c>
      <c r="DZ1521" s="64">
        <f>($DX1521-$DX1522)*100</f>
        <v/>
      </c>
      <c r="EA1521" s="64">
        <f>($DW1521-$D1521)*100</f>
        <v/>
      </c>
      <c r="EB1521" s="64">
        <f>$Q1521-$O1521</f>
        <v/>
      </c>
      <c r="EC1521" s="67">
        <f>IFERROR($Q1521/$P1521,"")</f>
        <v/>
      </c>
    </row>
    <row r="1522">
      <c r="DG1522" s="64">
        <f>($B1522-$B1523)*100</f>
        <v/>
      </c>
      <c r="DH1522" s="64">
        <f>($D1522-$D1523)*100</f>
        <v/>
      </c>
      <c r="DI1522" s="64">
        <f>($E1522-$E1523)*100</f>
        <v/>
      </c>
      <c r="DJ1522" s="64">
        <f>($H1522-$H1523)*100</f>
        <v/>
      </c>
      <c r="DK1522" s="65">
        <f>IFERROR($J1522/$J1523-1,"")</f>
        <v/>
      </c>
      <c r="DL1522" s="64">
        <f>$L1522-$L1523</f>
        <v/>
      </c>
      <c r="DM1522" s="64">
        <f>$K1522-$K1523</f>
        <v/>
      </c>
      <c r="DN1522" s="65">
        <f>IFERROR($N1522/$N1523-1,"")</f>
        <v/>
      </c>
      <c r="DO1522" s="65">
        <f>IFERROR($M1522/$M1523-1,"")</f>
        <v/>
      </c>
      <c r="DP1522" s="65">
        <f>IFERROR($AZ1522/$AZ1523-1,"")</f>
        <v/>
      </c>
      <c r="DQ1522" s="65">
        <f>IFERROR($BA1522/$BA1523-1,"")</f>
        <v/>
      </c>
      <c r="DR1522" s="64">
        <f>$O1522-$O1523</f>
        <v/>
      </c>
      <c r="DS1522" s="64">
        <f>$P1522-$P1523</f>
        <v/>
      </c>
      <c r="DT1522" s="64">
        <f>$Q1522-$Q1523</f>
        <v/>
      </c>
      <c r="DU1522" s="64">
        <f>$S1522-$S1523</f>
        <v/>
      </c>
      <c r="DV1522" s="65">
        <f>IFERROR(AVERAGE($AA1523/$AA1522-1,$AB1523/$AB1522-1,$AC1523/$AC1522-1,$AD1523/$AD1522-1,$AE1523/$AE1522-1,$AG1523/$AG1522-1,$AH1523/$AH1522-1,$AI1523/$AI1522-1,$AJ1523/$AJ1522-1,$AL1523/$AL1522-1,$AM1523/$AM1522-1,$AR1523/$AR1522-1,$AS1523/$AS1522-1,$AT1523/$AT1522-1,$AU1523/$AU1522-1,$AV1523/$AV1522-1,$AW1523/$AW1522-1,$AX1523/$AX1522-1,$AY1523/$AY1522-1),"")</f>
        <v/>
      </c>
      <c r="DW1522" s="66">
        <f>AVERAGE($CB1522,$CC1522,$CD1522,$CE1522,$CF1522,$CG1522,$CH1522,$CI1522,$CJ1522,$CL1522,$CM1522,$CN1522,$CO1522,$CP1522,$CQ1522,$CR1522,$CS1522,$CT1522)</f>
        <v/>
      </c>
      <c r="DX1522" s="66">
        <f>AVERAGE($CB1522,$CC1522,$CM1522,$CE1522,$CP1522)</f>
        <v/>
      </c>
      <c r="DY1522" s="64">
        <f>($DW1522-$DW1523)*100</f>
        <v/>
      </c>
      <c r="DZ1522" s="64">
        <f>($DX1522-$DX1523)*100</f>
        <v/>
      </c>
      <c r="EA1522" s="64">
        <f>($DW1522-$D1522)*100</f>
        <v/>
      </c>
      <c r="EB1522" s="64">
        <f>$Q1522-$O1522</f>
        <v/>
      </c>
      <c r="EC1522" s="67">
        <f>IFERROR($Q1522/$P1522,"")</f>
        <v/>
      </c>
    </row>
    <row r="1523">
      <c r="DG1523" s="64">
        <f>($B1523-$B1524)*100</f>
        <v/>
      </c>
      <c r="DH1523" s="64">
        <f>($D1523-$D1524)*100</f>
        <v/>
      </c>
      <c r="DI1523" s="64">
        <f>($E1523-$E1524)*100</f>
        <v/>
      </c>
      <c r="DJ1523" s="64">
        <f>($H1523-$H1524)*100</f>
        <v/>
      </c>
      <c r="DK1523" s="65">
        <f>IFERROR($J1523/$J1524-1,"")</f>
        <v/>
      </c>
      <c r="DL1523" s="64">
        <f>$L1523-$L1524</f>
        <v/>
      </c>
      <c r="DM1523" s="64">
        <f>$K1523-$K1524</f>
        <v/>
      </c>
      <c r="DN1523" s="65">
        <f>IFERROR($N1523/$N1524-1,"")</f>
        <v/>
      </c>
      <c r="DO1523" s="65">
        <f>IFERROR($M1523/$M1524-1,"")</f>
        <v/>
      </c>
      <c r="DP1523" s="65">
        <f>IFERROR($AZ1523/$AZ1524-1,"")</f>
        <v/>
      </c>
      <c r="DQ1523" s="65">
        <f>IFERROR($BA1523/$BA1524-1,"")</f>
        <v/>
      </c>
      <c r="DR1523" s="64">
        <f>$O1523-$O1524</f>
        <v/>
      </c>
      <c r="DS1523" s="64">
        <f>$P1523-$P1524</f>
        <v/>
      </c>
      <c r="DT1523" s="64">
        <f>$Q1523-$Q1524</f>
        <v/>
      </c>
      <c r="DU1523" s="64">
        <f>$S1523-$S1524</f>
        <v/>
      </c>
      <c r="DV1523" s="65">
        <f>IFERROR(AVERAGE($AA1524/$AA1523-1,$AB1524/$AB1523-1,$AC1524/$AC1523-1,$AD1524/$AD1523-1,$AE1524/$AE1523-1,$AG1524/$AG1523-1,$AH1524/$AH1523-1,$AI1524/$AI1523-1,$AJ1524/$AJ1523-1,$AL1524/$AL1523-1,$AM1524/$AM1523-1,$AR1524/$AR1523-1,$AS1524/$AS1523-1,$AT1524/$AT1523-1,$AU1524/$AU1523-1,$AV1524/$AV1523-1,$AW1524/$AW1523-1,$AX1524/$AX1523-1,$AY1524/$AY1523-1),"")</f>
        <v/>
      </c>
      <c r="DW1523" s="66">
        <f>AVERAGE($CB1523,$CC1523,$CD1523,$CE1523,$CF1523,$CG1523,$CH1523,$CI1523,$CJ1523,$CL1523,$CM1523,$CN1523,$CO1523,$CP1523,$CQ1523,$CR1523,$CS1523,$CT1523)</f>
        <v/>
      </c>
      <c r="DX1523" s="66">
        <f>AVERAGE($CB1523,$CC1523,$CM1523,$CE1523,$CP1523)</f>
        <v/>
      </c>
      <c r="DY1523" s="64">
        <f>($DW1523-$DW1524)*100</f>
        <v/>
      </c>
      <c r="DZ1523" s="64">
        <f>($DX1523-$DX1524)*100</f>
        <v/>
      </c>
      <c r="EA1523" s="64">
        <f>($DW1523-$D1523)*100</f>
        <v/>
      </c>
      <c r="EB1523" s="64">
        <f>$Q1523-$O1523</f>
        <v/>
      </c>
      <c r="EC1523" s="67">
        <f>IFERROR($Q1523/$P1523,"")</f>
        <v/>
      </c>
    </row>
    <row r="1524">
      <c r="DG1524" s="64">
        <f>($B1524-$B1525)*100</f>
        <v/>
      </c>
      <c r="DH1524" s="64">
        <f>($D1524-$D1525)*100</f>
        <v/>
      </c>
      <c r="DI1524" s="64">
        <f>($E1524-$E1525)*100</f>
        <v/>
      </c>
      <c r="DJ1524" s="64">
        <f>($H1524-$H1525)*100</f>
        <v/>
      </c>
      <c r="DK1524" s="65">
        <f>IFERROR($J1524/$J1525-1,"")</f>
        <v/>
      </c>
      <c r="DL1524" s="64">
        <f>$L1524-$L1525</f>
        <v/>
      </c>
      <c r="DM1524" s="64">
        <f>$K1524-$K1525</f>
        <v/>
      </c>
      <c r="DN1524" s="65">
        <f>IFERROR($N1524/$N1525-1,"")</f>
        <v/>
      </c>
      <c r="DO1524" s="65">
        <f>IFERROR($M1524/$M1525-1,"")</f>
        <v/>
      </c>
      <c r="DP1524" s="65">
        <f>IFERROR($AZ1524/$AZ1525-1,"")</f>
        <v/>
      </c>
      <c r="DQ1524" s="65">
        <f>IFERROR($BA1524/$BA1525-1,"")</f>
        <v/>
      </c>
      <c r="DR1524" s="64">
        <f>$O1524-$O1525</f>
        <v/>
      </c>
      <c r="DS1524" s="64">
        <f>$P1524-$P1525</f>
        <v/>
      </c>
      <c r="DT1524" s="64">
        <f>$Q1524-$Q1525</f>
        <v/>
      </c>
      <c r="DU1524" s="64">
        <f>$S1524-$S1525</f>
        <v/>
      </c>
      <c r="DV1524" s="65">
        <f>IFERROR(AVERAGE($AA1525/$AA1524-1,$AB1525/$AB1524-1,$AC1525/$AC1524-1,$AD1525/$AD1524-1,$AE1525/$AE1524-1,$AG1525/$AG1524-1,$AH1525/$AH1524-1,$AI1525/$AI1524-1,$AJ1525/$AJ1524-1,$AL1525/$AL1524-1,$AM1525/$AM1524-1,$AR1525/$AR1524-1,$AS1525/$AS1524-1,$AT1525/$AT1524-1,$AU1525/$AU1524-1,$AV1525/$AV1524-1,$AW1525/$AW1524-1,$AX1525/$AX1524-1,$AY1525/$AY1524-1),"")</f>
        <v/>
      </c>
      <c r="DW1524" s="66">
        <f>AVERAGE($CB1524,$CC1524,$CD1524,$CE1524,$CF1524,$CG1524,$CH1524,$CI1524,$CJ1524,$CL1524,$CM1524,$CN1524,$CO1524,$CP1524,$CQ1524,$CR1524,$CS1524,$CT1524)</f>
        <v/>
      </c>
      <c r="DX1524" s="66">
        <f>AVERAGE($CB1524,$CC1524,$CM1524,$CE1524,$CP1524)</f>
        <v/>
      </c>
      <c r="DY1524" s="64">
        <f>($DW1524-$DW1525)*100</f>
        <v/>
      </c>
      <c r="DZ1524" s="64">
        <f>($DX1524-$DX1525)*100</f>
        <v/>
      </c>
      <c r="EA1524" s="64">
        <f>($DW1524-$D1524)*100</f>
        <v/>
      </c>
      <c r="EB1524" s="64">
        <f>$Q1524-$O1524</f>
        <v/>
      </c>
      <c r="EC1524" s="67">
        <f>IFERROR($Q1524/$P1524,"")</f>
        <v/>
      </c>
    </row>
    <row r="1525">
      <c r="DG1525" s="64">
        <f>($B1525-$B1526)*100</f>
        <v/>
      </c>
      <c r="DH1525" s="64">
        <f>($D1525-$D1526)*100</f>
        <v/>
      </c>
      <c r="DI1525" s="64">
        <f>($E1525-$E1526)*100</f>
        <v/>
      </c>
      <c r="DJ1525" s="64">
        <f>($H1525-$H1526)*100</f>
        <v/>
      </c>
      <c r="DK1525" s="65">
        <f>IFERROR($J1525/$J1526-1,"")</f>
        <v/>
      </c>
      <c r="DL1525" s="64">
        <f>$L1525-$L1526</f>
        <v/>
      </c>
      <c r="DM1525" s="64">
        <f>$K1525-$K1526</f>
        <v/>
      </c>
      <c r="DN1525" s="65">
        <f>IFERROR($N1525/$N1526-1,"")</f>
        <v/>
      </c>
      <c r="DO1525" s="65">
        <f>IFERROR($M1525/$M1526-1,"")</f>
        <v/>
      </c>
      <c r="DP1525" s="65">
        <f>IFERROR($AZ1525/$AZ1526-1,"")</f>
        <v/>
      </c>
      <c r="DQ1525" s="65">
        <f>IFERROR($BA1525/$BA1526-1,"")</f>
        <v/>
      </c>
      <c r="DR1525" s="64">
        <f>$O1525-$O1526</f>
        <v/>
      </c>
      <c r="DS1525" s="64">
        <f>$P1525-$P1526</f>
        <v/>
      </c>
      <c r="DT1525" s="64">
        <f>$Q1525-$Q1526</f>
        <v/>
      </c>
      <c r="DU1525" s="64">
        <f>$S1525-$S1526</f>
        <v/>
      </c>
      <c r="DV1525" s="65">
        <f>IFERROR(AVERAGE($AA1526/$AA1525-1,$AB1526/$AB1525-1,$AC1526/$AC1525-1,$AD1526/$AD1525-1,$AE1526/$AE1525-1,$AG1526/$AG1525-1,$AH1526/$AH1525-1,$AI1526/$AI1525-1,$AJ1526/$AJ1525-1,$AL1526/$AL1525-1,$AM1526/$AM1525-1,$AR1526/$AR1525-1,$AS1526/$AS1525-1,$AT1526/$AT1525-1,$AU1526/$AU1525-1,$AV1526/$AV1525-1,$AW1526/$AW1525-1,$AX1526/$AX1525-1,$AY1526/$AY1525-1),"")</f>
        <v/>
      </c>
      <c r="DW1525" s="66">
        <f>AVERAGE($CB1525,$CC1525,$CD1525,$CE1525,$CF1525,$CG1525,$CH1525,$CI1525,$CJ1525,$CL1525,$CM1525,$CN1525,$CO1525,$CP1525,$CQ1525,$CR1525,$CS1525,$CT1525)</f>
        <v/>
      </c>
      <c r="DX1525" s="66">
        <f>AVERAGE($CB1525,$CC1525,$CM1525,$CE1525,$CP1525)</f>
        <v/>
      </c>
      <c r="DY1525" s="64">
        <f>($DW1525-$DW1526)*100</f>
        <v/>
      </c>
      <c r="DZ1525" s="64">
        <f>($DX1525-$DX1526)*100</f>
        <v/>
      </c>
      <c r="EA1525" s="64">
        <f>($DW1525-$D1525)*100</f>
        <v/>
      </c>
      <c r="EB1525" s="64">
        <f>$Q1525-$O1525</f>
        <v/>
      </c>
      <c r="EC1525" s="67">
        <f>IFERROR($Q1525/$P1525,"")</f>
        <v/>
      </c>
    </row>
    <row r="1526">
      <c r="DG1526" s="64">
        <f>($B1526-$B1527)*100</f>
        <v/>
      </c>
      <c r="DH1526" s="64">
        <f>($D1526-$D1527)*100</f>
        <v/>
      </c>
      <c r="DI1526" s="64">
        <f>($E1526-$E1527)*100</f>
        <v/>
      </c>
      <c r="DJ1526" s="64">
        <f>($H1526-$H1527)*100</f>
        <v/>
      </c>
      <c r="DK1526" s="65">
        <f>IFERROR($J1526/$J1527-1,"")</f>
        <v/>
      </c>
      <c r="DL1526" s="64">
        <f>$L1526-$L1527</f>
        <v/>
      </c>
      <c r="DM1526" s="64">
        <f>$K1526-$K1527</f>
        <v/>
      </c>
      <c r="DN1526" s="65">
        <f>IFERROR($N1526/$N1527-1,"")</f>
        <v/>
      </c>
      <c r="DO1526" s="65">
        <f>IFERROR($M1526/$M1527-1,"")</f>
        <v/>
      </c>
      <c r="DP1526" s="65">
        <f>IFERROR($AZ1526/$AZ1527-1,"")</f>
        <v/>
      </c>
      <c r="DQ1526" s="65">
        <f>IFERROR($BA1526/$BA1527-1,"")</f>
        <v/>
      </c>
      <c r="DR1526" s="64">
        <f>$O1526-$O1527</f>
        <v/>
      </c>
      <c r="DS1526" s="64">
        <f>$P1526-$P1527</f>
        <v/>
      </c>
      <c r="DT1526" s="64">
        <f>$Q1526-$Q1527</f>
        <v/>
      </c>
      <c r="DU1526" s="64">
        <f>$S1526-$S1527</f>
        <v/>
      </c>
      <c r="DV1526" s="65">
        <f>IFERROR(AVERAGE($AA1527/$AA1526-1,$AB1527/$AB1526-1,$AC1527/$AC1526-1,$AD1527/$AD1526-1,$AE1527/$AE1526-1,$AG1527/$AG1526-1,$AH1527/$AH1526-1,$AI1527/$AI1526-1,$AJ1527/$AJ1526-1,$AL1527/$AL1526-1,$AM1527/$AM1526-1,$AR1527/$AR1526-1,$AS1527/$AS1526-1,$AT1527/$AT1526-1,$AU1527/$AU1526-1,$AV1527/$AV1526-1,$AW1527/$AW1526-1,$AX1527/$AX1526-1,$AY1527/$AY1526-1),"")</f>
        <v/>
      </c>
      <c r="DW1526" s="66">
        <f>AVERAGE($CB1526,$CC1526,$CD1526,$CE1526,$CF1526,$CG1526,$CH1526,$CI1526,$CJ1526,$CL1526,$CM1526,$CN1526,$CO1526,$CP1526,$CQ1526,$CR1526,$CS1526,$CT1526)</f>
        <v/>
      </c>
      <c r="DX1526" s="66">
        <f>AVERAGE($CB1526,$CC1526,$CM1526,$CE1526,$CP1526)</f>
        <v/>
      </c>
      <c r="DY1526" s="64">
        <f>($DW1526-$DW1527)*100</f>
        <v/>
      </c>
      <c r="DZ1526" s="64">
        <f>($DX1526-$DX1527)*100</f>
        <v/>
      </c>
      <c r="EA1526" s="64">
        <f>($DW1526-$D1526)*100</f>
        <v/>
      </c>
      <c r="EB1526" s="64">
        <f>$Q1526-$O1526</f>
        <v/>
      </c>
      <c r="EC1526" s="67">
        <f>IFERROR($Q1526/$P1526,"")</f>
        <v/>
      </c>
    </row>
    <row r="1527">
      <c r="DG1527" s="64">
        <f>($B1527-$B1528)*100</f>
        <v/>
      </c>
      <c r="DH1527" s="64">
        <f>($D1527-$D1528)*100</f>
        <v/>
      </c>
      <c r="DI1527" s="64">
        <f>($E1527-$E1528)*100</f>
        <v/>
      </c>
      <c r="DJ1527" s="64">
        <f>($H1527-$H1528)*100</f>
        <v/>
      </c>
      <c r="DK1527" s="65">
        <f>IFERROR($J1527/$J1528-1,"")</f>
        <v/>
      </c>
      <c r="DL1527" s="64">
        <f>$L1527-$L1528</f>
        <v/>
      </c>
      <c r="DM1527" s="64">
        <f>$K1527-$K1528</f>
        <v/>
      </c>
      <c r="DN1527" s="65">
        <f>IFERROR($N1527/$N1528-1,"")</f>
        <v/>
      </c>
      <c r="DO1527" s="65">
        <f>IFERROR($M1527/$M1528-1,"")</f>
        <v/>
      </c>
      <c r="DP1527" s="65">
        <f>IFERROR($AZ1527/$AZ1528-1,"")</f>
        <v/>
      </c>
      <c r="DQ1527" s="65">
        <f>IFERROR($BA1527/$BA1528-1,"")</f>
        <v/>
      </c>
      <c r="DR1527" s="64">
        <f>$O1527-$O1528</f>
        <v/>
      </c>
      <c r="DS1527" s="64">
        <f>$P1527-$P1528</f>
        <v/>
      </c>
      <c r="DT1527" s="64">
        <f>$Q1527-$Q1528</f>
        <v/>
      </c>
      <c r="DU1527" s="64">
        <f>$S1527-$S1528</f>
        <v/>
      </c>
      <c r="DV1527" s="65">
        <f>IFERROR(AVERAGE($AA1528/$AA1527-1,$AB1528/$AB1527-1,$AC1528/$AC1527-1,$AD1528/$AD1527-1,$AE1528/$AE1527-1,$AG1528/$AG1527-1,$AH1528/$AH1527-1,$AI1528/$AI1527-1,$AJ1528/$AJ1527-1,$AL1528/$AL1527-1,$AM1528/$AM1527-1,$AR1528/$AR1527-1,$AS1528/$AS1527-1,$AT1528/$AT1527-1,$AU1528/$AU1527-1,$AV1528/$AV1527-1,$AW1528/$AW1527-1,$AX1528/$AX1527-1,$AY1528/$AY1527-1),"")</f>
        <v/>
      </c>
      <c r="DW1527" s="66">
        <f>AVERAGE($CB1527,$CC1527,$CD1527,$CE1527,$CF1527,$CG1527,$CH1527,$CI1527,$CJ1527,$CL1527,$CM1527,$CN1527,$CO1527,$CP1527,$CQ1527,$CR1527,$CS1527,$CT1527)</f>
        <v/>
      </c>
      <c r="DX1527" s="66">
        <f>AVERAGE($CB1527,$CC1527,$CM1527,$CE1527,$CP1527)</f>
        <v/>
      </c>
      <c r="DY1527" s="64">
        <f>($DW1527-$DW1528)*100</f>
        <v/>
      </c>
      <c r="DZ1527" s="64">
        <f>($DX1527-$DX1528)*100</f>
        <v/>
      </c>
      <c r="EA1527" s="64">
        <f>($DW1527-$D1527)*100</f>
        <v/>
      </c>
      <c r="EB1527" s="64">
        <f>$Q1527-$O1527</f>
        <v/>
      </c>
      <c r="EC1527" s="67">
        <f>IFERROR($Q1527/$P1527,"")</f>
        <v/>
      </c>
    </row>
    <row r="1528">
      <c r="DG1528" s="64">
        <f>($B1528-$B1529)*100</f>
        <v/>
      </c>
      <c r="DH1528" s="64">
        <f>($D1528-$D1529)*100</f>
        <v/>
      </c>
      <c r="DI1528" s="64">
        <f>($E1528-$E1529)*100</f>
        <v/>
      </c>
      <c r="DJ1528" s="64">
        <f>($H1528-$H1529)*100</f>
        <v/>
      </c>
      <c r="DK1528" s="65">
        <f>IFERROR($J1528/$J1529-1,"")</f>
        <v/>
      </c>
      <c r="DL1528" s="64">
        <f>$L1528-$L1529</f>
        <v/>
      </c>
      <c r="DM1528" s="64">
        <f>$K1528-$K1529</f>
        <v/>
      </c>
      <c r="DN1528" s="65">
        <f>IFERROR($N1528/$N1529-1,"")</f>
        <v/>
      </c>
      <c r="DO1528" s="65">
        <f>IFERROR($M1528/$M1529-1,"")</f>
        <v/>
      </c>
      <c r="DP1528" s="65">
        <f>IFERROR($AZ1528/$AZ1529-1,"")</f>
        <v/>
      </c>
      <c r="DQ1528" s="65">
        <f>IFERROR($BA1528/$BA1529-1,"")</f>
        <v/>
      </c>
      <c r="DR1528" s="64">
        <f>$O1528-$O1529</f>
        <v/>
      </c>
      <c r="DS1528" s="64">
        <f>$P1528-$P1529</f>
        <v/>
      </c>
      <c r="DT1528" s="64">
        <f>$Q1528-$Q1529</f>
        <v/>
      </c>
      <c r="DU1528" s="64">
        <f>$S1528-$S1529</f>
        <v/>
      </c>
      <c r="DV1528" s="65">
        <f>IFERROR(AVERAGE($AA1529/$AA1528-1,$AB1529/$AB1528-1,$AC1529/$AC1528-1,$AD1529/$AD1528-1,$AE1529/$AE1528-1,$AG1529/$AG1528-1,$AH1529/$AH1528-1,$AI1529/$AI1528-1,$AJ1529/$AJ1528-1,$AL1529/$AL1528-1,$AM1529/$AM1528-1,$AR1529/$AR1528-1,$AS1529/$AS1528-1,$AT1529/$AT1528-1,$AU1529/$AU1528-1,$AV1529/$AV1528-1,$AW1529/$AW1528-1,$AX1529/$AX1528-1,$AY1529/$AY1528-1),"")</f>
        <v/>
      </c>
      <c r="DW1528" s="66">
        <f>AVERAGE($CB1528,$CC1528,$CD1528,$CE1528,$CF1528,$CG1528,$CH1528,$CI1528,$CJ1528,$CL1528,$CM1528,$CN1528,$CO1528,$CP1528,$CQ1528,$CR1528,$CS1528,$CT1528)</f>
        <v/>
      </c>
      <c r="DX1528" s="66">
        <f>AVERAGE($CB1528,$CC1528,$CM1528,$CE1528,$CP1528)</f>
        <v/>
      </c>
      <c r="DY1528" s="64">
        <f>($DW1528-$DW1529)*100</f>
        <v/>
      </c>
      <c r="DZ1528" s="64">
        <f>($DX1528-$DX1529)*100</f>
        <v/>
      </c>
      <c r="EA1528" s="64">
        <f>($DW1528-$D1528)*100</f>
        <v/>
      </c>
      <c r="EB1528" s="64">
        <f>$Q1528-$O1528</f>
        <v/>
      </c>
      <c r="EC1528" s="67">
        <f>IFERROR($Q1528/$P1528,"")</f>
        <v/>
      </c>
    </row>
    <row r="1529">
      <c r="DG1529" s="64">
        <f>($B1529-$B1530)*100</f>
        <v/>
      </c>
      <c r="DH1529" s="64">
        <f>($D1529-$D1530)*100</f>
        <v/>
      </c>
      <c r="DI1529" s="64">
        <f>($E1529-$E1530)*100</f>
        <v/>
      </c>
      <c r="DJ1529" s="64">
        <f>($H1529-$H1530)*100</f>
        <v/>
      </c>
      <c r="DK1529" s="65">
        <f>IFERROR($J1529/$J1530-1,"")</f>
        <v/>
      </c>
      <c r="DL1529" s="64">
        <f>$L1529-$L1530</f>
        <v/>
      </c>
      <c r="DM1529" s="64">
        <f>$K1529-$K1530</f>
        <v/>
      </c>
      <c r="DN1529" s="65">
        <f>IFERROR($N1529/$N1530-1,"")</f>
        <v/>
      </c>
      <c r="DO1529" s="65">
        <f>IFERROR($M1529/$M1530-1,"")</f>
        <v/>
      </c>
      <c r="DP1529" s="65">
        <f>IFERROR($AZ1529/$AZ1530-1,"")</f>
        <v/>
      </c>
      <c r="DQ1529" s="65">
        <f>IFERROR($BA1529/$BA1530-1,"")</f>
        <v/>
      </c>
      <c r="DR1529" s="64">
        <f>$O1529-$O1530</f>
        <v/>
      </c>
      <c r="DS1529" s="64">
        <f>$P1529-$P1530</f>
        <v/>
      </c>
      <c r="DT1529" s="64">
        <f>$Q1529-$Q1530</f>
        <v/>
      </c>
      <c r="DU1529" s="64">
        <f>$S1529-$S1530</f>
        <v/>
      </c>
      <c r="DV1529" s="65">
        <f>IFERROR(AVERAGE($AA1530/$AA1529-1,$AB1530/$AB1529-1,$AC1530/$AC1529-1,$AD1530/$AD1529-1,$AE1530/$AE1529-1,$AG1530/$AG1529-1,$AH1530/$AH1529-1,$AI1530/$AI1529-1,$AJ1530/$AJ1529-1,$AL1530/$AL1529-1,$AM1530/$AM1529-1,$AR1530/$AR1529-1,$AS1530/$AS1529-1,$AT1530/$AT1529-1,$AU1530/$AU1529-1,$AV1530/$AV1529-1,$AW1530/$AW1529-1,$AX1530/$AX1529-1,$AY1530/$AY1529-1),"")</f>
        <v/>
      </c>
      <c r="DW1529" s="66">
        <f>AVERAGE($CB1529,$CC1529,$CD1529,$CE1529,$CF1529,$CG1529,$CH1529,$CI1529,$CJ1529,$CL1529,$CM1529,$CN1529,$CO1529,$CP1529,$CQ1529,$CR1529,$CS1529,$CT1529)</f>
        <v/>
      </c>
      <c r="DX1529" s="66">
        <f>AVERAGE($CB1529,$CC1529,$CM1529,$CE1529,$CP1529)</f>
        <v/>
      </c>
      <c r="DY1529" s="64">
        <f>($DW1529-$DW1530)*100</f>
        <v/>
      </c>
      <c r="DZ1529" s="64">
        <f>($DX1529-$DX1530)*100</f>
        <v/>
      </c>
      <c r="EA1529" s="64">
        <f>($DW1529-$D1529)*100</f>
        <v/>
      </c>
      <c r="EB1529" s="64">
        <f>$Q1529-$O1529</f>
        <v/>
      </c>
      <c r="EC1529" s="67">
        <f>IFERROR($Q1529/$P1529,"")</f>
        <v/>
      </c>
    </row>
    <row r="1530">
      <c r="DG1530" s="64">
        <f>($B1530-$B1531)*100</f>
        <v/>
      </c>
      <c r="DH1530" s="64">
        <f>($D1530-$D1531)*100</f>
        <v/>
      </c>
      <c r="DI1530" s="64">
        <f>($E1530-$E1531)*100</f>
        <v/>
      </c>
      <c r="DJ1530" s="64">
        <f>($H1530-$H1531)*100</f>
        <v/>
      </c>
      <c r="DK1530" s="65">
        <f>IFERROR($J1530/$J1531-1,"")</f>
        <v/>
      </c>
      <c r="DL1530" s="64">
        <f>$L1530-$L1531</f>
        <v/>
      </c>
      <c r="DM1530" s="64">
        <f>$K1530-$K1531</f>
        <v/>
      </c>
      <c r="DN1530" s="65">
        <f>IFERROR($N1530/$N1531-1,"")</f>
        <v/>
      </c>
      <c r="DO1530" s="65">
        <f>IFERROR($M1530/$M1531-1,"")</f>
        <v/>
      </c>
      <c r="DP1530" s="65">
        <f>IFERROR($AZ1530/$AZ1531-1,"")</f>
        <v/>
      </c>
      <c r="DQ1530" s="65">
        <f>IFERROR($BA1530/$BA1531-1,"")</f>
        <v/>
      </c>
      <c r="DR1530" s="64">
        <f>$O1530-$O1531</f>
        <v/>
      </c>
      <c r="DS1530" s="64">
        <f>$P1530-$P1531</f>
        <v/>
      </c>
      <c r="DT1530" s="64">
        <f>$Q1530-$Q1531</f>
        <v/>
      </c>
      <c r="DU1530" s="64">
        <f>$S1530-$S1531</f>
        <v/>
      </c>
      <c r="DV1530" s="65">
        <f>IFERROR(AVERAGE($AA1531/$AA1530-1,$AB1531/$AB1530-1,$AC1531/$AC1530-1,$AD1531/$AD1530-1,$AE1531/$AE1530-1,$AG1531/$AG1530-1,$AH1531/$AH1530-1,$AI1531/$AI1530-1,$AJ1531/$AJ1530-1,$AL1531/$AL1530-1,$AM1531/$AM1530-1,$AR1531/$AR1530-1,$AS1531/$AS1530-1,$AT1531/$AT1530-1,$AU1531/$AU1530-1,$AV1531/$AV1530-1,$AW1531/$AW1530-1,$AX1531/$AX1530-1,$AY1531/$AY1530-1),"")</f>
        <v/>
      </c>
      <c r="DW1530" s="66">
        <f>AVERAGE($CB1530,$CC1530,$CD1530,$CE1530,$CF1530,$CG1530,$CH1530,$CI1530,$CJ1530,$CL1530,$CM1530,$CN1530,$CO1530,$CP1530,$CQ1530,$CR1530,$CS1530,$CT1530)</f>
        <v/>
      </c>
      <c r="DX1530" s="66">
        <f>AVERAGE($CB1530,$CC1530,$CM1530,$CE1530,$CP1530)</f>
        <v/>
      </c>
      <c r="DY1530" s="64">
        <f>($DW1530-$DW1531)*100</f>
        <v/>
      </c>
      <c r="DZ1530" s="64">
        <f>($DX1530-$DX1531)*100</f>
        <v/>
      </c>
      <c r="EA1530" s="64">
        <f>($DW1530-$D1530)*100</f>
        <v/>
      </c>
      <c r="EB1530" s="64">
        <f>$Q1530-$O1530</f>
        <v/>
      </c>
      <c r="EC1530" s="67">
        <f>IFERROR($Q1530/$P1530,"")</f>
        <v/>
      </c>
    </row>
    <row r="1531">
      <c r="DG1531" s="64">
        <f>($B1531-$B1532)*100</f>
        <v/>
      </c>
      <c r="DH1531" s="64">
        <f>($D1531-$D1532)*100</f>
        <v/>
      </c>
      <c r="DI1531" s="64">
        <f>($E1531-$E1532)*100</f>
        <v/>
      </c>
      <c r="DJ1531" s="64">
        <f>($H1531-$H1532)*100</f>
        <v/>
      </c>
      <c r="DK1531" s="65">
        <f>IFERROR($J1531/$J1532-1,"")</f>
        <v/>
      </c>
      <c r="DL1531" s="64">
        <f>$L1531-$L1532</f>
        <v/>
      </c>
      <c r="DM1531" s="64">
        <f>$K1531-$K1532</f>
        <v/>
      </c>
      <c r="DN1531" s="65">
        <f>IFERROR($N1531/$N1532-1,"")</f>
        <v/>
      </c>
      <c r="DO1531" s="65">
        <f>IFERROR($M1531/$M1532-1,"")</f>
        <v/>
      </c>
      <c r="DP1531" s="65">
        <f>IFERROR($AZ1531/$AZ1532-1,"")</f>
        <v/>
      </c>
      <c r="DQ1531" s="65">
        <f>IFERROR($BA1531/$BA1532-1,"")</f>
        <v/>
      </c>
      <c r="DR1531" s="64">
        <f>$O1531-$O1532</f>
        <v/>
      </c>
      <c r="DS1531" s="64">
        <f>$P1531-$P1532</f>
        <v/>
      </c>
      <c r="DT1531" s="64">
        <f>$Q1531-$Q1532</f>
        <v/>
      </c>
      <c r="DU1531" s="64">
        <f>$S1531-$S1532</f>
        <v/>
      </c>
      <c r="DV1531" s="65">
        <f>IFERROR(AVERAGE($AA1532/$AA1531-1,$AB1532/$AB1531-1,$AC1532/$AC1531-1,$AD1532/$AD1531-1,$AE1532/$AE1531-1,$AG1532/$AG1531-1,$AH1532/$AH1531-1,$AI1532/$AI1531-1,$AJ1532/$AJ1531-1,$AL1532/$AL1531-1,$AM1532/$AM1531-1,$AR1532/$AR1531-1,$AS1532/$AS1531-1,$AT1532/$AT1531-1,$AU1532/$AU1531-1,$AV1532/$AV1531-1,$AW1532/$AW1531-1,$AX1532/$AX1531-1,$AY1532/$AY1531-1),"")</f>
        <v/>
      </c>
      <c r="DW1531" s="66">
        <f>AVERAGE($CB1531,$CC1531,$CD1531,$CE1531,$CF1531,$CG1531,$CH1531,$CI1531,$CJ1531,$CL1531,$CM1531,$CN1531,$CO1531,$CP1531,$CQ1531,$CR1531,$CS1531,$CT1531)</f>
        <v/>
      </c>
      <c r="DX1531" s="66">
        <f>AVERAGE($CB1531,$CC1531,$CM1531,$CE1531,$CP1531)</f>
        <v/>
      </c>
      <c r="DY1531" s="64">
        <f>($DW1531-$DW1532)*100</f>
        <v/>
      </c>
      <c r="DZ1531" s="64">
        <f>($DX1531-$DX1532)*100</f>
        <v/>
      </c>
      <c r="EA1531" s="64">
        <f>($DW1531-$D1531)*100</f>
        <v/>
      </c>
      <c r="EB1531" s="64">
        <f>$Q1531-$O1531</f>
        <v/>
      </c>
      <c r="EC1531" s="67">
        <f>IFERROR($Q1531/$P1531,"")</f>
        <v/>
      </c>
    </row>
    <row r="1532">
      <c r="DG1532" s="64">
        <f>($B1532-$B1533)*100</f>
        <v/>
      </c>
      <c r="DH1532" s="64">
        <f>($D1532-$D1533)*100</f>
        <v/>
      </c>
      <c r="DI1532" s="64">
        <f>($E1532-$E1533)*100</f>
        <v/>
      </c>
      <c r="DJ1532" s="64">
        <f>($H1532-$H1533)*100</f>
        <v/>
      </c>
      <c r="DK1532" s="65">
        <f>IFERROR($J1532/$J1533-1,"")</f>
        <v/>
      </c>
      <c r="DL1532" s="64">
        <f>$L1532-$L1533</f>
        <v/>
      </c>
      <c r="DM1532" s="64">
        <f>$K1532-$K1533</f>
        <v/>
      </c>
      <c r="DN1532" s="65">
        <f>IFERROR($N1532/$N1533-1,"")</f>
        <v/>
      </c>
      <c r="DO1532" s="65">
        <f>IFERROR($M1532/$M1533-1,"")</f>
        <v/>
      </c>
      <c r="DP1532" s="65">
        <f>IFERROR($AZ1532/$AZ1533-1,"")</f>
        <v/>
      </c>
      <c r="DQ1532" s="65">
        <f>IFERROR($BA1532/$BA1533-1,"")</f>
        <v/>
      </c>
      <c r="DR1532" s="64">
        <f>$O1532-$O1533</f>
        <v/>
      </c>
      <c r="DS1532" s="64">
        <f>$P1532-$P1533</f>
        <v/>
      </c>
      <c r="DT1532" s="64">
        <f>$Q1532-$Q1533</f>
        <v/>
      </c>
      <c r="DU1532" s="64">
        <f>$S1532-$S1533</f>
        <v/>
      </c>
      <c r="DV1532" s="65">
        <f>IFERROR(AVERAGE($AA1533/$AA1532-1,$AB1533/$AB1532-1,$AC1533/$AC1532-1,$AD1533/$AD1532-1,$AE1533/$AE1532-1,$AG1533/$AG1532-1,$AH1533/$AH1532-1,$AI1533/$AI1532-1,$AJ1533/$AJ1532-1,$AL1533/$AL1532-1,$AM1533/$AM1532-1,$AR1533/$AR1532-1,$AS1533/$AS1532-1,$AT1533/$AT1532-1,$AU1533/$AU1532-1,$AV1533/$AV1532-1,$AW1533/$AW1532-1,$AX1533/$AX1532-1,$AY1533/$AY1532-1),"")</f>
        <v/>
      </c>
      <c r="DW1532" s="66">
        <f>AVERAGE($CB1532,$CC1532,$CD1532,$CE1532,$CF1532,$CG1532,$CH1532,$CI1532,$CJ1532,$CL1532,$CM1532,$CN1532,$CO1532,$CP1532,$CQ1532,$CR1532,$CS1532,$CT1532)</f>
        <v/>
      </c>
      <c r="DX1532" s="66">
        <f>AVERAGE($CB1532,$CC1532,$CM1532,$CE1532,$CP1532)</f>
        <v/>
      </c>
      <c r="DY1532" s="64">
        <f>($DW1532-$DW1533)*100</f>
        <v/>
      </c>
      <c r="DZ1532" s="64">
        <f>($DX1532-$DX1533)*100</f>
        <v/>
      </c>
      <c r="EA1532" s="64">
        <f>($DW1532-$D1532)*100</f>
        <v/>
      </c>
      <c r="EB1532" s="64">
        <f>$Q1532-$O1532</f>
        <v/>
      </c>
      <c r="EC1532" s="67">
        <f>IFERROR($Q1532/$P1532,"")</f>
        <v/>
      </c>
    </row>
    <row r="1533">
      <c r="DG1533" s="64">
        <f>($B1533-$B1534)*100</f>
        <v/>
      </c>
      <c r="DH1533" s="64">
        <f>($D1533-$D1534)*100</f>
        <v/>
      </c>
      <c r="DI1533" s="64">
        <f>($E1533-$E1534)*100</f>
        <v/>
      </c>
      <c r="DJ1533" s="64">
        <f>($H1533-$H1534)*100</f>
        <v/>
      </c>
      <c r="DK1533" s="65">
        <f>IFERROR($J1533/$J1534-1,"")</f>
        <v/>
      </c>
      <c r="DL1533" s="64">
        <f>$L1533-$L1534</f>
        <v/>
      </c>
      <c r="DM1533" s="64">
        <f>$K1533-$K1534</f>
        <v/>
      </c>
      <c r="DN1533" s="65">
        <f>IFERROR($N1533/$N1534-1,"")</f>
        <v/>
      </c>
      <c r="DO1533" s="65">
        <f>IFERROR($M1533/$M1534-1,"")</f>
        <v/>
      </c>
      <c r="DP1533" s="65">
        <f>IFERROR($AZ1533/$AZ1534-1,"")</f>
        <v/>
      </c>
      <c r="DQ1533" s="65">
        <f>IFERROR($BA1533/$BA1534-1,"")</f>
        <v/>
      </c>
      <c r="DR1533" s="64">
        <f>$O1533-$O1534</f>
        <v/>
      </c>
      <c r="DS1533" s="64">
        <f>$P1533-$P1534</f>
        <v/>
      </c>
      <c r="DT1533" s="64">
        <f>$Q1533-$Q1534</f>
        <v/>
      </c>
      <c r="DU1533" s="64">
        <f>$S1533-$S1534</f>
        <v/>
      </c>
      <c r="DV1533" s="65">
        <f>IFERROR(AVERAGE($AA1534/$AA1533-1,$AB1534/$AB1533-1,$AC1534/$AC1533-1,$AD1534/$AD1533-1,$AE1534/$AE1533-1,$AG1534/$AG1533-1,$AH1534/$AH1533-1,$AI1534/$AI1533-1,$AJ1534/$AJ1533-1,$AL1534/$AL1533-1,$AM1534/$AM1533-1,$AR1534/$AR1533-1,$AS1534/$AS1533-1,$AT1534/$AT1533-1,$AU1534/$AU1533-1,$AV1534/$AV1533-1,$AW1534/$AW1533-1,$AX1534/$AX1533-1,$AY1534/$AY1533-1),"")</f>
        <v/>
      </c>
      <c r="DW1533" s="66">
        <f>AVERAGE($CB1533,$CC1533,$CD1533,$CE1533,$CF1533,$CG1533,$CH1533,$CI1533,$CJ1533,$CL1533,$CM1533,$CN1533,$CO1533,$CP1533,$CQ1533,$CR1533,$CS1533,$CT1533)</f>
        <v/>
      </c>
      <c r="DX1533" s="66">
        <f>AVERAGE($CB1533,$CC1533,$CM1533,$CE1533,$CP1533)</f>
        <v/>
      </c>
      <c r="DY1533" s="64">
        <f>($DW1533-$DW1534)*100</f>
        <v/>
      </c>
      <c r="DZ1533" s="64">
        <f>($DX1533-$DX1534)*100</f>
        <v/>
      </c>
      <c r="EA1533" s="64">
        <f>($DW1533-$D1533)*100</f>
        <v/>
      </c>
      <c r="EB1533" s="64">
        <f>$Q1533-$O1533</f>
        <v/>
      </c>
      <c r="EC1533" s="67">
        <f>IFERROR($Q1533/$P1533,"")</f>
        <v/>
      </c>
    </row>
    <row r="1534">
      <c r="DG1534" s="64">
        <f>($B1534-$B1535)*100</f>
        <v/>
      </c>
      <c r="DH1534" s="64">
        <f>($D1534-$D1535)*100</f>
        <v/>
      </c>
      <c r="DI1534" s="64">
        <f>($E1534-$E1535)*100</f>
        <v/>
      </c>
      <c r="DJ1534" s="64">
        <f>($H1534-$H1535)*100</f>
        <v/>
      </c>
      <c r="DK1534" s="65">
        <f>IFERROR($J1534/$J1535-1,"")</f>
        <v/>
      </c>
      <c r="DL1534" s="64">
        <f>$L1534-$L1535</f>
        <v/>
      </c>
      <c r="DM1534" s="64">
        <f>$K1534-$K1535</f>
        <v/>
      </c>
      <c r="DN1534" s="65">
        <f>IFERROR($N1534/$N1535-1,"")</f>
        <v/>
      </c>
      <c r="DO1534" s="65">
        <f>IFERROR($M1534/$M1535-1,"")</f>
        <v/>
      </c>
      <c r="DP1534" s="65">
        <f>IFERROR($AZ1534/$AZ1535-1,"")</f>
        <v/>
      </c>
      <c r="DQ1534" s="65">
        <f>IFERROR($BA1534/$BA1535-1,"")</f>
        <v/>
      </c>
      <c r="DR1534" s="64">
        <f>$O1534-$O1535</f>
        <v/>
      </c>
      <c r="DS1534" s="64">
        <f>$P1534-$P1535</f>
        <v/>
      </c>
      <c r="DT1534" s="64">
        <f>$Q1534-$Q1535</f>
        <v/>
      </c>
      <c r="DU1534" s="64">
        <f>$S1534-$S1535</f>
        <v/>
      </c>
      <c r="DV1534" s="65">
        <f>IFERROR(AVERAGE($AA1535/$AA1534-1,$AB1535/$AB1534-1,$AC1535/$AC1534-1,$AD1535/$AD1534-1,$AE1535/$AE1534-1,$AG1535/$AG1534-1,$AH1535/$AH1534-1,$AI1535/$AI1534-1,$AJ1535/$AJ1534-1,$AL1535/$AL1534-1,$AM1535/$AM1534-1,$AR1535/$AR1534-1,$AS1535/$AS1534-1,$AT1535/$AT1534-1,$AU1535/$AU1534-1,$AV1535/$AV1534-1,$AW1535/$AW1534-1,$AX1535/$AX1534-1,$AY1535/$AY1534-1),"")</f>
        <v/>
      </c>
      <c r="DW1534" s="66">
        <f>AVERAGE($CB1534,$CC1534,$CD1534,$CE1534,$CF1534,$CG1534,$CH1534,$CI1534,$CJ1534,$CL1534,$CM1534,$CN1534,$CO1534,$CP1534,$CQ1534,$CR1534,$CS1534,$CT1534)</f>
        <v/>
      </c>
      <c r="DX1534" s="66">
        <f>AVERAGE($CB1534,$CC1534,$CM1534,$CE1534,$CP1534)</f>
        <v/>
      </c>
      <c r="DY1534" s="64">
        <f>($DW1534-$DW1535)*100</f>
        <v/>
      </c>
      <c r="DZ1534" s="64">
        <f>($DX1534-$DX1535)*100</f>
        <v/>
      </c>
      <c r="EA1534" s="64">
        <f>($DW1534-$D1534)*100</f>
        <v/>
      </c>
      <c r="EB1534" s="64">
        <f>$Q1534-$O1534</f>
        <v/>
      </c>
      <c r="EC1534" s="67">
        <f>IFERROR($Q1534/$P1534,"")</f>
        <v/>
      </c>
    </row>
    <row r="1535">
      <c r="DG1535" s="64">
        <f>($B1535-$B1536)*100</f>
        <v/>
      </c>
      <c r="DH1535" s="64">
        <f>($D1535-$D1536)*100</f>
        <v/>
      </c>
      <c r="DI1535" s="64">
        <f>($E1535-$E1536)*100</f>
        <v/>
      </c>
      <c r="DJ1535" s="64">
        <f>($H1535-$H1536)*100</f>
        <v/>
      </c>
      <c r="DK1535" s="65">
        <f>IFERROR($J1535/$J1536-1,"")</f>
        <v/>
      </c>
      <c r="DL1535" s="64">
        <f>$L1535-$L1536</f>
        <v/>
      </c>
      <c r="DM1535" s="64">
        <f>$K1535-$K1536</f>
        <v/>
      </c>
      <c r="DN1535" s="65">
        <f>IFERROR($N1535/$N1536-1,"")</f>
        <v/>
      </c>
      <c r="DO1535" s="65">
        <f>IFERROR($M1535/$M1536-1,"")</f>
        <v/>
      </c>
      <c r="DP1535" s="65">
        <f>IFERROR($AZ1535/$AZ1536-1,"")</f>
        <v/>
      </c>
      <c r="DQ1535" s="65">
        <f>IFERROR($BA1535/$BA1536-1,"")</f>
        <v/>
      </c>
      <c r="DR1535" s="64">
        <f>$O1535-$O1536</f>
        <v/>
      </c>
      <c r="DS1535" s="64">
        <f>$P1535-$P1536</f>
        <v/>
      </c>
      <c r="DT1535" s="64">
        <f>$Q1535-$Q1536</f>
        <v/>
      </c>
      <c r="DU1535" s="64">
        <f>$S1535-$S1536</f>
        <v/>
      </c>
      <c r="DV1535" s="65">
        <f>IFERROR(AVERAGE($AA1536/$AA1535-1,$AB1536/$AB1535-1,$AC1536/$AC1535-1,$AD1536/$AD1535-1,$AE1536/$AE1535-1,$AG1536/$AG1535-1,$AH1536/$AH1535-1,$AI1536/$AI1535-1,$AJ1536/$AJ1535-1,$AL1536/$AL1535-1,$AM1536/$AM1535-1,$AR1536/$AR1535-1,$AS1536/$AS1535-1,$AT1536/$AT1535-1,$AU1536/$AU1535-1,$AV1536/$AV1535-1,$AW1536/$AW1535-1,$AX1536/$AX1535-1,$AY1536/$AY1535-1),"")</f>
        <v/>
      </c>
      <c r="DW1535" s="66">
        <f>AVERAGE($CB1535,$CC1535,$CD1535,$CE1535,$CF1535,$CG1535,$CH1535,$CI1535,$CJ1535,$CL1535,$CM1535,$CN1535,$CO1535,$CP1535,$CQ1535,$CR1535,$CS1535,$CT1535)</f>
        <v/>
      </c>
      <c r="DX1535" s="66">
        <f>AVERAGE($CB1535,$CC1535,$CM1535,$CE1535,$CP1535)</f>
        <v/>
      </c>
      <c r="DY1535" s="64">
        <f>($DW1535-$DW1536)*100</f>
        <v/>
      </c>
      <c r="DZ1535" s="64">
        <f>($DX1535-$DX1536)*100</f>
        <v/>
      </c>
      <c r="EA1535" s="64">
        <f>($DW1535-$D1535)*100</f>
        <v/>
      </c>
      <c r="EB1535" s="64">
        <f>$Q1535-$O1535</f>
        <v/>
      </c>
      <c r="EC1535" s="67">
        <f>IFERROR($Q1535/$P1535,"")</f>
        <v/>
      </c>
    </row>
    <row r="1536">
      <c r="DG1536" s="64">
        <f>($B1536-$B1537)*100</f>
        <v/>
      </c>
      <c r="DH1536" s="64">
        <f>($D1536-$D1537)*100</f>
        <v/>
      </c>
      <c r="DI1536" s="64">
        <f>($E1536-$E1537)*100</f>
        <v/>
      </c>
      <c r="DJ1536" s="64">
        <f>($H1536-$H1537)*100</f>
        <v/>
      </c>
      <c r="DK1536" s="65">
        <f>IFERROR($J1536/$J1537-1,"")</f>
        <v/>
      </c>
      <c r="DL1536" s="64">
        <f>$L1536-$L1537</f>
        <v/>
      </c>
      <c r="DM1536" s="64">
        <f>$K1536-$K1537</f>
        <v/>
      </c>
      <c r="DN1536" s="65">
        <f>IFERROR($N1536/$N1537-1,"")</f>
        <v/>
      </c>
      <c r="DO1536" s="65">
        <f>IFERROR($M1536/$M1537-1,"")</f>
        <v/>
      </c>
      <c r="DP1536" s="65">
        <f>IFERROR($AZ1536/$AZ1537-1,"")</f>
        <v/>
      </c>
      <c r="DQ1536" s="65">
        <f>IFERROR($BA1536/$BA1537-1,"")</f>
        <v/>
      </c>
      <c r="DR1536" s="64">
        <f>$O1536-$O1537</f>
        <v/>
      </c>
      <c r="DS1536" s="64">
        <f>$P1536-$P1537</f>
        <v/>
      </c>
      <c r="DT1536" s="64">
        <f>$Q1536-$Q1537</f>
        <v/>
      </c>
      <c r="DU1536" s="64">
        <f>$S1536-$S1537</f>
        <v/>
      </c>
      <c r="DV1536" s="65">
        <f>IFERROR(AVERAGE($AA1537/$AA1536-1,$AB1537/$AB1536-1,$AC1537/$AC1536-1,$AD1537/$AD1536-1,$AE1537/$AE1536-1,$AG1537/$AG1536-1,$AH1537/$AH1536-1,$AI1537/$AI1536-1,$AJ1537/$AJ1536-1,$AL1537/$AL1536-1,$AM1537/$AM1536-1,$AR1537/$AR1536-1,$AS1537/$AS1536-1,$AT1537/$AT1536-1,$AU1537/$AU1536-1,$AV1537/$AV1536-1,$AW1537/$AW1536-1,$AX1537/$AX1536-1,$AY1537/$AY1536-1),"")</f>
        <v/>
      </c>
      <c r="DW1536" s="66">
        <f>AVERAGE($CB1536,$CC1536,$CD1536,$CE1536,$CF1536,$CG1536,$CH1536,$CI1536,$CJ1536,$CL1536,$CM1536,$CN1536,$CO1536,$CP1536,$CQ1536,$CR1536,$CS1536,$CT1536)</f>
        <v/>
      </c>
      <c r="DX1536" s="66">
        <f>AVERAGE($CB1536,$CC1536,$CM1536,$CE1536,$CP1536)</f>
        <v/>
      </c>
      <c r="DY1536" s="64">
        <f>($DW1536-$DW1537)*100</f>
        <v/>
      </c>
      <c r="DZ1536" s="64">
        <f>($DX1536-$DX1537)*100</f>
        <v/>
      </c>
      <c r="EA1536" s="64">
        <f>($DW1536-$D1536)*100</f>
        <v/>
      </c>
      <c r="EB1536" s="64">
        <f>$Q1536-$O1536</f>
        <v/>
      </c>
      <c r="EC1536" s="67">
        <f>IFERROR($Q1536/$P1536,"")</f>
        <v/>
      </c>
    </row>
    <row r="1537">
      <c r="DG1537" s="64">
        <f>($B1537-$B1538)*100</f>
        <v/>
      </c>
      <c r="DH1537" s="64">
        <f>($D1537-$D1538)*100</f>
        <v/>
      </c>
      <c r="DI1537" s="64">
        <f>($E1537-$E1538)*100</f>
        <v/>
      </c>
      <c r="DJ1537" s="64">
        <f>($H1537-$H1538)*100</f>
        <v/>
      </c>
      <c r="DK1537" s="65">
        <f>IFERROR($J1537/$J1538-1,"")</f>
        <v/>
      </c>
      <c r="DL1537" s="64">
        <f>$L1537-$L1538</f>
        <v/>
      </c>
      <c r="DM1537" s="64">
        <f>$K1537-$K1538</f>
        <v/>
      </c>
      <c r="DN1537" s="65">
        <f>IFERROR($N1537/$N1538-1,"")</f>
        <v/>
      </c>
      <c r="DO1537" s="65">
        <f>IFERROR($M1537/$M1538-1,"")</f>
        <v/>
      </c>
      <c r="DP1537" s="65">
        <f>IFERROR($AZ1537/$AZ1538-1,"")</f>
        <v/>
      </c>
      <c r="DQ1537" s="65">
        <f>IFERROR($BA1537/$BA1538-1,"")</f>
        <v/>
      </c>
      <c r="DR1537" s="64">
        <f>$O1537-$O1538</f>
        <v/>
      </c>
      <c r="DS1537" s="64">
        <f>$P1537-$P1538</f>
        <v/>
      </c>
      <c r="DT1537" s="64">
        <f>$Q1537-$Q1538</f>
        <v/>
      </c>
      <c r="DU1537" s="64">
        <f>$S1537-$S1538</f>
        <v/>
      </c>
      <c r="DV1537" s="65">
        <f>IFERROR(AVERAGE($AA1538/$AA1537-1,$AB1538/$AB1537-1,$AC1538/$AC1537-1,$AD1538/$AD1537-1,$AE1538/$AE1537-1,$AG1538/$AG1537-1,$AH1538/$AH1537-1,$AI1538/$AI1537-1,$AJ1538/$AJ1537-1,$AL1538/$AL1537-1,$AM1538/$AM1537-1,$AR1538/$AR1537-1,$AS1538/$AS1537-1,$AT1538/$AT1537-1,$AU1538/$AU1537-1,$AV1538/$AV1537-1,$AW1538/$AW1537-1,$AX1538/$AX1537-1,$AY1538/$AY1537-1),"")</f>
        <v/>
      </c>
      <c r="DW1537" s="66">
        <f>AVERAGE($CB1537,$CC1537,$CD1537,$CE1537,$CF1537,$CG1537,$CH1537,$CI1537,$CJ1537,$CL1537,$CM1537,$CN1537,$CO1537,$CP1537,$CQ1537,$CR1537,$CS1537,$CT1537)</f>
        <v/>
      </c>
      <c r="DX1537" s="66">
        <f>AVERAGE($CB1537,$CC1537,$CM1537,$CE1537,$CP1537)</f>
        <v/>
      </c>
      <c r="DY1537" s="64">
        <f>($DW1537-$DW1538)*100</f>
        <v/>
      </c>
      <c r="DZ1537" s="64">
        <f>($DX1537-$DX1538)*100</f>
        <v/>
      </c>
      <c r="EA1537" s="64">
        <f>($DW1537-$D1537)*100</f>
        <v/>
      </c>
      <c r="EB1537" s="64">
        <f>$Q1537-$O1537</f>
        <v/>
      </c>
      <c r="EC1537" s="67">
        <f>IFERROR($Q1537/$P1537,"")</f>
        <v/>
      </c>
    </row>
    <row r="1538">
      <c r="DG1538" s="64">
        <f>($B1538-$B1539)*100</f>
        <v/>
      </c>
      <c r="DH1538" s="64">
        <f>($D1538-$D1539)*100</f>
        <v/>
      </c>
      <c r="DI1538" s="64">
        <f>($E1538-$E1539)*100</f>
        <v/>
      </c>
      <c r="DJ1538" s="64">
        <f>($H1538-$H1539)*100</f>
        <v/>
      </c>
      <c r="DK1538" s="65">
        <f>IFERROR($J1538/$J1539-1,"")</f>
        <v/>
      </c>
      <c r="DL1538" s="64">
        <f>$L1538-$L1539</f>
        <v/>
      </c>
      <c r="DM1538" s="64">
        <f>$K1538-$K1539</f>
        <v/>
      </c>
      <c r="DN1538" s="65">
        <f>IFERROR($N1538/$N1539-1,"")</f>
        <v/>
      </c>
      <c r="DO1538" s="65">
        <f>IFERROR($M1538/$M1539-1,"")</f>
        <v/>
      </c>
      <c r="DP1538" s="65">
        <f>IFERROR($AZ1538/$AZ1539-1,"")</f>
        <v/>
      </c>
      <c r="DQ1538" s="65">
        <f>IFERROR($BA1538/$BA1539-1,"")</f>
        <v/>
      </c>
      <c r="DR1538" s="64">
        <f>$O1538-$O1539</f>
        <v/>
      </c>
      <c r="DS1538" s="64">
        <f>$P1538-$P1539</f>
        <v/>
      </c>
      <c r="DT1538" s="64">
        <f>$Q1538-$Q1539</f>
        <v/>
      </c>
      <c r="DU1538" s="64">
        <f>$S1538-$S1539</f>
        <v/>
      </c>
      <c r="DV1538" s="65">
        <f>IFERROR(AVERAGE($AA1539/$AA1538-1,$AB1539/$AB1538-1,$AC1539/$AC1538-1,$AD1539/$AD1538-1,$AE1539/$AE1538-1,$AG1539/$AG1538-1,$AH1539/$AH1538-1,$AI1539/$AI1538-1,$AJ1539/$AJ1538-1,$AL1539/$AL1538-1,$AM1539/$AM1538-1,$AR1539/$AR1538-1,$AS1539/$AS1538-1,$AT1539/$AT1538-1,$AU1539/$AU1538-1,$AV1539/$AV1538-1,$AW1539/$AW1538-1,$AX1539/$AX1538-1,$AY1539/$AY1538-1),"")</f>
        <v/>
      </c>
      <c r="DW1538" s="66">
        <f>AVERAGE($CB1538,$CC1538,$CD1538,$CE1538,$CF1538,$CG1538,$CH1538,$CI1538,$CJ1538,$CL1538,$CM1538,$CN1538,$CO1538,$CP1538,$CQ1538,$CR1538,$CS1538,$CT1538)</f>
        <v/>
      </c>
      <c r="DX1538" s="66">
        <f>AVERAGE($CB1538,$CC1538,$CM1538,$CE1538,$CP1538)</f>
        <v/>
      </c>
      <c r="DY1538" s="64">
        <f>($DW1538-$DW1539)*100</f>
        <v/>
      </c>
      <c r="DZ1538" s="64">
        <f>($DX1538-$DX1539)*100</f>
        <v/>
      </c>
      <c r="EA1538" s="64">
        <f>($DW1538-$D1538)*100</f>
        <v/>
      </c>
      <c r="EB1538" s="64">
        <f>$Q1538-$O1538</f>
        <v/>
      </c>
      <c r="EC1538" s="67">
        <f>IFERROR($Q1538/$P1538,"")</f>
        <v/>
      </c>
    </row>
    <row r="1539">
      <c r="DG1539" s="64">
        <f>($B1539-$B1540)*100</f>
        <v/>
      </c>
      <c r="DH1539" s="64">
        <f>($D1539-$D1540)*100</f>
        <v/>
      </c>
      <c r="DI1539" s="64">
        <f>($E1539-$E1540)*100</f>
        <v/>
      </c>
      <c r="DJ1539" s="64">
        <f>($H1539-$H1540)*100</f>
        <v/>
      </c>
      <c r="DK1539" s="65">
        <f>IFERROR($J1539/$J1540-1,"")</f>
        <v/>
      </c>
      <c r="DL1539" s="64">
        <f>$L1539-$L1540</f>
        <v/>
      </c>
      <c r="DM1539" s="64">
        <f>$K1539-$K1540</f>
        <v/>
      </c>
      <c r="DN1539" s="65">
        <f>IFERROR($N1539/$N1540-1,"")</f>
        <v/>
      </c>
      <c r="DO1539" s="65">
        <f>IFERROR($M1539/$M1540-1,"")</f>
        <v/>
      </c>
      <c r="DP1539" s="65">
        <f>IFERROR($AZ1539/$AZ1540-1,"")</f>
        <v/>
      </c>
      <c r="DQ1539" s="65">
        <f>IFERROR($BA1539/$BA1540-1,"")</f>
        <v/>
      </c>
      <c r="DR1539" s="64">
        <f>$O1539-$O1540</f>
        <v/>
      </c>
      <c r="DS1539" s="64">
        <f>$P1539-$P1540</f>
        <v/>
      </c>
      <c r="DT1539" s="64">
        <f>$Q1539-$Q1540</f>
        <v/>
      </c>
      <c r="DU1539" s="64">
        <f>$S1539-$S1540</f>
        <v/>
      </c>
      <c r="DV1539" s="65">
        <f>IFERROR(AVERAGE($AA1540/$AA1539-1,$AB1540/$AB1539-1,$AC1540/$AC1539-1,$AD1540/$AD1539-1,$AE1540/$AE1539-1,$AG1540/$AG1539-1,$AH1540/$AH1539-1,$AI1540/$AI1539-1,$AJ1540/$AJ1539-1,$AL1540/$AL1539-1,$AM1540/$AM1539-1,$AR1540/$AR1539-1,$AS1540/$AS1539-1,$AT1540/$AT1539-1,$AU1540/$AU1539-1,$AV1540/$AV1539-1,$AW1540/$AW1539-1,$AX1540/$AX1539-1,$AY1540/$AY1539-1),"")</f>
        <v/>
      </c>
      <c r="DW1539" s="66">
        <f>AVERAGE($CB1539,$CC1539,$CD1539,$CE1539,$CF1539,$CG1539,$CH1539,$CI1539,$CJ1539,$CL1539,$CM1539,$CN1539,$CO1539,$CP1539,$CQ1539,$CR1539,$CS1539,$CT1539)</f>
        <v/>
      </c>
      <c r="DX1539" s="66">
        <f>AVERAGE($CB1539,$CC1539,$CM1539,$CE1539,$CP1539)</f>
        <v/>
      </c>
      <c r="DY1539" s="64">
        <f>($DW1539-$DW1540)*100</f>
        <v/>
      </c>
      <c r="DZ1539" s="64">
        <f>($DX1539-$DX1540)*100</f>
        <v/>
      </c>
      <c r="EA1539" s="64">
        <f>($DW1539-$D1539)*100</f>
        <v/>
      </c>
      <c r="EB1539" s="64">
        <f>$Q1539-$O1539</f>
        <v/>
      </c>
      <c r="EC1539" s="67">
        <f>IFERROR($Q1539/$P1539,"")</f>
        <v/>
      </c>
    </row>
    <row r="1540">
      <c r="DG1540" s="64">
        <f>($B1540-$B1541)*100</f>
        <v/>
      </c>
      <c r="DH1540" s="64">
        <f>($D1540-$D1541)*100</f>
        <v/>
      </c>
      <c r="DI1540" s="64">
        <f>($E1540-$E1541)*100</f>
        <v/>
      </c>
      <c r="DJ1540" s="64">
        <f>($H1540-$H1541)*100</f>
        <v/>
      </c>
      <c r="DK1540" s="65">
        <f>IFERROR($J1540/$J1541-1,"")</f>
        <v/>
      </c>
      <c r="DL1540" s="64">
        <f>$L1540-$L1541</f>
        <v/>
      </c>
      <c r="DM1540" s="64">
        <f>$K1540-$K1541</f>
        <v/>
      </c>
      <c r="DN1540" s="65">
        <f>IFERROR($N1540/$N1541-1,"")</f>
        <v/>
      </c>
      <c r="DO1540" s="65">
        <f>IFERROR($M1540/$M1541-1,"")</f>
        <v/>
      </c>
      <c r="DP1540" s="65">
        <f>IFERROR($AZ1540/$AZ1541-1,"")</f>
        <v/>
      </c>
      <c r="DQ1540" s="65">
        <f>IFERROR($BA1540/$BA1541-1,"")</f>
        <v/>
      </c>
      <c r="DR1540" s="64">
        <f>$O1540-$O1541</f>
        <v/>
      </c>
      <c r="DS1540" s="64">
        <f>$P1540-$P1541</f>
        <v/>
      </c>
      <c r="DT1540" s="64">
        <f>$Q1540-$Q1541</f>
        <v/>
      </c>
      <c r="DU1540" s="64">
        <f>$S1540-$S1541</f>
        <v/>
      </c>
      <c r="DV1540" s="65">
        <f>IFERROR(AVERAGE($AA1541/$AA1540-1,$AB1541/$AB1540-1,$AC1541/$AC1540-1,$AD1541/$AD1540-1,$AE1541/$AE1540-1,$AG1541/$AG1540-1,$AH1541/$AH1540-1,$AI1541/$AI1540-1,$AJ1541/$AJ1540-1,$AL1541/$AL1540-1,$AM1541/$AM1540-1,$AR1541/$AR1540-1,$AS1541/$AS1540-1,$AT1541/$AT1540-1,$AU1541/$AU1540-1,$AV1541/$AV1540-1,$AW1541/$AW1540-1,$AX1541/$AX1540-1,$AY1541/$AY1540-1),"")</f>
        <v/>
      </c>
      <c r="DW1540" s="66">
        <f>AVERAGE($CB1540,$CC1540,$CD1540,$CE1540,$CF1540,$CG1540,$CH1540,$CI1540,$CJ1540,$CL1540,$CM1540,$CN1540,$CO1540,$CP1540,$CQ1540,$CR1540,$CS1540,$CT1540)</f>
        <v/>
      </c>
      <c r="DX1540" s="66">
        <f>AVERAGE($CB1540,$CC1540,$CM1540,$CE1540,$CP1540)</f>
        <v/>
      </c>
      <c r="DY1540" s="64">
        <f>($DW1540-$DW1541)*100</f>
        <v/>
      </c>
      <c r="DZ1540" s="64">
        <f>($DX1540-$DX1541)*100</f>
        <v/>
      </c>
      <c r="EA1540" s="64">
        <f>($DW1540-$D1540)*100</f>
        <v/>
      </c>
      <c r="EB1540" s="64">
        <f>$Q1540-$O1540</f>
        <v/>
      </c>
      <c r="EC1540" s="67">
        <f>IFERROR($Q1540/$P1540,"")</f>
        <v/>
      </c>
    </row>
    <row r="1541">
      <c r="DG1541" s="64">
        <f>($B1541-$B1542)*100</f>
        <v/>
      </c>
      <c r="DH1541" s="64">
        <f>($D1541-$D1542)*100</f>
        <v/>
      </c>
      <c r="DI1541" s="64">
        <f>($E1541-$E1542)*100</f>
        <v/>
      </c>
      <c r="DJ1541" s="64">
        <f>($H1541-$H1542)*100</f>
        <v/>
      </c>
      <c r="DK1541" s="65">
        <f>IFERROR($J1541/$J1542-1,"")</f>
        <v/>
      </c>
      <c r="DL1541" s="64">
        <f>$L1541-$L1542</f>
        <v/>
      </c>
      <c r="DM1541" s="64">
        <f>$K1541-$K1542</f>
        <v/>
      </c>
      <c r="DN1541" s="65">
        <f>IFERROR($N1541/$N1542-1,"")</f>
        <v/>
      </c>
      <c r="DO1541" s="65">
        <f>IFERROR($M1541/$M1542-1,"")</f>
        <v/>
      </c>
      <c r="DP1541" s="65">
        <f>IFERROR($AZ1541/$AZ1542-1,"")</f>
        <v/>
      </c>
      <c r="DQ1541" s="65">
        <f>IFERROR($BA1541/$BA1542-1,"")</f>
        <v/>
      </c>
      <c r="DR1541" s="64">
        <f>$O1541-$O1542</f>
        <v/>
      </c>
      <c r="DS1541" s="64">
        <f>$P1541-$P1542</f>
        <v/>
      </c>
      <c r="DT1541" s="64">
        <f>$Q1541-$Q1542</f>
        <v/>
      </c>
      <c r="DU1541" s="64">
        <f>$S1541-$S1542</f>
        <v/>
      </c>
      <c r="DV1541" s="65">
        <f>IFERROR(AVERAGE($AA1542/$AA1541-1,$AB1542/$AB1541-1,$AC1542/$AC1541-1,$AD1542/$AD1541-1,$AE1542/$AE1541-1,$AG1542/$AG1541-1,$AH1542/$AH1541-1,$AI1542/$AI1541-1,$AJ1542/$AJ1541-1,$AL1542/$AL1541-1,$AM1542/$AM1541-1,$AR1542/$AR1541-1,$AS1542/$AS1541-1,$AT1542/$AT1541-1,$AU1542/$AU1541-1,$AV1542/$AV1541-1,$AW1542/$AW1541-1,$AX1542/$AX1541-1,$AY1542/$AY1541-1),"")</f>
        <v/>
      </c>
      <c r="DW1541" s="66">
        <f>AVERAGE($CB1541,$CC1541,$CD1541,$CE1541,$CF1541,$CG1541,$CH1541,$CI1541,$CJ1541,$CL1541,$CM1541,$CN1541,$CO1541,$CP1541,$CQ1541,$CR1541,$CS1541,$CT1541)</f>
        <v/>
      </c>
      <c r="DX1541" s="66">
        <f>AVERAGE($CB1541,$CC1541,$CM1541,$CE1541,$CP1541)</f>
        <v/>
      </c>
      <c r="DY1541" s="64">
        <f>($DW1541-$DW1542)*100</f>
        <v/>
      </c>
      <c r="DZ1541" s="64">
        <f>($DX1541-$DX1542)*100</f>
        <v/>
      </c>
      <c r="EA1541" s="64">
        <f>($DW1541-$D1541)*100</f>
        <v/>
      </c>
      <c r="EB1541" s="64">
        <f>$Q1541-$O1541</f>
        <v/>
      </c>
      <c r="EC1541" s="67">
        <f>IFERROR($Q1541/$P1541,"")</f>
        <v/>
      </c>
    </row>
    <row r="1542">
      <c r="DG1542" s="64">
        <f>($B1542-$B1543)*100</f>
        <v/>
      </c>
      <c r="DH1542" s="64">
        <f>($D1542-$D1543)*100</f>
        <v/>
      </c>
      <c r="DI1542" s="64">
        <f>($E1542-$E1543)*100</f>
        <v/>
      </c>
      <c r="DJ1542" s="64">
        <f>($H1542-$H1543)*100</f>
        <v/>
      </c>
      <c r="DK1542" s="65">
        <f>IFERROR($J1542/$J1543-1,"")</f>
        <v/>
      </c>
      <c r="DL1542" s="64">
        <f>$L1542-$L1543</f>
        <v/>
      </c>
      <c r="DM1542" s="64">
        <f>$K1542-$K1543</f>
        <v/>
      </c>
      <c r="DN1542" s="65">
        <f>IFERROR($N1542/$N1543-1,"")</f>
        <v/>
      </c>
      <c r="DO1542" s="65">
        <f>IFERROR($M1542/$M1543-1,"")</f>
        <v/>
      </c>
      <c r="DP1542" s="65">
        <f>IFERROR($AZ1542/$AZ1543-1,"")</f>
        <v/>
      </c>
      <c r="DQ1542" s="65">
        <f>IFERROR($BA1542/$BA1543-1,"")</f>
        <v/>
      </c>
      <c r="DR1542" s="64">
        <f>$O1542-$O1543</f>
        <v/>
      </c>
      <c r="DS1542" s="64">
        <f>$P1542-$P1543</f>
        <v/>
      </c>
      <c r="DT1542" s="64">
        <f>$Q1542-$Q1543</f>
        <v/>
      </c>
      <c r="DU1542" s="64">
        <f>$S1542-$S1543</f>
        <v/>
      </c>
      <c r="DV1542" s="65">
        <f>IFERROR(AVERAGE($AA1543/$AA1542-1,$AB1543/$AB1542-1,$AC1543/$AC1542-1,$AD1543/$AD1542-1,$AE1543/$AE1542-1,$AG1543/$AG1542-1,$AH1543/$AH1542-1,$AI1543/$AI1542-1,$AJ1543/$AJ1542-1,$AL1543/$AL1542-1,$AM1543/$AM1542-1,$AR1543/$AR1542-1,$AS1543/$AS1542-1,$AT1543/$AT1542-1,$AU1543/$AU1542-1,$AV1543/$AV1542-1,$AW1543/$AW1542-1,$AX1543/$AX1542-1,$AY1543/$AY1542-1),"")</f>
        <v/>
      </c>
      <c r="DW1542" s="66">
        <f>AVERAGE($CB1542,$CC1542,$CD1542,$CE1542,$CF1542,$CG1542,$CH1542,$CI1542,$CJ1542,$CL1542,$CM1542,$CN1542,$CO1542,$CP1542,$CQ1542,$CR1542,$CS1542,$CT1542)</f>
        <v/>
      </c>
      <c r="DX1542" s="66">
        <f>AVERAGE($CB1542,$CC1542,$CM1542,$CE1542,$CP1542)</f>
        <v/>
      </c>
      <c r="DY1542" s="64">
        <f>($DW1542-$DW1543)*100</f>
        <v/>
      </c>
      <c r="DZ1542" s="64">
        <f>($DX1542-$DX1543)*100</f>
        <v/>
      </c>
      <c r="EA1542" s="64">
        <f>($DW1542-$D1542)*100</f>
        <v/>
      </c>
      <c r="EB1542" s="64">
        <f>$Q1542-$O1542</f>
        <v/>
      </c>
      <c r="EC1542" s="67">
        <f>IFERROR($Q1542/$P1542,"")</f>
        <v/>
      </c>
    </row>
    <row r="1543">
      <c r="DG1543" s="64">
        <f>($B1543-$B1544)*100</f>
        <v/>
      </c>
      <c r="DH1543" s="64">
        <f>($D1543-$D1544)*100</f>
        <v/>
      </c>
      <c r="DI1543" s="64">
        <f>($E1543-$E1544)*100</f>
        <v/>
      </c>
      <c r="DJ1543" s="64">
        <f>($H1543-$H1544)*100</f>
        <v/>
      </c>
      <c r="DK1543" s="65">
        <f>IFERROR($J1543/$J1544-1,"")</f>
        <v/>
      </c>
      <c r="DL1543" s="64">
        <f>$L1543-$L1544</f>
        <v/>
      </c>
      <c r="DM1543" s="64">
        <f>$K1543-$K1544</f>
        <v/>
      </c>
      <c r="DN1543" s="65">
        <f>IFERROR($N1543/$N1544-1,"")</f>
        <v/>
      </c>
      <c r="DO1543" s="65">
        <f>IFERROR($M1543/$M1544-1,"")</f>
        <v/>
      </c>
      <c r="DP1543" s="65">
        <f>IFERROR($AZ1543/$AZ1544-1,"")</f>
        <v/>
      </c>
      <c r="DQ1543" s="65">
        <f>IFERROR($BA1543/$BA1544-1,"")</f>
        <v/>
      </c>
      <c r="DR1543" s="64">
        <f>$O1543-$O1544</f>
        <v/>
      </c>
      <c r="DS1543" s="64">
        <f>$P1543-$P1544</f>
        <v/>
      </c>
      <c r="DT1543" s="64">
        <f>$Q1543-$Q1544</f>
        <v/>
      </c>
      <c r="DU1543" s="64">
        <f>$S1543-$S1544</f>
        <v/>
      </c>
      <c r="DV1543" s="65">
        <f>IFERROR(AVERAGE($AA1544/$AA1543-1,$AB1544/$AB1543-1,$AC1544/$AC1543-1,$AD1544/$AD1543-1,$AE1544/$AE1543-1,$AG1544/$AG1543-1,$AH1544/$AH1543-1,$AI1544/$AI1543-1,$AJ1544/$AJ1543-1,$AL1544/$AL1543-1,$AM1544/$AM1543-1,$AR1544/$AR1543-1,$AS1544/$AS1543-1,$AT1544/$AT1543-1,$AU1544/$AU1543-1,$AV1544/$AV1543-1,$AW1544/$AW1543-1,$AX1544/$AX1543-1,$AY1544/$AY1543-1),"")</f>
        <v/>
      </c>
      <c r="DW1543" s="66">
        <f>AVERAGE($CB1543,$CC1543,$CD1543,$CE1543,$CF1543,$CG1543,$CH1543,$CI1543,$CJ1543,$CL1543,$CM1543,$CN1543,$CO1543,$CP1543,$CQ1543,$CR1543,$CS1543,$CT1543)</f>
        <v/>
      </c>
      <c r="DX1543" s="66">
        <f>AVERAGE($CB1543,$CC1543,$CM1543,$CE1543,$CP1543)</f>
        <v/>
      </c>
      <c r="DY1543" s="64">
        <f>($DW1543-$DW1544)*100</f>
        <v/>
      </c>
      <c r="DZ1543" s="64">
        <f>($DX1543-$DX1544)*100</f>
        <v/>
      </c>
      <c r="EA1543" s="64">
        <f>($DW1543-$D1543)*100</f>
        <v/>
      </c>
      <c r="EB1543" s="64">
        <f>$Q1543-$O1543</f>
        <v/>
      </c>
      <c r="EC1543" s="67">
        <f>IFERROR($Q1543/$P1543,"")</f>
        <v/>
      </c>
    </row>
    <row r="1544">
      <c r="DG1544" s="64">
        <f>($B1544-$B1545)*100</f>
        <v/>
      </c>
      <c r="DH1544" s="64">
        <f>($D1544-$D1545)*100</f>
        <v/>
      </c>
      <c r="DI1544" s="64">
        <f>($E1544-$E1545)*100</f>
        <v/>
      </c>
      <c r="DJ1544" s="64">
        <f>($H1544-$H1545)*100</f>
        <v/>
      </c>
      <c r="DK1544" s="65">
        <f>IFERROR($J1544/$J1545-1,"")</f>
        <v/>
      </c>
      <c r="DL1544" s="64">
        <f>$L1544-$L1545</f>
        <v/>
      </c>
      <c r="DM1544" s="64">
        <f>$K1544-$K1545</f>
        <v/>
      </c>
      <c r="DN1544" s="65">
        <f>IFERROR($N1544/$N1545-1,"")</f>
        <v/>
      </c>
      <c r="DO1544" s="65">
        <f>IFERROR($M1544/$M1545-1,"")</f>
        <v/>
      </c>
      <c r="DP1544" s="65">
        <f>IFERROR($AZ1544/$AZ1545-1,"")</f>
        <v/>
      </c>
      <c r="DQ1544" s="65">
        <f>IFERROR($BA1544/$BA1545-1,"")</f>
        <v/>
      </c>
      <c r="DR1544" s="64">
        <f>$O1544-$O1545</f>
        <v/>
      </c>
      <c r="DS1544" s="64">
        <f>$P1544-$P1545</f>
        <v/>
      </c>
      <c r="DT1544" s="64">
        <f>$Q1544-$Q1545</f>
        <v/>
      </c>
      <c r="DU1544" s="64">
        <f>$S1544-$S1545</f>
        <v/>
      </c>
      <c r="DV1544" s="65">
        <f>IFERROR(AVERAGE($AA1545/$AA1544-1,$AB1545/$AB1544-1,$AC1545/$AC1544-1,$AD1545/$AD1544-1,$AE1545/$AE1544-1,$AG1545/$AG1544-1,$AH1545/$AH1544-1,$AI1545/$AI1544-1,$AJ1545/$AJ1544-1,$AL1545/$AL1544-1,$AM1545/$AM1544-1,$AR1545/$AR1544-1,$AS1545/$AS1544-1,$AT1545/$AT1544-1,$AU1545/$AU1544-1,$AV1545/$AV1544-1,$AW1545/$AW1544-1,$AX1545/$AX1544-1,$AY1545/$AY1544-1),"")</f>
        <v/>
      </c>
      <c r="DW1544" s="66">
        <f>AVERAGE($CB1544,$CC1544,$CD1544,$CE1544,$CF1544,$CG1544,$CH1544,$CI1544,$CJ1544,$CL1544,$CM1544,$CN1544,$CO1544,$CP1544,$CQ1544,$CR1544,$CS1544,$CT1544)</f>
        <v/>
      </c>
      <c r="DX1544" s="66">
        <f>AVERAGE($CB1544,$CC1544,$CM1544,$CE1544,$CP1544)</f>
        <v/>
      </c>
      <c r="DY1544" s="64">
        <f>($DW1544-$DW1545)*100</f>
        <v/>
      </c>
      <c r="DZ1544" s="64">
        <f>($DX1544-$DX1545)*100</f>
        <v/>
      </c>
      <c r="EA1544" s="64">
        <f>($DW1544-$D1544)*100</f>
        <v/>
      </c>
      <c r="EB1544" s="64">
        <f>$Q1544-$O1544</f>
        <v/>
      </c>
      <c r="EC1544" s="67">
        <f>IFERROR($Q1544/$P1544,"")</f>
        <v/>
      </c>
    </row>
    <row r="1545">
      <c r="DG1545" s="64">
        <f>($B1545-$B1546)*100</f>
        <v/>
      </c>
      <c r="DH1545" s="64">
        <f>($D1545-$D1546)*100</f>
        <v/>
      </c>
      <c r="DI1545" s="64">
        <f>($E1545-$E1546)*100</f>
        <v/>
      </c>
      <c r="DJ1545" s="64">
        <f>($H1545-$H1546)*100</f>
        <v/>
      </c>
      <c r="DK1545" s="65">
        <f>IFERROR($J1545/$J1546-1,"")</f>
        <v/>
      </c>
      <c r="DL1545" s="64">
        <f>$L1545-$L1546</f>
        <v/>
      </c>
      <c r="DM1545" s="64">
        <f>$K1545-$K1546</f>
        <v/>
      </c>
      <c r="DN1545" s="65">
        <f>IFERROR($N1545/$N1546-1,"")</f>
        <v/>
      </c>
      <c r="DO1545" s="65">
        <f>IFERROR($M1545/$M1546-1,"")</f>
        <v/>
      </c>
      <c r="DP1545" s="65">
        <f>IFERROR($AZ1545/$AZ1546-1,"")</f>
        <v/>
      </c>
      <c r="DQ1545" s="65">
        <f>IFERROR($BA1545/$BA1546-1,"")</f>
        <v/>
      </c>
      <c r="DR1545" s="64">
        <f>$O1545-$O1546</f>
        <v/>
      </c>
      <c r="DS1545" s="64">
        <f>$P1545-$P1546</f>
        <v/>
      </c>
      <c r="DT1545" s="64">
        <f>$Q1545-$Q1546</f>
        <v/>
      </c>
      <c r="DU1545" s="64">
        <f>$S1545-$S1546</f>
        <v/>
      </c>
      <c r="DV1545" s="65">
        <f>IFERROR(AVERAGE($AA1546/$AA1545-1,$AB1546/$AB1545-1,$AC1546/$AC1545-1,$AD1546/$AD1545-1,$AE1546/$AE1545-1,$AG1546/$AG1545-1,$AH1546/$AH1545-1,$AI1546/$AI1545-1,$AJ1546/$AJ1545-1,$AL1546/$AL1545-1,$AM1546/$AM1545-1,$AR1546/$AR1545-1,$AS1546/$AS1545-1,$AT1546/$AT1545-1,$AU1546/$AU1545-1,$AV1546/$AV1545-1,$AW1546/$AW1545-1,$AX1546/$AX1545-1,$AY1546/$AY1545-1),"")</f>
        <v/>
      </c>
      <c r="DW1545" s="66">
        <f>AVERAGE($CB1545,$CC1545,$CD1545,$CE1545,$CF1545,$CG1545,$CH1545,$CI1545,$CJ1545,$CL1545,$CM1545,$CN1545,$CO1545,$CP1545,$CQ1545,$CR1545,$CS1545,$CT1545)</f>
        <v/>
      </c>
      <c r="DX1545" s="66">
        <f>AVERAGE($CB1545,$CC1545,$CM1545,$CE1545,$CP1545)</f>
        <v/>
      </c>
      <c r="DY1545" s="64">
        <f>($DW1545-$DW1546)*100</f>
        <v/>
      </c>
      <c r="DZ1545" s="64">
        <f>($DX1545-$DX1546)*100</f>
        <v/>
      </c>
      <c r="EA1545" s="64">
        <f>($DW1545-$D1545)*100</f>
        <v/>
      </c>
      <c r="EB1545" s="64">
        <f>$Q1545-$O1545</f>
        <v/>
      </c>
      <c r="EC1545" s="67">
        <f>IFERROR($Q1545/$P1545,"")</f>
        <v/>
      </c>
    </row>
    <row r="1546">
      <c r="DG1546" s="64">
        <f>($B1546-$B1547)*100</f>
        <v/>
      </c>
      <c r="DH1546" s="64">
        <f>($D1546-$D1547)*100</f>
        <v/>
      </c>
      <c r="DI1546" s="64">
        <f>($E1546-$E1547)*100</f>
        <v/>
      </c>
      <c r="DJ1546" s="64">
        <f>($H1546-$H1547)*100</f>
        <v/>
      </c>
      <c r="DK1546" s="65">
        <f>IFERROR($J1546/$J1547-1,"")</f>
        <v/>
      </c>
      <c r="DL1546" s="64">
        <f>$L1546-$L1547</f>
        <v/>
      </c>
      <c r="DM1546" s="64">
        <f>$K1546-$K1547</f>
        <v/>
      </c>
      <c r="DN1546" s="65">
        <f>IFERROR($N1546/$N1547-1,"")</f>
        <v/>
      </c>
      <c r="DO1546" s="65">
        <f>IFERROR($M1546/$M1547-1,"")</f>
        <v/>
      </c>
      <c r="DP1546" s="65">
        <f>IFERROR($AZ1546/$AZ1547-1,"")</f>
        <v/>
      </c>
      <c r="DQ1546" s="65">
        <f>IFERROR($BA1546/$BA1547-1,"")</f>
        <v/>
      </c>
      <c r="DR1546" s="64">
        <f>$O1546-$O1547</f>
        <v/>
      </c>
      <c r="DS1546" s="64">
        <f>$P1546-$P1547</f>
        <v/>
      </c>
      <c r="DT1546" s="64">
        <f>$Q1546-$Q1547</f>
        <v/>
      </c>
      <c r="DU1546" s="64">
        <f>$S1546-$S1547</f>
        <v/>
      </c>
      <c r="DV1546" s="65">
        <f>IFERROR(AVERAGE($AA1547/$AA1546-1,$AB1547/$AB1546-1,$AC1547/$AC1546-1,$AD1547/$AD1546-1,$AE1547/$AE1546-1,$AG1547/$AG1546-1,$AH1547/$AH1546-1,$AI1547/$AI1546-1,$AJ1547/$AJ1546-1,$AL1547/$AL1546-1,$AM1547/$AM1546-1,$AR1547/$AR1546-1,$AS1547/$AS1546-1,$AT1547/$AT1546-1,$AU1547/$AU1546-1,$AV1547/$AV1546-1,$AW1547/$AW1546-1,$AX1547/$AX1546-1,$AY1547/$AY1546-1),"")</f>
        <v/>
      </c>
      <c r="DW1546" s="66">
        <f>AVERAGE($CB1546,$CC1546,$CD1546,$CE1546,$CF1546,$CG1546,$CH1546,$CI1546,$CJ1546,$CL1546,$CM1546,$CN1546,$CO1546,$CP1546,$CQ1546,$CR1546,$CS1546,$CT1546)</f>
        <v/>
      </c>
      <c r="DX1546" s="66">
        <f>AVERAGE($CB1546,$CC1546,$CM1546,$CE1546,$CP1546)</f>
        <v/>
      </c>
      <c r="DY1546" s="64">
        <f>($DW1546-$DW1547)*100</f>
        <v/>
      </c>
      <c r="DZ1546" s="64">
        <f>($DX1546-$DX1547)*100</f>
        <v/>
      </c>
      <c r="EA1546" s="64">
        <f>($DW1546-$D1546)*100</f>
        <v/>
      </c>
      <c r="EB1546" s="64">
        <f>$Q1546-$O1546</f>
        <v/>
      </c>
      <c r="EC1546" s="67">
        <f>IFERROR($Q1546/$P1546,"")</f>
        <v/>
      </c>
    </row>
    <row r="1547">
      <c r="DG1547" s="64">
        <f>($B1547-$B1548)*100</f>
        <v/>
      </c>
      <c r="DH1547" s="64">
        <f>($D1547-$D1548)*100</f>
        <v/>
      </c>
      <c r="DI1547" s="64">
        <f>($E1547-$E1548)*100</f>
        <v/>
      </c>
      <c r="DJ1547" s="64">
        <f>($H1547-$H1548)*100</f>
        <v/>
      </c>
      <c r="DK1547" s="65">
        <f>IFERROR($J1547/$J1548-1,"")</f>
        <v/>
      </c>
      <c r="DL1547" s="64">
        <f>$L1547-$L1548</f>
        <v/>
      </c>
      <c r="DM1547" s="64">
        <f>$K1547-$K1548</f>
        <v/>
      </c>
      <c r="DN1547" s="65">
        <f>IFERROR($N1547/$N1548-1,"")</f>
        <v/>
      </c>
      <c r="DO1547" s="65">
        <f>IFERROR($M1547/$M1548-1,"")</f>
        <v/>
      </c>
      <c r="DP1547" s="65">
        <f>IFERROR($AZ1547/$AZ1548-1,"")</f>
        <v/>
      </c>
      <c r="DQ1547" s="65">
        <f>IFERROR($BA1547/$BA1548-1,"")</f>
        <v/>
      </c>
      <c r="DR1547" s="64">
        <f>$O1547-$O1548</f>
        <v/>
      </c>
      <c r="DS1547" s="64">
        <f>$P1547-$P1548</f>
        <v/>
      </c>
      <c r="DT1547" s="64">
        <f>$Q1547-$Q1548</f>
        <v/>
      </c>
      <c r="DU1547" s="64">
        <f>$S1547-$S1548</f>
        <v/>
      </c>
      <c r="DV1547" s="65">
        <f>IFERROR(AVERAGE($AA1548/$AA1547-1,$AB1548/$AB1547-1,$AC1548/$AC1547-1,$AD1548/$AD1547-1,$AE1548/$AE1547-1,$AG1548/$AG1547-1,$AH1548/$AH1547-1,$AI1548/$AI1547-1,$AJ1548/$AJ1547-1,$AL1548/$AL1547-1,$AM1548/$AM1547-1,$AR1548/$AR1547-1,$AS1548/$AS1547-1,$AT1548/$AT1547-1,$AU1548/$AU1547-1,$AV1548/$AV1547-1,$AW1548/$AW1547-1,$AX1548/$AX1547-1,$AY1548/$AY1547-1),"")</f>
        <v/>
      </c>
      <c r="DW1547" s="66">
        <f>AVERAGE($CB1547,$CC1547,$CD1547,$CE1547,$CF1547,$CG1547,$CH1547,$CI1547,$CJ1547,$CL1547,$CM1547,$CN1547,$CO1547,$CP1547,$CQ1547,$CR1547,$CS1547,$CT1547)</f>
        <v/>
      </c>
      <c r="DX1547" s="66">
        <f>AVERAGE($CB1547,$CC1547,$CM1547,$CE1547,$CP1547)</f>
        <v/>
      </c>
      <c r="DY1547" s="64">
        <f>($DW1547-$DW1548)*100</f>
        <v/>
      </c>
      <c r="DZ1547" s="64">
        <f>($DX1547-$DX1548)*100</f>
        <v/>
      </c>
      <c r="EA1547" s="64">
        <f>($DW1547-$D1547)*100</f>
        <v/>
      </c>
      <c r="EB1547" s="64">
        <f>$Q1547-$O1547</f>
        <v/>
      </c>
      <c r="EC1547" s="67">
        <f>IFERROR($Q1547/$P1547,"")</f>
        <v/>
      </c>
    </row>
    <row r="1548">
      <c r="DG1548" s="64">
        <f>($B1548-$B1549)*100</f>
        <v/>
      </c>
      <c r="DH1548" s="64">
        <f>($D1548-$D1549)*100</f>
        <v/>
      </c>
      <c r="DI1548" s="64">
        <f>($E1548-$E1549)*100</f>
        <v/>
      </c>
      <c r="DJ1548" s="64">
        <f>($H1548-$H1549)*100</f>
        <v/>
      </c>
      <c r="DK1548" s="65">
        <f>IFERROR($J1548/$J1549-1,"")</f>
        <v/>
      </c>
      <c r="DL1548" s="64">
        <f>$L1548-$L1549</f>
        <v/>
      </c>
      <c r="DM1548" s="64">
        <f>$K1548-$K1549</f>
        <v/>
      </c>
      <c r="DN1548" s="65">
        <f>IFERROR($N1548/$N1549-1,"")</f>
        <v/>
      </c>
      <c r="DO1548" s="65">
        <f>IFERROR($M1548/$M1549-1,"")</f>
        <v/>
      </c>
      <c r="DP1548" s="65">
        <f>IFERROR($AZ1548/$AZ1549-1,"")</f>
        <v/>
      </c>
      <c r="DQ1548" s="65">
        <f>IFERROR($BA1548/$BA1549-1,"")</f>
        <v/>
      </c>
      <c r="DR1548" s="64">
        <f>$O1548-$O1549</f>
        <v/>
      </c>
      <c r="DS1548" s="64">
        <f>$P1548-$P1549</f>
        <v/>
      </c>
      <c r="DT1548" s="64">
        <f>$Q1548-$Q1549</f>
        <v/>
      </c>
      <c r="DU1548" s="64">
        <f>$S1548-$S1549</f>
        <v/>
      </c>
      <c r="DV1548" s="65">
        <f>IFERROR(AVERAGE($AA1549/$AA1548-1,$AB1549/$AB1548-1,$AC1549/$AC1548-1,$AD1549/$AD1548-1,$AE1549/$AE1548-1,$AG1549/$AG1548-1,$AH1549/$AH1548-1,$AI1549/$AI1548-1,$AJ1549/$AJ1548-1,$AL1549/$AL1548-1,$AM1549/$AM1548-1,$AR1549/$AR1548-1,$AS1549/$AS1548-1,$AT1549/$AT1548-1,$AU1549/$AU1548-1,$AV1549/$AV1548-1,$AW1549/$AW1548-1,$AX1549/$AX1548-1,$AY1549/$AY1548-1),"")</f>
        <v/>
      </c>
      <c r="DW1548" s="66">
        <f>AVERAGE($CB1548,$CC1548,$CD1548,$CE1548,$CF1548,$CG1548,$CH1548,$CI1548,$CJ1548,$CL1548,$CM1548,$CN1548,$CO1548,$CP1548,$CQ1548,$CR1548,$CS1548,$CT1548)</f>
        <v/>
      </c>
      <c r="DX1548" s="66">
        <f>AVERAGE($CB1548,$CC1548,$CM1548,$CE1548,$CP1548)</f>
        <v/>
      </c>
      <c r="DY1548" s="64">
        <f>($DW1548-$DW1549)*100</f>
        <v/>
      </c>
      <c r="DZ1548" s="64">
        <f>($DX1548-$DX1549)*100</f>
        <v/>
      </c>
      <c r="EA1548" s="64">
        <f>($DW1548-$D1548)*100</f>
        <v/>
      </c>
      <c r="EB1548" s="64">
        <f>$Q1548-$O1548</f>
        <v/>
      </c>
      <c r="EC1548" s="67">
        <f>IFERROR($Q1548/$P1548,"")</f>
        <v/>
      </c>
    </row>
    <row r="1549">
      <c r="DG1549" s="64">
        <f>($B1549-$B1550)*100</f>
        <v/>
      </c>
      <c r="DH1549" s="64">
        <f>($D1549-$D1550)*100</f>
        <v/>
      </c>
      <c r="DI1549" s="64">
        <f>($E1549-$E1550)*100</f>
        <v/>
      </c>
      <c r="DJ1549" s="64">
        <f>($H1549-$H1550)*100</f>
        <v/>
      </c>
      <c r="DK1549" s="65">
        <f>IFERROR($J1549/$J1550-1,"")</f>
        <v/>
      </c>
      <c r="DL1549" s="64">
        <f>$L1549-$L1550</f>
        <v/>
      </c>
      <c r="DM1549" s="64">
        <f>$K1549-$K1550</f>
        <v/>
      </c>
      <c r="DN1549" s="65">
        <f>IFERROR($N1549/$N1550-1,"")</f>
        <v/>
      </c>
      <c r="DO1549" s="65">
        <f>IFERROR($M1549/$M1550-1,"")</f>
        <v/>
      </c>
      <c r="DP1549" s="65">
        <f>IFERROR($AZ1549/$AZ1550-1,"")</f>
        <v/>
      </c>
      <c r="DQ1549" s="65">
        <f>IFERROR($BA1549/$BA1550-1,"")</f>
        <v/>
      </c>
      <c r="DR1549" s="64">
        <f>$O1549-$O1550</f>
        <v/>
      </c>
      <c r="DS1549" s="64">
        <f>$P1549-$P1550</f>
        <v/>
      </c>
      <c r="DT1549" s="64">
        <f>$Q1549-$Q1550</f>
        <v/>
      </c>
      <c r="DU1549" s="64">
        <f>$S1549-$S1550</f>
        <v/>
      </c>
      <c r="DV1549" s="65">
        <f>IFERROR(AVERAGE($AA1550/$AA1549-1,$AB1550/$AB1549-1,$AC1550/$AC1549-1,$AD1550/$AD1549-1,$AE1550/$AE1549-1,$AG1550/$AG1549-1,$AH1550/$AH1549-1,$AI1550/$AI1549-1,$AJ1550/$AJ1549-1,$AL1550/$AL1549-1,$AM1550/$AM1549-1,$AR1550/$AR1549-1,$AS1550/$AS1549-1,$AT1550/$AT1549-1,$AU1550/$AU1549-1,$AV1550/$AV1549-1,$AW1550/$AW1549-1,$AX1550/$AX1549-1,$AY1550/$AY1549-1),"")</f>
        <v/>
      </c>
      <c r="DW1549" s="66">
        <f>AVERAGE($CB1549,$CC1549,$CD1549,$CE1549,$CF1549,$CG1549,$CH1549,$CI1549,$CJ1549,$CL1549,$CM1549,$CN1549,$CO1549,$CP1549,$CQ1549,$CR1549,$CS1549,$CT1549)</f>
        <v/>
      </c>
      <c r="DX1549" s="66">
        <f>AVERAGE($CB1549,$CC1549,$CM1549,$CE1549,$CP1549)</f>
        <v/>
      </c>
      <c r="DY1549" s="64">
        <f>($DW1549-$DW1550)*100</f>
        <v/>
      </c>
      <c r="DZ1549" s="64">
        <f>($DX1549-$DX1550)*100</f>
        <v/>
      </c>
      <c r="EA1549" s="64">
        <f>($DW1549-$D1549)*100</f>
        <v/>
      </c>
      <c r="EB1549" s="64">
        <f>$Q1549-$O1549</f>
        <v/>
      </c>
      <c r="EC1549" s="67">
        <f>IFERROR($Q1549/$P1549,"")</f>
        <v/>
      </c>
    </row>
    <row r="1550">
      <c r="DG1550" s="64">
        <f>($B1550-$B1551)*100</f>
        <v/>
      </c>
      <c r="DH1550" s="64">
        <f>($D1550-$D1551)*100</f>
        <v/>
      </c>
      <c r="DI1550" s="64">
        <f>($E1550-$E1551)*100</f>
        <v/>
      </c>
      <c r="DJ1550" s="64">
        <f>($H1550-$H1551)*100</f>
        <v/>
      </c>
      <c r="DK1550" s="65">
        <f>IFERROR($J1550/$J1551-1,"")</f>
        <v/>
      </c>
      <c r="DL1550" s="64">
        <f>$L1550-$L1551</f>
        <v/>
      </c>
      <c r="DM1550" s="64">
        <f>$K1550-$K1551</f>
        <v/>
      </c>
      <c r="DN1550" s="65">
        <f>IFERROR($N1550/$N1551-1,"")</f>
        <v/>
      </c>
      <c r="DO1550" s="65">
        <f>IFERROR($M1550/$M1551-1,"")</f>
        <v/>
      </c>
      <c r="DP1550" s="65">
        <f>IFERROR($AZ1550/$AZ1551-1,"")</f>
        <v/>
      </c>
      <c r="DQ1550" s="65">
        <f>IFERROR($BA1550/$BA1551-1,"")</f>
        <v/>
      </c>
      <c r="DR1550" s="64">
        <f>$O1550-$O1551</f>
        <v/>
      </c>
      <c r="DS1550" s="64">
        <f>$P1550-$P1551</f>
        <v/>
      </c>
      <c r="DT1550" s="64">
        <f>$Q1550-$Q1551</f>
        <v/>
      </c>
      <c r="DU1550" s="64">
        <f>$S1550-$S1551</f>
        <v/>
      </c>
      <c r="DV1550" s="65">
        <f>IFERROR(AVERAGE($AA1551/$AA1550-1,$AB1551/$AB1550-1,$AC1551/$AC1550-1,$AD1551/$AD1550-1,$AE1551/$AE1550-1,$AG1551/$AG1550-1,$AH1551/$AH1550-1,$AI1551/$AI1550-1,$AJ1551/$AJ1550-1,$AL1551/$AL1550-1,$AM1551/$AM1550-1,$AR1551/$AR1550-1,$AS1551/$AS1550-1,$AT1551/$AT1550-1,$AU1551/$AU1550-1,$AV1551/$AV1550-1,$AW1551/$AW1550-1,$AX1551/$AX1550-1,$AY1551/$AY1550-1),"")</f>
        <v/>
      </c>
      <c r="DW1550" s="66">
        <f>AVERAGE($CB1550,$CC1550,$CD1550,$CE1550,$CF1550,$CG1550,$CH1550,$CI1550,$CJ1550,$CL1550,$CM1550,$CN1550,$CO1550,$CP1550,$CQ1550,$CR1550,$CS1550,$CT1550)</f>
        <v/>
      </c>
      <c r="DX1550" s="66">
        <f>AVERAGE($CB1550,$CC1550,$CM1550,$CE1550,$CP1550)</f>
        <v/>
      </c>
      <c r="DY1550" s="64">
        <f>($DW1550-$DW1551)*100</f>
        <v/>
      </c>
      <c r="DZ1550" s="64">
        <f>($DX1550-$DX1551)*100</f>
        <v/>
      </c>
      <c r="EA1550" s="64">
        <f>($DW1550-$D1550)*100</f>
        <v/>
      </c>
      <c r="EB1550" s="64">
        <f>$Q1550-$O1550</f>
        <v/>
      </c>
      <c r="EC1550" s="67">
        <f>IFERROR($Q1550/$P1550,"")</f>
        <v/>
      </c>
    </row>
    <row r="1551">
      <c r="DG1551" s="64">
        <f>($B1551-$B1552)*100</f>
        <v/>
      </c>
      <c r="DH1551" s="64">
        <f>($D1551-$D1552)*100</f>
        <v/>
      </c>
      <c r="DI1551" s="64">
        <f>($E1551-$E1552)*100</f>
        <v/>
      </c>
      <c r="DJ1551" s="64">
        <f>($H1551-$H1552)*100</f>
        <v/>
      </c>
      <c r="DK1551" s="65">
        <f>IFERROR($J1551/$J1552-1,"")</f>
        <v/>
      </c>
      <c r="DL1551" s="64">
        <f>$L1551-$L1552</f>
        <v/>
      </c>
      <c r="DM1551" s="64">
        <f>$K1551-$K1552</f>
        <v/>
      </c>
      <c r="DN1551" s="65">
        <f>IFERROR($N1551/$N1552-1,"")</f>
        <v/>
      </c>
      <c r="DO1551" s="65">
        <f>IFERROR($M1551/$M1552-1,"")</f>
        <v/>
      </c>
      <c r="DP1551" s="65">
        <f>IFERROR($AZ1551/$AZ1552-1,"")</f>
        <v/>
      </c>
      <c r="DQ1551" s="65">
        <f>IFERROR($BA1551/$BA1552-1,"")</f>
        <v/>
      </c>
      <c r="DR1551" s="64">
        <f>$O1551-$O1552</f>
        <v/>
      </c>
      <c r="DS1551" s="64">
        <f>$P1551-$P1552</f>
        <v/>
      </c>
      <c r="DT1551" s="64">
        <f>$Q1551-$Q1552</f>
        <v/>
      </c>
      <c r="DU1551" s="64">
        <f>$S1551-$S1552</f>
        <v/>
      </c>
      <c r="DV1551" s="65">
        <f>IFERROR(AVERAGE($AA1552/$AA1551-1,$AB1552/$AB1551-1,$AC1552/$AC1551-1,$AD1552/$AD1551-1,$AE1552/$AE1551-1,$AG1552/$AG1551-1,$AH1552/$AH1551-1,$AI1552/$AI1551-1,$AJ1552/$AJ1551-1,$AL1552/$AL1551-1,$AM1552/$AM1551-1,$AR1552/$AR1551-1,$AS1552/$AS1551-1,$AT1552/$AT1551-1,$AU1552/$AU1551-1,$AV1552/$AV1551-1,$AW1552/$AW1551-1,$AX1552/$AX1551-1,$AY1552/$AY1551-1),"")</f>
        <v/>
      </c>
      <c r="DW1551" s="66">
        <f>AVERAGE($CB1551,$CC1551,$CD1551,$CE1551,$CF1551,$CG1551,$CH1551,$CI1551,$CJ1551,$CL1551,$CM1551,$CN1551,$CO1551,$CP1551,$CQ1551,$CR1551,$CS1551,$CT1551)</f>
        <v/>
      </c>
      <c r="DX1551" s="66">
        <f>AVERAGE($CB1551,$CC1551,$CM1551,$CE1551,$CP1551)</f>
        <v/>
      </c>
      <c r="DY1551" s="64">
        <f>($DW1551-$DW1552)*100</f>
        <v/>
      </c>
      <c r="DZ1551" s="64">
        <f>($DX1551-$DX1552)*100</f>
        <v/>
      </c>
      <c r="EA1551" s="64">
        <f>($DW1551-$D1551)*100</f>
        <v/>
      </c>
      <c r="EB1551" s="64">
        <f>$Q1551-$O1551</f>
        <v/>
      </c>
      <c r="EC1551" s="67">
        <f>IFERROR($Q1551/$P1551,"")</f>
        <v/>
      </c>
    </row>
    <row r="1552">
      <c r="DG1552" s="64">
        <f>($B1552-$B1553)*100</f>
        <v/>
      </c>
      <c r="DH1552" s="64">
        <f>($D1552-$D1553)*100</f>
        <v/>
      </c>
      <c r="DI1552" s="64">
        <f>($E1552-$E1553)*100</f>
        <v/>
      </c>
      <c r="DJ1552" s="64">
        <f>($H1552-$H1553)*100</f>
        <v/>
      </c>
      <c r="DK1552" s="65">
        <f>IFERROR($J1552/$J1553-1,"")</f>
        <v/>
      </c>
      <c r="DL1552" s="64">
        <f>$L1552-$L1553</f>
        <v/>
      </c>
      <c r="DM1552" s="64">
        <f>$K1552-$K1553</f>
        <v/>
      </c>
      <c r="DN1552" s="65">
        <f>IFERROR($N1552/$N1553-1,"")</f>
        <v/>
      </c>
      <c r="DO1552" s="65">
        <f>IFERROR($M1552/$M1553-1,"")</f>
        <v/>
      </c>
      <c r="DP1552" s="65">
        <f>IFERROR($AZ1552/$AZ1553-1,"")</f>
        <v/>
      </c>
      <c r="DQ1552" s="65">
        <f>IFERROR($BA1552/$BA1553-1,"")</f>
        <v/>
      </c>
      <c r="DR1552" s="64">
        <f>$O1552-$O1553</f>
        <v/>
      </c>
      <c r="DS1552" s="64">
        <f>$P1552-$P1553</f>
        <v/>
      </c>
      <c r="DT1552" s="64">
        <f>$Q1552-$Q1553</f>
        <v/>
      </c>
      <c r="DU1552" s="64">
        <f>$S1552-$S1553</f>
        <v/>
      </c>
      <c r="DV1552" s="65">
        <f>IFERROR(AVERAGE($AA1553/$AA1552-1,$AB1553/$AB1552-1,$AC1553/$AC1552-1,$AD1553/$AD1552-1,$AE1553/$AE1552-1,$AG1553/$AG1552-1,$AH1553/$AH1552-1,$AI1553/$AI1552-1,$AJ1553/$AJ1552-1,$AL1553/$AL1552-1,$AM1553/$AM1552-1,$AR1553/$AR1552-1,$AS1553/$AS1552-1,$AT1553/$AT1552-1,$AU1553/$AU1552-1,$AV1553/$AV1552-1,$AW1553/$AW1552-1,$AX1553/$AX1552-1,$AY1553/$AY1552-1),"")</f>
        <v/>
      </c>
      <c r="DW1552" s="66">
        <f>AVERAGE($CB1552,$CC1552,$CD1552,$CE1552,$CF1552,$CG1552,$CH1552,$CI1552,$CJ1552,$CL1552,$CM1552,$CN1552,$CO1552,$CP1552,$CQ1552,$CR1552,$CS1552,$CT1552)</f>
        <v/>
      </c>
      <c r="DX1552" s="66">
        <f>AVERAGE($CB1552,$CC1552,$CM1552,$CE1552,$CP1552)</f>
        <v/>
      </c>
      <c r="DY1552" s="64">
        <f>($DW1552-$DW1553)*100</f>
        <v/>
      </c>
      <c r="DZ1552" s="64">
        <f>($DX1552-$DX1553)*100</f>
        <v/>
      </c>
      <c r="EA1552" s="64">
        <f>($DW1552-$D1552)*100</f>
        <v/>
      </c>
      <c r="EB1552" s="64">
        <f>$Q1552-$O1552</f>
        <v/>
      </c>
      <c r="EC1552" s="67">
        <f>IFERROR($Q1552/$P1552,"")</f>
        <v/>
      </c>
    </row>
    <row r="1553">
      <c r="DG1553" s="64">
        <f>($B1553-$B1554)*100</f>
        <v/>
      </c>
      <c r="DH1553" s="64">
        <f>($D1553-$D1554)*100</f>
        <v/>
      </c>
      <c r="DI1553" s="64">
        <f>($E1553-$E1554)*100</f>
        <v/>
      </c>
      <c r="DJ1553" s="64">
        <f>($H1553-$H1554)*100</f>
        <v/>
      </c>
      <c r="DK1553" s="65">
        <f>IFERROR($J1553/$J1554-1,"")</f>
        <v/>
      </c>
      <c r="DL1553" s="64">
        <f>$L1553-$L1554</f>
        <v/>
      </c>
      <c r="DM1553" s="64">
        <f>$K1553-$K1554</f>
        <v/>
      </c>
      <c r="DN1553" s="65">
        <f>IFERROR($N1553/$N1554-1,"")</f>
        <v/>
      </c>
      <c r="DO1553" s="65">
        <f>IFERROR($M1553/$M1554-1,"")</f>
        <v/>
      </c>
      <c r="DP1553" s="65">
        <f>IFERROR($AZ1553/$AZ1554-1,"")</f>
        <v/>
      </c>
      <c r="DQ1553" s="65">
        <f>IFERROR($BA1553/$BA1554-1,"")</f>
        <v/>
      </c>
      <c r="DR1553" s="64">
        <f>$O1553-$O1554</f>
        <v/>
      </c>
      <c r="DS1553" s="64">
        <f>$P1553-$P1554</f>
        <v/>
      </c>
      <c r="DT1553" s="64">
        <f>$Q1553-$Q1554</f>
        <v/>
      </c>
      <c r="DU1553" s="64">
        <f>$S1553-$S1554</f>
        <v/>
      </c>
      <c r="DV1553" s="65">
        <f>IFERROR(AVERAGE($AA1554/$AA1553-1,$AB1554/$AB1553-1,$AC1554/$AC1553-1,$AD1554/$AD1553-1,$AE1554/$AE1553-1,$AG1554/$AG1553-1,$AH1554/$AH1553-1,$AI1554/$AI1553-1,$AJ1554/$AJ1553-1,$AL1554/$AL1553-1,$AM1554/$AM1553-1,$AR1554/$AR1553-1,$AS1554/$AS1553-1,$AT1554/$AT1553-1,$AU1554/$AU1553-1,$AV1554/$AV1553-1,$AW1554/$AW1553-1,$AX1554/$AX1553-1,$AY1554/$AY1553-1),"")</f>
        <v/>
      </c>
      <c r="DW1553" s="66">
        <f>AVERAGE($CB1553,$CC1553,$CD1553,$CE1553,$CF1553,$CG1553,$CH1553,$CI1553,$CJ1553,$CL1553,$CM1553,$CN1553,$CO1553,$CP1553,$CQ1553,$CR1553,$CS1553,$CT1553)</f>
        <v/>
      </c>
      <c r="DX1553" s="66">
        <f>AVERAGE($CB1553,$CC1553,$CM1553,$CE1553,$CP1553)</f>
        <v/>
      </c>
      <c r="DY1553" s="64">
        <f>($DW1553-$DW1554)*100</f>
        <v/>
      </c>
      <c r="DZ1553" s="64">
        <f>($DX1553-$DX1554)*100</f>
        <v/>
      </c>
      <c r="EA1553" s="64">
        <f>($DW1553-$D1553)*100</f>
        <v/>
      </c>
      <c r="EB1553" s="64">
        <f>$Q1553-$O1553</f>
        <v/>
      </c>
      <c r="EC1553" s="67">
        <f>IFERROR($Q1553/$P1553,"")</f>
        <v/>
      </c>
    </row>
    <row r="1554">
      <c r="DG1554" s="64">
        <f>($B1554-$B1555)*100</f>
        <v/>
      </c>
      <c r="DH1554" s="64">
        <f>($D1554-$D1555)*100</f>
        <v/>
      </c>
      <c r="DI1554" s="64">
        <f>($E1554-$E1555)*100</f>
        <v/>
      </c>
      <c r="DJ1554" s="64">
        <f>($H1554-$H1555)*100</f>
        <v/>
      </c>
      <c r="DK1554" s="65">
        <f>IFERROR($J1554/$J1555-1,"")</f>
        <v/>
      </c>
      <c r="DL1554" s="64">
        <f>$L1554-$L1555</f>
        <v/>
      </c>
      <c r="DM1554" s="64">
        <f>$K1554-$K1555</f>
        <v/>
      </c>
      <c r="DN1554" s="65">
        <f>IFERROR($N1554/$N1555-1,"")</f>
        <v/>
      </c>
      <c r="DO1554" s="65">
        <f>IFERROR($M1554/$M1555-1,"")</f>
        <v/>
      </c>
      <c r="DP1554" s="65">
        <f>IFERROR($AZ1554/$AZ1555-1,"")</f>
        <v/>
      </c>
      <c r="DQ1554" s="65">
        <f>IFERROR($BA1554/$BA1555-1,"")</f>
        <v/>
      </c>
      <c r="DR1554" s="64">
        <f>$O1554-$O1555</f>
        <v/>
      </c>
      <c r="DS1554" s="64">
        <f>$P1554-$P1555</f>
        <v/>
      </c>
      <c r="DT1554" s="64">
        <f>$Q1554-$Q1555</f>
        <v/>
      </c>
      <c r="DU1554" s="64">
        <f>$S1554-$S1555</f>
        <v/>
      </c>
      <c r="DV1554" s="65">
        <f>IFERROR(AVERAGE($AA1555/$AA1554-1,$AB1555/$AB1554-1,$AC1555/$AC1554-1,$AD1555/$AD1554-1,$AE1555/$AE1554-1,$AG1555/$AG1554-1,$AH1555/$AH1554-1,$AI1555/$AI1554-1,$AJ1555/$AJ1554-1,$AL1555/$AL1554-1,$AM1555/$AM1554-1,$AR1555/$AR1554-1,$AS1555/$AS1554-1,$AT1555/$AT1554-1,$AU1555/$AU1554-1,$AV1555/$AV1554-1,$AW1555/$AW1554-1,$AX1555/$AX1554-1,$AY1555/$AY1554-1),"")</f>
        <v/>
      </c>
      <c r="DW1554" s="66">
        <f>AVERAGE($CB1554,$CC1554,$CD1554,$CE1554,$CF1554,$CG1554,$CH1554,$CI1554,$CJ1554,$CL1554,$CM1554,$CN1554,$CO1554,$CP1554,$CQ1554,$CR1554,$CS1554,$CT1554)</f>
        <v/>
      </c>
      <c r="DX1554" s="66">
        <f>AVERAGE($CB1554,$CC1554,$CM1554,$CE1554,$CP1554)</f>
        <v/>
      </c>
      <c r="DY1554" s="64">
        <f>($DW1554-$DW1555)*100</f>
        <v/>
      </c>
      <c r="DZ1554" s="64">
        <f>($DX1554-$DX1555)*100</f>
        <v/>
      </c>
      <c r="EA1554" s="64">
        <f>($DW1554-$D1554)*100</f>
        <v/>
      </c>
      <c r="EB1554" s="64">
        <f>$Q1554-$O1554</f>
        <v/>
      </c>
      <c r="EC1554" s="67">
        <f>IFERROR($Q1554/$P1554,"")</f>
        <v/>
      </c>
    </row>
    <row r="1555">
      <c r="DG1555" s="64">
        <f>($B1555-$B1556)*100</f>
        <v/>
      </c>
      <c r="DH1555" s="64">
        <f>($D1555-$D1556)*100</f>
        <v/>
      </c>
      <c r="DI1555" s="64">
        <f>($E1555-$E1556)*100</f>
        <v/>
      </c>
      <c r="DJ1555" s="64">
        <f>($H1555-$H1556)*100</f>
        <v/>
      </c>
      <c r="DK1555" s="65">
        <f>IFERROR($J1555/$J1556-1,"")</f>
        <v/>
      </c>
      <c r="DL1555" s="64">
        <f>$L1555-$L1556</f>
        <v/>
      </c>
      <c r="DM1555" s="64">
        <f>$K1555-$K1556</f>
        <v/>
      </c>
      <c r="DN1555" s="65">
        <f>IFERROR($N1555/$N1556-1,"")</f>
        <v/>
      </c>
      <c r="DO1555" s="65">
        <f>IFERROR($M1555/$M1556-1,"")</f>
        <v/>
      </c>
      <c r="DP1555" s="65">
        <f>IFERROR($AZ1555/$AZ1556-1,"")</f>
        <v/>
      </c>
      <c r="DQ1555" s="65">
        <f>IFERROR($BA1555/$BA1556-1,"")</f>
        <v/>
      </c>
      <c r="DR1555" s="64">
        <f>$O1555-$O1556</f>
        <v/>
      </c>
      <c r="DS1555" s="64">
        <f>$P1555-$P1556</f>
        <v/>
      </c>
      <c r="DT1555" s="64">
        <f>$Q1555-$Q1556</f>
        <v/>
      </c>
      <c r="DU1555" s="64">
        <f>$S1555-$S1556</f>
        <v/>
      </c>
      <c r="DV1555" s="65">
        <f>IFERROR(AVERAGE($AA1556/$AA1555-1,$AB1556/$AB1555-1,$AC1556/$AC1555-1,$AD1556/$AD1555-1,$AE1556/$AE1555-1,$AG1556/$AG1555-1,$AH1556/$AH1555-1,$AI1556/$AI1555-1,$AJ1556/$AJ1555-1,$AL1556/$AL1555-1,$AM1556/$AM1555-1,$AR1556/$AR1555-1,$AS1556/$AS1555-1,$AT1556/$AT1555-1,$AU1556/$AU1555-1,$AV1556/$AV1555-1,$AW1556/$AW1555-1,$AX1556/$AX1555-1,$AY1556/$AY1555-1),"")</f>
        <v/>
      </c>
      <c r="DW1555" s="66">
        <f>AVERAGE($CB1555,$CC1555,$CD1555,$CE1555,$CF1555,$CG1555,$CH1555,$CI1555,$CJ1555,$CL1555,$CM1555,$CN1555,$CO1555,$CP1555,$CQ1555,$CR1555,$CS1555,$CT1555)</f>
        <v/>
      </c>
      <c r="DX1555" s="66">
        <f>AVERAGE($CB1555,$CC1555,$CM1555,$CE1555,$CP1555)</f>
        <v/>
      </c>
      <c r="DY1555" s="64">
        <f>($DW1555-$DW1556)*100</f>
        <v/>
      </c>
      <c r="DZ1555" s="64">
        <f>($DX1555-$DX1556)*100</f>
        <v/>
      </c>
      <c r="EA1555" s="64">
        <f>($DW1555-$D1555)*100</f>
        <v/>
      </c>
      <c r="EB1555" s="64">
        <f>$Q1555-$O1555</f>
        <v/>
      </c>
      <c r="EC1555" s="67">
        <f>IFERROR($Q1555/$P1555,"")</f>
        <v/>
      </c>
    </row>
    <row r="1556">
      <c r="DG1556" s="64">
        <f>($B1556-$B1557)*100</f>
        <v/>
      </c>
      <c r="DH1556" s="64">
        <f>($D1556-$D1557)*100</f>
        <v/>
      </c>
      <c r="DI1556" s="64">
        <f>($E1556-$E1557)*100</f>
        <v/>
      </c>
      <c r="DJ1556" s="64">
        <f>($H1556-$H1557)*100</f>
        <v/>
      </c>
      <c r="DK1556" s="65">
        <f>IFERROR($J1556/$J1557-1,"")</f>
        <v/>
      </c>
      <c r="DL1556" s="64">
        <f>$L1556-$L1557</f>
        <v/>
      </c>
      <c r="DM1556" s="64">
        <f>$K1556-$K1557</f>
        <v/>
      </c>
      <c r="DN1556" s="65">
        <f>IFERROR($N1556/$N1557-1,"")</f>
        <v/>
      </c>
      <c r="DO1556" s="65">
        <f>IFERROR($M1556/$M1557-1,"")</f>
        <v/>
      </c>
      <c r="DP1556" s="65">
        <f>IFERROR($AZ1556/$AZ1557-1,"")</f>
        <v/>
      </c>
      <c r="DQ1556" s="65">
        <f>IFERROR($BA1556/$BA1557-1,"")</f>
        <v/>
      </c>
      <c r="DR1556" s="64">
        <f>$O1556-$O1557</f>
        <v/>
      </c>
      <c r="DS1556" s="64">
        <f>$P1556-$P1557</f>
        <v/>
      </c>
      <c r="DT1556" s="64">
        <f>$Q1556-$Q1557</f>
        <v/>
      </c>
      <c r="DU1556" s="64">
        <f>$S1556-$S1557</f>
        <v/>
      </c>
      <c r="DV1556" s="65">
        <f>IFERROR(AVERAGE($AA1557/$AA1556-1,$AB1557/$AB1556-1,$AC1557/$AC1556-1,$AD1557/$AD1556-1,$AE1557/$AE1556-1,$AG1557/$AG1556-1,$AH1557/$AH1556-1,$AI1557/$AI1556-1,$AJ1557/$AJ1556-1,$AL1557/$AL1556-1,$AM1557/$AM1556-1,$AR1557/$AR1556-1,$AS1557/$AS1556-1,$AT1557/$AT1556-1,$AU1557/$AU1556-1,$AV1557/$AV1556-1,$AW1557/$AW1556-1,$AX1557/$AX1556-1,$AY1557/$AY1556-1),"")</f>
        <v/>
      </c>
      <c r="DW1556" s="66">
        <f>AVERAGE($CB1556,$CC1556,$CD1556,$CE1556,$CF1556,$CG1556,$CH1556,$CI1556,$CJ1556,$CL1556,$CM1556,$CN1556,$CO1556,$CP1556,$CQ1556,$CR1556,$CS1556,$CT1556)</f>
        <v/>
      </c>
      <c r="DX1556" s="66">
        <f>AVERAGE($CB1556,$CC1556,$CM1556,$CE1556,$CP1556)</f>
        <v/>
      </c>
      <c r="DY1556" s="64">
        <f>($DW1556-$DW1557)*100</f>
        <v/>
      </c>
      <c r="DZ1556" s="64">
        <f>($DX1556-$DX1557)*100</f>
        <v/>
      </c>
      <c r="EA1556" s="64">
        <f>($DW1556-$D1556)*100</f>
        <v/>
      </c>
      <c r="EB1556" s="64">
        <f>$Q1556-$O1556</f>
        <v/>
      </c>
      <c r="EC1556" s="67">
        <f>IFERROR($Q1556/$P1556,"")</f>
        <v/>
      </c>
    </row>
    <row r="1557">
      <c r="DG1557" s="64">
        <f>($B1557-$B1558)*100</f>
        <v/>
      </c>
      <c r="DH1557" s="64">
        <f>($D1557-$D1558)*100</f>
        <v/>
      </c>
      <c r="DI1557" s="64">
        <f>($E1557-$E1558)*100</f>
        <v/>
      </c>
      <c r="DJ1557" s="64">
        <f>($H1557-$H1558)*100</f>
        <v/>
      </c>
      <c r="DK1557" s="65">
        <f>IFERROR($J1557/$J1558-1,"")</f>
        <v/>
      </c>
      <c r="DL1557" s="64">
        <f>$L1557-$L1558</f>
        <v/>
      </c>
      <c r="DM1557" s="64">
        <f>$K1557-$K1558</f>
        <v/>
      </c>
      <c r="DN1557" s="65">
        <f>IFERROR($N1557/$N1558-1,"")</f>
        <v/>
      </c>
      <c r="DO1557" s="65">
        <f>IFERROR($M1557/$M1558-1,"")</f>
        <v/>
      </c>
      <c r="DP1557" s="65">
        <f>IFERROR($AZ1557/$AZ1558-1,"")</f>
        <v/>
      </c>
      <c r="DQ1557" s="65">
        <f>IFERROR($BA1557/$BA1558-1,"")</f>
        <v/>
      </c>
      <c r="DR1557" s="64">
        <f>$O1557-$O1558</f>
        <v/>
      </c>
      <c r="DS1557" s="64">
        <f>$P1557-$P1558</f>
        <v/>
      </c>
      <c r="DT1557" s="64">
        <f>$Q1557-$Q1558</f>
        <v/>
      </c>
      <c r="DU1557" s="64">
        <f>$S1557-$S1558</f>
        <v/>
      </c>
      <c r="DV1557" s="65">
        <f>IFERROR(AVERAGE($AA1558/$AA1557-1,$AB1558/$AB1557-1,$AC1558/$AC1557-1,$AD1558/$AD1557-1,$AE1558/$AE1557-1,$AG1558/$AG1557-1,$AH1558/$AH1557-1,$AI1558/$AI1557-1,$AJ1558/$AJ1557-1,$AL1558/$AL1557-1,$AM1558/$AM1557-1,$AR1558/$AR1557-1,$AS1558/$AS1557-1,$AT1558/$AT1557-1,$AU1558/$AU1557-1,$AV1558/$AV1557-1,$AW1558/$AW1557-1,$AX1558/$AX1557-1,$AY1558/$AY1557-1),"")</f>
        <v/>
      </c>
      <c r="DW1557" s="66">
        <f>AVERAGE($CB1557,$CC1557,$CD1557,$CE1557,$CF1557,$CG1557,$CH1557,$CI1557,$CJ1557,$CL1557,$CM1557,$CN1557,$CO1557,$CP1557,$CQ1557,$CR1557,$CS1557,$CT1557)</f>
        <v/>
      </c>
      <c r="DX1557" s="66">
        <f>AVERAGE($CB1557,$CC1557,$CM1557,$CE1557,$CP1557)</f>
        <v/>
      </c>
      <c r="DY1557" s="64">
        <f>($DW1557-$DW1558)*100</f>
        <v/>
      </c>
      <c r="DZ1557" s="64">
        <f>($DX1557-$DX1558)*100</f>
        <v/>
      </c>
      <c r="EA1557" s="64">
        <f>($DW1557-$D1557)*100</f>
        <v/>
      </c>
      <c r="EB1557" s="64">
        <f>$Q1557-$O1557</f>
        <v/>
      </c>
      <c r="EC1557" s="67">
        <f>IFERROR($Q1557/$P1557,"")</f>
        <v/>
      </c>
    </row>
    <row r="1558">
      <c r="DG1558" s="64">
        <f>($B1558-$B1559)*100</f>
        <v/>
      </c>
      <c r="DH1558" s="64">
        <f>($D1558-$D1559)*100</f>
        <v/>
      </c>
      <c r="DI1558" s="64">
        <f>($E1558-$E1559)*100</f>
        <v/>
      </c>
      <c r="DJ1558" s="64">
        <f>($H1558-$H1559)*100</f>
        <v/>
      </c>
      <c r="DK1558" s="65">
        <f>IFERROR($J1558/$J1559-1,"")</f>
        <v/>
      </c>
      <c r="DL1558" s="64">
        <f>$L1558-$L1559</f>
        <v/>
      </c>
      <c r="DM1558" s="64">
        <f>$K1558-$K1559</f>
        <v/>
      </c>
      <c r="DN1558" s="65">
        <f>IFERROR($N1558/$N1559-1,"")</f>
        <v/>
      </c>
      <c r="DO1558" s="65">
        <f>IFERROR($M1558/$M1559-1,"")</f>
        <v/>
      </c>
      <c r="DP1558" s="65">
        <f>IFERROR($AZ1558/$AZ1559-1,"")</f>
        <v/>
      </c>
      <c r="DQ1558" s="65">
        <f>IFERROR($BA1558/$BA1559-1,"")</f>
        <v/>
      </c>
      <c r="DR1558" s="64">
        <f>$O1558-$O1559</f>
        <v/>
      </c>
      <c r="DS1558" s="64">
        <f>$P1558-$P1559</f>
        <v/>
      </c>
      <c r="DT1558" s="64">
        <f>$Q1558-$Q1559</f>
        <v/>
      </c>
      <c r="DU1558" s="64">
        <f>$S1558-$S1559</f>
        <v/>
      </c>
      <c r="DV1558" s="65">
        <f>IFERROR(AVERAGE($AA1559/$AA1558-1,$AB1559/$AB1558-1,$AC1559/$AC1558-1,$AD1559/$AD1558-1,$AE1559/$AE1558-1,$AG1559/$AG1558-1,$AH1559/$AH1558-1,$AI1559/$AI1558-1,$AJ1559/$AJ1558-1,$AL1559/$AL1558-1,$AM1559/$AM1558-1,$AR1559/$AR1558-1,$AS1559/$AS1558-1,$AT1559/$AT1558-1,$AU1559/$AU1558-1,$AV1559/$AV1558-1,$AW1559/$AW1558-1,$AX1559/$AX1558-1,$AY1559/$AY1558-1),"")</f>
        <v/>
      </c>
      <c r="DW1558" s="66">
        <f>AVERAGE($CB1558,$CC1558,$CD1558,$CE1558,$CF1558,$CG1558,$CH1558,$CI1558,$CJ1558,$CL1558,$CM1558,$CN1558,$CO1558,$CP1558,$CQ1558,$CR1558,$CS1558,$CT1558)</f>
        <v/>
      </c>
      <c r="DX1558" s="66">
        <f>AVERAGE($CB1558,$CC1558,$CM1558,$CE1558,$CP1558)</f>
        <v/>
      </c>
      <c r="DY1558" s="64">
        <f>($DW1558-$DW1559)*100</f>
        <v/>
      </c>
      <c r="DZ1558" s="64">
        <f>($DX1558-$DX1559)*100</f>
        <v/>
      </c>
      <c r="EA1558" s="64">
        <f>($DW1558-$D1558)*100</f>
        <v/>
      </c>
      <c r="EB1558" s="64">
        <f>$Q1558-$O1558</f>
        <v/>
      </c>
      <c r="EC1558" s="67">
        <f>IFERROR($Q1558/$P1558,"")</f>
        <v/>
      </c>
    </row>
    <row r="1559">
      <c r="DG1559" s="64">
        <f>($B1559-$B1560)*100</f>
        <v/>
      </c>
      <c r="DH1559" s="64">
        <f>($D1559-$D1560)*100</f>
        <v/>
      </c>
      <c r="DI1559" s="64">
        <f>($E1559-$E1560)*100</f>
        <v/>
      </c>
      <c r="DJ1559" s="64">
        <f>($H1559-$H1560)*100</f>
        <v/>
      </c>
      <c r="DK1559" s="65">
        <f>IFERROR($J1559/$J1560-1,"")</f>
        <v/>
      </c>
      <c r="DL1559" s="64">
        <f>$L1559-$L1560</f>
        <v/>
      </c>
      <c r="DM1559" s="64">
        <f>$K1559-$K1560</f>
        <v/>
      </c>
      <c r="DN1559" s="65">
        <f>IFERROR($N1559/$N1560-1,"")</f>
        <v/>
      </c>
      <c r="DO1559" s="65">
        <f>IFERROR($M1559/$M1560-1,"")</f>
        <v/>
      </c>
      <c r="DP1559" s="65">
        <f>IFERROR($AZ1559/$AZ1560-1,"")</f>
        <v/>
      </c>
      <c r="DQ1559" s="65">
        <f>IFERROR($BA1559/$BA1560-1,"")</f>
        <v/>
      </c>
      <c r="DR1559" s="64">
        <f>$O1559-$O1560</f>
        <v/>
      </c>
      <c r="DS1559" s="64">
        <f>$P1559-$P1560</f>
        <v/>
      </c>
      <c r="DT1559" s="64">
        <f>$Q1559-$Q1560</f>
        <v/>
      </c>
      <c r="DU1559" s="64">
        <f>$S1559-$S1560</f>
        <v/>
      </c>
      <c r="DV1559" s="65">
        <f>IFERROR(AVERAGE($AA1560/$AA1559-1,$AB1560/$AB1559-1,$AC1560/$AC1559-1,$AD1560/$AD1559-1,$AE1560/$AE1559-1,$AG1560/$AG1559-1,$AH1560/$AH1559-1,$AI1560/$AI1559-1,$AJ1560/$AJ1559-1,$AL1560/$AL1559-1,$AM1560/$AM1559-1,$AR1560/$AR1559-1,$AS1560/$AS1559-1,$AT1560/$AT1559-1,$AU1560/$AU1559-1,$AV1560/$AV1559-1,$AW1560/$AW1559-1,$AX1560/$AX1559-1,$AY1560/$AY1559-1),"")</f>
        <v/>
      </c>
      <c r="DW1559" s="66">
        <f>AVERAGE($CB1559,$CC1559,$CD1559,$CE1559,$CF1559,$CG1559,$CH1559,$CI1559,$CJ1559,$CL1559,$CM1559,$CN1559,$CO1559,$CP1559,$CQ1559,$CR1559,$CS1559,$CT1559)</f>
        <v/>
      </c>
      <c r="DX1559" s="66">
        <f>AVERAGE($CB1559,$CC1559,$CM1559,$CE1559,$CP1559)</f>
        <v/>
      </c>
      <c r="DY1559" s="64">
        <f>($DW1559-$DW1560)*100</f>
        <v/>
      </c>
      <c r="DZ1559" s="64">
        <f>($DX1559-$DX1560)*100</f>
        <v/>
      </c>
      <c r="EA1559" s="64">
        <f>($DW1559-$D1559)*100</f>
        <v/>
      </c>
      <c r="EB1559" s="64">
        <f>$Q1559-$O1559</f>
        <v/>
      </c>
      <c r="EC1559" s="67">
        <f>IFERROR($Q1559/$P1559,"")</f>
        <v/>
      </c>
    </row>
    <row r="1560">
      <c r="DG1560" s="64">
        <f>($B1560-$B1561)*100</f>
        <v/>
      </c>
      <c r="DH1560" s="64">
        <f>($D1560-$D1561)*100</f>
        <v/>
      </c>
      <c r="DI1560" s="64">
        <f>($E1560-$E1561)*100</f>
        <v/>
      </c>
      <c r="DJ1560" s="64">
        <f>($H1560-$H1561)*100</f>
        <v/>
      </c>
      <c r="DK1560" s="65">
        <f>IFERROR($J1560/$J1561-1,"")</f>
        <v/>
      </c>
      <c r="DL1560" s="64">
        <f>$L1560-$L1561</f>
        <v/>
      </c>
      <c r="DM1560" s="64">
        <f>$K1560-$K1561</f>
        <v/>
      </c>
      <c r="DN1560" s="65">
        <f>IFERROR($N1560/$N1561-1,"")</f>
        <v/>
      </c>
      <c r="DO1560" s="65">
        <f>IFERROR($M1560/$M1561-1,"")</f>
        <v/>
      </c>
      <c r="DP1560" s="65">
        <f>IFERROR($AZ1560/$AZ1561-1,"")</f>
        <v/>
      </c>
      <c r="DQ1560" s="65">
        <f>IFERROR($BA1560/$BA1561-1,"")</f>
        <v/>
      </c>
      <c r="DR1560" s="64">
        <f>$O1560-$O1561</f>
        <v/>
      </c>
      <c r="DS1560" s="64">
        <f>$P1560-$P1561</f>
        <v/>
      </c>
      <c r="DT1560" s="64">
        <f>$Q1560-$Q1561</f>
        <v/>
      </c>
      <c r="DU1560" s="64">
        <f>$S1560-$S1561</f>
        <v/>
      </c>
      <c r="DV1560" s="65">
        <f>IFERROR(AVERAGE($AA1561/$AA1560-1,$AB1561/$AB1560-1,$AC1561/$AC1560-1,$AD1561/$AD1560-1,$AE1561/$AE1560-1,$AG1561/$AG1560-1,$AH1561/$AH1560-1,$AI1561/$AI1560-1,$AJ1561/$AJ1560-1,$AL1561/$AL1560-1,$AM1561/$AM1560-1,$AR1561/$AR1560-1,$AS1561/$AS1560-1,$AT1561/$AT1560-1,$AU1561/$AU1560-1,$AV1561/$AV1560-1,$AW1561/$AW1560-1,$AX1561/$AX1560-1,$AY1561/$AY1560-1),"")</f>
        <v/>
      </c>
      <c r="DW1560" s="66">
        <f>AVERAGE($CB1560,$CC1560,$CD1560,$CE1560,$CF1560,$CG1560,$CH1560,$CI1560,$CJ1560,$CL1560,$CM1560,$CN1560,$CO1560,$CP1560,$CQ1560,$CR1560,$CS1560,$CT1560)</f>
        <v/>
      </c>
      <c r="DX1560" s="66">
        <f>AVERAGE($CB1560,$CC1560,$CM1560,$CE1560,$CP1560)</f>
        <v/>
      </c>
      <c r="DY1560" s="64">
        <f>($DW1560-$DW1561)*100</f>
        <v/>
      </c>
      <c r="DZ1560" s="64">
        <f>($DX1560-$DX1561)*100</f>
        <v/>
      </c>
      <c r="EA1560" s="64">
        <f>($DW1560-$D1560)*100</f>
        <v/>
      </c>
      <c r="EB1560" s="64">
        <f>$Q1560-$O1560</f>
        <v/>
      </c>
      <c r="EC1560" s="67">
        <f>IFERROR($Q1560/$P1560,"")</f>
        <v/>
      </c>
    </row>
    <row r="1561">
      <c r="DG1561" s="64">
        <f>($B1561-$B1562)*100</f>
        <v/>
      </c>
      <c r="DH1561" s="64">
        <f>($D1561-$D1562)*100</f>
        <v/>
      </c>
      <c r="DI1561" s="64">
        <f>($E1561-$E1562)*100</f>
        <v/>
      </c>
      <c r="DJ1561" s="64">
        <f>($H1561-$H1562)*100</f>
        <v/>
      </c>
      <c r="DK1561" s="65">
        <f>IFERROR($J1561/$J1562-1,"")</f>
        <v/>
      </c>
      <c r="DL1561" s="64">
        <f>$L1561-$L1562</f>
        <v/>
      </c>
      <c r="DM1561" s="64">
        <f>$K1561-$K1562</f>
        <v/>
      </c>
      <c r="DN1561" s="65">
        <f>IFERROR($N1561/$N1562-1,"")</f>
        <v/>
      </c>
      <c r="DO1561" s="65">
        <f>IFERROR($M1561/$M1562-1,"")</f>
        <v/>
      </c>
      <c r="DP1561" s="65">
        <f>IFERROR($AZ1561/$AZ1562-1,"")</f>
        <v/>
      </c>
      <c r="DQ1561" s="65">
        <f>IFERROR($BA1561/$BA1562-1,"")</f>
        <v/>
      </c>
      <c r="DR1561" s="64">
        <f>$O1561-$O1562</f>
        <v/>
      </c>
      <c r="DS1561" s="64">
        <f>$P1561-$P1562</f>
        <v/>
      </c>
      <c r="DT1561" s="64">
        <f>$Q1561-$Q1562</f>
        <v/>
      </c>
      <c r="DU1561" s="64">
        <f>$S1561-$S1562</f>
        <v/>
      </c>
      <c r="DV1561" s="65">
        <f>IFERROR(AVERAGE($AA1562/$AA1561-1,$AB1562/$AB1561-1,$AC1562/$AC1561-1,$AD1562/$AD1561-1,$AE1562/$AE1561-1,$AG1562/$AG1561-1,$AH1562/$AH1561-1,$AI1562/$AI1561-1,$AJ1562/$AJ1561-1,$AL1562/$AL1561-1,$AM1562/$AM1561-1,$AR1562/$AR1561-1,$AS1562/$AS1561-1,$AT1562/$AT1561-1,$AU1562/$AU1561-1,$AV1562/$AV1561-1,$AW1562/$AW1561-1,$AX1562/$AX1561-1,$AY1562/$AY1561-1),"")</f>
        <v/>
      </c>
      <c r="DW1561" s="66">
        <f>AVERAGE($CB1561,$CC1561,$CD1561,$CE1561,$CF1561,$CG1561,$CH1561,$CI1561,$CJ1561,$CL1561,$CM1561,$CN1561,$CO1561,$CP1561,$CQ1561,$CR1561,$CS1561,$CT1561)</f>
        <v/>
      </c>
      <c r="DX1561" s="66">
        <f>AVERAGE($CB1561,$CC1561,$CM1561,$CE1561,$CP1561)</f>
        <v/>
      </c>
      <c r="DY1561" s="64">
        <f>($DW1561-$DW1562)*100</f>
        <v/>
      </c>
      <c r="DZ1561" s="64">
        <f>($DX1561-$DX1562)*100</f>
        <v/>
      </c>
      <c r="EA1561" s="64">
        <f>($DW1561-$D1561)*100</f>
        <v/>
      </c>
      <c r="EB1561" s="64">
        <f>$Q1561-$O1561</f>
        <v/>
      </c>
      <c r="EC1561" s="67">
        <f>IFERROR($Q1561/$P1561,"")</f>
        <v/>
      </c>
    </row>
    <row r="1562">
      <c r="DG1562" s="64">
        <f>($B1562-$B1563)*100</f>
        <v/>
      </c>
      <c r="DH1562" s="64">
        <f>($D1562-$D1563)*100</f>
        <v/>
      </c>
      <c r="DI1562" s="64">
        <f>($E1562-$E1563)*100</f>
        <v/>
      </c>
      <c r="DJ1562" s="64">
        <f>($H1562-$H1563)*100</f>
        <v/>
      </c>
      <c r="DK1562" s="65">
        <f>IFERROR($J1562/$J1563-1,"")</f>
        <v/>
      </c>
      <c r="DL1562" s="64">
        <f>$L1562-$L1563</f>
        <v/>
      </c>
      <c r="DM1562" s="64">
        <f>$K1562-$K1563</f>
        <v/>
      </c>
      <c r="DN1562" s="65">
        <f>IFERROR($N1562/$N1563-1,"")</f>
        <v/>
      </c>
      <c r="DO1562" s="65">
        <f>IFERROR($M1562/$M1563-1,"")</f>
        <v/>
      </c>
      <c r="DP1562" s="65">
        <f>IFERROR($AZ1562/$AZ1563-1,"")</f>
        <v/>
      </c>
      <c r="DQ1562" s="65">
        <f>IFERROR($BA1562/$BA1563-1,"")</f>
        <v/>
      </c>
      <c r="DR1562" s="64">
        <f>$O1562-$O1563</f>
        <v/>
      </c>
      <c r="DS1562" s="64">
        <f>$P1562-$P1563</f>
        <v/>
      </c>
      <c r="DT1562" s="64">
        <f>$Q1562-$Q1563</f>
        <v/>
      </c>
      <c r="DU1562" s="64">
        <f>$S1562-$S1563</f>
        <v/>
      </c>
      <c r="DV1562" s="65">
        <f>IFERROR(AVERAGE($AA1563/$AA1562-1,$AB1563/$AB1562-1,$AC1563/$AC1562-1,$AD1563/$AD1562-1,$AE1563/$AE1562-1,$AG1563/$AG1562-1,$AH1563/$AH1562-1,$AI1563/$AI1562-1,$AJ1563/$AJ1562-1,$AL1563/$AL1562-1,$AM1563/$AM1562-1,$AR1563/$AR1562-1,$AS1563/$AS1562-1,$AT1563/$AT1562-1,$AU1563/$AU1562-1,$AV1563/$AV1562-1,$AW1563/$AW1562-1,$AX1563/$AX1562-1,$AY1563/$AY1562-1),"")</f>
        <v/>
      </c>
      <c r="DW1562" s="66">
        <f>AVERAGE($CB1562,$CC1562,$CD1562,$CE1562,$CF1562,$CG1562,$CH1562,$CI1562,$CJ1562,$CL1562,$CM1562,$CN1562,$CO1562,$CP1562,$CQ1562,$CR1562,$CS1562,$CT1562)</f>
        <v/>
      </c>
      <c r="DX1562" s="66">
        <f>AVERAGE($CB1562,$CC1562,$CM1562,$CE1562,$CP1562)</f>
        <v/>
      </c>
      <c r="DY1562" s="64">
        <f>($DW1562-$DW1563)*100</f>
        <v/>
      </c>
      <c r="DZ1562" s="64">
        <f>($DX1562-$DX1563)*100</f>
        <v/>
      </c>
      <c r="EA1562" s="64">
        <f>($DW1562-$D1562)*100</f>
        <v/>
      </c>
      <c r="EB1562" s="64">
        <f>$Q1562-$O1562</f>
        <v/>
      </c>
      <c r="EC1562" s="67">
        <f>IFERROR($Q1562/$P1562,"")</f>
        <v/>
      </c>
    </row>
    <row r="1563">
      <c r="DG1563" s="64">
        <f>($B1563-$B1564)*100</f>
        <v/>
      </c>
      <c r="DH1563" s="64">
        <f>($D1563-$D1564)*100</f>
        <v/>
      </c>
      <c r="DI1563" s="64">
        <f>($E1563-$E1564)*100</f>
        <v/>
      </c>
      <c r="DJ1563" s="64">
        <f>($H1563-$H1564)*100</f>
        <v/>
      </c>
      <c r="DK1563" s="65">
        <f>IFERROR($J1563/$J1564-1,"")</f>
        <v/>
      </c>
      <c r="DL1563" s="64">
        <f>$L1563-$L1564</f>
        <v/>
      </c>
      <c r="DM1563" s="64">
        <f>$K1563-$K1564</f>
        <v/>
      </c>
      <c r="DN1563" s="65">
        <f>IFERROR($N1563/$N1564-1,"")</f>
        <v/>
      </c>
      <c r="DO1563" s="65">
        <f>IFERROR($M1563/$M1564-1,"")</f>
        <v/>
      </c>
      <c r="DP1563" s="65">
        <f>IFERROR($AZ1563/$AZ1564-1,"")</f>
        <v/>
      </c>
      <c r="DQ1563" s="65">
        <f>IFERROR($BA1563/$BA1564-1,"")</f>
        <v/>
      </c>
      <c r="DR1563" s="64">
        <f>$O1563-$O1564</f>
        <v/>
      </c>
      <c r="DS1563" s="64">
        <f>$P1563-$P1564</f>
        <v/>
      </c>
      <c r="DT1563" s="64">
        <f>$Q1563-$Q1564</f>
        <v/>
      </c>
      <c r="DU1563" s="64">
        <f>$S1563-$S1564</f>
        <v/>
      </c>
      <c r="DV1563" s="65">
        <f>IFERROR(AVERAGE($AA1564/$AA1563-1,$AB1564/$AB1563-1,$AC1564/$AC1563-1,$AD1564/$AD1563-1,$AE1564/$AE1563-1,$AG1564/$AG1563-1,$AH1564/$AH1563-1,$AI1564/$AI1563-1,$AJ1564/$AJ1563-1,$AL1564/$AL1563-1,$AM1564/$AM1563-1,$AR1564/$AR1563-1,$AS1564/$AS1563-1,$AT1564/$AT1563-1,$AU1564/$AU1563-1,$AV1564/$AV1563-1,$AW1564/$AW1563-1,$AX1564/$AX1563-1,$AY1564/$AY1563-1),"")</f>
        <v/>
      </c>
      <c r="DW1563" s="66">
        <f>AVERAGE($CB1563,$CC1563,$CD1563,$CE1563,$CF1563,$CG1563,$CH1563,$CI1563,$CJ1563,$CL1563,$CM1563,$CN1563,$CO1563,$CP1563,$CQ1563,$CR1563,$CS1563,$CT1563)</f>
        <v/>
      </c>
      <c r="DX1563" s="66">
        <f>AVERAGE($CB1563,$CC1563,$CM1563,$CE1563,$CP1563)</f>
        <v/>
      </c>
      <c r="DY1563" s="64">
        <f>($DW1563-$DW1564)*100</f>
        <v/>
      </c>
      <c r="DZ1563" s="64">
        <f>($DX1563-$DX1564)*100</f>
        <v/>
      </c>
      <c r="EA1563" s="64">
        <f>($DW1563-$D1563)*100</f>
        <v/>
      </c>
      <c r="EB1563" s="64">
        <f>$Q1563-$O1563</f>
        <v/>
      </c>
      <c r="EC1563" s="67">
        <f>IFERROR($Q1563/$P1563,"")</f>
        <v/>
      </c>
    </row>
    <row r="1564">
      <c r="DG1564" s="64">
        <f>($B1564-$B1565)*100</f>
        <v/>
      </c>
      <c r="DH1564" s="64">
        <f>($D1564-$D1565)*100</f>
        <v/>
      </c>
      <c r="DI1564" s="64">
        <f>($E1564-$E1565)*100</f>
        <v/>
      </c>
      <c r="DJ1564" s="64">
        <f>($H1564-$H1565)*100</f>
        <v/>
      </c>
      <c r="DK1564" s="65">
        <f>IFERROR($J1564/$J1565-1,"")</f>
        <v/>
      </c>
      <c r="DL1564" s="64">
        <f>$L1564-$L1565</f>
        <v/>
      </c>
      <c r="DM1564" s="64">
        <f>$K1564-$K1565</f>
        <v/>
      </c>
      <c r="DN1564" s="65">
        <f>IFERROR($N1564/$N1565-1,"")</f>
        <v/>
      </c>
      <c r="DO1564" s="65">
        <f>IFERROR($M1564/$M1565-1,"")</f>
        <v/>
      </c>
      <c r="DP1564" s="65">
        <f>IFERROR($AZ1564/$AZ1565-1,"")</f>
        <v/>
      </c>
      <c r="DQ1564" s="65">
        <f>IFERROR($BA1564/$BA1565-1,"")</f>
        <v/>
      </c>
      <c r="DR1564" s="64">
        <f>$O1564-$O1565</f>
        <v/>
      </c>
      <c r="DS1564" s="64">
        <f>$P1564-$P1565</f>
        <v/>
      </c>
      <c r="DT1564" s="64">
        <f>$Q1564-$Q1565</f>
        <v/>
      </c>
      <c r="DU1564" s="64">
        <f>$S1564-$S1565</f>
        <v/>
      </c>
      <c r="DV1564" s="65">
        <f>IFERROR(AVERAGE($AA1565/$AA1564-1,$AB1565/$AB1564-1,$AC1565/$AC1564-1,$AD1565/$AD1564-1,$AE1565/$AE1564-1,$AG1565/$AG1564-1,$AH1565/$AH1564-1,$AI1565/$AI1564-1,$AJ1565/$AJ1564-1,$AL1565/$AL1564-1,$AM1565/$AM1564-1,$AR1565/$AR1564-1,$AS1565/$AS1564-1,$AT1565/$AT1564-1,$AU1565/$AU1564-1,$AV1565/$AV1564-1,$AW1565/$AW1564-1,$AX1565/$AX1564-1,$AY1565/$AY1564-1),"")</f>
        <v/>
      </c>
      <c r="DW1564" s="66">
        <f>AVERAGE($CB1564,$CC1564,$CD1564,$CE1564,$CF1564,$CG1564,$CH1564,$CI1564,$CJ1564,$CL1564,$CM1564,$CN1564,$CO1564,$CP1564,$CQ1564,$CR1564,$CS1564,$CT1564)</f>
        <v/>
      </c>
      <c r="DX1564" s="66">
        <f>AVERAGE($CB1564,$CC1564,$CM1564,$CE1564,$CP1564)</f>
        <v/>
      </c>
      <c r="DY1564" s="64">
        <f>($DW1564-$DW1565)*100</f>
        <v/>
      </c>
      <c r="DZ1564" s="64">
        <f>($DX1564-$DX1565)*100</f>
        <v/>
      </c>
      <c r="EA1564" s="64">
        <f>($DW1564-$D1564)*100</f>
        <v/>
      </c>
      <c r="EB1564" s="64">
        <f>$Q1564-$O1564</f>
        <v/>
      </c>
      <c r="EC1564" s="67">
        <f>IFERROR($Q1564/$P1564,"")</f>
        <v/>
      </c>
    </row>
    <row r="1565">
      <c r="DG1565" s="64">
        <f>($B1565-$B1566)*100</f>
        <v/>
      </c>
      <c r="DH1565" s="64">
        <f>($D1565-$D1566)*100</f>
        <v/>
      </c>
      <c r="DI1565" s="64">
        <f>($E1565-$E1566)*100</f>
        <v/>
      </c>
      <c r="DJ1565" s="64">
        <f>($H1565-$H1566)*100</f>
        <v/>
      </c>
      <c r="DK1565" s="65">
        <f>IFERROR($J1565/$J1566-1,"")</f>
        <v/>
      </c>
      <c r="DL1565" s="64">
        <f>$L1565-$L1566</f>
        <v/>
      </c>
      <c r="DM1565" s="64">
        <f>$K1565-$K1566</f>
        <v/>
      </c>
      <c r="DN1565" s="65">
        <f>IFERROR($N1565/$N1566-1,"")</f>
        <v/>
      </c>
      <c r="DO1565" s="65">
        <f>IFERROR($M1565/$M1566-1,"")</f>
        <v/>
      </c>
      <c r="DP1565" s="65">
        <f>IFERROR($AZ1565/$AZ1566-1,"")</f>
        <v/>
      </c>
      <c r="DQ1565" s="65">
        <f>IFERROR($BA1565/$BA1566-1,"")</f>
        <v/>
      </c>
      <c r="DR1565" s="64">
        <f>$O1565-$O1566</f>
        <v/>
      </c>
      <c r="DS1565" s="64">
        <f>$P1565-$P1566</f>
        <v/>
      </c>
      <c r="DT1565" s="64">
        <f>$Q1565-$Q1566</f>
        <v/>
      </c>
      <c r="DU1565" s="64">
        <f>$S1565-$S1566</f>
        <v/>
      </c>
      <c r="DV1565" s="65">
        <f>IFERROR(AVERAGE($AA1566/$AA1565-1,$AB1566/$AB1565-1,$AC1566/$AC1565-1,$AD1566/$AD1565-1,$AE1566/$AE1565-1,$AG1566/$AG1565-1,$AH1566/$AH1565-1,$AI1566/$AI1565-1,$AJ1566/$AJ1565-1,$AL1566/$AL1565-1,$AM1566/$AM1565-1,$AR1566/$AR1565-1,$AS1566/$AS1565-1,$AT1566/$AT1565-1,$AU1566/$AU1565-1,$AV1566/$AV1565-1,$AW1566/$AW1565-1,$AX1566/$AX1565-1,$AY1566/$AY1565-1),"")</f>
        <v/>
      </c>
      <c r="DW1565" s="66">
        <f>AVERAGE($CB1565,$CC1565,$CD1565,$CE1565,$CF1565,$CG1565,$CH1565,$CI1565,$CJ1565,$CL1565,$CM1565,$CN1565,$CO1565,$CP1565,$CQ1565,$CR1565,$CS1565,$CT1565)</f>
        <v/>
      </c>
      <c r="DX1565" s="66">
        <f>AVERAGE($CB1565,$CC1565,$CM1565,$CE1565,$CP1565)</f>
        <v/>
      </c>
      <c r="DY1565" s="64">
        <f>($DW1565-$DW1566)*100</f>
        <v/>
      </c>
      <c r="DZ1565" s="64">
        <f>($DX1565-$DX1566)*100</f>
        <v/>
      </c>
      <c r="EA1565" s="64">
        <f>($DW1565-$D1565)*100</f>
        <v/>
      </c>
      <c r="EB1565" s="64">
        <f>$Q1565-$O1565</f>
        <v/>
      </c>
      <c r="EC1565" s="67">
        <f>IFERROR($Q1565/$P1565,"")</f>
        <v/>
      </c>
    </row>
    <row r="1566">
      <c r="DG1566" s="64">
        <f>($B1566-$B1567)*100</f>
        <v/>
      </c>
      <c r="DH1566" s="64">
        <f>($D1566-$D1567)*100</f>
        <v/>
      </c>
      <c r="DI1566" s="64">
        <f>($E1566-$E1567)*100</f>
        <v/>
      </c>
      <c r="DJ1566" s="64">
        <f>($H1566-$H1567)*100</f>
        <v/>
      </c>
      <c r="DK1566" s="65">
        <f>IFERROR($J1566/$J1567-1,"")</f>
        <v/>
      </c>
      <c r="DL1566" s="64">
        <f>$L1566-$L1567</f>
        <v/>
      </c>
      <c r="DM1566" s="64">
        <f>$K1566-$K1567</f>
        <v/>
      </c>
      <c r="DN1566" s="65">
        <f>IFERROR($N1566/$N1567-1,"")</f>
        <v/>
      </c>
      <c r="DO1566" s="65">
        <f>IFERROR($M1566/$M1567-1,"")</f>
        <v/>
      </c>
      <c r="DP1566" s="65">
        <f>IFERROR($AZ1566/$AZ1567-1,"")</f>
        <v/>
      </c>
      <c r="DQ1566" s="65">
        <f>IFERROR($BA1566/$BA1567-1,"")</f>
        <v/>
      </c>
      <c r="DR1566" s="64">
        <f>$O1566-$O1567</f>
        <v/>
      </c>
      <c r="DS1566" s="64">
        <f>$P1566-$P1567</f>
        <v/>
      </c>
      <c r="DT1566" s="64">
        <f>$Q1566-$Q1567</f>
        <v/>
      </c>
      <c r="DU1566" s="64">
        <f>$S1566-$S1567</f>
        <v/>
      </c>
      <c r="DV1566" s="65">
        <f>IFERROR(AVERAGE($AA1567/$AA1566-1,$AB1567/$AB1566-1,$AC1567/$AC1566-1,$AD1567/$AD1566-1,$AE1567/$AE1566-1,$AG1567/$AG1566-1,$AH1567/$AH1566-1,$AI1567/$AI1566-1,$AJ1567/$AJ1566-1,$AL1567/$AL1566-1,$AM1567/$AM1566-1,$AR1567/$AR1566-1,$AS1567/$AS1566-1,$AT1567/$AT1566-1,$AU1567/$AU1566-1,$AV1567/$AV1566-1,$AW1567/$AW1566-1,$AX1567/$AX1566-1,$AY1567/$AY1566-1),"")</f>
        <v/>
      </c>
      <c r="DW1566" s="66">
        <f>AVERAGE($CB1566,$CC1566,$CD1566,$CE1566,$CF1566,$CG1566,$CH1566,$CI1566,$CJ1566,$CL1566,$CM1566,$CN1566,$CO1566,$CP1566,$CQ1566,$CR1566,$CS1566,$CT1566)</f>
        <v/>
      </c>
      <c r="DX1566" s="66">
        <f>AVERAGE($CB1566,$CC1566,$CM1566,$CE1566,$CP1566)</f>
        <v/>
      </c>
      <c r="DY1566" s="64">
        <f>($DW1566-$DW1567)*100</f>
        <v/>
      </c>
      <c r="DZ1566" s="64">
        <f>($DX1566-$DX1567)*100</f>
        <v/>
      </c>
      <c r="EA1566" s="64">
        <f>($DW1566-$D1566)*100</f>
        <v/>
      </c>
      <c r="EB1566" s="64">
        <f>$Q1566-$O1566</f>
        <v/>
      </c>
      <c r="EC1566" s="67">
        <f>IFERROR($Q1566/$P1566,"")</f>
        <v/>
      </c>
    </row>
    <row r="1567">
      <c r="DG1567" s="64">
        <f>($B1567-$B1568)*100</f>
        <v/>
      </c>
      <c r="DH1567" s="64">
        <f>($D1567-$D1568)*100</f>
        <v/>
      </c>
      <c r="DI1567" s="64">
        <f>($E1567-$E1568)*100</f>
        <v/>
      </c>
      <c r="DJ1567" s="64">
        <f>($H1567-$H1568)*100</f>
        <v/>
      </c>
      <c r="DK1567" s="65">
        <f>IFERROR($J1567/$J1568-1,"")</f>
        <v/>
      </c>
      <c r="DL1567" s="64">
        <f>$L1567-$L1568</f>
        <v/>
      </c>
      <c r="DM1567" s="64">
        <f>$K1567-$K1568</f>
        <v/>
      </c>
      <c r="DN1567" s="65">
        <f>IFERROR($N1567/$N1568-1,"")</f>
        <v/>
      </c>
      <c r="DO1567" s="65">
        <f>IFERROR($M1567/$M1568-1,"")</f>
        <v/>
      </c>
      <c r="DP1567" s="65">
        <f>IFERROR($AZ1567/$AZ1568-1,"")</f>
        <v/>
      </c>
      <c r="DQ1567" s="65">
        <f>IFERROR($BA1567/$BA1568-1,"")</f>
        <v/>
      </c>
      <c r="DR1567" s="64">
        <f>$O1567-$O1568</f>
        <v/>
      </c>
      <c r="DS1567" s="64">
        <f>$P1567-$P1568</f>
        <v/>
      </c>
      <c r="DT1567" s="64">
        <f>$Q1567-$Q1568</f>
        <v/>
      </c>
      <c r="DU1567" s="64">
        <f>$S1567-$S1568</f>
        <v/>
      </c>
      <c r="DV1567" s="65">
        <f>IFERROR(AVERAGE($AA1568/$AA1567-1,$AB1568/$AB1567-1,$AC1568/$AC1567-1,$AD1568/$AD1567-1,$AE1568/$AE1567-1,$AG1568/$AG1567-1,$AH1568/$AH1567-1,$AI1568/$AI1567-1,$AJ1568/$AJ1567-1,$AL1568/$AL1567-1,$AM1568/$AM1567-1,$AR1568/$AR1567-1,$AS1568/$AS1567-1,$AT1568/$AT1567-1,$AU1568/$AU1567-1,$AV1568/$AV1567-1,$AW1568/$AW1567-1,$AX1568/$AX1567-1,$AY1568/$AY1567-1),"")</f>
        <v/>
      </c>
      <c r="DW1567" s="66">
        <f>AVERAGE($CB1567,$CC1567,$CD1567,$CE1567,$CF1567,$CG1567,$CH1567,$CI1567,$CJ1567,$CL1567,$CM1567,$CN1567,$CO1567,$CP1567,$CQ1567,$CR1567,$CS1567,$CT1567)</f>
        <v/>
      </c>
      <c r="DX1567" s="66">
        <f>AVERAGE($CB1567,$CC1567,$CM1567,$CE1567,$CP1567)</f>
        <v/>
      </c>
      <c r="DY1567" s="64">
        <f>($DW1567-$DW1568)*100</f>
        <v/>
      </c>
      <c r="DZ1567" s="64">
        <f>($DX1567-$DX1568)*100</f>
        <v/>
      </c>
      <c r="EA1567" s="64">
        <f>($DW1567-$D1567)*100</f>
        <v/>
      </c>
      <c r="EB1567" s="64">
        <f>$Q1567-$O1567</f>
        <v/>
      </c>
      <c r="EC1567" s="67">
        <f>IFERROR($Q1567/$P1567,"")</f>
        <v/>
      </c>
    </row>
    <row r="1568">
      <c r="DG1568" s="64">
        <f>($B1568-$B1569)*100</f>
        <v/>
      </c>
      <c r="DH1568" s="64">
        <f>($D1568-$D1569)*100</f>
        <v/>
      </c>
      <c r="DI1568" s="64">
        <f>($E1568-$E1569)*100</f>
        <v/>
      </c>
      <c r="DJ1568" s="64">
        <f>($H1568-$H1569)*100</f>
        <v/>
      </c>
      <c r="DK1568" s="65">
        <f>IFERROR($J1568/$J1569-1,"")</f>
        <v/>
      </c>
      <c r="DL1568" s="64">
        <f>$L1568-$L1569</f>
        <v/>
      </c>
      <c r="DM1568" s="64">
        <f>$K1568-$K1569</f>
        <v/>
      </c>
      <c r="DN1568" s="65">
        <f>IFERROR($N1568/$N1569-1,"")</f>
        <v/>
      </c>
      <c r="DO1568" s="65">
        <f>IFERROR($M1568/$M1569-1,"")</f>
        <v/>
      </c>
      <c r="DP1568" s="65">
        <f>IFERROR($AZ1568/$AZ1569-1,"")</f>
        <v/>
      </c>
      <c r="DQ1568" s="65">
        <f>IFERROR($BA1568/$BA1569-1,"")</f>
        <v/>
      </c>
      <c r="DR1568" s="64">
        <f>$O1568-$O1569</f>
        <v/>
      </c>
      <c r="DS1568" s="64">
        <f>$P1568-$P1569</f>
        <v/>
      </c>
      <c r="DT1568" s="64">
        <f>$Q1568-$Q1569</f>
        <v/>
      </c>
      <c r="DU1568" s="64">
        <f>$S1568-$S1569</f>
        <v/>
      </c>
      <c r="DV1568" s="65">
        <f>IFERROR(AVERAGE($AA1569/$AA1568-1,$AB1569/$AB1568-1,$AC1569/$AC1568-1,$AD1569/$AD1568-1,$AE1569/$AE1568-1,$AG1569/$AG1568-1,$AH1569/$AH1568-1,$AI1569/$AI1568-1,$AJ1569/$AJ1568-1,$AL1569/$AL1568-1,$AM1569/$AM1568-1,$AR1569/$AR1568-1,$AS1569/$AS1568-1,$AT1569/$AT1568-1,$AU1569/$AU1568-1,$AV1569/$AV1568-1,$AW1569/$AW1568-1,$AX1569/$AX1568-1,$AY1569/$AY1568-1),"")</f>
        <v/>
      </c>
      <c r="DW1568" s="66">
        <f>AVERAGE($CB1568,$CC1568,$CD1568,$CE1568,$CF1568,$CG1568,$CH1568,$CI1568,$CJ1568,$CL1568,$CM1568,$CN1568,$CO1568,$CP1568,$CQ1568,$CR1568,$CS1568,$CT1568)</f>
        <v/>
      </c>
      <c r="DX1568" s="66">
        <f>AVERAGE($CB1568,$CC1568,$CM1568,$CE1568,$CP1568)</f>
        <v/>
      </c>
      <c r="DY1568" s="64">
        <f>($DW1568-$DW1569)*100</f>
        <v/>
      </c>
      <c r="DZ1568" s="64">
        <f>($DX1568-$DX1569)*100</f>
        <v/>
      </c>
      <c r="EA1568" s="64">
        <f>($DW1568-$D1568)*100</f>
        <v/>
      </c>
      <c r="EB1568" s="64">
        <f>$Q1568-$O1568</f>
        <v/>
      </c>
      <c r="EC1568" s="67">
        <f>IFERROR($Q1568/$P1568,"")</f>
        <v/>
      </c>
    </row>
    <row r="1569">
      <c r="DG1569" s="64">
        <f>($B1569-$B1570)*100</f>
        <v/>
      </c>
      <c r="DH1569" s="64">
        <f>($D1569-$D1570)*100</f>
        <v/>
      </c>
      <c r="DI1569" s="64">
        <f>($E1569-$E1570)*100</f>
        <v/>
      </c>
      <c r="DJ1569" s="64">
        <f>($H1569-$H1570)*100</f>
        <v/>
      </c>
      <c r="DK1569" s="65">
        <f>IFERROR($J1569/$J1570-1,"")</f>
        <v/>
      </c>
      <c r="DL1569" s="64">
        <f>$L1569-$L1570</f>
        <v/>
      </c>
      <c r="DM1569" s="64">
        <f>$K1569-$K1570</f>
        <v/>
      </c>
      <c r="DN1569" s="65">
        <f>IFERROR($N1569/$N1570-1,"")</f>
        <v/>
      </c>
      <c r="DO1569" s="65">
        <f>IFERROR($M1569/$M1570-1,"")</f>
        <v/>
      </c>
      <c r="DP1569" s="65">
        <f>IFERROR($AZ1569/$AZ1570-1,"")</f>
        <v/>
      </c>
      <c r="DQ1569" s="65">
        <f>IFERROR($BA1569/$BA1570-1,"")</f>
        <v/>
      </c>
      <c r="DR1569" s="64">
        <f>$O1569-$O1570</f>
        <v/>
      </c>
      <c r="DS1569" s="64">
        <f>$P1569-$P1570</f>
        <v/>
      </c>
      <c r="DT1569" s="64">
        <f>$Q1569-$Q1570</f>
        <v/>
      </c>
      <c r="DU1569" s="64">
        <f>$S1569-$S1570</f>
        <v/>
      </c>
      <c r="DV1569" s="65">
        <f>IFERROR(AVERAGE($AA1570/$AA1569-1,$AB1570/$AB1569-1,$AC1570/$AC1569-1,$AD1570/$AD1569-1,$AE1570/$AE1569-1,$AG1570/$AG1569-1,$AH1570/$AH1569-1,$AI1570/$AI1569-1,$AJ1570/$AJ1569-1,$AL1570/$AL1569-1,$AM1570/$AM1569-1,$AR1570/$AR1569-1,$AS1570/$AS1569-1,$AT1570/$AT1569-1,$AU1570/$AU1569-1,$AV1570/$AV1569-1,$AW1570/$AW1569-1,$AX1570/$AX1569-1,$AY1570/$AY1569-1),"")</f>
        <v/>
      </c>
      <c r="DW1569" s="66">
        <f>AVERAGE($CB1569,$CC1569,$CD1569,$CE1569,$CF1569,$CG1569,$CH1569,$CI1569,$CJ1569,$CL1569,$CM1569,$CN1569,$CO1569,$CP1569,$CQ1569,$CR1569,$CS1569,$CT1569)</f>
        <v/>
      </c>
      <c r="DX1569" s="66">
        <f>AVERAGE($CB1569,$CC1569,$CM1569,$CE1569,$CP1569)</f>
        <v/>
      </c>
      <c r="DY1569" s="64">
        <f>($DW1569-$DW1570)*100</f>
        <v/>
      </c>
      <c r="DZ1569" s="64">
        <f>($DX1569-$DX1570)*100</f>
        <v/>
      </c>
      <c r="EA1569" s="64">
        <f>($DW1569-$D1569)*100</f>
        <v/>
      </c>
      <c r="EB1569" s="64">
        <f>$Q1569-$O1569</f>
        <v/>
      </c>
      <c r="EC1569" s="67">
        <f>IFERROR($Q1569/$P1569,"")</f>
        <v/>
      </c>
    </row>
    <row r="1570">
      <c r="DG1570" s="64">
        <f>($B1570-$B1571)*100</f>
        <v/>
      </c>
      <c r="DH1570" s="64">
        <f>($D1570-$D1571)*100</f>
        <v/>
      </c>
      <c r="DI1570" s="64">
        <f>($E1570-$E1571)*100</f>
        <v/>
      </c>
      <c r="DJ1570" s="64">
        <f>($H1570-$H1571)*100</f>
        <v/>
      </c>
      <c r="DK1570" s="65">
        <f>IFERROR($J1570/$J1571-1,"")</f>
        <v/>
      </c>
      <c r="DL1570" s="64">
        <f>$L1570-$L1571</f>
        <v/>
      </c>
      <c r="DM1570" s="64">
        <f>$K1570-$K1571</f>
        <v/>
      </c>
      <c r="DN1570" s="65">
        <f>IFERROR($N1570/$N1571-1,"")</f>
        <v/>
      </c>
      <c r="DO1570" s="65">
        <f>IFERROR($M1570/$M1571-1,"")</f>
        <v/>
      </c>
      <c r="DP1570" s="65">
        <f>IFERROR($AZ1570/$AZ1571-1,"")</f>
        <v/>
      </c>
      <c r="DQ1570" s="65">
        <f>IFERROR($BA1570/$BA1571-1,"")</f>
        <v/>
      </c>
      <c r="DR1570" s="64">
        <f>$O1570-$O1571</f>
        <v/>
      </c>
      <c r="DS1570" s="64">
        <f>$P1570-$P1571</f>
        <v/>
      </c>
      <c r="DT1570" s="64">
        <f>$Q1570-$Q1571</f>
        <v/>
      </c>
      <c r="DU1570" s="64">
        <f>$S1570-$S1571</f>
        <v/>
      </c>
      <c r="DV1570" s="65">
        <f>IFERROR(AVERAGE($AA1571/$AA1570-1,$AB1571/$AB1570-1,$AC1571/$AC1570-1,$AD1571/$AD1570-1,$AE1571/$AE1570-1,$AG1571/$AG1570-1,$AH1571/$AH1570-1,$AI1571/$AI1570-1,$AJ1571/$AJ1570-1,$AL1571/$AL1570-1,$AM1571/$AM1570-1,$AR1571/$AR1570-1,$AS1571/$AS1570-1,$AT1571/$AT1570-1,$AU1571/$AU1570-1,$AV1571/$AV1570-1,$AW1571/$AW1570-1,$AX1571/$AX1570-1,$AY1571/$AY1570-1),"")</f>
        <v/>
      </c>
      <c r="DW1570" s="66">
        <f>AVERAGE($CB1570,$CC1570,$CD1570,$CE1570,$CF1570,$CG1570,$CH1570,$CI1570,$CJ1570,$CL1570,$CM1570,$CN1570,$CO1570,$CP1570,$CQ1570,$CR1570,$CS1570,$CT1570)</f>
        <v/>
      </c>
      <c r="DX1570" s="66">
        <f>AVERAGE($CB1570,$CC1570,$CM1570,$CE1570,$CP1570)</f>
        <v/>
      </c>
      <c r="DY1570" s="64">
        <f>($DW1570-$DW1571)*100</f>
        <v/>
      </c>
      <c r="DZ1570" s="64">
        <f>($DX1570-$DX1571)*100</f>
        <v/>
      </c>
      <c r="EA1570" s="64">
        <f>($DW1570-$D1570)*100</f>
        <v/>
      </c>
      <c r="EB1570" s="64">
        <f>$Q1570-$O1570</f>
        <v/>
      </c>
      <c r="EC1570" s="67">
        <f>IFERROR($Q1570/$P1570,"")</f>
        <v/>
      </c>
    </row>
    <row r="1571">
      <c r="DG1571" s="64">
        <f>($B1571-$B1572)*100</f>
        <v/>
      </c>
      <c r="DH1571" s="64">
        <f>($D1571-$D1572)*100</f>
        <v/>
      </c>
      <c r="DI1571" s="64">
        <f>($E1571-$E1572)*100</f>
        <v/>
      </c>
      <c r="DJ1571" s="64">
        <f>($H1571-$H1572)*100</f>
        <v/>
      </c>
      <c r="DK1571" s="65">
        <f>IFERROR($J1571/$J1572-1,"")</f>
        <v/>
      </c>
      <c r="DL1571" s="64">
        <f>$L1571-$L1572</f>
        <v/>
      </c>
      <c r="DM1571" s="64">
        <f>$K1571-$K1572</f>
        <v/>
      </c>
      <c r="DN1571" s="65">
        <f>IFERROR($N1571/$N1572-1,"")</f>
        <v/>
      </c>
      <c r="DO1571" s="65">
        <f>IFERROR($M1571/$M1572-1,"")</f>
        <v/>
      </c>
      <c r="DP1571" s="65">
        <f>IFERROR($AZ1571/$AZ1572-1,"")</f>
        <v/>
      </c>
      <c r="DQ1571" s="65">
        <f>IFERROR($BA1571/$BA1572-1,"")</f>
        <v/>
      </c>
      <c r="DR1571" s="64">
        <f>$O1571-$O1572</f>
        <v/>
      </c>
      <c r="DS1571" s="64">
        <f>$P1571-$P1572</f>
        <v/>
      </c>
      <c r="DT1571" s="64">
        <f>$Q1571-$Q1572</f>
        <v/>
      </c>
      <c r="DU1571" s="64">
        <f>$S1571-$S1572</f>
        <v/>
      </c>
      <c r="DV1571" s="65">
        <f>IFERROR(AVERAGE($AA1572/$AA1571-1,$AB1572/$AB1571-1,$AC1572/$AC1571-1,$AD1572/$AD1571-1,$AE1572/$AE1571-1,$AG1572/$AG1571-1,$AH1572/$AH1571-1,$AI1572/$AI1571-1,$AJ1572/$AJ1571-1,$AL1572/$AL1571-1,$AM1572/$AM1571-1,$AR1572/$AR1571-1,$AS1572/$AS1571-1,$AT1572/$AT1571-1,$AU1572/$AU1571-1,$AV1572/$AV1571-1,$AW1572/$AW1571-1,$AX1572/$AX1571-1,$AY1572/$AY1571-1),"")</f>
        <v/>
      </c>
      <c r="DW1571" s="66">
        <f>AVERAGE($CB1571,$CC1571,$CD1571,$CE1571,$CF1571,$CG1571,$CH1571,$CI1571,$CJ1571,$CL1571,$CM1571,$CN1571,$CO1571,$CP1571,$CQ1571,$CR1571,$CS1571,$CT1571)</f>
        <v/>
      </c>
      <c r="DX1571" s="66">
        <f>AVERAGE($CB1571,$CC1571,$CM1571,$CE1571,$CP1571)</f>
        <v/>
      </c>
      <c r="DY1571" s="64">
        <f>($DW1571-$DW1572)*100</f>
        <v/>
      </c>
      <c r="DZ1571" s="64">
        <f>($DX1571-$DX1572)*100</f>
        <v/>
      </c>
      <c r="EA1571" s="64">
        <f>($DW1571-$D1571)*100</f>
        <v/>
      </c>
      <c r="EB1571" s="64">
        <f>$Q1571-$O1571</f>
        <v/>
      </c>
      <c r="EC1571" s="67">
        <f>IFERROR($Q1571/$P1571,"")</f>
        <v/>
      </c>
    </row>
    <row r="1572">
      <c r="DG1572" s="64">
        <f>($B1572-$B1573)*100</f>
        <v/>
      </c>
      <c r="DH1572" s="64">
        <f>($D1572-$D1573)*100</f>
        <v/>
      </c>
      <c r="DI1572" s="64">
        <f>($E1572-$E1573)*100</f>
        <v/>
      </c>
      <c r="DJ1572" s="64">
        <f>($H1572-$H1573)*100</f>
        <v/>
      </c>
      <c r="DK1572" s="65">
        <f>IFERROR($J1572/$J1573-1,"")</f>
        <v/>
      </c>
      <c r="DL1572" s="64">
        <f>$L1572-$L1573</f>
        <v/>
      </c>
      <c r="DM1572" s="64">
        <f>$K1572-$K1573</f>
        <v/>
      </c>
      <c r="DN1572" s="65">
        <f>IFERROR($N1572/$N1573-1,"")</f>
        <v/>
      </c>
      <c r="DO1572" s="65">
        <f>IFERROR($M1572/$M1573-1,"")</f>
        <v/>
      </c>
      <c r="DP1572" s="65">
        <f>IFERROR($AZ1572/$AZ1573-1,"")</f>
        <v/>
      </c>
      <c r="DQ1572" s="65">
        <f>IFERROR($BA1572/$BA1573-1,"")</f>
        <v/>
      </c>
      <c r="DR1572" s="64">
        <f>$O1572-$O1573</f>
        <v/>
      </c>
      <c r="DS1572" s="64">
        <f>$P1572-$P1573</f>
        <v/>
      </c>
      <c r="DT1572" s="64">
        <f>$Q1572-$Q1573</f>
        <v/>
      </c>
      <c r="DU1572" s="64">
        <f>$S1572-$S1573</f>
        <v/>
      </c>
      <c r="DV1572" s="65">
        <f>IFERROR(AVERAGE($AA1573/$AA1572-1,$AB1573/$AB1572-1,$AC1573/$AC1572-1,$AD1573/$AD1572-1,$AE1573/$AE1572-1,$AG1573/$AG1572-1,$AH1573/$AH1572-1,$AI1573/$AI1572-1,$AJ1573/$AJ1572-1,$AL1573/$AL1572-1,$AM1573/$AM1572-1,$AR1573/$AR1572-1,$AS1573/$AS1572-1,$AT1573/$AT1572-1,$AU1573/$AU1572-1,$AV1573/$AV1572-1,$AW1573/$AW1572-1,$AX1573/$AX1572-1,$AY1573/$AY1572-1),"")</f>
        <v/>
      </c>
      <c r="DW1572" s="66">
        <f>AVERAGE($CB1572,$CC1572,$CD1572,$CE1572,$CF1572,$CG1572,$CH1572,$CI1572,$CJ1572,$CL1572,$CM1572,$CN1572,$CO1572,$CP1572,$CQ1572,$CR1572,$CS1572,$CT1572)</f>
        <v/>
      </c>
      <c r="DX1572" s="66">
        <f>AVERAGE($CB1572,$CC1572,$CM1572,$CE1572,$CP1572)</f>
        <v/>
      </c>
      <c r="DY1572" s="64">
        <f>($DW1572-$DW1573)*100</f>
        <v/>
      </c>
      <c r="DZ1572" s="64">
        <f>($DX1572-$DX1573)*100</f>
        <v/>
      </c>
      <c r="EA1572" s="64">
        <f>($DW1572-$D1572)*100</f>
        <v/>
      </c>
      <c r="EB1572" s="64">
        <f>$Q1572-$O1572</f>
        <v/>
      </c>
      <c r="EC1572" s="67">
        <f>IFERROR($Q1572/$P1572,"")</f>
        <v/>
      </c>
    </row>
    <row r="1573">
      <c r="DG1573" s="64">
        <f>($B1573-$B1574)*100</f>
        <v/>
      </c>
      <c r="DH1573" s="64">
        <f>($D1573-$D1574)*100</f>
        <v/>
      </c>
      <c r="DI1573" s="64">
        <f>($E1573-$E1574)*100</f>
        <v/>
      </c>
      <c r="DJ1573" s="64">
        <f>($H1573-$H1574)*100</f>
        <v/>
      </c>
      <c r="DK1573" s="65">
        <f>IFERROR($J1573/$J1574-1,"")</f>
        <v/>
      </c>
      <c r="DL1573" s="64">
        <f>$L1573-$L1574</f>
        <v/>
      </c>
      <c r="DM1573" s="64">
        <f>$K1573-$K1574</f>
        <v/>
      </c>
      <c r="DN1573" s="65">
        <f>IFERROR($N1573/$N1574-1,"")</f>
        <v/>
      </c>
      <c r="DO1573" s="65">
        <f>IFERROR($M1573/$M1574-1,"")</f>
        <v/>
      </c>
      <c r="DP1573" s="65">
        <f>IFERROR($AZ1573/$AZ1574-1,"")</f>
        <v/>
      </c>
      <c r="DQ1573" s="65">
        <f>IFERROR($BA1573/$BA1574-1,"")</f>
        <v/>
      </c>
      <c r="DR1573" s="64">
        <f>$O1573-$O1574</f>
        <v/>
      </c>
      <c r="DS1573" s="64">
        <f>$P1573-$P1574</f>
        <v/>
      </c>
      <c r="DT1573" s="64">
        <f>$Q1573-$Q1574</f>
        <v/>
      </c>
      <c r="DU1573" s="64">
        <f>$S1573-$S1574</f>
        <v/>
      </c>
      <c r="DV1573" s="65">
        <f>IFERROR(AVERAGE($AA1574/$AA1573-1,$AB1574/$AB1573-1,$AC1574/$AC1573-1,$AD1574/$AD1573-1,$AE1574/$AE1573-1,$AG1574/$AG1573-1,$AH1574/$AH1573-1,$AI1574/$AI1573-1,$AJ1574/$AJ1573-1,$AL1574/$AL1573-1,$AM1574/$AM1573-1,$AR1574/$AR1573-1,$AS1574/$AS1573-1,$AT1574/$AT1573-1,$AU1574/$AU1573-1,$AV1574/$AV1573-1,$AW1574/$AW1573-1,$AX1574/$AX1573-1,$AY1574/$AY1573-1),"")</f>
        <v/>
      </c>
      <c r="DW1573" s="66">
        <f>AVERAGE($CB1573,$CC1573,$CD1573,$CE1573,$CF1573,$CG1573,$CH1573,$CI1573,$CJ1573,$CL1573,$CM1573,$CN1573,$CO1573,$CP1573,$CQ1573,$CR1573,$CS1573,$CT1573)</f>
        <v/>
      </c>
      <c r="DX1573" s="66">
        <f>AVERAGE($CB1573,$CC1573,$CM1573,$CE1573,$CP1573)</f>
        <v/>
      </c>
      <c r="DY1573" s="64">
        <f>($DW1573-$DW1574)*100</f>
        <v/>
      </c>
      <c r="DZ1573" s="64">
        <f>($DX1573-$DX1574)*100</f>
        <v/>
      </c>
      <c r="EA1573" s="64">
        <f>($DW1573-$D1573)*100</f>
        <v/>
      </c>
      <c r="EB1573" s="64">
        <f>$Q1573-$O1573</f>
        <v/>
      </c>
      <c r="EC1573" s="67">
        <f>IFERROR($Q1573/$P1573,"")</f>
        <v/>
      </c>
    </row>
    <row r="1574">
      <c r="DG1574" s="64">
        <f>($B1574-$B1575)*100</f>
        <v/>
      </c>
      <c r="DH1574" s="64">
        <f>($D1574-$D1575)*100</f>
        <v/>
      </c>
      <c r="DI1574" s="64">
        <f>($E1574-$E1575)*100</f>
        <v/>
      </c>
      <c r="DJ1574" s="64">
        <f>($H1574-$H1575)*100</f>
        <v/>
      </c>
      <c r="DK1574" s="65">
        <f>IFERROR($J1574/$J1575-1,"")</f>
        <v/>
      </c>
      <c r="DL1574" s="64">
        <f>$L1574-$L1575</f>
        <v/>
      </c>
      <c r="DM1574" s="64">
        <f>$K1574-$K1575</f>
        <v/>
      </c>
      <c r="DN1574" s="65">
        <f>IFERROR($N1574/$N1575-1,"")</f>
        <v/>
      </c>
      <c r="DO1574" s="65">
        <f>IFERROR($M1574/$M1575-1,"")</f>
        <v/>
      </c>
      <c r="DP1574" s="65">
        <f>IFERROR($AZ1574/$AZ1575-1,"")</f>
        <v/>
      </c>
      <c r="DQ1574" s="65">
        <f>IFERROR($BA1574/$BA1575-1,"")</f>
        <v/>
      </c>
      <c r="DR1574" s="64">
        <f>$O1574-$O1575</f>
        <v/>
      </c>
      <c r="DS1574" s="64">
        <f>$P1574-$P1575</f>
        <v/>
      </c>
      <c r="DT1574" s="64">
        <f>$Q1574-$Q1575</f>
        <v/>
      </c>
      <c r="DU1574" s="64">
        <f>$S1574-$S1575</f>
        <v/>
      </c>
      <c r="DV1574" s="65">
        <f>IFERROR(AVERAGE($AA1575/$AA1574-1,$AB1575/$AB1574-1,$AC1575/$AC1574-1,$AD1575/$AD1574-1,$AE1575/$AE1574-1,$AG1575/$AG1574-1,$AH1575/$AH1574-1,$AI1575/$AI1574-1,$AJ1575/$AJ1574-1,$AL1575/$AL1574-1,$AM1575/$AM1574-1,$AR1575/$AR1574-1,$AS1575/$AS1574-1,$AT1575/$AT1574-1,$AU1575/$AU1574-1,$AV1575/$AV1574-1,$AW1575/$AW1574-1,$AX1575/$AX1574-1,$AY1575/$AY1574-1),"")</f>
        <v/>
      </c>
      <c r="DW1574" s="66">
        <f>AVERAGE($CB1574,$CC1574,$CD1574,$CE1574,$CF1574,$CG1574,$CH1574,$CI1574,$CJ1574,$CL1574,$CM1574,$CN1574,$CO1574,$CP1574,$CQ1574,$CR1574,$CS1574,$CT1574)</f>
        <v/>
      </c>
      <c r="DX1574" s="66">
        <f>AVERAGE($CB1574,$CC1574,$CM1574,$CE1574,$CP1574)</f>
        <v/>
      </c>
      <c r="DY1574" s="64">
        <f>($DW1574-$DW1575)*100</f>
        <v/>
      </c>
      <c r="DZ1574" s="64">
        <f>($DX1574-$DX1575)*100</f>
        <v/>
      </c>
      <c r="EA1574" s="64">
        <f>($DW1574-$D1574)*100</f>
        <v/>
      </c>
      <c r="EB1574" s="64">
        <f>$Q1574-$O1574</f>
        <v/>
      </c>
      <c r="EC1574" s="67">
        <f>IFERROR($Q1574/$P1574,"")</f>
        <v/>
      </c>
    </row>
    <row r="1575">
      <c r="DG1575" s="64">
        <f>($B1575-$B1576)*100</f>
        <v/>
      </c>
      <c r="DH1575" s="64">
        <f>($D1575-$D1576)*100</f>
        <v/>
      </c>
      <c r="DI1575" s="64">
        <f>($E1575-$E1576)*100</f>
        <v/>
      </c>
      <c r="DJ1575" s="64">
        <f>($H1575-$H1576)*100</f>
        <v/>
      </c>
      <c r="DK1575" s="65">
        <f>IFERROR($J1575/$J1576-1,"")</f>
        <v/>
      </c>
      <c r="DL1575" s="64">
        <f>$L1575-$L1576</f>
        <v/>
      </c>
      <c r="DM1575" s="64">
        <f>$K1575-$K1576</f>
        <v/>
      </c>
      <c r="DN1575" s="65">
        <f>IFERROR($N1575/$N1576-1,"")</f>
        <v/>
      </c>
      <c r="DO1575" s="65">
        <f>IFERROR($M1575/$M1576-1,"")</f>
        <v/>
      </c>
      <c r="DP1575" s="65">
        <f>IFERROR($AZ1575/$AZ1576-1,"")</f>
        <v/>
      </c>
      <c r="DQ1575" s="65">
        <f>IFERROR($BA1575/$BA1576-1,"")</f>
        <v/>
      </c>
      <c r="DR1575" s="64">
        <f>$O1575-$O1576</f>
        <v/>
      </c>
      <c r="DS1575" s="64">
        <f>$P1575-$P1576</f>
        <v/>
      </c>
      <c r="DT1575" s="64">
        <f>$Q1575-$Q1576</f>
        <v/>
      </c>
      <c r="DU1575" s="64">
        <f>$S1575-$S1576</f>
        <v/>
      </c>
      <c r="DV1575" s="65">
        <f>IFERROR(AVERAGE($AA1576/$AA1575-1,$AB1576/$AB1575-1,$AC1576/$AC1575-1,$AD1576/$AD1575-1,$AE1576/$AE1575-1,$AG1576/$AG1575-1,$AH1576/$AH1575-1,$AI1576/$AI1575-1,$AJ1576/$AJ1575-1,$AL1576/$AL1575-1,$AM1576/$AM1575-1,$AR1576/$AR1575-1,$AS1576/$AS1575-1,$AT1576/$AT1575-1,$AU1576/$AU1575-1,$AV1576/$AV1575-1,$AW1576/$AW1575-1,$AX1576/$AX1575-1,$AY1576/$AY1575-1),"")</f>
        <v/>
      </c>
      <c r="DW1575" s="66">
        <f>AVERAGE($CB1575,$CC1575,$CD1575,$CE1575,$CF1575,$CG1575,$CH1575,$CI1575,$CJ1575,$CL1575,$CM1575,$CN1575,$CO1575,$CP1575,$CQ1575,$CR1575,$CS1575,$CT1575)</f>
        <v/>
      </c>
      <c r="DX1575" s="66">
        <f>AVERAGE($CB1575,$CC1575,$CM1575,$CE1575,$CP1575)</f>
        <v/>
      </c>
      <c r="DY1575" s="64">
        <f>($DW1575-$DW1576)*100</f>
        <v/>
      </c>
      <c r="DZ1575" s="64">
        <f>($DX1575-$DX1576)*100</f>
        <v/>
      </c>
      <c r="EA1575" s="64">
        <f>($DW1575-$D1575)*100</f>
        <v/>
      </c>
      <c r="EB1575" s="64">
        <f>$Q1575-$O1575</f>
        <v/>
      </c>
      <c r="EC1575" s="67">
        <f>IFERROR($Q1575/$P1575,"")</f>
        <v/>
      </c>
    </row>
    <row r="1576">
      <c r="DG1576" s="64">
        <f>($B1576-$B1577)*100</f>
        <v/>
      </c>
      <c r="DH1576" s="64">
        <f>($D1576-$D1577)*100</f>
        <v/>
      </c>
      <c r="DI1576" s="64">
        <f>($E1576-$E1577)*100</f>
        <v/>
      </c>
      <c r="DJ1576" s="64">
        <f>($H1576-$H1577)*100</f>
        <v/>
      </c>
      <c r="DK1576" s="65">
        <f>IFERROR($J1576/$J1577-1,"")</f>
        <v/>
      </c>
      <c r="DL1576" s="64">
        <f>$L1576-$L1577</f>
        <v/>
      </c>
      <c r="DM1576" s="64">
        <f>$K1576-$K1577</f>
        <v/>
      </c>
      <c r="DN1576" s="65">
        <f>IFERROR($N1576/$N1577-1,"")</f>
        <v/>
      </c>
      <c r="DO1576" s="65">
        <f>IFERROR($M1576/$M1577-1,"")</f>
        <v/>
      </c>
      <c r="DP1576" s="65">
        <f>IFERROR($AZ1576/$AZ1577-1,"")</f>
        <v/>
      </c>
      <c r="DQ1576" s="65">
        <f>IFERROR($BA1576/$BA1577-1,"")</f>
        <v/>
      </c>
      <c r="DR1576" s="64">
        <f>$O1576-$O1577</f>
        <v/>
      </c>
      <c r="DS1576" s="64">
        <f>$P1576-$P1577</f>
        <v/>
      </c>
      <c r="DT1576" s="64">
        <f>$Q1576-$Q1577</f>
        <v/>
      </c>
      <c r="DU1576" s="64">
        <f>$S1576-$S1577</f>
        <v/>
      </c>
      <c r="DV1576" s="65">
        <f>IFERROR(AVERAGE($AA1577/$AA1576-1,$AB1577/$AB1576-1,$AC1577/$AC1576-1,$AD1577/$AD1576-1,$AE1577/$AE1576-1,$AG1577/$AG1576-1,$AH1577/$AH1576-1,$AI1577/$AI1576-1,$AJ1577/$AJ1576-1,$AL1577/$AL1576-1,$AM1577/$AM1576-1,$AR1577/$AR1576-1,$AS1577/$AS1576-1,$AT1577/$AT1576-1,$AU1577/$AU1576-1,$AV1577/$AV1576-1,$AW1577/$AW1576-1,$AX1577/$AX1576-1,$AY1577/$AY1576-1),"")</f>
        <v/>
      </c>
      <c r="DW1576" s="66">
        <f>AVERAGE($CB1576,$CC1576,$CD1576,$CE1576,$CF1576,$CG1576,$CH1576,$CI1576,$CJ1576,$CL1576,$CM1576,$CN1576,$CO1576,$CP1576,$CQ1576,$CR1576,$CS1576,$CT1576)</f>
        <v/>
      </c>
      <c r="DX1576" s="66">
        <f>AVERAGE($CB1576,$CC1576,$CM1576,$CE1576,$CP1576)</f>
        <v/>
      </c>
      <c r="DY1576" s="64">
        <f>($DW1576-$DW1577)*100</f>
        <v/>
      </c>
      <c r="DZ1576" s="64">
        <f>($DX1576-$DX1577)*100</f>
        <v/>
      </c>
      <c r="EA1576" s="64">
        <f>($DW1576-$D1576)*100</f>
        <v/>
      </c>
      <c r="EB1576" s="64">
        <f>$Q1576-$O1576</f>
        <v/>
      </c>
      <c r="EC1576" s="67">
        <f>IFERROR($Q1576/$P1576,"")</f>
        <v/>
      </c>
    </row>
    <row r="1577">
      <c r="DG1577" s="64">
        <f>($B1577-$B1578)*100</f>
        <v/>
      </c>
      <c r="DH1577" s="64">
        <f>($D1577-$D1578)*100</f>
        <v/>
      </c>
      <c r="DI1577" s="64">
        <f>($E1577-$E1578)*100</f>
        <v/>
      </c>
      <c r="DJ1577" s="64">
        <f>($H1577-$H1578)*100</f>
        <v/>
      </c>
      <c r="DK1577" s="65">
        <f>IFERROR($J1577/$J1578-1,"")</f>
        <v/>
      </c>
      <c r="DL1577" s="64">
        <f>$L1577-$L1578</f>
        <v/>
      </c>
      <c r="DM1577" s="64">
        <f>$K1577-$K1578</f>
        <v/>
      </c>
      <c r="DN1577" s="65">
        <f>IFERROR($N1577/$N1578-1,"")</f>
        <v/>
      </c>
      <c r="DO1577" s="65">
        <f>IFERROR($M1577/$M1578-1,"")</f>
        <v/>
      </c>
      <c r="DP1577" s="65">
        <f>IFERROR($AZ1577/$AZ1578-1,"")</f>
        <v/>
      </c>
      <c r="DQ1577" s="65">
        <f>IFERROR($BA1577/$BA1578-1,"")</f>
        <v/>
      </c>
      <c r="DR1577" s="64">
        <f>$O1577-$O1578</f>
        <v/>
      </c>
      <c r="DS1577" s="64">
        <f>$P1577-$P1578</f>
        <v/>
      </c>
      <c r="DT1577" s="64">
        <f>$Q1577-$Q1578</f>
        <v/>
      </c>
      <c r="DU1577" s="64">
        <f>$S1577-$S1578</f>
        <v/>
      </c>
      <c r="DV1577" s="65">
        <f>IFERROR(AVERAGE($AA1578/$AA1577-1,$AB1578/$AB1577-1,$AC1578/$AC1577-1,$AD1578/$AD1577-1,$AE1578/$AE1577-1,$AG1578/$AG1577-1,$AH1578/$AH1577-1,$AI1578/$AI1577-1,$AJ1578/$AJ1577-1,$AL1578/$AL1577-1,$AM1578/$AM1577-1,$AR1578/$AR1577-1,$AS1578/$AS1577-1,$AT1578/$AT1577-1,$AU1578/$AU1577-1,$AV1578/$AV1577-1,$AW1578/$AW1577-1,$AX1578/$AX1577-1,$AY1578/$AY1577-1),"")</f>
        <v/>
      </c>
      <c r="DW1577" s="66">
        <f>AVERAGE($CB1577,$CC1577,$CD1577,$CE1577,$CF1577,$CG1577,$CH1577,$CI1577,$CJ1577,$CL1577,$CM1577,$CN1577,$CO1577,$CP1577,$CQ1577,$CR1577,$CS1577,$CT1577)</f>
        <v/>
      </c>
      <c r="DX1577" s="66">
        <f>AVERAGE($CB1577,$CC1577,$CM1577,$CE1577,$CP1577)</f>
        <v/>
      </c>
      <c r="DY1577" s="64">
        <f>($DW1577-$DW1578)*100</f>
        <v/>
      </c>
      <c r="DZ1577" s="64">
        <f>($DX1577-$DX1578)*100</f>
        <v/>
      </c>
      <c r="EA1577" s="64">
        <f>($DW1577-$D1577)*100</f>
        <v/>
      </c>
      <c r="EB1577" s="64">
        <f>$Q1577-$O1577</f>
        <v/>
      </c>
      <c r="EC1577" s="67">
        <f>IFERROR($Q1577/$P1577,"")</f>
        <v/>
      </c>
    </row>
    <row r="1578">
      <c r="DG1578" s="64">
        <f>($B1578-$B1579)*100</f>
        <v/>
      </c>
      <c r="DH1578" s="64">
        <f>($D1578-$D1579)*100</f>
        <v/>
      </c>
      <c r="DI1578" s="64">
        <f>($E1578-$E1579)*100</f>
        <v/>
      </c>
      <c r="DJ1578" s="64">
        <f>($H1578-$H1579)*100</f>
        <v/>
      </c>
      <c r="DK1578" s="65">
        <f>IFERROR($J1578/$J1579-1,"")</f>
        <v/>
      </c>
      <c r="DL1578" s="64">
        <f>$L1578-$L1579</f>
        <v/>
      </c>
      <c r="DM1578" s="64">
        <f>$K1578-$K1579</f>
        <v/>
      </c>
      <c r="DN1578" s="65">
        <f>IFERROR($N1578/$N1579-1,"")</f>
        <v/>
      </c>
      <c r="DO1578" s="65">
        <f>IFERROR($M1578/$M1579-1,"")</f>
        <v/>
      </c>
      <c r="DP1578" s="65">
        <f>IFERROR($AZ1578/$AZ1579-1,"")</f>
        <v/>
      </c>
      <c r="DQ1578" s="65">
        <f>IFERROR($BA1578/$BA1579-1,"")</f>
        <v/>
      </c>
      <c r="DR1578" s="64">
        <f>$O1578-$O1579</f>
        <v/>
      </c>
      <c r="DS1578" s="64">
        <f>$P1578-$P1579</f>
        <v/>
      </c>
      <c r="DT1578" s="64">
        <f>$Q1578-$Q1579</f>
        <v/>
      </c>
      <c r="DU1578" s="64">
        <f>$S1578-$S1579</f>
        <v/>
      </c>
      <c r="DV1578" s="65">
        <f>IFERROR(AVERAGE($AA1579/$AA1578-1,$AB1579/$AB1578-1,$AC1579/$AC1578-1,$AD1579/$AD1578-1,$AE1579/$AE1578-1,$AG1579/$AG1578-1,$AH1579/$AH1578-1,$AI1579/$AI1578-1,$AJ1579/$AJ1578-1,$AL1579/$AL1578-1,$AM1579/$AM1578-1,$AR1579/$AR1578-1,$AS1579/$AS1578-1,$AT1579/$AT1578-1,$AU1579/$AU1578-1,$AV1579/$AV1578-1,$AW1579/$AW1578-1,$AX1579/$AX1578-1,$AY1579/$AY1578-1),"")</f>
        <v/>
      </c>
      <c r="DW1578" s="66">
        <f>AVERAGE($CB1578,$CC1578,$CD1578,$CE1578,$CF1578,$CG1578,$CH1578,$CI1578,$CJ1578,$CL1578,$CM1578,$CN1578,$CO1578,$CP1578,$CQ1578,$CR1578,$CS1578,$CT1578)</f>
        <v/>
      </c>
      <c r="DX1578" s="66">
        <f>AVERAGE($CB1578,$CC1578,$CM1578,$CE1578,$CP1578)</f>
        <v/>
      </c>
      <c r="DY1578" s="64">
        <f>($DW1578-$DW1579)*100</f>
        <v/>
      </c>
      <c r="DZ1578" s="64">
        <f>($DX1578-$DX1579)*100</f>
        <v/>
      </c>
      <c r="EA1578" s="64">
        <f>($DW1578-$D1578)*100</f>
        <v/>
      </c>
      <c r="EB1578" s="64">
        <f>$Q1578-$O1578</f>
        <v/>
      </c>
      <c r="EC1578" s="67">
        <f>IFERROR($Q1578/$P1578,"")</f>
        <v/>
      </c>
    </row>
    <row r="1579">
      <c r="DG1579" s="64">
        <f>($B1579-$B1580)*100</f>
        <v/>
      </c>
      <c r="DH1579" s="64">
        <f>($D1579-$D1580)*100</f>
        <v/>
      </c>
      <c r="DI1579" s="64">
        <f>($E1579-$E1580)*100</f>
        <v/>
      </c>
      <c r="DJ1579" s="64">
        <f>($H1579-$H1580)*100</f>
        <v/>
      </c>
      <c r="DK1579" s="65">
        <f>IFERROR($J1579/$J1580-1,"")</f>
        <v/>
      </c>
      <c r="DL1579" s="64">
        <f>$L1579-$L1580</f>
        <v/>
      </c>
      <c r="DM1579" s="64">
        <f>$K1579-$K1580</f>
        <v/>
      </c>
      <c r="DN1579" s="65">
        <f>IFERROR($N1579/$N1580-1,"")</f>
        <v/>
      </c>
      <c r="DO1579" s="65">
        <f>IFERROR($M1579/$M1580-1,"")</f>
        <v/>
      </c>
      <c r="DP1579" s="65">
        <f>IFERROR($AZ1579/$AZ1580-1,"")</f>
        <v/>
      </c>
      <c r="DQ1579" s="65">
        <f>IFERROR($BA1579/$BA1580-1,"")</f>
        <v/>
      </c>
      <c r="DR1579" s="64">
        <f>$O1579-$O1580</f>
        <v/>
      </c>
      <c r="DS1579" s="64">
        <f>$P1579-$P1580</f>
        <v/>
      </c>
      <c r="DT1579" s="64">
        <f>$Q1579-$Q1580</f>
        <v/>
      </c>
      <c r="DU1579" s="64">
        <f>$S1579-$S1580</f>
        <v/>
      </c>
      <c r="DV1579" s="65">
        <f>IFERROR(AVERAGE($AA1580/$AA1579-1,$AB1580/$AB1579-1,$AC1580/$AC1579-1,$AD1580/$AD1579-1,$AE1580/$AE1579-1,$AG1580/$AG1579-1,$AH1580/$AH1579-1,$AI1580/$AI1579-1,$AJ1580/$AJ1579-1,$AL1580/$AL1579-1,$AM1580/$AM1579-1,$AR1580/$AR1579-1,$AS1580/$AS1579-1,$AT1580/$AT1579-1,$AU1580/$AU1579-1,$AV1580/$AV1579-1,$AW1580/$AW1579-1,$AX1580/$AX1579-1,$AY1580/$AY1579-1),"")</f>
        <v/>
      </c>
      <c r="DW1579" s="66">
        <f>AVERAGE($CB1579,$CC1579,$CD1579,$CE1579,$CF1579,$CG1579,$CH1579,$CI1579,$CJ1579,$CL1579,$CM1579,$CN1579,$CO1579,$CP1579,$CQ1579,$CR1579,$CS1579,$CT1579)</f>
        <v/>
      </c>
      <c r="DX1579" s="66">
        <f>AVERAGE($CB1579,$CC1579,$CM1579,$CE1579,$CP1579)</f>
        <v/>
      </c>
      <c r="DY1579" s="64">
        <f>($DW1579-$DW1580)*100</f>
        <v/>
      </c>
      <c r="DZ1579" s="64">
        <f>($DX1579-$DX1580)*100</f>
        <v/>
      </c>
      <c r="EA1579" s="64">
        <f>($DW1579-$D1579)*100</f>
        <v/>
      </c>
      <c r="EB1579" s="64">
        <f>$Q1579-$O1579</f>
        <v/>
      </c>
      <c r="EC1579" s="67">
        <f>IFERROR($Q1579/$P1579,"")</f>
        <v/>
      </c>
    </row>
    <row r="1580">
      <c r="DG1580" s="64">
        <f>($B1580-$B1581)*100</f>
        <v/>
      </c>
      <c r="DH1580" s="64">
        <f>($D1580-$D1581)*100</f>
        <v/>
      </c>
      <c r="DI1580" s="64">
        <f>($E1580-$E1581)*100</f>
        <v/>
      </c>
      <c r="DJ1580" s="64">
        <f>($H1580-$H1581)*100</f>
        <v/>
      </c>
      <c r="DK1580" s="65">
        <f>IFERROR($J1580/$J1581-1,"")</f>
        <v/>
      </c>
      <c r="DL1580" s="64">
        <f>$L1580-$L1581</f>
        <v/>
      </c>
      <c r="DM1580" s="64">
        <f>$K1580-$K1581</f>
        <v/>
      </c>
      <c r="DN1580" s="65">
        <f>IFERROR($N1580/$N1581-1,"")</f>
        <v/>
      </c>
      <c r="DO1580" s="65">
        <f>IFERROR($M1580/$M1581-1,"")</f>
        <v/>
      </c>
      <c r="DP1580" s="65">
        <f>IFERROR($AZ1580/$AZ1581-1,"")</f>
        <v/>
      </c>
      <c r="DQ1580" s="65">
        <f>IFERROR($BA1580/$BA1581-1,"")</f>
        <v/>
      </c>
      <c r="DR1580" s="64">
        <f>$O1580-$O1581</f>
        <v/>
      </c>
      <c r="DS1580" s="64">
        <f>$P1580-$P1581</f>
        <v/>
      </c>
      <c r="DT1580" s="64">
        <f>$Q1580-$Q1581</f>
        <v/>
      </c>
      <c r="DU1580" s="64">
        <f>$S1580-$S1581</f>
        <v/>
      </c>
      <c r="DV1580" s="65">
        <f>IFERROR(AVERAGE($AA1581/$AA1580-1,$AB1581/$AB1580-1,$AC1581/$AC1580-1,$AD1581/$AD1580-1,$AE1581/$AE1580-1,$AG1581/$AG1580-1,$AH1581/$AH1580-1,$AI1581/$AI1580-1,$AJ1581/$AJ1580-1,$AL1581/$AL1580-1,$AM1581/$AM1580-1,$AR1581/$AR1580-1,$AS1581/$AS1580-1,$AT1581/$AT1580-1,$AU1581/$AU1580-1,$AV1581/$AV1580-1,$AW1581/$AW1580-1,$AX1581/$AX1580-1,$AY1581/$AY1580-1),"")</f>
        <v/>
      </c>
      <c r="DW1580" s="66">
        <f>AVERAGE($CB1580,$CC1580,$CD1580,$CE1580,$CF1580,$CG1580,$CH1580,$CI1580,$CJ1580,$CL1580,$CM1580,$CN1580,$CO1580,$CP1580,$CQ1580,$CR1580,$CS1580,$CT1580)</f>
        <v/>
      </c>
      <c r="DX1580" s="66">
        <f>AVERAGE($CB1580,$CC1580,$CM1580,$CE1580,$CP1580)</f>
        <v/>
      </c>
      <c r="DY1580" s="64">
        <f>($DW1580-$DW1581)*100</f>
        <v/>
      </c>
      <c r="DZ1580" s="64">
        <f>($DX1580-$DX1581)*100</f>
        <v/>
      </c>
      <c r="EA1580" s="64">
        <f>($DW1580-$D1580)*100</f>
        <v/>
      </c>
      <c r="EB1580" s="64">
        <f>$Q1580-$O1580</f>
        <v/>
      </c>
      <c r="EC1580" s="67">
        <f>IFERROR($Q1580/$P1580,"")</f>
        <v/>
      </c>
    </row>
    <row r="1581">
      <c r="DG1581" s="64">
        <f>($B1581-$B1582)*100</f>
        <v/>
      </c>
      <c r="DH1581" s="64">
        <f>($D1581-$D1582)*100</f>
        <v/>
      </c>
      <c r="DI1581" s="64">
        <f>($E1581-$E1582)*100</f>
        <v/>
      </c>
      <c r="DJ1581" s="64">
        <f>($H1581-$H1582)*100</f>
        <v/>
      </c>
      <c r="DK1581" s="65">
        <f>IFERROR($J1581/$J1582-1,"")</f>
        <v/>
      </c>
      <c r="DL1581" s="64">
        <f>$L1581-$L1582</f>
        <v/>
      </c>
      <c r="DM1581" s="64">
        <f>$K1581-$K1582</f>
        <v/>
      </c>
      <c r="DN1581" s="65">
        <f>IFERROR($N1581/$N1582-1,"")</f>
        <v/>
      </c>
      <c r="DO1581" s="65">
        <f>IFERROR($M1581/$M1582-1,"")</f>
        <v/>
      </c>
      <c r="DP1581" s="65">
        <f>IFERROR($AZ1581/$AZ1582-1,"")</f>
        <v/>
      </c>
      <c r="DQ1581" s="65">
        <f>IFERROR($BA1581/$BA1582-1,"")</f>
        <v/>
      </c>
      <c r="DR1581" s="64">
        <f>$O1581-$O1582</f>
        <v/>
      </c>
      <c r="DS1581" s="64">
        <f>$P1581-$P1582</f>
        <v/>
      </c>
      <c r="DT1581" s="64">
        <f>$Q1581-$Q1582</f>
        <v/>
      </c>
      <c r="DU1581" s="64">
        <f>$S1581-$S1582</f>
        <v/>
      </c>
      <c r="DV1581" s="65">
        <f>IFERROR(AVERAGE($AA1582/$AA1581-1,$AB1582/$AB1581-1,$AC1582/$AC1581-1,$AD1582/$AD1581-1,$AE1582/$AE1581-1,$AG1582/$AG1581-1,$AH1582/$AH1581-1,$AI1582/$AI1581-1,$AJ1582/$AJ1581-1,$AL1582/$AL1581-1,$AM1582/$AM1581-1,$AR1582/$AR1581-1,$AS1582/$AS1581-1,$AT1582/$AT1581-1,$AU1582/$AU1581-1,$AV1582/$AV1581-1,$AW1582/$AW1581-1,$AX1582/$AX1581-1,$AY1582/$AY1581-1),"")</f>
        <v/>
      </c>
      <c r="DW1581" s="66">
        <f>AVERAGE($CB1581,$CC1581,$CD1581,$CE1581,$CF1581,$CG1581,$CH1581,$CI1581,$CJ1581,$CL1581,$CM1581,$CN1581,$CO1581,$CP1581,$CQ1581,$CR1581,$CS1581,$CT1581)</f>
        <v/>
      </c>
      <c r="DX1581" s="66">
        <f>AVERAGE($CB1581,$CC1581,$CM1581,$CE1581,$CP1581)</f>
        <v/>
      </c>
      <c r="DY1581" s="64">
        <f>($DW1581-$DW1582)*100</f>
        <v/>
      </c>
      <c r="DZ1581" s="64">
        <f>($DX1581-$DX1582)*100</f>
        <v/>
      </c>
      <c r="EA1581" s="64">
        <f>($DW1581-$D1581)*100</f>
        <v/>
      </c>
      <c r="EB1581" s="64">
        <f>$Q1581-$O1581</f>
        <v/>
      </c>
      <c r="EC1581" s="67">
        <f>IFERROR($Q1581/$P1581,"")</f>
        <v/>
      </c>
    </row>
    <row r="1582">
      <c r="DG1582" s="64">
        <f>($B1582-$B1583)*100</f>
        <v/>
      </c>
      <c r="DH1582" s="64">
        <f>($D1582-$D1583)*100</f>
        <v/>
      </c>
      <c r="DI1582" s="64">
        <f>($E1582-$E1583)*100</f>
        <v/>
      </c>
      <c r="DJ1582" s="64">
        <f>($H1582-$H1583)*100</f>
        <v/>
      </c>
      <c r="DK1582" s="65">
        <f>IFERROR($J1582/$J1583-1,"")</f>
        <v/>
      </c>
      <c r="DL1582" s="64">
        <f>$L1582-$L1583</f>
        <v/>
      </c>
      <c r="DM1582" s="64">
        <f>$K1582-$K1583</f>
        <v/>
      </c>
      <c r="DN1582" s="65">
        <f>IFERROR($N1582/$N1583-1,"")</f>
        <v/>
      </c>
      <c r="DO1582" s="65">
        <f>IFERROR($M1582/$M1583-1,"")</f>
        <v/>
      </c>
      <c r="DP1582" s="65">
        <f>IFERROR($AZ1582/$AZ1583-1,"")</f>
        <v/>
      </c>
      <c r="DQ1582" s="65">
        <f>IFERROR($BA1582/$BA1583-1,"")</f>
        <v/>
      </c>
      <c r="DR1582" s="64">
        <f>$O1582-$O1583</f>
        <v/>
      </c>
      <c r="DS1582" s="64">
        <f>$P1582-$P1583</f>
        <v/>
      </c>
      <c r="DT1582" s="64">
        <f>$Q1582-$Q1583</f>
        <v/>
      </c>
      <c r="DU1582" s="64">
        <f>$S1582-$S1583</f>
        <v/>
      </c>
      <c r="DV1582" s="65">
        <f>IFERROR(AVERAGE($AA1583/$AA1582-1,$AB1583/$AB1582-1,$AC1583/$AC1582-1,$AD1583/$AD1582-1,$AE1583/$AE1582-1,$AG1583/$AG1582-1,$AH1583/$AH1582-1,$AI1583/$AI1582-1,$AJ1583/$AJ1582-1,$AL1583/$AL1582-1,$AM1583/$AM1582-1,$AR1583/$AR1582-1,$AS1583/$AS1582-1,$AT1583/$AT1582-1,$AU1583/$AU1582-1,$AV1583/$AV1582-1,$AW1583/$AW1582-1,$AX1583/$AX1582-1,$AY1583/$AY1582-1),"")</f>
        <v/>
      </c>
      <c r="DW1582" s="66">
        <f>AVERAGE($CB1582,$CC1582,$CD1582,$CE1582,$CF1582,$CG1582,$CH1582,$CI1582,$CJ1582,$CL1582,$CM1582,$CN1582,$CO1582,$CP1582,$CQ1582,$CR1582,$CS1582,$CT1582)</f>
        <v/>
      </c>
      <c r="DX1582" s="66">
        <f>AVERAGE($CB1582,$CC1582,$CM1582,$CE1582,$CP1582)</f>
        <v/>
      </c>
      <c r="DY1582" s="64">
        <f>($DW1582-$DW1583)*100</f>
        <v/>
      </c>
      <c r="DZ1582" s="64">
        <f>($DX1582-$DX1583)*100</f>
        <v/>
      </c>
      <c r="EA1582" s="64">
        <f>($DW1582-$D1582)*100</f>
        <v/>
      </c>
      <c r="EB1582" s="64">
        <f>$Q1582-$O1582</f>
        <v/>
      </c>
      <c r="EC1582" s="67">
        <f>IFERROR($Q1582/$P1582,"")</f>
        <v/>
      </c>
    </row>
    <row r="1583">
      <c r="DG1583" s="64">
        <f>($B1583-$B1584)*100</f>
        <v/>
      </c>
      <c r="DH1583" s="64">
        <f>($D1583-$D1584)*100</f>
        <v/>
      </c>
      <c r="DI1583" s="64">
        <f>($E1583-$E1584)*100</f>
        <v/>
      </c>
      <c r="DJ1583" s="64">
        <f>($H1583-$H1584)*100</f>
        <v/>
      </c>
      <c r="DK1583" s="65">
        <f>IFERROR($J1583/$J1584-1,"")</f>
        <v/>
      </c>
      <c r="DL1583" s="64">
        <f>$L1583-$L1584</f>
        <v/>
      </c>
      <c r="DM1583" s="64">
        <f>$K1583-$K1584</f>
        <v/>
      </c>
      <c r="DN1583" s="65">
        <f>IFERROR($N1583/$N1584-1,"")</f>
        <v/>
      </c>
      <c r="DO1583" s="65">
        <f>IFERROR($M1583/$M1584-1,"")</f>
        <v/>
      </c>
      <c r="DP1583" s="65">
        <f>IFERROR($AZ1583/$AZ1584-1,"")</f>
        <v/>
      </c>
      <c r="DQ1583" s="65">
        <f>IFERROR($BA1583/$BA1584-1,"")</f>
        <v/>
      </c>
      <c r="DR1583" s="64">
        <f>$O1583-$O1584</f>
        <v/>
      </c>
      <c r="DS1583" s="64">
        <f>$P1583-$P1584</f>
        <v/>
      </c>
      <c r="DT1583" s="64">
        <f>$Q1583-$Q1584</f>
        <v/>
      </c>
      <c r="DU1583" s="64">
        <f>$S1583-$S1584</f>
        <v/>
      </c>
      <c r="DV1583" s="65">
        <f>IFERROR(AVERAGE($AA1584/$AA1583-1,$AB1584/$AB1583-1,$AC1584/$AC1583-1,$AD1584/$AD1583-1,$AE1584/$AE1583-1,$AG1584/$AG1583-1,$AH1584/$AH1583-1,$AI1584/$AI1583-1,$AJ1584/$AJ1583-1,$AL1584/$AL1583-1,$AM1584/$AM1583-1,$AR1584/$AR1583-1,$AS1584/$AS1583-1,$AT1584/$AT1583-1,$AU1584/$AU1583-1,$AV1584/$AV1583-1,$AW1584/$AW1583-1,$AX1584/$AX1583-1,$AY1584/$AY1583-1),"")</f>
        <v/>
      </c>
      <c r="DW1583" s="66">
        <f>AVERAGE($CB1583,$CC1583,$CD1583,$CE1583,$CF1583,$CG1583,$CH1583,$CI1583,$CJ1583,$CL1583,$CM1583,$CN1583,$CO1583,$CP1583,$CQ1583,$CR1583,$CS1583,$CT1583)</f>
        <v/>
      </c>
      <c r="DX1583" s="66">
        <f>AVERAGE($CB1583,$CC1583,$CM1583,$CE1583,$CP1583)</f>
        <v/>
      </c>
      <c r="DY1583" s="64">
        <f>($DW1583-$DW1584)*100</f>
        <v/>
      </c>
      <c r="DZ1583" s="64">
        <f>($DX1583-$DX1584)*100</f>
        <v/>
      </c>
      <c r="EA1583" s="64">
        <f>($DW1583-$D1583)*100</f>
        <v/>
      </c>
      <c r="EB1583" s="64">
        <f>$Q1583-$O1583</f>
        <v/>
      </c>
      <c r="EC1583" s="67">
        <f>IFERROR($Q1583/$P1583,"")</f>
        <v/>
      </c>
    </row>
    <row r="1584">
      <c r="DG1584" s="64">
        <f>($B1584-$B1585)*100</f>
        <v/>
      </c>
      <c r="DH1584" s="64">
        <f>($D1584-$D1585)*100</f>
        <v/>
      </c>
      <c r="DI1584" s="64">
        <f>($E1584-$E1585)*100</f>
        <v/>
      </c>
      <c r="DJ1584" s="64">
        <f>($H1584-$H1585)*100</f>
        <v/>
      </c>
      <c r="DK1584" s="65">
        <f>IFERROR($J1584/$J1585-1,"")</f>
        <v/>
      </c>
      <c r="DL1584" s="64">
        <f>$L1584-$L1585</f>
        <v/>
      </c>
      <c r="DM1584" s="64">
        <f>$K1584-$K1585</f>
        <v/>
      </c>
      <c r="DN1584" s="65">
        <f>IFERROR($N1584/$N1585-1,"")</f>
        <v/>
      </c>
      <c r="DO1584" s="65">
        <f>IFERROR($M1584/$M1585-1,"")</f>
        <v/>
      </c>
      <c r="DP1584" s="65">
        <f>IFERROR($AZ1584/$AZ1585-1,"")</f>
        <v/>
      </c>
      <c r="DQ1584" s="65">
        <f>IFERROR($BA1584/$BA1585-1,"")</f>
        <v/>
      </c>
      <c r="DR1584" s="64">
        <f>$O1584-$O1585</f>
        <v/>
      </c>
      <c r="DS1584" s="64">
        <f>$P1584-$P1585</f>
        <v/>
      </c>
      <c r="DT1584" s="64">
        <f>$Q1584-$Q1585</f>
        <v/>
      </c>
      <c r="DU1584" s="64">
        <f>$S1584-$S1585</f>
        <v/>
      </c>
      <c r="DV1584" s="65">
        <f>IFERROR(AVERAGE($AA1585/$AA1584-1,$AB1585/$AB1584-1,$AC1585/$AC1584-1,$AD1585/$AD1584-1,$AE1585/$AE1584-1,$AG1585/$AG1584-1,$AH1585/$AH1584-1,$AI1585/$AI1584-1,$AJ1585/$AJ1584-1,$AL1585/$AL1584-1,$AM1585/$AM1584-1,$AR1585/$AR1584-1,$AS1585/$AS1584-1,$AT1585/$AT1584-1,$AU1585/$AU1584-1,$AV1585/$AV1584-1,$AW1585/$AW1584-1,$AX1585/$AX1584-1,$AY1585/$AY1584-1),"")</f>
        <v/>
      </c>
      <c r="DW1584" s="66">
        <f>AVERAGE($CB1584,$CC1584,$CD1584,$CE1584,$CF1584,$CG1584,$CH1584,$CI1584,$CJ1584,$CL1584,$CM1584,$CN1584,$CO1584,$CP1584,$CQ1584,$CR1584,$CS1584,$CT1584)</f>
        <v/>
      </c>
      <c r="DX1584" s="66">
        <f>AVERAGE($CB1584,$CC1584,$CM1584,$CE1584,$CP1584)</f>
        <v/>
      </c>
      <c r="DY1584" s="64">
        <f>($DW1584-$DW1585)*100</f>
        <v/>
      </c>
      <c r="DZ1584" s="64">
        <f>($DX1584-$DX1585)*100</f>
        <v/>
      </c>
      <c r="EA1584" s="64">
        <f>($DW1584-$D1584)*100</f>
        <v/>
      </c>
      <c r="EB1584" s="64">
        <f>$Q1584-$O1584</f>
        <v/>
      </c>
      <c r="EC1584" s="67">
        <f>IFERROR($Q1584/$P1584,"")</f>
        <v/>
      </c>
    </row>
    <row r="1585">
      <c r="DG1585" s="64">
        <f>($B1585-$B1586)*100</f>
        <v/>
      </c>
      <c r="DH1585" s="64">
        <f>($D1585-$D1586)*100</f>
        <v/>
      </c>
      <c r="DI1585" s="64">
        <f>($E1585-$E1586)*100</f>
        <v/>
      </c>
      <c r="DJ1585" s="64">
        <f>($H1585-$H1586)*100</f>
        <v/>
      </c>
      <c r="DK1585" s="65">
        <f>IFERROR($J1585/$J1586-1,"")</f>
        <v/>
      </c>
      <c r="DL1585" s="64">
        <f>$L1585-$L1586</f>
        <v/>
      </c>
      <c r="DM1585" s="64">
        <f>$K1585-$K1586</f>
        <v/>
      </c>
      <c r="DN1585" s="65">
        <f>IFERROR($N1585/$N1586-1,"")</f>
        <v/>
      </c>
      <c r="DO1585" s="65">
        <f>IFERROR($M1585/$M1586-1,"")</f>
        <v/>
      </c>
      <c r="DP1585" s="65">
        <f>IFERROR($AZ1585/$AZ1586-1,"")</f>
        <v/>
      </c>
      <c r="DQ1585" s="65">
        <f>IFERROR($BA1585/$BA1586-1,"")</f>
        <v/>
      </c>
      <c r="DR1585" s="64">
        <f>$O1585-$O1586</f>
        <v/>
      </c>
      <c r="DS1585" s="64">
        <f>$P1585-$P1586</f>
        <v/>
      </c>
      <c r="DT1585" s="64">
        <f>$Q1585-$Q1586</f>
        <v/>
      </c>
      <c r="DU1585" s="64">
        <f>$S1585-$S1586</f>
        <v/>
      </c>
      <c r="DV1585" s="65">
        <f>IFERROR(AVERAGE($AA1586/$AA1585-1,$AB1586/$AB1585-1,$AC1586/$AC1585-1,$AD1586/$AD1585-1,$AE1586/$AE1585-1,$AG1586/$AG1585-1,$AH1586/$AH1585-1,$AI1586/$AI1585-1,$AJ1586/$AJ1585-1,$AL1586/$AL1585-1,$AM1586/$AM1585-1,$AR1586/$AR1585-1,$AS1586/$AS1585-1,$AT1586/$AT1585-1,$AU1586/$AU1585-1,$AV1586/$AV1585-1,$AW1586/$AW1585-1,$AX1586/$AX1585-1,$AY1586/$AY1585-1),"")</f>
        <v/>
      </c>
      <c r="DW1585" s="66">
        <f>AVERAGE($CB1585,$CC1585,$CD1585,$CE1585,$CF1585,$CG1585,$CH1585,$CI1585,$CJ1585,$CL1585,$CM1585,$CN1585,$CO1585,$CP1585,$CQ1585,$CR1585,$CS1585,$CT1585)</f>
        <v/>
      </c>
      <c r="DX1585" s="66">
        <f>AVERAGE($CB1585,$CC1585,$CM1585,$CE1585,$CP1585)</f>
        <v/>
      </c>
      <c r="DY1585" s="64">
        <f>($DW1585-$DW1586)*100</f>
        <v/>
      </c>
      <c r="DZ1585" s="64">
        <f>($DX1585-$DX1586)*100</f>
        <v/>
      </c>
      <c r="EA1585" s="64">
        <f>($DW1585-$D1585)*100</f>
        <v/>
      </c>
      <c r="EB1585" s="64">
        <f>$Q1585-$O1585</f>
        <v/>
      </c>
      <c r="EC1585" s="67">
        <f>IFERROR($Q1585/$P1585,"")</f>
        <v/>
      </c>
    </row>
    <row r="1586">
      <c r="DG1586" s="64">
        <f>($B1586-$B1587)*100</f>
        <v/>
      </c>
      <c r="DH1586" s="64">
        <f>($D1586-$D1587)*100</f>
        <v/>
      </c>
      <c r="DI1586" s="64">
        <f>($E1586-$E1587)*100</f>
        <v/>
      </c>
      <c r="DJ1586" s="64">
        <f>($H1586-$H1587)*100</f>
        <v/>
      </c>
      <c r="DK1586" s="65">
        <f>IFERROR($J1586/$J1587-1,"")</f>
        <v/>
      </c>
      <c r="DL1586" s="64">
        <f>$L1586-$L1587</f>
        <v/>
      </c>
      <c r="DM1586" s="64">
        <f>$K1586-$K1587</f>
        <v/>
      </c>
      <c r="DN1586" s="65">
        <f>IFERROR($N1586/$N1587-1,"")</f>
        <v/>
      </c>
      <c r="DO1586" s="65">
        <f>IFERROR($M1586/$M1587-1,"")</f>
        <v/>
      </c>
      <c r="DP1586" s="65">
        <f>IFERROR($AZ1586/$AZ1587-1,"")</f>
        <v/>
      </c>
      <c r="DQ1586" s="65">
        <f>IFERROR($BA1586/$BA1587-1,"")</f>
        <v/>
      </c>
      <c r="DR1586" s="64">
        <f>$O1586-$O1587</f>
        <v/>
      </c>
      <c r="DS1586" s="64">
        <f>$P1586-$P1587</f>
        <v/>
      </c>
      <c r="DT1586" s="64">
        <f>$Q1586-$Q1587</f>
        <v/>
      </c>
      <c r="DU1586" s="64">
        <f>$S1586-$S1587</f>
        <v/>
      </c>
      <c r="DV1586" s="65">
        <f>IFERROR(AVERAGE($AA1587/$AA1586-1,$AB1587/$AB1586-1,$AC1587/$AC1586-1,$AD1587/$AD1586-1,$AE1587/$AE1586-1,$AG1587/$AG1586-1,$AH1587/$AH1586-1,$AI1587/$AI1586-1,$AJ1587/$AJ1586-1,$AL1587/$AL1586-1,$AM1587/$AM1586-1,$AR1587/$AR1586-1,$AS1587/$AS1586-1,$AT1587/$AT1586-1,$AU1587/$AU1586-1,$AV1587/$AV1586-1,$AW1587/$AW1586-1,$AX1587/$AX1586-1,$AY1587/$AY1586-1),"")</f>
        <v/>
      </c>
      <c r="DW1586" s="66">
        <f>AVERAGE($CB1586,$CC1586,$CD1586,$CE1586,$CF1586,$CG1586,$CH1586,$CI1586,$CJ1586,$CL1586,$CM1586,$CN1586,$CO1586,$CP1586,$CQ1586,$CR1586,$CS1586,$CT1586)</f>
        <v/>
      </c>
      <c r="DX1586" s="66">
        <f>AVERAGE($CB1586,$CC1586,$CM1586,$CE1586,$CP1586)</f>
        <v/>
      </c>
      <c r="DY1586" s="64">
        <f>($DW1586-$DW1587)*100</f>
        <v/>
      </c>
      <c r="DZ1586" s="64">
        <f>($DX1586-$DX1587)*100</f>
        <v/>
      </c>
      <c r="EA1586" s="64">
        <f>($DW1586-$D1586)*100</f>
        <v/>
      </c>
      <c r="EB1586" s="64">
        <f>$Q1586-$O1586</f>
        <v/>
      </c>
      <c r="EC1586" s="67">
        <f>IFERROR($Q1586/$P1586,"")</f>
        <v/>
      </c>
    </row>
    <row r="1587">
      <c r="DG1587" s="64">
        <f>($B1587-$B1588)*100</f>
        <v/>
      </c>
      <c r="DH1587" s="64">
        <f>($D1587-$D1588)*100</f>
        <v/>
      </c>
      <c r="DI1587" s="64">
        <f>($E1587-$E1588)*100</f>
        <v/>
      </c>
      <c r="DJ1587" s="64">
        <f>($H1587-$H1588)*100</f>
        <v/>
      </c>
      <c r="DK1587" s="65">
        <f>IFERROR($J1587/$J1588-1,"")</f>
        <v/>
      </c>
      <c r="DL1587" s="64">
        <f>$L1587-$L1588</f>
        <v/>
      </c>
      <c r="DM1587" s="64">
        <f>$K1587-$K1588</f>
        <v/>
      </c>
      <c r="DN1587" s="65">
        <f>IFERROR($N1587/$N1588-1,"")</f>
        <v/>
      </c>
      <c r="DO1587" s="65">
        <f>IFERROR($M1587/$M1588-1,"")</f>
        <v/>
      </c>
      <c r="DP1587" s="65">
        <f>IFERROR($AZ1587/$AZ1588-1,"")</f>
        <v/>
      </c>
      <c r="DQ1587" s="65">
        <f>IFERROR($BA1587/$BA1588-1,"")</f>
        <v/>
      </c>
      <c r="DR1587" s="64">
        <f>$O1587-$O1588</f>
        <v/>
      </c>
      <c r="DS1587" s="64">
        <f>$P1587-$P1588</f>
        <v/>
      </c>
      <c r="DT1587" s="64">
        <f>$Q1587-$Q1588</f>
        <v/>
      </c>
      <c r="DU1587" s="64">
        <f>$S1587-$S1588</f>
        <v/>
      </c>
      <c r="DV1587" s="65">
        <f>IFERROR(AVERAGE($AA1588/$AA1587-1,$AB1588/$AB1587-1,$AC1588/$AC1587-1,$AD1588/$AD1587-1,$AE1588/$AE1587-1,$AG1588/$AG1587-1,$AH1588/$AH1587-1,$AI1588/$AI1587-1,$AJ1588/$AJ1587-1,$AL1588/$AL1587-1,$AM1588/$AM1587-1,$AR1588/$AR1587-1,$AS1588/$AS1587-1,$AT1588/$AT1587-1,$AU1588/$AU1587-1,$AV1588/$AV1587-1,$AW1588/$AW1587-1,$AX1588/$AX1587-1,$AY1588/$AY1587-1),"")</f>
        <v/>
      </c>
      <c r="DW1587" s="66">
        <f>AVERAGE($CB1587,$CC1587,$CD1587,$CE1587,$CF1587,$CG1587,$CH1587,$CI1587,$CJ1587,$CL1587,$CM1587,$CN1587,$CO1587,$CP1587,$CQ1587,$CR1587,$CS1587,$CT1587)</f>
        <v/>
      </c>
      <c r="DX1587" s="66">
        <f>AVERAGE($CB1587,$CC1587,$CM1587,$CE1587,$CP1587)</f>
        <v/>
      </c>
      <c r="DY1587" s="64">
        <f>($DW1587-$DW1588)*100</f>
        <v/>
      </c>
      <c r="DZ1587" s="64">
        <f>($DX1587-$DX1588)*100</f>
        <v/>
      </c>
      <c r="EA1587" s="64">
        <f>($DW1587-$D1587)*100</f>
        <v/>
      </c>
      <c r="EB1587" s="64">
        <f>$Q1587-$O1587</f>
        <v/>
      </c>
      <c r="EC1587" s="67">
        <f>IFERROR($Q1587/$P1587,"")</f>
        <v/>
      </c>
    </row>
    <row r="1588">
      <c r="DG1588" s="64">
        <f>($B1588-$B1589)*100</f>
        <v/>
      </c>
      <c r="DH1588" s="64">
        <f>($D1588-$D1589)*100</f>
        <v/>
      </c>
      <c r="DI1588" s="64">
        <f>($E1588-$E1589)*100</f>
        <v/>
      </c>
      <c r="DJ1588" s="64">
        <f>($H1588-$H1589)*100</f>
        <v/>
      </c>
      <c r="DK1588" s="65">
        <f>IFERROR($J1588/$J1589-1,"")</f>
        <v/>
      </c>
      <c r="DL1588" s="64">
        <f>$L1588-$L1589</f>
        <v/>
      </c>
      <c r="DM1588" s="64">
        <f>$K1588-$K1589</f>
        <v/>
      </c>
      <c r="DN1588" s="65">
        <f>IFERROR($N1588/$N1589-1,"")</f>
        <v/>
      </c>
      <c r="DO1588" s="65">
        <f>IFERROR($M1588/$M1589-1,"")</f>
        <v/>
      </c>
      <c r="DP1588" s="65">
        <f>IFERROR($AZ1588/$AZ1589-1,"")</f>
        <v/>
      </c>
      <c r="DQ1588" s="65">
        <f>IFERROR($BA1588/$BA1589-1,"")</f>
        <v/>
      </c>
      <c r="DR1588" s="64">
        <f>$O1588-$O1589</f>
        <v/>
      </c>
      <c r="DS1588" s="64">
        <f>$P1588-$P1589</f>
        <v/>
      </c>
      <c r="DT1588" s="64">
        <f>$Q1588-$Q1589</f>
        <v/>
      </c>
      <c r="DU1588" s="64">
        <f>$S1588-$S1589</f>
        <v/>
      </c>
      <c r="DV1588" s="65">
        <f>IFERROR(AVERAGE($AA1589/$AA1588-1,$AB1589/$AB1588-1,$AC1589/$AC1588-1,$AD1589/$AD1588-1,$AE1589/$AE1588-1,$AG1589/$AG1588-1,$AH1589/$AH1588-1,$AI1589/$AI1588-1,$AJ1589/$AJ1588-1,$AL1589/$AL1588-1,$AM1589/$AM1588-1,$AR1589/$AR1588-1,$AS1589/$AS1588-1,$AT1589/$AT1588-1,$AU1589/$AU1588-1,$AV1589/$AV1588-1,$AW1589/$AW1588-1,$AX1589/$AX1588-1,$AY1589/$AY1588-1),"")</f>
        <v/>
      </c>
      <c r="DW1588" s="66">
        <f>AVERAGE($CB1588,$CC1588,$CD1588,$CE1588,$CF1588,$CG1588,$CH1588,$CI1588,$CJ1588,$CL1588,$CM1588,$CN1588,$CO1588,$CP1588,$CQ1588,$CR1588,$CS1588,$CT1588)</f>
        <v/>
      </c>
      <c r="DX1588" s="66">
        <f>AVERAGE($CB1588,$CC1588,$CM1588,$CE1588,$CP1588)</f>
        <v/>
      </c>
      <c r="DY1588" s="64">
        <f>($DW1588-$DW1589)*100</f>
        <v/>
      </c>
      <c r="DZ1588" s="64">
        <f>($DX1588-$DX1589)*100</f>
        <v/>
      </c>
      <c r="EA1588" s="64">
        <f>($DW1588-$D1588)*100</f>
        <v/>
      </c>
      <c r="EB1588" s="64">
        <f>$Q1588-$O1588</f>
        <v/>
      </c>
      <c r="EC1588" s="67">
        <f>IFERROR($Q1588/$P1588,"")</f>
        <v/>
      </c>
    </row>
    <row r="1589">
      <c r="DG1589" s="64">
        <f>($B1589-$B1590)*100</f>
        <v/>
      </c>
      <c r="DH1589" s="64">
        <f>($D1589-$D1590)*100</f>
        <v/>
      </c>
      <c r="DI1589" s="64">
        <f>($E1589-$E1590)*100</f>
        <v/>
      </c>
      <c r="DJ1589" s="64">
        <f>($H1589-$H1590)*100</f>
        <v/>
      </c>
      <c r="DK1589" s="65">
        <f>IFERROR($J1589/$J1590-1,"")</f>
        <v/>
      </c>
      <c r="DL1589" s="64">
        <f>$L1589-$L1590</f>
        <v/>
      </c>
      <c r="DM1589" s="64">
        <f>$K1589-$K1590</f>
        <v/>
      </c>
      <c r="DN1589" s="65">
        <f>IFERROR($N1589/$N1590-1,"")</f>
        <v/>
      </c>
      <c r="DO1589" s="65">
        <f>IFERROR($M1589/$M1590-1,"")</f>
        <v/>
      </c>
      <c r="DP1589" s="65">
        <f>IFERROR($AZ1589/$AZ1590-1,"")</f>
        <v/>
      </c>
      <c r="DQ1589" s="65">
        <f>IFERROR($BA1589/$BA1590-1,"")</f>
        <v/>
      </c>
      <c r="DR1589" s="64">
        <f>$O1589-$O1590</f>
        <v/>
      </c>
      <c r="DS1589" s="64">
        <f>$P1589-$P1590</f>
        <v/>
      </c>
      <c r="DT1589" s="64">
        <f>$Q1589-$Q1590</f>
        <v/>
      </c>
      <c r="DU1589" s="64">
        <f>$S1589-$S1590</f>
        <v/>
      </c>
      <c r="DV1589" s="65">
        <f>IFERROR(AVERAGE($AA1590/$AA1589-1,$AB1590/$AB1589-1,$AC1590/$AC1589-1,$AD1590/$AD1589-1,$AE1590/$AE1589-1,$AG1590/$AG1589-1,$AH1590/$AH1589-1,$AI1590/$AI1589-1,$AJ1590/$AJ1589-1,$AL1590/$AL1589-1,$AM1590/$AM1589-1,$AR1590/$AR1589-1,$AS1590/$AS1589-1,$AT1590/$AT1589-1,$AU1590/$AU1589-1,$AV1590/$AV1589-1,$AW1590/$AW1589-1,$AX1590/$AX1589-1,$AY1590/$AY1589-1),"")</f>
        <v/>
      </c>
      <c r="DW1589" s="66">
        <f>AVERAGE($CB1589,$CC1589,$CD1589,$CE1589,$CF1589,$CG1589,$CH1589,$CI1589,$CJ1589,$CL1589,$CM1589,$CN1589,$CO1589,$CP1589,$CQ1589,$CR1589,$CS1589,$CT1589)</f>
        <v/>
      </c>
      <c r="DX1589" s="66">
        <f>AVERAGE($CB1589,$CC1589,$CM1589,$CE1589,$CP1589)</f>
        <v/>
      </c>
      <c r="DY1589" s="64">
        <f>($DW1589-$DW1590)*100</f>
        <v/>
      </c>
      <c r="DZ1589" s="64">
        <f>($DX1589-$DX1590)*100</f>
        <v/>
      </c>
      <c r="EA1589" s="64">
        <f>($DW1589-$D1589)*100</f>
        <v/>
      </c>
      <c r="EB1589" s="64">
        <f>$Q1589-$O1589</f>
        <v/>
      </c>
      <c r="EC1589" s="67">
        <f>IFERROR($Q1589/$P1589,"")</f>
        <v/>
      </c>
    </row>
    <row r="1590">
      <c r="DG1590" s="64">
        <f>($B1590-$B1591)*100</f>
        <v/>
      </c>
      <c r="DH1590" s="64">
        <f>($D1590-$D1591)*100</f>
        <v/>
      </c>
      <c r="DI1590" s="64">
        <f>($E1590-$E1591)*100</f>
        <v/>
      </c>
      <c r="DJ1590" s="64">
        <f>($H1590-$H1591)*100</f>
        <v/>
      </c>
      <c r="DK1590" s="65">
        <f>IFERROR($J1590/$J1591-1,"")</f>
        <v/>
      </c>
      <c r="DL1590" s="64">
        <f>$L1590-$L1591</f>
        <v/>
      </c>
      <c r="DM1590" s="64">
        <f>$K1590-$K1591</f>
        <v/>
      </c>
      <c r="DN1590" s="65">
        <f>IFERROR($N1590/$N1591-1,"")</f>
        <v/>
      </c>
      <c r="DO1590" s="65">
        <f>IFERROR($M1590/$M1591-1,"")</f>
        <v/>
      </c>
      <c r="DP1590" s="65">
        <f>IFERROR($AZ1590/$AZ1591-1,"")</f>
        <v/>
      </c>
      <c r="DQ1590" s="65">
        <f>IFERROR($BA1590/$BA1591-1,"")</f>
        <v/>
      </c>
      <c r="DR1590" s="64">
        <f>$O1590-$O1591</f>
        <v/>
      </c>
      <c r="DS1590" s="64">
        <f>$P1590-$P1591</f>
        <v/>
      </c>
      <c r="DT1590" s="64">
        <f>$Q1590-$Q1591</f>
        <v/>
      </c>
      <c r="DU1590" s="64">
        <f>$S1590-$S1591</f>
        <v/>
      </c>
      <c r="DV1590" s="65">
        <f>IFERROR(AVERAGE($AA1591/$AA1590-1,$AB1591/$AB1590-1,$AC1591/$AC1590-1,$AD1591/$AD1590-1,$AE1591/$AE1590-1,$AG1591/$AG1590-1,$AH1591/$AH1590-1,$AI1591/$AI1590-1,$AJ1591/$AJ1590-1,$AL1591/$AL1590-1,$AM1591/$AM1590-1,$AR1591/$AR1590-1,$AS1591/$AS1590-1,$AT1591/$AT1590-1,$AU1591/$AU1590-1,$AV1591/$AV1590-1,$AW1591/$AW1590-1,$AX1591/$AX1590-1,$AY1591/$AY1590-1),"")</f>
        <v/>
      </c>
      <c r="DW1590" s="66">
        <f>AVERAGE($CB1590,$CC1590,$CD1590,$CE1590,$CF1590,$CG1590,$CH1590,$CI1590,$CJ1590,$CL1590,$CM1590,$CN1590,$CO1590,$CP1590,$CQ1590,$CR1590,$CS1590,$CT1590)</f>
        <v/>
      </c>
      <c r="DX1590" s="66">
        <f>AVERAGE($CB1590,$CC1590,$CM1590,$CE1590,$CP1590)</f>
        <v/>
      </c>
      <c r="DY1590" s="64">
        <f>($DW1590-$DW1591)*100</f>
        <v/>
      </c>
      <c r="DZ1590" s="64">
        <f>($DX1590-$DX1591)*100</f>
        <v/>
      </c>
      <c r="EA1590" s="64">
        <f>($DW1590-$D1590)*100</f>
        <v/>
      </c>
      <c r="EB1590" s="64">
        <f>$Q1590-$O1590</f>
        <v/>
      </c>
      <c r="EC1590" s="67">
        <f>IFERROR($Q1590/$P1590,"")</f>
        <v/>
      </c>
    </row>
    <row r="1591">
      <c r="DG1591" s="64">
        <f>($B1591-$B1592)*100</f>
        <v/>
      </c>
      <c r="DH1591" s="64">
        <f>($D1591-$D1592)*100</f>
        <v/>
      </c>
      <c r="DI1591" s="64">
        <f>($E1591-$E1592)*100</f>
        <v/>
      </c>
      <c r="DJ1591" s="64">
        <f>($H1591-$H1592)*100</f>
        <v/>
      </c>
      <c r="DK1591" s="65">
        <f>IFERROR($J1591/$J1592-1,"")</f>
        <v/>
      </c>
      <c r="DL1591" s="64">
        <f>$L1591-$L1592</f>
        <v/>
      </c>
      <c r="DM1591" s="64">
        <f>$K1591-$K1592</f>
        <v/>
      </c>
      <c r="DN1591" s="65">
        <f>IFERROR($N1591/$N1592-1,"")</f>
        <v/>
      </c>
      <c r="DO1591" s="65">
        <f>IFERROR($M1591/$M1592-1,"")</f>
        <v/>
      </c>
      <c r="DP1591" s="65">
        <f>IFERROR($AZ1591/$AZ1592-1,"")</f>
        <v/>
      </c>
      <c r="DQ1591" s="65">
        <f>IFERROR($BA1591/$BA1592-1,"")</f>
        <v/>
      </c>
      <c r="DR1591" s="64">
        <f>$O1591-$O1592</f>
        <v/>
      </c>
      <c r="DS1591" s="64">
        <f>$P1591-$P1592</f>
        <v/>
      </c>
      <c r="DT1591" s="64">
        <f>$Q1591-$Q1592</f>
        <v/>
      </c>
      <c r="DU1591" s="64">
        <f>$S1591-$S1592</f>
        <v/>
      </c>
      <c r="DV1591" s="65">
        <f>IFERROR(AVERAGE($AA1592/$AA1591-1,$AB1592/$AB1591-1,$AC1592/$AC1591-1,$AD1592/$AD1591-1,$AE1592/$AE1591-1,$AG1592/$AG1591-1,$AH1592/$AH1591-1,$AI1592/$AI1591-1,$AJ1592/$AJ1591-1,$AL1592/$AL1591-1,$AM1592/$AM1591-1,$AR1592/$AR1591-1,$AS1592/$AS1591-1,$AT1592/$AT1591-1,$AU1592/$AU1591-1,$AV1592/$AV1591-1,$AW1592/$AW1591-1,$AX1592/$AX1591-1,$AY1592/$AY1591-1),"")</f>
        <v/>
      </c>
      <c r="DW1591" s="66">
        <f>AVERAGE($CB1591,$CC1591,$CD1591,$CE1591,$CF1591,$CG1591,$CH1591,$CI1591,$CJ1591,$CL1591,$CM1591,$CN1591,$CO1591,$CP1591,$CQ1591,$CR1591,$CS1591,$CT1591)</f>
        <v/>
      </c>
      <c r="DX1591" s="66">
        <f>AVERAGE($CB1591,$CC1591,$CM1591,$CE1591,$CP1591)</f>
        <v/>
      </c>
      <c r="DY1591" s="64">
        <f>($DW1591-$DW1592)*100</f>
        <v/>
      </c>
      <c r="DZ1591" s="64">
        <f>($DX1591-$DX1592)*100</f>
        <v/>
      </c>
      <c r="EA1591" s="64">
        <f>($DW1591-$D1591)*100</f>
        <v/>
      </c>
      <c r="EB1591" s="64">
        <f>$Q1591-$O1591</f>
        <v/>
      </c>
      <c r="EC1591" s="67">
        <f>IFERROR($Q1591/$P1591,"")</f>
        <v/>
      </c>
    </row>
    <row r="1592">
      <c r="DG1592" s="64">
        <f>($B1592-$B1593)*100</f>
        <v/>
      </c>
      <c r="DH1592" s="64">
        <f>($D1592-$D1593)*100</f>
        <v/>
      </c>
      <c r="DI1592" s="64">
        <f>($E1592-$E1593)*100</f>
        <v/>
      </c>
      <c r="DJ1592" s="64">
        <f>($H1592-$H1593)*100</f>
        <v/>
      </c>
      <c r="DK1592" s="65">
        <f>IFERROR($J1592/$J1593-1,"")</f>
        <v/>
      </c>
      <c r="DL1592" s="64">
        <f>$L1592-$L1593</f>
        <v/>
      </c>
      <c r="DM1592" s="64">
        <f>$K1592-$K1593</f>
        <v/>
      </c>
      <c r="DN1592" s="65">
        <f>IFERROR($N1592/$N1593-1,"")</f>
        <v/>
      </c>
      <c r="DO1592" s="65">
        <f>IFERROR($M1592/$M1593-1,"")</f>
        <v/>
      </c>
      <c r="DP1592" s="65">
        <f>IFERROR($AZ1592/$AZ1593-1,"")</f>
        <v/>
      </c>
      <c r="DQ1592" s="65">
        <f>IFERROR($BA1592/$BA1593-1,"")</f>
        <v/>
      </c>
      <c r="DR1592" s="64">
        <f>$O1592-$O1593</f>
        <v/>
      </c>
      <c r="DS1592" s="64">
        <f>$P1592-$P1593</f>
        <v/>
      </c>
      <c r="DT1592" s="64">
        <f>$Q1592-$Q1593</f>
        <v/>
      </c>
      <c r="DU1592" s="64">
        <f>$S1592-$S1593</f>
        <v/>
      </c>
      <c r="DV1592" s="65">
        <f>IFERROR(AVERAGE($AA1593/$AA1592-1,$AB1593/$AB1592-1,$AC1593/$AC1592-1,$AD1593/$AD1592-1,$AE1593/$AE1592-1,$AG1593/$AG1592-1,$AH1593/$AH1592-1,$AI1593/$AI1592-1,$AJ1593/$AJ1592-1,$AL1593/$AL1592-1,$AM1593/$AM1592-1,$AR1593/$AR1592-1,$AS1593/$AS1592-1,$AT1593/$AT1592-1,$AU1593/$AU1592-1,$AV1593/$AV1592-1,$AW1593/$AW1592-1,$AX1593/$AX1592-1,$AY1593/$AY1592-1),"")</f>
        <v/>
      </c>
      <c r="DW1592" s="66">
        <f>AVERAGE($CB1592,$CC1592,$CD1592,$CE1592,$CF1592,$CG1592,$CH1592,$CI1592,$CJ1592,$CL1592,$CM1592,$CN1592,$CO1592,$CP1592,$CQ1592,$CR1592,$CS1592,$CT1592)</f>
        <v/>
      </c>
      <c r="DX1592" s="66">
        <f>AVERAGE($CB1592,$CC1592,$CM1592,$CE1592,$CP1592)</f>
        <v/>
      </c>
      <c r="DY1592" s="64">
        <f>($DW1592-$DW1593)*100</f>
        <v/>
      </c>
      <c r="DZ1592" s="64">
        <f>($DX1592-$DX1593)*100</f>
        <v/>
      </c>
      <c r="EA1592" s="64">
        <f>($DW1592-$D1592)*100</f>
        <v/>
      </c>
      <c r="EB1592" s="64">
        <f>$Q1592-$O1592</f>
        <v/>
      </c>
      <c r="EC1592" s="67">
        <f>IFERROR($Q1592/$P1592,"")</f>
        <v/>
      </c>
    </row>
    <row r="1593">
      <c r="DG1593" s="64">
        <f>($B1593-$B1594)*100</f>
        <v/>
      </c>
      <c r="DH1593" s="64">
        <f>($D1593-$D1594)*100</f>
        <v/>
      </c>
      <c r="DI1593" s="64">
        <f>($E1593-$E1594)*100</f>
        <v/>
      </c>
      <c r="DJ1593" s="64">
        <f>($H1593-$H1594)*100</f>
        <v/>
      </c>
      <c r="DK1593" s="65">
        <f>IFERROR($J1593/$J1594-1,"")</f>
        <v/>
      </c>
      <c r="DL1593" s="64">
        <f>$L1593-$L1594</f>
        <v/>
      </c>
      <c r="DM1593" s="64">
        <f>$K1593-$K1594</f>
        <v/>
      </c>
      <c r="DN1593" s="65">
        <f>IFERROR($N1593/$N1594-1,"")</f>
        <v/>
      </c>
      <c r="DO1593" s="65">
        <f>IFERROR($M1593/$M1594-1,"")</f>
        <v/>
      </c>
      <c r="DP1593" s="65">
        <f>IFERROR($AZ1593/$AZ1594-1,"")</f>
        <v/>
      </c>
      <c r="DQ1593" s="65">
        <f>IFERROR($BA1593/$BA1594-1,"")</f>
        <v/>
      </c>
      <c r="DR1593" s="64">
        <f>$O1593-$O1594</f>
        <v/>
      </c>
      <c r="DS1593" s="64">
        <f>$P1593-$P1594</f>
        <v/>
      </c>
      <c r="DT1593" s="64">
        <f>$Q1593-$Q1594</f>
        <v/>
      </c>
      <c r="DU1593" s="64">
        <f>$S1593-$S1594</f>
        <v/>
      </c>
      <c r="DV1593" s="65">
        <f>IFERROR(AVERAGE($AA1594/$AA1593-1,$AB1594/$AB1593-1,$AC1594/$AC1593-1,$AD1594/$AD1593-1,$AE1594/$AE1593-1,$AG1594/$AG1593-1,$AH1594/$AH1593-1,$AI1594/$AI1593-1,$AJ1594/$AJ1593-1,$AL1594/$AL1593-1,$AM1594/$AM1593-1,$AR1594/$AR1593-1,$AS1594/$AS1593-1,$AT1594/$AT1593-1,$AU1594/$AU1593-1,$AV1594/$AV1593-1,$AW1594/$AW1593-1,$AX1594/$AX1593-1,$AY1594/$AY1593-1),"")</f>
        <v/>
      </c>
      <c r="DW1593" s="66">
        <f>AVERAGE($CB1593,$CC1593,$CD1593,$CE1593,$CF1593,$CG1593,$CH1593,$CI1593,$CJ1593,$CL1593,$CM1593,$CN1593,$CO1593,$CP1593,$CQ1593,$CR1593,$CS1593,$CT1593)</f>
        <v/>
      </c>
      <c r="DX1593" s="66">
        <f>AVERAGE($CB1593,$CC1593,$CM1593,$CE1593,$CP1593)</f>
        <v/>
      </c>
      <c r="DY1593" s="64">
        <f>($DW1593-$DW1594)*100</f>
        <v/>
      </c>
      <c r="DZ1593" s="64">
        <f>($DX1593-$DX1594)*100</f>
        <v/>
      </c>
      <c r="EA1593" s="64">
        <f>($DW1593-$D1593)*100</f>
        <v/>
      </c>
      <c r="EB1593" s="64">
        <f>$Q1593-$O1593</f>
        <v/>
      </c>
      <c r="EC1593" s="67">
        <f>IFERROR($Q1593/$P1593,"")</f>
        <v/>
      </c>
    </row>
    <row r="1594">
      <c r="DG1594" s="64">
        <f>($B1594-$B1595)*100</f>
        <v/>
      </c>
      <c r="DH1594" s="64">
        <f>($D1594-$D1595)*100</f>
        <v/>
      </c>
      <c r="DI1594" s="64">
        <f>($E1594-$E1595)*100</f>
        <v/>
      </c>
      <c r="DJ1594" s="64">
        <f>($H1594-$H1595)*100</f>
        <v/>
      </c>
      <c r="DK1594" s="65">
        <f>IFERROR($J1594/$J1595-1,"")</f>
        <v/>
      </c>
      <c r="DL1594" s="64">
        <f>$L1594-$L1595</f>
        <v/>
      </c>
      <c r="DM1594" s="64">
        <f>$K1594-$K1595</f>
        <v/>
      </c>
      <c r="DN1594" s="65">
        <f>IFERROR($N1594/$N1595-1,"")</f>
        <v/>
      </c>
      <c r="DO1594" s="65">
        <f>IFERROR($M1594/$M1595-1,"")</f>
        <v/>
      </c>
      <c r="DP1594" s="65">
        <f>IFERROR($AZ1594/$AZ1595-1,"")</f>
        <v/>
      </c>
      <c r="DQ1594" s="65">
        <f>IFERROR($BA1594/$BA1595-1,"")</f>
        <v/>
      </c>
      <c r="DR1594" s="64">
        <f>$O1594-$O1595</f>
        <v/>
      </c>
      <c r="DS1594" s="64">
        <f>$P1594-$P1595</f>
        <v/>
      </c>
      <c r="DT1594" s="64">
        <f>$Q1594-$Q1595</f>
        <v/>
      </c>
      <c r="DU1594" s="64">
        <f>$S1594-$S1595</f>
        <v/>
      </c>
      <c r="DV1594" s="65">
        <f>IFERROR(AVERAGE($AA1595/$AA1594-1,$AB1595/$AB1594-1,$AC1595/$AC1594-1,$AD1595/$AD1594-1,$AE1595/$AE1594-1,$AG1595/$AG1594-1,$AH1595/$AH1594-1,$AI1595/$AI1594-1,$AJ1595/$AJ1594-1,$AL1595/$AL1594-1,$AM1595/$AM1594-1,$AR1595/$AR1594-1,$AS1595/$AS1594-1,$AT1595/$AT1594-1,$AU1595/$AU1594-1,$AV1595/$AV1594-1,$AW1595/$AW1594-1,$AX1595/$AX1594-1,$AY1595/$AY1594-1),"")</f>
        <v/>
      </c>
      <c r="DW1594" s="66">
        <f>AVERAGE($CB1594,$CC1594,$CD1594,$CE1594,$CF1594,$CG1594,$CH1594,$CI1594,$CJ1594,$CL1594,$CM1594,$CN1594,$CO1594,$CP1594,$CQ1594,$CR1594,$CS1594,$CT1594)</f>
        <v/>
      </c>
      <c r="DX1594" s="66">
        <f>AVERAGE($CB1594,$CC1594,$CM1594,$CE1594,$CP1594)</f>
        <v/>
      </c>
      <c r="DY1594" s="64">
        <f>($DW1594-$DW1595)*100</f>
        <v/>
      </c>
      <c r="DZ1594" s="64">
        <f>($DX1594-$DX1595)*100</f>
        <v/>
      </c>
      <c r="EA1594" s="64">
        <f>($DW1594-$D1594)*100</f>
        <v/>
      </c>
      <c r="EB1594" s="64">
        <f>$Q1594-$O1594</f>
        <v/>
      </c>
      <c r="EC1594" s="67">
        <f>IFERROR($Q1594/$P1594,"")</f>
        <v/>
      </c>
    </row>
    <row r="1595">
      <c r="DG1595" s="64">
        <f>($B1595-$B1596)*100</f>
        <v/>
      </c>
      <c r="DH1595" s="64">
        <f>($D1595-$D1596)*100</f>
        <v/>
      </c>
      <c r="DI1595" s="64">
        <f>($E1595-$E1596)*100</f>
        <v/>
      </c>
      <c r="DJ1595" s="64">
        <f>($H1595-$H1596)*100</f>
        <v/>
      </c>
      <c r="DK1595" s="65">
        <f>IFERROR($J1595/$J1596-1,"")</f>
        <v/>
      </c>
      <c r="DL1595" s="64">
        <f>$L1595-$L1596</f>
        <v/>
      </c>
      <c r="DM1595" s="64">
        <f>$K1595-$K1596</f>
        <v/>
      </c>
      <c r="DN1595" s="65">
        <f>IFERROR($N1595/$N1596-1,"")</f>
        <v/>
      </c>
      <c r="DO1595" s="65">
        <f>IFERROR($M1595/$M1596-1,"")</f>
        <v/>
      </c>
      <c r="DP1595" s="65">
        <f>IFERROR($AZ1595/$AZ1596-1,"")</f>
        <v/>
      </c>
      <c r="DQ1595" s="65">
        <f>IFERROR($BA1595/$BA1596-1,"")</f>
        <v/>
      </c>
      <c r="DR1595" s="64">
        <f>$O1595-$O1596</f>
        <v/>
      </c>
      <c r="DS1595" s="64">
        <f>$P1595-$P1596</f>
        <v/>
      </c>
      <c r="DT1595" s="64">
        <f>$Q1595-$Q1596</f>
        <v/>
      </c>
      <c r="DU1595" s="64">
        <f>$S1595-$S1596</f>
        <v/>
      </c>
      <c r="DV1595" s="65">
        <f>IFERROR(AVERAGE($AA1596/$AA1595-1,$AB1596/$AB1595-1,$AC1596/$AC1595-1,$AD1596/$AD1595-1,$AE1596/$AE1595-1,$AG1596/$AG1595-1,$AH1596/$AH1595-1,$AI1596/$AI1595-1,$AJ1596/$AJ1595-1,$AL1596/$AL1595-1,$AM1596/$AM1595-1,$AR1596/$AR1595-1,$AS1596/$AS1595-1,$AT1596/$AT1595-1,$AU1596/$AU1595-1,$AV1596/$AV1595-1,$AW1596/$AW1595-1,$AX1596/$AX1595-1,$AY1596/$AY1595-1),"")</f>
        <v/>
      </c>
      <c r="DW1595" s="66">
        <f>AVERAGE($CB1595,$CC1595,$CD1595,$CE1595,$CF1595,$CG1595,$CH1595,$CI1595,$CJ1595,$CL1595,$CM1595,$CN1595,$CO1595,$CP1595,$CQ1595,$CR1595,$CS1595,$CT1595)</f>
        <v/>
      </c>
      <c r="DX1595" s="66">
        <f>AVERAGE($CB1595,$CC1595,$CM1595,$CE1595,$CP1595)</f>
        <v/>
      </c>
      <c r="DY1595" s="64">
        <f>($DW1595-$DW1596)*100</f>
        <v/>
      </c>
      <c r="DZ1595" s="64">
        <f>($DX1595-$DX1596)*100</f>
        <v/>
      </c>
      <c r="EA1595" s="64">
        <f>($DW1595-$D1595)*100</f>
        <v/>
      </c>
      <c r="EB1595" s="64">
        <f>$Q1595-$O1595</f>
        <v/>
      </c>
      <c r="EC1595" s="67">
        <f>IFERROR($Q1595/$P1595,"")</f>
        <v/>
      </c>
    </row>
    <row r="1596">
      <c r="DG1596" s="64">
        <f>($B1596-$B1597)*100</f>
        <v/>
      </c>
      <c r="DH1596" s="64">
        <f>($D1596-$D1597)*100</f>
        <v/>
      </c>
      <c r="DI1596" s="64">
        <f>($E1596-$E1597)*100</f>
        <v/>
      </c>
      <c r="DJ1596" s="64">
        <f>($H1596-$H1597)*100</f>
        <v/>
      </c>
      <c r="DK1596" s="65">
        <f>IFERROR($J1596/$J1597-1,"")</f>
        <v/>
      </c>
      <c r="DL1596" s="64">
        <f>$L1596-$L1597</f>
        <v/>
      </c>
      <c r="DM1596" s="64">
        <f>$K1596-$K1597</f>
        <v/>
      </c>
      <c r="DN1596" s="65">
        <f>IFERROR($N1596/$N1597-1,"")</f>
        <v/>
      </c>
      <c r="DO1596" s="65">
        <f>IFERROR($M1596/$M1597-1,"")</f>
        <v/>
      </c>
      <c r="DP1596" s="65">
        <f>IFERROR($AZ1596/$AZ1597-1,"")</f>
        <v/>
      </c>
      <c r="DQ1596" s="65">
        <f>IFERROR($BA1596/$BA1597-1,"")</f>
        <v/>
      </c>
      <c r="DR1596" s="64">
        <f>$O1596-$O1597</f>
        <v/>
      </c>
      <c r="DS1596" s="64">
        <f>$P1596-$P1597</f>
        <v/>
      </c>
      <c r="DT1596" s="64">
        <f>$Q1596-$Q1597</f>
        <v/>
      </c>
      <c r="DU1596" s="64">
        <f>$S1596-$S1597</f>
        <v/>
      </c>
      <c r="DV1596" s="65">
        <f>IFERROR(AVERAGE($AA1597/$AA1596-1,$AB1597/$AB1596-1,$AC1597/$AC1596-1,$AD1597/$AD1596-1,$AE1597/$AE1596-1,$AG1597/$AG1596-1,$AH1597/$AH1596-1,$AI1597/$AI1596-1,$AJ1597/$AJ1596-1,$AL1597/$AL1596-1,$AM1597/$AM1596-1,$AR1597/$AR1596-1,$AS1597/$AS1596-1,$AT1597/$AT1596-1,$AU1597/$AU1596-1,$AV1597/$AV1596-1,$AW1597/$AW1596-1,$AX1597/$AX1596-1,$AY1597/$AY1596-1),"")</f>
        <v/>
      </c>
      <c r="DW1596" s="66">
        <f>AVERAGE($CB1596,$CC1596,$CD1596,$CE1596,$CF1596,$CG1596,$CH1596,$CI1596,$CJ1596,$CL1596,$CM1596,$CN1596,$CO1596,$CP1596,$CQ1596,$CR1596,$CS1596,$CT1596)</f>
        <v/>
      </c>
      <c r="DX1596" s="66">
        <f>AVERAGE($CB1596,$CC1596,$CM1596,$CE1596,$CP1596)</f>
        <v/>
      </c>
      <c r="DY1596" s="64">
        <f>($DW1596-$DW1597)*100</f>
        <v/>
      </c>
      <c r="DZ1596" s="64">
        <f>($DX1596-$DX1597)*100</f>
        <v/>
      </c>
      <c r="EA1596" s="64">
        <f>($DW1596-$D1596)*100</f>
        <v/>
      </c>
      <c r="EB1596" s="64">
        <f>$Q1596-$O1596</f>
        <v/>
      </c>
      <c r="EC1596" s="67">
        <f>IFERROR($Q1596/$P1596,"")</f>
        <v/>
      </c>
    </row>
    <row r="1597">
      <c r="DG1597" s="64">
        <f>($B1597-$B1598)*100</f>
        <v/>
      </c>
      <c r="DH1597" s="64">
        <f>($D1597-$D1598)*100</f>
        <v/>
      </c>
      <c r="DI1597" s="64">
        <f>($E1597-$E1598)*100</f>
        <v/>
      </c>
      <c r="DJ1597" s="64">
        <f>($H1597-$H1598)*100</f>
        <v/>
      </c>
      <c r="DK1597" s="65">
        <f>IFERROR($J1597/$J1598-1,"")</f>
        <v/>
      </c>
      <c r="DL1597" s="64">
        <f>$L1597-$L1598</f>
        <v/>
      </c>
      <c r="DM1597" s="64">
        <f>$K1597-$K1598</f>
        <v/>
      </c>
      <c r="DN1597" s="65">
        <f>IFERROR($N1597/$N1598-1,"")</f>
        <v/>
      </c>
      <c r="DO1597" s="65">
        <f>IFERROR($M1597/$M1598-1,"")</f>
        <v/>
      </c>
      <c r="DP1597" s="65">
        <f>IFERROR($AZ1597/$AZ1598-1,"")</f>
        <v/>
      </c>
      <c r="DQ1597" s="65">
        <f>IFERROR($BA1597/$BA1598-1,"")</f>
        <v/>
      </c>
      <c r="DR1597" s="64">
        <f>$O1597-$O1598</f>
        <v/>
      </c>
      <c r="DS1597" s="64">
        <f>$P1597-$P1598</f>
        <v/>
      </c>
      <c r="DT1597" s="64">
        <f>$Q1597-$Q1598</f>
        <v/>
      </c>
      <c r="DU1597" s="64">
        <f>$S1597-$S1598</f>
        <v/>
      </c>
      <c r="DV1597" s="65">
        <f>IFERROR(AVERAGE($AA1598/$AA1597-1,$AB1598/$AB1597-1,$AC1598/$AC1597-1,$AD1598/$AD1597-1,$AE1598/$AE1597-1,$AG1598/$AG1597-1,$AH1598/$AH1597-1,$AI1598/$AI1597-1,$AJ1598/$AJ1597-1,$AL1598/$AL1597-1,$AM1598/$AM1597-1,$AR1598/$AR1597-1,$AS1598/$AS1597-1,$AT1598/$AT1597-1,$AU1598/$AU1597-1,$AV1598/$AV1597-1,$AW1598/$AW1597-1,$AX1598/$AX1597-1,$AY1598/$AY1597-1),"")</f>
        <v/>
      </c>
      <c r="DW1597" s="66">
        <f>AVERAGE($CB1597,$CC1597,$CD1597,$CE1597,$CF1597,$CG1597,$CH1597,$CI1597,$CJ1597,$CL1597,$CM1597,$CN1597,$CO1597,$CP1597,$CQ1597,$CR1597,$CS1597,$CT1597)</f>
        <v/>
      </c>
      <c r="DX1597" s="66">
        <f>AVERAGE($CB1597,$CC1597,$CM1597,$CE1597,$CP1597)</f>
        <v/>
      </c>
      <c r="DY1597" s="64">
        <f>($DW1597-$DW1598)*100</f>
        <v/>
      </c>
      <c r="DZ1597" s="64">
        <f>($DX1597-$DX1598)*100</f>
        <v/>
      </c>
      <c r="EA1597" s="64">
        <f>($DW1597-$D1597)*100</f>
        <v/>
      </c>
      <c r="EB1597" s="64">
        <f>$Q1597-$O1597</f>
        <v/>
      </c>
      <c r="EC1597" s="67">
        <f>IFERROR($Q1597/$P1597,"")</f>
        <v/>
      </c>
    </row>
    <row r="1598">
      <c r="DG1598" s="64">
        <f>($B1598-$B1599)*100</f>
        <v/>
      </c>
      <c r="DH1598" s="64">
        <f>($D1598-$D1599)*100</f>
        <v/>
      </c>
      <c r="DI1598" s="64">
        <f>($E1598-$E1599)*100</f>
        <v/>
      </c>
      <c r="DJ1598" s="64">
        <f>($H1598-$H1599)*100</f>
        <v/>
      </c>
      <c r="DK1598" s="65">
        <f>IFERROR($J1598/$J1599-1,"")</f>
        <v/>
      </c>
      <c r="DL1598" s="64">
        <f>$L1598-$L1599</f>
        <v/>
      </c>
      <c r="DM1598" s="64">
        <f>$K1598-$K1599</f>
        <v/>
      </c>
      <c r="DN1598" s="65">
        <f>IFERROR($N1598/$N1599-1,"")</f>
        <v/>
      </c>
      <c r="DO1598" s="65">
        <f>IFERROR($M1598/$M1599-1,"")</f>
        <v/>
      </c>
      <c r="DP1598" s="65">
        <f>IFERROR($AZ1598/$AZ1599-1,"")</f>
        <v/>
      </c>
      <c r="DQ1598" s="65">
        <f>IFERROR($BA1598/$BA1599-1,"")</f>
        <v/>
      </c>
      <c r="DR1598" s="64">
        <f>$O1598-$O1599</f>
        <v/>
      </c>
      <c r="DS1598" s="64">
        <f>$P1598-$P1599</f>
        <v/>
      </c>
      <c r="DT1598" s="64">
        <f>$Q1598-$Q1599</f>
        <v/>
      </c>
      <c r="DU1598" s="64">
        <f>$S1598-$S1599</f>
        <v/>
      </c>
      <c r="DV1598" s="65">
        <f>IFERROR(AVERAGE($AA1599/$AA1598-1,$AB1599/$AB1598-1,$AC1599/$AC1598-1,$AD1599/$AD1598-1,$AE1599/$AE1598-1,$AG1599/$AG1598-1,$AH1599/$AH1598-1,$AI1599/$AI1598-1,$AJ1599/$AJ1598-1,$AL1599/$AL1598-1,$AM1599/$AM1598-1,$AR1599/$AR1598-1,$AS1599/$AS1598-1,$AT1599/$AT1598-1,$AU1599/$AU1598-1,$AV1599/$AV1598-1,$AW1599/$AW1598-1,$AX1599/$AX1598-1,$AY1599/$AY1598-1),"")</f>
        <v/>
      </c>
      <c r="DW1598" s="66">
        <f>AVERAGE($CB1598,$CC1598,$CD1598,$CE1598,$CF1598,$CG1598,$CH1598,$CI1598,$CJ1598,$CL1598,$CM1598,$CN1598,$CO1598,$CP1598,$CQ1598,$CR1598,$CS1598,$CT1598)</f>
        <v/>
      </c>
      <c r="DX1598" s="66">
        <f>AVERAGE($CB1598,$CC1598,$CM1598,$CE1598,$CP1598)</f>
        <v/>
      </c>
      <c r="DY1598" s="64">
        <f>($DW1598-$DW1599)*100</f>
        <v/>
      </c>
      <c r="DZ1598" s="64">
        <f>($DX1598-$DX1599)*100</f>
        <v/>
      </c>
      <c r="EA1598" s="64">
        <f>($DW1598-$D1598)*100</f>
        <v/>
      </c>
      <c r="EB1598" s="64">
        <f>$Q1598-$O1598</f>
        <v/>
      </c>
      <c r="EC1598" s="67">
        <f>IFERROR($Q1598/$P1598,"")</f>
        <v/>
      </c>
    </row>
    <row r="1599">
      <c r="DG1599" s="64">
        <f>($B1599-$B1600)*100</f>
        <v/>
      </c>
      <c r="DH1599" s="64">
        <f>($D1599-$D1600)*100</f>
        <v/>
      </c>
      <c r="DI1599" s="64">
        <f>($E1599-$E1600)*100</f>
        <v/>
      </c>
      <c r="DJ1599" s="64">
        <f>($H1599-$H1600)*100</f>
        <v/>
      </c>
      <c r="DK1599" s="65">
        <f>IFERROR($J1599/$J1600-1,"")</f>
        <v/>
      </c>
      <c r="DL1599" s="64">
        <f>$L1599-$L1600</f>
        <v/>
      </c>
      <c r="DM1599" s="64">
        <f>$K1599-$K1600</f>
        <v/>
      </c>
      <c r="DN1599" s="65">
        <f>IFERROR($N1599/$N1600-1,"")</f>
        <v/>
      </c>
      <c r="DO1599" s="65">
        <f>IFERROR($M1599/$M1600-1,"")</f>
        <v/>
      </c>
      <c r="DP1599" s="65">
        <f>IFERROR($AZ1599/$AZ1600-1,"")</f>
        <v/>
      </c>
      <c r="DQ1599" s="65">
        <f>IFERROR($BA1599/$BA1600-1,"")</f>
        <v/>
      </c>
      <c r="DR1599" s="64">
        <f>$O1599-$O1600</f>
        <v/>
      </c>
      <c r="DS1599" s="64">
        <f>$P1599-$P1600</f>
        <v/>
      </c>
      <c r="DT1599" s="64">
        <f>$Q1599-$Q1600</f>
        <v/>
      </c>
      <c r="DU1599" s="64">
        <f>$S1599-$S1600</f>
        <v/>
      </c>
      <c r="DV1599" s="65">
        <f>IFERROR(AVERAGE($AA1600/$AA1599-1,$AB1600/$AB1599-1,$AC1600/$AC1599-1,$AD1600/$AD1599-1,$AE1600/$AE1599-1,$AG1600/$AG1599-1,$AH1600/$AH1599-1,$AI1600/$AI1599-1,$AJ1600/$AJ1599-1,$AL1600/$AL1599-1,$AM1600/$AM1599-1,$AR1600/$AR1599-1,$AS1600/$AS1599-1,$AT1600/$AT1599-1,$AU1600/$AU1599-1,$AV1600/$AV1599-1,$AW1600/$AW1599-1,$AX1600/$AX1599-1,$AY1600/$AY1599-1),"")</f>
        <v/>
      </c>
      <c r="DW1599" s="66">
        <f>AVERAGE($CB1599,$CC1599,$CD1599,$CE1599,$CF1599,$CG1599,$CH1599,$CI1599,$CJ1599,$CL1599,$CM1599,$CN1599,$CO1599,$CP1599,$CQ1599,$CR1599,$CS1599,$CT1599)</f>
        <v/>
      </c>
      <c r="DX1599" s="66">
        <f>AVERAGE($CB1599,$CC1599,$CM1599,$CE1599,$CP1599)</f>
        <v/>
      </c>
      <c r="DY1599" s="64">
        <f>($DW1599-$DW1600)*100</f>
        <v/>
      </c>
      <c r="DZ1599" s="64">
        <f>($DX1599-$DX1600)*100</f>
        <v/>
      </c>
      <c r="EA1599" s="64">
        <f>($DW1599-$D1599)*100</f>
        <v/>
      </c>
      <c r="EB1599" s="64">
        <f>$Q1599-$O1599</f>
        <v/>
      </c>
      <c r="EC1599" s="67">
        <f>IFERROR($Q1599/$P1599,"")</f>
        <v/>
      </c>
    </row>
    <row r="1600">
      <c r="DG1600" s="64">
        <f>($B1600-$B1601)*100</f>
        <v/>
      </c>
      <c r="DH1600" s="64">
        <f>($D1600-$D1601)*100</f>
        <v/>
      </c>
      <c r="DI1600" s="64">
        <f>($E1600-$E1601)*100</f>
        <v/>
      </c>
      <c r="DJ1600" s="64">
        <f>($H1600-$H1601)*100</f>
        <v/>
      </c>
      <c r="DK1600" s="65">
        <f>IFERROR($J1600/$J1601-1,"")</f>
        <v/>
      </c>
      <c r="DL1600" s="64">
        <f>$L1600-$L1601</f>
        <v/>
      </c>
      <c r="DM1600" s="64">
        <f>$K1600-$K1601</f>
        <v/>
      </c>
      <c r="DN1600" s="65">
        <f>IFERROR($N1600/$N1601-1,"")</f>
        <v/>
      </c>
      <c r="DO1600" s="65">
        <f>IFERROR($M1600/$M1601-1,"")</f>
        <v/>
      </c>
      <c r="DP1600" s="65">
        <f>IFERROR($AZ1600/$AZ1601-1,"")</f>
        <v/>
      </c>
      <c r="DQ1600" s="65">
        <f>IFERROR($BA1600/$BA1601-1,"")</f>
        <v/>
      </c>
      <c r="DR1600" s="64">
        <f>$O1600-$O1601</f>
        <v/>
      </c>
      <c r="DS1600" s="64">
        <f>$P1600-$P1601</f>
        <v/>
      </c>
      <c r="DT1600" s="64">
        <f>$Q1600-$Q1601</f>
        <v/>
      </c>
      <c r="DU1600" s="64">
        <f>$S1600-$S1601</f>
        <v/>
      </c>
      <c r="DV1600" s="65">
        <f>IFERROR(AVERAGE($AA1601/$AA1600-1,$AB1601/$AB1600-1,$AC1601/$AC1600-1,$AD1601/$AD1600-1,$AE1601/$AE1600-1,$AG1601/$AG1600-1,$AH1601/$AH1600-1,$AI1601/$AI1600-1,$AJ1601/$AJ1600-1,$AL1601/$AL1600-1,$AM1601/$AM1600-1,$AR1601/$AR1600-1,$AS1601/$AS1600-1,$AT1601/$AT1600-1,$AU1601/$AU1600-1,$AV1601/$AV1600-1,$AW1601/$AW1600-1,$AX1601/$AX1600-1,$AY1601/$AY1600-1),"")</f>
        <v/>
      </c>
      <c r="DW1600" s="66">
        <f>AVERAGE($CB1600,$CC1600,$CD1600,$CE1600,$CF1600,$CG1600,$CH1600,$CI1600,$CJ1600,$CL1600,$CM1600,$CN1600,$CO1600,$CP1600,$CQ1600,$CR1600,$CS1600,$CT1600)</f>
        <v/>
      </c>
      <c r="DX1600" s="66">
        <f>AVERAGE($CB1600,$CC1600,$CM1600,$CE1600,$CP1600)</f>
        <v/>
      </c>
      <c r="DY1600" s="64">
        <f>($DW1600-$DW1601)*100</f>
        <v/>
      </c>
      <c r="DZ1600" s="64">
        <f>($DX1600-$DX1601)*100</f>
        <v/>
      </c>
      <c r="EA1600" s="64">
        <f>($DW1600-$D1600)*100</f>
        <v/>
      </c>
      <c r="EB1600" s="64">
        <f>$Q1600-$O1600</f>
        <v/>
      </c>
      <c r="EC1600" s="67">
        <f>IFERROR($Q1600/$P1600,"")</f>
        <v/>
      </c>
    </row>
    <row r="1601">
      <c r="DG1601" s="64">
        <f>($B1601-$B1602)*100</f>
        <v/>
      </c>
      <c r="DH1601" s="64">
        <f>($D1601-$D1602)*100</f>
        <v/>
      </c>
      <c r="DI1601" s="64">
        <f>($E1601-$E1602)*100</f>
        <v/>
      </c>
      <c r="DJ1601" s="64">
        <f>($H1601-$H1602)*100</f>
        <v/>
      </c>
      <c r="DK1601" s="65">
        <f>IFERROR($J1601/$J1602-1,"")</f>
        <v/>
      </c>
      <c r="DL1601" s="64">
        <f>$L1601-$L1602</f>
        <v/>
      </c>
      <c r="DM1601" s="64">
        <f>$K1601-$K1602</f>
        <v/>
      </c>
      <c r="DN1601" s="65">
        <f>IFERROR($N1601/$N1602-1,"")</f>
        <v/>
      </c>
      <c r="DO1601" s="65">
        <f>IFERROR($M1601/$M1602-1,"")</f>
        <v/>
      </c>
      <c r="DP1601" s="65">
        <f>IFERROR($AZ1601/$AZ1602-1,"")</f>
        <v/>
      </c>
      <c r="DQ1601" s="65">
        <f>IFERROR($BA1601/$BA1602-1,"")</f>
        <v/>
      </c>
      <c r="DR1601" s="64">
        <f>$O1601-$O1602</f>
        <v/>
      </c>
      <c r="DS1601" s="64">
        <f>$P1601-$P1602</f>
        <v/>
      </c>
      <c r="DT1601" s="64">
        <f>$Q1601-$Q1602</f>
        <v/>
      </c>
      <c r="DU1601" s="64">
        <f>$S1601-$S1602</f>
        <v/>
      </c>
      <c r="DV1601" s="65">
        <f>IFERROR(AVERAGE($AA1602/$AA1601-1,$AB1602/$AB1601-1,$AC1602/$AC1601-1,$AD1602/$AD1601-1,$AE1602/$AE1601-1,$AG1602/$AG1601-1,$AH1602/$AH1601-1,$AI1602/$AI1601-1,$AJ1602/$AJ1601-1,$AL1602/$AL1601-1,$AM1602/$AM1601-1,$AR1602/$AR1601-1,$AS1602/$AS1601-1,$AT1602/$AT1601-1,$AU1602/$AU1601-1,$AV1602/$AV1601-1,$AW1602/$AW1601-1,$AX1602/$AX1601-1,$AY1602/$AY1601-1),"")</f>
        <v/>
      </c>
      <c r="DW1601" s="66">
        <f>AVERAGE($CB1601,$CC1601,$CD1601,$CE1601,$CF1601,$CG1601,$CH1601,$CI1601,$CJ1601,$CL1601,$CM1601,$CN1601,$CO1601,$CP1601,$CQ1601,$CR1601,$CS1601,$CT1601)</f>
        <v/>
      </c>
      <c r="DX1601" s="66">
        <f>AVERAGE($CB1601,$CC1601,$CM1601,$CE1601,$CP1601)</f>
        <v/>
      </c>
      <c r="DY1601" s="64">
        <f>($DW1601-$DW1602)*100</f>
        <v/>
      </c>
      <c r="DZ1601" s="64">
        <f>($DX1601-$DX1602)*100</f>
        <v/>
      </c>
      <c r="EA1601" s="64">
        <f>($DW1601-$D1601)*100</f>
        <v/>
      </c>
      <c r="EB1601" s="64">
        <f>$Q1601-$O1601</f>
        <v/>
      </c>
      <c r="EC1601" s="67">
        <f>IFERROR($Q1601/$P1601,"")</f>
        <v/>
      </c>
    </row>
    <row r="1602">
      <c r="DG1602" s="64">
        <f>($B1602-$B1603)*100</f>
        <v/>
      </c>
      <c r="DH1602" s="64">
        <f>($D1602-$D1603)*100</f>
        <v/>
      </c>
      <c r="DI1602" s="64">
        <f>($E1602-$E1603)*100</f>
        <v/>
      </c>
      <c r="DJ1602" s="64">
        <f>($H1602-$H1603)*100</f>
        <v/>
      </c>
      <c r="DK1602" s="65">
        <f>IFERROR($J1602/$J1603-1,"")</f>
        <v/>
      </c>
      <c r="DL1602" s="64">
        <f>$L1602-$L1603</f>
        <v/>
      </c>
      <c r="DM1602" s="64">
        <f>$K1602-$K1603</f>
        <v/>
      </c>
      <c r="DN1602" s="65">
        <f>IFERROR($N1602/$N1603-1,"")</f>
        <v/>
      </c>
      <c r="DO1602" s="65">
        <f>IFERROR($M1602/$M1603-1,"")</f>
        <v/>
      </c>
      <c r="DP1602" s="65">
        <f>IFERROR($AZ1602/$AZ1603-1,"")</f>
        <v/>
      </c>
      <c r="DQ1602" s="65">
        <f>IFERROR($BA1602/$BA1603-1,"")</f>
        <v/>
      </c>
      <c r="DR1602" s="64">
        <f>$O1602-$O1603</f>
        <v/>
      </c>
      <c r="DS1602" s="64">
        <f>$P1602-$P1603</f>
        <v/>
      </c>
      <c r="DT1602" s="64">
        <f>$Q1602-$Q1603</f>
        <v/>
      </c>
      <c r="DU1602" s="64">
        <f>$S1602-$S1603</f>
        <v/>
      </c>
      <c r="DV1602" s="65">
        <f>IFERROR(AVERAGE($AA1603/$AA1602-1,$AB1603/$AB1602-1,$AC1603/$AC1602-1,$AD1603/$AD1602-1,$AE1603/$AE1602-1,$AG1603/$AG1602-1,$AH1603/$AH1602-1,$AI1603/$AI1602-1,$AJ1603/$AJ1602-1,$AL1603/$AL1602-1,$AM1603/$AM1602-1,$AR1603/$AR1602-1,$AS1603/$AS1602-1,$AT1603/$AT1602-1,$AU1603/$AU1602-1,$AV1603/$AV1602-1,$AW1603/$AW1602-1,$AX1603/$AX1602-1,$AY1603/$AY1602-1),"")</f>
        <v/>
      </c>
      <c r="DW1602" s="66">
        <f>AVERAGE($CB1602,$CC1602,$CD1602,$CE1602,$CF1602,$CG1602,$CH1602,$CI1602,$CJ1602,$CL1602,$CM1602,$CN1602,$CO1602,$CP1602,$CQ1602,$CR1602,$CS1602,$CT1602)</f>
        <v/>
      </c>
      <c r="DX1602" s="66">
        <f>AVERAGE($CB1602,$CC1602,$CM1602,$CE1602,$CP1602)</f>
        <v/>
      </c>
      <c r="DY1602" s="64">
        <f>($DW1602-$DW1603)*100</f>
        <v/>
      </c>
      <c r="DZ1602" s="64">
        <f>($DX1602-$DX1603)*100</f>
        <v/>
      </c>
      <c r="EA1602" s="64">
        <f>($DW1602-$D1602)*100</f>
        <v/>
      </c>
      <c r="EB1602" s="64">
        <f>$Q1602-$O1602</f>
        <v/>
      </c>
      <c r="EC1602" s="67">
        <f>IFERROR($Q1602/$P1602,"")</f>
        <v/>
      </c>
    </row>
    <row r="1603">
      <c r="DG1603" s="64">
        <f>($B1603-$B1604)*100</f>
        <v/>
      </c>
      <c r="DH1603" s="64">
        <f>($D1603-$D1604)*100</f>
        <v/>
      </c>
      <c r="DI1603" s="64">
        <f>($E1603-$E1604)*100</f>
        <v/>
      </c>
      <c r="DJ1603" s="64">
        <f>($H1603-$H1604)*100</f>
        <v/>
      </c>
      <c r="DK1603" s="65">
        <f>IFERROR($J1603/$J1604-1,"")</f>
        <v/>
      </c>
      <c r="DL1603" s="64">
        <f>$L1603-$L1604</f>
        <v/>
      </c>
      <c r="DM1603" s="64">
        <f>$K1603-$K1604</f>
        <v/>
      </c>
      <c r="DN1603" s="65">
        <f>IFERROR($N1603/$N1604-1,"")</f>
        <v/>
      </c>
      <c r="DO1603" s="65">
        <f>IFERROR($M1603/$M1604-1,"")</f>
        <v/>
      </c>
      <c r="DP1603" s="65">
        <f>IFERROR($AZ1603/$AZ1604-1,"")</f>
        <v/>
      </c>
      <c r="DQ1603" s="65">
        <f>IFERROR($BA1603/$BA1604-1,"")</f>
        <v/>
      </c>
      <c r="DR1603" s="64">
        <f>$O1603-$O1604</f>
        <v/>
      </c>
      <c r="DS1603" s="64">
        <f>$P1603-$P1604</f>
        <v/>
      </c>
      <c r="DT1603" s="64">
        <f>$Q1603-$Q1604</f>
        <v/>
      </c>
      <c r="DU1603" s="64">
        <f>$S1603-$S1604</f>
        <v/>
      </c>
      <c r="DV1603" s="65">
        <f>IFERROR(AVERAGE($AA1604/$AA1603-1,$AB1604/$AB1603-1,$AC1604/$AC1603-1,$AD1604/$AD1603-1,$AE1604/$AE1603-1,$AG1604/$AG1603-1,$AH1604/$AH1603-1,$AI1604/$AI1603-1,$AJ1604/$AJ1603-1,$AL1604/$AL1603-1,$AM1604/$AM1603-1,$AR1604/$AR1603-1,$AS1604/$AS1603-1,$AT1604/$AT1603-1,$AU1604/$AU1603-1,$AV1604/$AV1603-1,$AW1604/$AW1603-1,$AX1604/$AX1603-1,$AY1604/$AY1603-1),"")</f>
        <v/>
      </c>
      <c r="DW1603" s="66">
        <f>AVERAGE($CB1603,$CC1603,$CD1603,$CE1603,$CF1603,$CG1603,$CH1603,$CI1603,$CJ1603,$CL1603,$CM1603,$CN1603,$CO1603,$CP1603,$CQ1603,$CR1603,$CS1603,$CT1603)</f>
        <v/>
      </c>
      <c r="DX1603" s="66">
        <f>AVERAGE($CB1603,$CC1603,$CM1603,$CE1603,$CP1603)</f>
        <v/>
      </c>
      <c r="DY1603" s="64">
        <f>($DW1603-$DW1604)*100</f>
        <v/>
      </c>
      <c r="DZ1603" s="64">
        <f>($DX1603-$DX1604)*100</f>
        <v/>
      </c>
      <c r="EA1603" s="64">
        <f>($DW1603-$D1603)*100</f>
        <v/>
      </c>
      <c r="EB1603" s="64">
        <f>$Q1603-$O1603</f>
        <v/>
      </c>
      <c r="EC1603" s="67">
        <f>IFERROR($Q1603/$P1603,"")</f>
        <v/>
      </c>
    </row>
    <row r="1604">
      <c r="DG1604" s="64">
        <f>($B1604-$B1605)*100</f>
        <v/>
      </c>
      <c r="DH1604" s="64">
        <f>($D1604-$D1605)*100</f>
        <v/>
      </c>
      <c r="DI1604" s="64">
        <f>($E1604-$E1605)*100</f>
        <v/>
      </c>
      <c r="DJ1604" s="64">
        <f>($H1604-$H1605)*100</f>
        <v/>
      </c>
      <c r="DK1604" s="65">
        <f>IFERROR($J1604/$J1605-1,"")</f>
        <v/>
      </c>
      <c r="DL1604" s="64">
        <f>$L1604-$L1605</f>
        <v/>
      </c>
      <c r="DM1604" s="64">
        <f>$K1604-$K1605</f>
        <v/>
      </c>
      <c r="DN1604" s="65">
        <f>IFERROR($N1604/$N1605-1,"")</f>
        <v/>
      </c>
      <c r="DO1604" s="65">
        <f>IFERROR($M1604/$M1605-1,"")</f>
        <v/>
      </c>
      <c r="DP1604" s="65">
        <f>IFERROR($AZ1604/$AZ1605-1,"")</f>
        <v/>
      </c>
      <c r="DQ1604" s="65">
        <f>IFERROR($BA1604/$BA1605-1,"")</f>
        <v/>
      </c>
      <c r="DR1604" s="64">
        <f>$O1604-$O1605</f>
        <v/>
      </c>
      <c r="DS1604" s="64">
        <f>$P1604-$P1605</f>
        <v/>
      </c>
      <c r="DT1604" s="64">
        <f>$Q1604-$Q1605</f>
        <v/>
      </c>
      <c r="DU1604" s="64">
        <f>$S1604-$S1605</f>
        <v/>
      </c>
      <c r="DV1604" s="65">
        <f>IFERROR(AVERAGE($AA1605/$AA1604-1,$AB1605/$AB1604-1,$AC1605/$AC1604-1,$AD1605/$AD1604-1,$AE1605/$AE1604-1,$AG1605/$AG1604-1,$AH1605/$AH1604-1,$AI1605/$AI1604-1,$AJ1605/$AJ1604-1,$AL1605/$AL1604-1,$AM1605/$AM1604-1,$AR1605/$AR1604-1,$AS1605/$AS1604-1,$AT1605/$AT1604-1,$AU1605/$AU1604-1,$AV1605/$AV1604-1,$AW1605/$AW1604-1,$AX1605/$AX1604-1,$AY1605/$AY1604-1),"")</f>
        <v/>
      </c>
      <c r="DW1604" s="66">
        <f>AVERAGE($CB1604,$CC1604,$CD1604,$CE1604,$CF1604,$CG1604,$CH1604,$CI1604,$CJ1604,$CL1604,$CM1604,$CN1604,$CO1604,$CP1604,$CQ1604,$CR1604,$CS1604,$CT1604)</f>
        <v/>
      </c>
      <c r="DX1604" s="66">
        <f>AVERAGE($CB1604,$CC1604,$CM1604,$CE1604,$CP1604)</f>
        <v/>
      </c>
      <c r="DY1604" s="64">
        <f>($DW1604-$DW1605)*100</f>
        <v/>
      </c>
      <c r="DZ1604" s="64">
        <f>($DX1604-$DX1605)*100</f>
        <v/>
      </c>
      <c r="EA1604" s="64">
        <f>($DW1604-$D1604)*100</f>
        <v/>
      </c>
      <c r="EB1604" s="64">
        <f>$Q1604-$O1604</f>
        <v/>
      </c>
      <c r="EC1604" s="67">
        <f>IFERROR($Q1604/$P1604,"")</f>
        <v/>
      </c>
    </row>
    <row r="1605">
      <c r="DG1605" s="64">
        <f>($B1605-$B1606)*100</f>
        <v/>
      </c>
      <c r="DH1605" s="64">
        <f>($D1605-$D1606)*100</f>
        <v/>
      </c>
      <c r="DI1605" s="64">
        <f>($E1605-$E1606)*100</f>
        <v/>
      </c>
      <c r="DJ1605" s="64">
        <f>($H1605-$H1606)*100</f>
        <v/>
      </c>
      <c r="DK1605" s="65">
        <f>IFERROR($J1605/$J1606-1,"")</f>
        <v/>
      </c>
      <c r="DL1605" s="64">
        <f>$L1605-$L1606</f>
        <v/>
      </c>
      <c r="DM1605" s="64">
        <f>$K1605-$K1606</f>
        <v/>
      </c>
      <c r="DN1605" s="65">
        <f>IFERROR($N1605/$N1606-1,"")</f>
        <v/>
      </c>
      <c r="DO1605" s="65">
        <f>IFERROR($M1605/$M1606-1,"")</f>
        <v/>
      </c>
      <c r="DP1605" s="65">
        <f>IFERROR($AZ1605/$AZ1606-1,"")</f>
        <v/>
      </c>
      <c r="DQ1605" s="65">
        <f>IFERROR($BA1605/$BA1606-1,"")</f>
        <v/>
      </c>
      <c r="DR1605" s="64">
        <f>$O1605-$O1606</f>
        <v/>
      </c>
      <c r="DS1605" s="64">
        <f>$P1605-$P1606</f>
        <v/>
      </c>
      <c r="DT1605" s="64">
        <f>$Q1605-$Q1606</f>
        <v/>
      </c>
      <c r="DU1605" s="64">
        <f>$S1605-$S1606</f>
        <v/>
      </c>
      <c r="DV1605" s="65">
        <f>IFERROR(AVERAGE($AA1606/$AA1605-1,$AB1606/$AB1605-1,$AC1606/$AC1605-1,$AD1606/$AD1605-1,$AE1606/$AE1605-1,$AG1606/$AG1605-1,$AH1606/$AH1605-1,$AI1606/$AI1605-1,$AJ1606/$AJ1605-1,$AL1606/$AL1605-1,$AM1606/$AM1605-1,$AR1606/$AR1605-1,$AS1606/$AS1605-1,$AT1606/$AT1605-1,$AU1606/$AU1605-1,$AV1606/$AV1605-1,$AW1606/$AW1605-1,$AX1606/$AX1605-1,$AY1606/$AY1605-1),"")</f>
        <v/>
      </c>
      <c r="DW1605" s="66">
        <f>AVERAGE($CB1605,$CC1605,$CD1605,$CE1605,$CF1605,$CG1605,$CH1605,$CI1605,$CJ1605,$CL1605,$CM1605,$CN1605,$CO1605,$CP1605,$CQ1605,$CR1605,$CS1605,$CT1605)</f>
        <v/>
      </c>
      <c r="DX1605" s="66">
        <f>AVERAGE($CB1605,$CC1605,$CM1605,$CE1605,$CP1605)</f>
        <v/>
      </c>
      <c r="DY1605" s="64">
        <f>($DW1605-$DW1606)*100</f>
        <v/>
      </c>
      <c r="DZ1605" s="64">
        <f>($DX1605-$DX1606)*100</f>
        <v/>
      </c>
      <c r="EA1605" s="64">
        <f>($DW1605-$D1605)*100</f>
        <v/>
      </c>
      <c r="EB1605" s="64">
        <f>$Q1605-$O1605</f>
        <v/>
      </c>
      <c r="EC1605" s="67">
        <f>IFERROR($Q1605/$P1605,"")</f>
        <v/>
      </c>
    </row>
    <row r="1606">
      <c r="DG1606" s="64">
        <f>($B1606-$B1607)*100</f>
        <v/>
      </c>
      <c r="DH1606" s="64">
        <f>($D1606-$D1607)*100</f>
        <v/>
      </c>
      <c r="DI1606" s="64">
        <f>($E1606-$E1607)*100</f>
        <v/>
      </c>
      <c r="DJ1606" s="64">
        <f>($H1606-$H1607)*100</f>
        <v/>
      </c>
      <c r="DK1606" s="65">
        <f>IFERROR($J1606/$J1607-1,"")</f>
        <v/>
      </c>
      <c r="DL1606" s="64">
        <f>$L1606-$L1607</f>
        <v/>
      </c>
      <c r="DM1606" s="64">
        <f>$K1606-$K1607</f>
        <v/>
      </c>
      <c r="DN1606" s="65">
        <f>IFERROR($N1606/$N1607-1,"")</f>
        <v/>
      </c>
      <c r="DO1606" s="65">
        <f>IFERROR($M1606/$M1607-1,"")</f>
        <v/>
      </c>
      <c r="DP1606" s="65">
        <f>IFERROR($AZ1606/$AZ1607-1,"")</f>
        <v/>
      </c>
      <c r="DQ1606" s="65">
        <f>IFERROR($BA1606/$BA1607-1,"")</f>
        <v/>
      </c>
      <c r="DR1606" s="64">
        <f>$O1606-$O1607</f>
        <v/>
      </c>
      <c r="DS1606" s="64">
        <f>$P1606-$P1607</f>
        <v/>
      </c>
      <c r="DT1606" s="64">
        <f>$Q1606-$Q1607</f>
        <v/>
      </c>
      <c r="DU1606" s="64">
        <f>$S1606-$S1607</f>
        <v/>
      </c>
      <c r="DV1606" s="65">
        <f>IFERROR(AVERAGE($AA1607/$AA1606-1,$AB1607/$AB1606-1,$AC1607/$AC1606-1,$AD1607/$AD1606-1,$AE1607/$AE1606-1,$AG1607/$AG1606-1,$AH1607/$AH1606-1,$AI1607/$AI1606-1,$AJ1607/$AJ1606-1,$AL1607/$AL1606-1,$AM1607/$AM1606-1,$AR1607/$AR1606-1,$AS1607/$AS1606-1,$AT1607/$AT1606-1,$AU1607/$AU1606-1,$AV1607/$AV1606-1,$AW1607/$AW1606-1,$AX1607/$AX1606-1,$AY1607/$AY1606-1),"")</f>
        <v/>
      </c>
      <c r="DW1606" s="66">
        <f>AVERAGE($CB1606,$CC1606,$CD1606,$CE1606,$CF1606,$CG1606,$CH1606,$CI1606,$CJ1606,$CL1606,$CM1606,$CN1606,$CO1606,$CP1606,$CQ1606,$CR1606,$CS1606,$CT1606)</f>
        <v/>
      </c>
      <c r="DX1606" s="66">
        <f>AVERAGE($CB1606,$CC1606,$CM1606,$CE1606,$CP1606)</f>
        <v/>
      </c>
      <c r="DY1606" s="64">
        <f>($DW1606-$DW1607)*100</f>
        <v/>
      </c>
      <c r="DZ1606" s="64">
        <f>($DX1606-$DX1607)*100</f>
        <v/>
      </c>
      <c r="EA1606" s="64">
        <f>($DW1606-$D1606)*100</f>
        <v/>
      </c>
      <c r="EB1606" s="64">
        <f>$Q1606-$O1606</f>
        <v/>
      </c>
      <c r="EC1606" s="67">
        <f>IFERROR($Q1606/$P1606,"")</f>
        <v/>
      </c>
    </row>
    <row r="1607">
      <c r="DG1607" s="64">
        <f>($B1607-$B1608)*100</f>
        <v/>
      </c>
      <c r="DH1607" s="64">
        <f>($D1607-$D1608)*100</f>
        <v/>
      </c>
      <c r="DI1607" s="64">
        <f>($E1607-$E1608)*100</f>
        <v/>
      </c>
      <c r="DJ1607" s="64">
        <f>($H1607-$H1608)*100</f>
        <v/>
      </c>
      <c r="DK1607" s="65">
        <f>IFERROR($J1607/$J1608-1,"")</f>
        <v/>
      </c>
      <c r="DL1607" s="64">
        <f>$L1607-$L1608</f>
        <v/>
      </c>
      <c r="DM1607" s="64">
        <f>$K1607-$K1608</f>
        <v/>
      </c>
      <c r="DN1607" s="65">
        <f>IFERROR($N1607/$N1608-1,"")</f>
        <v/>
      </c>
      <c r="DO1607" s="65">
        <f>IFERROR($M1607/$M1608-1,"")</f>
        <v/>
      </c>
      <c r="DP1607" s="65">
        <f>IFERROR($AZ1607/$AZ1608-1,"")</f>
        <v/>
      </c>
      <c r="DQ1607" s="65">
        <f>IFERROR($BA1607/$BA1608-1,"")</f>
        <v/>
      </c>
      <c r="DR1607" s="64">
        <f>$O1607-$O1608</f>
        <v/>
      </c>
      <c r="DS1607" s="64">
        <f>$P1607-$P1608</f>
        <v/>
      </c>
      <c r="DT1607" s="64">
        <f>$Q1607-$Q1608</f>
        <v/>
      </c>
      <c r="DU1607" s="64">
        <f>$S1607-$S1608</f>
        <v/>
      </c>
      <c r="DV1607" s="65">
        <f>IFERROR(AVERAGE($AA1608/$AA1607-1,$AB1608/$AB1607-1,$AC1608/$AC1607-1,$AD1608/$AD1607-1,$AE1608/$AE1607-1,$AG1608/$AG1607-1,$AH1608/$AH1607-1,$AI1608/$AI1607-1,$AJ1608/$AJ1607-1,$AL1608/$AL1607-1,$AM1608/$AM1607-1,$AR1608/$AR1607-1,$AS1608/$AS1607-1,$AT1608/$AT1607-1,$AU1608/$AU1607-1,$AV1608/$AV1607-1,$AW1608/$AW1607-1,$AX1608/$AX1607-1,$AY1608/$AY1607-1),"")</f>
        <v/>
      </c>
      <c r="DW1607" s="66">
        <f>AVERAGE($CB1607,$CC1607,$CD1607,$CE1607,$CF1607,$CG1607,$CH1607,$CI1607,$CJ1607,$CL1607,$CM1607,$CN1607,$CO1607,$CP1607,$CQ1607,$CR1607,$CS1607,$CT1607)</f>
        <v/>
      </c>
      <c r="DX1607" s="66">
        <f>AVERAGE($CB1607,$CC1607,$CM1607,$CE1607,$CP1607)</f>
        <v/>
      </c>
      <c r="DY1607" s="64">
        <f>($DW1607-$DW1608)*100</f>
        <v/>
      </c>
      <c r="DZ1607" s="64">
        <f>($DX1607-$DX1608)*100</f>
        <v/>
      </c>
      <c r="EA1607" s="64">
        <f>($DW1607-$D1607)*100</f>
        <v/>
      </c>
      <c r="EB1607" s="64">
        <f>$Q1607-$O1607</f>
        <v/>
      </c>
      <c r="EC1607" s="67">
        <f>IFERROR($Q1607/$P1607,"")</f>
        <v/>
      </c>
    </row>
    <row r="1608">
      <c r="DG1608" s="64">
        <f>($B1608-$B1609)*100</f>
        <v/>
      </c>
      <c r="DH1608" s="64">
        <f>($D1608-$D1609)*100</f>
        <v/>
      </c>
      <c r="DI1608" s="64">
        <f>($E1608-$E1609)*100</f>
        <v/>
      </c>
      <c r="DJ1608" s="64">
        <f>($H1608-$H1609)*100</f>
        <v/>
      </c>
      <c r="DK1608" s="65">
        <f>IFERROR($J1608/$J1609-1,"")</f>
        <v/>
      </c>
      <c r="DL1608" s="64">
        <f>$L1608-$L1609</f>
        <v/>
      </c>
      <c r="DM1608" s="64">
        <f>$K1608-$K1609</f>
        <v/>
      </c>
      <c r="DN1608" s="65">
        <f>IFERROR($N1608/$N1609-1,"")</f>
        <v/>
      </c>
      <c r="DO1608" s="65">
        <f>IFERROR($M1608/$M1609-1,"")</f>
        <v/>
      </c>
      <c r="DP1608" s="65">
        <f>IFERROR($AZ1608/$AZ1609-1,"")</f>
        <v/>
      </c>
      <c r="DQ1608" s="65">
        <f>IFERROR($BA1608/$BA1609-1,"")</f>
        <v/>
      </c>
      <c r="DR1608" s="64">
        <f>$O1608-$O1609</f>
        <v/>
      </c>
      <c r="DS1608" s="64">
        <f>$P1608-$P1609</f>
        <v/>
      </c>
      <c r="DT1608" s="64">
        <f>$Q1608-$Q1609</f>
        <v/>
      </c>
      <c r="DU1608" s="64">
        <f>$S1608-$S1609</f>
        <v/>
      </c>
      <c r="DV1608" s="65">
        <f>IFERROR(AVERAGE($AA1609/$AA1608-1,$AB1609/$AB1608-1,$AC1609/$AC1608-1,$AD1609/$AD1608-1,$AE1609/$AE1608-1,$AG1609/$AG1608-1,$AH1609/$AH1608-1,$AI1609/$AI1608-1,$AJ1609/$AJ1608-1,$AL1609/$AL1608-1,$AM1609/$AM1608-1,$AR1609/$AR1608-1,$AS1609/$AS1608-1,$AT1609/$AT1608-1,$AU1609/$AU1608-1,$AV1609/$AV1608-1,$AW1609/$AW1608-1,$AX1609/$AX1608-1,$AY1609/$AY1608-1),"")</f>
        <v/>
      </c>
      <c r="DW1608" s="66">
        <f>AVERAGE($CB1608,$CC1608,$CD1608,$CE1608,$CF1608,$CG1608,$CH1608,$CI1608,$CJ1608,$CL1608,$CM1608,$CN1608,$CO1608,$CP1608,$CQ1608,$CR1608,$CS1608,$CT1608)</f>
        <v/>
      </c>
      <c r="DX1608" s="66">
        <f>AVERAGE($CB1608,$CC1608,$CM1608,$CE1608,$CP1608)</f>
        <v/>
      </c>
      <c r="DY1608" s="64">
        <f>($DW1608-$DW1609)*100</f>
        <v/>
      </c>
      <c r="DZ1608" s="64">
        <f>($DX1608-$DX1609)*100</f>
        <v/>
      </c>
      <c r="EA1608" s="64">
        <f>($DW1608-$D1608)*100</f>
        <v/>
      </c>
      <c r="EB1608" s="64">
        <f>$Q1608-$O1608</f>
        <v/>
      </c>
      <c r="EC1608" s="67">
        <f>IFERROR($Q1608/$P1608,"")</f>
        <v/>
      </c>
    </row>
    <row r="1609">
      <c r="DG1609" s="64">
        <f>($B1609-$B1610)*100</f>
        <v/>
      </c>
      <c r="DH1609" s="64">
        <f>($D1609-$D1610)*100</f>
        <v/>
      </c>
      <c r="DI1609" s="64">
        <f>($E1609-$E1610)*100</f>
        <v/>
      </c>
      <c r="DJ1609" s="64">
        <f>($H1609-$H1610)*100</f>
        <v/>
      </c>
      <c r="DK1609" s="65">
        <f>IFERROR($J1609/$J1610-1,"")</f>
        <v/>
      </c>
      <c r="DL1609" s="64">
        <f>$L1609-$L1610</f>
        <v/>
      </c>
      <c r="DM1609" s="64">
        <f>$K1609-$K1610</f>
        <v/>
      </c>
      <c r="DN1609" s="65">
        <f>IFERROR($N1609/$N1610-1,"")</f>
        <v/>
      </c>
      <c r="DO1609" s="65">
        <f>IFERROR($M1609/$M1610-1,"")</f>
        <v/>
      </c>
      <c r="DP1609" s="65">
        <f>IFERROR($AZ1609/$AZ1610-1,"")</f>
        <v/>
      </c>
      <c r="DQ1609" s="65">
        <f>IFERROR($BA1609/$BA1610-1,"")</f>
        <v/>
      </c>
      <c r="DR1609" s="64">
        <f>$O1609-$O1610</f>
        <v/>
      </c>
      <c r="DS1609" s="64">
        <f>$P1609-$P1610</f>
        <v/>
      </c>
      <c r="DT1609" s="64">
        <f>$Q1609-$Q1610</f>
        <v/>
      </c>
      <c r="DU1609" s="64">
        <f>$S1609-$S1610</f>
        <v/>
      </c>
      <c r="DV1609" s="65">
        <f>IFERROR(AVERAGE($AA1610/$AA1609-1,$AB1610/$AB1609-1,$AC1610/$AC1609-1,$AD1610/$AD1609-1,$AE1610/$AE1609-1,$AG1610/$AG1609-1,$AH1610/$AH1609-1,$AI1610/$AI1609-1,$AJ1610/$AJ1609-1,$AL1610/$AL1609-1,$AM1610/$AM1609-1,$AR1610/$AR1609-1,$AS1610/$AS1609-1,$AT1610/$AT1609-1,$AU1610/$AU1609-1,$AV1610/$AV1609-1,$AW1610/$AW1609-1,$AX1610/$AX1609-1,$AY1610/$AY1609-1),"")</f>
        <v/>
      </c>
      <c r="DW1609" s="66">
        <f>AVERAGE($CB1609,$CC1609,$CD1609,$CE1609,$CF1609,$CG1609,$CH1609,$CI1609,$CJ1609,$CL1609,$CM1609,$CN1609,$CO1609,$CP1609,$CQ1609,$CR1609,$CS1609,$CT1609)</f>
        <v/>
      </c>
      <c r="DX1609" s="66">
        <f>AVERAGE($CB1609,$CC1609,$CM1609,$CE1609,$CP1609)</f>
        <v/>
      </c>
      <c r="DY1609" s="64">
        <f>($DW1609-$DW1610)*100</f>
        <v/>
      </c>
      <c r="DZ1609" s="64">
        <f>($DX1609-$DX1610)*100</f>
        <v/>
      </c>
      <c r="EA1609" s="64">
        <f>($DW1609-$D1609)*100</f>
        <v/>
      </c>
      <c r="EB1609" s="64">
        <f>$Q1609-$O1609</f>
        <v/>
      </c>
      <c r="EC1609" s="67">
        <f>IFERROR($Q1609/$P1609,"")</f>
        <v/>
      </c>
    </row>
    <row r="1610">
      <c r="DG1610" s="64">
        <f>($B1610-$B1611)*100</f>
        <v/>
      </c>
      <c r="DH1610" s="64">
        <f>($D1610-$D1611)*100</f>
        <v/>
      </c>
      <c r="DI1610" s="64">
        <f>($E1610-$E1611)*100</f>
        <v/>
      </c>
      <c r="DJ1610" s="64">
        <f>($H1610-$H1611)*100</f>
        <v/>
      </c>
      <c r="DK1610" s="65">
        <f>IFERROR($J1610/$J1611-1,"")</f>
        <v/>
      </c>
      <c r="DL1610" s="64">
        <f>$L1610-$L1611</f>
        <v/>
      </c>
      <c r="DM1610" s="64">
        <f>$K1610-$K1611</f>
        <v/>
      </c>
      <c r="DN1610" s="65">
        <f>IFERROR($N1610/$N1611-1,"")</f>
        <v/>
      </c>
      <c r="DO1610" s="65">
        <f>IFERROR($M1610/$M1611-1,"")</f>
        <v/>
      </c>
      <c r="DP1610" s="65">
        <f>IFERROR($AZ1610/$AZ1611-1,"")</f>
        <v/>
      </c>
      <c r="DQ1610" s="65">
        <f>IFERROR($BA1610/$BA1611-1,"")</f>
        <v/>
      </c>
      <c r="DR1610" s="64">
        <f>$O1610-$O1611</f>
        <v/>
      </c>
      <c r="DS1610" s="64">
        <f>$P1610-$P1611</f>
        <v/>
      </c>
      <c r="DT1610" s="64">
        <f>$Q1610-$Q1611</f>
        <v/>
      </c>
      <c r="DU1610" s="64">
        <f>$S1610-$S1611</f>
        <v/>
      </c>
      <c r="DV1610" s="65">
        <f>IFERROR(AVERAGE($AA1611/$AA1610-1,$AB1611/$AB1610-1,$AC1611/$AC1610-1,$AD1611/$AD1610-1,$AE1611/$AE1610-1,$AG1611/$AG1610-1,$AH1611/$AH1610-1,$AI1611/$AI1610-1,$AJ1611/$AJ1610-1,$AL1611/$AL1610-1,$AM1611/$AM1610-1,$AR1611/$AR1610-1,$AS1611/$AS1610-1,$AT1611/$AT1610-1,$AU1611/$AU1610-1,$AV1611/$AV1610-1,$AW1611/$AW1610-1,$AX1611/$AX1610-1,$AY1611/$AY1610-1),"")</f>
        <v/>
      </c>
      <c r="DW1610" s="66">
        <f>AVERAGE($CB1610,$CC1610,$CD1610,$CE1610,$CF1610,$CG1610,$CH1610,$CI1610,$CJ1610,$CL1610,$CM1610,$CN1610,$CO1610,$CP1610,$CQ1610,$CR1610,$CS1610,$CT1610)</f>
        <v/>
      </c>
      <c r="DX1610" s="66">
        <f>AVERAGE($CB1610,$CC1610,$CM1610,$CE1610,$CP1610)</f>
        <v/>
      </c>
      <c r="DY1610" s="64">
        <f>($DW1610-$DW1611)*100</f>
        <v/>
      </c>
      <c r="DZ1610" s="64">
        <f>($DX1610-$DX1611)*100</f>
        <v/>
      </c>
      <c r="EA1610" s="64">
        <f>($DW1610-$D1610)*100</f>
        <v/>
      </c>
      <c r="EB1610" s="64">
        <f>$Q1610-$O1610</f>
        <v/>
      </c>
      <c r="EC1610" s="67">
        <f>IFERROR($Q1610/$P1610,"")</f>
        <v/>
      </c>
    </row>
    <row r="1611">
      <c r="DG1611" s="64">
        <f>($B1611-$B1612)*100</f>
        <v/>
      </c>
      <c r="DH1611" s="64">
        <f>($D1611-$D1612)*100</f>
        <v/>
      </c>
      <c r="DI1611" s="64">
        <f>($E1611-$E1612)*100</f>
        <v/>
      </c>
      <c r="DJ1611" s="64">
        <f>($H1611-$H1612)*100</f>
        <v/>
      </c>
      <c r="DK1611" s="65">
        <f>IFERROR($J1611/$J1612-1,"")</f>
        <v/>
      </c>
      <c r="DL1611" s="64">
        <f>$L1611-$L1612</f>
        <v/>
      </c>
      <c r="DM1611" s="64">
        <f>$K1611-$K1612</f>
        <v/>
      </c>
      <c r="DN1611" s="65">
        <f>IFERROR($N1611/$N1612-1,"")</f>
        <v/>
      </c>
      <c r="DO1611" s="65">
        <f>IFERROR($M1611/$M1612-1,"")</f>
        <v/>
      </c>
      <c r="DP1611" s="65">
        <f>IFERROR($AZ1611/$AZ1612-1,"")</f>
        <v/>
      </c>
      <c r="DQ1611" s="65">
        <f>IFERROR($BA1611/$BA1612-1,"")</f>
        <v/>
      </c>
      <c r="DR1611" s="64">
        <f>$O1611-$O1612</f>
        <v/>
      </c>
      <c r="DS1611" s="64">
        <f>$P1611-$P1612</f>
        <v/>
      </c>
      <c r="DT1611" s="64">
        <f>$Q1611-$Q1612</f>
        <v/>
      </c>
      <c r="DU1611" s="64">
        <f>$S1611-$S1612</f>
        <v/>
      </c>
      <c r="DV1611" s="65">
        <f>IFERROR(AVERAGE($AA1612/$AA1611-1,$AB1612/$AB1611-1,$AC1612/$AC1611-1,$AD1612/$AD1611-1,$AE1612/$AE1611-1,$AG1612/$AG1611-1,$AH1612/$AH1611-1,$AI1612/$AI1611-1,$AJ1612/$AJ1611-1,$AL1612/$AL1611-1,$AM1612/$AM1611-1,$AR1612/$AR1611-1,$AS1612/$AS1611-1,$AT1612/$AT1611-1,$AU1612/$AU1611-1,$AV1612/$AV1611-1,$AW1612/$AW1611-1,$AX1612/$AX1611-1,$AY1612/$AY1611-1),"")</f>
        <v/>
      </c>
      <c r="DW1611" s="66">
        <f>AVERAGE($CB1611,$CC1611,$CD1611,$CE1611,$CF1611,$CG1611,$CH1611,$CI1611,$CJ1611,$CL1611,$CM1611,$CN1611,$CO1611,$CP1611,$CQ1611,$CR1611,$CS1611,$CT1611)</f>
        <v/>
      </c>
      <c r="DX1611" s="66">
        <f>AVERAGE($CB1611,$CC1611,$CM1611,$CE1611,$CP1611)</f>
        <v/>
      </c>
      <c r="DY1611" s="64">
        <f>($DW1611-$DW1612)*100</f>
        <v/>
      </c>
      <c r="DZ1611" s="64">
        <f>($DX1611-$DX1612)*100</f>
        <v/>
      </c>
      <c r="EA1611" s="64">
        <f>($DW1611-$D1611)*100</f>
        <v/>
      </c>
      <c r="EB1611" s="64">
        <f>$Q1611-$O1611</f>
        <v/>
      </c>
      <c r="EC1611" s="67">
        <f>IFERROR($Q1611/$P1611,"")</f>
        <v/>
      </c>
    </row>
    <row r="1612">
      <c r="DG1612" s="64">
        <f>($B1612-$B1613)*100</f>
        <v/>
      </c>
      <c r="DH1612" s="64">
        <f>($D1612-$D1613)*100</f>
        <v/>
      </c>
      <c r="DI1612" s="64">
        <f>($E1612-$E1613)*100</f>
        <v/>
      </c>
      <c r="DJ1612" s="64">
        <f>($H1612-$H1613)*100</f>
        <v/>
      </c>
      <c r="DK1612" s="65">
        <f>IFERROR($J1612/$J1613-1,"")</f>
        <v/>
      </c>
      <c r="DL1612" s="64">
        <f>$L1612-$L1613</f>
        <v/>
      </c>
      <c r="DM1612" s="64">
        <f>$K1612-$K1613</f>
        <v/>
      </c>
      <c r="DN1612" s="65">
        <f>IFERROR($N1612/$N1613-1,"")</f>
        <v/>
      </c>
      <c r="DO1612" s="65">
        <f>IFERROR($M1612/$M1613-1,"")</f>
        <v/>
      </c>
      <c r="DP1612" s="65">
        <f>IFERROR($AZ1612/$AZ1613-1,"")</f>
        <v/>
      </c>
      <c r="DQ1612" s="65">
        <f>IFERROR($BA1612/$BA1613-1,"")</f>
        <v/>
      </c>
      <c r="DR1612" s="64">
        <f>$O1612-$O1613</f>
        <v/>
      </c>
      <c r="DS1612" s="64">
        <f>$P1612-$P1613</f>
        <v/>
      </c>
      <c r="DT1612" s="64">
        <f>$Q1612-$Q1613</f>
        <v/>
      </c>
      <c r="DU1612" s="64">
        <f>$S1612-$S1613</f>
        <v/>
      </c>
      <c r="DV1612" s="65">
        <f>IFERROR(AVERAGE($AA1613/$AA1612-1,$AB1613/$AB1612-1,$AC1613/$AC1612-1,$AD1613/$AD1612-1,$AE1613/$AE1612-1,$AG1613/$AG1612-1,$AH1613/$AH1612-1,$AI1613/$AI1612-1,$AJ1613/$AJ1612-1,$AL1613/$AL1612-1,$AM1613/$AM1612-1,$AR1613/$AR1612-1,$AS1613/$AS1612-1,$AT1613/$AT1612-1,$AU1613/$AU1612-1,$AV1613/$AV1612-1,$AW1613/$AW1612-1,$AX1613/$AX1612-1,$AY1613/$AY1612-1),"")</f>
        <v/>
      </c>
      <c r="DW1612" s="66">
        <f>AVERAGE($CB1612,$CC1612,$CD1612,$CE1612,$CF1612,$CG1612,$CH1612,$CI1612,$CJ1612,$CL1612,$CM1612,$CN1612,$CO1612,$CP1612,$CQ1612,$CR1612,$CS1612,$CT1612)</f>
        <v/>
      </c>
      <c r="DX1612" s="66">
        <f>AVERAGE($CB1612,$CC1612,$CM1612,$CE1612,$CP1612)</f>
        <v/>
      </c>
      <c r="DY1612" s="64">
        <f>($DW1612-$DW1613)*100</f>
        <v/>
      </c>
      <c r="DZ1612" s="64">
        <f>($DX1612-$DX1613)*100</f>
        <v/>
      </c>
      <c r="EA1612" s="64">
        <f>($DW1612-$D1612)*100</f>
        <v/>
      </c>
      <c r="EB1612" s="64">
        <f>$Q1612-$O1612</f>
        <v/>
      </c>
      <c r="EC1612" s="67">
        <f>IFERROR($Q1612/$P1612,"")</f>
        <v/>
      </c>
    </row>
    <row r="1613">
      <c r="DG1613" s="64">
        <f>($B1613-$B1614)*100</f>
        <v/>
      </c>
      <c r="DH1613" s="64">
        <f>($D1613-$D1614)*100</f>
        <v/>
      </c>
      <c r="DI1613" s="64">
        <f>($E1613-$E1614)*100</f>
        <v/>
      </c>
      <c r="DJ1613" s="64">
        <f>($H1613-$H1614)*100</f>
        <v/>
      </c>
      <c r="DK1613" s="65">
        <f>IFERROR($J1613/$J1614-1,"")</f>
        <v/>
      </c>
      <c r="DL1613" s="64">
        <f>$L1613-$L1614</f>
        <v/>
      </c>
      <c r="DM1613" s="64">
        <f>$K1613-$K1614</f>
        <v/>
      </c>
      <c r="DN1613" s="65">
        <f>IFERROR($N1613/$N1614-1,"")</f>
        <v/>
      </c>
      <c r="DO1613" s="65">
        <f>IFERROR($M1613/$M1614-1,"")</f>
        <v/>
      </c>
      <c r="DP1613" s="65">
        <f>IFERROR($AZ1613/$AZ1614-1,"")</f>
        <v/>
      </c>
      <c r="DQ1613" s="65">
        <f>IFERROR($BA1613/$BA1614-1,"")</f>
        <v/>
      </c>
      <c r="DR1613" s="64">
        <f>$O1613-$O1614</f>
        <v/>
      </c>
      <c r="DS1613" s="64">
        <f>$P1613-$P1614</f>
        <v/>
      </c>
      <c r="DT1613" s="64">
        <f>$Q1613-$Q1614</f>
        <v/>
      </c>
      <c r="DU1613" s="64">
        <f>$S1613-$S1614</f>
        <v/>
      </c>
      <c r="DV1613" s="65">
        <f>IFERROR(AVERAGE($AA1614/$AA1613-1,$AB1614/$AB1613-1,$AC1614/$AC1613-1,$AD1614/$AD1613-1,$AE1614/$AE1613-1,$AG1614/$AG1613-1,$AH1614/$AH1613-1,$AI1614/$AI1613-1,$AJ1614/$AJ1613-1,$AL1614/$AL1613-1,$AM1614/$AM1613-1,$AR1614/$AR1613-1,$AS1614/$AS1613-1,$AT1614/$AT1613-1,$AU1614/$AU1613-1,$AV1614/$AV1613-1,$AW1614/$AW1613-1,$AX1614/$AX1613-1,$AY1614/$AY1613-1),"")</f>
        <v/>
      </c>
      <c r="DW1613" s="66">
        <f>AVERAGE($CB1613,$CC1613,$CD1613,$CE1613,$CF1613,$CG1613,$CH1613,$CI1613,$CJ1613,$CL1613,$CM1613,$CN1613,$CO1613,$CP1613,$CQ1613,$CR1613,$CS1613,$CT1613)</f>
        <v/>
      </c>
      <c r="DX1613" s="66">
        <f>AVERAGE($CB1613,$CC1613,$CM1613,$CE1613,$CP1613)</f>
        <v/>
      </c>
      <c r="DY1613" s="64">
        <f>($DW1613-$DW1614)*100</f>
        <v/>
      </c>
      <c r="DZ1613" s="64">
        <f>($DX1613-$DX1614)*100</f>
        <v/>
      </c>
      <c r="EA1613" s="64">
        <f>($DW1613-$D1613)*100</f>
        <v/>
      </c>
      <c r="EB1613" s="64">
        <f>$Q1613-$O1613</f>
        <v/>
      </c>
      <c r="EC1613" s="67">
        <f>IFERROR($Q1613/$P1613,"")</f>
        <v/>
      </c>
    </row>
    <row r="1614">
      <c r="DG1614" s="64">
        <f>($B1614-$B1615)*100</f>
        <v/>
      </c>
      <c r="DH1614" s="64">
        <f>($D1614-$D1615)*100</f>
        <v/>
      </c>
      <c r="DI1614" s="64">
        <f>($E1614-$E1615)*100</f>
        <v/>
      </c>
      <c r="DJ1614" s="64">
        <f>($H1614-$H1615)*100</f>
        <v/>
      </c>
      <c r="DK1614" s="65">
        <f>IFERROR($J1614/$J1615-1,"")</f>
        <v/>
      </c>
      <c r="DL1614" s="64">
        <f>$L1614-$L1615</f>
        <v/>
      </c>
      <c r="DM1614" s="64">
        <f>$K1614-$K1615</f>
        <v/>
      </c>
      <c r="DN1614" s="65">
        <f>IFERROR($N1614/$N1615-1,"")</f>
        <v/>
      </c>
      <c r="DO1614" s="65">
        <f>IFERROR($M1614/$M1615-1,"")</f>
        <v/>
      </c>
      <c r="DP1614" s="65">
        <f>IFERROR($AZ1614/$AZ1615-1,"")</f>
        <v/>
      </c>
      <c r="DQ1614" s="65">
        <f>IFERROR($BA1614/$BA1615-1,"")</f>
        <v/>
      </c>
      <c r="DR1614" s="64">
        <f>$O1614-$O1615</f>
        <v/>
      </c>
      <c r="DS1614" s="64">
        <f>$P1614-$P1615</f>
        <v/>
      </c>
      <c r="DT1614" s="64">
        <f>$Q1614-$Q1615</f>
        <v/>
      </c>
      <c r="DU1614" s="64">
        <f>$S1614-$S1615</f>
        <v/>
      </c>
      <c r="DV1614" s="65">
        <f>IFERROR(AVERAGE($AA1615/$AA1614-1,$AB1615/$AB1614-1,$AC1615/$AC1614-1,$AD1615/$AD1614-1,$AE1615/$AE1614-1,$AG1615/$AG1614-1,$AH1615/$AH1614-1,$AI1615/$AI1614-1,$AJ1615/$AJ1614-1,$AL1615/$AL1614-1,$AM1615/$AM1614-1,$AR1615/$AR1614-1,$AS1615/$AS1614-1,$AT1615/$AT1614-1,$AU1615/$AU1614-1,$AV1615/$AV1614-1,$AW1615/$AW1614-1,$AX1615/$AX1614-1,$AY1615/$AY1614-1),"")</f>
        <v/>
      </c>
      <c r="DW1614" s="66">
        <f>AVERAGE($CB1614,$CC1614,$CD1614,$CE1614,$CF1614,$CG1614,$CH1614,$CI1614,$CJ1614,$CL1614,$CM1614,$CN1614,$CO1614,$CP1614,$CQ1614,$CR1614,$CS1614,$CT1614)</f>
        <v/>
      </c>
      <c r="DX1614" s="66">
        <f>AVERAGE($CB1614,$CC1614,$CM1614,$CE1614,$CP1614)</f>
        <v/>
      </c>
      <c r="DY1614" s="64">
        <f>($DW1614-$DW1615)*100</f>
        <v/>
      </c>
      <c r="DZ1614" s="64">
        <f>($DX1614-$DX1615)*100</f>
        <v/>
      </c>
      <c r="EA1614" s="64">
        <f>($DW1614-$D1614)*100</f>
        <v/>
      </c>
      <c r="EB1614" s="64">
        <f>$Q1614-$O1614</f>
        <v/>
      </c>
      <c r="EC1614" s="67">
        <f>IFERROR($Q1614/$P1614,"")</f>
        <v/>
      </c>
    </row>
    <row r="1615">
      <c r="DG1615" s="64">
        <f>($B1615-$B1616)*100</f>
        <v/>
      </c>
      <c r="DH1615" s="64">
        <f>($D1615-$D1616)*100</f>
        <v/>
      </c>
      <c r="DI1615" s="64">
        <f>($E1615-$E1616)*100</f>
        <v/>
      </c>
      <c r="DJ1615" s="64">
        <f>($H1615-$H1616)*100</f>
        <v/>
      </c>
      <c r="DK1615" s="65">
        <f>IFERROR($J1615/$J1616-1,"")</f>
        <v/>
      </c>
      <c r="DL1615" s="64">
        <f>$L1615-$L1616</f>
        <v/>
      </c>
      <c r="DM1615" s="64">
        <f>$K1615-$K1616</f>
        <v/>
      </c>
      <c r="DN1615" s="65">
        <f>IFERROR($N1615/$N1616-1,"")</f>
        <v/>
      </c>
      <c r="DO1615" s="65">
        <f>IFERROR($M1615/$M1616-1,"")</f>
        <v/>
      </c>
      <c r="DP1615" s="65">
        <f>IFERROR($AZ1615/$AZ1616-1,"")</f>
        <v/>
      </c>
      <c r="DQ1615" s="65">
        <f>IFERROR($BA1615/$BA1616-1,"")</f>
        <v/>
      </c>
      <c r="DR1615" s="64">
        <f>$O1615-$O1616</f>
        <v/>
      </c>
      <c r="DS1615" s="64">
        <f>$P1615-$P1616</f>
        <v/>
      </c>
      <c r="DT1615" s="64">
        <f>$Q1615-$Q1616</f>
        <v/>
      </c>
      <c r="DU1615" s="64">
        <f>$S1615-$S1616</f>
        <v/>
      </c>
      <c r="DV1615" s="65">
        <f>IFERROR(AVERAGE($AA1616/$AA1615-1,$AB1616/$AB1615-1,$AC1616/$AC1615-1,$AD1616/$AD1615-1,$AE1616/$AE1615-1,$AG1616/$AG1615-1,$AH1616/$AH1615-1,$AI1616/$AI1615-1,$AJ1616/$AJ1615-1,$AL1616/$AL1615-1,$AM1616/$AM1615-1,$AR1616/$AR1615-1,$AS1616/$AS1615-1,$AT1616/$AT1615-1,$AU1616/$AU1615-1,$AV1616/$AV1615-1,$AW1616/$AW1615-1,$AX1616/$AX1615-1,$AY1616/$AY1615-1),"")</f>
        <v/>
      </c>
      <c r="DW1615" s="66">
        <f>AVERAGE($CB1615,$CC1615,$CD1615,$CE1615,$CF1615,$CG1615,$CH1615,$CI1615,$CJ1615,$CL1615,$CM1615,$CN1615,$CO1615,$CP1615,$CQ1615,$CR1615,$CS1615,$CT1615)</f>
        <v/>
      </c>
      <c r="DX1615" s="66">
        <f>AVERAGE($CB1615,$CC1615,$CM1615,$CE1615,$CP1615)</f>
        <v/>
      </c>
      <c r="DY1615" s="64">
        <f>($DW1615-$DW1616)*100</f>
        <v/>
      </c>
      <c r="DZ1615" s="64">
        <f>($DX1615-$DX1616)*100</f>
        <v/>
      </c>
      <c r="EA1615" s="64">
        <f>($DW1615-$D1615)*100</f>
        <v/>
      </c>
      <c r="EB1615" s="64">
        <f>$Q1615-$O1615</f>
        <v/>
      </c>
      <c r="EC1615" s="67">
        <f>IFERROR($Q1615/$P1615,"")</f>
        <v/>
      </c>
    </row>
    <row r="1616">
      <c r="DG1616" s="64">
        <f>($B1616-$B1617)*100</f>
        <v/>
      </c>
      <c r="DH1616" s="64">
        <f>($D1616-$D1617)*100</f>
        <v/>
      </c>
      <c r="DI1616" s="64">
        <f>($E1616-$E1617)*100</f>
        <v/>
      </c>
      <c r="DJ1616" s="64">
        <f>($H1616-$H1617)*100</f>
        <v/>
      </c>
      <c r="DK1616" s="65">
        <f>IFERROR($J1616/$J1617-1,"")</f>
        <v/>
      </c>
      <c r="DL1616" s="64">
        <f>$L1616-$L1617</f>
        <v/>
      </c>
      <c r="DM1616" s="64">
        <f>$K1616-$K1617</f>
        <v/>
      </c>
      <c r="DN1616" s="65">
        <f>IFERROR($N1616/$N1617-1,"")</f>
        <v/>
      </c>
      <c r="DO1616" s="65">
        <f>IFERROR($M1616/$M1617-1,"")</f>
        <v/>
      </c>
      <c r="DP1616" s="65">
        <f>IFERROR($AZ1616/$AZ1617-1,"")</f>
        <v/>
      </c>
      <c r="DQ1616" s="65">
        <f>IFERROR($BA1616/$BA1617-1,"")</f>
        <v/>
      </c>
      <c r="DR1616" s="64">
        <f>$O1616-$O1617</f>
        <v/>
      </c>
      <c r="DS1616" s="64">
        <f>$P1616-$P1617</f>
        <v/>
      </c>
      <c r="DT1616" s="64">
        <f>$Q1616-$Q1617</f>
        <v/>
      </c>
      <c r="DU1616" s="64">
        <f>$S1616-$S1617</f>
        <v/>
      </c>
      <c r="DV1616" s="65">
        <f>IFERROR(AVERAGE($AA1617/$AA1616-1,$AB1617/$AB1616-1,$AC1617/$AC1616-1,$AD1617/$AD1616-1,$AE1617/$AE1616-1,$AG1617/$AG1616-1,$AH1617/$AH1616-1,$AI1617/$AI1616-1,$AJ1617/$AJ1616-1,$AL1617/$AL1616-1,$AM1617/$AM1616-1,$AR1617/$AR1616-1,$AS1617/$AS1616-1,$AT1617/$AT1616-1,$AU1617/$AU1616-1,$AV1617/$AV1616-1,$AW1617/$AW1616-1,$AX1617/$AX1616-1,$AY1617/$AY1616-1),"")</f>
        <v/>
      </c>
      <c r="DW1616" s="66">
        <f>AVERAGE($CB1616,$CC1616,$CD1616,$CE1616,$CF1616,$CG1616,$CH1616,$CI1616,$CJ1616,$CL1616,$CM1616,$CN1616,$CO1616,$CP1616,$CQ1616,$CR1616,$CS1616,$CT1616)</f>
        <v/>
      </c>
      <c r="DX1616" s="66">
        <f>AVERAGE($CB1616,$CC1616,$CM1616,$CE1616,$CP1616)</f>
        <v/>
      </c>
      <c r="DY1616" s="64">
        <f>($DW1616-$DW1617)*100</f>
        <v/>
      </c>
      <c r="DZ1616" s="64">
        <f>($DX1616-$DX1617)*100</f>
        <v/>
      </c>
      <c r="EA1616" s="64">
        <f>($DW1616-$D1616)*100</f>
        <v/>
      </c>
      <c r="EB1616" s="64">
        <f>$Q1616-$O1616</f>
        <v/>
      </c>
      <c r="EC1616" s="67">
        <f>IFERROR($Q1616/$P1616,"")</f>
        <v/>
      </c>
    </row>
    <row r="1617">
      <c r="DG1617" s="64">
        <f>($B1617-$B1618)*100</f>
        <v/>
      </c>
      <c r="DH1617" s="64">
        <f>($D1617-$D1618)*100</f>
        <v/>
      </c>
      <c r="DI1617" s="64">
        <f>($E1617-$E1618)*100</f>
        <v/>
      </c>
      <c r="DJ1617" s="64">
        <f>($H1617-$H1618)*100</f>
        <v/>
      </c>
      <c r="DK1617" s="65">
        <f>IFERROR($J1617/$J1618-1,"")</f>
        <v/>
      </c>
      <c r="DL1617" s="64">
        <f>$L1617-$L1618</f>
        <v/>
      </c>
      <c r="DM1617" s="64">
        <f>$K1617-$K1618</f>
        <v/>
      </c>
      <c r="DN1617" s="65">
        <f>IFERROR($N1617/$N1618-1,"")</f>
        <v/>
      </c>
      <c r="DO1617" s="65">
        <f>IFERROR($M1617/$M1618-1,"")</f>
        <v/>
      </c>
      <c r="DP1617" s="65">
        <f>IFERROR($AZ1617/$AZ1618-1,"")</f>
        <v/>
      </c>
      <c r="DQ1617" s="65">
        <f>IFERROR($BA1617/$BA1618-1,"")</f>
        <v/>
      </c>
      <c r="DR1617" s="64">
        <f>$O1617-$O1618</f>
        <v/>
      </c>
      <c r="DS1617" s="64">
        <f>$P1617-$P1618</f>
        <v/>
      </c>
      <c r="DT1617" s="64">
        <f>$Q1617-$Q1618</f>
        <v/>
      </c>
      <c r="DU1617" s="64">
        <f>$S1617-$S1618</f>
        <v/>
      </c>
      <c r="DV1617" s="65">
        <f>IFERROR(AVERAGE($AA1618/$AA1617-1,$AB1618/$AB1617-1,$AC1618/$AC1617-1,$AD1618/$AD1617-1,$AE1618/$AE1617-1,$AG1618/$AG1617-1,$AH1618/$AH1617-1,$AI1618/$AI1617-1,$AJ1618/$AJ1617-1,$AL1618/$AL1617-1,$AM1618/$AM1617-1,$AR1618/$AR1617-1,$AS1618/$AS1617-1,$AT1618/$AT1617-1,$AU1618/$AU1617-1,$AV1618/$AV1617-1,$AW1618/$AW1617-1,$AX1618/$AX1617-1,$AY1618/$AY1617-1),"")</f>
        <v/>
      </c>
      <c r="DW1617" s="66">
        <f>AVERAGE($CB1617,$CC1617,$CD1617,$CE1617,$CF1617,$CG1617,$CH1617,$CI1617,$CJ1617,$CL1617,$CM1617,$CN1617,$CO1617,$CP1617,$CQ1617,$CR1617,$CS1617,$CT1617)</f>
        <v/>
      </c>
      <c r="DX1617" s="66">
        <f>AVERAGE($CB1617,$CC1617,$CM1617,$CE1617,$CP1617)</f>
        <v/>
      </c>
      <c r="DY1617" s="64">
        <f>($DW1617-$DW1618)*100</f>
        <v/>
      </c>
      <c r="DZ1617" s="64">
        <f>($DX1617-$DX1618)*100</f>
        <v/>
      </c>
      <c r="EA1617" s="64">
        <f>($DW1617-$D1617)*100</f>
        <v/>
      </c>
      <c r="EB1617" s="64">
        <f>$Q1617-$O1617</f>
        <v/>
      </c>
      <c r="EC1617" s="67">
        <f>IFERROR($Q1617/$P1617,"")</f>
        <v/>
      </c>
    </row>
    <row r="1618">
      <c r="DG1618" s="64">
        <f>($B1618-$B1619)*100</f>
        <v/>
      </c>
      <c r="DH1618" s="64">
        <f>($D1618-$D1619)*100</f>
        <v/>
      </c>
      <c r="DI1618" s="64">
        <f>($E1618-$E1619)*100</f>
        <v/>
      </c>
      <c r="DJ1618" s="64">
        <f>($H1618-$H1619)*100</f>
        <v/>
      </c>
      <c r="DK1618" s="65">
        <f>IFERROR($J1618/$J1619-1,"")</f>
        <v/>
      </c>
      <c r="DL1618" s="64">
        <f>$L1618-$L1619</f>
        <v/>
      </c>
      <c r="DM1618" s="64">
        <f>$K1618-$K1619</f>
        <v/>
      </c>
      <c r="DN1618" s="65">
        <f>IFERROR($N1618/$N1619-1,"")</f>
        <v/>
      </c>
      <c r="DO1618" s="65">
        <f>IFERROR($M1618/$M1619-1,"")</f>
        <v/>
      </c>
      <c r="DP1618" s="65">
        <f>IFERROR($AZ1618/$AZ1619-1,"")</f>
        <v/>
      </c>
      <c r="DQ1618" s="65">
        <f>IFERROR($BA1618/$BA1619-1,"")</f>
        <v/>
      </c>
      <c r="DR1618" s="64">
        <f>$O1618-$O1619</f>
        <v/>
      </c>
      <c r="DS1618" s="64">
        <f>$P1618-$P1619</f>
        <v/>
      </c>
      <c r="DT1618" s="64">
        <f>$Q1618-$Q1619</f>
        <v/>
      </c>
      <c r="DU1618" s="64">
        <f>$S1618-$S1619</f>
        <v/>
      </c>
      <c r="DV1618" s="65">
        <f>IFERROR(AVERAGE($AA1619/$AA1618-1,$AB1619/$AB1618-1,$AC1619/$AC1618-1,$AD1619/$AD1618-1,$AE1619/$AE1618-1,$AG1619/$AG1618-1,$AH1619/$AH1618-1,$AI1619/$AI1618-1,$AJ1619/$AJ1618-1,$AL1619/$AL1618-1,$AM1619/$AM1618-1,$AR1619/$AR1618-1,$AS1619/$AS1618-1,$AT1619/$AT1618-1,$AU1619/$AU1618-1,$AV1619/$AV1618-1,$AW1619/$AW1618-1,$AX1619/$AX1618-1,$AY1619/$AY1618-1),"")</f>
        <v/>
      </c>
      <c r="DW1618" s="66">
        <f>AVERAGE($CB1618,$CC1618,$CD1618,$CE1618,$CF1618,$CG1618,$CH1618,$CI1618,$CJ1618,$CL1618,$CM1618,$CN1618,$CO1618,$CP1618,$CQ1618,$CR1618,$CS1618,$CT1618)</f>
        <v/>
      </c>
      <c r="DX1618" s="66">
        <f>AVERAGE($CB1618,$CC1618,$CM1618,$CE1618,$CP1618)</f>
        <v/>
      </c>
      <c r="DY1618" s="64">
        <f>($DW1618-$DW1619)*100</f>
        <v/>
      </c>
      <c r="DZ1618" s="64">
        <f>($DX1618-$DX1619)*100</f>
        <v/>
      </c>
      <c r="EA1618" s="64">
        <f>($DW1618-$D1618)*100</f>
        <v/>
      </c>
      <c r="EB1618" s="64">
        <f>$Q1618-$O1618</f>
        <v/>
      </c>
      <c r="EC1618" s="67">
        <f>IFERROR($Q1618/$P1618,"")</f>
        <v/>
      </c>
    </row>
    <row r="1619">
      <c r="DG1619" s="64">
        <f>($B1619-$B1620)*100</f>
        <v/>
      </c>
      <c r="DH1619" s="64">
        <f>($D1619-$D1620)*100</f>
        <v/>
      </c>
      <c r="DI1619" s="64">
        <f>($E1619-$E1620)*100</f>
        <v/>
      </c>
      <c r="DJ1619" s="64">
        <f>($H1619-$H1620)*100</f>
        <v/>
      </c>
      <c r="DK1619" s="65">
        <f>IFERROR($J1619/$J1620-1,"")</f>
        <v/>
      </c>
      <c r="DL1619" s="64">
        <f>$L1619-$L1620</f>
        <v/>
      </c>
      <c r="DM1619" s="64">
        <f>$K1619-$K1620</f>
        <v/>
      </c>
      <c r="DN1619" s="65">
        <f>IFERROR($N1619/$N1620-1,"")</f>
        <v/>
      </c>
      <c r="DO1619" s="65">
        <f>IFERROR($M1619/$M1620-1,"")</f>
        <v/>
      </c>
      <c r="DP1619" s="65">
        <f>IFERROR($AZ1619/$AZ1620-1,"")</f>
        <v/>
      </c>
      <c r="DQ1619" s="65">
        <f>IFERROR($BA1619/$BA1620-1,"")</f>
        <v/>
      </c>
      <c r="DR1619" s="64">
        <f>$O1619-$O1620</f>
        <v/>
      </c>
      <c r="DS1619" s="64">
        <f>$P1619-$P1620</f>
        <v/>
      </c>
      <c r="DT1619" s="64">
        <f>$Q1619-$Q1620</f>
        <v/>
      </c>
      <c r="DU1619" s="64">
        <f>$S1619-$S1620</f>
        <v/>
      </c>
      <c r="DV1619" s="65">
        <f>IFERROR(AVERAGE($AA1620/$AA1619-1,$AB1620/$AB1619-1,$AC1620/$AC1619-1,$AD1620/$AD1619-1,$AE1620/$AE1619-1,$AG1620/$AG1619-1,$AH1620/$AH1619-1,$AI1620/$AI1619-1,$AJ1620/$AJ1619-1,$AL1620/$AL1619-1,$AM1620/$AM1619-1,$AR1620/$AR1619-1,$AS1620/$AS1619-1,$AT1620/$AT1619-1,$AU1620/$AU1619-1,$AV1620/$AV1619-1,$AW1620/$AW1619-1,$AX1620/$AX1619-1,$AY1620/$AY1619-1),"")</f>
        <v/>
      </c>
      <c r="DW1619" s="66">
        <f>AVERAGE($CB1619,$CC1619,$CD1619,$CE1619,$CF1619,$CG1619,$CH1619,$CI1619,$CJ1619,$CL1619,$CM1619,$CN1619,$CO1619,$CP1619,$CQ1619,$CR1619,$CS1619,$CT1619)</f>
        <v/>
      </c>
      <c r="DX1619" s="66">
        <f>AVERAGE($CB1619,$CC1619,$CM1619,$CE1619,$CP1619)</f>
        <v/>
      </c>
      <c r="DY1619" s="64">
        <f>($DW1619-$DW1620)*100</f>
        <v/>
      </c>
      <c r="DZ1619" s="64">
        <f>($DX1619-$DX1620)*100</f>
        <v/>
      </c>
      <c r="EA1619" s="64">
        <f>($DW1619-$D1619)*100</f>
        <v/>
      </c>
      <c r="EB1619" s="64">
        <f>$Q1619-$O1619</f>
        <v/>
      </c>
      <c r="EC1619" s="67">
        <f>IFERROR($Q1619/$P1619,"")</f>
        <v/>
      </c>
    </row>
    <row r="1620">
      <c r="DG1620" s="64">
        <f>($B1620-$B1621)*100</f>
        <v/>
      </c>
      <c r="DH1620" s="64">
        <f>($D1620-$D1621)*100</f>
        <v/>
      </c>
      <c r="DI1620" s="64">
        <f>($E1620-$E1621)*100</f>
        <v/>
      </c>
      <c r="DJ1620" s="64">
        <f>($H1620-$H1621)*100</f>
        <v/>
      </c>
      <c r="DK1620" s="65">
        <f>IFERROR($J1620/$J1621-1,"")</f>
        <v/>
      </c>
      <c r="DL1620" s="64">
        <f>$L1620-$L1621</f>
        <v/>
      </c>
      <c r="DM1620" s="64">
        <f>$K1620-$K1621</f>
        <v/>
      </c>
      <c r="DN1620" s="65">
        <f>IFERROR($N1620/$N1621-1,"")</f>
        <v/>
      </c>
      <c r="DO1620" s="65">
        <f>IFERROR($M1620/$M1621-1,"")</f>
        <v/>
      </c>
      <c r="DP1620" s="65">
        <f>IFERROR($AZ1620/$AZ1621-1,"")</f>
        <v/>
      </c>
      <c r="DQ1620" s="65">
        <f>IFERROR($BA1620/$BA1621-1,"")</f>
        <v/>
      </c>
      <c r="DR1620" s="64">
        <f>$O1620-$O1621</f>
        <v/>
      </c>
      <c r="DS1620" s="64">
        <f>$P1620-$P1621</f>
        <v/>
      </c>
      <c r="DT1620" s="64">
        <f>$Q1620-$Q1621</f>
        <v/>
      </c>
      <c r="DU1620" s="64">
        <f>$S1620-$S1621</f>
        <v/>
      </c>
      <c r="DV1620" s="65">
        <f>IFERROR(AVERAGE($AA1621/$AA1620-1,$AB1621/$AB1620-1,$AC1621/$AC1620-1,$AD1621/$AD1620-1,$AE1621/$AE1620-1,$AG1621/$AG1620-1,$AH1621/$AH1620-1,$AI1621/$AI1620-1,$AJ1621/$AJ1620-1,$AL1621/$AL1620-1,$AM1621/$AM1620-1,$AR1621/$AR1620-1,$AS1621/$AS1620-1,$AT1621/$AT1620-1,$AU1621/$AU1620-1,$AV1621/$AV1620-1,$AW1621/$AW1620-1,$AX1621/$AX1620-1,$AY1621/$AY1620-1),"")</f>
        <v/>
      </c>
      <c r="DW1620" s="66">
        <f>AVERAGE($CB1620,$CC1620,$CD1620,$CE1620,$CF1620,$CG1620,$CH1620,$CI1620,$CJ1620,$CL1620,$CM1620,$CN1620,$CO1620,$CP1620,$CQ1620,$CR1620,$CS1620,$CT1620)</f>
        <v/>
      </c>
      <c r="DX1620" s="66">
        <f>AVERAGE($CB1620,$CC1620,$CM1620,$CE1620,$CP1620)</f>
        <v/>
      </c>
      <c r="DY1620" s="64">
        <f>($DW1620-$DW1621)*100</f>
        <v/>
      </c>
      <c r="DZ1620" s="64">
        <f>($DX1620-$DX1621)*100</f>
        <v/>
      </c>
      <c r="EA1620" s="64">
        <f>($DW1620-$D1620)*100</f>
        <v/>
      </c>
      <c r="EB1620" s="64">
        <f>$Q1620-$O1620</f>
        <v/>
      </c>
      <c r="EC1620" s="67">
        <f>IFERROR($Q1620/$P1620,"")</f>
        <v/>
      </c>
    </row>
    <row r="1621">
      <c r="DG1621" s="64">
        <f>($B1621-$B1622)*100</f>
        <v/>
      </c>
      <c r="DH1621" s="64">
        <f>($D1621-$D1622)*100</f>
        <v/>
      </c>
      <c r="DI1621" s="64">
        <f>($E1621-$E1622)*100</f>
        <v/>
      </c>
      <c r="DJ1621" s="64">
        <f>($H1621-$H1622)*100</f>
        <v/>
      </c>
      <c r="DK1621" s="65">
        <f>IFERROR($J1621/$J1622-1,"")</f>
        <v/>
      </c>
      <c r="DL1621" s="64">
        <f>$L1621-$L1622</f>
        <v/>
      </c>
      <c r="DM1621" s="64">
        <f>$K1621-$K1622</f>
        <v/>
      </c>
      <c r="DN1621" s="65">
        <f>IFERROR($N1621/$N1622-1,"")</f>
        <v/>
      </c>
      <c r="DO1621" s="65">
        <f>IFERROR($M1621/$M1622-1,"")</f>
        <v/>
      </c>
      <c r="DP1621" s="65">
        <f>IFERROR($AZ1621/$AZ1622-1,"")</f>
        <v/>
      </c>
      <c r="DQ1621" s="65">
        <f>IFERROR($BA1621/$BA1622-1,"")</f>
        <v/>
      </c>
      <c r="DR1621" s="64">
        <f>$O1621-$O1622</f>
        <v/>
      </c>
      <c r="DS1621" s="64">
        <f>$P1621-$P1622</f>
        <v/>
      </c>
      <c r="DT1621" s="64">
        <f>$Q1621-$Q1622</f>
        <v/>
      </c>
      <c r="DU1621" s="64">
        <f>$S1621-$S1622</f>
        <v/>
      </c>
      <c r="DV1621" s="65">
        <f>IFERROR(AVERAGE($AA1622/$AA1621-1,$AB1622/$AB1621-1,$AC1622/$AC1621-1,$AD1622/$AD1621-1,$AE1622/$AE1621-1,$AG1622/$AG1621-1,$AH1622/$AH1621-1,$AI1622/$AI1621-1,$AJ1622/$AJ1621-1,$AL1622/$AL1621-1,$AM1622/$AM1621-1,$AR1622/$AR1621-1,$AS1622/$AS1621-1,$AT1622/$AT1621-1,$AU1622/$AU1621-1,$AV1622/$AV1621-1,$AW1622/$AW1621-1,$AX1622/$AX1621-1,$AY1622/$AY1621-1),"")</f>
        <v/>
      </c>
      <c r="DW1621" s="66">
        <f>AVERAGE($CB1621,$CC1621,$CD1621,$CE1621,$CF1621,$CG1621,$CH1621,$CI1621,$CJ1621,$CL1621,$CM1621,$CN1621,$CO1621,$CP1621,$CQ1621,$CR1621,$CS1621,$CT1621)</f>
        <v/>
      </c>
      <c r="DX1621" s="66">
        <f>AVERAGE($CB1621,$CC1621,$CM1621,$CE1621,$CP1621)</f>
        <v/>
      </c>
      <c r="DY1621" s="64">
        <f>($DW1621-$DW1622)*100</f>
        <v/>
      </c>
      <c r="DZ1621" s="64">
        <f>($DX1621-$DX1622)*100</f>
        <v/>
      </c>
      <c r="EA1621" s="64">
        <f>($DW1621-$D1621)*100</f>
        <v/>
      </c>
      <c r="EB1621" s="64">
        <f>$Q1621-$O1621</f>
        <v/>
      </c>
      <c r="EC1621" s="67">
        <f>IFERROR($Q1621/$P1621,"")</f>
        <v/>
      </c>
    </row>
    <row r="1622">
      <c r="DG1622" s="64">
        <f>($B1622-$B1623)*100</f>
        <v/>
      </c>
      <c r="DH1622" s="64">
        <f>($D1622-$D1623)*100</f>
        <v/>
      </c>
      <c r="DI1622" s="64">
        <f>($E1622-$E1623)*100</f>
        <v/>
      </c>
      <c r="DJ1622" s="64">
        <f>($H1622-$H1623)*100</f>
        <v/>
      </c>
      <c r="DK1622" s="65">
        <f>IFERROR($J1622/$J1623-1,"")</f>
        <v/>
      </c>
      <c r="DL1622" s="64">
        <f>$L1622-$L1623</f>
        <v/>
      </c>
      <c r="DM1622" s="64">
        <f>$K1622-$K1623</f>
        <v/>
      </c>
      <c r="DN1622" s="65">
        <f>IFERROR($N1622/$N1623-1,"")</f>
        <v/>
      </c>
      <c r="DO1622" s="65">
        <f>IFERROR($M1622/$M1623-1,"")</f>
        <v/>
      </c>
      <c r="DP1622" s="65">
        <f>IFERROR($AZ1622/$AZ1623-1,"")</f>
        <v/>
      </c>
      <c r="DQ1622" s="65">
        <f>IFERROR($BA1622/$BA1623-1,"")</f>
        <v/>
      </c>
      <c r="DR1622" s="64">
        <f>$O1622-$O1623</f>
        <v/>
      </c>
      <c r="DS1622" s="64">
        <f>$P1622-$P1623</f>
        <v/>
      </c>
      <c r="DT1622" s="64">
        <f>$Q1622-$Q1623</f>
        <v/>
      </c>
      <c r="DU1622" s="64">
        <f>$S1622-$S1623</f>
        <v/>
      </c>
      <c r="DV1622" s="65">
        <f>IFERROR(AVERAGE($AA1623/$AA1622-1,$AB1623/$AB1622-1,$AC1623/$AC1622-1,$AD1623/$AD1622-1,$AE1623/$AE1622-1,$AG1623/$AG1622-1,$AH1623/$AH1622-1,$AI1623/$AI1622-1,$AJ1623/$AJ1622-1,$AL1623/$AL1622-1,$AM1623/$AM1622-1,$AR1623/$AR1622-1,$AS1623/$AS1622-1,$AT1623/$AT1622-1,$AU1623/$AU1622-1,$AV1623/$AV1622-1,$AW1623/$AW1622-1,$AX1623/$AX1622-1,$AY1623/$AY1622-1),"")</f>
        <v/>
      </c>
      <c r="DW1622" s="66">
        <f>AVERAGE($CB1622,$CC1622,$CD1622,$CE1622,$CF1622,$CG1622,$CH1622,$CI1622,$CJ1622,$CL1622,$CM1622,$CN1622,$CO1622,$CP1622,$CQ1622,$CR1622,$CS1622,$CT1622)</f>
        <v/>
      </c>
      <c r="DX1622" s="66">
        <f>AVERAGE($CB1622,$CC1622,$CM1622,$CE1622,$CP1622)</f>
        <v/>
      </c>
      <c r="DY1622" s="64">
        <f>($DW1622-$DW1623)*100</f>
        <v/>
      </c>
      <c r="DZ1622" s="64">
        <f>($DX1622-$DX1623)*100</f>
        <v/>
      </c>
      <c r="EA1622" s="64">
        <f>($DW1622-$D1622)*100</f>
        <v/>
      </c>
      <c r="EB1622" s="64">
        <f>$Q1622-$O1622</f>
        <v/>
      </c>
      <c r="EC1622" s="67">
        <f>IFERROR($Q1622/$P1622,"")</f>
        <v/>
      </c>
    </row>
    <row r="1623">
      <c r="DG1623" s="64">
        <f>($B1623-$B1624)*100</f>
        <v/>
      </c>
      <c r="DH1623" s="64">
        <f>($D1623-$D1624)*100</f>
        <v/>
      </c>
      <c r="DI1623" s="64">
        <f>($E1623-$E1624)*100</f>
        <v/>
      </c>
      <c r="DJ1623" s="64">
        <f>($H1623-$H1624)*100</f>
        <v/>
      </c>
      <c r="DK1623" s="65">
        <f>IFERROR($J1623/$J1624-1,"")</f>
        <v/>
      </c>
      <c r="DL1623" s="64">
        <f>$L1623-$L1624</f>
        <v/>
      </c>
      <c r="DM1623" s="64">
        <f>$K1623-$K1624</f>
        <v/>
      </c>
      <c r="DN1623" s="65">
        <f>IFERROR($N1623/$N1624-1,"")</f>
        <v/>
      </c>
      <c r="DO1623" s="65">
        <f>IFERROR($M1623/$M1624-1,"")</f>
        <v/>
      </c>
      <c r="DP1623" s="65">
        <f>IFERROR($AZ1623/$AZ1624-1,"")</f>
        <v/>
      </c>
      <c r="DQ1623" s="65">
        <f>IFERROR($BA1623/$BA1624-1,"")</f>
        <v/>
      </c>
      <c r="DR1623" s="64">
        <f>$O1623-$O1624</f>
        <v/>
      </c>
      <c r="DS1623" s="64">
        <f>$P1623-$P1624</f>
        <v/>
      </c>
      <c r="DT1623" s="64">
        <f>$Q1623-$Q1624</f>
        <v/>
      </c>
      <c r="DU1623" s="64">
        <f>$S1623-$S1624</f>
        <v/>
      </c>
      <c r="DV1623" s="65">
        <f>IFERROR(AVERAGE($AA1624/$AA1623-1,$AB1624/$AB1623-1,$AC1624/$AC1623-1,$AD1624/$AD1623-1,$AE1624/$AE1623-1,$AG1624/$AG1623-1,$AH1624/$AH1623-1,$AI1624/$AI1623-1,$AJ1624/$AJ1623-1,$AL1624/$AL1623-1,$AM1624/$AM1623-1,$AR1624/$AR1623-1,$AS1624/$AS1623-1,$AT1624/$AT1623-1,$AU1624/$AU1623-1,$AV1624/$AV1623-1,$AW1624/$AW1623-1,$AX1624/$AX1623-1,$AY1624/$AY1623-1),"")</f>
        <v/>
      </c>
      <c r="DW1623" s="66">
        <f>AVERAGE($CB1623,$CC1623,$CD1623,$CE1623,$CF1623,$CG1623,$CH1623,$CI1623,$CJ1623,$CL1623,$CM1623,$CN1623,$CO1623,$CP1623,$CQ1623,$CR1623,$CS1623,$CT1623)</f>
        <v/>
      </c>
      <c r="DX1623" s="66">
        <f>AVERAGE($CB1623,$CC1623,$CM1623,$CE1623,$CP1623)</f>
        <v/>
      </c>
      <c r="DY1623" s="64">
        <f>($DW1623-$DW1624)*100</f>
        <v/>
      </c>
      <c r="DZ1623" s="64">
        <f>($DX1623-$DX1624)*100</f>
        <v/>
      </c>
      <c r="EA1623" s="64">
        <f>($DW1623-$D1623)*100</f>
        <v/>
      </c>
      <c r="EB1623" s="64">
        <f>$Q1623-$O1623</f>
        <v/>
      </c>
      <c r="EC1623" s="67">
        <f>IFERROR($Q1623/$P1623,"")</f>
        <v/>
      </c>
    </row>
    <row r="1624">
      <c r="DG1624" s="64">
        <f>($B1624-$B1625)*100</f>
        <v/>
      </c>
      <c r="DH1624" s="64">
        <f>($D1624-$D1625)*100</f>
        <v/>
      </c>
      <c r="DI1624" s="64">
        <f>($E1624-$E1625)*100</f>
        <v/>
      </c>
      <c r="DJ1624" s="64">
        <f>($H1624-$H1625)*100</f>
        <v/>
      </c>
      <c r="DK1624" s="65">
        <f>IFERROR($J1624/$J1625-1,"")</f>
        <v/>
      </c>
      <c r="DL1624" s="64">
        <f>$L1624-$L1625</f>
        <v/>
      </c>
      <c r="DM1624" s="64">
        <f>$K1624-$K1625</f>
        <v/>
      </c>
      <c r="DN1624" s="65">
        <f>IFERROR($N1624/$N1625-1,"")</f>
        <v/>
      </c>
      <c r="DO1624" s="65">
        <f>IFERROR($M1624/$M1625-1,"")</f>
        <v/>
      </c>
      <c r="DP1624" s="65">
        <f>IFERROR($AZ1624/$AZ1625-1,"")</f>
        <v/>
      </c>
      <c r="DQ1624" s="65">
        <f>IFERROR($BA1624/$BA1625-1,"")</f>
        <v/>
      </c>
      <c r="DR1624" s="64">
        <f>$O1624-$O1625</f>
        <v/>
      </c>
      <c r="DS1624" s="64">
        <f>$P1624-$P1625</f>
        <v/>
      </c>
      <c r="DT1624" s="64">
        <f>$Q1624-$Q1625</f>
        <v/>
      </c>
      <c r="DU1624" s="64">
        <f>$S1624-$S1625</f>
        <v/>
      </c>
      <c r="DV1624" s="65">
        <f>IFERROR(AVERAGE($AA1625/$AA1624-1,$AB1625/$AB1624-1,$AC1625/$AC1624-1,$AD1625/$AD1624-1,$AE1625/$AE1624-1,$AG1625/$AG1624-1,$AH1625/$AH1624-1,$AI1625/$AI1624-1,$AJ1625/$AJ1624-1,$AL1625/$AL1624-1,$AM1625/$AM1624-1,$AR1625/$AR1624-1,$AS1625/$AS1624-1,$AT1625/$AT1624-1,$AU1625/$AU1624-1,$AV1625/$AV1624-1,$AW1625/$AW1624-1,$AX1625/$AX1624-1,$AY1625/$AY1624-1),"")</f>
        <v/>
      </c>
      <c r="DW1624" s="66">
        <f>AVERAGE($CB1624,$CC1624,$CD1624,$CE1624,$CF1624,$CG1624,$CH1624,$CI1624,$CJ1624,$CL1624,$CM1624,$CN1624,$CO1624,$CP1624,$CQ1624,$CR1624,$CS1624,$CT1624)</f>
        <v/>
      </c>
      <c r="DX1624" s="66">
        <f>AVERAGE($CB1624,$CC1624,$CM1624,$CE1624,$CP1624)</f>
        <v/>
      </c>
      <c r="DY1624" s="64">
        <f>($DW1624-$DW1625)*100</f>
        <v/>
      </c>
      <c r="DZ1624" s="64">
        <f>($DX1624-$DX1625)*100</f>
        <v/>
      </c>
      <c r="EA1624" s="64">
        <f>($DW1624-$D1624)*100</f>
        <v/>
      </c>
      <c r="EB1624" s="64">
        <f>$Q1624-$O1624</f>
        <v/>
      </c>
      <c r="EC1624" s="67">
        <f>IFERROR($Q1624/$P1624,"")</f>
        <v/>
      </c>
    </row>
    <row r="1625">
      <c r="DG1625" s="64">
        <f>($B1625-$B1626)*100</f>
        <v/>
      </c>
      <c r="DH1625" s="64">
        <f>($D1625-$D1626)*100</f>
        <v/>
      </c>
      <c r="DI1625" s="64">
        <f>($E1625-$E1626)*100</f>
        <v/>
      </c>
      <c r="DJ1625" s="64">
        <f>($H1625-$H1626)*100</f>
        <v/>
      </c>
      <c r="DK1625" s="65">
        <f>IFERROR($J1625/$J1626-1,"")</f>
        <v/>
      </c>
      <c r="DL1625" s="64">
        <f>$L1625-$L1626</f>
        <v/>
      </c>
      <c r="DM1625" s="64">
        <f>$K1625-$K1626</f>
        <v/>
      </c>
      <c r="DN1625" s="65">
        <f>IFERROR($N1625/$N1626-1,"")</f>
        <v/>
      </c>
      <c r="DO1625" s="65">
        <f>IFERROR($M1625/$M1626-1,"")</f>
        <v/>
      </c>
      <c r="DP1625" s="65">
        <f>IFERROR($AZ1625/$AZ1626-1,"")</f>
        <v/>
      </c>
      <c r="DQ1625" s="65">
        <f>IFERROR($BA1625/$BA1626-1,"")</f>
        <v/>
      </c>
      <c r="DR1625" s="64">
        <f>$O1625-$O1626</f>
        <v/>
      </c>
      <c r="DS1625" s="64">
        <f>$P1625-$P1626</f>
        <v/>
      </c>
      <c r="DT1625" s="64">
        <f>$Q1625-$Q1626</f>
        <v/>
      </c>
      <c r="DU1625" s="64">
        <f>$S1625-$S1626</f>
        <v/>
      </c>
      <c r="DV1625" s="65">
        <f>IFERROR(AVERAGE($AA1626/$AA1625-1,$AB1626/$AB1625-1,$AC1626/$AC1625-1,$AD1626/$AD1625-1,$AE1626/$AE1625-1,$AG1626/$AG1625-1,$AH1626/$AH1625-1,$AI1626/$AI1625-1,$AJ1626/$AJ1625-1,$AL1626/$AL1625-1,$AM1626/$AM1625-1,$AR1626/$AR1625-1,$AS1626/$AS1625-1,$AT1626/$AT1625-1,$AU1626/$AU1625-1,$AV1626/$AV1625-1,$AW1626/$AW1625-1,$AX1626/$AX1625-1,$AY1626/$AY1625-1),"")</f>
        <v/>
      </c>
      <c r="DW1625" s="66">
        <f>AVERAGE($CB1625,$CC1625,$CD1625,$CE1625,$CF1625,$CG1625,$CH1625,$CI1625,$CJ1625,$CL1625,$CM1625,$CN1625,$CO1625,$CP1625,$CQ1625,$CR1625,$CS1625,$CT1625)</f>
        <v/>
      </c>
      <c r="DX1625" s="66">
        <f>AVERAGE($CB1625,$CC1625,$CM1625,$CE1625,$CP1625)</f>
        <v/>
      </c>
      <c r="DY1625" s="64">
        <f>($DW1625-$DW1626)*100</f>
        <v/>
      </c>
      <c r="DZ1625" s="64">
        <f>($DX1625-$DX1626)*100</f>
        <v/>
      </c>
      <c r="EA1625" s="64">
        <f>($DW1625-$D1625)*100</f>
        <v/>
      </c>
      <c r="EB1625" s="64">
        <f>$Q1625-$O1625</f>
        <v/>
      </c>
      <c r="EC1625" s="67">
        <f>IFERROR($Q1625/$P1625,"")</f>
        <v/>
      </c>
    </row>
    <row r="1626">
      <c r="DG1626" s="64">
        <f>($B1626-$B1627)*100</f>
        <v/>
      </c>
      <c r="DH1626" s="64">
        <f>($D1626-$D1627)*100</f>
        <v/>
      </c>
      <c r="DI1626" s="64">
        <f>($E1626-$E1627)*100</f>
        <v/>
      </c>
      <c r="DJ1626" s="64">
        <f>($H1626-$H1627)*100</f>
        <v/>
      </c>
      <c r="DK1626" s="65">
        <f>IFERROR($J1626/$J1627-1,"")</f>
        <v/>
      </c>
      <c r="DL1626" s="64">
        <f>$L1626-$L1627</f>
        <v/>
      </c>
      <c r="DM1626" s="64">
        <f>$K1626-$K1627</f>
        <v/>
      </c>
      <c r="DN1626" s="65">
        <f>IFERROR($N1626/$N1627-1,"")</f>
        <v/>
      </c>
      <c r="DO1626" s="65">
        <f>IFERROR($M1626/$M1627-1,"")</f>
        <v/>
      </c>
      <c r="DP1626" s="65">
        <f>IFERROR($AZ1626/$AZ1627-1,"")</f>
        <v/>
      </c>
      <c r="DQ1626" s="65">
        <f>IFERROR($BA1626/$BA1627-1,"")</f>
        <v/>
      </c>
      <c r="DR1626" s="64">
        <f>$O1626-$O1627</f>
        <v/>
      </c>
      <c r="DS1626" s="64">
        <f>$P1626-$P1627</f>
        <v/>
      </c>
      <c r="DT1626" s="64">
        <f>$Q1626-$Q1627</f>
        <v/>
      </c>
      <c r="DU1626" s="64">
        <f>$S1626-$S1627</f>
        <v/>
      </c>
      <c r="DV1626" s="65">
        <f>IFERROR(AVERAGE($AA1627/$AA1626-1,$AB1627/$AB1626-1,$AC1627/$AC1626-1,$AD1627/$AD1626-1,$AE1627/$AE1626-1,$AG1627/$AG1626-1,$AH1627/$AH1626-1,$AI1627/$AI1626-1,$AJ1627/$AJ1626-1,$AL1627/$AL1626-1,$AM1627/$AM1626-1,$AR1627/$AR1626-1,$AS1627/$AS1626-1,$AT1627/$AT1626-1,$AU1627/$AU1626-1,$AV1627/$AV1626-1,$AW1627/$AW1626-1,$AX1627/$AX1626-1,$AY1627/$AY1626-1),"")</f>
        <v/>
      </c>
      <c r="DW1626" s="66">
        <f>AVERAGE($CB1626,$CC1626,$CD1626,$CE1626,$CF1626,$CG1626,$CH1626,$CI1626,$CJ1626,$CL1626,$CM1626,$CN1626,$CO1626,$CP1626,$CQ1626,$CR1626,$CS1626,$CT1626)</f>
        <v/>
      </c>
      <c r="DX1626" s="66">
        <f>AVERAGE($CB1626,$CC1626,$CM1626,$CE1626,$CP1626)</f>
        <v/>
      </c>
      <c r="DY1626" s="64">
        <f>($DW1626-$DW1627)*100</f>
        <v/>
      </c>
      <c r="DZ1626" s="64">
        <f>($DX1626-$DX1627)*100</f>
        <v/>
      </c>
      <c r="EA1626" s="64">
        <f>($DW1626-$D1626)*100</f>
        <v/>
      </c>
      <c r="EB1626" s="64">
        <f>$Q1626-$O1626</f>
        <v/>
      </c>
      <c r="EC1626" s="67">
        <f>IFERROR($Q1626/$P1626,"")</f>
        <v/>
      </c>
    </row>
    <row r="1627">
      <c r="DG1627" s="64">
        <f>($B1627-$B1628)*100</f>
        <v/>
      </c>
      <c r="DH1627" s="64">
        <f>($D1627-$D1628)*100</f>
        <v/>
      </c>
      <c r="DI1627" s="64">
        <f>($E1627-$E1628)*100</f>
        <v/>
      </c>
      <c r="DJ1627" s="64">
        <f>($H1627-$H1628)*100</f>
        <v/>
      </c>
      <c r="DK1627" s="65">
        <f>IFERROR($J1627/$J1628-1,"")</f>
        <v/>
      </c>
      <c r="DL1627" s="64">
        <f>$L1627-$L1628</f>
        <v/>
      </c>
      <c r="DM1627" s="64">
        <f>$K1627-$K1628</f>
        <v/>
      </c>
      <c r="DN1627" s="65">
        <f>IFERROR($N1627/$N1628-1,"")</f>
        <v/>
      </c>
      <c r="DO1627" s="65">
        <f>IFERROR($M1627/$M1628-1,"")</f>
        <v/>
      </c>
      <c r="DP1627" s="65">
        <f>IFERROR($AZ1627/$AZ1628-1,"")</f>
        <v/>
      </c>
      <c r="DQ1627" s="65">
        <f>IFERROR($BA1627/$BA1628-1,"")</f>
        <v/>
      </c>
      <c r="DR1627" s="64">
        <f>$O1627-$O1628</f>
        <v/>
      </c>
      <c r="DS1627" s="64">
        <f>$P1627-$P1628</f>
        <v/>
      </c>
      <c r="DT1627" s="64">
        <f>$Q1627-$Q1628</f>
        <v/>
      </c>
      <c r="DU1627" s="64">
        <f>$S1627-$S1628</f>
        <v/>
      </c>
      <c r="DV1627" s="65">
        <f>IFERROR(AVERAGE($AA1628/$AA1627-1,$AB1628/$AB1627-1,$AC1628/$AC1627-1,$AD1628/$AD1627-1,$AE1628/$AE1627-1,$AG1628/$AG1627-1,$AH1628/$AH1627-1,$AI1628/$AI1627-1,$AJ1628/$AJ1627-1,$AL1628/$AL1627-1,$AM1628/$AM1627-1,$AR1628/$AR1627-1,$AS1628/$AS1627-1,$AT1628/$AT1627-1,$AU1628/$AU1627-1,$AV1628/$AV1627-1,$AW1628/$AW1627-1,$AX1628/$AX1627-1,$AY1628/$AY1627-1),"")</f>
        <v/>
      </c>
      <c r="DW1627" s="66">
        <f>AVERAGE($CB1627,$CC1627,$CD1627,$CE1627,$CF1627,$CG1627,$CH1627,$CI1627,$CJ1627,$CL1627,$CM1627,$CN1627,$CO1627,$CP1627,$CQ1627,$CR1627,$CS1627,$CT1627)</f>
        <v/>
      </c>
      <c r="DX1627" s="66">
        <f>AVERAGE($CB1627,$CC1627,$CM1627,$CE1627,$CP1627)</f>
        <v/>
      </c>
      <c r="DY1627" s="64">
        <f>($DW1627-$DW1628)*100</f>
        <v/>
      </c>
      <c r="DZ1627" s="64">
        <f>($DX1627-$DX1628)*100</f>
        <v/>
      </c>
      <c r="EA1627" s="64">
        <f>($DW1627-$D1627)*100</f>
        <v/>
      </c>
      <c r="EB1627" s="64">
        <f>$Q1627-$O1627</f>
        <v/>
      </c>
      <c r="EC1627" s="67">
        <f>IFERROR($Q1627/$P1627,"")</f>
        <v/>
      </c>
    </row>
    <row r="1628">
      <c r="DG1628" s="64">
        <f>($B1628-$B1629)*100</f>
        <v/>
      </c>
      <c r="DH1628" s="64">
        <f>($D1628-$D1629)*100</f>
        <v/>
      </c>
      <c r="DI1628" s="64">
        <f>($E1628-$E1629)*100</f>
        <v/>
      </c>
      <c r="DJ1628" s="64">
        <f>($H1628-$H1629)*100</f>
        <v/>
      </c>
      <c r="DK1628" s="65">
        <f>IFERROR($J1628/$J1629-1,"")</f>
        <v/>
      </c>
      <c r="DL1628" s="64">
        <f>$L1628-$L1629</f>
        <v/>
      </c>
      <c r="DM1628" s="64">
        <f>$K1628-$K1629</f>
        <v/>
      </c>
      <c r="DN1628" s="65">
        <f>IFERROR($N1628/$N1629-1,"")</f>
        <v/>
      </c>
      <c r="DO1628" s="65">
        <f>IFERROR($M1628/$M1629-1,"")</f>
        <v/>
      </c>
      <c r="DP1628" s="65">
        <f>IFERROR($AZ1628/$AZ1629-1,"")</f>
        <v/>
      </c>
      <c r="DQ1628" s="65">
        <f>IFERROR($BA1628/$BA1629-1,"")</f>
        <v/>
      </c>
      <c r="DR1628" s="64">
        <f>$O1628-$O1629</f>
        <v/>
      </c>
      <c r="DS1628" s="64">
        <f>$P1628-$P1629</f>
        <v/>
      </c>
      <c r="DT1628" s="64">
        <f>$Q1628-$Q1629</f>
        <v/>
      </c>
      <c r="DU1628" s="64">
        <f>$S1628-$S1629</f>
        <v/>
      </c>
      <c r="DV1628" s="65">
        <f>IFERROR(AVERAGE($AA1629/$AA1628-1,$AB1629/$AB1628-1,$AC1629/$AC1628-1,$AD1629/$AD1628-1,$AE1629/$AE1628-1,$AG1629/$AG1628-1,$AH1629/$AH1628-1,$AI1629/$AI1628-1,$AJ1629/$AJ1628-1,$AL1629/$AL1628-1,$AM1629/$AM1628-1,$AR1629/$AR1628-1,$AS1629/$AS1628-1,$AT1629/$AT1628-1,$AU1629/$AU1628-1,$AV1629/$AV1628-1,$AW1629/$AW1628-1,$AX1629/$AX1628-1,$AY1629/$AY1628-1),"")</f>
        <v/>
      </c>
      <c r="DW1628" s="66">
        <f>AVERAGE($CB1628,$CC1628,$CD1628,$CE1628,$CF1628,$CG1628,$CH1628,$CI1628,$CJ1628,$CL1628,$CM1628,$CN1628,$CO1628,$CP1628,$CQ1628,$CR1628,$CS1628,$CT1628)</f>
        <v/>
      </c>
      <c r="DX1628" s="66">
        <f>AVERAGE($CB1628,$CC1628,$CM1628,$CE1628,$CP1628)</f>
        <v/>
      </c>
      <c r="DY1628" s="64">
        <f>($DW1628-$DW1629)*100</f>
        <v/>
      </c>
      <c r="DZ1628" s="64">
        <f>($DX1628-$DX1629)*100</f>
        <v/>
      </c>
      <c r="EA1628" s="64">
        <f>($DW1628-$D1628)*100</f>
        <v/>
      </c>
      <c r="EB1628" s="64">
        <f>$Q1628-$O1628</f>
        <v/>
      </c>
      <c r="EC1628" s="67">
        <f>IFERROR($Q1628/$P1628,"")</f>
        <v/>
      </c>
    </row>
    <row r="1629">
      <c r="DG1629" s="64">
        <f>($B1629-$B1630)*100</f>
        <v/>
      </c>
      <c r="DH1629" s="64">
        <f>($D1629-$D1630)*100</f>
        <v/>
      </c>
      <c r="DI1629" s="64">
        <f>($E1629-$E1630)*100</f>
        <v/>
      </c>
      <c r="DJ1629" s="64">
        <f>($H1629-$H1630)*100</f>
        <v/>
      </c>
      <c r="DK1629" s="65">
        <f>IFERROR($J1629/$J1630-1,"")</f>
        <v/>
      </c>
      <c r="DL1629" s="64">
        <f>$L1629-$L1630</f>
        <v/>
      </c>
      <c r="DM1629" s="64">
        <f>$K1629-$K1630</f>
        <v/>
      </c>
      <c r="DN1629" s="65">
        <f>IFERROR($N1629/$N1630-1,"")</f>
        <v/>
      </c>
      <c r="DO1629" s="65">
        <f>IFERROR($M1629/$M1630-1,"")</f>
        <v/>
      </c>
      <c r="DP1629" s="65">
        <f>IFERROR($AZ1629/$AZ1630-1,"")</f>
        <v/>
      </c>
      <c r="DQ1629" s="65">
        <f>IFERROR($BA1629/$BA1630-1,"")</f>
        <v/>
      </c>
      <c r="DR1629" s="64">
        <f>$O1629-$O1630</f>
        <v/>
      </c>
      <c r="DS1629" s="64">
        <f>$P1629-$P1630</f>
        <v/>
      </c>
      <c r="DT1629" s="64">
        <f>$Q1629-$Q1630</f>
        <v/>
      </c>
      <c r="DU1629" s="64">
        <f>$S1629-$S1630</f>
        <v/>
      </c>
      <c r="DV1629" s="65">
        <f>IFERROR(AVERAGE($AA1630/$AA1629-1,$AB1630/$AB1629-1,$AC1630/$AC1629-1,$AD1630/$AD1629-1,$AE1630/$AE1629-1,$AG1630/$AG1629-1,$AH1630/$AH1629-1,$AI1630/$AI1629-1,$AJ1630/$AJ1629-1,$AL1630/$AL1629-1,$AM1630/$AM1629-1,$AR1630/$AR1629-1,$AS1630/$AS1629-1,$AT1630/$AT1629-1,$AU1630/$AU1629-1,$AV1630/$AV1629-1,$AW1630/$AW1629-1,$AX1630/$AX1629-1,$AY1630/$AY1629-1),"")</f>
        <v/>
      </c>
      <c r="DW1629" s="66">
        <f>AVERAGE($CB1629,$CC1629,$CD1629,$CE1629,$CF1629,$CG1629,$CH1629,$CI1629,$CJ1629,$CL1629,$CM1629,$CN1629,$CO1629,$CP1629,$CQ1629,$CR1629,$CS1629,$CT1629)</f>
        <v/>
      </c>
      <c r="DX1629" s="66">
        <f>AVERAGE($CB1629,$CC1629,$CM1629,$CE1629,$CP1629)</f>
        <v/>
      </c>
      <c r="DY1629" s="64">
        <f>($DW1629-$DW1630)*100</f>
        <v/>
      </c>
      <c r="DZ1629" s="64">
        <f>($DX1629-$DX1630)*100</f>
        <v/>
      </c>
      <c r="EA1629" s="64">
        <f>($DW1629-$D1629)*100</f>
        <v/>
      </c>
      <c r="EB1629" s="64">
        <f>$Q1629-$O1629</f>
        <v/>
      </c>
      <c r="EC1629" s="67">
        <f>IFERROR($Q1629/$P1629,"")</f>
        <v/>
      </c>
    </row>
    <row r="1630">
      <c r="DG1630" s="64">
        <f>($B1630-$B1631)*100</f>
        <v/>
      </c>
      <c r="DH1630" s="64">
        <f>($D1630-$D1631)*100</f>
        <v/>
      </c>
      <c r="DI1630" s="64">
        <f>($E1630-$E1631)*100</f>
        <v/>
      </c>
      <c r="DJ1630" s="64">
        <f>($H1630-$H1631)*100</f>
        <v/>
      </c>
      <c r="DK1630" s="65">
        <f>IFERROR($J1630/$J1631-1,"")</f>
        <v/>
      </c>
      <c r="DL1630" s="64">
        <f>$L1630-$L1631</f>
        <v/>
      </c>
      <c r="DM1630" s="64">
        <f>$K1630-$K1631</f>
        <v/>
      </c>
      <c r="DN1630" s="65">
        <f>IFERROR($N1630/$N1631-1,"")</f>
        <v/>
      </c>
      <c r="DO1630" s="65">
        <f>IFERROR($M1630/$M1631-1,"")</f>
        <v/>
      </c>
      <c r="DP1630" s="65">
        <f>IFERROR($AZ1630/$AZ1631-1,"")</f>
        <v/>
      </c>
      <c r="DQ1630" s="65">
        <f>IFERROR($BA1630/$BA1631-1,"")</f>
        <v/>
      </c>
      <c r="DR1630" s="64">
        <f>$O1630-$O1631</f>
        <v/>
      </c>
      <c r="DS1630" s="64">
        <f>$P1630-$P1631</f>
        <v/>
      </c>
      <c r="DT1630" s="64">
        <f>$Q1630-$Q1631</f>
        <v/>
      </c>
      <c r="DU1630" s="64">
        <f>$S1630-$S1631</f>
        <v/>
      </c>
      <c r="DV1630" s="65">
        <f>IFERROR(AVERAGE($AA1631/$AA1630-1,$AB1631/$AB1630-1,$AC1631/$AC1630-1,$AD1631/$AD1630-1,$AE1631/$AE1630-1,$AG1631/$AG1630-1,$AH1631/$AH1630-1,$AI1631/$AI1630-1,$AJ1631/$AJ1630-1,$AL1631/$AL1630-1,$AM1631/$AM1630-1,$AR1631/$AR1630-1,$AS1631/$AS1630-1,$AT1631/$AT1630-1,$AU1631/$AU1630-1,$AV1631/$AV1630-1,$AW1631/$AW1630-1,$AX1631/$AX1630-1,$AY1631/$AY1630-1),"")</f>
        <v/>
      </c>
      <c r="DW1630" s="66">
        <f>AVERAGE($CB1630,$CC1630,$CD1630,$CE1630,$CF1630,$CG1630,$CH1630,$CI1630,$CJ1630,$CL1630,$CM1630,$CN1630,$CO1630,$CP1630,$CQ1630,$CR1630,$CS1630,$CT1630)</f>
        <v/>
      </c>
      <c r="DX1630" s="66">
        <f>AVERAGE($CB1630,$CC1630,$CM1630,$CE1630,$CP1630)</f>
        <v/>
      </c>
      <c r="DY1630" s="64">
        <f>($DW1630-$DW1631)*100</f>
        <v/>
      </c>
      <c r="DZ1630" s="64">
        <f>($DX1630-$DX1631)*100</f>
        <v/>
      </c>
      <c r="EA1630" s="64">
        <f>($DW1630-$D1630)*100</f>
        <v/>
      </c>
      <c r="EB1630" s="64">
        <f>$Q1630-$O1630</f>
        <v/>
      </c>
      <c r="EC1630" s="67">
        <f>IFERROR($Q1630/$P1630,"")</f>
        <v/>
      </c>
    </row>
    <row r="1631">
      <c r="DG1631" s="64">
        <f>($B1631-$B1632)*100</f>
        <v/>
      </c>
      <c r="DH1631" s="64">
        <f>($D1631-$D1632)*100</f>
        <v/>
      </c>
      <c r="DI1631" s="64">
        <f>($E1631-$E1632)*100</f>
        <v/>
      </c>
      <c r="DJ1631" s="64">
        <f>($H1631-$H1632)*100</f>
        <v/>
      </c>
      <c r="DK1631" s="65">
        <f>IFERROR($J1631/$J1632-1,"")</f>
        <v/>
      </c>
      <c r="DL1631" s="64">
        <f>$L1631-$L1632</f>
        <v/>
      </c>
      <c r="DM1631" s="64">
        <f>$K1631-$K1632</f>
        <v/>
      </c>
      <c r="DN1631" s="65">
        <f>IFERROR($N1631/$N1632-1,"")</f>
        <v/>
      </c>
      <c r="DO1631" s="65">
        <f>IFERROR($M1631/$M1632-1,"")</f>
        <v/>
      </c>
      <c r="DP1631" s="65">
        <f>IFERROR($AZ1631/$AZ1632-1,"")</f>
        <v/>
      </c>
      <c r="DQ1631" s="65">
        <f>IFERROR($BA1631/$BA1632-1,"")</f>
        <v/>
      </c>
      <c r="DR1631" s="64">
        <f>$O1631-$O1632</f>
        <v/>
      </c>
      <c r="DS1631" s="64">
        <f>$P1631-$P1632</f>
        <v/>
      </c>
      <c r="DT1631" s="64">
        <f>$Q1631-$Q1632</f>
        <v/>
      </c>
      <c r="DU1631" s="64">
        <f>$S1631-$S1632</f>
        <v/>
      </c>
      <c r="DV1631" s="65">
        <f>IFERROR(AVERAGE($AA1632/$AA1631-1,$AB1632/$AB1631-1,$AC1632/$AC1631-1,$AD1632/$AD1631-1,$AE1632/$AE1631-1,$AG1632/$AG1631-1,$AH1632/$AH1631-1,$AI1632/$AI1631-1,$AJ1632/$AJ1631-1,$AL1632/$AL1631-1,$AM1632/$AM1631-1,$AR1632/$AR1631-1,$AS1632/$AS1631-1,$AT1632/$AT1631-1,$AU1632/$AU1631-1,$AV1632/$AV1631-1,$AW1632/$AW1631-1,$AX1632/$AX1631-1,$AY1632/$AY1631-1),"")</f>
        <v/>
      </c>
      <c r="DW1631" s="66">
        <f>AVERAGE($CB1631,$CC1631,$CD1631,$CE1631,$CF1631,$CG1631,$CH1631,$CI1631,$CJ1631,$CL1631,$CM1631,$CN1631,$CO1631,$CP1631,$CQ1631,$CR1631,$CS1631,$CT1631)</f>
        <v/>
      </c>
      <c r="DX1631" s="66">
        <f>AVERAGE($CB1631,$CC1631,$CM1631,$CE1631,$CP1631)</f>
        <v/>
      </c>
      <c r="DY1631" s="64">
        <f>($DW1631-$DW1632)*100</f>
        <v/>
      </c>
      <c r="DZ1631" s="64">
        <f>($DX1631-$DX1632)*100</f>
        <v/>
      </c>
      <c r="EA1631" s="64">
        <f>($DW1631-$D1631)*100</f>
        <v/>
      </c>
      <c r="EB1631" s="64">
        <f>$Q1631-$O1631</f>
        <v/>
      </c>
      <c r="EC1631" s="67">
        <f>IFERROR($Q1631/$P1631,"")</f>
        <v/>
      </c>
    </row>
    <row r="1632">
      <c r="DG1632" s="64">
        <f>($B1632-$B1633)*100</f>
        <v/>
      </c>
      <c r="DH1632" s="64">
        <f>($D1632-$D1633)*100</f>
        <v/>
      </c>
      <c r="DI1632" s="64">
        <f>($E1632-$E1633)*100</f>
        <v/>
      </c>
      <c r="DJ1632" s="64">
        <f>($H1632-$H1633)*100</f>
        <v/>
      </c>
      <c r="DK1632" s="65">
        <f>IFERROR($J1632/$J1633-1,"")</f>
        <v/>
      </c>
      <c r="DL1632" s="64">
        <f>$L1632-$L1633</f>
        <v/>
      </c>
      <c r="DM1632" s="64">
        <f>$K1632-$K1633</f>
        <v/>
      </c>
      <c r="DN1632" s="65">
        <f>IFERROR($N1632/$N1633-1,"")</f>
        <v/>
      </c>
      <c r="DO1632" s="65">
        <f>IFERROR($M1632/$M1633-1,"")</f>
        <v/>
      </c>
      <c r="DP1632" s="65">
        <f>IFERROR($AZ1632/$AZ1633-1,"")</f>
        <v/>
      </c>
      <c r="DQ1632" s="65">
        <f>IFERROR($BA1632/$BA1633-1,"")</f>
        <v/>
      </c>
      <c r="DR1632" s="64">
        <f>$O1632-$O1633</f>
        <v/>
      </c>
      <c r="DS1632" s="64">
        <f>$P1632-$P1633</f>
        <v/>
      </c>
      <c r="DT1632" s="64">
        <f>$Q1632-$Q1633</f>
        <v/>
      </c>
      <c r="DU1632" s="64">
        <f>$S1632-$S1633</f>
        <v/>
      </c>
      <c r="DV1632" s="65">
        <f>IFERROR(AVERAGE($AA1633/$AA1632-1,$AB1633/$AB1632-1,$AC1633/$AC1632-1,$AD1633/$AD1632-1,$AE1633/$AE1632-1,$AG1633/$AG1632-1,$AH1633/$AH1632-1,$AI1633/$AI1632-1,$AJ1633/$AJ1632-1,$AL1633/$AL1632-1,$AM1633/$AM1632-1,$AR1633/$AR1632-1,$AS1633/$AS1632-1,$AT1633/$AT1632-1,$AU1633/$AU1632-1,$AV1633/$AV1632-1,$AW1633/$AW1632-1,$AX1633/$AX1632-1,$AY1633/$AY1632-1),"")</f>
        <v/>
      </c>
      <c r="DW1632" s="66">
        <f>AVERAGE($CB1632,$CC1632,$CD1632,$CE1632,$CF1632,$CG1632,$CH1632,$CI1632,$CJ1632,$CL1632,$CM1632,$CN1632,$CO1632,$CP1632,$CQ1632,$CR1632,$CS1632,$CT1632)</f>
        <v/>
      </c>
      <c r="DX1632" s="66">
        <f>AVERAGE($CB1632,$CC1632,$CM1632,$CE1632,$CP1632)</f>
        <v/>
      </c>
      <c r="DY1632" s="64">
        <f>($DW1632-$DW1633)*100</f>
        <v/>
      </c>
      <c r="DZ1632" s="64">
        <f>($DX1632-$DX1633)*100</f>
        <v/>
      </c>
      <c r="EA1632" s="64">
        <f>($DW1632-$D1632)*100</f>
        <v/>
      </c>
      <c r="EB1632" s="64">
        <f>$Q1632-$O1632</f>
        <v/>
      </c>
      <c r="EC1632" s="67">
        <f>IFERROR($Q1632/$P1632,"")</f>
        <v/>
      </c>
    </row>
    <row r="1633">
      <c r="DG1633" s="64">
        <f>($B1633-$B1634)*100</f>
        <v/>
      </c>
      <c r="DH1633" s="64">
        <f>($D1633-$D1634)*100</f>
        <v/>
      </c>
      <c r="DI1633" s="64">
        <f>($E1633-$E1634)*100</f>
        <v/>
      </c>
      <c r="DJ1633" s="64">
        <f>($H1633-$H1634)*100</f>
        <v/>
      </c>
      <c r="DK1633" s="65">
        <f>IFERROR($J1633/$J1634-1,"")</f>
        <v/>
      </c>
      <c r="DL1633" s="64">
        <f>$L1633-$L1634</f>
        <v/>
      </c>
      <c r="DM1633" s="64">
        <f>$K1633-$K1634</f>
        <v/>
      </c>
      <c r="DN1633" s="65">
        <f>IFERROR($N1633/$N1634-1,"")</f>
        <v/>
      </c>
      <c r="DO1633" s="65">
        <f>IFERROR($M1633/$M1634-1,"")</f>
        <v/>
      </c>
      <c r="DP1633" s="65">
        <f>IFERROR($AZ1633/$AZ1634-1,"")</f>
        <v/>
      </c>
      <c r="DQ1633" s="65">
        <f>IFERROR($BA1633/$BA1634-1,"")</f>
        <v/>
      </c>
      <c r="DR1633" s="64">
        <f>$O1633-$O1634</f>
        <v/>
      </c>
      <c r="DS1633" s="64">
        <f>$P1633-$P1634</f>
        <v/>
      </c>
      <c r="DT1633" s="64">
        <f>$Q1633-$Q1634</f>
        <v/>
      </c>
      <c r="DU1633" s="64">
        <f>$S1633-$S1634</f>
        <v/>
      </c>
      <c r="DV1633" s="65">
        <f>IFERROR(AVERAGE($AA1634/$AA1633-1,$AB1634/$AB1633-1,$AC1634/$AC1633-1,$AD1634/$AD1633-1,$AE1634/$AE1633-1,$AG1634/$AG1633-1,$AH1634/$AH1633-1,$AI1634/$AI1633-1,$AJ1634/$AJ1633-1,$AL1634/$AL1633-1,$AM1634/$AM1633-1,$AR1634/$AR1633-1,$AS1634/$AS1633-1,$AT1634/$AT1633-1,$AU1634/$AU1633-1,$AV1634/$AV1633-1,$AW1634/$AW1633-1,$AX1634/$AX1633-1,$AY1634/$AY1633-1),"")</f>
        <v/>
      </c>
      <c r="DW1633" s="66">
        <f>AVERAGE($CB1633,$CC1633,$CD1633,$CE1633,$CF1633,$CG1633,$CH1633,$CI1633,$CJ1633,$CL1633,$CM1633,$CN1633,$CO1633,$CP1633,$CQ1633,$CR1633,$CS1633,$CT1633)</f>
        <v/>
      </c>
      <c r="DX1633" s="66">
        <f>AVERAGE($CB1633,$CC1633,$CM1633,$CE1633,$CP1633)</f>
        <v/>
      </c>
      <c r="DY1633" s="64">
        <f>($DW1633-$DW1634)*100</f>
        <v/>
      </c>
      <c r="DZ1633" s="64">
        <f>($DX1633-$DX1634)*100</f>
        <v/>
      </c>
      <c r="EA1633" s="64">
        <f>($DW1633-$D1633)*100</f>
        <v/>
      </c>
      <c r="EB1633" s="64">
        <f>$Q1633-$O1633</f>
        <v/>
      </c>
      <c r="EC1633" s="67">
        <f>IFERROR($Q1633/$P1633,"")</f>
        <v/>
      </c>
    </row>
    <row r="1634">
      <c r="DG1634" s="64">
        <f>($B1634-$B1635)*100</f>
        <v/>
      </c>
      <c r="DH1634" s="64">
        <f>($D1634-$D1635)*100</f>
        <v/>
      </c>
      <c r="DI1634" s="64">
        <f>($E1634-$E1635)*100</f>
        <v/>
      </c>
      <c r="DJ1634" s="64">
        <f>($H1634-$H1635)*100</f>
        <v/>
      </c>
      <c r="DK1634" s="65">
        <f>IFERROR($J1634/$J1635-1,"")</f>
        <v/>
      </c>
      <c r="DL1634" s="64">
        <f>$L1634-$L1635</f>
        <v/>
      </c>
      <c r="DM1634" s="64">
        <f>$K1634-$K1635</f>
        <v/>
      </c>
      <c r="DN1634" s="65">
        <f>IFERROR($N1634/$N1635-1,"")</f>
        <v/>
      </c>
      <c r="DO1634" s="65">
        <f>IFERROR($M1634/$M1635-1,"")</f>
        <v/>
      </c>
      <c r="DP1634" s="65">
        <f>IFERROR($AZ1634/$AZ1635-1,"")</f>
        <v/>
      </c>
      <c r="DQ1634" s="65">
        <f>IFERROR($BA1634/$BA1635-1,"")</f>
        <v/>
      </c>
      <c r="DR1634" s="64">
        <f>$O1634-$O1635</f>
        <v/>
      </c>
      <c r="DS1634" s="64">
        <f>$P1634-$P1635</f>
        <v/>
      </c>
      <c r="DT1634" s="64">
        <f>$Q1634-$Q1635</f>
        <v/>
      </c>
      <c r="DU1634" s="64">
        <f>$S1634-$S1635</f>
        <v/>
      </c>
      <c r="DV1634" s="65">
        <f>IFERROR(AVERAGE($AA1635/$AA1634-1,$AB1635/$AB1634-1,$AC1635/$AC1634-1,$AD1635/$AD1634-1,$AE1635/$AE1634-1,$AG1635/$AG1634-1,$AH1635/$AH1634-1,$AI1635/$AI1634-1,$AJ1635/$AJ1634-1,$AL1635/$AL1634-1,$AM1635/$AM1634-1,$AR1635/$AR1634-1,$AS1635/$AS1634-1,$AT1635/$AT1634-1,$AU1635/$AU1634-1,$AV1635/$AV1634-1,$AW1635/$AW1634-1,$AX1635/$AX1634-1,$AY1635/$AY1634-1),"")</f>
        <v/>
      </c>
      <c r="DW1634" s="66">
        <f>AVERAGE($CB1634,$CC1634,$CD1634,$CE1634,$CF1634,$CG1634,$CH1634,$CI1634,$CJ1634,$CL1634,$CM1634,$CN1634,$CO1634,$CP1634,$CQ1634,$CR1634,$CS1634,$CT1634)</f>
        <v/>
      </c>
      <c r="DX1634" s="66">
        <f>AVERAGE($CB1634,$CC1634,$CM1634,$CE1634,$CP1634)</f>
        <v/>
      </c>
      <c r="DY1634" s="64">
        <f>($DW1634-$DW1635)*100</f>
        <v/>
      </c>
      <c r="DZ1634" s="64">
        <f>($DX1634-$DX1635)*100</f>
        <v/>
      </c>
      <c r="EA1634" s="64">
        <f>($DW1634-$D1634)*100</f>
        <v/>
      </c>
      <c r="EB1634" s="64">
        <f>$Q1634-$O1634</f>
        <v/>
      </c>
      <c r="EC1634" s="67">
        <f>IFERROR($Q1634/$P1634,"")</f>
        <v/>
      </c>
    </row>
    <row r="1635">
      <c r="DG1635" s="64">
        <f>($B1635-$B1636)*100</f>
        <v/>
      </c>
      <c r="DH1635" s="64">
        <f>($D1635-$D1636)*100</f>
        <v/>
      </c>
      <c r="DI1635" s="64">
        <f>($E1635-$E1636)*100</f>
        <v/>
      </c>
      <c r="DJ1635" s="64">
        <f>($H1635-$H1636)*100</f>
        <v/>
      </c>
      <c r="DK1635" s="65">
        <f>IFERROR($J1635/$J1636-1,"")</f>
        <v/>
      </c>
      <c r="DL1635" s="64">
        <f>$L1635-$L1636</f>
        <v/>
      </c>
      <c r="DM1635" s="64">
        <f>$K1635-$K1636</f>
        <v/>
      </c>
      <c r="DN1635" s="65">
        <f>IFERROR($N1635/$N1636-1,"")</f>
        <v/>
      </c>
      <c r="DO1635" s="65">
        <f>IFERROR($M1635/$M1636-1,"")</f>
        <v/>
      </c>
      <c r="DP1635" s="65">
        <f>IFERROR($AZ1635/$AZ1636-1,"")</f>
        <v/>
      </c>
      <c r="DQ1635" s="65">
        <f>IFERROR($BA1635/$BA1636-1,"")</f>
        <v/>
      </c>
      <c r="DR1635" s="64">
        <f>$O1635-$O1636</f>
        <v/>
      </c>
      <c r="DS1635" s="64">
        <f>$P1635-$P1636</f>
        <v/>
      </c>
      <c r="DT1635" s="64">
        <f>$Q1635-$Q1636</f>
        <v/>
      </c>
      <c r="DU1635" s="64">
        <f>$S1635-$S1636</f>
        <v/>
      </c>
      <c r="DV1635" s="65">
        <f>IFERROR(AVERAGE($AA1636/$AA1635-1,$AB1636/$AB1635-1,$AC1636/$AC1635-1,$AD1636/$AD1635-1,$AE1636/$AE1635-1,$AG1636/$AG1635-1,$AH1636/$AH1635-1,$AI1636/$AI1635-1,$AJ1636/$AJ1635-1,$AL1636/$AL1635-1,$AM1636/$AM1635-1,$AR1636/$AR1635-1,$AS1636/$AS1635-1,$AT1636/$AT1635-1,$AU1636/$AU1635-1,$AV1636/$AV1635-1,$AW1636/$AW1635-1,$AX1636/$AX1635-1,$AY1636/$AY1635-1),"")</f>
        <v/>
      </c>
      <c r="DW1635" s="66">
        <f>AVERAGE($CB1635,$CC1635,$CD1635,$CE1635,$CF1635,$CG1635,$CH1635,$CI1635,$CJ1635,$CL1635,$CM1635,$CN1635,$CO1635,$CP1635,$CQ1635,$CR1635,$CS1635,$CT1635)</f>
        <v/>
      </c>
      <c r="DX1635" s="66">
        <f>AVERAGE($CB1635,$CC1635,$CM1635,$CE1635,$CP1635)</f>
        <v/>
      </c>
      <c r="DY1635" s="64">
        <f>($DW1635-$DW1636)*100</f>
        <v/>
      </c>
      <c r="DZ1635" s="64">
        <f>($DX1635-$DX1636)*100</f>
        <v/>
      </c>
      <c r="EA1635" s="64">
        <f>($DW1635-$D1635)*100</f>
        <v/>
      </c>
      <c r="EB1635" s="64">
        <f>$Q1635-$O1635</f>
        <v/>
      </c>
      <c r="EC1635" s="67">
        <f>IFERROR($Q1635/$P1635,"")</f>
        <v/>
      </c>
    </row>
    <row r="1636">
      <c r="DG1636" s="64">
        <f>($B1636-$B1637)*100</f>
        <v/>
      </c>
      <c r="DH1636" s="64">
        <f>($D1636-$D1637)*100</f>
        <v/>
      </c>
      <c r="DI1636" s="64">
        <f>($E1636-$E1637)*100</f>
        <v/>
      </c>
      <c r="DJ1636" s="64">
        <f>($H1636-$H1637)*100</f>
        <v/>
      </c>
      <c r="DK1636" s="65">
        <f>IFERROR($J1636/$J1637-1,"")</f>
        <v/>
      </c>
      <c r="DL1636" s="64">
        <f>$L1636-$L1637</f>
        <v/>
      </c>
      <c r="DM1636" s="64">
        <f>$K1636-$K1637</f>
        <v/>
      </c>
      <c r="DN1636" s="65">
        <f>IFERROR($N1636/$N1637-1,"")</f>
        <v/>
      </c>
      <c r="DO1636" s="65">
        <f>IFERROR($M1636/$M1637-1,"")</f>
        <v/>
      </c>
      <c r="DP1636" s="65">
        <f>IFERROR($AZ1636/$AZ1637-1,"")</f>
        <v/>
      </c>
      <c r="DQ1636" s="65">
        <f>IFERROR($BA1636/$BA1637-1,"")</f>
        <v/>
      </c>
      <c r="DR1636" s="64">
        <f>$O1636-$O1637</f>
        <v/>
      </c>
      <c r="DS1636" s="64">
        <f>$P1636-$P1637</f>
        <v/>
      </c>
      <c r="DT1636" s="64">
        <f>$Q1636-$Q1637</f>
        <v/>
      </c>
      <c r="DU1636" s="64">
        <f>$S1636-$S1637</f>
        <v/>
      </c>
      <c r="DV1636" s="65">
        <f>IFERROR(AVERAGE($AA1637/$AA1636-1,$AB1637/$AB1636-1,$AC1637/$AC1636-1,$AD1637/$AD1636-1,$AE1637/$AE1636-1,$AG1637/$AG1636-1,$AH1637/$AH1636-1,$AI1637/$AI1636-1,$AJ1637/$AJ1636-1,$AL1637/$AL1636-1,$AM1637/$AM1636-1,$AR1637/$AR1636-1,$AS1637/$AS1636-1,$AT1637/$AT1636-1,$AU1637/$AU1636-1,$AV1637/$AV1636-1,$AW1637/$AW1636-1,$AX1637/$AX1636-1,$AY1637/$AY1636-1),"")</f>
        <v/>
      </c>
      <c r="DW1636" s="66">
        <f>AVERAGE($CB1636,$CC1636,$CD1636,$CE1636,$CF1636,$CG1636,$CH1636,$CI1636,$CJ1636,$CL1636,$CM1636,$CN1636,$CO1636,$CP1636,$CQ1636,$CR1636,$CS1636,$CT1636)</f>
        <v/>
      </c>
      <c r="DX1636" s="66">
        <f>AVERAGE($CB1636,$CC1636,$CM1636,$CE1636,$CP1636)</f>
        <v/>
      </c>
      <c r="DY1636" s="64">
        <f>($DW1636-$DW1637)*100</f>
        <v/>
      </c>
      <c r="DZ1636" s="64">
        <f>($DX1636-$DX1637)*100</f>
        <v/>
      </c>
      <c r="EA1636" s="64">
        <f>($DW1636-$D1636)*100</f>
        <v/>
      </c>
      <c r="EB1636" s="64">
        <f>$Q1636-$O1636</f>
        <v/>
      </c>
      <c r="EC1636" s="67">
        <f>IFERROR($Q1636/$P1636,"")</f>
        <v/>
      </c>
    </row>
    <row r="1637">
      <c r="DG1637" s="64">
        <f>($B1637-$B1638)*100</f>
        <v/>
      </c>
      <c r="DH1637" s="64">
        <f>($D1637-$D1638)*100</f>
        <v/>
      </c>
      <c r="DI1637" s="64">
        <f>($E1637-$E1638)*100</f>
        <v/>
      </c>
      <c r="DJ1637" s="64">
        <f>($H1637-$H1638)*100</f>
        <v/>
      </c>
      <c r="DK1637" s="65">
        <f>IFERROR($J1637/$J1638-1,"")</f>
        <v/>
      </c>
      <c r="DL1637" s="64">
        <f>$L1637-$L1638</f>
        <v/>
      </c>
      <c r="DM1637" s="64">
        <f>$K1637-$K1638</f>
        <v/>
      </c>
      <c r="DN1637" s="65">
        <f>IFERROR($N1637/$N1638-1,"")</f>
        <v/>
      </c>
      <c r="DO1637" s="65">
        <f>IFERROR($M1637/$M1638-1,"")</f>
        <v/>
      </c>
      <c r="DP1637" s="65">
        <f>IFERROR($AZ1637/$AZ1638-1,"")</f>
        <v/>
      </c>
      <c r="DQ1637" s="65">
        <f>IFERROR($BA1637/$BA1638-1,"")</f>
        <v/>
      </c>
      <c r="DR1637" s="64">
        <f>$O1637-$O1638</f>
        <v/>
      </c>
      <c r="DS1637" s="64">
        <f>$P1637-$P1638</f>
        <v/>
      </c>
      <c r="DT1637" s="64">
        <f>$Q1637-$Q1638</f>
        <v/>
      </c>
      <c r="DU1637" s="64">
        <f>$S1637-$S1638</f>
        <v/>
      </c>
      <c r="DV1637" s="65">
        <f>IFERROR(AVERAGE($AA1638/$AA1637-1,$AB1638/$AB1637-1,$AC1638/$AC1637-1,$AD1638/$AD1637-1,$AE1638/$AE1637-1,$AG1638/$AG1637-1,$AH1638/$AH1637-1,$AI1638/$AI1637-1,$AJ1638/$AJ1637-1,$AL1638/$AL1637-1,$AM1638/$AM1637-1,$AR1638/$AR1637-1,$AS1638/$AS1637-1,$AT1638/$AT1637-1,$AU1638/$AU1637-1,$AV1638/$AV1637-1,$AW1638/$AW1637-1,$AX1638/$AX1637-1,$AY1638/$AY1637-1),"")</f>
        <v/>
      </c>
      <c r="DW1637" s="66">
        <f>AVERAGE($CB1637,$CC1637,$CD1637,$CE1637,$CF1637,$CG1637,$CH1637,$CI1637,$CJ1637,$CL1637,$CM1637,$CN1637,$CO1637,$CP1637,$CQ1637,$CR1637,$CS1637,$CT1637)</f>
        <v/>
      </c>
      <c r="DX1637" s="66">
        <f>AVERAGE($CB1637,$CC1637,$CM1637,$CE1637,$CP1637)</f>
        <v/>
      </c>
      <c r="DY1637" s="64">
        <f>($DW1637-$DW1638)*100</f>
        <v/>
      </c>
      <c r="DZ1637" s="64">
        <f>($DX1637-$DX1638)*100</f>
        <v/>
      </c>
      <c r="EA1637" s="64">
        <f>($DW1637-$D1637)*100</f>
        <v/>
      </c>
      <c r="EB1637" s="64">
        <f>$Q1637-$O1637</f>
        <v/>
      </c>
      <c r="EC1637" s="67">
        <f>IFERROR($Q1637/$P1637,"")</f>
        <v/>
      </c>
    </row>
    <row r="1638">
      <c r="DG1638" s="64">
        <f>($B1638-$B1639)*100</f>
        <v/>
      </c>
      <c r="DH1638" s="64">
        <f>($D1638-$D1639)*100</f>
        <v/>
      </c>
      <c r="DI1638" s="64">
        <f>($E1638-$E1639)*100</f>
        <v/>
      </c>
      <c r="DJ1638" s="64">
        <f>($H1638-$H1639)*100</f>
        <v/>
      </c>
      <c r="DK1638" s="65">
        <f>IFERROR($J1638/$J1639-1,"")</f>
        <v/>
      </c>
      <c r="DL1638" s="64">
        <f>$L1638-$L1639</f>
        <v/>
      </c>
      <c r="DM1638" s="64">
        <f>$K1638-$K1639</f>
        <v/>
      </c>
      <c r="DN1638" s="65">
        <f>IFERROR($N1638/$N1639-1,"")</f>
        <v/>
      </c>
      <c r="DO1638" s="65">
        <f>IFERROR($M1638/$M1639-1,"")</f>
        <v/>
      </c>
      <c r="DP1638" s="65">
        <f>IFERROR($AZ1638/$AZ1639-1,"")</f>
        <v/>
      </c>
      <c r="DQ1638" s="65">
        <f>IFERROR($BA1638/$BA1639-1,"")</f>
        <v/>
      </c>
      <c r="DR1638" s="64">
        <f>$O1638-$O1639</f>
        <v/>
      </c>
      <c r="DS1638" s="64">
        <f>$P1638-$P1639</f>
        <v/>
      </c>
      <c r="DT1638" s="64">
        <f>$Q1638-$Q1639</f>
        <v/>
      </c>
      <c r="DU1638" s="64">
        <f>$S1638-$S1639</f>
        <v/>
      </c>
      <c r="DV1638" s="65">
        <f>IFERROR(AVERAGE($AA1639/$AA1638-1,$AB1639/$AB1638-1,$AC1639/$AC1638-1,$AD1639/$AD1638-1,$AE1639/$AE1638-1,$AG1639/$AG1638-1,$AH1639/$AH1638-1,$AI1639/$AI1638-1,$AJ1639/$AJ1638-1,$AL1639/$AL1638-1,$AM1639/$AM1638-1,$AR1639/$AR1638-1,$AS1639/$AS1638-1,$AT1639/$AT1638-1,$AU1639/$AU1638-1,$AV1639/$AV1638-1,$AW1639/$AW1638-1,$AX1639/$AX1638-1,$AY1639/$AY1638-1),"")</f>
        <v/>
      </c>
      <c r="DW1638" s="66">
        <f>AVERAGE($CB1638,$CC1638,$CD1638,$CE1638,$CF1638,$CG1638,$CH1638,$CI1638,$CJ1638,$CL1638,$CM1638,$CN1638,$CO1638,$CP1638,$CQ1638,$CR1638,$CS1638,$CT1638)</f>
        <v/>
      </c>
      <c r="DX1638" s="66">
        <f>AVERAGE($CB1638,$CC1638,$CM1638,$CE1638,$CP1638)</f>
        <v/>
      </c>
      <c r="DY1638" s="64">
        <f>($DW1638-$DW1639)*100</f>
        <v/>
      </c>
      <c r="DZ1638" s="64">
        <f>($DX1638-$DX1639)*100</f>
        <v/>
      </c>
      <c r="EA1638" s="64">
        <f>($DW1638-$D1638)*100</f>
        <v/>
      </c>
      <c r="EB1638" s="64">
        <f>$Q1638-$O1638</f>
        <v/>
      </c>
      <c r="EC1638" s="67">
        <f>IFERROR($Q1638/$P1638,"")</f>
        <v/>
      </c>
    </row>
    <row r="1639">
      <c r="DG1639" s="64">
        <f>($B1639-$B1640)*100</f>
        <v/>
      </c>
      <c r="DH1639" s="64">
        <f>($D1639-$D1640)*100</f>
        <v/>
      </c>
      <c r="DI1639" s="64">
        <f>($E1639-$E1640)*100</f>
        <v/>
      </c>
      <c r="DJ1639" s="64">
        <f>($H1639-$H1640)*100</f>
        <v/>
      </c>
      <c r="DK1639" s="65">
        <f>IFERROR($J1639/$J1640-1,"")</f>
        <v/>
      </c>
      <c r="DL1639" s="64">
        <f>$L1639-$L1640</f>
        <v/>
      </c>
      <c r="DM1639" s="64">
        <f>$K1639-$K1640</f>
        <v/>
      </c>
      <c r="DN1639" s="65">
        <f>IFERROR($N1639/$N1640-1,"")</f>
        <v/>
      </c>
      <c r="DO1639" s="65">
        <f>IFERROR($M1639/$M1640-1,"")</f>
        <v/>
      </c>
      <c r="DP1639" s="65">
        <f>IFERROR($AZ1639/$AZ1640-1,"")</f>
        <v/>
      </c>
      <c r="DQ1639" s="65">
        <f>IFERROR($BA1639/$BA1640-1,"")</f>
        <v/>
      </c>
      <c r="DR1639" s="64">
        <f>$O1639-$O1640</f>
        <v/>
      </c>
      <c r="DS1639" s="64">
        <f>$P1639-$P1640</f>
        <v/>
      </c>
      <c r="DT1639" s="64">
        <f>$Q1639-$Q1640</f>
        <v/>
      </c>
      <c r="DU1639" s="64">
        <f>$S1639-$S1640</f>
        <v/>
      </c>
      <c r="DV1639" s="65">
        <f>IFERROR(AVERAGE($AA1640/$AA1639-1,$AB1640/$AB1639-1,$AC1640/$AC1639-1,$AD1640/$AD1639-1,$AE1640/$AE1639-1,$AG1640/$AG1639-1,$AH1640/$AH1639-1,$AI1640/$AI1639-1,$AJ1640/$AJ1639-1,$AL1640/$AL1639-1,$AM1640/$AM1639-1,$AR1640/$AR1639-1,$AS1640/$AS1639-1,$AT1640/$AT1639-1,$AU1640/$AU1639-1,$AV1640/$AV1639-1,$AW1640/$AW1639-1,$AX1640/$AX1639-1,$AY1640/$AY1639-1),"")</f>
        <v/>
      </c>
      <c r="DW1639" s="66">
        <f>AVERAGE($CB1639,$CC1639,$CD1639,$CE1639,$CF1639,$CG1639,$CH1639,$CI1639,$CJ1639,$CL1639,$CM1639,$CN1639,$CO1639,$CP1639,$CQ1639,$CR1639,$CS1639,$CT1639)</f>
        <v/>
      </c>
      <c r="DX1639" s="66">
        <f>AVERAGE($CB1639,$CC1639,$CM1639,$CE1639,$CP1639)</f>
        <v/>
      </c>
      <c r="DY1639" s="64">
        <f>($DW1639-$DW1640)*100</f>
        <v/>
      </c>
      <c r="DZ1639" s="64">
        <f>($DX1639-$DX1640)*100</f>
        <v/>
      </c>
      <c r="EA1639" s="64">
        <f>($DW1639-$D1639)*100</f>
        <v/>
      </c>
      <c r="EB1639" s="64">
        <f>$Q1639-$O1639</f>
        <v/>
      </c>
      <c r="EC1639" s="67">
        <f>IFERROR($Q1639/$P1639,"")</f>
        <v/>
      </c>
    </row>
    <row r="1640">
      <c r="DG1640" s="64">
        <f>($B1640-$B1641)*100</f>
        <v/>
      </c>
      <c r="DH1640" s="64">
        <f>($D1640-$D1641)*100</f>
        <v/>
      </c>
      <c r="DI1640" s="64">
        <f>($E1640-$E1641)*100</f>
        <v/>
      </c>
      <c r="DJ1640" s="64">
        <f>($H1640-$H1641)*100</f>
        <v/>
      </c>
      <c r="DK1640" s="65">
        <f>IFERROR($J1640/$J1641-1,"")</f>
        <v/>
      </c>
      <c r="DL1640" s="64">
        <f>$L1640-$L1641</f>
        <v/>
      </c>
      <c r="DM1640" s="64">
        <f>$K1640-$K1641</f>
        <v/>
      </c>
      <c r="DN1640" s="65">
        <f>IFERROR($N1640/$N1641-1,"")</f>
        <v/>
      </c>
      <c r="DO1640" s="65">
        <f>IFERROR($M1640/$M1641-1,"")</f>
        <v/>
      </c>
      <c r="DP1640" s="65">
        <f>IFERROR($AZ1640/$AZ1641-1,"")</f>
        <v/>
      </c>
      <c r="DQ1640" s="65">
        <f>IFERROR($BA1640/$BA1641-1,"")</f>
        <v/>
      </c>
      <c r="DR1640" s="64">
        <f>$O1640-$O1641</f>
        <v/>
      </c>
      <c r="DS1640" s="64">
        <f>$P1640-$P1641</f>
        <v/>
      </c>
      <c r="DT1640" s="64">
        <f>$Q1640-$Q1641</f>
        <v/>
      </c>
      <c r="DU1640" s="64">
        <f>$S1640-$S1641</f>
        <v/>
      </c>
      <c r="DV1640" s="65">
        <f>IFERROR(AVERAGE($AA1641/$AA1640-1,$AB1641/$AB1640-1,$AC1641/$AC1640-1,$AD1641/$AD1640-1,$AE1641/$AE1640-1,$AG1641/$AG1640-1,$AH1641/$AH1640-1,$AI1641/$AI1640-1,$AJ1641/$AJ1640-1,$AL1641/$AL1640-1,$AM1641/$AM1640-1,$AR1641/$AR1640-1,$AS1641/$AS1640-1,$AT1641/$AT1640-1,$AU1641/$AU1640-1,$AV1641/$AV1640-1,$AW1641/$AW1640-1,$AX1641/$AX1640-1,$AY1641/$AY1640-1),"")</f>
        <v/>
      </c>
      <c r="DW1640" s="66">
        <f>AVERAGE($CB1640,$CC1640,$CD1640,$CE1640,$CF1640,$CG1640,$CH1640,$CI1640,$CJ1640,$CL1640,$CM1640,$CN1640,$CO1640,$CP1640,$CQ1640,$CR1640,$CS1640,$CT1640)</f>
        <v/>
      </c>
      <c r="DX1640" s="66">
        <f>AVERAGE($CB1640,$CC1640,$CM1640,$CE1640,$CP1640)</f>
        <v/>
      </c>
      <c r="DY1640" s="64">
        <f>($DW1640-$DW1641)*100</f>
        <v/>
      </c>
      <c r="DZ1640" s="64">
        <f>($DX1640-$DX1641)*100</f>
        <v/>
      </c>
      <c r="EA1640" s="64">
        <f>($DW1640-$D1640)*100</f>
        <v/>
      </c>
      <c r="EB1640" s="64">
        <f>$Q1640-$O1640</f>
        <v/>
      </c>
      <c r="EC1640" s="67">
        <f>IFERROR($Q1640/$P1640,"")</f>
        <v/>
      </c>
    </row>
    <row r="1641">
      <c r="DG1641" s="64">
        <f>($B1641-$B1642)*100</f>
        <v/>
      </c>
      <c r="DH1641" s="64">
        <f>($D1641-$D1642)*100</f>
        <v/>
      </c>
      <c r="DI1641" s="64">
        <f>($E1641-$E1642)*100</f>
        <v/>
      </c>
      <c r="DJ1641" s="64">
        <f>($H1641-$H1642)*100</f>
        <v/>
      </c>
      <c r="DK1641" s="65">
        <f>IFERROR($J1641/$J1642-1,"")</f>
        <v/>
      </c>
      <c r="DL1641" s="64">
        <f>$L1641-$L1642</f>
        <v/>
      </c>
      <c r="DM1641" s="64">
        <f>$K1641-$K1642</f>
        <v/>
      </c>
      <c r="DN1641" s="65">
        <f>IFERROR($N1641/$N1642-1,"")</f>
        <v/>
      </c>
      <c r="DO1641" s="65">
        <f>IFERROR($M1641/$M1642-1,"")</f>
        <v/>
      </c>
      <c r="DP1641" s="65">
        <f>IFERROR($AZ1641/$AZ1642-1,"")</f>
        <v/>
      </c>
      <c r="DQ1641" s="65">
        <f>IFERROR($BA1641/$BA1642-1,"")</f>
        <v/>
      </c>
      <c r="DR1641" s="64">
        <f>$O1641-$O1642</f>
        <v/>
      </c>
      <c r="DS1641" s="64">
        <f>$P1641-$P1642</f>
        <v/>
      </c>
      <c r="DT1641" s="64">
        <f>$Q1641-$Q1642</f>
        <v/>
      </c>
      <c r="DU1641" s="64">
        <f>$S1641-$S1642</f>
        <v/>
      </c>
      <c r="DV1641" s="65">
        <f>IFERROR(AVERAGE($AA1642/$AA1641-1,$AB1642/$AB1641-1,$AC1642/$AC1641-1,$AD1642/$AD1641-1,$AE1642/$AE1641-1,$AG1642/$AG1641-1,$AH1642/$AH1641-1,$AI1642/$AI1641-1,$AJ1642/$AJ1641-1,$AL1642/$AL1641-1,$AM1642/$AM1641-1,$AR1642/$AR1641-1,$AS1642/$AS1641-1,$AT1642/$AT1641-1,$AU1642/$AU1641-1,$AV1642/$AV1641-1,$AW1642/$AW1641-1,$AX1642/$AX1641-1,$AY1642/$AY1641-1),"")</f>
        <v/>
      </c>
      <c r="DW1641" s="66">
        <f>AVERAGE($CB1641,$CC1641,$CD1641,$CE1641,$CF1641,$CG1641,$CH1641,$CI1641,$CJ1641,$CL1641,$CM1641,$CN1641,$CO1641,$CP1641,$CQ1641,$CR1641,$CS1641,$CT1641)</f>
        <v/>
      </c>
      <c r="DX1641" s="66">
        <f>AVERAGE($CB1641,$CC1641,$CM1641,$CE1641,$CP1641)</f>
        <v/>
      </c>
      <c r="DY1641" s="64">
        <f>($DW1641-$DW1642)*100</f>
        <v/>
      </c>
      <c r="DZ1641" s="64">
        <f>($DX1641-$DX1642)*100</f>
        <v/>
      </c>
      <c r="EA1641" s="64">
        <f>($DW1641-$D1641)*100</f>
        <v/>
      </c>
      <c r="EB1641" s="64">
        <f>$Q1641-$O1641</f>
        <v/>
      </c>
      <c r="EC1641" s="67">
        <f>IFERROR($Q1641/$P1641,"")</f>
        <v/>
      </c>
    </row>
    <row r="1642">
      <c r="DG1642" s="64">
        <f>($B1642-$B1643)*100</f>
        <v/>
      </c>
      <c r="DH1642" s="64">
        <f>($D1642-$D1643)*100</f>
        <v/>
      </c>
      <c r="DI1642" s="64">
        <f>($E1642-$E1643)*100</f>
        <v/>
      </c>
      <c r="DJ1642" s="64">
        <f>($H1642-$H1643)*100</f>
        <v/>
      </c>
      <c r="DK1642" s="65">
        <f>IFERROR($J1642/$J1643-1,"")</f>
        <v/>
      </c>
      <c r="DL1642" s="64">
        <f>$L1642-$L1643</f>
        <v/>
      </c>
      <c r="DM1642" s="64">
        <f>$K1642-$K1643</f>
        <v/>
      </c>
      <c r="DN1642" s="65">
        <f>IFERROR($N1642/$N1643-1,"")</f>
        <v/>
      </c>
      <c r="DO1642" s="65">
        <f>IFERROR($M1642/$M1643-1,"")</f>
        <v/>
      </c>
      <c r="DP1642" s="65">
        <f>IFERROR($AZ1642/$AZ1643-1,"")</f>
        <v/>
      </c>
      <c r="DQ1642" s="65">
        <f>IFERROR($BA1642/$BA1643-1,"")</f>
        <v/>
      </c>
      <c r="DR1642" s="64">
        <f>$O1642-$O1643</f>
        <v/>
      </c>
      <c r="DS1642" s="64">
        <f>$P1642-$P1643</f>
        <v/>
      </c>
      <c r="DT1642" s="64">
        <f>$Q1642-$Q1643</f>
        <v/>
      </c>
      <c r="DU1642" s="64">
        <f>$S1642-$S1643</f>
        <v/>
      </c>
      <c r="DV1642" s="65">
        <f>IFERROR(AVERAGE($AA1643/$AA1642-1,$AB1643/$AB1642-1,$AC1643/$AC1642-1,$AD1643/$AD1642-1,$AE1643/$AE1642-1,$AG1643/$AG1642-1,$AH1643/$AH1642-1,$AI1643/$AI1642-1,$AJ1643/$AJ1642-1,$AL1643/$AL1642-1,$AM1643/$AM1642-1,$AR1643/$AR1642-1,$AS1643/$AS1642-1,$AT1643/$AT1642-1,$AU1643/$AU1642-1,$AV1643/$AV1642-1,$AW1643/$AW1642-1,$AX1643/$AX1642-1,$AY1643/$AY1642-1),"")</f>
        <v/>
      </c>
      <c r="DW1642" s="66">
        <f>AVERAGE($CB1642,$CC1642,$CD1642,$CE1642,$CF1642,$CG1642,$CH1642,$CI1642,$CJ1642,$CL1642,$CM1642,$CN1642,$CO1642,$CP1642,$CQ1642,$CR1642,$CS1642,$CT1642)</f>
        <v/>
      </c>
      <c r="DX1642" s="66">
        <f>AVERAGE($CB1642,$CC1642,$CM1642,$CE1642,$CP1642)</f>
        <v/>
      </c>
      <c r="DY1642" s="64">
        <f>($DW1642-$DW1643)*100</f>
        <v/>
      </c>
      <c r="DZ1642" s="64">
        <f>($DX1642-$DX1643)*100</f>
        <v/>
      </c>
      <c r="EA1642" s="64">
        <f>($DW1642-$D1642)*100</f>
        <v/>
      </c>
      <c r="EB1642" s="64">
        <f>$Q1642-$O1642</f>
        <v/>
      </c>
      <c r="EC1642" s="67">
        <f>IFERROR($Q1642/$P1642,"")</f>
        <v/>
      </c>
    </row>
    <row r="1643">
      <c r="DG1643" s="64">
        <f>($B1643-$B1644)*100</f>
        <v/>
      </c>
      <c r="DH1643" s="64">
        <f>($D1643-$D1644)*100</f>
        <v/>
      </c>
      <c r="DI1643" s="64">
        <f>($E1643-$E1644)*100</f>
        <v/>
      </c>
      <c r="DJ1643" s="64">
        <f>($H1643-$H1644)*100</f>
        <v/>
      </c>
      <c r="DK1643" s="65">
        <f>IFERROR($J1643/$J1644-1,"")</f>
        <v/>
      </c>
      <c r="DL1643" s="64">
        <f>$L1643-$L1644</f>
        <v/>
      </c>
      <c r="DM1643" s="64">
        <f>$K1643-$K1644</f>
        <v/>
      </c>
      <c r="DN1643" s="65">
        <f>IFERROR($N1643/$N1644-1,"")</f>
        <v/>
      </c>
      <c r="DO1643" s="65">
        <f>IFERROR($M1643/$M1644-1,"")</f>
        <v/>
      </c>
      <c r="DP1643" s="65">
        <f>IFERROR($AZ1643/$AZ1644-1,"")</f>
        <v/>
      </c>
      <c r="DQ1643" s="65">
        <f>IFERROR($BA1643/$BA1644-1,"")</f>
        <v/>
      </c>
      <c r="DR1643" s="64">
        <f>$O1643-$O1644</f>
        <v/>
      </c>
      <c r="DS1643" s="64">
        <f>$P1643-$P1644</f>
        <v/>
      </c>
      <c r="DT1643" s="64">
        <f>$Q1643-$Q1644</f>
        <v/>
      </c>
      <c r="DU1643" s="64">
        <f>$S1643-$S1644</f>
        <v/>
      </c>
      <c r="DV1643" s="65">
        <f>IFERROR(AVERAGE($AA1644/$AA1643-1,$AB1644/$AB1643-1,$AC1644/$AC1643-1,$AD1644/$AD1643-1,$AE1644/$AE1643-1,$AG1644/$AG1643-1,$AH1644/$AH1643-1,$AI1644/$AI1643-1,$AJ1644/$AJ1643-1,$AL1644/$AL1643-1,$AM1644/$AM1643-1,$AR1644/$AR1643-1,$AS1644/$AS1643-1,$AT1644/$AT1643-1,$AU1644/$AU1643-1,$AV1644/$AV1643-1,$AW1644/$AW1643-1,$AX1644/$AX1643-1,$AY1644/$AY1643-1),"")</f>
        <v/>
      </c>
      <c r="DW1643" s="66">
        <f>AVERAGE($CB1643,$CC1643,$CD1643,$CE1643,$CF1643,$CG1643,$CH1643,$CI1643,$CJ1643,$CL1643,$CM1643,$CN1643,$CO1643,$CP1643,$CQ1643,$CR1643,$CS1643,$CT1643)</f>
        <v/>
      </c>
      <c r="DX1643" s="66">
        <f>AVERAGE($CB1643,$CC1643,$CM1643,$CE1643,$CP1643)</f>
        <v/>
      </c>
      <c r="DY1643" s="64">
        <f>($DW1643-$DW1644)*100</f>
        <v/>
      </c>
      <c r="DZ1643" s="64">
        <f>($DX1643-$DX1644)*100</f>
        <v/>
      </c>
      <c r="EA1643" s="64">
        <f>($DW1643-$D1643)*100</f>
        <v/>
      </c>
      <c r="EB1643" s="64">
        <f>$Q1643-$O1643</f>
        <v/>
      </c>
      <c r="EC1643" s="67">
        <f>IFERROR($Q1643/$P1643,"")</f>
        <v/>
      </c>
    </row>
    <row r="1644">
      <c r="DG1644" s="64">
        <f>($B1644-$B1645)*100</f>
        <v/>
      </c>
      <c r="DH1644" s="64">
        <f>($D1644-$D1645)*100</f>
        <v/>
      </c>
      <c r="DI1644" s="64">
        <f>($E1644-$E1645)*100</f>
        <v/>
      </c>
      <c r="DJ1644" s="64">
        <f>($H1644-$H1645)*100</f>
        <v/>
      </c>
      <c r="DK1644" s="65">
        <f>IFERROR($J1644/$J1645-1,"")</f>
        <v/>
      </c>
      <c r="DL1644" s="64">
        <f>$L1644-$L1645</f>
        <v/>
      </c>
      <c r="DM1644" s="64">
        <f>$K1644-$K1645</f>
        <v/>
      </c>
      <c r="DN1644" s="65">
        <f>IFERROR($N1644/$N1645-1,"")</f>
        <v/>
      </c>
      <c r="DO1644" s="65">
        <f>IFERROR($M1644/$M1645-1,"")</f>
        <v/>
      </c>
      <c r="DP1644" s="65">
        <f>IFERROR($AZ1644/$AZ1645-1,"")</f>
        <v/>
      </c>
      <c r="DQ1644" s="65">
        <f>IFERROR($BA1644/$BA1645-1,"")</f>
        <v/>
      </c>
      <c r="DR1644" s="64">
        <f>$O1644-$O1645</f>
        <v/>
      </c>
      <c r="DS1644" s="64">
        <f>$P1644-$P1645</f>
        <v/>
      </c>
      <c r="DT1644" s="64">
        <f>$Q1644-$Q1645</f>
        <v/>
      </c>
      <c r="DU1644" s="64">
        <f>$S1644-$S1645</f>
        <v/>
      </c>
      <c r="DV1644" s="65">
        <f>IFERROR(AVERAGE($AA1645/$AA1644-1,$AB1645/$AB1644-1,$AC1645/$AC1644-1,$AD1645/$AD1644-1,$AE1645/$AE1644-1,$AG1645/$AG1644-1,$AH1645/$AH1644-1,$AI1645/$AI1644-1,$AJ1645/$AJ1644-1,$AL1645/$AL1644-1,$AM1645/$AM1644-1,$AR1645/$AR1644-1,$AS1645/$AS1644-1,$AT1645/$AT1644-1,$AU1645/$AU1644-1,$AV1645/$AV1644-1,$AW1645/$AW1644-1,$AX1645/$AX1644-1,$AY1645/$AY1644-1),"")</f>
        <v/>
      </c>
      <c r="DW1644" s="66">
        <f>AVERAGE($CB1644,$CC1644,$CD1644,$CE1644,$CF1644,$CG1644,$CH1644,$CI1644,$CJ1644,$CL1644,$CM1644,$CN1644,$CO1644,$CP1644,$CQ1644,$CR1644,$CS1644,$CT1644)</f>
        <v/>
      </c>
      <c r="DX1644" s="66">
        <f>AVERAGE($CB1644,$CC1644,$CM1644,$CE1644,$CP1644)</f>
        <v/>
      </c>
      <c r="DY1644" s="64">
        <f>($DW1644-$DW1645)*100</f>
        <v/>
      </c>
      <c r="DZ1644" s="64">
        <f>($DX1644-$DX1645)*100</f>
        <v/>
      </c>
      <c r="EA1644" s="64">
        <f>($DW1644-$D1644)*100</f>
        <v/>
      </c>
      <c r="EB1644" s="64">
        <f>$Q1644-$O1644</f>
        <v/>
      </c>
      <c r="EC1644" s="67">
        <f>IFERROR($Q1644/$P1644,"")</f>
        <v/>
      </c>
    </row>
    <row r="1645">
      <c r="DG1645" s="64">
        <f>($B1645-$B1646)*100</f>
        <v/>
      </c>
      <c r="DH1645" s="64">
        <f>($D1645-$D1646)*100</f>
        <v/>
      </c>
      <c r="DI1645" s="64">
        <f>($E1645-$E1646)*100</f>
        <v/>
      </c>
      <c r="DJ1645" s="64">
        <f>($H1645-$H1646)*100</f>
        <v/>
      </c>
      <c r="DK1645" s="65">
        <f>IFERROR($J1645/$J1646-1,"")</f>
        <v/>
      </c>
      <c r="DL1645" s="64">
        <f>$L1645-$L1646</f>
        <v/>
      </c>
      <c r="DM1645" s="64">
        <f>$K1645-$K1646</f>
        <v/>
      </c>
      <c r="DN1645" s="65">
        <f>IFERROR($N1645/$N1646-1,"")</f>
        <v/>
      </c>
      <c r="DO1645" s="65">
        <f>IFERROR($M1645/$M1646-1,"")</f>
        <v/>
      </c>
      <c r="DP1645" s="65">
        <f>IFERROR($AZ1645/$AZ1646-1,"")</f>
        <v/>
      </c>
      <c r="DQ1645" s="65">
        <f>IFERROR($BA1645/$BA1646-1,"")</f>
        <v/>
      </c>
      <c r="DR1645" s="64">
        <f>$O1645-$O1646</f>
        <v/>
      </c>
      <c r="DS1645" s="64">
        <f>$P1645-$P1646</f>
        <v/>
      </c>
      <c r="DT1645" s="64">
        <f>$Q1645-$Q1646</f>
        <v/>
      </c>
      <c r="DU1645" s="64">
        <f>$S1645-$S1646</f>
        <v/>
      </c>
      <c r="DV1645" s="65">
        <f>IFERROR(AVERAGE($AA1646/$AA1645-1,$AB1646/$AB1645-1,$AC1646/$AC1645-1,$AD1646/$AD1645-1,$AE1646/$AE1645-1,$AG1646/$AG1645-1,$AH1646/$AH1645-1,$AI1646/$AI1645-1,$AJ1646/$AJ1645-1,$AL1646/$AL1645-1,$AM1646/$AM1645-1,$AR1646/$AR1645-1,$AS1646/$AS1645-1,$AT1646/$AT1645-1,$AU1646/$AU1645-1,$AV1646/$AV1645-1,$AW1646/$AW1645-1,$AX1646/$AX1645-1,$AY1646/$AY1645-1),"")</f>
        <v/>
      </c>
      <c r="DW1645" s="66">
        <f>AVERAGE($CB1645,$CC1645,$CD1645,$CE1645,$CF1645,$CG1645,$CH1645,$CI1645,$CJ1645,$CL1645,$CM1645,$CN1645,$CO1645,$CP1645,$CQ1645,$CR1645,$CS1645,$CT1645)</f>
        <v/>
      </c>
      <c r="DX1645" s="66">
        <f>AVERAGE($CB1645,$CC1645,$CM1645,$CE1645,$CP1645)</f>
        <v/>
      </c>
      <c r="DY1645" s="64">
        <f>($DW1645-$DW1646)*100</f>
        <v/>
      </c>
      <c r="DZ1645" s="64">
        <f>($DX1645-$DX1646)*100</f>
        <v/>
      </c>
      <c r="EA1645" s="64">
        <f>($DW1645-$D1645)*100</f>
        <v/>
      </c>
      <c r="EB1645" s="64">
        <f>$Q1645-$O1645</f>
        <v/>
      </c>
      <c r="EC1645" s="67">
        <f>IFERROR($Q1645/$P1645,"")</f>
        <v/>
      </c>
    </row>
    <row r="1646">
      <c r="DG1646" s="64">
        <f>($B1646-$B1647)*100</f>
        <v/>
      </c>
      <c r="DH1646" s="64">
        <f>($D1646-$D1647)*100</f>
        <v/>
      </c>
      <c r="DI1646" s="64">
        <f>($E1646-$E1647)*100</f>
        <v/>
      </c>
      <c r="DJ1646" s="64">
        <f>($H1646-$H1647)*100</f>
        <v/>
      </c>
      <c r="DK1646" s="65">
        <f>IFERROR($J1646/$J1647-1,"")</f>
        <v/>
      </c>
      <c r="DL1646" s="64">
        <f>$L1646-$L1647</f>
        <v/>
      </c>
      <c r="DM1646" s="64">
        <f>$K1646-$K1647</f>
        <v/>
      </c>
      <c r="DN1646" s="65">
        <f>IFERROR($N1646/$N1647-1,"")</f>
        <v/>
      </c>
      <c r="DO1646" s="65">
        <f>IFERROR($M1646/$M1647-1,"")</f>
        <v/>
      </c>
      <c r="DP1646" s="65">
        <f>IFERROR($AZ1646/$AZ1647-1,"")</f>
        <v/>
      </c>
      <c r="DQ1646" s="65">
        <f>IFERROR($BA1646/$BA1647-1,"")</f>
        <v/>
      </c>
      <c r="DR1646" s="64">
        <f>$O1646-$O1647</f>
        <v/>
      </c>
      <c r="DS1646" s="64">
        <f>$P1646-$P1647</f>
        <v/>
      </c>
      <c r="DT1646" s="64">
        <f>$Q1646-$Q1647</f>
        <v/>
      </c>
      <c r="DU1646" s="64">
        <f>$S1646-$S1647</f>
        <v/>
      </c>
      <c r="DV1646" s="65">
        <f>IFERROR(AVERAGE($AA1647/$AA1646-1,$AB1647/$AB1646-1,$AC1647/$AC1646-1,$AD1647/$AD1646-1,$AE1647/$AE1646-1,$AG1647/$AG1646-1,$AH1647/$AH1646-1,$AI1647/$AI1646-1,$AJ1647/$AJ1646-1,$AL1647/$AL1646-1,$AM1647/$AM1646-1,$AR1647/$AR1646-1,$AS1647/$AS1646-1,$AT1647/$AT1646-1,$AU1647/$AU1646-1,$AV1647/$AV1646-1,$AW1647/$AW1646-1,$AX1647/$AX1646-1,$AY1647/$AY1646-1),"")</f>
        <v/>
      </c>
      <c r="DW1646" s="66">
        <f>AVERAGE($CB1646,$CC1646,$CD1646,$CE1646,$CF1646,$CG1646,$CH1646,$CI1646,$CJ1646,$CL1646,$CM1646,$CN1646,$CO1646,$CP1646,$CQ1646,$CR1646,$CS1646,$CT1646)</f>
        <v/>
      </c>
      <c r="DX1646" s="66">
        <f>AVERAGE($CB1646,$CC1646,$CM1646,$CE1646,$CP1646)</f>
        <v/>
      </c>
      <c r="DY1646" s="64">
        <f>($DW1646-$DW1647)*100</f>
        <v/>
      </c>
      <c r="DZ1646" s="64">
        <f>($DX1646-$DX1647)*100</f>
        <v/>
      </c>
      <c r="EA1646" s="64">
        <f>($DW1646-$D1646)*100</f>
        <v/>
      </c>
      <c r="EB1646" s="64">
        <f>$Q1646-$O1646</f>
        <v/>
      </c>
      <c r="EC1646" s="67">
        <f>IFERROR($Q1646/$P1646,"")</f>
        <v/>
      </c>
    </row>
    <row r="1647">
      <c r="DG1647" s="64">
        <f>($B1647-$B1648)*100</f>
        <v/>
      </c>
      <c r="DH1647" s="64">
        <f>($D1647-$D1648)*100</f>
        <v/>
      </c>
      <c r="DI1647" s="64">
        <f>($E1647-$E1648)*100</f>
        <v/>
      </c>
      <c r="DJ1647" s="64">
        <f>($H1647-$H1648)*100</f>
        <v/>
      </c>
      <c r="DK1647" s="65">
        <f>IFERROR($J1647/$J1648-1,"")</f>
        <v/>
      </c>
      <c r="DL1647" s="64">
        <f>$L1647-$L1648</f>
        <v/>
      </c>
      <c r="DM1647" s="64">
        <f>$K1647-$K1648</f>
        <v/>
      </c>
      <c r="DN1647" s="65">
        <f>IFERROR($N1647/$N1648-1,"")</f>
        <v/>
      </c>
      <c r="DO1647" s="65">
        <f>IFERROR($M1647/$M1648-1,"")</f>
        <v/>
      </c>
      <c r="DP1647" s="65">
        <f>IFERROR($AZ1647/$AZ1648-1,"")</f>
        <v/>
      </c>
      <c r="DQ1647" s="65">
        <f>IFERROR($BA1647/$BA1648-1,"")</f>
        <v/>
      </c>
      <c r="DR1647" s="64">
        <f>$O1647-$O1648</f>
        <v/>
      </c>
      <c r="DS1647" s="64">
        <f>$P1647-$P1648</f>
        <v/>
      </c>
      <c r="DT1647" s="64">
        <f>$Q1647-$Q1648</f>
        <v/>
      </c>
      <c r="DU1647" s="64">
        <f>$S1647-$S1648</f>
        <v/>
      </c>
      <c r="DV1647" s="65">
        <f>IFERROR(AVERAGE($AA1648/$AA1647-1,$AB1648/$AB1647-1,$AC1648/$AC1647-1,$AD1648/$AD1647-1,$AE1648/$AE1647-1,$AG1648/$AG1647-1,$AH1648/$AH1647-1,$AI1648/$AI1647-1,$AJ1648/$AJ1647-1,$AL1648/$AL1647-1,$AM1648/$AM1647-1,$AR1648/$AR1647-1,$AS1648/$AS1647-1,$AT1648/$AT1647-1,$AU1648/$AU1647-1,$AV1648/$AV1647-1,$AW1648/$AW1647-1,$AX1648/$AX1647-1,$AY1648/$AY1647-1),"")</f>
        <v/>
      </c>
      <c r="DW1647" s="66">
        <f>AVERAGE($CB1647,$CC1647,$CD1647,$CE1647,$CF1647,$CG1647,$CH1647,$CI1647,$CJ1647,$CL1647,$CM1647,$CN1647,$CO1647,$CP1647,$CQ1647,$CR1647,$CS1647,$CT1647)</f>
        <v/>
      </c>
      <c r="DX1647" s="66">
        <f>AVERAGE($CB1647,$CC1647,$CM1647,$CE1647,$CP1647)</f>
        <v/>
      </c>
      <c r="DY1647" s="64">
        <f>($DW1647-$DW1648)*100</f>
        <v/>
      </c>
      <c r="DZ1647" s="64">
        <f>($DX1647-$DX1648)*100</f>
        <v/>
      </c>
      <c r="EA1647" s="64">
        <f>($DW1647-$D1647)*100</f>
        <v/>
      </c>
      <c r="EB1647" s="64">
        <f>$Q1647-$O1647</f>
        <v/>
      </c>
      <c r="EC1647" s="67">
        <f>IFERROR($Q1647/$P1647,"")</f>
        <v/>
      </c>
    </row>
    <row r="1648">
      <c r="DG1648" s="64">
        <f>($B1648-$B1649)*100</f>
        <v/>
      </c>
      <c r="DH1648" s="64">
        <f>($D1648-$D1649)*100</f>
        <v/>
      </c>
      <c r="DI1648" s="64">
        <f>($E1648-$E1649)*100</f>
        <v/>
      </c>
      <c r="DJ1648" s="64">
        <f>($H1648-$H1649)*100</f>
        <v/>
      </c>
      <c r="DK1648" s="65">
        <f>IFERROR($J1648/$J1649-1,"")</f>
        <v/>
      </c>
      <c r="DL1648" s="64">
        <f>$L1648-$L1649</f>
        <v/>
      </c>
      <c r="DM1648" s="64">
        <f>$K1648-$K1649</f>
        <v/>
      </c>
      <c r="DN1648" s="65">
        <f>IFERROR($N1648/$N1649-1,"")</f>
        <v/>
      </c>
      <c r="DO1648" s="65">
        <f>IFERROR($M1648/$M1649-1,"")</f>
        <v/>
      </c>
      <c r="DP1648" s="65">
        <f>IFERROR($AZ1648/$AZ1649-1,"")</f>
        <v/>
      </c>
      <c r="DQ1648" s="65">
        <f>IFERROR($BA1648/$BA1649-1,"")</f>
        <v/>
      </c>
      <c r="DR1648" s="64">
        <f>$O1648-$O1649</f>
        <v/>
      </c>
      <c r="DS1648" s="64">
        <f>$P1648-$P1649</f>
        <v/>
      </c>
      <c r="DT1648" s="64">
        <f>$Q1648-$Q1649</f>
        <v/>
      </c>
      <c r="DU1648" s="64">
        <f>$S1648-$S1649</f>
        <v/>
      </c>
      <c r="DV1648" s="65">
        <f>IFERROR(AVERAGE($AA1649/$AA1648-1,$AB1649/$AB1648-1,$AC1649/$AC1648-1,$AD1649/$AD1648-1,$AE1649/$AE1648-1,$AG1649/$AG1648-1,$AH1649/$AH1648-1,$AI1649/$AI1648-1,$AJ1649/$AJ1648-1,$AL1649/$AL1648-1,$AM1649/$AM1648-1,$AR1649/$AR1648-1,$AS1649/$AS1648-1,$AT1649/$AT1648-1,$AU1649/$AU1648-1,$AV1649/$AV1648-1,$AW1649/$AW1648-1,$AX1649/$AX1648-1,$AY1649/$AY1648-1),"")</f>
        <v/>
      </c>
      <c r="DW1648" s="66">
        <f>AVERAGE($CB1648,$CC1648,$CD1648,$CE1648,$CF1648,$CG1648,$CH1648,$CI1648,$CJ1648,$CL1648,$CM1648,$CN1648,$CO1648,$CP1648,$CQ1648,$CR1648,$CS1648,$CT1648)</f>
        <v/>
      </c>
      <c r="DX1648" s="66">
        <f>AVERAGE($CB1648,$CC1648,$CM1648,$CE1648,$CP1648)</f>
        <v/>
      </c>
      <c r="DY1648" s="64">
        <f>($DW1648-$DW1649)*100</f>
        <v/>
      </c>
      <c r="DZ1648" s="64">
        <f>($DX1648-$DX1649)*100</f>
        <v/>
      </c>
      <c r="EA1648" s="64">
        <f>($DW1648-$D1648)*100</f>
        <v/>
      </c>
      <c r="EB1648" s="64">
        <f>$Q1648-$O1648</f>
        <v/>
      </c>
      <c r="EC1648" s="67">
        <f>IFERROR($Q1648/$P1648,"")</f>
        <v/>
      </c>
    </row>
    <row r="1649">
      <c r="DG1649" s="64">
        <f>($B1649-$B1650)*100</f>
        <v/>
      </c>
      <c r="DH1649" s="64">
        <f>($D1649-$D1650)*100</f>
        <v/>
      </c>
      <c r="DI1649" s="64">
        <f>($E1649-$E1650)*100</f>
        <v/>
      </c>
      <c r="DJ1649" s="64">
        <f>($H1649-$H1650)*100</f>
        <v/>
      </c>
      <c r="DK1649" s="65">
        <f>IFERROR($J1649/$J1650-1,"")</f>
        <v/>
      </c>
      <c r="DL1649" s="64">
        <f>$L1649-$L1650</f>
        <v/>
      </c>
      <c r="DM1649" s="64">
        <f>$K1649-$K1650</f>
        <v/>
      </c>
      <c r="DN1649" s="65">
        <f>IFERROR($N1649/$N1650-1,"")</f>
        <v/>
      </c>
      <c r="DO1649" s="65">
        <f>IFERROR($M1649/$M1650-1,"")</f>
        <v/>
      </c>
      <c r="DP1649" s="65">
        <f>IFERROR($AZ1649/$AZ1650-1,"")</f>
        <v/>
      </c>
      <c r="DQ1649" s="65">
        <f>IFERROR($BA1649/$BA1650-1,"")</f>
        <v/>
      </c>
      <c r="DR1649" s="64">
        <f>$O1649-$O1650</f>
        <v/>
      </c>
      <c r="DS1649" s="64">
        <f>$P1649-$P1650</f>
        <v/>
      </c>
      <c r="DT1649" s="64">
        <f>$Q1649-$Q1650</f>
        <v/>
      </c>
      <c r="DU1649" s="64">
        <f>$S1649-$S1650</f>
        <v/>
      </c>
      <c r="DV1649" s="65">
        <f>IFERROR(AVERAGE($AA1650/$AA1649-1,$AB1650/$AB1649-1,$AC1650/$AC1649-1,$AD1650/$AD1649-1,$AE1650/$AE1649-1,$AG1650/$AG1649-1,$AH1650/$AH1649-1,$AI1650/$AI1649-1,$AJ1650/$AJ1649-1,$AL1650/$AL1649-1,$AM1650/$AM1649-1,$AR1650/$AR1649-1,$AS1650/$AS1649-1,$AT1650/$AT1649-1,$AU1650/$AU1649-1,$AV1650/$AV1649-1,$AW1650/$AW1649-1,$AX1650/$AX1649-1,$AY1650/$AY1649-1),"")</f>
        <v/>
      </c>
      <c r="DW1649" s="66">
        <f>AVERAGE($CB1649,$CC1649,$CD1649,$CE1649,$CF1649,$CG1649,$CH1649,$CI1649,$CJ1649,$CL1649,$CM1649,$CN1649,$CO1649,$CP1649,$CQ1649,$CR1649,$CS1649,$CT1649)</f>
        <v/>
      </c>
      <c r="DX1649" s="66">
        <f>AVERAGE($CB1649,$CC1649,$CM1649,$CE1649,$CP1649)</f>
        <v/>
      </c>
      <c r="DY1649" s="64">
        <f>($DW1649-$DW1650)*100</f>
        <v/>
      </c>
      <c r="DZ1649" s="64">
        <f>($DX1649-$DX1650)*100</f>
        <v/>
      </c>
      <c r="EA1649" s="64">
        <f>($DW1649-$D1649)*100</f>
        <v/>
      </c>
      <c r="EB1649" s="64">
        <f>$Q1649-$O1649</f>
        <v/>
      </c>
      <c r="EC1649" s="67">
        <f>IFERROR($Q1649/$P1649,"")</f>
        <v/>
      </c>
    </row>
    <row r="1650">
      <c r="DG1650" s="64">
        <f>($B1650-$B1651)*100</f>
        <v/>
      </c>
      <c r="DH1650" s="64">
        <f>($D1650-$D1651)*100</f>
        <v/>
      </c>
      <c r="DI1650" s="64">
        <f>($E1650-$E1651)*100</f>
        <v/>
      </c>
      <c r="DJ1650" s="64">
        <f>($H1650-$H1651)*100</f>
        <v/>
      </c>
      <c r="DK1650" s="65">
        <f>IFERROR($J1650/$J1651-1,"")</f>
        <v/>
      </c>
      <c r="DL1650" s="64">
        <f>$L1650-$L1651</f>
        <v/>
      </c>
      <c r="DM1650" s="64">
        <f>$K1650-$K1651</f>
        <v/>
      </c>
      <c r="DN1650" s="65">
        <f>IFERROR($N1650/$N1651-1,"")</f>
        <v/>
      </c>
      <c r="DO1650" s="65">
        <f>IFERROR($M1650/$M1651-1,"")</f>
        <v/>
      </c>
      <c r="DP1650" s="65">
        <f>IFERROR($AZ1650/$AZ1651-1,"")</f>
        <v/>
      </c>
      <c r="DQ1650" s="65">
        <f>IFERROR($BA1650/$BA1651-1,"")</f>
        <v/>
      </c>
      <c r="DR1650" s="64">
        <f>$O1650-$O1651</f>
        <v/>
      </c>
      <c r="DS1650" s="64">
        <f>$P1650-$P1651</f>
        <v/>
      </c>
      <c r="DT1650" s="64">
        <f>$Q1650-$Q1651</f>
        <v/>
      </c>
      <c r="DU1650" s="64">
        <f>$S1650-$S1651</f>
        <v/>
      </c>
      <c r="DV1650" s="65">
        <f>IFERROR(AVERAGE($AA1651/$AA1650-1,$AB1651/$AB1650-1,$AC1651/$AC1650-1,$AD1651/$AD1650-1,$AE1651/$AE1650-1,$AG1651/$AG1650-1,$AH1651/$AH1650-1,$AI1651/$AI1650-1,$AJ1651/$AJ1650-1,$AL1651/$AL1650-1,$AM1651/$AM1650-1,$AR1651/$AR1650-1,$AS1651/$AS1650-1,$AT1651/$AT1650-1,$AU1651/$AU1650-1,$AV1651/$AV1650-1,$AW1651/$AW1650-1,$AX1651/$AX1650-1,$AY1651/$AY1650-1),"")</f>
        <v/>
      </c>
      <c r="DW1650" s="66">
        <f>AVERAGE($CB1650,$CC1650,$CD1650,$CE1650,$CF1650,$CG1650,$CH1650,$CI1650,$CJ1650,$CL1650,$CM1650,$CN1650,$CO1650,$CP1650,$CQ1650,$CR1650,$CS1650,$CT1650)</f>
        <v/>
      </c>
      <c r="DX1650" s="66">
        <f>AVERAGE($CB1650,$CC1650,$CM1650,$CE1650,$CP1650)</f>
        <v/>
      </c>
      <c r="DY1650" s="64">
        <f>($DW1650-$DW1651)*100</f>
        <v/>
      </c>
      <c r="DZ1650" s="64">
        <f>($DX1650-$DX1651)*100</f>
        <v/>
      </c>
      <c r="EA1650" s="64">
        <f>($DW1650-$D1650)*100</f>
        <v/>
      </c>
      <c r="EB1650" s="64">
        <f>$Q1650-$O1650</f>
        <v/>
      </c>
      <c r="EC1650" s="67">
        <f>IFERROR($Q1650/$P1650,"")</f>
        <v/>
      </c>
    </row>
    <row r="1651">
      <c r="DG1651" s="64">
        <f>($B1651-$B1652)*100</f>
        <v/>
      </c>
      <c r="DH1651" s="64">
        <f>($D1651-$D1652)*100</f>
        <v/>
      </c>
      <c r="DI1651" s="64">
        <f>($E1651-$E1652)*100</f>
        <v/>
      </c>
      <c r="DJ1651" s="64">
        <f>($H1651-$H1652)*100</f>
        <v/>
      </c>
      <c r="DK1651" s="65">
        <f>IFERROR($J1651/$J1652-1,"")</f>
        <v/>
      </c>
      <c r="DL1651" s="64">
        <f>$L1651-$L1652</f>
        <v/>
      </c>
      <c r="DM1651" s="64">
        <f>$K1651-$K1652</f>
        <v/>
      </c>
      <c r="DN1651" s="65">
        <f>IFERROR($N1651/$N1652-1,"")</f>
        <v/>
      </c>
      <c r="DO1651" s="65">
        <f>IFERROR($M1651/$M1652-1,"")</f>
        <v/>
      </c>
      <c r="DP1651" s="65">
        <f>IFERROR($AZ1651/$AZ1652-1,"")</f>
        <v/>
      </c>
      <c r="DQ1651" s="65">
        <f>IFERROR($BA1651/$BA1652-1,"")</f>
        <v/>
      </c>
      <c r="DR1651" s="64">
        <f>$O1651-$O1652</f>
        <v/>
      </c>
      <c r="DS1651" s="64">
        <f>$P1651-$P1652</f>
        <v/>
      </c>
      <c r="DT1651" s="64">
        <f>$Q1651-$Q1652</f>
        <v/>
      </c>
      <c r="DU1651" s="64">
        <f>$S1651-$S1652</f>
        <v/>
      </c>
      <c r="DV1651" s="65">
        <f>IFERROR(AVERAGE($AA1652/$AA1651-1,$AB1652/$AB1651-1,$AC1652/$AC1651-1,$AD1652/$AD1651-1,$AE1652/$AE1651-1,$AG1652/$AG1651-1,$AH1652/$AH1651-1,$AI1652/$AI1651-1,$AJ1652/$AJ1651-1,$AL1652/$AL1651-1,$AM1652/$AM1651-1,$AR1652/$AR1651-1,$AS1652/$AS1651-1,$AT1652/$AT1651-1,$AU1652/$AU1651-1,$AV1652/$AV1651-1,$AW1652/$AW1651-1,$AX1652/$AX1651-1,$AY1652/$AY1651-1),"")</f>
        <v/>
      </c>
      <c r="DW1651" s="66">
        <f>AVERAGE($CB1651,$CC1651,$CD1651,$CE1651,$CF1651,$CG1651,$CH1651,$CI1651,$CJ1651,$CL1651,$CM1651,$CN1651,$CO1651,$CP1651,$CQ1651,$CR1651,$CS1651,$CT1651)</f>
        <v/>
      </c>
      <c r="DX1651" s="66">
        <f>AVERAGE($CB1651,$CC1651,$CM1651,$CE1651,$CP1651)</f>
        <v/>
      </c>
      <c r="DY1651" s="64">
        <f>($DW1651-$DW1652)*100</f>
        <v/>
      </c>
      <c r="DZ1651" s="64">
        <f>($DX1651-$DX1652)*100</f>
        <v/>
      </c>
      <c r="EA1651" s="64">
        <f>($DW1651-$D1651)*100</f>
        <v/>
      </c>
      <c r="EB1651" s="64">
        <f>$Q1651-$O1651</f>
        <v/>
      </c>
      <c r="EC1651" s="67">
        <f>IFERROR($Q1651/$P1651,"")</f>
        <v/>
      </c>
    </row>
    <row r="1652">
      <c r="DG1652" s="64">
        <f>($B1652-$B1653)*100</f>
        <v/>
      </c>
      <c r="DH1652" s="64">
        <f>($D1652-$D1653)*100</f>
        <v/>
      </c>
      <c r="DI1652" s="64">
        <f>($E1652-$E1653)*100</f>
        <v/>
      </c>
      <c r="DJ1652" s="64">
        <f>($H1652-$H1653)*100</f>
        <v/>
      </c>
      <c r="DK1652" s="65">
        <f>IFERROR($J1652/$J1653-1,"")</f>
        <v/>
      </c>
      <c r="DL1652" s="64">
        <f>$L1652-$L1653</f>
        <v/>
      </c>
      <c r="DM1652" s="64">
        <f>$K1652-$K1653</f>
        <v/>
      </c>
      <c r="DN1652" s="65">
        <f>IFERROR($N1652/$N1653-1,"")</f>
        <v/>
      </c>
      <c r="DO1652" s="65">
        <f>IFERROR($M1652/$M1653-1,"")</f>
        <v/>
      </c>
      <c r="DP1652" s="65">
        <f>IFERROR($AZ1652/$AZ1653-1,"")</f>
        <v/>
      </c>
      <c r="DQ1652" s="65">
        <f>IFERROR($BA1652/$BA1653-1,"")</f>
        <v/>
      </c>
      <c r="DR1652" s="64">
        <f>$O1652-$O1653</f>
        <v/>
      </c>
      <c r="DS1652" s="64">
        <f>$P1652-$P1653</f>
        <v/>
      </c>
      <c r="DT1652" s="64">
        <f>$Q1652-$Q1653</f>
        <v/>
      </c>
      <c r="DU1652" s="64">
        <f>$S1652-$S1653</f>
        <v/>
      </c>
      <c r="DV1652" s="65">
        <f>IFERROR(AVERAGE($AA1653/$AA1652-1,$AB1653/$AB1652-1,$AC1653/$AC1652-1,$AD1653/$AD1652-1,$AE1653/$AE1652-1,$AG1653/$AG1652-1,$AH1653/$AH1652-1,$AI1653/$AI1652-1,$AJ1653/$AJ1652-1,$AL1653/$AL1652-1,$AM1653/$AM1652-1,$AR1653/$AR1652-1,$AS1653/$AS1652-1,$AT1653/$AT1652-1,$AU1653/$AU1652-1,$AV1653/$AV1652-1,$AW1653/$AW1652-1,$AX1653/$AX1652-1,$AY1653/$AY1652-1),"")</f>
        <v/>
      </c>
      <c r="DW1652" s="66">
        <f>AVERAGE($CB1652,$CC1652,$CD1652,$CE1652,$CF1652,$CG1652,$CH1652,$CI1652,$CJ1652,$CL1652,$CM1652,$CN1652,$CO1652,$CP1652,$CQ1652,$CR1652,$CS1652,$CT1652)</f>
        <v/>
      </c>
      <c r="DX1652" s="66">
        <f>AVERAGE($CB1652,$CC1652,$CM1652,$CE1652,$CP1652)</f>
        <v/>
      </c>
      <c r="DY1652" s="64">
        <f>($DW1652-$DW1653)*100</f>
        <v/>
      </c>
      <c r="DZ1652" s="64">
        <f>($DX1652-$DX1653)*100</f>
        <v/>
      </c>
      <c r="EA1652" s="64">
        <f>($DW1652-$D1652)*100</f>
        <v/>
      </c>
      <c r="EB1652" s="64">
        <f>$Q1652-$O1652</f>
        <v/>
      </c>
      <c r="EC1652" s="67">
        <f>IFERROR($Q1652/$P1652,"")</f>
        <v/>
      </c>
    </row>
    <row r="1653">
      <c r="DG1653" s="64">
        <f>($B1653-$B1654)*100</f>
        <v/>
      </c>
      <c r="DH1653" s="64">
        <f>($D1653-$D1654)*100</f>
        <v/>
      </c>
      <c r="DI1653" s="64">
        <f>($E1653-$E1654)*100</f>
        <v/>
      </c>
      <c r="DJ1653" s="64">
        <f>($H1653-$H1654)*100</f>
        <v/>
      </c>
      <c r="DK1653" s="65">
        <f>IFERROR($J1653/$J1654-1,"")</f>
        <v/>
      </c>
      <c r="DL1653" s="64">
        <f>$L1653-$L1654</f>
        <v/>
      </c>
      <c r="DM1653" s="64">
        <f>$K1653-$K1654</f>
        <v/>
      </c>
      <c r="DN1653" s="65">
        <f>IFERROR($N1653/$N1654-1,"")</f>
        <v/>
      </c>
      <c r="DO1653" s="65">
        <f>IFERROR($M1653/$M1654-1,"")</f>
        <v/>
      </c>
      <c r="DP1653" s="65">
        <f>IFERROR($AZ1653/$AZ1654-1,"")</f>
        <v/>
      </c>
      <c r="DQ1653" s="65">
        <f>IFERROR($BA1653/$BA1654-1,"")</f>
        <v/>
      </c>
      <c r="DR1653" s="64">
        <f>$O1653-$O1654</f>
        <v/>
      </c>
      <c r="DS1653" s="64">
        <f>$P1653-$P1654</f>
        <v/>
      </c>
      <c r="DT1653" s="64">
        <f>$Q1653-$Q1654</f>
        <v/>
      </c>
      <c r="DU1653" s="64">
        <f>$S1653-$S1654</f>
        <v/>
      </c>
      <c r="DV1653" s="65">
        <f>IFERROR(AVERAGE($AA1654/$AA1653-1,$AB1654/$AB1653-1,$AC1654/$AC1653-1,$AD1654/$AD1653-1,$AE1654/$AE1653-1,$AG1654/$AG1653-1,$AH1654/$AH1653-1,$AI1654/$AI1653-1,$AJ1654/$AJ1653-1,$AL1654/$AL1653-1,$AM1654/$AM1653-1,$AR1654/$AR1653-1,$AS1654/$AS1653-1,$AT1654/$AT1653-1,$AU1654/$AU1653-1,$AV1654/$AV1653-1,$AW1654/$AW1653-1,$AX1654/$AX1653-1,$AY1654/$AY1653-1),"")</f>
        <v/>
      </c>
      <c r="DW1653" s="66">
        <f>AVERAGE($CB1653,$CC1653,$CD1653,$CE1653,$CF1653,$CG1653,$CH1653,$CI1653,$CJ1653,$CL1653,$CM1653,$CN1653,$CO1653,$CP1653,$CQ1653,$CR1653,$CS1653,$CT1653)</f>
        <v/>
      </c>
      <c r="DX1653" s="66">
        <f>AVERAGE($CB1653,$CC1653,$CM1653,$CE1653,$CP1653)</f>
        <v/>
      </c>
      <c r="DY1653" s="64">
        <f>($DW1653-$DW1654)*100</f>
        <v/>
      </c>
      <c r="DZ1653" s="64">
        <f>($DX1653-$DX1654)*100</f>
        <v/>
      </c>
      <c r="EA1653" s="64">
        <f>($DW1653-$D1653)*100</f>
        <v/>
      </c>
      <c r="EB1653" s="64">
        <f>$Q1653-$O1653</f>
        <v/>
      </c>
      <c r="EC1653" s="67">
        <f>IFERROR($Q1653/$P1653,"")</f>
        <v/>
      </c>
    </row>
    <row r="1654">
      <c r="DG1654" s="64">
        <f>($B1654-$B1655)*100</f>
        <v/>
      </c>
      <c r="DH1654" s="64">
        <f>($D1654-$D1655)*100</f>
        <v/>
      </c>
      <c r="DI1654" s="64">
        <f>($E1654-$E1655)*100</f>
        <v/>
      </c>
      <c r="DJ1654" s="64">
        <f>($H1654-$H1655)*100</f>
        <v/>
      </c>
      <c r="DK1654" s="65">
        <f>IFERROR($J1654/$J1655-1,"")</f>
        <v/>
      </c>
      <c r="DL1654" s="64">
        <f>$L1654-$L1655</f>
        <v/>
      </c>
      <c r="DM1654" s="64">
        <f>$K1654-$K1655</f>
        <v/>
      </c>
      <c r="DN1654" s="65">
        <f>IFERROR($N1654/$N1655-1,"")</f>
        <v/>
      </c>
      <c r="DO1654" s="65">
        <f>IFERROR($M1654/$M1655-1,"")</f>
        <v/>
      </c>
      <c r="DP1654" s="65">
        <f>IFERROR($AZ1654/$AZ1655-1,"")</f>
        <v/>
      </c>
      <c r="DQ1654" s="65">
        <f>IFERROR($BA1654/$BA1655-1,"")</f>
        <v/>
      </c>
      <c r="DR1654" s="64">
        <f>$O1654-$O1655</f>
        <v/>
      </c>
      <c r="DS1654" s="64">
        <f>$P1654-$P1655</f>
        <v/>
      </c>
      <c r="DT1654" s="64">
        <f>$Q1654-$Q1655</f>
        <v/>
      </c>
      <c r="DU1654" s="64">
        <f>$S1654-$S1655</f>
        <v/>
      </c>
      <c r="DV1654" s="65">
        <f>IFERROR(AVERAGE($AA1655/$AA1654-1,$AB1655/$AB1654-1,$AC1655/$AC1654-1,$AD1655/$AD1654-1,$AE1655/$AE1654-1,$AG1655/$AG1654-1,$AH1655/$AH1654-1,$AI1655/$AI1654-1,$AJ1655/$AJ1654-1,$AL1655/$AL1654-1,$AM1655/$AM1654-1,$AR1655/$AR1654-1,$AS1655/$AS1654-1,$AT1655/$AT1654-1,$AU1655/$AU1654-1,$AV1655/$AV1654-1,$AW1655/$AW1654-1,$AX1655/$AX1654-1,$AY1655/$AY1654-1),"")</f>
        <v/>
      </c>
      <c r="DW1654" s="66">
        <f>AVERAGE($CB1654,$CC1654,$CD1654,$CE1654,$CF1654,$CG1654,$CH1654,$CI1654,$CJ1654,$CL1654,$CM1654,$CN1654,$CO1654,$CP1654,$CQ1654,$CR1654,$CS1654,$CT1654)</f>
        <v/>
      </c>
      <c r="DX1654" s="66">
        <f>AVERAGE($CB1654,$CC1654,$CM1654,$CE1654,$CP1654)</f>
        <v/>
      </c>
      <c r="DY1654" s="64">
        <f>($DW1654-$DW1655)*100</f>
        <v/>
      </c>
      <c r="DZ1654" s="64">
        <f>($DX1654-$DX1655)*100</f>
        <v/>
      </c>
      <c r="EA1654" s="64">
        <f>($DW1654-$D1654)*100</f>
        <v/>
      </c>
      <c r="EB1654" s="64">
        <f>$Q1654-$O1654</f>
        <v/>
      </c>
      <c r="EC1654" s="67">
        <f>IFERROR($Q1654/$P1654,"")</f>
        <v/>
      </c>
    </row>
    <row r="1655">
      <c r="DG1655" s="64">
        <f>($B1655-$B1656)*100</f>
        <v/>
      </c>
      <c r="DH1655" s="64">
        <f>($D1655-$D1656)*100</f>
        <v/>
      </c>
      <c r="DI1655" s="64">
        <f>($E1655-$E1656)*100</f>
        <v/>
      </c>
      <c r="DJ1655" s="64">
        <f>($H1655-$H1656)*100</f>
        <v/>
      </c>
      <c r="DK1655" s="65">
        <f>IFERROR($J1655/$J1656-1,"")</f>
        <v/>
      </c>
      <c r="DL1655" s="64">
        <f>$L1655-$L1656</f>
        <v/>
      </c>
      <c r="DM1655" s="64">
        <f>$K1655-$K1656</f>
        <v/>
      </c>
      <c r="DN1655" s="65">
        <f>IFERROR($N1655/$N1656-1,"")</f>
        <v/>
      </c>
      <c r="DO1655" s="65">
        <f>IFERROR($M1655/$M1656-1,"")</f>
        <v/>
      </c>
      <c r="DP1655" s="65">
        <f>IFERROR($AZ1655/$AZ1656-1,"")</f>
        <v/>
      </c>
      <c r="DQ1655" s="65">
        <f>IFERROR($BA1655/$BA1656-1,"")</f>
        <v/>
      </c>
      <c r="DR1655" s="64">
        <f>$O1655-$O1656</f>
        <v/>
      </c>
      <c r="DS1655" s="64">
        <f>$P1655-$P1656</f>
        <v/>
      </c>
      <c r="DT1655" s="64">
        <f>$Q1655-$Q1656</f>
        <v/>
      </c>
      <c r="DU1655" s="64">
        <f>$S1655-$S1656</f>
        <v/>
      </c>
      <c r="DV1655" s="65">
        <f>IFERROR(AVERAGE($AA1656/$AA1655-1,$AB1656/$AB1655-1,$AC1656/$AC1655-1,$AD1656/$AD1655-1,$AE1656/$AE1655-1,$AG1656/$AG1655-1,$AH1656/$AH1655-1,$AI1656/$AI1655-1,$AJ1656/$AJ1655-1,$AL1656/$AL1655-1,$AM1656/$AM1655-1,$AR1656/$AR1655-1,$AS1656/$AS1655-1,$AT1656/$AT1655-1,$AU1656/$AU1655-1,$AV1656/$AV1655-1,$AW1656/$AW1655-1,$AX1656/$AX1655-1,$AY1656/$AY1655-1),"")</f>
        <v/>
      </c>
      <c r="DW1655" s="66">
        <f>AVERAGE($CB1655,$CC1655,$CD1655,$CE1655,$CF1655,$CG1655,$CH1655,$CI1655,$CJ1655,$CL1655,$CM1655,$CN1655,$CO1655,$CP1655,$CQ1655,$CR1655,$CS1655,$CT1655)</f>
        <v/>
      </c>
      <c r="DX1655" s="66">
        <f>AVERAGE($CB1655,$CC1655,$CM1655,$CE1655,$CP1655)</f>
        <v/>
      </c>
      <c r="DY1655" s="64">
        <f>($DW1655-$DW1656)*100</f>
        <v/>
      </c>
      <c r="DZ1655" s="64">
        <f>($DX1655-$DX1656)*100</f>
        <v/>
      </c>
      <c r="EA1655" s="64">
        <f>($DW1655-$D1655)*100</f>
        <v/>
      </c>
      <c r="EB1655" s="64">
        <f>$Q1655-$O1655</f>
        <v/>
      </c>
      <c r="EC1655" s="67">
        <f>IFERROR($Q1655/$P1655,"")</f>
        <v/>
      </c>
    </row>
    <row r="1656">
      <c r="DG1656" s="64">
        <f>($B1656-$B1657)*100</f>
        <v/>
      </c>
      <c r="DH1656" s="64">
        <f>($D1656-$D1657)*100</f>
        <v/>
      </c>
      <c r="DI1656" s="64">
        <f>($E1656-$E1657)*100</f>
        <v/>
      </c>
      <c r="DJ1656" s="64">
        <f>($H1656-$H1657)*100</f>
        <v/>
      </c>
      <c r="DK1656" s="65">
        <f>IFERROR($J1656/$J1657-1,"")</f>
        <v/>
      </c>
      <c r="DL1656" s="64">
        <f>$L1656-$L1657</f>
        <v/>
      </c>
      <c r="DM1656" s="64">
        <f>$K1656-$K1657</f>
        <v/>
      </c>
      <c r="DN1656" s="65">
        <f>IFERROR($N1656/$N1657-1,"")</f>
        <v/>
      </c>
      <c r="DO1656" s="65">
        <f>IFERROR($M1656/$M1657-1,"")</f>
        <v/>
      </c>
      <c r="DP1656" s="65">
        <f>IFERROR($AZ1656/$AZ1657-1,"")</f>
        <v/>
      </c>
      <c r="DQ1656" s="65">
        <f>IFERROR($BA1656/$BA1657-1,"")</f>
        <v/>
      </c>
      <c r="DR1656" s="64">
        <f>$O1656-$O1657</f>
        <v/>
      </c>
      <c r="DS1656" s="64">
        <f>$P1656-$P1657</f>
        <v/>
      </c>
      <c r="DT1656" s="64">
        <f>$Q1656-$Q1657</f>
        <v/>
      </c>
      <c r="DU1656" s="64">
        <f>$S1656-$S1657</f>
        <v/>
      </c>
      <c r="DV1656" s="65">
        <f>IFERROR(AVERAGE($AA1657/$AA1656-1,$AB1657/$AB1656-1,$AC1657/$AC1656-1,$AD1657/$AD1656-1,$AE1657/$AE1656-1,$AG1657/$AG1656-1,$AH1657/$AH1656-1,$AI1657/$AI1656-1,$AJ1657/$AJ1656-1,$AL1657/$AL1656-1,$AM1657/$AM1656-1,$AR1657/$AR1656-1,$AS1657/$AS1656-1,$AT1657/$AT1656-1,$AU1657/$AU1656-1,$AV1657/$AV1656-1,$AW1657/$AW1656-1,$AX1657/$AX1656-1,$AY1657/$AY1656-1),"")</f>
        <v/>
      </c>
      <c r="DW1656" s="66">
        <f>AVERAGE($CB1656,$CC1656,$CD1656,$CE1656,$CF1656,$CG1656,$CH1656,$CI1656,$CJ1656,$CL1656,$CM1656,$CN1656,$CO1656,$CP1656,$CQ1656,$CR1656,$CS1656,$CT1656)</f>
        <v/>
      </c>
      <c r="DX1656" s="66">
        <f>AVERAGE($CB1656,$CC1656,$CM1656,$CE1656,$CP1656)</f>
        <v/>
      </c>
      <c r="DY1656" s="64">
        <f>($DW1656-$DW1657)*100</f>
        <v/>
      </c>
      <c r="DZ1656" s="64">
        <f>($DX1656-$DX1657)*100</f>
        <v/>
      </c>
      <c r="EA1656" s="64">
        <f>($DW1656-$D1656)*100</f>
        <v/>
      </c>
      <c r="EB1656" s="64">
        <f>$Q1656-$O1656</f>
        <v/>
      </c>
      <c r="EC1656" s="67">
        <f>IFERROR($Q1656/$P1656,"")</f>
        <v/>
      </c>
    </row>
    <row r="1657">
      <c r="DG1657" s="64">
        <f>($B1657-$B1658)*100</f>
        <v/>
      </c>
      <c r="DH1657" s="64">
        <f>($D1657-$D1658)*100</f>
        <v/>
      </c>
      <c r="DI1657" s="64">
        <f>($E1657-$E1658)*100</f>
        <v/>
      </c>
      <c r="DJ1657" s="64">
        <f>($H1657-$H1658)*100</f>
        <v/>
      </c>
      <c r="DK1657" s="65">
        <f>IFERROR($J1657/$J1658-1,"")</f>
        <v/>
      </c>
      <c r="DL1657" s="64">
        <f>$L1657-$L1658</f>
        <v/>
      </c>
      <c r="DM1657" s="64">
        <f>$K1657-$K1658</f>
        <v/>
      </c>
      <c r="DN1657" s="65">
        <f>IFERROR($N1657/$N1658-1,"")</f>
        <v/>
      </c>
      <c r="DO1657" s="65">
        <f>IFERROR($M1657/$M1658-1,"")</f>
        <v/>
      </c>
      <c r="DP1657" s="65">
        <f>IFERROR($AZ1657/$AZ1658-1,"")</f>
        <v/>
      </c>
      <c r="DQ1657" s="65">
        <f>IFERROR($BA1657/$BA1658-1,"")</f>
        <v/>
      </c>
      <c r="DR1657" s="64">
        <f>$O1657-$O1658</f>
        <v/>
      </c>
      <c r="DS1657" s="64">
        <f>$P1657-$P1658</f>
        <v/>
      </c>
      <c r="DT1657" s="64">
        <f>$Q1657-$Q1658</f>
        <v/>
      </c>
      <c r="DU1657" s="64">
        <f>$S1657-$S1658</f>
        <v/>
      </c>
      <c r="DV1657" s="65">
        <f>IFERROR(AVERAGE($AA1658/$AA1657-1,$AB1658/$AB1657-1,$AC1658/$AC1657-1,$AD1658/$AD1657-1,$AE1658/$AE1657-1,$AG1658/$AG1657-1,$AH1658/$AH1657-1,$AI1658/$AI1657-1,$AJ1658/$AJ1657-1,$AL1658/$AL1657-1,$AM1658/$AM1657-1,$AR1658/$AR1657-1,$AS1658/$AS1657-1,$AT1658/$AT1657-1,$AU1658/$AU1657-1,$AV1658/$AV1657-1,$AW1658/$AW1657-1,$AX1658/$AX1657-1,$AY1658/$AY1657-1),"")</f>
        <v/>
      </c>
      <c r="DW1657" s="66">
        <f>AVERAGE($CB1657,$CC1657,$CD1657,$CE1657,$CF1657,$CG1657,$CH1657,$CI1657,$CJ1657,$CL1657,$CM1657,$CN1657,$CO1657,$CP1657,$CQ1657,$CR1657,$CS1657,$CT1657)</f>
        <v/>
      </c>
      <c r="DX1657" s="66">
        <f>AVERAGE($CB1657,$CC1657,$CM1657,$CE1657,$CP1657)</f>
        <v/>
      </c>
      <c r="DY1657" s="64">
        <f>($DW1657-$DW1658)*100</f>
        <v/>
      </c>
      <c r="DZ1657" s="64">
        <f>($DX1657-$DX1658)*100</f>
        <v/>
      </c>
      <c r="EA1657" s="64">
        <f>($DW1657-$D1657)*100</f>
        <v/>
      </c>
      <c r="EB1657" s="64">
        <f>$Q1657-$O1657</f>
        <v/>
      </c>
      <c r="EC1657" s="67">
        <f>IFERROR($Q1657/$P1657,"")</f>
        <v/>
      </c>
    </row>
    <row r="1658">
      <c r="DG1658" s="64">
        <f>($B1658-$B1659)*100</f>
        <v/>
      </c>
      <c r="DH1658" s="64">
        <f>($D1658-$D1659)*100</f>
        <v/>
      </c>
      <c r="DI1658" s="64">
        <f>($E1658-$E1659)*100</f>
        <v/>
      </c>
      <c r="DJ1658" s="64">
        <f>($H1658-$H1659)*100</f>
        <v/>
      </c>
      <c r="DK1658" s="65">
        <f>IFERROR($J1658/$J1659-1,"")</f>
        <v/>
      </c>
      <c r="DL1658" s="64">
        <f>$L1658-$L1659</f>
        <v/>
      </c>
      <c r="DM1658" s="64">
        <f>$K1658-$K1659</f>
        <v/>
      </c>
      <c r="DN1658" s="65">
        <f>IFERROR($N1658/$N1659-1,"")</f>
        <v/>
      </c>
      <c r="DO1658" s="65">
        <f>IFERROR($M1658/$M1659-1,"")</f>
        <v/>
      </c>
      <c r="DP1658" s="65">
        <f>IFERROR($AZ1658/$AZ1659-1,"")</f>
        <v/>
      </c>
      <c r="DQ1658" s="65">
        <f>IFERROR($BA1658/$BA1659-1,"")</f>
        <v/>
      </c>
      <c r="DR1658" s="64">
        <f>$O1658-$O1659</f>
        <v/>
      </c>
      <c r="DS1658" s="64">
        <f>$P1658-$P1659</f>
        <v/>
      </c>
      <c r="DT1658" s="64">
        <f>$Q1658-$Q1659</f>
        <v/>
      </c>
      <c r="DU1658" s="64">
        <f>$S1658-$S1659</f>
        <v/>
      </c>
      <c r="DV1658" s="65">
        <f>IFERROR(AVERAGE($AA1659/$AA1658-1,$AB1659/$AB1658-1,$AC1659/$AC1658-1,$AD1659/$AD1658-1,$AE1659/$AE1658-1,$AG1659/$AG1658-1,$AH1659/$AH1658-1,$AI1659/$AI1658-1,$AJ1659/$AJ1658-1,$AL1659/$AL1658-1,$AM1659/$AM1658-1,$AR1659/$AR1658-1,$AS1659/$AS1658-1,$AT1659/$AT1658-1,$AU1659/$AU1658-1,$AV1659/$AV1658-1,$AW1659/$AW1658-1,$AX1659/$AX1658-1,$AY1659/$AY1658-1),"")</f>
        <v/>
      </c>
      <c r="DW1658" s="66">
        <f>AVERAGE($CB1658,$CC1658,$CD1658,$CE1658,$CF1658,$CG1658,$CH1658,$CI1658,$CJ1658,$CL1658,$CM1658,$CN1658,$CO1658,$CP1658,$CQ1658,$CR1658,$CS1658,$CT1658)</f>
        <v/>
      </c>
      <c r="DX1658" s="66">
        <f>AVERAGE($CB1658,$CC1658,$CM1658,$CE1658,$CP1658)</f>
        <v/>
      </c>
      <c r="DY1658" s="64">
        <f>($DW1658-$DW1659)*100</f>
        <v/>
      </c>
      <c r="DZ1658" s="64">
        <f>($DX1658-$DX1659)*100</f>
        <v/>
      </c>
      <c r="EA1658" s="64">
        <f>($DW1658-$D1658)*100</f>
        <v/>
      </c>
      <c r="EB1658" s="64">
        <f>$Q1658-$O1658</f>
        <v/>
      </c>
      <c r="EC1658" s="67">
        <f>IFERROR($Q1658/$P1658,"")</f>
        <v/>
      </c>
    </row>
    <row r="1659">
      <c r="DG1659" s="64">
        <f>($B1659-$B1660)*100</f>
        <v/>
      </c>
      <c r="DH1659" s="64">
        <f>($D1659-$D1660)*100</f>
        <v/>
      </c>
      <c r="DI1659" s="64">
        <f>($E1659-$E1660)*100</f>
        <v/>
      </c>
      <c r="DJ1659" s="64">
        <f>($H1659-$H1660)*100</f>
        <v/>
      </c>
      <c r="DK1659" s="65">
        <f>IFERROR($J1659/$J1660-1,"")</f>
        <v/>
      </c>
      <c r="DL1659" s="64">
        <f>$L1659-$L1660</f>
        <v/>
      </c>
      <c r="DM1659" s="64">
        <f>$K1659-$K1660</f>
        <v/>
      </c>
      <c r="DN1659" s="65">
        <f>IFERROR($N1659/$N1660-1,"")</f>
        <v/>
      </c>
      <c r="DO1659" s="65">
        <f>IFERROR($M1659/$M1660-1,"")</f>
        <v/>
      </c>
      <c r="DP1659" s="65">
        <f>IFERROR($AZ1659/$AZ1660-1,"")</f>
        <v/>
      </c>
      <c r="DQ1659" s="65">
        <f>IFERROR($BA1659/$BA1660-1,"")</f>
        <v/>
      </c>
      <c r="DR1659" s="64">
        <f>$O1659-$O1660</f>
        <v/>
      </c>
      <c r="DS1659" s="64">
        <f>$P1659-$P1660</f>
        <v/>
      </c>
      <c r="DT1659" s="64">
        <f>$Q1659-$Q1660</f>
        <v/>
      </c>
      <c r="DU1659" s="64">
        <f>$S1659-$S1660</f>
        <v/>
      </c>
      <c r="DV1659" s="65">
        <f>IFERROR(AVERAGE($AA1660/$AA1659-1,$AB1660/$AB1659-1,$AC1660/$AC1659-1,$AD1660/$AD1659-1,$AE1660/$AE1659-1,$AG1660/$AG1659-1,$AH1660/$AH1659-1,$AI1660/$AI1659-1,$AJ1660/$AJ1659-1,$AL1660/$AL1659-1,$AM1660/$AM1659-1,$AR1660/$AR1659-1,$AS1660/$AS1659-1,$AT1660/$AT1659-1,$AU1660/$AU1659-1,$AV1660/$AV1659-1,$AW1660/$AW1659-1,$AX1660/$AX1659-1,$AY1660/$AY1659-1),"")</f>
        <v/>
      </c>
      <c r="DW1659" s="66">
        <f>AVERAGE($CB1659,$CC1659,$CD1659,$CE1659,$CF1659,$CG1659,$CH1659,$CI1659,$CJ1659,$CL1659,$CM1659,$CN1659,$CO1659,$CP1659,$CQ1659,$CR1659,$CS1659,$CT1659)</f>
        <v/>
      </c>
      <c r="DX1659" s="66">
        <f>AVERAGE($CB1659,$CC1659,$CM1659,$CE1659,$CP1659)</f>
        <v/>
      </c>
      <c r="DY1659" s="64">
        <f>($DW1659-$DW1660)*100</f>
        <v/>
      </c>
      <c r="DZ1659" s="64">
        <f>($DX1659-$DX1660)*100</f>
        <v/>
      </c>
      <c r="EA1659" s="64">
        <f>($DW1659-$D1659)*100</f>
        <v/>
      </c>
      <c r="EB1659" s="64">
        <f>$Q1659-$O1659</f>
        <v/>
      </c>
      <c r="EC1659" s="67">
        <f>IFERROR($Q1659/$P1659,"")</f>
        <v/>
      </c>
    </row>
    <row r="1660">
      <c r="DG1660" s="64">
        <f>($B1660-$B1661)*100</f>
        <v/>
      </c>
      <c r="DH1660" s="64">
        <f>($D1660-$D1661)*100</f>
        <v/>
      </c>
      <c r="DI1660" s="64">
        <f>($E1660-$E1661)*100</f>
        <v/>
      </c>
      <c r="DJ1660" s="64">
        <f>($H1660-$H1661)*100</f>
        <v/>
      </c>
      <c r="DK1660" s="65">
        <f>IFERROR($J1660/$J1661-1,"")</f>
        <v/>
      </c>
      <c r="DL1660" s="64">
        <f>$L1660-$L1661</f>
        <v/>
      </c>
      <c r="DM1660" s="64">
        <f>$K1660-$K1661</f>
        <v/>
      </c>
      <c r="DN1660" s="65">
        <f>IFERROR($N1660/$N1661-1,"")</f>
        <v/>
      </c>
      <c r="DO1660" s="65">
        <f>IFERROR($M1660/$M1661-1,"")</f>
        <v/>
      </c>
      <c r="DP1660" s="65">
        <f>IFERROR($AZ1660/$AZ1661-1,"")</f>
        <v/>
      </c>
      <c r="DQ1660" s="65">
        <f>IFERROR($BA1660/$BA1661-1,"")</f>
        <v/>
      </c>
      <c r="DR1660" s="64">
        <f>$O1660-$O1661</f>
        <v/>
      </c>
      <c r="DS1660" s="64">
        <f>$P1660-$P1661</f>
        <v/>
      </c>
      <c r="DT1660" s="64">
        <f>$Q1660-$Q1661</f>
        <v/>
      </c>
      <c r="DU1660" s="64">
        <f>$S1660-$S1661</f>
        <v/>
      </c>
      <c r="DV1660" s="65">
        <f>IFERROR(AVERAGE($AA1661/$AA1660-1,$AB1661/$AB1660-1,$AC1661/$AC1660-1,$AD1661/$AD1660-1,$AE1661/$AE1660-1,$AG1661/$AG1660-1,$AH1661/$AH1660-1,$AI1661/$AI1660-1,$AJ1661/$AJ1660-1,$AL1661/$AL1660-1,$AM1661/$AM1660-1,$AR1661/$AR1660-1,$AS1661/$AS1660-1,$AT1661/$AT1660-1,$AU1661/$AU1660-1,$AV1661/$AV1660-1,$AW1661/$AW1660-1,$AX1661/$AX1660-1,$AY1661/$AY1660-1),"")</f>
        <v/>
      </c>
      <c r="DW1660" s="66">
        <f>AVERAGE($CB1660,$CC1660,$CD1660,$CE1660,$CF1660,$CG1660,$CH1660,$CI1660,$CJ1660,$CL1660,$CM1660,$CN1660,$CO1660,$CP1660,$CQ1660,$CR1660,$CS1660,$CT1660)</f>
        <v/>
      </c>
      <c r="DX1660" s="66">
        <f>AVERAGE($CB1660,$CC1660,$CM1660,$CE1660,$CP1660)</f>
        <v/>
      </c>
      <c r="DY1660" s="64">
        <f>($DW1660-$DW1661)*100</f>
        <v/>
      </c>
      <c r="DZ1660" s="64">
        <f>($DX1660-$DX1661)*100</f>
        <v/>
      </c>
      <c r="EA1660" s="64">
        <f>($DW1660-$D1660)*100</f>
        <v/>
      </c>
      <c r="EB1660" s="64">
        <f>$Q1660-$O1660</f>
        <v/>
      </c>
      <c r="EC1660" s="67">
        <f>IFERROR($Q1660/$P1660,"")</f>
        <v/>
      </c>
    </row>
    <row r="1661">
      <c r="DG1661" s="64">
        <f>($B1661-$B1662)*100</f>
        <v/>
      </c>
      <c r="DH1661" s="64">
        <f>($D1661-$D1662)*100</f>
        <v/>
      </c>
      <c r="DI1661" s="64">
        <f>($E1661-$E1662)*100</f>
        <v/>
      </c>
      <c r="DJ1661" s="64">
        <f>($H1661-$H1662)*100</f>
        <v/>
      </c>
      <c r="DK1661" s="65">
        <f>IFERROR($J1661/$J1662-1,"")</f>
        <v/>
      </c>
      <c r="DL1661" s="64">
        <f>$L1661-$L1662</f>
        <v/>
      </c>
      <c r="DM1661" s="64">
        <f>$K1661-$K1662</f>
        <v/>
      </c>
      <c r="DN1661" s="65">
        <f>IFERROR($N1661/$N1662-1,"")</f>
        <v/>
      </c>
      <c r="DO1661" s="65">
        <f>IFERROR($M1661/$M1662-1,"")</f>
        <v/>
      </c>
      <c r="DP1661" s="65">
        <f>IFERROR($AZ1661/$AZ1662-1,"")</f>
        <v/>
      </c>
      <c r="DQ1661" s="65">
        <f>IFERROR($BA1661/$BA1662-1,"")</f>
        <v/>
      </c>
      <c r="DR1661" s="64">
        <f>$O1661-$O1662</f>
        <v/>
      </c>
      <c r="DS1661" s="64">
        <f>$P1661-$P1662</f>
        <v/>
      </c>
      <c r="DT1661" s="64">
        <f>$Q1661-$Q1662</f>
        <v/>
      </c>
      <c r="DU1661" s="64">
        <f>$S1661-$S1662</f>
        <v/>
      </c>
      <c r="DV1661" s="65">
        <f>IFERROR(AVERAGE($AA1662/$AA1661-1,$AB1662/$AB1661-1,$AC1662/$AC1661-1,$AD1662/$AD1661-1,$AE1662/$AE1661-1,$AG1662/$AG1661-1,$AH1662/$AH1661-1,$AI1662/$AI1661-1,$AJ1662/$AJ1661-1,$AL1662/$AL1661-1,$AM1662/$AM1661-1,$AR1662/$AR1661-1,$AS1662/$AS1661-1,$AT1662/$AT1661-1,$AU1662/$AU1661-1,$AV1662/$AV1661-1,$AW1662/$AW1661-1,$AX1662/$AX1661-1,$AY1662/$AY1661-1),"")</f>
        <v/>
      </c>
      <c r="DW1661" s="66">
        <f>AVERAGE($CB1661,$CC1661,$CD1661,$CE1661,$CF1661,$CG1661,$CH1661,$CI1661,$CJ1661,$CL1661,$CM1661,$CN1661,$CO1661,$CP1661,$CQ1661,$CR1661,$CS1661,$CT1661)</f>
        <v/>
      </c>
      <c r="DX1661" s="66">
        <f>AVERAGE($CB1661,$CC1661,$CM1661,$CE1661,$CP1661)</f>
        <v/>
      </c>
      <c r="DY1661" s="64">
        <f>($DW1661-$DW1662)*100</f>
        <v/>
      </c>
      <c r="DZ1661" s="64">
        <f>($DX1661-$DX1662)*100</f>
        <v/>
      </c>
      <c r="EA1661" s="64">
        <f>($DW1661-$D1661)*100</f>
        <v/>
      </c>
      <c r="EB1661" s="64">
        <f>$Q1661-$O1661</f>
        <v/>
      </c>
      <c r="EC1661" s="67">
        <f>IFERROR($Q1661/$P1661,"")</f>
        <v/>
      </c>
    </row>
    <row r="1662">
      <c r="DG1662" s="64">
        <f>($B1662-$B1663)*100</f>
        <v/>
      </c>
      <c r="DH1662" s="64">
        <f>($D1662-$D1663)*100</f>
        <v/>
      </c>
      <c r="DI1662" s="64">
        <f>($E1662-$E1663)*100</f>
        <v/>
      </c>
      <c r="DJ1662" s="64">
        <f>($H1662-$H1663)*100</f>
        <v/>
      </c>
      <c r="DK1662" s="65">
        <f>IFERROR($J1662/$J1663-1,"")</f>
        <v/>
      </c>
      <c r="DL1662" s="64">
        <f>$L1662-$L1663</f>
        <v/>
      </c>
      <c r="DM1662" s="64">
        <f>$K1662-$K1663</f>
        <v/>
      </c>
      <c r="DN1662" s="65">
        <f>IFERROR($N1662/$N1663-1,"")</f>
        <v/>
      </c>
      <c r="DO1662" s="65">
        <f>IFERROR($M1662/$M1663-1,"")</f>
        <v/>
      </c>
      <c r="DP1662" s="65">
        <f>IFERROR($AZ1662/$AZ1663-1,"")</f>
        <v/>
      </c>
      <c r="DQ1662" s="65">
        <f>IFERROR($BA1662/$BA1663-1,"")</f>
        <v/>
      </c>
      <c r="DR1662" s="64">
        <f>$O1662-$O1663</f>
        <v/>
      </c>
      <c r="DS1662" s="64">
        <f>$P1662-$P1663</f>
        <v/>
      </c>
      <c r="DT1662" s="64">
        <f>$Q1662-$Q1663</f>
        <v/>
      </c>
      <c r="DU1662" s="64">
        <f>$S1662-$S1663</f>
        <v/>
      </c>
      <c r="DV1662" s="65">
        <f>IFERROR(AVERAGE($AA1663/$AA1662-1,$AB1663/$AB1662-1,$AC1663/$AC1662-1,$AD1663/$AD1662-1,$AE1663/$AE1662-1,$AG1663/$AG1662-1,$AH1663/$AH1662-1,$AI1663/$AI1662-1,$AJ1663/$AJ1662-1,$AL1663/$AL1662-1,$AM1663/$AM1662-1,$AR1663/$AR1662-1,$AS1663/$AS1662-1,$AT1663/$AT1662-1,$AU1663/$AU1662-1,$AV1663/$AV1662-1,$AW1663/$AW1662-1,$AX1663/$AX1662-1,$AY1663/$AY1662-1),"")</f>
        <v/>
      </c>
      <c r="DW1662" s="66">
        <f>AVERAGE($CB1662,$CC1662,$CD1662,$CE1662,$CF1662,$CG1662,$CH1662,$CI1662,$CJ1662,$CL1662,$CM1662,$CN1662,$CO1662,$CP1662,$CQ1662,$CR1662,$CS1662,$CT1662)</f>
        <v/>
      </c>
      <c r="DX1662" s="66">
        <f>AVERAGE($CB1662,$CC1662,$CM1662,$CE1662,$CP1662)</f>
        <v/>
      </c>
      <c r="DY1662" s="64">
        <f>($DW1662-$DW1663)*100</f>
        <v/>
      </c>
      <c r="DZ1662" s="64">
        <f>($DX1662-$DX1663)*100</f>
        <v/>
      </c>
      <c r="EA1662" s="64">
        <f>($DW1662-$D1662)*100</f>
        <v/>
      </c>
      <c r="EB1662" s="64">
        <f>$Q1662-$O1662</f>
        <v/>
      </c>
      <c r="EC1662" s="67">
        <f>IFERROR($Q1662/$P1662,"")</f>
        <v/>
      </c>
    </row>
    <row r="1663">
      <c r="DG1663" s="64">
        <f>($B1663-$B1664)*100</f>
        <v/>
      </c>
      <c r="DH1663" s="64">
        <f>($D1663-$D1664)*100</f>
        <v/>
      </c>
      <c r="DI1663" s="64">
        <f>($E1663-$E1664)*100</f>
        <v/>
      </c>
      <c r="DJ1663" s="64">
        <f>($H1663-$H1664)*100</f>
        <v/>
      </c>
      <c r="DK1663" s="65">
        <f>IFERROR($J1663/$J1664-1,"")</f>
        <v/>
      </c>
      <c r="DL1663" s="64">
        <f>$L1663-$L1664</f>
        <v/>
      </c>
      <c r="DM1663" s="64">
        <f>$K1663-$K1664</f>
        <v/>
      </c>
      <c r="DN1663" s="65">
        <f>IFERROR($N1663/$N1664-1,"")</f>
        <v/>
      </c>
      <c r="DO1663" s="65">
        <f>IFERROR($M1663/$M1664-1,"")</f>
        <v/>
      </c>
      <c r="DP1663" s="65">
        <f>IFERROR($AZ1663/$AZ1664-1,"")</f>
        <v/>
      </c>
      <c r="DQ1663" s="65">
        <f>IFERROR($BA1663/$BA1664-1,"")</f>
        <v/>
      </c>
      <c r="DR1663" s="64">
        <f>$O1663-$O1664</f>
        <v/>
      </c>
      <c r="DS1663" s="64">
        <f>$P1663-$P1664</f>
        <v/>
      </c>
      <c r="DT1663" s="64">
        <f>$Q1663-$Q1664</f>
        <v/>
      </c>
      <c r="DU1663" s="64">
        <f>$S1663-$S1664</f>
        <v/>
      </c>
      <c r="DV1663" s="65">
        <f>IFERROR(AVERAGE($AA1664/$AA1663-1,$AB1664/$AB1663-1,$AC1664/$AC1663-1,$AD1664/$AD1663-1,$AE1664/$AE1663-1,$AG1664/$AG1663-1,$AH1664/$AH1663-1,$AI1664/$AI1663-1,$AJ1664/$AJ1663-1,$AL1664/$AL1663-1,$AM1664/$AM1663-1,$AR1664/$AR1663-1,$AS1664/$AS1663-1,$AT1664/$AT1663-1,$AU1664/$AU1663-1,$AV1664/$AV1663-1,$AW1664/$AW1663-1,$AX1664/$AX1663-1,$AY1664/$AY1663-1),"")</f>
        <v/>
      </c>
      <c r="DW1663" s="66">
        <f>AVERAGE($CB1663,$CC1663,$CD1663,$CE1663,$CF1663,$CG1663,$CH1663,$CI1663,$CJ1663,$CL1663,$CM1663,$CN1663,$CO1663,$CP1663,$CQ1663,$CR1663,$CS1663,$CT1663)</f>
        <v/>
      </c>
      <c r="DX1663" s="66">
        <f>AVERAGE($CB1663,$CC1663,$CM1663,$CE1663,$CP1663)</f>
        <v/>
      </c>
      <c r="DY1663" s="64">
        <f>($DW1663-$DW1664)*100</f>
        <v/>
      </c>
      <c r="DZ1663" s="64">
        <f>($DX1663-$DX1664)*100</f>
        <v/>
      </c>
      <c r="EA1663" s="64">
        <f>($DW1663-$D1663)*100</f>
        <v/>
      </c>
      <c r="EB1663" s="64">
        <f>$Q1663-$O1663</f>
        <v/>
      </c>
      <c r="EC1663" s="67">
        <f>IFERROR($Q1663/$P1663,"")</f>
        <v/>
      </c>
    </row>
    <row r="1664">
      <c r="DG1664" s="64">
        <f>($B1664-$B1665)*100</f>
        <v/>
      </c>
      <c r="DH1664" s="64">
        <f>($D1664-$D1665)*100</f>
        <v/>
      </c>
      <c r="DI1664" s="64">
        <f>($E1664-$E1665)*100</f>
        <v/>
      </c>
      <c r="DJ1664" s="64">
        <f>($H1664-$H1665)*100</f>
        <v/>
      </c>
      <c r="DK1664" s="65">
        <f>IFERROR($J1664/$J1665-1,"")</f>
        <v/>
      </c>
      <c r="DL1664" s="64">
        <f>$L1664-$L1665</f>
        <v/>
      </c>
      <c r="DM1664" s="64">
        <f>$K1664-$K1665</f>
        <v/>
      </c>
      <c r="DN1664" s="65">
        <f>IFERROR($N1664/$N1665-1,"")</f>
        <v/>
      </c>
      <c r="DO1664" s="65">
        <f>IFERROR($M1664/$M1665-1,"")</f>
        <v/>
      </c>
      <c r="DP1664" s="65">
        <f>IFERROR($AZ1664/$AZ1665-1,"")</f>
        <v/>
      </c>
      <c r="DQ1664" s="65">
        <f>IFERROR($BA1664/$BA1665-1,"")</f>
        <v/>
      </c>
      <c r="DR1664" s="64">
        <f>$O1664-$O1665</f>
        <v/>
      </c>
      <c r="DS1664" s="64">
        <f>$P1664-$P1665</f>
        <v/>
      </c>
      <c r="DT1664" s="64">
        <f>$Q1664-$Q1665</f>
        <v/>
      </c>
      <c r="DU1664" s="64">
        <f>$S1664-$S1665</f>
        <v/>
      </c>
      <c r="DV1664" s="65">
        <f>IFERROR(AVERAGE($AA1665/$AA1664-1,$AB1665/$AB1664-1,$AC1665/$AC1664-1,$AD1665/$AD1664-1,$AE1665/$AE1664-1,$AG1665/$AG1664-1,$AH1665/$AH1664-1,$AI1665/$AI1664-1,$AJ1665/$AJ1664-1,$AL1665/$AL1664-1,$AM1665/$AM1664-1,$AR1665/$AR1664-1,$AS1665/$AS1664-1,$AT1665/$AT1664-1,$AU1665/$AU1664-1,$AV1665/$AV1664-1,$AW1665/$AW1664-1,$AX1665/$AX1664-1,$AY1665/$AY1664-1),"")</f>
        <v/>
      </c>
      <c r="DW1664" s="66">
        <f>AVERAGE($CB1664,$CC1664,$CD1664,$CE1664,$CF1664,$CG1664,$CH1664,$CI1664,$CJ1664,$CL1664,$CM1664,$CN1664,$CO1664,$CP1664,$CQ1664,$CR1664,$CS1664,$CT1664)</f>
        <v/>
      </c>
      <c r="DX1664" s="66">
        <f>AVERAGE($CB1664,$CC1664,$CM1664,$CE1664,$CP1664)</f>
        <v/>
      </c>
      <c r="DY1664" s="64">
        <f>($DW1664-$DW1665)*100</f>
        <v/>
      </c>
      <c r="DZ1664" s="64">
        <f>($DX1664-$DX1665)*100</f>
        <v/>
      </c>
      <c r="EA1664" s="64">
        <f>($DW1664-$D1664)*100</f>
        <v/>
      </c>
      <c r="EB1664" s="64">
        <f>$Q1664-$O1664</f>
        <v/>
      </c>
      <c r="EC1664" s="67">
        <f>IFERROR($Q1664/$P1664,"")</f>
        <v/>
      </c>
    </row>
    <row r="1665">
      <c r="DG1665" s="64">
        <f>($B1665-$B1666)*100</f>
        <v/>
      </c>
      <c r="DH1665" s="64">
        <f>($D1665-$D1666)*100</f>
        <v/>
      </c>
      <c r="DI1665" s="64">
        <f>($E1665-$E1666)*100</f>
        <v/>
      </c>
      <c r="DJ1665" s="64">
        <f>($H1665-$H1666)*100</f>
        <v/>
      </c>
      <c r="DK1665" s="65">
        <f>IFERROR($J1665/$J1666-1,"")</f>
        <v/>
      </c>
      <c r="DL1665" s="64">
        <f>$L1665-$L1666</f>
        <v/>
      </c>
      <c r="DM1665" s="64">
        <f>$K1665-$K1666</f>
        <v/>
      </c>
      <c r="DN1665" s="65">
        <f>IFERROR($N1665/$N1666-1,"")</f>
        <v/>
      </c>
      <c r="DO1665" s="65">
        <f>IFERROR($M1665/$M1666-1,"")</f>
        <v/>
      </c>
      <c r="DP1665" s="65">
        <f>IFERROR($AZ1665/$AZ1666-1,"")</f>
        <v/>
      </c>
      <c r="DQ1665" s="65">
        <f>IFERROR($BA1665/$BA1666-1,"")</f>
        <v/>
      </c>
      <c r="DR1665" s="64">
        <f>$O1665-$O1666</f>
        <v/>
      </c>
      <c r="DS1665" s="64">
        <f>$P1665-$P1666</f>
        <v/>
      </c>
      <c r="DT1665" s="64">
        <f>$Q1665-$Q1666</f>
        <v/>
      </c>
      <c r="DU1665" s="64">
        <f>$S1665-$S1666</f>
        <v/>
      </c>
      <c r="DV1665" s="65">
        <f>IFERROR(AVERAGE($AA1666/$AA1665-1,$AB1666/$AB1665-1,$AC1666/$AC1665-1,$AD1666/$AD1665-1,$AE1666/$AE1665-1,$AG1666/$AG1665-1,$AH1666/$AH1665-1,$AI1666/$AI1665-1,$AJ1666/$AJ1665-1,$AL1666/$AL1665-1,$AM1666/$AM1665-1,$AR1666/$AR1665-1,$AS1666/$AS1665-1,$AT1666/$AT1665-1,$AU1666/$AU1665-1,$AV1666/$AV1665-1,$AW1666/$AW1665-1,$AX1666/$AX1665-1,$AY1666/$AY1665-1),"")</f>
        <v/>
      </c>
      <c r="DW1665" s="66">
        <f>AVERAGE($CB1665,$CC1665,$CD1665,$CE1665,$CF1665,$CG1665,$CH1665,$CI1665,$CJ1665,$CL1665,$CM1665,$CN1665,$CO1665,$CP1665,$CQ1665,$CR1665,$CS1665,$CT1665)</f>
        <v/>
      </c>
      <c r="DX1665" s="66">
        <f>AVERAGE($CB1665,$CC1665,$CM1665,$CE1665,$CP1665)</f>
        <v/>
      </c>
      <c r="DY1665" s="64">
        <f>($DW1665-$DW1666)*100</f>
        <v/>
      </c>
      <c r="DZ1665" s="64">
        <f>($DX1665-$DX1666)*100</f>
        <v/>
      </c>
      <c r="EA1665" s="64">
        <f>($DW1665-$D1665)*100</f>
        <v/>
      </c>
      <c r="EB1665" s="64">
        <f>$Q1665-$O1665</f>
        <v/>
      </c>
      <c r="EC1665" s="67">
        <f>IFERROR($Q1665/$P1665,"")</f>
        <v/>
      </c>
    </row>
    <row r="1666">
      <c r="DG1666" s="64">
        <f>($B1666-$B1667)*100</f>
        <v/>
      </c>
      <c r="DH1666" s="64">
        <f>($D1666-$D1667)*100</f>
        <v/>
      </c>
      <c r="DI1666" s="64">
        <f>($E1666-$E1667)*100</f>
        <v/>
      </c>
      <c r="DJ1666" s="64">
        <f>($H1666-$H1667)*100</f>
        <v/>
      </c>
      <c r="DK1666" s="65">
        <f>IFERROR($J1666/$J1667-1,"")</f>
        <v/>
      </c>
      <c r="DL1666" s="64">
        <f>$L1666-$L1667</f>
        <v/>
      </c>
      <c r="DM1666" s="64">
        <f>$K1666-$K1667</f>
        <v/>
      </c>
      <c r="DN1666" s="65">
        <f>IFERROR($N1666/$N1667-1,"")</f>
        <v/>
      </c>
      <c r="DO1666" s="65">
        <f>IFERROR($M1666/$M1667-1,"")</f>
        <v/>
      </c>
      <c r="DP1666" s="65">
        <f>IFERROR($AZ1666/$AZ1667-1,"")</f>
        <v/>
      </c>
      <c r="DQ1666" s="65">
        <f>IFERROR($BA1666/$BA1667-1,"")</f>
        <v/>
      </c>
      <c r="DR1666" s="64">
        <f>$O1666-$O1667</f>
        <v/>
      </c>
      <c r="DS1666" s="64">
        <f>$P1666-$P1667</f>
        <v/>
      </c>
      <c r="DT1666" s="64">
        <f>$Q1666-$Q1667</f>
        <v/>
      </c>
      <c r="DU1666" s="64">
        <f>$S1666-$S1667</f>
        <v/>
      </c>
      <c r="DV1666" s="65">
        <f>IFERROR(AVERAGE($AA1667/$AA1666-1,$AB1667/$AB1666-1,$AC1667/$AC1666-1,$AD1667/$AD1666-1,$AE1667/$AE1666-1,$AG1667/$AG1666-1,$AH1667/$AH1666-1,$AI1667/$AI1666-1,$AJ1667/$AJ1666-1,$AL1667/$AL1666-1,$AM1667/$AM1666-1,$AR1667/$AR1666-1,$AS1667/$AS1666-1,$AT1667/$AT1666-1,$AU1667/$AU1666-1,$AV1667/$AV1666-1,$AW1667/$AW1666-1,$AX1667/$AX1666-1,$AY1667/$AY1666-1),"")</f>
        <v/>
      </c>
      <c r="DW1666" s="66">
        <f>AVERAGE($CB1666,$CC1666,$CD1666,$CE1666,$CF1666,$CG1666,$CH1666,$CI1666,$CJ1666,$CL1666,$CM1666,$CN1666,$CO1666,$CP1666,$CQ1666,$CR1666,$CS1666,$CT1666)</f>
        <v/>
      </c>
      <c r="DX1666" s="66">
        <f>AVERAGE($CB1666,$CC1666,$CM1666,$CE1666,$CP1666)</f>
        <v/>
      </c>
      <c r="DY1666" s="64">
        <f>($DW1666-$DW1667)*100</f>
        <v/>
      </c>
      <c r="DZ1666" s="64">
        <f>($DX1666-$DX1667)*100</f>
        <v/>
      </c>
      <c r="EA1666" s="64">
        <f>($DW1666-$D1666)*100</f>
        <v/>
      </c>
      <c r="EB1666" s="64">
        <f>$Q1666-$O1666</f>
        <v/>
      </c>
      <c r="EC1666" s="67">
        <f>IFERROR($Q1666/$P1666,"")</f>
        <v/>
      </c>
    </row>
    <row r="1667">
      <c r="DG1667" s="64">
        <f>($B1667-$B1668)*100</f>
        <v/>
      </c>
      <c r="DH1667" s="64">
        <f>($D1667-$D1668)*100</f>
        <v/>
      </c>
      <c r="DI1667" s="64">
        <f>($E1667-$E1668)*100</f>
        <v/>
      </c>
      <c r="DJ1667" s="64">
        <f>($H1667-$H1668)*100</f>
        <v/>
      </c>
      <c r="DK1667" s="65">
        <f>IFERROR($J1667/$J1668-1,"")</f>
        <v/>
      </c>
      <c r="DL1667" s="64">
        <f>$L1667-$L1668</f>
        <v/>
      </c>
      <c r="DM1667" s="64">
        <f>$K1667-$K1668</f>
        <v/>
      </c>
      <c r="DN1667" s="65">
        <f>IFERROR($N1667/$N1668-1,"")</f>
        <v/>
      </c>
      <c r="DO1667" s="65">
        <f>IFERROR($M1667/$M1668-1,"")</f>
        <v/>
      </c>
      <c r="DP1667" s="65">
        <f>IFERROR($AZ1667/$AZ1668-1,"")</f>
        <v/>
      </c>
      <c r="DQ1667" s="65">
        <f>IFERROR($BA1667/$BA1668-1,"")</f>
        <v/>
      </c>
      <c r="DR1667" s="64">
        <f>$O1667-$O1668</f>
        <v/>
      </c>
      <c r="DS1667" s="64">
        <f>$P1667-$P1668</f>
        <v/>
      </c>
      <c r="DT1667" s="64">
        <f>$Q1667-$Q1668</f>
        <v/>
      </c>
      <c r="DU1667" s="64">
        <f>$S1667-$S1668</f>
        <v/>
      </c>
      <c r="DV1667" s="65">
        <f>IFERROR(AVERAGE($AA1668/$AA1667-1,$AB1668/$AB1667-1,$AC1668/$AC1667-1,$AD1668/$AD1667-1,$AE1668/$AE1667-1,$AG1668/$AG1667-1,$AH1668/$AH1667-1,$AI1668/$AI1667-1,$AJ1668/$AJ1667-1,$AL1668/$AL1667-1,$AM1668/$AM1667-1,$AR1668/$AR1667-1,$AS1668/$AS1667-1,$AT1668/$AT1667-1,$AU1668/$AU1667-1,$AV1668/$AV1667-1,$AW1668/$AW1667-1,$AX1668/$AX1667-1,$AY1668/$AY1667-1),"")</f>
        <v/>
      </c>
      <c r="DW1667" s="66">
        <f>AVERAGE($CB1667,$CC1667,$CD1667,$CE1667,$CF1667,$CG1667,$CH1667,$CI1667,$CJ1667,$CL1667,$CM1667,$CN1667,$CO1667,$CP1667,$CQ1667,$CR1667,$CS1667,$CT1667)</f>
        <v/>
      </c>
      <c r="DX1667" s="66">
        <f>AVERAGE($CB1667,$CC1667,$CM1667,$CE1667,$CP1667)</f>
        <v/>
      </c>
      <c r="DY1667" s="64">
        <f>($DW1667-$DW1668)*100</f>
        <v/>
      </c>
      <c r="DZ1667" s="64">
        <f>($DX1667-$DX1668)*100</f>
        <v/>
      </c>
      <c r="EA1667" s="64">
        <f>($DW1667-$D1667)*100</f>
        <v/>
      </c>
      <c r="EB1667" s="64">
        <f>$Q1667-$O1667</f>
        <v/>
      </c>
      <c r="EC1667" s="67">
        <f>IFERROR($Q1667/$P1667,"")</f>
        <v/>
      </c>
    </row>
    <row r="1668">
      <c r="DG1668" s="64">
        <f>($B1668-$B1669)*100</f>
        <v/>
      </c>
      <c r="DH1668" s="64">
        <f>($D1668-$D1669)*100</f>
        <v/>
      </c>
      <c r="DI1668" s="64">
        <f>($E1668-$E1669)*100</f>
        <v/>
      </c>
      <c r="DJ1668" s="64">
        <f>($H1668-$H1669)*100</f>
        <v/>
      </c>
      <c r="DK1668" s="65">
        <f>IFERROR($J1668/$J1669-1,"")</f>
        <v/>
      </c>
      <c r="DL1668" s="64">
        <f>$L1668-$L1669</f>
        <v/>
      </c>
      <c r="DM1668" s="64">
        <f>$K1668-$K1669</f>
        <v/>
      </c>
      <c r="DN1668" s="65">
        <f>IFERROR($N1668/$N1669-1,"")</f>
        <v/>
      </c>
      <c r="DO1668" s="65">
        <f>IFERROR($M1668/$M1669-1,"")</f>
        <v/>
      </c>
      <c r="DP1668" s="65">
        <f>IFERROR($AZ1668/$AZ1669-1,"")</f>
        <v/>
      </c>
      <c r="DQ1668" s="65">
        <f>IFERROR($BA1668/$BA1669-1,"")</f>
        <v/>
      </c>
      <c r="DR1668" s="64">
        <f>$O1668-$O1669</f>
        <v/>
      </c>
      <c r="DS1668" s="64">
        <f>$P1668-$P1669</f>
        <v/>
      </c>
      <c r="DT1668" s="64">
        <f>$Q1668-$Q1669</f>
        <v/>
      </c>
      <c r="DU1668" s="64">
        <f>$S1668-$S1669</f>
        <v/>
      </c>
      <c r="DV1668" s="65">
        <f>IFERROR(AVERAGE($AA1669/$AA1668-1,$AB1669/$AB1668-1,$AC1669/$AC1668-1,$AD1669/$AD1668-1,$AE1669/$AE1668-1,$AG1669/$AG1668-1,$AH1669/$AH1668-1,$AI1669/$AI1668-1,$AJ1669/$AJ1668-1,$AL1669/$AL1668-1,$AM1669/$AM1668-1,$AR1669/$AR1668-1,$AS1669/$AS1668-1,$AT1669/$AT1668-1,$AU1669/$AU1668-1,$AV1669/$AV1668-1,$AW1669/$AW1668-1,$AX1669/$AX1668-1,$AY1669/$AY1668-1),"")</f>
        <v/>
      </c>
      <c r="DW1668" s="66">
        <f>AVERAGE($CB1668,$CC1668,$CD1668,$CE1668,$CF1668,$CG1668,$CH1668,$CI1668,$CJ1668,$CL1668,$CM1668,$CN1668,$CO1668,$CP1668,$CQ1668,$CR1668,$CS1668,$CT1668)</f>
        <v/>
      </c>
      <c r="DX1668" s="66">
        <f>AVERAGE($CB1668,$CC1668,$CM1668,$CE1668,$CP1668)</f>
        <v/>
      </c>
      <c r="DY1668" s="64">
        <f>($DW1668-$DW1669)*100</f>
        <v/>
      </c>
      <c r="DZ1668" s="64">
        <f>($DX1668-$DX1669)*100</f>
        <v/>
      </c>
      <c r="EA1668" s="64">
        <f>($DW1668-$D1668)*100</f>
        <v/>
      </c>
      <c r="EB1668" s="64">
        <f>$Q1668-$O1668</f>
        <v/>
      </c>
      <c r="EC1668" s="67">
        <f>IFERROR($Q1668/$P1668,"")</f>
        <v/>
      </c>
    </row>
    <row r="1669">
      <c r="DG1669" s="64">
        <f>($B1669-$B1670)*100</f>
        <v/>
      </c>
      <c r="DH1669" s="64">
        <f>($D1669-$D1670)*100</f>
        <v/>
      </c>
      <c r="DI1669" s="64">
        <f>($E1669-$E1670)*100</f>
        <v/>
      </c>
      <c r="DJ1669" s="64">
        <f>($H1669-$H1670)*100</f>
        <v/>
      </c>
      <c r="DK1669" s="65">
        <f>IFERROR($J1669/$J1670-1,"")</f>
        <v/>
      </c>
      <c r="DL1669" s="64">
        <f>$L1669-$L1670</f>
        <v/>
      </c>
      <c r="DM1669" s="64">
        <f>$K1669-$K1670</f>
        <v/>
      </c>
      <c r="DN1669" s="65">
        <f>IFERROR($N1669/$N1670-1,"")</f>
        <v/>
      </c>
      <c r="DO1669" s="65">
        <f>IFERROR($M1669/$M1670-1,"")</f>
        <v/>
      </c>
      <c r="DP1669" s="65">
        <f>IFERROR($AZ1669/$AZ1670-1,"")</f>
        <v/>
      </c>
      <c r="DQ1669" s="65">
        <f>IFERROR($BA1669/$BA1670-1,"")</f>
        <v/>
      </c>
      <c r="DR1669" s="64">
        <f>$O1669-$O1670</f>
        <v/>
      </c>
      <c r="DS1669" s="64">
        <f>$P1669-$P1670</f>
        <v/>
      </c>
      <c r="DT1669" s="64">
        <f>$Q1669-$Q1670</f>
        <v/>
      </c>
      <c r="DU1669" s="64">
        <f>$S1669-$S1670</f>
        <v/>
      </c>
      <c r="DV1669" s="65">
        <f>IFERROR(AVERAGE($AA1670/$AA1669-1,$AB1670/$AB1669-1,$AC1670/$AC1669-1,$AD1670/$AD1669-1,$AE1670/$AE1669-1,$AG1670/$AG1669-1,$AH1670/$AH1669-1,$AI1670/$AI1669-1,$AJ1670/$AJ1669-1,$AL1670/$AL1669-1,$AM1670/$AM1669-1,$AR1670/$AR1669-1,$AS1670/$AS1669-1,$AT1670/$AT1669-1,$AU1670/$AU1669-1,$AV1670/$AV1669-1,$AW1670/$AW1669-1,$AX1670/$AX1669-1,$AY1670/$AY1669-1),"")</f>
        <v/>
      </c>
      <c r="DW1669" s="66">
        <f>AVERAGE($CB1669,$CC1669,$CD1669,$CE1669,$CF1669,$CG1669,$CH1669,$CI1669,$CJ1669,$CL1669,$CM1669,$CN1669,$CO1669,$CP1669,$CQ1669,$CR1669,$CS1669,$CT1669)</f>
        <v/>
      </c>
      <c r="DX1669" s="66">
        <f>AVERAGE($CB1669,$CC1669,$CM1669,$CE1669,$CP1669)</f>
        <v/>
      </c>
      <c r="DY1669" s="64">
        <f>($DW1669-$DW1670)*100</f>
        <v/>
      </c>
      <c r="DZ1669" s="64">
        <f>($DX1669-$DX1670)*100</f>
        <v/>
      </c>
      <c r="EA1669" s="64">
        <f>($DW1669-$D1669)*100</f>
        <v/>
      </c>
      <c r="EB1669" s="64">
        <f>$Q1669-$O1669</f>
        <v/>
      </c>
      <c r="EC1669" s="67">
        <f>IFERROR($Q1669/$P1669,"")</f>
        <v/>
      </c>
    </row>
    <row r="1670">
      <c r="DG1670" s="64">
        <f>($B1670-$B1671)*100</f>
        <v/>
      </c>
      <c r="DH1670" s="64">
        <f>($D1670-$D1671)*100</f>
        <v/>
      </c>
      <c r="DI1670" s="64">
        <f>($E1670-$E1671)*100</f>
        <v/>
      </c>
      <c r="DJ1670" s="64">
        <f>($H1670-$H1671)*100</f>
        <v/>
      </c>
      <c r="DK1670" s="65">
        <f>IFERROR($J1670/$J1671-1,"")</f>
        <v/>
      </c>
      <c r="DL1670" s="64">
        <f>$L1670-$L1671</f>
        <v/>
      </c>
      <c r="DM1670" s="64">
        <f>$K1670-$K1671</f>
        <v/>
      </c>
      <c r="DN1670" s="65">
        <f>IFERROR($N1670/$N1671-1,"")</f>
        <v/>
      </c>
      <c r="DO1670" s="65">
        <f>IFERROR($M1670/$M1671-1,"")</f>
        <v/>
      </c>
      <c r="DP1670" s="65">
        <f>IFERROR($AZ1670/$AZ1671-1,"")</f>
        <v/>
      </c>
      <c r="DQ1670" s="65">
        <f>IFERROR($BA1670/$BA1671-1,"")</f>
        <v/>
      </c>
      <c r="DR1670" s="64">
        <f>$O1670-$O1671</f>
        <v/>
      </c>
      <c r="DS1670" s="64">
        <f>$P1670-$P1671</f>
        <v/>
      </c>
      <c r="DT1670" s="64">
        <f>$Q1670-$Q1671</f>
        <v/>
      </c>
      <c r="DU1670" s="64">
        <f>$S1670-$S1671</f>
        <v/>
      </c>
      <c r="DV1670" s="65">
        <f>IFERROR(AVERAGE($AA1671/$AA1670-1,$AB1671/$AB1670-1,$AC1671/$AC1670-1,$AD1671/$AD1670-1,$AE1671/$AE1670-1,$AG1671/$AG1670-1,$AH1671/$AH1670-1,$AI1671/$AI1670-1,$AJ1671/$AJ1670-1,$AL1671/$AL1670-1,$AM1671/$AM1670-1,$AR1671/$AR1670-1,$AS1671/$AS1670-1,$AT1671/$AT1670-1,$AU1671/$AU1670-1,$AV1671/$AV1670-1,$AW1671/$AW1670-1,$AX1671/$AX1670-1,$AY1671/$AY1670-1),"")</f>
        <v/>
      </c>
      <c r="DW1670" s="66">
        <f>AVERAGE($CB1670,$CC1670,$CD1670,$CE1670,$CF1670,$CG1670,$CH1670,$CI1670,$CJ1670,$CL1670,$CM1670,$CN1670,$CO1670,$CP1670,$CQ1670,$CR1670,$CS1670,$CT1670)</f>
        <v/>
      </c>
      <c r="DX1670" s="66">
        <f>AVERAGE($CB1670,$CC1670,$CM1670,$CE1670,$CP1670)</f>
        <v/>
      </c>
      <c r="DY1670" s="64">
        <f>($DW1670-$DW1671)*100</f>
        <v/>
      </c>
      <c r="DZ1670" s="64">
        <f>($DX1670-$DX1671)*100</f>
        <v/>
      </c>
      <c r="EA1670" s="64">
        <f>($DW1670-$D1670)*100</f>
        <v/>
      </c>
      <c r="EB1670" s="64">
        <f>$Q1670-$O1670</f>
        <v/>
      </c>
      <c r="EC1670" s="67">
        <f>IFERROR($Q1670/$P1670,"")</f>
        <v/>
      </c>
    </row>
    <row r="1671">
      <c r="DG1671" s="64">
        <f>($B1671-$B1672)*100</f>
        <v/>
      </c>
      <c r="DH1671" s="64">
        <f>($D1671-$D1672)*100</f>
        <v/>
      </c>
      <c r="DI1671" s="64">
        <f>($E1671-$E1672)*100</f>
        <v/>
      </c>
      <c r="DJ1671" s="64">
        <f>($H1671-$H1672)*100</f>
        <v/>
      </c>
      <c r="DK1671" s="65">
        <f>IFERROR($J1671/$J1672-1,"")</f>
        <v/>
      </c>
      <c r="DL1671" s="64">
        <f>$L1671-$L1672</f>
        <v/>
      </c>
      <c r="DM1671" s="64">
        <f>$K1671-$K1672</f>
        <v/>
      </c>
      <c r="DN1671" s="65">
        <f>IFERROR($N1671/$N1672-1,"")</f>
        <v/>
      </c>
      <c r="DO1671" s="65">
        <f>IFERROR($M1671/$M1672-1,"")</f>
        <v/>
      </c>
      <c r="DP1671" s="65">
        <f>IFERROR($AZ1671/$AZ1672-1,"")</f>
        <v/>
      </c>
      <c r="DQ1671" s="65">
        <f>IFERROR($BA1671/$BA1672-1,"")</f>
        <v/>
      </c>
      <c r="DR1671" s="64">
        <f>$O1671-$O1672</f>
        <v/>
      </c>
      <c r="DS1671" s="64">
        <f>$P1671-$P1672</f>
        <v/>
      </c>
      <c r="DT1671" s="64">
        <f>$Q1671-$Q1672</f>
        <v/>
      </c>
      <c r="DU1671" s="64">
        <f>$S1671-$S1672</f>
        <v/>
      </c>
      <c r="DV1671" s="65">
        <f>IFERROR(AVERAGE($AA1672/$AA1671-1,$AB1672/$AB1671-1,$AC1672/$AC1671-1,$AD1672/$AD1671-1,$AE1672/$AE1671-1,$AG1672/$AG1671-1,$AH1672/$AH1671-1,$AI1672/$AI1671-1,$AJ1672/$AJ1671-1,$AL1672/$AL1671-1,$AM1672/$AM1671-1,$AR1672/$AR1671-1,$AS1672/$AS1671-1,$AT1672/$AT1671-1,$AU1672/$AU1671-1,$AV1672/$AV1671-1,$AW1672/$AW1671-1,$AX1672/$AX1671-1,$AY1672/$AY1671-1),"")</f>
        <v/>
      </c>
      <c r="DW1671" s="66">
        <f>AVERAGE($CB1671,$CC1671,$CD1671,$CE1671,$CF1671,$CG1671,$CH1671,$CI1671,$CJ1671,$CL1671,$CM1671,$CN1671,$CO1671,$CP1671,$CQ1671,$CR1671,$CS1671,$CT1671)</f>
        <v/>
      </c>
      <c r="DX1671" s="66">
        <f>AVERAGE($CB1671,$CC1671,$CM1671,$CE1671,$CP1671)</f>
        <v/>
      </c>
      <c r="DY1671" s="64">
        <f>($DW1671-$DW1672)*100</f>
        <v/>
      </c>
      <c r="DZ1671" s="64">
        <f>($DX1671-$DX1672)*100</f>
        <v/>
      </c>
      <c r="EA1671" s="64">
        <f>($DW1671-$D1671)*100</f>
        <v/>
      </c>
      <c r="EB1671" s="64">
        <f>$Q1671-$O1671</f>
        <v/>
      </c>
      <c r="EC1671" s="67">
        <f>IFERROR($Q1671/$P1671,"")</f>
        <v/>
      </c>
    </row>
    <row r="1672">
      <c r="DG1672" s="64">
        <f>($B1672-$B1673)*100</f>
        <v/>
      </c>
      <c r="DH1672" s="64">
        <f>($D1672-$D1673)*100</f>
        <v/>
      </c>
      <c r="DI1672" s="64">
        <f>($E1672-$E1673)*100</f>
        <v/>
      </c>
      <c r="DJ1672" s="64">
        <f>($H1672-$H1673)*100</f>
        <v/>
      </c>
      <c r="DK1672" s="65">
        <f>IFERROR($J1672/$J1673-1,"")</f>
        <v/>
      </c>
      <c r="DL1672" s="64">
        <f>$L1672-$L1673</f>
        <v/>
      </c>
      <c r="DM1672" s="64">
        <f>$K1672-$K1673</f>
        <v/>
      </c>
      <c r="DN1672" s="65">
        <f>IFERROR($N1672/$N1673-1,"")</f>
        <v/>
      </c>
      <c r="DO1672" s="65">
        <f>IFERROR($M1672/$M1673-1,"")</f>
        <v/>
      </c>
      <c r="DP1672" s="65">
        <f>IFERROR($AZ1672/$AZ1673-1,"")</f>
        <v/>
      </c>
      <c r="DQ1672" s="65">
        <f>IFERROR($BA1672/$BA1673-1,"")</f>
        <v/>
      </c>
      <c r="DR1672" s="64">
        <f>$O1672-$O1673</f>
        <v/>
      </c>
      <c r="DS1672" s="64">
        <f>$P1672-$P1673</f>
        <v/>
      </c>
      <c r="DT1672" s="64">
        <f>$Q1672-$Q1673</f>
        <v/>
      </c>
      <c r="DU1672" s="64">
        <f>$S1672-$S1673</f>
        <v/>
      </c>
      <c r="DV1672" s="65">
        <f>IFERROR(AVERAGE($AA1673/$AA1672-1,$AB1673/$AB1672-1,$AC1673/$AC1672-1,$AD1673/$AD1672-1,$AE1673/$AE1672-1,$AG1673/$AG1672-1,$AH1673/$AH1672-1,$AI1673/$AI1672-1,$AJ1673/$AJ1672-1,$AL1673/$AL1672-1,$AM1673/$AM1672-1,$AR1673/$AR1672-1,$AS1673/$AS1672-1,$AT1673/$AT1672-1,$AU1673/$AU1672-1,$AV1673/$AV1672-1,$AW1673/$AW1672-1,$AX1673/$AX1672-1,$AY1673/$AY1672-1),"")</f>
        <v/>
      </c>
      <c r="DW1672" s="66">
        <f>AVERAGE($CB1672,$CC1672,$CD1672,$CE1672,$CF1672,$CG1672,$CH1672,$CI1672,$CJ1672,$CL1672,$CM1672,$CN1672,$CO1672,$CP1672,$CQ1672,$CR1672,$CS1672,$CT1672)</f>
        <v/>
      </c>
      <c r="DX1672" s="66">
        <f>AVERAGE($CB1672,$CC1672,$CM1672,$CE1672,$CP1672)</f>
        <v/>
      </c>
      <c r="DY1672" s="64">
        <f>($DW1672-$DW1673)*100</f>
        <v/>
      </c>
      <c r="DZ1672" s="64">
        <f>($DX1672-$DX1673)*100</f>
        <v/>
      </c>
      <c r="EA1672" s="64">
        <f>($DW1672-$D1672)*100</f>
        <v/>
      </c>
      <c r="EB1672" s="64">
        <f>$Q1672-$O1672</f>
        <v/>
      </c>
      <c r="EC1672" s="67">
        <f>IFERROR($Q1672/$P1672,"")</f>
        <v/>
      </c>
    </row>
    <row r="1673">
      <c r="DG1673" s="64">
        <f>($B1673-$B1674)*100</f>
        <v/>
      </c>
      <c r="DH1673" s="64">
        <f>($D1673-$D1674)*100</f>
        <v/>
      </c>
      <c r="DI1673" s="64">
        <f>($E1673-$E1674)*100</f>
        <v/>
      </c>
      <c r="DJ1673" s="64">
        <f>($H1673-$H1674)*100</f>
        <v/>
      </c>
      <c r="DK1673" s="65">
        <f>IFERROR($J1673/$J1674-1,"")</f>
        <v/>
      </c>
      <c r="DL1673" s="64">
        <f>$L1673-$L1674</f>
        <v/>
      </c>
      <c r="DM1673" s="64">
        <f>$K1673-$K1674</f>
        <v/>
      </c>
      <c r="DN1673" s="65">
        <f>IFERROR($N1673/$N1674-1,"")</f>
        <v/>
      </c>
      <c r="DO1673" s="65">
        <f>IFERROR($M1673/$M1674-1,"")</f>
        <v/>
      </c>
      <c r="DP1673" s="65">
        <f>IFERROR($AZ1673/$AZ1674-1,"")</f>
        <v/>
      </c>
      <c r="DQ1673" s="65">
        <f>IFERROR($BA1673/$BA1674-1,"")</f>
        <v/>
      </c>
      <c r="DR1673" s="64">
        <f>$O1673-$O1674</f>
        <v/>
      </c>
      <c r="DS1673" s="64">
        <f>$P1673-$P1674</f>
        <v/>
      </c>
      <c r="DT1673" s="64">
        <f>$Q1673-$Q1674</f>
        <v/>
      </c>
      <c r="DU1673" s="64">
        <f>$S1673-$S1674</f>
        <v/>
      </c>
      <c r="DV1673" s="65">
        <f>IFERROR(AVERAGE($AA1674/$AA1673-1,$AB1674/$AB1673-1,$AC1674/$AC1673-1,$AD1674/$AD1673-1,$AE1674/$AE1673-1,$AG1674/$AG1673-1,$AH1674/$AH1673-1,$AI1674/$AI1673-1,$AJ1674/$AJ1673-1,$AL1674/$AL1673-1,$AM1674/$AM1673-1,$AR1674/$AR1673-1,$AS1674/$AS1673-1,$AT1674/$AT1673-1,$AU1674/$AU1673-1,$AV1674/$AV1673-1,$AW1674/$AW1673-1,$AX1674/$AX1673-1,$AY1674/$AY1673-1),"")</f>
        <v/>
      </c>
      <c r="DW1673" s="66">
        <f>AVERAGE($CB1673,$CC1673,$CD1673,$CE1673,$CF1673,$CG1673,$CH1673,$CI1673,$CJ1673,$CL1673,$CM1673,$CN1673,$CO1673,$CP1673,$CQ1673,$CR1673,$CS1673,$CT1673)</f>
        <v/>
      </c>
      <c r="DX1673" s="66">
        <f>AVERAGE($CB1673,$CC1673,$CM1673,$CE1673,$CP1673)</f>
        <v/>
      </c>
      <c r="DY1673" s="64">
        <f>($DW1673-$DW1674)*100</f>
        <v/>
      </c>
      <c r="DZ1673" s="64">
        <f>($DX1673-$DX1674)*100</f>
        <v/>
      </c>
      <c r="EA1673" s="64">
        <f>($DW1673-$D1673)*100</f>
        <v/>
      </c>
      <c r="EB1673" s="64">
        <f>$Q1673-$O1673</f>
        <v/>
      </c>
      <c r="EC1673" s="67">
        <f>IFERROR($Q1673/$P1673,"")</f>
        <v/>
      </c>
    </row>
    <row r="1674">
      <c r="DG1674" s="64">
        <f>($B1674-$B1675)*100</f>
        <v/>
      </c>
      <c r="DH1674" s="64">
        <f>($D1674-$D1675)*100</f>
        <v/>
      </c>
      <c r="DI1674" s="64">
        <f>($E1674-$E1675)*100</f>
        <v/>
      </c>
      <c r="DJ1674" s="64">
        <f>($H1674-$H1675)*100</f>
        <v/>
      </c>
      <c r="DK1674" s="65">
        <f>IFERROR($J1674/$J1675-1,"")</f>
        <v/>
      </c>
      <c r="DL1674" s="64">
        <f>$L1674-$L1675</f>
        <v/>
      </c>
      <c r="DM1674" s="64">
        <f>$K1674-$K1675</f>
        <v/>
      </c>
      <c r="DN1674" s="65">
        <f>IFERROR($N1674/$N1675-1,"")</f>
        <v/>
      </c>
      <c r="DO1674" s="65">
        <f>IFERROR($M1674/$M1675-1,"")</f>
        <v/>
      </c>
      <c r="DP1674" s="65">
        <f>IFERROR($AZ1674/$AZ1675-1,"")</f>
        <v/>
      </c>
      <c r="DQ1674" s="65">
        <f>IFERROR($BA1674/$BA1675-1,"")</f>
        <v/>
      </c>
      <c r="DR1674" s="64">
        <f>$O1674-$O1675</f>
        <v/>
      </c>
      <c r="DS1674" s="64">
        <f>$P1674-$P1675</f>
        <v/>
      </c>
      <c r="DT1674" s="64">
        <f>$Q1674-$Q1675</f>
        <v/>
      </c>
      <c r="DU1674" s="64">
        <f>$S1674-$S1675</f>
        <v/>
      </c>
      <c r="DV1674" s="65">
        <f>IFERROR(AVERAGE($AA1675/$AA1674-1,$AB1675/$AB1674-1,$AC1675/$AC1674-1,$AD1675/$AD1674-1,$AE1675/$AE1674-1,$AG1675/$AG1674-1,$AH1675/$AH1674-1,$AI1675/$AI1674-1,$AJ1675/$AJ1674-1,$AL1675/$AL1674-1,$AM1675/$AM1674-1,$AR1675/$AR1674-1,$AS1675/$AS1674-1,$AT1675/$AT1674-1,$AU1675/$AU1674-1,$AV1675/$AV1674-1,$AW1675/$AW1674-1,$AX1675/$AX1674-1,$AY1675/$AY1674-1),"")</f>
        <v/>
      </c>
      <c r="DW1674" s="66">
        <f>AVERAGE($CB1674,$CC1674,$CD1674,$CE1674,$CF1674,$CG1674,$CH1674,$CI1674,$CJ1674,$CL1674,$CM1674,$CN1674,$CO1674,$CP1674,$CQ1674,$CR1674,$CS1674,$CT1674)</f>
        <v/>
      </c>
      <c r="DX1674" s="66">
        <f>AVERAGE($CB1674,$CC1674,$CM1674,$CE1674,$CP1674)</f>
        <v/>
      </c>
      <c r="DY1674" s="64">
        <f>($DW1674-$DW1675)*100</f>
        <v/>
      </c>
      <c r="DZ1674" s="64">
        <f>($DX1674-$DX1675)*100</f>
        <v/>
      </c>
      <c r="EA1674" s="64">
        <f>($DW1674-$D1674)*100</f>
        <v/>
      </c>
      <c r="EB1674" s="64">
        <f>$Q1674-$O1674</f>
        <v/>
      </c>
      <c r="EC1674" s="67">
        <f>IFERROR($Q1674/$P1674,"")</f>
        <v/>
      </c>
    </row>
    <row r="1675">
      <c r="DG1675" s="64">
        <f>($B1675-$B1676)*100</f>
        <v/>
      </c>
      <c r="DH1675" s="64">
        <f>($D1675-$D1676)*100</f>
        <v/>
      </c>
      <c r="DI1675" s="64">
        <f>($E1675-$E1676)*100</f>
        <v/>
      </c>
      <c r="DJ1675" s="64">
        <f>($H1675-$H1676)*100</f>
        <v/>
      </c>
      <c r="DK1675" s="65">
        <f>IFERROR($J1675/$J1676-1,"")</f>
        <v/>
      </c>
      <c r="DL1675" s="64">
        <f>$L1675-$L1676</f>
        <v/>
      </c>
      <c r="DM1675" s="64">
        <f>$K1675-$K1676</f>
        <v/>
      </c>
      <c r="DN1675" s="65">
        <f>IFERROR($N1675/$N1676-1,"")</f>
        <v/>
      </c>
      <c r="DO1675" s="65">
        <f>IFERROR($M1675/$M1676-1,"")</f>
        <v/>
      </c>
      <c r="DP1675" s="65">
        <f>IFERROR($AZ1675/$AZ1676-1,"")</f>
        <v/>
      </c>
      <c r="DQ1675" s="65">
        <f>IFERROR($BA1675/$BA1676-1,"")</f>
        <v/>
      </c>
      <c r="DR1675" s="64">
        <f>$O1675-$O1676</f>
        <v/>
      </c>
      <c r="DS1675" s="64">
        <f>$P1675-$P1676</f>
        <v/>
      </c>
      <c r="DT1675" s="64">
        <f>$Q1675-$Q1676</f>
        <v/>
      </c>
      <c r="DU1675" s="64">
        <f>$S1675-$S1676</f>
        <v/>
      </c>
      <c r="DV1675" s="65">
        <f>IFERROR(AVERAGE($AA1676/$AA1675-1,$AB1676/$AB1675-1,$AC1676/$AC1675-1,$AD1676/$AD1675-1,$AE1676/$AE1675-1,$AG1676/$AG1675-1,$AH1676/$AH1675-1,$AI1676/$AI1675-1,$AJ1676/$AJ1675-1,$AL1676/$AL1675-1,$AM1676/$AM1675-1,$AR1676/$AR1675-1,$AS1676/$AS1675-1,$AT1676/$AT1675-1,$AU1676/$AU1675-1,$AV1676/$AV1675-1,$AW1676/$AW1675-1,$AX1676/$AX1675-1,$AY1676/$AY1675-1),"")</f>
        <v/>
      </c>
      <c r="DW1675" s="66">
        <f>AVERAGE($CB1675,$CC1675,$CD1675,$CE1675,$CF1675,$CG1675,$CH1675,$CI1675,$CJ1675,$CL1675,$CM1675,$CN1675,$CO1675,$CP1675,$CQ1675,$CR1675,$CS1675,$CT1675)</f>
        <v/>
      </c>
      <c r="DX1675" s="66">
        <f>AVERAGE($CB1675,$CC1675,$CM1675,$CE1675,$CP1675)</f>
        <v/>
      </c>
      <c r="DY1675" s="64">
        <f>($DW1675-$DW1676)*100</f>
        <v/>
      </c>
      <c r="DZ1675" s="64">
        <f>($DX1675-$DX1676)*100</f>
        <v/>
      </c>
      <c r="EA1675" s="64">
        <f>($DW1675-$D1675)*100</f>
        <v/>
      </c>
      <c r="EB1675" s="64">
        <f>$Q1675-$O1675</f>
        <v/>
      </c>
      <c r="EC1675" s="67">
        <f>IFERROR($Q1675/$P1675,"")</f>
        <v/>
      </c>
    </row>
    <row r="1676">
      <c r="DG1676" s="64">
        <f>($B1676-$B1677)*100</f>
        <v/>
      </c>
      <c r="DH1676" s="64">
        <f>($D1676-$D1677)*100</f>
        <v/>
      </c>
      <c r="DI1676" s="64">
        <f>($E1676-$E1677)*100</f>
        <v/>
      </c>
      <c r="DJ1676" s="64">
        <f>($H1676-$H1677)*100</f>
        <v/>
      </c>
      <c r="DK1676" s="65">
        <f>IFERROR($J1676/$J1677-1,"")</f>
        <v/>
      </c>
      <c r="DL1676" s="64">
        <f>$L1676-$L1677</f>
        <v/>
      </c>
      <c r="DM1676" s="64">
        <f>$K1676-$K1677</f>
        <v/>
      </c>
      <c r="DN1676" s="65">
        <f>IFERROR($N1676/$N1677-1,"")</f>
        <v/>
      </c>
      <c r="DO1676" s="65">
        <f>IFERROR($M1676/$M1677-1,"")</f>
        <v/>
      </c>
      <c r="DP1676" s="65">
        <f>IFERROR($AZ1676/$AZ1677-1,"")</f>
        <v/>
      </c>
      <c r="DQ1676" s="65">
        <f>IFERROR($BA1676/$BA1677-1,"")</f>
        <v/>
      </c>
      <c r="DR1676" s="64">
        <f>$O1676-$O1677</f>
        <v/>
      </c>
      <c r="DS1676" s="64">
        <f>$P1676-$P1677</f>
        <v/>
      </c>
      <c r="DT1676" s="64">
        <f>$Q1676-$Q1677</f>
        <v/>
      </c>
      <c r="DU1676" s="64">
        <f>$S1676-$S1677</f>
        <v/>
      </c>
      <c r="DV1676" s="65">
        <f>IFERROR(AVERAGE($AA1677/$AA1676-1,$AB1677/$AB1676-1,$AC1677/$AC1676-1,$AD1677/$AD1676-1,$AE1677/$AE1676-1,$AG1677/$AG1676-1,$AH1677/$AH1676-1,$AI1677/$AI1676-1,$AJ1677/$AJ1676-1,$AL1677/$AL1676-1,$AM1677/$AM1676-1,$AR1677/$AR1676-1,$AS1677/$AS1676-1,$AT1677/$AT1676-1,$AU1677/$AU1676-1,$AV1677/$AV1676-1,$AW1677/$AW1676-1,$AX1677/$AX1676-1,$AY1677/$AY1676-1),"")</f>
        <v/>
      </c>
      <c r="DW1676" s="66">
        <f>AVERAGE($CB1676,$CC1676,$CD1676,$CE1676,$CF1676,$CG1676,$CH1676,$CI1676,$CJ1676,$CL1676,$CM1676,$CN1676,$CO1676,$CP1676,$CQ1676,$CR1676,$CS1676,$CT1676)</f>
        <v/>
      </c>
      <c r="DX1676" s="66">
        <f>AVERAGE($CB1676,$CC1676,$CM1676,$CE1676,$CP1676)</f>
        <v/>
      </c>
      <c r="DY1676" s="64">
        <f>($DW1676-$DW1677)*100</f>
        <v/>
      </c>
      <c r="DZ1676" s="64">
        <f>($DX1676-$DX1677)*100</f>
        <v/>
      </c>
      <c r="EA1676" s="64">
        <f>($DW1676-$D1676)*100</f>
        <v/>
      </c>
      <c r="EB1676" s="64">
        <f>$Q1676-$O1676</f>
        <v/>
      </c>
      <c r="EC1676" s="67">
        <f>IFERROR($Q1676/$P1676,"")</f>
        <v/>
      </c>
    </row>
    <row r="1677">
      <c r="DG1677" s="64">
        <f>($B1677-$B1678)*100</f>
        <v/>
      </c>
      <c r="DH1677" s="64">
        <f>($D1677-$D1678)*100</f>
        <v/>
      </c>
      <c r="DI1677" s="64">
        <f>($E1677-$E1678)*100</f>
        <v/>
      </c>
      <c r="DJ1677" s="64">
        <f>($H1677-$H1678)*100</f>
        <v/>
      </c>
      <c r="DK1677" s="65">
        <f>IFERROR($J1677/$J1678-1,"")</f>
        <v/>
      </c>
      <c r="DL1677" s="64">
        <f>$L1677-$L1678</f>
        <v/>
      </c>
      <c r="DM1677" s="64">
        <f>$K1677-$K1678</f>
        <v/>
      </c>
      <c r="DN1677" s="65">
        <f>IFERROR($N1677/$N1678-1,"")</f>
        <v/>
      </c>
      <c r="DO1677" s="65">
        <f>IFERROR($M1677/$M1678-1,"")</f>
        <v/>
      </c>
      <c r="DP1677" s="65">
        <f>IFERROR($AZ1677/$AZ1678-1,"")</f>
        <v/>
      </c>
      <c r="DQ1677" s="65">
        <f>IFERROR($BA1677/$BA1678-1,"")</f>
        <v/>
      </c>
      <c r="DR1677" s="64">
        <f>$O1677-$O1678</f>
        <v/>
      </c>
      <c r="DS1677" s="64">
        <f>$P1677-$P1678</f>
        <v/>
      </c>
      <c r="DT1677" s="64">
        <f>$Q1677-$Q1678</f>
        <v/>
      </c>
      <c r="DU1677" s="64">
        <f>$S1677-$S1678</f>
        <v/>
      </c>
      <c r="DV1677" s="65">
        <f>IFERROR(AVERAGE($AA1678/$AA1677-1,$AB1678/$AB1677-1,$AC1678/$AC1677-1,$AD1678/$AD1677-1,$AE1678/$AE1677-1,$AG1678/$AG1677-1,$AH1678/$AH1677-1,$AI1678/$AI1677-1,$AJ1678/$AJ1677-1,$AL1678/$AL1677-1,$AM1678/$AM1677-1,$AR1678/$AR1677-1,$AS1678/$AS1677-1,$AT1678/$AT1677-1,$AU1678/$AU1677-1,$AV1678/$AV1677-1,$AW1678/$AW1677-1,$AX1678/$AX1677-1,$AY1678/$AY1677-1),"")</f>
        <v/>
      </c>
      <c r="DW1677" s="66">
        <f>AVERAGE($CB1677,$CC1677,$CD1677,$CE1677,$CF1677,$CG1677,$CH1677,$CI1677,$CJ1677,$CL1677,$CM1677,$CN1677,$CO1677,$CP1677,$CQ1677,$CR1677,$CS1677,$CT1677)</f>
        <v/>
      </c>
      <c r="DX1677" s="66">
        <f>AVERAGE($CB1677,$CC1677,$CM1677,$CE1677,$CP1677)</f>
        <v/>
      </c>
      <c r="DY1677" s="64">
        <f>($DW1677-$DW1678)*100</f>
        <v/>
      </c>
      <c r="DZ1677" s="64">
        <f>($DX1677-$DX1678)*100</f>
        <v/>
      </c>
      <c r="EA1677" s="64">
        <f>($DW1677-$D1677)*100</f>
        <v/>
      </c>
      <c r="EB1677" s="64">
        <f>$Q1677-$O1677</f>
        <v/>
      </c>
      <c r="EC1677" s="67">
        <f>IFERROR($Q1677/$P1677,"")</f>
        <v/>
      </c>
    </row>
    <row r="1678">
      <c r="DG1678" s="64">
        <f>($B1678-$B1679)*100</f>
        <v/>
      </c>
      <c r="DH1678" s="64">
        <f>($D1678-$D1679)*100</f>
        <v/>
      </c>
      <c r="DI1678" s="64">
        <f>($E1678-$E1679)*100</f>
        <v/>
      </c>
      <c r="DJ1678" s="64">
        <f>($H1678-$H1679)*100</f>
        <v/>
      </c>
      <c r="DK1678" s="65">
        <f>IFERROR($J1678/$J1679-1,"")</f>
        <v/>
      </c>
      <c r="DL1678" s="64">
        <f>$L1678-$L1679</f>
        <v/>
      </c>
      <c r="DM1678" s="64">
        <f>$K1678-$K1679</f>
        <v/>
      </c>
      <c r="DN1678" s="65">
        <f>IFERROR($N1678/$N1679-1,"")</f>
        <v/>
      </c>
      <c r="DO1678" s="65">
        <f>IFERROR($M1678/$M1679-1,"")</f>
        <v/>
      </c>
      <c r="DP1678" s="65">
        <f>IFERROR($AZ1678/$AZ1679-1,"")</f>
        <v/>
      </c>
      <c r="DQ1678" s="65">
        <f>IFERROR($BA1678/$BA1679-1,"")</f>
        <v/>
      </c>
      <c r="DR1678" s="64">
        <f>$O1678-$O1679</f>
        <v/>
      </c>
      <c r="DS1678" s="64">
        <f>$P1678-$P1679</f>
        <v/>
      </c>
      <c r="DT1678" s="64">
        <f>$Q1678-$Q1679</f>
        <v/>
      </c>
      <c r="DU1678" s="64">
        <f>$S1678-$S1679</f>
        <v/>
      </c>
      <c r="DV1678" s="65">
        <f>IFERROR(AVERAGE($AA1679/$AA1678-1,$AB1679/$AB1678-1,$AC1679/$AC1678-1,$AD1679/$AD1678-1,$AE1679/$AE1678-1,$AG1679/$AG1678-1,$AH1679/$AH1678-1,$AI1679/$AI1678-1,$AJ1679/$AJ1678-1,$AL1679/$AL1678-1,$AM1679/$AM1678-1,$AR1679/$AR1678-1,$AS1679/$AS1678-1,$AT1679/$AT1678-1,$AU1679/$AU1678-1,$AV1679/$AV1678-1,$AW1679/$AW1678-1,$AX1679/$AX1678-1,$AY1679/$AY1678-1),"")</f>
        <v/>
      </c>
      <c r="DW1678" s="66">
        <f>AVERAGE($CB1678,$CC1678,$CD1678,$CE1678,$CF1678,$CG1678,$CH1678,$CI1678,$CJ1678,$CL1678,$CM1678,$CN1678,$CO1678,$CP1678,$CQ1678,$CR1678,$CS1678,$CT1678)</f>
        <v/>
      </c>
      <c r="DX1678" s="66">
        <f>AVERAGE($CB1678,$CC1678,$CM1678,$CE1678,$CP1678)</f>
        <v/>
      </c>
      <c r="DY1678" s="64">
        <f>($DW1678-$DW1679)*100</f>
        <v/>
      </c>
      <c r="DZ1678" s="64">
        <f>($DX1678-$DX1679)*100</f>
        <v/>
      </c>
      <c r="EA1678" s="64">
        <f>($DW1678-$D1678)*100</f>
        <v/>
      </c>
      <c r="EB1678" s="64">
        <f>$Q1678-$O1678</f>
        <v/>
      </c>
      <c r="EC1678" s="67">
        <f>IFERROR($Q1678/$P1678,"")</f>
        <v/>
      </c>
    </row>
    <row r="1679">
      <c r="DG1679" s="64">
        <f>($B1679-$B1680)*100</f>
        <v/>
      </c>
      <c r="DH1679" s="64">
        <f>($D1679-$D1680)*100</f>
        <v/>
      </c>
      <c r="DI1679" s="64">
        <f>($E1679-$E1680)*100</f>
        <v/>
      </c>
      <c r="DJ1679" s="64">
        <f>($H1679-$H1680)*100</f>
        <v/>
      </c>
      <c r="DK1679" s="65">
        <f>IFERROR($J1679/$J1680-1,"")</f>
        <v/>
      </c>
      <c r="DL1679" s="64">
        <f>$L1679-$L1680</f>
        <v/>
      </c>
      <c r="DM1679" s="64">
        <f>$K1679-$K1680</f>
        <v/>
      </c>
      <c r="DN1679" s="65">
        <f>IFERROR($N1679/$N1680-1,"")</f>
        <v/>
      </c>
      <c r="DO1679" s="65">
        <f>IFERROR($M1679/$M1680-1,"")</f>
        <v/>
      </c>
      <c r="DP1679" s="65">
        <f>IFERROR($AZ1679/$AZ1680-1,"")</f>
        <v/>
      </c>
      <c r="DQ1679" s="65">
        <f>IFERROR($BA1679/$BA1680-1,"")</f>
        <v/>
      </c>
      <c r="DR1679" s="64">
        <f>$O1679-$O1680</f>
        <v/>
      </c>
      <c r="DS1679" s="64">
        <f>$P1679-$P1680</f>
        <v/>
      </c>
      <c r="DT1679" s="64">
        <f>$Q1679-$Q1680</f>
        <v/>
      </c>
      <c r="DU1679" s="64">
        <f>$S1679-$S1680</f>
        <v/>
      </c>
      <c r="DV1679" s="65">
        <f>IFERROR(AVERAGE($AA1680/$AA1679-1,$AB1680/$AB1679-1,$AC1680/$AC1679-1,$AD1680/$AD1679-1,$AE1680/$AE1679-1,$AG1680/$AG1679-1,$AH1680/$AH1679-1,$AI1680/$AI1679-1,$AJ1680/$AJ1679-1,$AL1680/$AL1679-1,$AM1680/$AM1679-1,$AR1680/$AR1679-1,$AS1680/$AS1679-1,$AT1680/$AT1679-1,$AU1680/$AU1679-1,$AV1680/$AV1679-1,$AW1680/$AW1679-1,$AX1680/$AX1679-1,$AY1680/$AY1679-1),"")</f>
        <v/>
      </c>
      <c r="DW1679" s="66">
        <f>AVERAGE($CB1679,$CC1679,$CD1679,$CE1679,$CF1679,$CG1679,$CH1679,$CI1679,$CJ1679,$CL1679,$CM1679,$CN1679,$CO1679,$CP1679,$CQ1679,$CR1679,$CS1679,$CT1679)</f>
        <v/>
      </c>
      <c r="DX1679" s="66">
        <f>AVERAGE($CB1679,$CC1679,$CM1679,$CE1679,$CP1679)</f>
        <v/>
      </c>
      <c r="DY1679" s="64">
        <f>($DW1679-$DW1680)*100</f>
        <v/>
      </c>
      <c r="DZ1679" s="64">
        <f>($DX1679-$DX1680)*100</f>
        <v/>
      </c>
      <c r="EA1679" s="64">
        <f>($DW1679-$D1679)*100</f>
        <v/>
      </c>
      <c r="EB1679" s="64">
        <f>$Q1679-$O1679</f>
        <v/>
      </c>
      <c r="EC1679" s="67">
        <f>IFERROR($Q1679/$P1679,"")</f>
        <v/>
      </c>
    </row>
    <row r="1680">
      <c r="DG1680" s="64">
        <f>($B1680-$B1681)*100</f>
        <v/>
      </c>
      <c r="DH1680" s="64">
        <f>($D1680-$D1681)*100</f>
        <v/>
      </c>
      <c r="DI1680" s="64">
        <f>($E1680-$E1681)*100</f>
        <v/>
      </c>
      <c r="DJ1680" s="64">
        <f>($H1680-$H1681)*100</f>
        <v/>
      </c>
      <c r="DK1680" s="65">
        <f>IFERROR($J1680/$J1681-1,"")</f>
        <v/>
      </c>
      <c r="DL1680" s="64">
        <f>$L1680-$L1681</f>
        <v/>
      </c>
      <c r="DM1680" s="64">
        <f>$K1680-$K1681</f>
        <v/>
      </c>
      <c r="DN1680" s="65">
        <f>IFERROR($N1680/$N1681-1,"")</f>
        <v/>
      </c>
      <c r="DO1680" s="65">
        <f>IFERROR($M1680/$M1681-1,"")</f>
        <v/>
      </c>
      <c r="DP1680" s="65">
        <f>IFERROR($AZ1680/$AZ1681-1,"")</f>
        <v/>
      </c>
      <c r="DQ1680" s="65">
        <f>IFERROR($BA1680/$BA1681-1,"")</f>
        <v/>
      </c>
      <c r="DR1680" s="64">
        <f>$O1680-$O1681</f>
        <v/>
      </c>
      <c r="DS1680" s="64">
        <f>$P1680-$P1681</f>
        <v/>
      </c>
      <c r="DT1680" s="64">
        <f>$Q1680-$Q1681</f>
        <v/>
      </c>
      <c r="DU1680" s="64">
        <f>$S1680-$S1681</f>
        <v/>
      </c>
      <c r="DV1680" s="65">
        <f>IFERROR(AVERAGE($AA1681/$AA1680-1,$AB1681/$AB1680-1,$AC1681/$AC1680-1,$AD1681/$AD1680-1,$AE1681/$AE1680-1,$AG1681/$AG1680-1,$AH1681/$AH1680-1,$AI1681/$AI1680-1,$AJ1681/$AJ1680-1,$AL1681/$AL1680-1,$AM1681/$AM1680-1,$AR1681/$AR1680-1,$AS1681/$AS1680-1,$AT1681/$AT1680-1,$AU1681/$AU1680-1,$AV1681/$AV1680-1,$AW1681/$AW1680-1,$AX1681/$AX1680-1,$AY1681/$AY1680-1),"")</f>
        <v/>
      </c>
      <c r="DW1680" s="66">
        <f>AVERAGE($CB1680,$CC1680,$CD1680,$CE1680,$CF1680,$CG1680,$CH1680,$CI1680,$CJ1680,$CL1680,$CM1680,$CN1680,$CO1680,$CP1680,$CQ1680,$CR1680,$CS1680,$CT1680)</f>
        <v/>
      </c>
      <c r="DX1680" s="66">
        <f>AVERAGE($CB1680,$CC1680,$CM1680,$CE1680,$CP1680)</f>
        <v/>
      </c>
      <c r="DY1680" s="64">
        <f>($DW1680-$DW1681)*100</f>
        <v/>
      </c>
      <c r="DZ1680" s="64">
        <f>($DX1680-$DX1681)*100</f>
        <v/>
      </c>
      <c r="EA1680" s="64">
        <f>($DW1680-$D1680)*100</f>
        <v/>
      </c>
      <c r="EB1680" s="64">
        <f>$Q1680-$O1680</f>
        <v/>
      </c>
      <c r="EC1680" s="67">
        <f>IFERROR($Q1680/$P1680,"")</f>
        <v/>
      </c>
    </row>
    <row r="1681">
      <c r="DG1681" s="64">
        <f>($B1681-$B1682)*100</f>
        <v/>
      </c>
      <c r="DH1681" s="64">
        <f>($D1681-$D1682)*100</f>
        <v/>
      </c>
      <c r="DI1681" s="64">
        <f>($E1681-$E1682)*100</f>
        <v/>
      </c>
      <c r="DJ1681" s="64">
        <f>($H1681-$H1682)*100</f>
        <v/>
      </c>
      <c r="DK1681" s="65">
        <f>IFERROR($J1681/$J1682-1,"")</f>
        <v/>
      </c>
      <c r="DL1681" s="64">
        <f>$L1681-$L1682</f>
        <v/>
      </c>
      <c r="DM1681" s="64">
        <f>$K1681-$K1682</f>
        <v/>
      </c>
      <c r="DN1681" s="65">
        <f>IFERROR($N1681/$N1682-1,"")</f>
        <v/>
      </c>
      <c r="DO1681" s="65">
        <f>IFERROR($M1681/$M1682-1,"")</f>
        <v/>
      </c>
      <c r="DP1681" s="65">
        <f>IFERROR($AZ1681/$AZ1682-1,"")</f>
        <v/>
      </c>
      <c r="DQ1681" s="65">
        <f>IFERROR($BA1681/$BA1682-1,"")</f>
        <v/>
      </c>
      <c r="DR1681" s="64">
        <f>$O1681-$O1682</f>
        <v/>
      </c>
      <c r="DS1681" s="64">
        <f>$P1681-$P1682</f>
        <v/>
      </c>
      <c r="DT1681" s="64">
        <f>$Q1681-$Q1682</f>
        <v/>
      </c>
      <c r="DU1681" s="64">
        <f>$S1681-$S1682</f>
        <v/>
      </c>
      <c r="DV1681" s="65">
        <f>IFERROR(AVERAGE($AA1682/$AA1681-1,$AB1682/$AB1681-1,$AC1682/$AC1681-1,$AD1682/$AD1681-1,$AE1682/$AE1681-1,$AG1682/$AG1681-1,$AH1682/$AH1681-1,$AI1682/$AI1681-1,$AJ1682/$AJ1681-1,$AL1682/$AL1681-1,$AM1682/$AM1681-1,$AR1682/$AR1681-1,$AS1682/$AS1681-1,$AT1682/$AT1681-1,$AU1682/$AU1681-1,$AV1682/$AV1681-1,$AW1682/$AW1681-1,$AX1682/$AX1681-1,$AY1682/$AY1681-1),"")</f>
        <v/>
      </c>
      <c r="DW1681" s="66">
        <f>AVERAGE($CB1681,$CC1681,$CD1681,$CE1681,$CF1681,$CG1681,$CH1681,$CI1681,$CJ1681,$CL1681,$CM1681,$CN1681,$CO1681,$CP1681,$CQ1681,$CR1681,$CS1681,$CT1681)</f>
        <v/>
      </c>
      <c r="DX1681" s="66">
        <f>AVERAGE($CB1681,$CC1681,$CM1681,$CE1681,$CP1681)</f>
        <v/>
      </c>
      <c r="DY1681" s="64">
        <f>($DW1681-$DW1682)*100</f>
        <v/>
      </c>
      <c r="DZ1681" s="64">
        <f>($DX1681-$DX1682)*100</f>
        <v/>
      </c>
      <c r="EA1681" s="64">
        <f>($DW1681-$D1681)*100</f>
        <v/>
      </c>
      <c r="EB1681" s="64">
        <f>$Q1681-$O1681</f>
        <v/>
      </c>
      <c r="EC1681" s="67">
        <f>IFERROR($Q1681/$P1681,"")</f>
        <v/>
      </c>
    </row>
    <row r="1682">
      <c r="DG1682" s="64">
        <f>($B1682-$B1683)*100</f>
        <v/>
      </c>
      <c r="DH1682" s="64">
        <f>($D1682-$D1683)*100</f>
        <v/>
      </c>
      <c r="DI1682" s="64">
        <f>($E1682-$E1683)*100</f>
        <v/>
      </c>
      <c r="DJ1682" s="64">
        <f>($H1682-$H1683)*100</f>
        <v/>
      </c>
      <c r="DK1682" s="65">
        <f>IFERROR($J1682/$J1683-1,"")</f>
        <v/>
      </c>
      <c r="DL1682" s="64">
        <f>$L1682-$L1683</f>
        <v/>
      </c>
      <c r="DM1682" s="64">
        <f>$K1682-$K1683</f>
        <v/>
      </c>
      <c r="DN1682" s="65">
        <f>IFERROR($N1682/$N1683-1,"")</f>
        <v/>
      </c>
      <c r="DO1682" s="65">
        <f>IFERROR($M1682/$M1683-1,"")</f>
        <v/>
      </c>
      <c r="DP1682" s="65">
        <f>IFERROR($AZ1682/$AZ1683-1,"")</f>
        <v/>
      </c>
      <c r="DQ1682" s="65">
        <f>IFERROR($BA1682/$BA1683-1,"")</f>
        <v/>
      </c>
      <c r="DR1682" s="64">
        <f>$O1682-$O1683</f>
        <v/>
      </c>
      <c r="DS1682" s="64">
        <f>$P1682-$P1683</f>
        <v/>
      </c>
      <c r="DT1682" s="64">
        <f>$Q1682-$Q1683</f>
        <v/>
      </c>
      <c r="DU1682" s="64">
        <f>$S1682-$S1683</f>
        <v/>
      </c>
      <c r="DV1682" s="65">
        <f>IFERROR(AVERAGE($AA1683/$AA1682-1,$AB1683/$AB1682-1,$AC1683/$AC1682-1,$AD1683/$AD1682-1,$AE1683/$AE1682-1,$AG1683/$AG1682-1,$AH1683/$AH1682-1,$AI1683/$AI1682-1,$AJ1683/$AJ1682-1,$AL1683/$AL1682-1,$AM1683/$AM1682-1,$AR1683/$AR1682-1,$AS1683/$AS1682-1,$AT1683/$AT1682-1,$AU1683/$AU1682-1,$AV1683/$AV1682-1,$AW1683/$AW1682-1,$AX1683/$AX1682-1,$AY1683/$AY1682-1),"")</f>
        <v/>
      </c>
      <c r="DW1682" s="66">
        <f>AVERAGE($CB1682,$CC1682,$CD1682,$CE1682,$CF1682,$CG1682,$CH1682,$CI1682,$CJ1682,$CL1682,$CM1682,$CN1682,$CO1682,$CP1682,$CQ1682,$CR1682,$CS1682,$CT1682)</f>
        <v/>
      </c>
      <c r="DX1682" s="66">
        <f>AVERAGE($CB1682,$CC1682,$CM1682,$CE1682,$CP1682)</f>
        <v/>
      </c>
      <c r="DY1682" s="64">
        <f>($DW1682-$DW1683)*100</f>
        <v/>
      </c>
      <c r="DZ1682" s="64">
        <f>($DX1682-$DX1683)*100</f>
        <v/>
      </c>
      <c r="EA1682" s="64">
        <f>($DW1682-$D1682)*100</f>
        <v/>
      </c>
      <c r="EB1682" s="64">
        <f>$Q1682-$O1682</f>
        <v/>
      </c>
      <c r="EC1682" s="67">
        <f>IFERROR($Q1682/$P1682,"")</f>
        <v/>
      </c>
    </row>
    <row r="1683">
      <c r="DG1683" s="64">
        <f>($B1683-$B1684)*100</f>
        <v/>
      </c>
      <c r="DH1683" s="64">
        <f>($D1683-$D1684)*100</f>
        <v/>
      </c>
      <c r="DI1683" s="64">
        <f>($E1683-$E1684)*100</f>
        <v/>
      </c>
      <c r="DJ1683" s="64">
        <f>($H1683-$H1684)*100</f>
        <v/>
      </c>
      <c r="DK1683" s="65">
        <f>IFERROR($J1683/$J1684-1,"")</f>
        <v/>
      </c>
      <c r="DL1683" s="64">
        <f>$L1683-$L1684</f>
        <v/>
      </c>
      <c r="DM1683" s="64">
        <f>$K1683-$K1684</f>
        <v/>
      </c>
      <c r="DN1683" s="65">
        <f>IFERROR($N1683/$N1684-1,"")</f>
        <v/>
      </c>
      <c r="DO1683" s="65">
        <f>IFERROR($M1683/$M1684-1,"")</f>
        <v/>
      </c>
      <c r="DP1683" s="65">
        <f>IFERROR($AZ1683/$AZ1684-1,"")</f>
        <v/>
      </c>
      <c r="DQ1683" s="65">
        <f>IFERROR($BA1683/$BA1684-1,"")</f>
        <v/>
      </c>
      <c r="DR1683" s="64">
        <f>$O1683-$O1684</f>
        <v/>
      </c>
      <c r="DS1683" s="64">
        <f>$P1683-$P1684</f>
        <v/>
      </c>
      <c r="DT1683" s="64">
        <f>$Q1683-$Q1684</f>
        <v/>
      </c>
      <c r="DU1683" s="64">
        <f>$S1683-$S1684</f>
        <v/>
      </c>
      <c r="DV1683" s="65">
        <f>IFERROR(AVERAGE($AA1684/$AA1683-1,$AB1684/$AB1683-1,$AC1684/$AC1683-1,$AD1684/$AD1683-1,$AE1684/$AE1683-1,$AG1684/$AG1683-1,$AH1684/$AH1683-1,$AI1684/$AI1683-1,$AJ1684/$AJ1683-1,$AL1684/$AL1683-1,$AM1684/$AM1683-1,$AR1684/$AR1683-1,$AS1684/$AS1683-1,$AT1684/$AT1683-1,$AU1684/$AU1683-1,$AV1684/$AV1683-1,$AW1684/$AW1683-1,$AX1684/$AX1683-1,$AY1684/$AY1683-1),"")</f>
        <v/>
      </c>
      <c r="DW1683" s="66">
        <f>AVERAGE($CB1683,$CC1683,$CD1683,$CE1683,$CF1683,$CG1683,$CH1683,$CI1683,$CJ1683,$CL1683,$CM1683,$CN1683,$CO1683,$CP1683,$CQ1683,$CR1683,$CS1683,$CT1683)</f>
        <v/>
      </c>
      <c r="DX1683" s="66">
        <f>AVERAGE($CB1683,$CC1683,$CM1683,$CE1683,$CP1683)</f>
        <v/>
      </c>
      <c r="DY1683" s="64">
        <f>($DW1683-$DW1684)*100</f>
        <v/>
      </c>
      <c r="DZ1683" s="64">
        <f>($DX1683-$DX1684)*100</f>
        <v/>
      </c>
      <c r="EA1683" s="64">
        <f>($DW1683-$D1683)*100</f>
        <v/>
      </c>
      <c r="EB1683" s="64">
        <f>$Q1683-$O1683</f>
        <v/>
      </c>
      <c r="EC1683" s="67">
        <f>IFERROR($Q1683/$P1683,"")</f>
        <v/>
      </c>
    </row>
    <row r="1684">
      <c r="DG1684" s="64">
        <f>($B1684-$B1685)*100</f>
        <v/>
      </c>
      <c r="DH1684" s="64">
        <f>($D1684-$D1685)*100</f>
        <v/>
      </c>
      <c r="DI1684" s="64">
        <f>($E1684-$E1685)*100</f>
        <v/>
      </c>
      <c r="DJ1684" s="64">
        <f>($H1684-$H1685)*100</f>
        <v/>
      </c>
      <c r="DK1684" s="65">
        <f>IFERROR($J1684/$J1685-1,"")</f>
        <v/>
      </c>
      <c r="DL1684" s="64">
        <f>$L1684-$L1685</f>
        <v/>
      </c>
      <c r="DM1684" s="64">
        <f>$K1684-$K1685</f>
        <v/>
      </c>
      <c r="DN1684" s="65">
        <f>IFERROR($N1684/$N1685-1,"")</f>
        <v/>
      </c>
      <c r="DO1684" s="65">
        <f>IFERROR($M1684/$M1685-1,"")</f>
        <v/>
      </c>
      <c r="DP1684" s="65">
        <f>IFERROR($AZ1684/$AZ1685-1,"")</f>
        <v/>
      </c>
      <c r="DQ1684" s="65">
        <f>IFERROR($BA1684/$BA1685-1,"")</f>
        <v/>
      </c>
      <c r="DR1684" s="64">
        <f>$O1684-$O1685</f>
        <v/>
      </c>
      <c r="DS1684" s="64">
        <f>$P1684-$P1685</f>
        <v/>
      </c>
      <c r="DT1684" s="64">
        <f>$Q1684-$Q1685</f>
        <v/>
      </c>
      <c r="DU1684" s="64">
        <f>$S1684-$S1685</f>
        <v/>
      </c>
      <c r="DV1684" s="65">
        <f>IFERROR(AVERAGE($AA1685/$AA1684-1,$AB1685/$AB1684-1,$AC1685/$AC1684-1,$AD1685/$AD1684-1,$AE1685/$AE1684-1,$AG1685/$AG1684-1,$AH1685/$AH1684-1,$AI1685/$AI1684-1,$AJ1685/$AJ1684-1,$AL1685/$AL1684-1,$AM1685/$AM1684-1,$AR1685/$AR1684-1,$AS1685/$AS1684-1,$AT1685/$AT1684-1,$AU1685/$AU1684-1,$AV1685/$AV1684-1,$AW1685/$AW1684-1,$AX1685/$AX1684-1,$AY1685/$AY1684-1),"")</f>
        <v/>
      </c>
      <c r="DW1684" s="66">
        <f>AVERAGE($CB1684,$CC1684,$CD1684,$CE1684,$CF1684,$CG1684,$CH1684,$CI1684,$CJ1684,$CL1684,$CM1684,$CN1684,$CO1684,$CP1684,$CQ1684,$CR1684,$CS1684,$CT1684)</f>
        <v/>
      </c>
      <c r="DX1684" s="66">
        <f>AVERAGE($CB1684,$CC1684,$CM1684,$CE1684,$CP1684)</f>
        <v/>
      </c>
      <c r="DY1684" s="64">
        <f>($DW1684-$DW1685)*100</f>
        <v/>
      </c>
      <c r="DZ1684" s="64">
        <f>($DX1684-$DX1685)*100</f>
        <v/>
      </c>
      <c r="EA1684" s="64">
        <f>($DW1684-$D1684)*100</f>
        <v/>
      </c>
      <c r="EB1684" s="64">
        <f>$Q1684-$O1684</f>
        <v/>
      </c>
      <c r="EC1684" s="67">
        <f>IFERROR($Q1684/$P1684,"")</f>
        <v/>
      </c>
    </row>
    <row r="1685">
      <c r="DG1685" s="64">
        <f>($B1685-$B1686)*100</f>
        <v/>
      </c>
      <c r="DH1685" s="64">
        <f>($D1685-$D1686)*100</f>
        <v/>
      </c>
      <c r="DI1685" s="64">
        <f>($E1685-$E1686)*100</f>
        <v/>
      </c>
      <c r="DJ1685" s="64">
        <f>($H1685-$H1686)*100</f>
        <v/>
      </c>
      <c r="DK1685" s="65">
        <f>IFERROR($J1685/$J1686-1,"")</f>
        <v/>
      </c>
      <c r="DL1685" s="64">
        <f>$L1685-$L1686</f>
        <v/>
      </c>
      <c r="DM1685" s="64">
        <f>$K1685-$K1686</f>
        <v/>
      </c>
      <c r="DN1685" s="65">
        <f>IFERROR($N1685/$N1686-1,"")</f>
        <v/>
      </c>
      <c r="DO1685" s="65">
        <f>IFERROR($M1685/$M1686-1,"")</f>
        <v/>
      </c>
      <c r="DP1685" s="65">
        <f>IFERROR($AZ1685/$AZ1686-1,"")</f>
        <v/>
      </c>
      <c r="DQ1685" s="65">
        <f>IFERROR($BA1685/$BA1686-1,"")</f>
        <v/>
      </c>
      <c r="DR1685" s="64">
        <f>$O1685-$O1686</f>
        <v/>
      </c>
      <c r="DS1685" s="64">
        <f>$P1685-$P1686</f>
        <v/>
      </c>
      <c r="DT1685" s="64">
        <f>$Q1685-$Q1686</f>
        <v/>
      </c>
      <c r="DU1685" s="64">
        <f>$S1685-$S1686</f>
        <v/>
      </c>
      <c r="DV1685" s="65">
        <f>IFERROR(AVERAGE($AA1686/$AA1685-1,$AB1686/$AB1685-1,$AC1686/$AC1685-1,$AD1686/$AD1685-1,$AE1686/$AE1685-1,$AG1686/$AG1685-1,$AH1686/$AH1685-1,$AI1686/$AI1685-1,$AJ1686/$AJ1685-1,$AL1686/$AL1685-1,$AM1686/$AM1685-1,$AR1686/$AR1685-1,$AS1686/$AS1685-1,$AT1686/$AT1685-1,$AU1686/$AU1685-1,$AV1686/$AV1685-1,$AW1686/$AW1685-1,$AX1686/$AX1685-1,$AY1686/$AY1685-1),"")</f>
        <v/>
      </c>
      <c r="DW1685" s="66">
        <f>AVERAGE($CB1685,$CC1685,$CD1685,$CE1685,$CF1685,$CG1685,$CH1685,$CI1685,$CJ1685,$CL1685,$CM1685,$CN1685,$CO1685,$CP1685,$CQ1685,$CR1685,$CS1685,$CT1685)</f>
        <v/>
      </c>
      <c r="DX1685" s="66">
        <f>AVERAGE($CB1685,$CC1685,$CM1685,$CE1685,$CP1685)</f>
        <v/>
      </c>
      <c r="DY1685" s="64">
        <f>($DW1685-$DW1686)*100</f>
        <v/>
      </c>
      <c r="DZ1685" s="64">
        <f>($DX1685-$DX1686)*100</f>
        <v/>
      </c>
      <c r="EA1685" s="64">
        <f>($DW1685-$D1685)*100</f>
        <v/>
      </c>
      <c r="EB1685" s="64">
        <f>$Q1685-$O1685</f>
        <v/>
      </c>
      <c r="EC1685" s="67">
        <f>IFERROR($Q1685/$P1685,"")</f>
        <v/>
      </c>
    </row>
    <row r="1686">
      <c r="DG1686" s="64">
        <f>($B1686-$B1687)*100</f>
        <v/>
      </c>
      <c r="DH1686" s="64">
        <f>($D1686-$D1687)*100</f>
        <v/>
      </c>
      <c r="DI1686" s="64">
        <f>($E1686-$E1687)*100</f>
        <v/>
      </c>
      <c r="DJ1686" s="64">
        <f>($H1686-$H1687)*100</f>
        <v/>
      </c>
      <c r="DK1686" s="65">
        <f>IFERROR($J1686/$J1687-1,"")</f>
        <v/>
      </c>
      <c r="DL1686" s="64">
        <f>$L1686-$L1687</f>
        <v/>
      </c>
      <c r="DM1686" s="64">
        <f>$K1686-$K1687</f>
        <v/>
      </c>
      <c r="DN1686" s="65">
        <f>IFERROR($N1686/$N1687-1,"")</f>
        <v/>
      </c>
      <c r="DO1686" s="65">
        <f>IFERROR($M1686/$M1687-1,"")</f>
        <v/>
      </c>
      <c r="DP1686" s="65">
        <f>IFERROR($AZ1686/$AZ1687-1,"")</f>
        <v/>
      </c>
      <c r="DQ1686" s="65">
        <f>IFERROR($BA1686/$BA1687-1,"")</f>
        <v/>
      </c>
      <c r="DR1686" s="64">
        <f>$O1686-$O1687</f>
        <v/>
      </c>
      <c r="DS1686" s="64">
        <f>$P1686-$P1687</f>
        <v/>
      </c>
      <c r="DT1686" s="64">
        <f>$Q1686-$Q1687</f>
        <v/>
      </c>
      <c r="DU1686" s="64">
        <f>$S1686-$S1687</f>
        <v/>
      </c>
      <c r="DV1686" s="65">
        <f>IFERROR(AVERAGE($AA1687/$AA1686-1,$AB1687/$AB1686-1,$AC1687/$AC1686-1,$AD1687/$AD1686-1,$AE1687/$AE1686-1,$AG1687/$AG1686-1,$AH1687/$AH1686-1,$AI1687/$AI1686-1,$AJ1687/$AJ1686-1,$AL1687/$AL1686-1,$AM1687/$AM1686-1,$AR1687/$AR1686-1,$AS1687/$AS1686-1,$AT1687/$AT1686-1,$AU1687/$AU1686-1,$AV1687/$AV1686-1,$AW1687/$AW1686-1,$AX1687/$AX1686-1,$AY1687/$AY1686-1),"")</f>
        <v/>
      </c>
      <c r="DW1686" s="66">
        <f>AVERAGE($CB1686,$CC1686,$CD1686,$CE1686,$CF1686,$CG1686,$CH1686,$CI1686,$CJ1686,$CL1686,$CM1686,$CN1686,$CO1686,$CP1686,$CQ1686,$CR1686,$CS1686,$CT1686)</f>
        <v/>
      </c>
      <c r="DX1686" s="66">
        <f>AVERAGE($CB1686,$CC1686,$CM1686,$CE1686,$CP1686)</f>
        <v/>
      </c>
      <c r="DY1686" s="64">
        <f>($DW1686-$DW1687)*100</f>
        <v/>
      </c>
      <c r="DZ1686" s="64">
        <f>($DX1686-$DX1687)*100</f>
        <v/>
      </c>
      <c r="EA1686" s="64">
        <f>($DW1686-$D1686)*100</f>
        <v/>
      </c>
      <c r="EB1686" s="64">
        <f>$Q1686-$O1686</f>
        <v/>
      </c>
      <c r="EC1686" s="67">
        <f>IFERROR($Q1686/$P1686,"")</f>
        <v/>
      </c>
    </row>
    <row r="1687">
      <c r="DG1687" s="64">
        <f>($B1687-$B1688)*100</f>
        <v/>
      </c>
      <c r="DH1687" s="64">
        <f>($D1687-$D1688)*100</f>
        <v/>
      </c>
      <c r="DI1687" s="64">
        <f>($E1687-$E1688)*100</f>
        <v/>
      </c>
      <c r="DJ1687" s="64">
        <f>($H1687-$H1688)*100</f>
        <v/>
      </c>
      <c r="DK1687" s="65">
        <f>IFERROR($J1687/$J1688-1,"")</f>
        <v/>
      </c>
      <c r="DL1687" s="64">
        <f>$L1687-$L1688</f>
        <v/>
      </c>
      <c r="DM1687" s="64">
        <f>$K1687-$K1688</f>
        <v/>
      </c>
      <c r="DN1687" s="65">
        <f>IFERROR($N1687/$N1688-1,"")</f>
        <v/>
      </c>
      <c r="DO1687" s="65">
        <f>IFERROR($M1687/$M1688-1,"")</f>
        <v/>
      </c>
      <c r="DP1687" s="65">
        <f>IFERROR($AZ1687/$AZ1688-1,"")</f>
        <v/>
      </c>
      <c r="DQ1687" s="65">
        <f>IFERROR($BA1687/$BA1688-1,"")</f>
        <v/>
      </c>
      <c r="DR1687" s="64">
        <f>$O1687-$O1688</f>
        <v/>
      </c>
      <c r="DS1687" s="64">
        <f>$P1687-$P1688</f>
        <v/>
      </c>
      <c r="DT1687" s="64">
        <f>$Q1687-$Q1688</f>
        <v/>
      </c>
      <c r="DU1687" s="64">
        <f>$S1687-$S1688</f>
        <v/>
      </c>
      <c r="DV1687" s="65">
        <f>IFERROR(AVERAGE($AA1688/$AA1687-1,$AB1688/$AB1687-1,$AC1688/$AC1687-1,$AD1688/$AD1687-1,$AE1688/$AE1687-1,$AG1688/$AG1687-1,$AH1688/$AH1687-1,$AI1688/$AI1687-1,$AJ1688/$AJ1687-1,$AL1688/$AL1687-1,$AM1688/$AM1687-1,$AR1688/$AR1687-1,$AS1688/$AS1687-1,$AT1688/$AT1687-1,$AU1688/$AU1687-1,$AV1688/$AV1687-1,$AW1688/$AW1687-1,$AX1688/$AX1687-1,$AY1688/$AY1687-1),"")</f>
        <v/>
      </c>
      <c r="DW1687" s="66">
        <f>AVERAGE($CB1687,$CC1687,$CD1687,$CE1687,$CF1687,$CG1687,$CH1687,$CI1687,$CJ1687,$CL1687,$CM1687,$CN1687,$CO1687,$CP1687,$CQ1687,$CR1687,$CS1687,$CT1687)</f>
        <v/>
      </c>
      <c r="DX1687" s="66">
        <f>AVERAGE($CB1687,$CC1687,$CM1687,$CE1687,$CP1687)</f>
        <v/>
      </c>
      <c r="DY1687" s="64">
        <f>($DW1687-$DW1688)*100</f>
        <v/>
      </c>
      <c r="DZ1687" s="64">
        <f>($DX1687-$DX1688)*100</f>
        <v/>
      </c>
      <c r="EA1687" s="64">
        <f>($DW1687-$D1687)*100</f>
        <v/>
      </c>
      <c r="EB1687" s="64">
        <f>$Q1687-$O1687</f>
        <v/>
      </c>
      <c r="EC1687" s="67">
        <f>IFERROR($Q1687/$P1687,"")</f>
        <v/>
      </c>
    </row>
    <row r="1688">
      <c r="DG1688" s="64">
        <f>($B1688-$B1689)*100</f>
        <v/>
      </c>
      <c r="DH1688" s="64">
        <f>($D1688-$D1689)*100</f>
        <v/>
      </c>
      <c r="DI1688" s="64">
        <f>($E1688-$E1689)*100</f>
        <v/>
      </c>
      <c r="DJ1688" s="64">
        <f>($H1688-$H1689)*100</f>
        <v/>
      </c>
      <c r="DK1688" s="65">
        <f>IFERROR($J1688/$J1689-1,"")</f>
        <v/>
      </c>
      <c r="DL1688" s="64">
        <f>$L1688-$L1689</f>
        <v/>
      </c>
      <c r="DM1688" s="64">
        <f>$K1688-$K1689</f>
        <v/>
      </c>
      <c r="DN1688" s="65">
        <f>IFERROR($N1688/$N1689-1,"")</f>
        <v/>
      </c>
      <c r="DO1688" s="65">
        <f>IFERROR($M1688/$M1689-1,"")</f>
        <v/>
      </c>
      <c r="DP1688" s="65">
        <f>IFERROR($AZ1688/$AZ1689-1,"")</f>
        <v/>
      </c>
      <c r="DQ1688" s="65">
        <f>IFERROR($BA1688/$BA1689-1,"")</f>
        <v/>
      </c>
      <c r="DR1688" s="64">
        <f>$O1688-$O1689</f>
        <v/>
      </c>
      <c r="DS1688" s="64">
        <f>$P1688-$P1689</f>
        <v/>
      </c>
      <c r="DT1688" s="64">
        <f>$Q1688-$Q1689</f>
        <v/>
      </c>
      <c r="DU1688" s="64">
        <f>$S1688-$S1689</f>
        <v/>
      </c>
      <c r="DV1688" s="65">
        <f>IFERROR(AVERAGE($AA1689/$AA1688-1,$AB1689/$AB1688-1,$AC1689/$AC1688-1,$AD1689/$AD1688-1,$AE1689/$AE1688-1,$AG1689/$AG1688-1,$AH1689/$AH1688-1,$AI1689/$AI1688-1,$AJ1689/$AJ1688-1,$AL1689/$AL1688-1,$AM1689/$AM1688-1,$AR1689/$AR1688-1,$AS1689/$AS1688-1,$AT1689/$AT1688-1,$AU1689/$AU1688-1,$AV1689/$AV1688-1,$AW1689/$AW1688-1,$AX1689/$AX1688-1,$AY1689/$AY1688-1),"")</f>
        <v/>
      </c>
      <c r="DW1688" s="66">
        <f>AVERAGE($CB1688,$CC1688,$CD1688,$CE1688,$CF1688,$CG1688,$CH1688,$CI1688,$CJ1688,$CL1688,$CM1688,$CN1688,$CO1688,$CP1688,$CQ1688,$CR1688,$CS1688,$CT1688)</f>
        <v/>
      </c>
      <c r="DX1688" s="66">
        <f>AVERAGE($CB1688,$CC1688,$CM1688,$CE1688,$CP1688)</f>
        <v/>
      </c>
      <c r="DY1688" s="64">
        <f>($DW1688-$DW1689)*100</f>
        <v/>
      </c>
      <c r="DZ1688" s="64">
        <f>($DX1688-$DX1689)*100</f>
        <v/>
      </c>
      <c r="EA1688" s="64">
        <f>($DW1688-$D1688)*100</f>
        <v/>
      </c>
      <c r="EB1688" s="64">
        <f>$Q1688-$O1688</f>
        <v/>
      </c>
      <c r="EC1688" s="67">
        <f>IFERROR($Q1688/$P1688,"")</f>
        <v/>
      </c>
    </row>
    <row r="1689">
      <c r="DG1689" s="64">
        <f>($B1689-$B1690)*100</f>
        <v/>
      </c>
      <c r="DH1689" s="64">
        <f>($D1689-$D1690)*100</f>
        <v/>
      </c>
      <c r="DI1689" s="64">
        <f>($E1689-$E1690)*100</f>
        <v/>
      </c>
      <c r="DJ1689" s="64">
        <f>($H1689-$H1690)*100</f>
        <v/>
      </c>
      <c r="DK1689" s="65">
        <f>IFERROR($J1689/$J1690-1,"")</f>
        <v/>
      </c>
      <c r="DL1689" s="64">
        <f>$L1689-$L1690</f>
        <v/>
      </c>
      <c r="DM1689" s="64">
        <f>$K1689-$K1690</f>
        <v/>
      </c>
      <c r="DN1689" s="65">
        <f>IFERROR($N1689/$N1690-1,"")</f>
        <v/>
      </c>
      <c r="DO1689" s="65">
        <f>IFERROR($M1689/$M1690-1,"")</f>
        <v/>
      </c>
      <c r="DP1689" s="65">
        <f>IFERROR($AZ1689/$AZ1690-1,"")</f>
        <v/>
      </c>
      <c r="DQ1689" s="65">
        <f>IFERROR($BA1689/$BA1690-1,"")</f>
        <v/>
      </c>
      <c r="DR1689" s="64">
        <f>$O1689-$O1690</f>
        <v/>
      </c>
      <c r="DS1689" s="64">
        <f>$P1689-$P1690</f>
        <v/>
      </c>
      <c r="DT1689" s="64">
        <f>$Q1689-$Q1690</f>
        <v/>
      </c>
      <c r="DU1689" s="64">
        <f>$S1689-$S1690</f>
        <v/>
      </c>
      <c r="DV1689" s="65">
        <f>IFERROR(AVERAGE($AA1690/$AA1689-1,$AB1690/$AB1689-1,$AC1690/$AC1689-1,$AD1690/$AD1689-1,$AE1690/$AE1689-1,$AG1690/$AG1689-1,$AH1690/$AH1689-1,$AI1690/$AI1689-1,$AJ1690/$AJ1689-1,$AL1690/$AL1689-1,$AM1690/$AM1689-1,$AR1690/$AR1689-1,$AS1690/$AS1689-1,$AT1690/$AT1689-1,$AU1690/$AU1689-1,$AV1690/$AV1689-1,$AW1690/$AW1689-1,$AX1690/$AX1689-1,$AY1690/$AY1689-1),"")</f>
        <v/>
      </c>
      <c r="DW1689" s="66">
        <f>AVERAGE($CB1689,$CC1689,$CD1689,$CE1689,$CF1689,$CG1689,$CH1689,$CI1689,$CJ1689,$CL1689,$CM1689,$CN1689,$CO1689,$CP1689,$CQ1689,$CR1689,$CS1689,$CT1689)</f>
        <v/>
      </c>
      <c r="DX1689" s="66">
        <f>AVERAGE($CB1689,$CC1689,$CM1689,$CE1689,$CP1689)</f>
        <v/>
      </c>
      <c r="DY1689" s="64">
        <f>($DW1689-$DW1690)*100</f>
        <v/>
      </c>
      <c r="DZ1689" s="64">
        <f>($DX1689-$DX1690)*100</f>
        <v/>
      </c>
      <c r="EA1689" s="64">
        <f>($DW1689-$D1689)*100</f>
        <v/>
      </c>
      <c r="EB1689" s="64">
        <f>$Q1689-$O1689</f>
        <v/>
      </c>
      <c r="EC1689" s="67">
        <f>IFERROR($Q1689/$P1689,"")</f>
        <v/>
      </c>
    </row>
    <row r="1690">
      <c r="DG1690" s="64">
        <f>($B1690-$B1691)*100</f>
        <v/>
      </c>
      <c r="DH1690" s="64">
        <f>($D1690-$D1691)*100</f>
        <v/>
      </c>
      <c r="DI1690" s="64">
        <f>($E1690-$E1691)*100</f>
        <v/>
      </c>
      <c r="DJ1690" s="64">
        <f>($H1690-$H1691)*100</f>
        <v/>
      </c>
      <c r="DK1690" s="65">
        <f>IFERROR($J1690/$J1691-1,"")</f>
        <v/>
      </c>
      <c r="DL1690" s="64">
        <f>$L1690-$L1691</f>
        <v/>
      </c>
      <c r="DM1690" s="64">
        <f>$K1690-$K1691</f>
        <v/>
      </c>
      <c r="DN1690" s="65">
        <f>IFERROR($N1690/$N1691-1,"")</f>
        <v/>
      </c>
      <c r="DO1690" s="65">
        <f>IFERROR($M1690/$M1691-1,"")</f>
        <v/>
      </c>
      <c r="DP1690" s="65">
        <f>IFERROR($AZ1690/$AZ1691-1,"")</f>
        <v/>
      </c>
      <c r="DQ1690" s="65">
        <f>IFERROR($BA1690/$BA1691-1,"")</f>
        <v/>
      </c>
      <c r="DR1690" s="64">
        <f>$O1690-$O1691</f>
        <v/>
      </c>
      <c r="DS1690" s="64">
        <f>$P1690-$P1691</f>
        <v/>
      </c>
      <c r="DT1690" s="64">
        <f>$Q1690-$Q1691</f>
        <v/>
      </c>
      <c r="DU1690" s="64">
        <f>$S1690-$S1691</f>
        <v/>
      </c>
      <c r="DV1690" s="65">
        <f>IFERROR(AVERAGE($AA1691/$AA1690-1,$AB1691/$AB1690-1,$AC1691/$AC1690-1,$AD1691/$AD1690-1,$AE1691/$AE1690-1,$AG1691/$AG1690-1,$AH1691/$AH1690-1,$AI1691/$AI1690-1,$AJ1691/$AJ1690-1,$AL1691/$AL1690-1,$AM1691/$AM1690-1,$AR1691/$AR1690-1,$AS1691/$AS1690-1,$AT1691/$AT1690-1,$AU1691/$AU1690-1,$AV1691/$AV1690-1,$AW1691/$AW1690-1,$AX1691/$AX1690-1,$AY1691/$AY1690-1),"")</f>
        <v/>
      </c>
      <c r="DW1690" s="66">
        <f>AVERAGE($CB1690,$CC1690,$CD1690,$CE1690,$CF1690,$CG1690,$CH1690,$CI1690,$CJ1690,$CL1690,$CM1690,$CN1690,$CO1690,$CP1690,$CQ1690,$CR1690,$CS1690,$CT1690)</f>
        <v/>
      </c>
      <c r="DX1690" s="66">
        <f>AVERAGE($CB1690,$CC1690,$CM1690,$CE1690,$CP1690)</f>
        <v/>
      </c>
      <c r="DY1690" s="64">
        <f>($DW1690-$DW1691)*100</f>
        <v/>
      </c>
      <c r="DZ1690" s="64">
        <f>($DX1690-$DX1691)*100</f>
        <v/>
      </c>
      <c r="EA1690" s="64">
        <f>($DW1690-$D1690)*100</f>
        <v/>
      </c>
      <c r="EB1690" s="64">
        <f>$Q1690-$O1690</f>
        <v/>
      </c>
      <c r="EC1690" s="67">
        <f>IFERROR($Q1690/$P1690,"")</f>
        <v/>
      </c>
    </row>
    <row r="1691">
      <c r="DG1691" s="64">
        <f>($B1691-$B1692)*100</f>
        <v/>
      </c>
      <c r="DH1691" s="64">
        <f>($D1691-$D1692)*100</f>
        <v/>
      </c>
      <c r="DI1691" s="64">
        <f>($E1691-$E1692)*100</f>
        <v/>
      </c>
      <c r="DJ1691" s="64">
        <f>($H1691-$H1692)*100</f>
        <v/>
      </c>
      <c r="DK1691" s="65">
        <f>IFERROR($J1691/$J1692-1,"")</f>
        <v/>
      </c>
      <c r="DL1691" s="64">
        <f>$L1691-$L1692</f>
        <v/>
      </c>
      <c r="DM1691" s="64">
        <f>$K1691-$K1692</f>
        <v/>
      </c>
      <c r="DN1691" s="65">
        <f>IFERROR($N1691/$N1692-1,"")</f>
        <v/>
      </c>
      <c r="DO1691" s="65">
        <f>IFERROR($M1691/$M1692-1,"")</f>
        <v/>
      </c>
      <c r="DP1691" s="65">
        <f>IFERROR($AZ1691/$AZ1692-1,"")</f>
        <v/>
      </c>
      <c r="DQ1691" s="65">
        <f>IFERROR($BA1691/$BA1692-1,"")</f>
        <v/>
      </c>
      <c r="DR1691" s="64">
        <f>$O1691-$O1692</f>
        <v/>
      </c>
      <c r="DS1691" s="64">
        <f>$P1691-$P1692</f>
        <v/>
      </c>
      <c r="DT1691" s="64">
        <f>$Q1691-$Q1692</f>
        <v/>
      </c>
      <c r="DU1691" s="64">
        <f>$S1691-$S1692</f>
        <v/>
      </c>
      <c r="DV1691" s="65">
        <f>IFERROR(AVERAGE($AA1692/$AA1691-1,$AB1692/$AB1691-1,$AC1692/$AC1691-1,$AD1692/$AD1691-1,$AE1692/$AE1691-1,$AG1692/$AG1691-1,$AH1692/$AH1691-1,$AI1692/$AI1691-1,$AJ1692/$AJ1691-1,$AL1692/$AL1691-1,$AM1692/$AM1691-1,$AR1692/$AR1691-1,$AS1692/$AS1691-1,$AT1692/$AT1691-1,$AU1692/$AU1691-1,$AV1692/$AV1691-1,$AW1692/$AW1691-1,$AX1692/$AX1691-1,$AY1692/$AY1691-1),"")</f>
        <v/>
      </c>
      <c r="DW1691" s="66">
        <f>AVERAGE($CB1691,$CC1691,$CD1691,$CE1691,$CF1691,$CG1691,$CH1691,$CI1691,$CJ1691,$CL1691,$CM1691,$CN1691,$CO1691,$CP1691,$CQ1691,$CR1691,$CS1691,$CT1691)</f>
        <v/>
      </c>
      <c r="DX1691" s="66">
        <f>AVERAGE($CB1691,$CC1691,$CM1691,$CE1691,$CP1691)</f>
        <v/>
      </c>
      <c r="DY1691" s="64">
        <f>($DW1691-$DW1692)*100</f>
        <v/>
      </c>
      <c r="DZ1691" s="64">
        <f>($DX1691-$DX1692)*100</f>
        <v/>
      </c>
      <c r="EA1691" s="64">
        <f>($DW1691-$D1691)*100</f>
        <v/>
      </c>
      <c r="EB1691" s="64">
        <f>$Q1691-$O1691</f>
        <v/>
      </c>
      <c r="EC1691" s="67">
        <f>IFERROR($Q1691/$P1691,"")</f>
        <v/>
      </c>
    </row>
    <row r="1692">
      <c r="DG1692" s="64">
        <f>($B1692-$B1693)*100</f>
        <v/>
      </c>
      <c r="DH1692" s="64">
        <f>($D1692-$D1693)*100</f>
        <v/>
      </c>
      <c r="DI1692" s="64">
        <f>($E1692-$E1693)*100</f>
        <v/>
      </c>
      <c r="DJ1692" s="64">
        <f>($H1692-$H1693)*100</f>
        <v/>
      </c>
      <c r="DK1692" s="65">
        <f>IFERROR($J1692/$J1693-1,"")</f>
        <v/>
      </c>
      <c r="DL1692" s="64">
        <f>$L1692-$L1693</f>
        <v/>
      </c>
      <c r="DM1692" s="64">
        <f>$K1692-$K1693</f>
        <v/>
      </c>
      <c r="DN1692" s="65">
        <f>IFERROR($N1692/$N1693-1,"")</f>
        <v/>
      </c>
      <c r="DO1692" s="65">
        <f>IFERROR($M1692/$M1693-1,"")</f>
        <v/>
      </c>
      <c r="DP1692" s="65">
        <f>IFERROR($AZ1692/$AZ1693-1,"")</f>
        <v/>
      </c>
      <c r="DQ1692" s="65">
        <f>IFERROR($BA1692/$BA1693-1,"")</f>
        <v/>
      </c>
      <c r="DR1692" s="64">
        <f>$O1692-$O1693</f>
        <v/>
      </c>
      <c r="DS1692" s="64">
        <f>$P1692-$P1693</f>
        <v/>
      </c>
      <c r="DT1692" s="64">
        <f>$Q1692-$Q1693</f>
        <v/>
      </c>
      <c r="DU1692" s="64">
        <f>$S1692-$S1693</f>
        <v/>
      </c>
      <c r="DV1692" s="65">
        <f>IFERROR(AVERAGE($AA1693/$AA1692-1,$AB1693/$AB1692-1,$AC1693/$AC1692-1,$AD1693/$AD1692-1,$AE1693/$AE1692-1,$AG1693/$AG1692-1,$AH1693/$AH1692-1,$AI1693/$AI1692-1,$AJ1693/$AJ1692-1,$AL1693/$AL1692-1,$AM1693/$AM1692-1,$AR1693/$AR1692-1,$AS1693/$AS1692-1,$AT1693/$AT1692-1,$AU1693/$AU1692-1,$AV1693/$AV1692-1,$AW1693/$AW1692-1,$AX1693/$AX1692-1,$AY1693/$AY1692-1),"")</f>
        <v/>
      </c>
      <c r="DW1692" s="66">
        <f>AVERAGE($CB1692,$CC1692,$CD1692,$CE1692,$CF1692,$CG1692,$CH1692,$CI1692,$CJ1692,$CL1692,$CM1692,$CN1692,$CO1692,$CP1692,$CQ1692,$CR1692,$CS1692,$CT1692)</f>
        <v/>
      </c>
      <c r="DX1692" s="66">
        <f>AVERAGE($CB1692,$CC1692,$CM1692,$CE1692,$CP1692)</f>
        <v/>
      </c>
      <c r="DY1692" s="64">
        <f>($DW1692-$DW1693)*100</f>
        <v/>
      </c>
      <c r="DZ1692" s="64">
        <f>($DX1692-$DX1693)*100</f>
        <v/>
      </c>
      <c r="EA1692" s="64">
        <f>($DW1692-$D1692)*100</f>
        <v/>
      </c>
      <c r="EB1692" s="64">
        <f>$Q1692-$O1692</f>
        <v/>
      </c>
      <c r="EC1692" s="67">
        <f>IFERROR($Q1692/$P1692,"")</f>
        <v/>
      </c>
    </row>
    <row r="1693">
      <c r="DG1693" s="64">
        <f>($B1693-$B1694)*100</f>
        <v/>
      </c>
      <c r="DH1693" s="64">
        <f>($D1693-$D1694)*100</f>
        <v/>
      </c>
      <c r="DI1693" s="64">
        <f>($E1693-$E1694)*100</f>
        <v/>
      </c>
      <c r="DJ1693" s="64">
        <f>($H1693-$H1694)*100</f>
        <v/>
      </c>
      <c r="DK1693" s="65">
        <f>IFERROR($J1693/$J1694-1,"")</f>
        <v/>
      </c>
      <c r="DL1693" s="64">
        <f>$L1693-$L1694</f>
        <v/>
      </c>
      <c r="DM1693" s="64">
        <f>$K1693-$K1694</f>
        <v/>
      </c>
      <c r="DN1693" s="65">
        <f>IFERROR($N1693/$N1694-1,"")</f>
        <v/>
      </c>
      <c r="DO1693" s="65">
        <f>IFERROR($M1693/$M1694-1,"")</f>
        <v/>
      </c>
      <c r="DP1693" s="65">
        <f>IFERROR($AZ1693/$AZ1694-1,"")</f>
        <v/>
      </c>
      <c r="DQ1693" s="65">
        <f>IFERROR($BA1693/$BA1694-1,"")</f>
        <v/>
      </c>
      <c r="DR1693" s="64">
        <f>$O1693-$O1694</f>
        <v/>
      </c>
      <c r="DS1693" s="64">
        <f>$P1693-$P1694</f>
        <v/>
      </c>
      <c r="DT1693" s="64">
        <f>$Q1693-$Q1694</f>
        <v/>
      </c>
      <c r="DU1693" s="64">
        <f>$S1693-$S1694</f>
        <v/>
      </c>
      <c r="DV1693" s="65">
        <f>IFERROR(AVERAGE($AA1694/$AA1693-1,$AB1694/$AB1693-1,$AC1694/$AC1693-1,$AD1694/$AD1693-1,$AE1694/$AE1693-1,$AG1694/$AG1693-1,$AH1694/$AH1693-1,$AI1694/$AI1693-1,$AJ1694/$AJ1693-1,$AL1694/$AL1693-1,$AM1694/$AM1693-1,$AR1694/$AR1693-1,$AS1694/$AS1693-1,$AT1694/$AT1693-1,$AU1694/$AU1693-1,$AV1694/$AV1693-1,$AW1694/$AW1693-1,$AX1694/$AX1693-1,$AY1694/$AY1693-1),"")</f>
        <v/>
      </c>
      <c r="DW1693" s="66">
        <f>AVERAGE($CB1693,$CC1693,$CD1693,$CE1693,$CF1693,$CG1693,$CH1693,$CI1693,$CJ1693,$CL1693,$CM1693,$CN1693,$CO1693,$CP1693,$CQ1693,$CR1693,$CS1693,$CT1693)</f>
        <v/>
      </c>
      <c r="DX1693" s="66">
        <f>AVERAGE($CB1693,$CC1693,$CM1693,$CE1693,$CP1693)</f>
        <v/>
      </c>
      <c r="DY1693" s="64">
        <f>($DW1693-$DW1694)*100</f>
        <v/>
      </c>
      <c r="DZ1693" s="64">
        <f>($DX1693-$DX1694)*100</f>
        <v/>
      </c>
      <c r="EA1693" s="64">
        <f>($DW1693-$D1693)*100</f>
        <v/>
      </c>
      <c r="EB1693" s="64">
        <f>$Q1693-$O1693</f>
        <v/>
      </c>
      <c r="EC1693" s="67">
        <f>IFERROR($Q1693/$P1693,"")</f>
        <v/>
      </c>
    </row>
    <row r="1694">
      <c r="DG1694" s="64">
        <f>($B1694-$B1695)*100</f>
        <v/>
      </c>
      <c r="DH1694" s="64">
        <f>($D1694-$D1695)*100</f>
        <v/>
      </c>
      <c r="DI1694" s="64">
        <f>($E1694-$E1695)*100</f>
        <v/>
      </c>
      <c r="DJ1694" s="64">
        <f>($H1694-$H1695)*100</f>
        <v/>
      </c>
      <c r="DK1694" s="65">
        <f>IFERROR($J1694/$J1695-1,"")</f>
        <v/>
      </c>
      <c r="DL1694" s="64">
        <f>$L1694-$L1695</f>
        <v/>
      </c>
      <c r="DM1694" s="64">
        <f>$K1694-$K1695</f>
        <v/>
      </c>
      <c r="DN1694" s="65">
        <f>IFERROR($N1694/$N1695-1,"")</f>
        <v/>
      </c>
      <c r="DO1694" s="65">
        <f>IFERROR($M1694/$M1695-1,"")</f>
        <v/>
      </c>
      <c r="DP1694" s="65">
        <f>IFERROR($AZ1694/$AZ1695-1,"")</f>
        <v/>
      </c>
      <c r="DQ1694" s="65">
        <f>IFERROR($BA1694/$BA1695-1,"")</f>
        <v/>
      </c>
      <c r="DR1694" s="64">
        <f>$O1694-$O1695</f>
        <v/>
      </c>
      <c r="DS1694" s="64">
        <f>$P1694-$P1695</f>
        <v/>
      </c>
      <c r="DT1694" s="64">
        <f>$Q1694-$Q1695</f>
        <v/>
      </c>
      <c r="DU1694" s="64">
        <f>$S1694-$S1695</f>
        <v/>
      </c>
      <c r="DV1694" s="65">
        <f>IFERROR(AVERAGE($AA1695/$AA1694-1,$AB1695/$AB1694-1,$AC1695/$AC1694-1,$AD1695/$AD1694-1,$AE1695/$AE1694-1,$AG1695/$AG1694-1,$AH1695/$AH1694-1,$AI1695/$AI1694-1,$AJ1695/$AJ1694-1,$AL1695/$AL1694-1,$AM1695/$AM1694-1,$AR1695/$AR1694-1,$AS1695/$AS1694-1,$AT1695/$AT1694-1,$AU1695/$AU1694-1,$AV1695/$AV1694-1,$AW1695/$AW1694-1,$AX1695/$AX1694-1,$AY1695/$AY1694-1),"")</f>
        <v/>
      </c>
      <c r="DW1694" s="66">
        <f>AVERAGE($CB1694,$CC1694,$CD1694,$CE1694,$CF1694,$CG1694,$CH1694,$CI1694,$CJ1694,$CL1694,$CM1694,$CN1694,$CO1694,$CP1694,$CQ1694,$CR1694,$CS1694,$CT1694)</f>
        <v/>
      </c>
      <c r="DX1694" s="66">
        <f>AVERAGE($CB1694,$CC1694,$CM1694,$CE1694,$CP1694)</f>
        <v/>
      </c>
      <c r="DY1694" s="64">
        <f>($DW1694-$DW1695)*100</f>
        <v/>
      </c>
      <c r="DZ1694" s="64">
        <f>($DX1694-$DX1695)*100</f>
        <v/>
      </c>
      <c r="EA1694" s="64">
        <f>($DW1694-$D1694)*100</f>
        <v/>
      </c>
      <c r="EB1694" s="64">
        <f>$Q1694-$O1694</f>
        <v/>
      </c>
      <c r="EC1694" s="67">
        <f>IFERROR($Q1694/$P1694,"")</f>
        <v/>
      </c>
    </row>
    <row r="1695">
      <c r="DG1695" s="64">
        <f>($B1695-$B1696)*100</f>
        <v/>
      </c>
      <c r="DH1695" s="64">
        <f>($D1695-$D1696)*100</f>
        <v/>
      </c>
      <c r="DI1695" s="64">
        <f>($E1695-$E1696)*100</f>
        <v/>
      </c>
      <c r="DJ1695" s="64">
        <f>($H1695-$H1696)*100</f>
        <v/>
      </c>
      <c r="DK1695" s="65">
        <f>IFERROR($J1695/$J1696-1,"")</f>
        <v/>
      </c>
      <c r="DL1695" s="64">
        <f>$L1695-$L1696</f>
        <v/>
      </c>
      <c r="DM1695" s="64">
        <f>$K1695-$K1696</f>
        <v/>
      </c>
      <c r="DN1695" s="65">
        <f>IFERROR($N1695/$N1696-1,"")</f>
        <v/>
      </c>
      <c r="DO1695" s="65">
        <f>IFERROR($M1695/$M1696-1,"")</f>
        <v/>
      </c>
      <c r="DP1695" s="65">
        <f>IFERROR($AZ1695/$AZ1696-1,"")</f>
        <v/>
      </c>
      <c r="DQ1695" s="65">
        <f>IFERROR($BA1695/$BA1696-1,"")</f>
        <v/>
      </c>
      <c r="DR1695" s="64">
        <f>$O1695-$O1696</f>
        <v/>
      </c>
      <c r="DS1695" s="64">
        <f>$P1695-$P1696</f>
        <v/>
      </c>
      <c r="DT1695" s="64">
        <f>$Q1695-$Q1696</f>
        <v/>
      </c>
      <c r="DU1695" s="64">
        <f>$S1695-$S1696</f>
        <v/>
      </c>
      <c r="DV1695" s="65">
        <f>IFERROR(AVERAGE($AA1696/$AA1695-1,$AB1696/$AB1695-1,$AC1696/$AC1695-1,$AD1696/$AD1695-1,$AE1696/$AE1695-1,$AG1696/$AG1695-1,$AH1696/$AH1695-1,$AI1696/$AI1695-1,$AJ1696/$AJ1695-1,$AL1696/$AL1695-1,$AM1696/$AM1695-1,$AR1696/$AR1695-1,$AS1696/$AS1695-1,$AT1696/$AT1695-1,$AU1696/$AU1695-1,$AV1696/$AV1695-1,$AW1696/$AW1695-1,$AX1696/$AX1695-1,$AY1696/$AY1695-1),"")</f>
        <v/>
      </c>
      <c r="DW1695" s="66">
        <f>AVERAGE($CB1695,$CC1695,$CD1695,$CE1695,$CF1695,$CG1695,$CH1695,$CI1695,$CJ1695,$CL1695,$CM1695,$CN1695,$CO1695,$CP1695,$CQ1695,$CR1695,$CS1695,$CT1695)</f>
        <v/>
      </c>
      <c r="DX1695" s="66">
        <f>AVERAGE($CB1695,$CC1695,$CM1695,$CE1695,$CP1695)</f>
        <v/>
      </c>
      <c r="DY1695" s="64">
        <f>($DW1695-$DW1696)*100</f>
        <v/>
      </c>
      <c r="DZ1695" s="64">
        <f>($DX1695-$DX1696)*100</f>
        <v/>
      </c>
      <c r="EA1695" s="64">
        <f>($DW1695-$D1695)*100</f>
        <v/>
      </c>
      <c r="EB1695" s="64">
        <f>$Q1695-$O1695</f>
        <v/>
      </c>
      <c r="EC1695" s="67">
        <f>IFERROR($Q1695/$P1695,"")</f>
        <v/>
      </c>
    </row>
    <row r="1696">
      <c r="DG1696" s="64">
        <f>($B1696-$B1697)*100</f>
        <v/>
      </c>
      <c r="DH1696" s="64">
        <f>($D1696-$D1697)*100</f>
        <v/>
      </c>
      <c r="DI1696" s="64">
        <f>($E1696-$E1697)*100</f>
        <v/>
      </c>
      <c r="DJ1696" s="64">
        <f>($H1696-$H1697)*100</f>
        <v/>
      </c>
      <c r="DK1696" s="65">
        <f>IFERROR($J1696/$J1697-1,"")</f>
        <v/>
      </c>
      <c r="DL1696" s="64">
        <f>$L1696-$L1697</f>
        <v/>
      </c>
      <c r="DM1696" s="64">
        <f>$K1696-$K1697</f>
        <v/>
      </c>
      <c r="DN1696" s="65">
        <f>IFERROR($N1696/$N1697-1,"")</f>
        <v/>
      </c>
      <c r="DO1696" s="65">
        <f>IFERROR($M1696/$M1697-1,"")</f>
        <v/>
      </c>
      <c r="DP1696" s="65">
        <f>IFERROR($AZ1696/$AZ1697-1,"")</f>
        <v/>
      </c>
      <c r="DQ1696" s="65">
        <f>IFERROR($BA1696/$BA1697-1,"")</f>
        <v/>
      </c>
      <c r="DR1696" s="64">
        <f>$O1696-$O1697</f>
        <v/>
      </c>
      <c r="DS1696" s="64">
        <f>$P1696-$P1697</f>
        <v/>
      </c>
      <c r="DT1696" s="64">
        <f>$Q1696-$Q1697</f>
        <v/>
      </c>
      <c r="DU1696" s="64">
        <f>$S1696-$S1697</f>
        <v/>
      </c>
      <c r="DV1696" s="65">
        <f>IFERROR(AVERAGE($AA1697/$AA1696-1,$AB1697/$AB1696-1,$AC1697/$AC1696-1,$AD1697/$AD1696-1,$AE1697/$AE1696-1,$AG1697/$AG1696-1,$AH1697/$AH1696-1,$AI1697/$AI1696-1,$AJ1697/$AJ1696-1,$AL1697/$AL1696-1,$AM1697/$AM1696-1,$AR1697/$AR1696-1,$AS1697/$AS1696-1,$AT1697/$AT1696-1,$AU1697/$AU1696-1,$AV1697/$AV1696-1,$AW1697/$AW1696-1,$AX1697/$AX1696-1,$AY1697/$AY1696-1),"")</f>
        <v/>
      </c>
      <c r="DW1696" s="66">
        <f>AVERAGE($CB1696,$CC1696,$CD1696,$CE1696,$CF1696,$CG1696,$CH1696,$CI1696,$CJ1696,$CL1696,$CM1696,$CN1696,$CO1696,$CP1696,$CQ1696,$CR1696,$CS1696,$CT1696)</f>
        <v/>
      </c>
      <c r="DX1696" s="66">
        <f>AVERAGE($CB1696,$CC1696,$CM1696,$CE1696,$CP1696)</f>
        <v/>
      </c>
      <c r="DY1696" s="64">
        <f>($DW1696-$DW1697)*100</f>
        <v/>
      </c>
      <c r="DZ1696" s="64">
        <f>($DX1696-$DX1697)*100</f>
        <v/>
      </c>
      <c r="EA1696" s="64">
        <f>($DW1696-$D1696)*100</f>
        <v/>
      </c>
      <c r="EB1696" s="64">
        <f>$Q1696-$O1696</f>
        <v/>
      </c>
      <c r="EC1696" s="67">
        <f>IFERROR($Q1696/$P1696,"")</f>
        <v/>
      </c>
    </row>
    <row r="1697">
      <c r="DG1697" s="64">
        <f>($B1697-$B1698)*100</f>
        <v/>
      </c>
      <c r="DH1697" s="64">
        <f>($D1697-$D1698)*100</f>
        <v/>
      </c>
      <c r="DI1697" s="64">
        <f>($E1697-$E1698)*100</f>
        <v/>
      </c>
      <c r="DJ1697" s="64">
        <f>($H1697-$H1698)*100</f>
        <v/>
      </c>
      <c r="DK1697" s="65">
        <f>IFERROR($J1697/$J1698-1,"")</f>
        <v/>
      </c>
      <c r="DL1697" s="64">
        <f>$L1697-$L1698</f>
        <v/>
      </c>
      <c r="DM1697" s="64">
        <f>$K1697-$K1698</f>
        <v/>
      </c>
      <c r="DN1697" s="65">
        <f>IFERROR($N1697/$N1698-1,"")</f>
        <v/>
      </c>
      <c r="DO1697" s="65">
        <f>IFERROR($M1697/$M1698-1,"")</f>
        <v/>
      </c>
      <c r="DP1697" s="65">
        <f>IFERROR($AZ1697/$AZ1698-1,"")</f>
        <v/>
      </c>
      <c r="DQ1697" s="65">
        <f>IFERROR($BA1697/$BA1698-1,"")</f>
        <v/>
      </c>
      <c r="DR1697" s="64">
        <f>$O1697-$O1698</f>
        <v/>
      </c>
      <c r="DS1697" s="64">
        <f>$P1697-$P1698</f>
        <v/>
      </c>
      <c r="DT1697" s="64">
        <f>$Q1697-$Q1698</f>
        <v/>
      </c>
      <c r="DU1697" s="64">
        <f>$S1697-$S1698</f>
        <v/>
      </c>
      <c r="DV1697" s="65">
        <f>IFERROR(AVERAGE($AA1698/$AA1697-1,$AB1698/$AB1697-1,$AC1698/$AC1697-1,$AD1698/$AD1697-1,$AE1698/$AE1697-1,$AG1698/$AG1697-1,$AH1698/$AH1697-1,$AI1698/$AI1697-1,$AJ1698/$AJ1697-1,$AL1698/$AL1697-1,$AM1698/$AM1697-1,$AR1698/$AR1697-1,$AS1698/$AS1697-1,$AT1698/$AT1697-1,$AU1698/$AU1697-1,$AV1698/$AV1697-1,$AW1698/$AW1697-1,$AX1698/$AX1697-1,$AY1698/$AY1697-1),"")</f>
        <v/>
      </c>
      <c r="DW1697" s="66">
        <f>AVERAGE($CB1697,$CC1697,$CD1697,$CE1697,$CF1697,$CG1697,$CH1697,$CI1697,$CJ1697,$CL1697,$CM1697,$CN1697,$CO1697,$CP1697,$CQ1697,$CR1697,$CS1697,$CT1697)</f>
        <v/>
      </c>
      <c r="DX1697" s="66">
        <f>AVERAGE($CB1697,$CC1697,$CM1697,$CE1697,$CP1697)</f>
        <v/>
      </c>
      <c r="DY1697" s="64">
        <f>($DW1697-$DW1698)*100</f>
        <v/>
      </c>
      <c r="DZ1697" s="64">
        <f>($DX1697-$DX1698)*100</f>
        <v/>
      </c>
      <c r="EA1697" s="64">
        <f>($DW1697-$D1697)*100</f>
        <v/>
      </c>
      <c r="EB1697" s="64">
        <f>$Q1697-$O1697</f>
        <v/>
      </c>
      <c r="EC1697" s="67">
        <f>IFERROR($Q1697/$P1697,"")</f>
        <v/>
      </c>
    </row>
    <row r="1698">
      <c r="DG1698" s="64">
        <f>($B1698-$B1699)*100</f>
        <v/>
      </c>
      <c r="DH1698" s="64">
        <f>($D1698-$D1699)*100</f>
        <v/>
      </c>
      <c r="DI1698" s="64">
        <f>($E1698-$E1699)*100</f>
        <v/>
      </c>
      <c r="DJ1698" s="64">
        <f>($H1698-$H1699)*100</f>
        <v/>
      </c>
      <c r="DK1698" s="65">
        <f>IFERROR($J1698/$J1699-1,"")</f>
        <v/>
      </c>
      <c r="DL1698" s="64">
        <f>$L1698-$L1699</f>
        <v/>
      </c>
      <c r="DM1698" s="64">
        <f>$K1698-$K1699</f>
        <v/>
      </c>
      <c r="DN1698" s="65">
        <f>IFERROR($N1698/$N1699-1,"")</f>
        <v/>
      </c>
      <c r="DO1698" s="65">
        <f>IFERROR($M1698/$M1699-1,"")</f>
        <v/>
      </c>
      <c r="DP1698" s="65">
        <f>IFERROR($AZ1698/$AZ1699-1,"")</f>
        <v/>
      </c>
      <c r="DQ1698" s="65">
        <f>IFERROR($BA1698/$BA1699-1,"")</f>
        <v/>
      </c>
      <c r="DR1698" s="64">
        <f>$O1698-$O1699</f>
        <v/>
      </c>
      <c r="DS1698" s="64">
        <f>$P1698-$P1699</f>
        <v/>
      </c>
      <c r="DT1698" s="64">
        <f>$Q1698-$Q1699</f>
        <v/>
      </c>
      <c r="DU1698" s="64">
        <f>$S1698-$S1699</f>
        <v/>
      </c>
      <c r="DV1698" s="65">
        <f>IFERROR(AVERAGE($AA1699/$AA1698-1,$AB1699/$AB1698-1,$AC1699/$AC1698-1,$AD1699/$AD1698-1,$AE1699/$AE1698-1,$AG1699/$AG1698-1,$AH1699/$AH1698-1,$AI1699/$AI1698-1,$AJ1699/$AJ1698-1,$AL1699/$AL1698-1,$AM1699/$AM1698-1,$AR1699/$AR1698-1,$AS1699/$AS1698-1,$AT1699/$AT1698-1,$AU1699/$AU1698-1,$AV1699/$AV1698-1,$AW1699/$AW1698-1,$AX1699/$AX1698-1,$AY1699/$AY1698-1),"")</f>
        <v/>
      </c>
      <c r="DW1698" s="66">
        <f>AVERAGE($CB1698,$CC1698,$CD1698,$CE1698,$CF1698,$CG1698,$CH1698,$CI1698,$CJ1698,$CL1698,$CM1698,$CN1698,$CO1698,$CP1698,$CQ1698,$CR1698,$CS1698,$CT1698)</f>
        <v/>
      </c>
      <c r="DX1698" s="66">
        <f>AVERAGE($CB1698,$CC1698,$CM1698,$CE1698,$CP1698)</f>
        <v/>
      </c>
      <c r="DY1698" s="64">
        <f>($DW1698-$DW1699)*100</f>
        <v/>
      </c>
      <c r="DZ1698" s="64">
        <f>($DX1698-$DX1699)*100</f>
        <v/>
      </c>
      <c r="EA1698" s="64">
        <f>($DW1698-$D1698)*100</f>
        <v/>
      </c>
      <c r="EB1698" s="64">
        <f>$Q1698-$O1698</f>
        <v/>
      </c>
      <c r="EC1698" s="67">
        <f>IFERROR($Q1698/$P1698,"")</f>
        <v/>
      </c>
    </row>
    <row r="1699">
      <c r="DG1699" s="64">
        <f>($B1699-$B1700)*100</f>
        <v/>
      </c>
      <c r="DH1699" s="64">
        <f>($D1699-$D1700)*100</f>
        <v/>
      </c>
      <c r="DI1699" s="64">
        <f>($E1699-$E1700)*100</f>
        <v/>
      </c>
      <c r="DJ1699" s="64">
        <f>($H1699-$H1700)*100</f>
        <v/>
      </c>
      <c r="DK1699" s="65">
        <f>IFERROR($J1699/$J1700-1,"")</f>
        <v/>
      </c>
      <c r="DL1699" s="64">
        <f>$L1699-$L1700</f>
        <v/>
      </c>
      <c r="DM1699" s="64">
        <f>$K1699-$K1700</f>
        <v/>
      </c>
      <c r="DN1699" s="65">
        <f>IFERROR($N1699/$N1700-1,"")</f>
        <v/>
      </c>
      <c r="DO1699" s="65">
        <f>IFERROR($M1699/$M1700-1,"")</f>
        <v/>
      </c>
      <c r="DP1699" s="65">
        <f>IFERROR($AZ1699/$AZ1700-1,"")</f>
        <v/>
      </c>
      <c r="DQ1699" s="65">
        <f>IFERROR($BA1699/$BA1700-1,"")</f>
        <v/>
      </c>
      <c r="DR1699" s="64">
        <f>$O1699-$O1700</f>
        <v/>
      </c>
      <c r="DS1699" s="64">
        <f>$P1699-$P1700</f>
        <v/>
      </c>
      <c r="DT1699" s="64">
        <f>$Q1699-$Q1700</f>
        <v/>
      </c>
      <c r="DU1699" s="64">
        <f>$S1699-$S1700</f>
        <v/>
      </c>
      <c r="DV1699" s="65">
        <f>IFERROR(AVERAGE($AA1700/$AA1699-1,$AB1700/$AB1699-1,$AC1700/$AC1699-1,$AD1700/$AD1699-1,$AE1700/$AE1699-1,$AG1700/$AG1699-1,$AH1700/$AH1699-1,$AI1700/$AI1699-1,$AJ1700/$AJ1699-1,$AL1700/$AL1699-1,$AM1700/$AM1699-1,$AR1700/$AR1699-1,$AS1700/$AS1699-1,$AT1700/$AT1699-1,$AU1700/$AU1699-1,$AV1700/$AV1699-1,$AW1700/$AW1699-1,$AX1700/$AX1699-1,$AY1700/$AY1699-1),"")</f>
        <v/>
      </c>
      <c r="DW1699" s="66">
        <f>AVERAGE($CB1699,$CC1699,$CD1699,$CE1699,$CF1699,$CG1699,$CH1699,$CI1699,$CJ1699,$CL1699,$CM1699,$CN1699,$CO1699,$CP1699,$CQ1699,$CR1699,$CS1699,$CT1699)</f>
        <v/>
      </c>
      <c r="DX1699" s="66">
        <f>AVERAGE($CB1699,$CC1699,$CM1699,$CE1699,$CP1699)</f>
        <v/>
      </c>
      <c r="DY1699" s="64">
        <f>($DW1699-$DW1700)*100</f>
        <v/>
      </c>
      <c r="DZ1699" s="64">
        <f>($DX1699-$DX1700)*100</f>
        <v/>
      </c>
      <c r="EA1699" s="64">
        <f>($DW1699-$D1699)*100</f>
        <v/>
      </c>
      <c r="EB1699" s="64">
        <f>$Q1699-$O1699</f>
        <v/>
      </c>
      <c r="EC1699" s="67">
        <f>IFERROR($Q1699/$P1699,"")</f>
        <v/>
      </c>
    </row>
    <row r="1700">
      <c r="DG1700" s="64">
        <f>($B1700-$B1701)*100</f>
        <v/>
      </c>
      <c r="DH1700" s="64">
        <f>($D1700-$D1701)*100</f>
        <v/>
      </c>
      <c r="DI1700" s="64">
        <f>($E1700-$E1701)*100</f>
        <v/>
      </c>
      <c r="DJ1700" s="64">
        <f>($H1700-$H1701)*100</f>
        <v/>
      </c>
      <c r="DK1700" s="65">
        <f>IFERROR($J1700/$J1701-1,"")</f>
        <v/>
      </c>
      <c r="DL1700" s="64">
        <f>$L1700-$L1701</f>
        <v/>
      </c>
      <c r="DM1700" s="64">
        <f>$K1700-$K1701</f>
        <v/>
      </c>
      <c r="DN1700" s="65">
        <f>IFERROR($N1700/$N1701-1,"")</f>
        <v/>
      </c>
      <c r="DO1700" s="65">
        <f>IFERROR($M1700/$M1701-1,"")</f>
        <v/>
      </c>
      <c r="DP1700" s="65">
        <f>IFERROR($AZ1700/$AZ1701-1,"")</f>
        <v/>
      </c>
      <c r="DQ1700" s="65">
        <f>IFERROR($BA1700/$BA1701-1,"")</f>
        <v/>
      </c>
      <c r="DR1700" s="64">
        <f>$O1700-$O1701</f>
        <v/>
      </c>
      <c r="DS1700" s="64">
        <f>$P1700-$P1701</f>
        <v/>
      </c>
      <c r="DT1700" s="64">
        <f>$Q1700-$Q1701</f>
        <v/>
      </c>
      <c r="DU1700" s="64">
        <f>$S1700-$S1701</f>
        <v/>
      </c>
      <c r="DV1700" s="65">
        <f>IFERROR(AVERAGE($AA1701/$AA1700-1,$AB1701/$AB1700-1,$AC1701/$AC1700-1,$AD1701/$AD1700-1,$AE1701/$AE1700-1,$AG1701/$AG1700-1,$AH1701/$AH1700-1,$AI1701/$AI1700-1,$AJ1701/$AJ1700-1,$AL1701/$AL1700-1,$AM1701/$AM1700-1,$AR1701/$AR1700-1,$AS1701/$AS1700-1,$AT1701/$AT1700-1,$AU1701/$AU1700-1,$AV1701/$AV1700-1,$AW1701/$AW1700-1,$AX1701/$AX1700-1,$AY1701/$AY1700-1),"")</f>
        <v/>
      </c>
      <c r="DW1700" s="66">
        <f>AVERAGE($CB1700,$CC1700,$CD1700,$CE1700,$CF1700,$CG1700,$CH1700,$CI1700,$CJ1700,$CL1700,$CM1700,$CN1700,$CO1700,$CP1700,$CQ1700,$CR1700,$CS1700,$CT1700)</f>
        <v/>
      </c>
      <c r="DX1700" s="66">
        <f>AVERAGE($CB1700,$CC1700,$CM1700,$CE1700,$CP1700)</f>
        <v/>
      </c>
      <c r="DY1700" s="64">
        <f>($DW1700-$DW1701)*100</f>
        <v/>
      </c>
      <c r="DZ1700" s="64">
        <f>($DX1700-$DX1701)*100</f>
        <v/>
      </c>
      <c r="EA1700" s="64">
        <f>($DW1700-$D1700)*100</f>
        <v/>
      </c>
      <c r="EB1700" s="64">
        <f>$Q1700-$O1700</f>
        <v/>
      </c>
      <c r="EC1700" s="67">
        <f>IFERROR($Q1700/$P1700,"")</f>
        <v/>
      </c>
    </row>
    <row r="1701">
      <c r="DG1701" s="64">
        <f>($B1701-$B1702)*100</f>
        <v/>
      </c>
      <c r="DH1701" s="64">
        <f>($D1701-$D1702)*100</f>
        <v/>
      </c>
      <c r="DI1701" s="64">
        <f>($E1701-$E1702)*100</f>
        <v/>
      </c>
      <c r="DJ1701" s="64">
        <f>($H1701-$H1702)*100</f>
        <v/>
      </c>
      <c r="DK1701" s="65">
        <f>IFERROR($J1701/$J1702-1,"")</f>
        <v/>
      </c>
      <c r="DL1701" s="64">
        <f>$L1701-$L1702</f>
        <v/>
      </c>
      <c r="DM1701" s="64">
        <f>$K1701-$K1702</f>
        <v/>
      </c>
      <c r="DN1701" s="65">
        <f>IFERROR($N1701/$N1702-1,"")</f>
        <v/>
      </c>
      <c r="DO1701" s="65">
        <f>IFERROR($M1701/$M1702-1,"")</f>
        <v/>
      </c>
      <c r="DP1701" s="65">
        <f>IFERROR($AZ1701/$AZ1702-1,"")</f>
        <v/>
      </c>
      <c r="DQ1701" s="65">
        <f>IFERROR($BA1701/$BA1702-1,"")</f>
        <v/>
      </c>
      <c r="DR1701" s="64">
        <f>$O1701-$O1702</f>
        <v/>
      </c>
      <c r="DS1701" s="64">
        <f>$P1701-$P1702</f>
        <v/>
      </c>
      <c r="DT1701" s="64">
        <f>$Q1701-$Q1702</f>
        <v/>
      </c>
      <c r="DU1701" s="64">
        <f>$S1701-$S1702</f>
        <v/>
      </c>
      <c r="DV1701" s="65">
        <f>IFERROR(AVERAGE($AA1702/$AA1701-1,$AB1702/$AB1701-1,$AC1702/$AC1701-1,$AD1702/$AD1701-1,$AE1702/$AE1701-1,$AG1702/$AG1701-1,$AH1702/$AH1701-1,$AI1702/$AI1701-1,$AJ1702/$AJ1701-1,$AL1702/$AL1701-1,$AM1702/$AM1701-1,$AR1702/$AR1701-1,$AS1702/$AS1701-1,$AT1702/$AT1701-1,$AU1702/$AU1701-1,$AV1702/$AV1701-1,$AW1702/$AW1701-1,$AX1702/$AX1701-1,$AY1702/$AY1701-1),"")</f>
        <v/>
      </c>
      <c r="DW1701" s="66">
        <f>AVERAGE($CB1701,$CC1701,$CD1701,$CE1701,$CF1701,$CG1701,$CH1701,$CI1701,$CJ1701,$CL1701,$CM1701,$CN1701,$CO1701,$CP1701,$CQ1701,$CR1701,$CS1701,$CT1701)</f>
        <v/>
      </c>
      <c r="DX1701" s="66">
        <f>AVERAGE($CB1701,$CC1701,$CM1701,$CE1701,$CP1701)</f>
        <v/>
      </c>
      <c r="DY1701" s="64">
        <f>($DW1701-$DW1702)*100</f>
        <v/>
      </c>
      <c r="DZ1701" s="64">
        <f>($DX1701-$DX1702)*100</f>
        <v/>
      </c>
      <c r="EA1701" s="64">
        <f>($DW1701-$D1701)*100</f>
        <v/>
      </c>
      <c r="EB1701" s="64">
        <f>$Q1701-$O1701</f>
        <v/>
      </c>
      <c r="EC1701" s="67">
        <f>IFERROR($Q1701/$P1701,"")</f>
        <v/>
      </c>
    </row>
    <row r="1702">
      <c r="DG1702" s="64">
        <f>($B1702-$B1703)*100</f>
        <v/>
      </c>
      <c r="DH1702" s="64">
        <f>($D1702-$D1703)*100</f>
        <v/>
      </c>
      <c r="DI1702" s="64">
        <f>($E1702-$E1703)*100</f>
        <v/>
      </c>
      <c r="DJ1702" s="64">
        <f>($H1702-$H1703)*100</f>
        <v/>
      </c>
      <c r="DK1702" s="65">
        <f>IFERROR($J1702/$J1703-1,"")</f>
        <v/>
      </c>
      <c r="DL1702" s="64">
        <f>$L1702-$L1703</f>
        <v/>
      </c>
      <c r="DM1702" s="64">
        <f>$K1702-$K1703</f>
        <v/>
      </c>
      <c r="DN1702" s="65">
        <f>IFERROR($N1702/$N1703-1,"")</f>
        <v/>
      </c>
      <c r="DO1702" s="65">
        <f>IFERROR($M1702/$M1703-1,"")</f>
        <v/>
      </c>
      <c r="DP1702" s="65">
        <f>IFERROR($AZ1702/$AZ1703-1,"")</f>
        <v/>
      </c>
      <c r="DQ1702" s="65">
        <f>IFERROR($BA1702/$BA1703-1,"")</f>
        <v/>
      </c>
      <c r="DR1702" s="64">
        <f>$O1702-$O1703</f>
        <v/>
      </c>
      <c r="DS1702" s="64">
        <f>$P1702-$P1703</f>
        <v/>
      </c>
      <c r="DT1702" s="64">
        <f>$Q1702-$Q1703</f>
        <v/>
      </c>
      <c r="DU1702" s="64">
        <f>$S1702-$S1703</f>
        <v/>
      </c>
      <c r="DV1702" s="65">
        <f>IFERROR(AVERAGE($AA1703/$AA1702-1,$AB1703/$AB1702-1,$AC1703/$AC1702-1,$AD1703/$AD1702-1,$AE1703/$AE1702-1,$AG1703/$AG1702-1,$AH1703/$AH1702-1,$AI1703/$AI1702-1,$AJ1703/$AJ1702-1,$AL1703/$AL1702-1,$AM1703/$AM1702-1,$AR1703/$AR1702-1,$AS1703/$AS1702-1,$AT1703/$AT1702-1,$AU1703/$AU1702-1,$AV1703/$AV1702-1,$AW1703/$AW1702-1,$AX1703/$AX1702-1,$AY1703/$AY1702-1),"")</f>
        <v/>
      </c>
      <c r="DW1702" s="66">
        <f>AVERAGE($CB1702,$CC1702,$CD1702,$CE1702,$CF1702,$CG1702,$CH1702,$CI1702,$CJ1702,$CL1702,$CM1702,$CN1702,$CO1702,$CP1702,$CQ1702,$CR1702,$CS1702,$CT1702)</f>
        <v/>
      </c>
      <c r="DX1702" s="66">
        <f>AVERAGE($CB1702,$CC1702,$CM1702,$CE1702,$CP1702)</f>
        <v/>
      </c>
      <c r="DY1702" s="64">
        <f>($DW1702-$DW1703)*100</f>
        <v/>
      </c>
      <c r="DZ1702" s="64">
        <f>($DX1702-$DX1703)*100</f>
        <v/>
      </c>
      <c r="EA1702" s="64">
        <f>($DW1702-$D1702)*100</f>
        <v/>
      </c>
      <c r="EB1702" s="64">
        <f>$Q1702-$O1702</f>
        <v/>
      </c>
      <c r="EC1702" s="67">
        <f>IFERROR($Q1702/$P1702,"")</f>
        <v/>
      </c>
    </row>
    <row r="1703">
      <c r="DG1703" s="64">
        <f>($B1703-$B1704)*100</f>
        <v/>
      </c>
      <c r="DH1703" s="64">
        <f>($D1703-$D1704)*100</f>
        <v/>
      </c>
      <c r="DI1703" s="64">
        <f>($E1703-$E1704)*100</f>
        <v/>
      </c>
      <c r="DJ1703" s="64">
        <f>($H1703-$H1704)*100</f>
        <v/>
      </c>
      <c r="DK1703" s="65">
        <f>IFERROR($J1703/$J1704-1,"")</f>
        <v/>
      </c>
      <c r="DL1703" s="64">
        <f>$L1703-$L1704</f>
        <v/>
      </c>
      <c r="DM1703" s="64">
        <f>$K1703-$K1704</f>
        <v/>
      </c>
      <c r="DN1703" s="65">
        <f>IFERROR($N1703/$N1704-1,"")</f>
        <v/>
      </c>
      <c r="DO1703" s="65">
        <f>IFERROR($M1703/$M1704-1,"")</f>
        <v/>
      </c>
      <c r="DP1703" s="65">
        <f>IFERROR($AZ1703/$AZ1704-1,"")</f>
        <v/>
      </c>
      <c r="DQ1703" s="65">
        <f>IFERROR($BA1703/$BA1704-1,"")</f>
        <v/>
      </c>
      <c r="DR1703" s="64">
        <f>$O1703-$O1704</f>
        <v/>
      </c>
      <c r="DS1703" s="64">
        <f>$P1703-$P1704</f>
        <v/>
      </c>
      <c r="DT1703" s="64">
        <f>$Q1703-$Q1704</f>
        <v/>
      </c>
      <c r="DU1703" s="64">
        <f>$S1703-$S1704</f>
        <v/>
      </c>
      <c r="DV1703" s="65">
        <f>IFERROR(AVERAGE($AA1704/$AA1703-1,$AB1704/$AB1703-1,$AC1704/$AC1703-1,$AD1704/$AD1703-1,$AE1704/$AE1703-1,$AG1704/$AG1703-1,$AH1704/$AH1703-1,$AI1704/$AI1703-1,$AJ1704/$AJ1703-1,$AL1704/$AL1703-1,$AM1704/$AM1703-1,$AR1704/$AR1703-1,$AS1704/$AS1703-1,$AT1704/$AT1703-1,$AU1704/$AU1703-1,$AV1704/$AV1703-1,$AW1704/$AW1703-1,$AX1704/$AX1703-1,$AY1704/$AY1703-1),"")</f>
        <v/>
      </c>
      <c r="DW1703" s="66">
        <f>AVERAGE($CB1703,$CC1703,$CD1703,$CE1703,$CF1703,$CG1703,$CH1703,$CI1703,$CJ1703,$CL1703,$CM1703,$CN1703,$CO1703,$CP1703,$CQ1703,$CR1703,$CS1703,$CT1703)</f>
        <v/>
      </c>
      <c r="DX1703" s="66">
        <f>AVERAGE($CB1703,$CC1703,$CM1703,$CE1703,$CP1703)</f>
        <v/>
      </c>
      <c r="DY1703" s="64">
        <f>($DW1703-$DW1704)*100</f>
        <v/>
      </c>
      <c r="DZ1703" s="64">
        <f>($DX1703-$DX1704)*100</f>
        <v/>
      </c>
      <c r="EA1703" s="64">
        <f>($DW1703-$D1703)*100</f>
        <v/>
      </c>
      <c r="EB1703" s="64">
        <f>$Q1703-$O1703</f>
        <v/>
      </c>
      <c r="EC1703" s="67">
        <f>IFERROR($Q1703/$P1703,"")</f>
        <v/>
      </c>
    </row>
    <row r="1704">
      <c r="DG1704" s="64">
        <f>($B1704-$B1705)*100</f>
        <v/>
      </c>
      <c r="DH1704" s="64">
        <f>($D1704-$D1705)*100</f>
        <v/>
      </c>
      <c r="DI1704" s="64">
        <f>($E1704-$E1705)*100</f>
        <v/>
      </c>
      <c r="DJ1704" s="64">
        <f>($H1704-$H1705)*100</f>
        <v/>
      </c>
      <c r="DK1704" s="65">
        <f>IFERROR($J1704/$J1705-1,"")</f>
        <v/>
      </c>
      <c r="DL1704" s="64">
        <f>$L1704-$L1705</f>
        <v/>
      </c>
      <c r="DM1704" s="64">
        <f>$K1704-$K1705</f>
        <v/>
      </c>
      <c r="DN1704" s="65">
        <f>IFERROR($N1704/$N1705-1,"")</f>
        <v/>
      </c>
      <c r="DO1704" s="65">
        <f>IFERROR($M1704/$M1705-1,"")</f>
        <v/>
      </c>
      <c r="DP1704" s="65">
        <f>IFERROR($AZ1704/$AZ1705-1,"")</f>
        <v/>
      </c>
      <c r="DQ1704" s="65">
        <f>IFERROR($BA1704/$BA1705-1,"")</f>
        <v/>
      </c>
      <c r="DR1704" s="64">
        <f>$O1704-$O1705</f>
        <v/>
      </c>
      <c r="DS1704" s="64">
        <f>$P1704-$P1705</f>
        <v/>
      </c>
      <c r="DT1704" s="64">
        <f>$Q1704-$Q1705</f>
        <v/>
      </c>
      <c r="DU1704" s="64">
        <f>$S1704-$S1705</f>
        <v/>
      </c>
      <c r="DV1704" s="65">
        <f>IFERROR(AVERAGE($AA1705/$AA1704-1,$AB1705/$AB1704-1,$AC1705/$AC1704-1,$AD1705/$AD1704-1,$AE1705/$AE1704-1,$AG1705/$AG1704-1,$AH1705/$AH1704-1,$AI1705/$AI1704-1,$AJ1705/$AJ1704-1,$AL1705/$AL1704-1,$AM1705/$AM1704-1,$AR1705/$AR1704-1,$AS1705/$AS1704-1,$AT1705/$AT1704-1,$AU1705/$AU1704-1,$AV1705/$AV1704-1,$AW1705/$AW1704-1,$AX1705/$AX1704-1,$AY1705/$AY1704-1),"")</f>
        <v/>
      </c>
      <c r="DW1704" s="66">
        <f>AVERAGE($CB1704,$CC1704,$CD1704,$CE1704,$CF1704,$CG1704,$CH1704,$CI1704,$CJ1704,$CL1704,$CM1704,$CN1704,$CO1704,$CP1704,$CQ1704,$CR1704,$CS1704,$CT1704)</f>
        <v/>
      </c>
      <c r="DX1704" s="66">
        <f>AVERAGE($CB1704,$CC1704,$CM1704,$CE1704,$CP1704)</f>
        <v/>
      </c>
      <c r="DY1704" s="64">
        <f>($DW1704-$DW1705)*100</f>
        <v/>
      </c>
      <c r="DZ1704" s="64">
        <f>($DX1704-$DX1705)*100</f>
        <v/>
      </c>
      <c r="EA1704" s="64">
        <f>($DW1704-$D1704)*100</f>
        <v/>
      </c>
      <c r="EB1704" s="64">
        <f>$Q1704-$O1704</f>
        <v/>
      </c>
      <c r="EC1704" s="67">
        <f>IFERROR($Q1704/$P1704,"")</f>
        <v/>
      </c>
    </row>
    <row r="1705">
      <c r="DG1705" s="64">
        <f>($B1705-$B1706)*100</f>
        <v/>
      </c>
      <c r="DH1705" s="64">
        <f>($D1705-$D1706)*100</f>
        <v/>
      </c>
      <c r="DI1705" s="64">
        <f>($E1705-$E1706)*100</f>
        <v/>
      </c>
      <c r="DJ1705" s="64">
        <f>($H1705-$H1706)*100</f>
        <v/>
      </c>
      <c r="DK1705" s="65">
        <f>IFERROR($J1705/$J1706-1,"")</f>
        <v/>
      </c>
      <c r="DL1705" s="64">
        <f>$L1705-$L1706</f>
        <v/>
      </c>
      <c r="DM1705" s="64">
        <f>$K1705-$K1706</f>
        <v/>
      </c>
      <c r="DN1705" s="65">
        <f>IFERROR($N1705/$N1706-1,"")</f>
        <v/>
      </c>
      <c r="DO1705" s="65">
        <f>IFERROR($M1705/$M1706-1,"")</f>
        <v/>
      </c>
      <c r="DP1705" s="65">
        <f>IFERROR($AZ1705/$AZ1706-1,"")</f>
        <v/>
      </c>
      <c r="DQ1705" s="65">
        <f>IFERROR($BA1705/$BA1706-1,"")</f>
        <v/>
      </c>
      <c r="DR1705" s="64">
        <f>$O1705-$O1706</f>
        <v/>
      </c>
      <c r="DS1705" s="64">
        <f>$P1705-$P1706</f>
        <v/>
      </c>
      <c r="DT1705" s="64">
        <f>$Q1705-$Q1706</f>
        <v/>
      </c>
      <c r="DU1705" s="64">
        <f>$S1705-$S1706</f>
        <v/>
      </c>
      <c r="DV1705" s="65">
        <f>IFERROR(AVERAGE($AA1706/$AA1705-1,$AB1706/$AB1705-1,$AC1706/$AC1705-1,$AD1706/$AD1705-1,$AE1706/$AE1705-1,$AG1706/$AG1705-1,$AH1706/$AH1705-1,$AI1706/$AI1705-1,$AJ1706/$AJ1705-1,$AL1706/$AL1705-1,$AM1706/$AM1705-1,$AR1706/$AR1705-1,$AS1706/$AS1705-1,$AT1706/$AT1705-1,$AU1706/$AU1705-1,$AV1706/$AV1705-1,$AW1706/$AW1705-1,$AX1706/$AX1705-1,$AY1706/$AY1705-1),"")</f>
        <v/>
      </c>
      <c r="DW1705" s="66">
        <f>AVERAGE($CB1705,$CC1705,$CD1705,$CE1705,$CF1705,$CG1705,$CH1705,$CI1705,$CJ1705,$CL1705,$CM1705,$CN1705,$CO1705,$CP1705,$CQ1705,$CR1705,$CS1705,$CT1705)</f>
        <v/>
      </c>
      <c r="DX1705" s="66">
        <f>AVERAGE($CB1705,$CC1705,$CM1705,$CE1705,$CP1705)</f>
        <v/>
      </c>
      <c r="DY1705" s="64">
        <f>($DW1705-$DW1706)*100</f>
        <v/>
      </c>
      <c r="DZ1705" s="64">
        <f>($DX1705-$DX1706)*100</f>
        <v/>
      </c>
      <c r="EA1705" s="64">
        <f>($DW1705-$D1705)*100</f>
        <v/>
      </c>
      <c r="EB1705" s="64">
        <f>$Q1705-$O1705</f>
        <v/>
      </c>
      <c r="EC1705" s="67">
        <f>IFERROR($Q1705/$P1705,"")</f>
        <v/>
      </c>
    </row>
    <row r="1706">
      <c r="DG1706" s="64">
        <f>($B1706-$B1707)*100</f>
        <v/>
      </c>
      <c r="DH1706" s="64">
        <f>($D1706-$D1707)*100</f>
        <v/>
      </c>
      <c r="DI1706" s="64">
        <f>($E1706-$E1707)*100</f>
        <v/>
      </c>
      <c r="DJ1706" s="64">
        <f>($H1706-$H1707)*100</f>
        <v/>
      </c>
      <c r="DK1706" s="65">
        <f>IFERROR($J1706/$J1707-1,"")</f>
        <v/>
      </c>
      <c r="DL1706" s="64">
        <f>$L1706-$L1707</f>
        <v/>
      </c>
      <c r="DM1706" s="64">
        <f>$K1706-$K1707</f>
        <v/>
      </c>
      <c r="DN1706" s="65">
        <f>IFERROR($N1706/$N1707-1,"")</f>
        <v/>
      </c>
      <c r="DO1706" s="65">
        <f>IFERROR($M1706/$M1707-1,"")</f>
        <v/>
      </c>
      <c r="DP1706" s="65">
        <f>IFERROR($AZ1706/$AZ1707-1,"")</f>
        <v/>
      </c>
      <c r="DQ1706" s="65">
        <f>IFERROR($BA1706/$BA1707-1,"")</f>
        <v/>
      </c>
      <c r="DR1706" s="64">
        <f>$O1706-$O1707</f>
        <v/>
      </c>
      <c r="DS1706" s="64">
        <f>$P1706-$P1707</f>
        <v/>
      </c>
      <c r="DT1706" s="64">
        <f>$Q1706-$Q1707</f>
        <v/>
      </c>
      <c r="DU1706" s="64">
        <f>$S1706-$S1707</f>
        <v/>
      </c>
      <c r="DV1706" s="65">
        <f>IFERROR(AVERAGE($AA1707/$AA1706-1,$AB1707/$AB1706-1,$AC1707/$AC1706-1,$AD1707/$AD1706-1,$AE1707/$AE1706-1,$AG1707/$AG1706-1,$AH1707/$AH1706-1,$AI1707/$AI1706-1,$AJ1707/$AJ1706-1,$AL1707/$AL1706-1,$AM1707/$AM1706-1,$AR1707/$AR1706-1,$AS1707/$AS1706-1,$AT1707/$AT1706-1,$AU1707/$AU1706-1,$AV1707/$AV1706-1,$AW1707/$AW1706-1,$AX1707/$AX1706-1,$AY1707/$AY1706-1),"")</f>
        <v/>
      </c>
      <c r="DW1706" s="66">
        <f>AVERAGE($CB1706,$CC1706,$CD1706,$CE1706,$CF1706,$CG1706,$CH1706,$CI1706,$CJ1706,$CL1706,$CM1706,$CN1706,$CO1706,$CP1706,$CQ1706,$CR1706,$CS1706,$CT1706)</f>
        <v/>
      </c>
      <c r="DX1706" s="66">
        <f>AVERAGE($CB1706,$CC1706,$CM1706,$CE1706,$CP1706)</f>
        <v/>
      </c>
      <c r="DY1706" s="64">
        <f>($DW1706-$DW1707)*100</f>
        <v/>
      </c>
      <c r="DZ1706" s="64">
        <f>($DX1706-$DX1707)*100</f>
        <v/>
      </c>
      <c r="EA1706" s="64">
        <f>($DW1706-$D1706)*100</f>
        <v/>
      </c>
      <c r="EB1706" s="64">
        <f>$Q1706-$O1706</f>
        <v/>
      </c>
      <c r="EC1706" s="67">
        <f>IFERROR($Q1706/$P1706,"")</f>
        <v/>
      </c>
    </row>
    <row r="1707">
      <c r="DG1707" s="64">
        <f>($B1707-$B1708)*100</f>
        <v/>
      </c>
      <c r="DH1707" s="64">
        <f>($D1707-$D1708)*100</f>
        <v/>
      </c>
      <c r="DI1707" s="64">
        <f>($E1707-$E1708)*100</f>
        <v/>
      </c>
      <c r="DJ1707" s="64">
        <f>($H1707-$H1708)*100</f>
        <v/>
      </c>
      <c r="DK1707" s="65">
        <f>IFERROR($J1707/$J1708-1,"")</f>
        <v/>
      </c>
      <c r="DL1707" s="64">
        <f>$L1707-$L1708</f>
        <v/>
      </c>
      <c r="DM1707" s="64">
        <f>$K1707-$K1708</f>
        <v/>
      </c>
      <c r="DN1707" s="65">
        <f>IFERROR($N1707/$N1708-1,"")</f>
        <v/>
      </c>
      <c r="DO1707" s="65">
        <f>IFERROR($M1707/$M1708-1,"")</f>
        <v/>
      </c>
      <c r="DP1707" s="65">
        <f>IFERROR($AZ1707/$AZ1708-1,"")</f>
        <v/>
      </c>
      <c r="DQ1707" s="65">
        <f>IFERROR($BA1707/$BA1708-1,"")</f>
        <v/>
      </c>
      <c r="DR1707" s="64">
        <f>$O1707-$O1708</f>
        <v/>
      </c>
      <c r="DS1707" s="64">
        <f>$P1707-$P1708</f>
        <v/>
      </c>
      <c r="DT1707" s="64">
        <f>$Q1707-$Q1708</f>
        <v/>
      </c>
      <c r="DU1707" s="64">
        <f>$S1707-$S1708</f>
        <v/>
      </c>
      <c r="DV1707" s="65">
        <f>IFERROR(AVERAGE($AA1708/$AA1707-1,$AB1708/$AB1707-1,$AC1708/$AC1707-1,$AD1708/$AD1707-1,$AE1708/$AE1707-1,$AG1708/$AG1707-1,$AH1708/$AH1707-1,$AI1708/$AI1707-1,$AJ1708/$AJ1707-1,$AL1708/$AL1707-1,$AM1708/$AM1707-1,$AR1708/$AR1707-1,$AS1708/$AS1707-1,$AT1708/$AT1707-1,$AU1708/$AU1707-1,$AV1708/$AV1707-1,$AW1708/$AW1707-1,$AX1708/$AX1707-1,$AY1708/$AY1707-1),"")</f>
        <v/>
      </c>
      <c r="DW1707" s="66">
        <f>AVERAGE($CB1707,$CC1707,$CD1707,$CE1707,$CF1707,$CG1707,$CH1707,$CI1707,$CJ1707,$CL1707,$CM1707,$CN1707,$CO1707,$CP1707,$CQ1707,$CR1707,$CS1707,$CT1707)</f>
        <v/>
      </c>
      <c r="DX1707" s="66">
        <f>AVERAGE($CB1707,$CC1707,$CM1707,$CE1707,$CP1707)</f>
        <v/>
      </c>
      <c r="DY1707" s="64">
        <f>($DW1707-$DW1708)*100</f>
        <v/>
      </c>
      <c r="DZ1707" s="64">
        <f>($DX1707-$DX1708)*100</f>
        <v/>
      </c>
      <c r="EA1707" s="64">
        <f>($DW1707-$D1707)*100</f>
        <v/>
      </c>
      <c r="EB1707" s="64">
        <f>$Q1707-$O1707</f>
        <v/>
      </c>
      <c r="EC1707" s="67">
        <f>IFERROR($Q1707/$P1707,"")</f>
        <v/>
      </c>
    </row>
    <row r="1708">
      <c r="DG1708" s="64">
        <f>($B1708-$B1709)*100</f>
        <v/>
      </c>
      <c r="DH1708" s="64">
        <f>($D1708-$D1709)*100</f>
        <v/>
      </c>
      <c r="DI1708" s="64">
        <f>($E1708-$E1709)*100</f>
        <v/>
      </c>
      <c r="DJ1708" s="64">
        <f>($H1708-$H1709)*100</f>
        <v/>
      </c>
      <c r="DK1708" s="65">
        <f>IFERROR($J1708/$J1709-1,"")</f>
        <v/>
      </c>
      <c r="DL1708" s="64">
        <f>$L1708-$L1709</f>
        <v/>
      </c>
      <c r="DM1708" s="64">
        <f>$K1708-$K1709</f>
        <v/>
      </c>
      <c r="DN1708" s="65">
        <f>IFERROR($N1708/$N1709-1,"")</f>
        <v/>
      </c>
      <c r="DO1708" s="65">
        <f>IFERROR($M1708/$M1709-1,"")</f>
        <v/>
      </c>
      <c r="DP1708" s="65">
        <f>IFERROR($AZ1708/$AZ1709-1,"")</f>
        <v/>
      </c>
      <c r="DQ1708" s="65">
        <f>IFERROR($BA1708/$BA1709-1,"")</f>
        <v/>
      </c>
      <c r="DR1708" s="64">
        <f>$O1708-$O1709</f>
        <v/>
      </c>
      <c r="DS1708" s="64">
        <f>$P1708-$P1709</f>
        <v/>
      </c>
      <c r="DT1708" s="64">
        <f>$Q1708-$Q1709</f>
        <v/>
      </c>
      <c r="DU1708" s="64">
        <f>$S1708-$S1709</f>
        <v/>
      </c>
      <c r="DV1708" s="65">
        <f>IFERROR(AVERAGE($AA1709/$AA1708-1,$AB1709/$AB1708-1,$AC1709/$AC1708-1,$AD1709/$AD1708-1,$AE1709/$AE1708-1,$AG1709/$AG1708-1,$AH1709/$AH1708-1,$AI1709/$AI1708-1,$AJ1709/$AJ1708-1,$AL1709/$AL1708-1,$AM1709/$AM1708-1,$AR1709/$AR1708-1,$AS1709/$AS1708-1,$AT1709/$AT1708-1,$AU1709/$AU1708-1,$AV1709/$AV1708-1,$AW1709/$AW1708-1,$AX1709/$AX1708-1,$AY1709/$AY1708-1),"")</f>
        <v/>
      </c>
      <c r="DW1708" s="66">
        <f>AVERAGE($CB1708,$CC1708,$CD1708,$CE1708,$CF1708,$CG1708,$CH1708,$CI1708,$CJ1708,$CL1708,$CM1708,$CN1708,$CO1708,$CP1708,$CQ1708,$CR1708,$CS1708,$CT1708)</f>
        <v/>
      </c>
      <c r="DX1708" s="66">
        <f>AVERAGE($CB1708,$CC1708,$CM1708,$CE1708,$CP1708)</f>
        <v/>
      </c>
      <c r="DY1708" s="64">
        <f>($DW1708-$DW1709)*100</f>
        <v/>
      </c>
      <c r="DZ1708" s="64">
        <f>($DX1708-$DX1709)*100</f>
        <v/>
      </c>
      <c r="EA1708" s="64">
        <f>($DW1708-$D1708)*100</f>
        <v/>
      </c>
      <c r="EB1708" s="64">
        <f>$Q1708-$O1708</f>
        <v/>
      </c>
      <c r="EC1708" s="67">
        <f>IFERROR($Q1708/$P1708,"")</f>
        <v/>
      </c>
    </row>
    <row r="1709">
      <c r="DG1709" s="64">
        <f>($B1709-$B1710)*100</f>
        <v/>
      </c>
      <c r="DH1709" s="64">
        <f>($D1709-$D1710)*100</f>
        <v/>
      </c>
      <c r="DI1709" s="64">
        <f>($E1709-$E1710)*100</f>
        <v/>
      </c>
      <c r="DJ1709" s="64">
        <f>($H1709-$H1710)*100</f>
        <v/>
      </c>
      <c r="DK1709" s="65">
        <f>IFERROR($J1709/$J1710-1,"")</f>
        <v/>
      </c>
      <c r="DL1709" s="64">
        <f>$L1709-$L1710</f>
        <v/>
      </c>
      <c r="DM1709" s="64">
        <f>$K1709-$K1710</f>
        <v/>
      </c>
      <c r="DN1709" s="65">
        <f>IFERROR($N1709/$N1710-1,"")</f>
        <v/>
      </c>
      <c r="DO1709" s="65">
        <f>IFERROR($M1709/$M1710-1,"")</f>
        <v/>
      </c>
      <c r="DP1709" s="65">
        <f>IFERROR($AZ1709/$AZ1710-1,"")</f>
        <v/>
      </c>
      <c r="DQ1709" s="65">
        <f>IFERROR($BA1709/$BA1710-1,"")</f>
        <v/>
      </c>
      <c r="DR1709" s="64">
        <f>$O1709-$O1710</f>
        <v/>
      </c>
      <c r="DS1709" s="64">
        <f>$P1709-$P1710</f>
        <v/>
      </c>
      <c r="DT1709" s="64">
        <f>$Q1709-$Q1710</f>
        <v/>
      </c>
      <c r="DU1709" s="64">
        <f>$S1709-$S1710</f>
        <v/>
      </c>
      <c r="DV1709" s="65">
        <f>IFERROR(AVERAGE($AA1710/$AA1709-1,$AB1710/$AB1709-1,$AC1710/$AC1709-1,$AD1710/$AD1709-1,$AE1710/$AE1709-1,$AG1710/$AG1709-1,$AH1710/$AH1709-1,$AI1710/$AI1709-1,$AJ1710/$AJ1709-1,$AL1710/$AL1709-1,$AM1710/$AM1709-1,$AR1710/$AR1709-1,$AS1710/$AS1709-1,$AT1710/$AT1709-1,$AU1710/$AU1709-1,$AV1710/$AV1709-1,$AW1710/$AW1709-1,$AX1710/$AX1709-1,$AY1710/$AY1709-1),"")</f>
        <v/>
      </c>
      <c r="DW1709" s="66">
        <f>AVERAGE($CB1709,$CC1709,$CD1709,$CE1709,$CF1709,$CG1709,$CH1709,$CI1709,$CJ1709,$CL1709,$CM1709,$CN1709,$CO1709,$CP1709,$CQ1709,$CR1709,$CS1709,$CT1709)</f>
        <v/>
      </c>
      <c r="DX1709" s="66">
        <f>AVERAGE($CB1709,$CC1709,$CM1709,$CE1709,$CP1709)</f>
        <v/>
      </c>
      <c r="DY1709" s="64">
        <f>($DW1709-$DW1710)*100</f>
        <v/>
      </c>
      <c r="DZ1709" s="64">
        <f>($DX1709-$DX1710)*100</f>
        <v/>
      </c>
      <c r="EA1709" s="64">
        <f>($DW1709-$D1709)*100</f>
        <v/>
      </c>
      <c r="EB1709" s="64">
        <f>$Q1709-$O1709</f>
        <v/>
      </c>
      <c r="EC1709" s="67">
        <f>IFERROR($Q1709/$P1709,"")</f>
        <v/>
      </c>
    </row>
    <row r="1710">
      <c r="DG1710" s="64">
        <f>($B1710-$B1711)*100</f>
        <v/>
      </c>
      <c r="DH1710" s="64">
        <f>($D1710-$D1711)*100</f>
        <v/>
      </c>
      <c r="DI1710" s="64">
        <f>($E1710-$E1711)*100</f>
        <v/>
      </c>
      <c r="DJ1710" s="64">
        <f>($H1710-$H1711)*100</f>
        <v/>
      </c>
      <c r="DK1710" s="65">
        <f>IFERROR($J1710/$J1711-1,"")</f>
        <v/>
      </c>
      <c r="DL1710" s="64">
        <f>$L1710-$L1711</f>
        <v/>
      </c>
      <c r="DM1710" s="64">
        <f>$K1710-$K1711</f>
        <v/>
      </c>
      <c r="DN1710" s="65">
        <f>IFERROR($N1710/$N1711-1,"")</f>
        <v/>
      </c>
      <c r="DO1710" s="65">
        <f>IFERROR($M1710/$M1711-1,"")</f>
        <v/>
      </c>
      <c r="DP1710" s="65">
        <f>IFERROR($AZ1710/$AZ1711-1,"")</f>
        <v/>
      </c>
      <c r="DQ1710" s="65">
        <f>IFERROR($BA1710/$BA1711-1,"")</f>
        <v/>
      </c>
      <c r="DR1710" s="64">
        <f>$O1710-$O1711</f>
        <v/>
      </c>
      <c r="DS1710" s="64">
        <f>$P1710-$P1711</f>
        <v/>
      </c>
      <c r="DT1710" s="64">
        <f>$Q1710-$Q1711</f>
        <v/>
      </c>
      <c r="DU1710" s="64">
        <f>$S1710-$S1711</f>
        <v/>
      </c>
      <c r="DV1710" s="65">
        <f>IFERROR(AVERAGE($AA1711/$AA1710-1,$AB1711/$AB1710-1,$AC1711/$AC1710-1,$AD1711/$AD1710-1,$AE1711/$AE1710-1,$AG1711/$AG1710-1,$AH1711/$AH1710-1,$AI1711/$AI1710-1,$AJ1711/$AJ1710-1,$AL1711/$AL1710-1,$AM1711/$AM1710-1,$AR1711/$AR1710-1,$AS1711/$AS1710-1,$AT1711/$AT1710-1,$AU1711/$AU1710-1,$AV1711/$AV1710-1,$AW1711/$AW1710-1,$AX1711/$AX1710-1,$AY1711/$AY1710-1),"")</f>
        <v/>
      </c>
      <c r="DW1710" s="66">
        <f>AVERAGE($CB1710,$CC1710,$CD1710,$CE1710,$CF1710,$CG1710,$CH1710,$CI1710,$CJ1710,$CL1710,$CM1710,$CN1710,$CO1710,$CP1710,$CQ1710,$CR1710,$CS1710,$CT1710)</f>
        <v/>
      </c>
      <c r="DX1710" s="66">
        <f>AVERAGE($CB1710,$CC1710,$CM1710,$CE1710,$CP1710)</f>
        <v/>
      </c>
      <c r="DY1710" s="64">
        <f>($DW1710-$DW1711)*100</f>
        <v/>
      </c>
      <c r="DZ1710" s="64">
        <f>($DX1710-$DX1711)*100</f>
        <v/>
      </c>
      <c r="EA1710" s="64">
        <f>($DW1710-$D1710)*100</f>
        <v/>
      </c>
      <c r="EB1710" s="64">
        <f>$Q1710-$O1710</f>
        <v/>
      </c>
      <c r="EC1710" s="67">
        <f>IFERROR($Q1710/$P1710,"")</f>
        <v/>
      </c>
    </row>
    <row r="1711">
      <c r="DG1711" s="64">
        <f>($B1711-$B1712)*100</f>
        <v/>
      </c>
      <c r="DH1711" s="64">
        <f>($D1711-$D1712)*100</f>
        <v/>
      </c>
      <c r="DI1711" s="64">
        <f>($E1711-$E1712)*100</f>
        <v/>
      </c>
      <c r="DJ1711" s="64">
        <f>($H1711-$H1712)*100</f>
        <v/>
      </c>
      <c r="DK1711" s="65">
        <f>IFERROR($J1711/$J1712-1,"")</f>
        <v/>
      </c>
      <c r="DL1711" s="64">
        <f>$L1711-$L1712</f>
        <v/>
      </c>
      <c r="DM1711" s="64">
        <f>$K1711-$K1712</f>
        <v/>
      </c>
      <c r="DN1711" s="65">
        <f>IFERROR($N1711/$N1712-1,"")</f>
        <v/>
      </c>
      <c r="DO1711" s="65">
        <f>IFERROR($M1711/$M1712-1,"")</f>
        <v/>
      </c>
      <c r="DP1711" s="65">
        <f>IFERROR($AZ1711/$AZ1712-1,"")</f>
        <v/>
      </c>
      <c r="DQ1711" s="65">
        <f>IFERROR($BA1711/$BA1712-1,"")</f>
        <v/>
      </c>
      <c r="DR1711" s="64">
        <f>$O1711-$O1712</f>
        <v/>
      </c>
      <c r="DS1711" s="64">
        <f>$P1711-$P1712</f>
        <v/>
      </c>
      <c r="DT1711" s="64">
        <f>$Q1711-$Q1712</f>
        <v/>
      </c>
      <c r="DU1711" s="64">
        <f>$S1711-$S1712</f>
        <v/>
      </c>
      <c r="DV1711" s="65">
        <f>IFERROR(AVERAGE($AA1712/$AA1711-1,$AB1712/$AB1711-1,$AC1712/$AC1711-1,$AD1712/$AD1711-1,$AE1712/$AE1711-1,$AG1712/$AG1711-1,$AH1712/$AH1711-1,$AI1712/$AI1711-1,$AJ1712/$AJ1711-1,$AL1712/$AL1711-1,$AM1712/$AM1711-1,$AR1712/$AR1711-1,$AS1712/$AS1711-1,$AT1712/$AT1711-1,$AU1712/$AU1711-1,$AV1712/$AV1711-1,$AW1712/$AW1711-1,$AX1712/$AX1711-1,$AY1712/$AY1711-1),"")</f>
        <v/>
      </c>
      <c r="DW1711" s="66">
        <f>AVERAGE($CB1711,$CC1711,$CD1711,$CE1711,$CF1711,$CG1711,$CH1711,$CI1711,$CJ1711,$CL1711,$CM1711,$CN1711,$CO1711,$CP1711,$CQ1711,$CR1711,$CS1711,$CT1711)</f>
        <v/>
      </c>
      <c r="DX1711" s="66">
        <f>AVERAGE($CB1711,$CC1711,$CM1711,$CE1711,$CP1711)</f>
        <v/>
      </c>
      <c r="DY1711" s="64">
        <f>($DW1711-$DW1712)*100</f>
        <v/>
      </c>
      <c r="DZ1711" s="64">
        <f>($DX1711-$DX1712)*100</f>
        <v/>
      </c>
      <c r="EA1711" s="64">
        <f>($DW1711-$D1711)*100</f>
        <v/>
      </c>
      <c r="EB1711" s="64">
        <f>$Q1711-$O1711</f>
        <v/>
      </c>
      <c r="EC1711" s="67">
        <f>IFERROR($Q1711/$P1711,"")</f>
        <v/>
      </c>
    </row>
    <row r="1712">
      <c r="DG1712" s="64">
        <f>($B1712-$B1713)*100</f>
        <v/>
      </c>
      <c r="DH1712" s="64">
        <f>($D1712-$D1713)*100</f>
        <v/>
      </c>
      <c r="DI1712" s="64">
        <f>($E1712-$E1713)*100</f>
        <v/>
      </c>
      <c r="DJ1712" s="64">
        <f>($H1712-$H1713)*100</f>
        <v/>
      </c>
      <c r="DK1712" s="65">
        <f>IFERROR($J1712/$J1713-1,"")</f>
        <v/>
      </c>
      <c r="DL1712" s="64">
        <f>$L1712-$L1713</f>
        <v/>
      </c>
      <c r="DM1712" s="64">
        <f>$K1712-$K1713</f>
        <v/>
      </c>
      <c r="DN1712" s="65">
        <f>IFERROR($N1712/$N1713-1,"")</f>
        <v/>
      </c>
      <c r="DO1712" s="65">
        <f>IFERROR($M1712/$M1713-1,"")</f>
        <v/>
      </c>
      <c r="DP1712" s="65">
        <f>IFERROR($AZ1712/$AZ1713-1,"")</f>
        <v/>
      </c>
      <c r="DQ1712" s="65">
        <f>IFERROR($BA1712/$BA1713-1,"")</f>
        <v/>
      </c>
      <c r="DR1712" s="64">
        <f>$O1712-$O1713</f>
        <v/>
      </c>
      <c r="DS1712" s="64">
        <f>$P1712-$P1713</f>
        <v/>
      </c>
      <c r="DT1712" s="64">
        <f>$Q1712-$Q1713</f>
        <v/>
      </c>
      <c r="DU1712" s="64">
        <f>$S1712-$S1713</f>
        <v/>
      </c>
      <c r="DV1712" s="65">
        <f>IFERROR(AVERAGE($AA1713/$AA1712-1,$AB1713/$AB1712-1,$AC1713/$AC1712-1,$AD1713/$AD1712-1,$AE1713/$AE1712-1,$AG1713/$AG1712-1,$AH1713/$AH1712-1,$AI1713/$AI1712-1,$AJ1713/$AJ1712-1,$AL1713/$AL1712-1,$AM1713/$AM1712-1,$AR1713/$AR1712-1,$AS1713/$AS1712-1,$AT1713/$AT1712-1,$AU1713/$AU1712-1,$AV1713/$AV1712-1,$AW1713/$AW1712-1,$AX1713/$AX1712-1,$AY1713/$AY1712-1),"")</f>
        <v/>
      </c>
      <c r="DW1712" s="66">
        <f>AVERAGE($CB1712,$CC1712,$CD1712,$CE1712,$CF1712,$CG1712,$CH1712,$CI1712,$CJ1712,$CL1712,$CM1712,$CN1712,$CO1712,$CP1712,$CQ1712,$CR1712,$CS1712,$CT1712)</f>
        <v/>
      </c>
      <c r="DX1712" s="66">
        <f>AVERAGE($CB1712,$CC1712,$CM1712,$CE1712,$CP1712)</f>
        <v/>
      </c>
      <c r="DY1712" s="64">
        <f>($DW1712-$DW1713)*100</f>
        <v/>
      </c>
      <c r="DZ1712" s="64">
        <f>($DX1712-$DX1713)*100</f>
        <v/>
      </c>
      <c r="EA1712" s="64">
        <f>($DW1712-$D1712)*100</f>
        <v/>
      </c>
      <c r="EB1712" s="64">
        <f>$Q1712-$O1712</f>
        <v/>
      </c>
      <c r="EC1712" s="67">
        <f>IFERROR($Q1712/$P1712,"")</f>
        <v/>
      </c>
    </row>
    <row r="1713">
      <c r="DG1713" s="64">
        <f>($B1713-$B1714)*100</f>
        <v/>
      </c>
      <c r="DH1713" s="64">
        <f>($D1713-$D1714)*100</f>
        <v/>
      </c>
      <c r="DI1713" s="64">
        <f>($E1713-$E1714)*100</f>
        <v/>
      </c>
      <c r="DJ1713" s="64">
        <f>($H1713-$H1714)*100</f>
        <v/>
      </c>
      <c r="DK1713" s="65">
        <f>IFERROR($J1713/$J1714-1,"")</f>
        <v/>
      </c>
      <c r="DL1713" s="64">
        <f>$L1713-$L1714</f>
        <v/>
      </c>
      <c r="DM1713" s="64">
        <f>$K1713-$K1714</f>
        <v/>
      </c>
      <c r="DN1713" s="65">
        <f>IFERROR($N1713/$N1714-1,"")</f>
        <v/>
      </c>
      <c r="DO1713" s="65">
        <f>IFERROR($M1713/$M1714-1,"")</f>
        <v/>
      </c>
      <c r="DP1713" s="65">
        <f>IFERROR($AZ1713/$AZ1714-1,"")</f>
        <v/>
      </c>
      <c r="DQ1713" s="65">
        <f>IFERROR($BA1713/$BA1714-1,"")</f>
        <v/>
      </c>
      <c r="DR1713" s="64">
        <f>$O1713-$O1714</f>
        <v/>
      </c>
      <c r="DS1713" s="64">
        <f>$P1713-$P1714</f>
        <v/>
      </c>
      <c r="DT1713" s="64">
        <f>$Q1713-$Q1714</f>
        <v/>
      </c>
      <c r="DU1713" s="64">
        <f>$S1713-$S1714</f>
        <v/>
      </c>
      <c r="DV1713" s="65">
        <f>IFERROR(AVERAGE($AA1714/$AA1713-1,$AB1714/$AB1713-1,$AC1714/$AC1713-1,$AD1714/$AD1713-1,$AE1714/$AE1713-1,$AG1714/$AG1713-1,$AH1714/$AH1713-1,$AI1714/$AI1713-1,$AJ1714/$AJ1713-1,$AL1714/$AL1713-1,$AM1714/$AM1713-1,$AR1714/$AR1713-1,$AS1714/$AS1713-1,$AT1714/$AT1713-1,$AU1714/$AU1713-1,$AV1714/$AV1713-1,$AW1714/$AW1713-1,$AX1714/$AX1713-1,$AY1714/$AY1713-1),"")</f>
        <v/>
      </c>
      <c r="DW1713" s="66">
        <f>AVERAGE($CB1713,$CC1713,$CD1713,$CE1713,$CF1713,$CG1713,$CH1713,$CI1713,$CJ1713,$CL1713,$CM1713,$CN1713,$CO1713,$CP1713,$CQ1713,$CR1713,$CS1713,$CT1713)</f>
        <v/>
      </c>
      <c r="DX1713" s="66">
        <f>AVERAGE($CB1713,$CC1713,$CM1713,$CE1713,$CP1713)</f>
        <v/>
      </c>
      <c r="DY1713" s="64">
        <f>($DW1713-$DW1714)*100</f>
        <v/>
      </c>
      <c r="DZ1713" s="64">
        <f>($DX1713-$DX1714)*100</f>
        <v/>
      </c>
      <c r="EA1713" s="64">
        <f>($DW1713-$D1713)*100</f>
        <v/>
      </c>
      <c r="EB1713" s="64">
        <f>$Q1713-$O1713</f>
        <v/>
      </c>
      <c r="EC1713" s="67">
        <f>IFERROR($Q1713/$P1713,"")</f>
        <v/>
      </c>
    </row>
    <row r="1714">
      <c r="DG1714" s="64">
        <f>($B1714-$B1715)*100</f>
        <v/>
      </c>
      <c r="DH1714" s="64">
        <f>($D1714-$D1715)*100</f>
        <v/>
      </c>
      <c r="DI1714" s="64">
        <f>($E1714-$E1715)*100</f>
        <v/>
      </c>
      <c r="DJ1714" s="64">
        <f>($H1714-$H1715)*100</f>
        <v/>
      </c>
      <c r="DK1714" s="65">
        <f>IFERROR($J1714/$J1715-1,"")</f>
        <v/>
      </c>
      <c r="DL1714" s="64">
        <f>$L1714-$L1715</f>
        <v/>
      </c>
      <c r="DM1714" s="64">
        <f>$K1714-$K1715</f>
        <v/>
      </c>
      <c r="DN1714" s="65">
        <f>IFERROR($N1714/$N1715-1,"")</f>
        <v/>
      </c>
      <c r="DO1714" s="65">
        <f>IFERROR($M1714/$M1715-1,"")</f>
        <v/>
      </c>
      <c r="DP1714" s="65">
        <f>IFERROR($AZ1714/$AZ1715-1,"")</f>
        <v/>
      </c>
      <c r="DQ1714" s="65">
        <f>IFERROR($BA1714/$BA1715-1,"")</f>
        <v/>
      </c>
      <c r="DR1714" s="64">
        <f>$O1714-$O1715</f>
        <v/>
      </c>
      <c r="DS1714" s="64">
        <f>$P1714-$P1715</f>
        <v/>
      </c>
      <c r="DT1714" s="64">
        <f>$Q1714-$Q1715</f>
        <v/>
      </c>
      <c r="DU1714" s="64">
        <f>$S1714-$S1715</f>
        <v/>
      </c>
      <c r="DV1714" s="65">
        <f>IFERROR(AVERAGE($AA1715/$AA1714-1,$AB1715/$AB1714-1,$AC1715/$AC1714-1,$AD1715/$AD1714-1,$AE1715/$AE1714-1,$AG1715/$AG1714-1,$AH1715/$AH1714-1,$AI1715/$AI1714-1,$AJ1715/$AJ1714-1,$AL1715/$AL1714-1,$AM1715/$AM1714-1,$AR1715/$AR1714-1,$AS1715/$AS1714-1,$AT1715/$AT1714-1,$AU1715/$AU1714-1,$AV1715/$AV1714-1,$AW1715/$AW1714-1,$AX1715/$AX1714-1,$AY1715/$AY1714-1),"")</f>
        <v/>
      </c>
      <c r="DW1714" s="66">
        <f>AVERAGE($CB1714,$CC1714,$CD1714,$CE1714,$CF1714,$CG1714,$CH1714,$CI1714,$CJ1714,$CL1714,$CM1714,$CN1714,$CO1714,$CP1714,$CQ1714,$CR1714,$CS1714,$CT1714)</f>
        <v/>
      </c>
      <c r="DX1714" s="66">
        <f>AVERAGE($CB1714,$CC1714,$CM1714,$CE1714,$CP1714)</f>
        <v/>
      </c>
      <c r="DY1714" s="64">
        <f>($DW1714-$DW1715)*100</f>
        <v/>
      </c>
      <c r="DZ1714" s="64">
        <f>($DX1714-$DX1715)*100</f>
        <v/>
      </c>
      <c r="EA1714" s="64">
        <f>($DW1714-$D1714)*100</f>
        <v/>
      </c>
      <c r="EB1714" s="64">
        <f>$Q1714-$O1714</f>
        <v/>
      </c>
      <c r="EC1714" s="67">
        <f>IFERROR($Q1714/$P1714,"")</f>
        <v/>
      </c>
    </row>
    <row r="1715">
      <c r="DG1715" s="64">
        <f>($B1715-$B1716)*100</f>
        <v/>
      </c>
      <c r="DH1715" s="64">
        <f>($D1715-$D1716)*100</f>
        <v/>
      </c>
      <c r="DI1715" s="64">
        <f>($E1715-$E1716)*100</f>
        <v/>
      </c>
      <c r="DJ1715" s="64">
        <f>($H1715-$H1716)*100</f>
        <v/>
      </c>
      <c r="DK1715" s="65">
        <f>IFERROR($J1715/$J1716-1,"")</f>
        <v/>
      </c>
      <c r="DL1715" s="64">
        <f>$L1715-$L1716</f>
        <v/>
      </c>
      <c r="DM1715" s="64">
        <f>$K1715-$K1716</f>
        <v/>
      </c>
      <c r="DN1715" s="65">
        <f>IFERROR($N1715/$N1716-1,"")</f>
        <v/>
      </c>
      <c r="DO1715" s="65">
        <f>IFERROR($M1715/$M1716-1,"")</f>
        <v/>
      </c>
      <c r="DP1715" s="65">
        <f>IFERROR($AZ1715/$AZ1716-1,"")</f>
        <v/>
      </c>
      <c r="DQ1715" s="65">
        <f>IFERROR($BA1715/$BA1716-1,"")</f>
        <v/>
      </c>
      <c r="DR1715" s="64">
        <f>$O1715-$O1716</f>
        <v/>
      </c>
      <c r="DS1715" s="64">
        <f>$P1715-$P1716</f>
        <v/>
      </c>
      <c r="DT1715" s="64">
        <f>$Q1715-$Q1716</f>
        <v/>
      </c>
      <c r="DU1715" s="64">
        <f>$S1715-$S1716</f>
        <v/>
      </c>
      <c r="DV1715" s="65">
        <f>IFERROR(AVERAGE($AA1716/$AA1715-1,$AB1716/$AB1715-1,$AC1716/$AC1715-1,$AD1716/$AD1715-1,$AE1716/$AE1715-1,$AG1716/$AG1715-1,$AH1716/$AH1715-1,$AI1716/$AI1715-1,$AJ1716/$AJ1715-1,$AL1716/$AL1715-1,$AM1716/$AM1715-1,$AR1716/$AR1715-1,$AS1716/$AS1715-1,$AT1716/$AT1715-1,$AU1716/$AU1715-1,$AV1716/$AV1715-1,$AW1716/$AW1715-1,$AX1716/$AX1715-1,$AY1716/$AY1715-1),"")</f>
        <v/>
      </c>
      <c r="DW1715" s="66">
        <f>AVERAGE($CB1715,$CC1715,$CD1715,$CE1715,$CF1715,$CG1715,$CH1715,$CI1715,$CJ1715,$CL1715,$CM1715,$CN1715,$CO1715,$CP1715,$CQ1715,$CR1715,$CS1715,$CT1715)</f>
        <v/>
      </c>
      <c r="DX1715" s="66">
        <f>AVERAGE($CB1715,$CC1715,$CM1715,$CE1715,$CP1715)</f>
        <v/>
      </c>
      <c r="DY1715" s="64">
        <f>($DW1715-$DW1716)*100</f>
        <v/>
      </c>
      <c r="DZ1715" s="64">
        <f>($DX1715-$DX1716)*100</f>
        <v/>
      </c>
      <c r="EA1715" s="64">
        <f>($DW1715-$D1715)*100</f>
        <v/>
      </c>
      <c r="EB1715" s="64">
        <f>$Q1715-$O1715</f>
        <v/>
      </c>
      <c r="EC1715" s="67">
        <f>IFERROR($Q1715/$P1715,"")</f>
        <v/>
      </c>
    </row>
    <row r="1716">
      <c r="DG1716" s="64">
        <f>($B1716-$B1717)*100</f>
        <v/>
      </c>
      <c r="DH1716" s="64">
        <f>($D1716-$D1717)*100</f>
        <v/>
      </c>
      <c r="DI1716" s="64">
        <f>($E1716-$E1717)*100</f>
        <v/>
      </c>
      <c r="DJ1716" s="64">
        <f>($H1716-$H1717)*100</f>
        <v/>
      </c>
      <c r="DK1716" s="65">
        <f>IFERROR($J1716/$J1717-1,"")</f>
        <v/>
      </c>
      <c r="DL1716" s="64">
        <f>$L1716-$L1717</f>
        <v/>
      </c>
      <c r="DM1716" s="64">
        <f>$K1716-$K1717</f>
        <v/>
      </c>
      <c r="DN1716" s="65">
        <f>IFERROR($N1716/$N1717-1,"")</f>
        <v/>
      </c>
      <c r="DO1716" s="65">
        <f>IFERROR($M1716/$M1717-1,"")</f>
        <v/>
      </c>
      <c r="DP1716" s="65">
        <f>IFERROR($AZ1716/$AZ1717-1,"")</f>
        <v/>
      </c>
      <c r="DQ1716" s="65">
        <f>IFERROR($BA1716/$BA1717-1,"")</f>
        <v/>
      </c>
      <c r="DR1716" s="64">
        <f>$O1716-$O1717</f>
        <v/>
      </c>
      <c r="DS1716" s="64">
        <f>$P1716-$P1717</f>
        <v/>
      </c>
      <c r="DT1716" s="64">
        <f>$Q1716-$Q1717</f>
        <v/>
      </c>
      <c r="DU1716" s="64">
        <f>$S1716-$S1717</f>
        <v/>
      </c>
      <c r="DV1716" s="65">
        <f>IFERROR(AVERAGE($AA1717/$AA1716-1,$AB1717/$AB1716-1,$AC1717/$AC1716-1,$AD1717/$AD1716-1,$AE1717/$AE1716-1,$AG1717/$AG1716-1,$AH1717/$AH1716-1,$AI1717/$AI1716-1,$AJ1717/$AJ1716-1,$AL1717/$AL1716-1,$AM1717/$AM1716-1,$AR1717/$AR1716-1,$AS1717/$AS1716-1,$AT1717/$AT1716-1,$AU1717/$AU1716-1,$AV1717/$AV1716-1,$AW1717/$AW1716-1,$AX1717/$AX1716-1,$AY1717/$AY1716-1),"")</f>
        <v/>
      </c>
      <c r="DW1716" s="66">
        <f>AVERAGE($CB1716,$CC1716,$CD1716,$CE1716,$CF1716,$CG1716,$CH1716,$CI1716,$CJ1716,$CL1716,$CM1716,$CN1716,$CO1716,$CP1716,$CQ1716,$CR1716,$CS1716,$CT1716)</f>
        <v/>
      </c>
      <c r="DX1716" s="66">
        <f>AVERAGE($CB1716,$CC1716,$CM1716,$CE1716,$CP1716)</f>
        <v/>
      </c>
      <c r="DY1716" s="64">
        <f>($DW1716-$DW1717)*100</f>
        <v/>
      </c>
      <c r="DZ1716" s="64">
        <f>($DX1716-$DX1717)*100</f>
        <v/>
      </c>
      <c r="EA1716" s="64">
        <f>($DW1716-$D1716)*100</f>
        <v/>
      </c>
      <c r="EB1716" s="64">
        <f>$Q1716-$O1716</f>
        <v/>
      </c>
      <c r="EC1716" s="67">
        <f>IFERROR($Q1716/$P1716,"")</f>
        <v/>
      </c>
    </row>
    <row r="1717">
      <c r="DG1717" s="64">
        <f>($B1717-$B1718)*100</f>
        <v/>
      </c>
      <c r="DH1717" s="64">
        <f>($D1717-$D1718)*100</f>
        <v/>
      </c>
      <c r="DI1717" s="64">
        <f>($E1717-$E1718)*100</f>
        <v/>
      </c>
      <c r="DJ1717" s="64">
        <f>($H1717-$H1718)*100</f>
        <v/>
      </c>
      <c r="DK1717" s="65">
        <f>IFERROR($J1717/$J1718-1,"")</f>
        <v/>
      </c>
      <c r="DL1717" s="64">
        <f>$L1717-$L1718</f>
        <v/>
      </c>
      <c r="DM1717" s="64">
        <f>$K1717-$K1718</f>
        <v/>
      </c>
      <c r="DN1717" s="65">
        <f>IFERROR($N1717/$N1718-1,"")</f>
        <v/>
      </c>
      <c r="DO1717" s="65">
        <f>IFERROR($M1717/$M1718-1,"")</f>
        <v/>
      </c>
      <c r="DP1717" s="65">
        <f>IFERROR($AZ1717/$AZ1718-1,"")</f>
        <v/>
      </c>
      <c r="DQ1717" s="65">
        <f>IFERROR($BA1717/$BA1718-1,"")</f>
        <v/>
      </c>
      <c r="DR1717" s="64">
        <f>$O1717-$O1718</f>
        <v/>
      </c>
      <c r="DS1717" s="64">
        <f>$P1717-$P1718</f>
        <v/>
      </c>
      <c r="DT1717" s="64">
        <f>$Q1717-$Q1718</f>
        <v/>
      </c>
      <c r="DU1717" s="64">
        <f>$S1717-$S1718</f>
        <v/>
      </c>
      <c r="DV1717" s="65">
        <f>IFERROR(AVERAGE($AA1718/$AA1717-1,$AB1718/$AB1717-1,$AC1718/$AC1717-1,$AD1718/$AD1717-1,$AE1718/$AE1717-1,$AG1718/$AG1717-1,$AH1718/$AH1717-1,$AI1718/$AI1717-1,$AJ1718/$AJ1717-1,$AL1718/$AL1717-1,$AM1718/$AM1717-1,$AR1718/$AR1717-1,$AS1718/$AS1717-1,$AT1718/$AT1717-1,$AU1718/$AU1717-1,$AV1718/$AV1717-1,$AW1718/$AW1717-1,$AX1718/$AX1717-1,$AY1718/$AY1717-1),"")</f>
        <v/>
      </c>
      <c r="DW1717" s="66">
        <f>AVERAGE($CB1717,$CC1717,$CD1717,$CE1717,$CF1717,$CG1717,$CH1717,$CI1717,$CJ1717,$CL1717,$CM1717,$CN1717,$CO1717,$CP1717,$CQ1717,$CR1717,$CS1717,$CT1717)</f>
        <v/>
      </c>
      <c r="DX1717" s="66">
        <f>AVERAGE($CB1717,$CC1717,$CM1717,$CE1717,$CP1717)</f>
        <v/>
      </c>
      <c r="DY1717" s="64">
        <f>($DW1717-$DW1718)*100</f>
        <v/>
      </c>
      <c r="DZ1717" s="64">
        <f>($DX1717-$DX1718)*100</f>
        <v/>
      </c>
      <c r="EA1717" s="64">
        <f>($DW1717-$D1717)*100</f>
        <v/>
      </c>
      <c r="EB1717" s="64">
        <f>$Q1717-$O1717</f>
        <v/>
      </c>
      <c r="EC1717" s="67">
        <f>IFERROR($Q1717/$P1717,"")</f>
        <v/>
      </c>
    </row>
    <row r="1718">
      <c r="DG1718" s="64">
        <f>($B1718-$B1719)*100</f>
        <v/>
      </c>
      <c r="DH1718" s="64">
        <f>($D1718-$D1719)*100</f>
        <v/>
      </c>
      <c r="DI1718" s="64">
        <f>($E1718-$E1719)*100</f>
        <v/>
      </c>
      <c r="DJ1718" s="64">
        <f>($H1718-$H1719)*100</f>
        <v/>
      </c>
      <c r="DK1718" s="65">
        <f>IFERROR($J1718/$J1719-1,"")</f>
        <v/>
      </c>
      <c r="DL1718" s="64">
        <f>$L1718-$L1719</f>
        <v/>
      </c>
      <c r="DM1718" s="64">
        <f>$K1718-$K1719</f>
        <v/>
      </c>
      <c r="DN1718" s="65">
        <f>IFERROR($N1718/$N1719-1,"")</f>
        <v/>
      </c>
      <c r="DO1718" s="65">
        <f>IFERROR($M1718/$M1719-1,"")</f>
        <v/>
      </c>
      <c r="DP1718" s="65">
        <f>IFERROR($AZ1718/$AZ1719-1,"")</f>
        <v/>
      </c>
      <c r="DQ1718" s="65">
        <f>IFERROR($BA1718/$BA1719-1,"")</f>
        <v/>
      </c>
      <c r="DR1718" s="64">
        <f>$O1718-$O1719</f>
        <v/>
      </c>
      <c r="DS1718" s="64">
        <f>$P1718-$P1719</f>
        <v/>
      </c>
      <c r="DT1718" s="64">
        <f>$Q1718-$Q1719</f>
        <v/>
      </c>
      <c r="DU1718" s="64">
        <f>$S1718-$S1719</f>
        <v/>
      </c>
      <c r="DV1718" s="65">
        <f>IFERROR(AVERAGE($AA1719/$AA1718-1,$AB1719/$AB1718-1,$AC1719/$AC1718-1,$AD1719/$AD1718-1,$AE1719/$AE1718-1,$AG1719/$AG1718-1,$AH1719/$AH1718-1,$AI1719/$AI1718-1,$AJ1719/$AJ1718-1,$AL1719/$AL1718-1,$AM1719/$AM1718-1,$AR1719/$AR1718-1,$AS1719/$AS1718-1,$AT1719/$AT1718-1,$AU1719/$AU1718-1,$AV1719/$AV1718-1,$AW1719/$AW1718-1,$AX1719/$AX1718-1,$AY1719/$AY1718-1),"")</f>
        <v/>
      </c>
      <c r="DW1718" s="66">
        <f>AVERAGE($CB1718,$CC1718,$CD1718,$CE1718,$CF1718,$CG1718,$CH1718,$CI1718,$CJ1718,$CL1718,$CM1718,$CN1718,$CO1718,$CP1718,$CQ1718,$CR1718,$CS1718,$CT1718)</f>
        <v/>
      </c>
      <c r="DX1718" s="66">
        <f>AVERAGE($CB1718,$CC1718,$CM1718,$CE1718,$CP1718)</f>
        <v/>
      </c>
      <c r="DY1718" s="64">
        <f>($DW1718-$DW1719)*100</f>
        <v/>
      </c>
      <c r="DZ1718" s="64">
        <f>($DX1718-$DX1719)*100</f>
        <v/>
      </c>
      <c r="EA1718" s="64">
        <f>($DW1718-$D1718)*100</f>
        <v/>
      </c>
      <c r="EB1718" s="64">
        <f>$Q1718-$O1718</f>
        <v/>
      </c>
      <c r="EC1718" s="67">
        <f>IFERROR($Q1718/$P1718,"")</f>
        <v/>
      </c>
    </row>
    <row r="1719">
      <c r="DG1719" s="64">
        <f>($B1719-$B1720)*100</f>
        <v/>
      </c>
      <c r="DH1719" s="64">
        <f>($D1719-$D1720)*100</f>
        <v/>
      </c>
      <c r="DI1719" s="64">
        <f>($E1719-$E1720)*100</f>
        <v/>
      </c>
      <c r="DJ1719" s="64">
        <f>($H1719-$H1720)*100</f>
        <v/>
      </c>
      <c r="DK1719" s="65">
        <f>IFERROR($J1719/$J1720-1,"")</f>
        <v/>
      </c>
      <c r="DL1719" s="64">
        <f>$L1719-$L1720</f>
        <v/>
      </c>
      <c r="DM1719" s="64">
        <f>$K1719-$K1720</f>
        <v/>
      </c>
      <c r="DN1719" s="65">
        <f>IFERROR($N1719/$N1720-1,"")</f>
        <v/>
      </c>
      <c r="DO1719" s="65">
        <f>IFERROR($M1719/$M1720-1,"")</f>
        <v/>
      </c>
      <c r="DP1719" s="65">
        <f>IFERROR($AZ1719/$AZ1720-1,"")</f>
        <v/>
      </c>
      <c r="DQ1719" s="65">
        <f>IFERROR($BA1719/$BA1720-1,"")</f>
        <v/>
      </c>
      <c r="DR1719" s="64">
        <f>$O1719-$O1720</f>
        <v/>
      </c>
      <c r="DS1719" s="64">
        <f>$P1719-$P1720</f>
        <v/>
      </c>
      <c r="DT1719" s="64">
        <f>$Q1719-$Q1720</f>
        <v/>
      </c>
      <c r="DU1719" s="64">
        <f>$S1719-$S1720</f>
        <v/>
      </c>
      <c r="DV1719" s="65">
        <f>IFERROR(AVERAGE($AA1720/$AA1719-1,$AB1720/$AB1719-1,$AC1720/$AC1719-1,$AD1720/$AD1719-1,$AE1720/$AE1719-1,$AG1720/$AG1719-1,$AH1720/$AH1719-1,$AI1720/$AI1719-1,$AJ1720/$AJ1719-1,$AL1720/$AL1719-1,$AM1720/$AM1719-1,$AR1720/$AR1719-1,$AS1720/$AS1719-1,$AT1720/$AT1719-1,$AU1720/$AU1719-1,$AV1720/$AV1719-1,$AW1720/$AW1719-1,$AX1720/$AX1719-1,$AY1720/$AY1719-1),"")</f>
        <v/>
      </c>
      <c r="DW1719" s="66">
        <f>AVERAGE($CB1719,$CC1719,$CD1719,$CE1719,$CF1719,$CG1719,$CH1719,$CI1719,$CJ1719,$CL1719,$CM1719,$CN1719,$CO1719,$CP1719,$CQ1719,$CR1719,$CS1719,$CT1719)</f>
        <v/>
      </c>
      <c r="DX1719" s="66">
        <f>AVERAGE($CB1719,$CC1719,$CM1719,$CE1719,$CP1719)</f>
        <v/>
      </c>
      <c r="DY1719" s="64">
        <f>($DW1719-$DW1720)*100</f>
        <v/>
      </c>
      <c r="DZ1719" s="64">
        <f>($DX1719-$DX1720)*100</f>
        <v/>
      </c>
      <c r="EA1719" s="64">
        <f>($DW1719-$D1719)*100</f>
        <v/>
      </c>
      <c r="EB1719" s="64">
        <f>$Q1719-$O1719</f>
        <v/>
      </c>
      <c r="EC1719" s="67">
        <f>IFERROR($Q1719/$P1719,"")</f>
        <v/>
      </c>
    </row>
    <row r="1720">
      <c r="DG1720" s="64">
        <f>($B1720-$B1721)*100</f>
        <v/>
      </c>
      <c r="DH1720" s="64">
        <f>($D1720-$D1721)*100</f>
        <v/>
      </c>
      <c r="DI1720" s="64">
        <f>($E1720-$E1721)*100</f>
        <v/>
      </c>
      <c r="DJ1720" s="64">
        <f>($H1720-$H1721)*100</f>
        <v/>
      </c>
      <c r="DK1720" s="65">
        <f>IFERROR($J1720/$J1721-1,"")</f>
        <v/>
      </c>
      <c r="DL1720" s="64">
        <f>$L1720-$L1721</f>
        <v/>
      </c>
      <c r="DM1720" s="64">
        <f>$K1720-$K1721</f>
        <v/>
      </c>
      <c r="DN1720" s="65">
        <f>IFERROR($N1720/$N1721-1,"")</f>
        <v/>
      </c>
      <c r="DO1720" s="65">
        <f>IFERROR($M1720/$M1721-1,"")</f>
        <v/>
      </c>
      <c r="DP1720" s="65">
        <f>IFERROR($AZ1720/$AZ1721-1,"")</f>
        <v/>
      </c>
      <c r="DQ1720" s="65">
        <f>IFERROR($BA1720/$BA1721-1,"")</f>
        <v/>
      </c>
      <c r="DR1720" s="64">
        <f>$O1720-$O1721</f>
        <v/>
      </c>
      <c r="DS1720" s="64">
        <f>$P1720-$P1721</f>
        <v/>
      </c>
      <c r="DT1720" s="64">
        <f>$Q1720-$Q1721</f>
        <v/>
      </c>
      <c r="DU1720" s="64">
        <f>$S1720-$S1721</f>
        <v/>
      </c>
      <c r="DV1720" s="65">
        <f>IFERROR(AVERAGE($AA1721/$AA1720-1,$AB1721/$AB1720-1,$AC1721/$AC1720-1,$AD1721/$AD1720-1,$AE1721/$AE1720-1,$AG1721/$AG1720-1,$AH1721/$AH1720-1,$AI1721/$AI1720-1,$AJ1721/$AJ1720-1,$AL1721/$AL1720-1,$AM1721/$AM1720-1,$AR1721/$AR1720-1,$AS1721/$AS1720-1,$AT1721/$AT1720-1,$AU1721/$AU1720-1,$AV1721/$AV1720-1,$AW1721/$AW1720-1,$AX1721/$AX1720-1,$AY1721/$AY1720-1),"")</f>
        <v/>
      </c>
      <c r="DW1720" s="66">
        <f>AVERAGE($CB1720,$CC1720,$CD1720,$CE1720,$CF1720,$CG1720,$CH1720,$CI1720,$CJ1720,$CL1720,$CM1720,$CN1720,$CO1720,$CP1720,$CQ1720,$CR1720,$CS1720,$CT1720)</f>
        <v/>
      </c>
      <c r="DX1720" s="66">
        <f>AVERAGE($CB1720,$CC1720,$CM1720,$CE1720,$CP1720)</f>
        <v/>
      </c>
      <c r="DY1720" s="64">
        <f>($DW1720-$DW1721)*100</f>
        <v/>
      </c>
      <c r="DZ1720" s="64">
        <f>($DX1720-$DX1721)*100</f>
        <v/>
      </c>
      <c r="EA1720" s="64">
        <f>($DW1720-$D1720)*100</f>
        <v/>
      </c>
      <c r="EB1720" s="64">
        <f>$Q1720-$O1720</f>
        <v/>
      </c>
      <c r="EC1720" s="67">
        <f>IFERROR($Q1720/$P1720,"")</f>
        <v/>
      </c>
    </row>
    <row r="1721">
      <c r="DG1721" s="64">
        <f>($B1721-$B1722)*100</f>
        <v/>
      </c>
      <c r="DH1721" s="64">
        <f>($D1721-$D1722)*100</f>
        <v/>
      </c>
      <c r="DI1721" s="64">
        <f>($E1721-$E1722)*100</f>
        <v/>
      </c>
      <c r="DJ1721" s="64">
        <f>($H1721-$H1722)*100</f>
        <v/>
      </c>
      <c r="DK1721" s="65">
        <f>IFERROR($J1721/$J1722-1,"")</f>
        <v/>
      </c>
      <c r="DL1721" s="64">
        <f>$L1721-$L1722</f>
        <v/>
      </c>
      <c r="DM1721" s="64">
        <f>$K1721-$K1722</f>
        <v/>
      </c>
      <c r="DN1721" s="65">
        <f>IFERROR($N1721/$N1722-1,"")</f>
        <v/>
      </c>
      <c r="DO1721" s="65">
        <f>IFERROR($M1721/$M1722-1,"")</f>
        <v/>
      </c>
      <c r="DP1721" s="65">
        <f>IFERROR($AZ1721/$AZ1722-1,"")</f>
        <v/>
      </c>
      <c r="DQ1721" s="65">
        <f>IFERROR($BA1721/$BA1722-1,"")</f>
        <v/>
      </c>
      <c r="DR1721" s="64">
        <f>$O1721-$O1722</f>
        <v/>
      </c>
      <c r="DS1721" s="64">
        <f>$P1721-$P1722</f>
        <v/>
      </c>
      <c r="DT1721" s="64">
        <f>$Q1721-$Q1722</f>
        <v/>
      </c>
      <c r="DU1721" s="64">
        <f>$S1721-$S1722</f>
        <v/>
      </c>
      <c r="DV1721" s="65">
        <f>IFERROR(AVERAGE($AA1722/$AA1721-1,$AB1722/$AB1721-1,$AC1722/$AC1721-1,$AD1722/$AD1721-1,$AE1722/$AE1721-1,$AG1722/$AG1721-1,$AH1722/$AH1721-1,$AI1722/$AI1721-1,$AJ1722/$AJ1721-1,$AL1722/$AL1721-1,$AM1722/$AM1721-1,$AR1722/$AR1721-1,$AS1722/$AS1721-1,$AT1722/$AT1721-1,$AU1722/$AU1721-1,$AV1722/$AV1721-1,$AW1722/$AW1721-1,$AX1722/$AX1721-1,$AY1722/$AY1721-1),"")</f>
        <v/>
      </c>
      <c r="DW1721" s="66">
        <f>AVERAGE($CB1721,$CC1721,$CD1721,$CE1721,$CF1721,$CG1721,$CH1721,$CI1721,$CJ1721,$CL1721,$CM1721,$CN1721,$CO1721,$CP1721,$CQ1721,$CR1721,$CS1721,$CT1721)</f>
        <v/>
      </c>
      <c r="DX1721" s="66">
        <f>AVERAGE($CB1721,$CC1721,$CM1721,$CE1721,$CP1721)</f>
        <v/>
      </c>
      <c r="DY1721" s="64">
        <f>($DW1721-$DW1722)*100</f>
        <v/>
      </c>
      <c r="DZ1721" s="64">
        <f>($DX1721-$DX1722)*100</f>
        <v/>
      </c>
      <c r="EA1721" s="64">
        <f>($DW1721-$D1721)*100</f>
        <v/>
      </c>
      <c r="EB1721" s="64">
        <f>$Q1721-$O1721</f>
        <v/>
      </c>
      <c r="EC1721" s="67">
        <f>IFERROR($Q1721/$P1721,"")</f>
        <v/>
      </c>
    </row>
    <row r="1722">
      <c r="DG1722" s="64">
        <f>($B1722-$B1723)*100</f>
        <v/>
      </c>
      <c r="DH1722" s="64">
        <f>($D1722-$D1723)*100</f>
        <v/>
      </c>
      <c r="DI1722" s="64">
        <f>($E1722-$E1723)*100</f>
        <v/>
      </c>
      <c r="DJ1722" s="64">
        <f>($H1722-$H1723)*100</f>
        <v/>
      </c>
      <c r="DK1722" s="65">
        <f>IFERROR($J1722/$J1723-1,"")</f>
        <v/>
      </c>
      <c r="DL1722" s="64">
        <f>$L1722-$L1723</f>
        <v/>
      </c>
      <c r="DM1722" s="64">
        <f>$K1722-$K1723</f>
        <v/>
      </c>
      <c r="DN1722" s="65">
        <f>IFERROR($N1722/$N1723-1,"")</f>
        <v/>
      </c>
      <c r="DO1722" s="65">
        <f>IFERROR($M1722/$M1723-1,"")</f>
        <v/>
      </c>
      <c r="DP1722" s="65">
        <f>IFERROR($AZ1722/$AZ1723-1,"")</f>
        <v/>
      </c>
      <c r="DQ1722" s="65">
        <f>IFERROR($BA1722/$BA1723-1,"")</f>
        <v/>
      </c>
      <c r="DR1722" s="64">
        <f>$O1722-$O1723</f>
        <v/>
      </c>
      <c r="DS1722" s="64">
        <f>$P1722-$P1723</f>
        <v/>
      </c>
      <c r="DT1722" s="64">
        <f>$Q1722-$Q1723</f>
        <v/>
      </c>
      <c r="DU1722" s="64">
        <f>$S1722-$S1723</f>
        <v/>
      </c>
      <c r="DV1722" s="65">
        <f>IFERROR(AVERAGE($AA1723/$AA1722-1,$AB1723/$AB1722-1,$AC1723/$AC1722-1,$AD1723/$AD1722-1,$AE1723/$AE1722-1,$AG1723/$AG1722-1,$AH1723/$AH1722-1,$AI1723/$AI1722-1,$AJ1723/$AJ1722-1,$AL1723/$AL1722-1,$AM1723/$AM1722-1,$AR1723/$AR1722-1,$AS1723/$AS1722-1,$AT1723/$AT1722-1,$AU1723/$AU1722-1,$AV1723/$AV1722-1,$AW1723/$AW1722-1,$AX1723/$AX1722-1,$AY1723/$AY1722-1),"")</f>
        <v/>
      </c>
      <c r="DW1722" s="66">
        <f>AVERAGE($CB1722,$CC1722,$CD1722,$CE1722,$CF1722,$CG1722,$CH1722,$CI1722,$CJ1722,$CL1722,$CM1722,$CN1722,$CO1722,$CP1722,$CQ1722,$CR1722,$CS1722,$CT1722)</f>
        <v/>
      </c>
      <c r="DX1722" s="66">
        <f>AVERAGE($CB1722,$CC1722,$CM1722,$CE1722,$CP1722)</f>
        <v/>
      </c>
      <c r="DY1722" s="64">
        <f>($DW1722-$DW1723)*100</f>
        <v/>
      </c>
      <c r="DZ1722" s="64">
        <f>($DX1722-$DX1723)*100</f>
        <v/>
      </c>
      <c r="EA1722" s="64">
        <f>($DW1722-$D1722)*100</f>
        <v/>
      </c>
      <c r="EB1722" s="64">
        <f>$Q1722-$O1722</f>
        <v/>
      </c>
      <c r="EC1722" s="67">
        <f>IFERROR($Q1722/$P1722,"")</f>
        <v/>
      </c>
    </row>
    <row r="1723">
      <c r="DG1723" s="64">
        <f>($B1723-$B1724)*100</f>
        <v/>
      </c>
      <c r="DH1723" s="64">
        <f>($D1723-$D1724)*100</f>
        <v/>
      </c>
      <c r="DI1723" s="64">
        <f>($E1723-$E1724)*100</f>
        <v/>
      </c>
      <c r="DJ1723" s="64">
        <f>($H1723-$H1724)*100</f>
        <v/>
      </c>
      <c r="DK1723" s="65">
        <f>IFERROR($J1723/$J1724-1,"")</f>
        <v/>
      </c>
      <c r="DL1723" s="64">
        <f>$L1723-$L1724</f>
        <v/>
      </c>
      <c r="DM1723" s="64">
        <f>$K1723-$K1724</f>
        <v/>
      </c>
      <c r="DN1723" s="65">
        <f>IFERROR($N1723/$N1724-1,"")</f>
        <v/>
      </c>
      <c r="DO1723" s="65">
        <f>IFERROR($M1723/$M1724-1,"")</f>
        <v/>
      </c>
      <c r="DP1723" s="65">
        <f>IFERROR($AZ1723/$AZ1724-1,"")</f>
        <v/>
      </c>
      <c r="DQ1723" s="65">
        <f>IFERROR($BA1723/$BA1724-1,"")</f>
        <v/>
      </c>
      <c r="DR1723" s="64">
        <f>$O1723-$O1724</f>
        <v/>
      </c>
      <c r="DS1723" s="64">
        <f>$P1723-$P1724</f>
        <v/>
      </c>
      <c r="DT1723" s="64">
        <f>$Q1723-$Q1724</f>
        <v/>
      </c>
      <c r="DU1723" s="64">
        <f>$S1723-$S1724</f>
        <v/>
      </c>
      <c r="DV1723" s="65">
        <f>IFERROR(AVERAGE($AA1724/$AA1723-1,$AB1724/$AB1723-1,$AC1724/$AC1723-1,$AD1724/$AD1723-1,$AE1724/$AE1723-1,$AG1724/$AG1723-1,$AH1724/$AH1723-1,$AI1724/$AI1723-1,$AJ1724/$AJ1723-1,$AL1724/$AL1723-1,$AM1724/$AM1723-1,$AR1724/$AR1723-1,$AS1724/$AS1723-1,$AT1724/$AT1723-1,$AU1724/$AU1723-1,$AV1724/$AV1723-1,$AW1724/$AW1723-1,$AX1724/$AX1723-1,$AY1724/$AY1723-1),"")</f>
        <v/>
      </c>
      <c r="DW1723" s="66">
        <f>AVERAGE($CB1723,$CC1723,$CD1723,$CE1723,$CF1723,$CG1723,$CH1723,$CI1723,$CJ1723,$CL1723,$CM1723,$CN1723,$CO1723,$CP1723,$CQ1723,$CR1723,$CS1723,$CT1723)</f>
        <v/>
      </c>
      <c r="DX1723" s="66">
        <f>AVERAGE($CB1723,$CC1723,$CM1723,$CE1723,$CP1723)</f>
        <v/>
      </c>
      <c r="DY1723" s="64">
        <f>($DW1723-$DW1724)*100</f>
        <v/>
      </c>
      <c r="DZ1723" s="64">
        <f>($DX1723-$DX1724)*100</f>
        <v/>
      </c>
      <c r="EA1723" s="64">
        <f>($DW1723-$D1723)*100</f>
        <v/>
      </c>
      <c r="EB1723" s="64">
        <f>$Q1723-$O1723</f>
        <v/>
      </c>
      <c r="EC1723" s="67">
        <f>IFERROR($Q1723/$P1723,"")</f>
        <v/>
      </c>
    </row>
    <row r="1724">
      <c r="DG1724" s="64">
        <f>($B1724-$B1725)*100</f>
        <v/>
      </c>
      <c r="DH1724" s="64">
        <f>($D1724-$D1725)*100</f>
        <v/>
      </c>
      <c r="DI1724" s="64">
        <f>($E1724-$E1725)*100</f>
        <v/>
      </c>
      <c r="DJ1724" s="64">
        <f>($H1724-$H1725)*100</f>
        <v/>
      </c>
      <c r="DK1724" s="65">
        <f>IFERROR($J1724/$J1725-1,"")</f>
        <v/>
      </c>
      <c r="DL1724" s="64">
        <f>$L1724-$L1725</f>
        <v/>
      </c>
      <c r="DM1724" s="64">
        <f>$K1724-$K1725</f>
        <v/>
      </c>
      <c r="DN1724" s="65">
        <f>IFERROR($N1724/$N1725-1,"")</f>
        <v/>
      </c>
      <c r="DO1724" s="65">
        <f>IFERROR($M1724/$M1725-1,"")</f>
        <v/>
      </c>
      <c r="DP1724" s="65">
        <f>IFERROR($AZ1724/$AZ1725-1,"")</f>
        <v/>
      </c>
      <c r="DQ1724" s="65">
        <f>IFERROR($BA1724/$BA1725-1,"")</f>
        <v/>
      </c>
      <c r="DR1724" s="64">
        <f>$O1724-$O1725</f>
        <v/>
      </c>
      <c r="DS1724" s="64">
        <f>$P1724-$P1725</f>
        <v/>
      </c>
      <c r="DT1724" s="64">
        <f>$Q1724-$Q1725</f>
        <v/>
      </c>
      <c r="DU1724" s="64">
        <f>$S1724-$S1725</f>
        <v/>
      </c>
      <c r="DV1724" s="65">
        <f>IFERROR(AVERAGE($AA1725/$AA1724-1,$AB1725/$AB1724-1,$AC1725/$AC1724-1,$AD1725/$AD1724-1,$AE1725/$AE1724-1,$AG1725/$AG1724-1,$AH1725/$AH1724-1,$AI1725/$AI1724-1,$AJ1725/$AJ1724-1,$AL1725/$AL1724-1,$AM1725/$AM1724-1,$AR1725/$AR1724-1,$AS1725/$AS1724-1,$AT1725/$AT1724-1,$AU1725/$AU1724-1,$AV1725/$AV1724-1,$AW1725/$AW1724-1,$AX1725/$AX1724-1,$AY1725/$AY1724-1),"")</f>
        <v/>
      </c>
      <c r="DW1724" s="66">
        <f>AVERAGE($CB1724,$CC1724,$CD1724,$CE1724,$CF1724,$CG1724,$CH1724,$CI1724,$CJ1724,$CL1724,$CM1724,$CN1724,$CO1724,$CP1724,$CQ1724,$CR1724,$CS1724,$CT1724)</f>
        <v/>
      </c>
      <c r="DX1724" s="66">
        <f>AVERAGE($CB1724,$CC1724,$CM1724,$CE1724,$CP1724)</f>
        <v/>
      </c>
      <c r="DY1724" s="64">
        <f>($DW1724-$DW1725)*100</f>
        <v/>
      </c>
      <c r="DZ1724" s="64">
        <f>($DX1724-$DX1725)*100</f>
        <v/>
      </c>
      <c r="EA1724" s="64">
        <f>($DW1724-$D1724)*100</f>
        <v/>
      </c>
      <c r="EB1724" s="64">
        <f>$Q1724-$O1724</f>
        <v/>
      </c>
      <c r="EC1724" s="67">
        <f>IFERROR($Q1724/$P1724,"")</f>
        <v/>
      </c>
    </row>
    <row r="1725">
      <c r="DG1725" s="64">
        <f>($B1725-$B1726)*100</f>
        <v/>
      </c>
      <c r="DH1725" s="64">
        <f>($D1725-$D1726)*100</f>
        <v/>
      </c>
      <c r="DI1725" s="64">
        <f>($E1725-$E1726)*100</f>
        <v/>
      </c>
      <c r="DJ1725" s="64">
        <f>($H1725-$H1726)*100</f>
        <v/>
      </c>
      <c r="DK1725" s="65">
        <f>IFERROR($J1725/$J1726-1,"")</f>
        <v/>
      </c>
      <c r="DL1725" s="64">
        <f>$L1725-$L1726</f>
        <v/>
      </c>
      <c r="DM1725" s="64">
        <f>$K1725-$K1726</f>
        <v/>
      </c>
      <c r="DN1725" s="65">
        <f>IFERROR($N1725/$N1726-1,"")</f>
        <v/>
      </c>
      <c r="DO1725" s="65">
        <f>IFERROR($M1725/$M1726-1,"")</f>
        <v/>
      </c>
      <c r="DP1725" s="65">
        <f>IFERROR($AZ1725/$AZ1726-1,"")</f>
        <v/>
      </c>
      <c r="DQ1725" s="65">
        <f>IFERROR($BA1725/$BA1726-1,"")</f>
        <v/>
      </c>
      <c r="DR1725" s="64">
        <f>$O1725-$O1726</f>
        <v/>
      </c>
      <c r="DS1725" s="64">
        <f>$P1725-$P1726</f>
        <v/>
      </c>
      <c r="DT1725" s="64">
        <f>$Q1725-$Q1726</f>
        <v/>
      </c>
      <c r="DU1725" s="64">
        <f>$S1725-$S1726</f>
        <v/>
      </c>
      <c r="DV1725" s="65">
        <f>IFERROR(AVERAGE($AA1726/$AA1725-1,$AB1726/$AB1725-1,$AC1726/$AC1725-1,$AD1726/$AD1725-1,$AE1726/$AE1725-1,$AG1726/$AG1725-1,$AH1726/$AH1725-1,$AI1726/$AI1725-1,$AJ1726/$AJ1725-1,$AL1726/$AL1725-1,$AM1726/$AM1725-1,$AR1726/$AR1725-1,$AS1726/$AS1725-1,$AT1726/$AT1725-1,$AU1726/$AU1725-1,$AV1726/$AV1725-1,$AW1726/$AW1725-1,$AX1726/$AX1725-1,$AY1726/$AY1725-1),"")</f>
        <v/>
      </c>
      <c r="DW1725" s="66">
        <f>AVERAGE($CB1725,$CC1725,$CD1725,$CE1725,$CF1725,$CG1725,$CH1725,$CI1725,$CJ1725,$CL1725,$CM1725,$CN1725,$CO1725,$CP1725,$CQ1725,$CR1725,$CS1725,$CT1725)</f>
        <v/>
      </c>
      <c r="DX1725" s="66">
        <f>AVERAGE($CB1725,$CC1725,$CM1725,$CE1725,$CP1725)</f>
        <v/>
      </c>
      <c r="DY1725" s="64">
        <f>($DW1725-$DW1726)*100</f>
        <v/>
      </c>
      <c r="DZ1725" s="64">
        <f>($DX1725-$DX1726)*100</f>
        <v/>
      </c>
      <c r="EA1725" s="64">
        <f>($DW1725-$D1725)*100</f>
        <v/>
      </c>
      <c r="EB1725" s="64">
        <f>$Q1725-$O1725</f>
        <v/>
      </c>
      <c r="EC1725" s="67">
        <f>IFERROR($Q1725/$P1725,"")</f>
        <v/>
      </c>
    </row>
    <row r="1726">
      <c r="DG1726" s="64">
        <f>($B1726-$B1727)*100</f>
        <v/>
      </c>
      <c r="DH1726" s="64">
        <f>($D1726-$D1727)*100</f>
        <v/>
      </c>
      <c r="DI1726" s="64">
        <f>($E1726-$E1727)*100</f>
        <v/>
      </c>
      <c r="DJ1726" s="64">
        <f>($H1726-$H1727)*100</f>
        <v/>
      </c>
      <c r="DK1726" s="65">
        <f>IFERROR($J1726/$J1727-1,"")</f>
        <v/>
      </c>
      <c r="DL1726" s="64">
        <f>$L1726-$L1727</f>
        <v/>
      </c>
      <c r="DM1726" s="64">
        <f>$K1726-$K1727</f>
        <v/>
      </c>
      <c r="DN1726" s="65">
        <f>IFERROR($N1726/$N1727-1,"")</f>
        <v/>
      </c>
      <c r="DO1726" s="65">
        <f>IFERROR($M1726/$M1727-1,"")</f>
        <v/>
      </c>
      <c r="DP1726" s="65">
        <f>IFERROR($AZ1726/$AZ1727-1,"")</f>
        <v/>
      </c>
      <c r="DQ1726" s="65">
        <f>IFERROR($BA1726/$BA1727-1,"")</f>
        <v/>
      </c>
      <c r="DR1726" s="64">
        <f>$O1726-$O1727</f>
        <v/>
      </c>
      <c r="DS1726" s="64">
        <f>$P1726-$P1727</f>
        <v/>
      </c>
      <c r="DT1726" s="64">
        <f>$Q1726-$Q1727</f>
        <v/>
      </c>
      <c r="DU1726" s="64">
        <f>$S1726-$S1727</f>
        <v/>
      </c>
      <c r="DV1726" s="65">
        <f>IFERROR(AVERAGE($AA1727/$AA1726-1,$AB1727/$AB1726-1,$AC1727/$AC1726-1,$AD1727/$AD1726-1,$AE1727/$AE1726-1,$AG1727/$AG1726-1,$AH1727/$AH1726-1,$AI1727/$AI1726-1,$AJ1727/$AJ1726-1,$AL1727/$AL1726-1,$AM1727/$AM1726-1,$AR1727/$AR1726-1,$AS1727/$AS1726-1,$AT1727/$AT1726-1,$AU1727/$AU1726-1,$AV1727/$AV1726-1,$AW1727/$AW1726-1,$AX1727/$AX1726-1,$AY1727/$AY1726-1),"")</f>
        <v/>
      </c>
      <c r="DW1726" s="66">
        <f>AVERAGE($CB1726,$CC1726,$CD1726,$CE1726,$CF1726,$CG1726,$CH1726,$CI1726,$CJ1726,$CL1726,$CM1726,$CN1726,$CO1726,$CP1726,$CQ1726,$CR1726,$CS1726,$CT1726)</f>
        <v/>
      </c>
      <c r="DX1726" s="66">
        <f>AVERAGE($CB1726,$CC1726,$CM1726,$CE1726,$CP1726)</f>
        <v/>
      </c>
      <c r="DY1726" s="64">
        <f>($DW1726-$DW1727)*100</f>
        <v/>
      </c>
      <c r="DZ1726" s="64">
        <f>($DX1726-$DX1727)*100</f>
        <v/>
      </c>
      <c r="EA1726" s="64">
        <f>($DW1726-$D1726)*100</f>
        <v/>
      </c>
      <c r="EB1726" s="64">
        <f>$Q1726-$O1726</f>
        <v/>
      </c>
      <c r="EC1726" s="67">
        <f>IFERROR($Q1726/$P1726,"")</f>
        <v/>
      </c>
    </row>
    <row r="1727">
      <c r="DG1727" s="64">
        <f>($B1727-$B1728)*100</f>
        <v/>
      </c>
      <c r="DH1727" s="64">
        <f>($D1727-$D1728)*100</f>
        <v/>
      </c>
      <c r="DI1727" s="64">
        <f>($E1727-$E1728)*100</f>
        <v/>
      </c>
      <c r="DJ1727" s="64">
        <f>($H1727-$H1728)*100</f>
        <v/>
      </c>
      <c r="DK1727" s="65">
        <f>IFERROR($J1727/$J1728-1,"")</f>
        <v/>
      </c>
      <c r="DL1727" s="64">
        <f>$L1727-$L1728</f>
        <v/>
      </c>
      <c r="DM1727" s="64">
        <f>$K1727-$K1728</f>
        <v/>
      </c>
      <c r="DN1727" s="65">
        <f>IFERROR($N1727/$N1728-1,"")</f>
        <v/>
      </c>
      <c r="DO1727" s="65">
        <f>IFERROR($M1727/$M1728-1,"")</f>
        <v/>
      </c>
      <c r="DP1727" s="65">
        <f>IFERROR($AZ1727/$AZ1728-1,"")</f>
        <v/>
      </c>
      <c r="DQ1727" s="65">
        <f>IFERROR($BA1727/$BA1728-1,"")</f>
        <v/>
      </c>
      <c r="DR1727" s="64">
        <f>$O1727-$O1728</f>
        <v/>
      </c>
      <c r="DS1727" s="64">
        <f>$P1727-$P1728</f>
        <v/>
      </c>
      <c r="DT1727" s="64">
        <f>$Q1727-$Q1728</f>
        <v/>
      </c>
      <c r="DU1727" s="64">
        <f>$S1727-$S1728</f>
        <v/>
      </c>
      <c r="DV1727" s="65">
        <f>IFERROR(AVERAGE($AA1728/$AA1727-1,$AB1728/$AB1727-1,$AC1728/$AC1727-1,$AD1728/$AD1727-1,$AE1728/$AE1727-1,$AG1728/$AG1727-1,$AH1728/$AH1727-1,$AI1728/$AI1727-1,$AJ1728/$AJ1727-1,$AL1728/$AL1727-1,$AM1728/$AM1727-1,$AR1728/$AR1727-1,$AS1728/$AS1727-1,$AT1728/$AT1727-1,$AU1728/$AU1727-1,$AV1728/$AV1727-1,$AW1728/$AW1727-1,$AX1728/$AX1727-1,$AY1728/$AY1727-1),"")</f>
        <v/>
      </c>
      <c r="DW1727" s="66">
        <f>AVERAGE($CB1727,$CC1727,$CD1727,$CE1727,$CF1727,$CG1727,$CH1727,$CI1727,$CJ1727,$CL1727,$CM1727,$CN1727,$CO1727,$CP1727,$CQ1727,$CR1727,$CS1727,$CT1727)</f>
        <v/>
      </c>
      <c r="DX1727" s="66">
        <f>AVERAGE($CB1727,$CC1727,$CM1727,$CE1727,$CP1727)</f>
        <v/>
      </c>
      <c r="DY1727" s="64">
        <f>($DW1727-$DW1728)*100</f>
        <v/>
      </c>
      <c r="DZ1727" s="64">
        <f>($DX1727-$DX1728)*100</f>
        <v/>
      </c>
      <c r="EA1727" s="64">
        <f>($DW1727-$D1727)*100</f>
        <v/>
      </c>
      <c r="EB1727" s="64">
        <f>$Q1727-$O1727</f>
        <v/>
      </c>
      <c r="EC1727" s="67">
        <f>IFERROR($Q1727/$P1727,"")</f>
        <v/>
      </c>
    </row>
    <row r="1728">
      <c r="DG1728" s="64">
        <f>($B1728-$B1729)*100</f>
        <v/>
      </c>
      <c r="DH1728" s="64">
        <f>($D1728-$D1729)*100</f>
        <v/>
      </c>
      <c r="DI1728" s="64">
        <f>($E1728-$E1729)*100</f>
        <v/>
      </c>
      <c r="DJ1728" s="64">
        <f>($H1728-$H1729)*100</f>
        <v/>
      </c>
      <c r="DK1728" s="65">
        <f>IFERROR($J1728/$J1729-1,"")</f>
        <v/>
      </c>
      <c r="DL1728" s="64">
        <f>$L1728-$L1729</f>
        <v/>
      </c>
      <c r="DM1728" s="64">
        <f>$K1728-$K1729</f>
        <v/>
      </c>
      <c r="DN1728" s="65">
        <f>IFERROR($N1728/$N1729-1,"")</f>
        <v/>
      </c>
      <c r="DO1728" s="65">
        <f>IFERROR($M1728/$M1729-1,"")</f>
        <v/>
      </c>
      <c r="DP1728" s="65">
        <f>IFERROR($AZ1728/$AZ1729-1,"")</f>
        <v/>
      </c>
      <c r="DQ1728" s="65">
        <f>IFERROR($BA1728/$BA1729-1,"")</f>
        <v/>
      </c>
      <c r="DR1728" s="64">
        <f>$O1728-$O1729</f>
        <v/>
      </c>
      <c r="DS1728" s="64">
        <f>$P1728-$P1729</f>
        <v/>
      </c>
      <c r="DT1728" s="64">
        <f>$Q1728-$Q1729</f>
        <v/>
      </c>
      <c r="DU1728" s="64">
        <f>$S1728-$S1729</f>
        <v/>
      </c>
      <c r="DV1728" s="65">
        <f>IFERROR(AVERAGE($AA1729/$AA1728-1,$AB1729/$AB1728-1,$AC1729/$AC1728-1,$AD1729/$AD1728-1,$AE1729/$AE1728-1,$AG1729/$AG1728-1,$AH1729/$AH1728-1,$AI1729/$AI1728-1,$AJ1729/$AJ1728-1,$AL1729/$AL1728-1,$AM1729/$AM1728-1,$AR1729/$AR1728-1,$AS1729/$AS1728-1,$AT1729/$AT1728-1,$AU1729/$AU1728-1,$AV1729/$AV1728-1,$AW1729/$AW1728-1,$AX1729/$AX1728-1,$AY1729/$AY1728-1),"")</f>
        <v/>
      </c>
      <c r="DW1728" s="66">
        <f>AVERAGE($CB1728,$CC1728,$CD1728,$CE1728,$CF1728,$CG1728,$CH1728,$CI1728,$CJ1728,$CL1728,$CM1728,$CN1728,$CO1728,$CP1728,$CQ1728,$CR1728,$CS1728,$CT1728)</f>
        <v/>
      </c>
      <c r="DX1728" s="66">
        <f>AVERAGE($CB1728,$CC1728,$CM1728,$CE1728,$CP1728)</f>
        <v/>
      </c>
      <c r="DY1728" s="64">
        <f>($DW1728-$DW1729)*100</f>
        <v/>
      </c>
      <c r="DZ1728" s="64">
        <f>($DX1728-$DX1729)*100</f>
        <v/>
      </c>
      <c r="EA1728" s="64">
        <f>($DW1728-$D1728)*100</f>
        <v/>
      </c>
      <c r="EB1728" s="64">
        <f>$Q1728-$O1728</f>
        <v/>
      </c>
      <c r="EC1728" s="67">
        <f>IFERROR($Q1728/$P1728,"")</f>
        <v/>
      </c>
    </row>
    <row r="1729">
      <c r="DG1729" s="64">
        <f>($B1729-$B1730)*100</f>
        <v/>
      </c>
      <c r="DH1729" s="64">
        <f>($D1729-$D1730)*100</f>
        <v/>
      </c>
      <c r="DI1729" s="64">
        <f>($E1729-$E1730)*100</f>
        <v/>
      </c>
      <c r="DJ1729" s="64">
        <f>($H1729-$H1730)*100</f>
        <v/>
      </c>
      <c r="DK1729" s="65">
        <f>IFERROR($J1729/$J1730-1,"")</f>
        <v/>
      </c>
      <c r="DL1729" s="64">
        <f>$L1729-$L1730</f>
        <v/>
      </c>
      <c r="DM1729" s="64">
        <f>$K1729-$K1730</f>
        <v/>
      </c>
      <c r="DN1729" s="65">
        <f>IFERROR($N1729/$N1730-1,"")</f>
        <v/>
      </c>
      <c r="DO1729" s="65">
        <f>IFERROR($M1729/$M1730-1,"")</f>
        <v/>
      </c>
      <c r="DP1729" s="65">
        <f>IFERROR($AZ1729/$AZ1730-1,"")</f>
        <v/>
      </c>
      <c r="DQ1729" s="65">
        <f>IFERROR($BA1729/$BA1730-1,"")</f>
        <v/>
      </c>
      <c r="DR1729" s="64">
        <f>$O1729-$O1730</f>
        <v/>
      </c>
      <c r="DS1729" s="64">
        <f>$P1729-$P1730</f>
        <v/>
      </c>
      <c r="DT1729" s="64">
        <f>$Q1729-$Q1730</f>
        <v/>
      </c>
      <c r="DU1729" s="64">
        <f>$S1729-$S1730</f>
        <v/>
      </c>
      <c r="DV1729" s="65">
        <f>IFERROR(AVERAGE($AA1730/$AA1729-1,$AB1730/$AB1729-1,$AC1730/$AC1729-1,$AD1730/$AD1729-1,$AE1730/$AE1729-1,$AG1730/$AG1729-1,$AH1730/$AH1729-1,$AI1730/$AI1729-1,$AJ1730/$AJ1729-1,$AL1730/$AL1729-1,$AM1730/$AM1729-1,$AR1730/$AR1729-1,$AS1730/$AS1729-1,$AT1730/$AT1729-1,$AU1730/$AU1729-1,$AV1730/$AV1729-1,$AW1730/$AW1729-1,$AX1730/$AX1729-1,$AY1730/$AY1729-1),"")</f>
        <v/>
      </c>
      <c r="DW1729" s="66">
        <f>AVERAGE($CB1729,$CC1729,$CD1729,$CE1729,$CF1729,$CG1729,$CH1729,$CI1729,$CJ1729,$CL1729,$CM1729,$CN1729,$CO1729,$CP1729,$CQ1729,$CR1729,$CS1729,$CT1729)</f>
        <v/>
      </c>
      <c r="DX1729" s="66">
        <f>AVERAGE($CB1729,$CC1729,$CM1729,$CE1729,$CP1729)</f>
        <v/>
      </c>
      <c r="DY1729" s="64">
        <f>($DW1729-$DW1730)*100</f>
        <v/>
      </c>
      <c r="DZ1729" s="64">
        <f>($DX1729-$DX1730)*100</f>
        <v/>
      </c>
      <c r="EA1729" s="64">
        <f>($DW1729-$D1729)*100</f>
        <v/>
      </c>
      <c r="EB1729" s="64">
        <f>$Q1729-$O1729</f>
        <v/>
      </c>
      <c r="EC1729" s="67">
        <f>IFERROR($Q1729/$P1729,"")</f>
        <v/>
      </c>
    </row>
    <row r="1730">
      <c r="DG1730" s="64">
        <f>($B1730-$B1731)*100</f>
        <v/>
      </c>
      <c r="DH1730" s="64">
        <f>($D1730-$D1731)*100</f>
        <v/>
      </c>
      <c r="DI1730" s="64">
        <f>($E1730-$E1731)*100</f>
        <v/>
      </c>
      <c r="DJ1730" s="64">
        <f>($H1730-$H1731)*100</f>
        <v/>
      </c>
      <c r="DK1730" s="65">
        <f>IFERROR($J1730/$J1731-1,"")</f>
        <v/>
      </c>
      <c r="DL1730" s="64">
        <f>$L1730-$L1731</f>
        <v/>
      </c>
      <c r="DM1730" s="64">
        <f>$K1730-$K1731</f>
        <v/>
      </c>
      <c r="DN1730" s="65">
        <f>IFERROR($N1730/$N1731-1,"")</f>
        <v/>
      </c>
      <c r="DO1730" s="65">
        <f>IFERROR($M1730/$M1731-1,"")</f>
        <v/>
      </c>
      <c r="DP1730" s="65">
        <f>IFERROR($AZ1730/$AZ1731-1,"")</f>
        <v/>
      </c>
      <c r="DQ1730" s="65">
        <f>IFERROR($BA1730/$BA1731-1,"")</f>
        <v/>
      </c>
      <c r="DR1730" s="64">
        <f>$O1730-$O1731</f>
        <v/>
      </c>
      <c r="DS1730" s="64">
        <f>$P1730-$P1731</f>
        <v/>
      </c>
      <c r="DT1730" s="64">
        <f>$Q1730-$Q1731</f>
        <v/>
      </c>
      <c r="DU1730" s="64">
        <f>$S1730-$S1731</f>
        <v/>
      </c>
      <c r="DV1730" s="65">
        <f>IFERROR(AVERAGE($AA1731/$AA1730-1,$AB1731/$AB1730-1,$AC1731/$AC1730-1,$AD1731/$AD1730-1,$AE1731/$AE1730-1,$AG1731/$AG1730-1,$AH1731/$AH1730-1,$AI1731/$AI1730-1,$AJ1731/$AJ1730-1,$AL1731/$AL1730-1,$AM1731/$AM1730-1,$AR1731/$AR1730-1,$AS1731/$AS1730-1,$AT1731/$AT1730-1,$AU1731/$AU1730-1,$AV1731/$AV1730-1,$AW1731/$AW1730-1,$AX1731/$AX1730-1,$AY1731/$AY1730-1),"")</f>
        <v/>
      </c>
      <c r="DW1730" s="66">
        <f>AVERAGE($CB1730,$CC1730,$CD1730,$CE1730,$CF1730,$CG1730,$CH1730,$CI1730,$CJ1730,$CL1730,$CM1730,$CN1730,$CO1730,$CP1730,$CQ1730,$CR1730,$CS1730,$CT1730)</f>
        <v/>
      </c>
      <c r="DX1730" s="66">
        <f>AVERAGE($CB1730,$CC1730,$CM1730,$CE1730,$CP1730)</f>
        <v/>
      </c>
      <c r="DY1730" s="64">
        <f>($DW1730-$DW1731)*100</f>
        <v/>
      </c>
      <c r="DZ1730" s="64">
        <f>($DX1730-$DX1731)*100</f>
        <v/>
      </c>
      <c r="EA1730" s="64">
        <f>($DW1730-$D1730)*100</f>
        <v/>
      </c>
      <c r="EB1730" s="64">
        <f>$Q1730-$O1730</f>
        <v/>
      </c>
      <c r="EC1730" s="67">
        <f>IFERROR($Q1730/$P1730,"")</f>
        <v/>
      </c>
    </row>
    <row r="1731">
      <c r="DG1731" s="64">
        <f>($B1731-$B1732)*100</f>
        <v/>
      </c>
      <c r="DH1731" s="64">
        <f>($D1731-$D1732)*100</f>
        <v/>
      </c>
      <c r="DI1731" s="64">
        <f>($E1731-$E1732)*100</f>
        <v/>
      </c>
      <c r="DJ1731" s="64">
        <f>($H1731-$H1732)*100</f>
        <v/>
      </c>
      <c r="DK1731" s="65">
        <f>IFERROR($J1731/$J1732-1,"")</f>
        <v/>
      </c>
      <c r="DL1731" s="64">
        <f>$L1731-$L1732</f>
        <v/>
      </c>
      <c r="DM1731" s="64">
        <f>$K1731-$K1732</f>
        <v/>
      </c>
      <c r="DN1731" s="65">
        <f>IFERROR($N1731/$N1732-1,"")</f>
        <v/>
      </c>
      <c r="DO1731" s="65">
        <f>IFERROR($M1731/$M1732-1,"")</f>
        <v/>
      </c>
      <c r="DP1731" s="65">
        <f>IFERROR($AZ1731/$AZ1732-1,"")</f>
        <v/>
      </c>
      <c r="DQ1731" s="65">
        <f>IFERROR($BA1731/$BA1732-1,"")</f>
        <v/>
      </c>
      <c r="DR1731" s="64">
        <f>$O1731-$O1732</f>
        <v/>
      </c>
      <c r="DS1731" s="64">
        <f>$P1731-$P1732</f>
        <v/>
      </c>
      <c r="DT1731" s="64">
        <f>$Q1731-$Q1732</f>
        <v/>
      </c>
      <c r="DU1731" s="64">
        <f>$S1731-$S1732</f>
        <v/>
      </c>
      <c r="DV1731" s="65">
        <f>IFERROR(AVERAGE($AA1732/$AA1731-1,$AB1732/$AB1731-1,$AC1732/$AC1731-1,$AD1732/$AD1731-1,$AE1732/$AE1731-1,$AG1732/$AG1731-1,$AH1732/$AH1731-1,$AI1732/$AI1731-1,$AJ1732/$AJ1731-1,$AL1732/$AL1731-1,$AM1732/$AM1731-1,$AR1732/$AR1731-1,$AS1732/$AS1731-1,$AT1732/$AT1731-1,$AU1732/$AU1731-1,$AV1732/$AV1731-1,$AW1732/$AW1731-1,$AX1732/$AX1731-1,$AY1732/$AY1731-1),"")</f>
        <v/>
      </c>
      <c r="DW1731" s="66">
        <f>AVERAGE($CB1731,$CC1731,$CD1731,$CE1731,$CF1731,$CG1731,$CH1731,$CI1731,$CJ1731,$CL1731,$CM1731,$CN1731,$CO1731,$CP1731,$CQ1731,$CR1731,$CS1731,$CT1731)</f>
        <v/>
      </c>
      <c r="DX1731" s="66">
        <f>AVERAGE($CB1731,$CC1731,$CM1731,$CE1731,$CP1731)</f>
        <v/>
      </c>
      <c r="DY1731" s="64">
        <f>($DW1731-$DW1732)*100</f>
        <v/>
      </c>
      <c r="DZ1731" s="64">
        <f>($DX1731-$DX1732)*100</f>
        <v/>
      </c>
      <c r="EA1731" s="64">
        <f>($DW1731-$D1731)*100</f>
        <v/>
      </c>
      <c r="EB1731" s="64">
        <f>$Q1731-$O1731</f>
        <v/>
      </c>
      <c r="EC1731" s="67">
        <f>IFERROR($Q1731/$P1731,"")</f>
        <v/>
      </c>
    </row>
    <row r="1732">
      <c r="DG1732" s="64">
        <f>($B1732-$B1733)*100</f>
        <v/>
      </c>
      <c r="DH1732" s="64">
        <f>($D1732-$D1733)*100</f>
        <v/>
      </c>
      <c r="DI1732" s="64">
        <f>($E1732-$E1733)*100</f>
        <v/>
      </c>
      <c r="DJ1732" s="64">
        <f>($H1732-$H1733)*100</f>
        <v/>
      </c>
      <c r="DK1732" s="65">
        <f>IFERROR($J1732/$J1733-1,"")</f>
        <v/>
      </c>
      <c r="DL1732" s="64">
        <f>$L1732-$L1733</f>
        <v/>
      </c>
      <c r="DM1732" s="64">
        <f>$K1732-$K1733</f>
        <v/>
      </c>
      <c r="DN1732" s="65">
        <f>IFERROR($N1732/$N1733-1,"")</f>
        <v/>
      </c>
      <c r="DO1732" s="65">
        <f>IFERROR($M1732/$M1733-1,"")</f>
        <v/>
      </c>
      <c r="DP1732" s="65">
        <f>IFERROR($AZ1732/$AZ1733-1,"")</f>
        <v/>
      </c>
      <c r="DQ1732" s="65">
        <f>IFERROR($BA1732/$BA1733-1,"")</f>
        <v/>
      </c>
      <c r="DR1732" s="64">
        <f>$O1732-$O1733</f>
        <v/>
      </c>
      <c r="DS1732" s="64">
        <f>$P1732-$P1733</f>
        <v/>
      </c>
      <c r="DT1732" s="64">
        <f>$Q1732-$Q1733</f>
        <v/>
      </c>
      <c r="DU1732" s="64">
        <f>$S1732-$S1733</f>
        <v/>
      </c>
      <c r="DV1732" s="65">
        <f>IFERROR(AVERAGE($AA1733/$AA1732-1,$AB1733/$AB1732-1,$AC1733/$AC1732-1,$AD1733/$AD1732-1,$AE1733/$AE1732-1,$AG1733/$AG1732-1,$AH1733/$AH1732-1,$AI1733/$AI1732-1,$AJ1733/$AJ1732-1,$AL1733/$AL1732-1,$AM1733/$AM1732-1,$AR1733/$AR1732-1,$AS1733/$AS1732-1,$AT1733/$AT1732-1,$AU1733/$AU1732-1,$AV1733/$AV1732-1,$AW1733/$AW1732-1,$AX1733/$AX1732-1,$AY1733/$AY1732-1),"")</f>
        <v/>
      </c>
      <c r="DW1732" s="66">
        <f>AVERAGE($CB1732,$CC1732,$CD1732,$CE1732,$CF1732,$CG1732,$CH1732,$CI1732,$CJ1732,$CL1732,$CM1732,$CN1732,$CO1732,$CP1732,$CQ1732,$CR1732,$CS1732,$CT1732)</f>
        <v/>
      </c>
      <c r="DX1732" s="66">
        <f>AVERAGE($CB1732,$CC1732,$CM1732,$CE1732,$CP1732)</f>
        <v/>
      </c>
      <c r="DY1732" s="64">
        <f>($DW1732-$DW1733)*100</f>
        <v/>
      </c>
      <c r="DZ1732" s="64">
        <f>($DX1732-$DX1733)*100</f>
        <v/>
      </c>
      <c r="EA1732" s="64">
        <f>($DW1732-$D1732)*100</f>
        <v/>
      </c>
      <c r="EB1732" s="64">
        <f>$Q1732-$O1732</f>
        <v/>
      </c>
      <c r="EC1732" s="67">
        <f>IFERROR($Q1732/$P1732,"")</f>
        <v/>
      </c>
    </row>
    <row r="1733">
      <c r="DG1733" s="64">
        <f>($B1733-$B1734)*100</f>
        <v/>
      </c>
      <c r="DH1733" s="64">
        <f>($D1733-$D1734)*100</f>
        <v/>
      </c>
      <c r="DI1733" s="64">
        <f>($E1733-$E1734)*100</f>
        <v/>
      </c>
      <c r="DJ1733" s="64">
        <f>($H1733-$H1734)*100</f>
        <v/>
      </c>
      <c r="DK1733" s="65">
        <f>IFERROR($J1733/$J1734-1,"")</f>
        <v/>
      </c>
      <c r="DL1733" s="64">
        <f>$L1733-$L1734</f>
        <v/>
      </c>
      <c r="DM1733" s="64">
        <f>$K1733-$K1734</f>
        <v/>
      </c>
      <c r="DN1733" s="65">
        <f>IFERROR($N1733/$N1734-1,"")</f>
        <v/>
      </c>
      <c r="DO1733" s="65">
        <f>IFERROR($M1733/$M1734-1,"")</f>
        <v/>
      </c>
      <c r="DP1733" s="65">
        <f>IFERROR($AZ1733/$AZ1734-1,"")</f>
        <v/>
      </c>
      <c r="DQ1733" s="65">
        <f>IFERROR($BA1733/$BA1734-1,"")</f>
        <v/>
      </c>
      <c r="DR1733" s="64">
        <f>$O1733-$O1734</f>
        <v/>
      </c>
      <c r="DS1733" s="64">
        <f>$P1733-$P1734</f>
        <v/>
      </c>
      <c r="DT1733" s="64">
        <f>$Q1733-$Q1734</f>
        <v/>
      </c>
      <c r="DU1733" s="64">
        <f>$S1733-$S1734</f>
        <v/>
      </c>
      <c r="DV1733" s="65">
        <f>IFERROR(AVERAGE($AA1734/$AA1733-1,$AB1734/$AB1733-1,$AC1734/$AC1733-1,$AD1734/$AD1733-1,$AE1734/$AE1733-1,$AG1734/$AG1733-1,$AH1734/$AH1733-1,$AI1734/$AI1733-1,$AJ1734/$AJ1733-1,$AL1734/$AL1733-1,$AM1734/$AM1733-1,$AR1734/$AR1733-1,$AS1734/$AS1733-1,$AT1734/$AT1733-1,$AU1734/$AU1733-1,$AV1734/$AV1733-1,$AW1734/$AW1733-1,$AX1734/$AX1733-1,$AY1734/$AY1733-1),"")</f>
        <v/>
      </c>
      <c r="DW1733" s="66">
        <f>AVERAGE($CB1733,$CC1733,$CD1733,$CE1733,$CF1733,$CG1733,$CH1733,$CI1733,$CJ1733,$CL1733,$CM1733,$CN1733,$CO1733,$CP1733,$CQ1733,$CR1733,$CS1733,$CT1733)</f>
        <v/>
      </c>
      <c r="DX1733" s="66">
        <f>AVERAGE($CB1733,$CC1733,$CM1733,$CE1733,$CP1733)</f>
        <v/>
      </c>
      <c r="DY1733" s="64">
        <f>($DW1733-$DW1734)*100</f>
        <v/>
      </c>
      <c r="DZ1733" s="64">
        <f>($DX1733-$DX1734)*100</f>
        <v/>
      </c>
      <c r="EA1733" s="64">
        <f>($DW1733-$D1733)*100</f>
        <v/>
      </c>
      <c r="EB1733" s="64">
        <f>$Q1733-$O1733</f>
        <v/>
      </c>
      <c r="EC1733" s="67">
        <f>IFERROR($Q1733/$P1733,"")</f>
        <v/>
      </c>
    </row>
    <row r="1734">
      <c r="DG1734" s="64">
        <f>($B1734-$B1735)*100</f>
        <v/>
      </c>
      <c r="DH1734" s="64">
        <f>($D1734-$D1735)*100</f>
        <v/>
      </c>
      <c r="DI1734" s="64">
        <f>($E1734-$E1735)*100</f>
        <v/>
      </c>
      <c r="DJ1734" s="64">
        <f>($H1734-$H1735)*100</f>
        <v/>
      </c>
      <c r="DK1734" s="65">
        <f>IFERROR($J1734/$J1735-1,"")</f>
        <v/>
      </c>
      <c r="DL1734" s="64">
        <f>$L1734-$L1735</f>
        <v/>
      </c>
      <c r="DM1734" s="64">
        <f>$K1734-$K1735</f>
        <v/>
      </c>
      <c r="DN1734" s="65">
        <f>IFERROR($N1734/$N1735-1,"")</f>
        <v/>
      </c>
      <c r="DO1734" s="65">
        <f>IFERROR($M1734/$M1735-1,"")</f>
        <v/>
      </c>
      <c r="DP1734" s="65">
        <f>IFERROR($AZ1734/$AZ1735-1,"")</f>
        <v/>
      </c>
      <c r="DQ1734" s="65">
        <f>IFERROR($BA1734/$BA1735-1,"")</f>
        <v/>
      </c>
      <c r="DR1734" s="64">
        <f>$O1734-$O1735</f>
        <v/>
      </c>
      <c r="DS1734" s="64">
        <f>$P1734-$P1735</f>
        <v/>
      </c>
      <c r="DT1734" s="64">
        <f>$Q1734-$Q1735</f>
        <v/>
      </c>
      <c r="DU1734" s="64">
        <f>$S1734-$S1735</f>
        <v/>
      </c>
      <c r="DV1734" s="65">
        <f>IFERROR(AVERAGE($AA1735/$AA1734-1,$AB1735/$AB1734-1,$AC1735/$AC1734-1,$AD1735/$AD1734-1,$AE1735/$AE1734-1,$AG1735/$AG1734-1,$AH1735/$AH1734-1,$AI1735/$AI1734-1,$AJ1735/$AJ1734-1,$AL1735/$AL1734-1,$AM1735/$AM1734-1,$AR1735/$AR1734-1,$AS1735/$AS1734-1,$AT1735/$AT1734-1,$AU1735/$AU1734-1,$AV1735/$AV1734-1,$AW1735/$AW1734-1,$AX1735/$AX1734-1,$AY1735/$AY1734-1),"")</f>
        <v/>
      </c>
      <c r="DW1734" s="66">
        <f>AVERAGE($CB1734,$CC1734,$CD1734,$CE1734,$CF1734,$CG1734,$CH1734,$CI1734,$CJ1734,$CL1734,$CM1734,$CN1734,$CO1734,$CP1734,$CQ1734,$CR1734,$CS1734,$CT1734)</f>
        <v/>
      </c>
      <c r="DX1734" s="66">
        <f>AVERAGE($CB1734,$CC1734,$CM1734,$CE1734,$CP1734)</f>
        <v/>
      </c>
      <c r="DY1734" s="64">
        <f>($DW1734-$DW1735)*100</f>
        <v/>
      </c>
      <c r="DZ1734" s="64">
        <f>($DX1734-$DX1735)*100</f>
        <v/>
      </c>
      <c r="EA1734" s="64">
        <f>($DW1734-$D1734)*100</f>
        <v/>
      </c>
      <c r="EB1734" s="64">
        <f>$Q1734-$O1734</f>
        <v/>
      </c>
      <c r="EC1734" s="67">
        <f>IFERROR($Q1734/$P1734,"")</f>
        <v/>
      </c>
    </row>
    <row r="1735">
      <c r="DG1735" s="64">
        <f>($B1735-$B1736)*100</f>
        <v/>
      </c>
      <c r="DH1735" s="64">
        <f>($D1735-$D1736)*100</f>
        <v/>
      </c>
      <c r="DI1735" s="64">
        <f>($E1735-$E1736)*100</f>
        <v/>
      </c>
      <c r="DJ1735" s="64">
        <f>($H1735-$H1736)*100</f>
        <v/>
      </c>
      <c r="DK1735" s="65">
        <f>IFERROR($J1735/$J1736-1,"")</f>
        <v/>
      </c>
      <c r="DL1735" s="64">
        <f>$L1735-$L1736</f>
        <v/>
      </c>
      <c r="DM1735" s="64">
        <f>$K1735-$K1736</f>
        <v/>
      </c>
      <c r="DN1735" s="65">
        <f>IFERROR($N1735/$N1736-1,"")</f>
        <v/>
      </c>
      <c r="DO1735" s="65">
        <f>IFERROR($M1735/$M1736-1,"")</f>
        <v/>
      </c>
      <c r="DP1735" s="65">
        <f>IFERROR($AZ1735/$AZ1736-1,"")</f>
        <v/>
      </c>
      <c r="DQ1735" s="65">
        <f>IFERROR($BA1735/$BA1736-1,"")</f>
        <v/>
      </c>
      <c r="DR1735" s="64">
        <f>$O1735-$O1736</f>
        <v/>
      </c>
      <c r="DS1735" s="64">
        <f>$P1735-$P1736</f>
        <v/>
      </c>
      <c r="DT1735" s="64">
        <f>$Q1735-$Q1736</f>
        <v/>
      </c>
      <c r="DU1735" s="64">
        <f>$S1735-$S1736</f>
        <v/>
      </c>
      <c r="DV1735" s="65">
        <f>IFERROR(AVERAGE($AA1736/$AA1735-1,$AB1736/$AB1735-1,$AC1736/$AC1735-1,$AD1736/$AD1735-1,$AE1736/$AE1735-1,$AG1736/$AG1735-1,$AH1736/$AH1735-1,$AI1736/$AI1735-1,$AJ1736/$AJ1735-1,$AL1736/$AL1735-1,$AM1736/$AM1735-1,$AR1736/$AR1735-1,$AS1736/$AS1735-1,$AT1736/$AT1735-1,$AU1736/$AU1735-1,$AV1736/$AV1735-1,$AW1736/$AW1735-1,$AX1736/$AX1735-1,$AY1736/$AY1735-1),"")</f>
        <v/>
      </c>
      <c r="DW1735" s="66">
        <f>AVERAGE($CB1735,$CC1735,$CD1735,$CE1735,$CF1735,$CG1735,$CH1735,$CI1735,$CJ1735,$CL1735,$CM1735,$CN1735,$CO1735,$CP1735,$CQ1735,$CR1735,$CS1735,$CT1735)</f>
        <v/>
      </c>
      <c r="DX1735" s="66">
        <f>AVERAGE($CB1735,$CC1735,$CM1735,$CE1735,$CP1735)</f>
        <v/>
      </c>
      <c r="DY1735" s="64">
        <f>($DW1735-$DW1736)*100</f>
        <v/>
      </c>
      <c r="DZ1735" s="64">
        <f>($DX1735-$DX1736)*100</f>
        <v/>
      </c>
      <c r="EA1735" s="64">
        <f>($DW1735-$D1735)*100</f>
        <v/>
      </c>
      <c r="EB1735" s="64">
        <f>$Q1735-$O1735</f>
        <v/>
      </c>
      <c r="EC1735" s="67">
        <f>IFERROR($Q1735/$P1735,"")</f>
        <v/>
      </c>
    </row>
    <row r="1736">
      <c r="DG1736" s="64">
        <f>($B1736-$B1737)*100</f>
        <v/>
      </c>
      <c r="DH1736" s="64">
        <f>($D1736-$D1737)*100</f>
        <v/>
      </c>
      <c r="DI1736" s="64">
        <f>($E1736-$E1737)*100</f>
        <v/>
      </c>
      <c r="DJ1736" s="64">
        <f>($H1736-$H1737)*100</f>
        <v/>
      </c>
      <c r="DK1736" s="65">
        <f>IFERROR($J1736/$J1737-1,"")</f>
        <v/>
      </c>
      <c r="DL1736" s="64">
        <f>$L1736-$L1737</f>
        <v/>
      </c>
      <c r="DM1736" s="64">
        <f>$K1736-$K1737</f>
        <v/>
      </c>
      <c r="DN1736" s="65">
        <f>IFERROR($N1736/$N1737-1,"")</f>
        <v/>
      </c>
      <c r="DO1736" s="65">
        <f>IFERROR($M1736/$M1737-1,"")</f>
        <v/>
      </c>
      <c r="DP1736" s="65">
        <f>IFERROR($AZ1736/$AZ1737-1,"")</f>
        <v/>
      </c>
      <c r="DQ1736" s="65">
        <f>IFERROR($BA1736/$BA1737-1,"")</f>
        <v/>
      </c>
      <c r="DR1736" s="64">
        <f>$O1736-$O1737</f>
        <v/>
      </c>
      <c r="DS1736" s="64">
        <f>$P1736-$P1737</f>
        <v/>
      </c>
      <c r="DT1736" s="64">
        <f>$Q1736-$Q1737</f>
        <v/>
      </c>
      <c r="DU1736" s="64">
        <f>$S1736-$S1737</f>
        <v/>
      </c>
      <c r="DV1736" s="65">
        <f>IFERROR(AVERAGE($AA1737/$AA1736-1,$AB1737/$AB1736-1,$AC1737/$AC1736-1,$AD1737/$AD1736-1,$AE1737/$AE1736-1,$AG1737/$AG1736-1,$AH1737/$AH1736-1,$AI1737/$AI1736-1,$AJ1737/$AJ1736-1,$AL1737/$AL1736-1,$AM1737/$AM1736-1,$AR1737/$AR1736-1,$AS1737/$AS1736-1,$AT1737/$AT1736-1,$AU1737/$AU1736-1,$AV1737/$AV1736-1,$AW1737/$AW1736-1,$AX1737/$AX1736-1,$AY1737/$AY1736-1),"")</f>
        <v/>
      </c>
      <c r="DW1736" s="66">
        <f>AVERAGE($CB1736,$CC1736,$CD1736,$CE1736,$CF1736,$CG1736,$CH1736,$CI1736,$CJ1736,$CL1736,$CM1736,$CN1736,$CO1736,$CP1736,$CQ1736,$CR1736,$CS1736,$CT1736)</f>
        <v/>
      </c>
      <c r="DX1736" s="66">
        <f>AVERAGE($CB1736,$CC1736,$CM1736,$CE1736,$CP1736)</f>
        <v/>
      </c>
      <c r="DY1736" s="64">
        <f>($DW1736-$DW1737)*100</f>
        <v/>
      </c>
      <c r="DZ1736" s="64">
        <f>($DX1736-$DX1737)*100</f>
        <v/>
      </c>
      <c r="EA1736" s="64">
        <f>($DW1736-$D1736)*100</f>
        <v/>
      </c>
      <c r="EB1736" s="64">
        <f>$Q1736-$O1736</f>
        <v/>
      </c>
      <c r="EC1736" s="67">
        <f>IFERROR($Q1736/$P1736,"")</f>
        <v/>
      </c>
    </row>
    <row r="1737">
      <c r="DG1737" s="64">
        <f>($B1737-$B1738)*100</f>
        <v/>
      </c>
      <c r="DH1737" s="64">
        <f>($D1737-$D1738)*100</f>
        <v/>
      </c>
      <c r="DI1737" s="64">
        <f>($E1737-$E1738)*100</f>
        <v/>
      </c>
      <c r="DJ1737" s="64">
        <f>($H1737-$H1738)*100</f>
        <v/>
      </c>
      <c r="DK1737" s="65">
        <f>IFERROR($J1737/$J1738-1,"")</f>
        <v/>
      </c>
      <c r="DL1737" s="64">
        <f>$L1737-$L1738</f>
        <v/>
      </c>
      <c r="DM1737" s="64">
        <f>$K1737-$K1738</f>
        <v/>
      </c>
      <c r="DN1737" s="65">
        <f>IFERROR($N1737/$N1738-1,"")</f>
        <v/>
      </c>
      <c r="DO1737" s="65">
        <f>IFERROR($M1737/$M1738-1,"")</f>
        <v/>
      </c>
      <c r="DP1737" s="65">
        <f>IFERROR($AZ1737/$AZ1738-1,"")</f>
        <v/>
      </c>
      <c r="DQ1737" s="65">
        <f>IFERROR($BA1737/$BA1738-1,"")</f>
        <v/>
      </c>
      <c r="DR1737" s="64">
        <f>$O1737-$O1738</f>
        <v/>
      </c>
      <c r="DS1737" s="64">
        <f>$P1737-$P1738</f>
        <v/>
      </c>
      <c r="DT1737" s="64">
        <f>$Q1737-$Q1738</f>
        <v/>
      </c>
      <c r="DU1737" s="64">
        <f>$S1737-$S1738</f>
        <v/>
      </c>
      <c r="DV1737" s="65">
        <f>IFERROR(AVERAGE($AA1738/$AA1737-1,$AB1738/$AB1737-1,$AC1738/$AC1737-1,$AD1738/$AD1737-1,$AE1738/$AE1737-1,$AG1738/$AG1737-1,$AH1738/$AH1737-1,$AI1738/$AI1737-1,$AJ1738/$AJ1737-1,$AL1738/$AL1737-1,$AM1738/$AM1737-1,$AR1738/$AR1737-1,$AS1738/$AS1737-1,$AT1738/$AT1737-1,$AU1738/$AU1737-1,$AV1738/$AV1737-1,$AW1738/$AW1737-1,$AX1738/$AX1737-1,$AY1738/$AY1737-1),"")</f>
        <v/>
      </c>
      <c r="DW1737" s="66">
        <f>AVERAGE($CB1737,$CC1737,$CD1737,$CE1737,$CF1737,$CG1737,$CH1737,$CI1737,$CJ1737,$CL1737,$CM1737,$CN1737,$CO1737,$CP1737,$CQ1737,$CR1737,$CS1737,$CT1737)</f>
        <v/>
      </c>
      <c r="DX1737" s="66">
        <f>AVERAGE($CB1737,$CC1737,$CM1737,$CE1737,$CP1737)</f>
        <v/>
      </c>
      <c r="DY1737" s="64">
        <f>($DW1737-$DW1738)*100</f>
        <v/>
      </c>
      <c r="DZ1737" s="64">
        <f>($DX1737-$DX1738)*100</f>
        <v/>
      </c>
      <c r="EA1737" s="64">
        <f>($DW1737-$D1737)*100</f>
        <v/>
      </c>
      <c r="EB1737" s="64">
        <f>$Q1737-$O1737</f>
        <v/>
      </c>
      <c r="EC1737" s="67">
        <f>IFERROR($Q1737/$P1737,"")</f>
        <v/>
      </c>
    </row>
    <row r="1738">
      <c r="DG1738" s="64">
        <f>($B1738-$B1739)*100</f>
        <v/>
      </c>
      <c r="DH1738" s="64">
        <f>($D1738-$D1739)*100</f>
        <v/>
      </c>
      <c r="DI1738" s="64">
        <f>($E1738-$E1739)*100</f>
        <v/>
      </c>
      <c r="DJ1738" s="64">
        <f>($H1738-$H1739)*100</f>
        <v/>
      </c>
      <c r="DK1738" s="65">
        <f>IFERROR($J1738/$J1739-1,"")</f>
        <v/>
      </c>
      <c r="DL1738" s="64">
        <f>$L1738-$L1739</f>
        <v/>
      </c>
      <c r="DM1738" s="64">
        <f>$K1738-$K1739</f>
        <v/>
      </c>
      <c r="DN1738" s="65">
        <f>IFERROR($N1738/$N1739-1,"")</f>
        <v/>
      </c>
      <c r="DO1738" s="65">
        <f>IFERROR($M1738/$M1739-1,"")</f>
        <v/>
      </c>
      <c r="DP1738" s="65">
        <f>IFERROR($AZ1738/$AZ1739-1,"")</f>
        <v/>
      </c>
      <c r="DQ1738" s="65">
        <f>IFERROR($BA1738/$BA1739-1,"")</f>
        <v/>
      </c>
      <c r="DR1738" s="64">
        <f>$O1738-$O1739</f>
        <v/>
      </c>
      <c r="DS1738" s="64">
        <f>$P1738-$P1739</f>
        <v/>
      </c>
      <c r="DT1738" s="64">
        <f>$Q1738-$Q1739</f>
        <v/>
      </c>
      <c r="DU1738" s="64">
        <f>$S1738-$S1739</f>
        <v/>
      </c>
      <c r="DV1738" s="65">
        <f>IFERROR(AVERAGE($AA1739/$AA1738-1,$AB1739/$AB1738-1,$AC1739/$AC1738-1,$AD1739/$AD1738-1,$AE1739/$AE1738-1,$AG1739/$AG1738-1,$AH1739/$AH1738-1,$AI1739/$AI1738-1,$AJ1739/$AJ1738-1,$AL1739/$AL1738-1,$AM1739/$AM1738-1,$AR1739/$AR1738-1,$AS1739/$AS1738-1,$AT1739/$AT1738-1,$AU1739/$AU1738-1,$AV1739/$AV1738-1,$AW1739/$AW1738-1,$AX1739/$AX1738-1,$AY1739/$AY1738-1),"")</f>
        <v/>
      </c>
      <c r="DW1738" s="66">
        <f>AVERAGE($CB1738,$CC1738,$CD1738,$CE1738,$CF1738,$CG1738,$CH1738,$CI1738,$CJ1738,$CL1738,$CM1738,$CN1738,$CO1738,$CP1738,$CQ1738,$CR1738,$CS1738,$CT1738)</f>
        <v/>
      </c>
      <c r="DX1738" s="66">
        <f>AVERAGE($CB1738,$CC1738,$CM1738,$CE1738,$CP1738)</f>
        <v/>
      </c>
      <c r="DY1738" s="64">
        <f>($DW1738-$DW1739)*100</f>
        <v/>
      </c>
      <c r="DZ1738" s="64">
        <f>($DX1738-$DX1739)*100</f>
        <v/>
      </c>
      <c r="EA1738" s="64">
        <f>($DW1738-$D1738)*100</f>
        <v/>
      </c>
      <c r="EB1738" s="64">
        <f>$Q1738-$O1738</f>
        <v/>
      </c>
      <c r="EC1738" s="67">
        <f>IFERROR($Q1738/$P1738,"")</f>
        <v/>
      </c>
    </row>
    <row r="1739">
      <c r="DG1739" s="64">
        <f>($B1739-$B1740)*100</f>
        <v/>
      </c>
      <c r="DH1739" s="64">
        <f>($D1739-$D1740)*100</f>
        <v/>
      </c>
      <c r="DI1739" s="64">
        <f>($E1739-$E1740)*100</f>
        <v/>
      </c>
      <c r="DJ1739" s="64">
        <f>($H1739-$H1740)*100</f>
        <v/>
      </c>
      <c r="DK1739" s="65">
        <f>IFERROR($J1739/$J1740-1,"")</f>
        <v/>
      </c>
      <c r="DL1739" s="64">
        <f>$L1739-$L1740</f>
        <v/>
      </c>
      <c r="DM1739" s="64">
        <f>$K1739-$K1740</f>
        <v/>
      </c>
      <c r="DN1739" s="65">
        <f>IFERROR($N1739/$N1740-1,"")</f>
        <v/>
      </c>
      <c r="DO1739" s="65">
        <f>IFERROR($M1739/$M1740-1,"")</f>
        <v/>
      </c>
      <c r="DP1739" s="65">
        <f>IFERROR($AZ1739/$AZ1740-1,"")</f>
        <v/>
      </c>
      <c r="DQ1739" s="65">
        <f>IFERROR($BA1739/$BA1740-1,"")</f>
        <v/>
      </c>
      <c r="DR1739" s="64">
        <f>$O1739-$O1740</f>
        <v/>
      </c>
      <c r="DS1739" s="64">
        <f>$P1739-$P1740</f>
        <v/>
      </c>
      <c r="DT1739" s="64">
        <f>$Q1739-$Q1740</f>
        <v/>
      </c>
      <c r="DU1739" s="64">
        <f>$S1739-$S1740</f>
        <v/>
      </c>
      <c r="DV1739" s="65">
        <f>IFERROR(AVERAGE($AA1740/$AA1739-1,$AB1740/$AB1739-1,$AC1740/$AC1739-1,$AD1740/$AD1739-1,$AE1740/$AE1739-1,$AG1740/$AG1739-1,$AH1740/$AH1739-1,$AI1740/$AI1739-1,$AJ1740/$AJ1739-1,$AL1740/$AL1739-1,$AM1740/$AM1739-1,$AR1740/$AR1739-1,$AS1740/$AS1739-1,$AT1740/$AT1739-1,$AU1740/$AU1739-1,$AV1740/$AV1739-1,$AW1740/$AW1739-1,$AX1740/$AX1739-1,$AY1740/$AY1739-1),"")</f>
        <v/>
      </c>
      <c r="DW1739" s="66">
        <f>AVERAGE($CB1739,$CC1739,$CD1739,$CE1739,$CF1739,$CG1739,$CH1739,$CI1739,$CJ1739,$CL1739,$CM1739,$CN1739,$CO1739,$CP1739,$CQ1739,$CR1739,$CS1739,$CT1739)</f>
        <v/>
      </c>
      <c r="DX1739" s="66">
        <f>AVERAGE($CB1739,$CC1739,$CM1739,$CE1739,$CP1739)</f>
        <v/>
      </c>
      <c r="DY1739" s="64">
        <f>($DW1739-$DW1740)*100</f>
        <v/>
      </c>
      <c r="DZ1739" s="64">
        <f>($DX1739-$DX1740)*100</f>
        <v/>
      </c>
      <c r="EA1739" s="64">
        <f>($DW1739-$D1739)*100</f>
        <v/>
      </c>
      <c r="EB1739" s="64">
        <f>$Q1739-$O1739</f>
        <v/>
      </c>
      <c r="EC1739" s="67">
        <f>IFERROR($Q1739/$P1739,"")</f>
        <v/>
      </c>
    </row>
    <row r="1740">
      <c r="DG1740" s="64">
        <f>($B1740-$B1741)*100</f>
        <v/>
      </c>
      <c r="DH1740" s="64">
        <f>($D1740-$D1741)*100</f>
        <v/>
      </c>
      <c r="DI1740" s="64">
        <f>($E1740-$E1741)*100</f>
        <v/>
      </c>
      <c r="DJ1740" s="64">
        <f>($H1740-$H1741)*100</f>
        <v/>
      </c>
      <c r="DK1740" s="65">
        <f>IFERROR($J1740/$J1741-1,"")</f>
        <v/>
      </c>
      <c r="DL1740" s="64">
        <f>$L1740-$L1741</f>
        <v/>
      </c>
      <c r="DM1740" s="64">
        <f>$K1740-$K1741</f>
        <v/>
      </c>
      <c r="DN1740" s="65">
        <f>IFERROR($N1740/$N1741-1,"")</f>
        <v/>
      </c>
      <c r="DO1740" s="65">
        <f>IFERROR($M1740/$M1741-1,"")</f>
        <v/>
      </c>
      <c r="DP1740" s="65">
        <f>IFERROR($AZ1740/$AZ1741-1,"")</f>
        <v/>
      </c>
      <c r="DQ1740" s="65">
        <f>IFERROR($BA1740/$BA1741-1,"")</f>
        <v/>
      </c>
      <c r="DR1740" s="64">
        <f>$O1740-$O1741</f>
        <v/>
      </c>
      <c r="DS1740" s="64">
        <f>$P1740-$P1741</f>
        <v/>
      </c>
      <c r="DT1740" s="64">
        <f>$Q1740-$Q1741</f>
        <v/>
      </c>
      <c r="DU1740" s="64">
        <f>$S1740-$S1741</f>
        <v/>
      </c>
      <c r="DV1740" s="65">
        <f>IFERROR(AVERAGE($AA1741/$AA1740-1,$AB1741/$AB1740-1,$AC1741/$AC1740-1,$AD1741/$AD1740-1,$AE1741/$AE1740-1,$AG1741/$AG1740-1,$AH1741/$AH1740-1,$AI1741/$AI1740-1,$AJ1741/$AJ1740-1,$AL1741/$AL1740-1,$AM1741/$AM1740-1,$AR1741/$AR1740-1,$AS1741/$AS1740-1,$AT1741/$AT1740-1,$AU1741/$AU1740-1,$AV1741/$AV1740-1,$AW1741/$AW1740-1,$AX1741/$AX1740-1,$AY1741/$AY1740-1),"")</f>
        <v/>
      </c>
      <c r="DW1740" s="66">
        <f>AVERAGE($CB1740,$CC1740,$CD1740,$CE1740,$CF1740,$CG1740,$CH1740,$CI1740,$CJ1740,$CL1740,$CM1740,$CN1740,$CO1740,$CP1740,$CQ1740,$CR1740,$CS1740,$CT1740)</f>
        <v/>
      </c>
      <c r="DX1740" s="66">
        <f>AVERAGE($CB1740,$CC1740,$CM1740,$CE1740,$CP1740)</f>
        <v/>
      </c>
      <c r="DY1740" s="64">
        <f>($DW1740-$DW1741)*100</f>
        <v/>
      </c>
      <c r="DZ1740" s="64">
        <f>($DX1740-$DX1741)*100</f>
        <v/>
      </c>
      <c r="EA1740" s="64">
        <f>($DW1740-$D1740)*100</f>
        <v/>
      </c>
      <c r="EB1740" s="64">
        <f>$Q1740-$O1740</f>
        <v/>
      </c>
      <c r="EC1740" s="67">
        <f>IFERROR($Q1740/$P1740,"")</f>
        <v/>
      </c>
    </row>
    <row r="1741">
      <c r="DG1741" s="64">
        <f>($B1741-$B1742)*100</f>
        <v/>
      </c>
      <c r="DH1741" s="64">
        <f>($D1741-$D1742)*100</f>
        <v/>
      </c>
      <c r="DI1741" s="64">
        <f>($E1741-$E1742)*100</f>
        <v/>
      </c>
      <c r="DJ1741" s="64">
        <f>($H1741-$H1742)*100</f>
        <v/>
      </c>
      <c r="DK1741" s="65">
        <f>IFERROR($J1741/$J1742-1,"")</f>
        <v/>
      </c>
      <c r="DL1741" s="64">
        <f>$L1741-$L1742</f>
        <v/>
      </c>
      <c r="DM1741" s="64">
        <f>$K1741-$K1742</f>
        <v/>
      </c>
      <c r="DN1741" s="65">
        <f>IFERROR($N1741/$N1742-1,"")</f>
        <v/>
      </c>
      <c r="DO1741" s="65">
        <f>IFERROR($M1741/$M1742-1,"")</f>
        <v/>
      </c>
      <c r="DP1741" s="65">
        <f>IFERROR($AZ1741/$AZ1742-1,"")</f>
        <v/>
      </c>
      <c r="DQ1741" s="65">
        <f>IFERROR($BA1741/$BA1742-1,"")</f>
        <v/>
      </c>
      <c r="DR1741" s="64">
        <f>$O1741-$O1742</f>
        <v/>
      </c>
      <c r="DS1741" s="64">
        <f>$P1741-$P1742</f>
        <v/>
      </c>
      <c r="DT1741" s="64">
        <f>$Q1741-$Q1742</f>
        <v/>
      </c>
      <c r="DU1741" s="64">
        <f>$S1741-$S1742</f>
        <v/>
      </c>
      <c r="DV1741" s="65">
        <f>IFERROR(AVERAGE($AA1742/$AA1741-1,$AB1742/$AB1741-1,$AC1742/$AC1741-1,$AD1742/$AD1741-1,$AE1742/$AE1741-1,$AG1742/$AG1741-1,$AH1742/$AH1741-1,$AI1742/$AI1741-1,$AJ1742/$AJ1741-1,$AL1742/$AL1741-1,$AM1742/$AM1741-1,$AR1742/$AR1741-1,$AS1742/$AS1741-1,$AT1742/$AT1741-1,$AU1742/$AU1741-1,$AV1742/$AV1741-1,$AW1742/$AW1741-1,$AX1742/$AX1741-1,$AY1742/$AY1741-1),"")</f>
        <v/>
      </c>
      <c r="DW1741" s="66">
        <f>AVERAGE($CB1741,$CC1741,$CD1741,$CE1741,$CF1741,$CG1741,$CH1741,$CI1741,$CJ1741,$CL1741,$CM1741,$CN1741,$CO1741,$CP1741,$CQ1741,$CR1741,$CS1741,$CT1741)</f>
        <v/>
      </c>
      <c r="DX1741" s="66">
        <f>AVERAGE($CB1741,$CC1741,$CM1741,$CE1741,$CP1741)</f>
        <v/>
      </c>
      <c r="DY1741" s="64">
        <f>($DW1741-$DW1742)*100</f>
        <v/>
      </c>
      <c r="DZ1741" s="64">
        <f>($DX1741-$DX1742)*100</f>
        <v/>
      </c>
      <c r="EA1741" s="64">
        <f>($DW1741-$D1741)*100</f>
        <v/>
      </c>
      <c r="EB1741" s="64">
        <f>$Q1741-$O1741</f>
        <v/>
      </c>
      <c r="EC1741" s="67">
        <f>IFERROR($Q1741/$P1741,"")</f>
        <v/>
      </c>
    </row>
    <row r="1742">
      <c r="DG1742" s="64">
        <f>($B1742-$B1743)*100</f>
        <v/>
      </c>
      <c r="DH1742" s="64">
        <f>($D1742-$D1743)*100</f>
        <v/>
      </c>
      <c r="DI1742" s="64">
        <f>($E1742-$E1743)*100</f>
        <v/>
      </c>
      <c r="DJ1742" s="64">
        <f>($H1742-$H1743)*100</f>
        <v/>
      </c>
      <c r="DK1742" s="65">
        <f>IFERROR($J1742/$J1743-1,"")</f>
        <v/>
      </c>
      <c r="DL1742" s="64">
        <f>$L1742-$L1743</f>
        <v/>
      </c>
      <c r="DM1742" s="64">
        <f>$K1742-$K1743</f>
        <v/>
      </c>
      <c r="DN1742" s="65">
        <f>IFERROR($N1742/$N1743-1,"")</f>
        <v/>
      </c>
      <c r="DO1742" s="65">
        <f>IFERROR($M1742/$M1743-1,"")</f>
        <v/>
      </c>
      <c r="DP1742" s="65">
        <f>IFERROR($AZ1742/$AZ1743-1,"")</f>
        <v/>
      </c>
      <c r="DQ1742" s="65">
        <f>IFERROR($BA1742/$BA1743-1,"")</f>
        <v/>
      </c>
      <c r="DR1742" s="64">
        <f>$O1742-$O1743</f>
        <v/>
      </c>
      <c r="DS1742" s="64">
        <f>$P1742-$P1743</f>
        <v/>
      </c>
      <c r="DT1742" s="64">
        <f>$Q1742-$Q1743</f>
        <v/>
      </c>
      <c r="DU1742" s="64">
        <f>$S1742-$S1743</f>
        <v/>
      </c>
      <c r="DV1742" s="65">
        <f>IFERROR(AVERAGE($AA1743/$AA1742-1,$AB1743/$AB1742-1,$AC1743/$AC1742-1,$AD1743/$AD1742-1,$AE1743/$AE1742-1,$AG1743/$AG1742-1,$AH1743/$AH1742-1,$AI1743/$AI1742-1,$AJ1743/$AJ1742-1,$AL1743/$AL1742-1,$AM1743/$AM1742-1,$AR1743/$AR1742-1,$AS1743/$AS1742-1,$AT1743/$AT1742-1,$AU1743/$AU1742-1,$AV1743/$AV1742-1,$AW1743/$AW1742-1,$AX1743/$AX1742-1,$AY1743/$AY1742-1),"")</f>
        <v/>
      </c>
      <c r="DW1742" s="66">
        <f>AVERAGE($CB1742,$CC1742,$CD1742,$CE1742,$CF1742,$CG1742,$CH1742,$CI1742,$CJ1742,$CL1742,$CM1742,$CN1742,$CO1742,$CP1742,$CQ1742,$CR1742,$CS1742,$CT1742)</f>
        <v/>
      </c>
      <c r="DX1742" s="66">
        <f>AVERAGE($CB1742,$CC1742,$CM1742,$CE1742,$CP1742)</f>
        <v/>
      </c>
      <c r="DY1742" s="64">
        <f>($DW1742-$DW1743)*100</f>
        <v/>
      </c>
      <c r="DZ1742" s="64">
        <f>($DX1742-$DX1743)*100</f>
        <v/>
      </c>
      <c r="EA1742" s="64">
        <f>($DW1742-$D1742)*100</f>
        <v/>
      </c>
      <c r="EB1742" s="64">
        <f>$Q1742-$O1742</f>
        <v/>
      </c>
      <c r="EC1742" s="67">
        <f>IFERROR($Q1742/$P1742,"")</f>
        <v/>
      </c>
    </row>
    <row r="1743">
      <c r="DG1743" s="64">
        <f>($B1743-$B1744)*100</f>
        <v/>
      </c>
      <c r="DH1743" s="64">
        <f>($D1743-$D1744)*100</f>
        <v/>
      </c>
      <c r="DI1743" s="64">
        <f>($E1743-$E1744)*100</f>
        <v/>
      </c>
      <c r="DJ1743" s="64">
        <f>($H1743-$H1744)*100</f>
        <v/>
      </c>
      <c r="DK1743" s="65">
        <f>IFERROR($J1743/$J1744-1,"")</f>
        <v/>
      </c>
      <c r="DL1743" s="64">
        <f>$L1743-$L1744</f>
        <v/>
      </c>
      <c r="DM1743" s="64">
        <f>$K1743-$K1744</f>
        <v/>
      </c>
      <c r="DN1743" s="65">
        <f>IFERROR($N1743/$N1744-1,"")</f>
        <v/>
      </c>
      <c r="DO1743" s="65">
        <f>IFERROR($M1743/$M1744-1,"")</f>
        <v/>
      </c>
      <c r="DP1743" s="65">
        <f>IFERROR($AZ1743/$AZ1744-1,"")</f>
        <v/>
      </c>
      <c r="DQ1743" s="65">
        <f>IFERROR($BA1743/$BA1744-1,"")</f>
        <v/>
      </c>
      <c r="DR1743" s="64">
        <f>$O1743-$O1744</f>
        <v/>
      </c>
      <c r="DS1743" s="64">
        <f>$P1743-$P1744</f>
        <v/>
      </c>
      <c r="DT1743" s="64">
        <f>$Q1743-$Q1744</f>
        <v/>
      </c>
      <c r="DU1743" s="64">
        <f>$S1743-$S1744</f>
        <v/>
      </c>
      <c r="DV1743" s="65">
        <f>IFERROR(AVERAGE($AA1744/$AA1743-1,$AB1744/$AB1743-1,$AC1744/$AC1743-1,$AD1744/$AD1743-1,$AE1744/$AE1743-1,$AG1744/$AG1743-1,$AH1744/$AH1743-1,$AI1744/$AI1743-1,$AJ1744/$AJ1743-1,$AL1744/$AL1743-1,$AM1744/$AM1743-1,$AR1744/$AR1743-1,$AS1744/$AS1743-1,$AT1744/$AT1743-1,$AU1744/$AU1743-1,$AV1744/$AV1743-1,$AW1744/$AW1743-1,$AX1744/$AX1743-1,$AY1744/$AY1743-1),"")</f>
        <v/>
      </c>
      <c r="DW1743" s="66">
        <f>AVERAGE($CB1743,$CC1743,$CD1743,$CE1743,$CF1743,$CG1743,$CH1743,$CI1743,$CJ1743,$CL1743,$CM1743,$CN1743,$CO1743,$CP1743,$CQ1743,$CR1743,$CS1743,$CT1743)</f>
        <v/>
      </c>
      <c r="DX1743" s="66">
        <f>AVERAGE($CB1743,$CC1743,$CM1743,$CE1743,$CP1743)</f>
        <v/>
      </c>
      <c r="DY1743" s="64">
        <f>($DW1743-$DW1744)*100</f>
        <v/>
      </c>
      <c r="DZ1743" s="64">
        <f>($DX1743-$DX1744)*100</f>
        <v/>
      </c>
      <c r="EA1743" s="64">
        <f>($DW1743-$D1743)*100</f>
        <v/>
      </c>
      <c r="EB1743" s="64">
        <f>$Q1743-$O1743</f>
        <v/>
      </c>
      <c r="EC1743" s="67">
        <f>IFERROR($Q1743/$P1743,"")</f>
        <v/>
      </c>
    </row>
    <row r="1744">
      <c r="DG1744" s="64">
        <f>($B1744-$B1745)*100</f>
        <v/>
      </c>
      <c r="DH1744" s="64">
        <f>($D1744-$D1745)*100</f>
        <v/>
      </c>
      <c r="DI1744" s="64">
        <f>($E1744-$E1745)*100</f>
        <v/>
      </c>
      <c r="DJ1744" s="64">
        <f>($H1744-$H1745)*100</f>
        <v/>
      </c>
      <c r="DK1744" s="65">
        <f>IFERROR($J1744/$J1745-1,"")</f>
        <v/>
      </c>
      <c r="DL1744" s="64">
        <f>$L1744-$L1745</f>
        <v/>
      </c>
      <c r="DM1744" s="64">
        <f>$K1744-$K1745</f>
        <v/>
      </c>
      <c r="DN1744" s="65">
        <f>IFERROR($N1744/$N1745-1,"")</f>
        <v/>
      </c>
      <c r="DO1744" s="65">
        <f>IFERROR($M1744/$M1745-1,"")</f>
        <v/>
      </c>
      <c r="DP1744" s="65">
        <f>IFERROR($AZ1744/$AZ1745-1,"")</f>
        <v/>
      </c>
      <c r="DQ1744" s="65">
        <f>IFERROR($BA1744/$BA1745-1,"")</f>
        <v/>
      </c>
      <c r="DR1744" s="64">
        <f>$O1744-$O1745</f>
        <v/>
      </c>
      <c r="DS1744" s="64">
        <f>$P1744-$P1745</f>
        <v/>
      </c>
      <c r="DT1744" s="64">
        <f>$Q1744-$Q1745</f>
        <v/>
      </c>
      <c r="DU1744" s="64">
        <f>$S1744-$S1745</f>
        <v/>
      </c>
      <c r="DV1744" s="65">
        <f>IFERROR(AVERAGE($AA1745/$AA1744-1,$AB1745/$AB1744-1,$AC1745/$AC1744-1,$AD1745/$AD1744-1,$AE1745/$AE1744-1,$AG1745/$AG1744-1,$AH1745/$AH1744-1,$AI1745/$AI1744-1,$AJ1745/$AJ1744-1,$AL1745/$AL1744-1,$AM1745/$AM1744-1,$AR1745/$AR1744-1,$AS1745/$AS1744-1,$AT1745/$AT1744-1,$AU1745/$AU1744-1,$AV1745/$AV1744-1,$AW1745/$AW1744-1,$AX1745/$AX1744-1,$AY1745/$AY1744-1),"")</f>
        <v/>
      </c>
      <c r="DW1744" s="66">
        <f>AVERAGE($CB1744,$CC1744,$CD1744,$CE1744,$CF1744,$CG1744,$CH1744,$CI1744,$CJ1744,$CL1744,$CM1744,$CN1744,$CO1744,$CP1744,$CQ1744,$CR1744,$CS1744,$CT1744)</f>
        <v/>
      </c>
      <c r="DX1744" s="66">
        <f>AVERAGE($CB1744,$CC1744,$CM1744,$CE1744,$CP1744)</f>
        <v/>
      </c>
      <c r="DY1744" s="64">
        <f>($DW1744-$DW1745)*100</f>
        <v/>
      </c>
      <c r="DZ1744" s="64">
        <f>($DX1744-$DX1745)*100</f>
        <v/>
      </c>
      <c r="EA1744" s="64">
        <f>($DW1744-$D1744)*100</f>
        <v/>
      </c>
      <c r="EB1744" s="64">
        <f>$Q1744-$O1744</f>
        <v/>
      </c>
      <c r="EC1744" s="67">
        <f>IFERROR($Q1744/$P1744,"")</f>
        <v/>
      </c>
    </row>
    <row r="1745">
      <c r="DG1745" s="64">
        <f>($B1745-$B1746)*100</f>
        <v/>
      </c>
      <c r="DH1745" s="64">
        <f>($D1745-$D1746)*100</f>
        <v/>
      </c>
      <c r="DI1745" s="64">
        <f>($E1745-$E1746)*100</f>
        <v/>
      </c>
      <c r="DJ1745" s="64">
        <f>($H1745-$H1746)*100</f>
        <v/>
      </c>
      <c r="DK1745" s="65">
        <f>IFERROR($J1745/$J1746-1,"")</f>
        <v/>
      </c>
      <c r="DL1745" s="64">
        <f>$L1745-$L1746</f>
        <v/>
      </c>
      <c r="DM1745" s="64">
        <f>$K1745-$K1746</f>
        <v/>
      </c>
      <c r="DN1745" s="65">
        <f>IFERROR($N1745/$N1746-1,"")</f>
        <v/>
      </c>
      <c r="DO1745" s="65">
        <f>IFERROR($M1745/$M1746-1,"")</f>
        <v/>
      </c>
      <c r="DP1745" s="65">
        <f>IFERROR($AZ1745/$AZ1746-1,"")</f>
        <v/>
      </c>
      <c r="DQ1745" s="65">
        <f>IFERROR($BA1745/$BA1746-1,"")</f>
        <v/>
      </c>
      <c r="DR1745" s="64">
        <f>$O1745-$O1746</f>
        <v/>
      </c>
      <c r="DS1745" s="64">
        <f>$P1745-$P1746</f>
        <v/>
      </c>
      <c r="DT1745" s="64">
        <f>$Q1745-$Q1746</f>
        <v/>
      </c>
      <c r="DU1745" s="64">
        <f>$S1745-$S1746</f>
        <v/>
      </c>
      <c r="DV1745" s="65">
        <f>IFERROR(AVERAGE($AA1746/$AA1745-1,$AB1746/$AB1745-1,$AC1746/$AC1745-1,$AD1746/$AD1745-1,$AE1746/$AE1745-1,$AG1746/$AG1745-1,$AH1746/$AH1745-1,$AI1746/$AI1745-1,$AJ1746/$AJ1745-1,$AL1746/$AL1745-1,$AM1746/$AM1745-1,$AR1746/$AR1745-1,$AS1746/$AS1745-1,$AT1746/$AT1745-1,$AU1746/$AU1745-1,$AV1746/$AV1745-1,$AW1746/$AW1745-1,$AX1746/$AX1745-1,$AY1746/$AY1745-1),"")</f>
        <v/>
      </c>
      <c r="DW1745" s="66">
        <f>AVERAGE($CB1745,$CC1745,$CD1745,$CE1745,$CF1745,$CG1745,$CH1745,$CI1745,$CJ1745,$CL1745,$CM1745,$CN1745,$CO1745,$CP1745,$CQ1745,$CR1745,$CS1745,$CT1745)</f>
        <v/>
      </c>
      <c r="DX1745" s="66">
        <f>AVERAGE($CB1745,$CC1745,$CM1745,$CE1745,$CP1745)</f>
        <v/>
      </c>
      <c r="DY1745" s="64">
        <f>($DW1745-$DW1746)*100</f>
        <v/>
      </c>
      <c r="DZ1745" s="64">
        <f>($DX1745-$DX1746)*100</f>
        <v/>
      </c>
      <c r="EA1745" s="64">
        <f>($DW1745-$D1745)*100</f>
        <v/>
      </c>
      <c r="EB1745" s="64">
        <f>$Q1745-$O1745</f>
        <v/>
      </c>
      <c r="EC1745" s="67">
        <f>IFERROR($Q1745/$P1745,"")</f>
        <v/>
      </c>
    </row>
    <row r="1746">
      <c r="DG1746" s="64">
        <f>($B1746-$B1747)*100</f>
        <v/>
      </c>
      <c r="DH1746" s="64">
        <f>($D1746-$D1747)*100</f>
        <v/>
      </c>
      <c r="DI1746" s="64">
        <f>($E1746-$E1747)*100</f>
        <v/>
      </c>
      <c r="DJ1746" s="64">
        <f>($H1746-$H1747)*100</f>
        <v/>
      </c>
      <c r="DK1746" s="65">
        <f>IFERROR($J1746/$J1747-1,"")</f>
        <v/>
      </c>
      <c r="DL1746" s="64">
        <f>$L1746-$L1747</f>
        <v/>
      </c>
      <c r="DM1746" s="64">
        <f>$K1746-$K1747</f>
        <v/>
      </c>
      <c r="DN1746" s="65">
        <f>IFERROR($N1746/$N1747-1,"")</f>
        <v/>
      </c>
      <c r="DO1746" s="65">
        <f>IFERROR($M1746/$M1747-1,"")</f>
        <v/>
      </c>
      <c r="DP1746" s="65">
        <f>IFERROR($AZ1746/$AZ1747-1,"")</f>
        <v/>
      </c>
      <c r="DQ1746" s="65">
        <f>IFERROR($BA1746/$BA1747-1,"")</f>
        <v/>
      </c>
      <c r="DR1746" s="64">
        <f>$O1746-$O1747</f>
        <v/>
      </c>
      <c r="DS1746" s="64">
        <f>$P1746-$P1747</f>
        <v/>
      </c>
      <c r="DT1746" s="64">
        <f>$Q1746-$Q1747</f>
        <v/>
      </c>
      <c r="DU1746" s="64">
        <f>$S1746-$S1747</f>
        <v/>
      </c>
      <c r="DV1746" s="65">
        <f>IFERROR(AVERAGE($AA1747/$AA1746-1,$AB1747/$AB1746-1,$AC1747/$AC1746-1,$AD1747/$AD1746-1,$AE1747/$AE1746-1,$AG1747/$AG1746-1,$AH1747/$AH1746-1,$AI1747/$AI1746-1,$AJ1747/$AJ1746-1,$AL1747/$AL1746-1,$AM1747/$AM1746-1,$AR1747/$AR1746-1,$AS1747/$AS1746-1,$AT1747/$AT1746-1,$AU1747/$AU1746-1,$AV1747/$AV1746-1,$AW1747/$AW1746-1,$AX1747/$AX1746-1,$AY1747/$AY1746-1),"")</f>
        <v/>
      </c>
      <c r="DW1746" s="66">
        <f>AVERAGE($CB1746,$CC1746,$CD1746,$CE1746,$CF1746,$CG1746,$CH1746,$CI1746,$CJ1746,$CL1746,$CM1746,$CN1746,$CO1746,$CP1746,$CQ1746,$CR1746,$CS1746,$CT1746)</f>
        <v/>
      </c>
      <c r="DX1746" s="66">
        <f>AVERAGE($CB1746,$CC1746,$CM1746,$CE1746,$CP1746)</f>
        <v/>
      </c>
      <c r="DY1746" s="64">
        <f>($DW1746-$DW1747)*100</f>
        <v/>
      </c>
      <c r="DZ1746" s="64">
        <f>($DX1746-$DX1747)*100</f>
        <v/>
      </c>
      <c r="EA1746" s="64">
        <f>($DW1746-$D1746)*100</f>
        <v/>
      </c>
      <c r="EB1746" s="64">
        <f>$Q1746-$O1746</f>
        <v/>
      </c>
      <c r="EC1746" s="67">
        <f>IFERROR($Q1746/$P1746,"")</f>
        <v/>
      </c>
    </row>
    <row r="1747">
      <c r="DG1747" s="64">
        <f>($B1747-$B1748)*100</f>
        <v/>
      </c>
      <c r="DH1747" s="64">
        <f>($D1747-$D1748)*100</f>
        <v/>
      </c>
      <c r="DI1747" s="64">
        <f>($E1747-$E1748)*100</f>
        <v/>
      </c>
      <c r="DJ1747" s="64">
        <f>($H1747-$H1748)*100</f>
        <v/>
      </c>
      <c r="DK1747" s="65">
        <f>IFERROR($J1747/$J1748-1,"")</f>
        <v/>
      </c>
      <c r="DL1747" s="64">
        <f>$L1747-$L1748</f>
        <v/>
      </c>
      <c r="DM1747" s="64">
        <f>$K1747-$K1748</f>
        <v/>
      </c>
      <c r="DN1747" s="65">
        <f>IFERROR($N1747/$N1748-1,"")</f>
        <v/>
      </c>
      <c r="DO1747" s="65">
        <f>IFERROR($M1747/$M1748-1,"")</f>
        <v/>
      </c>
      <c r="DP1747" s="65">
        <f>IFERROR($AZ1747/$AZ1748-1,"")</f>
        <v/>
      </c>
      <c r="DQ1747" s="65">
        <f>IFERROR($BA1747/$BA1748-1,"")</f>
        <v/>
      </c>
      <c r="DR1747" s="64">
        <f>$O1747-$O1748</f>
        <v/>
      </c>
      <c r="DS1747" s="64">
        <f>$P1747-$P1748</f>
        <v/>
      </c>
      <c r="DT1747" s="64">
        <f>$Q1747-$Q1748</f>
        <v/>
      </c>
      <c r="DU1747" s="64">
        <f>$S1747-$S1748</f>
        <v/>
      </c>
      <c r="DV1747" s="65">
        <f>IFERROR(AVERAGE($AA1748/$AA1747-1,$AB1748/$AB1747-1,$AC1748/$AC1747-1,$AD1748/$AD1747-1,$AE1748/$AE1747-1,$AG1748/$AG1747-1,$AH1748/$AH1747-1,$AI1748/$AI1747-1,$AJ1748/$AJ1747-1,$AL1748/$AL1747-1,$AM1748/$AM1747-1,$AR1748/$AR1747-1,$AS1748/$AS1747-1,$AT1748/$AT1747-1,$AU1748/$AU1747-1,$AV1748/$AV1747-1,$AW1748/$AW1747-1,$AX1748/$AX1747-1,$AY1748/$AY1747-1),"")</f>
        <v/>
      </c>
      <c r="DW1747" s="66">
        <f>AVERAGE($CB1747,$CC1747,$CD1747,$CE1747,$CF1747,$CG1747,$CH1747,$CI1747,$CJ1747,$CL1747,$CM1747,$CN1747,$CO1747,$CP1747,$CQ1747,$CR1747,$CS1747,$CT1747)</f>
        <v/>
      </c>
      <c r="DX1747" s="66">
        <f>AVERAGE($CB1747,$CC1747,$CM1747,$CE1747,$CP1747)</f>
        <v/>
      </c>
      <c r="DY1747" s="64">
        <f>($DW1747-$DW1748)*100</f>
        <v/>
      </c>
      <c r="DZ1747" s="64">
        <f>($DX1747-$DX1748)*100</f>
        <v/>
      </c>
      <c r="EA1747" s="64">
        <f>($DW1747-$D1747)*100</f>
        <v/>
      </c>
      <c r="EB1747" s="64">
        <f>$Q1747-$O1747</f>
        <v/>
      </c>
      <c r="EC1747" s="67">
        <f>IFERROR($Q1747/$P1747,"")</f>
        <v/>
      </c>
    </row>
    <row r="1748">
      <c r="DG1748" s="64">
        <f>($B1748-$B1749)*100</f>
        <v/>
      </c>
      <c r="DH1748" s="64">
        <f>($D1748-$D1749)*100</f>
        <v/>
      </c>
      <c r="DI1748" s="64">
        <f>($E1748-$E1749)*100</f>
        <v/>
      </c>
      <c r="DJ1748" s="64">
        <f>($H1748-$H1749)*100</f>
        <v/>
      </c>
      <c r="DK1748" s="65">
        <f>IFERROR($J1748/$J1749-1,"")</f>
        <v/>
      </c>
      <c r="DL1748" s="64">
        <f>$L1748-$L1749</f>
        <v/>
      </c>
      <c r="DM1748" s="64">
        <f>$K1748-$K1749</f>
        <v/>
      </c>
      <c r="DN1748" s="65">
        <f>IFERROR($N1748/$N1749-1,"")</f>
        <v/>
      </c>
      <c r="DO1748" s="65">
        <f>IFERROR($M1748/$M1749-1,"")</f>
        <v/>
      </c>
      <c r="DP1748" s="65">
        <f>IFERROR($AZ1748/$AZ1749-1,"")</f>
        <v/>
      </c>
      <c r="DQ1748" s="65">
        <f>IFERROR($BA1748/$BA1749-1,"")</f>
        <v/>
      </c>
      <c r="DR1748" s="64">
        <f>$O1748-$O1749</f>
        <v/>
      </c>
      <c r="DS1748" s="64">
        <f>$P1748-$P1749</f>
        <v/>
      </c>
      <c r="DT1748" s="64">
        <f>$Q1748-$Q1749</f>
        <v/>
      </c>
      <c r="DU1748" s="64">
        <f>$S1748-$S1749</f>
        <v/>
      </c>
      <c r="DV1748" s="65">
        <f>IFERROR(AVERAGE($AA1749/$AA1748-1,$AB1749/$AB1748-1,$AC1749/$AC1748-1,$AD1749/$AD1748-1,$AE1749/$AE1748-1,$AG1749/$AG1748-1,$AH1749/$AH1748-1,$AI1749/$AI1748-1,$AJ1749/$AJ1748-1,$AL1749/$AL1748-1,$AM1749/$AM1748-1,$AR1749/$AR1748-1,$AS1749/$AS1748-1,$AT1749/$AT1748-1,$AU1749/$AU1748-1,$AV1749/$AV1748-1,$AW1749/$AW1748-1,$AX1749/$AX1748-1,$AY1749/$AY1748-1),"")</f>
        <v/>
      </c>
      <c r="DW1748" s="66">
        <f>AVERAGE($CB1748,$CC1748,$CD1748,$CE1748,$CF1748,$CG1748,$CH1748,$CI1748,$CJ1748,$CL1748,$CM1748,$CN1748,$CO1748,$CP1748,$CQ1748,$CR1748,$CS1748,$CT1748)</f>
        <v/>
      </c>
      <c r="DX1748" s="66">
        <f>AVERAGE($CB1748,$CC1748,$CM1748,$CE1748,$CP1748)</f>
        <v/>
      </c>
      <c r="DY1748" s="64">
        <f>($DW1748-$DW1749)*100</f>
        <v/>
      </c>
      <c r="DZ1748" s="64">
        <f>($DX1748-$DX1749)*100</f>
        <v/>
      </c>
      <c r="EA1748" s="64">
        <f>($DW1748-$D1748)*100</f>
        <v/>
      </c>
      <c r="EB1748" s="64">
        <f>$Q1748-$O1748</f>
        <v/>
      </c>
      <c r="EC1748" s="67">
        <f>IFERROR($Q1748/$P1748,"")</f>
        <v/>
      </c>
    </row>
    <row r="1749">
      <c r="DG1749" s="64">
        <f>($B1749-$B1750)*100</f>
        <v/>
      </c>
      <c r="DH1749" s="64">
        <f>($D1749-$D1750)*100</f>
        <v/>
      </c>
      <c r="DI1749" s="64">
        <f>($E1749-$E1750)*100</f>
        <v/>
      </c>
      <c r="DJ1749" s="64">
        <f>($H1749-$H1750)*100</f>
        <v/>
      </c>
      <c r="DK1749" s="65">
        <f>IFERROR($J1749/$J1750-1,"")</f>
        <v/>
      </c>
      <c r="DL1749" s="64">
        <f>$L1749-$L1750</f>
        <v/>
      </c>
      <c r="DM1749" s="64">
        <f>$K1749-$K1750</f>
        <v/>
      </c>
      <c r="DN1749" s="65">
        <f>IFERROR($N1749/$N1750-1,"")</f>
        <v/>
      </c>
      <c r="DO1749" s="65">
        <f>IFERROR($M1749/$M1750-1,"")</f>
        <v/>
      </c>
      <c r="DP1749" s="65">
        <f>IFERROR($AZ1749/$AZ1750-1,"")</f>
        <v/>
      </c>
      <c r="DQ1749" s="65">
        <f>IFERROR($BA1749/$BA1750-1,"")</f>
        <v/>
      </c>
      <c r="DR1749" s="64">
        <f>$O1749-$O1750</f>
        <v/>
      </c>
      <c r="DS1749" s="64">
        <f>$P1749-$P1750</f>
        <v/>
      </c>
      <c r="DT1749" s="64">
        <f>$Q1749-$Q1750</f>
        <v/>
      </c>
      <c r="DU1749" s="64">
        <f>$S1749-$S1750</f>
        <v/>
      </c>
      <c r="DV1749" s="65">
        <f>IFERROR(AVERAGE($AA1750/$AA1749-1,$AB1750/$AB1749-1,$AC1750/$AC1749-1,$AD1750/$AD1749-1,$AE1750/$AE1749-1,$AG1750/$AG1749-1,$AH1750/$AH1749-1,$AI1750/$AI1749-1,$AJ1750/$AJ1749-1,$AL1750/$AL1749-1,$AM1750/$AM1749-1,$AR1750/$AR1749-1,$AS1750/$AS1749-1,$AT1750/$AT1749-1,$AU1750/$AU1749-1,$AV1750/$AV1749-1,$AW1750/$AW1749-1,$AX1750/$AX1749-1,$AY1750/$AY1749-1),"")</f>
        <v/>
      </c>
      <c r="DW1749" s="66">
        <f>AVERAGE($CB1749,$CC1749,$CD1749,$CE1749,$CF1749,$CG1749,$CH1749,$CI1749,$CJ1749,$CL1749,$CM1749,$CN1749,$CO1749,$CP1749,$CQ1749,$CR1749,$CS1749,$CT1749)</f>
        <v/>
      </c>
      <c r="DX1749" s="66">
        <f>AVERAGE($CB1749,$CC1749,$CM1749,$CE1749,$CP1749)</f>
        <v/>
      </c>
      <c r="DY1749" s="64">
        <f>($DW1749-$DW1750)*100</f>
        <v/>
      </c>
      <c r="DZ1749" s="64">
        <f>($DX1749-$DX1750)*100</f>
        <v/>
      </c>
      <c r="EA1749" s="64">
        <f>($DW1749-$D1749)*100</f>
        <v/>
      </c>
      <c r="EB1749" s="64">
        <f>$Q1749-$O1749</f>
        <v/>
      </c>
      <c r="EC1749" s="67">
        <f>IFERROR($Q1749/$P1749,"")</f>
        <v/>
      </c>
    </row>
    <row r="1750">
      <c r="DG1750" s="64">
        <f>($B1750-$B1751)*100</f>
        <v/>
      </c>
      <c r="DH1750" s="64">
        <f>($D1750-$D1751)*100</f>
        <v/>
      </c>
      <c r="DI1750" s="64">
        <f>($E1750-$E1751)*100</f>
        <v/>
      </c>
      <c r="DJ1750" s="64">
        <f>($H1750-$H1751)*100</f>
        <v/>
      </c>
      <c r="DK1750" s="65">
        <f>IFERROR($J1750/$J1751-1,"")</f>
        <v/>
      </c>
      <c r="DL1750" s="64">
        <f>$L1750-$L1751</f>
        <v/>
      </c>
      <c r="DM1750" s="64">
        <f>$K1750-$K1751</f>
        <v/>
      </c>
      <c r="DN1750" s="65">
        <f>IFERROR($N1750/$N1751-1,"")</f>
        <v/>
      </c>
      <c r="DO1750" s="65">
        <f>IFERROR($M1750/$M1751-1,"")</f>
        <v/>
      </c>
      <c r="DP1750" s="65">
        <f>IFERROR($AZ1750/$AZ1751-1,"")</f>
        <v/>
      </c>
      <c r="DQ1750" s="65">
        <f>IFERROR($BA1750/$BA1751-1,"")</f>
        <v/>
      </c>
      <c r="DR1750" s="64">
        <f>$O1750-$O1751</f>
        <v/>
      </c>
      <c r="DS1750" s="64">
        <f>$P1750-$P1751</f>
        <v/>
      </c>
      <c r="DT1750" s="64">
        <f>$Q1750-$Q1751</f>
        <v/>
      </c>
      <c r="DU1750" s="64">
        <f>$S1750-$S1751</f>
        <v/>
      </c>
      <c r="DV1750" s="65">
        <f>IFERROR(AVERAGE($AA1751/$AA1750-1,$AB1751/$AB1750-1,$AC1751/$AC1750-1,$AD1751/$AD1750-1,$AE1751/$AE1750-1,$AG1751/$AG1750-1,$AH1751/$AH1750-1,$AI1751/$AI1750-1,$AJ1751/$AJ1750-1,$AL1751/$AL1750-1,$AM1751/$AM1750-1,$AR1751/$AR1750-1,$AS1751/$AS1750-1,$AT1751/$AT1750-1,$AU1751/$AU1750-1,$AV1751/$AV1750-1,$AW1751/$AW1750-1,$AX1751/$AX1750-1,$AY1751/$AY1750-1),"")</f>
        <v/>
      </c>
      <c r="DW1750" s="66">
        <f>AVERAGE($CB1750,$CC1750,$CD1750,$CE1750,$CF1750,$CG1750,$CH1750,$CI1750,$CJ1750,$CL1750,$CM1750,$CN1750,$CO1750,$CP1750,$CQ1750,$CR1750,$CS1750,$CT1750)</f>
        <v/>
      </c>
      <c r="DX1750" s="66">
        <f>AVERAGE($CB1750,$CC1750,$CM1750,$CE1750,$CP1750)</f>
        <v/>
      </c>
      <c r="DY1750" s="64">
        <f>($DW1750-$DW1751)*100</f>
        <v/>
      </c>
      <c r="DZ1750" s="64">
        <f>($DX1750-$DX1751)*100</f>
        <v/>
      </c>
      <c r="EA1750" s="64">
        <f>($DW1750-$D1750)*100</f>
        <v/>
      </c>
      <c r="EB1750" s="64">
        <f>$Q1750-$O1750</f>
        <v/>
      </c>
      <c r="EC1750" s="67">
        <f>IFERROR($Q1750/$P1750,"")</f>
        <v/>
      </c>
    </row>
    <row r="1751">
      <c r="DG1751" s="64">
        <f>($B1751-$B1752)*100</f>
        <v/>
      </c>
      <c r="DH1751" s="64">
        <f>($D1751-$D1752)*100</f>
        <v/>
      </c>
      <c r="DI1751" s="64">
        <f>($E1751-$E1752)*100</f>
        <v/>
      </c>
      <c r="DJ1751" s="64">
        <f>($H1751-$H1752)*100</f>
        <v/>
      </c>
      <c r="DK1751" s="65">
        <f>IFERROR($J1751/$J1752-1,"")</f>
        <v/>
      </c>
      <c r="DL1751" s="64">
        <f>$L1751-$L1752</f>
        <v/>
      </c>
      <c r="DM1751" s="64">
        <f>$K1751-$K1752</f>
        <v/>
      </c>
      <c r="DN1751" s="65">
        <f>IFERROR($N1751/$N1752-1,"")</f>
        <v/>
      </c>
      <c r="DO1751" s="65">
        <f>IFERROR($M1751/$M1752-1,"")</f>
        <v/>
      </c>
      <c r="DP1751" s="65">
        <f>IFERROR($AZ1751/$AZ1752-1,"")</f>
        <v/>
      </c>
      <c r="DQ1751" s="65">
        <f>IFERROR($BA1751/$BA1752-1,"")</f>
        <v/>
      </c>
      <c r="DR1751" s="64">
        <f>$O1751-$O1752</f>
        <v/>
      </c>
      <c r="DS1751" s="64">
        <f>$P1751-$P1752</f>
        <v/>
      </c>
      <c r="DT1751" s="64">
        <f>$Q1751-$Q1752</f>
        <v/>
      </c>
      <c r="DU1751" s="64">
        <f>$S1751-$S1752</f>
        <v/>
      </c>
      <c r="DV1751" s="65">
        <f>IFERROR(AVERAGE($AA1752/$AA1751-1,$AB1752/$AB1751-1,$AC1752/$AC1751-1,$AD1752/$AD1751-1,$AE1752/$AE1751-1,$AG1752/$AG1751-1,$AH1752/$AH1751-1,$AI1752/$AI1751-1,$AJ1752/$AJ1751-1,$AL1752/$AL1751-1,$AM1752/$AM1751-1,$AR1752/$AR1751-1,$AS1752/$AS1751-1,$AT1752/$AT1751-1,$AU1752/$AU1751-1,$AV1752/$AV1751-1,$AW1752/$AW1751-1,$AX1752/$AX1751-1,$AY1752/$AY1751-1),"")</f>
        <v/>
      </c>
      <c r="DW1751" s="66">
        <f>AVERAGE($CB1751,$CC1751,$CD1751,$CE1751,$CF1751,$CG1751,$CH1751,$CI1751,$CJ1751,$CL1751,$CM1751,$CN1751,$CO1751,$CP1751,$CQ1751,$CR1751,$CS1751,$CT1751)</f>
        <v/>
      </c>
      <c r="DX1751" s="66">
        <f>AVERAGE($CB1751,$CC1751,$CM1751,$CE1751,$CP1751)</f>
        <v/>
      </c>
      <c r="DY1751" s="64">
        <f>($DW1751-$DW1752)*100</f>
        <v/>
      </c>
      <c r="DZ1751" s="64">
        <f>($DX1751-$DX1752)*100</f>
        <v/>
      </c>
      <c r="EA1751" s="64">
        <f>($DW1751-$D1751)*100</f>
        <v/>
      </c>
      <c r="EB1751" s="64">
        <f>$Q1751-$O1751</f>
        <v/>
      </c>
      <c r="EC1751" s="67">
        <f>IFERROR($Q1751/$P1751,"")</f>
        <v/>
      </c>
    </row>
    <row r="1752">
      <c r="DG1752" s="64">
        <f>($B1752-$B1753)*100</f>
        <v/>
      </c>
      <c r="DH1752" s="64">
        <f>($D1752-$D1753)*100</f>
        <v/>
      </c>
      <c r="DI1752" s="64">
        <f>($E1752-$E1753)*100</f>
        <v/>
      </c>
      <c r="DJ1752" s="64">
        <f>($H1752-$H1753)*100</f>
        <v/>
      </c>
      <c r="DK1752" s="65">
        <f>IFERROR($J1752/$J1753-1,"")</f>
        <v/>
      </c>
      <c r="DL1752" s="64">
        <f>$L1752-$L1753</f>
        <v/>
      </c>
      <c r="DM1752" s="64">
        <f>$K1752-$K1753</f>
        <v/>
      </c>
      <c r="DN1752" s="65">
        <f>IFERROR($N1752/$N1753-1,"")</f>
        <v/>
      </c>
      <c r="DO1752" s="65">
        <f>IFERROR($M1752/$M1753-1,"")</f>
        <v/>
      </c>
      <c r="DP1752" s="65">
        <f>IFERROR($AZ1752/$AZ1753-1,"")</f>
        <v/>
      </c>
      <c r="DQ1752" s="65">
        <f>IFERROR($BA1752/$BA1753-1,"")</f>
        <v/>
      </c>
      <c r="DR1752" s="64">
        <f>$O1752-$O1753</f>
        <v/>
      </c>
      <c r="DS1752" s="64">
        <f>$P1752-$P1753</f>
        <v/>
      </c>
      <c r="DT1752" s="64">
        <f>$Q1752-$Q1753</f>
        <v/>
      </c>
      <c r="DU1752" s="64">
        <f>$S1752-$S1753</f>
        <v/>
      </c>
      <c r="DV1752" s="65">
        <f>IFERROR(AVERAGE($AA1753/$AA1752-1,$AB1753/$AB1752-1,$AC1753/$AC1752-1,$AD1753/$AD1752-1,$AE1753/$AE1752-1,$AG1753/$AG1752-1,$AH1753/$AH1752-1,$AI1753/$AI1752-1,$AJ1753/$AJ1752-1,$AL1753/$AL1752-1,$AM1753/$AM1752-1,$AR1753/$AR1752-1,$AS1753/$AS1752-1,$AT1753/$AT1752-1,$AU1753/$AU1752-1,$AV1753/$AV1752-1,$AW1753/$AW1752-1,$AX1753/$AX1752-1,$AY1753/$AY1752-1),"")</f>
        <v/>
      </c>
      <c r="DW1752" s="66">
        <f>AVERAGE($CB1752,$CC1752,$CD1752,$CE1752,$CF1752,$CG1752,$CH1752,$CI1752,$CJ1752,$CL1752,$CM1752,$CN1752,$CO1752,$CP1752,$CQ1752,$CR1752,$CS1752,$CT1752)</f>
        <v/>
      </c>
      <c r="DX1752" s="66">
        <f>AVERAGE($CB1752,$CC1752,$CM1752,$CE1752,$CP1752)</f>
        <v/>
      </c>
      <c r="DY1752" s="64">
        <f>($DW1752-$DW1753)*100</f>
        <v/>
      </c>
      <c r="DZ1752" s="64">
        <f>($DX1752-$DX1753)*100</f>
        <v/>
      </c>
      <c r="EA1752" s="64">
        <f>($DW1752-$D1752)*100</f>
        <v/>
      </c>
      <c r="EB1752" s="64">
        <f>$Q1752-$O1752</f>
        <v/>
      </c>
      <c r="EC1752" s="67">
        <f>IFERROR($Q1752/$P1752,"")</f>
        <v/>
      </c>
    </row>
    <row r="1753">
      <c r="DG1753" s="64">
        <f>($B1753-$B1754)*100</f>
        <v/>
      </c>
      <c r="DH1753" s="64">
        <f>($D1753-$D1754)*100</f>
        <v/>
      </c>
      <c r="DI1753" s="64">
        <f>($E1753-$E1754)*100</f>
        <v/>
      </c>
      <c r="DJ1753" s="64">
        <f>($H1753-$H1754)*100</f>
        <v/>
      </c>
      <c r="DK1753" s="65">
        <f>IFERROR($J1753/$J1754-1,"")</f>
        <v/>
      </c>
      <c r="DL1753" s="64">
        <f>$L1753-$L1754</f>
        <v/>
      </c>
      <c r="DM1753" s="64">
        <f>$K1753-$K1754</f>
        <v/>
      </c>
      <c r="DN1753" s="65">
        <f>IFERROR($N1753/$N1754-1,"")</f>
        <v/>
      </c>
      <c r="DO1753" s="65">
        <f>IFERROR($M1753/$M1754-1,"")</f>
        <v/>
      </c>
      <c r="DP1753" s="65">
        <f>IFERROR($AZ1753/$AZ1754-1,"")</f>
        <v/>
      </c>
      <c r="DQ1753" s="65">
        <f>IFERROR($BA1753/$BA1754-1,"")</f>
        <v/>
      </c>
      <c r="DR1753" s="64">
        <f>$O1753-$O1754</f>
        <v/>
      </c>
      <c r="DS1753" s="64">
        <f>$P1753-$P1754</f>
        <v/>
      </c>
      <c r="DT1753" s="64">
        <f>$Q1753-$Q1754</f>
        <v/>
      </c>
      <c r="DU1753" s="64">
        <f>$S1753-$S1754</f>
        <v/>
      </c>
      <c r="DV1753" s="65">
        <f>IFERROR(AVERAGE($AA1754/$AA1753-1,$AB1754/$AB1753-1,$AC1754/$AC1753-1,$AD1754/$AD1753-1,$AE1754/$AE1753-1,$AG1754/$AG1753-1,$AH1754/$AH1753-1,$AI1754/$AI1753-1,$AJ1754/$AJ1753-1,$AL1754/$AL1753-1,$AM1754/$AM1753-1,$AR1754/$AR1753-1,$AS1754/$AS1753-1,$AT1754/$AT1753-1,$AU1754/$AU1753-1,$AV1754/$AV1753-1,$AW1754/$AW1753-1,$AX1754/$AX1753-1,$AY1754/$AY1753-1),"")</f>
        <v/>
      </c>
      <c r="DW1753" s="66">
        <f>AVERAGE($CB1753,$CC1753,$CD1753,$CE1753,$CF1753,$CG1753,$CH1753,$CI1753,$CJ1753,$CL1753,$CM1753,$CN1753,$CO1753,$CP1753,$CQ1753,$CR1753,$CS1753,$CT1753)</f>
        <v/>
      </c>
      <c r="DX1753" s="66">
        <f>AVERAGE($CB1753,$CC1753,$CM1753,$CE1753,$CP1753)</f>
        <v/>
      </c>
      <c r="DY1753" s="64">
        <f>($DW1753-$DW1754)*100</f>
        <v/>
      </c>
      <c r="DZ1753" s="64">
        <f>($DX1753-$DX1754)*100</f>
        <v/>
      </c>
      <c r="EA1753" s="64">
        <f>($DW1753-$D1753)*100</f>
        <v/>
      </c>
      <c r="EB1753" s="64">
        <f>$Q1753-$O1753</f>
        <v/>
      </c>
      <c r="EC1753" s="67">
        <f>IFERROR($Q1753/$P1753,"")</f>
        <v/>
      </c>
    </row>
    <row r="1754">
      <c r="DG1754" s="64">
        <f>($B1754-$B1755)*100</f>
        <v/>
      </c>
      <c r="DH1754" s="64">
        <f>($D1754-$D1755)*100</f>
        <v/>
      </c>
      <c r="DI1754" s="64">
        <f>($E1754-$E1755)*100</f>
        <v/>
      </c>
      <c r="DJ1754" s="64">
        <f>($H1754-$H1755)*100</f>
        <v/>
      </c>
      <c r="DK1754" s="65">
        <f>IFERROR($J1754/$J1755-1,"")</f>
        <v/>
      </c>
      <c r="DL1754" s="64">
        <f>$L1754-$L1755</f>
        <v/>
      </c>
      <c r="DM1754" s="64">
        <f>$K1754-$K1755</f>
        <v/>
      </c>
      <c r="DN1754" s="65">
        <f>IFERROR($N1754/$N1755-1,"")</f>
        <v/>
      </c>
      <c r="DO1754" s="65">
        <f>IFERROR($M1754/$M1755-1,"")</f>
        <v/>
      </c>
      <c r="DP1754" s="65">
        <f>IFERROR($AZ1754/$AZ1755-1,"")</f>
        <v/>
      </c>
      <c r="DQ1754" s="65">
        <f>IFERROR($BA1754/$BA1755-1,"")</f>
        <v/>
      </c>
      <c r="DR1754" s="64">
        <f>$O1754-$O1755</f>
        <v/>
      </c>
      <c r="DS1754" s="64">
        <f>$P1754-$P1755</f>
        <v/>
      </c>
      <c r="DT1754" s="64">
        <f>$Q1754-$Q1755</f>
        <v/>
      </c>
      <c r="DU1754" s="64">
        <f>$S1754-$S1755</f>
        <v/>
      </c>
      <c r="DV1754" s="65">
        <f>IFERROR(AVERAGE($AA1755/$AA1754-1,$AB1755/$AB1754-1,$AC1755/$AC1754-1,$AD1755/$AD1754-1,$AE1755/$AE1754-1,$AG1755/$AG1754-1,$AH1755/$AH1754-1,$AI1755/$AI1754-1,$AJ1755/$AJ1754-1,$AL1755/$AL1754-1,$AM1755/$AM1754-1,$AR1755/$AR1754-1,$AS1755/$AS1754-1,$AT1755/$AT1754-1,$AU1755/$AU1754-1,$AV1755/$AV1754-1,$AW1755/$AW1754-1,$AX1755/$AX1754-1,$AY1755/$AY1754-1),"")</f>
        <v/>
      </c>
      <c r="DW1754" s="66">
        <f>AVERAGE($CB1754,$CC1754,$CD1754,$CE1754,$CF1754,$CG1754,$CH1754,$CI1754,$CJ1754,$CL1754,$CM1754,$CN1754,$CO1754,$CP1754,$CQ1754,$CR1754,$CS1754,$CT1754)</f>
        <v/>
      </c>
      <c r="DX1754" s="66">
        <f>AVERAGE($CB1754,$CC1754,$CM1754,$CE1754,$CP1754)</f>
        <v/>
      </c>
      <c r="DY1754" s="64">
        <f>($DW1754-$DW1755)*100</f>
        <v/>
      </c>
      <c r="DZ1754" s="64">
        <f>($DX1754-$DX1755)*100</f>
        <v/>
      </c>
      <c r="EA1754" s="64">
        <f>($DW1754-$D1754)*100</f>
        <v/>
      </c>
      <c r="EB1754" s="64">
        <f>$Q1754-$O1754</f>
        <v/>
      </c>
      <c r="EC1754" s="67">
        <f>IFERROR($Q1754/$P1754,"")</f>
        <v/>
      </c>
    </row>
    <row r="1755">
      <c r="DG1755" s="64">
        <f>($B1755-$B1756)*100</f>
        <v/>
      </c>
      <c r="DH1755" s="64">
        <f>($D1755-$D1756)*100</f>
        <v/>
      </c>
      <c r="DI1755" s="64">
        <f>($E1755-$E1756)*100</f>
        <v/>
      </c>
      <c r="DJ1755" s="64">
        <f>($H1755-$H1756)*100</f>
        <v/>
      </c>
      <c r="DK1755" s="65">
        <f>IFERROR($J1755/$J1756-1,"")</f>
        <v/>
      </c>
      <c r="DL1755" s="64">
        <f>$L1755-$L1756</f>
        <v/>
      </c>
      <c r="DM1755" s="64">
        <f>$K1755-$K1756</f>
        <v/>
      </c>
      <c r="DN1755" s="65">
        <f>IFERROR($N1755/$N1756-1,"")</f>
        <v/>
      </c>
      <c r="DO1755" s="65">
        <f>IFERROR($M1755/$M1756-1,"")</f>
        <v/>
      </c>
      <c r="DP1755" s="65">
        <f>IFERROR($AZ1755/$AZ1756-1,"")</f>
        <v/>
      </c>
      <c r="DQ1755" s="65">
        <f>IFERROR($BA1755/$BA1756-1,"")</f>
        <v/>
      </c>
      <c r="DR1755" s="64">
        <f>$O1755-$O1756</f>
        <v/>
      </c>
      <c r="DS1755" s="64">
        <f>$P1755-$P1756</f>
        <v/>
      </c>
      <c r="DT1755" s="64">
        <f>$Q1755-$Q1756</f>
        <v/>
      </c>
      <c r="DU1755" s="64">
        <f>$S1755-$S1756</f>
        <v/>
      </c>
      <c r="DV1755" s="65">
        <f>IFERROR(AVERAGE($AA1756/$AA1755-1,$AB1756/$AB1755-1,$AC1756/$AC1755-1,$AD1756/$AD1755-1,$AE1756/$AE1755-1,$AG1756/$AG1755-1,$AH1756/$AH1755-1,$AI1756/$AI1755-1,$AJ1756/$AJ1755-1,$AL1756/$AL1755-1,$AM1756/$AM1755-1,$AR1756/$AR1755-1,$AS1756/$AS1755-1,$AT1756/$AT1755-1,$AU1756/$AU1755-1,$AV1756/$AV1755-1,$AW1756/$AW1755-1,$AX1756/$AX1755-1,$AY1756/$AY1755-1),"")</f>
        <v/>
      </c>
      <c r="DW1755" s="66">
        <f>AVERAGE($CB1755,$CC1755,$CD1755,$CE1755,$CF1755,$CG1755,$CH1755,$CI1755,$CJ1755,$CL1755,$CM1755,$CN1755,$CO1755,$CP1755,$CQ1755,$CR1755,$CS1755,$CT1755)</f>
        <v/>
      </c>
      <c r="DX1755" s="66">
        <f>AVERAGE($CB1755,$CC1755,$CM1755,$CE1755,$CP1755)</f>
        <v/>
      </c>
      <c r="DY1755" s="64">
        <f>($DW1755-$DW1756)*100</f>
        <v/>
      </c>
      <c r="DZ1755" s="64">
        <f>($DX1755-$DX1756)*100</f>
        <v/>
      </c>
      <c r="EA1755" s="64">
        <f>($DW1755-$D1755)*100</f>
        <v/>
      </c>
      <c r="EB1755" s="64">
        <f>$Q1755-$O1755</f>
        <v/>
      </c>
      <c r="EC1755" s="67">
        <f>IFERROR($Q1755/$P1755,"")</f>
        <v/>
      </c>
    </row>
    <row r="1756">
      <c r="DG1756" s="64">
        <f>($B1756-$B1757)*100</f>
        <v/>
      </c>
      <c r="DH1756" s="64">
        <f>($D1756-$D1757)*100</f>
        <v/>
      </c>
      <c r="DI1756" s="64">
        <f>($E1756-$E1757)*100</f>
        <v/>
      </c>
      <c r="DJ1756" s="64">
        <f>($H1756-$H1757)*100</f>
        <v/>
      </c>
      <c r="DK1756" s="65">
        <f>IFERROR($J1756/$J1757-1,"")</f>
        <v/>
      </c>
      <c r="DL1756" s="64">
        <f>$L1756-$L1757</f>
        <v/>
      </c>
      <c r="DM1756" s="64">
        <f>$K1756-$K1757</f>
        <v/>
      </c>
      <c r="DN1756" s="65">
        <f>IFERROR($N1756/$N1757-1,"")</f>
        <v/>
      </c>
      <c r="DO1756" s="65">
        <f>IFERROR($M1756/$M1757-1,"")</f>
        <v/>
      </c>
      <c r="DP1756" s="65">
        <f>IFERROR($AZ1756/$AZ1757-1,"")</f>
        <v/>
      </c>
      <c r="DQ1756" s="65">
        <f>IFERROR($BA1756/$BA1757-1,"")</f>
        <v/>
      </c>
      <c r="DR1756" s="64">
        <f>$O1756-$O1757</f>
        <v/>
      </c>
      <c r="DS1756" s="64">
        <f>$P1756-$P1757</f>
        <v/>
      </c>
      <c r="DT1756" s="64">
        <f>$Q1756-$Q1757</f>
        <v/>
      </c>
      <c r="DU1756" s="64">
        <f>$S1756-$S1757</f>
        <v/>
      </c>
      <c r="DV1756" s="65">
        <f>IFERROR(AVERAGE($AA1757/$AA1756-1,$AB1757/$AB1756-1,$AC1757/$AC1756-1,$AD1757/$AD1756-1,$AE1757/$AE1756-1,$AG1757/$AG1756-1,$AH1757/$AH1756-1,$AI1757/$AI1756-1,$AJ1757/$AJ1756-1,$AL1757/$AL1756-1,$AM1757/$AM1756-1,$AR1757/$AR1756-1,$AS1757/$AS1756-1,$AT1757/$AT1756-1,$AU1757/$AU1756-1,$AV1757/$AV1756-1,$AW1757/$AW1756-1,$AX1757/$AX1756-1,$AY1757/$AY1756-1),"")</f>
        <v/>
      </c>
      <c r="DW1756" s="66">
        <f>AVERAGE($CB1756,$CC1756,$CD1756,$CE1756,$CF1756,$CG1756,$CH1756,$CI1756,$CJ1756,$CL1756,$CM1756,$CN1756,$CO1756,$CP1756,$CQ1756,$CR1756,$CS1756,$CT1756)</f>
        <v/>
      </c>
      <c r="DX1756" s="66">
        <f>AVERAGE($CB1756,$CC1756,$CM1756,$CE1756,$CP1756)</f>
        <v/>
      </c>
      <c r="DY1756" s="64">
        <f>($DW1756-$DW1757)*100</f>
        <v/>
      </c>
      <c r="DZ1756" s="64">
        <f>($DX1756-$DX1757)*100</f>
        <v/>
      </c>
      <c r="EA1756" s="64">
        <f>($DW1756-$D1756)*100</f>
        <v/>
      </c>
      <c r="EB1756" s="64">
        <f>$Q1756-$O1756</f>
        <v/>
      </c>
      <c r="EC1756" s="67">
        <f>IFERROR($Q1756/$P1756,"")</f>
        <v/>
      </c>
    </row>
    <row r="1757">
      <c r="DG1757" s="64">
        <f>($B1757-$B1758)*100</f>
        <v/>
      </c>
      <c r="DH1757" s="64">
        <f>($D1757-$D1758)*100</f>
        <v/>
      </c>
      <c r="DI1757" s="64">
        <f>($E1757-$E1758)*100</f>
        <v/>
      </c>
      <c r="DJ1757" s="64">
        <f>($H1757-$H1758)*100</f>
        <v/>
      </c>
      <c r="DK1757" s="65">
        <f>IFERROR($J1757/$J1758-1,"")</f>
        <v/>
      </c>
      <c r="DL1757" s="64">
        <f>$L1757-$L1758</f>
        <v/>
      </c>
      <c r="DM1757" s="64">
        <f>$K1757-$K1758</f>
        <v/>
      </c>
      <c r="DN1757" s="65">
        <f>IFERROR($N1757/$N1758-1,"")</f>
        <v/>
      </c>
      <c r="DO1757" s="65">
        <f>IFERROR($M1757/$M1758-1,"")</f>
        <v/>
      </c>
      <c r="DP1757" s="65">
        <f>IFERROR($AZ1757/$AZ1758-1,"")</f>
        <v/>
      </c>
      <c r="DQ1757" s="65">
        <f>IFERROR($BA1757/$BA1758-1,"")</f>
        <v/>
      </c>
      <c r="DR1757" s="64">
        <f>$O1757-$O1758</f>
        <v/>
      </c>
      <c r="DS1757" s="64">
        <f>$P1757-$P1758</f>
        <v/>
      </c>
      <c r="DT1757" s="64">
        <f>$Q1757-$Q1758</f>
        <v/>
      </c>
      <c r="DU1757" s="64">
        <f>$S1757-$S1758</f>
        <v/>
      </c>
      <c r="DV1757" s="65">
        <f>IFERROR(AVERAGE($AA1758/$AA1757-1,$AB1758/$AB1757-1,$AC1758/$AC1757-1,$AD1758/$AD1757-1,$AE1758/$AE1757-1,$AG1758/$AG1757-1,$AH1758/$AH1757-1,$AI1758/$AI1757-1,$AJ1758/$AJ1757-1,$AL1758/$AL1757-1,$AM1758/$AM1757-1,$AR1758/$AR1757-1,$AS1758/$AS1757-1,$AT1758/$AT1757-1,$AU1758/$AU1757-1,$AV1758/$AV1757-1,$AW1758/$AW1757-1,$AX1758/$AX1757-1,$AY1758/$AY1757-1),"")</f>
        <v/>
      </c>
      <c r="DW1757" s="66">
        <f>AVERAGE($CB1757,$CC1757,$CD1757,$CE1757,$CF1757,$CG1757,$CH1757,$CI1757,$CJ1757,$CL1757,$CM1757,$CN1757,$CO1757,$CP1757,$CQ1757,$CR1757,$CS1757,$CT1757)</f>
        <v/>
      </c>
      <c r="DX1757" s="66">
        <f>AVERAGE($CB1757,$CC1757,$CM1757,$CE1757,$CP1757)</f>
        <v/>
      </c>
      <c r="DY1757" s="64">
        <f>($DW1757-$DW1758)*100</f>
        <v/>
      </c>
      <c r="DZ1757" s="64">
        <f>($DX1757-$DX1758)*100</f>
        <v/>
      </c>
      <c r="EA1757" s="64">
        <f>($DW1757-$D1757)*100</f>
        <v/>
      </c>
      <c r="EB1757" s="64">
        <f>$Q1757-$O1757</f>
        <v/>
      </c>
      <c r="EC1757" s="67">
        <f>IFERROR($Q1757/$P1757,"")</f>
        <v/>
      </c>
    </row>
    <row r="1758">
      <c r="DG1758" s="64">
        <f>($B1758-$B1759)*100</f>
        <v/>
      </c>
      <c r="DH1758" s="64">
        <f>($D1758-$D1759)*100</f>
        <v/>
      </c>
      <c r="DI1758" s="64">
        <f>($E1758-$E1759)*100</f>
        <v/>
      </c>
      <c r="DJ1758" s="64">
        <f>($H1758-$H1759)*100</f>
        <v/>
      </c>
      <c r="DK1758" s="65">
        <f>IFERROR($J1758/$J1759-1,"")</f>
        <v/>
      </c>
      <c r="DL1758" s="64">
        <f>$L1758-$L1759</f>
        <v/>
      </c>
      <c r="DM1758" s="64">
        <f>$K1758-$K1759</f>
        <v/>
      </c>
      <c r="DN1758" s="65">
        <f>IFERROR($N1758/$N1759-1,"")</f>
        <v/>
      </c>
      <c r="DO1758" s="65">
        <f>IFERROR($M1758/$M1759-1,"")</f>
        <v/>
      </c>
      <c r="DP1758" s="65">
        <f>IFERROR($AZ1758/$AZ1759-1,"")</f>
        <v/>
      </c>
      <c r="DQ1758" s="65">
        <f>IFERROR($BA1758/$BA1759-1,"")</f>
        <v/>
      </c>
      <c r="DR1758" s="64">
        <f>$O1758-$O1759</f>
        <v/>
      </c>
      <c r="DS1758" s="64">
        <f>$P1758-$P1759</f>
        <v/>
      </c>
      <c r="DT1758" s="64">
        <f>$Q1758-$Q1759</f>
        <v/>
      </c>
      <c r="DU1758" s="64">
        <f>$S1758-$S1759</f>
        <v/>
      </c>
      <c r="DV1758" s="65">
        <f>IFERROR(AVERAGE($AA1759/$AA1758-1,$AB1759/$AB1758-1,$AC1759/$AC1758-1,$AD1759/$AD1758-1,$AE1759/$AE1758-1,$AG1759/$AG1758-1,$AH1759/$AH1758-1,$AI1759/$AI1758-1,$AJ1759/$AJ1758-1,$AL1759/$AL1758-1,$AM1759/$AM1758-1,$AR1759/$AR1758-1,$AS1759/$AS1758-1,$AT1759/$AT1758-1,$AU1759/$AU1758-1,$AV1759/$AV1758-1,$AW1759/$AW1758-1,$AX1759/$AX1758-1,$AY1759/$AY1758-1),"")</f>
        <v/>
      </c>
      <c r="DW1758" s="66">
        <f>AVERAGE($CB1758,$CC1758,$CD1758,$CE1758,$CF1758,$CG1758,$CH1758,$CI1758,$CJ1758,$CL1758,$CM1758,$CN1758,$CO1758,$CP1758,$CQ1758,$CR1758,$CS1758,$CT1758)</f>
        <v/>
      </c>
      <c r="DX1758" s="66">
        <f>AVERAGE($CB1758,$CC1758,$CM1758,$CE1758,$CP1758)</f>
        <v/>
      </c>
      <c r="DY1758" s="64">
        <f>($DW1758-$DW1759)*100</f>
        <v/>
      </c>
      <c r="DZ1758" s="64">
        <f>($DX1758-$DX1759)*100</f>
        <v/>
      </c>
      <c r="EA1758" s="64">
        <f>($DW1758-$D1758)*100</f>
        <v/>
      </c>
      <c r="EB1758" s="64">
        <f>$Q1758-$O1758</f>
        <v/>
      </c>
      <c r="EC1758" s="67">
        <f>IFERROR($Q1758/$P1758,"")</f>
        <v/>
      </c>
    </row>
    <row r="1759">
      <c r="DG1759" s="64">
        <f>($B1759-$B1760)*100</f>
        <v/>
      </c>
      <c r="DH1759" s="64">
        <f>($D1759-$D1760)*100</f>
        <v/>
      </c>
      <c r="DI1759" s="64">
        <f>($E1759-$E1760)*100</f>
        <v/>
      </c>
      <c r="DJ1759" s="64">
        <f>($H1759-$H1760)*100</f>
        <v/>
      </c>
      <c r="DK1759" s="65">
        <f>IFERROR($J1759/$J1760-1,"")</f>
        <v/>
      </c>
      <c r="DL1759" s="64">
        <f>$L1759-$L1760</f>
        <v/>
      </c>
      <c r="DM1759" s="64">
        <f>$K1759-$K1760</f>
        <v/>
      </c>
      <c r="DN1759" s="65">
        <f>IFERROR($N1759/$N1760-1,"")</f>
        <v/>
      </c>
      <c r="DO1759" s="65">
        <f>IFERROR($M1759/$M1760-1,"")</f>
        <v/>
      </c>
      <c r="DP1759" s="65">
        <f>IFERROR($AZ1759/$AZ1760-1,"")</f>
        <v/>
      </c>
      <c r="DQ1759" s="65">
        <f>IFERROR($BA1759/$BA1760-1,"")</f>
        <v/>
      </c>
      <c r="DR1759" s="64">
        <f>$O1759-$O1760</f>
        <v/>
      </c>
      <c r="DS1759" s="64">
        <f>$P1759-$P1760</f>
        <v/>
      </c>
      <c r="DT1759" s="64">
        <f>$Q1759-$Q1760</f>
        <v/>
      </c>
      <c r="DU1759" s="64">
        <f>$S1759-$S1760</f>
        <v/>
      </c>
      <c r="DV1759" s="65">
        <f>IFERROR(AVERAGE($AA1760/$AA1759-1,$AB1760/$AB1759-1,$AC1760/$AC1759-1,$AD1760/$AD1759-1,$AE1760/$AE1759-1,$AG1760/$AG1759-1,$AH1760/$AH1759-1,$AI1760/$AI1759-1,$AJ1760/$AJ1759-1,$AL1760/$AL1759-1,$AM1760/$AM1759-1,$AR1760/$AR1759-1,$AS1760/$AS1759-1,$AT1760/$AT1759-1,$AU1760/$AU1759-1,$AV1760/$AV1759-1,$AW1760/$AW1759-1,$AX1760/$AX1759-1,$AY1760/$AY1759-1),"")</f>
        <v/>
      </c>
      <c r="DW1759" s="66">
        <f>AVERAGE($CB1759,$CC1759,$CD1759,$CE1759,$CF1759,$CG1759,$CH1759,$CI1759,$CJ1759,$CL1759,$CM1759,$CN1759,$CO1759,$CP1759,$CQ1759,$CR1759,$CS1759,$CT1759)</f>
        <v/>
      </c>
      <c r="DX1759" s="66">
        <f>AVERAGE($CB1759,$CC1759,$CM1759,$CE1759,$CP1759)</f>
        <v/>
      </c>
      <c r="DY1759" s="64">
        <f>($DW1759-$DW1760)*100</f>
        <v/>
      </c>
      <c r="DZ1759" s="64">
        <f>($DX1759-$DX1760)*100</f>
        <v/>
      </c>
      <c r="EA1759" s="64">
        <f>($DW1759-$D1759)*100</f>
        <v/>
      </c>
      <c r="EB1759" s="64">
        <f>$Q1759-$O1759</f>
        <v/>
      </c>
      <c r="EC1759" s="67">
        <f>IFERROR($Q1759/$P1759,"")</f>
        <v/>
      </c>
    </row>
    <row r="1760">
      <c r="DG1760" s="64">
        <f>($B1760-$B1761)*100</f>
        <v/>
      </c>
      <c r="DH1760" s="64">
        <f>($D1760-$D1761)*100</f>
        <v/>
      </c>
      <c r="DI1760" s="64">
        <f>($E1760-$E1761)*100</f>
        <v/>
      </c>
      <c r="DJ1760" s="64">
        <f>($H1760-$H1761)*100</f>
        <v/>
      </c>
      <c r="DK1760" s="65">
        <f>IFERROR($J1760/$J1761-1,"")</f>
        <v/>
      </c>
      <c r="DL1760" s="64">
        <f>$L1760-$L1761</f>
        <v/>
      </c>
      <c r="DM1760" s="64">
        <f>$K1760-$K1761</f>
        <v/>
      </c>
      <c r="DN1760" s="65">
        <f>IFERROR($N1760/$N1761-1,"")</f>
        <v/>
      </c>
      <c r="DO1760" s="65">
        <f>IFERROR($M1760/$M1761-1,"")</f>
        <v/>
      </c>
      <c r="DP1760" s="65">
        <f>IFERROR($AZ1760/$AZ1761-1,"")</f>
        <v/>
      </c>
      <c r="DQ1760" s="65">
        <f>IFERROR($BA1760/$BA1761-1,"")</f>
        <v/>
      </c>
      <c r="DR1760" s="64">
        <f>$O1760-$O1761</f>
        <v/>
      </c>
      <c r="DS1760" s="64">
        <f>$P1760-$P1761</f>
        <v/>
      </c>
      <c r="DT1760" s="64">
        <f>$Q1760-$Q1761</f>
        <v/>
      </c>
      <c r="DU1760" s="64">
        <f>$S1760-$S1761</f>
        <v/>
      </c>
      <c r="DV1760" s="65">
        <f>IFERROR(AVERAGE($AA1761/$AA1760-1,$AB1761/$AB1760-1,$AC1761/$AC1760-1,$AD1761/$AD1760-1,$AE1761/$AE1760-1,$AG1761/$AG1760-1,$AH1761/$AH1760-1,$AI1761/$AI1760-1,$AJ1761/$AJ1760-1,$AL1761/$AL1760-1,$AM1761/$AM1760-1,$AR1761/$AR1760-1,$AS1761/$AS1760-1,$AT1761/$AT1760-1,$AU1761/$AU1760-1,$AV1761/$AV1760-1,$AW1761/$AW1760-1,$AX1761/$AX1760-1,$AY1761/$AY1760-1),"")</f>
        <v/>
      </c>
      <c r="DW1760" s="66">
        <f>AVERAGE($CB1760,$CC1760,$CD1760,$CE1760,$CF1760,$CG1760,$CH1760,$CI1760,$CJ1760,$CL1760,$CM1760,$CN1760,$CO1760,$CP1760,$CQ1760,$CR1760,$CS1760,$CT1760)</f>
        <v/>
      </c>
      <c r="DX1760" s="66">
        <f>AVERAGE($CB1760,$CC1760,$CM1760,$CE1760,$CP1760)</f>
        <v/>
      </c>
      <c r="DY1760" s="64">
        <f>($DW1760-$DW1761)*100</f>
        <v/>
      </c>
      <c r="DZ1760" s="64">
        <f>($DX1760-$DX1761)*100</f>
        <v/>
      </c>
      <c r="EA1760" s="64">
        <f>($DW1760-$D1760)*100</f>
        <v/>
      </c>
      <c r="EB1760" s="64">
        <f>$Q1760-$O1760</f>
        <v/>
      </c>
      <c r="EC1760" s="67">
        <f>IFERROR($Q1760/$P1760,"")</f>
        <v/>
      </c>
    </row>
    <row r="1761">
      <c r="DG1761" s="64">
        <f>($B1761-$B1762)*100</f>
        <v/>
      </c>
      <c r="DH1761" s="64">
        <f>($D1761-$D1762)*100</f>
        <v/>
      </c>
      <c r="DI1761" s="64">
        <f>($E1761-$E1762)*100</f>
        <v/>
      </c>
      <c r="DJ1761" s="64">
        <f>($H1761-$H1762)*100</f>
        <v/>
      </c>
      <c r="DK1761" s="65">
        <f>IFERROR($J1761/$J1762-1,"")</f>
        <v/>
      </c>
      <c r="DL1761" s="64">
        <f>$L1761-$L1762</f>
        <v/>
      </c>
      <c r="DM1761" s="64">
        <f>$K1761-$K1762</f>
        <v/>
      </c>
      <c r="DN1761" s="65">
        <f>IFERROR($N1761/$N1762-1,"")</f>
        <v/>
      </c>
      <c r="DO1761" s="65">
        <f>IFERROR($M1761/$M1762-1,"")</f>
        <v/>
      </c>
      <c r="DP1761" s="65">
        <f>IFERROR($AZ1761/$AZ1762-1,"")</f>
        <v/>
      </c>
      <c r="DQ1761" s="65">
        <f>IFERROR($BA1761/$BA1762-1,"")</f>
        <v/>
      </c>
      <c r="DR1761" s="64">
        <f>$O1761-$O1762</f>
        <v/>
      </c>
      <c r="DS1761" s="64">
        <f>$P1761-$P1762</f>
        <v/>
      </c>
      <c r="DT1761" s="64">
        <f>$Q1761-$Q1762</f>
        <v/>
      </c>
      <c r="DU1761" s="64">
        <f>$S1761-$S1762</f>
        <v/>
      </c>
      <c r="DV1761" s="65">
        <f>IFERROR(AVERAGE($AA1762/$AA1761-1,$AB1762/$AB1761-1,$AC1762/$AC1761-1,$AD1762/$AD1761-1,$AE1762/$AE1761-1,$AG1762/$AG1761-1,$AH1762/$AH1761-1,$AI1762/$AI1761-1,$AJ1762/$AJ1761-1,$AL1762/$AL1761-1,$AM1762/$AM1761-1,$AR1762/$AR1761-1,$AS1762/$AS1761-1,$AT1762/$AT1761-1,$AU1762/$AU1761-1,$AV1762/$AV1761-1,$AW1762/$AW1761-1,$AX1762/$AX1761-1,$AY1762/$AY1761-1),"")</f>
        <v/>
      </c>
      <c r="DW1761" s="66">
        <f>AVERAGE($CB1761,$CC1761,$CD1761,$CE1761,$CF1761,$CG1761,$CH1761,$CI1761,$CJ1761,$CL1761,$CM1761,$CN1761,$CO1761,$CP1761,$CQ1761,$CR1761,$CS1761,$CT1761)</f>
        <v/>
      </c>
      <c r="DX1761" s="66">
        <f>AVERAGE($CB1761,$CC1761,$CM1761,$CE1761,$CP1761)</f>
        <v/>
      </c>
      <c r="DY1761" s="64">
        <f>($DW1761-$DW1762)*100</f>
        <v/>
      </c>
      <c r="DZ1761" s="64">
        <f>($DX1761-$DX1762)*100</f>
        <v/>
      </c>
      <c r="EA1761" s="64">
        <f>($DW1761-$D1761)*100</f>
        <v/>
      </c>
      <c r="EB1761" s="64">
        <f>$Q1761-$O1761</f>
        <v/>
      </c>
      <c r="EC1761" s="67">
        <f>IFERROR($Q1761/$P1761,"")</f>
        <v/>
      </c>
    </row>
    <row r="1762">
      <c r="DG1762" s="64">
        <f>($B1762-$B1763)*100</f>
        <v/>
      </c>
      <c r="DH1762" s="64">
        <f>($D1762-$D1763)*100</f>
        <v/>
      </c>
      <c r="DI1762" s="64">
        <f>($E1762-$E1763)*100</f>
        <v/>
      </c>
      <c r="DJ1762" s="64">
        <f>($H1762-$H1763)*100</f>
        <v/>
      </c>
      <c r="DK1762" s="65">
        <f>IFERROR($J1762/$J1763-1,"")</f>
        <v/>
      </c>
      <c r="DL1762" s="64">
        <f>$L1762-$L1763</f>
        <v/>
      </c>
      <c r="DM1762" s="64">
        <f>$K1762-$K1763</f>
        <v/>
      </c>
      <c r="DN1762" s="65">
        <f>IFERROR($N1762/$N1763-1,"")</f>
        <v/>
      </c>
      <c r="DO1762" s="65">
        <f>IFERROR($M1762/$M1763-1,"")</f>
        <v/>
      </c>
      <c r="DP1762" s="65">
        <f>IFERROR($AZ1762/$AZ1763-1,"")</f>
        <v/>
      </c>
      <c r="DQ1762" s="65">
        <f>IFERROR($BA1762/$BA1763-1,"")</f>
        <v/>
      </c>
      <c r="DR1762" s="64">
        <f>$O1762-$O1763</f>
        <v/>
      </c>
      <c r="DS1762" s="64">
        <f>$P1762-$P1763</f>
        <v/>
      </c>
      <c r="DT1762" s="64">
        <f>$Q1762-$Q1763</f>
        <v/>
      </c>
      <c r="DU1762" s="64">
        <f>$S1762-$S1763</f>
        <v/>
      </c>
      <c r="DV1762" s="65">
        <f>IFERROR(AVERAGE($AA1763/$AA1762-1,$AB1763/$AB1762-1,$AC1763/$AC1762-1,$AD1763/$AD1762-1,$AE1763/$AE1762-1,$AG1763/$AG1762-1,$AH1763/$AH1762-1,$AI1763/$AI1762-1,$AJ1763/$AJ1762-1,$AL1763/$AL1762-1,$AM1763/$AM1762-1,$AR1763/$AR1762-1,$AS1763/$AS1762-1,$AT1763/$AT1762-1,$AU1763/$AU1762-1,$AV1763/$AV1762-1,$AW1763/$AW1762-1,$AX1763/$AX1762-1,$AY1763/$AY1762-1),"")</f>
        <v/>
      </c>
      <c r="DW1762" s="66">
        <f>AVERAGE($CB1762,$CC1762,$CD1762,$CE1762,$CF1762,$CG1762,$CH1762,$CI1762,$CJ1762,$CL1762,$CM1762,$CN1762,$CO1762,$CP1762,$CQ1762,$CR1762,$CS1762,$CT1762)</f>
        <v/>
      </c>
      <c r="DX1762" s="66">
        <f>AVERAGE($CB1762,$CC1762,$CM1762,$CE1762,$CP1762)</f>
        <v/>
      </c>
      <c r="DY1762" s="64">
        <f>($DW1762-$DW1763)*100</f>
        <v/>
      </c>
      <c r="DZ1762" s="64">
        <f>($DX1762-$DX1763)*100</f>
        <v/>
      </c>
      <c r="EA1762" s="64">
        <f>($DW1762-$D1762)*100</f>
        <v/>
      </c>
      <c r="EB1762" s="64">
        <f>$Q1762-$O1762</f>
        <v/>
      </c>
      <c r="EC1762" s="67">
        <f>IFERROR($Q1762/$P1762,"")</f>
        <v/>
      </c>
    </row>
    <row r="1763">
      <c r="DG1763" s="64">
        <f>($B1763-$B1764)*100</f>
        <v/>
      </c>
      <c r="DH1763" s="64">
        <f>($D1763-$D1764)*100</f>
        <v/>
      </c>
      <c r="DI1763" s="64">
        <f>($E1763-$E1764)*100</f>
        <v/>
      </c>
      <c r="DJ1763" s="64">
        <f>($H1763-$H1764)*100</f>
        <v/>
      </c>
      <c r="DK1763" s="65">
        <f>IFERROR($J1763/$J1764-1,"")</f>
        <v/>
      </c>
      <c r="DL1763" s="64">
        <f>$L1763-$L1764</f>
        <v/>
      </c>
      <c r="DM1763" s="64">
        <f>$K1763-$K1764</f>
        <v/>
      </c>
      <c r="DN1763" s="65">
        <f>IFERROR($N1763/$N1764-1,"")</f>
        <v/>
      </c>
      <c r="DO1763" s="65">
        <f>IFERROR($M1763/$M1764-1,"")</f>
        <v/>
      </c>
      <c r="DP1763" s="65">
        <f>IFERROR($AZ1763/$AZ1764-1,"")</f>
        <v/>
      </c>
      <c r="DQ1763" s="65">
        <f>IFERROR($BA1763/$BA1764-1,"")</f>
        <v/>
      </c>
      <c r="DR1763" s="64">
        <f>$O1763-$O1764</f>
        <v/>
      </c>
      <c r="DS1763" s="64">
        <f>$P1763-$P1764</f>
        <v/>
      </c>
      <c r="DT1763" s="64">
        <f>$Q1763-$Q1764</f>
        <v/>
      </c>
      <c r="DU1763" s="64">
        <f>$S1763-$S1764</f>
        <v/>
      </c>
      <c r="DV1763" s="65">
        <f>IFERROR(AVERAGE($AA1764/$AA1763-1,$AB1764/$AB1763-1,$AC1764/$AC1763-1,$AD1764/$AD1763-1,$AE1764/$AE1763-1,$AG1764/$AG1763-1,$AH1764/$AH1763-1,$AI1764/$AI1763-1,$AJ1764/$AJ1763-1,$AL1764/$AL1763-1,$AM1764/$AM1763-1,$AR1764/$AR1763-1,$AS1764/$AS1763-1,$AT1764/$AT1763-1,$AU1764/$AU1763-1,$AV1764/$AV1763-1,$AW1764/$AW1763-1,$AX1764/$AX1763-1,$AY1764/$AY1763-1),"")</f>
        <v/>
      </c>
      <c r="DW1763" s="66">
        <f>AVERAGE($CB1763,$CC1763,$CD1763,$CE1763,$CF1763,$CG1763,$CH1763,$CI1763,$CJ1763,$CL1763,$CM1763,$CN1763,$CO1763,$CP1763,$CQ1763,$CR1763,$CS1763,$CT1763)</f>
        <v/>
      </c>
      <c r="DX1763" s="66">
        <f>AVERAGE($CB1763,$CC1763,$CM1763,$CE1763,$CP1763)</f>
        <v/>
      </c>
      <c r="DY1763" s="64">
        <f>($DW1763-$DW1764)*100</f>
        <v/>
      </c>
      <c r="DZ1763" s="64">
        <f>($DX1763-$DX1764)*100</f>
        <v/>
      </c>
      <c r="EA1763" s="64">
        <f>($DW1763-$D1763)*100</f>
        <v/>
      </c>
      <c r="EB1763" s="64">
        <f>$Q1763-$O1763</f>
        <v/>
      </c>
      <c r="EC1763" s="67">
        <f>IFERROR($Q1763/$P1763,"")</f>
        <v/>
      </c>
    </row>
    <row r="1764">
      <c r="DG1764" s="64">
        <f>($B1764-$B1765)*100</f>
        <v/>
      </c>
      <c r="DH1764" s="64">
        <f>($D1764-$D1765)*100</f>
        <v/>
      </c>
      <c r="DI1764" s="64">
        <f>($E1764-$E1765)*100</f>
        <v/>
      </c>
      <c r="DJ1764" s="64">
        <f>($H1764-$H1765)*100</f>
        <v/>
      </c>
      <c r="DK1764" s="65">
        <f>IFERROR($J1764/$J1765-1,"")</f>
        <v/>
      </c>
      <c r="DL1764" s="64">
        <f>$L1764-$L1765</f>
        <v/>
      </c>
      <c r="DM1764" s="64">
        <f>$K1764-$K1765</f>
        <v/>
      </c>
      <c r="DN1764" s="65">
        <f>IFERROR($N1764/$N1765-1,"")</f>
        <v/>
      </c>
      <c r="DO1764" s="65">
        <f>IFERROR($M1764/$M1765-1,"")</f>
        <v/>
      </c>
      <c r="DP1764" s="65">
        <f>IFERROR($AZ1764/$AZ1765-1,"")</f>
        <v/>
      </c>
      <c r="DQ1764" s="65">
        <f>IFERROR($BA1764/$BA1765-1,"")</f>
        <v/>
      </c>
      <c r="DR1764" s="64">
        <f>$O1764-$O1765</f>
        <v/>
      </c>
      <c r="DS1764" s="64">
        <f>$P1764-$P1765</f>
        <v/>
      </c>
      <c r="DT1764" s="64">
        <f>$Q1764-$Q1765</f>
        <v/>
      </c>
      <c r="DU1764" s="64">
        <f>$S1764-$S1765</f>
        <v/>
      </c>
      <c r="DV1764" s="65">
        <f>IFERROR(AVERAGE($AA1765/$AA1764-1,$AB1765/$AB1764-1,$AC1765/$AC1764-1,$AD1765/$AD1764-1,$AE1765/$AE1764-1,$AG1765/$AG1764-1,$AH1765/$AH1764-1,$AI1765/$AI1764-1,$AJ1765/$AJ1764-1,$AL1765/$AL1764-1,$AM1765/$AM1764-1,$AR1765/$AR1764-1,$AS1765/$AS1764-1,$AT1765/$AT1764-1,$AU1765/$AU1764-1,$AV1765/$AV1764-1,$AW1765/$AW1764-1,$AX1765/$AX1764-1,$AY1765/$AY1764-1),"")</f>
        <v/>
      </c>
      <c r="DW1764" s="66">
        <f>AVERAGE($CB1764,$CC1764,$CD1764,$CE1764,$CF1764,$CG1764,$CH1764,$CI1764,$CJ1764,$CL1764,$CM1764,$CN1764,$CO1764,$CP1764,$CQ1764,$CR1764,$CS1764,$CT1764)</f>
        <v/>
      </c>
      <c r="DX1764" s="66">
        <f>AVERAGE($CB1764,$CC1764,$CM1764,$CE1764,$CP1764)</f>
        <v/>
      </c>
      <c r="DY1764" s="64">
        <f>($DW1764-$DW1765)*100</f>
        <v/>
      </c>
      <c r="DZ1764" s="64">
        <f>($DX1764-$DX1765)*100</f>
        <v/>
      </c>
      <c r="EA1764" s="64">
        <f>($DW1764-$D1764)*100</f>
        <v/>
      </c>
      <c r="EB1764" s="64">
        <f>$Q1764-$O1764</f>
        <v/>
      </c>
      <c r="EC1764" s="67">
        <f>IFERROR($Q1764/$P1764,"")</f>
        <v/>
      </c>
    </row>
    <row r="1765">
      <c r="DG1765" s="64">
        <f>($B1765-$B1766)*100</f>
        <v/>
      </c>
      <c r="DH1765" s="64">
        <f>($D1765-$D1766)*100</f>
        <v/>
      </c>
      <c r="DI1765" s="64">
        <f>($E1765-$E1766)*100</f>
        <v/>
      </c>
      <c r="DJ1765" s="64">
        <f>($H1765-$H1766)*100</f>
        <v/>
      </c>
      <c r="DK1765" s="65">
        <f>IFERROR($J1765/$J1766-1,"")</f>
        <v/>
      </c>
      <c r="DL1765" s="64">
        <f>$L1765-$L1766</f>
        <v/>
      </c>
      <c r="DM1765" s="64">
        <f>$K1765-$K1766</f>
        <v/>
      </c>
      <c r="DN1765" s="65">
        <f>IFERROR($N1765/$N1766-1,"")</f>
        <v/>
      </c>
      <c r="DO1765" s="65">
        <f>IFERROR($M1765/$M1766-1,"")</f>
        <v/>
      </c>
      <c r="DP1765" s="65">
        <f>IFERROR($AZ1765/$AZ1766-1,"")</f>
        <v/>
      </c>
      <c r="DQ1765" s="65">
        <f>IFERROR($BA1765/$BA1766-1,"")</f>
        <v/>
      </c>
      <c r="DR1765" s="64">
        <f>$O1765-$O1766</f>
        <v/>
      </c>
      <c r="DS1765" s="64">
        <f>$P1765-$P1766</f>
        <v/>
      </c>
      <c r="DT1765" s="64">
        <f>$Q1765-$Q1766</f>
        <v/>
      </c>
      <c r="DU1765" s="64">
        <f>$S1765-$S1766</f>
        <v/>
      </c>
      <c r="DV1765" s="65">
        <f>IFERROR(AVERAGE($AA1766/$AA1765-1,$AB1766/$AB1765-1,$AC1766/$AC1765-1,$AD1766/$AD1765-1,$AE1766/$AE1765-1,$AG1766/$AG1765-1,$AH1766/$AH1765-1,$AI1766/$AI1765-1,$AJ1766/$AJ1765-1,$AL1766/$AL1765-1,$AM1766/$AM1765-1,$AR1766/$AR1765-1,$AS1766/$AS1765-1,$AT1766/$AT1765-1,$AU1766/$AU1765-1,$AV1766/$AV1765-1,$AW1766/$AW1765-1,$AX1766/$AX1765-1,$AY1766/$AY1765-1),"")</f>
        <v/>
      </c>
      <c r="DW1765" s="66">
        <f>AVERAGE($CB1765,$CC1765,$CD1765,$CE1765,$CF1765,$CG1765,$CH1765,$CI1765,$CJ1765,$CL1765,$CM1765,$CN1765,$CO1765,$CP1765,$CQ1765,$CR1765,$CS1765,$CT1765)</f>
        <v/>
      </c>
      <c r="DX1765" s="66">
        <f>AVERAGE($CB1765,$CC1765,$CM1765,$CE1765,$CP1765)</f>
        <v/>
      </c>
      <c r="DY1765" s="64">
        <f>($DW1765-$DW1766)*100</f>
        <v/>
      </c>
      <c r="DZ1765" s="64">
        <f>($DX1765-$DX1766)*100</f>
        <v/>
      </c>
      <c r="EA1765" s="64">
        <f>($DW1765-$D1765)*100</f>
        <v/>
      </c>
      <c r="EB1765" s="64">
        <f>$Q1765-$O1765</f>
        <v/>
      </c>
      <c r="EC1765" s="67">
        <f>IFERROR($Q1765/$P1765,"")</f>
        <v/>
      </c>
    </row>
    <row r="1766">
      <c r="DG1766" s="64">
        <f>($B1766-$B1767)*100</f>
        <v/>
      </c>
      <c r="DH1766" s="64">
        <f>($D1766-$D1767)*100</f>
        <v/>
      </c>
      <c r="DI1766" s="64">
        <f>($E1766-$E1767)*100</f>
        <v/>
      </c>
      <c r="DJ1766" s="64">
        <f>($H1766-$H1767)*100</f>
        <v/>
      </c>
      <c r="DK1766" s="65">
        <f>IFERROR($J1766/$J1767-1,"")</f>
        <v/>
      </c>
      <c r="DL1766" s="64">
        <f>$L1766-$L1767</f>
        <v/>
      </c>
      <c r="DM1766" s="64">
        <f>$K1766-$K1767</f>
        <v/>
      </c>
      <c r="DN1766" s="65">
        <f>IFERROR($N1766/$N1767-1,"")</f>
        <v/>
      </c>
      <c r="DO1766" s="65">
        <f>IFERROR($M1766/$M1767-1,"")</f>
        <v/>
      </c>
      <c r="DP1766" s="65">
        <f>IFERROR($AZ1766/$AZ1767-1,"")</f>
        <v/>
      </c>
      <c r="DQ1766" s="65">
        <f>IFERROR($BA1766/$BA1767-1,"")</f>
        <v/>
      </c>
      <c r="DR1766" s="64">
        <f>$O1766-$O1767</f>
        <v/>
      </c>
      <c r="DS1766" s="64">
        <f>$P1766-$P1767</f>
        <v/>
      </c>
      <c r="DT1766" s="64">
        <f>$Q1766-$Q1767</f>
        <v/>
      </c>
      <c r="DU1766" s="64">
        <f>$S1766-$S1767</f>
        <v/>
      </c>
      <c r="DV1766" s="65">
        <f>IFERROR(AVERAGE($AA1767/$AA1766-1,$AB1767/$AB1766-1,$AC1767/$AC1766-1,$AD1767/$AD1766-1,$AE1767/$AE1766-1,$AG1767/$AG1766-1,$AH1767/$AH1766-1,$AI1767/$AI1766-1,$AJ1767/$AJ1766-1,$AL1767/$AL1766-1,$AM1767/$AM1766-1,$AR1767/$AR1766-1,$AS1767/$AS1766-1,$AT1767/$AT1766-1,$AU1767/$AU1766-1,$AV1767/$AV1766-1,$AW1767/$AW1766-1,$AX1767/$AX1766-1,$AY1767/$AY1766-1),"")</f>
        <v/>
      </c>
      <c r="DW1766" s="66">
        <f>AVERAGE($CB1766,$CC1766,$CD1766,$CE1766,$CF1766,$CG1766,$CH1766,$CI1766,$CJ1766,$CL1766,$CM1766,$CN1766,$CO1766,$CP1766,$CQ1766,$CR1766,$CS1766,$CT1766)</f>
        <v/>
      </c>
      <c r="DX1766" s="66">
        <f>AVERAGE($CB1766,$CC1766,$CM1766,$CE1766,$CP1766)</f>
        <v/>
      </c>
      <c r="DY1766" s="64">
        <f>($DW1766-$DW1767)*100</f>
        <v/>
      </c>
      <c r="DZ1766" s="64">
        <f>($DX1766-$DX1767)*100</f>
        <v/>
      </c>
      <c r="EA1766" s="64">
        <f>($DW1766-$D1766)*100</f>
        <v/>
      </c>
      <c r="EB1766" s="64">
        <f>$Q1766-$O1766</f>
        <v/>
      </c>
      <c r="EC1766" s="67">
        <f>IFERROR($Q1766/$P1766,"")</f>
        <v/>
      </c>
    </row>
    <row r="1767">
      <c r="DG1767" s="64">
        <f>($B1767-$B1768)*100</f>
        <v/>
      </c>
      <c r="DH1767" s="64">
        <f>($D1767-$D1768)*100</f>
        <v/>
      </c>
      <c r="DI1767" s="64">
        <f>($E1767-$E1768)*100</f>
        <v/>
      </c>
      <c r="DJ1767" s="64">
        <f>($H1767-$H1768)*100</f>
        <v/>
      </c>
      <c r="DK1767" s="65">
        <f>IFERROR($J1767/$J1768-1,"")</f>
        <v/>
      </c>
      <c r="DL1767" s="64">
        <f>$L1767-$L1768</f>
        <v/>
      </c>
      <c r="DM1767" s="64">
        <f>$K1767-$K1768</f>
        <v/>
      </c>
      <c r="DN1767" s="65">
        <f>IFERROR($N1767/$N1768-1,"")</f>
        <v/>
      </c>
      <c r="DO1767" s="65">
        <f>IFERROR($M1767/$M1768-1,"")</f>
        <v/>
      </c>
      <c r="DP1767" s="65">
        <f>IFERROR($AZ1767/$AZ1768-1,"")</f>
        <v/>
      </c>
      <c r="DQ1767" s="65">
        <f>IFERROR($BA1767/$BA1768-1,"")</f>
        <v/>
      </c>
      <c r="DR1767" s="64">
        <f>$O1767-$O1768</f>
        <v/>
      </c>
      <c r="DS1767" s="64">
        <f>$P1767-$P1768</f>
        <v/>
      </c>
      <c r="DT1767" s="64">
        <f>$Q1767-$Q1768</f>
        <v/>
      </c>
      <c r="DU1767" s="64">
        <f>$S1767-$S1768</f>
        <v/>
      </c>
      <c r="DV1767" s="65">
        <f>IFERROR(AVERAGE($AA1768/$AA1767-1,$AB1768/$AB1767-1,$AC1768/$AC1767-1,$AD1768/$AD1767-1,$AE1768/$AE1767-1,$AG1768/$AG1767-1,$AH1768/$AH1767-1,$AI1768/$AI1767-1,$AJ1768/$AJ1767-1,$AL1768/$AL1767-1,$AM1768/$AM1767-1,$AR1768/$AR1767-1,$AS1768/$AS1767-1,$AT1768/$AT1767-1,$AU1768/$AU1767-1,$AV1768/$AV1767-1,$AW1768/$AW1767-1,$AX1768/$AX1767-1,$AY1768/$AY1767-1),"")</f>
        <v/>
      </c>
      <c r="DW1767" s="66">
        <f>AVERAGE($CB1767,$CC1767,$CD1767,$CE1767,$CF1767,$CG1767,$CH1767,$CI1767,$CJ1767,$CL1767,$CM1767,$CN1767,$CO1767,$CP1767,$CQ1767,$CR1767,$CS1767,$CT1767)</f>
        <v/>
      </c>
      <c r="DX1767" s="66">
        <f>AVERAGE($CB1767,$CC1767,$CM1767,$CE1767,$CP1767)</f>
        <v/>
      </c>
      <c r="DY1767" s="64">
        <f>($DW1767-$DW1768)*100</f>
        <v/>
      </c>
      <c r="DZ1767" s="64">
        <f>($DX1767-$DX1768)*100</f>
        <v/>
      </c>
      <c r="EA1767" s="64">
        <f>($DW1767-$D1767)*100</f>
        <v/>
      </c>
      <c r="EB1767" s="64">
        <f>$Q1767-$O1767</f>
        <v/>
      </c>
      <c r="EC1767" s="67">
        <f>IFERROR($Q1767/$P1767,"")</f>
        <v/>
      </c>
    </row>
    <row r="1768">
      <c r="DG1768" s="64">
        <f>($B1768-$B1769)*100</f>
        <v/>
      </c>
      <c r="DH1768" s="64">
        <f>($D1768-$D1769)*100</f>
        <v/>
      </c>
      <c r="DI1768" s="64">
        <f>($E1768-$E1769)*100</f>
        <v/>
      </c>
      <c r="DJ1768" s="64">
        <f>($H1768-$H1769)*100</f>
        <v/>
      </c>
      <c r="DK1768" s="65">
        <f>IFERROR($J1768/$J1769-1,"")</f>
        <v/>
      </c>
      <c r="DL1768" s="64">
        <f>$L1768-$L1769</f>
        <v/>
      </c>
      <c r="DM1768" s="64">
        <f>$K1768-$K1769</f>
        <v/>
      </c>
      <c r="DN1768" s="65">
        <f>IFERROR($N1768/$N1769-1,"")</f>
        <v/>
      </c>
      <c r="DO1768" s="65">
        <f>IFERROR($M1768/$M1769-1,"")</f>
        <v/>
      </c>
      <c r="DP1768" s="65">
        <f>IFERROR($AZ1768/$AZ1769-1,"")</f>
        <v/>
      </c>
      <c r="DQ1768" s="65">
        <f>IFERROR($BA1768/$BA1769-1,"")</f>
        <v/>
      </c>
      <c r="DR1768" s="64">
        <f>$O1768-$O1769</f>
        <v/>
      </c>
      <c r="DS1768" s="64">
        <f>$P1768-$P1769</f>
        <v/>
      </c>
      <c r="DT1768" s="64">
        <f>$Q1768-$Q1769</f>
        <v/>
      </c>
      <c r="DU1768" s="64">
        <f>$S1768-$S1769</f>
        <v/>
      </c>
      <c r="DV1768" s="65">
        <f>IFERROR(AVERAGE($AA1769/$AA1768-1,$AB1769/$AB1768-1,$AC1769/$AC1768-1,$AD1769/$AD1768-1,$AE1769/$AE1768-1,$AG1769/$AG1768-1,$AH1769/$AH1768-1,$AI1769/$AI1768-1,$AJ1769/$AJ1768-1,$AL1769/$AL1768-1,$AM1769/$AM1768-1,$AR1769/$AR1768-1,$AS1769/$AS1768-1,$AT1769/$AT1768-1,$AU1769/$AU1768-1,$AV1769/$AV1768-1,$AW1769/$AW1768-1,$AX1769/$AX1768-1,$AY1769/$AY1768-1),"")</f>
        <v/>
      </c>
      <c r="DW1768" s="66">
        <f>AVERAGE($CB1768,$CC1768,$CD1768,$CE1768,$CF1768,$CG1768,$CH1768,$CI1768,$CJ1768,$CL1768,$CM1768,$CN1768,$CO1768,$CP1768,$CQ1768,$CR1768,$CS1768,$CT1768)</f>
        <v/>
      </c>
      <c r="DX1768" s="66">
        <f>AVERAGE($CB1768,$CC1768,$CM1768,$CE1768,$CP1768)</f>
        <v/>
      </c>
      <c r="DY1768" s="64">
        <f>($DW1768-$DW1769)*100</f>
        <v/>
      </c>
      <c r="DZ1768" s="64">
        <f>($DX1768-$DX1769)*100</f>
        <v/>
      </c>
      <c r="EA1768" s="64">
        <f>($DW1768-$D1768)*100</f>
        <v/>
      </c>
      <c r="EB1768" s="64">
        <f>$Q1768-$O1768</f>
        <v/>
      </c>
      <c r="EC1768" s="67">
        <f>IFERROR($Q1768/$P1768,"")</f>
        <v/>
      </c>
    </row>
    <row r="1769">
      <c r="DG1769" s="64">
        <f>($B1769-$B1770)*100</f>
        <v/>
      </c>
      <c r="DH1769" s="64">
        <f>($D1769-$D1770)*100</f>
        <v/>
      </c>
      <c r="DI1769" s="64">
        <f>($E1769-$E1770)*100</f>
        <v/>
      </c>
      <c r="DJ1769" s="64">
        <f>($H1769-$H1770)*100</f>
        <v/>
      </c>
      <c r="DK1769" s="65">
        <f>IFERROR($J1769/$J1770-1,"")</f>
        <v/>
      </c>
      <c r="DL1769" s="64">
        <f>$L1769-$L1770</f>
        <v/>
      </c>
      <c r="DM1769" s="64">
        <f>$K1769-$K1770</f>
        <v/>
      </c>
      <c r="DN1769" s="65">
        <f>IFERROR($N1769/$N1770-1,"")</f>
        <v/>
      </c>
      <c r="DO1769" s="65">
        <f>IFERROR($M1769/$M1770-1,"")</f>
        <v/>
      </c>
      <c r="DP1769" s="65">
        <f>IFERROR($AZ1769/$AZ1770-1,"")</f>
        <v/>
      </c>
      <c r="DQ1769" s="65">
        <f>IFERROR($BA1769/$BA1770-1,"")</f>
        <v/>
      </c>
      <c r="DR1769" s="64">
        <f>$O1769-$O1770</f>
        <v/>
      </c>
      <c r="DS1769" s="64">
        <f>$P1769-$P1770</f>
        <v/>
      </c>
      <c r="DT1769" s="64">
        <f>$Q1769-$Q1770</f>
        <v/>
      </c>
      <c r="DU1769" s="64">
        <f>$S1769-$S1770</f>
        <v/>
      </c>
      <c r="DV1769" s="65">
        <f>IFERROR(AVERAGE($AA1770/$AA1769-1,$AB1770/$AB1769-1,$AC1770/$AC1769-1,$AD1770/$AD1769-1,$AE1770/$AE1769-1,$AG1770/$AG1769-1,$AH1770/$AH1769-1,$AI1770/$AI1769-1,$AJ1770/$AJ1769-1,$AL1770/$AL1769-1,$AM1770/$AM1769-1,$AR1770/$AR1769-1,$AS1770/$AS1769-1,$AT1770/$AT1769-1,$AU1770/$AU1769-1,$AV1770/$AV1769-1,$AW1770/$AW1769-1,$AX1770/$AX1769-1,$AY1770/$AY1769-1),"")</f>
        <v/>
      </c>
      <c r="DW1769" s="66">
        <f>AVERAGE($CB1769,$CC1769,$CD1769,$CE1769,$CF1769,$CG1769,$CH1769,$CI1769,$CJ1769,$CL1769,$CM1769,$CN1769,$CO1769,$CP1769,$CQ1769,$CR1769,$CS1769,$CT1769)</f>
        <v/>
      </c>
      <c r="DX1769" s="66">
        <f>AVERAGE($CB1769,$CC1769,$CM1769,$CE1769,$CP1769)</f>
        <v/>
      </c>
      <c r="DY1769" s="64">
        <f>($DW1769-$DW1770)*100</f>
        <v/>
      </c>
      <c r="DZ1769" s="64">
        <f>($DX1769-$DX1770)*100</f>
        <v/>
      </c>
      <c r="EA1769" s="64">
        <f>($DW1769-$D1769)*100</f>
        <v/>
      </c>
      <c r="EB1769" s="64">
        <f>$Q1769-$O1769</f>
        <v/>
      </c>
      <c r="EC1769" s="67">
        <f>IFERROR($Q1769/$P1769,"")</f>
        <v/>
      </c>
    </row>
    <row r="1770">
      <c r="DG1770" s="64">
        <f>($B1770-$B1771)*100</f>
        <v/>
      </c>
      <c r="DH1770" s="64">
        <f>($D1770-$D1771)*100</f>
        <v/>
      </c>
      <c r="DI1770" s="64">
        <f>($E1770-$E1771)*100</f>
        <v/>
      </c>
      <c r="DJ1770" s="64">
        <f>($H1770-$H1771)*100</f>
        <v/>
      </c>
      <c r="DK1770" s="65">
        <f>IFERROR($J1770/$J1771-1,"")</f>
        <v/>
      </c>
      <c r="DL1770" s="64">
        <f>$L1770-$L1771</f>
        <v/>
      </c>
      <c r="DM1770" s="64">
        <f>$K1770-$K1771</f>
        <v/>
      </c>
      <c r="DN1770" s="65">
        <f>IFERROR($N1770/$N1771-1,"")</f>
        <v/>
      </c>
      <c r="DO1770" s="65">
        <f>IFERROR($M1770/$M1771-1,"")</f>
        <v/>
      </c>
      <c r="DP1770" s="65">
        <f>IFERROR($AZ1770/$AZ1771-1,"")</f>
        <v/>
      </c>
      <c r="DQ1770" s="65">
        <f>IFERROR($BA1770/$BA1771-1,"")</f>
        <v/>
      </c>
      <c r="DR1770" s="64">
        <f>$O1770-$O1771</f>
        <v/>
      </c>
      <c r="DS1770" s="64">
        <f>$P1770-$P1771</f>
        <v/>
      </c>
      <c r="DT1770" s="64">
        <f>$Q1770-$Q1771</f>
        <v/>
      </c>
      <c r="DU1770" s="64">
        <f>$S1770-$S1771</f>
        <v/>
      </c>
      <c r="DV1770" s="65">
        <f>IFERROR(AVERAGE($AA1771/$AA1770-1,$AB1771/$AB1770-1,$AC1771/$AC1770-1,$AD1771/$AD1770-1,$AE1771/$AE1770-1,$AG1771/$AG1770-1,$AH1771/$AH1770-1,$AI1771/$AI1770-1,$AJ1771/$AJ1770-1,$AL1771/$AL1770-1,$AM1771/$AM1770-1,$AR1771/$AR1770-1,$AS1771/$AS1770-1,$AT1771/$AT1770-1,$AU1771/$AU1770-1,$AV1771/$AV1770-1,$AW1771/$AW1770-1,$AX1771/$AX1770-1,$AY1771/$AY1770-1),"")</f>
        <v/>
      </c>
      <c r="DW1770" s="66">
        <f>AVERAGE($CB1770,$CC1770,$CD1770,$CE1770,$CF1770,$CG1770,$CH1770,$CI1770,$CJ1770,$CL1770,$CM1770,$CN1770,$CO1770,$CP1770,$CQ1770,$CR1770,$CS1770,$CT1770)</f>
        <v/>
      </c>
      <c r="DX1770" s="66">
        <f>AVERAGE($CB1770,$CC1770,$CM1770,$CE1770,$CP1770)</f>
        <v/>
      </c>
      <c r="DY1770" s="64">
        <f>($DW1770-$DW1771)*100</f>
        <v/>
      </c>
      <c r="DZ1770" s="64">
        <f>($DX1770-$DX1771)*100</f>
        <v/>
      </c>
      <c r="EA1770" s="64">
        <f>($DW1770-$D1770)*100</f>
        <v/>
      </c>
      <c r="EB1770" s="64">
        <f>$Q1770-$O1770</f>
        <v/>
      </c>
      <c r="EC1770" s="67">
        <f>IFERROR($Q1770/$P1770,"")</f>
        <v/>
      </c>
    </row>
    <row r="1771">
      <c r="DG1771" s="64">
        <f>($B1771-$B1772)*100</f>
        <v/>
      </c>
      <c r="DH1771" s="64">
        <f>($D1771-$D1772)*100</f>
        <v/>
      </c>
      <c r="DI1771" s="64">
        <f>($E1771-$E1772)*100</f>
        <v/>
      </c>
      <c r="DJ1771" s="64">
        <f>($H1771-$H1772)*100</f>
        <v/>
      </c>
      <c r="DK1771" s="65">
        <f>IFERROR($J1771/$J1772-1,"")</f>
        <v/>
      </c>
      <c r="DL1771" s="64">
        <f>$L1771-$L1772</f>
        <v/>
      </c>
      <c r="DM1771" s="64">
        <f>$K1771-$K1772</f>
        <v/>
      </c>
      <c r="DN1771" s="65">
        <f>IFERROR($N1771/$N1772-1,"")</f>
        <v/>
      </c>
      <c r="DO1771" s="65">
        <f>IFERROR($M1771/$M1772-1,"")</f>
        <v/>
      </c>
      <c r="DP1771" s="65">
        <f>IFERROR($AZ1771/$AZ1772-1,"")</f>
        <v/>
      </c>
      <c r="DQ1771" s="65">
        <f>IFERROR($BA1771/$BA1772-1,"")</f>
        <v/>
      </c>
      <c r="DR1771" s="64">
        <f>$O1771-$O1772</f>
        <v/>
      </c>
      <c r="DS1771" s="64">
        <f>$P1771-$P1772</f>
        <v/>
      </c>
      <c r="DT1771" s="64">
        <f>$Q1771-$Q1772</f>
        <v/>
      </c>
      <c r="DU1771" s="64">
        <f>$S1771-$S1772</f>
        <v/>
      </c>
      <c r="DV1771" s="65">
        <f>IFERROR(AVERAGE($AA1772/$AA1771-1,$AB1772/$AB1771-1,$AC1772/$AC1771-1,$AD1772/$AD1771-1,$AE1772/$AE1771-1,$AG1772/$AG1771-1,$AH1772/$AH1771-1,$AI1772/$AI1771-1,$AJ1772/$AJ1771-1,$AL1772/$AL1771-1,$AM1772/$AM1771-1,$AR1772/$AR1771-1,$AS1772/$AS1771-1,$AT1772/$AT1771-1,$AU1772/$AU1771-1,$AV1772/$AV1771-1,$AW1772/$AW1771-1,$AX1772/$AX1771-1,$AY1772/$AY1771-1),"")</f>
        <v/>
      </c>
      <c r="DW1771" s="66">
        <f>AVERAGE($CB1771,$CC1771,$CD1771,$CE1771,$CF1771,$CG1771,$CH1771,$CI1771,$CJ1771,$CL1771,$CM1771,$CN1771,$CO1771,$CP1771,$CQ1771,$CR1771,$CS1771,$CT1771)</f>
        <v/>
      </c>
      <c r="DX1771" s="66">
        <f>AVERAGE($CB1771,$CC1771,$CM1771,$CE1771,$CP1771)</f>
        <v/>
      </c>
      <c r="DY1771" s="64">
        <f>($DW1771-$DW1772)*100</f>
        <v/>
      </c>
      <c r="DZ1771" s="64">
        <f>($DX1771-$DX1772)*100</f>
        <v/>
      </c>
      <c r="EA1771" s="64">
        <f>($DW1771-$D1771)*100</f>
        <v/>
      </c>
      <c r="EB1771" s="64">
        <f>$Q1771-$O1771</f>
        <v/>
      </c>
      <c r="EC1771" s="67">
        <f>IFERROR($Q1771/$P1771,"")</f>
        <v/>
      </c>
    </row>
    <row r="1772">
      <c r="DG1772" s="64">
        <f>($B1772-$B1773)*100</f>
        <v/>
      </c>
      <c r="DH1772" s="64">
        <f>($D1772-$D1773)*100</f>
        <v/>
      </c>
      <c r="DI1772" s="64">
        <f>($E1772-$E1773)*100</f>
        <v/>
      </c>
      <c r="DJ1772" s="64">
        <f>($H1772-$H1773)*100</f>
        <v/>
      </c>
      <c r="DK1772" s="65">
        <f>IFERROR($J1772/$J1773-1,"")</f>
        <v/>
      </c>
      <c r="DL1772" s="64">
        <f>$L1772-$L1773</f>
        <v/>
      </c>
      <c r="DM1772" s="64">
        <f>$K1772-$K1773</f>
        <v/>
      </c>
      <c r="DN1772" s="65">
        <f>IFERROR($N1772/$N1773-1,"")</f>
        <v/>
      </c>
      <c r="DO1772" s="65">
        <f>IFERROR($M1772/$M1773-1,"")</f>
        <v/>
      </c>
      <c r="DP1772" s="65">
        <f>IFERROR($AZ1772/$AZ1773-1,"")</f>
        <v/>
      </c>
      <c r="DQ1772" s="65">
        <f>IFERROR($BA1772/$BA1773-1,"")</f>
        <v/>
      </c>
      <c r="DR1772" s="64">
        <f>$O1772-$O1773</f>
        <v/>
      </c>
      <c r="DS1772" s="64">
        <f>$P1772-$P1773</f>
        <v/>
      </c>
      <c r="DT1772" s="64">
        <f>$Q1772-$Q1773</f>
        <v/>
      </c>
      <c r="DU1772" s="64">
        <f>$S1772-$S1773</f>
        <v/>
      </c>
      <c r="DV1772" s="65">
        <f>IFERROR(AVERAGE($AA1773/$AA1772-1,$AB1773/$AB1772-1,$AC1773/$AC1772-1,$AD1773/$AD1772-1,$AE1773/$AE1772-1,$AG1773/$AG1772-1,$AH1773/$AH1772-1,$AI1773/$AI1772-1,$AJ1773/$AJ1772-1,$AL1773/$AL1772-1,$AM1773/$AM1772-1,$AR1773/$AR1772-1,$AS1773/$AS1772-1,$AT1773/$AT1772-1,$AU1773/$AU1772-1,$AV1773/$AV1772-1,$AW1773/$AW1772-1,$AX1773/$AX1772-1,$AY1773/$AY1772-1),"")</f>
        <v/>
      </c>
      <c r="DW1772" s="66">
        <f>AVERAGE($CB1772,$CC1772,$CD1772,$CE1772,$CF1772,$CG1772,$CH1772,$CI1772,$CJ1772,$CL1772,$CM1772,$CN1772,$CO1772,$CP1772,$CQ1772,$CR1772,$CS1772,$CT1772)</f>
        <v/>
      </c>
      <c r="DX1772" s="66">
        <f>AVERAGE($CB1772,$CC1772,$CM1772,$CE1772,$CP1772)</f>
        <v/>
      </c>
      <c r="DY1772" s="64">
        <f>($DW1772-$DW1773)*100</f>
        <v/>
      </c>
      <c r="DZ1772" s="64">
        <f>($DX1772-$DX1773)*100</f>
        <v/>
      </c>
      <c r="EA1772" s="64">
        <f>($DW1772-$D1772)*100</f>
        <v/>
      </c>
      <c r="EB1772" s="64">
        <f>$Q1772-$O1772</f>
        <v/>
      </c>
      <c r="EC1772" s="67">
        <f>IFERROR($Q1772/$P1772,"")</f>
        <v/>
      </c>
    </row>
    <row r="1773">
      <c r="DG1773" s="64">
        <f>($B1773-$B1774)*100</f>
        <v/>
      </c>
      <c r="DH1773" s="64">
        <f>($D1773-$D1774)*100</f>
        <v/>
      </c>
      <c r="DI1773" s="64">
        <f>($E1773-$E1774)*100</f>
        <v/>
      </c>
      <c r="DJ1773" s="64">
        <f>($H1773-$H1774)*100</f>
        <v/>
      </c>
      <c r="DK1773" s="65">
        <f>IFERROR($J1773/$J1774-1,"")</f>
        <v/>
      </c>
      <c r="DL1773" s="64">
        <f>$L1773-$L1774</f>
        <v/>
      </c>
      <c r="DM1773" s="64">
        <f>$K1773-$K1774</f>
        <v/>
      </c>
      <c r="DN1773" s="65">
        <f>IFERROR($N1773/$N1774-1,"")</f>
        <v/>
      </c>
      <c r="DO1773" s="65">
        <f>IFERROR($M1773/$M1774-1,"")</f>
        <v/>
      </c>
      <c r="DP1773" s="65">
        <f>IFERROR($AZ1773/$AZ1774-1,"")</f>
        <v/>
      </c>
      <c r="DQ1773" s="65">
        <f>IFERROR($BA1773/$BA1774-1,"")</f>
        <v/>
      </c>
      <c r="DR1773" s="64">
        <f>$O1773-$O1774</f>
        <v/>
      </c>
      <c r="DS1773" s="64">
        <f>$P1773-$P1774</f>
        <v/>
      </c>
      <c r="DT1773" s="64">
        <f>$Q1773-$Q1774</f>
        <v/>
      </c>
      <c r="DU1773" s="64">
        <f>$S1773-$S1774</f>
        <v/>
      </c>
      <c r="DV1773" s="65">
        <f>IFERROR(AVERAGE($AA1774/$AA1773-1,$AB1774/$AB1773-1,$AC1774/$AC1773-1,$AD1774/$AD1773-1,$AE1774/$AE1773-1,$AG1774/$AG1773-1,$AH1774/$AH1773-1,$AI1774/$AI1773-1,$AJ1774/$AJ1773-1,$AL1774/$AL1773-1,$AM1774/$AM1773-1,$AR1774/$AR1773-1,$AS1774/$AS1773-1,$AT1774/$AT1773-1,$AU1774/$AU1773-1,$AV1774/$AV1773-1,$AW1774/$AW1773-1,$AX1774/$AX1773-1,$AY1774/$AY1773-1),"")</f>
        <v/>
      </c>
      <c r="DW1773" s="66">
        <f>AVERAGE($CB1773,$CC1773,$CD1773,$CE1773,$CF1773,$CG1773,$CH1773,$CI1773,$CJ1773,$CL1773,$CM1773,$CN1773,$CO1773,$CP1773,$CQ1773,$CR1773,$CS1773,$CT1773)</f>
        <v/>
      </c>
      <c r="DX1773" s="66">
        <f>AVERAGE($CB1773,$CC1773,$CM1773,$CE1773,$CP1773)</f>
        <v/>
      </c>
      <c r="DY1773" s="64">
        <f>($DW1773-$DW1774)*100</f>
        <v/>
      </c>
      <c r="DZ1773" s="64">
        <f>($DX1773-$DX1774)*100</f>
        <v/>
      </c>
      <c r="EA1773" s="64">
        <f>($DW1773-$D1773)*100</f>
        <v/>
      </c>
      <c r="EB1773" s="64">
        <f>$Q1773-$O1773</f>
        <v/>
      </c>
      <c r="EC1773" s="67">
        <f>IFERROR($Q1773/$P1773,"")</f>
        <v/>
      </c>
    </row>
    <row r="1774">
      <c r="DG1774" s="64">
        <f>($B1774-$B1775)*100</f>
        <v/>
      </c>
      <c r="DH1774" s="64">
        <f>($D1774-$D1775)*100</f>
        <v/>
      </c>
      <c r="DI1774" s="64">
        <f>($E1774-$E1775)*100</f>
        <v/>
      </c>
      <c r="DJ1774" s="64">
        <f>($H1774-$H1775)*100</f>
        <v/>
      </c>
      <c r="DK1774" s="65">
        <f>IFERROR($J1774/$J1775-1,"")</f>
        <v/>
      </c>
      <c r="DL1774" s="64">
        <f>$L1774-$L1775</f>
        <v/>
      </c>
      <c r="DM1774" s="64">
        <f>$K1774-$K1775</f>
        <v/>
      </c>
      <c r="DN1774" s="65">
        <f>IFERROR($N1774/$N1775-1,"")</f>
        <v/>
      </c>
      <c r="DO1774" s="65">
        <f>IFERROR($M1774/$M1775-1,"")</f>
        <v/>
      </c>
      <c r="DP1774" s="65">
        <f>IFERROR($AZ1774/$AZ1775-1,"")</f>
        <v/>
      </c>
      <c r="DQ1774" s="65">
        <f>IFERROR($BA1774/$BA1775-1,"")</f>
        <v/>
      </c>
      <c r="DR1774" s="64">
        <f>$O1774-$O1775</f>
        <v/>
      </c>
      <c r="DS1774" s="64">
        <f>$P1774-$P1775</f>
        <v/>
      </c>
      <c r="DT1774" s="64">
        <f>$Q1774-$Q1775</f>
        <v/>
      </c>
      <c r="DU1774" s="64">
        <f>$S1774-$S1775</f>
        <v/>
      </c>
      <c r="DV1774" s="65">
        <f>IFERROR(AVERAGE($AA1775/$AA1774-1,$AB1775/$AB1774-1,$AC1775/$AC1774-1,$AD1775/$AD1774-1,$AE1775/$AE1774-1,$AG1775/$AG1774-1,$AH1775/$AH1774-1,$AI1775/$AI1774-1,$AJ1775/$AJ1774-1,$AL1775/$AL1774-1,$AM1775/$AM1774-1,$AR1775/$AR1774-1,$AS1775/$AS1774-1,$AT1775/$AT1774-1,$AU1775/$AU1774-1,$AV1775/$AV1774-1,$AW1775/$AW1774-1,$AX1775/$AX1774-1,$AY1775/$AY1774-1),"")</f>
        <v/>
      </c>
      <c r="DW1774" s="66">
        <f>AVERAGE($CB1774,$CC1774,$CD1774,$CE1774,$CF1774,$CG1774,$CH1774,$CI1774,$CJ1774,$CL1774,$CM1774,$CN1774,$CO1774,$CP1774,$CQ1774,$CR1774,$CS1774,$CT1774)</f>
        <v/>
      </c>
      <c r="DX1774" s="66">
        <f>AVERAGE($CB1774,$CC1774,$CM1774,$CE1774,$CP1774)</f>
        <v/>
      </c>
      <c r="DY1774" s="64">
        <f>($DW1774-$DW1775)*100</f>
        <v/>
      </c>
      <c r="DZ1774" s="64">
        <f>($DX1774-$DX1775)*100</f>
        <v/>
      </c>
      <c r="EA1774" s="64">
        <f>($DW1774-$D1774)*100</f>
        <v/>
      </c>
      <c r="EB1774" s="64">
        <f>$Q1774-$O1774</f>
        <v/>
      </c>
      <c r="EC1774" s="67">
        <f>IFERROR($Q1774/$P1774,"")</f>
        <v/>
      </c>
    </row>
    <row r="1775">
      <c r="DG1775" s="64">
        <f>($B1775-$B1776)*100</f>
        <v/>
      </c>
      <c r="DH1775" s="64">
        <f>($D1775-$D1776)*100</f>
        <v/>
      </c>
      <c r="DI1775" s="64">
        <f>($E1775-$E1776)*100</f>
        <v/>
      </c>
      <c r="DJ1775" s="64">
        <f>($H1775-$H1776)*100</f>
        <v/>
      </c>
      <c r="DK1775" s="65">
        <f>IFERROR($J1775/$J1776-1,"")</f>
        <v/>
      </c>
      <c r="DL1775" s="64">
        <f>$L1775-$L1776</f>
        <v/>
      </c>
      <c r="DM1775" s="64">
        <f>$K1775-$K1776</f>
        <v/>
      </c>
      <c r="DN1775" s="65">
        <f>IFERROR($N1775/$N1776-1,"")</f>
        <v/>
      </c>
      <c r="DO1775" s="65">
        <f>IFERROR($M1775/$M1776-1,"")</f>
        <v/>
      </c>
      <c r="DP1775" s="65">
        <f>IFERROR($AZ1775/$AZ1776-1,"")</f>
        <v/>
      </c>
      <c r="DQ1775" s="65">
        <f>IFERROR($BA1775/$BA1776-1,"")</f>
        <v/>
      </c>
      <c r="DR1775" s="64">
        <f>$O1775-$O1776</f>
        <v/>
      </c>
      <c r="DS1775" s="64">
        <f>$P1775-$P1776</f>
        <v/>
      </c>
      <c r="DT1775" s="64">
        <f>$Q1775-$Q1776</f>
        <v/>
      </c>
      <c r="DU1775" s="64">
        <f>$S1775-$S1776</f>
        <v/>
      </c>
      <c r="DV1775" s="65">
        <f>IFERROR(AVERAGE($AA1776/$AA1775-1,$AB1776/$AB1775-1,$AC1776/$AC1775-1,$AD1776/$AD1775-1,$AE1776/$AE1775-1,$AG1776/$AG1775-1,$AH1776/$AH1775-1,$AI1776/$AI1775-1,$AJ1776/$AJ1775-1,$AL1776/$AL1775-1,$AM1776/$AM1775-1,$AR1776/$AR1775-1,$AS1776/$AS1775-1,$AT1776/$AT1775-1,$AU1776/$AU1775-1,$AV1776/$AV1775-1,$AW1776/$AW1775-1,$AX1776/$AX1775-1,$AY1776/$AY1775-1),"")</f>
        <v/>
      </c>
      <c r="DW1775" s="66">
        <f>AVERAGE($CB1775,$CC1775,$CD1775,$CE1775,$CF1775,$CG1775,$CH1775,$CI1775,$CJ1775,$CL1775,$CM1775,$CN1775,$CO1775,$CP1775,$CQ1775,$CR1775,$CS1775,$CT1775)</f>
        <v/>
      </c>
      <c r="DX1775" s="66">
        <f>AVERAGE($CB1775,$CC1775,$CM1775,$CE1775,$CP1775)</f>
        <v/>
      </c>
      <c r="DY1775" s="64">
        <f>($DW1775-$DW1776)*100</f>
        <v/>
      </c>
      <c r="DZ1775" s="64">
        <f>($DX1775-$DX1776)*100</f>
        <v/>
      </c>
      <c r="EA1775" s="64">
        <f>($DW1775-$D1775)*100</f>
        <v/>
      </c>
      <c r="EB1775" s="64">
        <f>$Q1775-$O1775</f>
        <v/>
      </c>
      <c r="EC1775" s="67">
        <f>IFERROR($Q1775/$P1775,"")</f>
        <v/>
      </c>
    </row>
    <row r="1776">
      <c r="DG1776" s="64">
        <f>($B1776-$B1777)*100</f>
        <v/>
      </c>
      <c r="DH1776" s="64">
        <f>($D1776-$D1777)*100</f>
        <v/>
      </c>
      <c r="DI1776" s="64">
        <f>($E1776-$E1777)*100</f>
        <v/>
      </c>
      <c r="DJ1776" s="64">
        <f>($H1776-$H1777)*100</f>
        <v/>
      </c>
      <c r="DK1776" s="65">
        <f>IFERROR($J1776/$J1777-1,"")</f>
        <v/>
      </c>
      <c r="DL1776" s="64">
        <f>$L1776-$L1777</f>
        <v/>
      </c>
      <c r="DM1776" s="64">
        <f>$K1776-$K1777</f>
        <v/>
      </c>
      <c r="DN1776" s="65">
        <f>IFERROR($N1776/$N1777-1,"")</f>
        <v/>
      </c>
      <c r="DO1776" s="65">
        <f>IFERROR($M1776/$M1777-1,"")</f>
        <v/>
      </c>
      <c r="DP1776" s="65">
        <f>IFERROR($AZ1776/$AZ1777-1,"")</f>
        <v/>
      </c>
      <c r="DQ1776" s="65">
        <f>IFERROR($BA1776/$BA1777-1,"")</f>
        <v/>
      </c>
      <c r="DR1776" s="64">
        <f>$O1776-$O1777</f>
        <v/>
      </c>
      <c r="DS1776" s="64">
        <f>$P1776-$P1777</f>
        <v/>
      </c>
      <c r="DT1776" s="64">
        <f>$Q1776-$Q1777</f>
        <v/>
      </c>
      <c r="DU1776" s="64">
        <f>$S1776-$S1777</f>
        <v/>
      </c>
      <c r="DV1776" s="65">
        <f>IFERROR(AVERAGE($AA1777/$AA1776-1,$AB1777/$AB1776-1,$AC1777/$AC1776-1,$AD1777/$AD1776-1,$AE1777/$AE1776-1,$AG1777/$AG1776-1,$AH1777/$AH1776-1,$AI1777/$AI1776-1,$AJ1777/$AJ1776-1,$AL1777/$AL1776-1,$AM1777/$AM1776-1,$AR1777/$AR1776-1,$AS1777/$AS1776-1,$AT1777/$AT1776-1,$AU1777/$AU1776-1,$AV1777/$AV1776-1,$AW1777/$AW1776-1,$AX1777/$AX1776-1,$AY1777/$AY1776-1),"")</f>
        <v/>
      </c>
      <c r="DW1776" s="66">
        <f>AVERAGE($CB1776,$CC1776,$CD1776,$CE1776,$CF1776,$CG1776,$CH1776,$CI1776,$CJ1776,$CL1776,$CM1776,$CN1776,$CO1776,$CP1776,$CQ1776,$CR1776,$CS1776,$CT1776)</f>
        <v/>
      </c>
      <c r="DX1776" s="66">
        <f>AVERAGE($CB1776,$CC1776,$CM1776,$CE1776,$CP1776)</f>
        <v/>
      </c>
      <c r="DY1776" s="64">
        <f>($DW1776-$DW1777)*100</f>
        <v/>
      </c>
      <c r="DZ1776" s="64">
        <f>($DX1776-$DX1777)*100</f>
        <v/>
      </c>
      <c r="EA1776" s="64">
        <f>($DW1776-$D1776)*100</f>
        <v/>
      </c>
      <c r="EB1776" s="64">
        <f>$Q1776-$O1776</f>
        <v/>
      </c>
      <c r="EC1776" s="67">
        <f>IFERROR($Q1776/$P1776,"")</f>
        <v/>
      </c>
    </row>
    <row r="1777">
      <c r="DG1777" s="64">
        <f>($B1777-$B1778)*100</f>
        <v/>
      </c>
      <c r="DH1777" s="64">
        <f>($D1777-$D1778)*100</f>
        <v/>
      </c>
      <c r="DI1777" s="64">
        <f>($E1777-$E1778)*100</f>
        <v/>
      </c>
      <c r="DJ1777" s="64">
        <f>($H1777-$H1778)*100</f>
        <v/>
      </c>
      <c r="DK1777" s="65">
        <f>IFERROR($J1777/$J1778-1,"")</f>
        <v/>
      </c>
      <c r="DL1777" s="64">
        <f>$L1777-$L1778</f>
        <v/>
      </c>
      <c r="DM1777" s="64">
        <f>$K1777-$K1778</f>
        <v/>
      </c>
      <c r="DN1777" s="65">
        <f>IFERROR($N1777/$N1778-1,"")</f>
        <v/>
      </c>
      <c r="DO1777" s="65">
        <f>IFERROR($M1777/$M1778-1,"")</f>
        <v/>
      </c>
      <c r="DP1777" s="65">
        <f>IFERROR($AZ1777/$AZ1778-1,"")</f>
        <v/>
      </c>
      <c r="DQ1777" s="65">
        <f>IFERROR($BA1777/$BA1778-1,"")</f>
        <v/>
      </c>
      <c r="DR1777" s="64">
        <f>$O1777-$O1778</f>
        <v/>
      </c>
      <c r="DS1777" s="64">
        <f>$P1777-$P1778</f>
        <v/>
      </c>
      <c r="DT1777" s="64">
        <f>$Q1777-$Q1778</f>
        <v/>
      </c>
      <c r="DU1777" s="64">
        <f>$S1777-$S1778</f>
        <v/>
      </c>
      <c r="DV1777" s="65">
        <f>IFERROR(AVERAGE($AA1778/$AA1777-1,$AB1778/$AB1777-1,$AC1778/$AC1777-1,$AD1778/$AD1777-1,$AE1778/$AE1777-1,$AG1778/$AG1777-1,$AH1778/$AH1777-1,$AI1778/$AI1777-1,$AJ1778/$AJ1777-1,$AL1778/$AL1777-1,$AM1778/$AM1777-1,$AR1778/$AR1777-1,$AS1778/$AS1777-1,$AT1778/$AT1777-1,$AU1778/$AU1777-1,$AV1778/$AV1777-1,$AW1778/$AW1777-1,$AX1778/$AX1777-1,$AY1778/$AY1777-1),"")</f>
        <v/>
      </c>
      <c r="DW1777" s="66">
        <f>AVERAGE($CB1777,$CC1777,$CD1777,$CE1777,$CF1777,$CG1777,$CH1777,$CI1777,$CJ1777,$CL1777,$CM1777,$CN1777,$CO1777,$CP1777,$CQ1777,$CR1777,$CS1777,$CT1777)</f>
        <v/>
      </c>
      <c r="DX1777" s="66">
        <f>AVERAGE($CB1777,$CC1777,$CM1777,$CE1777,$CP1777)</f>
        <v/>
      </c>
      <c r="DY1777" s="64">
        <f>($DW1777-$DW1778)*100</f>
        <v/>
      </c>
      <c r="DZ1777" s="64">
        <f>($DX1777-$DX1778)*100</f>
        <v/>
      </c>
      <c r="EA1777" s="64">
        <f>($DW1777-$D1777)*100</f>
        <v/>
      </c>
      <c r="EB1777" s="64">
        <f>$Q1777-$O1777</f>
        <v/>
      </c>
      <c r="EC1777" s="67">
        <f>IFERROR($Q1777/$P1777,"")</f>
        <v/>
      </c>
    </row>
    <row r="1778">
      <c r="DG1778" s="64">
        <f>($B1778-$B1779)*100</f>
        <v/>
      </c>
      <c r="DH1778" s="64">
        <f>($D1778-$D1779)*100</f>
        <v/>
      </c>
      <c r="DI1778" s="64">
        <f>($E1778-$E1779)*100</f>
        <v/>
      </c>
      <c r="DJ1778" s="64">
        <f>($H1778-$H1779)*100</f>
        <v/>
      </c>
      <c r="DK1778" s="65">
        <f>IFERROR($J1778/$J1779-1,"")</f>
        <v/>
      </c>
      <c r="DL1778" s="64">
        <f>$L1778-$L1779</f>
        <v/>
      </c>
      <c r="DM1778" s="64">
        <f>$K1778-$K1779</f>
        <v/>
      </c>
      <c r="DN1778" s="65">
        <f>IFERROR($N1778/$N1779-1,"")</f>
        <v/>
      </c>
      <c r="DO1778" s="65">
        <f>IFERROR($M1778/$M1779-1,"")</f>
        <v/>
      </c>
      <c r="DP1778" s="65">
        <f>IFERROR($AZ1778/$AZ1779-1,"")</f>
        <v/>
      </c>
      <c r="DQ1778" s="65">
        <f>IFERROR($BA1778/$BA1779-1,"")</f>
        <v/>
      </c>
      <c r="DR1778" s="64">
        <f>$O1778-$O1779</f>
        <v/>
      </c>
      <c r="DS1778" s="64">
        <f>$P1778-$P1779</f>
        <v/>
      </c>
      <c r="DT1778" s="64">
        <f>$Q1778-$Q1779</f>
        <v/>
      </c>
      <c r="DU1778" s="64">
        <f>$S1778-$S1779</f>
        <v/>
      </c>
      <c r="DV1778" s="65">
        <f>IFERROR(AVERAGE($AA1779/$AA1778-1,$AB1779/$AB1778-1,$AC1779/$AC1778-1,$AD1779/$AD1778-1,$AE1779/$AE1778-1,$AG1779/$AG1778-1,$AH1779/$AH1778-1,$AI1779/$AI1778-1,$AJ1779/$AJ1778-1,$AL1779/$AL1778-1,$AM1779/$AM1778-1,$AR1779/$AR1778-1,$AS1779/$AS1778-1,$AT1779/$AT1778-1,$AU1779/$AU1778-1,$AV1779/$AV1778-1,$AW1779/$AW1778-1,$AX1779/$AX1778-1,$AY1779/$AY1778-1),"")</f>
        <v/>
      </c>
      <c r="DW1778" s="66">
        <f>AVERAGE($CB1778,$CC1778,$CD1778,$CE1778,$CF1778,$CG1778,$CH1778,$CI1778,$CJ1778,$CL1778,$CM1778,$CN1778,$CO1778,$CP1778,$CQ1778,$CR1778,$CS1778,$CT1778)</f>
        <v/>
      </c>
      <c r="DX1778" s="66">
        <f>AVERAGE($CB1778,$CC1778,$CM1778,$CE1778,$CP1778)</f>
        <v/>
      </c>
      <c r="DY1778" s="64">
        <f>($DW1778-$DW1779)*100</f>
        <v/>
      </c>
      <c r="DZ1778" s="64">
        <f>($DX1778-$DX1779)*100</f>
        <v/>
      </c>
      <c r="EA1778" s="64">
        <f>($DW1778-$D1778)*100</f>
        <v/>
      </c>
      <c r="EB1778" s="64">
        <f>$Q1778-$O1778</f>
        <v/>
      </c>
      <c r="EC1778" s="67">
        <f>IFERROR($Q1778/$P1778,"")</f>
        <v/>
      </c>
    </row>
    <row r="1779">
      <c r="DG1779" s="64">
        <f>($B1779-$B1780)*100</f>
        <v/>
      </c>
      <c r="DH1779" s="64">
        <f>($D1779-$D1780)*100</f>
        <v/>
      </c>
      <c r="DI1779" s="64">
        <f>($E1779-$E1780)*100</f>
        <v/>
      </c>
      <c r="DJ1779" s="64">
        <f>($H1779-$H1780)*100</f>
        <v/>
      </c>
      <c r="DK1779" s="65">
        <f>IFERROR($J1779/$J1780-1,"")</f>
        <v/>
      </c>
      <c r="DL1779" s="64">
        <f>$L1779-$L1780</f>
        <v/>
      </c>
      <c r="DM1779" s="64">
        <f>$K1779-$K1780</f>
        <v/>
      </c>
      <c r="DN1779" s="65">
        <f>IFERROR($N1779/$N1780-1,"")</f>
        <v/>
      </c>
      <c r="DO1779" s="65">
        <f>IFERROR($M1779/$M1780-1,"")</f>
        <v/>
      </c>
      <c r="DP1779" s="65">
        <f>IFERROR($AZ1779/$AZ1780-1,"")</f>
        <v/>
      </c>
      <c r="DQ1779" s="65">
        <f>IFERROR($BA1779/$BA1780-1,"")</f>
        <v/>
      </c>
      <c r="DR1779" s="64">
        <f>$O1779-$O1780</f>
        <v/>
      </c>
      <c r="DS1779" s="64">
        <f>$P1779-$P1780</f>
        <v/>
      </c>
      <c r="DT1779" s="64">
        <f>$Q1779-$Q1780</f>
        <v/>
      </c>
      <c r="DU1779" s="64">
        <f>$S1779-$S1780</f>
        <v/>
      </c>
      <c r="DV1779" s="65">
        <f>IFERROR(AVERAGE($AA1780/$AA1779-1,$AB1780/$AB1779-1,$AC1780/$AC1779-1,$AD1780/$AD1779-1,$AE1780/$AE1779-1,$AG1780/$AG1779-1,$AH1780/$AH1779-1,$AI1780/$AI1779-1,$AJ1780/$AJ1779-1,$AL1780/$AL1779-1,$AM1780/$AM1779-1,$AR1780/$AR1779-1,$AS1780/$AS1779-1,$AT1780/$AT1779-1,$AU1780/$AU1779-1,$AV1780/$AV1779-1,$AW1780/$AW1779-1,$AX1780/$AX1779-1,$AY1780/$AY1779-1),"")</f>
        <v/>
      </c>
      <c r="DW1779" s="66">
        <f>AVERAGE($CB1779,$CC1779,$CD1779,$CE1779,$CF1779,$CG1779,$CH1779,$CI1779,$CJ1779,$CL1779,$CM1779,$CN1779,$CO1779,$CP1779,$CQ1779,$CR1779,$CS1779,$CT1779)</f>
        <v/>
      </c>
      <c r="DX1779" s="66">
        <f>AVERAGE($CB1779,$CC1779,$CM1779,$CE1779,$CP1779)</f>
        <v/>
      </c>
      <c r="DY1779" s="64">
        <f>($DW1779-$DW1780)*100</f>
        <v/>
      </c>
      <c r="DZ1779" s="64">
        <f>($DX1779-$DX1780)*100</f>
        <v/>
      </c>
      <c r="EA1779" s="64">
        <f>($DW1779-$D1779)*100</f>
        <v/>
      </c>
      <c r="EB1779" s="64">
        <f>$Q1779-$O1779</f>
        <v/>
      </c>
      <c r="EC1779" s="67">
        <f>IFERROR($Q1779/$P1779,"")</f>
        <v/>
      </c>
    </row>
    <row r="1780">
      <c r="DG1780" s="64">
        <f>($B1780-$B1781)*100</f>
        <v/>
      </c>
      <c r="DH1780" s="64">
        <f>($D1780-$D1781)*100</f>
        <v/>
      </c>
      <c r="DI1780" s="64">
        <f>($E1780-$E1781)*100</f>
        <v/>
      </c>
      <c r="DJ1780" s="64">
        <f>($H1780-$H1781)*100</f>
        <v/>
      </c>
      <c r="DK1780" s="65">
        <f>IFERROR($J1780/$J1781-1,"")</f>
        <v/>
      </c>
      <c r="DL1780" s="64">
        <f>$L1780-$L1781</f>
        <v/>
      </c>
      <c r="DM1780" s="64">
        <f>$K1780-$K1781</f>
        <v/>
      </c>
      <c r="DN1780" s="65">
        <f>IFERROR($N1780/$N1781-1,"")</f>
        <v/>
      </c>
      <c r="DO1780" s="65">
        <f>IFERROR($M1780/$M1781-1,"")</f>
        <v/>
      </c>
      <c r="DP1780" s="65">
        <f>IFERROR($AZ1780/$AZ1781-1,"")</f>
        <v/>
      </c>
      <c r="DQ1780" s="65">
        <f>IFERROR($BA1780/$BA1781-1,"")</f>
        <v/>
      </c>
      <c r="DR1780" s="64">
        <f>$O1780-$O1781</f>
        <v/>
      </c>
      <c r="DS1780" s="64">
        <f>$P1780-$P1781</f>
        <v/>
      </c>
      <c r="DT1780" s="64">
        <f>$Q1780-$Q1781</f>
        <v/>
      </c>
      <c r="DU1780" s="64">
        <f>$S1780-$S1781</f>
        <v/>
      </c>
      <c r="DV1780" s="65">
        <f>IFERROR(AVERAGE($AA1781/$AA1780-1,$AB1781/$AB1780-1,$AC1781/$AC1780-1,$AD1781/$AD1780-1,$AE1781/$AE1780-1,$AG1781/$AG1780-1,$AH1781/$AH1780-1,$AI1781/$AI1780-1,$AJ1781/$AJ1780-1,$AL1781/$AL1780-1,$AM1781/$AM1780-1,$AR1781/$AR1780-1,$AS1781/$AS1780-1,$AT1781/$AT1780-1,$AU1781/$AU1780-1,$AV1781/$AV1780-1,$AW1781/$AW1780-1,$AX1781/$AX1780-1,$AY1781/$AY1780-1),"")</f>
        <v/>
      </c>
      <c r="DW1780" s="66">
        <f>AVERAGE($CB1780,$CC1780,$CD1780,$CE1780,$CF1780,$CG1780,$CH1780,$CI1780,$CJ1780,$CL1780,$CM1780,$CN1780,$CO1780,$CP1780,$CQ1780,$CR1780,$CS1780,$CT1780)</f>
        <v/>
      </c>
      <c r="DX1780" s="66">
        <f>AVERAGE($CB1780,$CC1780,$CM1780,$CE1780,$CP1780)</f>
        <v/>
      </c>
      <c r="DY1780" s="64">
        <f>($DW1780-$DW1781)*100</f>
        <v/>
      </c>
      <c r="DZ1780" s="64">
        <f>($DX1780-$DX1781)*100</f>
        <v/>
      </c>
      <c r="EA1780" s="64">
        <f>($DW1780-$D1780)*100</f>
        <v/>
      </c>
      <c r="EB1780" s="64">
        <f>$Q1780-$O1780</f>
        <v/>
      </c>
      <c r="EC1780" s="67">
        <f>IFERROR($Q1780/$P1780,"")</f>
        <v/>
      </c>
    </row>
    <row r="1781">
      <c r="DG1781" s="64">
        <f>($B1781-$B1782)*100</f>
        <v/>
      </c>
      <c r="DH1781" s="64">
        <f>($D1781-$D1782)*100</f>
        <v/>
      </c>
      <c r="DI1781" s="64">
        <f>($E1781-$E1782)*100</f>
        <v/>
      </c>
      <c r="DJ1781" s="64">
        <f>($H1781-$H1782)*100</f>
        <v/>
      </c>
      <c r="DK1781" s="65">
        <f>IFERROR($J1781/$J1782-1,"")</f>
        <v/>
      </c>
      <c r="DL1781" s="64">
        <f>$L1781-$L1782</f>
        <v/>
      </c>
      <c r="DM1781" s="64">
        <f>$K1781-$K1782</f>
        <v/>
      </c>
      <c r="DN1781" s="65">
        <f>IFERROR($N1781/$N1782-1,"")</f>
        <v/>
      </c>
      <c r="DO1781" s="65">
        <f>IFERROR($M1781/$M1782-1,"")</f>
        <v/>
      </c>
      <c r="DP1781" s="65">
        <f>IFERROR($AZ1781/$AZ1782-1,"")</f>
        <v/>
      </c>
      <c r="DQ1781" s="65">
        <f>IFERROR($BA1781/$BA1782-1,"")</f>
        <v/>
      </c>
      <c r="DR1781" s="64">
        <f>$O1781-$O1782</f>
        <v/>
      </c>
      <c r="DS1781" s="64">
        <f>$P1781-$P1782</f>
        <v/>
      </c>
      <c r="DT1781" s="64">
        <f>$Q1781-$Q1782</f>
        <v/>
      </c>
      <c r="DU1781" s="64">
        <f>$S1781-$S1782</f>
        <v/>
      </c>
      <c r="DV1781" s="65">
        <f>IFERROR(AVERAGE($AA1782/$AA1781-1,$AB1782/$AB1781-1,$AC1782/$AC1781-1,$AD1782/$AD1781-1,$AE1782/$AE1781-1,$AG1782/$AG1781-1,$AH1782/$AH1781-1,$AI1782/$AI1781-1,$AJ1782/$AJ1781-1,$AL1782/$AL1781-1,$AM1782/$AM1781-1,$AR1782/$AR1781-1,$AS1782/$AS1781-1,$AT1782/$AT1781-1,$AU1782/$AU1781-1,$AV1782/$AV1781-1,$AW1782/$AW1781-1,$AX1782/$AX1781-1,$AY1782/$AY1781-1),"")</f>
        <v/>
      </c>
      <c r="DW1781" s="66">
        <f>AVERAGE($CB1781,$CC1781,$CD1781,$CE1781,$CF1781,$CG1781,$CH1781,$CI1781,$CJ1781,$CL1781,$CM1781,$CN1781,$CO1781,$CP1781,$CQ1781,$CR1781,$CS1781,$CT1781)</f>
        <v/>
      </c>
      <c r="DX1781" s="66">
        <f>AVERAGE($CB1781,$CC1781,$CM1781,$CE1781,$CP1781)</f>
        <v/>
      </c>
      <c r="DY1781" s="64">
        <f>($DW1781-$DW1782)*100</f>
        <v/>
      </c>
      <c r="DZ1781" s="64">
        <f>($DX1781-$DX1782)*100</f>
        <v/>
      </c>
      <c r="EA1781" s="64">
        <f>($DW1781-$D1781)*100</f>
        <v/>
      </c>
      <c r="EB1781" s="64">
        <f>$Q1781-$O1781</f>
        <v/>
      </c>
      <c r="EC1781" s="67">
        <f>IFERROR($Q1781/$P1781,"")</f>
        <v/>
      </c>
    </row>
    <row r="1782">
      <c r="DG1782" s="64">
        <f>($B1782-$B1783)*100</f>
        <v/>
      </c>
      <c r="DH1782" s="64">
        <f>($D1782-$D1783)*100</f>
        <v/>
      </c>
      <c r="DI1782" s="64">
        <f>($E1782-$E1783)*100</f>
        <v/>
      </c>
      <c r="DJ1782" s="64">
        <f>($H1782-$H1783)*100</f>
        <v/>
      </c>
      <c r="DK1782" s="65">
        <f>IFERROR($J1782/$J1783-1,"")</f>
        <v/>
      </c>
      <c r="DL1782" s="64">
        <f>$L1782-$L1783</f>
        <v/>
      </c>
      <c r="DM1782" s="64">
        <f>$K1782-$K1783</f>
        <v/>
      </c>
      <c r="DN1782" s="65">
        <f>IFERROR($N1782/$N1783-1,"")</f>
        <v/>
      </c>
      <c r="DO1782" s="65">
        <f>IFERROR($M1782/$M1783-1,"")</f>
        <v/>
      </c>
      <c r="DP1782" s="65">
        <f>IFERROR($AZ1782/$AZ1783-1,"")</f>
        <v/>
      </c>
      <c r="DQ1782" s="65">
        <f>IFERROR($BA1782/$BA1783-1,"")</f>
        <v/>
      </c>
      <c r="DR1782" s="64">
        <f>$O1782-$O1783</f>
        <v/>
      </c>
      <c r="DS1782" s="64">
        <f>$P1782-$P1783</f>
        <v/>
      </c>
      <c r="DT1782" s="64">
        <f>$Q1782-$Q1783</f>
        <v/>
      </c>
      <c r="DU1782" s="64">
        <f>$S1782-$S1783</f>
        <v/>
      </c>
      <c r="DV1782" s="65">
        <f>IFERROR(AVERAGE($AA1783/$AA1782-1,$AB1783/$AB1782-1,$AC1783/$AC1782-1,$AD1783/$AD1782-1,$AE1783/$AE1782-1,$AG1783/$AG1782-1,$AH1783/$AH1782-1,$AI1783/$AI1782-1,$AJ1783/$AJ1782-1,$AL1783/$AL1782-1,$AM1783/$AM1782-1,$AR1783/$AR1782-1,$AS1783/$AS1782-1,$AT1783/$AT1782-1,$AU1783/$AU1782-1,$AV1783/$AV1782-1,$AW1783/$AW1782-1,$AX1783/$AX1782-1,$AY1783/$AY1782-1),"")</f>
        <v/>
      </c>
      <c r="DW1782" s="66">
        <f>AVERAGE($CB1782,$CC1782,$CD1782,$CE1782,$CF1782,$CG1782,$CH1782,$CI1782,$CJ1782,$CL1782,$CM1782,$CN1782,$CO1782,$CP1782,$CQ1782,$CR1782,$CS1782,$CT1782)</f>
        <v/>
      </c>
      <c r="DX1782" s="66">
        <f>AVERAGE($CB1782,$CC1782,$CM1782,$CE1782,$CP1782)</f>
        <v/>
      </c>
      <c r="DY1782" s="64">
        <f>($DW1782-$DW1783)*100</f>
        <v/>
      </c>
      <c r="DZ1782" s="64">
        <f>($DX1782-$DX1783)*100</f>
        <v/>
      </c>
      <c r="EA1782" s="64">
        <f>($DW1782-$D1782)*100</f>
        <v/>
      </c>
      <c r="EB1782" s="64">
        <f>$Q1782-$O1782</f>
        <v/>
      </c>
      <c r="EC1782" s="67">
        <f>IFERROR($Q1782/$P1782,"")</f>
        <v/>
      </c>
    </row>
    <row r="1783">
      <c r="DG1783" s="64">
        <f>($B1783-$B1784)*100</f>
        <v/>
      </c>
      <c r="DH1783" s="64">
        <f>($D1783-$D1784)*100</f>
        <v/>
      </c>
      <c r="DI1783" s="64">
        <f>($E1783-$E1784)*100</f>
        <v/>
      </c>
      <c r="DJ1783" s="64">
        <f>($H1783-$H1784)*100</f>
        <v/>
      </c>
      <c r="DK1783" s="65">
        <f>IFERROR($J1783/$J1784-1,"")</f>
        <v/>
      </c>
      <c r="DL1783" s="64">
        <f>$L1783-$L1784</f>
        <v/>
      </c>
      <c r="DM1783" s="64">
        <f>$K1783-$K1784</f>
        <v/>
      </c>
      <c r="DN1783" s="65">
        <f>IFERROR($N1783/$N1784-1,"")</f>
        <v/>
      </c>
      <c r="DO1783" s="65">
        <f>IFERROR($M1783/$M1784-1,"")</f>
        <v/>
      </c>
      <c r="DP1783" s="65">
        <f>IFERROR($AZ1783/$AZ1784-1,"")</f>
        <v/>
      </c>
      <c r="DQ1783" s="65">
        <f>IFERROR($BA1783/$BA1784-1,"")</f>
        <v/>
      </c>
      <c r="DR1783" s="64">
        <f>$O1783-$O1784</f>
        <v/>
      </c>
      <c r="DS1783" s="64">
        <f>$P1783-$P1784</f>
        <v/>
      </c>
      <c r="DT1783" s="64">
        <f>$Q1783-$Q1784</f>
        <v/>
      </c>
      <c r="DU1783" s="64">
        <f>$S1783-$S1784</f>
        <v/>
      </c>
      <c r="DV1783" s="65">
        <f>IFERROR(AVERAGE($AA1784/$AA1783-1,$AB1784/$AB1783-1,$AC1784/$AC1783-1,$AD1784/$AD1783-1,$AE1784/$AE1783-1,$AG1784/$AG1783-1,$AH1784/$AH1783-1,$AI1784/$AI1783-1,$AJ1784/$AJ1783-1,$AL1784/$AL1783-1,$AM1784/$AM1783-1,$AR1784/$AR1783-1,$AS1784/$AS1783-1,$AT1784/$AT1783-1,$AU1784/$AU1783-1,$AV1784/$AV1783-1,$AW1784/$AW1783-1,$AX1784/$AX1783-1,$AY1784/$AY1783-1),"")</f>
        <v/>
      </c>
      <c r="DW1783" s="66">
        <f>AVERAGE($CB1783,$CC1783,$CD1783,$CE1783,$CF1783,$CG1783,$CH1783,$CI1783,$CJ1783,$CL1783,$CM1783,$CN1783,$CO1783,$CP1783,$CQ1783,$CR1783,$CS1783,$CT1783)</f>
        <v/>
      </c>
      <c r="DX1783" s="66">
        <f>AVERAGE($CB1783,$CC1783,$CM1783,$CE1783,$CP1783)</f>
        <v/>
      </c>
      <c r="DY1783" s="64">
        <f>($DW1783-$DW1784)*100</f>
        <v/>
      </c>
      <c r="DZ1783" s="64">
        <f>($DX1783-$DX1784)*100</f>
        <v/>
      </c>
      <c r="EA1783" s="64">
        <f>($DW1783-$D1783)*100</f>
        <v/>
      </c>
      <c r="EB1783" s="64">
        <f>$Q1783-$O1783</f>
        <v/>
      </c>
      <c r="EC1783" s="67">
        <f>IFERROR($Q1783/$P1783,"")</f>
        <v/>
      </c>
    </row>
    <row r="1784">
      <c r="DG1784" s="64">
        <f>($B1784-$B1785)*100</f>
        <v/>
      </c>
      <c r="DH1784" s="64">
        <f>($D1784-$D1785)*100</f>
        <v/>
      </c>
      <c r="DI1784" s="64">
        <f>($E1784-$E1785)*100</f>
        <v/>
      </c>
      <c r="DJ1784" s="64">
        <f>($H1784-$H1785)*100</f>
        <v/>
      </c>
      <c r="DK1784" s="65">
        <f>IFERROR($J1784/$J1785-1,"")</f>
        <v/>
      </c>
      <c r="DL1784" s="64">
        <f>$L1784-$L1785</f>
        <v/>
      </c>
      <c r="DM1784" s="64">
        <f>$K1784-$K1785</f>
        <v/>
      </c>
      <c r="DN1784" s="65">
        <f>IFERROR($N1784/$N1785-1,"")</f>
        <v/>
      </c>
      <c r="DO1784" s="65">
        <f>IFERROR($M1784/$M1785-1,"")</f>
        <v/>
      </c>
      <c r="DP1784" s="65">
        <f>IFERROR($AZ1784/$AZ1785-1,"")</f>
        <v/>
      </c>
      <c r="DQ1784" s="65">
        <f>IFERROR($BA1784/$BA1785-1,"")</f>
        <v/>
      </c>
      <c r="DR1784" s="64">
        <f>$O1784-$O1785</f>
        <v/>
      </c>
      <c r="DS1784" s="64">
        <f>$P1784-$P1785</f>
        <v/>
      </c>
      <c r="DT1784" s="64">
        <f>$Q1784-$Q1785</f>
        <v/>
      </c>
      <c r="DU1784" s="64">
        <f>$S1784-$S1785</f>
        <v/>
      </c>
      <c r="DV1784" s="65">
        <f>IFERROR(AVERAGE($AA1785/$AA1784-1,$AB1785/$AB1784-1,$AC1785/$AC1784-1,$AD1785/$AD1784-1,$AE1785/$AE1784-1,$AG1785/$AG1784-1,$AH1785/$AH1784-1,$AI1785/$AI1784-1,$AJ1785/$AJ1784-1,$AL1785/$AL1784-1,$AM1785/$AM1784-1,$AR1785/$AR1784-1,$AS1785/$AS1784-1,$AT1785/$AT1784-1,$AU1785/$AU1784-1,$AV1785/$AV1784-1,$AW1785/$AW1784-1,$AX1785/$AX1784-1,$AY1785/$AY1784-1),"")</f>
        <v/>
      </c>
      <c r="DW1784" s="66">
        <f>AVERAGE($CB1784,$CC1784,$CD1784,$CE1784,$CF1784,$CG1784,$CH1784,$CI1784,$CJ1784,$CL1784,$CM1784,$CN1784,$CO1784,$CP1784,$CQ1784,$CR1784,$CS1784,$CT1784)</f>
        <v/>
      </c>
      <c r="DX1784" s="66">
        <f>AVERAGE($CB1784,$CC1784,$CM1784,$CE1784,$CP1784)</f>
        <v/>
      </c>
      <c r="DY1784" s="64">
        <f>($DW1784-$DW1785)*100</f>
        <v/>
      </c>
      <c r="DZ1784" s="64">
        <f>($DX1784-$DX1785)*100</f>
        <v/>
      </c>
      <c r="EA1784" s="64">
        <f>($DW1784-$D1784)*100</f>
        <v/>
      </c>
      <c r="EB1784" s="64">
        <f>$Q1784-$O1784</f>
        <v/>
      </c>
      <c r="EC1784" s="67">
        <f>IFERROR($Q1784/$P1784,"")</f>
        <v/>
      </c>
    </row>
    <row r="1785">
      <c r="DG1785" s="64">
        <f>($B1785-$B1786)*100</f>
        <v/>
      </c>
      <c r="DH1785" s="64">
        <f>($D1785-$D1786)*100</f>
        <v/>
      </c>
      <c r="DI1785" s="64">
        <f>($E1785-$E1786)*100</f>
        <v/>
      </c>
      <c r="DJ1785" s="64">
        <f>($H1785-$H1786)*100</f>
        <v/>
      </c>
      <c r="DK1785" s="65">
        <f>IFERROR($J1785/$J1786-1,"")</f>
        <v/>
      </c>
      <c r="DL1785" s="64">
        <f>$L1785-$L1786</f>
        <v/>
      </c>
      <c r="DM1785" s="64">
        <f>$K1785-$K1786</f>
        <v/>
      </c>
      <c r="DN1785" s="65">
        <f>IFERROR($N1785/$N1786-1,"")</f>
        <v/>
      </c>
      <c r="DO1785" s="65">
        <f>IFERROR($M1785/$M1786-1,"")</f>
        <v/>
      </c>
      <c r="DP1785" s="65">
        <f>IFERROR($AZ1785/$AZ1786-1,"")</f>
        <v/>
      </c>
      <c r="DQ1785" s="65">
        <f>IFERROR($BA1785/$BA1786-1,"")</f>
        <v/>
      </c>
      <c r="DR1785" s="64">
        <f>$O1785-$O1786</f>
        <v/>
      </c>
      <c r="DS1785" s="64">
        <f>$P1785-$P1786</f>
        <v/>
      </c>
      <c r="DT1785" s="64">
        <f>$Q1785-$Q1786</f>
        <v/>
      </c>
      <c r="DU1785" s="64">
        <f>$S1785-$S1786</f>
        <v/>
      </c>
      <c r="DV1785" s="65">
        <f>IFERROR(AVERAGE($AA1786/$AA1785-1,$AB1786/$AB1785-1,$AC1786/$AC1785-1,$AD1786/$AD1785-1,$AE1786/$AE1785-1,$AG1786/$AG1785-1,$AH1786/$AH1785-1,$AI1786/$AI1785-1,$AJ1786/$AJ1785-1,$AL1786/$AL1785-1,$AM1786/$AM1785-1,$AR1786/$AR1785-1,$AS1786/$AS1785-1,$AT1786/$AT1785-1,$AU1786/$AU1785-1,$AV1786/$AV1785-1,$AW1786/$AW1785-1,$AX1786/$AX1785-1,$AY1786/$AY1785-1),"")</f>
        <v/>
      </c>
      <c r="DW1785" s="66">
        <f>AVERAGE($CB1785,$CC1785,$CD1785,$CE1785,$CF1785,$CG1785,$CH1785,$CI1785,$CJ1785,$CL1785,$CM1785,$CN1785,$CO1785,$CP1785,$CQ1785,$CR1785,$CS1785,$CT1785)</f>
        <v/>
      </c>
      <c r="DX1785" s="66">
        <f>AVERAGE($CB1785,$CC1785,$CM1785,$CE1785,$CP1785)</f>
        <v/>
      </c>
      <c r="DY1785" s="64">
        <f>($DW1785-$DW1786)*100</f>
        <v/>
      </c>
      <c r="DZ1785" s="64">
        <f>($DX1785-$DX1786)*100</f>
        <v/>
      </c>
      <c r="EA1785" s="64">
        <f>($DW1785-$D1785)*100</f>
        <v/>
      </c>
      <c r="EB1785" s="64">
        <f>$Q1785-$O1785</f>
        <v/>
      </c>
      <c r="EC1785" s="67">
        <f>IFERROR($Q1785/$P1785,"")</f>
        <v/>
      </c>
    </row>
    <row r="1786">
      <c r="DG1786" s="64">
        <f>($B1786-$B1787)*100</f>
        <v/>
      </c>
      <c r="DH1786" s="64">
        <f>($D1786-$D1787)*100</f>
        <v/>
      </c>
      <c r="DI1786" s="64">
        <f>($E1786-$E1787)*100</f>
        <v/>
      </c>
      <c r="DJ1786" s="64">
        <f>($H1786-$H1787)*100</f>
        <v/>
      </c>
      <c r="DK1786" s="65">
        <f>IFERROR($J1786/$J1787-1,"")</f>
        <v/>
      </c>
      <c r="DL1786" s="64">
        <f>$L1786-$L1787</f>
        <v/>
      </c>
      <c r="DM1786" s="64">
        <f>$K1786-$K1787</f>
        <v/>
      </c>
      <c r="DN1786" s="65">
        <f>IFERROR($N1786/$N1787-1,"")</f>
        <v/>
      </c>
      <c r="DO1786" s="65">
        <f>IFERROR($M1786/$M1787-1,"")</f>
        <v/>
      </c>
      <c r="DP1786" s="65">
        <f>IFERROR($AZ1786/$AZ1787-1,"")</f>
        <v/>
      </c>
      <c r="DQ1786" s="65">
        <f>IFERROR($BA1786/$BA1787-1,"")</f>
        <v/>
      </c>
      <c r="DR1786" s="64">
        <f>$O1786-$O1787</f>
        <v/>
      </c>
      <c r="DS1786" s="64">
        <f>$P1786-$P1787</f>
        <v/>
      </c>
      <c r="DT1786" s="64">
        <f>$Q1786-$Q1787</f>
        <v/>
      </c>
      <c r="DU1786" s="64">
        <f>$S1786-$S1787</f>
        <v/>
      </c>
      <c r="DV1786" s="65">
        <f>IFERROR(AVERAGE($AA1787/$AA1786-1,$AB1787/$AB1786-1,$AC1787/$AC1786-1,$AD1787/$AD1786-1,$AE1787/$AE1786-1,$AG1787/$AG1786-1,$AH1787/$AH1786-1,$AI1787/$AI1786-1,$AJ1787/$AJ1786-1,$AL1787/$AL1786-1,$AM1787/$AM1786-1,$AR1787/$AR1786-1,$AS1787/$AS1786-1,$AT1787/$AT1786-1,$AU1787/$AU1786-1,$AV1787/$AV1786-1,$AW1787/$AW1786-1,$AX1787/$AX1786-1,$AY1787/$AY1786-1),"")</f>
        <v/>
      </c>
      <c r="DW1786" s="66">
        <f>AVERAGE($CB1786,$CC1786,$CD1786,$CE1786,$CF1786,$CG1786,$CH1786,$CI1786,$CJ1786,$CL1786,$CM1786,$CN1786,$CO1786,$CP1786,$CQ1786,$CR1786,$CS1786,$CT1786)</f>
        <v/>
      </c>
      <c r="DX1786" s="66">
        <f>AVERAGE($CB1786,$CC1786,$CM1786,$CE1786,$CP1786)</f>
        <v/>
      </c>
      <c r="DY1786" s="64">
        <f>($DW1786-$DW1787)*100</f>
        <v/>
      </c>
      <c r="DZ1786" s="64">
        <f>($DX1786-$DX1787)*100</f>
        <v/>
      </c>
      <c r="EA1786" s="64">
        <f>($DW1786-$D1786)*100</f>
        <v/>
      </c>
      <c r="EB1786" s="64">
        <f>$Q1786-$O1786</f>
        <v/>
      </c>
      <c r="EC1786" s="67">
        <f>IFERROR($Q1786/$P1786,"")</f>
        <v/>
      </c>
    </row>
    <row r="1787">
      <c r="DG1787" s="64">
        <f>($B1787-$B1788)*100</f>
        <v/>
      </c>
      <c r="DH1787" s="64">
        <f>($D1787-$D1788)*100</f>
        <v/>
      </c>
      <c r="DI1787" s="64">
        <f>($E1787-$E1788)*100</f>
        <v/>
      </c>
      <c r="DJ1787" s="64">
        <f>($H1787-$H1788)*100</f>
        <v/>
      </c>
      <c r="DK1787" s="65">
        <f>IFERROR($J1787/$J1788-1,"")</f>
        <v/>
      </c>
      <c r="DL1787" s="64">
        <f>$L1787-$L1788</f>
        <v/>
      </c>
      <c r="DM1787" s="64">
        <f>$K1787-$K1788</f>
        <v/>
      </c>
      <c r="DN1787" s="65">
        <f>IFERROR($N1787/$N1788-1,"")</f>
        <v/>
      </c>
      <c r="DO1787" s="65">
        <f>IFERROR($M1787/$M1788-1,"")</f>
        <v/>
      </c>
      <c r="DP1787" s="65">
        <f>IFERROR($AZ1787/$AZ1788-1,"")</f>
        <v/>
      </c>
      <c r="DQ1787" s="65">
        <f>IFERROR($BA1787/$BA1788-1,"")</f>
        <v/>
      </c>
      <c r="DR1787" s="64">
        <f>$O1787-$O1788</f>
        <v/>
      </c>
      <c r="DS1787" s="64">
        <f>$P1787-$P1788</f>
        <v/>
      </c>
      <c r="DT1787" s="64">
        <f>$Q1787-$Q1788</f>
        <v/>
      </c>
      <c r="DU1787" s="64">
        <f>$S1787-$S1788</f>
        <v/>
      </c>
      <c r="DV1787" s="65">
        <f>IFERROR(AVERAGE($AA1788/$AA1787-1,$AB1788/$AB1787-1,$AC1788/$AC1787-1,$AD1788/$AD1787-1,$AE1788/$AE1787-1,$AG1788/$AG1787-1,$AH1788/$AH1787-1,$AI1788/$AI1787-1,$AJ1788/$AJ1787-1,$AL1788/$AL1787-1,$AM1788/$AM1787-1,$AR1788/$AR1787-1,$AS1788/$AS1787-1,$AT1788/$AT1787-1,$AU1788/$AU1787-1,$AV1788/$AV1787-1,$AW1788/$AW1787-1,$AX1788/$AX1787-1,$AY1788/$AY1787-1),"")</f>
        <v/>
      </c>
      <c r="DW1787" s="66">
        <f>AVERAGE($CB1787,$CC1787,$CD1787,$CE1787,$CF1787,$CG1787,$CH1787,$CI1787,$CJ1787,$CL1787,$CM1787,$CN1787,$CO1787,$CP1787,$CQ1787,$CR1787,$CS1787,$CT1787)</f>
        <v/>
      </c>
      <c r="DX1787" s="66">
        <f>AVERAGE($CB1787,$CC1787,$CM1787,$CE1787,$CP1787)</f>
        <v/>
      </c>
      <c r="DY1787" s="64">
        <f>($DW1787-$DW1788)*100</f>
        <v/>
      </c>
      <c r="DZ1787" s="64">
        <f>($DX1787-$DX1788)*100</f>
        <v/>
      </c>
      <c r="EA1787" s="64">
        <f>($DW1787-$D1787)*100</f>
        <v/>
      </c>
      <c r="EB1787" s="64">
        <f>$Q1787-$O1787</f>
        <v/>
      </c>
      <c r="EC1787" s="67">
        <f>IFERROR($Q1787/$P1787,"")</f>
        <v/>
      </c>
    </row>
    <row r="1788">
      <c r="DG1788" s="64">
        <f>($B1788-$B1789)*100</f>
        <v/>
      </c>
      <c r="DH1788" s="64">
        <f>($D1788-$D1789)*100</f>
        <v/>
      </c>
      <c r="DI1788" s="64">
        <f>($E1788-$E1789)*100</f>
        <v/>
      </c>
      <c r="DJ1788" s="64">
        <f>($H1788-$H1789)*100</f>
        <v/>
      </c>
      <c r="DK1788" s="65">
        <f>IFERROR($J1788/$J1789-1,"")</f>
        <v/>
      </c>
      <c r="DL1788" s="64">
        <f>$L1788-$L1789</f>
        <v/>
      </c>
      <c r="DM1788" s="64">
        <f>$K1788-$K1789</f>
        <v/>
      </c>
      <c r="DN1788" s="65">
        <f>IFERROR($N1788/$N1789-1,"")</f>
        <v/>
      </c>
      <c r="DO1788" s="65">
        <f>IFERROR($M1788/$M1789-1,"")</f>
        <v/>
      </c>
      <c r="DP1788" s="65">
        <f>IFERROR($AZ1788/$AZ1789-1,"")</f>
        <v/>
      </c>
      <c r="DQ1788" s="65">
        <f>IFERROR($BA1788/$BA1789-1,"")</f>
        <v/>
      </c>
      <c r="DR1788" s="64">
        <f>$O1788-$O1789</f>
        <v/>
      </c>
      <c r="DS1788" s="64">
        <f>$P1788-$P1789</f>
        <v/>
      </c>
      <c r="DT1788" s="64">
        <f>$Q1788-$Q1789</f>
        <v/>
      </c>
      <c r="DU1788" s="64">
        <f>$S1788-$S1789</f>
        <v/>
      </c>
      <c r="DV1788" s="65">
        <f>IFERROR(AVERAGE($AA1789/$AA1788-1,$AB1789/$AB1788-1,$AC1789/$AC1788-1,$AD1789/$AD1788-1,$AE1789/$AE1788-1,$AG1789/$AG1788-1,$AH1789/$AH1788-1,$AI1789/$AI1788-1,$AJ1789/$AJ1788-1,$AL1789/$AL1788-1,$AM1789/$AM1788-1,$AR1789/$AR1788-1,$AS1789/$AS1788-1,$AT1789/$AT1788-1,$AU1789/$AU1788-1,$AV1789/$AV1788-1,$AW1789/$AW1788-1,$AX1789/$AX1788-1,$AY1789/$AY1788-1),"")</f>
        <v/>
      </c>
      <c r="DW1788" s="66">
        <f>AVERAGE($CB1788,$CC1788,$CD1788,$CE1788,$CF1788,$CG1788,$CH1788,$CI1788,$CJ1788,$CL1788,$CM1788,$CN1788,$CO1788,$CP1788,$CQ1788,$CR1788,$CS1788,$CT1788)</f>
        <v/>
      </c>
      <c r="DX1788" s="66">
        <f>AVERAGE($CB1788,$CC1788,$CM1788,$CE1788,$CP1788)</f>
        <v/>
      </c>
      <c r="DY1788" s="64">
        <f>($DW1788-$DW1789)*100</f>
        <v/>
      </c>
      <c r="DZ1788" s="64">
        <f>($DX1788-$DX1789)*100</f>
        <v/>
      </c>
      <c r="EA1788" s="64">
        <f>($DW1788-$D1788)*100</f>
        <v/>
      </c>
      <c r="EB1788" s="64">
        <f>$Q1788-$O1788</f>
        <v/>
      </c>
      <c r="EC1788" s="67">
        <f>IFERROR($Q1788/$P1788,"")</f>
        <v/>
      </c>
    </row>
    <row r="1789">
      <c r="DG1789" s="64">
        <f>($B1789-$B1790)*100</f>
        <v/>
      </c>
      <c r="DH1789" s="64">
        <f>($D1789-$D1790)*100</f>
        <v/>
      </c>
      <c r="DI1789" s="64">
        <f>($E1789-$E1790)*100</f>
        <v/>
      </c>
      <c r="DJ1789" s="64">
        <f>($H1789-$H1790)*100</f>
        <v/>
      </c>
      <c r="DK1789" s="65">
        <f>IFERROR($J1789/$J1790-1,"")</f>
        <v/>
      </c>
      <c r="DL1789" s="64">
        <f>$L1789-$L1790</f>
        <v/>
      </c>
      <c r="DM1789" s="64">
        <f>$K1789-$K1790</f>
        <v/>
      </c>
      <c r="DN1789" s="65">
        <f>IFERROR($N1789/$N1790-1,"")</f>
        <v/>
      </c>
      <c r="DO1789" s="65">
        <f>IFERROR($M1789/$M1790-1,"")</f>
        <v/>
      </c>
      <c r="DP1789" s="65">
        <f>IFERROR($AZ1789/$AZ1790-1,"")</f>
        <v/>
      </c>
      <c r="DQ1789" s="65">
        <f>IFERROR($BA1789/$BA1790-1,"")</f>
        <v/>
      </c>
      <c r="DR1789" s="64">
        <f>$O1789-$O1790</f>
        <v/>
      </c>
      <c r="DS1789" s="64">
        <f>$P1789-$P1790</f>
        <v/>
      </c>
      <c r="DT1789" s="64">
        <f>$Q1789-$Q1790</f>
        <v/>
      </c>
      <c r="DU1789" s="64">
        <f>$S1789-$S1790</f>
        <v/>
      </c>
      <c r="DV1789" s="65">
        <f>IFERROR(AVERAGE($AA1790/$AA1789-1,$AB1790/$AB1789-1,$AC1790/$AC1789-1,$AD1790/$AD1789-1,$AE1790/$AE1789-1,$AG1790/$AG1789-1,$AH1790/$AH1789-1,$AI1790/$AI1789-1,$AJ1790/$AJ1789-1,$AL1790/$AL1789-1,$AM1790/$AM1789-1,$AR1790/$AR1789-1,$AS1790/$AS1789-1,$AT1790/$AT1789-1,$AU1790/$AU1789-1,$AV1790/$AV1789-1,$AW1790/$AW1789-1,$AX1790/$AX1789-1,$AY1790/$AY1789-1),"")</f>
        <v/>
      </c>
      <c r="DW1789" s="66">
        <f>AVERAGE($CB1789,$CC1789,$CD1789,$CE1789,$CF1789,$CG1789,$CH1789,$CI1789,$CJ1789,$CL1789,$CM1789,$CN1789,$CO1789,$CP1789,$CQ1789,$CR1789,$CS1789,$CT1789)</f>
        <v/>
      </c>
      <c r="DX1789" s="66">
        <f>AVERAGE($CB1789,$CC1789,$CM1789,$CE1789,$CP1789)</f>
        <v/>
      </c>
      <c r="DY1789" s="64">
        <f>($DW1789-$DW1790)*100</f>
        <v/>
      </c>
      <c r="DZ1789" s="64">
        <f>($DX1789-$DX1790)*100</f>
        <v/>
      </c>
      <c r="EA1789" s="64">
        <f>($DW1789-$D1789)*100</f>
        <v/>
      </c>
      <c r="EB1789" s="64">
        <f>$Q1789-$O1789</f>
        <v/>
      </c>
      <c r="EC1789" s="67">
        <f>IFERROR($Q1789/$P1789,"")</f>
        <v/>
      </c>
    </row>
    <row r="1790">
      <c r="DG1790" s="64">
        <f>($B1790-$B1791)*100</f>
        <v/>
      </c>
      <c r="DH1790" s="64">
        <f>($D1790-$D1791)*100</f>
        <v/>
      </c>
      <c r="DI1790" s="64">
        <f>($E1790-$E1791)*100</f>
        <v/>
      </c>
      <c r="DJ1790" s="64">
        <f>($H1790-$H1791)*100</f>
        <v/>
      </c>
      <c r="DK1790" s="65">
        <f>IFERROR($J1790/$J1791-1,"")</f>
        <v/>
      </c>
      <c r="DL1790" s="64">
        <f>$L1790-$L1791</f>
        <v/>
      </c>
      <c r="DM1790" s="64">
        <f>$K1790-$K1791</f>
        <v/>
      </c>
      <c r="DN1790" s="65">
        <f>IFERROR($N1790/$N1791-1,"")</f>
        <v/>
      </c>
      <c r="DO1790" s="65">
        <f>IFERROR($M1790/$M1791-1,"")</f>
        <v/>
      </c>
      <c r="DP1790" s="65">
        <f>IFERROR($AZ1790/$AZ1791-1,"")</f>
        <v/>
      </c>
      <c r="DQ1790" s="65">
        <f>IFERROR($BA1790/$BA1791-1,"")</f>
        <v/>
      </c>
      <c r="DR1790" s="64">
        <f>$O1790-$O1791</f>
        <v/>
      </c>
      <c r="DS1790" s="64">
        <f>$P1790-$P1791</f>
        <v/>
      </c>
      <c r="DT1790" s="64">
        <f>$Q1790-$Q1791</f>
        <v/>
      </c>
      <c r="DU1790" s="64">
        <f>$S1790-$S1791</f>
        <v/>
      </c>
      <c r="DV1790" s="65">
        <f>IFERROR(AVERAGE($AA1791/$AA1790-1,$AB1791/$AB1790-1,$AC1791/$AC1790-1,$AD1791/$AD1790-1,$AE1791/$AE1790-1,$AG1791/$AG1790-1,$AH1791/$AH1790-1,$AI1791/$AI1790-1,$AJ1791/$AJ1790-1,$AL1791/$AL1790-1,$AM1791/$AM1790-1,$AR1791/$AR1790-1,$AS1791/$AS1790-1,$AT1791/$AT1790-1,$AU1791/$AU1790-1,$AV1791/$AV1790-1,$AW1791/$AW1790-1,$AX1791/$AX1790-1,$AY1791/$AY1790-1),"")</f>
        <v/>
      </c>
      <c r="DW1790" s="66">
        <f>AVERAGE($CB1790,$CC1790,$CD1790,$CE1790,$CF1790,$CG1790,$CH1790,$CI1790,$CJ1790,$CL1790,$CM1790,$CN1790,$CO1790,$CP1790,$CQ1790,$CR1790,$CS1790,$CT1790)</f>
        <v/>
      </c>
      <c r="DX1790" s="66">
        <f>AVERAGE($CB1790,$CC1790,$CM1790,$CE1790,$CP1790)</f>
        <v/>
      </c>
      <c r="DY1790" s="64">
        <f>($DW1790-$DW1791)*100</f>
        <v/>
      </c>
      <c r="DZ1790" s="64">
        <f>($DX1790-$DX1791)*100</f>
        <v/>
      </c>
      <c r="EA1790" s="64">
        <f>($DW1790-$D1790)*100</f>
        <v/>
      </c>
      <c r="EB1790" s="64">
        <f>$Q1790-$O1790</f>
        <v/>
      </c>
      <c r="EC1790" s="67">
        <f>IFERROR($Q1790/$P1790,"")</f>
        <v/>
      </c>
    </row>
    <row r="1791">
      <c r="DG1791" s="64">
        <f>($B1791-$B1792)*100</f>
        <v/>
      </c>
      <c r="DH1791" s="64">
        <f>($D1791-$D1792)*100</f>
        <v/>
      </c>
      <c r="DI1791" s="64">
        <f>($E1791-$E1792)*100</f>
        <v/>
      </c>
      <c r="DJ1791" s="64">
        <f>($H1791-$H1792)*100</f>
        <v/>
      </c>
      <c r="DK1791" s="65">
        <f>IFERROR($J1791/$J1792-1,"")</f>
        <v/>
      </c>
      <c r="DL1791" s="64">
        <f>$L1791-$L1792</f>
        <v/>
      </c>
      <c r="DM1791" s="64">
        <f>$K1791-$K1792</f>
        <v/>
      </c>
      <c r="DN1791" s="65">
        <f>IFERROR($N1791/$N1792-1,"")</f>
        <v/>
      </c>
      <c r="DO1791" s="65">
        <f>IFERROR($M1791/$M1792-1,"")</f>
        <v/>
      </c>
      <c r="DP1791" s="65">
        <f>IFERROR($AZ1791/$AZ1792-1,"")</f>
        <v/>
      </c>
      <c r="DQ1791" s="65">
        <f>IFERROR($BA1791/$BA1792-1,"")</f>
        <v/>
      </c>
      <c r="DR1791" s="64">
        <f>$O1791-$O1792</f>
        <v/>
      </c>
      <c r="DS1791" s="64">
        <f>$P1791-$P1792</f>
        <v/>
      </c>
      <c r="DT1791" s="64">
        <f>$Q1791-$Q1792</f>
        <v/>
      </c>
      <c r="DU1791" s="64">
        <f>$S1791-$S1792</f>
        <v/>
      </c>
      <c r="DV1791" s="65">
        <f>IFERROR(AVERAGE($AA1792/$AA1791-1,$AB1792/$AB1791-1,$AC1792/$AC1791-1,$AD1792/$AD1791-1,$AE1792/$AE1791-1,$AG1792/$AG1791-1,$AH1792/$AH1791-1,$AI1792/$AI1791-1,$AJ1792/$AJ1791-1,$AL1792/$AL1791-1,$AM1792/$AM1791-1,$AR1792/$AR1791-1,$AS1792/$AS1791-1,$AT1792/$AT1791-1,$AU1792/$AU1791-1,$AV1792/$AV1791-1,$AW1792/$AW1791-1,$AX1792/$AX1791-1,$AY1792/$AY1791-1),"")</f>
        <v/>
      </c>
      <c r="DW1791" s="66">
        <f>AVERAGE($CB1791,$CC1791,$CD1791,$CE1791,$CF1791,$CG1791,$CH1791,$CI1791,$CJ1791,$CL1791,$CM1791,$CN1791,$CO1791,$CP1791,$CQ1791,$CR1791,$CS1791,$CT1791)</f>
        <v/>
      </c>
      <c r="DX1791" s="66">
        <f>AVERAGE($CB1791,$CC1791,$CM1791,$CE1791,$CP1791)</f>
        <v/>
      </c>
      <c r="DY1791" s="64">
        <f>($DW1791-$DW1792)*100</f>
        <v/>
      </c>
      <c r="DZ1791" s="64">
        <f>($DX1791-$DX1792)*100</f>
        <v/>
      </c>
      <c r="EA1791" s="64">
        <f>($DW1791-$D1791)*100</f>
        <v/>
      </c>
      <c r="EB1791" s="64">
        <f>$Q1791-$O1791</f>
        <v/>
      </c>
      <c r="EC1791" s="67">
        <f>IFERROR($Q1791/$P1791,"")</f>
        <v/>
      </c>
    </row>
    <row r="1792">
      <c r="DG1792" s="64">
        <f>($B1792-$B1793)*100</f>
        <v/>
      </c>
      <c r="DH1792" s="64">
        <f>($D1792-$D1793)*100</f>
        <v/>
      </c>
      <c r="DI1792" s="64">
        <f>($E1792-$E1793)*100</f>
        <v/>
      </c>
      <c r="DJ1792" s="64">
        <f>($H1792-$H1793)*100</f>
        <v/>
      </c>
      <c r="DK1792" s="65">
        <f>IFERROR($J1792/$J1793-1,"")</f>
        <v/>
      </c>
      <c r="DL1792" s="64">
        <f>$L1792-$L1793</f>
        <v/>
      </c>
      <c r="DM1792" s="64">
        <f>$K1792-$K1793</f>
        <v/>
      </c>
      <c r="DN1792" s="65">
        <f>IFERROR($N1792/$N1793-1,"")</f>
        <v/>
      </c>
      <c r="DO1792" s="65">
        <f>IFERROR($M1792/$M1793-1,"")</f>
        <v/>
      </c>
      <c r="DP1792" s="65">
        <f>IFERROR($AZ1792/$AZ1793-1,"")</f>
        <v/>
      </c>
      <c r="DQ1792" s="65">
        <f>IFERROR($BA1792/$BA1793-1,"")</f>
        <v/>
      </c>
      <c r="DR1792" s="64">
        <f>$O1792-$O1793</f>
        <v/>
      </c>
      <c r="DS1792" s="64">
        <f>$P1792-$P1793</f>
        <v/>
      </c>
      <c r="DT1792" s="64">
        <f>$Q1792-$Q1793</f>
        <v/>
      </c>
      <c r="DU1792" s="64">
        <f>$S1792-$S1793</f>
        <v/>
      </c>
      <c r="DV1792" s="65">
        <f>IFERROR(AVERAGE($AA1793/$AA1792-1,$AB1793/$AB1792-1,$AC1793/$AC1792-1,$AD1793/$AD1792-1,$AE1793/$AE1792-1,$AG1793/$AG1792-1,$AH1793/$AH1792-1,$AI1793/$AI1792-1,$AJ1793/$AJ1792-1,$AL1793/$AL1792-1,$AM1793/$AM1792-1,$AR1793/$AR1792-1,$AS1793/$AS1792-1,$AT1793/$AT1792-1,$AU1793/$AU1792-1,$AV1793/$AV1792-1,$AW1793/$AW1792-1,$AX1793/$AX1792-1,$AY1793/$AY1792-1),"")</f>
        <v/>
      </c>
      <c r="DW1792" s="66">
        <f>AVERAGE($CB1792,$CC1792,$CD1792,$CE1792,$CF1792,$CG1792,$CH1792,$CI1792,$CJ1792,$CL1792,$CM1792,$CN1792,$CO1792,$CP1792,$CQ1792,$CR1792,$CS1792,$CT1792)</f>
        <v/>
      </c>
      <c r="DX1792" s="66">
        <f>AVERAGE($CB1792,$CC1792,$CM1792,$CE1792,$CP1792)</f>
        <v/>
      </c>
      <c r="DY1792" s="64">
        <f>($DW1792-$DW1793)*100</f>
        <v/>
      </c>
      <c r="DZ1792" s="64">
        <f>($DX1792-$DX1793)*100</f>
        <v/>
      </c>
      <c r="EA1792" s="64">
        <f>($DW1792-$D1792)*100</f>
        <v/>
      </c>
      <c r="EB1792" s="64">
        <f>$Q1792-$O1792</f>
        <v/>
      </c>
      <c r="EC1792" s="67">
        <f>IFERROR($Q1792/$P1792,"")</f>
        <v/>
      </c>
    </row>
    <row r="1793">
      <c r="DG1793" s="64">
        <f>($B1793-$B1794)*100</f>
        <v/>
      </c>
      <c r="DH1793" s="64">
        <f>($D1793-$D1794)*100</f>
        <v/>
      </c>
      <c r="DI1793" s="64">
        <f>($E1793-$E1794)*100</f>
        <v/>
      </c>
      <c r="DJ1793" s="64">
        <f>($H1793-$H1794)*100</f>
        <v/>
      </c>
      <c r="DK1793" s="65">
        <f>IFERROR($J1793/$J1794-1,"")</f>
        <v/>
      </c>
      <c r="DL1793" s="64">
        <f>$L1793-$L1794</f>
        <v/>
      </c>
      <c r="DM1793" s="64">
        <f>$K1793-$K1794</f>
        <v/>
      </c>
      <c r="DN1793" s="65">
        <f>IFERROR($N1793/$N1794-1,"")</f>
        <v/>
      </c>
      <c r="DO1793" s="65">
        <f>IFERROR($M1793/$M1794-1,"")</f>
        <v/>
      </c>
      <c r="DP1793" s="65">
        <f>IFERROR($AZ1793/$AZ1794-1,"")</f>
        <v/>
      </c>
      <c r="DQ1793" s="65">
        <f>IFERROR($BA1793/$BA1794-1,"")</f>
        <v/>
      </c>
      <c r="DR1793" s="64">
        <f>$O1793-$O1794</f>
        <v/>
      </c>
      <c r="DS1793" s="64">
        <f>$P1793-$P1794</f>
        <v/>
      </c>
      <c r="DT1793" s="64">
        <f>$Q1793-$Q1794</f>
        <v/>
      </c>
      <c r="DU1793" s="64">
        <f>$S1793-$S1794</f>
        <v/>
      </c>
      <c r="DV1793" s="65">
        <f>IFERROR(AVERAGE($AA1794/$AA1793-1,$AB1794/$AB1793-1,$AC1794/$AC1793-1,$AD1794/$AD1793-1,$AE1794/$AE1793-1,$AG1794/$AG1793-1,$AH1794/$AH1793-1,$AI1794/$AI1793-1,$AJ1794/$AJ1793-1,$AL1794/$AL1793-1,$AM1794/$AM1793-1,$AR1794/$AR1793-1,$AS1794/$AS1793-1,$AT1794/$AT1793-1,$AU1794/$AU1793-1,$AV1794/$AV1793-1,$AW1794/$AW1793-1,$AX1794/$AX1793-1,$AY1794/$AY1793-1),"")</f>
        <v/>
      </c>
      <c r="DW1793" s="66">
        <f>AVERAGE($CB1793,$CC1793,$CD1793,$CE1793,$CF1793,$CG1793,$CH1793,$CI1793,$CJ1793,$CL1793,$CM1793,$CN1793,$CO1793,$CP1793,$CQ1793,$CR1793,$CS1793,$CT1793)</f>
        <v/>
      </c>
      <c r="DX1793" s="66">
        <f>AVERAGE($CB1793,$CC1793,$CM1793,$CE1793,$CP1793)</f>
        <v/>
      </c>
      <c r="DY1793" s="64">
        <f>($DW1793-$DW1794)*100</f>
        <v/>
      </c>
      <c r="DZ1793" s="64">
        <f>($DX1793-$DX1794)*100</f>
        <v/>
      </c>
      <c r="EA1793" s="64">
        <f>($DW1793-$D1793)*100</f>
        <v/>
      </c>
      <c r="EB1793" s="64">
        <f>$Q1793-$O1793</f>
        <v/>
      </c>
      <c r="EC1793" s="67">
        <f>IFERROR($Q1793/$P1793,"")</f>
        <v/>
      </c>
    </row>
    <row r="1794">
      <c r="DG1794" s="64">
        <f>($B1794-$B1795)*100</f>
        <v/>
      </c>
      <c r="DH1794" s="64">
        <f>($D1794-$D1795)*100</f>
        <v/>
      </c>
      <c r="DI1794" s="64">
        <f>($E1794-$E1795)*100</f>
        <v/>
      </c>
      <c r="DJ1794" s="64">
        <f>($H1794-$H1795)*100</f>
        <v/>
      </c>
      <c r="DK1794" s="65">
        <f>IFERROR($J1794/$J1795-1,"")</f>
        <v/>
      </c>
      <c r="DL1794" s="64">
        <f>$L1794-$L1795</f>
        <v/>
      </c>
      <c r="DM1794" s="64">
        <f>$K1794-$K1795</f>
        <v/>
      </c>
      <c r="DN1794" s="65">
        <f>IFERROR($N1794/$N1795-1,"")</f>
        <v/>
      </c>
      <c r="DO1794" s="65">
        <f>IFERROR($M1794/$M1795-1,"")</f>
        <v/>
      </c>
      <c r="DP1794" s="65">
        <f>IFERROR($AZ1794/$AZ1795-1,"")</f>
        <v/>
      </c>
      <c r="DQ1794" s="65">
        <f>IFERROR($BA1794/$BA1795-1,"")</f>
        <v/>
      </c>
      <c r="DR1794" s="64">
        <f>$O1794-$O1795</f>
        <v/>
      </c>
      <c r="DS1794" s="64">
        <f>$P1794-$P1795</f>
        <v/>
      </c>
      <c r="DT1794" s="64">
        <f>$Q1794-$Q1795</f>
        <v/>
      </c>
      <c r="DU1794" s="64">
        <f>$S1794-$S1795</f>
        <v/>
      </c>
      <c r="DV1794" s="65">
        <f>IFERROR(AVERAGE($AA1795/$AA1794-1,$AB1795/$AB1794-1,$AC1795/$AC1794-1,$AD1795/$AD1794-1,$AE1795/$AE1794-1,$AG1795/$AG1794-1,$AH1795/$AH1794-1,$AI1795/$AI1794-1,$AJ1795/$AJ1794-1,$AL1795/$AL1794-1,$AM1795/$AM1794-1,$AR1795/$AR1794-1,$AS1795/$AS1794-1,$AT1795/$AT1794-1,$AU1795/$AU1794-1,$AV1795/$AV1794-1,$AW1795/$AW1794-1,$AX1795/$AX1794-1,$AY1795/$AY1794-1),"")</f>
        <v/>
      </c>
      <c r="DW1794" s="66">
        <f>AVERAGE($CB1794,$CC1794,$CD1794,$CE1794,$CF1794,$CG1794,$CH1794,$CI1794,$CJ1794,$CL1794,$CM1794,$CN1794,$CO1794,$CP1794,$CQ1794,$CR1794,$CS1794,$CT1794)</f>
        <v/>
      </c>
      <c r="DX1794" s="66">
        <f>AVERAGE($CB1794,$CC1794,$CM1794,$CE1794,$CP1794)</f>
        <v/>
      </c>
      <c r="DY1794" s="64">
        <f>($DW1794-$DW1795)*100</f>
        <v/>
      </c>
      <c r="DZ1794" s="64">
        <f>($DX1794-$DX1795)*100</f>
        <v/>
      </c>
      <c r="EA1794" s="64">
        <f>($DW1794-$D1794)*100</f>
        <v/>
      </c>
      <c r="EB1794" s="64">
        <f>$Q1794-$O1794</f>
        <v/>
      </c>
      <c r="EC1794" s="67">
        <f>IFERROR($Q1794/$P1794,"")</f>
        <v/>
      </c>
    </row>
    <row r="1795">
      <c r="DG1795" s="64">
        <f>($B1795-$B1796)*100</f>
        <v/>
      </c>
      <c r="DH1795" s="64">
        <f>($D1795-$D1796)*100</f>
        <v/>
      </c>
      <c r="DI1795" s="64">
        <f>($E1795-$E1796)*100</f>
        <v/>
      </c>
      <c r="DJ1795" s="64">
        <f>($H1795-$H1796)*100</f>
        <v/>
      </c>
      <c r="DK1795" s="65">
        <f>IFERROR($J1795/$J1796-1,"")</f>
        <v/>
      </c>
      <c r="DL1795" s="64">
        <f>$L1795-$L1796</f>
        <v/>
      </c>
      <c r="DM1795" s="64">
        <f>$K1795-$K1796</f>
        <v/>
      </c>
      <c r="DN1795" s="65">
        <f>IFERROR($N1795/$N1796-1,"")</f>
        <v/>
      </c>
      <c r="DO1795" s="65">
        <f>IFERROR($M1795/$M1796-1,"")</f>
        <v/>
      </c>
      <c r="DP1795" s="65">
        <f>IFERROR($AZ1795/$AZ1796-1,"")</f>
        <v/>
      </c>
      <c r="DQ1795" s="65">
        <f>IFERROR($BA1795/$BA1796-1,"")</f>
        <v/>
      </c>
      <c r="DR1795" s="64">
        <f>$O1795-$O1796</f>
        <v/>
      </c>
      <c r="DS1795" s="64">
        <f>$P1795-$P1796</f>
        <v/>
      </c>
      <c r="DT1795" s="64">
        <f>$Q1795-$Q1796</f>
        <v/>
      </c>
      <c r="DU1795" s="64">
        <f>$S1795-$S1796</f>
        <v/>
      </c>
      <c r="DV1795" s="65">
        <f>IFERROR(AVERAGE($AA1796/$AA1795-1,$AB1796/$AB1795-1,$AC1796/$AC1795-1,$AD1796/$AD1795-1,$AE1796/$AE1795-1,$AG1796/$AG1795-1,$AH1796/$AH1795-1,$AI1796/$AI1795-1,$AJ1796/$AJ1795-1,$AL1796/$AL1795-1,$AM1796/$AM1795-1,$AR1796/$AR1795-1,$AS1796/$AS1795-1,$AT1796/$AT1795-1,$AU1796/$AU1795-1,$AV1796/$AV1795-1,$AW1796/$AW1795-1,$AX1796/$AX1795-1,$AY1796/$AY1795-1),"")</f>
        <v/>
      </c>
      <c r="DW1795" s="66">
        <f>AVERAGE($CB1795,$CC1795,$CD1795,$CE1795,$CF1795,$CG1795,$CH1795,$CI1795,$CJ1795,$CL1795,$CM1795,$CN1795,$CO1795,$CP1795,$CQ1795,$CR1795,$CS1795,$CT1795)</f>
        <v/>
      </c>
      <c r="DX1795" s="66">
        <f>AVERAGE($CB1795,$CC1795,$CM1795,$CE1795,$CP1795)</f>
        <v/>
      </c>
      <c r="DY1795" s="64">
        <f>($DW1795-$DW1796)*100</f>
        <v/>
      </c>
      <c r="DZ1795" s="64">
        <f>($DX1795-$DX1796)*100</f>
        <v/>
      </c>
      <c r="EA1795" s="64">
        <f>($DW1795-$D1795)*100</f>
        <v/>
      </c>
      <c r="EB1795" s="64">
        <f>$Q1795-$O1795</f>
        <v/>
      </c>
      <c r="EC1795" s="67">
        <f>IFERROR($Q1795/$P1795,"")</f>
        <v/>
      </c>
    </row>
    <row r="1796">
      <c r="DG1796" s="64">
        <f>($B1796-$B1797)*100</f>
        <v/>
      </c>
      <c r="DH1796" s="64">
        <f>($D1796-$D1797)*100</f>
        <v/>
      </c>
      <c r="DI1796" s="64">
        <f>($E1796-$E1797)*100</f>
        <v/>
      </c>
      <c r="DJ1796" s="64">
        <f>($H1796-$H1797)*100</f>
        <v/>
      </c>
      <c r="DK1796" s="65">
        <f>IFERROR($J1796/$J1797-1,"")</f>
        <v/>
      </c>
      <c r="DL1796" s="64">
        <f>$L1796-$L1797</f>
        <v/>
      </c>
      <c r="DM1796" s="64">
        <f>$K1796-$K1797</f>
        <v/>
      </c>
      <c r="DN1796" s="65">
        <f>IFERROR($N1796/$N1797-1,"")</f>
        <v/>
      </c>
      <c r="DO1796" s="65">
        <f>IFERROR($M1796/$M1797-1,"")</f>
        <v/>
      </c>
      <c r="DP1796" s="65">
        <f>IFERROR($AZ1796/$AZ1797-1,"")</f>
        <v/>
      </c>
      <c r="DQ1796" s="65">
        <f>IFERROR($BA1796/$BA1797-1,"")</f>
        <v/>
      </c>
      <c r="DR1796" s="64">
        <f>$O1796-$O1797</f>
        <v/>
      </c>
      <c r="DS1796" s="64">
        <f>$P1796-$P1797</f>
        <v/>
      </c>
      <c r="DT1796" s="64">
        <f>$Q1796-$Q1797</f>
        <v/>
      </c>
      <c r="DU1796" s="64">
        <f>$S1796-$S1797</f>
        <v/>
      </c>
      <c r="DV1796" s="65">
        <f>IFERROR(AVERAGE($AA1797/$AA1796-1,$AB1797/$AB1796-1,$AC1797/$AC1796-1,$AD1797/$AD1796-1,$AE1797/$AE1796-1,$AG1797/$AG1796-1,$AH1797/$AH1796-1,$AI1797/$AI1796-1,$AJ1797/$AJ1796-1,$AL1797/$AL1796-1,$AM1797/$AM1796-1,$AR1797/$AR1796-1,$AS1797/$AS1796-1,$AT1797/$AT1796-1,$AU1797/$AU1796-1,$AV1797/$AV1796-1,$AW1797/$AW1796-1,$AX1797/$AX1796-1,$AY1797/$AY1796-1),"")</f>
        <v/>
      </c>
      <c r="DW1796" s="66">
        <f>AVERAGE($CB1796,$CC1796,$CD1796,$CE1796,$CF1796,$CG1796,$CH1796,$CI1796,$CJ1796,$CL1796,$CM1796,$CN1796,$CO1796,$CP1796,$CQ1796,$CR1796,$CS1796,$CT1796)</f>
        <v/>
      </c>
      <c r="DX1796" s="66">
        <f>AVERAGE($CB1796,$CC1796,$CM1796,$CE1796,$CP1796)</f>
        <v/>
      </c>
      <c r="DY1796" s="64">
        <f>($DW1796-$DW1797)*100</f>
        <v/>
      </c>
      <c r="DZ1796" s="64">
        <f>($DX1796-$DX1797)*100</f>
        <v/>
      </c>
      <c r="EA1796" s="64">
        <f>($DW1796-$D1796)*100</f>
        <v/>
      </c>
      <c r="EB1796" s="64">
        <f>$Q1796-$O1796</f>
        <v/>
      </c>
      <c r="EC1796" s="67">
        <f>IFERROR($Q1796/$P1796,"")</f>
        <v/>
      </c>
    </row>
    <row r="1797">
      <c r="DG1797" s="64">
        <f>($B1797-$B1798)*100</f>
        <v/>
      </c>
      <c r="DH1797" s="64">
        <f>($D1797-$D1798)*100</f>
        <v/>
      </c>
      <c r="DI1797" s="64">
        <f>($E1797-$E1798)*100</f>
        <v/>
      </c>
      <c r="DJ1797" s="64">
        <f>($H1797-$H1798)*100</f>
        <v/>
      </c>
      <c r="DK1797" s="65">
        <f>IFERROR($J1797/$J1798-1,"")</f>
        <v/>
      </c>
      <c r="DL1797" s="64">
        <f>$L1797-$L1798</f>
        <v/>
      </c>
      <c r="DM1797" s="64">
        <f>$K1797-$K1798</f>
        <v/>
      </c>
      <c r="DN1797" s="65">
        <f>IFERROR($N1797/$N1798-1,"")</f>
        <v/>
      </c>
      <c r="DO1797" s="65">
        <f>IFERROR($M1797/$M1798-1,"")</f>
        <v/>
      </c>
      <c r="DP1797" s="65">
        <f>IFERROR($AZ1797/$AZ1798-1,"")</f>
        <v/>
      </c>
      <c r="DQ1797" s="65">
        <f>IFERROR($BA1797/$BA1798-1,"")</f>
        <v/>
      </c>
      <c r="DR1797" s="64">
        <f>$O1797-$O1798</f>
        <v/>
      </c>
      <c r="DS1797" s="64">
        <f>$P1797-$P1798</f>
        <v/>
      </c>
      <c r="DT1797" s="64">
        <f>$Q1797-$Q1798</f>
        <v/>
      </c>
      <c r="DU1797" s="64">
        <f>$S1797-$S1798</f>
        <v/>
      </c>
      <c r="DV1797" s="65">
        <f>IFERROR(AVERAGE($AA1798/$AA1797-1,$AB1798/$AB1797-1,$AC1798/$AC1797-1,$AD1798/$AD1797-1,$AE1798/$AE1797-1,$AG1798/$AG1797-1,$AH1798/$AH1797-1,$AI1798/$AI1797-1,$AJ1798/$AJ1797-1,$AL1798/$AL1797-1,$AM1798/$AM1797-1,$AR1798/$AR1797-1,$AS1798/$AS1797-1,$AT1798/$AT1797-1,$AU1798/$AU1797-1,$AV1798/$AV1797-1,$AW1798/$AW1797-1,$AX1798/$AX1797-1,$AY1798/$AY1797-1),"")</f>
        <v/>
      </c>
      <c r="DW1797" s="66">
        <f>AVERAGE($CB1797,$CC1797,$CD1797,$CE1797,$CF1797,$CG1797,$CH1797,$CI1797,$CJ1797,$CL1797,$CM1797,$CN1797,$CO1797,$CP1797,$CQ1797,$CR1797,$CS1797,$CT1797)</f>
        <v/>
      </c>
      <c r="DX1797" s="66">
        <f>AVERAGE($CB1797,$CC1797,$CM1797,$CE1797,$CP1797)</f>
        <v/>
      </c>
      <c r="DY1797" s="64">
        <f>($DW1797-$DW1798)*100</f>
        <v/>
      </c>
      <c r="DZ1797" s="64">
        <f>($DX1797-$DX1798)*100</f>
        <v/>
      </c>
      <c r="EA1797" s="64">
        <f>($DW1797-$D1797)*100</f>
        <v/>
      </c>
      <c r="EB1797" s="64">
        <f>$Q1797-$O1797</f>
        <v/>
      </c>
      <c r="EC1797" s="67">
        <f>IFERROR($Q1797/$P1797,"")</f>
        <v/>
      </c>
    </row>
    <row r="1798">
      <c r="DG1798" s="64">
        <f>($B1798-$B1799)*100</f>
        <v/>
      </c>
      <c r="DH1798" s="64">
        <f>($D1798-$D1799)*100</f>
        <v/>
      </c>
      <c r="DI1798" s="64">
        <f>($E1798-$E1799)*100</f>
        <v/>
      </c>
      <c r="DJ1798" s="64">
        <f>($H1798-$H1799)*100</f>
        <v/>
      </c>
      <c r="DK1798" s="65">
        <f>IFERROR($J1798/$J1799-1,"")</f>
        <v/>
      </c>
      <c r="DL1798" s="64">
        <f>$L1798-$L1799</f>
        <v/>
      </c>
      <c r="DM1798" s="64">
        <f>$K1798-$K1799</f>
        <v/>
      </c>
      <c r="DN1798" s="65">
        <f>IFERROR($N1798/$N1799-1,"")</f>
        <v/>
      </c>
      <c r="DO1798" s="65">
        <f>IFERROR($M1798/$M1799-1,"")</f>
        <v/>
      </c>
      <c r="DP1798" s="65">
        <f>IFERROR($AZ1798/$AZ1799-1,"")</f>
        <v/>
      </c>
      <c r="DQ1798" s="65">
        <f>IFERROR($BA1798/$BA1799-1,"")</f>
        <v/>
      </c>
      <c r="DR1798" s="64">
        <f>$O1798-$O1799</f>
        <v/>
      </c>
      <c r="DS1798" s="64">
        <f>$P1798-$P1799</f>
        <v/>
      </c>
      <c r="DT1798" s="64">
        <f>$Q1798-$Q1799</f>
        <v/>
      </c>
      <c r="DU1798" s="64">
        <f>$S1798-$S1799</f>
        <v/>
      </c>
      <c r="DV1798" s="65">
        <f>IFERROR(AVERAGE($AA1799/$AA1798-1,$AB1799/$AB1798-1,$AC1799/$AC1798-1,$AD1799/$AD1798-1,$AE1799/$AE1798-1,$AG1799/$AG1798-1,$AH1799/$AH1798-1,$AI1799/$AI1798-1,$AJ1799/$AJ1798-1,$AL1799/$AL1798-1,$AM1799/$AM1798-1,$AR1799/$AR1798-1,$AS1799/$AS1798-1,$AT1799/$AT1798-1,$AU1799/$AU1798-1,$AV1799/$AV1798-1,$AW1799/$AW1798-1,$AX1799/$AX1798-1,$AY1799/$AY1798-1),"")</f>
        <v/>
      </c>
      <c r="DW1798" s="66">
        <f>AVERAGE($CB1798,$CC1798,$CD1798,$CE1798,$CF1798,$CG1798,$CH1798,$CI1798,$CJ1798,$CL1798,$CM1798,$CN1798,$CO1798,$CP1798,$CQ1798,$CR1798,$CS1798,$CT1798)</f>
        <v/>
      </c>
      <c r="DX1798" s="66">
        <f>AVERAGE($CB1798,$CC1798,$CM1798,$CE1798,$CP1798)</f>
        <v/>
      </c>
      <c r="DY1798" s="64">
        <f>($DW1798-$DW1799)*100</f>
        <v/>
      </c>
      <c r="DZ1798" s="64">
        <f>($DX1798-$DX1799)*100</f>
        <v/>
      </c>
      <c r="EA1798" s="64">
        <f>($DW1798-$D1798)*100</f>
        <v/>
      </c>
      <c r="EB1798" s="64">
        <f>$Q1798-$O1798</f>
        <v/>
      </c>
      <c r="EC1798" s="67">
        <f>IFERROR($Q1798/$P1798,"")</f>
        <v/>
      </c>
    </row>
    <row r="1799">
      <c r="DG1799" s="64">
        <f>($B1799-$B1800)*100</f>
        <v/>
      </c>
      <c r="DH1799" s="64">
        <f>($D1799-$D1800)*100</f>
        <v/>
      </c>
      <c r="DI1799" s="64">
        <f>($E1799-$E1800)*100</f>
        <v/>
      </c>
      <c r="DJ1799" s="64">
        <f>($H1799-$H1800)*100</f>
        <v/>
      </c>
      <c r="DK1799" s="65">
        <f>IFERROR($J1799/$J1800-1,"")</f>
        <v/>
      </c>
      <c r="DL1799" s="64">
        <f>$L1799-$L1800</f>
        <v/>
      </c>
      <c r="DM1799" s="64">
        <f>$K1799-$K1800</f>
        <v/>
      </c>
      <c r="DN1799" s="65">
        <f>IFERROR($N1799/$N1800-1,"")</f>
        <v/>
      </c>
      <c r="DO1799" s="65">
        <f>IFERROR($M1799/$M1800-1,"")</f>
        <v/>
      </c>
      <c r="DP1799" s="65">
        <f>IFERROR($AZ1799/$AZ1800-1,"")</f>
        <v/>
      </c>
      <c r="DQ1799" s="65">
        <f>IFERROR($BA1799/$BA1800-1,"")</f>
        <v/>
      </c>
      <c r="DR1799" s="64">
        <f>$O1799-$O1800</f>
        <v/>
      </c>
      <c r="DS1799" s="64">
        <f>$P1799-$P1800</f>
        <v/>
      </c>
      <c r="DT1799" s="64">
        <f>$Q1799-$Q1800</f>
        <v/>
      </c>
      <c r="DU1799" s="64">
        <f>$S1799-$S1800</f>
        <v/>
      </c>
      <c r="DV1799" s="65">
        <f>IFERROR(AVERAGE($AA1800/$AA1799-1,$AB1800/$AB1799-1,$AC1800/$AC1799-1,$AD1800/$AD1799-1,$AE1800/$AE1799-1,$AG1800/$AG1799-1,$AH1800/$AH1799-1,$AI1800/$AI1799-1,$AJ1800/$AJ1799-1,$AL1800/$AL1799-1,$AM1800/$AM1799-1,$AR1800/$AR1799-1,$AS1800/$AS1799-1,$AT1800/$AT1799-1,$AU1800/$AU1799-1,$AV1800/$AV1799-1,$AW1800/$AW1799-1,$AX1800/$AX1799-1,$AY1800/$AY1799-1),"")</f>
        <v/>
      </c>
      <c r="DW1799" s="66">
        <f>AVERAGE($CB1799,$CC1799,$CD1799,$CE1799,$CF1799,$CG1799,$CH1799,$CI1799,$CJ1799,$CL1799,$CM1799,$CN1799,$CO1799,$CP1799,$CQ1799,$CR1799,$CS1799,$CT1799)</f>
        <v/>
      </c>
      <c r="DX1799" s="66">
        <f>AVERAGE($CB1799,$CC1799,$CM1799,$CE1799,$CP1799)</f>
        <v/>
      </c>
      <c r="DY1799" s="64">
        <f>($DW1799-$DW1800)*100</f>
        <v/>
      </c>
      <c r="DZ1799" s="64">
        <f>($DX1799-$DX1800)*100</f>
        <v/>
      </c>
      <c r="EA1799" s="64">
        <f>($DW1799-$D1799)*100</f>
        <v/>
      </c>
      <c r="EB1799" s="64">
        <f>$Q1799-$O1799</f>
        <v/>
      </c>
      <c r="EC1799" s="67">
        <f>IFERROR($Q1799/$P1799,"")</f>
        <v/>
      </c>
    </row>
    <row r="1800">
      <c r="DG1800" s="64">
        <f>($B1800-$B1801)*100</f>
        <v/>
      </c>
      <c r="DH1800" s="64">
        <f>($D1800-$D1801)*100</f>
        <v/>
      </c>
      <c r="DI1800" s="64">
        <f>($E1800-$E1801)*100</f>
        <v/>
      </c>
      <c r="DJ1800" s="64">
        <f>($H1800-$H1801)*100</f>
        <v/>
      </c>
      <c r="DK1800" s="65">
        <f>IFERROR($J1800/$J1801-1,"")</f>
        <v/>
      </c>
      <c r="DL1800" s="64">
        <f>$L1800-$L1801</f>
        <v/>
      </c>
      <c r="DM1800" s="64">
        <f>$K1800-$K1801</f>
        <v/>
      </c>
      <c r="DN1800" s="65">
        <f>IFERROR($N1800/$N1801-1,"")</f>
        <v/>
      </c>
      <c r="DO1800" s="65">
        <f>IFERROR($M1800/$M1801-1,"")</f>
        <v/>
      </c>
      <c r="DP1800" s="65">
        <f>IFERROR($AZ1800/$AZ1801-1,"")</f>
        <v/>
      </c>
      <c r="DQ1800" s="65">
        <f>IFERROR($BA1800/$BA1801-1,"")</f>
        <v/>
      </c>
      <c r="DR1800" s="64">
        <f>$O1800-$O1801</f>
        <v/>
      </c>
      <c r="DS1800" s="64">
        <f>$P1800-$P1801</f>
        <v/>
      </c>
      <c r="DT1800" s="64">
        <f>$Q1800-$Q1801</f>
        <v/>
      </c>
      <c r="DU1800" s="64">
        <f>$S1800-$S1801</f>
        <v/>
      </c>
      <c r="DV1800" s="65">
        <f>IFERROR(AVERAGE($AA1801/$AA1800-1,$AB1801/$AB1800-1,$AC1801/$AC1800-1,$AD1801/$AD1800-1,$AE1801/$AE1800-1,$AG1801/$AG1800-1,$AH1801/$AH1800-1,$AI1801/$AI1800-1,$AJ1801/$AJ1800-1,$AL1801/$AL1800-1,$AM1801/$AM1800-1,$AR1801/$AR1800-1,$AS1801/$AS1800-1,$AT1801/$AT1800-1,$AU1801/$AU1800-1,$AV1801/$AV1800-1,$AW1801/$AW1800-1,$AX1801/$AX1800-1,$AY1801/$AY1800-1),"")</f>
        <v/>
      </c>
      <c r="DW1800" s="66">
        <f>AVERAGE($CB1800,$CC1800,$CD1800,$CE1800,$CF1800,$CG1800,$CH1800,$CI1800,$CJ1800,$CL1800,$CM1800,$CN1800,$CO1800,$CP1800,$CQ1800,$CR1800,$CS1800,$CT1800)</f>
        <v/>
      </c>
      <c r="DX1800" s="66">
        <f>AVERAGE($CB1800,$CC1800,$CM1800,$CE1800,$CP1800)</f>
        <v/>
      </c>
      <c r="DY1800" s="64">
        <f>($DW1800-$DW1801)*100</f>
        <v/>
      </c>
      <c r="DZ1800" s="64">
        <f>($DX1800-$DX1801)*100</f>
        <v/>
      </c>
      <c r="EA1800" s="64">
        <f>($DW1800-$D1800)*100</f>
        <v/>
      </c>
      <c r="EB1800" s="64">
        <f>$Q1800-$O1800</f>
        <v/>
      </c>
      <c r="EC1800" s="67">
        <f>IFERROR($Q1800/$P1800,"")</f>
        <v/>
      </c>
    </row>
    <row r="1801">
      <c r="DG1801" s="64">
        <f>($B1801-$B1802)*100</f>
        <v/>
      </c>
      <c r="DH1801" s="64">
        <f>($D1801-$D1802)*100</f>
        <v/>
      </c>
      <c r="DI1801" s="64">
        <f>($E1801-$E1802)*100</f>
        <v/>
      </c>
      <c r="DJ1801" s="64">
        <f>($H1801-$H1802)*100</f>
        <v/>
      </c>
      <c r="DK1801" s="65">
        <f>IFERROR($J1801/$J1802-1,"")</f>
        <v/>
      </c>
      <c r="DL1801" s="64">
        <f>$L1801-$L1802</f>
        <v/>
      </c>
      <c r="DM1801" s="64">
        <f>$K1801-$K1802</f>
        <v/>
      </c>
      <c r="DN1801" s="65">
        <f>IFERROR($N1801/$N1802-1,"")</f>
        <v/>
      </c>
      <c r="DO1801" s="65">
        <f>IFERROR($M1801/$M1802-1,"")</f>
        <v/>
      </c>
      <c r="DP1801" s="65">
        <f>IFERROR($AZ1801/$AZ1802-1,"")</f>
        <v/>
      </c>
      <c r="DQ1801" s="65">
        <f>IFERROR($BA1801/$BA1802-1,"")</f>
        <v/>
      </c>
      <c r="DR1801" s="64">
        <f>$O1801-$O1802</f>
        <v/>
      </c>
      <c r="DS1801" s="64">
        <f>$P1801-$P1802</f>
        <v/>
      </c>
      <c r="DT1801" s="64">
        <f>$Q1801-$Q1802</f>
        <v/>
      </c>
      <c r="DU1801" s="64">
        <f>$S1801-$S1802</f>
        <v/>
      </c>
      <c r="DV1801" s="65">
        <f>IFERROR(AVERAGE($AA1802/$AA1801-1,$AB1802/$AB1801-1,$AC1802/$AC1801-1,$AD1802/$AD1801-1,$AE1802/$AE1801-1,$AG1802/$AG1801-1,$AH1802/$AH1801-1,$AI1802/$AI1801-1,$AJ1802/$AJ1801-1,$AL1802/$AL1801-1,$AM1802/$AM1801-1,$AR1802/$AR1801-1,$AS1802/$AS1801-1,$AT1802/$AT1801-1,$AU1802/$AU1801-1,$AV1802/$AV1801-1,$AW1802/$AW1801-1,$AX1802/$AX1801-1,$AY1802/$AY1801-1),"")</f>
        <v/>
      </c>
      <c r="DW1801" s="66">
        <f>AVERAGE($CB1801,$CC1801,$CD1801,$CE1801,$CF1801,$CG1801,$CH1801,$CI1801,$CJ1801,$CL1801,$CM1801,$CN1801,$CO1801,$CP1801,$CQ1801,$CR1801,$CS1801,$CT1801)</f>
        <v/>
      </c>
      <c r="DX1801" s="66">
        <f>AVERAGE($CB1801,$CC1801,$CM1801,$CE1801,$CP1801)</f>
        <v/>
      </c>
      <c r="DY1801" s="64">
        <f>($DW1801-$DW1802)*100</f>
        <v/>
      </c>
      <c r="DZ1801" s="64">
        <f>($DX1801-$DX1802)*100</f>
        <v/>
      </c>
      <c r="EA1801" s="64">
        <f>($DW1801-$D1801)*100</f>
        <v/>
      </c>
      <c r="EB1801" s="64">
        <f>$Q1801-$O1801</f>
        <v/>
      </c>
      <c r="EC1801" s="67">
        <f>IFERROR($Q1801/$P1801,"")</f>
        <v/>
      </c>
    </row>
    <row r="1802">
      <c r="DG1802" s="64">
        <f>($B1802-$B1803)*100</f>
        <v/>
      </c>
      <c r="DH1802" s="64">
        <f>($D1802-$D1803)*100</f>
        <v/>
      </c>
      <c r="DI1802" s="64">
        <f>($E1802-$E1803)*100</f>
        <v/>
      </c>
      <c r="DJ1802" s="64">
        <f>($H1802-$H1803)*100</f>
        <v/>
      </c>
      <c r="DK1802" s="65">
        <f>IFERROR($J1802/$J1803-1,"")</f>
        <v/>
      </c>
      <c r="DL1802" s="64">
        <f>$L1802-$L1803</f>
        <v/>
      </c>
      <c r="DM1802" s="64">
        <f>$K1802-$K1803</f>
        <v/>
      </c>
      <c r="DN1802" s="65">
        <f>IFERROR($N1802/$N1803-1,"")</f>
        <v/>
      </c>
      <c r="DO1802" s="65">
        <f>IFERROR($M1802/$M1803-1,"")</f>
        <v/>
      </c>
      <c r="DP1802" s="65">
        <f>IFERROR($AZ1802/$AZ1803-1,"")</f>
        <v/>
      </c>
      <c r="DQ1802" s="65">
        <f>IFERROR($BA1802/$BA1803-1,"")</f>
        <v/>
      </c>
      <c r="DR1802" s="64">
        <f>$O1802-$O1803</f>
        <v/>
      </c>
      <c r="DS1802" s="64">
        <f>$P1802-$P1803</f>
        <v/>
      </c>
      <c r="DT1802" s="64">
        <f>$Q1802-$Q1803</f>
        <v/>
      </c>
      <c r="DU1802" s="64">
        <f>$S1802-$S1803</f>
        <v/>
      </c>
      <c r="DV1802" s="65">
        <f>IFERROR(AVERAGE($AA1803/$AA1802-1,$AB1803/$AB1802-1,$AC1803/$AC1802-1,$AD1803/$AD1802-1,$AE1803/$AE1802-1,$AG1803/$AG1802-1,$AH1803/$AH1802-1,$AI1803/$AI1802-1,$AJ1803/$AJ1802-1,$AL1803/$AL1802-1,$AM1803/$AM1802-1,$AR1803/$AR1802-1,$AS1803/$AS1802-1,$AT1803/$AT1802-1,$AU1803/$AU1802-1,$AV1803/$AV1802-1,$AW1803/$AW1802-1,$AX1803/$AX1802-1,$AY1803/$AY1802-1),"")</f>
        <v/>
      </c>
      <c r="DW1802" s="66">
        <f>AVERAGE($CB1802,$CC1802,$CD1802,$CE1802,$CF1802,$CG1802,$CH1802,$CI1802,$CJ1802,$CL1802,$CM1802,$CN1802,$CO1802,$CP1802,$CQ1802,$CR1802,$CS1802,$CT1802)</f>
        <v/>
      </c>
      <c r="DX1802" s="66">
        <f>AVERAGE($CB1802,$CC1802,$CM1802,$CE1802,$CP1802)</f>
        <v/>
      </c>
      <c r="DY1802" s="64">
        <f>($DW1802-$DW1803)*100</f>
        <v/>
      </c>
      <c r="DZ1802" s="64">
        <f>($DX1802-$DX1803)*100</f>
        <v/>
      </c>
      <c r="EA1802" s="64">
        <f>($DW1802-$D1802)*100</f>
        <v/>
      </c>
      <c r="EB1802" s="64">
        <f>$Q1802-$O1802</f>
        <v/>
      </c>
      <c r="EC1802" s="67">
        <f>IFERROR($Q1802/$P1802,"")</f>
        <v/>
      </c>
    </row>
    <row r="1803">
      <c r="DG1803" s="64">
        <f>($B1803-$B1804)*100</f>
        <v/>
      </c>
      <c r="DH1803" s="64">
        <f>($D1803-$D1804)*100</f>
        <v/>
      </c>
      <c r="DI1803" s="64">
        <f>($E1803-$E1804)*100</f>
        <v/>
      </c>
      <c r="DJ1803" s="64">
        <f>($H1803-$H1804)*100</f>
        <v/>
      </c>
      <c r="DK1803" s="65">
        <f>IFERROR($J1803/$J1804-1,"")</f>
        <v/>
      </c>
      <c r="DL1803" s="64">
        <f>$L1803-$L1804</f>
        <v/>
      </c>
      <c r="DM1803" s="64">
        <f>$K1803-$K1804</f>
        <v/>
      </c>
      <c r="DN1803" s="65">
        <f>IFERROR($N1803/$N1804-1,"")</f>
        <v/>
      </c>
      <c r="DO1803" s="65">
        <f>IFERROR($M1803/$M1804-1,"")</f>
        <v/>
      </c>
      <c r="DP1803" s="65">
        <f>IFERROR($AZ1803/$AZ1804-1,"")</f>
        <v/>
      </c>
      <c r="DQ1803" s="65">
        <f>IFERROR($BA1803/$BA1804-1,"")</f>
        <v/>
      </c>
      <c r="DR1803" s="64">
        <f>$O1803-$O1804</f>
        <v/>
      </c>
      <c r="DS1803" s="64">
        <f>$P1803-$P1804</f>
        <v/>
      </c>
      <c r="DT1803" s="64">
        <f>$Q1803-$Q1804</f>
        <v/>
      </c>
      <c r="DU1803" s="64">
        <f>$S1803-$S1804</f>
        <v/>
      </c>
      <c r="DV1803" s="65">
        <f>IFERROR(AVERAGE($AA1804/$AA1803-1,$AB1804/$AB1803-1,$AC1804/$AC1803-1,$AD1804/$AD1803-1,$AE1804/$AE1803-1,$AG1804/$AG1803-1,$AH1804/$AH1803-1,$AI1804/$AI1803-1,$AJ1804/$AJ1803-1,$AL1804/$AL1803-1,$AM1804/$AM1803-1,$AR1804/$AR1803-1,$AS1804/$AS1803-1,$AT1804/$AT1803-1,$AU1804/$AU1803-1,$AV1804/$AV1803-1,$AW1804/$AW1803-1,$AX1804/$AX1803-1,$AY1804/$AY1803-1),"")</f>
        <v/>
      </c>
      <c r="DW1803" s="66">
        <f>AVERAGE($CB1803,$CC1803,$CD1803,$CE1803,$CF1803,$CG1803,$CH1803,$CI1803,$CJ1803,$CL1803,$CM1803,$CN1803,$CO1803,$CP1803,$CQ1803,$CR1803,$CS1803,$CT1803)</f>
        <v/>
      </c>
      <c r="DX1803" s="66">
        <f>AVERAGE($CB1803,$CC1803,$CM1803,$CE1803,$CP1803)</f>
        <v/>
      </c>
      <c r="DY1803" s="64">
        <f>($DW1803-$DW1804)*100</f>
        <v/>
      </c>
      <c r="DZ1803" s="64">
        <f>($DX1803-$DX1804)*100</f>
        <v/>
      </c>
      <c r="EA1803" s="64">
        <f>($DW1803-$D1803)*100</f>
        <v/>
      </c>
      <c r="EB1803" s="64">
        <f>$Q1803-$O1803</f>
        <v/>
      </c>
      <c r="EC1803" s="67">
        <f>IFERROR($Q1803/$P1803,"")</f>
        <v/>
      </c>
    </row>
    <row r="1804">
      <c r="DG1804" s="64">
        <f>($B1804-$B1805)*100</f>
        <v/>
      </c>
      <c r="DH1804" s="64">
        <f>($D1804-$D1805)*100</f>
        <v/>
      </c>
      <c r="DI1804" s="64">
        <f>($E1804-$E1805)*100</f>
        <v/>
      </c>
      <c r="DJ1804" s="64">
        <f>($H1804-$H1805)*100</f>
        <v/>
      </c>
      <c r="DK1804" s="65">
        <f>IFERROR($J1804/$J1805-1,"")</f>
        <v/>
      </c>
      <c r="DL1804" s="64">
        <f>$L1804-$L1805</f>
        <v/>
      </c>
      <c r="DM1804" s="64">
        <f>$K1804-$K1805</f>
        <v/>
      </c>
      <c r="DN1804" s="65">
        <f>IFERROR($N1804/$N1805-1,"")</f>
        <v/>
      </c>
      <c r="DO1804" s="65">
        <f>IFERROR($M1804/$M1805-1,"")</f>
        <v/>
      </c>
      <c r="DP1804" s="65">
        <f>IFERROR($AZ1804/$AZ1805-1,"")</f>
        <v/>
      </c>
      <c r="DQ1804" s="65">
        <f>IFERROR($BA1804/$BA1805-1,"")</f>
        <v/>
      </c>
      <c r="DR1804" s="64">
        <f>$O1804-$O1805</f>
        <v/>
      </c>
      <c r="DS1804" s="64">
        <f>$P1804-$P1805</f>
        <v/>
      </c>
      <c r="DT1804" s="64">
        <f>$Q1804-$Q1805</f>
        <v/>
      </c>
      <c r="DU1804" s="64">
        <f>$S1804-$S1805</f>
        <v/>
      </c>
      <c r="DV1804" s="65">
        <f>IFERROR(AVERAGE($AA1805/$AA1804-1,$AB1805/$AB1804-1,$AC1805/$AC1804-1,$AD1805/$AD1804-1,$AE1805/$AE1804-1,$AG1805/$AG1804-1,$AH1805/$AH1804-1,$AI1805/$AI1804-1,$AJ1805/$AJ1804-1,$AL1805/$AL1804-1,$AM1805/$AM1804-1,$AR1805/$AR1804-1,$AS1805/$AS1804-1,$AT1805/$AT1804-1,$AU1805/$AU1804-1,$AV1805/$AV1804-1,$AW1805/$AW1804-1,$AX1805/$AX1804-1,$AY1805/$AY1804-1),"")</f>
        <v/>
      </c>
      <c r="DW1804" s="66">
        <f>AVERAGE($CB1804,$CC1804,$CD1804,$CE1804,$CF1804,$CG1804,$CH1804,$CI1804,$CJ1804,$CL1804,$CM1804,$CN1804,$CO1804,$CP1804,$CQ1804,$CR1804,$CS1804,$CT1804)</f>
        <v/>
      </c>
      <c r="DX1804" s="66">
        <f>AVERAGE($CB1804,$CC1804,$CM1804,$CE1804,$CP1804)</f>
        <v/>
      </c>
      <c r="DY1804" s="64">
        <f>($DW1804-$DW1805)*100</f>
        <v/>
      </c>
      <c r="DZ1804" s="64">
        <f>($DX1804-$DX1805)*100</f>
        <v/>
      </c>
      <c r="EA1804" s="64">
        <f>($DW1804-$D1804)*100</f>
        <v/>
      </c>
      <c r="EB1804" s="64">
        <f>$Q1804-$O1804</f>
        <v/>
      </c>
      <c r="EC1804" s="67">
        <f>IFERROR($Q1804/$P1804,"")</f>
        <v/>
      </c>
    </row>
    <row r="1805">
      <c r="DG1805" s="64">
        <f>($B1805-$B1806)*100</f>
        <v/>
      </c>
      <c r="DH1805" s="64">
        <f>($D1805-$D1806)*100</f>
        <v/>
      </c>
      <c r="DI1805" s="64">
        <f>($E1805-$E1806)*100</f>
        <v/>
      </c>
      <c r="DJ1805" s="64">
        <f>($H1805-$H1806)*100</f>
        <v/>
      </c>
      <c r="DK1805" s="65">
        <f>IFERROR($J1805/$J1806-1,"")</f>
        <v/>
      </c>
      <c r="DL1805" s="64">
        <f>$L1805-$L1806</f>
        <v/>
      </c>
      <c r="DM1805" s="64">
        <f>$K1805-$K1806</f>
        <v/>
      </c>
      <c r="DN1805" s="65">
        <f>IFERROR($N1805/$N1806-1,"")</f>
        <v/>
      </c>
      <c r="DO1805" s="65">
        <f>IFERROR($M1805/$M1806-1,"")</f>
        <v/>
      </c>
      <c r="DP1805" s="65">
        <f>IFERROR($AZ1805/$AZ1806-1,"")</f>
        <v/>
      </c>
      <c r="DQ1805" s="65">
        <f>IFERROR($BA1805/$BA1806-1,"")</f>
        <v/>
      </c>
      <c r="DR1805" s="64">
        <f>$O1805-$O1806</f>
        <v/>
      </c>
      <c r="DS1805" s="64">
        <f>$P1805-$P1806</f>
        <v/>
      </c>
      <c r="DT1805" s="64">
        <f>$Q1805-$Q1806</f>
        <v/>
      </c>
      <c r="DU1805" s="64">
        <f>$S1805-$S1806</f>
        <v/>
      </c>
      <c r="DV1805" s="65">
        <f>IFERROR(AVERAGE($AA1806/$AA1805-1,$AB1806/$AB1805-1,$AC1806/$AC1805-1,$AD1806/$AD1805-1,$AE1806/$AE1805-1,$AG1806/$AG1805-1,$AH1806/$AH1805-1,$AI1806/$AI1805-1,$AJ1806/$AJ1805-1,$AL1806/$AL1805-1,$AM1806/$AM1805-1,$AR1806/$AR1805-1,$AS1806/$AS1805-1,$AT1806/$AT1805-1,$AU1806/$AU1805-1,$AV1806/$AV1805-1,$AW1806/$AW1805-1,$AX1806/$AX1805-1,$AY1806/$AY1805-1),"")</f>
        <v/>
      </c>
      <c r="DW1805" s="66">
        <f>AVERAGE($CB1805,$CC1805,$CD1805,$CE1805,$CF1805,$CG1805,$CH1805,$CI1805,$CJ1805,$CL1805,$CM1805,$CN1805,$CO1805,$CP1805,$CQ1805,$CR1805,$CS1805,$CT1805)</f>
        <v/>
      </c>
      <c r="DX1805" s="66">
        <f>AVERAGE($CB1805,$CC1805,$CM1805,$CE1805,$CP1805)</f>
        <v/>
      </c>
      <c r="DY1805" s="64">
        <f>($DW1805-$DW1806)*100</f>
        <v/>
      </c>
      <c r="DZ1805" s="64">
        <f>($DX1805-$DX1806)*100</f>
        <v/>
      </c>
      <c r="EA1805" s="64">
        <f>($DW1805-$D1805)*100</f>
        <v/>
      </c>
      <c r="EB1805" s="64">
        <f>$Q1805-$O1805</f>
        <v/>
      </c>
      <c r="EC1805" s="67">
        <f>IFERROR($Q1805/$P1805,"")</f>
        <v/>
      </c>
    </row>
    <row r="1806">
      <c r="DG1806" s="64">
        <f>($B1806-$B1807)*100</f>
        <v/>
      </c>
      <c r="DH1806" s="64">
        <f>($D1806-$D1807)*100</f>
        <v/>
      </c>
      <c r="DI1806" s="64">
        <f>($E1806-$E1807)*100</f>
        <v/>
      </c>
      <c r="DJ1806" s="64">
        <f>($H1806-$H1807)*100</f>
        <v/>
      </c>
      <c r="DK1806" s="65">
        <f>IFERROR($J1806/$J1807-1,"")</f>
        <v/>
      </c>
      <c r="DL1806" s="64">
        <f>$L1806-$L1807</f>
        <v/>
      </c>
      <c r="DM1806" s="64">
        <f>$K1806-$K1807</f>
        <v/>
      </c>
      <c r="DN1806" s="65">
        <f>IFERROR($N1806/$N1807-1,"")</f>
        <v/>
      </c>
      <c r="DO1806" s="65">
        <f>IFERROR($M1806/$M1807-1,"")</f>
        <v/>
      </c>
      <c r="DP1806" s="65">
        <f>IFERROR($AZ1806/$AZ1807-1,"")</f>
        <v/>
      </c>
      <c r="DQ1806" s="65">
        <f>IFERROR($BA1806/$BA1807-1,"")</f>
        <v/>
      </c>
      <c r="DR1806" s="64">
        <f>$O1806-$O1807</f>
        <v/>
      </c>
      <c r="DS1806" s="64">
        <f>$P1806-$P1807</f>
        <v/>
      </c>
      <c r="DT1806" s="64">
        <f>$Q1806-$Q1807</f>
        <v/>
      </c>
      <c r="DU1806" s="64">
        <f>$S1806-$S1807</f>
        <v/>
      </c>
      <c r="DV1806" s="65">
        <f>IFERROR(AVERAGE($AA1807/$AA1806-1,$AB1807/$AB1806-1,$AC1807/$AC1806-1,$AD1807/$AD1806-1,$AE1807/$AE1806-1,$AG1807/$AG1806-1,$AH1807/$AH1806-1,$AI1807/$AI1806-1,$AJ1807/$AJ1806-1,$AL1807/$AL1806-1,$AM1807/$AM1806-1,$AR1807/$AR1806-1,$AS1807/$AS1806-1,$AT1807/$AT1806-1,$AU1807/$AU1806-1,$AV1807/$AV1806-1,$AW1807/$AW1806-1,$AX1807/$AX1806-1,$AY1807/$AY1806-1),"")</f>
        <v/>
      </c>
      <c r="DW1806" s="66">
        <f>AVERAGE($CB1806,$CC1806,$CD1806,$CE1806,$CF1806,$CG1806,$CH1806,$CI1806,$CJ1806,$CL1806,$CM1806,$CN1806,$CO1806,$CP1806,$CQ1806,$CR1806,$CS1806,$CT1806)</f>
        <v/>
      </c>
      <c r="DX1806" s="66">
        <f>AVERAGE($CB1806,$CC1806,$CM1806,$CE1806,$CP1806)</f>
        <v/>
      </c>
      <c r="DY1806" s="64">
        <f>($DW1806-$DW1807)*100</f>
        <v/>
      </c>
      <c r="DZ1806" s="64">
        <f>($DX1806-$DX1807)*100</f>
        <v/>
      </c>
      <c r="EA1806" s="64">
        <f>($DW1806-$D1806)*100</f>
        <v/>
      </c>
      <c r="EB1806" s="64">
        <f>$Q1806-$O1806</f>
        <v/>
      </c>
      <c r="EC1806" s="67">
        <f>IFERROR($Q1806/$P1806,"")</f>
        <v/>
      </c>
    </row>
    <row r="1807">
      <c r="DG1807" s="64">
        <f>($B1807-$B1808)*100</f>
        <v/>
      </c>
      <c r="DH1807" s="64">
        <f>($D1807-$D1808)*100</f>
        <v/>
      </c>
      <c r="DI1807" s="64">
        <f>($E1807-$E1808)*100</f>
        <v/>
      </c>
      <c r="DJ1807" s="64">
        <f>($H1807-$H1808)*100</f>
        <v/>
      </c>
      <c r="DK1807" s="65">
        <f>IFERROR($J1807/$J1808-1,"")</f>
        <v/>
      </c>
      <c r="DL1807" s="64">
        <f>$L1807-$L1808</f>
        <v/>
      </c>
      <c r="DM1807" s="64">
        <f>$K1807-$K1808</f>
        <v/>
      </c>
      <c r="DN1807" s="65">
        <f>IFERROR($N1807/$N1808-1,"")</f>
        <v/>
      </c>
      <c r="DO1807" s="65">
        <f>IFERROR($M1807/$M1808-1,"")</f>
        <v/>
      </c>
      <c r="DP1807" s="65">
        <f>IFERROR($AZ1807/$AZ1808-1,"")</f>
        <v/>
      </c>
      <c r="DQ1807" s="65">
        <f>IFERROR($BA1807/$BA1808-1,"")</f>
        <v/>
      </c>
      <c r="DR1807" s="64">
        <f>$O1807-$O1808</f>
        <v/>
      </c>
      <c r="DS1807" s="64">
        <f>$P1807-$P1808</f>
        <v/>
      </c>
      <c r="DT1807" s="64">
        <f>$Q1807-$Q1808</f>
        <v/>
      </c>
      <c r="DU1807" s="64">
        <f>$S1807-$S1808</f>
        <v/>
      </c>
      <c r="DV1807" s="65">
        <f>IFERROR(AVERAGE($AA1808/$AA1807-1,$AB1808/$AB1807-1,$AC1808/$AC1807-1,$AD1808/$AD1807-1,$AE1808/$AE1807-1,$AG1808/$AG1807-1,$AH1808/$AH1807-1,$AI1808/$AI1807-1,$AJ1808/$AJ1807-1,$AL1808/$AL1807-1,$AM1808/$AM1807-1,$AR1808/$AR1807-1,$AS1808/$AS1807-1,$AT1808/$AT1807-1,$AU1808/$AU1807-1,$AV1808/$AV1807-1,$AW1808/$AW1807-1,$AX1808/$AX1807-1,$AY1808/$AY1807-1),"")</f>
        <v/>
      </c>
      <c r="DW1807" s="66">
        <f>AVERAGE($CB1807,$CC1807,$CD1807,$CE1807,$CF1807,$CG1807,$CH1807,$CI1807,$CJ1807,$CL1807,$CM1807,$CN1807,$CO1807,$CP1807,$CQ1807,$CR1807,$CS1807,$CT1807)</f>
        <v/>
      </c>
      <c r="DX1807" s="66">
        <f>AVERAGE($CB1807,$CC1807,$CM1807,$CE1807,$CP1807)</f>
        <v/>
      </c>
      <c r="DY1807" s="64">
        <f>($DW1807-$DW1808)*100</f>
        <v/>
      </c>
      <c r="DZ1807" s="64">
        <f>($DX1807-$DX1808)*100</f>
        <v/>
      </c>
      <c r="EA1807" s="64">
        <f>($DW1807-$D1807)*100</f>
        <v/>
      </c>
      <c r="EB1807" s="64">
        <f>$Q1807-$O1807</f>
        <v/>
      </c>
      <c r="EC1807" s="67">
        <f>IFERROR($Q1807/$P1807,"")</f>
        <v/>
      </c>
    </row>
    <row r="1808">
      <c r="DG1808" s="64">
        <f>($B1808-$B1809)*100</f>
        <v/>
      </c>
      <c r="DH1808" s="64">
        <f>($D1808-$D1809)*100</f>
        <v/>
      </c>
      <c r="DI1808" s="64">
        <f>($E1808-$E1809)*100</f>
        <v/>
      </c>
      <c r="DJ1808" s="64">
        <f>($H1808-$H1809)*100</f>
        <v/>
      </c>
      <c r="DK1808" s="65">
        <f>IFERROR($J1808/$J1809-1,"")</f>
        <v/>
      </c>
      <c r="DL1808" s="64">
        <f>$L1808-$L1809</f>
        <v/>
      </c>
      <c r="DM1808" s="64">
        <f>$K1808-$K1809</f>
        <v/>
      </c>
      <c r="DN1808" s="65">
        <f>IFERROR($N1808/$N1809-1,"")</f>
        <v/>
      </c>
      <c r="DO1808" s="65">
        <f>IFERROR($M1808/$M1809-1,"")</f>
        <v/>
      </c>
      <c r="DP1808" s="65">
        <f>IFERROR($AZ1808/$AZ1809-1,"")</f>
        <v/>
      </c>
      <c r="DQ1808" s="65">
        <f>IFERROR($BA1808/$BA1809-1,"")</f>
        <v/>
      </c>
      <c r="DR1808" s="64">
        <f>$O1808-$O1809</f>
        <v/>
      </c>
      <c r="DS1808" s="64">
        <f>$P1808-$P1809</f>
        <v/>
      </c>
      <c r="DT1808" s="64">
        <f>$Q1808-$Q1809</f>
        <v/>
      </c>
      <c r="DU1808" s="64">
        <f>$S1808-$S1809</f>
        <v/>
      </c>
      <c r="DV1808" s="65">
        <f>IFERROR(AVERAGE($AA1809/$AA1808-1,$AB1809/$AB1808-1,$AC1809/$AC1808-1,$AD1809/$AD1808-1,$AE1809/$AE1808-1,$AG1809/$AG1808-1,$AH1809/$AH1808-1,$AI1809/$AI1808-1,$AJ1809/$AJ1808-1,$AL1809/$AL1808-1,$AM1809/$AM1808-1,$AR1809/$AR1808-1,$AS1809/$AS1808-1,$AT1809/$AT1808-1,$AU1809/$AU1808-1,$AV1809/$AV1808-1,$AW1809/$AW1808-1,$AX1809/$AX1808-1,$AY1809/$AY1808-1),"")</f>
        <v/>
      </c>
      <c r="DW1808" s="66">
        <f>AVERAGE($CB1808,$CC1808,$CD1808,$CE1808,$CF1808,$CG1808,$CH1808,$CI1808,$CJ1808,$CL1808,$CM1808,$CN1808,$CO1808,$CP1808,$CQ1808,$CR1808,$CS1808,$CT1808)</f>
        <v/>
      </c>
      <c r="DX1808" s="66">
        <f>AVERAGE($CB1808,$CC1808,$CM1808,$CE1808,$CP1808)</f>
        <v/>
      </c>
      <c r="DY1808" s="64">
        <f>($DW1808-$DW1809)*100</f>
        <v/>
      </c>
      <c r="DZ1808" s="64">
        <f>($DX1808-$DX1809)*100</f>
        <v/>
      </c>
      <c r="EA1808" s="64">
        <f>($DW1808-$D1808)*100</f>
        <v/>
      </c>
      <c r="EB1808" s="64">
        <f>$Q1808-$O1808</f>
        <v/>
      </c>
      <c r="EC1808" s="67">
        <f>IFERROR($Q1808/$P1808,"")</f>
        <v/>
      </c>
    </row>
    <row r="1809">
      <c r="DG1809" s="64">
        <f>($B1809-$B1810)*100</f>
        <v/>
      </c>
      <c r="DH1809" s="64">
        <f>($D1809-$D1810)*100</f>
        <v/>
      </c>
      <c r="DI1809" s="64">
        <f>($E1809-$E1810)*100</f>
        <v/>
      </c>
      <c r="DJ1809" s="64">
        <f>($H1809-$H1810)*100</f>
        <v/>
      </c>
      <c r="DK1809" s="65">
        <f>IFERROR($J1809/$J1810-1,"")</f>
        <v/>
      </c>
      <c r="DL1809" s="64">
        <f>$L1809-$L1810</f>
        <v/>
      </c>
      <c r="DM1809" s="64">
        <f>$K1809-$K1810</f>
        <v/>
      </c>
      <c r="DN1809" s="65">
        <f>IFERROR($N1809/$N1810-1,"")</f>
        <v/>
      </c>
      <c r="DO1809" s="65">
        <f>IFERROR($M1809/$M1810-1,"")</f>
        <v/>
      </c>
      <c r="DP1809" s="65">
        <f>IFERROR($AZ1809/$AZ1810-1,"")</f>
        <v/>
      </c>
      <c r="DQ1809" s="65">
        <f>IFERROR($BA1809/$BA1810-1,"")</f>
        <v/>
      </c>
      <c r="DR1809" s="64">
        <f>$O1809-$O1810</f>
        <v/>
      </c>
      <c r="DS1809" s="64">
        <f>$P1809-$P1810</f>
        <v/>
      </c>
      <c r="DT1809" s="64">
        <f>$Q1809-$Q1810</f>
        <v/>
      </c>
      <c r="DU1809" s="64">
        <f>$S1809-$S1810</f>
        <v/>
      </c>
      <c r="DV1809" s="65">
        <f>IFERROR(AVERAGE($AA1810/$AA1809-1,$AB1810/$AB1809-1,$AC1810/$AC1809-1,$AD1810/$AD1809-1,$AE1810/$AE1809-1,$AG1810/$AG1809-1,$AH1810/$AH1809-1,$AI1810/$AI1809-1,$AJ1810/$AJ1809-1,$AL1810/$AL1809-1,$AM1810/$AM1809-1,$AR1810/$AR1809-1,$AS1810/$AS1809-1,$AT1810/$AT1809-1,$AU1810/$AU1809-1,$AV1810/$AV1809-1,$AW1810/$AW1809-1,$AX1810/$AX1809-1,$AY1810/$AY1809-1),"")</f>
        <v/>
      </c>
      <c r="DW1809" s="66">
        <f>AVERAGE($CB1809,$CC1809,$CD1809,$CE1809,$CF1809,$CG1809,$CH1809,$CI1809,$CJ1809,$CL1809,$CM1809,$CN1809,$CO1809,$CP1809,$CQ1809,$CR1809,$CS1809,$CT1809)</f>
        <v/>
      </c>
      <c r="DX1809" s="66">
        <f>AVERAGE($CB1809,$CC1809,$CM1809,$CE1809,$CP1809)</f>
        <v/>
      </c>
      <c r="DY1809" s="64">
        <f>($DW1809-$DW1810)*100</f>
        <v/>
      </c>
      <c r="DZ1809" s="64">
        <f>($DX1809-$DX1810)*100</f>
        <v/>
      </c>
      <c r="EA1809" s="64">
        <f>($DW1809-$D1809)*100</f>
        <v/>
      </c>
      <c r="EB1809" s="64">
        <f>$Q1809-$O1809</f>
        <v/>
      </c>
      <c r="EC1809" s="67">
        <f>IFERROR($Q1809/$P1809,"")</f>
        <v/>
      </c>
    </row>
    <row r="1810">
      <c r="DG1810" s="64">
        <f>($B1810-$B1811)*100</f>
        <v/>
      </c>
      <c r="DH1810" s="64">
        <f>($D1810-$D1811)*100</f>
        <v/>
      </c>
      <c r="DI1810" s="64">
        <f>($E1810-$E1811)*100</f>
        <v/>
      </c>
      <c r="DJ1810" s="64">
        <f>($H1810-$H1811)*100</f>
        <v/>
      </c>
      <c r="DK1810" s="65">
        <f>IFERROR($J1810/$J1811-1,"")</f>
        <v/>
      </c>
      <c r="DL1810" s="64">
        <f>$L1810-$L1811</f>
        <v/>
      </c>
      <c r="DM1810" s="64">
        <f>$K1810-$K1811</f>
        <v/>
      </c>
      <c r="DN1810" s="65">
        <f>IFERROR($N1810/$N1811-1,"")</f>
        <v/>
      </c>
      <c r="DO1810" s="65">
        <f>IFERROR($M1810/$M1811-1,"")</f>
        <v/>
      </c>
      <c r="DP1810" s="65">
        <f>IFERROR($AZ1810/$AZ1811-1,"")</f>
        <v/>
      </c>
      <c r="DQ1810" s="65">
        <f>IFERROR($BA1810/$BA1811-1,"")</f>
        <v/>
      </c>
      <c r="DR1810" s="64">
        <f>$O1810-$O1811</f>
        <v/>
      </c>
      <c r="DS1810" s="64">
        <f>$P1810-$P1811</f>
        <v/>
      </c>
      <c r="DT1810" s="64">
        <f>$Q1810-$Q1811</f>
        <v/>
      </c>
      <c r="DU1810" s="64">
        <f>$S1810-$S1811</f>
        <v/>
      </c>
      <c r="DV1810" s="65">
        <f>IFERROR(AVERAGE($AA1811/$AA1810-1,$AB1811/$AB1810-1,$AC1811/$AC1810-1,$AD1811/$AD1810-1,$AE1811/$AE1810-1,$AG1811/$AG1810-1,$AH1811/$AH1810-1,$AI1811/$AI1810-1,$AJ1811/$AJ1810-1,$AL1811/$AL1810-1,$AM1811/$AM1810-1,$AR1811/$AR1810-1,$AS1811/$AS1810-1,$AT1811/$AT1810-1,$AU1811/$AU1810-1,$AV1811/$AV1810-1,$AW1811/$AW1810-1,$AX1811/$AX1810-1,$AY1811/$AY1810-1),"")</f>
        <v/>
      </c>
      <c r="DW1810" s="66">
        <f>AVERAGE($CB1810,$CC1810,$CD1810,$CE1810,$CF1810,$CG1810,$CH1810,$CI1810,$CJ1810,$CL1810,$CM1810,$CN1810,$CO1810,$CP1810,$CQ1810,$CR1810,$CS1810,$CT1810)</f>
        <v/>
      </c>
      <c r="DX1810" s="66">
        <f>AVERAGE($CB1810,$CC1810,$CM1810,$CE1810,$CP1810)</f>
        <v/>
      </c>
      <c r="DY1810" s="64">
        <f>($DW1810-$DW1811)*100</f>
        <v/>
      </c>
      <c r="DZ1810" s="64">
        <f>($DX1810-$DX1811)*100</f>
        <v/>
      </c>
      <c r="EA1810" s="64">
        <f>($DW1810-$D1810)*100</f>
        <v/>
      </c>
      <c r="EB1810" s="64">
        <f>$Q1810-$O1810</f>
        <v/>
      </c>
      <c r="EC1810" s="67">
        <f>IFERROR($Q1810/$P1810,"")</f>
        <v/>
      </c>
    </row>
    <row r="1811">
      <c r="DG1811" s="64">
        <f>($B1811-$B1812)*100</f>
        <v/>
      </c>
      <c r="DH1811" s="64">
        <f>($D1811-$D1812)*100</f>
        <v/>
      </c>
      <c r="DI1811" s="64">
        <f>($E1811-$E1812)*100</f>
        <v/>
      </c>
      <c r="DJ1811" s="64">
        <f>($H1811-$H1812)*100</f>
        <v/>
      </c>
      <c r="DK1811" s="65">
        <f>IFERROR($J1811/$J1812-1,"")</f>
        <v/>
      </c>
      <c r="DL1811" s="64">
        <f>$L1811-$L1812</f>
        <v/>
      </c>
      <c r="DM1811" s="64">
        <f>$K1811-$K1812</f>
        <v/>
      </c>
      <c r="DN1811" s="65">
        <f>IFERROR($N1811/$N1812-1,"")</f>
        <v/>
      </c>
      <c r="DO1811" s="65">
        <f>IFERROR($M1811/$M1812-1,"")</f>
        <v/>
      </c>
      <c r="DP1811" s="65">
        <f>IFERROR($AZ1811/$AZ1812-1,"")</f>
        <v/>
      </c>
      <c r="DQ1811" s="65">
        <f>IFERROR($BA1811/$BA1812-1,"")</f>
        <v/>
      </c>
      <c r="DR1811" s="64">
        <f>$O1811-$O1812</f>
        <v/>
      </c>
      <c r="DS1811" s="64">
        <f>$P1811-$P1812</f>
        <v/>
      </c>
      <c r="DT1811" s="64">
        <f>$Q1811-$Q1812</f>
        <v/>
      </c>
      <c r="DU1811" s="64">
        <f>$S1811-$S1812</f>
        <v/>
      </c>
      <c r="DV1811" s="65">
        <f>IFERROR(AVERAGE($AA1812/$AA1811-1,$AB1812/$AB1811-1,$AC1812/$AC1811-1,$AD1812/$AD1811-1,$AE1812/$AE1811-1,$AG1812/$AG1811-1,$AH1812/$AH1811-1,$AI1812/$AI1811-1,$AJ1812/$AJ1811-1,$AL1812/$AL1811-1,$AM1812/$AM1811-1,$AR1812/$AR1811-1,$AS1812/$AS1811-1,$AT1812/$AT1811-1,$AU1812/$AU1811-1,$AV1812/$AV1811-1,$AW1812/$AW1811-1,$AX1812/$AX1811-1,$AY1812/$AY1811-1),"")</f>
        <v/>
      </c>
      <c r="DW1811" s="66">
        <f>AVERAGE($CB1811,$CC1811,$CD1811,$CE1811,$CF1811,$CG1811,$CH1811,$CI1811,$CJ1811,$CL1811,$CM1811,$CN1811,$CO1811,$CP1811,$CQ1811,$CR1811,$CS1811,$CT1811)</f>
        <v/>
      </c>
      <c r="DX1811" s="66">
        <f>AVERAGE($CB1811,$CC1811,$CM1811,$CE1811,$CP1811)</f>
        <v/>
      </c>
      <c r="DY1811" s="64">
        <f>($DW1811-$DW1812)*100</f>
        <v/>
      </c>
      <c r="DZ1811" s="64">
        <f>($DX1811-$DX1812)*100</f>
        <v/>
      </c>
      <c r="EA1811" s="64">
        <f>($DW1811-$D1811)*100</f>
        <v/>
      </c>
      <c r="EB1811" s="64">
        <f>$Q1811-$O1811</f>
        <v/>
      </c>
      <c r="EC1811" s="67">
        <f>IFERROR($Q1811/$P1811,"")</f>
        <v/>
      </c>
    </row>
    <row r="1812">
      <c r="DG1812" s="64">
        <f>($B1812-$B1813)*100</f>
        <v/>
      </c>
      <c r="DH1812" s="64">
        <f>($D1812-$D1813)*100</f>
        <v/>
      </c>
      <c r="DI1812" s="64">
        <f>($E1812-$E1813)*100</f>
        <v/>
      </c>
      <c r="DJ1812" s="64">
        <f>($H1812-$H1813)*100</f>
        <v/>
      </c>
      <c r="DK1812" s="65">
        <f>IFERROR($J1812/$J1813-1,"")</f>
        <v/>
      </c>
      <c r="DL1812" s="64">
        <f>$L1812-$L1813</f>
        <v/>
      </c>
      <c r="DM1812" s="64">
        <f>$K1812-$K1813</f>
        <v/>
      </c>
      <c r="DN1812" s="65">
        <f>IFERROR($N1812/$N1813-1,"")</f>
        <v/>
      </c>
      <c r="DO1812" s="65">
        <f>IFERROR($M1812/$M1813-1,"")</f>
        <v/>
      </c>
      <c r="DP1812" s="65">
        <f>IFERROR($AZ1812/$AZ1813-1,"")</f>
        <v/>
      </c>
      <c r="DQ1812" s="65">
        <f>IFERROR($BA1812/$BA1813-1,"")</f>
        <v/>
      </c>
      <c r="DR1812" s="64">
        <f>$O1812-$O1813</f>
        <v/>
      </c>
      <c r="DS1812" s="64">
        <f>$P1812-$P1813</f>
        <v/>
      </c>
      <c r="DT1812" s="64">
        <f>$Q1812-$Q1813</f>
        <v/>
      </c>
      <c r="DU1812" s="64">
        <f>$S1812-$S1813</f>
        <v/>
      </c>
      <c r="DV1812" s="65">
        <f>IFERROR(AVERAGE($AA1813/$AA1812-1,$AB1813/$AB1812-1,$AC1813/$AC1812-1,$AD1813/$AD1812-1,$AE1813/$AE1812-1,$AG1813/$AG1812-1,$AH1813/$AH1812-1,$AI1813/$AI1812-1,$AJ1813/$AJ1812-1,$AL1813/$AL1812-1,$AM1813/$AM1812-1,$AR1813/$AR1812-1,$AS1813/$AS1812-1,$AT1813/$AT1812-1,$AU1813/$AU1812-1,$AV1813/$AV1812-1,$AW1813/$AW1812-1,$AX1813/$AX1812-1,$AY1813/$AY1812-1),"")</f>
        <v/>
      </c>
      <c r="DW1812" s="66">
        <f>AVERAGE($CB1812,$CC1812,$CD1812,$CE1812,$CF1812,$CG1812,$CH1812,$CI1812,$CJ1812,$CL1812,$CM1812,$CN1812,$CO1812,$CP1812,$CQ1812,$CR1812,$CS1812,$CT1812)</f>
        <v/>
      </c>
      <c r="DX1812" s="66">
        <f>AVERAGE($CB1812,$CC1812,$CM1812,$CE1812,$CP1812)</f>
        <v/>
      </c>
      <c r="DY1812" s="64">
        <f>($DW1812-$DW1813)*100</f>
        <v/>
      </c>
      <c r="DZ1812" s="64">
        <f>($DX1812-$DX1813)*100</f>
        <v/>
      </c>
      <c r="EA1812" s="64">
        <f>($DW1812-$D1812)*100</f>
        <v/>
      </c>
      <c r="EB1812" s="64">
        <f>$Q1812-$O1812</f>
        <v/>
      </c>
      <c r="EC1812" s="67">
        <f>IFERROR($Q1812/$P1812,"")</f>
        <v/>
      </c>
    </row>
    <row r="1813">
      <c r="DG1813" s="64">
        <f>($B1813-$B1814)*100</f>
        <v/>
      </c>
      <c r="DH1813" s="64">
        <f>($D1813-$D1814)*100</f>
        <v/>
      </c>
      <c r="DI1813" s="64">
        <f>($E1813-$E1814)*100</f>
        <v/>
      </c>
      <c r="DJ1813" s="64">
        <f>($H1813-$H1814)*100</f>
        <v/>
      </c>
      <c r="DK1813" s="65">
        <f>IFERROR($J1813/$J1814-1,"")</f>
        <v/>
      </c>
      <c r="DL1813" s="64">
        <f>$L1813-$L1814</f>
        <v/>
      </c>
      <c r="DM1813" s="64">
        <f>$K1813-$K1814</f>
        <v/>
      </c>
      <c r="DN1813" s="65">
        <f>IFERROR($N1813/$N1814-1,"")</f>
        <v/>
      </c>
      <c r="DO1813" s="65">
        <f>IFERROR($M1813/$M1814-1,"")</f>
        <v/>
      </c>
      <c r="DP1813" s="65">
        <f>IFERROR($AZ1813/$AZ1814-1,"")</f>
        <v/>
      </c>
      <c r="DQ1813" s="65">
        <f>IFERROR($BA1813/$BA1814-1,"")</f>
        <v/>
      </c>
      <c r="DR1813" s="64">
        <f>$O1813-$O1814</f>
        <v/>
      </c>
      <c r="DS1813" s="64">
        <f>$P1813-$P1814</f>
        <v/>
      </c>
      <c r="DT1813" s="64">
        <f>$Q1813-$Q1814</f>
        <v/>
      </c>
      <c r="DU1813" s="64">
        <f>$S1813-$S1814</f>
        <v/>
      </c>
      <c r="DV1813" s="65">
        <f>IFERROR(AVERAGE($AA1814/$AA1813-1,$AB1814/$AB1813-1,$AC1814/$AC1813-1,$AD1814/$AD1813-1,$AE1814/$AE1813-1,$AG1814/$AG1813-1,$AH1814/$AH1813-1,$AI1814/$AI1813-1,$AJ1814/$AJ1813-1,$AL1814/$AL1813-1,$AM1814/$AM1813-1,$AR1814/$AR1813-1,$AS1814/$AS1813-1,$AT1814/$AT1813-1,$AU1814/$AU1813-1,$AV1814/$AV1813-1,$AW1814/$AW1813-1,$AX1814/$AX1813-1,$AY1814/$AY1813-1),"")</f>
        <v/>
      </c>
      <c r="DW1813" s="66">
        <f>AVERAGE($CB1813,$CC1813,$CD1813,$CE1813,$CF1813,$CG1813,$CH1813,$CI1813,$CJ1813,$CL1813,$CM1813,$CN1813,$CO1813,$CP1813,$CQ1813,$CR1813,$CS1813,$CT1813)</f>
        <v/>
      </c>
      <c r="DX1813" s="66">
        <f>AVERAGE($CB1813,$CC1813,$CM1813,$CE1813,$CP1813)</f>
        <v/>
      </c>
      <c r="DY1813" s="64">
        <f>($DW1813-$DW1814)*100</f>
        <v/>
      </c>
      <c r="DZ1813" s="64">
        <f>($DX1813-$DX1814)*100</f>
        <v/>
      </c>
      <c r="EA1813" s="64">
        <f>($DW1813-$D1813)*100</f>
        <v/>
      </c>
      <c r="EB1813" s="64">
        <f>$Q1813-$O1813</f>
        <v/>
      </c>
      <c r="EC1813" s="67">
        <f>IFERROR($Q1813/$P1813,"")</f>
        <v/>
      </c>
    </row>
    <row r="1814">
      <c r="DG1814" s="64">
        <f>($B1814-$B1815)*100</f>
        <v/>
      </c>
      <c r="DH1814" s="64">
        <f>($D1814-$D1815)*100</f>
        <v/>
      </c>
      <c r="DI1814" s="64">
        <f>($E1814-$E1815)*100</f>
        <v/>
      </c>
      <c r="DJ1814" s="64">
        <f>($H1814-$H1815)*100</f>
        <v/>
      </c>
      <c r="DK1814" s="65">
        <f>IFERROR($J1814/$J1815-1,"")</f>
        <v/>
      </c>
      <c r="DL1814" s="64">
        <f>$L1814-$L1815</f>
        <v/>
      </c>
      <c r="DM1814" s="64">
        <f>$K1814-$K1815</f>
        <v/>
      </c>
      <c r="DN1814" s="65">
        <f>IFERROR($N1814/$N1815-1,"")</f>
        <v/>
      </c>
      <c r="DO1814" s="65">
        <f>IFERROR($M1814/$M1815-1,"")</f>
        <v/>
      </c>
      <c r="DP1814" s="65">
        <f>IFERROR($AZ1814/$AZ1815-1,"")</f>
        <v/>
      </c>
      <c r="DQ1814" s="65">
        <f>IFERROR($BA1814/$BA1815-1,"")</f>
        <v/>
      </c>
      <c r="DR1814" s="64">
        <f>$O1814-$O1815</f>
        <v/>
      </c>
      <c r="DS1814" s="64">
        <f>$P1814-$P1815</f>
        <v/>
      </c>
      <c r="DT1814" s="64">
        <f>$Q1814-$Q1815</f>
        <v/>
      </c>
      <c r="DU1814" s="64">
        <f>$S1814-$S1815</f>
        <v/>
      </c>
      <c r="DV1814" s="65">
        <f>IFERROR(AVERAGE($AA1815/$AA1814-1,$AB1815/$AB1814-1,$AC1815/$AC1814-1,$AD1815/$AD1814-1,$AE1815/$AE1814-1,$AG1815/$AG1814-1,$AH1815/$AH1814-1,$AI1815/$AI1814-1,$AJ1815/$AJ1814-1,$AL1815/$AL1814-1,$AM1815/$AM1814-1,$AR1815/$AR1814-1,$AS1815/$AS1814-1,$AT1815/$AT1814-1,$AU1815/$AU1814-1,$AV1815/$AV1814-1,$AW1815/$AW1814-1,$AX1815/$AX1814-1,$AY1815/$AY1814-1),"")</f>
        <v/>
      </c>
      <c r="DW1814" s="66">
        <f>AVERAGE($CB1814,$CC1814,$CD1814,$CE1814,$CF1814,$CG1814,$CH1814,$CI1814,$CJ1814,$CL1814,$CM1814,$CN1814,$CO1814,$CP1814,$CQ1814,$CR1814,$CS1814,$CT1814)</f>
        <v/>
      </c>
      <c r="DX1814" s="66">
        <f>AVERAGE($CB1814,$CC1814,$CM1814,$CE1814,$CP1814)</f>
        <v/>
      </c>
      <c r="DY1814" s="64">
        <f>($DW1814-$DW1815)*100</f>
        <v/>
      </c>
      <c r="DZ1814" s="64">
        <f>($DX1814-$DX1815)*100</f>
        <v/>
      </c>
      <c r="EA1814" s="64">
        <f>($DW1814-$D1814)*100</f>
        <v/>
      </c>
      <c r="EB1814" s="64">
        <f>$Q1814-$O1814</f>
        <v/>
      </c>
      <c r="EC1814" s="67">
        <f>IFERROR($Q1814/$P1814,"")</f>
        <v/>
      </c>
    </row>
    <row r="1815">
      <c r="DG1815" s="64">
        <f>($B1815-$B1816)*100</f>
        <v/>
      </c>
      <c r="DH1815" s="64">
        <f>($D1815-$D1816)*100</f>
        <v/>
      </c>
      <c r="DI1815" s="64">
        <f>($E1815-$E1816)*100</f>
        <v/>
      </c>
      <c r="DJ1815" s="64">
        <f>($H1815-$H1816)*100</f>
        <v/>
      </c>
      <c r="DK1815" s="65">
        <f>IFERROR($J1815/$J1816-1,"")</f>
        <v/>
      </c>
      <c r="DL1815" s="64">
        <f>$L1815-$L1816</f>
        <v/>
      </c>
      <c r="DM1815" s="64">
        <f>$K1815-$K1816</f>
        <v/>
      </c>
      <c r="DN1815" s="65">
        <f>IFERROR($N1815/$N1816-1,"")</f>
        <v/>
      </c>
      <c r="DO1815" s="65">
        <f>IFERROR($M1815/$M1816-1,"")</f>
        <v/>
      </c>
      <c r="DP1815" s="65">
        <f>IFERROR($AZ1815/$AZ1816-1,"")</f>
        <v/>
      </c>
      <c r="DQ1815" s="65">
        <f>IFERROR($BA1815/$BA1816-1,"")</f>
        <v/>
      </c>
      <c r="DR1815" s="64">
        <f>$O1815-$O1816</f>
        <v/>
      </c>
      <c r="DS1815" s="64">
        <f>$P1815-$P1816</f>
        <v/>
      </c>
      <c r="DT1815" s="64">
        <f>$Q1815-$Q1816</f>
        <v/>
      </c>
      <c r="DU1815" s="64">
        <f>$S1815-$S1816</f>
        <v/>
      </c>
      <c r="DV1815" s="65">
        <f>IFERROR(AVERAGE($AA1816/$AA1815-1,$AB1816/$AB1815-1,$AC1816/$AC1815-1,$AD1816/$AD1815-1,$AE1816/$AE1815-1,$AG1816/$AG1815-1,$AH1816/$AH1815-1,$AI1816/$AI1815-1,$AJ1816/$AJ1815-1,$AL1816/$AL1815-1,$AM1816/$AM1815-1,$AR1816/$AR1815-1,$AS1816/$AS1815-1,$AT1816/$AT1815-1,$AU1816/$AU1815-1,$AV1816/$AV1815-1,$AW1816/$AW1815-1,$AX1816/$AX1815-1,$AY1816/$AY1815-1),"")</f>
        <v/>
      </c>
      <c r="DW1815" s="66">
        <f>AVERAGE($CB1815,$CC1815,$CD1815,$CE1815,$CF1815,$CG1815,$CH1815,$CI1815,$CJ1815,$CL1815,$CM1815,$CN1815,$CO1815,$CP1815,$CQ1815,$CR1815,$CS1815,$CT1815)</f>
        <v/>
      </c>
      <c r="DX1815" s="66">
        <f>AVERAGE($CB1815,$CC1815,$CM1815,$CE1815,$CP1815)</f>
        <v/>
      </c>
      <c r="DY1815" s="64">
        <f>($DW1815-$DW1816)*100</f>
        <v/>
      </c>
      <c r="DZ1815" s="64">
        <f>($DX1815-$DX1816)*100</f>
        <v/>
      </c>
      <c r="EA1815" s="64">
        <f>($DW1815-$D1815)*100</f>
        <v/>
      </c>
      <c r="EB1815" s="64">
        <f>$Q1815-$O1815</f>
        <v/>
      </c>
      <c r="EC1815" s="67">
        <f>IFERROR($Q1815/$P1815,"")</f>
        <v/>
      </c>
    </row>
    <row r="1816">
      <c r="DG1816" s="64">
        <f>($B1816-$B1817)*100</f>
        <v/>
      </c>
      <c r="DH1816" s="64">
        <f>($D1816-$D1817)*100</f>
        <v/>
      </c>
      <c r="DI1816" s="64">
        <f>($E1816-$E1817)*100</f>
        <v/>
      </c>
      <c r="DJ1816" s="64">
        <f>($H1816-$H1817)*100</f>
        <v/>
      </c>
      <c r="DK1816" s="65">
        <f>IFERROR($J1816/$J1817-1,"")</f>
        <v/>
      </c>
      <c r="DL1816" s="64">
        <f>$L1816-$L1817</f>
        <v/>
      </c>
      <c r="DM1816" s="64">
        <f>$K1816-$K1817</f>
        <v/>
      </c>
      <c r="DN1816" s="65">
        <f>IFERROR($N1816/$N1817-1,"")</f>
        <v/>
      </c>
      <c r="DO1816" s="65">
        <f>IFERROR($M1816/$M1817-1,"")</f>
        <v/>
      </c>
      <c r="DP1816" s="65">
        <f>IFERROR($AZ1816/$AZ1817-1,"")</f>
        <v/>
      </c>
      <c r="DQ1816" s="65">
        <f>IFERROR($BA1816/$BA1817-1,"")</f>
        <v/>
      </c>
      <c r="DR1816" s="64">
        <f>$O1816-$O1817</f>
        <v/>
      </c>
      <c r="DS1816" s="64">
        <f>$P1816-$P1817</f>
        <v/>
      </c>
      <c r="DT1816" s="64">
        <f>$Q1816-$Q1817</f>
        <v/>
      </c>
      <c r="DU1816" s="64">
        <f>$S1816-$S1817</f>
        <v/>
      </c>
      <c r="DV1816" s="65">
        <f>IFERROR(AVERAGE($AA1817/$AA1816-1,$AB1817/$AB1816-1,$AC1817/$AC1816-1,$AD1817/$AD1816-1,$AE1817/$AE1816-1,$AG1817/$AG1816-1,$AH1817/$AH1816-1,$AI1817/$AI1816-1,$AJ1817/$AJ1816-1,$AL1817/$AL1816-1,$AM1817/$AM1816-1,$AR1817/$AR1816-1,$AS1817/$AS1816-1,$AT1817/$AT1816-1,$AU1817/$AU1816-1,$AV1817/$AV1816-1,$AW1817/$AW1816-1,$AX1817/$AX1816-1,$AY1817/$AY1816-1),"")</f>
        <v/>
      </c>
      <c r="DW1816" s="66">
        <f>AVERAGE($CB1816,$CC1816,$CD1816,$CE1816,$CF1816,$CG1816,$CH1816,$CI1816,$CJ1816,$CL1816,$CM1816,$CN1816,$CO1816,$CP1816,$CQ1816,$CR1816,$CS1816,$CT1816)</f>
        <v/>
      </c>
      <c r="DX1816" s="66">
        <f>AVERAGE($CB1816,$CC1816,$CM1816,$CE1816,$CP1816)</f>
        <v/>
      </c>
      <c r="DY1816" s="64">
        <f>($DW1816-$DW1817)*100</f>
        <v/>
      </c>
      <c r="DZ1816" s="64">
        <f>($DX1816-$DX1817)*100</f>
        <v/>
      </c>
      <c r="EA1816" s="64">
        <f>($DW1816-$D1816)*100</f>
        <v/>
      </c>
      <c r="EB1816" s="64">
        <f>$Q1816-$O1816</f>
        <v/>
      </c>
      <c r="EC1816" s="67">
        <f>IFERROR($Q1816/$P1816,"")</f>
        <v/>
      </c>
    </row>
    <row r="1817">
      <c r="DG1817" s="64">
        <f>($B1817-$B1818)*100</f>
        <v/>
      </c>
      <c r="DH1817" s="64">
        <f>($D1817-$D1818)*100</f>
        <v/>
      </c>
      <c r="DI1817" s="64">
        <f>($E1817-$E1818)*100</f>
        <v/>
      </c>
      <c r="DJ1817" s="64">
        <f>($H1817-$H1818)*100</f>
        <v/>
      </c>
      <c r="DK1817" s="65">
        <f>IFERROR($J1817/$J1818-1,"")</f>
        <v/>
      </c>
      <c r="DL1817" s="64">
        <f>$L1817-$L1818</f>
        <v/>
      </c>
      <c r="DM1817" s="64">
        <f>$K1817-$K1818</f>
        <v/>
      </c>
      <c r="DN1817" s="65">
        <f>IFERROR($N1817/$N1818-1,"")</f>
        <v/>
      </c>
      <c r="DO1817" s="65">
        <f>IFERROR($M1817/$M1818-1,"")</f>
        <v/>
      </c>
      <c r="DP1817" s="65">
        <f>IFERROR($AZ1817/$AZ1818-1,"")</f>
        <v/>
      </c>
      <c r="DQ1817" s="65">
        <f>IFERROR($BA1817/$BA1818-1,"")</f>
        <v/>
      </c>
      <c r="DR1817" s="64">
        <f>$O1817-$O1818</f>
        <v/>
      </c>
      <c r="DS1817" s="64">
        <f>$P1817-$P1818</f>
        <v/>
      </c>
      <c r="DT1817" s="64">
        <f>$Q1817-$Q1818</f>
        <v/>
      </c>
      <c r="DU1817" s="64">
        <f>$S1817-$S1818</f>
        <v/>
      </c>
      <c r="DV1817" s="65">
        <f>IFERROR(AVERAGE($AA1818/$AA1817-1,$AB1818/$AB1817-1,$AC1818/$AC1817-1,$AD1818/$AD1817-1,$AE1818/$AE1817-1,$AG1818/$AG1817-1,$AH1818/$AH1817-1,$AI1818/$AI1817-1,$AJ1818/$AJ1817-1,$AL1818/$AL1817-1,$AM1818/$AM1817-1,$AR1818/$AR1817-1,$AS1818/$AS1817-1,$AT1818/$AT1817-1,$AU1818/$AU1817-1,$AV1818/$AV1817-1,$AW1818/$AW1817-1,$AX1818/$AX1817-1,$AY1818/$AY1817-1),"")</f>
        <v/>
      </c>
      <c r="DW1817" s="66">
        <f>AVERAGE($CB1817,$CC1817,$CD1817,$CE1817,$CF1817,$CG1817,$CH1817,$CI1817,$CJ1817,$CL1817,$CM1817,$CN1817,$CO1817,$CP1817,$CQ1817,$CR1817,$CS1817,$CT1817)</f>
        <v/>
      </c>
      <c r="DX1817" s="66">
        <f>AVERAGE($CB1817,$CC1817,$CM1817,$CE1817,$CP1817)</f>
        <v/>
      </c>
      <c r="DY1817" s="64">
        <f>($DW1817-$DW1818)*100</f>
        <v/>
      </c>
      <c r="DZ1817" s="64">
        <f>($DX1817-$DX1818)*100</f>
        <v/>
      </c>
      <c r="EA1817" s="64">
        <f>($DW1817-$D1817)*100</f>
        <v/>
      </c>
      <c r="EB1817" s="64">
        <f>$Q1817-$O1817</f>
        <v/>
      </c>
      <c r="EC1817" s="67">
        <f>IFERROR($Q1817/$P1817,"")</f>
        <v/>
      </c>
    </row>
    <row r="1818">
      <c r="DG1818" s="64">
        <f>($B1818-$B1819)*100</f>
        <v/>
      </c>
      <c r="DH1818" s="64">
        <f>($D1818-$D1819)*100</f>
        <v/>
      </c>
      <c r="DI1818" s="64">
        <f>($E1818-$E1819)*100</f>
        <v/>
      </c>
      <c r="DJ1818" s="64">
        <f>($H1818-$H1819)*100</f>
        <v/>
      </c>
      <c r="DK1818" s="65">
        <f>IFERROR($J1818/$J1819-1,"")</f>
        <v/>
      </c>
      <c r="DL1818" s="64">
        <f>$L1818-$L1819</f>
        <v/>
      </c>
      <c r="DM1818" s="64">
        <f>$K1818-$K1819</f>
        <v/>
      </c>
      <c r="DN1818" s="65">
        <f>IFERROR($N1818/$N1819-1,"")</f>
        <v/>
      </c>
      <c r="DO1818" s="65">
        <f>IFERROR($M1818/$M1819-1,"")</f>
        <v/>
      </c>
      <c r="DP1818" s="65">
        <f>IFERROR($AZ1818/$AZ1819-1,"")</f>
        <v/>
      </c>
      <c r="DQ1818" s="65">
        <f>IFERROR($BA1818/$BA1819-1,"")</f>
        <v/>
      </c>
      <c r="DR1818" s="64">
        <f>$O1818-$O1819</f>
        <v/>
      </c>
      <c r="DS1818" s="64">
        <f>$P1818-$P1819</f>
        <v/>
      </c>
      <c r="DT1818" s="64">
        <f>$Q1818-$Q1819</f>
        <v/>
      </c>
      <c r="DU1818" s="64">
        <f>$S1818-$S1819</f>
        <v/>
      </c>
      <c r="DV1818" s="65">
        <f>IFERROR(AVERAGE($AA1819/$AA1818-1,$AB1819/$AB1818-1,$AC1819/$AC1818-1,$AD1819/$AD1818-1,$AE1819/$AE1818-1,$AG1819/$AG1818-1,$AH1819/$AH1818-1,$AI1819/$AI1818-1,$AJ1819/$AJ1818-1,$AL1819/$AL1818-1,$AM1819/$AM1818-1,$AR1819/$AR1818-1,$AS1819/$AS1818-1,$AT1819/$AT1818-1,$AU1819/$AU1818-1,$AV1819/$AV1818-1,$AW1819/$AW1818-1,$AX1819/$AX1818-1,$AY1819/$AY1818-1),"")</f>
        <v/>
      </c>
      <c r="DW1818" s="66">
        <f>AVERAGE($CB1818,$CC1818,$CD1818,$CE1818,$CF1818,$CG1818,$CH1818,$CI1818,$CJ1818,$CL1818,$CM1818,$CN1818,$CO1818,$CP1818,$CQ1818,$CR1818,$CS1818,$CT1818)</f>
        <v/>
      </c>
      <c r="DX1818" s="66">
        <f>AVERAGE($CB1818,$CC1818,$CM1818,$CE1818,$CP1818)</f>
        <v/>
      </c>
      <c r="DY1818" s="64">
        <f>($DW1818-$DW1819)*100</f>
        <v/>
      </c>
      <c r="DZ1818" s="64">
        <f>($DX1818-$DX1819)*100</f>
        <v/>
      </c>
      <c r="EA1818" s="64">
        <f>($DW1818-$D1818)*100</f>
        <v/>
      </c>
      <c r="EB1818" s="64">
        <f>$Q1818-$O1818</f>
        <v/>
      </c>
      <c r="EC1818" s="67">
        <f>IFERROR($Q1818/$P1818,"")</f>
        <v/>
      </c>
    </row>
    <row r="1819">
      <c r="DG1819" s="64">
        <f>($B1819-$B1820)*100</f>
        <v/>
      </c>
      <c r="DH1819" s="64">
        <f>($D1819-$D1820)*100</f>
        <v/>
      </c>
      <c r="DI1819" s="64">
        <f>($E1819-$E1820)*100</f>
        <v/>
      </c>
      <c r="DJ1819" s="64">
        <f>($H1819-$H1820)*100</f>
        <v/>
      </c>
      <c r="DK1819" s="65">
        <f>IFERROR($J1819/$J1820-1,"")</f>
        <v/>
      </c>
      <c r="DL1819" s="64">
        <f>$L1819-$L1820</f>
        <v/>
      </c>
      <c r="DM1819" s="64">
        <f>$K1819-$K1820</f>
        <v/>
      </c>
      <c r="DN1819" s="65">
        <f>IFERROR($N1819/$N1820-1,"")</f>
        <v/>
      </c>
      <c r="DO1819" s="65">
        <f>IFERROR($M1819/$M1820-1,"")</f>
        <v/>
      </c>
      <c r="DP1819" s="65">
        <f>IFERROR($AZ1819/$AZ1820-1,"")</f>
        <v/>
      </c>
      <c r="DQ1819" s="65">
        <f>IFERROR($BA1819/$BA1820-1,"")</f>
        <v/>
      </c>
      <c r="DR1819" s="64">
        <f>$O1819-$O1820</f>
        <v/>
      </c>
      <c r="DS1819" s="64">
        <f>$P1819-$P1820</f>
        <v/>
      </c>
      <c r="DT1819" s="64">
        <f>$Q1819-$Q1820</f>
        <v/>
      </c>
      <c r="DU1819" s="64">
        <f>$S1819-$S1820</f>
        <v/>
      </c>
      <c r="DV1819" s="65">
        <f>IFERROR(AVERAGE($AA1820/$AA1819-1,$AB1820/$AB1819-1,$AC1820/$AC1819-1,$AD1820/$AD1819-1,$AE1820/$AE1819-1,$AG1820/$AG1819-1,$AH1820/$AH1819-1,$AI1820/$AI1819-1,$AJ1820/$AJ1819-1,$AL1820/$AL1819-1,$AM1820/$AM1819-1,$AR1820/$AR1819-1,$AS1820/$AS1819-1,$AT1820/$AT1819-1,$AU1820/$AU1819-1,$AV1820/$AV1819-1,$AW1820/$AW1819-1,$AX1820/$AX1819-1,$AY1820/$AY1819-1),"")</f>
        <v/>
      </c>
      <c r="DW1819" s="66">
        <f>AVERAGE($CB1819,$CC1819,$CD1819,$CE1819,$CF1819,$CG1819,$CH1819,$CI1819,$CJ1819,$CL1819,$CM1819,$CN1819,$CO1819,$CP1819,$CQ1819,$CR1819,$CS1819,$CT1819)</f>
        <v/>
      </c>
      <c r="DX1819" s="66">
        <f>AVERAGE($CB1819,$CC1819,$CM1819,$CE1819,$CP1819)</f>
        <v/>
      </c>
      <c r="DY1819" s="64">
        <f>($DW1819-$DW1820)*100</f>
        <v/>
      </c>
      <c r="DZ1819" s="64">
        <f>($DX1819-$DX1820)*100</f>
        <v/>
      </c>
      <c r="EA1819" s="64">
        <f>($DW1819-$D1819)*100</f>
        <v/>
      </c>
      <c r="EB1819" s="64">
        <f>$Q1819-$O1819</f>
        <v/>
      </c>
      <c r="EC1819" s="67">
        <f>IFERROR($Q1819/$P1819,"")</f>
        <v/>
      </c>
    </row>
    <row r="1820">
      <c r="DG1820" s="64">
        <f>($B1820-$B1821)*100</f>
        <v/>
      </c>
      <c r="DH1820" s="64">
        <f>($D1820-$D1821)*100</f>
        <v/>
      </c>
      <c r="DI1820" s="64">
        <f>($E1820-$E1821)*100</f>
        <v/>
      </c>
      <c r="DJ1820" s="64">
        <f>($H1820-$H1821)*100</f>
        <v/>
      </c>
      <c r="DK1820" s="65">
        <f>IFERROR($J1820/$J1821-1,"")</f>
        <v/>
      </c>
      <c r="DL1820" s="64">
        <f>$L1820-$L1821</f>
        <v/>
      </c>
      <c r="DM1820" s="64">
        <f>$K1820-$K1821</f>
        <v/>
      </c>
      <c r="DN1820" s="65">
        <f>IFERROR($N1820/$N1821-1,"")</f>
        <v/>
      </c>
      <c r="DO1820" s="65">
        <f>IFERROR($M1820/$M1821-1,"")</f>
        <v/>
      </c>
      <c r="DP1820" s="65">
        <f>IFERROR($AZ1820/$AZ1821-1,"")</f>
        <v/>
      </c>
      <c r="DQ1820" s="65">
        <f>IFERROR($BA1820/$BA1821-1,"")</f>
        <v/>
      </c>
      <c r="DR1820" s="64">
        <f>$O1820-$O1821</f>
        <v/>
      </c>
      <c r="DS1820" s="64">
        <f>$P1820-$P1821</f>
        <v/>
      </c>
      <c r="DT1820" s="64">
        <f>$Q1820-$Q1821</f>
        <v/>
      </c>
      <c r="DU1820" s="64">
        <f>$S1820-$S1821</f>
        <v/>
      </c>
      <c r="DV1820" s="65">
        <f>IFERROR(AVERAGE($AA1821/$AA1820-1,$AB1821/$AB1820-1,$AC1821/$AC1820-1,$AD1821/$AD1820-1,$AE1821/$AE1820-1,$AG1821/$AG1820-1,$AH1821/$AH1820-1,$AI1821/$AI1820-1,$AJ1821/$AJ1820-1,$AL1821/$AL1820-1,$AM1821/$AM1820-1,$AR1821/$AR1820-1,$AS1821/$AS1820-1,$AT1821/$AT1820-1,$AU1821/$AU1820-1,$AV1821/$AV1820-1,$AW1821/$AW1820-1,$AX1821/$AX1820-1,$AY1821/$AY1820-1),"")</f>
        <v/>
      </c>
      <c r="DW1820" s="66">
        <f>AVERAGE($CB1820,$CC1820,$CD1820,$CE1820,$CF1820,$CG1820,$CH1820,$CI1820,$CJ1820,$CL1820,$CM1820,$CN1820,$CO1820,$CP1820,$CQ1820,$CR1820,$CS1820,$CT1820)</f>
        <v/>
      </c>
      <c r="DX1820" s="66">
        <f>AVERAGE($CB1820,$CC1820,$CM1820,$CE1820,$CP1820)</f>
        <v/>
      </c>
      <c r="DY1820" s="64">
        <f>($DW1820-$DW1821)*100</f>
        <v/>
      </c>
      <c r="DZ1820" s="64">
        <f>($DX1820-$DX1821)*100</f>
        <v/>
      </c>
      <c r="EA1820" s="64">
        <f>($DW1820-$D1820)*100</f>
        <v/>
      </c>
      <c r="EB1820" s="64">
        <f>$Q1820-$O1820</f>
        <v/>
      </c>
      <c r="EC1820" s="67">
        <f>IFERROR($Q1820/$P1820,"")</f>
        <v/>
      </c>
    </row>
    <row r="1821">
      <c r="DG1821" s="64">
        <f>($B1821-$B1822)*100</f>
        <v/>
      </c>
      <c r="DH1821" s="64">
        <f>($D1821-$D1822)*100</f>
        <v/>
      </c>
      <c r="DI1821" s="64">
        <f>($E1821-$E1822)*100</f>
        <v/>
      </c>
      <c r="DJ1821" s="64">
        <f>($H1821-$H1822)*100</f>
        <v/>
      </c>
      <c r="DK1821" s="65">
        <f>IFERROR($J1821/$J1822-1,"")</f>
        <v/>
      </c>
      <c r="DL1821" s="64">
        <f>$L1821-$L1822</f>
        <v/>
      </c>
      <c r="DM1821" s="64">
        <f>$K1821-$K1822</f>
        <v/>
      </c>
      <c r="DN1821" s="65">
        <f>IFERROR($N1821/$N1822-1,"")</f>
        <v/>
      </c>
      <c r="DO1821" s="65">
        <f>IFERROR($M1821/$M1822-1,"")</f>
        <v/>
      </c>
      <c r="DP1821" s="65">
        <f>IFERROR($AZ1821/$AZ1822-1,"")</f>
        <v/>
      </c>
      <c r="DQ1821" s="65">
        <f>IFERROR($BA1821/$BA1822-1,"")</f>
        <v/>
      </c>
      <c r="DR1821" s="64">
        <f>$O1821-$O1822</f>
        <v/>
      </c>
      <c r="DS1821" s="64">
        <f>$P1821-$P1822</f>
        <v/>
      </c>
      <c r="DT1821" s="64">
        <f>$Q1821-$Q1822</f>
        <v/>
      </c>
      <c r="DU1821" s="64">
        <f>$S1821-$S1822</f>
        <v/>
      </c>
      <c r="DV1821" s="65">
        <f>IFERROR(AVERAGE($AA1822/$AA1821-1,$AB1822/$AB1821-1,$AC1822/$AC1821-1,$AD1822/$AD1821-1,$AE1822/$AE1821-1,$AG1822/$AG1821-1,$AH1822/$AH1821-1,$AI1822/$AI1821-1,$AJ1822/$AJ1821-1,$AL1822/$AL1821-1,$AM1822/$AM1821-1,$AR1822/$AR1821-1,$AS1822/$AS1821-1,$AT1822/$AT1821-1,$AU1822/$AU1821-1,$AV1822/$AV1821-1,$AW1822/$AW1821-1,$AX1822/$AX1821-1,$AY1822/$AY1821-1),"")</f>
        <v/>
      </c>
      <c r="DW1821" s="66">
        <f>AVERAGE($CB1821,$CC1821,$CD1821,$CE1821,$CF1821,$CG1821,$CH1821,$CI1821,$CJ1821,$CL1821,$CM1821,$CN1821,$CO1821,$CP1821,$CQ1821,$CR1821,$CS1821,$CT1821)</f>
        <v/>
      </c>
      <c r="DX1821" s="66">
        <f>AVERAGE($CB1821,$CC1821,$CM1821,$CE1821,$CP1821)</f>
        <v/>
      </c>
      <c r="DY1821" s="64">
        <f>($DW1821-$DW1822)*100</f>
        <v/>
      </c>
      <c r="DZ1821" s="64">
        <f>($DX1821-$DX1822)*100</f>
        <v/>
      </c>
      <c r="EA1821" s="64">
        <f>($DW1821-$D1821)*100</f>
        <v/>
      </c>
      <c r="EB1821" s="64">
        <f>$Q1821-$O1821</f>
        <v/>
      </c>
      <c r="EC1821" s="67">
        <f>IFERROR($Q1821/$P1821,"")</f>
        <v/>
      </c>
    </row>
    <row r="1822">
      <c r="DG1822" s="64">
        <f>($B1822-$B1823)*100</f>
        <v/>
      </c>
      <c r="DH1822" s="64">
        <f>($D1822-$D1823)*100</f>
        <v/>
      </c>
      <c r="DI1822" s="64">
        <f>($E1822-$E1823)*100</f>
        <v/>
      </c>
      <c r="DJ1822" s="64">
        <f>($H1822-$H1823)*100</f>
        <v/>
      </c>
      <c r="DK1822" s="65">
        <f>IFERROR($J1822/$J1823-1,"")</f>
        <v/>
      </c>
      <c r="DL1822" s="64">
        <f>$L1822-$L1823</f>
        <v/>
      </c>
      <c r="DM1822" s="64">
        <f>$K1822-$K1823</f>
        <v/>
      </c>
      <c r="DN1822" s="65">
        <f>IFERROR($N1822/$N1823-1,"")</f>
        <v/>
      </c>
      <c r="DO1822" s="65">
        <f>IFERROR($M1822/$M1823-1,"")</f>
        <v/>
      </c>
      <c r="DP1822" s="65">
        <f>IFERROR($AZ1822/$AZ1823-1,"")</f>
        <v/>
      </c>
      <c r="DQ1822" s="65">
        <f>IFERROR($BA1822/$BA1823-1,"")</f>
        <v/>
      </c>
      <c r="DR1822" s="64">
        <f>$O1822-$O1823</f>
        <v/>
      </c>
      <c r="DS1822" s="64">
        <f>$P1822-$P1823</f>
        <v/>
      </c>
      <c r="DT1822" s="64">
        <f>$Q1822-$Q1823</f>
        <v/>
      </c>
      <c r="DU1822" s="64">
        <f>$S1822-$S1823</f>
        <v/>
      </c>
      <c r="DV1822" s="65">
        <f>IFERROR(AVERAGE($AA1823/$AA1822-1,$AB1823/$AB1822-1,$AC1823/$AC1822-1,$AD1823/$AD1822-1,$AE1823/$AE1822-1,$AG1823/$AG1822-1,$AH1823/$AH1822-1,$AI1823/$AI1822-1,$AJ1823/$AJ1822-1,$AL1823/$AL1822-1,$AM1823/$AM1822-1,$AR1823/$AR1822-1,$AS1823/$AS1822-1,$AT1823/$AT1822-1,$AU1823/$AU1822-1,$AV1823/$AV1822-1,$AW1823/$AW1822-1,$AX1823/$AX1822-1,$AY1823/$AY1822-1),"")</f>
        <v/>
      </c>
      <c r="DW1822" s="66">
        <f>AVERAGE($CB1822,$CC1822,$CD1822,$CE1822,$CF1822,$CG1822,$CH1822,$CI1822,$CJ1822,$CL1822,$CM1822,$CN1822,$CO1822,$CP1822,$CQ1822,$CR1822,$CS1822,$CT1822)</f>
        <v/>
      </c>
      <c r="DX1822" s="66">
        <f>AVERAGE($CB1822,$CC1822,$CM1822,$CE1822,$CP1822)</f>
        <v/>
      </c>
      <c r="DY1822" s="64">
        <f>($DW1822-$DW1823)*100</f>
        <v/>
      </c>
      <c r="DZ1822" s="64">
        <f>($DX1822-$DX1823)*100</f>
        <v/>
      </c>
      <c r="EA1822" s="64">
        <f>($DW1822-$D1822)*100</f>
        <v/>
      </c>
      <c r="EB1822" s="64">
        <f>$Q1822-$O1822</f>
        <v/>
      </c>
      <c r="EC1822" s="67">
        <f>IFERROR($Q1822/$P1822,"")</f>
        <v/>
      </c>
    </row>
    <row r="1823">
      <c r="DG1823" s="64">
        <f>($B1823-$B1824)*100</f>
        <v/>
      </c>
      <c r="DH1823" s="64">
        <f>($D1823-$D1824)*100</f>
        <v/>
      </c>
      <c r="DI1823" s="64">
        <f>($E1823-$E1824)*100</f>
        <v/>
      </c>
      <c r="DJ1823" s="64">
        <f>($H1823-$H1824)*100</f>
        <v/>
      </c>
      <c r="DK1823" s="65">
        <f>IFERROR($J1823/$J1824-1,"")</f>
        <v/>
      </c>
      <c r="DL1823" s="64">
        <f>$L1823-$L1824</f>
        <v/>
      </c>
      <c r="DM1823" s="64">
        <f>$K1823-$K1824</f>
        <v/>
      </c>
      <c r="DN1823" s="65">
        <f>IFERROR($N1823/$N1824-1,"")</f>
        <v/>
      </c>
      <c r="DO1823" s="65">
        <f>IFERROR($M1823/$M1824-1,"")</f>
        <v/>
      </c>
      <c r="DP1823" s="65">
        <f>IFERROR($AZ1823/$AZ1824-1,"")</f>
        <v/>
      </c>
      <c r="DQ1823" s="65">
        <f>IFERROR($BA1823/$BA1824-1,"")</f>
        <v/>
      </c>
      <c r="DR1823" s="64">
        <f>$O1823-$O1824</f>
        <v/>
      </c>
      <c r="DS1823" s="64">
        <f>$P1823-$P1824</f>
        <v/>
      </c>
      <c r="DT1823" s="64">
        <f>$Q1823-$Q1824</f>
        <v/>
      </c>
      <c r="DU1823" s="64">
        <f>$S1823-$S1824</f>
        <v/>
      </c>
      <c r="DV1823" s="65">
        <f>IFERROR(AVERAGE($AA1824/$AA1823-1,$AB1824/$AB1823-1,$AC1824/$AC1823-1,$AD1824/$AD1823-1,$AE1824/$AE1823-1,$AG1824/$AG1823-1,$AH1824/$AH1823-1,$AI1824/$AI1823-1,$AJ1824/$AJ1823-1,$AL1824/$AL1823-1,$AM1824/$AM1823-1,$AR1824/$AR1823-1,$AS1824/$AS1823-1,$AT1824/$AT1823-1,$AU1824/$AU1823-1,$AV1824/$AV1823-1,$AW1824/$AW1823-1,$AX1824/$AX1823-1,$AY1824/$AY1823-1),"")</f>
        <v/>
      </c>
      <c r="DW1823" s="66">
        <f>AVERAGE($CB1823,$CC1823,$CD1823,$CE1823,$CF1823,$CG1823,$CH1823,$CI1823,$CJ1823,$CL1823,$CM1823,$CN1823,$CO1823,$CP1823,$CQ1823,$CR1823,$CS1823,$CT1823)</f>
        <v/>
      </c>
      <c r="DX1823" s="66">
        <f>AVERAGE($CB1823,$CC1823,$CM1823,$CE1823,$CP1823)</f>
        <v/>
      </c>
      <c r="DY1823" s="64">
        <f>($DW1823-$DW1824)*100</f>
        <v/>
      </c>
      <c r="DZ1823" s="64">
        <f>($DX1823-$DX1824)*100</f>
        <v/>
      </c>
      <c r="EA1823" s="64">
        <f>($DW1823-$D1823)*100</f>
        <v/>
      </c>
      <c r="EB1823" s="64">
        <f>$Q1823-$O1823</f>
        <v/>
      </c>
      <c r="EC1823" s="67">
        <f>IFERROR($Q1823/$P1823,"")</f>
        <v/>
      </c>
    </row>
    <row r="1824">
      <c r="DG1824" s="64">
        <f>($B1824-$B1825)*100</f>
        <v/>
      </c>
      <c r="DH1824" s="64">
        <f>($D1824-$D1825)*100</f>
        <v/>
      </c>
      <c r="DI1824" s="64">
        <f>($E1824-$E1825)*100</f>
        <v/>
      </c>
      <c r="DJ1824" s="64">
        <f>($H1824-$H1825)*100</f>
        <v/>
      </c>
      <c r="DK1824" s="65">
        <f>IFERROR($J1824/$J1825-1,"")</f>
        <v/>
      </c>
      <c r="DL1824" s="64">
        <f>$L1824-$L1825</f>
        <v/>
      </c>
      <c r="DM1824" s="64">
        <f>$K1824-$K1825</f>
        <v/>
      </c>
      <c r="DN1824" s="65">
        <f>IFERROR($N1824/$N1825-1,"")</f>
        <v/>
      </c>
      <c r="DO1824" s="65">
        <f>IFERROR($M1824/$M1825-1,"")</f>
        <v/>
      </c>
      <c r="DP1824" s="65">
        <f>IFERROR($AZ1824/$AZ1825-1,"")</f>
        <v/>
      </c>
      <c r="DQ1824" s="65">
        <f>IFERROR($BA1824/$BA1825-1,"")</f>
        <v/>
      </c>
      <c r="DR1824" s="64">
        <f>$O1824-$O1825</f>
        <v/>
      </c>
      <c r="DS1824" s="64">
        <f>$P1824-$P1825</f>
        <v/>
      </c>
      <c r="DT1824" s="64">
        <f>$Q1824-$Q1825</f>
        <v/>
      </c>
      <c r="DU1824" s="64">
        <f>$S1824-$S1825</f>
        <v/>
      </c>
      <c r="DV1824" s="65">
        <f>IFERROR(AVERAGE($AA1825/$AA1824-1,$AB1825/$AB1824-1,$AC1825/$AC1824-1,$AD1825/$AD1824-1,$AE1825/$AE1824-1,$AG1825/$AG1824-1,$AH1825/$AH1824-1,$AI1825/$AI1824-1,$AJ1825/$AJ1824-1,$AL1825/$AL1824-1,$AM1825/$AM1824-1,$AR1825/$AR1824-1,$AS1825/$AS1824-1,$AT1825/$AT1824-1,$AU1825/$AU1824-1,$AV1825/$AV1824-1,$AW1825/$AW1824-1,$AX1825/$AX1824-1,$AY1825/$AY1824-1),"")</f>
        <v/>
      </c>
      <c r="DW1824" s="66">
        <f>AVERAGE($CB1824,$CC1824,$CD1824,$CE1824,$CF1824,$CG1824,$CH1824,$CI1824,$CJ1824,$CL1824,$CM1824,$CN1824,$CO1824,$CP1824,$CQ1824,$CR1824,$CS1824,$CT1824)</f>
        <v/>
      </c>
      <c r="DX1824" s="66">
        <f>AVERAGE($CB1824,$CC1824,$CM1824,$CE1824,$CP1824)</f>
        <v/>
      </c>
      <c r="DY1824" s="64">
        <f>($DW1824-$DW1825)*100</f>
        <v/>
      </c>
      <c r="DZ1824" s="64">
        <f>($DX1824-$DX1825)*100</f>
        <v/>
      </c>
      <c r="EA1824" s="64">
        <f>($DW1824-$D1824)*100</f>
        <v/>
      </c>
      <c r="EB1824" s="64">
        <f>$Q1824-$O1824</f>
        <v/>
      </c>
      <c r="EC1824" s="67">
        <f>IFERROR($Q1824/$P1824,"")</f>
        <v/>
      </c>
    </row>
    <row r="1825">
      <c r="DG1825" s="64">
        <f>($B1825-$B1826)*100</f>
        <v/>
      </c>
      <c r="DH1825" s="64">
        <f>($D1825-$D1826)*100</f>
        <v/>
      </c>
      <c r="DI1825" s="64">
        <f>($E1825-$E1826)*100</f>
        <v/>
      </c>
      <c r="DJ1825" s="64">
        <f>($H1825-$H1826)*100</f>
        <v/>
      </c>
      <c r="DK1825" s="65">
        <f>IFERROR($J1825/$J1826-1,"")</f>
        <v/>
      </c>
      <c r="DL1825" s="64">
        <f>$L1825-$L1826</f>
        <v/>
      </c>
      <c r="DM1825" s="64">
        <f>$K1825-$K1826</f>
        <v/>
      </c>
      <c r="DN1825" s="65">
        <f>IFERROR($N1825/$N1826-1,"")</f>
        <v/>
      </c>
      <c r="DO1825" s="65">
        <f>IFERROR($M1825/$M1826-1,"")</f>
        <v/>
      </c>
      <c r="DP1825" s="65">
        <f>IFERROR($AZ1825/$AZ1826-1,"")</f>
        <v/>
      </c>
      <c r="DQ1825" s="65">
        <f>IFERROR($BA1825/$BA1826-1,"")</f>
        <v/>
      </c>
      <c r="DR1825" s="64">
        <f>$O1825-$O1826</f>
        <v/>
      </c>
      <c r="DS1825" s="64">
        <f>$P1825-$P1826</f>
        <v/>
      </c>
      <c r="DT1825" s="64">
        <f>$Q1825-$Q1826</f>
        <v/>
      </c>
      <c r="DU1825" s="64">
        <f>$S1825-$S1826</f>
        <v/>
      </c>
      <c r="DV1825" s="65">
        <f>IFERROR(AVERAGE($AA1826/$AA1825-1,$AB1826/$AB1825-1,$AC1826/$AC1825-1,$AD1826/$AD1825-1,$AE1826/$AE1825-1,$AG1826/$AG1825-1,$AH1826/$AH1825-1,$AI1826/$AI1825-1,$AJ1826/$AJ1825-1,$AL1826/$AL1825-1,$AM1826/$AM1825-1,$AR1826/$AR1825-1,$AS1826/$AS1825-1,$AT1826/$AT1825-1,$AU1826/$AU1825-1,$AV1826/$AV1825-1,$AW1826/$AW1825-1,$AX1826/$AX1825-1,$AY1826/$AY1825-1),"")</f>
        <v/>
      </c>
      <c r="DW1825" s="66">
        <f>AVERAGE($CB1825,$CC1825,$CD1825,$CE1825,$CF1825,$CG1825,$CH1825,$CI1825,$CJ1825,$CL1825,$CM1825,$CN1825,$CO1825,$CP1825,$CQ1825,$CR1825,$CS1825,$CT1825)</f>
        <v/>
      </c>
      <c r="DX1825" s="66">
        <f>AVERAGE($CB1825,$CC1825,$CM1825,$CE1825,$CP1825)</f>
        <v/>
      </c>
      <c r="DY1825" s="64">
        <f>($DW1825-$DW1826)*100</f>
        <v/>
      </c>
      <c r="DZ1825" s="64">
        <f>($DX1825-$DX1826)*100</f>
        <v/>
      </c>
      <c r="EA1825" s="64">
        <f>($DW1825-$D1825)*100</f>
        <v/>
      </c>
      <c r="EB1825" s="64">
        <f>$Q1825-$O1825</f>
        <v/>
      </c>
      <c r="EC1825" s="67">
        <f>IFERROR($Q1825/$P1825,"")</f>
        <v/>
      </c>
    </row>
    <row r="1826">
      <c r="DG1826" s="64">
        <f>($B1826-$B1827)*100</f>
        <v/>
      </c>
      <c r="DH1826" s="64">
        <f>($D1826-$D1827)*100</f>
        <v/>
      </c>
      <c r="DI1826" s="64">
        <f>($E1826-$E1827)*100</f>
        <v/>
      </c>
      <c r="DJ1826" s="64">
        <f>($H1826-$H1827)*100</f>
        <v/>
      </c>
      <c r="DK1826" s="65">
        <f>IFERROR($J1826/$J1827-1,"")</f>
        <v/>
      </c>
      <c r="DL1826" s="64">
        <f>$L1826-$L1827</f>
        <v/>
      </c>
      <c r="DM1826" s="64">
        <f>$K1826-$K1827</f>
        <v/>
      </c>
      <c r="DN1826" s="65">
        <f>IFERROR($N1826/$N1827-1,"")</f>
        <v/>
      </c>
      <c r="DO1826" s="65">
        <f>IFERROR($M1826/$M1827-1,"")</f>
        <v/>
      </c>
      <c r="DP1826" s="65">
        <f>IFERROR($AZ1826/$AZ1827-1,"")</f>
        <v/>
      </c>
      <c r="DQ1826" s="65">
        <f>IFERROR($BA1826/$BA1827-1,"")</f>
        <v/>
      </c>
      <c r="DR1826" s="64">
        <f>$O1826-$O1827</f>
        <v/>
      </c>
      <c r="DS1826" s="64">
        <f>$P1826-$P1827</f>
        <v/>
      </c>
      <c r="DT1826" s="64">
        <f>$Q1826-$Q1827</f>
        <v/>
      </c>
      <c r="DU1826" s="64">
        <f>$S1826-$S1827</f>
        <v/>
      </c>
      <c r="DV1826" s="65">
        <f>IFERROR(AVERAGE($AA1827/$AA1826-1,$AB1827/$AB1826-1,$AC1827/$AC1826-1,$AD1827/$AD1826-1,$AE1827/$AE1826-1,$AG1827/$AG1826-1,$AH1827/$AH1826-1,$AI1827/$AI1826-1,$AJ1827/$AJ1826-1,$AL1827/$AL1826-1,$AM1827/$AM1826-1,$AR1827/$AR1826-1,$AS1827/$AS1826-1,$AT1827/$AT1826-1,$AU1827/$AU1826-1,$AV1827/$AV1826-1,$AW1827/$AW1826-1,$AX1827/$AX1826-1,$AY1827/$AY1826-1),"")</f>
        <v/>
      </c>
      <c r="DW1826" s="66">
        <f>AVERAGE($CB1826,$CC1826,$CD1826,$CE1826,$CF1826,$CG1826,$CH1826,$CI1826,$CJ1826,$CL1826,$CM1826,$CN1826,$CO1826,$CP1826,$CQ1826,$CR1826,$CS1826,$CT1826)</f>
        <v/>
      </c>
      <c r="DX1826" s="66">
        <f>AVERAGE($CB1826,$CC1826,$CM1826,$CE1826,$CP1826)</f>
        <v/>
      </c>
      <c r="DY1826" s="64">
        <f>($DW1826-$DW1827)*100</f>
        <v/>
      </c>
      <c r="DZ1826" s="64">
        <f>($DX1826-$DX1827)*100</f>
        <v/>
      </c>
      <c r="EA1826" s="64">
        <f>($DW1826-$D1826)*100</f>
        <v/>
      </c>
      <c r="EB1826" s="64">
        <f>$Q1826-$O1826</f>
        <v/>
      </c>
      <c r="EC1826" s="67">
        <f>IFERROR($Q1826/$P1826,"")</f>
        <v/>
      </c>
    </row>
    <row r="1827">
      <c r="DG1827" s="64">
        <f>($B1827-$B1828)*100</f>
        <v/>
      </c>
      <c r="DH1827" s="64">
        <f>($D1827-$D1828)*100</f>
        <v/>
      </c>
      <c r="DI1827" s="64">
        <f>($E1827-$E1828)*100</f>
        <v/>
      </c>
      <c r="DJ1827" s="64">
        <f>($H1827-$H1828)*100</f>
        <v/>
      </c>
      <c r="DK1827" s="65">
        <f>IFERROR($J1827/$J1828-1,"")</f>
        <v/>
      </c>
      <c r="DL1827" s="64">
        <f>$L1827-$L1828</f>
        <v/>
      </c>
      <c r="DM1827" s="64">
        <f>$K1827-$K1828</f>
        <v/>
      </c>
      <c r="DN1827" s="65">
        <f>IFERROR($N1827/$N1828-1,"")</f>
        <v/>
      </c>
      <c r="DO1827" s="65">
        <f>IFERROR($M1827/$M1828-1,"")</f>
        <v/>
      </c>
      <c r="DP1827" s="65">
        <f>IFERROR($AZ1827/$AZ1828-1,"")</f>
        <v/>
      </c>
      <c r="DQ1827" s="65">
        <f>IFERROR($BA1827/$BA1828-1,"")</f>
        <v/>
      </c>
      <c r="DR1827" s="64">
        <f>$O1827-$O1828</f>
        <v/>
      </c>
      <c r="DS1827" s="64">
        <f>$P1827-$P1828</f>
        <v/>
      </c>
      <c r="DT1827" s="64">
        <f>$Q1827-$Q1828</f>
        <v/>
      </c>
      <c r="DU1827" s="64">
        <f>$S1827-$S1828</f>
        <v/>
      </c>
      <c r="DV1827" s="65">
        <f>IFERROR(AVERAGE($AA1828/$AA1827-1,$AB1828/$AB1827-1,$AC1828/$AC1827-1,$AD1828/$AD1827-1,$AE1828/$AE1827-1,$AG1828/$AG1827-1,$AH1828/$AH1827-1,$AI1828/$AI1827-1,$AJ1828/$AJ1827-1,$AL1828/$AL1827-1,$AM1828/$AM1827-1,$AR1828/$AR1827-1,$AS1828/$AS1827-1,$AT1828/$AT1827-1,$AU1828/$AU1827-1,$AV1828/$AV1827-1,$AW1828/$AW1827-1,$AX1828/$AX1827-1,$AY1828/$AY1827-1),"")</f>
        <v/>
      </c>
      <c r="DW1827" s="66">
        <f>AVERAGE($CB1827,$CC1827,$CD1827,$CE1827,$CF1827,$CG1827,$CH1827,$CI1827,$CJ1827,$CL1827,$CM1827,$CN1827,$CO1827,$CP1827,$CQ1827,$CR1827,$CS1827,$CT1827)</f>
        <v/>
      </c>
      <c r="DX1827" s="66">
        <f>AVERAGE($CB1827,$CC1827,$CM1827,$CE1827,$CP1827)</f>
        <v/>
      </c>
      <c r="DY1827" s="64">
        <f>($DW1827-$DW1828)*100</f>
        <v/>
      </c>
      <c r="DZ1827" s="64">
        <f>($DX1827-$DX1828)*100</f>
        <v/>
      </c>
      <c r="EA1827" s="64">
        <f>($DW1827-$D1827)*100</f>
        <v/>
      </c>
      <c r="EB1827" s="64">
        <f>$Q1827-$O1827</f>
        <v/>
      </c>
      <c r="EC1827" s="67">
        <f>IFERROR($Q1827/$P1827,"")</f>
        <v/>
      </c>
    </row>
    <row r="1828">
      <c r="DG1828" s="64">
        <f>($B1828-$B1829)*100</f>
        <v/>
      </c>
      <c r="DH1828" s="64">
        <f>($D1828-$D1829)*100</f>
        <v/>
      </c>
      <c r="DI1828" s="64">
        <f>($E1828-$E1829)*100</f>
        <v/>
      </c>
      <c r="DJ1828" s="64">
        <f>($H1828-$H1829)*100</f>
        <v/>
      </c>
      <c r="DK1828" s="65">
        <f>IFERROR($J1828/$J1829-1,"")</f>
        <v/>
      </c>
      <c r="DL1828" s="64">
        <f>$L1828-$L1829</f>
        <v/>
      </c>
      <c r="DM1828" s="64">
        <f>$K1828-$K1829</f>
        <v/>
      </c>
      <c r="DN1828" s="65">
        <f>IFERROR($N1828/$N1829-1,"")</f>
        <v/>
      </c>
      <c r="DO1828" s="65">
        <f>IFERROR($M1828/$M1829-1,"")</f>
        <v/>
      </c>
      <c r="DP1828" s="65">
        <f>IFERROR($AZ1828/$AZ1829-1,"")</f>
        <v/>
      </c>
      <c r="DQ1828" s="65">
        <f>IFERROR($BA1828/$BA1829-1,"")</f>
        <v/>
      </c>
      <c r="DR1828" s="64">
        <f>$O1828-$O1829</f>
        <v/>
      </c>
      <c r="DS1828" s="64">
        <f>$P1828-$P1829</f>
        <v/>
      </c>
      <c r="DT1828" s="64">
        <f>$Q1828-$Q1829</f>
        <v/>
      </c>
      <c r="DU1828" s="64">
        <f>$S1828-$S1829</f>
        <v/>
      </c>
      <c r="DV1828" s="65">
        <f>IFERROR(AVERAGE($AA1829/$AA1828-1,$AB1829/$AB1828-1,$AC1829/$AC1828-1,$AD1829/$AD1828-1,$AE1829/$AE1828-1,$AG1829/$AG1828-1,$AH1829/$AH1828-1,$AI1829/$AI1828-1,$AJ1829/$AJ1828-1,$AL1829/$AL1828-1,$AM1829/$AM1828-1,$AR1829/$AR1828-1,$AS1829/$AS1828-1,$AT1829/$AT1828-1,$AU1829/$AU1828-1,$AV1829/$AV1828-1,$AW1829/$AW1828-1,$AX1829/$AX1828-1,$AY1829/$AY1828-1),"")</f>
        <v/>
      </c>
      <c r="DW1828" s="66">
        <f>AVERAGE($CB1828,$CC1828,$CD1828,$CE1828,$CF1828,$CG1828,$CH1828,$CI1828,$CJ1828,$CL1828,$CM1828,$CN1828,$CO1828,$CP1828,$CQ1828,$CR1828,$CS1828,$CT1828)</f>
        <v/>
      </c>
      <c r="DX1828" s="66">
        <f>AVERAGE($CB1828,$CC1828,$CM1828,$CE1828,$CP1828)</f>
        <v/>
      </c>
      <c r="DY1828" s="64">
        <f>($DW1828-$DW1829)*100</f>
        <v/>
      </c>
      <c r="DZ1828" s="64">
        <f>($DX1828-$DX1829)*100</f>
        <v/>
      </c>
      <c r="EA1828" s="64">
        <f>($DW1828-$D1828)*100</f>
        <v/>
      </c>
      <c r="EB1828" s="64">
        <f>$Q1828-$O1828</f>
        <v/>
      </c>
      <c r="EC1828" s="67">
        <f>IFERROR($Q1828/$P1828,"")</f>
        <v/>
      </c>
    </row>
    <row r="1829">
      <c r="DG1829" s="64">
        <f>($B1829-$B1830)*100</f>
        <v/>
      </c>
      <c r="DH1829" s="64">
        <f>($D1829-$D1830)*100</f>
        <v/>
      </c>
      <c r="DI1829" s="64">
        <f>($E1829-$E1830)*100</f>
        <v/>
      </c>
      <c r="DJ1829" s="64">
        <f>($H1829-$H1830)*100</f>
        <v/>
      </c>
      <c r="DK1829" s="65">
        <f>IFERROR($J1829/$J1830-1,"")</f>
        <v/>
      </c>
      <c r="DL1829" s="64">
        <f>$L1829-$L1830</f>
        <v/>
      </c>
      <c r="DM1829" s="64">
        <f>$K1829-$K1830</f>
        <v/>
      </c>
      <c r="DN1829" s="65">
        <f>IFERROR($N1829/$N1830-1,"")</f>
        <v/>
      </c>
      <c r="DO1829" s="65">
        <f>IFERROR($M1829/$M1830-1,"")</f>
        <v/>
      </c>
      <c r="DP1829" s="65">
        <f>IFERROR($AZ1829/$AZ1830-1,"")</f>
        <v/>
      </c>
      <c r="DQ1829" s="65">
        <f>IFERROR($BA1829/$BA1830-1,"")</f>
        <v/>
      </c>
      <c r="DR1829" s="64">
        <f>$O1829-$O1830</f>
        <v/>
      </c>
      <c r="DS1829" s="64">
        <f>$P1829-$P1830</f>
        <v/>
      </c>
      <c r="DT1829" s="64">
        <f>$Q1829-$Q1830</f>
        <v/>
      </c>
      <c r="DU1829" s="64">
        <f>$S1829-$S1830</f>
        <v/>
      </c>
      <c r="DV1829" s="65">
        <f>IFERROR(AVERAGE($AA1830/$AA1829-1,$AB1830/$AB1829-1,$AC1830/$AC1829-1,$AD1830/$AD1829-1,$AE1830/$AE1829-1,$AG1830/$AG1829-1,$AH1830/$AH1829-1,$AI1830/$AI1829-1,$AJ1830/$AJ1829-1,$AL1830/$AL1829-1,$AM1830/$AM1829-1,$AR1830/$AR1829-1,$AS1830/$AS1829-1,$AT1830/$AT1829-1,$AU1830/$AU1829-1,$AV1830/$AV1829-1,$AW1830/$AW1829-1,$AX1830/$AX1829-1,$AY1830/$AY1829-1),"")</f>
        <v/>
      </c>
      <c r="DW1829" s="66">
        <f>AVERAGE($CB1829,$CC1829,$CD1829,$CE1829,$CF1829,$CG1829,$CH1829,$CI1829,$CJ1829,$CL1829,$CM1829,$CN1829,$CO1829,$CP1829,$CQ1829,$CR1829,$CS1829,$CT1829)</f>
        <v/>
      </c>
      <c r="DX1829" s="66">
        <f>AVERAGE($CB1829,$CC1829,$CM1829,$CE1829,$CP1829)</f>
        <v/>
      </c>
      <c r="DY1829" s="64">
        <f>($DW1829-$DW1830)*100</f>
        <v/>
      </c>
      <c r="DZ1829" s="64">
        <f>($DX1829-$DX1830)*100</f>
        <v/>
      </c>
      <c r="EA1829" s="64">
        <f>($DW1829-$D1829)*100</f>
        <v/>
      </c>
      <c r="EB1829" s="64">
        <f>$Q1829-$O1829</f>
        <v/>
      </c>
      <c r="EC1829" s="67">
        <f>IFERROR($Q1829/$P1829,"")</f>
        <v/>
      </c>
    </row>
    <row r="1830">
      <c r="DG1830" s="64">
        <f>($B1830-$B1831)*100</f>
        <v/>
      </c>
      <c r="DH1830" s="64">
        <f>($D1830-$D1831)*100</f>
        <v/>
      </c>
      <c r="DI1830" s="64">
        <f>($E1830-$E1831)*100</f>
        <v/>
      </c>
      <c r="DJ1830" s="64">
        <f>($H1830-$H1831)*100</f>
        <v/>
      </c>
      <c r="DK1830" s="65">
        <f>IFERROR($J1830/$J1831-1,"")</f>
        <v/>
      </c>
      <c r="DL1830" s="64">
        <f>$L1830-$L1831</f>
        <v/>
      </c>
      <c r="DM1830" s="64">
        <f>$K1830-$K1831</f>
        <v/>
      </c>
      <c r="DN1830" s="65">
        <f>IFERROR($N1830/$N1831-1,"")</f>
        <v/>
      </c>
      <c r="DO1830" s="65">
        <f>IFERROR($M1830/$M1831-1,"")</f>
        <v/>
      </c>
      <c r="DP1830" s="65">
        <f>IFERROR($AZ1830/$AZ1831-1,"")</f>
        <v/>
      </c>
      <c r="DQ1830" s="65">
        <f>IFERROR($BA1830/$BA1831-1,"")</f>
        <v/>
      </c>
      <c r="DR1830" s="64">
        <f>$O1830-$O1831</f>
        <v/>
      </c>
      <c r="DS1830" s="64">
        <f>$P1830-$P1831</f>
        <v/>
      </c>
      <c r="DT1830" s="64">
        <f>$Q1830-$Q1831</f>
        <v/>
      </c>
      <c r="DU1830" s="64">
        <f>$S1830-$S1831</f>
        <v/>
      </c>
      <c r="DV1830" s="65">
        <f>IFERROR(AVERAGE($AA1831/$AA1830-1,$AB1831/$AB1830-1,$AC1831/$AC1830-1,$AD1831/$AD1830-1,$AE1831/$AE1830-1,$AG1831/$AG1830-1,$AH1831/$AH1830-1,$AI1831/$AI1830-1,$AJ1831/$AJ1830-1,$AL1831/$AL1830-1,$AM1831/$AM1830-1,$AR1831/$AR1830-1,$AS1831/$AS1830-1,$AT1831/$AT1830-1,$AU1831/$AU1830-1,$AV1831/$AV1830-1,$AW1831/$AW1830-1,$AX1831/$AX1830-1,$AY1831/$AY1830-1),"")</f>
        <v/>
      </c>
      <c r="DW1830" s="66">
        <f>AVERAGE($CB1830,$CC1830,$CD1830,$CE1830,$CF1830,$CG1830,$CH1830,$CI1830,$CJ1830,$CL1830,$CM1830,$CN1830,$CO1830,$CP1830,$CQ1830,$CR1830,$CS1830,$CT1830)</f>
        <v/>
      </c>
      <c r="DX1830" s="66">
        <f>AVERAGE($CB1830,$CC1830,$CM1830,$CE1830,$CP1830)</f>
        <v/>
      </c>
      <c r="DY1830" s="64">
        <f>($DW1830-$DW1831)*100</f>
        <v/>
      </c>
      <c r="DZ1830" s="64">
        <f>($DX1830-$DX1831)*100</f>
        <v/>
      </c>
      <c r="EA1830" s="64">
        <f>($DW1830-$D1830)*100</f>
        <v/>
      </c>
      <c r="EB1830" s="64">
        <f>$Q1830-$O1830</f>
        <v/>
      </c>
      <c r="EC1830" s="67">
        <f>IFERROR($Q1830/$P1830,"")</f>
        <v/>
      </c>
    </row>
    <row r="1831">
      <c r="DG1831" s="64">
        <f>($B1831-$B1832)*100</f>
        <v/>
      </c>
      <c r="DH1831" s="64">
        <f>($D1831-$D1832)*100</f>
        <v/>
      </c>
      <c r="DI1831" s="64">
        <f>($E1831-$E1832)*100</f>
        <v/>
      </c>
      <c r="DJ1831" s="64">
        <f>($H1831-$H1832)*100</f>
        <v/>
      </c>
      <c r="DK1831" s="65">
        <f>IFERROR($J1831/$J1832-1,"")</f>
        <v/>
      </c>
      <c r="DL1831" s="64">
        <f>$L1831-$L1832</f>
        <v/>
      </c>
      <c r="DM1831" s="64">
        <f>$K1831-$K1832</f>
        <v/>
      </c>
      <c r="DN1831" s="65">
        <f>IFERROR($N1831/$N1832-1,"")</f>
        <v/>
      </c>
      <c r="DO1831" s="65">
        <f>IFERROR($M1831/$M1832-1,"")</f>
        <v/>
      </c>
      <c r="DP1831" s="65">
        <f>IFERROR($AZ1831/$AZ1832-1,"")</f>
        <v/>
      </c>
      <c r="DQ1831" s="65">
        <f>IFERROR($BA1831/$BA1832-1,"")</f>
        <v/>
      </c>
      <c r="DR1831" s="64">
        <f>$O1831-$O1832</f>
        <v/>
      </c>
      <c r="DS1831" s="64">
        <f>$P1831-$P1832</f>
        <v/>
      </c>
      <c r="DT1831" s="64">
        <f>$Q1831-$Q1832</f>
        <v/>
      </c>
      <c r="DU1831" s="64">
        <f>$S1831-$S1832</f>
        <v/>
      </c>
      <c r="DV1831" s="65">
        <f>IFERROR(AVERAGE($AA1832/$AA1831-1,$AB1832/$AB1831-1,$AC1832/$AC1831-1,$AD1832/$AD1831-1,$AE1832/$AE1831-1,$AG1832/$AG1831-1,$AH1832/$AH1831-1,$AI1832/$AI1831-1,$AJ1832/$AJ1831-1,$AL1832/$AL1831-1,$AM1832/$AM1831-1,$AR1832/$AR1831-1,$AS1832/$AS1831-1,$AT1832/$AT1831-1,$AU1832/$AU1831-1,$AV1832/$AV1831-1,$AW1832/$AW1831-1,$AX1832/$AX1831-1,$AY1832/$AY1831-1),"")</f>
        <v/>
      </c>
      <c r="DW1831" s="66">
        <f>AVERAGE($CB1831,$CC1831,$CD1831,$CE1831,$CF1831,$CG1831,$CH1831,$CI1831,$CJ1831,$CL1831,$CM1831,$CN1831,$CO1831,$CP1831,$CQ1831,$CR1831,$CS1831,$CT1831)</f>
        <v/>
      </c>
      <c r="DX1831" s="66">
        <f>AVERAGE($CB1831,$CC1831,$CM1831,$CE1831,$CP1831)</f>
        <v/>
      </c>
      <c r="DY1831" s="64">
        <f>($DW1831-$DW1832)*100</f>
        <v/>
      </c>
      <c r="DZ1831" s="64">
        <f>($DX1831-$DX1832)*100</f>
        <v/>
      </c>
      <c r="EA1831" s="64">
        <f>($DW1831-$D1831)*100</f>
        <v/>
      </c>
      <c r="EB1831" s="64">
        <f>$Q1831-$O1831</f>
        <v/>
      </c>
      <c r="EC1831" s="67">
        <f>IFERROR($Q1831/$P1831,"")</f>
        <v/>
      </c>
    </row>
    <row r="1832">
      <c r="DG1832" s="64">
        <f>($B1832-$B1833)*100</f>
        <v/>
      </c>
      <c r="DH1832" s="64">
        <f>($D1832-$D1833)*100</f>
        <v/>
      </c>
      <c r="DI1832" s="64">
        <f>($E1832-$E1833)*100</f>
        <v/>
      </c>
      <c r="DJ1832" s="64">
        <f>($H1832-$H1833)*100</f>
        <v/>
      </c>
      <c r="DK1832" s="65">
        <f>IFERROR($J1832/$J1833-1,"")</f>
        <v/>
      </c>
      <c r="DL1832" s="64">
        <f>$L1832-$L1833</f>
        <v/>
      </c>
      <c r="DM1832" s="64">
        <f>$K1832-$K1833</f>
        <v/>
      </c>
      <c r="DN1832" s="65">
        <f>IFERROR($N1832/$N1833-1,"")</f>
        <v/>
      </c>
      <c r="DO1832" s="65">
        <f>IFERROR($M1832/$M1833-1,"")</f>
        <v/>
      </c>
      <c r="DP1832" s="65">
        <f>IFERROR($AZ1832/$AZ1833-1,"")</f>
        <v/>
      </c>
      <c r="DQ1832" s="65">
        <f>IFERROR($BA1832/$BA1833-1,"")</f>
        <v/>
      </c>
      <c r="DR1832" s="64">
        <f>$O1832-$O1833</f>
        <v/>
      </c>
      <c r="DS1832" s="64">
        <f>$P1832-$P1833</f>
        <v/>
      </c>
      <c r="DT1832" s="64">
        <f>$Q1832-$Q1833</f>
        <v/>
      </c>
      <c r="DU1832" s="64">
        <f>$S1832-$S1833</f>
        <v/>
      </c>
      <c r="DV1832" s="65">
        <f>IFERROR(AVERAGE($AA1833/$AA1832-1,$AB1833/$AB1832-1,$AC1833/$AC1832-1,$AD1833/$AD1832-1,$AE1833/$AE1832-1,$AG1833/$AG1832-1,$AH1833/$AH1832-1,$AI1833/$AI1832-1,$AJ1833/$AJ1832-1,$AL1833/$AL1832-1,$AM1833/$AM1832-1,$AR1833/$AR1832-1,$AS1833/$AS1832-1,$AT1833/$AT1832-1,$AU1833/$AU1832-1,$AV1833/$AV1832-1,$AW1833/$AW1832-1,$AX1833/$AX1832-1,$AY1833/$AY1832-1),"")</f>
        <v/>
      </c>
      <c r="DW1832" s="66">
        <f>AVERAGE($CB1832,$CC1832,$CD1832,$CE1832,$CF1832,$CG1832,$CH1832,$CI1832,$CJ1832,$CL1832,$CM1832,$CN1832,$CO1832,$CP1832,$CQ1832,$CR1832,$CS1832,$CT1832)</f>
        <v/>
      </c>
      <c r="DX1832" s="66">
        <f>AVERAGE($CB1832,$CC1832,$CM1832,$CE1832,$CP1832)</f>
        <v/>
      </c>
      <c r="DY1832" s="64">
        <f>($DW1832-$DW1833)*100</f>
        <v/>
      </c>
      <c r="DZ1832" s="64">
        <f>($DX1832-$DX1833)*100</f>
        <v/>
      </c>
      <c r="EA1832" s="64">
        <f>($DW1832-$D1832)*100</f>
        <v/>
      </c>
      <c r="EB1832" s="64">
        <f>$Q1832-$O1832</f>
        <v/>
      </c>
      <c r="EC1832" s="67">
        <f>IFERROR($Q1832/$P1832,"")</f>
        <v/>
      </c>
    </row>
    <row r="1833">
      <c r="DG1833" s="64">
        <f>($B1833-$B1834)*100</f>
        <v/>
      </c>
      <c r="DH1833" s="64">
        <f>($D1833-$D1834)*100</f>
        <v/>
      </c>
      <c r="DI1833" s="64">
        <f>($E1833-$E1834)*100</f>
        <v/>
      </c>
      <c r="DJ1833" s="64">
        <f>($H1833-$H1834)*100</f>
        <v/>
      </c>
      <c r="DK1833" s="65">
        <f>IFERROR($J1833/$J1834-1,"")</f>
        <v/>
      </c>
      <c r="DL1833" s="64">
        <f>$L1833-$L1834</f>
        <v/>
      </c>
      <c r="DM1833" s="64">
        <f>$K1833-$K1834</f>
        <v/>
      </c>
      <c r="DN1833" s="65">
        <f>IFERROR($N1833/$N1834-1,"")</f>
        <v/>
      </c>
      <c r="DO1833" s="65">
        <f>IFERROR($M1833/$M1834-1,"")</f>
        <v/>
      </c>
      <c r="DP1833" s="65">
        <f>IFERROR($AZ1833/$AZ1834-1,"")</f>
        <v/>
      </c>
      <c r="DQ1833" s="65">
        <f>IFERROR($BA1833/$BA1834-1,"")</f>
        <v/>
      </c>
      <c r="DR1833" s="64">
        <f>$O1833-$O1834</f>
        <v/>
      </c>
      <c r="DS1833" s="64">
        <f>$P1833-$P1834</f>
        <v/>
      </c>
      <c r="DT1833" s="64">
        <f>$Q1833-$Q1834</f>
        <v/>
      </c>
      <c r="DU1833" s="64">
        <f>$S1833-$S1834</f>
        <v/>
      </c>
      <c r="DV1833" s="65">
        <f>IFERROR(AVERAGE($AA1834/$AA1833-1,$AB1834/$AB1833-1,$AC1834/$AC1833-1,$AD1834/$AD1833-1,$AE1834/$AE1833-1,$AG1834/$AG1833-1,$AH1834/$AH1833-1,$AI1834/$AI1833-1,$AJ1834/$AJ1833-1,$AL1834/$AL1833-1,$AM1834/$AM1833-1,$AR1834/$AR1833-1,$AS1834/$AS1833-1,$AT1834/$AT1833-1,$AU1834/$AU1833-1,$AV1834/$AV1833-1,$AW1834/$AW1833-1,$AX1834/$AX1833-1,$AY1834/$AY1833-1),"")</f>
        <v/>
      </c>
      <c r="DW1833" s="66">
        <f>AVERAGE($CB1833,$CC1833,$CD1833,$CE1833,$CF1833,$CG1833,$CH1833,$CI1833,$CJ1833,$CL1833,$CM1833,$CN1833,$CO1833,$CP1833,$CQ1833,$CR1833,$CS1833,$CT1833)</f>
        <v/>
      </c>
      <c r="DX1833" s="66">
        <f>AVERAGE($CB1833,$CC1833,$CM1833,$CE1833,$CP1833)</f>
        <v/>
      </c>
      <c r="DY1833" s="64">
        <f>($DW1833-$DW1834)*100</f>
        <v/>
      </c>
      <c r="DZ1833" s="64">
        <f>($DX1833-$DX1834)*100</f>
        <v/>
      </c>
      <c r="EA1833" s="64">
        <f>($DW1833-$D1833)*100</f>
        <v/>
      </c>
      <c r="EB1833" s="64">
        <f>$Q1833-$O1833</f>
        <v/>
      </c>
      <c r="EC1833" s="67">
        <f>IFERROR($Q1833/$P1833,"")</f>
        <v/>
      </c>
    </row>
    <row r="1834">
      <c r="DG1834" s="64">
        <f>($B1834-$B1835)*100</f>
        <v/>
      </c>
      <c r="DH1834" s="64">
        <f>($D1834-$D1835)*100</f>
        <v/>
      </c>
      <c r="DI1834" s="64">
        <f>($E1834-$E1835)*100</f>
        <v/>
      </c>
      <c r="DJ1834" s="64">
        <f>($H1834-$H1835)*100</f>
        <v/>
      </c>
      <c r="DK1834" s="65">
        <f>IFERROR($J1834/$J1835-1,"")</f>
        <v/>
      </c>
      <c r="DL1834" s="64">
        <f>$L1834-$L1835</f>
        <v/>
      </c>
      <c r="DM1834" s="64">
        <f>$K1834-$K1835</f>
        <v/>
      </c>
      <c r="DN1834" s="65">
        <f>IFERROR($N1834/$N1835-1,"")</f>
        <v/>
      </c>
      <c r="DO1834" s="65">
        <f>IFERROR($M1834/$M1835-1,"")</f>
        <v/>
      </c>
      <c r="DP1834" s="65">
        <f>IFERROR($AZ1834/$AZ1835-1,"")</f>
        <v/>
      </c>
      <c r="DQ1834" s="65">
        <f>IFERROR($BA1834/$BA1835-1,"")</f>
        <v/>
      </c>
      <c r="DR1834" s="64">
        <f>$O1834-$O1835</f>
        <v/>
      </c>
      <c r="DS1834" s="64">
        <f>$P1834-$P1835</f>
        <v/>
      </c>
      <c r="DT1834" s="64">
        <f>$Q1834-$Q1835</f>
        <v/>
      </c>
      <c r="DU1834" s="64">
        <f>$S1834-$S1835</f>
        <v/>
      </c>
      <c r="DV1834" s="65">
        <f>IFERROR(AVERAGE($AA1835/$AA1834-1,$AB1835/$AB1834-1,$AC1835/$AC1834-1,$AD1835/$AD1834-1,$AE1835/$AE1834-1,$AG1835/$AG1834-1,$AH1835/$AH1834-1,$AI1835/$AI1834-1,$AJ1835/$AJ1834-1,$AL1835/$AL1834-1,$AM1835/$AM1834-1,$AR1835/$AR1834-1,$AS1835/$AS1834-1,$AT1835/$AT1834-1,$AU1835/$AU1834-1,$AV1835/$AV1834-1,$AW1835/$AW1834-1,$AX1835/$AX1834-1,$AY1835/$AY1834-1),"")</f>
        <v/>
      </c>
      <c r="DW1834" s="66">
        <f>AVERAGE($CB1834,$CC1834,$CD1834,$CE1834,$CF1834,$CG1834,$CH1834,$CI1834,$CJ1834,$CL1834,$CM1834,$CN1834,$CO1834,$CP1834,$CQ1834,$CR1834,$CS1834,$CT1834)</f>
        <v/>
      </c>
      <c r="DX1834" s="66">
        <f>AVERAGE($CB1834,$CC1834,$CM1834,$CE1834,$CP1834)</f>
        <v/>
      </c>
      <c r="DY1834" s="64">
        <f>($DW1834-$DW1835)*100</f>
        <v/>
      </c>
      <c r="DZ1834" s="64">
        <f>($DX1834-$DX1835)*100</f>
        <v/>
      </c>
      <c r="EA1834" s="64">
        <f>($DW1834-$D1834)*100</f>
        <v/>
      </c>
      <c r="EB1834" s="64">
        <f>$Q1834-$O1834</f>
        <v/>
      </c>
      <c r="EC1834" s="67">
        <f>IFERROR($Q1834/$P1834,"")</f>
        <v/>
      </c>
    </row>
    <row r="1835">
      <c r="DG1835" s="64">
        <f>($B1835-$B1836)*100</f>
        <v/>
      </c>
      <c r="DH1835" s="64">
        <f>($D1835-$D1836)*100</f>
        <v/>
      </c>
      <c r="DI1835" s="64">
        <f>($E1835-$E1836)*100</f>
        <v/>
      </c>
      <c r="DJ1835" s="64">
        <f>($H1835-$H1836)*100</f>
        <v/>
      </c>
      <c r="DK1835" s="65">
        <f>IFERROR($J1835/$J1836-1,"")</f>
        <v/>
      </c>
      <c r="DL1835" s="64">
        <f>$L1835-$L1836</f>
        <v/>
      </c>
      <c r="DM1835" s="64">
        <f>$K1835-$K1836</f>
        <v/>
      </c>
      <c r="DN1835" s="65">
        <f>IFERROR($N1835/$N1836-1,"")</f>
        <v/>
      </c>
      <c r="DO1835" s="65">
        <f>IFERROR($M1835/$M1836-1,"")</f>
        <v/>
      </c>
      <c r="DP1835" s="65">
        <f>IFERROR($AZ1835/$AZ1836-1,"")</f>
        <v/>
      </c>
      <c r="DQ1835" s="65">
        <f>IFERROR($BA1835/$BA1836-1,"")</f>
        <v/>
      </c>
      <c r="DR1835" s="64">
        <f>$O1835-$O1836</f>
        <v/>
      </c>
      <c r="DS1835" s="64">
        <f>$P1835-$P1836</f>
        <v/>
      </c>
      <c r="DT1835" s="64">
        <f>$Q1835-$Q1836</f>
        <v/>
      </c>
      <c r="DU1835" s="64">
        <f>$S1835-$S1836</f>
        <v/>
      </c>
      <c r="DV1835" s="65">
        <f>IFERROR(AVERAGE($AA1836/$AA1835-1,$AB1836/$AB1835-1,$AC1836/$AC1835-1,$AD1836/$AD1835-1,$AE1836/$AE1835-1,$AG1836/$AG1835-1,$AH1836/$AH1835-1,$AI1836/$AI1835-1,$AJ1836/$AJ1835-1,$AL1836/$AL1835-1,$AM1836/$AM1835-1,$AR1836/$AR1835-1,$AS1836/$AS1835-1,$AT1836/$AT1835-1,$AU1836/$AU1835-1,$AV1836/$AV1835-1,$AW1836/$AW1835-1,$AX1836/$AX1835-1,$AY1836/$AY1835-1),"")</f>
        <v/>
      </c>
      <c r="DW1835" s="66">
        <f>AVERAGE($CB1835,$CC1835,$CD1835,$CE1835,$CF1835,$CG1835,$CH1835,$CI1835,$CJ1835,$CL1835,$CM1835,$CN1835,$CO1835,$CP1835,$CQ1835,$CR1835,$CS1835,$CT1835)</f>
        <v/>
      </c>
      <c r="DX1835" s="66">
        <f>AVERAGE($CB1835,$CC1835,$CM1835,$CE1835,$CP1835)</f>
        <v/>
      </c>
      <c r="DY1835" s="64">
        <f>($DW1835-$DW1836)*100</f>
        <v/>
      </c>
      <c r="DZ1835" s="64">
        <f>($DX1835-$DX1836)*100</f>
        <v/>
      </c>
      <c r="EA1835" s="64">
        <f>($DW1835-$D1835)*100</f>
        <v/>
      </c>
      <c r="EB1835" s="64">
        <f>$Q1835-$O1835</f>
        <v/>
      </c>
      <c r="EC1835" s="67">
        <f>IFERROR($Q1835/$P1835,"")</f>
        <v/>
      </c>
    </row>
    <row r="1836">
      <c r="DG1836" s="64">
        <f>($B1836-$B1837)*100</f>
        <v/>
      </c>
      <c r="DH1836" s="64">
        <f>($D1836-$D1837)*100</f>
        <v/>
      </c>
      <c r="DI1836" s="64">
        <f>($E1836-$E1837)*100</f>
        <v/>
      </c>
      <c r="DJ1836" s="64">
        <f>($H1836-$H1837)*100</f>
        <v/>
      </c>
      <c r="DK1836" s="65">
        <f>IFERROR($J1836/$J1837-1,"")</f>
        <v/>
      </c>
      <c r="DL1836" s="64">
        <f>$L1836-$L1837</f>
        <v/>
      </c>
      <c r="DM1836" s="64">
        <f>$K1836-$K1837</f>
        <v/>
      </c>
      <c r="DN1836" s="65">
        <f>IFERROR($N1836/$N1837-1,"")</f>
        <v/>
      </c>
      <c r="DO1836" s="65">
        <f>IFERROR($M1836/$M1837-1,"")</f>
        <v/>
      </c>
      <c r="DP1836" s="65">
        <f>IFERROR($AZ1836/$AZ1837-1,"")</f>
        <v/>
      </c>
      <c r="DQ1836" s="65">
        <f>IFERROR($BA1836/$BA1837-1,"")</f>
        <v/>
      </c>
      <c r="DR1836" s="64">
        <f>$O1836-$O1837</f>
        <v/>
      </c>
      <c r="DS1836" s="64">
        <f>$P1836-$P1837</f>
        <v/>
      </c>
      <c r="DT1836" s="64">
        <f>$Q1836-$Q1837</f>
        <v/>
      </c>
      <c r="DU1836" s="64">
        <f>$S1836-$S1837</f>
        <v/>
      </c>
      <c r="DV1836" s="65">
        <f>IFERROR(AVERAGE($AA1837/$AA1836-1,$AB1837/$AB1836-1,$AC1837/$AC1836-1,$AD1837/$AD1836-1,$AE1837/$AE1836-1,$AG1837/$AG1836-1,$AH1837/$AH1836-1,$AI1837/$AI1836-1,$AJ1837/$AJ1836-1,$AL1837/$AL1836-1,$AM1837/$AM1836-1,$AR1837/$AR1836-1,$AS1837/$AS1836-1,$AT1837/$AT1836-1,$AU1837/$AU1836-1,$AV1837/$AV1836-1,$AW1837/$AW1836-1,$AX1837/$AX1836-1,$AY1837/$AY1836-1),"")</f>
        <v/>
      </c>
      <c r="DW1836" s="66">
        <f>AVERAGE($CB1836,$CC1836,$CD1836,$CE1836,$CF1836,$CG1836,$CH1836,$CI1836,$CJ1836,$CL1836,$CM1836,$CN1836,$CO1836,$CP1836,$CQ1836,$CR1836,$CS1836,$CT1836)</f>
        <v/>
      </c>
      <c r="DX1836" s="66">
        <f>AVERAGE($CB1836,$CC1836,$CM1836,$CE1836,$CP1836)</f>
        <v/>
      </c>
      <c r="DY1836" s="64">
        <f>($DW1836-$DW1837)*100</f>
        <v/>
      </c>
      <c r="DZ1836" s="64">
        <f>($DX1836-$DX1837)*100</f>
        <v/>
      </c>
      <c r="EA1836" s="64">
        <f>($DW1836-$D1836)*100</f>
        <v/>
      </c>
      <c r="EB1836" s="64">
        <f>$Q1836-$O1836</f>
        <v/>
      </c>
      <c r="EC1836" s="67">
        <f>IFERROR($Q1836/$P1836,"")</f>
        <v/>
      </c>
    </row>
    <row r="1837">
      <c r="DG1837" s="64">
        <f>($B1837-$B1838)*100</f>
        <v/>
      </c>
      <c r="DH1837" s="64">
        <f>($D1837-$D1838)*100</f>
        <v/>
      </c>
      <c r="DI1837" s="64">
        <f>($E1837-$E1838)*100</f>
        <v/>
      </c>
      <c r="DJ1837" s="64">
        <f>($H1837-$H1838)*100</f>
        <v/>
      </c>
      <c r="DK1837" s="65">
        <f>IFERROR($J1837/$J1838-1,"")</f>
        <v/>
      </c>
      <c r="DL1837" s="64">
        <f>$L1837-$L1838</f>
        <v/>
      </c>
      <c r="DM1837" s="64">
        <f>$K1837-$K1838</f>
        <v/>
      </c>
      <c r="DN1837" s="65">
        <f>IFERROR($N1837/$N1838-1,"")</f>
        <v/>
      </c>
      <c r="DO1837" s="65">
        <f>IFERROR($M1837/$M1838-1,"")</f>
        <v/>
      </c>
      <c r="DP1837" s="65">
        <f>IFERROR($AZ1837/$AZ1838-1,"")</f>
        <v/>
      </c>
      <c r="DQ1837" s="65">
        <f>IFERROR($BA1837/$BA1838-1,"")</f>
        <v/>
      </c>
      <c r="DR1837" s="64">
        <f>$O1837-$O1838</f>
        <v/>
      </c>
      <c r="DS1837" s="64">
        <f>$P1837-$P1838</f>
        <v/>
      </c>
      <c r="DT1837" s="64">
        <f>$Q1837-$Q1838</f>
        <v/>
      </c>
      <c r="DU1837" s="64">
        <f>$S1837-$S1838</f>
        <v/>
      </c>
      <c r="DV1837" s="65">
        <f>IFERROR(AVERAGE($AA1838/$AA1837-1,$AB1838/$AB1837-1,$AC1838/$AC1837-1,$AD1838/$AD1837-1,$AE1838/$AE1837-1,$AG1838/$AG1837-1,$AH1838/$AH1837-1,$AI1838/$AI1837-1,$AJ1838/$AJ1837-1,$AL1838/$AL1837-1,$AM1838/$AM1837-1,$AR1838/$AR1837-1,$AS1838/$AS1837-1,$AT1838/$AT1837-1,$AU1838/$AU1837-1,$AV1838/$AV1837-1,$AW1838/$AW1837-1,$AX1838/$AX1837-1,$AY1838/$AY1837-1),"")</f>
        <v/>
      </c>
      <c r="DW1837" s="66">
        <f>AVERAGE($CB1837,$CC1837,$CD1837,$CE1837,$CF1837,$CG1837,$CH1837,$CI1837,$CJ1837,$CL1837,$CM1837,$CN1837,$CO1837,$CP1837,$CQ1837,$CR1837,$CS1837,$CT1837)</f>
        <v/>
      </c>
      <c r="DX1837" s="66">
        <f>AVERAGE($CB1837,$CC1837,$CM1837,$CE1837,$CP1837)</f>
        <v/>
      </c>
      <c r="DY1837" s="64">
        <f>($DW1837-$DW1838)*100</f>
        <v/>
      </c>
      <c r="DZ1837" s="64">
        <f>($DX1837-$DX1838)*100</f>
        <v/>
      </c>
      <c r="EA1837" s="64">
        <f>($DW1837-$D1837)*100</f>
        <v/>
      </c>
      <c r="EB1837" s="64">
        <f>$Q1837-$O1837</f>
        <v/>
      </c>
      <c r="EC1837" s="67">
        <f>IFERROR($Q1837/$P1837,"")</f>
        <v/>
      </c>
    </row>
    <row r="1838">
      <c r="DG1838" s="64">
        <f>($B1838-$B1839)*100</f>
        <v/>
      </c>
      <c r="DH1838" s="64">
        <f>($D1838-$D1839)*100</f>
        <v/>
      </c>
      <c r="DI1838" s="64">
        <f>($E1838-$E1839)*100</f>
        <v/>
      </c>
      <c r="DJ1838" s="64">
        <f>($H1838-$H1839)*100</f>
        <v/>
      </c>
      <c r="DK1838" s="65">
        <f>IFERROR($J1838/$J1839-1,"")</f>
        <v/>
      </c>
      <c r="DL1838" s="64">
        <f>$L1838-$L1839</f>
        <v/>
      </c>
      <c r="DM1838" s="64">
        <f>$K1838-$K1839</f>
        <v/>
      </c>
      <c r="DN1838" s="65">
        <f>IFERROR($N1838/$N1839-1,"")</f>
        <v/>
      </c>
      <c r="DO1838" s="65">
        <f>IFERROR($M1838/$M1839-1,"")</f>
        <v/>
      </c>
      <c r="DP1838" s="65">
        <f>IFERROR($AZ1838/$AZ1839-1,"")</f>
        <v/>
      </c>
      <c r="DQ1838" s="65">
        <f>IFERROR($BA1838/$BA1839-1,"")</f>
        <v/>
      </c>
      <c r="DR1838" s="64">
        <f>$O1838-$O1839</f>
        <v/>
      </c>
      <c r="DS1838" s="64">
        <f>$P1838-$P1839</f>
        <v/>
      </c>
      <c r="DT1838" s="64">
        <f>$Q1838-$Q1839</f>
        <v/>
      </c>
      <c r="DU1838" s="64">
        <f>$S1838-$S1839</f>
        <v/>
      </c>
      <c r="DV1838" s="65">
        <f>IFERROR(AVERAGE($AA1839/$AA1838-1,$AB1839/$AB1838-1,$AC1839/$AC1838-1,$AD1839/$AD1838-1,$AE1839/$AE1838-1,$AG1839/$AG1838-1,$AH1839/$AH1838-1,$AI1839/$AI1838-1,$AJ1839/$AJ1838-1,$AL1839/$AL1838-1,$AM1839/$AM1838-1,$AR1839/$AR1838-1,$AS1839/$AS1838-1,$AT1839/$AT1838-1,$AU1839/$AU1838-1,$AV1839/$AV1838-1,$AW1839/$AW1838-1,$AX1839/$AX1838-1,$AY1839/$AY1838-1),"")</f>
        <v/>
      </c>
      <c r="DW1838" s="66">
        <f>AVERAGE($CB1838,$CC1838,$CD1838,$CE1838,$CF1838,$CG1838,$CH1838,$CI1838,$CJ1838,$CL1838,$CM1838,$CN1838,$CO1838,$CP1838,$CQ1838,$CR1838,$CS1838,$CT1838)</f>
        <v/>
      </c>
      <c r="DX1838" s="66">
        <f>AVERAGE($CB1838,$CC1838,$CM1838,$CE1838,$CP1838)</f>
        <v/>
      </c>
      <c r="DY1838" s="64">
        <f>($DW1838-$DW1839)*100</f>
        <v/>
      </c>
      <c r="DZ1838" s="64">
        <f>($DX1838-$DX1839)*100</f>
        <v/>
      </c>
      <c r="EA1838" s="64">
        <f>($DW1838-$D1838)*100</f>
        <v/>
      </c>
      <c r="EB1838" s="64">
        <f>$Q1838-$O1838</f>
        <v/>
      </c>
      <c r="EC1838" s="67">
        <f>IFERROR($Q1838/$P1838,"")</f>
        <v/>
      </c>
    </row>
    <row r="1839">
      <c r="DG1839" s="64">
        <f>($B1839-$B1840)*100</f>
        <v/>
      </c>
      <c r="DH1839" s="64">
        <f>($D1839-$D1840)*100</f>
        <v/>
      </c>
      <c r="DI1839" s="64">
        <f>($E1839-$E1840)*100</f>
        <v/>
      </c>
      <c r="DJ1839" s="64">
        <f>($H1839-$H1840)*100</f>
        <v/>
      </c>
      <c r="DK1839" s="65">
        <f>IFERROR($J1839/$J1840-1,"")</f>
        <v/>
      </c>
      <c r="DL1839" s="64">
        <f>$L1839-$L1840</f>
        <v/>
      </c>
      <c r="DM1839" s="64">
        <f>$K1839-$K1840</f>
        <v/>
      </c>
      <c r="DN1839" s="65">
        <f>IFERROR($N1839/$N1840-1,"")</f>
        <v/>
      </c>
      <c r="DO1839" s="65">
        <f>IFERROR($M1839/$M1840-1,"")</f>
        <v/>
      </c>
      <c r="DP1839" s="65">
        <f>IFERROR($AZ1839/$AZ1840-1,"")</f>
        <v/>
      </c>
      <c r="DQ1839" s="65">
        <f>IFERROR($BA1839/$BA1840-1,"")</f>
        <v/>
      </c>
      <c r="DR1839" s="64">
        <f>$O1839-$O1840</f>
        <v/>
      </c>
      <c r="DS1839" s="64">
        <f>$P1839-$P1840</f>
        <v/>
      </c>
      <c r="DT1839" s="64">
        <f>$Q1839-$Q1840</f>
        <v/>
      </c>
      <c r="DU1839" s="64">
        <f>$S1839-$S1840</f>
        <v/>
      </c>
      <c r="DV1839" s="65">
        <f>IFERROR(AVERAGE($AA1840/$AA1839-1,$AB1840/$AB1839-1,$AC1840/$AC1839-1,$AD1840/$AD1839-1,$AE1840/$AE1839-1,$AG1840/$AG1839-1,$AH1840/$AH1839-1,$AI1840/$AI1839-1,$AJ1840/$AJ1839-1,$AL1840/$AL1839-1,$AM1840/$AM1839-1,$AR1840/$AR1839-1,$AS1840/$AS1839-1,$AT1840/$AT1839-1,$AU1840/$AU1839-1,$AV1840/$AV1839-1,$AW1840/$AW1839-1,$AX1840/$AX1839-1,$AY1840/$AY1839-1),"")</f>
        <v/>
      </c>
      <c r="DW1839" s="66">
        <f>AVERAGE($CB1839,$CC1839,$CD1839,$CE1839,$CF1839,$CG1839,$CH1839,$CI1839,$CJ1839,$CL1839,$CM1839,$CN1839,$CO1839,$CP1839,$CQ1839,$CR1839,$CS1839,$CT1839)</f>
        <v/>
      </c>
      <c r="DX1839" s="66">
        <f>AVERAGE($CB1839,$CC1839,$CM1839,$CE1839,$CP1839)</f>
        <v/>
      </c>
      <c r="DY1839" s="64">
        <f>($DW1839-$DW1840)*100</f>
        <v/>
      </c>
      <c r="DZ1839" s="64">
        <f>($DX1839-$DX1840)*100</f>
        <v/>
      </c>
      <c r="EA1839" s="64">
        <f>($DW1839-$D1839)*100</f>
        <v/>
      </c>
      <c r="EB1839" s="64">
        <f>$Q1839-$O1839</f>
        <v/>
      </c>
      <c r="EC1839" s="67">
        <f>IFERROR($Q1839/$P1839,"")</f>
        <v/>
      </c>
    </row>
    <row r="1840">
      <c r="DG1840" s="64">
        <f>($B1840-$B1841)*100</f>
        <v/>
      </c>
      <c r="DH1840" s="64">
        <f>($D1840-$D1841)*100</f>
        <v/>
      </c>
      <c r="DI1840" s="64">
        <f>($E1840-$E1841)*100</f>
        <v/>
      </c>
      <c r="DJ1840" s="64">
        <f>($H1840-$H1841)*100</f>
        <v/>
      </c>
      <c r="DK1840" s="65">
        <f>IFERROR($J1840/$J1841-1,"")</f>
        <v/>
      </c>
      <c r="DL1840" s="64">
        <f>$L1840-$L1841</f>
        <v/>
      </c>
      <c r="DM1840" s="64">
        <f>$K1840-$K1841</f>
        <v/>
      </c>
      <c r="DN1840" s="65">
        <f>IFERROR($N1840/$N1841-1,"")</f>
        <v/>
      </c>
      <c r="DO1840" s="65">
        <f>IFERROR($M1840/$M1841-1,"")</f>
        <v/>
      </c>
      <c r="DP1840" s="65">
        <f>IFERROR($AZ1840/$AZ1841-1,"")</f>
        <v/>
      </c>
      <c r="DQ1840" s="65">
        <f>IFERROR($BA1840/$BA1841-1,"")</f>
        <v/>
      </c>
      <c r="DR1840" s="64">
        <f>$O1840-$O1841</f>
        <v/>
      </c>
      <c r="DS1840" s="64">
        <f>$P1840-$P1841</f>
        <v/>
      </c>
      <c r="DT1840" s="64">
        <f>$Q1840-$Q1841</f>
        <v/>
      </c>
      <c r="DU1840" s="64">
        <f>$S1840-$S1841</f>
        <v/>
      </c>
      <c r="DV1840" s="65">
        <f>IFERROR(AVERAGE($AA1841/$AA1840-1,$AB1841/$AB1840-1,$AC1841/$AC1840-1,$AD1841/$AD1840-1,$AE1841/$AE1840-1,$AG1841/$AG1840-1,$AH1841/$AH1840-1,$AI1841/$AI1840-1,$AJ1841/$AJ1840-1,$AL1841/$AL1840-1,$AM1841/$AM1840-1,$AR1841/$AR1840-1,$AS1841/$AS1840-1,$AT1841/$AT1840-1,$AU1841/$AU1840-1,$AV1841/$AV1840-1,$AW1841/$AW1840-1,$AX1841/$AX1840-1,$AY1841/$AY1840-1),"")</f>
        <v/>
      </c>
      <c r="DW1840" s="66">
        <f>AVERAGE($CB1840,$CC1840,$CD1840,$CE1840,$CF1840,$CG1840,$CH1840,$CI1840,$CJ1840,$CL1840,$CM1840,$CN1840,$CO1840,$CP1840,$CQ1840,$CR1840,$CS1840,$CT1840)</f>
        <v/>
      </c>
      <c r="DX1840" s="66">
        <f>AVERAGE($CB1840,$CC1840,$CM1840,$CE1840,$CP1840)</f>
        <v/>
      </c>
      <c r="DY1840" s="64">
        <f>($DW1840-$DW1841)*100</f>
        <v/>
      </c>
      <c r="DZ1840" s="64">
        <f>($DX1840-$DX1841)*100</f>
        <v/>
      </c>
      <c r="EA1840" s="64">
        <f>($DW1840-$D1840)*100</f>
        <v/>
      </c>
      <c r="EB1840" s="64">
        <f>$Q1840-$O1840</f>
        <v/>
      </c>
      <c r="EC1840" s="67">
        <f>IFERROR($Q1840/$P1840,"")</f>
        <v/>
      </c>
    </row>
    <row r="1841">
      <c r="DG1841" s="64">
        <f>($B1841-$B1842)*100</f>
        <v/>
      </c>
      <c r="DH1841" s="64">
        <f>($D1841-$D1842)*100</f>
        <v/>
      </c>
      <c r="DI1841" s="64">
        <f>($E1841-$E1842)*100</f>
        <v/>
      </c>
      <c r="DJ1841" s="64">
        <f>($H1841-$H1842)*100</f>
        <v/>
      </c>
      <c r="DK1841" s="65">
        <f>IFERROR($J1841/$J1842-1,"")</f>
        <v/>
      </c>
      <c r="DL1841" s="64">
        <f>$L1841-$L1842</f>
        <v/>
      </c>
      <c r="DM1841" s="64">
        <f>$K1841-$K1842</f>
        <v/>
      </c>
      <c r="DN1841" s="65">
        <f>IFERROR($N1841/$N1842-1,"")</f>
        <v/>
      </c>
      <c r="DO1841" s="65">
        <f>IFERROR($M1841/$M1842-1,"")</f>
        <v/>
      </c>
      <c r="DP1841" s="65">
        <f>IFERROR($AZ1841/$AZ1842-1,"")</f>
        <v/>
      </c>
      <c r="DQ1841" s="65">
        <f>IFERROR($BA1841/$BA1842-1,"")</f>
        <v/>
      </c>
      <c r="DR1841" s="64">
        <f>$O1841-$O1842</f>
        <v/>
      </c>
      <c r="DS1841" s="64">
        <f>$P1841-$P1842</f>
        <v/>
      </c>
      <c r="DT1841" s="64">
        <f>$Q1841-$Q1842</f>
        <v/>
      </c>
      <c r="DU1841" s="64">
        <f>$S1841-$S1842</f>
        <v/>
      </c>
      <c r="DV1841" s="65">
        <f>IFERROR(AVERAGE($AA1842/$AA1841-1,$AB1842/$AB1841-1,$AC1842/$AC1841-1,$AD1842/$AD1841-1,$AE1842/$AE1841-1,$AG1842/$AG1841-1,$AH1842/$AH1841-1,$AI1842/$AI1841-1,$AJ1842/$AJ1841-1,$AL1842/$AL1841-1,$AM1842/$AM1841-1,$AR1842/$AR1841-1,$AS1842/$AS1841-1,$AT1842/$AT1841-1,$AU1842/$AU1841-1,$AV1842/$AV1841-1,$AW1842/$AW1841-1,$AX1842/$AX1841-1,$AY1842/$AY1841-1),"")</f>
        <v/>
      </c>
      <c r="DW1841" s="66">
        <f>AVERAGE($CB1841,$CC1841,$CD1841,$CE1841,$CF1841,$CG1841,$CH1841,$CI1841,$CJ1841,$CL1841,$CM1841,$CN1841,$CO1841,$CP1841,$CQ1841,$CR1841,$CS1841,$CT1841)</f>
        <v/>
      </c>
      <c r="DX1841" s="66">
        <f>AVERAGE($CB1841,$CC1841,$CM1841,$CE1841,$CP1841)</f>
        <v/>
      </c>
      <c r="DY1841" s="64">
        <f>($DW1841-$DW1842)*100</f>
        <v/>
      </c>
      <c r="DZ1841" s="64">
        <f>($DX1841-$DX1842)*100</f>
        <v/>
      </c>
      <c r="EA1841" s="64">
        <f>($DW1841-$D1841)*100</f>
        <v/>
      </c>
      <c r="EB1841" s="64">
        <f>$Q1841-$O1841</f>
        <v/>
      </c>
      <c r="EC1841" s="67">
        <f>IFERROR($Q1841/$P1841,"")</f>
        <v/>
      </c>
    </row>
    <row r="1842">
      <c r="DG1842" s="64">
        <f>($B1842-$B1843)*100</f>
        <v/>
      </c>
      <c r="DH1842" s="64">
        <f>($D1842-$D1843)*100</f>
        <v/>
      </c>
      <c r="DI1842" s="64">
        <f>($E1842-$E1843)*100</f>
        <v/>
      </c>
      <c r="DJ1842" s="64">
        <f>($H1842-$H1843)*100</f>
        <v/>
      </c>
      <c r="DK1842" s="65">
        <f>IFERROR($J1842/$J1843-1,"")</f>
        <v/>
      </c>
      <c r="DL1842" s="64">
        <f>$L1842-$L1843</f>
        <v/>
      </c>
      <c r="DM1842" s="64">
        <f>$K1842-$K1843</f>
        <v/>
      </c>
      <c r="DN1842" s="65">
        <f>IFERROR($N1842/$N1843-1,"")</f>
        <v/>
      </c>
      <c r="DO1842" s="65">
        <f>IFERROR($M1842/$M1843-1,"")</f>
        <v/>
      </c>
      <c r="DP1842" s="65">
        <f>IFERROR($AZ1842/$AZ1843-1,"")</f>
        <v/>
      </c>
      <c r="DQ1842" s="65">
        <f>IFERROR($BA1842/$BA1843-1,"")</f>
        <v/>
      </c>
      <c r="DR1842" s="64">
        <f>$O1842-$O1843</f>
        <v/>
      </c>
      <c r="DS1842" s="64">
        <f>$P1842-$P1843</f>
        <v/>
      </c>
      <c r="DT1842" s="64">
        <f>$Q1842-$Q1843</f>
        <v/>
      </c>
      <c r="DU1842" s="64">
        <f>$S1842-$S1843</f>
        <v/>
      </c>
      <c r="DV1842" s="65">
        <f>IFERROR(AVERAGE($AA1843/$AA1842-1,$AB1843/$AB1842-1,$AC1843/$AC1842-1,$AD1843/$AD1842-1,$AE1843/$AE1842-1,$AG1843/$AG1842-1,$AH1843/$AH1842-1,$AI1843/$AI1842-1,$AJ1843/$AJ1842-1,$AL1843/$AL1842-1,$AM1843/$AM1842-1,$AR1843/$AR1842-1,$AS1843/$AS1842-1,$AT1843/$AT1842-1,$AU1843/$AU1842-1,$AV1843/$AV1842-1,$AW1843/$AW1842-1,$AX1843/$AX1842-1,$AY1843/$AY1842-1),"")</f>
        <v/>
      </c>
      <c r="DW1842" s="66">
        <f>AVERAGE($CB1842,$CC1842,$CD1842,$CE1842,$CF1842,$CG1842,$CH1842,$CI1842,$CJ1842,$CL1842,$CM1842,$CN1842,$CO1842,$CP1842,$CQ1842,$CR1842,$CS1842,$CT1842)</f>
        <v/>
      </c>
      <c r="DX1842" s="66">
        <f>AVERAGE($CB1842,$CC1842,$CM1842,$CE1842,$CP1842)</f>
        <v/>
      </c>
      <c r="DY1842" s="64">
        <f>($DW1842-$DW1843)*100</f>
        <v/>
      </c>
      <c r="DZ1842" s="64">
        <f>($DX1842-$DX1843)*100</f>
        <v/>
      </c>
      <c r="EA1842" s="64">
        <f>($DW1842-$D1842)*100</f>
        <v/>
      </c>
      <c r="EB1842" s="64">
        <f>$Q1842-$O1842</f>
        <v/>
      </c>
      <c r="EC1842" s="67">
        <f>IFERROR($Q1842/$P1842,"")</f>
        <v/>
      </c>
    </row>
    <row r="1843">
      <c r="DG1843" s="64">
        <f>($B1843-$B1844)*100</f>
        <v/>
      </c>
      <c r="DH1843" s="64">
        <f>($D1843-$D1844)*100</f>
        <v/>
      </c>
      <c r="DI1843" s="64">
        <f>($E1843-$E1844)*100</f>
        <v/>
      </c>
      <c r="DJ1843" s="64">
        <f>($H1843-$H1844)*100</f>
        <v/>
      </c>
      <c r="DK1843" s="65">
        <f>IFERROR($J1843/$J1844-1,"")</f>
        <v/>
      </c>
      <c r="DL1843" s="64">
        <f>$L1843-$L1844</f>
        <v/>
      </c>
      <c r="DM1843" s="64">
        <f>$K1843-$K1844</f>
        <v/>
      </c>
      <c r="DN1843" s="65">
        <f>IFERROR($N1843/$N1844-1,"")</f>
        <v/>
      </c>
      <c r="DO1843" s="65">
        <f>IFERROR($M1843/$M1844-1,"")</f>
        <v/>
      </c>
      <c r="DP1843" s="65">
        <f>IFERROR($AZ1843/$AZ1844-1,"")</f>
        <v/>
      </c>
      <c r="DQ1843" s="65">
        <f>IFERROR($BA1843/$BA1844-1,"")</f>
        <v/>
      </c>
      <c r="DR1843" s="64">
        <f>$O1843-$O1844</f>
        <v/>
      </c>
      <c r="DS1843" s="64">
        <f>$P1843-$P1844</f>
        <v/>
      </c>
      <c r="DT1843" s="64">
        <f>$Q1843-$Q1844</f>
        <v/>
      </c>
      <c r="DU1843" s="64">
        <f>$S1843-$S1844</f>
        <v/>
      </c>
      <c r="DV1843" s="65">
        <f>IFERROR(AVERAGE($AA1844/$AA1843-1,$AB1844/$AB1843-1,$AC1844/$AC1843-1,$AD1844/$AD1843-1,$AE1844/$AE1843-1,$AG1844/$AG1843-1,$AH1844/$AH1843-1,$AI1844/$AI1843-1,$AJ1844/$AJ1843-1,$AL1844/$AL1843-1,$AM1844/$AM1843-1,$AR1844/$AR1843-1,$AS1844/$AS1843-1,$AT1844/$AT1843-1,$AU1844/$AU1843-1,$AV1844/$AV1843-1,$AW1844/$AW1843-1,$AX1844/$AX1843-1,$AY1844/$AY1843-1),"")</f>
        <v/>
      </c>
      <c r="DW1843" s="66">
        <f>AVERAGE($CB1843,$CC1843,$CD1843,$CE1843,$CF1843,$CG1843,$CH1843,$CI1843,$CJ1843,$CL1843,$CM1843,$CN1843,$CO1843,$CP1843,$CQ1843,$CR1843,$CS1843,$CT1843)</f>
        <v/>
      </c>
      <c r="DX1843" s="66">
        <f>AVERAGE($CB1843,$CC1843,$CM1843,$CE1843,$CP1843)</f>
        <v/>
      </c>
      <c r="DY1843" s="64">
        <f>($DW1843-$DW1844)*100</f>
        <v/>
      </c>
      <c r="DZ1843" s="64">
        <f>($DX1843-$DX1844)*100</f>
        <v/>
      </c>
      <c r="EA1843" s="64">
        <f>($DW1843-$D1843)*100</f>
        <v/>
      </c>
      <c r="EB1843" s="64">
        <f>$Q1843-$O1843</f>
        <v/>
      </c>
      <c r="EC1843" s="67">
        <f>IFERROR($Q1843/$P1843,"")</f>
        <v/>
      </c>
    </row>
    <row r="1844">
      <c r="DG1844" s="64">
        <f>($B1844-$B1845)*100</f>
        <v/>
      </c>
      <c r="DH1844" s="64">
        <f>($D1844-$D1845)*100</f>
        <v/>
      </c>
      <c r="DI1844" s="64">
        <f>($E1844-$E1845)*100</f>
        <v/>
      </c>
      <c r="DJ1844" s="64">
        <f>($H1844-$H1845)*100</f>
        <v/>
      </c>
      <c r="DK1844" s="65">
        <f>IFERROR($J1844/$J1845-1,"")</f>
        <v/>
      </c>
      <c r="DL1844" s="64">
        <f>$L1844-$L1845</f>
        <v/>
      </c>
      <c r="DM1844" s="64">
        <f>$K1844-$K1845</f>
        <v/>
      </c>
      <c r="DN1844" s="65">
        <f>IFERROR($N1844/$N1845-1,"")</f>
        <v/>
      </c>
      <c r="DO1844" s="65">
        <f>IFERROR($M1844/$M1845-1,"")</f>
        <v/>
      </c>
      <c r="DP1844" s="65">
        <f>IFERROR($AZ1844/$AZ1845-1,"")</f>
        <v/>
      </c>
      <c r="DQ1844" s="65">
        <f>IFERROR($BA1844/$BA1845-1,"")</f>
        <v/>
      </c>
      <c r="DR1844" s="64">
        <f>$O1844-$O1845</f>
        <v/>
      </c>
      <c r="DS1844" s="64">
        <f>$P1844-$P1845</f>
        <v/>
      </c>
      <c r="DT1844" s="64">
        <f>$Q1844-$Q1845</f>
        <v/>
      </c>
      <c r="DU1844" s="64">
        <f>$S1844-$S1845</f>
        <v/>
      </c>
      <c r="DV1844" s="65">
        <f>IFERROR(AVERAGE($AA1845/$AA1844-1,$AB1845/$AB1844-1,$AC1845/$AC1844-1,$AD1845/$AD1844-1,$AE1845/$AE1844-1,$AG1845/$AG1844-1,$AH1845/$AH1844-1,$AI1845/$AI1844-1,$AJ1845/$AJ1844-1,$AL1845/$AL1844-1,$AM1845/$AM1844-1,$AR1845/$AR1844-1,$AS1845/$AS1844-1,$AT1845/$AT1844-1,$AU1845/$AU1844-1,$AV1845/$AV1844-1,$AW1845/$AW1844-1,$AX1845/$AX1844-1,$AY1845/$AY1844-1),"")</f>
        <v/>
      </c>
      <c r="DW1844" s="66">
        <f>AVERAGE($CB1844,$CC1844,$CD1844,$CE1844,$CF1844,$CG1844,$CH1844,$CI1844,$CJ1844,$CL1844,$CM1844,$CN1844,$CO1844,$CP1844,$CQ1844,$CR1844,$CS1844,$CT1844)</f>
        <v/>
      </c>
      <c r="DX1844" s="66">
        <f>AVERAGE($CB1844,$CC1844,$CM1844,$CE1844,$CP1844)</f>
        <v/>
      </c>
      <c r="DY1844" s="64">
        <f>($DW1844-$DW1845)*100</f>
        <v/>
      </c>
      <c r="DZ1844" s="64">
        <f>($DX1844-$DX1845)*100</f>
        <v/>
      </c>
      <c r="EA1844" s="64">
        <f>($DW1844-$D1844)*100</f>
        <v/>
      </c>
      <c r="EB1844" s="64">
        <f>$Q1844-$O1844</f>
        <v/>
      </c>
      <c r="EC1844" s="67">
        <f>IFERROR($Q1844/$P1844,"")</f>
        <v/>
      </c>
    </row>
    <row r="1845">
      <c r="DG1845" s="64">
        <f>($B1845-$B1846)*100</f>
        <v/>
      </c>
      <c r="DH1845" s="64">
        <f>($D1845-$D1846)*100</f>
        <v/>
      </c>
      <c r="DI1845" s="64">
        <f>($E1845-$E1846)*100</f>
        <v/>
      </c>
      <c r="DJ1845" s="64">
        <f>($H1845-$H1846)*100</f>
        <v/>
      </c>
      <c r="DK1845" s="65">
        <f>IFERROR($J1845/$J1846-1,"")</f>
        <v/>
      </c>
      <c r="DL1845" s="64">
        <f>$L1845-$L1846</f>
        <v/>
      </c>
      <c r="DM1845" s="64">
        <f>$K1845-$K1846</f>
        <v/>
      </c>
      <c r="DN1845" s="65">
        <f>IFERROR($N1845/$N1846-1,"")</f>
        <v/>
      </c>
      <c r="DO1845" s="65">
        <f>IFERROR($M1845/$M1846-1,"")</f>
        <v/>
      </c>
      <c r="DP1845" s="65">
        <f>IFERROR($AZ1845/$AZ1846-1,"")</f>
        <v/>
      </c>
      <c r="DQ1845" s="65">
        <f>IFERROR($BA1845/$BA1846-1,"")</f>
        <v/>
      </c>
      <c r="DR1845" s="64">
        <f>$O1845-$O1846</f>
        <v/>
      </c>
      <c r="DS1845" s="64">
        <f>$P1845-$P1846</f>
        <v/>
      </c>
      <c r="DT1845" s="64">
        <f>$Q1845-$Q1846</f>
        <v/>
      </c>
      <c r="DU1845" s="64">
        <f>$S1845-$S1846</f>
        <v/>
      </c>
      <c r="DV1845" s="65">
        <f>IFERROR(AVERAGE($AA1846/$AA1845-1,$AB1846/$AB1845-1,$AC1846/$AC1845-1,$AD1846/$AD1845-1,$AE1846/$AE1845-1,$AG1846/$AG1845-1,$AH1846/$AH1845-1,$AI1846/$AI1845-1,$AJ1846/$AJ1845-1,$AL1846/$AL1845-1,$AM1846/$AM1845-1,$AR1846/$AR1845-1,$AS1846/$AS1845-1,$AT1846/$AT1845-1,$AU1846/$AU1845-1,$AV1846/$AV1845-1,$AW1846/$AW1845-1,$AX1846/$AX1845-1,$AY1846/$AY1845-1),"")</f>
        <v/>
      </c>
      <c r="DW1845" s="66">
        <f>AVERAGE($CB1845,$CC1845,$CD1845,$CE1845,$CF1845,$CG1845,$CH1845,$CI1845,$CJ1845,$CL1845,$CM1845,$CN1845,$CO1845,$CP1845,$CQ1845,$CR1845,$CS1845,$CT1845)</f>
        <v/>
      </c>
      <c r="DX1845" s="66">
        <f>AVERAGE($CB1845,$CC1845,$CM1845,$CE1845,$CP1845)</f>
        <v/>
      </c>
      <c r="DY1845" s="64">
        <f>($DW1845-$DW1846)*100</f>
        <v/>
      </c>
      <c r="DZ1845" s="64">
        <f>($DX1845-$DX1846)*100</f>
        <v/>
      </c>
      <c r="EA1845" s="64">
        <f>($DW1845-$D1845)*100</f>
        <v/>
      </c>
      <c r="EB1845" s="64">
        <f>$Q1845-$O1845</f>
        <v/>
      </c>
      <c r="EC1845" s="67">
        <f>IFERROR($Q1845/$P1845,"")</f>
        <v/>
      </c>
    </row>
    <row r="1846">
      <c r="DG1846" s="64">
        <f>($B1846-$B1847)*100</f>
        <v/>
      </c>
      <c r="DH1846" s="64">
        <f>($D1846-$D1847)*100</f>
        <v/>
      </c>
      <c r="DI1846" s="64">
        <f>($E1846-$E1847)*100</f>
        <v/>
      </c>
      <c r="DJ1846" s="64">
        <f>($H1846-$H1847)*100</f>
        <v/>
      </c>
      <c r="DK1846" s="65">
        <f>IFERROR($J1846/$J1847-1,"")</f>
        <v/>
      </c>
      <c r="DL1846" s="64">
        <f>$L1846-$L1847</f>
        <v/>
      </c>
      <c r="DM1846" s="64">
        <f>$K1846-$K1847</f>
        <v/>
      </c>
      <c r="DN1846" s="65">
        <f>IFERROR($N1846/$N1847-1,"")</f>
        <v/>
      </c>
      <c r="DO1846" s="65">
        <f>IFERROR($M1846/$M1847-1,"")</f>
        <v/>
      </c>
      <c r="DP1846" s="65">
        <f>IFERROR($AZ1846/$AZ1847-1,"")</f>
        <v/>
      </c>
      <c r="DQ1846" s="65">
        <f>IFERROR($BA1846/$BA1847-1,"")</f>
        <v/>
      </c>
      <c r="DR1846" s="64">
        <f>$O1846-$O1847</f>
        <v/>
      </c>
      <c r="DS1846" s="64">
        <f>$P1846-$P1847</f>
        <v/>
      </c>
      <c r="DT1846" s="64">
        <f>$Q1846-$Q1847</f>
        <v/>
      </c>
      <c r="DU1846" s="64">
        <f>$S1846-$S1847</f>
        <v/>
      </c>
      <c r="DV1846" s="65">
        <f>IFERROR(AVERAGE($AA1847/$AA1846-1,$AB1847/$AB1846-1,$AC1847/$AC1846-1,$AD1847/$AD1846-1,$AE1847/$AE1846-1,$AG1847/$AG1846-1,$AH1847/$AH1846-1,$AI1847/$AI1846-1,$AJ1847/$AJ1846-1,$AL1847/$AL1846-1,$AM1847/$AM1846-1,$AR1847/$AR1846-1,$AS1847/$AS1846-1,$AT1847/$AT1846-1,$AU1847/$AU1846-1,$AV1847/$AV1846-1,$AW1847/$AW1846-1,$AX1847/$AX1846-1,$AY1847/$AY1846-1),"")</f>
        <v/>
      </c>
      <c r="DW1846" s="66">
        <f>AVERAGE($CB1846,$CC1846,$CD1846,$CE1846,$CF1846,$CG1846,$CH1846,$CI1846,$CJ1846,$CL1846,$CM1846,$CN1846,$CO1846,$CP1846,$CQ1846,$CR1846,$CS1846,$CT1846)</f>
        <v/>
      </c>
      <c r="DX1846" s="66">
        <f>AVERAGE($CB1846,$CC1846,$CM1846,$CE1846,$CP1846)</f>
        <v/>
      </c>
      <c r="DY1846" s="64">
        <f>($DW1846-$DW1847)*100</f>
        <v/>
      </c>
      <c r="DZ1846" s="64">
        <f>($DX1846-$DX1847)*100</f>
        <v/>
      </c>
      <c r="EA1846" s="64">
        <f>($DW1846-$D1846)*100</f>
        <v/>
      </c>
      <c r="EB1846" s="64">
        <f>$Q1846-$O1846</f>
        <v/>
      </c>
      <c r="EC1846" s="67">
        <f>IFERROR($Q1846/$P1846,"")</f>
        <v/>
      </c>
    </row>
    <row r="1847">
      <c r="DG1847" s="64">
        <f>($B1847-$B1848)*100</f>
        <v/>
      </c>
      <c r="DH1847" s="64">
        <f>($D1847-$D1848)*100</f>
        <v/>
      </c>
      <c r="DI1847" s="64">
        <f>($E1847-$E1848)*100</f>
        <v/>
      </c>
      <c r="DJ1847" s="64">
        <f>($H1847-$H1848)*100</f>
        <v/>
      </c>
      <c r="DK1847" s="65">
        <f>IFERROR($J1847/$J1848-1,"")</f>
        <v/>
      </c>
      <c r="DL1847" s="64">
        <f>$L1847-$L1848</f>
        <v/>
      </c>
      <c r="DM1847" s="64">
        <f>$K1847-$K1848</f>
        <v/>
      </c>
      <c r="DN1847" s="65">
        <f>IFERROR($N1847/$N1848-1,"")</f>
        <v/>
      </c>
      <c r="DO1847" s="65">
        <f>IFERROR($M1847/$M1848-1,"")</f>
        <v/>
      </c>
      <c r="DP1847" s="65">
        <f>IFERROR($AZ1847/$AZ1848-1,"")</f>
        <v/>
      </c>
      <c r="DQ1847" s="65">
        <f>IFERROR($BA1847/$BA1848-1,"")</f>
        <v/>
      </c>
      <c r="DR1847" s="64">
        <f>$O1847-$O1848</f>
        <v/>
      </c>
      <c r="DS1847" s="64">
        <f>$P1847-$P1848</f>
        <v/>
      </c>
      <c r="DT1847" s="64">
        <f>$Q1847-$Q1848</f>
        <v/>
      </c>
      <c r="DU1847" s="64">
        <f>$S1847-$S1848</f>
        <v/>
      </c>
      <c r="DV1847" s="65">
        <f>IFERROR(AVERAGE($AA1848/$AA1847-1,$AB1848/$AB1847-1,$AC1848/$AC1847-1,$AD1848/$AD1847-1,$AE1848/$AE1847-1,$AG1848/$AG1847-1,$AH1848/$AH1847-1,$AI1848/$AI1847-1,$AJ1848/$AJ1847-1,$AL1848/$AL1847-1,$AM1848/$AM1847-1,$AR1848/$AR1847-1,$AS1848/$AS1847-1,$AT1848/$AT1847-1,$AU1848/$AU1847-1,$AV1848/$AV1847-1,$AW1848/$AW1847-1,$AX1848/$AX1847-1,$AY1848/$AY1847-1),"")</f>
        <v/>
      </c>
      <c r="DW1847" s="66">
        <f>AVERAGE($CB1847,$CC1847,$CD1847,$CE1847,$CF1847,$CG1847,$CH1847,$CI1847,$CJ1847,$CL1847,$CM1847,$CN1847,$CO1847,$CP1847,$CQ1847,$CR1847,$CS1847,$CT1847)</f>
        <v/>
      </c>
      <c r="DX1847" s="66">
        <f>AVERAGE($CB1847,$CC1847,$CM1847,$CE1847,$CP1847)</f>
        <v/>
      </c>
      <c r="DY1847" s="64">
        <f>($DW1847-$DW1848)*100</f>
        <v/>
      </c>
      <c r="DZ1847" s="64">
        <f>($DX1847-$DX1848)*100</f>
        <v/>
      </c>
      <c r="EA1847" s="64">
        <f>($DW1847-$D1847)*100</f>
        <v/>
      </c>
      <c r="EB1847" s="64">
        <f>$Q1847-$O1847</f>
        <v/>
      </c>
      <c r="EC1847" s="67">
        <f>IFERROR($Q1847/$P1847,"")</f>
        <v/>
      </c>
    </row>
    <row r="1848">
      <c r="DG1848" s="64">
        <f>($B1848-$B1849)*100</f>
        <v/>
      </c>
      <c r="DH1848" s="64">
        <f>($D1848-$D1849)*100</f>
        <v/>
      </c>
      <c r="DI1848" s="64">
        <f>($E1848-$E1849)*100</f>
        <v/>
      </c>
      <c r="DJ1848" s="64">
        <f>($H1848-$H1849)*100</f>
        <v/>
      </c>
      <c r="DK1848" s="65">
        <f>IFERROR($J1848/$J1849-1,"")</f>
        <v/>
      </c>
      <c r="DL1848" s="64">
        <f>$L1848-$L1849</f>
        <v/>
      </c>
      <c r="DM1848" s="64">
        <f>$K1848-$K1849</f>
        <v/>
      </c>
      <c r="DN1848" s="65">
        <f>IFERROR($N1848/$N1849-1,"")</f>
        <v/>
      </c>
      <c r="DO1848" s="65">
        <f>IFERROR($M1848/$M1849-1,"")</f>
        <v/>
      </c>
      <c r="DP1848" s="65">
        <f>IFERROR($AZ1848/$AZ1849-1,"")</f>
        <v/>
      </c>
      <c r="DQ1848" s="65">
        <f>IFERROR($BA1848/$BA1849-1,"")</f>
        <v/>
      </c>
      <c r="DR1848" s="64">
        <f>$O1848-$O1849</f>
        <v/>
      </c>
      <c r="DS1848" s="64">
        <f>$P1848-$P1849</f>
        <v/>
      </c>
      <c r="DT1848" s="64">
        <f>$Q1848-$Q1849</f>
        <v/>
      </c>
      <c r="DU1848" s="64">
        <f>$S1848-$S1849</f>
        <v/>
      </c>
      <c r="DV1848" s="65">
        <f>IFERROR(AVERAGE($AA1849/$AA1848-1,$AB1849/$AB1848-1,$AC1849/$AC1848-1,$AD1849/$AD1848-1,$AE1849/$AE1848-1,$AG1849/$AG1848-1,$AH1849/$AH1848-1,$AI1849/$AI1848-1,$AJ1849/$AJ1848-1,$AL1849/$AL1848-1,$AM1849/$AM1848-1,$AR1849/$AR1848-1,$AS1849/$AS1848-1,$AT1849/$AT1848-1,$AU1849/$AU1848-1,$AV1849/$AV1848-1,$AW1849/$AW1848-1,$AX1849/$AX1848-1,$AY1849/$AY1848-1),"")</f>
        <v/>
      </c>
      <c r="DW1848" s="66">
        <f>AVERAGE($CB1848,$CC1848,$CD1848,$CE1848,$CF1848,$CG1848,$CH1848,$CI1848,$CJ1848,$CL1848,$CM1848,$CN1848,$CO1848,$CP1848,$CQ1848,$CR1848,$CS1848,$CT1848)</f>
        <v/>
      </c>
      <c r="DX1848" s="66">
        <f>AVERAGE($CB1848,$CC1848,$CM1848,$CE1848,$CP1848)</f>
        <v/>
      </c>
      <c r="DY1848" s="64">
        <f>($DW1848-$DW1849)*100</f>
        <v/>
      </c>
      <c r="DZ1848" s="64">
        <f>($DX1848-$DX1849)*100</f>
        <v/>
      </c>
      <c r="EA1848" s="64">
        <f>($DW1848-$D1848)*100</f>
        <v/>
      </c>
      <c r="EB1848" s="64">
        <f>$Q1848-$O1848</f>
        <v/>
      </c>
      <c r="EC1848" s="67">
        <f>IFERROR($Q1848/$P1848,"")</f>
        <v/>
      </c>
    </row>
    <row r="1849">
      <c r="DG1849" s="64">
        <f>($B1849-$B1850)*100</f>
        <v/>
      </c>
      <c r="DH1849" s="64">
        <f>($D1849-$D1850)*100</f>
        <v/>
      </c>
      <c r="DI1849" s="64">
        <f>($E1849-$E1850)*100</f>
        <v/>
      </c>
      <c r="DJ1849" s="64">
        <f>($H1849-$H1850)*100</f>
        <v/>
      </c>
      <c r="DK1849" s="65">
        <f>IFERROR($J1849/$J1850-1,"")</f>
        <v/>
      </c>
      <c r="DL1849" s="64">
        <f>$L1849-$L1850</f>
        <v/>
      </c>
      <c r="DM1849" s="64">
        <f>$K1849-$K1850</f>
        <v/>
      </c>
      <c r="DN1849" s="65">
        <f>IFERROR($N1849/$N1850-1,"")</f>
        <v/>
      </c>
      <c r="DO1849" s="65">
        <f>IFERROR($M1849/$M1850-1,"")</f>
        <v/>
      </c>
      <c r="DP1849" s="65">
        <f>IFERROR($AZ1849/$AZ1850-1,"")</f>
        <v/>
      </c>
      <c r="DQ1849" s="65">
        <f>IFERROR($BA1849/$BA1850-1,"")</f>
        <v/>
      </c>
      <c r="DR1849" s="64">
        <f>$O1849-$O1850</f>
        <v/>
      </c>
      <c r="DS1849" s="64">
        <f>$P1849-$P1850</f>
        <v/>
      </c>
      <c r="DT1849" s="64">
        <f>$Q1849-$Q1850</f>
        <v/>
      </c>
      <c r="DU1849" s="64">
        <f>$S1849-$S1850</f>
        <v/>
      </c>
      <c r="DV1849" s="65">
        <f>IFERROR(AVERAGE($AA1850/$AA1849-1,$AB1850/$AB1849-1,$AC1850/$AC1849-1,$AD1850/$AD1849-1,$AE1850/$AE1849-1,$AG1850/$AG1849-1,$AH1850/$AH1849-1,$AI1850/$AI1849-1,$AJ1850/$AJ1849-1,$AL1850/$AL1849-1,$AM1850/$AM1849-1,$AR1850/$AR1849-1,$AS1850/$AS1849-1,$AT1850/$AT1849-1,$AU1850/$AU1849-1,$AV1850/$AV1849-1,$AW1850/$AW1849-1,$AX1850/$AX1849-1,$AY1850/$AY1849-1),"")</f>
        <v/>
      </c>
      <c r="DW1849" s="66">
        <f>AVERAGE($CB1849,$CC1849,$CD1849,$CE1849,$CF1849,$CG1849,$CH1849,$CI1849,$CJ1849,$CL1849,$CM1849,$CN1849,$CO1849,$CP1849,$CQ1849,$CR1849,$CS1849,$CT1849)</f>
        <v/>
      </c>
      <c r="DX1849" s="66">
        <f>AVERAGE($CB1849,$CC1849,$CM1849,$CE1849,$CP1849)</f>
        <v/>
      </c>
      <c r="DY1849" s="64">
        <f>($DW1849-$DW1850)*100</f>
        <v/>
      </c>
      <c r="DZ1849" s="64">
        <f>($DX1849-$DX1850)*100</f>
        <v/>
      </c>
      <c r="EA1849" s="64">
        <f>($DW1849-$D1849)*100</f>
        <v/>
      </c>
      <c r="EB1849" s="64">
        <f>$Q1849-$O1849</f>
        <v/>
      </c>
      <c r="EC1849" s="67">
        <f>IFERROR($Q1849/$P1849,"")</f>
        <v/>
      </c>
    </row>
    <row r="1850">
      <c r="DG1850" s="64">
        <f>($B1850-$B1851)*100</f>
        <v/>
      </c>
      <c r="DH1850" s="64">
        <f>($D1850-$D1851)*100</f>
        <v/>
      </c>
      <c r="DI1850" s="64">
        <f>($E1850-$E1851)*100</f>
        <v/>
      </c>
      <c r="DJ1850" s="64">
        <f>($H1850-$H1851)*100</f>
        <v/>
      </c>
      <c r="DK1850" s="65">
        <f>IFERROR($J1850/$J1851-1,"")</f>
        <v/>
      </c>
      <c r="DL1850" s="64">
        <f>$L1850-$L1851</f>
        <v/>
      </c>
      <c r="DM1850" s="64">
        <f>$K1850-$K1851</f>
        <v/>
      </c>
      <c r="DN1850" s="65">
        <f>IFERROR($N1850/$N1851-1,"")</f>
        <v/>
      </c>
      <c r="DO1850" s="65">
        <f>IFERROR($M1850/$M1851-1,"")</f>
        <v/>
      </c>
      <c r="DP1850" s="65">
        <f>IFERROR($AZ1850/$AZ1851-1,"")</f>
        <v/>
      </c>
      <c r="DQ1850" s="65">
        <f>IFERROR($BA1850/$BA1851-1,"")</f>
        <v/>
      </c>
      <c r="DR1850" s="64">
        <f>$O1850-$O1851</f>
        <v/>
      </c>
      <c r="DS1850" s="64">
        <f>$P1850-$P1851</f>
        <v/>
      </c>
      <c r="DT1850" s="64">
        <f>$Q1850-$Q1851</f>
        <v/>
      </c>
      <c r="DU1850" s="64">
        <f>$S1850-$S1851</f>
        <v/>
      </c>
      <c r="DV1850" s="65">
        <f>IFERROR(AVERAGE($AA1851/$AA1850-1,$AB1851/$AB1850-1,$AC1851/$AC1850-1,$AD1851/$AD1850-1,$AE1851/$AE1850-1,$AG1851/$AG1850-1,$AH1851/$AH1850-1,$AI1851/$AI1850-1,$AJ1851/$AJ1850-1,$AL1851/$AL1850-1,$AM1851/$AM1850-1,$AR1851/$AR1850-1,$AS1851/$AS1850-1,$AT1851/$AT1850-1,$AU1851/$AU1850-1,$AV1851/$AV1850-1,$AW1851/$AW1850-1,$AX1851/$AX1850-1,$AY1851/$AY1850-1),"")</f>
        <v/>
      </c>
      <c r="DW1850" s="66">
        <f>AVERAGE($CB1850,$CC1850,$CD1850,$CE1850,$CF1850,$CG1850,$CH1850,$CI1850,$CJ1850,$CL1850,$CM1850,$CN1850,$CO1850,$CP1850,$CQ1850,$CR1850,$CS1850,$CT1850)</f>
        <v/>
      </c>
      <c r="DX1850" s="66">
        <f>AVERAGE($CB1850,$CC1850,$CM1850,$CE1850,$CP1850)</f>
        <v/>
      </c>
      <c r="DY1850" s="64">
        <f>($DW1850-$DW1851)*100</f>
        <v/>
      </c>
      <c r="DZ1850" s="64">
        <f>($DX1850-$DX1851)*100</f>
        <v/>
      </c>
      <c r="EA1850" s="64">
        <f>($DW1850-$D1850)*100</f>
        <v/>
      </c>
      <c r="EB1850" s="64">
        <f>$Q1850-$O1850</f>
        <v/>
      </c>
      <c r="EC1850" s="67">
        <f>IFERROR($Q1850/$P1850,"")</f>
        <v/>
      </c>
    </row>
    <row r="1851">
      <c r="DG1851" s="64">
        <f>($B1851-$B1852)*100</f>
        <v/>
      </c>
      <c r="DH1851" s="64">
        <f>($D1851-$D1852)*100</f>
        <v/>
      </c>
      <c r="DI1851" s="64">
        <f>($E1851-$E1852)*100</f>
        <v/>
      </c>
      <c r="DJ1851" s="64">
        <f>($H1851-$H1852)*100</f>
        <v/>
      </c>
      <c r="DK1851" s="65">
        <f>IFERROR($J1851/$J1852-1,"")</f>
        <v/>
      </c>
      <c r="DL1851" s="64">
        <f>$L1851-$L1852</f>
        <v/>
      </c>
      <c r="DM1851" s="64">
        <f>$K1851-$K1852</f>
        <v/>
      </c>
      <c r="DN1851" s="65">
        <f>IFERROR($N1851/$N1852-1,"")</f>
        <v/>
      </c>
      <c r="DO1851" s="65">
        <f>IFERROR($M1851/$M1852-1,"")</f>
        <v/>
      </c>
      <c r="DP1851" s="65">
        <f>IFERROR($AZ1851/$AZ1852-1,"")</f>
        <v/>
      </c>
      <c r="DQ1851" s="65">
        <f>IFERROR($BA1851/$BA1852-1,"")</f>
        <v/>
      </c>
      <c r="DR1851" s="64">
        <f>$O1851-$O1852</f>
        <v/>
      </c>
      <c r="DS1851" s="64">
        <f>$P1851-$P1852</f>
        <v/>
      </c>
      <c r="DT1851" s="64">
        <f>$Q1851-$Q1852</f>
        <v/>
      </c>
      <c r="DU1851" s="64">
        <f>$S1851-$S1852</f>
        <v/>
      </c>
      <c r="DV1851" s="65">
        <f>IFERROR(AVERAGE($AA1852/$AA1851-1,$AB1852/$AB1851-1,$AC1852/$AC1851-1,$AD1852/$AD1851-1,$AE1852/$AE1851-1,$AG1852/$AG1851-1,$AH1852/$AH1851-1,$AI1852/$AI1851-1,$AJ1852/$AJ1851-1,$AL1852/$AL1851-1,$AM1852/$AM1851-1,$AR1852/$AR1851-1,$AS1852/$AS1851-1,$AT1852/$AT1851-1,$AU1852/$AU1851-1,$AV1852/$AV1851-1,$AW1852/$AW1851-1,$AX1852/$AX1851-1,$AY1852/$AY1851-1),"")</f>
        <v/>
      </c>
      <c r="DW1851" s="66">
        <f>AVERAGE($CB1851,$CC1851,$CD1851,$CE1851,$CF1851,$CG1851,$CH1851,$CI1851,$CJ1851,$CL1851,$CM1851,$CN1851,$CO1851,$CP1851,$CQ1851,$CR1851,$CS1851,$CT1851)</f>
        <v/>
      </c>
      <c r="DX1851" s="66">
        <f>AVERAGE($CB1851,$CC1851,$CM1851,$CE1851,$CP1851)</f>
        <v/>
      </c>
      <c r="DY1851" s="64">
        <f>($DW1851-$DW1852)*100</f>
        <v/>
      </c>
      <c r="DZ1851" s="64">
        <f>($DX1851-$DX1852)*100</f>
        <v/>
      </c>
      <c r="EA1851" s="64">
        <f>($DW1851-$D1851)*100</f>
        <v/>
      </c>
      <c r="EB1851" s="64">
        <f>$Q1851-$O1851</f>
        <v/>
      </c>
      <c r="EC1851" s="67">
        <f>IFERROR($Q1851/$P1851,"")</f>
        <v/>
      </c>
    </row>
    <row r="1852">
      <c r="DG1852" s="64">
        <f>($B1852-$B1853)*100</f>
        <v/>
      </c>
      <c r="DH1852" s="64">
        <f>($D1852-$D1853)*100</f>
        <v/>
      </c>
      <c r="DI1852" s="64">
        <f>($E1852-$E1853)*100</f>
        <v/>
      </c>
      <c r="DJ1852" s="64">
        <f>($H1852-$H1853)*100</f>
        <v/>
      </c>
      <c r="DK1852" s="65">
        <f>IFERROR($J1852/$J1853-1,"")</f>
        <v/>
      </c>
      <c r="DL1852" s="64">
        <f>$L1852-$L1853</f>
        <v/>
      </c>
      <c r="DM1852" s="64">
        <f>$K1852-$K1853</f>
        <v/>
      </c>
      <c r="DN1852" s="65">
        <f>IFERROR($N1852/$N1853-1,"")</f>
        <v/>
      </c>
      <c r="DO1852" s="65">
        <f>IFERROR($M1852/$M1853-1,"")</f>
        <v/>
      </c>
      <c r="DP1852" s="65">
        <f>IFERROR($AZ1852/$AZ1853-1,"")</f>
        <v/>
      </c>
      <c r="DQ1852" s="65">
        <f>IFERROR($BA1852/$BA1853-1,"")</f>
        <v/>
      </c>
      <c r="DR1852" s="64">
        <f>$O1852-$O1853</f>
        <v/>
      </c>
      <c r="DS1852" s="64">
        <f>$P1852-$P1853</f>
        <v/>
      </c>
      <c r="DT1852" s="64">
        <f>$Q1852-$Q1853</f>
        <v/>
      </c>
      <c r="DU1852" s="64">
        <f>$S1852-$S1853</f>
        <v/>
      </c>
      <c r="DV1852" s="65">
        <f>IFERROR(AVERAGE($AA1853/$AA1852-1,$AB1853/$AB1852-1,$AC1853/$AC1852-1,$AD1853/$AD1852-1,$AE1853/$AE1852-1,$AG1853/$AG1852-1,$AH1853/$AH1852-1,$AI1853/$AI1852-1,$AJ1853/$AJ1852-1,$AL1853/$AL1852-1,$AM1853/$AM1852-1,$AR1853/$AR1852-1,$AS1853/$AS1852-1,$AT1853/$AT1852-1,$AU1853/$AU1852-1,$AV1853/$AV1852-1,$AW1853/$AW1852-1,$AX1853/$AX1852-1,$AY1853/$AY1852-1),"")</f>
        <v/>
      </c>
      <c r="DW1852" s="66">
        <f>AVERAGE($CB1852,$CC1852,$CD1852,$CE1852,$CF1852,$CG1852,$CH1852,$CI1852,$CJ1852,$CL1852,$CM1852,$CN1852,$CO1852,$CP1852,$CQ1852,$CR1852,$CS1852,$CT1852)</f>
        <v/>
      </c>
      <c r="DX1852" s="66">
        <f>AVERAGE($CB1852,$CC1852,$CM1852,$CE1852,$CP1852)</f>
        <v/>
      </c>
      <c r="DY1852" s="64">
        <f>($DW1852-$DW1853)*100</f>
        <v/>
      </c>
      <c r="DZ1852" s="64">
        <f>($DX1852-$DX1853)*100</f>
        <v/>
      </c>
      <c r="EA1852" s="64">
        <f>($DW1852-$D1852)*100</f>
        <v/>
      </c>
      <c r="EB1852" s="64">
        <f>$Q1852-$O1852</f>
        <v/>
      </c>
      <c r="EC1852" s="67">
        <f>IFERROR($Q1852/$P1852,"")</f>
        <v/>
      </c>
    </row>
    <row r="1853">
      <c r="DG1853" s="64">
        <f>($B1853-$B1854)*100</f>
        <v/>
      </c>
      <c r="DH1853" s="64">
        <f>($D1853-$D1854)*100</f>
        <v/>
      </c>
      <c r="DI1853" s="64">
        <f>($E1853-$E1854)*100</f>
        <v/>
      </c>
      <c r="DJ1853" s="64">
        <f>($H1853-$H1854)*100</f>
        <v/>
      </c>
      <c r="DK1853" s="65">
        <f>IFERROR($J1853/$J1854-1,"")</f>
        <v/>
      </c>
      <c r="DL1853" s="64">
        <f>$L1853-$L1854</f>
        <v/>
      </c>
      <c r="DM1853" s="64">
        <f>$K1853-$K1854</f>
        <v/>
      </c>
      <c r="DN1853" s="65">
        <f>IFERROR($N1853/$N1854-1,"")</f>
        <v/>
      </c>
      <c r="DO1853" s="65">
        <f>IFERROR($M1853/$M1854-1,"")</f>
        <v/>
      </c>
      <c r="DP1853" s="65">
        <f>IFERROR($AZ1853/$AZ1854-1,"")</f>
        <v/>
      </c>
      <c r="DQ1853" s="65">
        <f>IFERROR($BA1853/$BA1854-1,"")</f>
        <v/>
      </c>
      <c r="DR1853" s="64">
        <f>$O1853-$O1854</f>
        <v/>
      </c>
      <c r="DS1853" s="64">
        <f>$P1853-$P1854</f>
        <v/>
      </c>
      <c r="DT1853" s="64">
        <f>$Q1853-$Q1854</f>
        <v/>
      </c>
      <c r="DU1853" s="64">
        <f>$S1853-$S1854</f>
        <v/>
      </c>
      <c r="DV1853" s="65">
        <f>IFERROR(AVERAGE($AA1854/$AA1853-1,$AB1854/$AB1853-1,$AC1854/$AC1853-1,$AD1854/$AD1853-1,$AE1854/$AE1853-1,$AG1854/$AG1853-1,$AH1854/$AH1853-1,$AI1854/$AI1853-1,$AJ1854/$AJ1853-1,$AL1854/$AL1853-1,$AM1854/$AM1853-1,$AR1854/$AR1853-1,$AS1854/$AS1853-1,$AT1854/$AT1853-1,$AU1854/$AU1853-1,$AV1854/$AV1853-1,$AW1854/$AW1853-1,$AX1854/$AX1853-1,$AY1854/$AY1853-1),"")</f>
        <v/>
      </c>
      <c r="DW1853" s="66">
        <f>AVERAGE($CB1853,$CC1853,$CD1853,$CE1853,$CF1853,$CG1853,$CH1853,$CI1853,$CJ1853,$CL1853,$CM1853,$CN1853,$CO1853,$CP1853,$CQ1853,$CR1853,$CS1853,$CT1853)</f>
        <v/>
      </c>
      <c r="DX1853" s="66">
        <f>AVERAGE($CB1853,$CC1853,$CM1853,$CE1853,$CP1853)</f>
        <v/>
      </c>
      <c r="DY1853" s="64">
        <f>($DW1853-$DW1854)*100</f>
        <v/>
      </c>
      <c r="DZ1853" s="64">
        <f>($DX1853-$DX1854)*100</f>
        <v/>
      </c>
      <c r="EA1853" s="64">
        <f>($DW1853-$D1853)*100</f>
        <v/>
      </c>
      <c r="EB1853" s="64">
        <f>$Q1853-$O1853</f>
        <v/>
      </c>
      <c r="EC1853" s="67">
        <f>IFERROR($Q1853/$P1853,"")</f>
        <v/>
      </c>
    </row>
    <row r="1854">
      <c r="DG1854" s="64">
        <f>($B1854-$B1855)*100</f>
        <v/>
      </c>
      <c r="DH1854" s="64">
        <f>($D1854-$D1855)*100</f>
        <v/>
      </c>
      <c r="DI1854" s="64">
        <f>($E1854-$E1855)*100</f>
        <v/>
      </c>
      <c r="DJ1854" s="64">
        <f>($H1854-$H1855)*100</f>
        <v/>
      </c>
      <c r="DK1854" s="65">
        <f>IFERROR($J1854/$J1855-1,"")</f>
        <v/>
      </c>
      <c r="DL1854" s="64">
        <f>$L1854-$L1855</f>
        <v/>
      </c>
      <c r="DM1854" s="64">
        <f>$K1854-$K1855</f>
        <v/>
      </c>
      <c r="DN1854" s="65">
        <f>IFERROR($N1854/$N1855-1,"")</f>
        <v/>
      </c>
      <c r="DO1854" s="65">
        <f>IFERROR($M1854/$M1855-1,"")</f>
        <v/>
      </c>
      <c r="DP1854" s="65">
        <f>IFERROR($AZ1854/$AZ1855-1,"")</f>
        <v/>
      </c>
      <c r="DQ1854" s="65">
        <f>IFERROR($BA1854/$BA1855-1,"")</f>
        <v/>
      </c>
      <c r="DR1854" s="64">
        <f>$O1854-$O1855</f>
        <v/>
      </c>
      <c r="DS1854" s="64">
        <f>$P1854-$P1855</f>
        <v/>
      </c>
      <c r="DT1854" s="64">
        <f>$Q1854-$Q1855</f>
        <v/>
      </c>
      <c r="DU1854" s="64">
        <f>$S1854-$S1855</f>
        <v/>
      </c>
      <c r="DV1854" s="65">
        <f>IFERROR(AVERAGE($AA1855/$AA1854-1,$AB1855/$AB1854-1,$AC1855/$AC1854-1,$AD1855/$AD1854-1,$AE1855/$AE1854-1,$AG1855/$AG1854-1,$AH1855/$AH1854-1,$AI1855/$AI1854-1,$AJ1855/$AJ1854-1,$AL1855/$AL1854-1,$AM1855/$AM1854-1,$AR1855/$AR1854-1,$AS1855/$AS1854-1,$AT1855/$AT1854-1,$AU1855/$AU1854-1,$AV1855/$AV1854-1,$AW1855/$AW1854-1,$AX1855/$AX1854-1,$AY1855/$AY1854-1),"")</f>
        <v/>
      </c>
      <c r="DW1854" s="66">
        <f>AVERAGE($CB1854,$CC1854,$CD1854,$CE1854,$CF1854,$CG1854,$CH1854,$CI1854,$CJ1854,$CL1854,$CM1854,$CN1854,$CO1854,$CP1854,$CQ1854,$CR1854,$CS1854,$CT1854)</f>
        <v/>
      </c>
      <c r="DX1854" s="66">
        <f>AVERAGE($CB1854,$CC1854,$CM1854,$CE1854,$CP1854)</f>
        <v/>
      </c>
      <c r="DY1854" s="64">
        <f>($DW1854-$DW1855)*100</f>
        <v/>
      </c>
      <c r="DZ1854" s="64">
        <f>($DX1854-$DX1855)*100</f>
        <v/>
      </c>
      <c r="EA1854" s="64">
        <f>($DW1854-$D1854)*100</f>
        <v/>
      </c>
      <c r="EB1854" s="64">
        <f>$Q1854-$O1854</f>
        <v/>
      </c>
      <c r="EC1854" s="67">
        <f>IFERROR($Q1854/$P1854,"")</f>
        <v/>
      </c>
    </row>
    <row r="1855">
      <c r="DG1855" s="64">
        <f>($B1855-$B1856)*100</f>
        <v/>
      </c>
      <c r="DH1855" s="64">
        <f>($D1855-$D1856)*100</f>
        <v/>
      </c>
      <c r="DI1855" s="64">
        <f>($E1855-$E1856)*100</f>
        <v/>
      </c>
      <c r="DJ1855" s="64">
        <f>($H1855-$H1856)*100</f>
        <v/>
      </c>
      <c r="DK1855" s="65">
        <f>IFERROR($J1855/$J1856-1,"")</f>
        <v/>
      </c>
      <c r="DL1855" s="64">
        <f>$L1855-$L1856</f>
        <v/>
      </c>
      <c r="DM1855" s="64">
        <f>$K1855-$K1856</f>
        <v/>
      </c>
      <c r="DN1855" s="65">
        <f>IFERROR($N1855/$N1856-1,"")</f>
        <v/>
      </c>
      <c r="DO1855" s="65">
        <f>IFERROR($M1855/$M1856-1,"")</f>
        <v/>
      </c>
      <c r="DP1855" s="65">
        <f>IFERROR($AZ1855/$AZ1856-1,"")</f>
        <v/>
      </c>
      <c r="DQ1855" s="65">
        <f>IFERROR($BA1855/$BA1856-1,"")</f>
        <v/>
      </c>
      <c r="DR1855" s="64">
        <f>$O1855-$O1856</f>
        <v/>
      </c>
      <c r="DS1855" s="64">
        <f>$P1855-$P1856</f>
        <v/>
      </c>
      <c r="DT1855" s="64">
        <f>$Q1855-$Q1856</f>
        <v/>
      </c>
      <c r="DU1855" s="64">
        <f>$S1855-$S1856</f>
        <v/>
      </c>
      <c r="DV1855" s="65">
        <f>IFERROR(AVERAGE($AA1856/$AA1855-1,$AB1856/$AB1855-1,$AC1856/$AC1855-1,$AD1856/$AD1855-1,$AE1856/$AE1855-1,$AG1856/$AG1855-1,$AH1856/$AH1855-1,$AI1856/$AI1855-1,$AJ1856/$AJ1855-1,$AL1856/$AL1855-1,$AM1856/$AM1855-1,$AR1856/$AR1855-1,$AS1856/$AS1855-1,$AT1856/$AT1855-1,$AU1856/$AU1855-1,$AV1856/$AV1855-1,$AW1856/$AW1855-1,$AX1856/$AX1855-1,$AY1856/$AY1855-1),"")</f>
        <v/>
      </c>
      <c r="DW1855" s="66">
        <f>AVERAGE($CB1855,$CC1855,$CD1855,$CE1855,$CF1855,$CG1855,$CH1855,$CI1855,$CJ1855,$CL1855,$CM1855,$CN1855,$CO1855,$CP1855,$CQ1855,$CR1855,$CS1855,$CT1855)</f>
        <v/>
      </c>
      <c r="DX1855" s="66">
        <f>AVERAGE($CB1855,$CC1855,$CM1855,$CE1855,$CP1855)</f>
        <v/>
      </c>
      <c r="DY1855" s="64">
        <f>($DW1855-$DW1856)*100</f>
        <v/>
      </c>
      <c r="DZ1855" s="64">
        <f>($DX1855-$DX1856)*100</f>
        <v/>
      </c>
      <c r="EA1855" s="64">
        <f>($DW1855-$D1855)*100</f>
        <v/>
      </c>
      <c r="EB1855" s="64">
        <f>$Q1855-$O1855</f>
        <v/>
      </c>
      <c r="EC1855" s="67">
        <f>IFERROR($Q1855/$P1855,"")</f>
        <v/>
      </c>
    </row>
    <row r="1856">
      <c r="DG1856" s="64">
        <f>($B1856-$B1857)*100</f>
        <v/>
      </c>
      <c r="DH1856" s="64">
        <f>($D1856-$D1857)*100</f>
        <v/>
      </c>
      <c r="DI1856" s="64">
        <f>($E1856-$E1857)*100</f>
        <v/>
      </c>
      <c r="DJ1856" s="64">
        <f>($H1856-$H1857)*100</f>
        <v/>
      </c>
      <c r="DK1856" s="65">
        <f>IFERROR($J1856/$J1857-1,"")</f>
        <v/>
      </c>
      <c r="DL1856" s="64">
        <f>$L1856-$L1857</f>
        <v/>
      </c>
      <c r="DM1856" s="64">
        <f>$K1856-$K1857</f>
        <v/>
      </c>
      <c r="DN1856" s="65">
        <f>IFERROR($N1856/$N1857-1,"")</f>
        <v/>
      </c>
      <c r="DO1856" s="65">
        <f>IFERROR($M1856/$M1857-1,"")</f>
        <v/>
      </c>
      <c r="DP1856" s="65">
        <f>IFERROR($AZ1856/$AZ1857-1,"")</f>
        <v/>
      </c>
      <c r="DQ1856" s="65">
        <f>IFERROR($BA1856/$BA1857-1,"")</f>
        <v/>
      </c>
      <c r="DR1856" s="64">
        <f>$O1856-$O1857</f>
        <v/>
      </c>
      <c r="DS1856" s="64">
        <f>$P1856-$P1857</f>
        <v/>
      </c>
      <c r="DT1856" s="64">
        <f>$Q1856-$Q1857</f>
        <v/>
      </c>
      <c r="DU1856" s="64">
        <f>$S1856-$S1857</f>
        <v/>
      </c>
      <c r="DV1856" s="65">
        <f>IFERROR(AVERAGE($AA1857/$AA1856-1,$AB1857/$AB1856-1,$AC1857/$AC1856-1,$AD1857/$AD1856-1,$AE1857/$AE1856-1,$AG1857/$AG1856-1,$AH1857/$AH1856-1,$AI1857/$AI1856-1,$AJ1857/$AJ1856-1,$AL1857/$AL1856-1,$AM1857/$AM1856-1,$AR1857/$AR1856-1,$AS1857/$AS1856-1,$AT1857/$AT1856-1,$AU1857/$AU1856-1,$AV1857/$AV1856-1,$AW1857/$AW1856-1,$AX1857/$AX1856-1,$AY1857/$AY1856-1),"")</f>
        <v/>
      </c>
      <c r="DW1856" s="66">
        <f>AVERAGE($CB1856,$CC1856,$CD1856,$CE1856,$CF1856,$CG1856,$CH1856,$CI1856,$CJ1856,$CL1856,$CM1856,$CN1856,$CO1856,$CP1856,$CQ1856,$CR1856,$CS1856,$CT1856)</f>
        <v/>
      </c>
      <c r="DX1856" s="66">
        <f>AVERAGE($CB1856,$CC1856,$CM1856,$CE1856,$CP1856)</f>
        <v/>
      </c>
      <c r="DY1856" s="64">
        <f>($DW1856-$DW1857)*100</f>
        <v/>
      </c>
      <c r="DZ1856" s="64">
        <f>($DX1856-$DX1857)*100</f>
        <v/>
      </c>
      <c r="EA1856" s="64">
        <f>($DW1856-$D1856)*100</f>
        <v/>
      </c>
      <c r="EB1856" s="64">
        <f>$Q1856-$O1856</f>
        <v/>
      </c>
      <c r="EC1856" s="67">
        <f>IFERROR($Q1856/$P1856,"")</f>
        <v/>
      </c>
    </row>
    <row r="1857">
      <c r="DG1857" s="64">
        <f>($B1857-$B1858)*100</f>
        <v/>
      </c>
      <c r="DH1857" s="64">
        <f>($D1857-$D1858)*100</f>
        <v/>
      </c>
      <c r="DI1857" s="64">
        <f>($E1857-$E1858)*100</f>
        <v/>
      </c>
      <c r="DJ1857" s="64">
        <f>($H1857-$H1858)*100</f>
        <v/>
      </c>
      <c r="DK1857" s="65">
        <f>IFERROR($J1857/$J1858-1,"")</f>
        <v/>
      </c>
      <c r="DL1857" s="64">
        <f>$L1857-$L1858</f>
        <v/>
      </c>
      <c r="DM1857" s="64">
        <f>$K1857-$K1858</f>
        <v/>
      </c>
      <c r="DN1857" s="65">
        <f>IFERROR($N1857/$N1858-1,"")</f>
        <v/>
      </c>
      <c r="DO1857" s="65">
        <f>IFERROR($M1857/$M1858-1,"")</f>
        <v/>
      </c>
      <c r="DP1857" s="65">
        <f>IFERROR($AZ1857/$AZ1858-1,"")</f>
        <v/>
      </c>
      <c r="DQ1857" s="65">
        <f>IFERROR($BA1857/$BA1858-1,"")</f>
        <v/>
      </c>
      <c r="DR1857" s="64">
        <f>$O1857-$O1858</f>
        <v/>
      </c>
      <c r="DS1857" s="64">
        <f>$P1857-$P1858</f>
        <v/>
      </c>
      <c r="DT1857" s="64">
        <f>$Q1857-$Q1858</f>
        <v/>
      </c>
      <c r="DU1857" s="64">
        <f>$S1857-$S1858</f>
        <v/>
      </c>
      <c r="DV1857" s="65">
        <f>IFERROR(AVERAGE($AA1858/$AA1857-1,$AB1858/$AB1857-1,$AC1858/$AC1857-1,$AD1858/$AD1857-1,$AE1858/$AE1857-1,$AG1858/$AG1857-1,$AH1858/$AH1857-1,$AI1858/$AI1857-1,$AJ1858/$AJ1857-1,$AL1858/$AL1857-1,$AM1858/$AM1857-1,$AR1858/$AR1857-1,$AS1858/$AS1857-1,$AT1858/$AT1857-1,$AU1858/$AU1857-1,$AV1858/$AV1857-1,$AW1858/$AW1857-1,$AX1858/$AX1857-1,$AY1858/$AY1857-1),"")</f>
        <v/>
      </c>
      <c r="DW1857" s="66">
        <f>AVERAGE($CB1857,$CC1857,$CD1857,$CE1857,$CF1857,$CG1857,$CH1857,$CI1857,$CJ1857,$CL1857,$CM1857,$CN1857,$CO1857,$CP1857,$CQ1857,$CR1857,$CS1857,$CT1857)</f>
        <v/>
      </c>
      <c r="DX1857" s="66">
        <f>AVERAGE($CB1857,$CC1857,$CM1857,$CE1857,$CP1857)</f>
        <v/>
      </c>
      <c r="DY1857" s="64">
        <f>($DW1857-$DW1858)*100</f>
        <v/>
      </c>
      <c r="DZ1857" s="64">
        <f>($DX1857-$DX1858)*100</f>
        <v/>
      </c>
      <c r="EA1857" s="64">
        <f>($DW1857-$D1857)*100</f>
        <v/>
      </c>
      <c r="EB1857" s="64">
        <f>$Q1857-$O1857</f>
        <v/>
      </c>
      <c r="EC1857" s="67">
        <f>IFERROR($Q1857/$P1857,"")</f>
        <v/>
      </c>
    </row>
    <row r="1858">
      <c r="DG1858" s="64">
        <f>($B1858-$B1859)*100</f>
        <v/>
      </c>
      <c r="DH1858" s="64">
        <f>($D1858-$D1859)*100</f>
        <v/>
      </c>
      <c r="DI1858" s="64">
        <f>($E1858-$E1859)*100</f>
        <v/>
      </c>
      <c r="DJ1858" s="64">
        <f>($H1858-$H1859)*100</f>
        <v/>
      </c>
      <c r="DK1858" s="65">
        <f>IFERROR($J1858/$J1859-1,"")</f>
        <v/>
      </c>
      <c r="DL1858" s="64">
        <f>$L1858-$L1859</f>
        <v/>
      </c>
      <c r="DM1858" s="64">
        <f>$K1858-$K1859</f>
        <v/>
      </c>
      <c r="DN1858" s="65">
        <f>IFERROR($N1858/$N1859-1,"")</f>
        <v/>
      </c>
      <c r="DO1858" s="65">
        <f>IFERROR($M1858/$M1859-1,"")</f>
        <v/>
      </c>
      <c r="DP1858" s="65">
        <f>IFERROR($AZ1858/$AZ1859-1,"")</f>
        <v/>
      </c>
      <c r="DQ1858" s="65">
        <f>IFERROR($BA1858/$BA1859-1,"")</f>
        <v/>
      </c>
      <c r="DR1858" s="64">
        <f>$O1858-$O1859</f>
        <v/>
      </c>
      <c r="DS1858" s="64">
        <f>$P1858-$P1859</f>
        <v/>
      </c>
      <c r="DT1858" s="64">
        <f>$Q1858-$Q1859</f>
        <v/>
      </c>
      <c r="DU1858" s="64">
        <f>$S1858-$S1859</f>
        <v/>
      </c>
      <c r="DV1858" s="65">
        <f>IFERROR(AVERAGE($AA1859/$AA1858-1,$AB1859/$AB1858-1,$AC1859/$AC1858-1,$AD1859/$AD1858-1,$AE1859/$AE1858-1,$AG1859/$AG1858-1,$AH1859/$AH1858-1,$AI1859/$AI1858-1,$AJ1859/$AJ1858-1,$AL1859/$AL1858-1,$AM1859/$AM1858-1,$AR1859/$AR1858-1,$AS1859/$AS1858-1,$AT1859/$AT1858-1,$AU1859/$AU1858-1,$AV1859/$AV1858-1,$AW1859/$AW1858-1,$AX1859/$AX1858-1,$AY1859/$AY1858-1),"")</f>
        <v/>
      </c>
      <c r="DW1858" s="66">
        <f>AVERAGE($CB1858,$CC1858,$CD1858,$CE1858,$CF1858,$CG1858,$CH1858,$CI1858,$CJ1858,$CL1858,$CM1858,$CN1858,$CO1858,$CP1858,$CQ1858,$CR1858,$CS1858,$CT1858)</f>
        <v/>
      </c>
      <c r="DX1858" s="66">
        <f>AVERAGE($CB1858,$CC1858,$CM1858,$CE1858,$CP1858)</f>
        <v/>
      </c>
      <c r="DY1858" s="64">
        <f>($DW1858-$DW1859)*100</f>
        <v/>
      </c>
      <c r="DZ1858" s="64">
        <f>($DX1858-$DX1859)*100</f>
        <v/>
      </c>
      <c r="EA1858" s="64">
        <f>($DW1858-$D1858)*100</f>
        <v/>
      </c>
      <c r="EB1858" s="64">
        <f>$Q1858-$O1858</f>
        <v/>
      </c>
      <c r="EC1858" s="67">
        <f>IFERROR($Q1858/$P1858,"")</f>
        <v/>
      </c>
    </row>
    <row r="1859">
      <c r="DG1859" s="64">
        <f>($B1859-$B1860)*100</f>
        <v/>
      </c>
      <c r="DH1859" s="64">
        <f>($D1859-$D1860)*100</f>
        <v/>
      </c>
      <c r="DI1859" s="64">
        <f>($E1859-$E1860)*100</f>
        <v/>
      </c>
      <c r="DJ1859" s="64">
        <f>($H1859-$H1860)*100</f>
        <v/>
      </c>
      <c r="DK1859" s="65">
        <f>IFERROR($J1859/$J1860-1,"")</f>
        <v/>
      </c>
      <c r="DL1859" s="64">
        <f>$L1859-$L1860</f>
        <v/>
      </c>
      <c r="DM1859" s="64">
        <f>$K1859-$K1860</f>
        <v/>
      </c>
      <c r="DN1859" s="65">
        <f>IFERROR($N1859/$N1860-1,"")</f>
        <v/>
      </c>
      <c r="DO1859" s="65">
        <f>IFERROR($M1859/$M1860-1,"")</f>
        <v/>
      </c>
      <c r="DP1859" s="65">
        <f>IFERROR($AZ1859/$AZ1860-1,"")</f>
        <v/>
      </c>
      <c r="DQ1859" s="65">
        <f>IFERROR($BA1859/$BA1860-1,"")</f>
        <v/>
      </c>
      <c r="DR1859" s="64">
        <f>$O1859-$O1860</f>
        <v/>
      </c>
      <c r="DS1859" s="64">
        <f>$P1859-$P1860</f>
        <v/>
      </c>
      <c r="DT1859" s="64">
        <f>$Q1859-$Q1860</f>
        <v/>
      </c>
      <c r="DU1859" s="64">
        <f>$S1859-$S1860</f>
        <v/>
      </c>
      <c r="DV1859" s="65">
        <f>IFERROR(AVERAGE($AA1860/$AA1859-1,$AB1860/$AB1859-1,$AC1860/$AC1859-1,$AD1860/$AD1859-1,$AE1860/$AE1859-1,$AG1860/$AG1859-1,$AH1860/$AH1859-1,$AI1860/$AI1859-1,$AJ1860/$AJ1859-1,$AL1860/$AL1859-1,$AM1860/$AM1859-1,$AR1860/$AR1859-1,$AS1860/$AS1859-1,$AT1860/$AT1859-1,$AU1860/$AU1859-1,$AV1860/$AV1859-1,$AW1860/$AW1859-1,$AX1860/$AX1859-1,$AY1860/$AY1859-1),"")</f>
        <v/>
      </c>
      <c r="DW1859" s="66">
        <f>AVERAGE($CB1859,$CC1859,$CD1859,$CE1859,$CF1859,$CG1859,$CH1859,$CI1859,$CJ1859,$CL1859,$CM1859,$CN1859,$CO1859,$CP1859,$CQ1859,$CR1859,$CS1859,$CT1859)</f>
        <v/>
      </c>
      <c r="DX1859" s="66">
        <f>AVERAGE($CB1859,$CC1859,$CM1859,$CE1859,$CP1859)</f>
        <v/>
      </c>
      <c r="DY1859" s="64">
        <f>($DW1859-$DW1860)*100</f>
        <v/>
      </c>
      <c r="DZ1859" s="64">
        <f>($DX1859-$DX1860)*100</f>
        <v/>
      </c>
      <c r="EA1859" s="64">
        <f>($DW1859-$D1859)*100</f>
        <v/>
      </c>
      <c r="EB1859" s="64">
        <f>$Q1859-$O1859</f>
        <v/>
      </c>
      <c r="EC1859" s="67">
        <f>IFERROR($Q1859/$P1859,"")</f>
        <v/>
      </c>
    </row>
    <row r="1860">
      <c r="DG1860" s="64">
        <f>($B1860-$B1861)*100</f>
        <v/>
      </c>
      <c r="DH1860" s="64">
        <f>($D1860-$D1861)*100</f>
        <v/>
      </c>
      <c r="DI1860" s="64">
        <f>($E1860-$E1861)*100</f>
        <v/>
      </c>
      <c r="DJ1860" s="64">
        <f>($H1860-$H1861)*100</f>
        <v/>
      </c>
      <c r="DK1860" s="65">
        <f>IFERROR($J1860/$J1861-1,"")</f>
        <v/>
      </c>
      <c r="DL1860" s="64">
        <f>$L1860-$L1861</f>
        <v/>
      </c>
      <c r="DM1860" s="64">
        <f>$K1860-$K1861</f>
        <v/>
      </c>
      <c r="DN1860" s="65">
        <f>IFERROR($N1860/$N1861-1,"")</f>
        <v/>
      </c>
      <c r="DO1860" s="65">
        <f>IFERROR($M1860/$M1861-1,"")</f>
        <v/>
      </c>
      <c r="DP1860" s="65">
        <f>IFERROR($AZ1860/$AZ1861-1,"")</f>
        <v/>
      </c>
      <c r="DQ1860" s="65">
        <f>IFERROR($BA1860/$BA1861-1,"")</f>
        <v/>
      </c>
      <c r="DR1860" s="64">
        <f>$O1860-$O1861</f>
        <v/>
      </c>
      <c r="DS1860" s="64">
        <f>$P1860-$P1861</f>
        <v/>
      </c>
      <c r="DT1860" s="64">
        <f>$Q1860-$Q1861</f>
        <v/>
      </c>
      <c r="DU1860" s="64">
        <f>$S1860-$S1861</f>
        <v/>
      </c>
      <c r="DV1860" s="65">
        <f>IFERROR(AVERAGE($AA1861/$AA1860-1,$AB1861/$AB1860-1,$AC1861/$AC1860-1,$AD1861/$AD1860-1,$AE1861/$AE1860-1,$AG1861/$AG1860-1,$AH1861/$AH1860-1,$AI1861/$AI1860-1,$AJ1861/$AJ1860-1,$AL1861/$AL1860-1,$AM1861/$AM1860-1,$AR1861/$AR1860-1,$AS1861/$AS1860-1,$AT1861/$AT1860-1,$AU1861/$AU1860-1,$AV1861/$AV1860-1,$AW1861/$AW1860-1,$AX1861/$AX1860-1,$AY1861/$AY1860-1),"")</f>
        <v/>
      </c>
      <c r="DW1860" s="66">
        <f>AVERAGE($CB1860,$CC1860,$CD1860,$CE1860,$CF1860,$CG1860,$CH1860,$CI1860,$CJ1860,$CL1860,$CM1860,$CN1860,$CO1860,$CP1860,$CQ1860,$CR1860,$CS1860,$CT1860)</f>
        <v/>
      </c>
      <c r="DX1860" s="66">
        <f>AVERAGE($CB1860,$CC1860,$CM1860,$CE1860,$CP1860)</f>
        <v/>
      </c>
      <c r="DY1860" s="64">
        <f>($DW1860-$DW1861)*100</f>
        <v/>
      </c>
      <c r="DZ1860" s="64">
        <f>($DX1860-$DX1861)*100</f>
        <v/>
      </c>
      <c r="EA1860" s="64">
        <f>($DW1860-$D1860)*100</f>
        <v/>
      </c>
      <c r="EB1860" s="64">
        <f>$Q1860-$O1860</f>
        <v/>
      </c>
      <c r="EC1860" s="67">
        <f>IFERROR($Q1860/$P1860,"")</f>
        <v/>
      </c>
    </row>
    <row r="1861">
      <c r="DG1861" s="64">
        <f>($B1861-$B1862)*100</f>
        <v/>
      </c>
      <c r="DH1861" s="64">
        <f>($D1861-$D1862)*100</f>
        <v/>
      </c>
      <c r="DI1861" s="64">
        <f>($E1861-$E1862)*100</f>
        <v/>
      </c>
      <c r="DJ1861" s="64">
        <f>($H1861-$H1862)*100</f>
        <v/>
      </c>
      <c r="DK1861" s="65">
        <f>IFERROR($J1861/$J1862-1,"")</f>
        <v/>
      </c>
      <c r="DL1861" s="64">
        <f>$L1861-$L1862</f>
        <v/>
      </c>
      <c r="DM1861" s="64">
        <f>$K1861-$K1862</f>
        <v/>
      </c>
      <c r="DN1861" s="65">
        <f>IFERROR($N1861/$N1862-1,"")</f>
        <v/>
      </c>
      <c r="DO1861" s="65">
        <f>IFERROR($M1861/$M1862-1,"")</f>
        <v/>
      </c>
      <c r="DP1861" s="65">
        <f>IFERROR($AZ1861/$AZ1862-1,"")</f>
        <v/>
      </c>
      <c r="DQ1861" s="65">
        <f>IFERROR($BA1861/$BA1862-1,"")</f>
        <v/>
      </c>
      <c r="DR1861" s="64">
        <f>$O1861-$O1862</f>
        <v/>
      </c>
      <c r="DS1861" s="64">
        <f>$P1861-$P1862</f>
        <v/>
      </c>
      <c r="DT1861" s="64">
        <f>$Q1861-$Q1862</f>
        <v/>
      </c>
      <c r="DU1861" s="64">
        <f>$S1861-$S1862</f>
        <v/>
      </c>
      <c r="DV1861" s="65">
        <f>IFERROR(AVERAGE($AA1862/$AA1861-1,$AB1862/$AB1861-1,$AC1862/$AC1861-1,$AD1862/$AD1861-1,$AE1862/$AE1861-1,$AG1862/$AG1861-1,$AH1862/$AH1861-1,$AI1862/$AI1861-1,$AJ1862/$AJ1861-1,$AL1862/$AL1861-1,$AM1862/$AM1861-1,$AR1862/$AR1861-1,$AS1862/$AS1861-1,$AT1862/$AT1861-1,$AU1862/$AU1861-1,$AV1862/$AV1861-1,$AW1862/$AW1861-1,$AX1862/$AX1861-1,$AY1862/$AY1861-1),"")</f>
        <v/>
      </c>
      <c r="DW1861" s="66">
        <f>AVERAGE($CB1861,$CC1861,$CD1861,$CE1861,$CF1861,$CG1861,$CH1861,$CI1861,$CJ1861,$CL1861,$CM1861,$CN1861,$CO1861,$CP1861,$CQ1861,$CR1861,$CS1861,$CT1861)</f>
        <v/>
      </c>
      <c r="DX1861" s="66">
        <f>AVERAGE($CB1861,$CC1861,$CM1861,$CE1861,$CP1861)</f>
        <v/>
      </c>
      <c r="DY1861" s="64">
        <f>($DW1861-$DW1862)*100</f>
        <v/>
      </c>
      <c r="DZ1861" s="64">
        <f>($DX1861-$DX1862)*100</f>
        <v/>
      </c>
      <c r="EA1861" s="64">
        <f>($DW1861-$D1861)*100</f>
        <v/>
      </c>
      <c r="EB1861" s="64">
        <f>$Q1861-$O1861</f>
        <v/>
      </c>
      <c r="EC1861" s="67">
        <f>IFERROR($Q1861/$P1861,"")</f>
        <v/>
      </c>
    </row>
    <row r="1862">
      <c r="DG1862" s="64">
        <f>($B1862-$B1863)*100</f>
        <v/>
      </c>
      <c r="DH1862" s="64">
        <f>($D1862-$D1863)*100</f>
        <v/>
      </c>
      <c r="DI1862" s="64">
        <f>($E1862-$E1863)*100</f>
        <v/>
      </c>
      <c r="DJ1862" s="64">
        <f>($H1862-$H1863)*100</f>
        <v/>
      </c>
      <c r="DK1862" s="65">
        <f>IFERROR($J1862/$J1863-1,"")</f>
        <v/>
      </c>
      <c r="DL1862" s="64">
        <f>$L1862-$L1863</f>
        <v/>
      </c>
      <c r="DM1862" s="64">
        <f>$K1862-$K1863</f>
        <v/>
      </c>
      <c r="DN1862" s="65">
        <f>IFERROR($N1862/$N1863-1,"")</f>
        <v/>
      </c>
      <c r="DO1862" s="65">
        <f>IFERROR($M1862/$M1863-1,"")</f>
        <v/>
      </c>
      <c r="DP1862" s="65">
        <f>IFERROR($AZ1862/$AZ1863-1,"")</f>
        <v/>
      </c>
      <c r="DQ1862" s="65">
        <f>IFERROR($BA1862/$BA1863-1,"")</f>
        <v/>
      </c>
      <c r="DR1862" s="64">
        <f>$O1862-$O1863</f>
        <v/>
      </c>
      <c r="DS1862" s="64">
        <f>$P1862-$P1863</f>
        <v/>
      </c>
      <c r="DT1862" s="64">
        <f>$Q1862-$Q1863</f>
        <v/>
      </c>
      <c r="DU1862" s="64">
        <f>$S1862-$S1863</f>
        <v/>
      </c>
      <c r="DV1862" s="65">
        <f>IFERROR(AVERAGE($AA1863/$AA1862-1,$AB1863/$AB1862-1,$AC1863/$AC1862-1,$AD1863/$AD1862-1,$AE1863/$AE1862-1,$AG1863/$AG1862-1,$AH1863/$AH1862-1,$AI1863/$AI1862-1,$AJ1863/$AJ1862-1,$AL1863/$AL1862-1,$AM1863/$AM1862-1,$AR1863/$AR1862-1,$AS1863/$AS1862-1,$AT1863/$AT1862-1,$AU1863/$AU1862-1,$AV1863/$AV1862-1,$AW1863/$AW1862-1,$AX1863/$AX1862-1,$AY1863/$AY1862-1),"")</f>
        <v/>
      </c>
      <c r="DW1862" s="66">
        <f>AVERAGE($CB1862,$CC1862,$CD1862,$CE1862,$CF1862,$CG1862,$CH1862,$CI1862,$CJ1862,$CL1862,$CM1862,$CN1862,$CO1862,$CP1862,$CQ1862,$CR1862,$CS1862,$CT1862)</f>
        <v/>
      </c>
      <c r="DX1862" s="66">
        <f>AVERAGE($CB1862,$CC1862,$CM1862,$CE1862,$CP1862)</f>
        <v/>
      </c>
      <c r="DY1862" s="64">
        <f>($DW1862-$DW1863)*100</f>
        <v/>
      </c>
      <c r="DZ1862" s="64">
        <f>($DX1862-$DX1863)*100</f>
        <v/>
      </c>
      <c r="EA1862" s="64">
        <f>($DW1862-$D1862)*100</f>
        <v/>
      </c>
      <c r="EB1862" s="64">
        <f>$Q1862-$O1862</f>
        <v/>
      </c>
      <c r="EC1862" s="67">
        <f>IFERROR($Q1862/$P1862,"")</f>
        <v/>
      </c>
    </row>
    <row r="1863">
      <c r="DG1863" s="64">
        <f>($B1863-$B1864)*100</f>
        <v/>
      </c>
      <c r="DH1863" s="64">
        <f>($D1863-$D1864)*100</f>
        <v/>
      </c>
      <c r="DI1863" s="64">
        <f>($E1863-$E1864)*100</f>
        <v/>
      </c>
      <c r="DJ1863" s="64">
        <f>($H1863-$H1864)*100</f>
        <v/>
      </c>
      <c r="DK1863" s="65">
        <f>IFERROR($J1863/$J1864-1,"")</f>
        <v/>
      </c>
      <c r="DL1863" s="64">
        <f>$L1863-$L1864</f>
        <v/>
      </c>
      <c r="DM1863" s="64">
        <f>$K1863-$K1864</f>
        <v/>
      </c>
      <c r="DN1863" s="65">
        <f>IFERROR($N1863/$N1864-1,"")</f>
        <v/>
      </c>
      <c r="DO1863" s="65">
        <f>IFERROR($M1863/$M1864-1,"")</f>
        <v/>
      </c>
      <c r="DP1863" s="65">
        <f>IFERROR($AZ1863/$AZ1864-1,"")</f>
        <v/>
      </c>
      <c r="DQ1863" s="65">
        <f>IFERROR($BA1863/$BA1864-1,"")</f>
        <v/>
      </c>
      <c r="DR1863" s="64">
        <f>$O1863-$O1864</f>
        <v/>
      </c>
      <c r="DS1863" s="64">
        <f>$P1863-$P1864</f>
        <v/>
      </c>
      <c r="DT1863" s="64">
        <f>$Q1863-$Q1864</f>
        <v/>
      </c>
      <c r="DU1863" s="64">
        <f>$S1863-$S1864</f>
        <v/>
      </c>
      <c r="DV1863" s="65">
        <f>IFERROR(AVERAGE($AA1864/$AA1863-1,$AB1864/$AB1863-1,$AC1864/$AC1863-1,$AD1864/$AD1863-1,$AE1864/$AE1863-1,$AG1864/$AG1863-1,$AH1864/$AH1863-1,$AI1864/$AI1863-1,$AJ1864/$AJ1863-1,$AL1864/$AL1863-1,$AM1864/$AM1863-1,$AR1864/$AR1863-1,$AS1864/$AS1863-1,$AT1864/$AT1863-1,$AU1864/$AU1863-1,$AV1864/$AV1863-1,$AW1864/$AW1863-1,$AX1864/$AX1863-1,$AY1864/$AY1863-1),"")</f>
        <v/>
      </c>
      <c r="DW1863" s="66">
        <f>AVERAGE($CB1863,$CC1863,$CD1863,$CE1863,$CF1863,$CG1863,$CH1863,$CI1863,$CJ1863,$CL1863,$CM1863,$CN1863,$CO1863,$CP1863,$CQ1863,$CR1863,$CS1863,$CT1863)</f>
        <v/>
      </c>
      <c r="DX1863" s="66">
        <f>AVERAGE($CB1863,$CC1863,$CM1863,$CE1863,$CP1863)</f>
        <v/>
      </c>
      <c r="DY1863" s="64">
        <f>($DW1863-$DW1864)*100</f>
        <v/>
      </c>
      <c r="DZ1863" s="64">
        <f>($DX1863-$DX1864)*100</f>
        <v/>
      </c>
      <c r="EA1863" s="64">
        <f>($DW1863-$D1863)*100</f>
        <v/>
      </c>
      <c r="EB1863" s="64">
        <f>$Q1863-$O1863</f>
        <v/>
      </c>
      <c r="EC1863" s="67">
        <f>IFERROR($Q1863/$P1863,"")</f>
        <v/>
      </c>
    </row>
    <row r="1864">
      <c r="DG1864" s="64">
        <f>($B1864-$B1865)*100</f>
        <v/>
      </c>
      <c r="DH1864" s="64">
        <f>($D1864-$D1865)*100</f>
        <v/>
      </c>
      <c r="DI1864" s="64">
        <f>($E1864-$E1865)*100</f>
        <v/>
      </c>
      <c r="DJ1864" s="64">
        <f>($H1864-$H1865)*100</f>
        <v/>
      </c>
      <c r="DK1864" s="65">
        <f>IFERROR($J1864/$J1865-1,"")</f>
        <v/>
      </c>
      <c r="DL1864" s="64">
        <f>$L1864-$L1865</f>
        <v/>
      </c>
      <c r="DM1864" s="64">
        <f>$K1864-$K1865</f>
        <v/>
      </c>
      <c r="DN1864" s="65">
        <f>IFERROR($N1864/$N1865-1,"")</f>
        <v/>
      </c>
      <c r="DO1864" s="65">
        <f>IFERROR($M1864/$M1865-1,"")</f>
        <v/>
      </c>
      <c r="DP1864" s="65">
        <f>IFERROR($AZ1864/$AZ1865-1,"")</f>
        <v/>
      </c>
      <c r="DQ1864" s="65">
        <f>IFERROR($BA1864/$BA1865-1,"")</f>
        <v/>
      </c>
      <c r="DR1864" s="64">
        <f>$O1864-$O1865</f>
        <v/>
      </c>
      <c r="DS1864" s="64">
        <f>$P1864-$P1865</f>
        <v/>
      </c>
      <c r="DT1864" s="64">
        <f>$Q1864-$Q1865</f>
        <v/>
      </c>
      <c r="DU1864" s="64">
        <f>$S1864-$S1865</f>
        <v/>
      </c>
      <c r="DV1864" s="65">
        <f>IFERROR(AVERAGE($AA1865/$AA1864-1,$AB1865/$AB1864-1,$AC1865/$AC1864-1,$AD1865/$AD1864-1,$AE1865/$AE1864-1,$AG1865/$AG1864-1,$AH1865/$AH1864-1,$AI1865/$AI1864-1,$AJ1865/$AJ1864-1,$AL1865/$AL1864-1,$AM1865/$AM1864-1,$AR1865/$AR1864-1,$AS1865/$AS1864-1,$AT1865/$AT1864-1,$AU1865/$AU1864-1,$AV1865/$AV1864-1,$AW1865/$AW1864-1,$AX1865/$AX1864-1,$AY1865/$AY1864-1),"")</f>
        <v/>
      </c>
      <c r="DW1864" s="66">
        <f>AVERAGE($CB1864,$CC1864,$CD1864,$CE1864,$CF1864,$CG1864,$CH1864,$CI1864,$CJ1864,$CL1864,$CM1864,$CN1864,$CO1864,$CP1864,$CQ1864,$CR1864,$CS1864,$CT1864)</f>
        <v/>
      </c>
      <c r="DX1864" s="66">
        <f>AVERAGE($CB1864,$CC1864,$CM1864,$CE1864,$CP1864)</f>
        <v/>
      </c>
      <c r="DY1864" s="64">
        <f>($DW1864-$DW1865)*100</f>
        <v/>
      </c>
      <c r="DZ1864" s="64">
        <f>($DX1864-$DX1865)*100</f>
        <v/>
      </c>
      <c r="EA1864" s="64">
        <f>($DW1864-$D1864)*100</f>
        <v/>
      </c>
      <c r="EB1864" s="64">
        <f>$Q1864-$O1864</f>
        <v/>
      </c>
      <c r="EC1864" s="67">
        <f>IFERROR($Q1864/$P1864,"")</f>
        <v/>
      </c>
    </row>
    <row r="1865">
      <c r="DG1865" s="64">
        <f>($B1865-$B1866)*100</f>
        <v/>
      </c>
      <c r="DH1865" s="64">
        <f>($D1865-$D1866)*100</f>
        <v/>
      </c>
      <c r="DI1865" s="64">
        <f>($E1865-$E1866)*100</f>
        <v/>
      </c>
      <c r="DJ1865" s="64">
        <f>($H1865-$H1866)*100</f>
        <v/>
      </c>
      <c r="DK1865" s="65">
        <f>IFERROR($J1865/$J1866-1,"")</f>
        <v/>
      </c>
      <c r="DL1865" s="64">
        <f>$L1865-$L1866</f>
        <v/>
      </c>
      <c r="DM1865" s="64">
        <f>$K1865-$K1866</f>
        <v/>
      </c>
      <c r="DN1865" s="65">
        <f>IFERROR($N1865/$N1866-1,"")</f>
        <v/>
      </c>
      <c r="DO1865" s="65">
        <f>IFERROR($M1865/$M1866-1,"")</f>
        <v/>
      </c>
      <c r="DP1865" s="65">
        <f>IFERROR($AZ1865/$AZ1866-1,"")</f>
        <v/>
      </c>
      <c r="DQ1865" s="65">
        <f>IFERROR($BA1865/$BA1866-1,"")</f>
        <v/>
      </c>
      <c r="DR1865" s="64">
        <f>$O1865-$O1866</f>
        <v/>
      </c>
      <c r="DS1865" s="64">
        <f>$P1865-$P1866</f>
        <v/>
      </c>
      <c r="DT1865" s="64">
        <f>$Q1865-$Q1866</f>
        <v/>
      </c>
      <c r="DU1865" s="64">
        <f>$S1865-$S1866</f>
        <v/>
      </c>
      <c r="DV1865" s="65">
        <f>IFERROR(AVERAGE($AA1866/$AA1865-1,$AB1866/$AB1865-1,$AC1866/$AC1865-1,$AD1866/$AD1865-1,$AE1866/$AE1865-1,$AG1866/$AG1865-1,$AH1866/$AH1865-1,$AI1866/$AI1865-1,$AJ1866/$AJ1865-1,$AL1866/$AL1865-1,$AM1866/$AM1865-1,$AR1866/$AR1865-1,$AS1866/$AS1865-1,$AT1866/$AT1865-1,$AU1866/$AU1865-1,$AV1866/$AV1865-1,$AW1866/$AW1865-1,$AX1866/$AX1865-1,$AY1866/$AY1865-1),"")</f>
        <v/>
      </c>
      <c r="DW1865" s="66">
        <f>AVERAGE($CB1865,$CC1865,$CD1865,$CE1865,$CF1865,$CG1865,$CH1865,$CI1865,$CJ1865,$CL1865,$CM1865,$CN1865,$CO1865,$CP1865,$CQ1865,$CR1865,$CS1865,$CT1865)</f>
        <v/>
      </c>
      <c r="DX1865" s="66">
        <f>AVERAGE($CB1865,$CC1865,$CM1865,$CE1865,$CP1865)</f>
        <v/>
      </c>
      <c r="DY1865" s="64">
        <f>($DW1865-$DW1866)*100</f>
        <v/>
      </c>
      <c r="DZ1865" s="64">
        <f>($DX1865-$DX1866)*100</f>
        <v/>
      </c>
      <c r="EA1865" s="64">
        <f>($DW1865-$D1865)*100</f>
        <v/>
      </c>
      <c r="EB1865" s="64">
        <f>$Q1865-$O1865</f>
        <v/>
      </c>
      <c r="EC1865" s="67">
        <f>IFERROR($Q1865/$P1865,"")</f>
        <v/>
      </c>
    </row>
    <row r="1866">
      <c r="DG1866" s="64">
        <f>($B1866-$B1867)*100</f>
        <v/>
      </c>
      <c r="DH1866" s="64">
        <f>($D1866-$D1867)*100</f>
        <v/>
      </c>
      <c r="DI1866" s="64">
        <f>($E1866-$E1867)*100</f>
        <v/>
      </c>
      <c r="DJ1866" s="64">
        <f>($H1866-$H1867)*100</f>
        <v/>
      </c>
      <c r="DK1866" s="65">
        <f>IFERROR($J1866/$J1867-1,"")</f>
        <v/>
      </c>
      <c r="DL1866" s="64">
        <f>$L1866-$L1867</f>
        <v/>
      </c>
      <c r="DM1866" s="64">
        <f>$K1866-$K1867</f>
        <v/>
      </c>
      <c r="DN1866" s="65">
        <f>IFERROR($N1866/$N1867-1,"")</f>
        <v/>
      </c>
      <c r="DO1866" s="65">
        <f>IFERROR($M1866/$M1867-1,"")</f>
        <v/>
      </c>
      <c r="DP1866" s="65">
        <f>IFERROR($AZ1866/$AZ1867-1,"")</f>
        <v/>
      </c>
      <c r="DQ1866" s="65">
        <f>IFERROR($BA1866/$BA1867-1,"")</f>
        <v/>
      </c>
      <c r="DR1866" s="64">
        <f>$O1866-$O1867</f>
        <v/>
      </c>
      <c r="DS1866" s="64">
        <f>$P1866-$P1867</f>
        <v/>
      </c>
      <c r="DT1866" s="64">
        <f>$Q1866-$Q1867</f>
        <v/>
      </c>
      <c r="DU1866" s="64">
        <f>$S1866-$S1867</f>
        <v/>
      </c>
      <c r="DV1866" s="65">
        <f>IFERROR(AVERAGE($AA1867/$AA1866-1,$AB1867/$AB1866-1,$AC1867/$AC1866-1,$AD1867/$AD1866-1,$AE1867/$AE1866-1,$AG1867/$AG1866-1,$AH1867/$AH1866-1,$AI1867/$AI1866-1,$AJ1867/$AJ1866-1,$AL1867/$AL1866-1,$AM1867/$AM1866-1,$AR1867/$AR1866-1,$AS1867/$AS1866-1,$AT1867/$AT1866-1,$AU1867/$AU1866-1,$AV1867/$AV1866-1,$AW1867/$AW1866-1,$AX1867/$AX1866-1,$AY1867/$AY1866-1),"")</f>
        <v/>
      </c>
      <c r="DW1866" s="66">
        <f>AVERAGE($CB1866,$CC1866,$CD1866,$CE1866,$CF1866,$CG1866,$CH1866,$CI1866,$CJ1866,$CL1866,$CM1866,$CN1866,$CO1866,$CP1866,$CQ1866,$CR1866,$CS1866,$CT1866)</f>
        <v/>
      </c>
      <c r="DX1866" s="66">
        <f>AVERAGE($CB1866,$CC1866,$CM1866,$CE1866,$CP1866)</f>
        <v/>
      </c>
      <c r="DY1866" s="64">
        <f>($DW1866-$DW1867)*100</f>
        <v/>
      </c>
      <c r="DZ1866" s="64">
        <f>($DX1866-$DX1867)*100</f>
        <v/>
      </c>
      <c r="EA1866" s="64">
        <f>($DW1866-$D1866)*100</f>
        <v/>
      </c>
      <c r="EB1866" s="64">
        <f>$Q1866-$O1866</f>
        <v/>
      </c>
      <c r="EC1866" s="67">
        <f>IFERROR($Q1866/$P1866,"")</f>
        <v/>
      </c>
    </row>
    <row r="1867">
      <c r="DG1867" s="64">
        <f>($B1867-$B1868)*100</f>
        <v/>
      </c>
      <c r="DH1867" s="64">
        <f>($D1867-$D1868)*100</f>
        <v/>
      </c>
      <c r="DI1867" s="64">
        <f>($E1867-$E1868)*100</f>
        <v/>
      </c>
      <c r="DJ1867" s="64">
        <f>($H1867-$H1868)*100</f>
        <v/>
      </c>
      <c r="DK1867" s="65">
        <f>IFERROR($J1867/$J1868-1,"")</f>
        <v/>
      </c>
      <c r="DL1867" s="64">
        <f>$L1867-$L1868</f>
        <v/>
      </c>
      <c r="DM1867" s="64">
        <f>$K1867-$K1868</f>
        <v/>
      </c>
      <c r="DN1867" s="65">
        <f>IFERROR($N1867/$N1868-1,"")</f>
        <v/>
      </c>
      <c r="DO1867" s="65">
        <f>IFERROR($M1867/$M1868-1,"")</f>
        <v/>
      </c>
      <c r="DP1867" s="65">
        <f>IFERROR($AZ1867/$AZ1868-1,"")</f>
        <v/>
      </c>
      <c r="DQ1867" s="65">
        <f>IFERROR($BA1867/$BA1868-1,"")</f>
        <v/>
      </c>
      <c r="DR1867" s="64">
        <f>$O1867-$O1868</f>
        <v/>
      </c>
      <c r="DS1867" s="64">
        <f>$P1867-$P1868</f>
        <v/>
      </c>
      <c r="DT1867" s="64">
        <f>$Q1867-$Q1868</f>
        <v/>
      </c>
      <c r="DU1867" s="64">
        <f>$S1867-$S1868</f>
        <v/>
      </c>
      <c r="DV1867" s="65">
        <f>IFERROR(AVERAGE($AA1868/$AA1867-1,$AB1868/$AB1867-1,$AC1868/$AC1867-1,$AD1868/$AD1867-1,$AE1868/$AE1867-1,$AG1868/$AG1867-1,$AH1868/$AH1867-1,$AI1868/$AI1867-1,$AJ1868/$AJ1867-1,$AL1868/$AL1867-1,$AM1868/$AM1867-1,$AR1868/$AR1867-1,$AS1868/$AS1867-1,$AT1868/$AT1867-1,$AU1868/$AU1867-1,$AV1868/$AV1867-1,$AW1868/$AW1867-1,$AX1868/$AX1867-1,$AY1868/$AY1867-1),"")</f>
        <v/>
      </c>
      <c r="DW1867" s="66">
        <f>AVERAGE($CB1867,$CC1867,$CD1867,$CE1867,$CF1867,$CG1867,$CH1867,$CI1867,$CJ1867,$CL1867,$CM1867,$CN1867,$CO1867,$CP1867,$CQ1867,$CR1867,$CS1867,$CT1867)</f>
        <v/>
      </c>
      <c r="DX1867" s="66">
        <f>AVERAGE($CB1867,$CC1867,$CM1867,$CE1867,$CP1867)</f>
        <v/>
      </c>
      <c r="DY1867" s="64">
        <f>($DW1867-$DW1868)*100</f>
        <v/>
      </c>
      <c r="DZ1867" s="64">
        <f>($DX1867-$DX1868)*100</f>
        <v/>
      </c>
      <c r="EA1867" s="64">
        <f>($DW1867-$D1867)*100</f>
        <v/>
      </c>
      <c r="EB1867" s="64">
        <f>$Q1867-$O1867</f>
        <v/>
      </c>
      <c r="EC1867" s="67">
        <f>IFERROR($Q1867/$P1867,"")</f>
        <v/>
      </c>
    </row>
    <row r="1868">
      <c r="DG1868" s="64">
        <f>($B1868-$B1869)*100</f>
        <v/>
      </c>
      <c r="DH1868" s="64">
        <f>($D1868-$D1869)*100</f>
        <v/>
      </c>
      <c r="DI1868" s="64">
        <f>($E1868-$E1869)*100</f>
        <v/>
      </c>
      <c r="DJ1868" s="64">
        <f>($H1868-$H1869)*100</f>
        <v/>
      </c>
      <c r="DK1868" s="65">
        <f>IFERROR($J1868/$J1869-1,"")</f>
        <v/>
      </c>
      <c r="DL1868" s="64">
        <f>$L1868-$L1869</f>
        <v/>
      </c>
      <c r="DM1868" s="64">
        <f>$K1868-$K1869</f>
        <v/>
      </c>
      <c r="DN1868" s="65">
        <f>IFERROR($N1868/$N1869-1,"")</f>
        <v/>
      </c>
      <c r="DO1868" s="65">
        <f>IFERROR($M1868/$M1869-1,"")</f>
        <v/>
      </c>
      <c r="DP1868" s="65">
        <f>IFERROR($AZ1868/$AZ1869-1,"")</f>
        <v/>
      </c>
      <c r="DQ1868" s="65">
        <f>IFERROR($BA1868/$BA1869-1,"")</f>
        <v/>
      </c>
      <c r="DR1868" s="64">
        <f>$O1868-$O1869</f>
        <v/>
      </c>
      <c r="DS1868" s="64">
        <f>$P1868-$P1869</f>
        <v/>
      </c>
      <c r="DT1868" s="64">
        <f>$Q1868-$Q1869</f>
        <v/>
      </c>
      <c r="DU1868" s="64">
        <f>$S1868-$S1869</f>
        <v/>
      </c>
      <c r="DV1868" s="65">
        <f>IFERROR(AVERAGE($AA1869/$AA1868-1,$AB1869/$AB1868-1,$AC1869/$AC1868-1,$AD1869/$AD1868-1,$AE1869/$AE1868-1,$AG1869/$AG1868-1,$AH1869/$AH1868-1,$AI1869/$AI1868-1,$AJ1869/$AJ1868-1,$AL1869/$AL1868-1,$AM1869/$AM1868-1,$AR1869/$AR1868-1,$AS1869/$AS1868-1,$AT1869/$AT1868-1,$AU1869/$AU1868-1,$AV1869/$AV1868-1,$AW1869/$AW1868-1,$AX1869/$AX1868-1,$AY1869/$AY1868-1),"")</f>
        <v/>
      </c>
      <c r="DW1868" s="66">
        <f>AVERAGE($CB1868,$CC1868,$CD1868,$CE1868,$CF1868,$CG1868,$CH1868,$CI1868,$CJ1868,$CL1868,$CM1868,$CN1868,$CO1868,$CP1868,$CQ1868,$CR1868,$CS1868,$CT1868)</f>
        <v/>
      </c>
      <c r="DX1868" s="66">
        <f>AVERAGE($CB1868,$CC1868,$CM1868,$CE1868,$CP1868)</f>
        <v/>
      </c>
      <c r="DY1868" s="64">
        <f>($DW1868-$DW1869)*100</f>
        <v/>
      </c>
      <c r="DZ1868" s="64">
        <f>($DX1868-$DX1869)*100</f>
        <v/>
      </c>
      <c r="EA1868" s="64">
        <f>($DW1868-$D1868)*100</f>
        <v/>
      </c>
      <c r="EB1868" s="64">
        <f>$Q1868-$O1868</f>
        <v/>
      </c>
      <c r="EC1868" s="67">
        <f>IFERROR($Q1868/$P1868,"")</f>
        <v/>
      </c>
    </row>
    <row r="1869">
      <c r="DG1869" s="64">
        <f>($B1869-$B1870)*100</f>
        <v/>
      </c>
      <c r="DH1869" s="64">
        <f>($D1869-$D1870)*100</f>
        <v/>
      </c>
      <c r="DI1869" s="64">
        <f>($E1869-$E1870)*100</f>
        <v/>
      </c>
      <c r="DJ1869" s="64">
        <f>($H1869-$H1870)*100</f>
        <v/>
      </c>
      <c r="DK1869" s="65">
        <f>IFERROR($J1869/$J1870-1,"")</f>
        <v/>
      </c>
      <c r="DL1869" s="64">
        <f>$L1869-$L1870</f>
        <v/>
      </c>
      <c r="DM1869" s="64">
        <f>$K1869-$K1870</f>
        <v/>
      </c>
      <c r="DN1869" s="65">
        <f>IFERROR($N1869/$N1870-1,"")</f>
        <v/>
      </c>
      <c r="DO1869" s="65">
        <f>IFERROR($M1869/$M1870-1,"")</f>
        <v/>
      </c>
      <c r="DP1869" s="65">
        <f>IFERROR($AZ1869/$AZ1870-1,"")</f>
        <v/>
      </c>
      <c r="DQ1869" s="65">
        <f>IFERROR($BA1869/$BA1870-1,"")</f>
        <v/>
      </c>
      <c r="DR1869" s="64">
        <f>$O1869-$O1870</f>
        <v/>
      </c>
      <c r="DS1869" s="64">
        <f>$P1869-$P1870</f>
        <v/>
      </c>
      <c r="DT1869" s="64">
        <f>$Q1869-$Q1870</f>
        <v/>
      </c>
      <c r="DU1869" s="64">
        <f>$S1869-$S1870</f>
        <v/>
      </c>
      <c r="DV1869" s="65">
        <f>IFERROR(AVERAGE($AA1870/$AA1869-1,$AB1870/$AB1869-1,$AC1870/$AC1869-1,$AD1870/$AD1869-1,$AE1870/$AE1869-1,$AG1870/$AG1869-1,$AH1870/$AH1869-1,$AI1870/$AI1869-1,$AJ1870/$AJ1869-1,$AL1870/$AL1869-1,$AM1870/$AM1869-1,$AR1870/$AR1869-1,$AS1870/$AS1869-1,$AT1870/$AT1869-1,$AU1870/$AU1869-1,$AV1870/$AV1869-1,$AW1870/$AW1869-1,$AX1870/$AX1869-1,$AY1870/$AY1869-1),"")</f>
        <v/>
      </c>
      <c r="DW1869" s="66">
        <f>AVERAGE($CB1869,$CC1869,$CD1869,$CE1869,$CF1869,$CG1869,$CH1869,$CI1869,$CJ1869,$CL1869,$CM1869,$CN1869,$CO1869,$CP1869,$CQ1869,$CR1869,$CS1869,$CT1869)</f>
        <v/>
      </c>
      <c r="DX1869" s="66">
        <f>AVERAGE($CB1869,$CC1869,$CM1869,$CE1869,$CP1869)</f>
        <v/>
      </c>
      <c r="DY1869" s="64">
        <f>($DW1869-$DW1870)*100</f>
        <v/>
      </c>
      <c r="DZ1869" s="64">
        <f>($DX1869-$DX1870)*100</f>
        <v/>
      </c>
      <c r="EA1869" s="64">
        <f>($DW1869-$D1869)*100</f>
        <v/>
      </c>
      <c r="EB1869" s="64">
        <f>$Q1869-$O1869</f>
        <v/>
      </c>
      <c r="EC1869" s="67">
        <f>IFERROR($Q1869/$P1869,"")</f>
        <v/>
      </c>
    </row>
    <row r="1870">
      <c r="DG1870" s="64">
        <f>($B1870-$B1871)*100</f>
        <v/>
      </c>
      <c r="DH1870" s="64">
        <f>($D1870-$D1871)*100</f>
        <v/>
      </c>
      <c r="DI1870" s="64">
        <f>($E1870-$E1871)*100</f>
        <v/>
      </c>
      <c r="DJ1870" s="64">
        <f>($H1870-$H1871)*100</f>
        <v/>
      </c>
      <c r="DK1870" s="65">
        <f>IFERROR($J1870/$J1871-1,"")</f>
        <v/>
      </c>
      <c r="DL1870" s="64">
        <f>$L1870-$L1871</f>
        <v/>
      </c>
      <c r="DM1870" s="64">
        <f>$K1870-$K1871</f>
        <v/>
      </c>
      <c r="DN1870" s="65">
        <f>IFERROR($N1870/$N1871-1,"")</f>
        <v/>
      </c>
      <c r="DO1870" s="65">
        <f>IFERROR($M1870/$M1871-1,"")</f>
        <v/>
      </c>
      <c r="DP1870" s="65">
        <f>IFERROR($AZ1870/$AZ1871-1,"")</f>
        <v/>
      </c>
      <c r="DQ1870" s="65">
        <f>IFERROR($BA1870/$BA1871-1,"")</f>
        <v/>
      </c>
      <c r="DR1870" s="64">
        <f>$O1870-$O1871</f>
        <v/>
      </c>
      <c r="DS1870" s="64">
        <f>$P1870-$P1871</f>
        <v/>
      </c>
      <c r="DT1870" s="64">
        <f>$Q1870-$Q1871</f>
        <v/>
      </c>
      <c r="DU1870" s="64">
        <f>$S1870-$S1871</f>
        <v/>
      </c>
      <c r="DV1870" s="65">
        <f>IFERROR(AVERAGE($AA1871/$AA1870-1,$AB1871/$AB1870-1,$AC1871/$AC1870-1,$AD1871/$AD1870-1,$AE1871/$AE1870-1,$AG1871/$AG1870-1,$AH1871/$AH1870-1,$AI1871/$AI1870-1,$AJ1871/$AJ1870-1,$AL1871/$AL1870-1,$AM1871/$AM1870-1,$AR1871/$AR1870-1,$AS1871/$AS1870-1,$AT1871/$AT1870-1,$AU1871/$AU1870-1,$AV1871/$AV1870-1,$AW1871/$AW1870-1,$AX1871/$AX1870-1,$AY1871/$AY1870-1),"")</f>
        <v/>
      </c>
      <c r="DW1870" s="66">
        <f>AVERAGE($CB1870,$CC1870,$CD1870,$CE1870,$CF1870,$CG1870,$CH1870,$CI1870,$CJ1870,$CL1870,$CM1870,$CN1870,$CO1870,$CP1870,$CQ1870,$CR1870,$CS1870,$CT1870)</f>
        <v/>
      </c>
      <c r="DX1870" s="66">
        <f>AVERAGE($CB1870,$CC1870,$CM1870,$CE1870,$CP1870)</f>
        <v/>
      </c>
      <c r="DY1870" s="64">
        <f>($DW1870-$DW1871)*100</f>
        <v/>
      </c>
      <c r="DZ1870" s="64">
        <f>($DX1870-$DX1871)*100</f>
        <v/>
      </c>
      <c r="EA1870" s="64">
        <f>($DW1870-$D1870)*100</f>
        <v/>
      </c>
      <c r="EB1870" s="64">
        <f>$Q1870-$O1870</f>
        <v/>
      </c>
      <c r="EC1870" s="67">
        <f>IFERROR($Q1870/$P1870,"")</f>
        <v/>
      </c>
    </row>
    <row r="1871">
      <c r="DG1871" s="64">
        <f>($B1871-$B1872)*100</f>
        <v/>
      </c>
      <c r="DH1871" s="64">
        <f>($D1871-$D1872)*100</f>
        <v/>
      </c>
      <c r="DI1871" s="64">
        <f>($E1871-$E1872)*100</f>
        <v/>
      </c>
      <c r="DJ1871" s="64">
        <f>($H1871-$H1872)*100</f>
        <v/>
      </c>
      <c r="DK1871" s="65">
        <f>IFERROR($J1871/$J1872-1,"")</f>
        <v/>
      </c>
      <c r="DL1871" s="64">
        <f>$L1871-$L1872</f>
        <v/>
      </c>
      <c r="DM1871" s="64">
        <f>$K1871-$K1872</f>
        <v/>
      </c>
      <c r="DN1871" s="65">
        <f>IFERROR($N1871/$N1872-1,"")</f>
        <v/>
      </c>
      <c r="DO1871" s="65">
        <f>IFERROR($M1871/$M1872-1,"")</f>
        <v/>
      </c>
      <c r="DP1871" s="65">
        <f>IFERROR($AZ1871/$AZ1872-1,"")</f>
        <v/>
      </c>
      <c r="DQ1871" s="65">
        <f>IFERROR($BA1871/$BA1872-1,"")</f>
        <v/>
      </c>
      <c r="DR1871" s="64">
        <f>$O1871-$O1872</f>
        <v/>
      </c>
      <c r="DS1871" s="64">
        <f>$P1871-$P1872</f>
        <v/>
      </c>
      <c r="DT1871" s="64">
        <f>$Q1871-$Q1872</f>
        <v/>
      </c>
      <c r="DU1871" s="64">
        <f>$S1871-$S1872</f>
        <v/>
      </c>
      <c r="DV1871" s="65">
        <f>IFERROR(AVERAGE($AA1872/$AA1871-1,$AB1872/$AB1871-1,$AC1872/$AC1871-1,$AD1872/$AD1871-1,$AE1872/$AE1871-1,$AG1872/$AG1871-1,$AH1872/$AH1871-1,$AI1872/$AI1871-1,$AJ1872/$AJ1871-1,$AL1872/$AL1871-1,$AM1872/$AM1871-1,$AR1872/$AR1871-1,$AS1872/$AS1871-1,$AT1872/$AT1871-1,$AU1872/$AU1871-1,$AV1872/$AV1871-1,$AW1872/$AW1871-1,$AX1872/$AX1871-1,$AY1872/$AY1871-1),"")</f>
        <v/>
      </c>
      <c r="DW1871" s="66">
        <f>AVERAGE($CB1871,$CC1871,$CD1871,$CE1871,$CF1871,$CG1871,$CH1871,$CI1871,$CJ1871,$CL1871,$CM1871,$CN1871,$CO1871,$CP1871,$CQ1871,$CR1871,$CS1871,$CT1871)</f>
        <v/>
      </c>
      <c r="DX1871" s="66">
        <f>AVERAGE($CB1871,$CC1871,$CM1871,$CE1871,$CP1871)</f>
        <v/>
      </c>
      <c r="DY1871" s="64">
        <f>($DW1871-$DW1872)*100</f>
        <v/>
      </c>
      <c r="DZ1871" s="64">
        <f>($DX1871-$DX1872)*100</f>
        <v/>
      </c>
      <c r="EA1871" s="64">
        <f>($DW1871-$D1871)*100</f>
        <v/>
      </c>
      <c r="EB1871" s="64">
        <f>$Q1871-$O1871</f>
        <v/>
      </c>
      <c r="EC1871" s="67">
        <f>IFERROR($Q1871/$P1871,"")</f>
        <v/>
      </c>
    </row>
    <row r="1872">
      <c r="DG1872" s="64">
        <f>($B1872-$B1873)*100</f>
        <v/>
      </c>
      <c r="DH1872" s="64">
        <f>($D1872-$D1873)*100</f>
        <v/>
      </c>
      <c r="DI1872" s="64">
        <f>($E1872-$E1873)*100</f>
        <v/>
      </c>
      <c r="DJ1872" s="64">
        <f>($H1872-$H1873)*100</f>
        <v/>
      </c>
      <c r="DK1872" s="65">
        <f>IFERROR($J1872/$J1873-1,"")</f>
        <v/>
      </c>
      <c r="DL1872" s="64">
        <f>$L1872-$L1873</f>
        <v/>
      </c>
      <c r="DM1872" s="64">
        <f>$K1872-$K1873</f>
        <v/>
      </c>
      <c r="DN1872" s="65">
        <f>IFERROR($N1872/$N1873-1,"")</f>
        <v/>
      </c>
      <c r="DO1872" s="65">
        <f>IFERROR($M1872/$M1873-1,"")</f>
        <v/>
      </c>
      <c r="DP1872" s="65">
        <f>IFERROR($AZ1872/$AZ1873-1,"")</f>
        <v/>
      </c>
      <c r="DQ1872" s="65">
        <f>IFERROR($BA1872/$BA1873-1,"")</f>
        <v/>
      </c>
      <c r="DR1872" s="64">
        <f>$O1872-$O1873</f>
        <v/>
      </c>
      <c r="DS1872" s="64">
        <f>$P1872-$P1873</f>
        <v/>
      </c>
      <c r="DT1872" s="64">
        <f>$Q1872-$Q1873</f>
        <v/>
      </c>
      <c r="DU1872" s="64">
        <f>$S1872-$S1873</f>
        <v/>
      </c>
      <c r="DV1872" s="65">
        <f>IFERROR(AVERAGE($AA1873/$AA1872-1,$AB1873/$AB1872-1,$AC1873/$AC1872-1,$AD1873/$AD1872-1,$AE1873/$AE1872-1,$AG1873/$AG1872-1,$AH1873/$AH1872-1,$AI1873/$AI1872-1,$AJ1873/$AJ1872-1,$AL1873/$AL1872-1,$AM1873/$AM1872-1,$AR1873/$AR1872-1,$AS1873/$AS1872-1,$AT1873/$AT1872-1,$AU1873/$AU1872-1,$AV1873/$AV1872-1,$AW1873/$AW1872-1,$AX1873/$AX1872-1,$AY1873/$AY1872-1),"")</f>
        <v/>
      </c>
      <c r="DW1872" s="66">
        <f>AVERAGE($CB1872,$CC1872,$CD1872,$CE1872,$CF1872,$CG1872,$CH1872,$CI1872,$CJ1872,$CL1872,$CM1872,$CN1872,$CO1872,$CP1872,$CQ1872,$CR1872,$CS1872,$CT1872)</f>
        <v/>
      </c>
      <c r="DX1872" s="66">
        <f>AVERAGE($CB1872,$CC1872,$CM1872,$CE1872,$CP1872)</f>
        <v/>
      </c>
      <c r="DY1872" s="64">
        <f>($DW1872-$DW1873)*100</f>
        <v/>
      </c>
      <c r="DZ1872" s="64">
        <f>($DX1872-$DX1873)*100</f>
        <v/>
      </c>
      <c r="EA1872" s="64">
        <f>($DW1872-$D1872)*100</f>
        <v/>
      </c>
      <c r="EB1872" s="64">
        <f>$Q1872-$O1872</f>
        <v/>
      </c>
      <c r="EC1872" s="67">
        <f>IFERROR($Q1872/$P1872,"")</f>
        <v/>
      </c>
    </row>
    <row r="1873">
      <c r="DG1873" s="64">
        <f>($B1873-$B1874)*100</f>
        <v/>
      </c>
      <c r="DH1873" s="64">
        <f>($D1873-$D1874)*100</f>
        <v/>
      </c>
      <c r="DI1873" s="64">
        <f>($E1873-$E1874)*100</f>
        <v/>
      </c>
      <c r="DJ1873" s="64">
        <f>($H1873-$H1874)*100</f>
        <v/>
      </c>
      <c r="DK1873" s="65">
        <f>IFERROR($J1873/$J1874-1,"")</f>
        <v/>
      </c>
      <c r="DL1873" s="64">
        <f>$L1873-$L1874</f>
        <v/>
      </c>
      <c r="DM1873" s="64">
        <f>$K1873-$K1874</f>
        <v/>
      </c>
      <c r="DN1873" s="65">
        <f>IFERROR($N1873/$N1874-1,"")</f>
        <v/>
      </c>
      <c r="DO1873" s="65">
        <f>IFERROR($M1873/$M1874-1,"")</f>
        <v/>
      </c>
      <c r="DP1873" s="65">
        <f>IFERROR($AZ1873/$AZ1874-1,"")</f>
        <v/>
      </c>
      <c r="DQ1873" s="65">
        <f>IFERROR($BA1873/$BA1874-1,"")</f>
        <v/>
      </c>
      <c r="DR1873" s="64">
        <f>$O1873-$O1874</f>
        <v/>
      </c>
      <c r="DS1873" s="64">
        <f>$P1873-$P1874</f>
        <v/>
      </c>
      <c r="DT1873" s="64">
        <f>$Q1873-$Q1874</f>
        <v/>
      </c>
      <c r="DU1873" s="64">
        <f>$S1873-$S1874</f>
        <v/>
      </c>
      <c r="DV1873" s="65">
        <f>IFERROR(AVERAGE($AA1874/$AA1873-1,$AB1874/$AB1873-1,$AC1874/$AC1873-1,$AD1874/$AD1873-1,$AE1874/$AE1873-1,$AG1874/$AG1873-1,$AH1874/$AH1873-1,$AI1874/$AI1873-1,$AJ1874/$AJ1873-1,$AL1874/$AL1873-1,$AM1874/$AM1873-1,$AR1874/$AR1873-1,$AS1874/$AS1873-1,$AT1874/$AT1873-1,$AU1874/$AU1873-1,$AV1874/$AV1873-1,$AW1874/$AW1873-1,$AX1874/$AX1873-1,$AY1874/$AY1873-1),"")</f>
        <v/>
      </c>
      <c r="DW1873" s="66">
        <f>AVERAGE($CB1873,$CC1873,$CD1873,$CE1873,$CF1873,$CG1873,$CH1873,$CI1873,$CJ1873,$CL1873,$CM1873,$CN1873,$CO1873,$CP1873,$CQ1873,$CR1873,$CS1873,$CT1873)</f>
        <v/>
      </c>
      <c r="DX1873" s="66">
        <f>AVERAGE($CB1873,$CC1873,$CM1873,$CE1873,$CP1873)</f>
        <v/>
      </c>
      <c r="DY1873" s="64">
        <f>($DW1873-$DW1874)*100</f>
        <v/>
      </c>
      <c r="DZ1873" s="64">
        <f>($DX1873-$DX1874)*100</f>
        <v/>
      </c>
      <c r="EA1873" s="64">
        <f>($DW1873-$D1873)*100</f>
        <v/>
      </c>
      <c r="EB1873" s="64">
        <f>$Q1873-$O1873</f>
        <v/>
      </c>
      <c r="EC1873" s="67">
        <f>IFERROR($Q1873/$P1873,"")</f>
        <v/>
      </c>
    </row>
    <row r="1874">
      <c r="DG1874" s="64">
        <f>($B1874-$B1875)*100</f>
        <v/>
      </c>
      <c r="DH1874" s="64">
        <f>($D1874-$D1875)*100</f>
        <v/>
      </c>
      <c r="DI1874" s="64">
        <f>($E1874-$E1875)*100</f>
        <v/>
      </c>
      <c r="DJ1874" s="64">
        <f>($H1874-$H1875)*100</f>
        <v/>
      </c>
      <c r="DK1874" s="65">
        <f>IFERROR($J1874/$J1875-1,"")</f>
        <v/>
      </c>
      <c r="DL1874" s="64">
        <f>$L1874-$L1875</f>
        <v/>
      </c>
      <c r="DM1874" s="64">
        <f>$K1874-$K1875</f>
        <v/>
      </c>
      <c r="DN1874" s="65">
        <f>IFERROR($N1874/$N1875-1,"")</f>
        <v/>
      </c>
      <c r="DO1874" s="65">
        <f>IFERROR($M1874/$M1875-1,"")</f>
        <v/>
      </c>
      <c r="DP1874" s="65">
        <f>IFERROR($AZ1874/$AZ1875-1,"")</f>
        <v/>
      </c>
      <c r="DQ1874" s="65">
        <f>IFERROR($BA1874/$BA1875-1,"")</f>
        <v/>
      </c>
      <c r="DR1874" s="64">
        <f>$O1874-$O1875</f>
        <v/>
      </c>
      <c r="DS1874" s="64">
        <f>$P1874-$P1875</f>
        <v/>
      </c>
      <c r="DT1874" s="64">
        <f>$Q1874-$Q1875</f>
        <v/>
      </c>
      <c r="DU1874" s="64">
        <f>$S1874-$S1875</f>
        <v/>
      </c>
      <c r="DV1874" s="65">
        <f>IFERROR(AVERAGE($AA1875/$AA1874-1,$AB1875/$AB1874-1,$AC1875/$AC1874-1,$AD1875/$AD1874-1,$AE1875/$AE1874-1,$AG1875/$AG1874-1,$AH1875/$AH1874-1,$AI1875/$AI1874-1,$AJ1875/$AJ1874-1,$AL1875/$AL1874-1,$AM1875/$AM1874-1,$AR1875/$AR1874-1,$AS1875/$AS1874-1,$AT1875/$AT1874-1,$AU1875/$AU1874-1,$AV1875/$AV1874-1,$AW1875/$AW1874-1,$AX1875/$AX1874-1,$AY1875/$AY1874-1),"")</f>
        <v/>
      </c>
      <c r="DW1874" s="66">
        <f>AVERAGE($CB1874,$CC1874,$CD1874,$CE1874,$CF1874,$CG1874,$CH1874,$CI1874,$CJ1874,$CL1874,$CM1874,$CN1874,$CO1874,$CP1874,$CQ1874,$CR1874,$CS1874,$CT1874)</f>
        <v/>
      </c>
      <c r="DX1874" s="66">
        <f>AVERAGE($CB1874,$CC1874,$CM1874,$CE1874,$CP1874)</f>
        <v/>
      </c>
      <c r="DY1874" s="64">
        <f>($DW1874-$DW1875)*100</f>
        <v/>
      </c>
      <c r="DZ1874" s="64">
        <f>($DX1874-$DX1875)*100</f>
        <v/>
      </c>
      <c r="EA1874" s="64">
        <f>($DW1874-$D1874)*100</f>
        <v/>
      </c>
      <c r="EB1874" s="64">
        <f>$Q1874-$O1874</f>
        <v/>
      </c>
      <c r="EC1874" s="67">
        <f>IFERROR($Q1874/$P1874,"")</f>
        <v/>
      </c>
    </row>
    <row r="1875">
      <c r="DG1875" s="64">
        <f>($B1875-$B1876)*100</f>
        <v/>
      </c>
      <c r="DH1875" s="64">
        <f>($D1875-$D1876)*100</f>
        <v/>
      </c>
      <c r="DI1875" s="64">
        <f>($E1875-$E1876)*100</f>
        <v/>
      </c>
      <c r="DJ1875" s="64">
        <f>($H1875-$H1876)*100</f>
        <v/>
      </c>
      <c r="DK1875" s="65">
        <f>IFERROR($J1875/$J1876-1,"")</f>
        <v/>
      </c>
      <c r="DL1875" s="64">
        <f>$L1875-$L1876</f>
        <v/>
      </c>
      <c r="DM1875" s="64">
        <f>$K1875-$K1876</f>
        <v/>
      </c>
      <c r="DN1875" s="65">
        <f>IFERROR($N1875/$N1876-1,"")</f>
        <v/>
      </c>
      <c r="DO1875" s="65">
        <f>IFERROR($M1875/$M1876-1,"")</f>
        <v/>
      </c>
      <c r="DP1875" s="65">
        <f>IFERROR($AZ1875/$AZ1876-1,"")</f>
        <v/>
      </c>
      <c r="DQ1875" s="65">
        <f>IFERROR($BA1875/$BA1876-1,"")</f>
        <v/>
      </c>
      <c r="DR1875" s="64">
        <f>$O1875-$O1876</f>
        <v/>
      </c>
      <c r="DS1875" s="64">
        <f>$P1875-$P1876</f>
        <v/>
      </c>
      <c r="DT1875" s="64">
        <f>$Q1875-$Q1876</f>
        <v/>
      </c>
      <c r="DU1875" s="64">
        <f>$S1875-$S1876</f>
        <v/>
      </c>
      <c r="DV1875" s="65">
        <f>IFERROR(AVERAGE($AA1876/$AA1875-1,$AB1876/$AB1875-1,$AC1876/$AC1875-1,$AD1876/$AD1875-1,$AE1876/$AE1875-1,$AG1876/$AG1875-1,$AH1876/$AH1875-1,$AI1876/$AI1875-1,$AJ1876/$AJ1875-1,$AL1876/$AL1875-1,$AM1876/$AM1875-1,$AR1876/$AR1875-1,$AS1876/$AS1875-1,$AT1876/$AT1875-1,$AU1876/$AU1875-1,$AV1876/$AV1875-1,$AW1876/$AW1875-1,$AX1876/$AX1875-1,$AY1876/$AY1875-1),"")</f>
        <v/>
      </c>
      <c r="DW1875" s="66">
        <f>AVERAGE($CB1875,$CC1875,$CD1875,$CE1875,$CF1875,$CG1875,$CH1875,$CI1875,$CJ1875,$CL1875,$CM1875,$CN1875,$CO1875,$CP1875,$CQ1875,$CR1875,$CS1875,$CT1875)</f>
        <v/>
      </c>
      <c r="DX1875" s="66">
        <f>AVERAGE($CB1875,$CC1875,$CM1875,$CE1875,$CP1875)</f>
        <v/>
      </c>
      <c r="DY1875" s="64">
        <f>($DW1875-$DW1876)*100</f>
        <v/>
      </c>
      <c r="DZ1875" s="64">
        <f>($DX1875-$DX1876)*100</f>
        <v/>
      </c>
      <c r="EA1875" s="64">
        <f>($DW1875-$D1875)*100</f>
        <v/>
      </c>
      <c r="EB1875" s="64">
        <f>$Q1875-$O1875</f>
        <v/>
      </c>
      <c r="EC1875" s="67">
        <f>IFERROR($Q1875/$P1875,"")</f>
        <v/>
      </c>
    </row>
    <row r="1876">
      <c r="DG1876" s="64">
        <f>($B1876-$B1877)*100</f>
        <v/>
      </c>
      <c r="DH1876" s="64">
        <f>($D1876-$D1877)*100</f>
        <v/>
      </c>
      <c r="DI1876" s="64">
        <f>($E1876-$E1877)*100</f>
        <v/>
      </c>
      <c r="DJ1876" s="64">
        <f>($H1876-$H1877)*100</f>
        <v/>
      </c>
      <c r="DK1876" s="65">
        <f>IFERROR($J1876/$J1877-1,"")</f>
        <v/>
      </c>
      <c r="DL1876" s="64">
        <f>$L1876-$L1877</f>
        <v/>
      </c>
      <c r="DM1876" s="64">
        <f>$K1876-$K1877</f>
        <v/>
      </c>
      <c r="DN1876" s="65">
        <f>IFERROR($N1876/$N1877-1,"")</f>
        <v/>
      </c>
      <c r="DO1876" s="65">
        <f>IFERROR($M1876/$M1877-1,"")</f>
        <v/>
      </c>
      <c r="DP1876" s="65">
        <f>IFERROR($AZ1876/$AZ1877-1,"")</f>
        <v/>
      </c>
      <c r="DQ1876" s="65">
        <f>IFERROR($BA1876/$BA1877-1,"")</f>
        <v/>
      </c>
      <c r="DR1876" s="64">
        <f>$O1876-$O1877</f>
        <v/>
      </c>
      <c r="DS1876" s="64">
        <f>$P1876-$P1877</f>
        <v/>
      </c>
      <c r="DT1876" s="64">
        <f>$Q1876-$Q1877</f>
        <v/>
      </c>
      <c r="DU1876" s="64">
        <f>$S1876-$S1877</f>
        <v/>
      </c>
      <c r="DV1876" s="65">
        <f>IFERROR(AVERAGE($AA1877/$AA1876-1,$AB1877/$AB1876-1,$AC1877/$AC1876-1,$AD1877/$AD1876-1,$AE1877/$AE1876-1,$AG1877/$AG1876-1,$AH1877/$AH1876-1,$AI1877/$AI1876-1,$AJ1877/$AJ1876-1,$AL1877/$AL1876-1,$AM1877/$AM1876-1,$AR1877/$AR1876-1,$AS1877/$AS1876-1,$AT1877/$AT1876-1,$AU1877/$AU1876-1,$AV1877/$AV1876-1,$AW1877/$AW1876-1,$AX1877/$AX1876-1,$AY1877/$AY1876-1),"")</f>
        <v/>
      </c>
      <c r="DW1876" s="66">
        <f>AVERAGE($CB1876,$CC1876,$CD1876,$CE1876,$CF1876,$CG1876,$CH1876,$CI1876,$CJ1876,$CL1876,$CM1876,$CN1876,$CO1876,$CP1876,$CQ1876,$CR1876,$CS1876,$CT1876)</f>
        <v/>
      </c>
      <c r="DX1876" s="66">
        <f>AVERAGE($CB1876,$CC1876,$CM1876,$CE1876,$CP1876)</f>
        <v/>
      </c>
      <c r="DY1876" s="64">
        <f>($DW1876-$DW1877)*100</f>
        <v/>
      </c>
      <c r="DZ1876" s="64">
        <f>($DX1876-$DX1877)*100</f>
        <v/>
      </c>
      <c r="EA1876" s="64">
        <f>($DW1876-$D1876)*100</f>
        <v/>
      </c>
      <c r="EB1876" s="64">
        <f>$Q1876-$O1876</f>
        <v/>
      </c>
      <c r="EC1876" s="67">
        <f>IFERROR($Q1876/$P1876,"")</f>
        <v/>
      </c>
    </row>
    <row r="1877">
      <c r="DG1877" s="64">
        <f>($B1877-$B1878)*100</f>
        <v/>
      </c>
      <c r="DH1877" s="64">
        <f>($D1877-$D1878)*100</f>
        <v/>
      </c>
      <c r="DI1877" s="64">
        <f>($E1877-$E1878)*100</f>
        <v/>
      </c>
      <c r="DJ1877" s="64">
        <f>($H1877-$H1878)*100</f>
        <v/>
      </c>
      <c r="DK1877" s="65">
        <f>IFERROR($J1877/$J1878-1,"")</f>
        <v/>
      </c>
      <c r="DL1877" s="64">
        <f>$L1877-$L1878</f>
        <v/>
      </c>
      <c r="DM1877" s="64">
        <f>$K1877-$K1878</f>
        <v/>
      </c>
      <c r="DN1877" s="65">
        <f>IFERROR($N1877/$N1878-1,"")</f>
        <v/>
      </c>
      <c r="DO1877" s="65">
        <f>IFERROR($M1877/$M1878-1,"")</f>
        <v/>
      </c>
      <c r="DP1877" s="65">
        <f>IFERROR($AZ1877/$AZ1878-1,"")</f>
        <v/>
      </c>
      <c r="DQ1877" s="65">
        <f>IFERROR($BA1877/$BA1878-1,"")</f>
        <v/>
      </c>
      <c r="DR1877" s="64">
        <f>$O1877-$O1878</f>
        <v/>
      </c>
      <c r="DS1877" s="64">
        <f>$P1877-$P1878</f>
        <v/>
      </c>
      <c r="DT1877" s="64">
        <f>$Q1877-$Q1878</f>
        <v/>
      </c>
      <c r="DU1877" s="64">
        <f>$S1877-$S1878</f>
        <v/>
      </c>
      <c r="DV1877" s="65">
        <f>IFERROR(AVERAGE($AA1878/$AA1877-1,$AB1878/$AB1877-1,$AC1878/$AC1877-1,$AD1878/$AD1877-1,$AE1878/$AE1877-1,$AG1878/$AG1877-1,$AH1878/$AH1877-1,$AI1878/$AI1877-1,$AJ1878/$AJ1877-1,$AL1878/$AL1877-1,$AM1878/$AM1877-1,$AR1878/$AR1877-1,$AS1878/$AS1877-1,$AT1878/$AT1877-1,$AU1878/$AU1877-1,$AV1878/$AV1877-1,$AW1878/$AW1877-1,$AX1878/$AX1877-1,$AY1878/$AY1877-1),"")</f>
        <v/>
      </c>
      <c r="DW1877" s="66">
        <f>AVERAGE($CB1877,$CC1877,$CD1877,$CE1877,$CF1877,$CG1877,$CH1877,$CI1877,$CJ1877,$CL1877,$CM1877,$CN1877,$CO1877,$CP1877,$CQ1877,$CR1877,$CS1877,$CT1877)</f>
        <v/>
      </c>
      <c r="DX1877" s="66">
        <f>AVERAGE($CB1877,$CC1877,$CM1877,$CE1877,$CP1877)</f>
        <v/>
      </c>
      <c r="DY1877" s="64">
        <f>($DW1877-$DW1878)*100</f>
        <v/>
      </c>
      <c r="DZ1877" s="64">
        <f>($DX1877-$DX1878)*100</f>
        <v/>
      </c>
      <c r="EA1877" s="64">
        <f>($DW1877-$D1877)*100</f>
        <v/>
      </c>
      <c r="EB1877" s="64">
        <f>$Q1877-$O1877</f>
        <v/>
      </c>
      <c r="EC1877" s="67">
        <f>IFERROR($Q1877/$P1877,"")</f>
        <v/>
      </c>
    </row>
    <row r="1878">
      <c r="DG1878" s="64">
        <f>($B1878-$B1879)*100</f>
        <v/>
      </c>
      <c r="DH1878" s="64">
        <f>($D1878-$D1879)*100</f>
        <v/>
      </c>
      <c r="DI1878" s="64">
        <f>($E1878-$E1879)*100</f>
        <v/>
      </c>
      <c r="DJ1878" s="64">
        <f>($H1878-$H1879)*100</f>
        <v/>
      </c>
      <c r="DK1878" s="65">
        <f>IFERROR($J1878/$J1879-1,"")</f>
        <v/>
      </c>
      <c r="DL1878" s="64">
        <f>$L1878-$L1879</f>
        <v/>
      </c>
      <c r="DM1878" s="64">
        <f>$K1878-$K1879</f>
        <v/>
      </c>
      <c r="DN1878" s="65">
        <f>IFERROR($N1878/$N1879-1,"")</f>
        <v/>
      </c>
      <c r="DO1878" s="65">
        <f>IFERROR($M1878/$M1879-1,"")</f>
        <v/>
      </c>
      <c r="DP1878" s="65">
        <f>IFERROR($AZ1878/$AZ1879-1,"")</f>
        <v/>
      </c>
      <c r="DQ1878" s="65">
        <f>IFERROR($BA1878/$BA1879-1,"")</f>
        <v/>
      </c>
      <c r="DR1878" s="64">
        <f>$O1878-$O1879</f>
        <v/>
      </c>
      <c r="DS1878" s="64">
        <f>$P1878-$P1879</f>
        <v/>
      </c>
      <c r="DT1878" s="64">
        <f>$Q1878-$Q1879</f>
        <v/>
      </c>
      <c r="DU1878" s="64">
        <f>$S1878-$S1879</f>
        <v/>
      </c>
      <c r="DV1878" s="65">
        <f>IFERROR(AVERAGE($AA1879/$AA1878-1,$AB1879/$AB1878-1,$AC1879/$AC1878-1,$AD1879/$AD1878-1,$AE1879/$AE1878-1,$AG1879/$AG1878-1,$AH1879/$AH1878-1,$AI1879/$AI1878-1,$AJ1879/$AJ1878-1,$AL1879/$AL1878-1,$AM1879/$AM1878-1,$AR1879/$AR1878-1,$AS1879/$AS1878-1,$AT1879/$AT1878-1,$AU1879/$AU1878-1,$AV1879/$AV1878-1,$AW1879/$AW1878-1,$AX1879/$AX1878-1,$AY1879/$AY1878-1),"")</f>
        <v/>
      </c>
      <c r="DW1878" s="66">
        <f>AVERAGE($CB1878,$CC1878,$CD1878,$CE1878,$CF1878,$CG1878,$CH1878,$CI1878,$CJ1878,$CL1878,$CM1878,$CN1878,$CO1878,$CP1878,$CQ1878,$CR1878,$CS1878,$CT1878)</f>
        <v/>
      </c>
      <c r="DX1878" s="66">
        <f>AVERAGE($CB1878,$CC1878,$CM1878,$CE1878,$CP1878)</f>
        <v/>
      </c>
      <c r="DY1878" s="64">
        <f>($DW1878-$DW1879)*100</f>
        <v/>
      </c>
      <c r="DZ1878" s="64">
        <f>($DX1878-$DX1879)*100</f>
        <v/>
      </c>
      <c r="EA1878" s="64">
        <f>($DW1878-$D1878)*100</f>
        <v/>
      </c>
      <c r="EB1878" s="64">
        <f>$Q1878-$O1878</f>
        <v/>
      </c>
      <c r="EC1878" s="67">
        <f>IFERROR($Q1878/$P1878,"")</f>
        <v/>
      </c>
    </row>
    <row r="1879">
      <c r="DG1879" s="64">
        <f>($B1879-$B1880)*100</f>
        <v/>
      </c>
      <c r="DH1879" s="64">
        <f>($D1879-$D1880)*100</f>
        <v/>
      </c>
      <c r="DI1879" s="64">
        <f>($E1879-$E1880)*100</f>
        <v/>
      </c>
      <c r="DJ1879" s="64">
        <f>($H1879-$H1880)*100</f>
        <v/>
      </c>
      <c r="DK1879" s="65">
        <f>IFERROR($J1879/$J1880-1,"")</f>
        <v/>
      </c>
      <c r="DL1879" s="64">
        <f>$L1879-$L1880</f>
        <v/>
      </c>
      <c r="DM1879" s="64">
        <f>$K1879-$K1880</f>
        <v/>
      </c>
      <c r="DN1879" s="65">
        <f>IFERROR($N1879/$N1880-1,"")</f>
        <v/>
      </c>
      <c r="DO1879" s="65">
        <f>IFERROR($M1879/$M1880-1,"")</f>
        <v/>
      </c>
      <c r="DP1879" s="65">
        <f>IFERROR($AZ1879/$AZ1880-1,"")</f>
        <v/>
      </c>
      <c r="DQ1879" s="65">
        <f>IFERROR($BA1879/$BA1880-1,"")</f>
        <v/>
      </c>
      <c r="DR1879" s="64">
        <f>$O1879-$O1880</f>
        <v/>
      </c>
      <c r="DS1879" s="64">
        <f>$P1879-$P1880</f>
        <v/>
      </c>
      <c r="DT1879" s="64">
        <f>$Q1879-$Q1880</f>
        <v/>
      </c>
      <c r="DU1879" s="64">
        <f>$S1879-$S1880</f>
        <v/>
      </c>
      <c r="DV1879" s="65">
        <f>IFERROR(AVERAGE($AA1880/$AA1879-1,$AB1880/$AB1879-1,$AC1880/$AC1879-1,$AD1880/$AD1879-1,$AE1880/$AE1879-1,$AG1880/$AG1879-1,$AH1880/$AH1879-1,$AI1880/$AI1879-1,$AJ1880/$AJ1879-1,$AL1880/$AL1879-1,$AM1880/$AM1879-1,$AR1880/$AR1879-1,$AS1880/$AS1879-1,$AT1880/$AT1879-1,$AU1880/$AU1879-1,$AV1880/$AV1879-1,$AW1880/$AW1879-1,$AX1880/$AX1879-1,$AY1880/$AY1879-1),"")</f>
        <v/>
      </c>
      <c r="DW1879" s="66">
        <f>AVERAGE($CB1879,$CC1879,$CD1879,$CE1879,$CF1879,$CG1879,$CH1879,$CI1879,$CJ1879,$CL1879,$CM1879,$CN1879,$CO1879,$CP1879,$CQ1879,$CR1879,$CS1879,$CT1879)</f>
        <v/>
      </c>
      <c r="DX1879" s="66">
        <f>AVERAGE($CB1879,$CC1879,$CM1879,$CE1879,$CP1879)</f>
        <v/>
      </c>
      <c r="DY1879" s="64">
        <f>($DW1879-$DW1880)*100</f>
        <v/>
      </c>
      <c r="DZ1879" s="64">
        <f>($DX1879-$DX1880)*100</f>
        <v/>
      </c>
      <c r="EA1879" s="64">
        <f>($DW1879-$D1879)*100</f>
        <v/>
      </c>
      <c r="EB1879" s="64">
        <f>$Q1879-$O1879</f>
        <v/>
      </c>
      <c r="EC1879" s="67">
        <f>IFERROR($Q1879/$P1879,"")</f>
        <v/>
      </c>
    </row>
    <row r="1880">
      <c r="DG1880" s="64">
        <f>($B1880-$B1881)*100</f>
        <v/>
      </c>
      <c r="DH1880" s="64">
        <f>($D1880-$D1881)*100</f>
        <v/>
      </c>
      <c r="DI1880" s="64">
        <f>($E1880-$E1881)*100</f>
        <v/>
      </c>
      <c r="DJ1880" s="64">
        <f>($H1880-$H1881)*100</f>
        <v/>
      </c>
      <c r="DK1880" s="65">
        <f>IFERROR($J1880/$J1881-1,"")</f>
        <v/>
      </c>
      <c r="DL1880" s="64">
        <f>$L1880-$L1881</f>
        <v/>
      </c>
      <c r="DM1880" s="64">
        <f>$K1880-$K1881</f>
        <v/>
      </c>
      <c r="DN1880" s="65">
        <f>IFERROR($N1880/$N1881-1,"")</f>
        <v/>
      </c>
      <c r="DO1880" s="65">
        <f>IFERROR($M1880/$M1881-1,"")</f>
        <v/>
      </c>
      <c r="DP1880" s="65">
        <f>IFERROR($AZ1880/$AZ1881-1,"")</f>
        <v/>
      </c>
      <c r="DQ1880" s="65">
        <f>IFERROR($BA1880/$BA1881-1,"")</f>
        <v/>
      </c>
      <c r="DR1880" s="64">
        <f>$O1880-$O1881</f>
        <v/>
      </c>
      <c r="DS1880" s="64">
        <f>$P1880-$P1881</f>
        <v/>
      </c>
      <c r="DT1880" s="64">
        <f>$Q1880-$Q1881</f>
        <v/>
      </c>
      <c r="DU1880" s="64">
        <f>$S1880-$S1881</f>
        <v/>
      </c>
      <c r="DV1880" s="65">
        <f>IFERROR(AVERAGE($AA1881/$AA1880-1,$AB1881/$AB1880-1,$AC1881/$AC1880-1,$AD1881/$AD1880-1,$AE1881/$AE1880-1,$AG1881/$AG1880-1,$AH1881/$AH1880-1,$AI1881/$AI1880-1,$AJ1881/$AJ1880-1,$AL1881/$AL1880-1,$AM1881/$AM1880-1,$AR1881/$AR1880-1,$AS1881/$AS1880-1,$AT1881/$AT1880-1,$AU1881/$AU1880-1,$AV1881/$AV1880-1,$AW1881/$AW1880-1,$AX1881/$AX1880-1,$AY1881/$AY1880-1),"")</f>
        <v/>
      </c>
      <c r="DW1880" s="66">
        <f>AVERAGE($CB1880,$CC1880,$CD1880,$CE1880,$CF1880,$CG1880,$CH1880,$CI1880,$CJ1880,$CL1880,$CM1880,$CN1880,$CO1880,$CP1880,$CQ1880,$CR1880,$CS1880,$CT1880)</f>
        <v/>
      </c>
      <c r="DX1880" s="66">
        <f>AVERAGE($CB1880,$CC1880,$CM1880,$CE1880,$CP1880)</f>
        <v/>
      </c>
      <c r="DY1880" s="64">
        <f>($DW1880-$DW1881)*100</f>
        <v/>
      </c>
      <c r="DZ1880" s="64">
        <f>($DX1880-$DX1881)*100</f>
        <v/>
      </c>
      <c r="EA1880" s="64">
        <f>($DW1880-$D1880)*100</f>
        <v/>
      </c>
      <c r="EB1880" s="64">
        <f>$Q1880-$O1880</f>
        <v/>
      </c>
      <c r="EC1880" s="67">
        <f>IFERROR($Q1880/$P1880,"")</f>
        <v/>
      </c>
    </row>
    <row r="1881">
      <c r="DG1881" s="64">
        <f>($B1881-$B1882)*100</f>
        <v/>
      </c>
      <c r="DH1881" s="64">
        <f>($D1881-$D1882)*100</f>
        <v/>
      </c>
      <c r="DI1881" s="64">
        <f>($E1881-$E1882)*100</f>
        <v/>
      </c>
      <c r="DJ1881" s="64">
        <f>($H1881-$H1882)*100</f>
        <v/>
      </c>
      <c r="DK1881" s="65">
        <f>IFERROR($J1881/$J1882-1,"")</f>
        <v/>
      </c>
      <c r="DL1881" s="64">
        <f>$L1881-$L1882</f>
        <v/>
      </c>
      <c r="DM1881" s="64">
        <f>$K1881-$K1882</f>
        <v/>
      </c>
      <c r="DN1881" s="65">
        <f>IFERROR($N1881/$N1882-1,"")</f>
        <v/>
      </c>
      <c r="DO1881" s="65">
        <f>IFERROR($M1881/$M1882-1,"")</f>
        <v/>
      </c>
      <c r="DP1881" s="65">
        <f>IFERROR($AZ1881/$AZ1882-1,"")</f>
        <v/>
      </c>
      <c r="DQ1881" s="65">
        <f>IFERROR($BA1881/$BA1882-1,"")</f>
        <v/>
      </c>
      <c r="DR1881" s="64">
        <f>$O1881-$O1882</f>
        <v/>
      </c>
      <c r="DS1881" s="64">
        <f>$P1881-$P1882</f>
        <v/>
      </c>
      <c r="DT1881" s="64">
        <f>$Q1881-$Q1882</f>
        <v/>
      </c>
      <c r="DU1881" s="64">
        <f>$S1881-$S1882</f>
        <v/>
      </c>
      <c r="DV1881" s="65">
        <f>IFERROR(AVERAGE($AA1882/$AA1881-1,$AB1882/$AB1881-1,$AC1882/$AC1881-1,$AD1882/$AD1881-1,$AE1882/$AE1881-1,$AG1882/$AG1881-1,$AH1882/$AH1881-1,$AI1882/$AI1881-1,$AJ1882/$AJ1881-1,$AL1882/$AL1881-1,$AM1882/$AM1881-1,$AR1882/$AR1881-1,$AS1882/$AS1881-1,$AT1882/$AT1881-1,$AU1882/$AU1881-1,$AV1882/$AV1881-1,$AW1882/$AW1881-1,$AX1882/$AX1881-1,$AY1882/$AY1881-1),"")</f>
        <v/>
      </c>
      <c r="DW1881" s="66">
        <f>AVERAGE($CB1881,$CC1881,$CD1881,$CE1881,$CF1881,$CG1881,$CH1881,$CI1881,$CJ1881,$CL1881,$CM1881,$CN1881,$CO1881,$CP1881,$CQ1881,$CR1881,$CS1881,$CT1881)</f>
        <v/>
      </c>
      <c r="DX1881" s="66">
        <f>AVERAGE($CB1881,$CC1881,$CM1881,$CE1881,$CP1881)</f>
        <v/>
      </c>
      <c r="DY1881" s="64">
        <f>($DW1881-$DW1882)*100</f>
        <v/>
      </c>
      <c r="DZ1881" s="64">
        <f>($DX1881-$DX1882)*100</f>
        <v/>
      </c>
      <c r="EA1881" s="64">
        <f>($DW1881-$D1881)*100</f>
        <v/>
      </c>
      <c r="EB1881" s="64">
        <f>$Q1881-$O1881</f>
        <v/>
      </c>
      <c r="EC1881" s="67">
        <f>IFERROR($Q1881/$P1881,"")</f>
        <v/>
      </c>
    </row>
    <row r="1882">
      <c r="DG1882" s="64">
        <f>($B1882-$B1883)*100</f>
        <v/>
      </c>
      <c r="DH1882" s="64">
        <f>($D1882-$D1883)*100</f>
        <v/>
      </c>
      <c r="DI1882" s="64">
        <f>($E1882-$E1883)*100</f>
        <v/>
      </c>
      <c r="DJ1882" s="64">
        <f>($H1882-$H1883)*100</f>
        <v/>
      </c>
      <c r="DK1882" s="65">
        <f>IFERROR($J1882/$J1883-1,"")</f>
        <v/>
      </c>
      <c r="DL1882" s="64">
        <f>$L1882-$L1883</f>
        <v/>
      </c>
      <c r="DM1882" s="64">
        <f>$K1882-$K1883</f>
        <v/>
      </c>
      <c r="DN1882" s="65">
        <f>IFERROR($N1882/$N1883-1,"")</f>
        <v/>
      </c>
      <c r="DO1882" s="65">
        <f>IFERROR($M1882/$M1883-1,"")</f>
        <v/>
      </c>
      <c r="DP1882" s="65">
        <f>IFERROR($AZ1882/$AZ1883-1,"")</f>
        <v/>
      </c>
      <c r="DQ1882" s="65">
        <f>IFERROR($BA1882/$BA1883-1,"")</f>
        <v/>
      </c>
      <c r="DR1882" s="64">
        <f>$O1882-$O1883</f>
        <v/>
      </c>
      <c r="DS1882" s="64">
        <f>$P1882-$P1883</f>
        <v/>
      </c>
      <c r="DT1882" s="64">
        <f>$Q1882-$Q1883</f>
        <v/>
      </c>
      <c r="DU1882" s="64">
        <f>$S1882-$S1883</f>
        <v/>
      </c>
      <c r="DV1882" s="65">
        <f>IFERROR(AVERAGE($AA1883/$AA1882-1,$AB1883/$AB1882-1,$AC1883/$AC1882-1,$AD1883/$AD1882-1,$AE1883/$AE1882-1,$AG1883/$AG1882-1,$AH1883/$AH1882-1,$AI1883/$AI1882-1,$AJ1883/$AJ1882-1,$AL1883/$AL1882-1,$AM1883/$AM1882-1,$AR1883/$AR1882-1,$AS1883/$AS1882-1,$AT1883/$AT1882-1,$AU1883/$AU1882-1,$AV1883/$AV1882-1,$AW1883/$AW1882-1,$AX1883/$AX1882-1,$AY1883/$AY1882-1),"")</f>
        <v/>
      </c>
      <c r="DW1882" s="66">
        <f>AVERAGE($CB1882,$CC1882,$CD1882,$CE1882,$CF1882,$CG1882,$CH1882,$CI1882,$CJ1882,$CL1882,$CM1882,$CN1882,$CO1882,$CP1882,$CQ1882,$CR1882,$CS1882,$CT1882)</f>
        <v/>
      </c>
      <c r="DX1882" s="66">
        <f>AVERAGE($CB1882,$CC1882,$CM1882,$CE1882,$CP1882)</f>
        <v/>
      </c>
      <c r="DY1882" s="64">
        <f>($DW1882-$DW1883)*100</f>
        <v/>
      </c>
      <c r="DZ1882" s="64">
        <f>($DX1882-$DX1883)*100</f>
        <v/>
      </c>
      <c r="EA1882" s="64">
        <f>($DW1882-$D1882)*100</f>
        <v/>
      </c>
      <c r="EB1882" s="64">
        <f>$Q1882-$O1882</f>
        <v/>
      </c>
      <c r="EC1882" s="67">
        <f>IFERROR($Q1882/$P1882,"")</f>
        <v/>
      </c>
    </row>
    <row r="1883">
      <c r="DG1883" s="64">
        <f>($B1883-$B1884)*100</f>
        <v/>
      </c>
      <c r="DH1883" s="64">
        <f>($D1883-$D1884)*100</f>
        <v/>
      </c>
      <c r="DI1883" s="64">
        <f>($E1883-$E1884)*100</f>
        <v/>
      </c>
      <c r="DJ1883" s="64">
        <f>($H1883-$H1884)*100</f>
        <v/>
      </c>
      <c r="DK1883" s="65">
        <f>IFERROR($J1883/$J1884-1,"")</f>
        <v/>
      </c>
      <c r="DL1883" s="64">
        <f>$L1883-$L1884</f>
        <v/>
      </c>
      <c r="DM1883" s="64">
        <f>$K1883-$K1884</f>
        <v/>
      </c>
      <c r="DN1883" s="65">
        <f>IFERROR($N1883/$N1884-1,"")</f>
        <v/>
      </c>
      <c r="DO1883" s="65">
        <f>IFERROR($M1883/$M1884-1,"")</f>
        <v/>
      </c>
      <c r="DP1883" s="65">
        <f>IFERROR($AZ1883/$AZ1884-1,"")</f>
        <v/>
      </c>
      <c r="DQ1883" s="65">
        <f>IFERROR($BA1883/$BA1884-1,"")</f>
        <v/>
      </c>
      <c r="DR1883" s="64">
        <f>$O1883-$O1884</f>
        <v/>
      </c>
      <c r="DS1883" s="64">
        <f>$P1883-$P1884</f>
        <v/>
      </c>
      <c r="DT1883" s="64">
        <f>$Q1883-$Q1884</f>
        <v/>
      </c>
      <c r="DU1883" s="64">
        <f>$S1883-$S1884</f>
        <v/>
      </c>
      <c r="DV1883" s="65">
        <f>IFERROR(AVERAGE($AA1884/$AA1883-1,$AB1884/$AB1883-1,$AC1884/$AC1883-1,$AD1884/$AD1883-1,$AE1884/$AE1883-1,$AG1884/$AG1883-1,$AH1884/$AH1883-1,$AI1884/$AI1883-1,$AJ1884/$AJ1883-1,$AL1884/$AL1883-1,$AM1884/$AM1883-1,$AR1884/$AR1883-1,$AS1884/$AS1883-1,$AT1884/$AT1883-1,$AU1884/$AU1883-1,$AV1884/$AV1883-1,$AW1884/$AW1883-1,$AX1884/$AX1883-1,$AY1884/$AY1883-1),"")</f>
        <v/>
      </c>
      <c r="DW1883" s="66">
        <f>AVERAGE($CB1883,$CC1883,$CD1883,$CE1883,$CF1883,$CG1883,$CH1883,$CI1883,$CJ1883,$CL1883,$CM1883,$CN1883,$CO1883,$CP1883,$CQ1883,$CR1883,$CS1883,$CT1883)</f>
        <v/>
      </c>
      <c r="DX1883" s="66">
        <f>AVERAGE($CB1883,$CC1883,$CM1883,$CE1883,$CP1883)</f>
        <v/>
      </c>
      <c r="DY1883" s="64">
        <f>($DW1883-$DW1884)*100</f>
        <v/>
      </c>
      <c r="DZ1883" s="64">
        <f>($DX1883-$DX1884)*100</f>
        <v/>
      </c>
      <c r="EA1883" s="64">
        <f>($DW1883-$D1883)*100</f>
        <v/>
      </c>
      <c r="EB1883" s="64">
        <f>$Q1883-$O1883</f>
        <v/>
      </c>
      <c r="EC1883" s="67">
        <f>IFERROR($Q1883/$P1883,"")</f>
        <v/>
      </c>
    </row>
    <row r="1884">
      <c r="DG1884" s="64">
        <f>($B1884-$B1885)*100</f>
        <v/>
      </c>
      <c r="DH1884" s="64">
        <f>($D1884-$D1885)*100</f>
        <v/>
      </c>
      <c r="DI1884" s="64">
        <f>($E1884-$E1885)*100</f>
        <v/>
      </c>
      <c r="DJ1884" s="64">
        <f>($H1884-$H1885)*100</f>
        <v/>
      </c>
      <c r="DK1884" s="65">
        <f>IFERROR($J1884/$J1885-1,"")</f>
        <v/>
      </c>
      <c r="DL1884" s="64">
        <f>$L1884-$L1885</f>
        <v/>
      </c>
      <c r="DM1884" s="64">
        <f>$K1884-$K1885</f>
        <v/>
      </c>
      <c r="DN1884" s="65">
        <f>IFERROR($N1884/$N1885-1,"")</f>
        <v/>
      </c>
      <c r="DO1884" s="65">
        <f>IFERROR($M1884/$M1885-1,"")</f>
        <v/>
      </c>
      <c r="DP1884" s="65">
        <f>IFERROR($AZ1884/$AZ1885-1,"")</f>
        <v/>
      </c>
      <c r="DQ1884" s="65">
        <f>IFERROR($BA1884/$BA1885-1,"")</f>
        <v/>
      </c>
      <c r="DR1884" s="64">
        <f>$O1884-$O1885</f>
        <v/>
      </c>
      <c r="DS1884" s="64">
        <f>$P1884-$P1885</f>
        <v/>
      </c>
      <c r="DT1884" s="64">
        <f>$Q1884-$Q1885</f>
        <v/>
      </c>
      <c r="DU1884" s="64">
        <f>$S1884-$S1885</f>
        <v/>
      </c>
      <c r="DV1884" s="65">
        <f>IFERROR(AVERAGE($AA1885/$AA1884-1,$AB1885/$AB1884-1,$AC1885/$AC1884-1,$AD1885/$AD1884-1,$AE1885/$AE1884-1,$AG1885/$AG1884-1,$AH1885/$AH1884-1,$AI1885/$AI1884-1,$AJ1885/$AJ1884-1,$AL1885/$AL1884-1,$AM1885/$AM1884-1,$AR1885/$AR1884-1,$AS1885/$AS1884-1,$AT1885/$AT1884-1,$AU1885/$AU1884-1,$AV1885/$AV1884-1,$AW1885/$AW1884-1,$AX1885/$AX1884-1,$AY1885/$AY1884-1),"")</f>
        <v/>
      </c>
      <c r="DW1884" s="66">
        <f>AVERAGE($CB1884,$CC1884,$CD1884,$CE1884,$CF1884,$CG1884,$CH1884,$CI1884,$CJ1884,$CL1884,$CM1884,$CN1884,$CO1884,$CP1884,$CQ1884,$CR1884,$CS1884,$CT1884)</f>
        <v/>
      </c>
      <c r="DX1884" s="66">
        <f>AVERAGE($CB1884,$CC1884,$CM1884,$CE1884,$CP1884)</f>
        <v/>
      </c>
      <c r="DY1884" s="64">
        <f>($DW1884-$DW1885)*100</f>
        <v/>
      </c>
      <c r="DZ1884" s="64">
        <f>($DX1884-$DX1885)*100</f>
        <v/>
      </c>
      <c r="EA1884" s="64">
        <f>($DW1884-$D1884)*100</f>
        <v/>
      </c>
      <c r="EB1884" s="64">
        <f>$Q1884-$O1884</f>
        <v/>
      </c>
      <c r="EC1884" s="67">
        <f>IFERROR($Q1884/$P1884,"")</f>
        <v/>
      </c>
    </row>
    <row r="1885">
      <c r="DG1885" s="64">
        <f>($B1885-$B1886)*100</f>
        <v/>
      </c>
      <c r="DH1885" s="64">
        <f>($D1885-$D1886)*100</f>
        <v/>
      </c>
      <c r="DI1885" s="64">
        <f>($E1885-$E1886)*100</f>
        <v/>
      </c>
      <c r="DJ1885" s="64">
        <f>($H1885-$H1886)*100</f>
        <v/>
      </c>
      <c r="DK1885" s="65">
        <f>IFERROR($J1885/$J1886-1,"")</f>
        <v/>
      </c>
      <c r="DL1885" s="64">
        <f>$L1885-$L1886</f>
        <v/>
      </c>
      <c r="DM1885" s="64">
        <f>$K1885-$K1886</f>
        <v/>
      </c>
      <c r="DN1885" s="65">
        <f>IFERROR($N1885/$N1886-1,"")</f>
        <v/>
      </c>
      <c r="DO1885" s="65">
        <f>IFERROR($M1885/$M1886-1,"")</f>
        <v/>
      </c>
      <c r="DP1885" s="65">
        <f>IFERROR($AZ1885/$AZ1886-1,"")</f>
        <v/>
      </c>
      <c r="DQ1885" s="65">
        <f>IFERROR($BA1885/$BA1886-1,"")</f>
        <v/>
      </c>
      <c r="DR1885" s="64">
        <f>$O1885-$O1886</f>
        <v/>
      </c>
      <c r="DS1885" s="64">
        <f>$P1885-$P1886</f>
        <v/>
      </c>
      <c r="DT1885" s="64">
        <f>$Q1885-$Q1886</f>
        <v/>
      </c>
      <c r="DU1885" s="64">
        <f>$S1885-$S1886</f>
        <v/>
      </c>
      <c r="DV1885" s="65">
        <f>IFERROR(AVERAGE($AA1886/$AA1885-1,$AB1886/$AB1885-1,$AC1886/$AC1885-1,$AD1886/$AD1885-1,$AE1886/$AE1885-1,$AG1886/$AG1885-1,$AH1886/$AH1885-1,$AI1886/$AI1885-1,$AJ1886/$AJ1885-1,$AL1886/$AL1885-1,$AM1886/$AM1885-1,$AR1886/$AR1885-1,$AS1886/$AS1885-1,$AT1886/$AT1885-1,$AU1886/$AU1885-1,$AV1886/$AV1885-1,$AW1886/$AW1885-1,$AX1886/$AX1885-1,$AY1886/$AY1885-1),"")</f>
        <v/>
      </c>
      <c r="DW1885" s="66">
        <f>AVERAGE($CB1885,$CC1885,$CD1885,$CE1885,$CF1885,$CG1885,$CH1885,$CI1885,$CJ1885,$CL1885,$CM1885,$CN1885,$CO1885,$CP1885,$CQ1885,$CR1885,$CS1885,$CT1885)</f>
        <v/>
      </c>
      <c r="DX1885" s="66">
        <f>AVERAGE($CB1885,$CC1885,$CM1885,$CE1885,$CP1885)</f>
        <v/>
      </c>
      <c r="DY1885" s="64">
        <f>($DW1885-$DW1886)*100</f>
        <v/>
      </c>
      <c r="DZ1885" s="64">
        <f>($DX1885-$DX1886)*100</f>
        <v/>
      </c>
      <c r="EA1885" s="64">
        <f>($DW1885-$D1885)*100</f>
        <v/>
      </c>
      <c r="EB1885" s="64">
        <f>$Q1885-$O1885</f>
        <v/>
      </c>
      <c r="EC1885" s="67">
        <f>IFERROR($Q1885/$P1885,"")</f>
        <v/>
      </c>
    </row>
    <row r="1886">
      <c r="DG1886" s="64">
        <f>($B1886-$B1887)*100</f>
        <v/>
      </c>
      <c r="DH1886" s="64">
        <f>($D1886-$D1887)*100</f>
        <v/>
      </c>
      <c r="DI1886" s="64">
        <f>($E1886-$E1887)*100</f>
        <v/>
      </c>
      <c r="DJ1886" s="64">
        <f>($H1886-$H1887)*100</f>
        <v/>
      </c>
      <c r="DK1886" s="65">
        <f>IFERROR($J1886/$J1887-1,"")</f>
        <v/>
      </c>
      <c r="DL1886" s="64">
        <f>$L1886-$L1887</f>
        <v/>
      </c>
      <c r="DM1886" s="64">
        <f>$K1886-$K1887</f>
        <v/>
      </c>
      <c r="DN1886" s="65">
        <f>IFERROR($N1886/$N1887-1,"")</f>
        <v/>
      </c>
      <c r="DO1886" s="65">
        <f>IFERROR($M1886/$M1887-1,"")</f>
        <v/>
      </c>
      <c r="DP1886" s="65">
        <f>IFERROR($AZ1886/$AZ1887-1,"")</f>
        <v/>
      </c>
      <c r="DQ1886" s="65">
        <f>IFERROR($BA1886/$BA1887-1,"")</f>
        <v/>
      </c>
      <c r="DR1886" s="64">
        <f>$O1886-$O1887</f>
        <v/>
      </c>
      <c r="DS1886" s="64">
        <f>$P1886-$P1887</f>
        <v/>
      </c>
      <c r="DT1886" s="64">
        <f>$Q1886-$Q1887</f>
        <v/>
      </c>
      <c r="DU1886" s="64">
        <f>$S1886-$S1887</f>
        <v/>
      </c>
      <c r="DV1886" s="65">
        <f>IFERROR(AVERAGE($AA1887/$AA1886-1,$AB1887/$AB1886-1,$AC1887/$AC1886-1,$AD1887/$AD1886-1,$AE1887/$AE1886-1,$AG1887/$AG1886-1,$AH1887/$AH1886-1,$AI1887/$AI1886-1,$AJ1887/$AJ1886-1,$AL1887/$AL1886-1,$AM1887/$AM1886-1,$AR1887/$AR1886-1,$AS1887/$AS1886-1,$AT1887/$AT1886-1,$AU1887/$AU1886-1,$AV1887/$AV1886-1,$AW1887/$AW1886-1,$AX1887/$AX1886-1,$AY1887/$AY1886-1),"")</f>
        <v/>
      </c>
      <c r="DW1886" s="66">
        <f>AVERAGE($CB1886,$CC1886,$CD1886,$CE1886,$CF1886,$CG1886,$CH1886,$CI1886,$CJ1886,$CL1886,$CM1886,$CN1886,$CO1886,$CP1886,$CQ1886,$CR1886,$CS1886,$CT1886)</f>
        <v/>
      </c>
      <c r="DX1886" s="66">
        <f>AVERAGE($CB1886,$CC1886,$CM1886,$CE1886,$CP1886)</f>
        <v/>
      </c>
      <c r="DY1886" s="64">
        <f>($DW1886-$DW1887)*100</f>
        <v/>
      </c>
      <c r="DZ1886" s="64">
        <f>($DX1886-$DX1887)*100</f>
        <v/>
      </c>
      <c r="EA1886" s="64">
        <f>($DW1886-$D1886)*100</f>
        <v/>
      </c>
      <c r="EB1886" s="64">
        <f>$Q1886-$O1886</f>
        <v/>
      </c>
      <c r="EC1886" s="67">
        <f>IFERROR($Q1886/$P1886,"")</f>
        <v/>
      </c>
    </row>
    <row r="1887">
      <c r="DG1887" s="64">
        <f>($B1887-$B1888)*100</f>
        <v/>
      </c>
      <c r="DH1887" s="64">
        <f>($D1887-$D1888)*100</f>
        <v/>
      </c>
      <c r="DI1887" s="64">
        <f>($E1887-$E1888)*100</f>
        <v/>
      </c>
      <c r="DJ1887" s="64">
        <f>($H1887-$H1888)*100</f>
        <v/>
      </c>
      <c r="DK1887" s="65">
        <f>IFERROR($J1887/$J1888-1,"")</f>
        <v/>
      </c>
      <c r="DL1887" s="64">
        <f>$L1887-$L1888</f>
        <v/>
      </c>
      <c r="DM1887" s="64">
        <f>$K1887-$K1888</f>
        <v/>
      </c>
      <c r="DN1887" s="65">
        <f>IFERROR($N1887/$N1888-1,"")</f>
        <v/>
      </c>
      <c r="DO1887" s="65">
        <f>IFERROR($M1887/$M1888-1,"")</f>
        <v/>
      </c>
      <c r="DP1887" s="65">
        <f>IFERROR($AZ1887/$AZ1888-1,"")</f>
        <v/>
      </c>
      <c r="DQ1887" s="65">
        <f>IFERROR($BA1887/$BA1888-1,"")</f>
        <v/>
      </c>
      <c r="DR1887" s="64">
        <f>$O1887-$O1888</f>
        <v/>
      </c>
      <c r="DS1887" s="64">
        <f>$P1887-$P1888</f>
        <v/>
      </c>
      <c r="DT1887" s="64">
        <f>$Q1887-$Q1888</f>
        <v/>
      </c>
      <c r="DU1887" s="64">
        <f>$S1887-$S1888</f>
        <v/>
      </c>
      <c r="DV1887" s="65">
        <f>IFERROR(AVERAGE($AA1888/$AA1887-1,$AB1888/$AB1887-1,$AC1888/$AC1887-1,$AD1888/$AD1887-1,$AE1888/$AE1887-1,$AG1888/$AG1887-1,$AH1888/$AH1887-1,$AI1888/$AI1887-1,$AJ1888/$AJ1887-1,$AL1888/$AL1887-1,$AM1888/$AM1887-1,$AR1888/$AR1887-1,$AS1888/$AS1887-1,$AT1888/$AT1887-1,$AU1888/$AU1887-1,$AV1888/$AV1887-1,$AW1888/$AW1887-1,$AX1888/$AX1887-1,$AY1888/$AY1887-1),"")</f>
        <v/>
      </c>
      <c r="DW1887" s="66">
        <f>AVERAGE($CB1887,$CC1887,$CD1887,$CE1887,$CF1887,$CG1887,$CH1887,$CI1887,$CJ1887,$CL1887,$CM1887,$CN1887,$CO1887,$CP1887,$CQ1887,$CR1887,$CS1887,$CT1887)</f>
        <v/>
      </c>
      <c r="DX1887" s="66">
        <f>AVERAGE($CB1887,$CC1887,$CM1887,$CE1887,$CP1887)</f>
        <v/>
      </c>
      <c r="DY1887" s="64">
        <f>($DW1887-$DW1888)*100</f>
        <v/>
      </c>
      <c r="DZ1887" s="64">
        <f>($DX1887-$DX1888)*100</f>
        <v/>
      </c>
      <c r="EA1887" s="64">
        <f>($DW1887-$D1887)*100</f>
        <v/>
      </c>
      <c r="EB1887" s="64">
        <f>$Q1887-$O1887</f>
        <v/>
      </c>
      <c r="EC1887" s="67">
        <f>IFERROR($Q1887/$P1887,"")</f>
        <v/>
      </c>
    </row>
    <row r="1888">
      <c r="DG1888" s="64">
        <f>($B1888-$B1889)*100</f>
        <v/>
      </c>
      <c r="DH1888" s="64">
        <f>($D1888-$D1889)*100</f>
        <v/>
      </c>
      <c r="DI1888" s="64">
        <f>($E1888-$E1889)*100</f>
        <v/>
      </c>
      <c r="DJ1888" s="64">
        <f>($H1888-$H1889)*100</f>
        <v/>
      </c>
      <c r="DK1888" s="65">
        <f>IFERROR($J1888/$J1889-1,"")</f>
        <v/>
      </c>
      <c r="DL1888" s="64">
        <f>$L1888-$L1889</f>
        <v/>
      </c>
      <c r="DM1888" s="64">
        <f>$K1888-$K1889</f>
        <v/>
      </c>
      <c r="DN1888" s="65">
        <f>IFERROR($N1888/$N1889-1,"")</f>
        <v/>
      </c>
      <c r="DO1888" s="65">
        <f>IFERROR($M1888/$M1889-1,"")</f>
        <v/>
      </c>
      <c r="DP1888" s="65">
        <f>IFERROR($AZ1888/$AZ1889-1,"")</f>
        <v/>
      </c>
      <c r="DQ1888" s="65">
        <f>IFERROR($BA1888/$BA1889-1,"")</f>
        <v/>
      </c>
      <c r="DR1888" s="64">
        <f>$O1888-$O1889</f>
        <v/>
      </c>
      <c r="DS1888" s="64">
        <f>$P1888-$P1889</f>
        <v/>
      </c>
      <c r="DT1888" s="64">
        <f>$Q1888-$Q1889</f>
        <v/>
      </c>
      <c r="DU1888" s="64">
        <f>$S1888-$S1889</f>
        <v/>
      </c>
      <c r="DV1888" s="65">
        <f>IFERROR(AVERAGE($AA1889/$AA1888-1,$AB1889/$AB1888-1,$AC1889/$AC1888-1,$AD1889/$AD1888-1,$AE1889/$AE1888-1,$AG1889/$AG1888-1,$AH1889/$AH1888-1,$AI1889/$AI1888-1,$AJ1889/$AJ1888-1,$AL1889/$AL1888-1,$AM1889/$AM1888-1,$AR1889/$AR1888-1,$AS1889/$AS1888-1,$AT1889/$AT1888-1,$AU1889/$AU1888-1,$AV1889/$AV1888-1,$AW1889/$AW1888-1,$AX1889/$AX1888-1,$AY1889/$AY1888-1),"")</f>
        <v/>
      </c>
      <c r="DW1888" s="66">
        <f>AVERAGE($CB1888,$CC1888,$CD1888,$CE1888,$CF1888,$CG1888,$CH1888,$CI1888,$CJ1888,$CL1888,$CM1888,$CN1888,$CO1888,$CP1888,$CQ1888,$CR1888,$CS1888,$CT1888)</f>
        <v/>
      </c>
      <c r="DX1888" s="66">
        <f>AVERAGE($CB1888,$CC1888,$CM1888,$CE1888,$CP1888)</f>
        <v/>
      </c>
      <c r="DY1888" s="64">
        <f>($DW1888-$DW1889)*100</f>
        <v/>
      </c>
      <c r="DZ1888" s="64">
        <f>($DX1888-$DX1889)*100</f>
        <v/>
      </c>
      <c r="EA1888" s="64">
        <f>($DW1888-$D1888)*100</f>
        <v/>
      </c>
      <c r="EB1888" s="64">
        <f>$Q1888-$O1888</f>
        <v/>
      </c>
      <c r="EC1888" s="67">
        <f>IFERROR($Q1888/$P1888,"")</f>
        <v/>
      </c>
    </row>
    <row r="1889">
      <c r="DG1889" s="64">
        <f>($B1889-$B1890)*100</f>
        <v/>
      </c>
      <c r="DH1889" s="64">
        <f>($D1889-$D1890)*100</f>
        <v/>
      </c>
      <c r="DI1889" s="64">
        <f>($E1889-$E1890)*100</f>
        <v/>
      </c>
      <c r="DJ1889" s="64">
        <f>($H1889-$H1890)*100</f>
        <v/>
      </c>
      <c r="DK1889" s="65">
        <f>IFERROR($J1889/$J1890-1,"")</f>
        <v/>
      </c>
      <c r="DL1889" s="64">
        <f>$L1889-$L1890</f>
        <v/>
      </c>
      <c r="DM1889" s="64">
        <f>$K1889-$K1890</f>
        <v/>
      </c>
      <c r="DN1889" s="65">
        <f>IFERROR($N1889/$N1890-1,"")</f>
        <v/>
      </c>
      <c r="DO1889" s="65">
        <f>IFERROR($M1889/$M1890-1,"")</f>
        <v/>
      </c>
      <c r="DP1889" s="65">
        <f>IFERROR($AZ1889/$AZ1890-1,"")</f>
        <v/>
      </c>
      <c r="DQ1889" s="65">
        <f>IFERROR($BA1889/$BA1890-1,"")</f>
        <v/>
      </c>
      <c r="DR1889" s="64">
        <f>$O1889-$O1890</f>
        <v/>
      </c>
      <c r="DS1889" s="64">
        <f>$P1889-$P1890</f>
        <v/>
      </c>
      <c r="DT1889" s="64">
        <f>$Q1889-$Q1890</f>
        <v/>
      </c>
      <c r="DU1889" s="64">
        <f>$S1889-$S1890</f>
        <v/>
      </c>
      <c r="DV1889" s="65">
        <f>IFERROR(AVERAGE($AA1890/$AA1889-1,$AB1890/$AB1889-1,$AC1890/$AC1889-1,$AD1890/$AD1889-1,$AE1890/$AE1889-1,$AG1890/$AG1889-1,$AH1890/$AH1889-1,$AI1890/$AI1889-1,$AJ1890/$AJ1889-1,$AL1890/$AL1889-1,$AM1890/$AM1889-1,$AR1890/$AR1889-1,$AS1890/$AS1889-1,$AT1890/$AT1889-1,$AU1890/$AU1889-1,$AV1890/$AV1889-1,$AW1890/$AW1889-1,$AX1890/$AX1889-1,$AY1890/$AY1889-1),"")</f>
        <v/>
      </c>
      <c r="DW1889" s="66">
        <f>AVERAGE($CB1889,$CC1889,$CD1889,$CE1889,$CF1889,$CG1889,$CH1889,$CI1889,$CJ1889,$CL1889,$CM1889,$CN1889,$CO1889,$CP1889,$CQ1889,$CR1889,$CS1889,$CT1889)</f>
        <v/>
      </c>
      <c r="DX1889" s="66">
        <f>AVERAGE($CB1889,$CC1889,$CM1889,$CE1889,$CP1889)</f>
        <v/>
      </c>
      <c r="DY1889" s="64">
        <f>($DW1889-$DW1890)*100</f>
        <v/>
      </c>
      <c r="DZ1889" s="64">
        <f>($DX1889-$DX1890)*100</f>
        <v/>
      </c>
      <c r="EA1889" s="64">
        <f>($DW1889-$D1889)*100</f>
        <v/>
      </c>
      <c r="EB1889" s="64">
        <f>$Q1889-$O1889</f>
        <v/>
      </c>
      <c r="EC1889" s="67">
        <f>IFERROR($Q1889/$P1889,"")</f>
        <v/>
      </c>
    </row>
    <row r="1890">
      <c r="DG1890" s="64">
        <f>($B1890-$B1891)*100</f>
        <v/>
      </c>
      <c r="DH1890" s="64">
        <f>($D1890-$D1891)*100</f>
        <v/>
      </c>
      <c r="DI1890" s="64">
        <f>($E1890-$E1891)*100</f>
        <v/>
      </c>
      <c r="DJ1890" s="64">
        <f>($H1890-$H1891)*100</f>
        <v/>
      </c>
      <c r="DK1890" s="65">
        <f>IFERROR($J1890/$J1891-1,"")</f>
        <v/>
      </c>
      <c r="DL1890" s="64">
        <f>$L1890-$L1891</f>
        <v/>
      </c>
      <c r="DM1890" s="64">
        <f>$K1890-$K1891</f>
        <v/>
      </c>
      <c r="DN1890" s="65">
        <f>IFERROR($N1890/$N1891-1,"")</f>
        <v/>
      </c>
      <c r="DO1890" s="65">
        <f>IFERROR($M1890/$M1891-1,"")</f>
        <v/>
      </c>
      <c r="DP1890" s="65">
        <f>IFERROR($AZ1890/$AZ1891-1,"")</f>
        <v/>
      </c>
      <c r="DQ1890" s="65">
        <f>IFERROR($BA1890/$BA1891-1,"")</f>
        <v/>
      </c>
      <c r="DR1890" s="64">
        <f>$O1890-$O1891</f>
        <v/>
      </c>
      <c r="DS1890" s="64">
        <f>$P1890-$P1891</f>
        <v/>
      </c>
      <c r="DT1890" s="64">
        <f>$Q1890-$Q1891</f>
        <v/>
      </c>
      <c r="DU1890" s="64">
        <f>$S1890-$S1891</f>
        <v/>
      </c>
      <c r="DV1890" s="65">
        <f>IFERROR(AVERAGE($AA1891/$AA1890-1,$AB1891/$AB1890-1,$AC1891/$AC1890-1,$AD1891/$AD1890-1,$AE1891/$AE1890-1,$AG1891/$AG1890-1,$AH1891/$AH1890-1,$AI1891/$AI1890-1,$AJ1891/$AJ1890-1,$AL1891/$AL1890-1,$AM1891/$AM1890-1,$AR1891/$AR1890-1,$AS1891/$AS1890-1,$AT1891/$AT1890-1,$AU1891/$AU1890-1,$AV1891/$AV1890-1,$AW1891/$AW1890-1,$AX1891/$AX1890-1,$AY1891/$AY1890-1),"")</f>
        <v/>
      </c>
      <c r="DW1890" s="66">
        <f>AVERAGE($CB1890,$CC1890,$CD1890,$CE1890,$CF1890,$CG1890,$CH1890,$CI1890,$CJ1890,$CL1890,$CM1890,$CN1890,$CO1890,$CP1890,$CQ1890,$CR1890,$CS1890,$CT1890)</f>
        <v/>
      </c>
      <c r="DX1890" s="66">
        <f>AVERAGE($CB1890,$CC1890,$CM1890,$CE1890,$CP1890)</f>
        <v/>
      </c>
      <c r="DY1890" s="64">
        <f>($DW1890-$DW1891)*100</f>
        <v/>
      </c>
      <c r="DZ1890" s="64">
        <f>($DX1890-$DX1891)*100</f>
        <v/>
      </c>
      <c r="EA1890" s="64">
        <f>($DW1890-$D1890)*100</f>
        <v/>
      </c>
      <c r="EB1890" s="64">
        <f>$Q1890-$O1890</f>
        <v/>
      </c>
      <c r="EC1890" s="67">
        <f>IFERROR($Q1890/$P1890,"")</f>
        <v/>
      </c>
    </row>
    <row r="1891">
      <c r="DG1891" s="64">
        <f>($B1891-$B1892)*100</f>
        <v/>
      </c>
      <c r="DH1891" s="64">
        <f>($D1891-$D1892)*100</f>
        <v/>
      </c>
      <c r="DI1891" s="64">
        <f>($E1891-$E1892)*100</f>
        <v/>
      </c>
      <c r="DJ1891" s="64">
        <f>($H1891-$H1892)*100</f>
        <v/>
      </c>
      <c r="DK1891" s="65">
        <f>IFERROR($J1891/$J1892-1,"")</f>
        <v/>
      </c>
      <c r="DL1891" s="64">
        <f>$L1891-$L1892</f>
        <v/>
      </c>
      <c r="DM1891" s="64">
        <f>$K1891-$K1892</f>
        <v/>
      </c>
      <c r="DN1891" s="65">
        <f>IFERROR($N1891/$N1892-1,"")</f>
        <v/>
      </c>
      <c r="DO1891" s="65">
        <f>IFERROR($M1891/$M1892-1,"")</f>
        <v/>
      </c>
      <c r="DP1891" s="65">
        <f>IFERROR($AZ1891/$AZ1892-1,"")</f>
        <v/>
      </c>
      <c r="DQ1891" s="65">
        <f>IFERROR($BA1891/$BA1892-1,"")</f>
        <v/>
      </c>
      <c r="DR1891" s="64">
        <f>$O1891-$O1892</f>
        <v/>
      </c>
      <c r="DS1891" s="64">
        <f>$P1891-$P1892</f>
        <v/>
      </c>
      <c r="DT1891" s="64">
        <f>$Q1891-$Q1892</f>
        <v/>
      </c>
      <c r="DU1891" s="64">
        <f>$S1891-$S1892</f>
        <v/>
      </c>
      <c r="DV1891" s="65">
        <f>IFERROR(AVERAGE($AA1892/$AA1891-1,$AB1892/$AB1891-1,$AC1892/$AC1891-1,$AD1892/$AD1891-1,$AE1892/$AE1891-1,$AG1892/$AG1891-1,$AH1892/$AH1891-1,$AI1892/$AI1891-1,$AJ1892/$AJ1891-1,$AL1892/$AL1891-1,$AM1892/$AM1891-1,$AR1892/$AR1891-1,$AS1892/$AS1891-1,$AT1892/$AT1891-1,$AU1892/$AU1891-1,$AV1892/$AV1891-1,$AW1892/$AW1891-1,$AX1892/$AX1891-1,$AY1892/$AY1891-1),"")</f>
        <v/>
      </c>
      <c r="DW1891" s="66">
        <f>AVERAGE($CB1891,$CC1891,$CD1891,$CE1891,$CF1891,$CG1891,$CH1891,$CI1891,$CJ1891,$CL1891,$CM1891,$CN1891,$CO1891,$CP1891,$CQ1891,$CR1891,$CS1891,$CT1891)</f>
        <v/>
      </c>
      <c r="DX1891" s="66">
        <f>AVERAGE($CB1891,$CC1891,$CM1891,$CE1891,$CP1891)</f>
        <v/>
      </c>
      <c r="DY1891" s="64">
        <f>($DW1891-$DW1892)*100</f>
        <v/>
      </c>
      <c r="DZ1891" s="64">
        <f>($DX1891-$DX1892)*100</f>
        <v/>
      </c>
      <c r="EA1891" s="64">
        <f>($DW1891-$D1891)*100</f>
        <v/>
      </c>
      <c r="EB1891" s="64">
        <f>$Q1891-$O1891</f>
        <v/>
      </c>
      <c r="EC1891" s="67">
        <f>IFERROR($Q1891/$P1891,"")</f>
        <v/>
      </c>
    </row>
    <row r="1892">
      <c r="DG1892" s="64">
        <f>($B1892-$B1893)*100</f>
        <v/>
      </c>
      <c r="DH1892" s="64">
        <f>($D1892-$D1893)*100</f>
        <v/>
      </c>
      <c r="DI1892" s="64">
        <f>($E1892-$E1893)*100</f>
        <v/>
      </c>
      <c r="DJ1892" s="64">
        <f>($H1892-$H1893)*100</f>
        <v/>
      </c>
      <c r="DK1892" s="65">
        <f>IFERROR($J1892/$J1893-1,"")</f>
        <v/>
      </c>
      <c r="DL1892" s="64">
        <f>$L1892-$L1893</f>
        <v/>
      </c>
      <c r="DM1892" s="64">
        <f>$K1892-$K1893</f>
        <v/>
      </c>
      <c r="DN1892" s="65">
        <f>IFERROR($N1892/$N1893-1,"")</f>
        <v/>
      </c>
      <c r="DO1892" s="65">
        <f>IFERROR($M1892/$M1893-1,"")</f>
        <v/>
      </c>
      <c r="DP1892" s="65">
        <f>IFERROR($AZ1892/$AZ1893-1,"")</f>
        <v/>
      </c>
      <c r="DQ1892" s="65">
        <f>IFERROR($BA1892/$BA1893-1,"")</f>
        <v/>
      </c>
      <c r="DR1892" s="64">
        <f>$O1892-$O1893</f>
        <v/>
      </c>
      <c r="DS1892" s="64">
        <f>$P1892-$P1893</f>
        <v/>
      </c>
      <c r="DT1892" s="64">
        <f>$Q1892-$Q1893</f>
        <v/>
      </c>
      <c r="DU1892" s="64">
        <f>$S1892-$S1893</f>
        <v/>
      </c>
      <c r="DV1892" s="65">
        <f>IFERROR(AVERAGE($AA1893/$AA1892-1,$AB1893/$AB1892-1,$AC1893/$AC1892-1,$AD1893/$AD1892-1,$AE1893/$AE1892-1,$AG1893/$AG1892-1,$AH1893/$AH1892-1,$AI1893/$AI1892-1,$AJ1893/$AJ1892-1,$AL1893/$AL1892-1,$AM1893/$AM1892-1,$AR1893/$AR1892-1,$AS1893/$AS1892-1,$AT1893/$AT1892-1,$AU1893/$AU1892-1,$AV1893/$AV1892-1,$AW1893/$AW1892-1,$AX1893/$AX1892-1,$AY1893/$AY1892-1),"")</f>
        <v/>
      </c>
      <c r="DW1892" s="66">
        <f>AVERAGE($CB1892,$CC1892,$CD1892,$CE1892,$CF1892,$CG1892,$CH1892,$CI1892,$CJ1892,$CL1892,$CM1892,$CN1892,$CO1892,$CP1892,$CQ1892,$CR1892,$CS1892,$CT1892)</f>
        <v/>
      </c>
      <c r="DX1892" s="66">
        <f>AVERAGE($CB1892,$CC1892,$CM1892,$CE1892,$CP1892)</f>
        <v/>
      </c>
      <c r="DY1892" s="64">
        <f>($DW1892-$DW1893)*100</f>
        <v/>
      </c>
      <c r="DZ1892" s="64">
        <f>($DX1892-$DX1893)*100</f>
        <v/>
      </c>
      <c r="EA1892" s="64">
        <f>($DW1892-$D1892)*100</f>
        <v/>
      </c>
      <c r="EB1892" s="64">
        <f>$Q1892-$O1892</f>
        <v/>
      </c>
      <c r="EC1892" s="67">
        <f>IFERROR($Q1892/$P1892,"")</f>
        <v/>
      </c>
    </row>
    <row r="1893">
      <c r="DG1893" s="64">
        <f>($B1893-$B1894)*100</f>
        <v/>
      </c>
      <c r="DH1893" s="64">
        <f>($D1893-$D1894)*100</f>
        <v/>
      </c>
      <c r="DI1893" s="64">
        <f>($E1893-$E1894)*100</f>
        <v/>
      </c>
      <c r="DJ1893" s="64">
        <f>($H1893-$H1894)*100</f>
        <v/>
      </c>
      <c r="DK1893" s="65">
        <f>IFERROR($J1893/$J1894-1,"")</f>
        <v/>
      </c>
      <c r="DL1893" s="64">
        <f>$L1893-$L1894</f>
        <v/>
      </c>
      <c r="DM1893" s="64">
        <f>$K1893-$K1894</f>
        <v/>
      </c>
      <c r="DN1893" s="65">
        <f>IFERROR($N1893/$N1894-1,"")</f>
        <v/>
      </c>
      <c r="DO1893" s="65">
        <f>IFERROR($M1893/$M1894-1,"")</f>
        <v/>
      </c>
      <c r="DP1893" s="65">
        <f>IFERROR($AZ1893/$AZ1894-1,"")</f>
        <v/>
      </c>
      <c r="DQ1893" s="65">
        <f>IFERROR($BA1893/$BA1894-1,"")</f>
        <v/>
      </c>
      <c r="DR1893" s="64">
        <f>$O1893-$O1894</f>
        <v/>
      </c>
      <c r="DS1893" s="64">
        <f>$P1893-$P1894</f>
        <v/>
      </c>
      <c r="DT1893" s="64">
        <f>$Q1893-$Q1894</f>
        <v/>
      </c>
      <c r="DU1893" s="64">
        <f>$S1893-$S1894</f>
        <v/>
      </c>
      <c r="DV1893" s="65">
        <f>IFERROR(AVERAGE($AA1894/$AA1893-1,$AB1894/$AB1893-1,$AC1894/$AC1893-1,$AD1894/$AD1893-1,$AE1894/$AE1893-1,$AG1894/$AG1893-1,$AH1894/$AH1893-1,$AI1894/$AI1893-1,$AJ1894/$AJ1893-1,$AL1894/$AL1893-1,$AM1894/$AM1893-1,$AR1894/$AR1893-1,$AS1894/$AS1893-1,$AT1894/$AT1893-1,$AU1894/$AU1893-1,$AV1894/$AV1893-1,$AW1894/$AW1893-1,$AX1894/$AX1893-1,$AY1894/$AY1893-1),"")</f>
        <v/>
      </c>
      <c r="DW1893" s="66">
        <f>AVERAGE($CB1893,$CC1893,$CD1893,$CE1893,$CF1893,$CG1893,$CH1893,$CI1893,$CJ1893,$CL1893,$CM1893,$CN1893,$CO1893,$CP1893,$CQ1893,$CR1893,$CS1893,$CT1893)</f>
        <v/>
      </c>
      <c r="DX1893" s="66">
        <f>AVERAGE($CB1893,$CC1893,$CM1893,$CE1893,$CP1893)</f>
        <v/>
      </c>
      <c r="DY1893" s="64">
        <f>($DW1893-$DW1894)*100</f>
        <v/>
      </c>
      <c r="DZ1893" s="64">
        <f>($DX1893-$DX1894)*100</f>
        <v/>
      </c>
      <c r="EA1893" s="64">
        <f>($DW1893-$D1893)*100</f>
        <v/>
      </c>
      <c r="EB1893" s="64">
        <f>$Q1893-$O1893</f>
        <v/>
      </c>
      <c r="EC1893" s="67">
        <f>IFERROR($Q1893/$P1893,"")</f>
        <v/>
      </c>
    </row>
    <row r="1894">
      <c r="DG1894" s="64">
        <f>($B1894-$B1895)*100</f>
        <v/>
      </c>
      <c r="DH1894" s="64">
        <f>($D1894-$D1895)*100</f>
        <v/>
      </c>
      <c r="DI1894" s="64">
        <f>($E1894-$E1895)*100</f>
        <v/>
      </c>
      <c r="DJ1894" s="64">
        <f>($H1894-$H1895)*100</f>
        <v/>
      </c>
      <c r="DK1894" s="65">
        <f>IFERROR($J1894/$J1895-1,"")</f>
        <v/>
      </c>
      <c r="DL1894" s="64">
        <f>$L1894-$L1895</f>
        <v/>
      </c>
      <c r="DM1894" s="64">
        <f>$K1894-$K1895</f>
        <v/>
      </c>
      <c r="DN1894" s="65">
        <f>IFERROR($N1894/$N1895-1,"")</f>
        <v/>
      </c>
      <c r="DO1894" s="65">
        <f>IFERROR($M1894/$M1895-1,"")</f>
        <v/>
      </c>
      <c r="DP1894" s="65">
        <f>IFERROR($AZ1894/$AZ1895-1,"")</f>
        <v/>
      </c>
      <c r="DQ1894" s="65">
        <f>IFERROR($BA1894/$BA1895-1,"")</f>
        <v/>
      </c>
      <c r="DR1894" s="64">
        <f>$O1894-$O1895</f>
        <v/>
      </c>
      <c r="DS1894" s="64">
        <f>$P1894-$P1895</f>
        <v/>
      </c>
      <c r="DT1894" s="64">
        <f>$Q1894-$Q1895</f>
        <v/>
      </c>
      <c r="DU1894" s="64">
        <f>$S1894-$S1895</f>
        <v/>
      </c>
      <c r="DV1894" s="65">
        <f>IFERROR(AVERAGE($AA1895/$AA1894-1,$AB1895/$AB1894-1,$AC1895/$AC1894-1,$AD1895/$AD1894-1,$AE1895/$AE1894-1,$AG1895/$AG1894-1,$AH1895/$AH1894-1,$AI1895/$AI1894-1,$AJ1895/$AJ1894-1,$AL1895/$AL1894-1,$AM1895/$AM1894-1,$AR1895/$AR1894-1,$AS1895/$AS1894-1,$AT1895/$AT1894-1,$AU1895/$AU1894-1,$AV1895/$AV1894-1,$AW1895/$AW1894-1,$AX1895/$AX1894-1,$AY1895/$AY1894-1),"")</f>
        <v/>
      </c>
      <c r="DW1894" s="66">
        <f>AVERAGE($CB1894,$CC1894,$CD1894,$CE1894,$CF1894,$CG1894,$CH1894,$CI1894,$CJ1894,$CL1894,$CM1894,$CN1894,$CO1894,$CP1894,$CQ1894,$CR1894,$CS1894,$CT1894)</f>
        <v/>
      </c>
      <c r="DX1894" s="66">
        <f>AVERAGE($CB1894,$CC1894,$CM1894,$CE1894,$CP1894)</f>
        <v/>
      </c>
      <c r="DY1894" s="64">
        <f>($DW1894-$DW1895)*100</f>
        <v/>
      </c>
      <c r="DZ1894" s="64">
        <f>($DX1894-$DX1895)*100</f>
        <v/>
      </c>
      <c r="EA1894" s="64">
        <f>($DW1894-$D1894)*100</f>
        <v/>
      </c>
      <c r="EB1894" s="64">
        <f>$Q1894-$O1894</f>
        <v/>
      </c>
      <c r="EC1894" s="67">
        <f>IFERROR($Q1894/$P1894,"")</f>
        <v/>
      </c>
    </row>
    <row r="1895">
      <c r="DG1895" s="64">
        <f>($B1895-$B1896)*100</f>
        <v/>
      </c>
      <c r="DH1895" s="64">
        <f>($D1895-$D1896)*100</f>
        <v/>
      </c>
      <c r="DI1895" s="64">
        <f>($E1895-$E1896)*100</f>
        <v/>
      </c>
      <c r="DJ1895" s="64">
        <f>($H1895-$H1896)*100</f>
        <v/>
      </c>
      <c r="DK1895" s="65">
        <f>IFERROR($J1895/$J1896-1,"")</f>
        <v/>
      </c>
      <c r="DL1895" s="64">
        <f>$L1895-$L1896</f>
        <v/>
      </c>
      <c r="DM1895" s="64">
        <f>$K1895-$K1896</f>
        <v/>
      </c>
      <c r="DN1895" s="65">
        <f>IFERROR($N1895/$N1896-1,"")</f>
        <v/>
      </c>
      <c r="DO1895" s="65">
        <f>IFERROR($M1895/$M1896-1,"")</f>
        <v/>
      </c>
      <c r="DP1895" s="65">
        <f>IFERROR($AZ1895/$AZ1896-1,"")</f>
        <v/>
      </c>
      <c r="DQ1895" s="65">
        <f>IFERROR($BA1895/$BA1896-1,"")</f>
        <v/>
      </c>
      <c r="DR1895" s="64">
        <f>$O1895-$O1896</f>
        <v/>
      </c>
      <c r="DS1895" s="64">
        <f>$P1895-$P1896</f>
        <v/>
      </c>
      <c r="DT1895" s="64">
        <f>$Q1895-$Q1896</f>
        <v/>
      </c>
      <c r="DU1895" s="64">
        <f>$S1895-$S1896</f>
        <v/>
      </c>
      <c r="DV1895" s="65">
        <f>IFERROR(AVERAGE($AA1896/$AA1895-1,$AB1896/$AB1895-1,$AC1896/$AC1895-1,$AD1896/$AD1895-1,$AE1896/$AE1895-1,$AG1896/$AG1895-1,$AH1896/$AH1895-1,$AI1896/$AI1895-1,$AJ1896/$AJ1895-1,$AL1896/$AL1895-1,$AM1896/$AM1895-1,$AR1896/$AR1895-1,$AS1896/$AS1895-1,$AT1896/$AT1895-1,$AU1896/$AU1895-1,$AV1896/$AV1895-1,$AW1896/$AW1895-1,$AX1896/$AX1895-1,$AY1896/$AY1895-1),"")</f>
        <v/>
      </c>
      <c r="DW1895" s="66">
        <f>AVERAGE($CB1895,$CC1895,$CD1895,$CE1895,$CF1895,$CG1895,$CH1895,$CI1895,$CJ1895,$CL1895,$CM1895,$CN1895,$CO1895,$CP1895,$CQ1895,$CR1895,$CS1895,$CT1895)</f>
        <v/>
      </c>
      <c r="DX1895" s="66">
        <f>AVERAGE($CB1895,$CC1895,$CM1895,$CE1895,$CP1895)</f>
        <v/>
      </c>
      <c r="DY1895" s="64">
        <f>($DW1895-$DW1896)*100</f>
        <v/>
      </c>
      <c r="DZ1895" s="64">
        <f>($DX1895-$DX1896)*100</f>
        <v/>
      </c>
      <c r="EA1895" s="64">
        <f>($DW1895-$D1895)*100</f>
        <v/>
      </c>
      <c r="EB1895" s="64">
        <f>$Q1895-$O1895</f>
        <v/>
      </c>
      <c r="EC1895" s="67">
        <f>IFERROR($Q1895/$P1895,"")</f>
        <v/>
      </c>
    </row>
    <row r="1896">
      <c r="DG1896" s="64">
        <f>($B1896-$B1897)*100</f>
        <v/>
      </c>
      <c r="DH1896" s="64">
        <f>($D1896-$D1897)*100</f>
        <v/>
      </c>
      <c r="DI1896" s="64">
        <f>($E1896-$E1897)*100</f>
        <v/>
      </c>
      <c r="DJ1896" s="64">
        <f>($H1896-$H1897)*100</f>
        <v/>
      </c>
      <c r="DK1896" s="65">
        <f>IFERROR($J1896/$J1897-1,"")</f>
        <v/>
      </c>
      <c r="DL1896" s="64">
        <f>$L1896-$L1897</f>
        <v/>
      </c>
      <c r="DM1896" s="64">
        <f>$K1896-$K1897</f>
        <v/>
      </c>
      <c r="DN1896" s="65">
        <f>IFERROR($N1896/$N1897-1,"")</f>
        <v/>
      </c>
      <c r="DO1896" s="65">
        <f>IFERROR($M1896/$M1897-1,"")</f>
        <v/>
      </c>
      <c r="DP1896" s="65">
        <f>IFERROR($AZ1896/$AZ1897-1,"")</f>
        <v/>
      </c>
      <c r="DQ1896" s="65">
        <f>IFERROR($BA1896/$BA1897-1,"")</f>
        <v/>
      </c>
      <c r="DR1896" s="64">
        <f>$O1896-$O1897</f>
        <v/>
      </c>
      <c r="DS1896" s="64">
        <f>$P1896-$P1897</f>
        <v/>
      </c>
      <c r="DT1896" s="64">
        <f>$Q1896-$Q1897</f>
        <v/>
      </c>
      <c r="DU1896" s="64">
        <f>$S1896-$S1897</f>
        <v/>
      </c>
      <c r="DV1896" s="65">
        <f>IFERROR(AVERAGE($AA1897/$AA1896-1,$AB1897/$AB1896-1,$AC1897/$AC1896-1,$AD1897/$AD1896-1,$AE1897/$AE1896-1,$AG1897/$AG1896-1,$AH1897/$AH1896-1,$AI1897/$AI1896-1,$AJ1897/$AJ1896-1,$AL1897/$AL1896-1,$AM1897/$AM1896-1,$AR1897/$AR1896-1,$AS1897/$AS1896-1,$AT1897/$AT1896-1,$AU1897/$AU1896-1,$AV1897/$AV1896-1,$AW1897/$AW1896-1,$AX1897/$AX1896-1,$AY1897/$AY1896-1),"")</f>
        <v/>
      </c>
      <c r="DW1896" s="66">
        <f>AVERAGE($CB1896,$CC1896,$CD1896,$CE1896,$CF1896,$CG1896,$CH1896,$CI1896,$CJ1896,$CL1896,$CM1896,$CN1896,$CO1896,$CP1896,$CQ1896,$CR1896,$CS1896,$CT1896)</f>
        <v/>
      </c>
      <c r="DX1896" s="66">
        <f>AVERAGE($CB1896,$CC1896,$CM1896,$CE1896,$CP1896)</f>
        <v/>
      </c>
      <c r="DY1896" s="64">
        <f>($DW1896-$DW1897)*100</f>
        <v/>
      </c>
      <c r="DZ1896" s="64">
        <f>($DX1896-$DX1897)*100</f>
        <v/>
      </c>
      <c r="EA1896" s="64">
        <f>($DW1896-$D1896)*100</f>
        <v/>
      </c>
      <c r="EB1896" s="64">
        <f>$Q1896-$O1896</f>
        <v/>
      </c>
      <c r="EC1896" s="67">
        <f>IFERROR($Q1896/$P1896,"")</f>
        <v/>
      </c>
    </row>
    <row r="1897">
      <c r="DG1897" s="64">
        <f>($B1897-$B1898)*100</f>
        <v/>
      </c>
      <c r="DH1897" s="64">
        <f>($D1897-$D1898)*100</f>
        <v/>
      </c>
      <c r="DI1897" s="64">
        <f>($E1897-$E1898)*100</f>
        <v/>
      </c>
      <c r="DJ1897" s="64">
        <f>($H1897-$H1898)*100</f>
        <v/>
      </c>
      <c r="DK1897" s="65">
        <f>IFERROR($J1897/$J1898-1,"")</f>
        <v/>
      </c>
      <c r="DL1897" s="64">
        <f>$L1897-$L1898</f>
        <v/>
      </c>
      <c r="DM1897" s="64">
        <f>$K1897-$K1898</f>
        <v/>
      </c>
      <c r="DN1897" s="65">
        <f>IFERROR($N1897/$N1898-1,"")</f>
        <v/>
      </c>
      <c r="DO1897" s="65">
        <f>IFERROR($M1897/$M1898-1,"")</f>
        <v/>
      </c>
      <c r="DP1897" s="65">
        <f>IFERROR($AZ1897/$AZ1898-1,"")</f>
        <v/>
      </c>
      <c r="DQ1897" s="65">
        <f>IFERROR($BA1897/$BA1898-1,"")</f>
        <v/>
      </c>
      <c r="DR1897" s="64">
        <f>$O1897-$O1898</f>
        <v/>
      </c>
      <c r="DS1897" s="64">
        <f>$P1897-$P1898</f>
        <v/>
      </c>
      <c r="DT1897" s="64">
        <f>$Q1897-$Q1898</f>
        <v/>
      </c>
      <c r="DU1897" s="64">
        <f>$S1897-$S1898</f>
        <v/>
      </c>
      <c r="DV1897" s="65">
        <f>IFERROR(AVERAGE($AA1898/$AA1897-1,$AB1898/$AB1897-1,$AC1898/$AC1897-1,$AD1898/$AD1897-1,$AE1898/$AE1897-1,$AG1898/$AG1897-1,$AH1898/$AH1897-1,$AI1898/$AI1897-1,$AJ1898/$AJ1897-1,$AL1898/$AL1897-1,$AM1898/$AM1897-1,$AR1898/$AR1897-1,$AS1898/$AS1897-1,$AT1898/$AT1897-1,$AU1898/$AU1897-1,$AV1898/$AV1897-1,$AW1898/$AW1897-1,$AX1898/$AX1897-1,$AY1898/$AY1897-1),"")</f>
        <v/>
      </c>
      <c r="DW1897" s="66">
        <f>AVERAGE($CB1897,$CC1897,$CD1897,$CE1897,$CF1897,$CG1897,$CH1897,$CI1897,$CJ1897,$CL1897,$CM1897,$CN1897,$CO1897,$CP1897,$CQ1897,$CR1897,$CS1897,$CT1897)</f>
        <v/>
      </c>
      <c r="DX1897" s="66">
        <f>AVERAGE($CB1897,$CC1897,$CM1897,$CE1897,$CP1897)</f>
        <v/>
      </c>
      <c r="DY1897" s="64">
        <f>($DW1897-$DW1898)*100</f>
        <v/>
      </c>
      <c r="DZ1897" s="64">
        <f>($DX1897-$DX1898)*100</f>
        <v/>
      </c>
      <c r="EA1897" s="64">
        <f>($DW1897-$D1897)*100</f>
        <v/>
      </c>
      <c r="EB1897" s="64">
        <f>$Q1897-$O1897</f>
        <v/>
      </c>
      <c r="EC1897" s="67">
        <f>IFERROR($Q1897/$P1897,"")</f>
        <v/>
      </c>
    </row>
    <row r="1898">
      <c r="DG1898" s="64">
        <f>($B1898-$B1899)*100</f>
        <v/>
      </c>
      <c r="DH1898" s="64">
        <f>($D1898-$D1899)*100</f>
        <v/>
      </c>
      <c r="DI1898" s="64">
        <f>($E1898-$E1899)*100</f>
        <v/>
      </c>
      <c r="DJ1898" s="64">
        <f>($H1898-$H1899)*100</f>
        <v/>
      </c>
      <c r="DK1898" s="65">
        <f>IFERROR($J1898/$J1899-1,"")</f>
        <v/>
      </c>
      <c r="DL1898" s="64">
        <f>$L1898-$L1899</f>
        <v/>
      </c>
      <c r="DM1898" s="64">
        <f>$K1898-$K1899</f>
        <v/>
      </c>
      <c r="DN1898" s="65">
        <f>IFERROR($N1898/$N1899-1,"")</f>
        <v/>
      </c>
      <c r="DO1898" s="65">
        <f>IFERROR($M1898/$M1899-1,"")</f>
        <v/>
      </c>
      <c r="DP1898" s="65">
        <f>IFERROR($AZ1898/$AZ1899-1,"")</f>
        <v/>
      </c>
      <c r="DQ1898" s="65">
        <f>IFERROR($BA1898/$BA1899-1,"")</f>
        <v/>
      </c>
      <c r="DR1898" s="64">
        <f>$O1898-$O1899</f>
        <v/>
      </c>
      <c r="DS1898" s="64">
        <f>$P1898-$P1899</f>
        <v/>
      </c>
      <c r="DT1898" s="64">
        <f>$Q1898-$Q1899</f>
        <v/>
      </c>
      <c r="DU1898" s="64">
        <f>$S1898-$S1899</f>
        <v/>
      </c>
      <c r="DV1898" s="65">
        <f>IFERROR(AVERAGE($AA1899/$AA1898-1,$AB1899/$AB1898-1,$AC1899/$AC1898-1,$AD1899/$AD1898-1,$AE1899/$AE1898-1,$AG1899/$AG1898-1,$AH1899/$AH1898-1,$AI1899/$AI1898-1,$AJ1899/$AJ1898-1,$AL1899/$AL1898-1,$AM1899/$AM1898-1,$AR1899/$AR1898-1,$AS1899/$AS1898-1,$AT1899/$AT1898-1,$AU1899/$AU1898-1,$AV1899/$AV1898-1,$AW1899/$AW1898-1,$AX1899/$AX1898-1,$AY1899/$AY1898-1),"")</f>
        <v/>
      </c>
      <c r="DW1898" s="66">
        <f>AVERAGE($CB1898,$CC1898,$CD1898,$CE1898,$CF1898,$CG1898,$CH1898,$CI1898,$CJ1898,$CL1898,$CM1898,$CN1898,$CO1898,$CP1898,$CQ1898,$CR1898,$CS1898,$CT1898)</f>
        <v/>
      </c>
      <c r="DX1898" s="66">
        <f>AVERAGE($CB1898,$CC1898,$CM1898,$CE1898,$CP1898)</f>
        <v/>
      </c>
      <c r="DY1898" s="64">
        <f>($DW1898-$DW1899)*100</f>
        <v/>
      </c>
      <c r="DZ1898" s="64">
        <f>($DX1898-$DX1899)*100</f>
        <v/>
      </c>
      <c r="EA1898" s="64">
        <f>($DW1898-$D1898)*100</f>
        <v/>
      </c>
      <c r="EB1898" s="64">
        <f>$Q1898-$O1898</f>
        <v/>
      </c>
      <c r="EC1898" s="67">
        <f>IFERROR($Q1898/$P1898,"")</f>
        <v/>
      </c>
    </row>
    <row r="1899">
      <c r="DG1899" s="64">
        <f>($B1899-$B1900)*100</f>
        <v/>
      </c>
      <c r="DH1899" s="64">
        <f>($D1899-$D1900)*100</f>
        <v/>
      </c>
      <c r="DI1899" s="64">
        <f>($E1899-$E1900)*100</f>
        <v/>
      </c>
      <c r="DJ1899" s="64">
        <f>($H1899-$H1900)*100</f>
        <v/>
      </c>
      <c r="DK1899" s="65">
        <f>IFERROR($J1899/$J1900-1,"")</f>
        <v/>
      </c>
      <c r="DL1899" s="64">
        <f>$L1899-$L1900</f>
        <v/>
      </c>
      <c r="DM1899" s="64">
        <f>$K1899-$K1900</f>
        <v/>
      </c>
      <c r="DN1899" s="65">
        <f>IFERROR($N1899/$N1900-1,"")</f>
        <v/>
      </c>
      <c r="DO1899" s="65">
        <f>IFERROR($M1899/$M1900-1,"")</f>
        <v/>
      </c>
      <c r="DP1899" s="65">
        <f>IFERROR($AZ1899/$AZ1900-1,"")</f>
        <v/>
      </c>
      <c r="DQ1899" s="65">
        <f>IFERROR($BA1899/$BA1900-1,"")</f>
        <v/>
      </c>
      <c r="DR1899" s="64">
        <f>$O1899-$O1900</f>
        <v/>
      </c>
      <c r="DS1899" s="64">
        <f>$P1899-$P1900</f>
        <v/>
      </c>
      <c r="DT1899" s="64">
        <f>$Q1899-$Q1900</f>
        <v/>
      </c>
      <c r="DU1899" s="64">
        <f>$S1899-$S1900</f>
        <v/>
      </c>
      <c r="DV1899" s="65">
        <f>IFERROR(AVERAGE($AA1900/$AA1899-1,$AB1900/$AB1899-1,$AC1900/$AC1899-1,$AD1900/$AD1899-1,$AE1900/$AE1899-1,$AG1900/$AG1899-1,$AH1900/$AH1899-1,$AI1900/$AI1899-1,$AJ1900/$AJ1899-1,$AL1900/$AL1899-1,$AM1900/$AM1899-1,$AR1900/$AR1899-1,$AS1900/$AS1899-1,$AT1900/$AT1899-1,$AU1900/$AU1899-1,$AV1900/$AV1899-1,$AW1900/$AW1899-1,$AX1900/$AX1899-1,$AY1900/$AY1899-1),"")</f>
        <v/>
      </c>
      <c r="DW1899" s="66">
        <f>AVERAGE($CB1899,$CC1899,$CD1899,$CE1899,$CF1899,$CG1899,$CH1899,$CI1899,$CJ1899,$CL1899,$CM1899,$CN1899,$CO1899,$CP1899,$CQ1899,$CR1899,$CS1899,$CT1899)</f>
        <v/>
      </c>
      <c r="DX1899" s="66">
        <f>AVERAGE($CB1899,$CC1899,$CM1899,$CE1899,$CP1899)</f>
        <v/>
      </c>
      <c r="DY1899" s="64">
        <f>($DW1899-$DW1900)*100</f>
        <v/>
      </c>
      <c r="DZ1899" s="64">
        <f>($DX1899-$DX1900)*100</f>
        <v/>
      </c>
      <c r="EA1899" s="64">
        <f>($DW1899-$D1899)*100</f>
        <v/>
      </c>
      <c r="EB1899" s="64">
        <f>$Q1899-$O1899</f>
        <v/>
      </c>
      <c r="EC1899" s="67">
        <f>IFERROR($Q1899/$P1899,"")</f>
        <v/>
      </c>
    </row>
    <row r="1900">
      <c r="DG1900" s="64">
        <f>($B1900-$B1901)*100</f>
        <v/>
      </c>
      <c r="DH1900" s="64">
        <f>($D1900-$D1901)*100</f>
        <v/>
      </c>
      <c r="DI1900" s="64">
        <f>($E1900-$E1901)*100</f>
        <v/>
      </c>
      <c r="DJ1900" s="64">
        <f>($H1900-$H1901)*100</f>
        <v/>
      </c>
      <c r="DK1900" s="65">
        <f>IFERROR($J1900/$J1901-1,"")</f>
        <v/>
      </c>
      <c r="DL1900" s="64">
        <f>$L1900-$L1901</f>
        <v/>
      </c>
      <c r="DM1900" s="64">
        <f>$K1900-$K1901</f>
        <v/>
      </c>
      <c r="DN1900" s="65">
        <f>IFERROR($N1900/$N1901-1,"")</f>
        <v/>
      </c>
      <c r="DO1900" s="65">
        <f>IFERROR($M1900/$M1901-1,"")</f>
        <v/>
      </c>
      <c r="DP1900" s="65">
        <f>IFERROR($AZ1900/$AZ1901-1,"")</f>
        <v/>
      </c>
      <c r="DQ1900" s="65">
        <f>IFERROR($BA1900/$BA1901-1,"")</f>
        <v/>
      </c>
      <c r="DR1900" s="64">
        <f>$O1900-$O1901</f>
        <v/>
      </c>
      <c r="DS1900" s="64">
        <f>$P1900-$P1901</f>
        <v/>
      </c>
      <c r="DT1900" s="64">
        <f>$Q1900-$Q1901</f>
        <v/>
      </c>
      <c r="DU1900" s="64">
        <f>$S1900-$S1901</f>
        <v/>
      </c>
      <c r="DV1900" s="65">
        <f>IFERROR(AVERAGE($AA1901/$AA1900-1,$AB1901/$AB1900-1,$AC1901/$AC1900-1,$AD1901/$AD1900-1,$AE1901/$AE1900-1,$AG1901/$AG1900-1,$AH1901/$AH1900-1,$AI1901/$AI1900-1,$AJ1901/$AJ1900-1,$AL1901/$AL1900-1,$AM1901/$AM1900-1,$AR1901/$AR1900-1,$AS1901/$AS1900-1,$AT1901/$AT1900-1,$AU1901/$AU1900-1,$AV1901/$AV1900-1,$AW1901/$AW1900-1,$AX1901/$AX1900-1,$AY1901/$AY1900-1),"")</f>
        <v/>
      </c>
      <c r="DW1900" s="66">
        <f>AVERAGE($CB1900,$CC1900,$CD1900,$CE1900,$CF1900,$CG1900,$CH1900,$CI1900,$CJ1900,$CL1900,$CM1900,$CN1900,$CO1900,$CP1900,$CQ1900,$CR1900,$CS1900,$CT1900)</f>
        <v/>
      </c>
      <c r="DX1900" s="66">
        <f>AVERAGE($CB1900,$CC1900,$CM1900,$CE1900,$CP1900)</f>
        <v/>
      </c>
      <c r="DY1900" s="64">
        <f>($DW1900-$DW1901)*100</f>
        <v/>
      </c>
      <c r="DZ1900" s="64">
        <f>($DX1900-$DX1901)*100</f>
        <v/>
      </c>
      <c r="EA1900" s="64">
        <f>($DW1900-$D1900)*100</f>
        <v/>
      </c>
      <c r="EB1900" s="64">
        <f>$Q1900-$O1900</f>
        <v/>
      </c>
      <c r="EC1900" s="67">
        <f>IFERROR($Q1900/$P1900,"")</f>
        <v/>
      </c>
    </row>
    <row r="1901">
      <c r="DG1901" s="64">
        <f>($B1901-$B1902)*100</f>
        <v/>
      </c>
      <c r="DH1901" s="64">
        <f>($D1901-$D1902)*100</f>
        <v/>
      </c>
      <c r="DI1901" s="64">
        <f>($E1901-$E1902)*100</f>
        <v/>
      </c>
      <c r="DJ1901" s="64">
        <f>($H1901-$H1902)*100</f>
        <v/>
      </c>
      <c r="DK1901" s="65">
        <f>IFERROR($J1901/$J1902-1,"")</f>
        <v/>
      </c>
      <c r="DL1901" s="64">
        <f>$L1901-$L1902</f>
        <v/>
      </c>
      <c r="DM1901" s="64">
        <f>$K1901-$K1902</f>
        <v/>
      </c>
      <c r="DN1901" s="65">
        <f>IFERROR($N1901/$N1902-1,"")</f>
        <v/>
      </c>
      <c r="DO1901" s="65">
        <f>IFERROR($M1901/$M1902-1,"")</f>
        <v/>
      </c>
      <c r="DP1901" s="65">
        <f>IFERROR($AZ1901/$AZ1902-1,"")</f>
        <v/>
      </c>
      <c r="DQ1901" s="65">
        <f>IFERROR($BA1901/$BA1902-1,"")</f>
        <v/>
      </c>
      <c r="DR1901" s="64">
        <f>$O1901-$O1902</f>
        <v/>
      </c>
      <c r="DS1901" s="64">
        <f>$P1901-$P1902</f>
        <v/>
      </c>
      <c r="DT1901" s="64">
        <f>$Q1901-$Q1902</f>
        <v/>
      </c>
      <c r="DU1901" s="64">
        <f>$S1901-$S1902</f>
        <v/>
      </c>
      <c r="DV1901" s="65">
        <f>IFERROR(AVERAGE($AA1902/$AA1901-1,$AB1902/$AB1901-1,$AC1902/$AC1901-1,$AD1902/$AD1901-1,$AE1902/$AE1901-1,$AG1902/$AG1901-1,$AH1902/$AH1901-1,$AI1902/$AI1901-1,$AJ1902/$AJ1901-1,$AL1902/$AL1901-1,$AM1902/$AM1901-1,$AR1902/$AR1901-1,$AS1902/$AS1901-1,$AT1902/$AT1901-1,$AU1902/$AU1901-1,$AV1902/$AV1901-1,$AW1902/$AW1901-1,$AX1902/$AX1901-1,$AY1902/$AY1901-1),"")</f>
        <v/>
      </c>
      <c r="DW1901" s="66">
        <f>AVERAGE($CB1901,$CC1901,$CD1901,$CE1901,$CF1901,$CG1901,$CH1901,$CI1901,$CJ1901,$CL1901,$CM1901,$CN1901,$CO1901,$CP1901,$CQ1901,$CR1901,$CS1901,$CT1901)</f>
        <v/>
      </c>
      <c r="DX1901" s="66">
        <f>AVERAGE($CB1901,$CC1901,$CM1901,$CE1901,$CP1901)</f>
        <v/>
      </c>
      <c r="DY1901" s="64">
        <f>($DW1901-$DW1902)*100</f>
        <v/>
      </c>
      <c r="DZ1901" s="64">
        <f>($DX1901-$DX1902)*100</f>
        <v/>
      </c>
      <c r="EA1901" s="64">
        <f>($DW1901-$D1901)*100</f>
        <v/>
      </c>
      <c r="EB1901" s="64">
        <f>$Q1901-$O1901</f>
        <v/>
      </c>
      <c r="EC1901" s="67">
        <f>IFERROR($Q1901/$P1901,"")</f>
        <v/>
      </c>
    </row>
    <row r="1902">
      <c r="DG1902" s="64">
        <f>($B1902-$B1903)*100</f>
        <v/>
      </c>
      <c r="DH1902" s="64">
        <f>($D1902-$D1903)*100</f>
        <v/>
      </c>
      <c r="DI1902" s="64">
        <f>($E1902-$E1903)*100</f>
        <v/>
      </c>
      <c r="DJ1902" s="64">
        <f>($H1902-$H1903)*100</f>
        <v/>
      </c>
      <c r="DK1902" s="65">
        <f>IFERROR($J1902/$J1903-1,"")</f>
        <v/>
      </c>
      <c r="DL1902" s="64">
        <f>$L1902-$L1903</f>
        <v/>
      </c>
      <c r="DM1902" s="64">
        <f>$K1902-$K1903</f>
        <v/>
      </c>
      <c r="DN1902" s="65">
        <f>IFERROR($N1902/$N1903-1,"")</f>
        <v/>
      </c>
      <c r="DO1902" s="65">
        <f>IFERROR($M1902/$M1903-1,"")</f>
        <v/>
      </c>
      <c r="DP1902" s="65">
        <f>IFERROR($AZ1902/$AZ1903-1,"")</f>
        <v/>
      </c>
      <c r="DQ1902" s="65">
        <f>IFERROR($BA1902/$BA1903-1,"")</f>
        <v/>
      </c>
      <c r="DR1902" s="64">
        <f>$O1902-$O1903</f>
        <v/>
      </c>
      <c r="DS1902" s="64">
        <f>$P1902-$P1903</f>
        <v/>
      </c>
      <c r="DT1902" s="64">
        <f>$Q1902-$Q1903</f>
        <v/>
      </c>
      <c r="DU1902" s="64">
        <f>$S1902-$S1903</f>
        <v/>
      </c>
      <c r="DV1902" s="65">
        <f>IFERROR(AVERAGE($AA1903/$AA1902-1,$AB1903/$AB1902-1,$AC1903/$AC1902-1,$AD1903/$AD1902-1,$AE1903/$AE1902-1,$AG1903/$AG1902-1,$AH1903/$AH1902-1,$AI1903/$AI1902-1,$AJ1903/$AJ1902-1,$AL1903/$AL1902-1,$AM1903/$AM1902-1,$AR1903/$AR1902-1,$AS1903/$AS1902-1,$AT1903/$AT1902-1,$AU1903/$AU1902-1,$AV1903/$AV1902-1,$AW1903/$AW1902-1,$AX1903/$AX1902-1,$AY1903/$AY1902-1),"")</f>
        <v/>
      </c>
      <c r="DW1902" s="66">
        <f>AVERAGE($CB1902,$CC1902,$CD1902,$CE1902,$CF1902,$CG1902,$CH1902,$CI1902,$CJ1902,$CL1902,$CM1902,$CN1902,$CO1902,$CP1902,$CQ1902,$CR1902,$CS1902,$CT1902)</f>
        <v/>
      </c>
      <c r="DX1902" s="66">
        <f>AVERAGE($CB1902,$CC1902,$CM1902,$CE1902,$CP1902)</f>
        <v/>
      </c>
      <c r="DY1902" s="64">
        <f>($DW1902-$DW1903)*100</f>
        <v/>
      </c>
      <c r="DZ1902" s="64">
        <f>($DX1902-$DX1903)*100</f>
        <v/>
      </c>
      <c r="EA1902" s="64">
        <f>($DW1902-$D1902)*100</f>
        <v/>
      </c>
      <c r="EB1902" s="64">
        <f>$Q1902-$O1902</f>
        <v/>
      </c>
      <c r="EC1902" s="67">
        <f>IFERROR($Q1902/$P1902,"")</f>
        <v/>
      </c>
    </row>
    <row r="1903">
      <c r="DG1903" s="64">
        <f>($B1903-$B1904)*100</f>
        <v/>
      </c>
      <c r="DH1903" s="64">
        <f>($D1903-$D1904)*100</f>
        <v/>
      </c>
      <c r="DI1903" s="64">
        <f>($E1903-$E1904)*100</f>
        <v/>
      </c>
      <c r="DJ1903" s="64">
        <f>($H1903-$H1904)*100</f>
        <v/>
      </c>
      <c r="DK1903" s="65">
        <f>IFERROR($J1903/$J1904-1,"")</f>
        <v/>
      </c>
      <c r="DL1903" s="64">
        <f>$L1903-$L1904</f>
        <v/>
      </c>
      <c r="DM1903" s="64">
        <f>$K1903-$K1904</f>
        <v/>
      </c>
      <c r="DN1903" s="65">
        <f>IFERROR($N1903/$N1904-1,"")</f>
        <v/>
      </c>
      <c r="DO1903" s="65">
        <f>IFERROR($M1903/$M1904-1,"")</f>
        <v/>
      </c>
      <c r="DP1903" s="65">
        <f>IFERROR($AZ1903/$AZ1904-1,"")</f>
        <v/>
      </c>
      <c r="DQ1903" s="65">
        <f>IFERROR($BA1903/$BA1904-1,"")</f>
        <v/>
      </c>
      <c r="DR1903" s="64">
        <f>$O1903-$O1904</f>
        <v/>
      </c>
      <c r="DS1903" s="64">
        <f>$P1903-$P1904</f>
        <v/>
      </c>
      <c r="DT1903" s="64">
        <f>$Q1903-$Q1904</f>
        <v/>
      </c>
      <c r="DU1903" s="64">
        <f>$S1903-$S1904</f>
        <v/>
      </c>
      <c r="DV1903" s="65">
        <f>IFERROR(AVERAGE($AA1904/$AA1903-1,$AB1904/$AB1903-1,$AC1904/$AC1903-1,$AD1904/$AD1903-1,$AE1904/$AE1903-1,$AG1904/$AG1903-1,$AH1904/$AH1903-1,$AI1904/$AI1903-1,$AJ1904/$AJ1903-1,$AL1904/$AL1903-1,$AM1904/$AM1903-1,$AR1904/$AR1903-1,$AS1904/$AS1903-1,$AT1904/$AT1903-1,$AU1904/$AU1903-1,$AV1904/$AV1903-1,$AW1904/$AW1903-1,$AX1904/$AX1903-1,$AY1904/$AY1903-1),"")</f>
        <v/>
      </c>
      <c r="DW1903" s="66">
        <f>AVERAGE($CB1903,$CC1903,$CD1903,$CE1903,$CF1903,$CG1903,$CH1903,$CI1903,$CJ1903,$CL1903,$CM1903,$CN1903,$CO1903,$CP1903,$CQ1903,$CR1903,$CS1903,$CT1903)</f>
        <v/>
      </c>
      <c r="DX1903" s="66">
        <f>AVERAGE($CB1903,$CC1903,$CM1903,$CE1903,$CP1903)</f>
        <v/>
      </c>
      <c r="DY1903" s="64">
        <f>($DW1903-$DW1904)*100</f>
        <v/>
      </c>
      <c r="DZ1903" s="64">
        <f>($DX1903-$DX1904)*100</f>
        <v/>
      </c>
      <c r="EA1903" s="64">
        <f>($DW1903-$D1903)*100</f>
        <v/>
      </c>
      <c r="EB1903" s="64">
        <f>$Q1903-$O1903</f>
        <v/>
      </c>
      <c r="EC1903" s="67">
        <f>IFERROR($Q1903/$P1903,"")</f>
        <v/>
      </c>
    </row>
    <row r="1904">
      <c r="DG1904" s="64">
        <f>($B1904-$B1905)*100</f>
        <v/>
      </c>
      <c r="DH1904" s="64">
        <f>($D1904-$D1905)*100</f>
        <v/>
      </c>
      <c r="DI1904" s="64">
        <f>($E1904-$E1905)*100</f>
        <v/>
      </c>
      <c r="DJ1904" s="64">
        <f>($H1904-$H1905)*100</f>
        <v/>
      </c>
      <c r="DK1904" s="65">
        <f>IFERROR($J1904/$J1905-1,"")</f>
        <v/>
      </c>
      <c r="DL1904" s="64">
        <f>$L1904-$L1905</f>
        <v/>
      </c>
      <c r="DM1904" s="64">
        <f>$K1904-$K1905</f>
        <v/>
      </c>
      <c r="DN1904" s="65">
        <f>IFERROR($N1904/$N1905-1,"")</f>
        <v/>
      </c>
      <c r="DO1904" s="65">
        <f>IFERROR($M1904/$M1905-1,"")</f>
        <v/>
      </c>
      <c r="DP1904" s="65">
        <f>IFERROR($AZ1904/$AZ1905-1,"")</f>
        <v/>
      </c>
      <c r="DQ1904" s="65">
        <f>IFERROR($BA1904/$BA1905-1,"")</f>
        <v/>
      </c>
      <c r="DR1904" s="64">
        <f>$O1904-$O1905</f>
        <v/>
      </c>
      <c r="DS1904" s="64">
        <f>$P1904-$P1905</f>
        <v/>
      </c>
      <c r="DT1904" s="64">
        <f>$Q1904-$Q1905</f>
        <v/>
      </c>
      <c r="DU1904" s="64">
        <f>$S1904-$S1905</f>
        <v/>
      </c>
      <c r="DV1904" s="65">
        <f>IFERROR(AVERAGE($AA1905/$AA1904-1,$AB1905/$AB1904-1,$AC1905/$AC1904-1,$AD1905/$AD1904-1,$AE1905/$AE1904-1,$AG1905/$AG1904-1,$AH1905/$AH1904-1,$AI1905/$AI1904-1,$AJ1905/$AJ1904-1,$AL1905/$AL1904-1,$AM1905/$AM1904-1,$AR1905/$AR1904-1,$AS1905/$AS1904-1,$AT1905/$AT1904-1,$AU1905/$AU1904-1,$AV1905/$AV1904-1,$AW1905/$AW1904-1,$AX1905/$AX1904-1,$AY1905/$AY1904-1),"")</f>
        <v/>
      </c>
      <c r="DW1904" s="66">
        <f>AVERAGE($CB1904,$CC1904,$CD1904,$CE1904,$CF1904,$CG1904,$CH1904,$CI1904,$CJ1904,$CL1904,$CM1904,$CN1904,$CO1904,$CP1904,$CQ1904,$CR1904,$CS1904,$CT1904)</f>
        <v/>
      </c>
      <c r="DX1904" s="66">
        <f>AVERAGE($CB1904,$CC1904,$CM1904,$CE1904,$CP1904)</f>
        <v/>
      </c>
      <c r="DY1904" s="64">
        <f>($DW1904-$DW1905)*100</f>
        <v/>
      </c>
      <c r="DZ1904" s="64">
        <f>($DX1904-$DX1905)*100</f>
        <v/>
      </c>
      <c r="EA1904" s="64">
        <f>($DW1904-$D1904)*100</f>
        <v/>
      </c>
      <c r="EB1904" s="64">
        <f>$Q1904-$O1904</f>
        <v/>
      </c>
      <c r="EC1904" s="67">
        <f>IFERROR($Q1904/$P1904,"")</f>
        <v/>
      </c>
    </row>
    <row r="1905">
      <c r="DG1905" s="64">
        <f>($B1905-$B1906)*100</f>
        <v/>
      </c>
      <c r="DH1905" s="64">
        <f>($D1905-$D1906)*100</f>
        <v/>
      </c>
      <c r="DI1905" s="64">
        <f>($E1905-$E1906)*100</f>
        <v/>
      </c>
      <c r="DJ1905" s="64">
        <f>($H1905-$H1906)*100</f>
        <v/>
      </c>
      <c r="DK1905" s="65">
        <f>IFERROR($J1905/$J1906-1,"")</f>
        <v/>
      </c>
      <c r="DL1905" s="64">
        <f>$L1905-$L1906</f>
        <v/>
      </c>
      <c r="DM1905" s="64">
        <f>$K1905-$K1906</f>
        <v/>
      </c>
      <c r="DN1905" s="65">
        <f>IFERROR($N1905/$N1906-1,"")</f>
        <v/>
      </c>
      <c r="DO1905" s="65">
        <f>IFERROR($M1905/$M1906-1,"")</f>
        <v/>
      </c>
      <c r="DP1905" s="65">
        <f>IFERROR($AZ1905/$AZ1906-1,"")</f>
        <v/>
      </c>
      <c r="DQ1905" s="65">
        <f>IFERROR($BA1905/$BA1906-1,"")</f>
        <v/>
      </c>
      <c r="DR1905" s="64">
        <f>$O1905-$O1906</f>
        <v/>
      </c>
      <c r="DS1905" s="64">
        <f>$P1905-$P1906</f>
        <v/>
      </c>
      <c r="DT1905" s="64">
        <f>$Q1905-$Q1906</f>
        <v/>
      </c>
      <c r="DU1905" s="64">
        <f>$S1905-$S1906</f>
        <v/>
      </c>
      <c r="DV1905" s="65">
        <f>IFERROR(AVERAGE($AA1906/$AA1905-1,$AB1906/$AB1905-1,$AC1906/$AC1905-1,$AD1906/$AD1905-1,$AE1906/$AE1905-1,$AG1906/$AG1905-1,$AH1906/$AH1905-1,$AI1906/$AI1905-1,$AJ1906/$AJ1905-1,$AL1906/$AL1905-1,$AM1906/$AM1905-1,$AR1906/$AR1905-1,$AS1906/$AS1905-1,$AT1906/$AT1905-1,$AU1906/$AU1905-1,$AV1906/$AV1905-1,$AW1906/$AW1905-1,$AX1906/$AX1905-1,$AY1906/$AY1905-1),"")</f>
        <v/>
      </c>
      <c r="DW1905" s="66">
        <f>AVERAGE($CB1905,$CC1905,$CD1905,$CE1905,$CF1905,$CG1905,$CH1905,$CI1905,$CJ1905,$CL1905,$CM1905,$CN1905,$CO1905,$CP1905,$CQ1905,$CR1905,$CS1905,$CT1905)</f>
        <v/>
      </c>
      <c r="DX1905" s="66">
        <f>AVERAGE($CB1905,$CC1905,$CM1905,$CE1905,$CP1905)</f>
        <v/>
      </c>
      <c r="DY1905" s="64">
        <f>($DW1905-$DW1906)*100</f>
        <v/>
      </c>
      <c r="DZ1905" s="64">
        <f>($DX1905-$DX1906)*100</f>
        <v/>
      </c>
      <c r="EA1905" s="64">
        <f>($DW1905-$D1905)*100</f>
        <v/>
      </c>
      <c r="EB1905" s="64">
        <f>$Q1905-$O1905</f>
        <v/>
      </c>
      <c r="EC1905" s="67">
        <f>IFERROR($Q1905/$P1905,"")</f>
        <v/>
      </c>
    </row>
    <row r="1906">
      <c r="DG1906" s="64">
        <f>($B1906-$B1907)*100</f>
        <v/>
      </c>
      <c r="DH1906" s="64">
        <f>($D1906-$D1907)*100</f>
        <v/>
      </c>
      <c r="DI1906" s="64">
        <f>($E1906-$E1907)*100</f>
        <v/>
      </c>
      <c r="DJ1906" s="64">
        <f>($H1906-$H1907)*100</f>
        <v/>
      </c>
      <c r="DK1906" s="65">
        <f>IFERROR($J1906/$J1907-1,"")</f>
        <v/>
      </c>
      <c r="DL1906" s="64">
        <f>$L1906-$L1907</f>
        <v/>
      </c>
      <c r="DM1906" s="64">
        <f>$K1906-$K1907</f>
        <v/>
      </c>
      <c r="DN1906" s="65">
        <f>IFERROR($N1906/$N1907-1,"")</f>
        <v/>
      </c>
      <c r="DO1906" s="65">
        <f>IFERROR($M1906/$M1907-1,"")</f>
        <v/>
      </c>
      <c r="DP1906" s="65">
        <f>IFERROR($AZ1906/$AZ1907-1,"")</f>
        <v/>
      </c>
      <c r="DQ1906" s="65">
        <f>IFERROR($BA1906/$BA1907-1,"")</f>
        <v/>
      </c>
      <c r="DR1906" s="64">
        <f>$O1906-$O1907</f>
        <v/>
      </c>
      <c r="DS1906" s="64">
        <f>$P1906-$P1907</f>
        <v/>
      </c>
      <c r="DT1906" s="64">
        <f>$Q1906-$Q1907</f>
        <v/>
      </c>
      <c r="DU1906" s="64">
        <f>$S1906-$S1907</f>
        <v/>
      </c>
      <c r="DV1906" s="65">
        <f>IFERROR(AVERAGE($AA1907/$AA1906-1,$AB1907/$AB1906-1,$AC1907/$AC1906-1,$AD1907/$AD1906-1,$AE1907/$AE1906-1,$AG1907/$AG1906-1,$AH1907/$AH1906-1,$AI1907/$AI1906-1,$AJ1907/$AJ1906-1,$AL1907/$AL1906-1,$AM1907/$AM1906-1,$AR1907/$AR1906-1,$AS1907/$AS1906-1,$AT1907/$AT1906-1,$AU1907/$AU1906-1,$AV1907/$AV1906-1,$AW1907/$AW1906-1,$AX1907/$AX1906-1,$AY1907/$AY1906-1),"")</f>
        <v/>
      </c>
      <c r="DW1906" s="66">
        <f>AVERAGE($CB1906,$CC1906,$CD1906,$CE1906,$CF1906,$CG1906,$CH1906,$CI1906,$CJ1906,$CL1906,$CM1906,$CN1906,$CO1906,$CP1906,$CQ1906,$CR1906,$CS1906,$CT1906)</f>
        <v/>
      </c>
      <c r="DX1906" s="66">
        <f>AVERAGE($CB1906,$CC1906,$CM1906,$CE1906,$CP1906)</f>
        <v/>
      </c>
      <c r="DY1906" s="64">
        <f>($DW1906-$DW1907)*100</f>
        <v/>
      </c>
      <c r="DZ1906" s="64">
        <f>($DX1906-$DX1907)*100</f>
        <v/>
      </c>
      <c r="EA1906" s="64">
        <f>($DW1906-$D1906)*100</f>
        <v/>
      </c>
      <c r="EB1906" s="64">
        <f>$Q1906-$O1906</f>
        <v/>
      </c>
      <c r="EC1906" s="67">
        <f>IFERROR($Q1906/$P1906,"")</f>
        <v/>
      </c>
    </row>
    <row r="1907">
      <c r="DG1907" s="64">
        <f>($B1907-$B1908)*100</f>
        <v/>
      </c>
      <c r="DH1907" s="64">
        <f>($D1907-$D1908)*100</f>
        <v/>
      </c>
      <c r="DI1907" s="64">
        <f>($E1907-$E1908)*100</f>
        <v/>
      </c>
      <c r="DJ1907" s="64">
        <f>($H1907-$H1908)*100</f>
        <v/>
      </c>
      <c r="DK1907" s="65">
        <f>IFERROR($J1907/$J1908-1,"")</f>
        <v/>
      </c>
      <c r="DL1907" s="64">
        <f>$L1907-$L1908</f>
        <v/>
      </c>
      <c r="DM1907" s="64">
        <f>$K1907-$K1908</f>
        <v/>
      </c>
      <c r="DN1907" s="65">
        <f>IFERROR($N1907/$N1908-1,"")</f>
        <v/>
      </c>
      <c r="DO1907" s="65">
        <f>IFERROR($M1907/$M1908-1,"")</f>
        <v/>
      </c>
      <c r="DP1907" s="65">
        <f>IFERROR($AZ1907/$AZ1908-1,"")</f>
        <v/>
      </c>
      <c r="DQ1907" s="65">
        <f>IFERROR($BA1907/$BA1908-1,"")</f>
        <v/>
      </c>
      <c r="DR1907" s="64">
        <f>$O1907-$O1908</f>
        <v/>
      </c>
      <c r="DS1907" s="64">
        <f>$P1907-$P1908</f>
        <v/>
      </c>
      <c r="DT1907" s="64">
        <f>$Q1907-$Q1908</f>
        <v/>
      </c>
      <c r="DU1907" s="64">
        <f>$S1907-$S1908</f>
        <v/>
      </c>
      <c r="DV1907" s="65">
        <f>IFERROR(AVERAGE($AA1908/$AA1907-1,$AB1908/$AB1907-1,$AC1908/$AC1907-1,$AD1908/$AD1907-1,$AE1908/$AE1907-1,$AG1908/$AG1907-1,$AH1908/$AH1907-1,$AI1908/$AI1907-1,$AJ1908/$AJ1907-1,$AL1908/$AL1907-1,$AM1908/$AM1907-1,$AR1908/$AR1907-1,$AS1908/$AS1907-1,$AT1908/$AT1907-1,$AU1908/$AU1907-1,$AV1908/$AV1907-1,$AW1908/$AW1907-1,$AX1908/$AX1907-1,$AY1908/$AY1907-1),"")</f>
        <v/>
      </c>
      <c r="DW1907" s="66">
        <f>AVERAGE($CB1907,$CC1907,$CD1907,$CE1907,$CF1907,$CG1907,$CH1907,$CI1907,$CJ1907,$CL1907,$CM1907,$CN1907,$CO1907,$CP1907,$CQ1907,$CR1907,$CS1907,$CT1907)</f>
        <v/>
      </c>
      <c r="DX1907" s="66">
        <f>AVERAGE($CB1907,$CC1907,$CM1907,$CE1907,$CP1907)</f>
        <v/>
      </c>
      <c r="DY1907" s="64">
        <f>($DW1907-$DW1908)*100</f>
        <v/>
      </c>
      <c r="DZ1907" s="64">
        <f>($DX1907-$DX1908)*100</f>
        <v/>
      </c>
      <c r="EA1907" s="64">
        <f>($DW1907-$D1907)*100</f>
        <v/>
      </c>
      <c r="EB1907" s="64">
        <f>$Q1907-$O1907</f>
        <v/>
      </c>
      <c r="EC1907" s="67">
        <f>IFERROR($Q1907/$P1907,"")</f>
        <v/>
      </c>
    </row>
    <row r="1908">
      <c r="DG1908" s="64">
        <f>($B1908-$B1909)*100</f>
        <v/>
      </c>
      <c r="DH1908" s="64">
        <f>($D1908-$D1909)*100</f>
        <v/>
      </c>
      <c r="DI1908" s="64">
        <f>($E1908-$E1909)*100</f>
        <v/>
      </c>
      <c r="DJ1908" s="64">
        <f>($H1908-$H1909)*100</f>
        <v/>
      </c>
      <c r="DK1908" s="65">
        <f>IFERROR($J1908/$J1909-1,"")</f>
        <v/>
      </c>
      <c r="DL1908" s="64">
        <f>$L1908-$L1909</f>
        <v/>
      </c>
      <c r="DM1908" s="64">
        <f>$K1908-$K1909</f>
        <v/>
      </c>
      <c r="DN1908" s="65">
        <f>IFERROR($N1908/$N1909-1,"")</f>
        <v/>
      </c>
      <c r="DO1908" s="65">
        <f>IFERROR($M1908/$M1909-1,"")</f>
        <v/>
      </c>
      <c r="DP1908" s="65">
        <f>IFERROR($AZ1908/$AZ1909-1,"")</f>
        <v/>
      </c>
      <c r="DQ1908" s="65">
        <f>IFERROR($BA1908/$BA1909-1,"")</f>
        <v/>
      </c>
      <c r="DR1908" s="64">
        <f>$O1908-$O1909</f>
        <v/>
      </c>
      <c r="DS1908" s="64">
        <f>$P1908-$P1909</f>
        <v/>
      </c>
      <c r="DT1908" s="64">
        <f>$Q1908-$Q1909</f>
        <v/>
      </c>
      <c r="DU1908" s="64">
        <f>$S1908-$S1909</f>
        <v/>
      </c>
      <c r="DV1908" s="65">
        <f>IFERROR(AVERAGE($AA1909/$AA1908-1,$AB1909/$AB1908-1,$AC1909/$AC1908-1,$AD1909/$AD1908-1,$AE1909/$AE1908-1,$AG1909/$AG1908-1,$AH1909/$AH1908-1,$AI1909/$AI1908-1,$AJ1909/$AJ1908-1,$AL1909/$AL1908-1,$AM1909/$AM1908-1,$AR1909/$AR1908-1,$AS1909/$AS1908-1,$AT1909/$AT1908-1,$AU1909/$AU1908-1,$AV1909/$AV1908-1,$AW1909/$AW1908-1,$AX1909/$AX1908-1,$AY1909/$AY1908-1),"")</f>
        <v/>
      </c>
      <c r="DW1908" s="66">
        <f>AVERAGE($CB1908,$CC1908,$CD1908,$CE1908,$CF1908,$CG1908,$CH1908,$CI1908,$CJ1908,$CL1908,$CM1908,$CN1908,$CO1908,$CP1908,$CQ1908,$CR1908,$CS1908,$CT1908)</f>
        <v/>
      </c>
      <c r="DX1908" s="66">
        <f>AVERAGE($CB1908,$CC1908,$CM1908,$CE1908,$CP1908)</f>
        <v/>
      </c>
      <c r="DY1908" s="64">
        <f>($DW1908-$DW1909)*100</f>
        <v/>
      </c>
      <c r="DZ1908" s="64">
        <f>($DX1908-$DX1909)*100</f>
        <v/>
      </c>
      <c r="EA1908" s="64">
        <f>($DW1908-$D1908)*100</f>
        <v/>
      </c>
      <c r="EB1908" s="64">
        <f>$Q1908-$O1908</f>
        <v/>
      </c>
      <c r="EC1908" s="67">
        <f>IFERROR($Q1908/$P1908,"")</f>
        <v/>
      </c>
    </row>
    <row r="1909">
      <c r="DG1909" s="64">
        <f>($B1909-$B1910)*100</f>
        <v/>
      </c>
      <c r="DH1909" s="64">
        <f>($D1909-$D1910)*100</f>
        <v/>
      </c>
      <c r="DI1909" s="64">
        <f>($E1909-$E1910)*100</f>
        <v/>
      </c>
      <c r="DJ1909" s="64">
        <f>($H1909-$H1910)*100</f>
        <v/>
      </c>
      <c r="DK1909" s="65">
        <f>IFERROR($J1909/$J1910-1,"")</f>
        <v/>
      </c>
      <c r="DL1909" s="64">
        <f>$L1909-$L1910</f>
        <v/>
      </c>
      <c r="DM1909" s="64">
        <f>$K1909-$K1910</f>
        <v/>
      </c>
      <c r="DN1909" s="65">
        <f>IFERROR($N1909/$N1910-1,"")</f>
        <v/>
      </c>
      <c r="DO1909" s="65">
        <f>IFERROR($M1909/$M1910-1,"")</f>
        <v/>
      </c>
      <c r="DP1909" s="65">
        <f>IFERROR($AZ1909/$AZ1910-1,"")</f>
        <v/>
      </c>
      <c r="DQ1909" s="65">
        <f>IFERROR($BA1909/$BA1910-1,"")</f>
        <v/>
      </c>
      <c r="DR1909" s="64">
        <f>$O1909-$O1910</f>
        <v/>
      </c>
      <c r="DS1909" s="64">
        <f>$P1909-$P1910</f>
        <v/>
      </c>
      <c r="DT1909" s="64">
        <f>$Q1909-$Q1910</f>
        <v/>
      </c>
      <c r="DU1909" s="64">
        <f>$S1909-$S1910</f>
        <v/>
      </c>
      <c r="DV1909" s="65">
        <f>IFERROR(AVERAGE($AA1910/$AA1909-1,$AB1910/$AB1909-1,$AC1910/$AC1909-1,$AD1910/$AD1909-1,$AE1910/$AE1909-1,$AG1910/$AG1909-1,$AH1910/$AH1909-1,$AI1910/$AI1909-1,$AJ1910/$AJ1909-1,$AL1910/$AL1909-1,$AM1910/$AM1909-1,$AR1910/$AR1909-1,$AS1910/$AS1909-1,$AT1910/$AT1909-1,$AU1910/$AU1909-1,$AV1910/$AV1909-1,$AW1910/$AW1909-1,$AX1910/$AX1909-1,$AY1910/$AY1909-1),"")</f>
        <v/>
      </c>
      <c r="DW1909" s="66">
        <f>AVERAGE($CB1909,$CC1909,$CD1909,$CE1909,$CF1909,$CG1909,$CH1909,$CI1909,$CJ1909,$CL1909,$CM1909,$CN1909,$CO1909,$CP1909,$CQ1909,$CR1909,$CS1909,$CT1909)</f>
        <v/>
      </c>
      <c r="DX1909" s="66">
        <f>AVERAGE($CB1909,$CC1909,$CM1909,$CE1909,$CP1909)</f>
        <v/>
      </c>
      <c r="DY1909" s="64">
        <f>($DW1909-$DW1910)*100</f>
        <v/>
      </c>
      <c r="DZ1909" s="64">
        <f>($DX1909-$DX1910)*100</f>
        <v/>
      </c>
      <c r="EA1909" s="64">
        <f>($DW1909-$D1909)*100</f>
        <v/>
      </c>
      <c r="EB1909" s="64">
        <f>$Q1909-$O1909</f>
        <v/>
      </c>
      <c r="EC1909" s="67">
        <f>IFERROR($Q1909/$P1909,"")</f>
        <v/>
      </c>
    </row>
    <row r="1910">
      <c r="DG1910" s="64">
        <f>($B1910-$B1911)*100</f>
        <v/>
      </c>
      <c r="DH1910" s="64">
        <f>($D1910-$D1911)*100</f>
        <v/>
      </c>
      <c r="DI1910" s="64">
        <f>($E1910-$E1911)*100</f>
        <v/>
      </c>
      <c r="DJ1910" s="64">
        <f>($H1910-$H1911)*100</f>
        <v/>
      </c>
      <c r="DK1910" s="65">
        <f>IFERROR($J1910/$J1911-1,"")</f>
        <v/>
      </c>
      <c r="DL1910" s="64">
        <f>$L1910-$L1911</f>
        <v/>
      </c>
      <c r="DM1910" s="64">
        <f>$K1910-$K1911</f>
        <v/>
      </c>
      <c r="DN1910" s="65">
        <f>IFERROR($N1910/$N1911-1,"")</f>
        <v/>
      </c>
      <c r="DO1910" s="65">
        <f>IFERROR($M1910/$M1911-1,"")</f>
        <v/>
      </c>
      <c r="DP1910" s="65">
        <f>IFERROR($AZ1910/$AZ1911-1,"")</f>
        <v/>
      </c>
      <c r="DQ1910" s="65">
        <f>IFERROR($BA1910/$BA1911-1,"")</f>
        <v/>
      </c>
      <c r="DR1910" s="64">
        <f>$O1910-$O1911</f>
        <v/>
      </c>
      <c r="DS1910" s="64">
        <f>$P1910-$P1911</f>
        <v/>
      </c>
      <c r="DT1910" s="64">
        <f>$Q1910-$Q1911</f>
        <v/>
      </c>
      <c r="DU1910" s="64">
        <f>$S1910-$S1911</f>
        <v/>
      </c>
      <c r="DV1910" s="65">
        <f>IFERROR(AVERAGE($AA1911/$AA1910-1,$AB1911/$AB1910-1,$AC1911/$AC1910-1,$AD1911/$AD1910-1,$AE1911/$AE1910-1,$AG1911/$AG1910-1,$AH1911/$AH1910-1,$AI1911/$AI1910-1,$AJ1911/$AJ1910-1,$AL1911/$AL1910-1,$AM1911/$AM1910-1,$AR1911/$AR1910-1,$AS1911/$AS1910-1,$AT1911/$AT1910-1,$AU1911/$AU1910-1,$AV1911/$AV1910-1,$AW1911/$AW1910-1,$AX1911/$AX1910-1,$AY1911/$AY1910-1),"")</f>
        <v/>
      </c>
      <c r="DW1910" s="66">
        <f>AVERAGE($CB1910,$CC1910,$CD1910,$CE1910,$CF1910,$CG1910,$CH1910,$CI1910,$CJ1910,$CL1910,$CM1910,$CN1910,$CO1910,$CP1910,$CQ1910,$CR1910,$CS1910,$CT1910)</f>
        <v/>
      </c>
      <c r="DX1910" s="66">
        <f>AVERAGE($CB1910,$CC1910,$CM1910,$CE1910,$CP1910)</f>
        <v/>
      </c>
      <c r="DY1910" s="64">
        <f>($DW1910-$DW1911)*100</f>
        <v/>
      </c>
      <c r="DZ1910" s="64">
        <f>($DX1910-$DX1911)*100</f>
        <v/>
      </c>
      <c r="EA1910" s="64">
        <f>($DW1910-$D1910)*100</f>
        <v/>
      </c>
      <c r="EB1910" s="64">
        <f>$Q1910-$O1910</f>
        <v/>
      </c>
      <c r="EC1910" s="67">
        <f>IFERROR($Q1910/$P1910,"")</f>
        <v/>
      </c>
    </row>
    <row r="1911">
      <c r="DG1911" s="64">
        <f>($B1911-$B1912)*100</f>
        <v/>
      </c>
      <c r="DH1911" s="64">
        <f>($D1911-$D1912)*100</f>
        <v/>
      </c>
      <c r="DI1911" s="64">
        <f>($E1911-$E1912)*100</f>
        <v/>
      </c>
      <c r="DJ1911" s="64">
        <f>($H1911-$H1912)*100</f>
        <v/>
      </c>
      <c r="DK1911" s="65">
        <f>IFERROR($J1911/$J1912-1,"")</f>
        <v/>
      </c>
      <c r="DL1911" s="64">
        <f>$L1911-$L1912</f>
        <v/>
      </c>
      <c r="DM1911" s="64">
        <f>$K1911-$K1912</f>
        <v/>
      </c>
      <c r="DN1911" s="65">
        <f>IFERROR($N1911/$N1912-1,"")</f>
        <v/>
      </c>
      <c r="DO1911" s="65">
        <f>IFERROR($M1911/$M1912-1,"")</f>
        <v/>
      </c>
      <c r="DP1911" s="65">
        <f>IFERROR($AZ1911/$AZ1912-1,"")</f>
        <v/>
      </c>
      <c r="DQ1911" s="65">
        <f>IFERROR($BA1911/$BA1912-1,"")</f>
        <v/>
      </c>
      <c r="DR1911" s="64">
        <f>$O1911-$O1912</f>
        <v/>
      </c>
      <c r="DS1911" s="64">
        <f>$P1911-$P1912</f>
        <v/>
      </c>
      <c r="DT1911" s="64">
        <f>$Q1911-$Q1912</f>
        <v/>
      </c>
      <c r="DU1911" s="64">
        <f>$S1911-$S1912</f>
        <v/>
      </c>
      <c r="DV1911" s="65">
        <f>IFERROR(AVERAGE($AA1912/$AA1911-1,$AB1912/$AB1911-1,$AC1912/$AC1911-1,$AD1912/$AD1911-1,$AE1912/$AE1911-1,$AG1912/$AG1911-1,$AH1912/$AH1911-1,$AI1912/$AI1911-1,$AJ1912/$AJ1911-1,$AL1912/$AL1911-1,$AM1912/$AM1911-1,$AR1912/$AR1911-1,$AS1912/$AS1911-1,$AT1912/$AT1911-1,$AU1912/$AU1911-1,$AV1912/$AV1911-1,$AW1912/$AW1911-1,$AX1912/$AX1911-1,$AY1912/$AY1911-1),"")</f>
        <v/>
      </c>
      <c r="DW1911" s="66">
        <f>AVERAGE($CB1911,$CC1911,$CD1911,$CE1911,$CF1911,$CG1911,$CH1911,$CI1911,$CJ1911,$CL1911,$CM1911,$CN1911,$CO1911,$CP1911,$CQ1911,$CR1911,$CS1911,$CT1911)</f>
        <v/>
      </c>
      <c r="DX1911" s="66">
        <f>AVERAGE($CB1911,$CC1911,$CM1911,$CE1911,$CP1911)</f>
        <v/>
      </c>
      <c r="DY1911" s="64">
        <f>($DW1911-$DW1912)*100</f>
        <v/>
      </c>
      <c r="DZ1911" s="64">
        <f>($DX1911-$DX1912)*100</f>
        <v/>
      </c>
      <c r="EA1911" s="64">
        <f>($DW1911-$D1911)*100</f>
        <v/>
      </c>
      <c r="EB1911" s="64">
        <f>$Q1911-$O1911</f>
        <v/>
      </c>
      <c r="EC1911" s="67">
        <f>IFERROR($Q1911/$P1911,"")</f>
        <v/>
      </c>
    </row>
    <row r="1912">
      <c r="DG1912" s="64">
        <f>($B1912-$B1913)*100</f>
        <v/>
      </c>
      <c r="DH1912" s="64">
        <f>($D1912-$D1913)*100</f>
        <v/>
      </c>
      <c r="DI1912" s="64">
        <f>($E1912-$E1913)*100</f>
        <v/>
      </c>
      <c r="DJ1912" s="64">
        <f>($H1912-$H1913)*100</f>
        <v/>
      </c>
      <c r="DK1912" s="65">
        <f>IFERROR($J1912/$J1913-1,"")</f>
        <v/>
      </c>
      <c r="DL1912" s="64">
        <f>$L1912-$L1913</f>
        <v/>
      </c>
      <c r="DM1912" s="64">
        <f>$K1912-$K1913</f>
        <v/>
      </c>
      <c r="DN1912" s="65">
        <f>IFERROR($N1912/$N1913-1,"")</f>
        <v/>
      </c>
      <c r="DO1912" s="65">
        <f>IFERROR($M1912/$M1913-1,"")</f>
        <v/>
      </c>
      <c r="DP1912" s="65">
        <f>IFERROR($AZ1912/$AZ1913-1,"")</f>
        <v/>
      </c>
      <c r="DQ1912" s="65">
        <f>IFERROR($BA1912/$BA1913-1,"")</f>
        <v/>
      </c>
      <c r="DR1912" s="64">
        <f>$O1912-$O1913</f>
        <v/>
      </c>
      <c r="DS1912" s="64">
        <f>$P1912-$P1913</f>
        <v/>
      </c>
      <c r="DT1912" s="64">
        <f>$Q1912-$Q1913</f>
        <v/>
      </c>
      <c r="DU1912" s="64">
        <f>$S1912-$S1913</f>
        <v/>
      </c>
      <c r="DV1912" s="65">
        <f>IFERROR(AVERAGE($AA1913/$AA1912-1,$AB1913/$AB1912-1,$AC1913/$AC1912-1,$AD1913/$AD1912-1,$AE1913/$AE1912-1,$AG1913/$AG1912-1,$AH1913/$AH1912-1,$AI1913/$AI1912-1,$AJ1913/$AJ1912-1,$AL1913/$AL1912-1,$AM1913/$AM1912-1,$AR1913/$AR1912-1,$AS1913/$AS1912-1,$AT1913/$AT1912-1,$AU1913/$AU1912-1,$AV1913/$AV1912-1,$AW1913/$AW1912-1,$AX1913/$AX1912-1,$AY1913/$AY1912-1),"")</f>
        <v/>
      </c>
      <c r="DW1912" s="66">
        <f>AVERAGE($CB1912,$CC1912,$CD1912,$CE1912,$CF1912,$CG1912,$CH1912,$CI1912,$CJ1912,$CL1912,$CM1912,$CN1912,$CO1912,$CP1912,$CQ1912,$CR1912,$CS1912,$CT1912)</f>
        <v/>
      </c>
      <c r="DX1912" s="66">
        <f>AVERAGE($CB1912,$CC1912,$CM1912,$CE1912,$CP1912)</f>
        <v/>
      </c>
      <c r="DY1912" s="64">
        <f>($DW1912-$DW1913)*100</f>
        <v/>
      </c>
      <c r="DZ1912" s="64">
        <f>($DX1912-$DX1913)*100</f>
        <v/>
      </c>
      <c r="EA1912" s="64">
        <f>($DW1912-$D1912)*100</f>
        <v/>
      </c>
      <c r="EB1912" s="64">
        <f>$Q1912-$O1912</f>
        <v/>
      </c>
      <c r="EC1912" s="67">
        <f>IFERROR($Q1912/$P1912,"")</f>
        <v/>
      </c>
    </row>
    <row r="1913">
      <c r="DG1913" s="64">
        <f>($B1913-$B1914)*100</f>
        <v/>
      </c>
      <c r="DH1913" s="64">
        <f>($D1913-$D1914)*100</f>
        <v/>
      </c>
      <c r="DI1913" s="64">
        <f>($E1913-$E1914)*100</f>
        <v/>
      </c>
      <c r="DJ1913" s="64">
        <f>($H1913-$H1914)*100</f>
        <v/>
      </c>
      <c r="DK1913" s="65">
        <f>IFERROR($J1913/$J1914-1,"")</f>
        <v/>
      </c>
      <c r="DL1913" s="64">
        <f>$L1913-$L1914</f>
        <v/>
      </c>
      <c r="DM1913" s="64">
        <f>$K1913-$K1914</f>
        <v/>
      </c>
      <c r="DN1913" s="65">
        <f>IFERROR($N1913/$N1914-1,"")</f>
        <v/>
      </c>
      <c r="DO1913" s="65">
        <f>IFERROR($M1913/$M1914-1,"")</f>
        <v/>
      </c>
      <c r="DP1913" s="65">
        <f>IFERROR($AZ1913/$AZ1914-1,"")</f>
        <v/>
      </c>
      <c r="DQ1913" s="65">
        <f>IFERROR($BA1913/$BA1914-1,"")</f>
        <v/>
      </c>
      <c r="DR1913" s="64">
        <f>$O1913-$O1914</f>
        <v/>
      </c>
      <c r="DS1913" s="64">
        <f>$P1913-$P1914</f>
        <v/>
      </c>
      <c r="DT1913" s="64">
        <f>$Q1913-$Q1914</f>
        <v/>
      </c>
      <c r="DU1913" s="64">
        <f>$S1913-$S1914</f>
        <v/>
      </c>
      <c r="DV1913" s="65">
        <f>IFERROR(AVERAGE($AA1914/$AA1913-1,$AB1914/$AB1913-1,$AC1914/$AC1913-1,$AD1914/$AD1913-1,$AE1914/$AE1913-1,$AG1914/$AG1913-1,$AH1914/$AH1913-1,$AI1914/$AI1913-1,$AJ1914/$AJ1913-1,$AL1914/$AL1913-1,$AM1914/$AM1913-1,$AR1914/$AR1913-1,$AS1914/$AS1913-1,$AT1914/$AT1913-1,$AU1914/$AU1913-1,$AV1914/$AV1913-1,$AW1914/$AW1913-1,$AX1914/$AX1913-1,$AY1914/$AY1913-1),"")</f>
        <v/>
      </c>
      <c r="DW1913" s="66">
        <f>AVERAGE($CB1913,$CC1913,$CD1913,$CE1913,$CF1913,$CG1913,$CH1913,$CI1913,$CJ1913,$CL1913,$CM1913,$CN1913,$CO1913,$CP1913,$CQ1913,$CR1913,$CS1913,$CT1913)</f>
        <v/>
      </c>
      <c r="DX1913" s="66">
        <f>AVERAGE($CB1913,$CC1913,$CM1913,$CE1913,$CP1913)</f>
        <v/>
      </c>
      <c r="DY1913" s="64">
        <f>($DW1913-$DW1914)*100</f>
        <v/>
      </c>
      <c r="DZ1913" s="64">
        <f>($DX1913-$DX1914)*100</f>
        <v/>
      </c>
      <c r="EA1913" s="64">
        <f>($DW1913-$D1913)*100</f>
        <v/>
      </c>
      <c r="EB1913" s="64">
        <f>$Q1913-$O1913</f>
        <v/>
      </c>
      <c r="EC1913" s="67">
        <f>IFERROR($Q1913/$P1913,"")</f>
        <v/>
      </c>
    </row>
    <row r="1914">
      <c r="DG1914" s="64">
        <f>($B1914-$B1915)*100</f>
        <v/>
      </c>
      <c r="DH1914" s="64">
        <f>($D1914-$D1915)*100</f>
        <v/>
      </c>
      <c r="DI1914" s="64">
        <f>($E1914-$E1915)*100</f>
        <v/>
      </c>
      <c r="DJ1914" s="64">
        <f>($H1914-$H1915)*100</f>
        <v/>
      </c>
      <c r="DK1914" s="65">
        <f>IFERROR($J1914/$J1915-1,"")</f>
        <v/>
      </c>
      <c r="DL1914" s="64">
        <f>$L1914-$L1915</f>
        <v/>
      </c>
      <c r="DM1914" s="64">
        <f>$K1914-$K1915</f>
        <v/>
      </c>
      <c r="DN1914" s="65">
        <f>IFERROR($N1914/$N1915-1,"")</f>
        <v/>
      </c>
      <c r="DO1914" s="65">
        <f>IFERROR($M1914/$M1915-1,"")</f>
        <v/>
      </c>
      <c r="DP1914" s="65">
        <f>IFERROR($AZ1914/$AZ1915-1,"")</f>
        <v/>
      </c>
      <c r="DQ1914" s="65">
        <f>IFERROR($BA1914/$BA1915-1,"")</f>
        <v/>
      </c>
      <c r="DR1914" s="64">
        <f>$O1914-$O1915</f>
        <v/>
      </c>
      <c r="DS1914" s="64">
        <f>$P1914-$P1915</f>
        <v/>
      </c>
      <c r="DT1914" s="64">
        <f>$Q1914-$Q1915</f>
        <v/>
      </c>
      <c r="DU1914" s="64">
        <f>$S1914-$S1915</f>
        <v/>
      </c>
      <c r="DV1914" s="65">
        <f>IFERROR(AVERAGE($AA1915/$AA1914-1,$AB1915/$AB1914-1,$AC1915/$AC1914-1,$AD1915/$AD1914-1,$AE1915/$AE1914-1,$AG1915/$AG1914-1,$AH1915/$AH1914-1,$AI1915/$AI1914-1,$AJ1915/$AJ1914-1,$AL1915/$AL1914-1,$AM1915/$AM1914-1,$AR1915/$AR1914-1,$AS1915/$AS1914-1,$AT1915/$AT1914-1,$AU1915/$AU1914-1,$AV1915/$AV1914-1,$AW1915/$AW1914-1,$AX1915/$AX1914-1,$AY1915/$AY1914-1),"")</f>
        <v/>
      </c>
      <c r="DW1914" s="66">
        <f>AVERAGE($CB1914,$CC1914,$CD1914,$CE1914,$CF1914,$CG1914,$CH1914,$CI1914,$CJ1914,$CL1914,$CM1914,$CN1914,$CO1914,$CP1914,$CQ1914,$CR1914,$CS1914,$CT1914)</f>
        <v/>
      </c>
      <c r="DX1914" s="66">
        <f>AVERAGE($CB1914,$CC1914,$CM1914,$CE1914,$CP1914)</f>
        <v/>
      </c>
      <c r="DY1914" s="64">
        <f>($DW1914-$DW1915)*100</f>
        <v/>
      </c>
      <c r="DZ1914" s="64">
        <f>($DX1914-$DX1915)*100</f>
        <v/>
      </c>
      <c r="EA1914" s="64">
        <f>($DW1914-$D1914)*100</f>
        <v/>
      </c>
      <c r="EB1914" s="64">
        <f>$Q1914-$O1914</f>
        <v/>
      </c>
      <c r="EC1914" s="67">
        <f>IFERROR($Q1914/$P1914,"")</f>
        <v/>
      </c>
    </row>
    <row r="1915">
      <c r="DG1915" s="64">
        <f>($B1915-$B1916)*100</f>
        <v/>
      </c>
      <c r="DH1915" s="64">
        <f>($D1915-$D1916)*100</f>
        <v/>
      </c>
      <c r="DI1915" s="64">
        <f>($E1915-$E1916)*100</f>
        <v/>
      </c>
      <c r="DJ1915" s="64">
        <f>($H1915-$H1916)*100</f>
        <v/>
      </c>
      <c r="DK1915" s="65">
        <f>IFERROR($J1915/$J1916-1,"")</f>
        <v/>
      </c>
      <c r="DL1915" s="64">
        <f>$L1915-$L1916</f>
        <v/>
      </c>
      <c r="DM1915" s="64">
        <f>$K1915-$K1916</f>
        <v/>
      </c>
      <c r="DN1915" s="65">
        <f>IFERROR($N1915/$N1916-1,"")</f>
        <v/>
      </c>
      <c r="DO1915" s="65">
        <f>IFERROR($M1915/$M1916-1,"")</f>
        <v/>
      </c>
      <c r="DP1915" s="65">
        <f>IFERROR($AZ1915/$AZ1916-1,"")</f>
        <v/>
      </c>
      <c r="DQ1915" s="65">
        <f>IFERROR($BA1915/$BA1916-1,"")</f>
        <v/>
      </c>
      <c r="DR1915" s="64">
        <f>$O1915-$O1916</f>
        <v/>
      </c>
      <c r="DS1915" s="64">
        <f>$P1915-$P1916</f>
        <v/>
      </c>
      <c r="DT1915" s="64">
        <f>$Q1915-$Q1916</f>
        <v/>
      </c>
      <c r="DU1915" s="64">
        <f>$S1915-$S1916</f>
        <v/>
      </c>
      <c r="DV1915" s="65">
        <f>IFERROR(AVERAGE($AA1916/$AA1915-1,$AB1916/$AB1915-1,$AC1916/$AC1915-1,$AD1916/$AD1915-1,$AE1916/$AE1915-1,$AG1916/$AG1915-1,$AH1916/$AH1915-1,$AI1916/$AI1915-1,$AJ1916/$AJ1915-1,$AL1916/$AL1915-1,$AM1916/$AM1915-1,$AR1916/$AR1915-1,$AS1916/$AS1915-1,$AT1916/$AT1915-1,$AU1916/$AU1915-1,$AV1916/$AV1915-1,$AW1916/$AW1915-1,$AX1916/$AX1915-1,$AY1916/$AY1915-1),"")</f>
        <v/>
      </c>
      <c r="DW1915" s="66">
        <f>AVERAGE($CB1915,$CC1915,$CD1915,$CE1915,$CF1915,$CG1915,$CH1915,$CI1915,$CJ1915,$CL1915,$CM1915,$CN1915,$CO1915,$CP1915,$CQ1915,$CR1915,$CS1915,$CT1915)</f>
        <v/>
      </c>
      <c r="DX1915" s="66">
        <f>AVERAGE($CB1915,$CC1915,$CM1915,$CE1915,$CP1915)</f>
        <v/>
      </c>
      <c r="DY1915" s="64">
        <f>($DW1915-$DW1916)*100</f>
        <v/>
      </c>
      <c r="DZ1915" s="64">
        <f>($DX1915-$DX1916)*100</f>
        <v/>
      </c>
      <c r="EA1915" s="64">
        <f>($DW1915-$D1915)*100</f>
        <v/>
      </c>
      <c r="EB1915" s="64">
        <f>$Q1915-$O1915</f>
        <v/>
      </c>
      <c r="EC1915" s="67">
        <f>IFERROR($Q1915/$P1915,"")</f>
        <v/>
      </c>
    </row>
    <row r="1916">
      <c r="DG1916" s="64">
        <f>($B1916-$B1917)*100</f>
        <v/>
      </c>
      <c r="DH1916" s="64">
        <f>($D1916-$D1917)*100</f>
        <v/>
      </c>
      <c r="DI1916" s="64">
        <f>($E1916-$E1917)*100</f>
        <v/>
      </c>
      <c r="DJ1916" s="64">
        <f>($H1916-$H1917)*100</f>
        <v/>
      </c>
      <c r="DK1916" s="65">
        <f>IFERROR($J1916/$J1917-1,"")</f>
        <v/>
      </c>
      <c r="DL1916" s="64">
        <f>$L1916-$L1917</f>
        <v/>
      </c>
      <c r="DM1916" s="64">
        <f>$K1916-$K1917</f>
        <v/>
      </c>
      <c r="DN1916" s="65">
        <f>IFERROR($N1916/$N1917-1,"")</f>
        <v/>
      </c>
      <c r="DO1916" s="65">
        <f>IFERROR($M1916/$M1917-1,"")</f>
        <v/>
      </c>
      <c r="DP1916" s="65">
        <f>IFERROR($AZ1916/$AZ1917-1,"")</f>
        <v/>
      </c>
      <c r="DQ1916" s="65">
        <f>IFERROR($BA1916/$BA1917-1,"")</f>
        <v/>
      </c>
      <c r="DR1916" s="64">
        <f>$O1916-$O1917</f>
        <v/>
      </c>
      <c r="DS1916" s="64">
        <f>$P1916-$P1917</f>
        <v/>
      </c>
      <c r="DT1916" s="64">
        <f>$Q1916-$Q1917</f>
        <v/>
      </c>
      <c r="DU1916" s="64">
        <f>$S1916-$S1917</f>
        <v/>
      </c>
      <c r="DV1916" s="65">
        <f>IFERROR(AVERAGE($AA1917/$AA1916-1,$AB1917/$AB1916-1,$AC1917/$AC1916-1,$AD1917/$AD1916-1,$AE1917/$AE1916-1,$AG1917/$AG1916-1,$AH1917/$AH1916-1,$AI1917/$AI1916-1,$AJ1917/$AJ1916-1,$AL1917/$AL1916-1,$AM1917/$AM1916-1,$AR1917/$AR1916-1,$AS1917/$AS1916-1,$AT1917/$AT1916-1,$AU1917/$AU1916-1,$AV1917/$AV1916-1,$AW1917/$AW1916-1,$AX1917/$AX1916-1,$AY1917/$AY1916-1),"")</f>
        <v/>
      </c>
      <c r="DW1916" s="66">
        <f>AVERAGE($CB1916,$CC1916,$CD1916,$CE1916,$CF1916,$CG1916,$CH1916,$CI1916,$CJ1916,$CL1916,$CM1916,$CN1916,$CO1916,$CP1916,$CQ1916,$CR1916,$CS1916,$CT1916)</f>
        <v/>
      </c>
      <c r="DX1916" s="66">
        <f>AVERAGE($CB1916,$CC1916,$CM1916,$CE1916,$CP1916)</f>
        <v/>
      </c>
      <c r="DY1916" s="64">
        <f>($DW1916-$DW1917)*100</f>
        <v/>
      </c>
      <c r="DZ1916" s="64">
        <f>($DX1916-$DX1917)*100</f>
        <v/>
      </c>
      <c r="EA1916" s="64">
        <f>($DW1916-$D1916)*100</f>
        <v/>
      </c>
      <c r="EB1916" s="64">
        <f>$Q1916-$O1916</f>
        <v/>
      </c>
      <c r="EC1916" s="67">
        <f>IFERROR($Q1916/$P1916,"")</f>
        <v/>
      </c>
    </row>
    <row r="1917">
      <c r="DG1917" s="64">
        <f>($B1917-$B1918)*100</f>
        <v/>
      </c>
      <c r="DH1917" s="64">
        <f>($D1917-$D1918)*100</f>
        <v/>
      </c>
      <c r="DI1917" s="64">
        <f>($E1917-$E1918)*100</f>
        <v/>
      </c>
      <c r="DJ1917" s="64">
        <f>($H1917-$H1918)*100</f>
        <v/>
      </c>
      <c r="DK1917" s="65">
        <f>IFERROR($J1917/$J1918-1,"")</f>
        <v/>
      </c>
      <c r="DL1917" s="64">
        <f>$L1917-$L1918</f>
        <v/>
      </c>
      <c r="DM1917" s="64">
        <f>$K1917-$K1918</f>
        <v/>
      </c>
      <c r="DN1917" s="65">
        <f>IFERROR($N1917/$N1918-1,"")</f>
        <v/>
      </c>
      <c r="DO1917" s="65">
        <f>IFERROR($M1917/$M1918-1,"")</f>
        <v/>
      </c>
      <c r="DP1917" s="65">
        <f>IFERROR($AZ1917/$AZ1918-1,"")</f>
        <v/>
      </c>
      <c r="DQ1917" s="65">
        <f>IFERROR($BA1917/$BA1918-1,"")</f>
        <v/>
      </c>
      <c r="DR1917" s="64">
        <f>$O1917-$O1918</f>
        <v/>
      </c>
      <c r="DS1917" s="64">
        <f>$P1917-$P1918</f>
        <v/>
      </c>
      <c r="DT1917" s="64">
        <f>$Q1917-$Q1918</f>
        <v/>
      </c>
      <c r="DU1917" s="64">
        <f>$S1917-$S1918</f>
        <v/>
      </c>
      <c r="DV1917" s="65">
        <f>IFERROR(AVERAGE($AA1918/$AA1917-1,$AB1918/$AB1917-1,$AC1918/$AC1917-1,$AD1918/$AD1917-1,$AE1918/$AE1917-1,$AG1918/$AG1917-1,$AH1918/$AH1917-1,$AI1918/$AI1917-1,$AJ1918/$AJ1917-1,$AL1918/$AL1917-1,$AM1918/$AM1917-1,$AR1918/$AR1917-1,$AS1918/$AS1917-1,$AT1918/$AT1917-1,$AU1918/$AU1917-1,$AV1918/$AV1917-1,$AW1918/$AW1917-1,$AX1918/$AX1917-1,$AY1918/$AY1917-1),"")</f>
        <v/>
      </c>
      <c r="DW1917" s="66">
        <f>AVERAGE($CB1917,$CC1917,$CD1917,$CE1917,$CF1917,$CG1917,$CH1917,$CI1917,$CJ1917,$CL1917,$CM1917,$CN1917,$CO1917,$CP1917,$CQ1917,$CR1917,$CS1917,$CT1917)</f>
        <v/>
      </c>
      <c r="DX1917" s="66">
        <f>AVERAGE($CB1917,$CC1917,$CM1917,$CE1917,$CP1917)</f>
        <v/>
      </c>
      <c r="DY1917" s="64">
        <f>($DW1917-$DW1918)*100</f>
        <v/>
      </c>
      <c r="DZ1917" s="64">
        <f>($DX1917-$DX1918)*100</f>
        <v/>
      </c>
      <c r="EA1917" s="64">
        <f>($DW1917-$D1917)*100</f>
        <v/>
      </c>
      <c r="EB1917" s="64">
        <f>$Q1917-$O1917</f>
        <v/>
      </c>
      <c r="EC1917" s="67">
        <f>IFERROR($Q1917/$P1917,"")</f>
        <v/>
      </c>
    </row>
    <row r="1918">
      <c r="DG1918" s="64">
        <f>($B1918-$B1919)*100</f>
        <v/>
      </c>
      <c r="DH1918" s="64">
        <f>($D1918-$D1919)*100</f>
        <v/>
      </c>
      <c r="DI1918" s="64">
        <f>($E1918-$E1919)*100</f>
        <v/>
      </c>
      <c r="DJ1918" s="64">
        <f>($H1918-$H1919)*100</f>
        <v/>
      </c>
      <c r="DK1918" s="65">
        <f>IFERROR($J1918/$J1919-1,"")</f>
        <v/>
      </c>
      <c r="DL1918" s="64">
        <f>$L1918-$L1919</f>
        <v/>
      </c>
      <c r="DM1918" s="64">
        <f>$K1918-$K1919</f>
        <v/>
      </c>
      <c r="DN1918" s="65">
        <f>IFERROR($N1918/$N1919-1,"")</f>
        <v/>
      </c>
      <c r="DO1918" s="65">
        <f>IFERROR($M1918/$M1919-1,"")</f>
        <v/>
      </c>
      <c r="DP1918" s="65">
        <f>IFERROR($AZ1918/$AZ1919-1,"")</f>
        <v/>
      </c>
      <c r="DQ1918" s="65">
        <f>IFERROR($BA1918/$BA1919-1,"")</f>
        <v/>
      </c>
      <c r="DR1918" s="64">
        <f>$O1918-$O1919</f>
        <v/>
      </c>
      <c r="DS1918" s="64">
        <f>$P1918-$P1919</f>
        <v/>
      </c>
      <c r="DT1918" s="64">
        <f>$Q1918-$Q1919</f>
        <v/>
      </c>
      <c r="DU1918" s="64">
        <f>$S1918-$S1919</f>
        <v/>
      </c>
      <c r="DV1918" s="65">
        <f>IFERROR(AVERAGE($AA1919/$AA1918-1,$AB1919/$AB1918-1,$AC1919/$AC1918-1,$AD1919/$AD1918-1,$AE1919/$AE1918-1,$AG1919/$AG1918-1,$AH1919/$AH1918-1,$AI1919/$AI1918-1,$AJ1919/$AJ1918-1,$AL1919/$AL1918-1,$AM1919/$AM1918-1,$AR1919/$AR1918-1,$AS1919/$AS1918-1,$AT1919/$AT1918-1,$AU1919/$AU1918-1,$AV1919/$AV1918-1,$AW1919/$AW1918-1,$AX1919/$AX1918-1,$AY1919/$AY1918-1),"")</f>
        <v/>
      </c>
      <c r="DW1918" s="66">
        <f>AVERAGE($CB1918,$CC1918,$CD1918,$CE1918,$CF1918,$CG1918,$CH1918,$CI1918,$CJ1918,$CL1918,$CM1918,$CN1918,$CO1918,$CP1918,$CQ1918,$CR1918,$CS1918,$CT1918)</f>
        <v/>
      </c>
      <c r="DX1918" s="66">
        <f>AVERAGE($CB1918,$CC1918,$CM1918,$CE1918,$CP1918)</f>
        <v/>
      </c>
      <c r="DY1918" s="64">
        <f>($DW1918-$DW1919)*100</f>
        <v/>
      </c>
      <c r="DZ1918" s="64">
        <f>($DX1918-$DX1919)*100</f>
        <v/>
      </c>
      <c r="EA1918" s="64">
        <f>($DW1918-$D1918)*100</f>
        <v/>
      </c>
      <c r="EB1918" s="64">
        <f>$Q1918-$O1918</f>
        <v/>
      </c>
      <c r="EC1918" s="67">
        <f>IFERROR($Q1918/$P1918,"")</f>
        <v/>
      </c>
    </row>
    <row r="1919">
      <c r="DG1919" s="64">
        <f>($B1919-$B1920)*100</f>
        <v/>
      </c>
      <c r="DH1919" s="64">
        <f>($D1919-$D1920)*100</f>
        <v/>
      </c>
      <c r="DI1919" s="64">
        <f>($E1919-$E1920)*100</f>
        <v/>
      </c>
      <c r="DJ1919" s="64">
        <f>($H1919-$H1920)*100</f>
        <v/>
      </c>
      <c r="DK1919" s="65">
        <f>IFERROR($J1919/$J1920-1,"")</f>
        <v/>
      </c>
      <c r="DL1919" s="64">
        <f>$L1919-$L1920</f>
        <v/>
      </c>
      <c r="DM1919" s="64">
        <f>$K1919-$K1920</f>
        <v/>
      </c>
      <c r="DN1919" s="65">
        <f>IFERROR($N1919/$N1920-1,"")</f>
        <v/>
      </c>
      <c r="DO1919" s="65">
        <f>IFERROR($M1919/$M1920-1,"")</f>
        <v/>
      </c>
      <c r="DP1919" s="65">
        <f>IFERROR($AZ1919/$AZ1920-1,"")</f>
        <v/>
      </c>
      <c r="DQ1919" s="65">
        <f>IFERROR($BA1919/$BA1920-1,"")</f>
        <v/>
      </c>
      <c r="DR1919" s="64">
        <f>$O1919-$O1920</f>
        <v/>
      </c>
      <c r="DS1919" s="64">
        <f>$P1919-$P1920</f>
        <v/>
      </c>
      <c r="DT1919" s="64">
        <f>$Q1919-$Q1920</f>
        <v/>
      </c>
      <c r="DU1919" s="64">
        <f>$S1919-$S1920</f>
        <v/>
      </c>
      <c r="DV1919" s="65">
        <f>IFERROR(AVERAGE($AA1920/$AA1919-1,$AB1920/$AB1919-1,$AC1920/$AC1919-1,$AD1920/$AD1919-1,$AE1920/$AE1919-1,$AG1920/$AG1919-1,$AH1920/$AH1919-1,$AI1920/$AI1919-1,$AJ1920/$AJ1919-1,$AL1920/$AL1919-1,$AM1920/$AM1919-1,$AR1920/$AR1919-1,$AS1920/$AS1919-1,$AT1920/$AT1919-1,$AU1920/$AU1919-1,$AV1920/$AV1919-1,$AW1920/$AW1919-1,$AX1920/$AX1919-1,$AY1920/$AY1919-1),"")</f>
        <v/>
      </c>
      <c r="DW1919" s="66">
        <f>AVERAGE($CB1919,$CC1919,$CD1919,$CE1919,$CF1919,$CG1919,$CH1919,$CI1919,$CJ1919,$CL1919,$CM1919,$CN1919,$CO1919,$CP1919,$CQ1919,$CR1919,$CS1919,$CT1919)</f>
        <v/>
      </c>
      <c r="DX1919" s="66">
        <f>AVERAGE($CB1919,$CC1919,$CM1919,$CE1919,$CP1919)</f>
        <v/>
      </c>
      <c r="DY1919" s="64">
        <f>($DW1919-$DW1920)*100</f>
        <v/>
      </c>
      <c r="DZ1919" s="64">
        <f>($DX1919-$DX1920)*100</f>
        <v/>
      </c>
      <c r="EA1919" s="64">
        <f>($DW1919-$D1919)*100</f>
        <v/>
      </c>
      <c r="EB1919" s="64">
        <f>$Q1919-$O1919</f>
        <v/>
      </c>
      <c r="EC1919" s="67">
        <f>IFERROR($Q1919/$P1919,"")</f>
        <v/>
      </c>
    </row>
    <row r="1920">
      <c r="DG1920" s="64">
        <f>($B1920-$B1921)*100</f>
        <v/>
      </c>
      <c r="DH1920" s="64">
        <f>($D1920-$D1921)*100</f>
        <v/>
      </c>
      <c r="DI1920" s="64">
        <f>($E1920-$E1921)*100</f>
        <v/>
      </c>
      <c r="DJ1920" s="64">
        <f>($H1920-$H1921)*100</f>
        <v/>
      </c>
      <c r="DK1920" s="65">
        <f>IFERROR($J1920/$J1921-1,"")</f>
        <v/>
      </c>
      <c r="DL1920" s="64">
        <f>$L1920-$L1921</f>
        <v/>
      </c>
      <c r="DM1920" s="64">
        <f>$K1920-$K1921</f>
        <v/>
      </c>
      <c r="DN1920" s="65">
        <f>IFERROR($N1920/$N1921-1,"")</f>
        <v/>
      </c>
      <c r="DO1920" s="65">
        <f>IFERROR($M1920/$M1921-1,"")</f>
        <v/>
      </c>
      <c r="DP1920" s="65">
        <f>IFERROR($AZ1920/$AZ1921-1,"")</f>
        <v/>
      </c>
      <c r="DQ1920" s="65">
        <f>IFERROR($BA1920/$BA1921-1,"")</f>
        <v/>
      </c>
      <c r="DR1920" s="64">
        <f>$O1920-$O1921</f>
        <v/>
      </c>
      <c r="DS1920" s="64">
        <f>$P1920-$P1921</f>
        <v/>
      </c>
      <c r="DT1920" s="64">
        <f>$Q1920-$Q1921</f>
        <v/>
      </c>
      <c r="DU1920" s="64">
        <f>$S1920-$S1921</f>
        <v/>
      </c>
      <c r="DV1920" s="65">
        <f>IFERROR(AVERAGE($AA1921/$AA1920-1,$AB1921/$AB1920-1,$AC1921/$AC1920-1,$AD1921/$AD1920-1,$AE1921/$AE1920-1,$AG1921/$AG1920-1,$AH1921/$AH1920-1,$AI1921/$AI1920-1,$AJ1921/$AJ1920-1,$AL1921/$AL1920-1,$AM1921/$AM1920-1,$AR1921/$AR1920-1,$AS1921/$AS1920-1,$AT1921/$AT1920-1,$AU1921/$AU1920-1,$AV1921/$AV1920-1,$AW1921/$AW1920-1,$AX1921/$AX1920-1,$AY1921/$AY1920-1),"")</f>
        <v/>
      </c>
      <c r="DW1920" s="66">
        <f>AVERAGE($CB1920,$CC1920,$CD1920,$CE1920,$CF1920,$CG1920,$CH1920,$CI1920,$CJ1920,$CL1920,$CM1920,$CN1920,$CO1920,$CP1920,$CQ1920,$CR1920,$CS1920,$CT1920)</f>
        <v/>
      </c>
      <c r="DX1920" s="66">
        <f>AVERAGE($CB1920,$CC1920,$CM1920,$CE1920,$CP1920)</f>
        <v/>
      </c>
      <c r="DY1920" s="64">
        <f>($DW1920-$DW1921)*100</f>
        <v/>
      </c>
      <c r="DZ1920" s="64">
        <f>($DX1920-$DX1921)*100</f>
        <v/>
      </c>
      <c r="EA1920" s="64">
        <f>($DW1920-$D1920)*100</f>
        <v/>
      </c>
      <c r="EB1920" s="64">
        <f>$Q1920-$O1920</f>
        <v/>
      </c>
      <c r="EC1920" s="67">
        <f>IFERROR($Q1920/$P1920,"")</f>
        <v/>
      </c>
    </row>
    <row r="1921">
      <c r="DG1921" s="64">
        <f>($B1921-$B1922)*100</f>
        <v/>
      </c>
      <c r="DH1921" s="64">
        <f>($D1921-$D1922)*100</f>
        <v/>
      </c>
      <c r="DI1921" s="64">
        <f>($E1921-$E1922)*100</f>
        <v/>
      </c>
      <c r="DJ1921" s="64">
        <f>($H1921-$H1922)*100</f>
        <v/>
      </c>
      <c r="DK1921" s="65">
        <f>IFERROR($J1921/$J1922-1,"")</f>
        <v/>
      </c>
      <c r="DL1921" s="64">
        <f>$L1921-$L1922</f>
        <v/>
      </c>
      <c r="DM1921" s="64">
        <f>$K1921-$K1922</f>
        <v/>
      </c>
      <c r="DN1921" s="65">
        <f>IFERROR($N1921/$N1922-1,"")</f>
        <v/>
      </c>
      <c r="DO1921" s="65">
        <f>IFERROR($M1921/$M1922-1,"")</f>
        <v/>
      </c>
      <c r="DP1921" s="65">
        <f>IFERROR($AZ1921/$AZ1922-1,"")</f>
        <v/>
      </c>
      <c r="DQ1921" s="65">
        <f>IFERROR($BA1921/$BA1922-1,"")</f>
        <v/>
      </c>
      <c r="DR1921" s="64">
        <f>$O1921-$O1922</f>
        <v/>
      </c>
      <c r="DS1921" s="64">
        <f>$P1921-$P1922</f>
        <v/>
      </c>
      <c r="DT1921" s="64">
        <f>$Q1921-$Q1922</f>
        <v/>
      </c>
      <c r="DU1921" s="64">
        <f>$S1921-$S1922</f>
        <v/>
      </c>
      <c r="DV1921" s="65">
        <f>IFERROR(AVERAGE($AA1922/$AA1921-1,$AB1922/$AB1921-1,$AC1922/$AC1921-1,$AD1922/$AD1921-1,$AE1922/$AE1921-1,$AG1922/$AG1921-1,$AH1922/$AH1921-1,$AI1922/$AI1921-1,$AJ1922/$AJ1921-1,$AL1922/$AL1921-1,$AM1922/$AM1921-1,$AR1922/$AR1921-1,$AS1922/$AS1921-1,$AT1922/$AT1921-1,$AU1922/$AU1921-1,$AV1922/$AV1921-1,$AW1922/$AW1921-1,$AX1922/$AX1921-1,$AY1922/$AY1921-1),"")</f>
        <v/>
      </c>
      <c r="DW1921" s="66">
        <f>AVERAGE($CB1921,$CC1921,$CD1921,$CE1921,$CF1921,$CG1921,$CH1921,$CI1921,$CJ1921,$CL1921,$CM1921,$CN1921,$CO1921,$CP1921,$CQ1921,$CR1921,$CS1921,$CT1921)</f>
        <v/>
      </c>
      <c r="DX1921" s="66">
        <f>AVERAGE($CB1921,$CC1921,$CM1921,$CE1921,$CP1921)</f>
        <v/>
      </c>
      <c r="DY1921" s="64">
        <f>($DW1921-$DW1922)*100</f>
        <v/>
      </c>
      <c r="DZ1921" s="64">
        <f>($DX1921-$DX1922)*100</f>
        <v/>
      </c>
      <c r="EA1921" s="64">
        <f>($DW1921-$D1921)*100</f>
        <v/>
      </c>
      <c r="EB1921" s="64">
        <f>$Q1921-$O1921</f>
        <v/>
      </c>
      <c r="EC1921" s="67">
        <f>IFERROR($Q1921/$P1921,"")</f>
        <v/>
      </c>
    </row>
    <row r="1922">
      <c r="DG1922" s="64">
        <f>($B1922-$B1923)*100</f>
        <v/>
      </c>
      <c r="DH1922" s="64">
        <f>($D1922-$D1923)*100</f>
        <v/>
      </c>
      <c r="DI1922" s="64">
        <f>($E1922-$E1923)*100</f>
        <v/>
      </c>
      <c r="DJ1922" s="64">
        <f>($H1922-$H1923)*100</f>
        <v/>
      </c>
      <c r="DK1922" s="65">
        <f>IFERROR($J1922/$J1923-1,"")</f>
        <v/>
      </c>
      <c r="DL1922" s="64">
        <f>$L1922-$L1923</f>
        <v/>
      </c>
      <c r="DM1922" s="64">
        <f>$K1922-$K1923</f>
        <v/>
      </c>
      <c r="DN1922" s="65">
        <f>IFERROR($N1922/$N1923-1,"")</f>
        <v/>
      </c>
      <c r="DO1922" s="65">
        <f>IFERROR($M1922/$M1923-1,"")</f>
        <v/>
      </c>
      <c r="DP1922" s="65">
        <f>IFERROR($AZ1922/$AZ1923-1,"")</f>
        <v/>
      </c>
      <c r="DQ1922" s="65">
        <f>IFERROR($BA1922/$BA1923-1,"")</f>
        <v/>
      </c>
      <c r="DR1922" s="64">
        <f>$O1922-$O1923</f>
        <v/>
      </c>
      <c r="DS1922" s="64">
        <f>$P1922-$P1923</f>
        <v/>
      </c>
      <c r="DT1922" s="64">
        <f>$Q1922-$Q1923</f>
        <v/>
      </c>
      <c r="DU1922" s="64">
        <f>$S1922-$S1923</f>
        <v/>
      </c>
      <c r="DV1922" s="65">
        <f>IFERROR(AVERAGE($AA1923/$AA1922-1,$AB1923/$AB1922-1,$AC1923/$AC1922-1,$AD1923/$AD1922-1,$AE1923/$AE1922-1,$AG1923/$AG1922-1,$AH1923/$AH1922-1,$AI1923/$AI1922-1,$AJ1923/$AJ1922-1,$AL1923/$AL1922-1,$AM1923/$AM1922-1,$AR1923/$AR1922-1,$AS1923/$AS1922-1,$AT1923/$AT1922-1,$AU1923/$AU1922-1,$AV1923/$AV1922-1,$AW1923/$AW1922-1,$AX1923/$AX1922-1,$AY1923/$AY1922-1),"")</f>
        <v/>
      </c>
      <c r="DW1922" s="66">
        <f>AVERAGE($CB1922,$CC1922,$CD1922,$CE1922,$CF1922,$CG1922,$CH1922,$CI1922,$CJ1922,$CL1922,$CM1922,$CN1922,$CO1922,$CP1922,$CQ1922,$CR1922,$CS1922,$CT1922)</f>
        <v/>
      </c>
      <c r="DX1922" s="66">
        <f>AVERAGE($CB1922,$CC1922,$CM1922,$CE1922,$CP1922)</f>
        <v/>
      </c>
      <c r="DY1922" s="64">
        <f>($DW1922-$DW1923)*100</f>
        <v/>
      </c>
      <c r="DZ1922" s="64">
        <f>($DX1922-$DX1923)*100</f>
        <v/>
      </c>
      <c r="EA1922" s="64">
        <f>($DW1922-$D1922)*100</f>
        <v/>
      </c>
      <c r="EB1922" s="64">
        <f>$Q1922-$O1922</f>
        <v/>
      </c>
      <c r="EC1922" s="67">
        <f>IFERROR($Q1922/$P1922,"")</f>
        <v/>
      </c>
    </row>
    <row r="1923">
      <c r="DG1923" s="64">
        <f>($B1923-$B1924)*100</f>
        <v/>
      </c>
      <c r="DH1923" s="64">
        <f>($D1923-$D1924)*100</f>
        <v/>
      </c>
      <c r="DI1923" s="64">
        <f>($E1923-$E1924)*100</f>
        <v/>
      </c>
      <c r="DJ1923" s="64">
        <f>($H1923-$H1924)*100</f>
        <v/>
      </c>
      <c r="DK1923" s="65">
        <f>IFERROR($J1923/$J1924-1,"")</f>
        <v/>
      </c>
      <c r="DL1923" s="64">
        <f>$L1923-$L1924</f>
        <v/>
      </c>
      <c r="DM1923" s="64">
        <f>$K1923-$K1924</f>
        <v/>
      </c>
      <c r="DN1923" s="65">
        <f>IFERROR($N1923/$N1924-1,"")</f>
        <v/>
      </c>
      <c r="DO1923" s="65">
        <f>IFERROR($M1923/$M1924-1,"")</f>
        <v/>
      </c>
      <c r="DP1923" s="65">
        <f>IFERROR($AZ1923/$AZ1924-1,"")</f>
        <v/>
      </c>
      <c r="DQ1923" s="65">
        <f>IFERROR($BA1923/$BA1924-1,"")</f>
        <v/>
      </c>
      <c r="DR1923" s="64">
        <f>$O1923-$O1924</f>
        <v/>
      </c>
      <c r="DS1923" s="64">
        <f>$P1923-$P1924</f>
        <v/>
      </c>
      <c r="DT1923" s="64">
        <f>$Q1923-$Q1924</f>
        <v/>
      </c>
      <c r="DU1923" s="64">
        <f>$S1923-$S1924</f>
        <v/>
      </c>
      <c r="DV1923" s="65">
        <f>IFERROR(AVERAGE($AA1924/$AA1923-1,$AB1924/$AB1923-1,$AC1924/$AC1923-1,$AD1924/$AD1923-1,$AE1924/$AE1923-1,$AG1924/$AG1923-1,$AH1924/$AH1923-1,$AI1924/$AI1923-1,$AJ1924/$AJ1923-1,$AL1924/$AL1923-1,$AM1924/$AM1923-1,$AR1924/$AR1923-1,$AS1924/$AS1923-1,$AT1924/$AT1923-1,$AU1924/$AU1923-1,$AV1924/$AV1923-1,$AW1924/$AW1923-1,$AX1924/$AX1923-1,$AY1924/$AY1923-1),"")</f>
        <v/>
      </c>
      <c r="DW1923" s="66">
        <f>AVERAGE($CB1923,$CC1923,$CD1923,$CE1923,$CF1923,$CG1923,$CH1923,$CI1923,$CJ1923,$CL1923,$CM1923,$CN1923,$CO1923,$CP1923,$CQ1923,$CR1923,$CS1923,$CT1923)</f>
        <v/>
      </c>
      <c r="DX1923" s="66">
        <f>AVERAGE($CB1923,$CC1923,$CM1923,$CE1923,$CP1923)</f>
        <v/>
      </c>
      <c r="DY1923" s="64">
        <f>($DW1923-$DW1924)*100</f>
        <v/>
      </c>
      <c r="DZ1923" s="64">
        <f>($DX1923-$DX1924)*100</f>
        <v/>
      </c>
      <c r="EA1923" s="64">
        <f>($DW1923-$D1923)*100</f>
        <v/>
      </c>
      <c r="EB1923" s="64">
        <f>$Q1923-$O1923</f>
        <v/>
      </c>
      <c r="EC1923" s="67">
        <f>IFERROR($Q1923/$P1923,"")</f>
        <v/>
      </c>
    </row>
    <row r="1924">
      <c r="DG1924" s="64">
        <f>($B1924-$B1925)*100</f>
        <v/>
      </c>
      <c r="DH1924" s="64">
        <f>($D1924-$D1925)*100</f>
        <v/>
      </c>
      <c r="DI1924" s="64">
        <f>($E1924-$E1925)*100</f>
        <v/>
      </c>
      <c r="DJ1924" s="64">
        <f>($H1924-$H1925)*100</f>
        <v/>
      </c>
      <c r="DK1924" s="65">
        <f>IFERROR($J1924/$J1925-1,"")</f>
        <v/>
      </c>
      <c r="DL1924" s="64">
        <f>$L1924-$L1925</f>
        <v/>
      </c>
      <c r="DM1924" s="64">
        <f>$K1924-$K1925</f>
        <v/>
      </c>
      <c r="DN1924" s="65">
        <f>IFERROR($N1924/$N1925-1,"")</f>
        <v/>
      </c>
      <c r="DO1924" s="65">
        <f>IFERROR($M1924/$M1925-1,"")</f>
        <v/>
      </c>
      <c r="DP1924" s="65">
        <f>IFERROR($AZ1924/$AZ1925-1,"")</f>
        <v/>
      </c>
      <c r="DQ1924" s="65">
        <f>IFERROR($BA1924/$BA1925-1,"")</f>
        <v/>
      </c>
      <c r="DR1924" s="64">
        <f>$O1924-$O1925</f>
        <v/>
      </c>
      <c r="DS1924" s="64">
        <f>$P1924-$P1925</f>
        <v/>
      </c>
      <c r="DT1924" s="64">
        <f>$Q1924-$Q1925</f>
        <v/>
      </c>
      <c r="DU1924" s="64">
        <f>$S1924-$S1925</f>
        <v/>
      </c>
      <c r="DV1924" s="65">
        <f>IFERROR(AVERAGE($AA1925/$AA1924-1,$AB1925/$AB1924-1,$AC1925/$AC1924-1,$AD1925/$AD1924-1,$AE1925/$AE1924-1,$AG1925/$AG1924-1,$AH1925/$AH1924-1,$AI1925/$AI1924-1,$AJ1925/$AJ1924-1,$AL1925/$AL1924-1,$AM1925/$AM1924-1,$AR1925/$AR1924-1,$AS1925/$AS1924-1,$AT1925/$AT1924-1,$AU1925/$AU1924-1,$AV1925/$AV1924-1,$AW1925/$AW1924-1,$AX1925/$AX1924-1,$AY1925/$AY1924-1),"")</f>
        <v/>
      </c>
      <c r="DW1924" s="66">
        <f>AVERAGE($CB1924,$CC1924,$CD1924,$CE1924,$CF1924,$CG1924,$CH1924,$CI1924,$CJ1924,$CL1924,$CM1924,$CN1924,$CO1924,$CP1924,$CQ1924,$CR1924,$CS1924,$CT1924)</f>
        <v/>
      </c>
      <c r="DX1924" s="66">
        <f>AVERAGE($CB1924,$CC1924,$CM1924,$CE1924,$CP1924)</f>
        <v/>
      </c>
      <c r="DY1924" s="64">
        <f>($DW1924-$DW1925)*100</f>
        <v/>
      </c>
      <c r="DZ1924" s="64">
        <f>($DX1924-$DX1925)*100</f>
        <v/>
      </c>
      <c r="EA1924" s="64">
        <f>($DW1924-$D1924)*100</f>
        <v/>
      </c>
      <c r="EB1924" s="64">
        <f>$Q1924-$O1924</f>
        <v/>
      </c>
      <c r="EC1924" s="67">
        <f>IFERROR($Q1924/$P1924,"")</f>
        <v/>
      </c>
    </row>
    <row r="1925">
      <c r="DG1925" s="64">
        <f>($B1925-$B1926)*100</f>
        <v/>
      </c>
      <c r="DH1925" s="64">
        <f>($D1925-$D1926)*100</f>
        <v/>
      </c>
      <c r="DI1925" s="64">
        <f>($E1925-$E1926)*100</f>
        <v/>
      </c>
      <c r="DJ1925" s="64">
        <f>($H1925-$H1926)*100</f>
        <v/>
      </c>
      <c r="DK1925" s="65">
        <f>IFERROR($J1925/$J1926-1,"")</f>
        <v/>
      </c>
      <c r="DL1925" s="64">
        <f>$L1925-$L1926</f>
        <v/>
      </c>
      <c r="DM1925" s="64">
        <f>$K1925-$K1926</f>
        <v/>
      </c>
      <c r="DN1925" s="65">
        <f>IFERROR($N1925/$N1926-1,"")</f>
        <v/>
      </c>
      <c r="DO1925" s="65">
        <f>IFERROR($M1925/$M1926-1,"")</f>
        <v/>
      </c>
      <c r="DP1925" s="65">
        <f>IFERROR($AZ1925/$AZ1926-1,"")</f>
        <v/>
      </c>
      <c r="DQ1925" s="65">
        <f>IFERROR($BA1925/$BA1926-1,"")</f>
        <v/>
      </c>
      <c r="DR1925" s="64">
        <f>$O1925-$O1926</f>
        <v/>
      </c>
      <c r="DS1925" s="64">
        <f>$P1925-$P1926</f>
        <v/>
      </c>
      <c r="DT1925" s="64">
        <f>$Q1925-$Q1926</f>
        <v/>
      </c>
      <c r="DU1925" s="64">
        <f>$S1925-$S1926</f>
        <v/>
      </c>
      <c r="DV1925" s="65">
        <f>IFERROR(AVERAGE($AA1926/$AA1925-1,$AB1926/$AB1925-1,$AC1926/$AC1925-1,$AD1926/$AD1925-1,$AE1926/$AE1925-1,$AG1926/$AG1925-1,$AH1926/$AH1925-1,$AI1926/$AI1925-1,$AJ1926/$AJ1925-1,$AL1926/$AL1925-1,$AM1926/$AM1925-1,$AR1926/$AR1925-1,$AS1926/$AS1925-1,$AT1926/$AT1925-1,$AU1926/$AU1925-1,$AV1926/$AV1925-1,$AW1926/$AW1925-1,$AX1926/$AX1925-1,$AY1926/$AY1925-1),"")</f>
        <v/>
      </c>
      <c r="DW1925" s="66">
        <f>AVERAGE($CB1925,$CC1925,$CD1925,$CE1925,$CF1925,$CG1925,$CH1925,$CI1925,$CJ1925,$CL1925,$CM1925,$CN1925,$CO1925,$CP1925,$CQ1925,$CR1925,$CS1925,$CT1925)</f>
        <v/>
      </c>
      <c r="DX1925" s="66">
        <f>AVERAGE($CB1925,$CC1925,$CM1925,$CE1925,$CP1925)</f>
        <v/>
      </c>
      <c r="DY1925" s="64">
        <f>($DW1925-$DW1926)*100</f>
        <v/>
      </c>
      <c r="DZ1925" s="64">
        <f>($DX1925-$DX1926)*100</f>
        <v/>
      </c>
      <c r="EA1925" s="64">
        <f>($DW1925-$D1925)*100</f>
        <v/>
      </c>
      <c r="EB1925" s="64">
        <f>$Q1925-$O1925</f>
        <v/>
      </c>
      <c r="EC1925" s="67">
        <f>IFERROR($Q1925/$P1925,"")</f>
        <v/>
      </c>
    </row>
    <row r="1926">
      <c r="DG1926" s="64">
        <f>($B1926-$B1927)*100</f>
        <v/>
      </c>
      <c r="DH1926" s="64">
        <f>($D1926-$D1927)*100</f>
        <v/>
      </c>
      <c r="DI1926" s="64">
        <f>($E1926-$E1927)*100</f>
        <v/>
      </c>
      <c r="DJ1926" s="64">
        <f>($H1926-$H1927)*100</f>
        <v/>
      </c>
      <c r="DK1926" s="65">
        <f>IFERROR($J1926/$J1927-1,"")</f>
        <v/>
      </c>
      <c r="DL1926" s="64">
        <f>$L1926-$L1927</f>
        <v/>
      </c>
      <c r="DM1926" s="64">
        <f>$K1926-$K1927</f>
        <v/>
      </c>
      <c r="DN1926" s="65">
        <f>IFERROR($N1926/$N1927-1,"")</f>
        <v/>
      </c>
      <c r="DO1926" s="65">
        <f>IFERROR($M1926/$M1927-1,"")</f>
        <v/>
      </c>
      <c r="DP1926" s="65">
        <f>IFERROR($AZ1926/$AZ1927-1,"")</f>
        <v/>
      </c>
      <c r="DQ1926" s="65">
        <f>IFERROR($BA1926/$BA1927-1,"")</f>
        <v/>
      </c>
      <c r="DR1926" s="64">
        <f>$O1926-$O1927</f>
        <v/>
      </c>
      <c r="DS1926" s="64">
        <f>$P1926-$P1927</f>
        <v/>
      </c>
      <c r="DT1926" s="64">
        <f>$Q1926-$Q1927</f>
        <v/>
      </c>
      <c r="DU1926" s="64">
        <f>$S1926-$S1927</f>
        <v/>
      </c>
      <c r="DV1926" s="65">
        <f>IFERROR(AVERAGE($AA1927/$AA1926-1,$AB1927/$AB1926-1,$AC1927/$AC1926-1,$AD1927/$AD1926-1,$AE1927/$AE1926-1,$AG1927/$AG1926-1,$AH1927/$AH1926-1,$AI1927/$AI1926-1,$AJ1927/$AJ1926-1,$AL1927/$AL1926-1,$AM1927/$AM1926-1,$AR1927/$AR1926-1,$AS1927/$AS1926-1,$AT1927/$AT1926-1,$AU1927/$AU1926-1,$AV1927/$AV1926-1,$AW1927/$AW1926-1,$AX1927/$AX1926-1,$AY1927/$AY1926-1),"")</f>
        <v/>
      </c>
      <c r="DW1926" s="66">
        <f>AVERAGE($CB1926,$CC1926,$CD1926,$CE1926,$CF1926,$CG1926,$CH1926,$CI1926,$CJ1926,$CL1926,$CM1926,$CN1926,$CO1926,$CP1926,$CQ1926,$CR1926,$CS1926,$CT1926)</f>
        <v/>
      </c>
      <c r="DX1926" s="66">
        <f>AVERAGE($CB1926,$CC1926,$CM1926,$CE1926,$CP1926)</f>
        <v/>
      </c>
      <c r="DY1926" s="64">
        <f>($DW1926-$DW1927)*100</f>
        <v/>
      </c>
      <c r="DZ1926" s="64">
        <f>($DX1926-$DX1927)*100</f>
        <v/>
      </c>
      <c r="EA1926" s="64">
        <f>($DW1926-$D1926)*100</f>
        <v/>
      </c>
      <c r="EB1926" s="64">
        <f>$Q1926-$O1926</f>
        <v/>
      </c>
      <c r="EC1926" s="67">
        <f>IFERROR($Q1926/$P1926,"")</f>
        <v/>
      </c>
    </row>
    <row r="1927">
      <c r="DG1927" s="64">
        <f>($B1927-$B1928)*100</f>
        <v/>
      </c>
      <c r="DH1927" s="64">
        <f>($D1927-$D1928)*100</f>
        <v/>
      </c>
      <c r="DI1927" s="64">
        <f>($E1927-$E1928)*100</f>
        <v/>
      </c>
      <c r="DJ1927" s="64">
        <f>($H1927-$H1928)*100</f>
        <v/>
      </c>
      <c r="DK1927" s="65">
        <f>IFERROR($J1927/$J1928-1,"")</f>
        <v/>
      </c>
      <c r="DL1927" s="64">
        <f>$L1927-$L1928</f>
        <v/>
      </c>
      <c r="DM1927" s="64">
        <f>$K1927-$K1928</f>
        <v/>
      </c>
      <c r="DN1927" s="65">
        <f>IFERROR($N1927/$N1928-1,"")</f>
        <v/>
      </c>
      <c r="DO1927" s="65">
        <f>IFERROR($M1927/$M1928-1,"")</f>
        <v/>
      </c>
      <c r="DP1927" s="65">
        <f>IFERROR($AZ1927/$AZ1928-1,"")</f>
        <v/>
      </c>
      <c r="DQ1927" s="65">
        <f>IFERROR($BA1927/$BA1928-1,"")</f>
        <v/>
      </c>
      <c r="DR1927" s="64">
        <f>$O1927-$O1928</f>
        <v/>
      </c>
      <c r="DS1927" s="64">
        <f>$P1927-$P1928</f>
        <v/>
      </c>
      <c r="DT1927" s="64">
        <f>$Q1927-$Q1928</f>
        <v/>
      </c>
      <c r="DU1927" s="64">
        <f>$S1927-$S1928</f>
        <v/>
      </c>
      <c r="DV1927" s="65">
        <f>IFERROR(AVERAGE($AA1928/$AA1927-1,$AB1928/$AB1927-1,$AC1928/$AC1927-1,$AD1928/$AD1927-1,$AE1928/$AE1927-1,$AG1928/$AG1927-1,$AH1928/$AH1927-1,$AI1928/$AI1927-1,$AJ1928/$AJ1927-1,$AL1928/$AL1927-1,$AM1928/$AM1927-1,$AR1928/$AR1927-1,$AS1928/$AS1927-1,$AT1928/$AT1927-1,$AU1928/$AU1927-1,$AV1928/$AV1927-1,$AW1928/$AW1927-1,$AX1928/$AX1927-1,$AY1928/$AY1927-1),"")</f>
        <v/>
      </c>
      <c r="DW1927" s="66">
        <f>AVERAGE($CB1927,$CC1927,$CD1927,$CE1927,$CF1927,$CG1927,$CH1927,$CI1927,$CJ1927,$CL1927,$CM1927,$CN1927,$CO1927,$CP1927,$CQ1927,$CR1927,$CS1927,$CT1927)</f>
        <v/>
      </c>
      <c r="DX1927" s="66">
        <f>AVERAGE($CB1927,$CC1927,$CM1927,$CE1927,$CP1927)</f>
        <v/>
      </c>
      <c r="DY1927" s="64">
        <f>($DW1927-$DW1928)*100</f>
        <v/>
      </c>
      <c r="DZ1927" s="64">
        <f>($DX1927-$DX1928)*100</f>
        <v/>
      </c>
      <c r="EA1927" s="64">
        <f>($DW1927-$D1927)*100</f>
        <v/>
      </c>
      <c r="EB1927" s="64">
        <f>$Q1927-$O1927</f>
        <v/>
      </c>
      <c r="EC1927" s="67">
        <f>IFERROR($Q1927/$P1927,"")</f>
        <v/>
      </c>
    </row>
    <row r="1928">
      <c r="DG1928" s="64">
        <f>($B1928-$B1929)*100</f>
        <v/>
      </c>
      <c r="DH1928" s="64">
        <f>($D1928-$D1929)*100</f>
        <v/>
      </c>
      <c r="DI1928" s="64">
        <f>($E1928-$E1929)*100</f>
        <v/>
      </c>
      <c r="DJ1928" s="64">
        <f>($H1928-$H1929)*100</f>
        <v/>
      </c>
      <c r="DK1928" s="65">
        <f>IFERROR($J1928/$J1929-1,"")</f>
        <v/>
      </c>
      <c r="DL1928" s="64">
        <f>$L1928-$L1929</f>
        <v/>
      </c>
      <c r="DM1928" s="64">
        <f>$K1928-$K1929</f>
        <v/>
      </c>
      <c r="DN1928" s="65">
        <f>IFERROR($N1928/$N1929-1,"")</f>
        <v/>
      </c>
      <c r="DO1928" s="65">
        <f>IFERROR($M1928/$M1929-1,"")</f>
        <v/>
      </c>
      <c r="DP1928" s="65">
        <f>IFERROR($AZ1928/$AZ1929-1,"")</f>
        <v/>
      </c>
      <c r="DQ1928" s="65">
        <f>IFERROR($BA1928/$BA1929-1,"")</f>
        <v/>
      </c>
      <c r="DR1928" s="64">
        <f>$O1928-$O1929</f>
        <v/>
      </c>
      <c r="DS1928" s="64">
        <f>$P1928-$P1929</f>
        <v/>
      </c>
      <c r="DT1928" s="64">
        <f>$Q1928-$Q1929</f>
        <v/>
      </c>
      <c r="DU1928" s="64">
        <f>$S1928-$S1929</f>
        <v/>
      </c>
      <c r="DV1928" s="65">
        <f>IFERROR(AVERAGE($AA1929/$AA1928-1,$AB1929/$AB1928-1,$AC1929/$AC1928-1,$AD1929/$AD1928-1,$AE1929/$AE1928-1,$AG1929/$AG1928-1,$AH1929/$AH1928-1,$AI1929/$AI1928-1,$AJ1929/$AJ1928-1,$AL1929/$AL1928-1,$AM1929/$AM1928-1,$AR1929/$AR1928-1,$AS1929/$AS1928-1,$AT1929/$AT1928-1,$AU1929/$AU1928-1,$AV1929/$AV1928-1,$AW1929/$AW1928-1,$AX1929/$AX1928-1,$AY1929/$AY1928-1),"")</f>
        <v/>
      </c>
      <c r="DW1928" s="66">
        <f>AVERAGE($CB1928,$CC1928,$CD1928,$CE1928,$CF1928,$CG1928,$CH1928,$CI1928,$CJ1928,$CL1928,$CM1928,$CN1928,$CO1928,$CP1928,$CQ1928,$CR1928,$CS1928,$CT1928)</f>
        <v/>
      </c>
      <c r="DX1928" s="66">
        <f>AVERAGE($CB1928,$CC1928,$CM1928,$CE1928,$CP1928)</f>
        <v/>
      </c>
      <c r="DY1928" s="64">
        <f>($DW1928-$DW1929)*100</f>
        <v/>
      </c>
      <c r="DZ1928" s="64">
        <f>($DX1928-$DX1929)*100</f>
        <v/>
      </c>
      <c r="EA1928" s="64">
        <f>($DW1928-$D1928)*100</f>
        <v/>
      </c>
      <c r="EB1928" s="64">
        <f>$Q1928-$O1928</f>
        <v/>
      </c>
      <c r="EC1928" s="67">
        <f>IFERROR($Q1928/$P1928,"")</f>
        <v/>
      </c>
    </row>
    <row r="1929">
      <c r="DG1929" s="64">
        <f>($B1929-$B1930)*100</f>
        <v/>
      </c>
      <c r="DH1929" s="64">
        <f>($D1929-$D1930)*100</f>
        <v/>
      </c>
      <c r="DI1929" s="64">
        <f>($E1929-$E1930)*100</f>
        <v/>
      </c>
      <c r="DJ1929" s="64">
        <f>($H1929-$H1930)*100</f>
        <v/>
      </c>
      <c r="DK1929" s="65">
        <f>IFERROR($J1929/$J1930-1,"")</f>
        <v/>
      </c>
      <c r="DL1929" s="64">
        <f>$L1929-$L1930</f>
        <v/>
      </c>
      <c r="DM1929" s="64">
        <f>$K1929-$K1930</f>
        <v/>
      </c>
      <c r="DN1929" s="65">
        <f>IFERROR($N1929/$N1930-1,"")</f>
        <v/>
      </c>
      <c r="DO1929" s="65">
        <f>IFERROR($M1929/$M1930-1,"")</f>
        <v/>
      </c>
      <c r="DP1929" s="65">
        <f>IFERROR($AZ1929/$AZ1930-1,"")</f>
        <v/>
      </c>
      <c r="DQ1929" s="65">
        <f>IFERROR($BA1929/$BA1930-1,"")</f>
        <v/>
      </c>
      <c r="DR1929" s="64">
        <f>$O1929-$O1930</f>
        <v/>
      </c>
      <c r="DS1929" s="64">
        <f>$P1929-$P1930</f>
        <v/>
      </c>
      <c r="DT1929" s="64">
        <f>$Q1929-$Q1930</f>
        <v/>
      </c>
      <c r="DU1929" s="64">
        <f>$S1929-$S1930</f>
        <v/>
      </c>
      <c r="DV1929" s="65">
        <f>IFERROR(AVERAGE($AA1930/$AA1929-1,$AB1930/$AB1929-1,$AC1930/$AC1929-1,$AD1930/$AD1929-1,$AE1930/$AE1929-1,$AG1930/$AG1929-1,$AH1930/$AH1929-1,$AI1930/$AI1929-1,$AJ1930/$AJ1929-1,$AL1930/$AL1929-1,$AM1930/$AM1929-1,$AR1930/$AR1929-1,$AS1930/$AS1929-1,$AT1930/$AT1929-1,$AU1930/$AU1929-1,$AV1930/$AV1929-1,$AW1930/$AW1929-1,$AX1930/$AX1929-1,$AY1930/$AY1929-1),"")</f>
        <v/>
      </c>
      <c r="DW1929" s="66">
        <f>AVERAGE($CB1929,$CC1929,$CD1929,$CE1929,$CF1929,$CG1929,$CH1929,$CI1929,$CJ1929,$CL1929,$CM1929,$CN1929,$CO1929,$CP1929,$CQ1929,$CR1929,$CS1929,$CT1929)</f>
        <v/>
      </c>
      <c r="DX1929" s="66">
        <f>AVERAGE($CB1929,$CC1929,$CM1929,$CE1929,$CP1929)</f>
        <v/>
      </c>
      <c r="DY1929" s="64">
        <f>($DW1929-$DW1930)*100</f>
        <v/>
      </c>
      <c r="DZ1929" s="64">
        <f>($DX1929-$DX1930)*100</f>
        <v/>
      </c>
      <c r="EA1929" s="64">
        <f>($DW1929-$D1929)*100</f>
        <v/>
      </c>
      <c r="EB1929" s="64">
        <f>$Q1929-$O1929</f>
        <v/>
      </c>
      <c r="EC1929" s="67">
        <f>IFERROR($Q1929/$P1929,"")</f>
        <v/>
      </c>
    </row>
    <row r="1930">
      <c r="DG1930" s="64">
        <f>($B1930-$B1931)*100</f>
        <v/>
      </c>
      <c r="DH1930" s="64">
        <f>($D1930-$D1931)*100</f>
        <v/>
      </c>
      <c r="DI1930" s="64">
        <f>($E1930-$E1931)*100</f>
        <v/>
      </c>
      <c r="DJ1930" s="64">
        <f>($H1930-$H1931)*100</f>
        <v/>
      </c>
      <c r="DK1930" s="65">
        <f>IFERROR($J1930/$J1931-1,"")</f>
        <v/>
      </c>
      <c r="DL1930" s="64">
        <f>$L1930-$L1931</f>
        <v/>
      </c>
      <c r="DM1930" s="64">
        <f>$K1930-$K1931</f>
        <v/>
      </c>
      <c r="DN1930" s="65">
        <f>IFERROR($N1930/$N1931-1,"")</f>
        <v/>
      </c>
      <c r="DO1930" s="65">
        <f>IFERROR($M1930/$M1931-1,"")</f>
        <v/>
      </c>
      <c r="DP1930" s="65">
        <f>IFERROR($AZ1930/$AZ1931-1,"")</f>
        <v/>
      </c>
      <c r="DQ1930" s="65">
        <f>IFERROR($BA1930/$BA1931-1,"")</f>
        <v/>
      </c>
      <c r="DR1930" s="64">
        <f>$O1930-$O1931</f>
        <v/>
      </c>
      <c r="DS1930" s="64">
        <f>$P1930-$P1931</f>
        <v/>
      </c>
      <c r="DT1930" s="64">
        <f>$Q1930-$Q1931</f>
        <v/>
      </c>
      <c r="DU1930" s="64">
        <f>$S1930-$S1931</f>
        <v/>
      </c>
      <c r="DV1930" s="65">
        <f>IFERROR(AVERAGE($AA1931/$AA1930-1,$AB1931/$AB1930-1,$AC1931/$AC1930-1,$AD1931/$AD1930-1,$AE1931/$AE1930-1,$AG1931/$AG1930-1,$AH1931/$AH1930-1,$AI1931/$AI1930-1,$AJ1931/$AJ1930-1,$AL1931/$AL1930-1,$AM1931/$AM1930-1,$AR1931/$AR1930-1,$AS1931/$AS1930-1,$AT1931/$AT1930-1,$AU1931/$AU1930-1,$AV1931/$AV1930-1,$AW1931/$AW1930-1,$AX1931/$AX1930-1,$AY1931/$AY1930-1),"")</f>
        <v/>
      </c>
      <c r="DW1930" s="66">
        <f>AVERAGE($CB1930,$CC1930,$CD1930,$CE1930,$CF1930,$CG1930,$CH1930,$CI1930,$CJ1930,$CL1930,$CM1930,$CN1930,$CO1930,$CP1930,$CQ1930,$CR1930,$CS1930,$CT1930)</f>
        <v/>
      </c>
      <c r="DX1930" s="66">
        <f>AVERAGE($CB1930,$CC1930,$CM1930,$CE1930,$CP1930)</f>
        <v/>
      </c>
      <c r="DY1930" s="64">
        <f>($DW1930-$DW1931)*100</f>
        <v/>
      </c>
      <c r="DZ1930" s="64">
        <f>($DX1930-$DX1931)*100</f>
        <v/>
      </c>
      <c r="EA1930" s="64">
        <f>($DW1930-$D1930)*100</f>
        <v/>
      </c>
      <c r="EB1930" s="64">
        <f>$Q1930-$O1930</f>
        <v/>
      </c>
      <c r="EC1930" s="67">
        <f>IFERROR($Q1930/$P1930,"")</f>
        <v/>
      </c>
    </row>
    <row r="1931">
      <c r="DG1931" s="64">
        <f>($B1931-$B1932)*100</f>
        <v/>
      </c>
      <c r="DH1931" s="64">
        <f>($D1931-$D1932)*100</f>
        <v/>
      </c>
      <c r="DI1931" s="64">
        <f>($E1931-$E1932)*100</f>
        <v/>
      </c>
      <c r="DJ1931" s="64">
        <f>($H1931-$H1932)*100</f>
        <v/>
      </c>
      <c r="DK1931" s="65">
        <f>IFERROR($J1931/$J1932-1,"")</f>
        <v/>
      </c>
      <c r="DL1931" s="64">
        <f>$L1931-$L1932</f>
        <v/>
      </c>
      <c r="DM1931" s="64">
        <f>$K1931-$K1932</f>
        <v/>
      </c>
      <c r="DN1931" s="65">
        <f>IFERROR($N1931/$N1932-1,"")</f>
        <v/>
      </c>
      <c r="DO1931" s="65">
        <f>IFERROR($M1931/$M1932-1,"")</f>
        <v/>
      </c>
      <c r="DP1931" s="65">
        <f>IFERROR($AZ1931/$AZ1932-1,"")</f>
        <v/>
      </c>
      <c r="DQ1931" s="65">
        <f>IFERROR($BA1931/$BA1932-1,"")</f>
        <v/>
      </c>
      <c r="DR1931" s="64">
        <f>$O1931-$O1932</f>
        <v/>
      </c>
      <c r="DS1931" s="64">
        <f>$P1931-$P1932</f>
        <v/>
      </c>
      <c r="DT1931" s="64">
        <f>$Q1931-$Q1932</f>
        <v/>
      </c>
      <c r="DU1931" s="64">
        <f>$S1931-$S1932</f>
        <v/>
      </c>
      <c r="DV1931" s="65">
        <f>IFERROR(AVERAGE($AA1932/$AA1931-1,$AB1932/$AB1931-1,$AC1932/$AC1931-1,$AD1932/$AD1931-1,$AE1932/$AE1931-1,$AG1932/$AG1931-1,$AH1932/$AH1931-1,$AI1932/$AI1931-1,$AJ1932/$AJ1931-1,$AL1932/$AL1931-1,$AM1932/$AM1931-1,$AR1932/$AR1931-1,$AS1932/$AS1931-1,$AT1932/$AT1931-1,$AU1932/$AU1931-1,$AV1932/$AV1931-1,$AW1932/$AW1931-1,$AX1932/$AX1931-1,$AY1932/$AY1931-1),"")</f>
        <v/>
      </c>
      <c r="DW1931" s="66">
        <f>AVERAGE($CB1931,$CC1931,$CD1931,$CE1931,$CF1931,$CG1931,$CH1931,$CI1931,$CJ1931,$CL1931,$CM1931,$CN1931,$CO1931,$CP1931,$CQ1931,$CR1931,$CS1931,$CT1931)</f>
        <v/>
      </c>
      <c r="DX1931" s="66">
        <f>AVERAGE($CB1931,$CC1931,$CM1931,$CE1931,$CP1931)</f>
        <v/>
      </c>
      <c r="DY1931" s="64">
        <f>($DW1931-$DW1932)*100</f>
        <v/>
      </c>
      <c r="DZ1931" s="64">
        <f>($DX1931-$DX1932)*100</f>
        <v/>
      </c>
      <c r="EA1931" s="64">
        <f>($DW1931-$D1931)*100</f>
        <v/>
      </c>
      <c r="EB1931" s="64">
        <f>$Q1931-$O1931</f>
        <v/>
      </c>
      <c r="EC1931" s="67">
        <f>IFERROR($Q1931/$P1931,"")</f>
        <v/>
      </c>
    </row>
    <row r="1932">
      <c r="DG1932" s="64">
        <f>($B1932-$B1933)*100</f>
        <v/>
      </c>
      <c r="DH1932" s="64">
        <f>($D1932-$D1933)*100</f>
        <v/>
      </c>
      <c r="DI1932" s="64">
        <f>($E1932-$E1933)*100</f>
        <v/>
      </c>
      <c r="DJ1932" s="64">
        <f>($H1932-$H1933)*100</f>
        <v/>
      </c>
      <c r="DK1932" s="65">
        <f>IFERROR($J1932/$J1933-1,"")</f>
        <v/>
      </c>
      <c r="DL1932" s="64">
        <f>$L1932-$L1933</f>
        <v/>
      </c>
      <c r="DM1932" s="64">
        <f>$K1932-$K1933</f>
        <v/>
      </c>
      <c r="DN1932" s="65">
        <f>IFERROR($N1932/$N1933-1,"")</f>
        <v/>
      </c>
      <c r="DO1932" s="65">
        <f>IFERROR($M1932/$M1933-1,"")</f>
        <v/>
      </c>
      <c r="DP1932" s="65">
        <f>IFERROR($AZ1932/$AZ1933-1,"")</f>
        <v/>
      </c>
      <c r="DQ1932" s="65">
        <f>IFERROR($BA1932/$BA1933-1,"")</f>
        <v/>
      </c>
      <c r="DR1932" s="64">
        <f>$O1932-$O1933</f>
        <v/>
      </c>
      <c r="DS1932" s="64">
        <f>$P1932-$P1933</f>
        <v/>
      </c>
      <c r="DT1932" s="64">
        <f>$Q1932-$Q1933</f>
        <v/>
      </c>
      <c r="DU1932" s="64">
        <f>$S1932-$S1933</f>
        <v/>
      </c>
      <c r="DV1932" s="65">
        <f>IFERROR(AVERAGE($AA1933/$AA1932-1,$AB1933/$AB1932-1,$AC1933/$AC1932-1,$AD1933/$AD1932-1,$AE1933/$AE1932-1,$AG1933/$AG1932-1,$AH1933/$AH1932-1,$AI1933/$AI1932-1,$AJ1933/$AJ1932-1,$AL1933/$AL1932-1,$AM1933/$AM1932-1,$AR1933/$AR1932-1,$AS1933/$AS1932-1,$AT1933/$AT1932-1,$AU1933/$AU1932-1,$AV1933/$AV1932-1,$AW1933/$AW1932-1,$AX1933/$AX1932-1,$AY1933/$AY1932-1),"")</f>
        <v/>
      </c>
      <c r="DW1932" s="66">
        <f>AVERAGE($CB1932,$CC1932,$CD1932,$CE1932,$CF1932,$CG1932,$CH1932,$CI1932,$CJ1932,$CL1932,$CM1932,$CN1932,$CO1932,$CP1932,$CQ1932,$CR1932,$CS1932,$CT1932)</f>
        <v/>
      </c>
      <c r="DX1932" s="66">
        <f>AVERAGE($CB1932,$CC1932,$CM1932,$CE1932,$CP1932)</f>
        <v/>
      </c>
      <c r="DY1932" s="64">
        <f>($DW1932-$DW1933)*100</f>
        <v/>
      </c>
      <c r="DZ1932" s="64">
        <f>($DX1932-$DX1933)*100</f>
        <v/>
      </c>
      <c r="EA1932" s="64">
        <f>($DW1932-$D1932)*100</f>
        <v/>
      </c>
      <c r="EB1932" s="64">
        <f>$Q1932-$O1932</f>
        <v/>
      </c>
      <c r="EC1932" s="67">
        <f>IFERROR($Q1932/$P1932,"")</f>
        <v/>
      </c>
    </row>
    <row r="1933">
      <c r="DG1933" s="64">
        <f>($B1933-$B1934)*100</f>
        <v/>
      </c>
      <c r="DH1933" s="64">
        <f>($D1933-$D1934)*100</f>
        <v/>
      </c>
      <c r="DI1933" s="64">
        <f>($E1933-$E1934)*100</f>
        <v/>
      </c>
      <c r="DJ1933" s="64">
        <f>($H1933-$H1934)*100</f>
        <v/>
      </c>
      <c r="DK1933" s="65">
        <f>IFERROR($J1933/$J1934-1,"")</f>
        <v/>
      </c>
      <c r="DL1933" s="64">
        <f>$L1933-$L1934</f>
        <v/>
      </c>
      <c r="DM1933" s="64">
        <f>$K1933-$K1934</f>
        <v/>
      </c>
      <c r="DN1933" s="65">
        <f>IFERROR($N1933/$N1934-1,"")</f>
        <v/>
      </c>
      <c r="DO1933" s="65">
        <f>IFERROR($M1933/$M1934-1,"")</f>
        <v/>
      </c>
      <c r="DP1933" s="65">
        <f>IFERROR($AZ1933/$AZ1934-1,"")</f>
        <v/>
      </c>
      <c r="DQ1933" s="65">
        <f>IFERROR($BA1933/$BA1934-1,"")</f>
        <v/>
      </c>
      <c r="DR1933" s="64">
        <f>$O1933-$O1934</f>
        <v/>
      </c>
      <c r="DS1933" s="64">
        <f>$P1933-$P1934</f>
        <v/>
      </c>
      <c r="DT1933" s="64">
        <f>$Q1933-$Q1934</f>
        <v/>
      </c>
      <c r="DU1933" s="64">
        <f>$S1933-$S1934</f>
        <v/>
      </c>
      <c r="DV1933" s="65">
        <f>IFERROR(AVERAGE($AA1934/$AA1933-1,$AB1934/$AB1933-1,$AC1934/$AC1933-1,$AD1934/$AD1933-1,$AE1934/$AE1933-1,$AG1934/$AG1933-1,$AH1934/$AH1933-1,$AI1934/$AI1933-1,$AJ1934/$AJ1933-1,$AL1934/$AL1933-1,$AM1934/$AM1933-1,$AR1934/$AR1933-1,$AS1934/$AS1933-1,$AT1934/$AT1933-1,$AU1934/$AU1933-1,$AV1934/$AV1933-1,$AW1934/$AW1933-1,$AX1934/$AX1933-1,$AY1934/$AY1933-1),"")</f>
        <v/>
      </c>
      <c r="DW1933" s="66">
        <f>AVERAGE($CB1933,$CC1933,$CD1933,$CE1933,$CF1933,$CG1933,$CH1933,$CI1933,$CJ1933,$CL1933,$CM1933,$CN1933,$CO1933,$CP1933,$CQ1933,$CR1933,$CS1933,$CT1933)</f>
        <v/>
      </c>
      <c r="DX1933" s="66">
        <f>AVERAGE($CB1933,$CC1933,$CM1933,$CE1933,$CP1933)</f>
        <v/>
      </c>
      <c r="DY1933" s="64">
        <f>($DW1933-$DW1934)*100</f>
        <v/>
      </c>
      <c r="DZ1933" s="64">
        <f>($DX1933-$DX1934)*100</f>
        <v/>
      </c>
      <c r="EA1933" s="64">
        <f>($DW1933-$D1933)*100</f>
        <v/>
      </c>
      <c r="EB1933" s="64">
        <f>$Q1933-$O1933</f>
        <v/>
      </c>
      <c r="EC1933" s="67">
        <f>IFERROR($Q1933/$P1933,"")</f>
        <v/>
      </c>
    </row>
    <row r="1934">
      <c r="DG1934" s="64">
        <f>($B1934-$B1935)*100</f>
        <v/>
      </c>
      <c r="DH1934" s="64">
        <f>($D1934-$D1935)*100</f>
        <v/>
      </c>
      <c r="DI1934" s="64">
        <f>($E1934-$E1935)*100</f>
        <v/>
      </c>
      <c r="DJ1934" s="64">
        <f>($H1934-$H1935)*100</f>
        <v/>
      </c>
      <c r="DK1934" s="65">
        <f>IFERROR($J1934/$J1935-1,"")</f>
        <v/>
      </c>
      <c r="DL1934" s="64">
        <f>$L1934-$L1935</f>
        <v/>
      </c>
      <c r="DM1934" s="64">
        <f>$K1934-$K1935</f>
        <v/>
      </c>
      <c r="DN1934" s="65">
        <f>IFERROR($N1934/$N1935-1,"")</f>
        <v/>
      </c>
      <c r="DO1934" s="65">
        <f>IFERROR($M1934/$M1935-1,"")</f>
        <v/>
      </c>
      <c r="DP1934" s="65">
        <f>IFERROR($AZ1934/$AZ1935-1,"")</f>
        <v/>
      </c>
      <c r="DQ1934" s="65">
        <f>IFERROR($BA1934/$BA1935-1,"")</f>
        <v/>
      </c>
      <c r="DR1934" s="64">
        <f>$O1934-$O1935</f>
        <v/>
      </c>
      <c r="DS1934" s="64">
        <f>$P1934-$P1935</f>
        <v/>
      </c>
      <c r="DT1934" s="64">
        <f>$Q1934-$Q1935</f>
        <v/>
      </c>
      <c r="DU1934" s="64">
        <f>$S1934-$S1935</f>
        <v/>
      </c>
      <c r="DV1934" s="65">
        <f>IFERROR(AVERAGE($AA1935/$AA1934-1,$AB1935/$AB1934-1,$AC1935/$AC1934-1,$AD1935/$AD1934-1,$AE1935/$AE1934-1,$AG1935/$AG1934-1,$AH1935/$AH1934-1,$AI1935/$AI1934-1,$AJ1935/$AJ1934-1,$AL1935/$AL1934-1,$AM1935/$AM1934-1,$AR1935/$AR1934-1,$AS1935/$AS1934-1,$AT1935/$AT1934-1,$AU1935/$AU1934-1,$AV1935/$AV1934-1,$AW1935/$AW1934-1,$AX1935/$AX1934-1,$AY1935/$AY1934-1),"")</f>
        <v/>
      </c>
      <c r="DW1934" s="66">
        <f>AVERAGE($CB1934,$CC1934,$CD1934,$CE1934,$CF1934,$CG1934,$CH1934,$CI1934,$CJ1934,$CL1934,$CM1934,$CN1934,$CO1934,$CP1934,$CQ1934,$CR1934,$CS1934,$CT1934)</f>
        <v/>
      </c>
      <c r="DX1934" s="66">
        <f>AVERAGE($CB1934,$CC1934,$CM1934,$CE1934,$CP1934)</f>
        <v/>
      </c>
      <c r="DY1934" s="64">
        <f>($DW1934-$DW1935)*100</f>
        <v/>
      </c>
      <c r="DZ1934" s="64">
        <f>($DX1934-$DX1935)*100</f>
        <v/>
      </c>
      <c r="EA1934" s="64">
        <f>($DW1934-$D1934)*100</f>
        <v/>
      </c>
      <c r="EB1934" s="64">
        <f>$Q1934-$O1934</f>
        <v/>
      </c>
      <c r="EC1934" s="67">
        <f>IFERROR($Q1934/$P1934,"")</f>
        <v/>
      </c>
    </row>
    <row r="1935">
      <c r="DG1935" s="64">
        <f>($B1935-$B1936)*100</f>
        <v/>
      </c>
      <c r="DH1935" s="64">
        <f>($D1935-$D1936)*100</f>
        <v/>
      </c>
      <c r="DI1935" s="64">
        <f>($E1935-$E1936)*100</f>
        <v/>
      </c>
      <c r="DJ1935" s="64">
        <f>($H1935-$H1936)*100</f>
        <v/>
      </c>
      <c r="DK1935" s="65">
        <f>IFERROR($J1935/$J1936-1,"")</f>
        <v/>
      </c>
      <c r="DL1935" s="64">
        <f>$L1935-$L1936</f>
        <v/>
      </c>
      <c r="DM1935" s="64">
        <f>$K1935-$K1936</f>
        <v/>
      </c>
      <c r="DN1935" s="65">
        <f>IFERROR($N1935/$N1936-1,"")</f>
        <v/>
      </c>
      <c r="DO1935" s="65">
        <f>IFERROR($M1935/$M1936-1,"")</f>
        <v/>
      </c>
      <c r="DP1935" s="65">
        <f>IFERROR($AZ1935/$AZ1936-1,"")</f>
        <v/>
      </c>
      <c r="DQ1935" s="65">
        <f>IFERROR($BA1935/$BA1936-1,"")</f>
        <v/>
      </c>
      <c r="DR1935" s="64">
        <f>$O1935-$O1936</f>
        <v/>
      </c>
      <c r="DS1935" s="64">
        <f>$P1935-$P1936</f>
        <v/>
      </c>
      <c r="DT1935" s="64">
        <f>$Q1935-$Q1936</f>
        <v/>
      </c>
      <c r="DU1935" s="64">
        <f>$S1935-$S1936</f>
        <v/>
      </c>
      <c r="DV1935" s="65">
        <f>IFERROR(AVERAGE($AA1936/$AA1935-1,$AB1936/$AB1935-1,$AC1936/$AC1935-1,$AD1936/$AD1935-1,$AE1936/$AE1935-1,$AG1936/$AG1935-1,$AH1936/$AH1935-1,$AI1936/$AI1935-1,$AJ1936/$AJ1935-1,$AL1936/$AL1935-1,$AM1936/$AM1935-1,$AR1936/$AR1935-1,$AS1936/$AS1935-1,$AT1936/$AT1935-1,$AU1936/$AU1935-1,$AV1936/$AV1935-1,$AW1936/$AW1935-1,$AX1936/$AX1935-1,$AY1936/$AY1935-1),"")</f>
        <v/>
      </c>
      <c r="DW1935" s="66">
        <f>AVERAGE($CB1935,$CC1935,$CD1935,$CE1935,$CF1935,$CG1935,$CH1935,$CI1935,$CJ1935,$CL1935,$CM1935,$CN1935,$CO1935,$CP1935,$CQ1935,$CR1935,$CS1935,$CT1935)</f>
        <v/>
      </c>
      <c r="DX1935" s="66">
        <f>AVERAGE($CB1935,$CC1935,$CM1935,$CE1935,$CP1935)</f>
        <v/>
      </c>
      <c r="DY1935" s="64">
        <f>($DW1935-$DW1936)*100</f>
        <v/>
      </c>
      <c r="DZ1935" s="64">
        <f>($DX1935-$DX1936)*100</f>
        <v/>
      </c>
      <c r="EA1935" s="64">
        <f>($DW1935-$D1935)*100</f>
        <v/>
      </c>
      <c r="EB1935" s="64">
        <f>$Q1935-$O1935</f>
        <v/>
      </c>
      <c r="EC1935" s="67">
        <f>IFERROR($Q1935/$P1935,"")</f>
        <v/>
      </c>
    </row>
    <row r="1936">
      <c r="DG1936" s="64">
        <f>($B1936-$B1937)*100</f>
        <v/>
      </c>
      <c r="DH1936" s="64">
        <f>($D1936-$D1937)*100</f>
        <v/>
      </c>
      <c r="DI1936" s="64">
        <f>($E1936-$E1937)*100</f>
        <v/>
      </c>
      <c r="DJ1936" s="64">
        <f>($H1936-$H1937)*100</f>
        <v/>
      </c>
      <c r="DK1936" s="65">
        <f>IFERROR($J1936/$J1937-1,"")</f>
        <v/>
      </c>
      <c r="DL1936" s="64">
        <f>$L1936-$L1937</f>
        <v/>
      </c>
      <c r="DM1936" s="64">
        <f>$K1936-$K1937</f>
        <v/>
      </c>
      <c r="DN1936" s="65">
        <f>IFERROR($N1936/$N1937-1,"")</f>
        <v/>
      </c>
      <c r="DO1936" s="65">
        <f>IFERROR($M1936/$M1937-1,"")</f>
        <v/>
      </c>
      <c r="DP1936" s="65">
        <f>IFERROR($AZ1936/$AZ1937-1,"")</f>
        <v/>
      </c>
      <c r="DQ1936" s="65">
        <f>IFERROR($BA1936/$BA1937-1,"")</f>
        <v/>
      </c>
      <c r="DR1936" s="64">
        <f>$O1936-$O1937</f>
        <v/>
      </c>
      <c r="DS1936" s="64">
        <f>$P1936-$P1937</f>
        <v/>
      </c>
      <c r="DT1936" s="64">
        <f>$Q1936-$Q1937</f>
        <v/>
      </c>
      <c r="DU1936" s="64">
        <f>$S1936-$S1937</f>
        <v/>
      </c>
      <c r="DV1936" s="65">
        <f>IFERROR(AVERAGE($AA1937/$AA1936-1,$AB1937/$AB1936-1,$AC1937/$AC1936-1,$AD1937/$AD1936-1,$AE1937/$AE1936-1,$AG1937/$AG1936-1,$AH1937/$AH1936-1,$AI1937/$AI1936-1,$AJ1937/$AJ1936-1,$AL1937/$AL1936-1,$AM1937/$AM1936-1,$AR1937/$AR1936-1,$AS1937/$AS1936-1,$AT1937/$AT1936-1,$AU1937/$AU1936-1,$AV1937/$AV1936-1,$AW1937/$AW1936-1,$AX1937/$AX1936-1,$AY1937/$AY1936-1),"")</f>
        <v/>
      </c>
      <c r="DW1936" s="66">
        <f>AVERAGE($CB1936,$CC1936,$CD1936,$CE1936,$CF1936,$CG1936,$CH1936,$CI1936,$CJ1936,$CL1936,$CM1936,$CN1936,$CO1936,$CP1936,$CQ1936,$CR1936,$CS1936,$CT1936)</f>
        <v/>
      </c>
      <c r="DX1936" s="66">
        <f>AVERAGE($CB1936,$CC1936,$CM1936,$CE1936,$CP1936)</f>
        <v/>
      </c>
      <c r="DY1936" s="64">
        <f>($DW1936-$DW1937)*100</f>
        <v/>
      </c>
      <c r="DZ1936" s="64">
        <f>($DX1936-$DX1937)*100</f>
        <v/>
      </c>
      <c r="EA1936" s="64">
        <f>($DW1936-$D1936)*100</f>
        <v/>
      </c>
      <c r="EB1936" s="64">
        <f>$Q1936-$O1936</f>
        <v/>
      </c>
      <c r="EC1936" s="67">
        <f>IFERROR($Q1936/$P1936,"")</f>
        <v/>
      </c>
    </row>
    <row r="1937">
      <c r="DG1937" s="64">
        <f>($B1937-$B1938)*100</f>
        <v/>
      </c>
      <c r="DH1937" s="64">
        <f>($D1937-$D1938)*100</f>
        <v/>
      </c>
      <c r="DI1937" s="64">
        <f>($E1937-$E1938)*100</f>
        <v/>
      </c>
      <c r="DJ1937" s="64">
        <f>($H1937-$H1938)*100</f>
        <v/>
      </c>
      <c r="DK1937" s="65">
        <f>IFERROR($J1937/$J1938-1,"")</f>
        <v/>
      </c>
      <c r="DL1937" s="64">
        <f>$L1937-$L1938</f>
        <v/>
      </c>
      <c r="DM1937" s="64">
        <f>$K1937-$K1938</f>
        <v/>
      </c>
      <c r="DN1937" s="65">
        <f>IFERROR($N1937/$N1938-1,"")</f>
        <v/>
      </c>
      <c r="DO1937" s="65">
        <f>IFERROR($M1937/$M1938-1,"")</f>
        <v/>
      </c>
      <c r="DP1937" s="65">
        <f>IFERROR($AZ1937/$AZ1938-1,"")</f>
        <v/>
      </c>
      <c r="DQ1937" s="65">
        <f>IFERROR($BA1937/$BA1938-1,"")</f>
        <v/>
      </c>
      <c r="DR1937" s="64">
        <f>$O1937-$O1938</f>
        <v/>
      </c>
      <c r="DS1937" s="64">
        <f>$P1937-$P1938</f>
        <v/>
      </c>
      <c r="DT1937" s="64">
        <f>$Q1937-$Q1938</f>
        <v/>
      </c>
      <c r="DU1937" s="64">
        <f>$S1937-$S1938</f>
        <v/>
      </c>
      <c r="DV1937" s="65">
        <f>IFERROR(AVERAGE($AA1938/$AA1937-1,$AB1938/$AB1937-1,$AC1938/$AC1937-1,$AD1938/$AD1937-1,$AE1938/$AE1937-1,$AG1938/$AG1937-1,$AH1938/$AH1937-1,$AI1938/$AI1937-1,$AJ1938/$AJ1937-1,$AL1938/$AL1937-1,$AM1938/$AM1937-1,$AR1938/$AR1937-1,$AS1938/$AS1937-1,$AT1938/$AT1937-1,$AU1938/$AU1937-1,$AV1938/$AV1937-1,$AW1938/$AW1937-1,$AX1938/$AX1937-1,$AY1938/$AY1937-1),"")</f>
        <v/>
      </c>
      <c r="DW1937" s="66">
        <f>AVERAGE($CB1937,$CC1937,$CD1937,$CE1937,$CF1937,$CG1937,$CH1937,$CI1937,$CJ1937,$CL1937,$CM1937,$CN1937,$CO1937,$CP1937,$CQ1937,$CR1937,$CS1937,$CT1937)</f>
        <v/>
      </c>
      <c r="DX1937" s="66">
        <f>AVERAGE($CB1937,$CC1937,$CM1937,$CE1937,$CP1937)</f>
        <v/>
      </c>
      <c r="DY1937" s="64">
        <f>($DW1937-$DW1938)*100</f>
        <v/>
      </c>
      <c r="DZ1937" s="64">
        <f>($DX1937-$DX1938)*100</f>
        <v/>
      </c>
      <c r="EA1937" s="64">
        <f>($DW1937-$D1937)*100</f>
        <v/>
      </c>
      <c r="EB1937" s="64">
        <f>$Q1937-$O1937</f>
        <v/>
      </c>
      <c r="EC1937" s="67">
        <f>IFERROR($Q1937/$P1937,"")</f>
        <v/>
      </c>
    </row>
    <row r="1938">
      <c r="DG1938" s="64">
        <f>($B1938-$B1939)*100</f>
        <v/>
      </c>
      <c r="DH1938" s="64">
        <f>($D1938-$D1939)*100</f>
        <v/>
      </c>
      <c r="DI1938" s="64">
        <f>($E1938-$E1939)*100</f>
        <v/>
      </c>
      <c r="DJ1938" s="64">
        <f>($H1938-$H1939)*100</f>
        <v/>
      </c>
      <c r="DK1938" s="65">
        <f>IFERROR($J1938/$J1939-1,"")</f>
        <v/>
      </c>
      <c r="DL1938" s="64">
        <f>$L1938-$L1939</f>
        <v/>
      </c>
      <c r="DM1938" s="64">
        <f>$K1938-$K1939</f>
        <v/>
      </c>
      <c r="DN1938" s="65">
        <f>IFERROR($N1938/$N1939-1,"")</f>
        <v/>
      </c>
      <c r="DO1938" s="65">
        <f>IFERROR($M1938/$M1939-1,"")</f>
        <v/>
      </c>
      <c r="DP1938" s="65">
        <f>IFERROR($AZ1938/$AZ1939-1,"")</f>
        <v/>
      </c>
      <c r="DQ1938" s="65">
        <f>IFERROR($BA1938/$BA1939-1,"")</f>
        <v/>
      </c>
      <c r="DR1938" s="64">
        <f>$O1938-$O1939</f>
        <v/>
      </c>
      <c r="DS1938" s="64">
        <f>$P1938-$P1939</f>
        <v/>
      </c>
      <c r="DT1938" s="64">
        <f>$Q1938-$Q1939</f>
        <v/>
      </c>
      <c r="DU1938" s="64">
        <f>$S1938-$S1939</f>
        <v/>
      </c>
      <c r="DV1938" s="65">
        <f>IFERROR(AVERAGE($AA1939/$AA1938-1,$AB1939/$AB1938-1,$AC1939/$AC1938-1,$AD1939/$AD1938-1,$AE1939/$AE1938-1,$AG1939/$AG1938-1,$AH1939/$AH1938-1,$AI1939/$AI1938-1,$AJ1939/$AJ1938-1,$AL1939/$AL1938-1,$AM1939/$AM1938-1,$AR1939/$AR1938-1,$AS1939/$AS1938-1,$AT1939/$AT1938-1,$AU1939/$AU1938-1,$AV1939/$AV1938-1,$AW1939/$AW1938-1,$AX1939/$AX1938-1,$AY1939/$AY1938-1),"")</f>
        <v/>
      </c>
      <c r="DW1938" s="66">
        <f>AVERAGE($CB1938,$CC1938,$CD1938,$CE1938,$CF1938,$CG1938,$CH1938,$CI1938,$CJ1938,$CL1938,$CM1938,$CN1938,$CO1938,$CP1938,$CQ1938,$CR1938,$CS1938,$CT1938)</f>
        <v/>
      </c>
      <c r="DX1938" s="66">
        <f>AVERAGE($CB1938,$CC1938,$CM1938,$CE1938,$CP1938)</f>
        <v/>
      </c>
      <c r="DY1938" s="64">
        <f>($DW1938-$DW1939)*100</f>
        <v/>
      </c>
      <c r="DZ1938" s="64">
        <f>($DX1938-$DX1939)*100</f>
        <v/>
      </c>
      <c r="EA1938" s="64">
        <f>($DW1938-$D1938)*100</f>
        <v/>
      </c>
      <c r="EB1938" s="64">
        <f>$Q1938-$O1938</f>
        <v/>
      </c>
      <c r="EC1938" s="67">
        <f>IFERROR($Q1938/$P1938,"")</f>
        <v/>
      </c>
    </row>
    <row r="1939">
      <c r="DG1939" s="64">
        <f>($B1939-$B1940)*100</f>
        <v/>
      </c>
      <c r="DH1939" s="64">
        <f>($D1939-$D1940)*100</f>
        <v/>
      </c>
      <c r="DI1939" s="64">
        <f>($E1939-$E1940)*100</f>
        <v/>
      </c>
      <c r="DJ1939" s="64">
        <f>($H1939-$H1940)*100</f>
        <v/>
      </c>
      <c r="DK1939" s="65">
        <f>IFERROR($J1939/$J1940-1,"")</f>
        <v/>
      </c>
      <c r="DL1939" s="64">
        <f>$L1939-$L1940</f>
        <v/>
      </c>
      <c r="DM1939" s="64">
        <f>$K1939-$K1940</f>
        <v/>
      </c>
      <c r="DN1939" s="65">
        <f>IFERROR($N1939/$N1940-1,"")</f>
        <v/>
      </c>
      <c r="DO1939" s="65">
        <f>IFERROR($M1939/$M1940-1,"")</f>
        <v/>
      </c>
      <c r="DP1939" s="65">
        <f>IFERROR($AZ1939/$AZ1940-1,"")</f>
        <v/>
      </c>
      <c r="DQ1939" s="65">
        <f>IFERROR($BA1939/$BA1940-1,"")</f>
        <v/>
      </c>
      <c r="DR1939" s="64">
        <f>$O1939-$O1940</f>
        <v/>
      </c>
      <c r="DS1939" s="64">
        <f>$P1939-$P1940</f>
        <v/>
      </c>
      <c r="DT1939" s="64">
        <f>$Q1939-$Q1940</f>
        <v/>
      </c>
      <c r="DU1939" s="64">
        <f>$S1939-$S1940</f>
        <v/>
      </c>
      <c r="DV1939" s="65">
        <f>IFERROR(AVERAGE($AA1940/$AA1939-1,$AB1940/$AB1939-1,$AC1940/$AC1939-1,$AD1940/$AD1939-1,$AE1940/$AE1939-1,$AG1940/$AG1939-1,$AH1940/$AH1939-1,$AI1940/$AI1939-1,$AJ1940/$AJ1939-1,$AL1940/$AL1939-1,$AM1940/$AM1939-1,$AR1940/$AR1939-1,$AS1940/$AS1939-1,$AT1940/$AT1939-1,$AU1940/$AU1939-1,$AV1940/$AV1939-1,$AW1940/$AW1939-1,$AX1940/$AX1939-1,$AY1940/$AY1939-1),"")</f>
        <v/>
      </c>
      <c r="DW1939" s="66">
        <f>AVERAGE($CB1939,$CC1939,$CD1939,$CE1939,$CF1939,$CG1939,$CH1939,$CI1939,$CJ1939,$CL1939,$CM1939,$CN1939,$CO1939,$CP1939,$CQ1939,$CR1939,$CS1939,$CT1939)</f>
        <v/>
      </c>
      <c r="DX1939" s="66">
        <f>AVERAGE($CB1939,$CC1939,$CM1939,$CE1939,$CP1939)</f>
        <v/>
      </c>
      <c r="DY1939" s="64">
        <f>($DW1939-$DW1940)*100</f>
        <v/>
      </c>
      <c r="DZ1939" s="64">
        <f>($DX1939-$DX1940)*100</f>
        <v/>
      </c>
      <c r="EA1939" s="64">
        <f>($DW1939-$D1939)*100</f>
        <v/>
      </c>
      <c r="EB1939" s="64">
        <f>$Q1939-$O1939</f>
        <v/>
      </c>
      <c r="EC1939" s="67">
        <f>IFERROR($Q1939/$P1939,"")</f>
        <v/>
      </c>
    </row>
    <row r="1940">
      <c r="DG1940" s="64">
        <f>($B1940-$B1941)*100</f>
        <v/>
      </c>
      <c r="DH1940" s="64">
        <f>($D1940-$D1941)*100</f>
        <v/>
      </c>
      <c r="DI1940" s="64">
        <f>($E1940-$E1941)*100</f>
        <v/>
      </c>
      <c r="DJ1940" s="64">
        <f>($H1940-$H1941)*100</f>
        <v/>
      </c>
      <c r="DK1940" s="65">
        <f>IFERROR($J1940/$J1941-1,"")</f>
        <v/>
      </c>
      <c r="DL1940" s="64">
        <f>$L1940-$L1941</f>
        <v/>
      </c>
      <c r="DM1940" s="64">
        <f>$K1940-$K1941</f>
        <v/>
      </c>
      <c r="DN1940" s="65">
        <f>IFERROR($N1940/$N1941-1,"")</f>
        <v/>
      </c>
      <c r="DO1940" s="65">
        <f>IFERROR($M1940/$M1941-1,"")</f>
        <v/>
      </c>
      <c r="DP1940" s="65">
        <f>IFERROR($AZ1940/$AZ1941-1,"")</f>
        <v/>
      </c>
      <c r="DQ1940" s="65">
        <f>IFERROR($BA1940/$BA1941-1,"")</f>
        <v/>
      </c>
      <c r="DR1940" s="64">
        <f>$O1940-$O1941</f>
        <v/>
      </c>
      <c r="DS1940" s="64">
        <f>$P1940-$P1941</f>
        <v/>
      </c>
      <c r="DT1940" s="64">
        <f>$Q1940-$Q1941</f>
        <v/>
      </c>
      <c r="DU1940" s="64">
        <f>$S1940-$S1941</f>
        <v/>
      </c>
      <c r="DV1940" s="65">
        <f>IFERROR(AVERAGE($AA1941/$AA1940-1,$AB1941/$AB1940-1,$AC1941/$AC1940-1,$AD1941/$AD1940-1,$AE1941/$AE1940-1,$AG1941/$AG1940-1,$AH1941/$AH1940-1,$AI1941/$AI1940-1,$AJ1941/$AJ1940-1,$AL1941/$AL1940-1,$AM1941/$AM1940-1,$AR1941/$AR1940-1,$AS1941/$AS1940-1,$AT1941/$AT1940-1,$AU1941/$AU1940-1,$AV1941/$AV1940-1,$AW1941/$AW1940-1,$AX1941/$AX1940-1,$AY1941/$AY1940-1),"")</f>
        <v/>
      </c>
      <c r="DW1940" s="66">
        <f>AVERAGE($CB1940,$CC1940,$CD1940,$CE1940,$CF1940,$CG1940,$CH1940,$CI1940,$CJ1940,$CL1940,$CM1940,$CN1940,$CO1940,$CP1940,$CQ1940,$CR1940,$CS1940,$CT1940)</f>
        <v/>
      </c>
      <c r="DX1940" s="66">
        <f>AVERAGE($CB1940,$CC1940,$CM1940,$CE1940,$CP1940)</f>
        <v/>
      </c>
      <c r="DY1940" s="64">
        <f>($DW1940-$DW1941)*100</f>
        <v/>
      </c>
      <c r="DZ1940" s="64">
        <f>($DX1940-$DX1941)*100</f>
        <v/>
      </c>
      <c r="EA1940" s="64">
        <f>($DW1940-$D1940)*100</f>
        <v/>
      </c>
      <c r="EB1940" s="64">
        <f>$Q1940-$O1940</f>
        <v/>
      </c>
      <c r="EC1940" s="67">
        <f>IFERROR($Q1940/$P1940,"")</f>
        <v/>
      </c>
    </row>
    <row r="1941">
      <c r="DG1941" s="64">
        <f>($B1941-$B1942)*100</f>
        <v/>
      </c>
      <c r="DH1941" s="64">
        <f>($D1941-$D1942)*100</f>
        <v/>
      </c>
      <c r="DI1941" s="64">
        <f>($E1941-$E1942)*100</f>
        <v/>
      </c>
      <c r="DJ1941" s="64">
        <f>($H1941-$H1942)*100</f>
        <v/>
      </c>
      <c r="DK1941" s="65">
        <f>IFERROR($J1941/$J1942-1,"")</f>
        <v/>
      </c>
      <c r="DL1941" s="64">
        <f>$L1941-$L1942</f>
        <v/>
      </c>
      <c r="DM1941" s="64">
        <f>$K1941-$K1942</f>
        <v/>
      </c>
      <c r="DN1941" s="65">
        <f>IFERROR($N1941/$N1942-1,"")</f>
        <v/>
      </c>
      <c r="DO1941" s="65">
        <f>IFERROR($M1941/$M1942-1,"")</f>
        <v/>
      </c>
      <c r="DP1941" s="65">
        <f>IFERROR($AZ1941/$AZ1942-1,"")</f>
        <v/>
      </c>
      <c r="DQ1941" s="65">
        <f>IFERROR($BA1941/$BA1942-1,"")</f>
        <v/>
      </c>
      <c r="DR1941" s="64">
        <f>$O1941-$O1942</f>
        <v/>
      </c>
      <c r="DS1941" s="64">
        <f>$P1941-$P1942</f>
        <v/>
      </c>
      <c r="DT1941" s="64">
        <f>$Q1941-$Q1942</f>
        <v/>
      </c>
      <c r="DU1941" s="64">
        <f>$S1941-$S1942</f>
        <v/>
      </c>
      <c r="DV1941" s="65">
        <f>IFERROR(AVERAGE($AA1942/$AA1941-1,$AB1942/$AB1941-1,$AC1942/$AC1941-1,$AD1942/$AD1941-1,$AE1942/$AE1941-1,$AG1942/$AG1941-1,$AH1942/$AH1941-1,$AI1942/$AI1941-1,$AJ1942/$AJ1941-1,$AL1942/$AL1941-1,$AM1942/$AM1941-1,$AR1942/$AR1941-1,$AS1942/$AS1941-1,$AT1942/$AT1941-1,$AU1942/$AU1941-1,$AV1942/$AV1941-1,$AW1942/$AW1941-1,$AX1942/$AX1941-1,$AY1942/$AY1941-1),"")</f>
        <v/>
      </c>
      <c r="DW1941" s="66">
        <f>AVERAGE($CB1941,$CC1941,$CD1941,$CE1941,$CF1941,$CG1941,$CH1941,$CI1941,$CJ1941,$CL1941,$CM1941,$CN1941,$CO1941,$CP1941,$CQ1941,$CR1941,$CS1941,$CT1941)</f>
        <v/>
      </c>
      <c r="DX1941" s="66">
        <f>AVERAGE($CB1941,$CC1941,$CM1941,$CE1941,$CP1941)</f>
        <v/>
      </c>
      <c r="DY1941" s="64">
        <f>($DW1941-$DW1942)*100</f>
        <v/>
      </c>
      <c r="DZ1941" s="64">
        <f>($DX1941-$DX1942)*100</f>
        <v/>
      </c>
      <c r="EA1941" s="64">
        <f>($DW1941-$D1941)*100</f>
        <v/>
      </c>
      <c r="EB1941" s="64">
        <f>$Q1941-$O1941</f>
        <v/>
      </c>
      <c r="EC1941" s="67">
        <f>IFERROR($Q1941/$P1941,"")</f>
        <v/>
      </c>
    </row>
    <row r="1942">
      <c r="DG1942" s="64">
        <f>($B1942-$B1943)*100</f>
        <v/>
      </c>
      <c r="DH1942" s="64">
        <f>($D1942-$D1943)*100</f>
        <v/>
      </c>
      <c r="DI1942" s="64">
        <f>($E1942-$E1943)*100</f>
        <v/>
      </c>
      <c r="DJ1942" s="64">
        <f>($H1942-$H1943)*100</f>
        <v/>
      </c>
      <c r="DK1942" s="65">
        <f>IFERROR($J1942/$J1943-1,"")</f>
        <v/>
      </c>
      <c r="DL1942" s="64">
        <f>$L1942-$L1943</f>
        <v/>
      </c>
      <c r="DM1942" s="64">
        <f>$K1942-$K1943</f>
        <v/>
      </c>
      <c r="DN1942" s="65">
        <f>IFERROR($N1942/$N1943-1,"")</f>
        <v/>
      </c>
      <c r="DO1942" s="65">
        <f>IFERROR($M1942/$M1943-1,"")</f>
        <v/>
      </c>
      <c r="DP1942" s="65">
        <f>IFERROR($AZ1942/$AZ1943-1,"")</f>
        <v/>
      </c>
      <c r="DQ1942" s="65">
        <f>IFERROR($BA1942/$BA1943-1,"")</f>
        <v/>
      </c>
      <c r="DR1942" s="64">
        <f>$O1942-$O1943</f>
        <v/>
      </c>
      <c r="DS1942" s="64">
        <f>$P1942-$P1943</f>
        <v/>
      </c>
      <c r="DT1942" s="64">
        <f>$Q1942-$Q1943</f>
        <v/>
      </c>
      <c r="DU1942" s="64">
        <f>$S1942-$S1943</f>
        <v/>
      </c>
      <c r="DV1942" s="65">
        <f>IFERROR(AVERAGE($AA1943/$AA1942-1,$AB1943/$AB1942-1,$AC1943/$AC1942-1,$AD1943/$AD1942-1,$AE1943/$AE1942-1,$AG1943/$AG1942-1,$AH1943/$AH1942-1,$AI1943/$AI1942-1,$AJ1943/$AJ1942-1,$AL1943/$AL1942-1,$AM1943/$AM1942-1,$AR1943/$AR1942-1,$AS1943/$AS1942-1,$AT1943/$AT1942-1,$AU1943/$AU1942-1,$AV1943/$AV1942-1,$AW1943/$AW1942-1,$AX1943/$AX1942-1,$AY1943/$AY1942-1),"")</f>
        <v/>
      </c>
      <c r="DW1942" s="66">
        <f>AVERAGE($CB1942,$CC1942,$CD1942,$CE1942,$CF1942,$CG1942,$CH1942,$CI1942,$CJ1942,$CL1942,$CM1942,$CN1942,$CO1942,$CP1942,$CQ1942,$CR1942,$CS1942,$CT1942)</f>
        <v/>
      </c>
      <c r="DX1942" s="66">
        <f>AVERAGE($CB1942,$CC1942,$CM1942,$CE1942,$CP1942)</f>
        <v/>
      </c>
      <c r="DY1942" s="64">
        <f>($DW1942-$DW1943)*100</f>
        <v/>
      </c>
      <c r="DZ1942" s="64">
        <f>($DX1942-$DX1943)*100</f>
        <v/>
      </c>
      <c r="EA1942" s="64">
        <f>($DW1942-$D1942)*100</f>
        <v/>
      </c>
      <c r="EB1942" s="64">
        <f>$Q1942-$O1942</f>
        <v/>
      </c>
      <c r="EC1942" s="67">
        <f>IFERROR($Q1942/$P1942,"")</f>
        <v/>
      </c>
    </row>
    <row r="1943">
      <c r="DG1943" s="64">
        <f>($B1943-$B1944)*100</f>
        <v/>
      </c>
      <c r="DH1943" s="64">
        <f>($D1943-$D1944)*100</f>
        <v/>
      </c>
      <c r="DI1943" s="64">
        <f>($E1943-$E1944)*100</f>
        <v/>
      </c>
      <c r="DJ1943" s="64">
        <f>($H1943-$H1944)*100</f>
        <v/>
      </c>
      <c r="DK1943" s="65">
        <f>IFERROR($J1943/$J1944-1,"")</f>
        <v/>
      </c>
      <c r="DL1943" s="64">
        <f>$L1943-$L1944</f>
        <v/>
      </c>
      <c r="DM1943" s="64">
        <f>$K1943-$K1944</f>
        <v/>
      </c>
      <c r="DN1943" s="65">
        <f>IFERROR($N1943/$N1944-1,"")</f>
        <v/>
      </c>
      <c r="DO1943" s="65">
        <f>IFERROR($M1943/$M1944-1,"")</f>
        <v/>
      </c>
      <c r="DP1943" s="65">
        <f>IFERROR($AZ1943/$AZ1944-1,"")</f>
        <v/>
      </c>
      <c r="DQ1943" s="65">
        <f>IFERROR($BA1943/$BA1944-1,"")</f>
        <v/>
      </c>
      <c r="DR1943" s="64">
        <f>$O1943-$O1944</f>
        <v/>
      </c>
      <c r="DS1943" s="64">
        <f>$P1943-$P1944</f>
        <v/>
      </c>
      <c r="DT1943" s="64">
        <f>$Q1943-$Q1944</f>
        <v/>
      </c>
      <c r="DU1943" s="64">
        <f>$S1943-$S1944</f>
        <v/>
      </c>
      <c r="DV1943" s="65">
        <f>IFERROR(AVERAGE($AA1944/$AA1943-1,$AB1944/$AB1943-1,$AC1944/$AC1943-1,$AD1944/$AD1943-1,$AE1944/$AE1943-1,$AG1944/$AG1943-1,$AH1944/$AH1943-1,$AI1944/$AI1943-1,$AJ1944/$AJ1943-1,$AL1944/$AL1943-1,$AM1944/$AM1943-1,$AR1944/$AR1943-1,$AS1944/$AS1943-1,$AT1944/$AT1943-1,$AU1944/$AU1943-1,$AV1944/$AV1943-1,$AW1944/$AW1943-1,$AX1944/$AX1943-1,$AY1944/$AY1943-1),"")</f>
        <v/>
      </c>
      <c r="DW1943" s="66">
        <f>AVERAGE($CB1943,$CC1943,$CD1943,$CE1943,$CF1943,$CG1943,$CH1943,$CI1943,$CJ1943,$CL1943,$CM1943,$CN1943,$CO1943,$CP1943,$CQ1943,$CR1943,$CS1943,$CT1943)</f>
        <v/>
      </c>
      <c r="DX1943" s="66">
        <f>AVERAGE($CB1943,$CC1943,$CM1943,$CE1943,$CP1943)</f>
        <v/>
      </c>
      <c r="DY1943" s="64">
        <f>($DW1943-$DW1944)*100</f>
        <v/>
      </c>
      <c r="DZ1943" s="64">
        <f>($DX1943-$DX1944)*100</f>
        <v/>
      </c>
      <c r="EA1943" s="64">
        <f>($DW1943-$D1943)*100</f>
        <v/>
      </c>
      <c r="EB1943" s="64">
        <f>$Q1943-$O1943</f>
        <v/>
      </c>
      <c r="EC1943" s="67">
        <f>IFERROR($Q1943/$P1943,"")</f>
        <v/>
      </c>
    </row>
    <row r="1944">
      <c r="DG1944" s="64">
        <f>($B1944-$B1945)*100</f>
        <v/>
      </c>
      <c r="DH1944" s="64">
        <f>($D1944-$D1945)*100</f>
        <v/>
      </c>
      <c r="DI1944" s="64">
        <f>($E1944-$E1945)*100</f>
        <v/>
      </c>
      <c r="DJ1944" s="64">
        <f>($H1944-$H1945)*100</f>
        <v/>
      </c>
      <c r="DK1944" s="65">
        <f>IFERROR($J1944/$J1945-1,"")</f>
        <v/>
      </c>
      <c r="DL1944" s="64">
        <f>$L1944-$L1945</f>
        <v/>
      </c>
      <c r="DM1944" s="64">
        <f>$K1944-$K1945</f>
        <v/>
      </c>
      <c r="DN1944" s="65">
        <f>IFERROR($N1944/$N1945-1,"")</f>
        <v/>
      </c>
      <c r="DO1944" s="65">
        <f>IFERROR($M1944/$M1945-1,"")</f>
        <v/>
      </c>
      <c r="DP1944" s="65">
        <f>IFERROR($AZ1944/$AZ1945-1,"")</f>
        <v/>
      </c>
      <c r="DQ1944" s="65">
        <f>IFERROR($BA1944/$BA1945-1,"")</f>
        <v/>
      </c>
      <c r="DR1944" s="64">
        <f>$O1944-$O1945</f>
        <v/>
      </c>
      <c r="DS1944" s="64">
        <f>$P1944-$P1945</f>
        <v/>
      </c>
      <c r="DT1944" s="64">
        <f>$Q1944-$Q1945</f>
        <v/>
      </c>
      <c r="DU1944" s="64">
        <f>$S1944-$S1945</f>
        <v/>
      </c>
      <c r="DV1944" s="65">
        <f>IFERROR(AVERAGE($AA1945/$AA1944-1,$AB1945/$AB1944-1,$AC1945/$AC1944-1,$AD1945/$AD1944-1,$AE1945/$AE1944-1,$AG1945/$AG1944-1,$AH1945/$AH1944-1,$AI1945/$AI1944-1,$AJ1945/$AJ1944-1,$AL1945/$AL1944-1,$AM1945/$AM1944-1,$AR1945/$AR1944-1,$AS1945/$AS1944-1,$AT1945/$AT1944-1,$AU1945/$AU1944-1,$AV1945/$AV1944-1,$AW1945/$AW1944-1,$AX1945/$AX1944-1,$AY1945/$AY1944-1),"")</f>
        <v/>
      </c>
      <c r="DW1944" s="66">
        <f>AVERAGE($CB1944,$CC1944,$CD1944,$CE1944,$CF1944,$CG1944,$CH1944,$CI1944,$CJ1944,$CL1944,$CM1944,$CN1944,$CO1944,$CP1944,$CQ1944,$CR1944,$CS1944,$CT1944)</f>
        <v/>
      </c>
      <c r="DX1944" s="66">
        <f>AVERAGE($CB1944,$CC1944,$CM1944,$CE1944,$CP1944)</f>
        <v/>
      </c>
      <c r="DY1944" s="64">
        <f>($DW1944-$DW1945)*100</f>
        <v/>
      </c>
      <c r="DZ1944" s="64">
        <f>($DX1944-$DX1945)*100</f>
        <v/>
      </c>
      <c r="EA1944" s="64">
        <f>($DW1944-$D1944)*100</f>
        <v/>
      </c>
      <c r="EB1944" s="64">
        <f>$Q1944-$O1944</f>
        <v/>
      </c>
      <c r="EC1944" s="67">
        <f>IFERROR($Q1944/$P1944,"")</f>
        <v/>
      </c>
    </row>
    <row r="1945">
      <c r="DG1945" s="64">
        <f>($B1945-$B1946)*100</f>
        <v/>
      </c>
      <c r="DH1945" s="64">
        <f>($D1945-$D1946)*100</f>
        <v/>
      </c>
      <c r="DI1945" s="64">
        <f>($E1945-$E1946)*100</f>
        <v/>
      </c>
      <c r="DJ1945" s="64">
        <f>($H1945-$H1946)*100</f>
        <v/>
      </c>
      <c r="DK1945" s="65">
        <f>IFERROR($J1945/$J1946-1,"")</f>
        <v/>
      </c>
      <c r="DL1945" s="64">
        <f>$L1945-$L1946</f>
        <v/>
      </c>
      <c r="DM1945" s="64">
        <f>$K1945-$K1946</f>
        <v/>
      </c>
      <c r="DN1945" s="65">
        <f>IFERROR($N1945/$N1946-1,"")</f>
        <v/>
      </c>
      <c r="DO1945" s="65">
        <f>IFERROR($M1945/$M1946-1,"")</f>
        <v/>
      </c>
      <c r="DP1945" s="65">
        <f>IFERROR($AZ1945/$AZ1946-1,"")</f>
        <v/>
      </c>
      <c r="DQ1945" s="65">
        <f>IFERROR($BA1945/$BA1946-1,"")</f>
        <v/>
      </c>
      <c r="DR1945" s="64">
        <f>$O1945-$O1946</f>
        <v/>
      </c>
      <c r="DS1945" s="64">
        <f>$P1945-$P1946</f>
        <v/>
      </c>
      <c r="DT1945" s="64">
        <f>$Q1945-$Q1946</f>
        <v/>
      </c>
      <c r="DU1945" s="64">
        <f>$S1945-$S1946</f>
        <v/>
      </c>
      <c r="DV1945" s="65">
        <f>IFERROR(AVERAGE($AA1946/$AA1945-1,$AB1946/$AB1945-1,$AC1946/$AC1945-1,$AD1946/$AD1945-1,$AE1946/$AE1945-1,$AG1946/$AG1945-1,$AH1946/$AH1945-1,$AI1946/$AI1945-1,$AJ1946/$AJ1945-1,$AL1946/$AL1945-1,$AM1946/$AM1945-1,$AR1946/$AR1945-1,$AS1946/$AS1945-1,$AT1946/$AT1945-1,$AU1946/$AU1945-1,$AV1946/$AV1945-1,$AW1946/$AW1945-1,$AX1946/$AX1945-1,$AY1946/$AY1945-1),"")</f>
        <v/>
      </c>
      <c r="DW1945" s="66">
        <f>AVERAGE($CB1945,$CC1945,$CD1945,$CE1945,$CF1945,$CG1945,$CH1945,$CI1945,$CJ1945,$CL1945,$CM1945,$CN1945,$CO1945,$CP1945,$CQ1945,$CR1945,$CS1945,$CT1945)</f>
        <v/>
      </c>
      <c r="DX1945" s="66">
        <f>AVERAGE($CB1945,$CC1945,$CM1945,$CE1945,$CP1945)</f>
        <v/>
      </c>
      <c r="DY1945" s="64">
        <f>($DW1945-$DW1946)*100</f>
        <v/>
      </c>
      <c r="DZ1945" s="64">
        <f>($DX1945-$DX1946)*100</f>
        <v/>
      </c>
      <c r="EA1945" s="64">
        <f>($DW1945-$D1945)*100</f>
        <v/>
      </c>
      <c r="EB1945" s="64">
        <f>$Q1945-$O1945</f>
        <v/>
      </c>
      <c r="EC1945" s="67">
        <f>IFERROR($Q1945/$P1945,"")</f>
        <v/>
      </c>
    </row>
    <row r="1946">
      <c r="DG1946" s="64">
        <f>($B1946-$B1947)*100</f>
        <v/>
      </c>
      <c r="DH1946" s="64">
        <f>($D1946-$D1947)*100</f>
        <v/>
      </c>
      <c r="DI1946" s="64">
        <f>($E1946-$E1947)*100</f>
        <v/>
      </c>
      <c r="DJ1946" s="64">
        <f>($H1946-$H1947)*100</f>
        <v/>
      </c>
      <c r="DK1946" s="65">
        <f>IFERROR($J1946/$J1947-1,"")</f>
        <v/>
      </c>
      <c r="DL1946" s="64">
        <f>$L1946-$L1947</f>
        <v/>
      </c>
      <c r="DM1946" s="64">
        <f>$K1946-$K1947</f>
        <v/>
      </c>
      <c r="DN1946" s="65">
        <f>IFERROR($N1946/$N1947-1,"")</f>
        <v/>
      </c>
      <c r="DO1946" s="65">
        <f>IFERROR($M1946/$M1947-1,"")</f>
        <v/>
      </c>
      <c r="DP1946" s="65">
        <f>IFERROR($AZ1946/$AZ1947-1,"")</f>
        <v/>
      </c>
      <c r="DQ1946" s="65">
        <f>IFERROR($BA1946/$BA1947-1,"")</f>
        <v/>
      </c>
      <c r="DR1946" s="64">
        <f>$O1946-$O1947</f>
        <v/>
      </c>
      <c r="DS1946" s="64">
        <f>$P1946-$P1947</f>
        <v/>
      </c>
      <c r="DT1946" s="64">
        <f>$Q1946-$Q1947</f>
        <v/>
      </c>
      <c r="DU1946" s="64">
        <f>$S1946-$S1947</f>
        <v/>
      </c>
      <c r="DV1946" s="65">
        <f>IFERROR(AVERAGE($AA1947/$AA1946-1,$AB1947/$AB1946-1,$AC1947/$AC1946-1,$AD1947/$AD1946-1,$AE1947/$AE1946-1,$AG1947/$AG1946-1,$AH1947/$AH1946-1,$AI1947/$AI1946-1,$AJ1947/$AJ1946-1,$AL1947/$AL1946-1,$AM1947/$AM1946-1,$AR1947/$AR1946-1,$AS1947/$AS1946-1,$AT1947/$AT1946-1,$AU1947/$AU1946-1,$AV1947/$AV1946-1,$AW1947/$AW1946-1,$AX1947/$AX1946-1,$AY1947/$AY1946-1),"")</f>
        <v/>
      </c>
      <c r="DW1946" s="66">
        <f>AVERAGE($CB1946,$CC1946,$CD1946,$CE1946,$CF1946,$CG1946,$CH1946,$CI1946,$CJ1946,$CL1946,$CM1946,$CN1946,$CO1946,$CP1946,$CQ1946,$CR1946,$CS1946,$CT1946)</f>
        <v/>
      </c>
      <c r="DX1946" s="66">
        <f>AVERAGE($CB1946,$CC1946,$CM1946,$CE1946,$CP1946)</f>
        <v/>
      </c>
      <c r="DY1946" s="64">
        <f>($DW1946-$DW1947)*100</f>
        <v/>
      </c>
      <c r="DZ1946" s="64">
        <f>($DX1946-$DX1947)*100</f>
        <v/>
      </c>
      <c r="EA1946" s="64">
        <f>($DW1946-$D1946)*100</f>
        <v/>
      </c>
      <c r="EB1946" s="64">
        <f>$Q1946-$O1946</f>
        <v/>
      </c>
      <c r="EC1946" s="67">
        <f>IFERROR($Q1946/$P1946,"")</f>
        <v/>
      </c>
    </row>
    <row r="1947">
      <c r="DG1947" s="64">
        <f>($B1947-$B1948)*100</f>
        <v/>
      </c>
      <c r="DH1947" s="64">
        <f>($D1947-$D1948)*100</f>
        <v/>
      </c>
      <c r="DI1947" s="64">
        <f>($E1947-$E1948)*100</f>
        <v/>
      </c>
      <c r="DJ1947" s="64">
        <f>($H1947-$H1948)*100</f>
        <v/>
      </c>
      <c r="DK1947" s="65">
        <f>IFERROR($J1947/$J1948-1,"")</f>
        <v/>
      </c>
      <c r="DL1947" s="64">
        <f>$L1947-$L1948</f>
        <v/>
      </c>
      <c r="DM1947" s="64">
        <f>$K1947-$K1948</f>
        <v/>
      </c>
      <c r="DN1947" s="65">
        <f>IFERROR($N1947/$N1948-1,"")</f>
        <v/>
      </c>
      <c r="DO1947" s="65">
        <f>IFERROR($M1947/$M1948-1,"")</f>
        <v/>
      </c>
      <c r="DP1947" s="65">
        <f>IFERROR($AZ1947/$AZ1948-1,"")</f>
        <v/>
      </c>
      <c r="DQ1947" s="65">
        <f>IFERROR($BA1947/$BA1948-1,"")</f>
        <v/>
      </c>
      <c r="DR1947" s="64">
        <f>$O1947-$O1948</f>
        <v/>
      </c>
      <c r="DS1947" s="64">
        <f>$P1947-$P1948</f>
        <v/>
      </c>
      <c r="DT1947" s="64">
        <f>$Q1947-$Q1948</f>
        <v/>
      </c>
      <c r="DU1947" s="64">
        <f>$S1947-$S1948</f>
        <v/>
      </c>
      <c r="DV1947" s="65">
        <f>IFERROR(AVERAGE($AA1948/$AA1947-1,$AB1948/$AB1947-1,$AC1948/$AC1947-1,$AD1948/$AD1947-1,$AE1948/$AE1947-1,$AG1948/$AG1947-1,$AH1948/$AH1947-1,$AI1948/$AI1947-1,$AJ1948/$AJ1947-1,$AL1948/$AL1947-1,$AM1948/$AM1947-1,$AR1948/$AR1947-1,$AS1948/$AS1947-1,$AT1948/$AT1947-1,$AU1948/$AU1947-1,$AV1948/$AV1947-1,$AW1948/$AW1947-1,$AX1948/$AX1947-1,$AY1948/$AY1947-1),"")</f>
        <v/>
      </c>
      <c r="DW1947" s="66">
        <f>AVERAGE($CB1947,$CC1947,$CD1947,$CE1947,$CF1947,$CG1947,$CH1947,$CI1947,$CJ1947,$CL1947,$CM1947,$CN1947,$CO1947,$CP1947,$CQ1947,$CR1947,$CS1947,$CT1947)</f>
        <v/>
      </c>
      <c r="DX1947" s="66">
        <f>AVERAGE($CB1947,$CC1947,$CM1947,$CE1947,$CP1947)</f>
        <v/>
      </c>
      <c r="DY1947" s="64">
        <f>($DW1947-$DW1948)*100</f>
        <v/>
      </c>
      <c r="DZ1947" s="64">
        <f>($DX1947-$DX1948)*100</f>
        <v/>
      </c>
      <c r="EA1947" s="64">
        <f>($DW1947-$D1947)*100</f>
        <v/>
      </c>
      <c r="EB1947" s="64">
        <f>$Q1947-$O1947</f>
        <v/>
      </c>
      <c r="EC1947" s="67">
        <f>IFERROR($Q1947/$P1947,"")</f>
        <v/>
      </c>
    </row>
    <row r="1948">
      <c r="DG1948" s="64">
        <f>($B1948-$B1949)*100</f>
        <v/>
      </c>
      <c r="DH1948" s="64">
        <f>($D1948-$D1949)*100</f>
        <v/>
      </c>
      <c r="DI1948" s="64">
        <f>($E1948-$E1949)*100</f>
        <v/>
      </c>
      <c r="DJ1948" s="64">
        <f>($H1948-$H1949)*100</f>
        <v/>
      </c>
      <c r="DK1948" s="65">
        <f>IFERROR($J1948/$J1949-1,"")</f>
        <v/>
      </c>
      <c r="DL1948" s="64">
        <f>$L1948-$L1949</f>
        <v/>
      </c>
      <c r="DM1948" s="64">
        <f>$K1948-$K1949</f>
        <v/>
      </c>
      <c r="DN1948" s="65">
        <f>IFERROR($N1948/$N1949-1,"")</f>
        <v/>
      </c>
      <c r="DO1948" s="65">
        <f>IFERROR($M1948/$M1949-1,"")</f>
        <v/>
      </c>
      <c r="DP1948" s="65">
        <f>IFERROR($AZ1948/$AZ1949-1,"")</f>
        <v/>
      </c>
      <c r="DQ1948" s="65">
        <f>IFERROR($BA1948/$BA1949-1,"")</f>
        <v/>
      </c>
      <c r="DR1948" s="64">
        <f>$O1948-$O1949</f>
        <v/>
      </c>
      <c r="DS1948" s="64">
        <f>$P1948-$P1949</f>
        <v/>
      </c>
      <c r="DT1948" s="64">
        <f>$Q1948-$Q1949</f>
        <v/>
      </c>
      <c r="DU1948" s="64">
        <f>$S1948-$S1949</f>
        <v/>
      </c>
      <c r="DV1948" s="65">
        <f>IFERROR(AVERAGE($AA1949/$AA1948-1,$AB1949/$AB1948-1,$AC1949/$AC1948-1,$AD1949/$AD1948-1,$AE1949/$AE1948-1,$AG1949/$AG1948-1,$AH1949/$AH1948-1,$AI1949/$AI1948-1,$AJ1949/$AJ1948-1,$AL1949/$AL1948-1,$AM1949/$AM1948-1,$AR1949/$AR1948-1,$AS1949/$AS1948-1,$AT1949/$AT1948-1,$AU1949/$AU1948-1,$AV1949/$AV1948-1,$AW1949/$AW1948-1,$AX1949/$AX1948-1,$AY1949/$AY1948-1),"")</f>
        <v/>
      </c>
      <c r="DW1948" s="66">
        <f>AVERAGE($CB1948,$CC1948,$CD1948,$CE1948,$CF1948,$CG1948,$CH1948,$CI1948,$CJ1948,$CL1948,$CM1948,$CN1948,$CO1948,$CP1948,$CQ1948,$CR1948,$CS1948,$CT1948)</f>
        <v/>
      </c>
      <c r="DX1948" s="66">
        <f>AVERAGE($CB1948,$CC1948,$CM1948,$CE1948,$CP1948)</f>
        <v/>
      </c>
      <c r="DY1948" s="64">
        <f>($DW1948-$DW1949)*100</f>
        <v/>
      </c>
      <c r="DZ1948" s="64">
        <f>($DX1948-$DX1949)*100</f>
        <v/>
      </c>
      <c r="EA1948" s="64">
        <f>($DW1948-$D1948)*100</f>
        <v/>
      </c>
      <c r="EB1948" s="64">
        <f>$Q1948-$O1948</f>
        <v/>
      </c>
      <c r="EC1948" s="67">
        <f>IFERROR($Q1948/$P1948,"")</f>
        <v/>
      </c>
    </row>
    <row r="1949">
      <c r="DG1949" s="64">
        <f>($B1949-$B1950)*100</f>
        <v/>
      </c>
      <c r="DH1949" s="64">
        <f>($D1949-$D1950)*100</f>
        <v/>
      </c>
      <c r="DI1949" s="64">
        <f>($E1949-$E1950)*100</f>
        <v/>
      </c>
      <c r="DJ1949" s="64">
        <f>($H1949-$H1950)*100</f>
        <v/>
      </c>
      <c r="DK1949" s="65">
        <f>IFERROR($J1949/$J1950-1,"")</f>
        <v/>
      </c>
      <c r="DL1949" s="64">
        <f>$L1949-$L1950</f>
        <v/>
      </c>
      <c r="DM1949" s="64">
        <f>$K1949-$K1950</f>
        <v/>
      </c>
      <c r="DN1949" s="65">
        <f>IFERROR($N1949/$N1950-1,"")</f>
        <v/>
      </c>
      <c r="DO1949" s="65">
        <f>IFERROR($M1949/$M1950-1,"")</f>
        <v/>
      </c>
      <c r="DP1949" s="65">
        <f>IFERROR($AZ1949/$AZ1950-1,"")</f>
        <v/>
      </c>
      <c r="DQ1949" s="65">
        <f>IFERROR($BA1949/$BA1950-1,"")</f>
        <v/>
      </c>
      <c r="DR1949" s="64">
        <f>$O1949-$O1950</f>
        <v/>
      </c>
      <c r="DS1949" s="64">
        <f>$P1949-$P1950</f>
        <v/>
      </c>
      <c r="DT1949" s="64">
        <f>$Q1949-$Q1950</f>
        <v/>
      </c>
      <c r="DU1949" s="64">
        <f>$S1949-$S1950</f>
        <v/>
      </c>
      <c r="DV1949" s="65">
        <f>IFERROR(AVERAGE($AA1950/$AA1949-1,$AB1950/$AB1949-1,$AC1950/$AC1949-1,$AD1950/$AD1949-1,$AE1950/$AE1949-1,$AG1950/$AG1949-1,$AH1950/$AH1949-1,$AI1950/$AI1949-1,$AJ1950/$AJ1949-1,$AL1950/$AL1949-1,$AM1950/$AM1949-1,$AR1950/$AR1949-1,$AS1950/$AS1949-1,$AT1950/$AT1949-1,$AU1950/$AU1949-1,$AV1950/$AV1949-1,$AW1950/$AW1949-1,$AX1950/$AX1949-1,$AY1950/$AY1949-1),"")</f>
        <v/>
      </c>
      <c r="DW1949" s="66">
        <f>AVERAGE($CB1949,$CC1949,$CD1949,$CE1949,$CF1949,$CG1949,$CH1949,$CI1949,$CJ1949,$CL1949,$CM1949,$CN1949,$CO1949,$CP1949,$CQ1949,$CR1949,$CS1949,$CT1949)</f>
        <v/>
      </c>
      <c r="DX1949" s="66">
        <f>AVERAGE($CB1949,$CC1949,$CM1949,$CE1949,$CP1949)</f>
        <v/>
      </c>
      <c r="DY1949" s="64">
        <f>($DW1949-$DW1950)*100</f>
        <v/>
      </c>
      <c r="DZ1949" s="64">
        <f>($DX1949-$DX1950)*100</f>
        <v/>
      </c>
      <c r="EA1949" s="64">
        <f>($DW1949-$D1949)*100</f>
        <v/>
      </c>
      <c r="EB1949" s="64">
        <f>$Q1949-$O1949</f>
        <v/>
      </c>
      <c r="EC1949" s="67">
        <f>IFERROR($Q1949/$P1949,"")</f>
        <v/>
      </c>
    </row>
    <row r="1950">
      <c r="DG1950" s="64">
        <f>($B1950-$B1951)*100</f>
        <v/>
      </c>
      <c r="DH1950" s="64">
        <f>($D1950-$D1951)*100</f>
        <v/>
      </c>
      <c r="DI1950" s="64">
        <f>($E1950-$E1951)*100</f>
        <v/>
      </c>
      <c r="DJ1950" s="64">
        <f>($H1950-$H1951)*100</f>
        <v/>
      </c>
      <c r="DK1950" s="65">
        <f>IFERROR($J1950/$J1951-1,"")</f>
        <v/>
      </c>
      <c r="DL1950" s="64">
        <f>$L1950-$L1951</f>
        <v/>
      </c>
      <c r="DM1950" s="64">
        <f>$K1950-$K1951</f>
        <v/>
      </c>
      <c r="DN1950" s="65">
        <f>IFERROR($N1950/$N1951-1,"")</f>
        <v/>
      </c>
      <c r="DO1950" s="65">
        <f>IFERROR($M1950/$M1951-1,"")</f>
        <v/>
      </c>
      <c r="DP1950" s="65">
        <f>IFERROR($AZ1950/$AZ1951-1,"")</f>
        <v/>
      </c>
      <c r="DQ1950" s="65">
        <f>IFERROR($BA1950/$BA1951-1,"")</f>
        <v/>
      </c>
      <c r="DR1950" s="64">
        <f>$O1950-$O1951</f>
        <v/>
      </c>
      <c r="DS1950" s="64">
        <f>$P1950-$P1951</f>
        <v/>
      </c>
      <c r="DT1950" s="64">
        <f>$Q1950-$Q1951</f>
        <v/>
      </c>
      <c r="DU1950" s="64">
        <f>$S1950-$S1951</f>
        <v/>
      </c>
      <c r="DV1950" s="65">
        <f>IFERROR(AVERAGE($AA1951/$AA1950-1,$AB1951/$AB1950-1,$AC1951/$AC1950-1,$AD1951/$AD1950-1,$AE1951/$AE1950-1,$AG1951/$AG1950-1,$AH1951/$AH1950-1,$AI1951/$AI1950-1,$AJ1951/$AJ1950-1,$AL1951/$AL1950-1,$AM1951/$AM1950-1,$AR1951/$AR1950-1,$AS1951/$AS1950-1,$AT1951/$AT1950-1,$AU1951/$AU1950-1,$AV1951/$AV1950-1,$AW1951/$AW1950-1,$AX1951/$AX1950-1,$AY1951/$AY1950-1),"")</f>
        <v/>
      </c>
      <c r="DW1950" s="66">
        <f>AVERAGE($CB1950,$CC1950,$CD1950,$CE1950,$CF1950,$CG1950,$CH1950,$CI1950,$CJ1950,$CL1950,$CM1950,$CN1950,$CO1950,$CP1950,$CQ1950,$CR1950,$CS1950,$CT1950)</f>
        <v/>
      </c>
      <c r="DX1950" s="66">
        <f>AVERAGE($CB1950,$CC1950,$CM1950,$CE1950,$CP1950)</f>
        <v/>
      </c>
      <c r="DY1950" s="64">
        <f>($DW1950-$DW1951)*100</f>
        <v/>
      </c>
      <c r="DZ1950" s="64">
        <f>($DX1950-$DX1951)*100</f>
        <v/>
      </c>
      <c r="EA1950" s="64">
        <f>($DW1950-$D1950)*100</f>
        <v/>
      </c>
      <c r="EB1950" s="64">
        <f>$Q1950-$O1950</f>
        <v/>
      </c>
      <c r="EC1950" s="67">
        <f>IFERROR($Q1950/$P1950,"")</f>
        <v/>
      </c>
    </row>
    <row r="1951">
      <c r="DG1951" s="64">
        <f>($B1951-$B1952)*100</f>
        <v/>
      </c>
      <c r="DH1951" s="64">
        <f>($D1951-$D1952)*100</f>
        <v/>
      </c>
      <c r="DI1951" s="64">
        <f>($E1951-$E1952)*100</f>
        <v/>
      </c>
      <c r="DJ1951" s="64">
        <f>($H1951-$H1952)*100</f>
        <v/>
      </c>
      <c r="DK1951" s="65">
        <f>IFERROR($J1951/$J1952-1,"")</f>
        <v/>
      </c>
      <c r="DL1951" s="64">
        <f>$L1951-$L1952</f>
        <v/>
      </c>
      <c r="DM1951" s="64">
        <f>$K1951-$K1952</f>
        <v/>
      </c>
      <c r="DN1951" s="65">
        <f>IFERROR($N1951/$N1952-1,"")</f>
        <v/>
      </c>
      <c r="DO1951" s="65">
        <f>IFERROR($M1951/$M1952-1,"")</f>
        <v/>
      </c>
      <c r="DP1951" s="65">
        <f>IFERROR($AZ1951/$AZ1952-1,"")</f>
        <v/>
      </c>
      <c r="DQ1951" s="65">
        <f>IFERROR($BA1951/$BA1952-1,"")</f>
        <v/>
      </c>
      <c r="DR1951" s="64">
        <f>$O1951-$O1952</f>
        <v/>
      </c>
      <c r="DS1951" s="64">
        <f>$P1951-$P1952</f>
        <v/>
      </c>
      <c r="DT1951" s="64">
        <f>$Q1951-$Q1952</f>
        <v/>
      </c>
      <c r="DU1951" s="64">
        <f>$S1951-$S1952</f>
        <v/>
      </c>
      <c r="DV1951" s="65">
        <f>IFERROR(AVERAGE($AA1952/$AA1951-1,$AB1952/$AB1951-1,$AC1952/$AC1951-1,$AD1952/$AD1951-1,$AE1952/$AE1951-1,$AG1952/$AG1951-1,$AH1952/$AH1951-1,$AI1952/$AI1951-1,$AJ1952/$AJ1951-1,$AL1952/$AL1951-1,$AM1952/$AM1951-1,$AR1952/$AR1951-1,$AS1952/$AS1951-1,$AT1952/$AT1951-1,$AU1952/$AU1951-1,$AV1952/$AV1951-1,$AW1952/$AW1951-1,$AX1952/$AX1951-1,$AY1952/$AY1951-1),"")</f>
        <v/>
      </c>
      <c r="DW1951" s="66">
        <f>AVERAGE($CB1951,$CC1951,$CD1951,$CE1951,$CF1951,$CG1951,$CH1951,$CI1951,$CJ1951,$CL1951,$CM1951,$CN1951,$CO1951,$CP1951,$CQ1951,$CR1951,$CS1951,$CT1951)</f>
        <v/>
      </c>
      <c r="DX1951" s="66">
        <f>AVERAGE($CB1951,$CC1951,$CM1951,$CE1951,$CP1951)</f>
        <v/>
      </c>
      <c r="DY1951" s="64">
        <f>($DW1951-$DW1952)*100</f>
        <v/>
      </c>
      <c r="DZ1951" s="64">
        <f>($DX1951-$DX1952)*100</f>
        <v/>
      </c>
      <c r="EA1951" s="64">
        <f>($DW1951-$D1951)*100</f>
        <v/>
      </c>
      <c r="EB1951" s="64">
        <f>$Q1951-$O1951</f>
        <v/>
      </c>
      <c r="EC1951" s="67">
        <f>IFERROR($Q1951/$P1951,"")</f>
        <v/>
      </c>
    </row>
    <row r="1952">
      <c r="DG1952" s="64">
        <f>($B1952-$B1953)*100</f>
        <v/>
      </c>
      <c r="DH1952" s="64">
        <f>($D1952-$D1953)*100</f>
        <v/>
      </c>
      <c r="DI1952" s="64">
        <f>($E1952-$E1953)*100</f>
        <v/>
      </c>
      <c r="DJ1952" s="64">
        <f>($H1952-$H1953)*100</f>
        <v/>
      </c>
      <c r="DK1952" s="65">
        <f>IFERROR($J1952/$J1953-1,"")</f>
        <v/>
      </c>
      <c r="DL1952" s="64">
        <f>$L1952-$L1953</f>
        <v/>
      </c>
      <c r="DM1952" s="64">
        <f>$K1952-$K1953</f>
        <v/>
      </c>
      <c r="DN1952" s="65">
        <f>IFERROR($N1952/$N1953-1,"")</f>
        <v/>
      </c>
      <c r="DO1952" s="65">
        <f>IFERROR($M1952/$M1953-1,"")</f>
        <v/>
      </c>
      <c r="DP1952" s="65">
        <f>IFERROR($AZ1952/$AZ1953-1,"")</f>
        <v/>
      </c>
      <c r="DQ1952" s="65">
        <f>IFERROR($BA1952/$BA1953-1,"")</f>
        <v/>
      </c>
      <c r="DR1952" s="64">
        <f>$O1952-$O1953</f>
        <v/>
      </c>
      <c r="DS1952" s="64">
        <f>$P1952-$P1953</f>
        <v/>
      </c>
      <c r="DT1952" s="64">
        <f>$Q1952-$Q1953</f>
        <v/>
      </c>
      <c r="DU1952" s="64">
        <f>$S1952-$S1953</f>
        <v/>
      </c>
      <c r="DV1952" s="65">
        <f>IFERROR(AVERAGE($AA1953/$AA1952-1,$AB1953/$AB1952-1,$AC1953/$AC1952-1,$AD1953/$AD1952-1,$AE1953/$AE1952-1,$AG1953/$AG1952-1,$AH1953/$AH1952-1,$AI1953/$AI1952-1,$AJ1953/$AJ1952-1,$AL1953/$AL1952-1,$AM1953/$AM1952-1,$AR1953/$AR1952-1,$AS1953/$AS1952-1,$AT1953/$AT1952-1,$AU1953/$AU1952-1,$AV1953/$AV1952-1,$AW1953/$AW1952-1,$AX1953/$AX1952-1,$AY1953/$AY1952-1),"")</f>
        <v/>
      </c>
      <c r="DW1952" s="66">
        <f>AVERAGE($CB1952,$CC1952,$CD1952,$CE1952,$CF1952,$CG1952,$CH1952,$CI1952,$CJ1952,$CL1952,$CM1952,$CN1952,$CO1952,$CP1952,$CQ1952,$CR1952,$CS1952,$CT1952)</f>
        <v/>
      </c>
      <c r="DX1952" s="66">
        <f>AVERAGE($CB1952,$CC1952,$CM1952,$CE1952,$CP1952)</f>
        <v/>
      </c>
      <c r="DY1952" s="64">
        <f>($DW1952-$DW1953)*100</f>
        <v/>
      </c>
      <c r="DZ1952" s="64">
        <f>($DX1952-$DX1953)*100</f>
        <v/>
      </c>
      <c r="EA1952" s="64">
        <f>($DW1952-$D1952)*100</f>
        <v/>
      </c>
      <c r="EB1952" s="64">
        <f>$Q1952-$O1952</f>
        <v/>
      </c>
      <c r="EC1952" s="67">
        <f>IFERROR($Q1952/$P1952,"")</f>
        <v/>
      </c>
    </row>
    <row r="1953">
      <c r="DG1953" s="64">
        <f>($B1953-$B1954)*100</f>
        <v/>
      </c>
      <c r="DH1953" s="64">
        <f>($D1953-$D1954)*100</f>
        <v/>
      </c>
      <c r="DI1953" s="64">
        <f>($E1953-$E1954)*100</f>
        <v/>
      </c>
      <c r="DJ1953" s="64">
        <f>($H1953-$H1954)*100</f>
        <v/>
      </c>
      <c r="DK1953" s="65">
        <f>IFERROR($J1953/$J1954-1,"")</f>
        <v/>
      </c>
      <c r="DL1953" s="64">
        <f>$L1953-$L1954</f>
        <v/>
      </c>
      <c r="DM1953" s="64">
        <f>$K1953-$K1954</f>
        <v/>
      </c>
      <c r="DN1953" s="65">
        <f>IFERROR($N1953/$N1954-1,"")</f>
        <v/>
      </c>
      <c r="DO1953" s="65">
        <f>IFERROR($M1953/$M1954-1,"")</f>
        <v/>
      </c>
      <c r="DP1953" s="65">
        <f>IFERROR($AZ1953/$AZ1954-1,"")</f>
        <v/>
      </c>
      <c r="DQ1953" s="65">
        <f>IFERROR($BA1953/$BA1954-1,"")</f>
        <v/>
      </c>
      <c r="DR1953" s="64">
        <f>$O1953-$O1954</f>
        <v/>
      </c>
      <c r="DS1953" s="64">
        <f>$P1953-$P1954</f>
        <v/>
      </c>
      <c r="DT1953" s="64">
        <f>$Q1953-$Q1954</f>
        <v/>
      </c>
      <c r="DU1953" s="64">
        <f>$S1953-$S1954</f>
        <v/>
      </c>
      <c r="DV1953" s="65">
        <f>IFERROR(AVERAGE($AA1954/$AA1953-1,$AB1954/$AB1953-1,$AC1954/$AC1953-1,$AD1954/$AD1953-1,$AE1954/$AE1953-1,$AG1954/$AG1953-1,$AH1954/$AH1953-1,$AI1954/$AI1953-1,$AJ1954/$AJ1953-1,$AL1954/$AL1953-1,$AM1954/$AM1953-1,$AR1954/$AR1953-1,$AS1954/$AS1953-1,$AT1954/$AT1953-1,$AU1954/$AU1953-1,$AV1954/$AV1953-1,$AW1954/$AW1953-1,$AX1954/$AX1953-1,$AY1954/$AY1953-1),"")</f>
        <v/>
      </c>
      <c r="DW1953" s="66">
        <f>AVERAGE($CB1953,$CC1953,$CD1953,$CE1953,$CF1953,$CG1953,$CH1953,$CI1953,$CJ1953,$CL1953,$CM1953,$CN1953,$CO1953,$CP1953,$CQ1953,$CR1953,$CS1953,$CT1953)</f>
        <v/>
      </c>
      <c r="DX1953" s="66">
        <f>AVERAGE($CB1953,$CC1953,$CM1953,$CE1953,$CP1953)</f>
        <v/>
      </c>
      <c r="DY1953" s="64">
        <f>($DW1953-$DW1954)*100</f>
        <v/>
      </c>
      <c r="DZ1953" s="64">
        <f>($DX1953-$DX1954)*100</f>
        <v/>
      </c>
      <c r="EA1953" s="64">
        <f>($DW1953-$D1953)*100</f>
        <v/>
      </c>
      <c r="EB1953" s="64">
        <f>$Q1953-$O1953</f>
        <v/>
      </c>
      <c r="EC1953" s="67">
        <f>IFERROR($Q1953/$P1953,"")</f>
        <v/>
      </c>
    </row>
    <row r="1954">
      <c r="DG1954" s="64">
        <f>($B1954-$B1955)*100</f>
        <v/>
      </c>
      <c r="DH1954" s="64">
        <f>($D1954-$D1955)*100</f>
        <v/>
      </c>
      <c r="DI1954" s="64">
        <f>($E1954-$E1955)*100</f>
        <v/>
      </c>
      <c r="DJ1954" s="64">
        <f>($H1954-$H1955)*100</f>
        <v/>
      </c>
      <c r="DK1954" s="65">
        <f>IFERROR($J1954/$J1955-1,"")</f>
        <v/>
      </c>
      <c r="DL1954" s="64">
        <f>$L1954-$L1955</f>
        <v/>
      </c>
      <c r="DM1954" s="64">
        <f>$K1954-$K1955</f>
        <v/>
      </c>
      <c r="DN1954" s="65">
        <f>IFERROR($N1954/$N1955-1,"")</f>
        <v/>
      </c>
      <c r="DO1954" s="65">
        <f>IFERROR($M1954/$M1955-1,"")</f>
        <v/>
      </c>
      <c r="DP1954" s="65">
        <f>IFERROR($AZ1954/$AZ1955-1,"")</f>
        <v/>
      </c>
      <c r="DQ1954" s="65">
        <f>IFERROR($BA1954/$BA1955-1,"")</f>
        <v/>
      </c>
      <c r="DR1954" s="64">
        <f>$O1954-$O1955</f>
        <v/>
      </c>
      <c r="DS1954" s="64">
        <f>$P1954-$P1955</f>
        <v/>
      </c>
      <c r="DT1954" s="64">
        <f>$Q1954-$Q1955</f>
        <v/>
      </c>
      <c r="DU1954" s="64">
        <f>$S1954-$S1955</f>
        <v/>
      </c>
      <c r="DV1954" s="65">
        <f>IFERROR(AVERAGE($AA1955/$AA1954-1,$AB1955/$AB1954-1,$AC1955/$AC1954-1,$AD1955/$AD1954-1,$AE1955/$AE1954-1,$AG1955/$AG1954-1,$AH1955/$AH1954-1,$AI1955/$AI1954-1,$AJ1955/$AJ1954-1,$AL1955/$AL1954-1,$AM1955/$AM1954-1,$AR1955/$AR1954-1,$AS1955/$AS1954-1,$AT1955/$AT1954-1,$AU1955/$AU1954-1,$AV1955/$AV1954-1,$AW1955/$AW1954-1,$AX1955/$AX1954-1,$AY1955/$AY1954-1),"")</f>
        <v/>
      </c>
      <c r="DW1954" s="66">
        <f>AVERAGE($CB1954,$CC1954,$CD1954,$CE1954,$CF1954,$CG1954,$CH1954,$CI1954,$CJ1954,$CL1954,$CM1954,$CN1954,$CO1954,$CP1954,$CQ1954,$CR1954,$CS1954,$CT1954)</f>
        <v/>
      </c>
      <c r="DX1954" s="66">
        <f>AVERAGE($CB1954,$CC1954,$CM1954,$CE1954,$CP1954)</f>
        <v/>
      </c>
      <c r="DY1954" s="64">
        <f>($DW1954-$DW1955)*100</f>
        <v/>
      </c>
      <c r="DZ1954" s="64">
        <f>($DX1954-$DX1955)*100</f>
        <v/>
      </c>
      <c r="EA1954" s="64">
        <f>($DW1954-$D1954)*100</f>
        <v/>
      </c>
      <c r="EB1954" s="64">
        <f>$Q1954-$O1954</f>
        <v/>
      </c>
      <c r="EC1954" s="67">
        <f>IFERROR($Q1954/$P1954,"")</f>
        <v/>
      </c>
    </row>
    <row r="1955">
      <c r="DG1955" s="64">
        <f>($B1955-$B1956)*100</f>
        <v/>
      </c>
      <c r="DH1955" s="64">
        <f>($D1955-$D1956)*100</f>
        <v/>
      </c>
      <c r="DI1955" s="64">
        <f>($E1955-$E1956)*100</f>
        <v/>
      </c>
      <c r="DJ1955" s="64">
        <f>($H1955-$H1956)*100</f>
        <v/>
      </c>
      <c r="DK1955" s="65">
        <f>IFERROR($J1955/$J1956-1,"")</f>
        <v/>
      </c>
      <c r="DL1955" s="64">
        <f>$L1955-$L1956</f>
        <v/>
      </c>
      <c r="DM1955" s="64">
        <f>$K1955-$K1956</f>
        <v/>
      </c>
      <c r="DN1955" s="65">
        <f>IFERROR($N1955/$N1956-1,"")</f>
        <v/>
      </c>
      <c r="DO1955" s="65">
        <f>IFERROR($M1955/$M1956-1,"")</f>
        <v/>
      </c>
      <c r="DP1955" s="65">
        <f>IFERROR($AZ1955/$AZ1956-1,"")</f>
        <v/>
      </c>
      <c r="DQ1955" s="65">
        <f>IFERROR($BA1955/$BA1956-1,"")</f>
        <v/>
      </c>
      <c r="DR1955" s="64">
        <f>$O1955-$O1956</f>
        <v/>
      </c>
      <c r="DS1955" s="64">
        <f>$P1955-$P1956</f>
        <v/>
      </c>
      <c r="DT1955" s="64">
        <f>$Q1955-$Q1956</f>
        <v/>
      </c>
      <c r="DU1955" s="64">
        <f>$S1955-$S1956</f>
        <v/>
      </c>
      <c r="DV1955" s="65">
        <f>IFERROR(AVERAGE($AA1956/$AA1955-1,$AB1956/$AB1955-1,$AC1956/$AC1955-1,$AD1956/$AD1955-1,$AE1956/$AE1955-1,$AG1956/$AG1955-1,$AH1956/$AH1955-1,$AI1956/$AI1955-1,$AJ1956/$AJ1955-1,$AL1956/$AL1955-1,$AM1956/$AM1955-1,$AR1956/$AR1955-1,$AS1956/$AS1955-1,$AT1956/$AT1955-1,$AU1956/$AU1955-1,$AV1956/$AV1955-1,$AW1956/$AW1955-1,$AX1956/$AX1955-1,$AY1956/$AY1955-1),"")</f>
        <v/>
      </c>
      <c r="DW1955" s="66">
        <f>AVERAGE($CB1955,$CC1955,$CD1955,$CE1955,$CF1955,$CG1955,$CH1955,$CI1955,$CJ1955,$CL1955,$CM1955,$CN1955,$CO1955,$CP1955,$CQ1955,$CR1955,$CS1955,$CT1955)</f>
        <v/>
      </c>
      <c r="DX1955" s="66">
        <f>AVERAGE($CB1955,$CC1955,$CM1955,$CE1955,$CP1955)</f>
        <v/>
      </c>
      <c r="DY1955" s="64">
        <f>($DW1955-$DW1956)*100</f>
        <v/>
      </c>
      <c r="DZ1955" s="64">
        <f>($DX1955-$DX1956)*100</f>
        <v/>
      </c>
      <c r="EA1955" s="64">
        <f>($DW1955-$D1955)*100</f>
        <v/>
      </c>
      <c r="EB1955" s="64">
        <f>$Q1955-$O1955</f>
        <v/>
      </c>
      <c r="EC1955" s="67">
        <f>IFERROR($Q1955/$P1955,"")</f>
        <v/>
      </c>
    </row>
    <row r="1956">
      <c r="DG1956" s="64">
        <f>($B1956-$B1957)*100</f>
        <v/>
      </c>
      <c r="DH1956" s="64">
        <f>($D1956-$D1957)*100</f>
        <v/>
      </c>
      <c r="DI1956" s="64">
        <f>($E1956-$E1957)*100</f>
        <v/>
      </c>
      <c r="DJ1956" s="64">
        <f>($H1956-$H1957)*100</f>
        <v/>
      </c>
      <c r="DK1956" s="65">
        <f>IFERROR($J1956/$J1957-1,"")</f>
        <v/>
      </c>
      <c r="DL1956" s="64">
        <f>$L1956-$L1957</f>
        <v/>
      </c>
      <c r="DM1956" s="64">
        <f>$K1956-$K1957</f>
        <v/>
      </c>
      <c r="DN1956" s="65">
        <f>IFERROR($N1956/$N1957-1,"")</f>
        <v/>
      </c>
      <c r="DO1956" s="65">
        <f>IFERROR($M1956/$M1957-1,"")</f>
        <v/>
      </c>
      <c r="DP1956" s="65">
        <f>IFERROR($AZ1956/$AZ1957-1,"")</f>
        <v/>
      </c>
      <c r="DQ1956" s="65">
        <f>IFERROR($BA1956/$BA1957-1,"")</f>
        <v/>
      </c>
      <c r="DR1956" s="64">
        <f>$O1956-$O1957</f>
        <v/>
      </c>
      <c r="DS1956" s="64">
        <f>$P1956-$P1957</f>
        <v/>
      </c>
      <c r="DT1956" s="64">
        <f>$Q1956-$Q1957</f>
        <v/>
      </c>
      <c r="DU1956" s="64">
        <f>$S1956-$S1957</f>
        <v/>
      </c>
      <c r="DV1956" s="65">
        <f>IFERROR(AVERAGE($AA1957/$AA1956-1,$AB1957/$AB1956-1,$AC1957/$AC1956-1,$AD1957/$AD1956-1,$AE1957/$AE1956-1,$AG1957/$AG1956-1,$AH1957/$AH1956-1,$AI1957/$AI1956-1,$AJ1957/$AJ1956-1,$AL1957/$AL1956-1,$AM1957/$AM1956-1,$AR1957/$AR1956-1,$AS1957/$AS1956-1,$AT1957/$AT1956-1,$AU1957/$AU1956-1,$AV1957/$AV1956-1,$AW1957/$AW1956-1,$AX1957/$AX1956-1,$AY1957/$AY1956-1),"")</f>
        <v/>
      </c>
      <c r="DW1956" s="66">
        <f>AVERAGE($CB1956,$CC1956,$CD1956,$CE1956,$CF1956,$CG1956,$CH1956,$CI1956,$CJ1956,$CL1956,$CM1956,$CN1956,$CO1956,$CP1956,$CQ1956,$CR1956,$CS1956,$CT1956)</f>
        <v/>
      </c>
      <c r="DX1956" s="66">
        <f>AVERAGE($CB1956,$CC1956,$CM1956,$CE1956,$CP1956)</f>
        <v/>
      </c>
      <c r="DY1956" s="64">
        <f>($DW1956-$DW1957)*100</f>
        <v/>
      </c>
      <c r="DZ1956" s="64">
        <f>($DX1956-$DX1957)*100</f>
        <v/>
      </c>
      <c r="EA1956" s="64">
        <f>($DW1956-$D1956)*100</f>
        <v/>
      </c>
      <c r="EB1956" s="64">
        <f>$Q1956-$O1956</f>
        <v/>
      </c>
      <c r="EC1956" s="67">
        <f>IFERROR($Q1956/$P1956,"")</f>
        <v/>
      </c>
    </row>
    <row r="1957">
      <c r="DG1957" s="64">
        <f>($B1957-$B1958)*100</f>
        <v/>
      </c>
      <c r="DH1957" s="64">
        <f>($D1957-$D1958)*100</f>
        <v/>
      </c>
      <c r="DI1957" s="64">
        <f>($E1957-$E1958)*100</f>
        <v/>
      </c>
      <c r="DJ1957" s="64">
        <f>($H1957-$H1958)*100</f>
        <v/>
      </c>
      <c r="DK1957" s="65">
        <f>IFERROR($J1957/$J1958-1,"")</f>
        <v/>
      </c>
      <c r="DL1957" s="64">
        <f>$L1957-$L1958</f>
        <v/>
      </c>
      <c r="DM1957" s="64">
        <f>$K1957-$K1958</f>
        <v/>
      </c>
      <c r="DN1957" s="65">
        <f>IFERROR($N1957/$N1958-1,"")</f>
        <v/>
      </c>
      <c r="DO1957" s="65">
        <f>IFERROR($M1957/$M1958-1,"")</f>
        <v/>
      </c>
      <c r="DP1957" s="65">
        <f>IFERROR($AZ1957/$AZ1958-1,"")</f>
        <v/>
      </c>
      <c r="DQ1957" s="65">
        <f>IFERROR($BA1957/$BA1958-1,"")</f>
        <v/>
      </c>
      <c r="DR1957" s="64">
        <f>$O1957-$O1958</f>
        <v/>
      </c>
      <c r="DS1957" s="64">
        <f>$P1957-$P1958</f>
        <v/>
      </c>
      <c r="DT1957" s="64">
        <f>$Q1957-$Q1958</f>
        <v/>
      </c>
      <c r="DU1957" s="64">
        <f>$S1957-$S1958</f>
        <v/>
      </c>
      <c r="DV1957" s="65">
        <f>IFERROR(AVERAGE($AA1958/$AA1957-1,$AB1958/$AB1957-1,$AC1958/$AC1957-1,$AD1958/$AD1957-1,$AE1958/$AE1957-1,$AG1958/$AG1957-1,$AH1958/$AH1957-1,$AI1958/$AI1957-1,$AJ1958/$AJ1957-1,$AL1958/$AL1957-1,$AM1958/$AM1957-1,$AR1958/$AR1957-1,$AS1958/$AS1957-1,$AT1958/$AT1957-1,$AU1958/$AU1957-1,$AV1958/$AV1957-1,$AW1958/$AW1957-1,$AX1958/$AX1957-1,$AY1958/$AY1957-1),"")</f>
        <v/>
      </c>
      <c r="DW1957" s="66">
        <f>AVERAGE($CB1957,$CC1957,$CD1957,$CE1957,$CF1957,$CG1957,$CH1957,$CI1957,$CJ1957,$CL1957,$CM1957,$CN1957,$CO1957,$CP1957,$CQ1957,$CR1957,$CS1957,$CT1957)</f>
        <v/>
      </c>
      <c r="DX1957" s="66">
        <f>AVERAGE($CB1957,$CC1957,$CM1957,$CE1957,$CP1957)</f>
        <v/>
      </c>
      <c r="DY1957" s="64">
        <f>($DW1957-$DW1958)*100</f>
        <v/>
      </c>
      <c r="DZ1957" s="64">
        <f>($DX1957-$DX1958)*100</f>
        <v/>
      </c>
      <c r="EA1957" s="64">
        <f>($DW1957-$D1957)*100</f>
        <v/>
      </c>
      <c r="EB1957" s="64">
        <f>$Q1957-$O1957</f>
        <v/>
      </c>
      <c r="EC1957" s="67">
        <f>IFERROR($Q1957/$P1957,"")</f>
        <v/>
      </c>
    </row>
    <row r="1958">
      <c r="DG1958" s="64">
        <f>($B1958-$B1959)*100</f>
        <v/>
      </c>
      <c r="DH1958" s="64">
        <f>($D1958-$D1959)*100</f>
        <v/>
      </c>
      <c r="DI1958" s="64">
        <f>($E1958-$E1959)*100</f>
        <v/>
      </c>
      <c r="DJ1958" s="64">
        <f>($H1958-$H1959)*100</f>
        <v/>
      </c>
      <c r="DK1958" s="65">
        <f>IFERROR($J1958/$J1959-1,"")</f>
        <v/>
      </c>
      <c r="DL1958" s="64">
        <f>$L1958-$L1959</f>
        <v/>
      </c>
      <c r="DM1958" s="64">
        <f>$K1958-$K1959</f>
        <v/>
      </c>
      <c r="DN1958" s="65">
        <f>IFERROR($N1958/$N1959-1,"")</f>
        <v/>
      </c>
      <c r="DO1958" s="65">
        <f>IFERROR($M1958/$M1959-1,"")</f>
        <v/>
      </c>
      <c r="DP1958" s="65">
        <f>IFERROR($AZ1958/$AZ1959-1,"")</f>
        <v/>
      </c>
      <c r="DQ1958" s="65">
        <f>IFERROR($BA1958/$BA1959-1,"")</f>
        <v/>
      </c>
      <c r="DR1958" s="64">
        <f>$O1958-$O1959</f>
        <v/>
      </c>
      <c r="DS1958" s="64">
        <f>$P1958-$P1959</f>
        <v/>
      </c>
      <c r="DT1958" s="64">
        <f>$Q1958-$Q1959</f>
        <v/>
      </c>
      <c r="DU1958" s="64">
        <f>$S1958-$S1959</f>
        <v/>
      </c>
      <c r="DV1958" s="65">
        <f>IFERROR(AVERAGE($AA1959/$AA1958-1,$AB1959/$AB1958-1,$AC1959/$AC1958-1,$AD1959/$AD1958-1,$AE1959/$AE1958-1,$AG1959/$AG1958-1,$AH1959/$AH1958-1,$AI1959/$AI1958-1,$AJ1959/$AJ1958-1,$AL1959/$AL1958-1,$AM1959/$AM1958-1,$AR1959/$AR1958-1,$AS1959/$AS1958-1,$AT1959/$AT1958-1,$AU1959/$AU1958-1,$AV1959/$AV1958-1,$AW1959/$AW1958-1,$AX1959/$AX1958-1,$AY1959/$AY1958-1),"")</f>
        <v/>
      </c>
      <c r="DW1958" s="66">
        <f>AVERAGE($CB1958,$CC1958,$CD1958,$CE1958,$CF1958,$CG1958,$CH1958,$CI1958,$CJ1958,$CL1958,$CM1958,$CN1958,$CO1958,$CP1958,$CQ1958,$CR1958,$CS1958,$CT1958)</f>
        <v/>
      </c>
      <c r="DX1958" s="66">
        <f>AVERAGE($CB1958,$CC1958,$CM1958,$CE1958,$CP1958)</f>
        <v/>
      </c>
      <c r="DY1958" s="64">
        <f>($DW1958-$DW1959)*100</f>
        <v/>
      </c>
      <c r="DZ1958" s="64">
        <f>($DX1958-$DX1959)*100</f>
        <v/>
      </c>
      <c r="EA1958" s="64">
        <f>($DW1958-$D1958)*100</f>
        <v/>
      </c>
      <c r="EB1958" s="64">
        <f>$Q1958-$O1958</f>
        <v/>
      </c>
      <c r="EC1958" s="67">
        <f>IFERROR($Q1958/$P1958,"")</f>
        <v/>
      </c>
    </row>
    <row r="1959">
      <c r="DG1959" s="64">
        <f>($B1959-$B1960)*100</f>
        <v/>
      </c>
      <c r="DH1959" s="64">
        <f>($D1959-$D1960)*100</f>
        <v/>
      </c>
      <c r="DI1959" s="64">
        <f>($E1959-$E1960)*100</f>
        <v/>
      </c>
      <c r="DJ1959" s="64">
        <f>($H1959-$H1960)*100</f>
        <v/>
      </c>
      <c r="DK1959" s="65">
        <f>IFERROR($J1959/$J1960-1,"")</f>
        <v/>
      </c>
      <c r="DL1959" s="64">
        <f>$L1959-$L1960</f>
        <v/>
      </c>
      <c r="DM1959" s="64">
        <f>$K1959-$K1960</f>
        <v/>
      </c>
      <c r="DN1959" s="65">
        <f>IFERROR($N1959/$N1960-1,"")</f>
        <v/>
      </c>
      <c r="DO1959" s="65">
        <f>IFERROR($M1959/$M1960-1,"")</f>
        <v/>
      </c>
      <c r="DP1959" s="65">
        <f>IFERROR($AZ1959/$AZ1960-1,"")</f>
        <v/>
      </c>
      <c r="DQ1959" s="65">
        <f>IFERROR($BA1959/$BA1960-1,"")</f>
        <v/>
      </c>
      <c r="DR1959" s="64">
        <f>$O1959-$O1960</f>
        <v/>
      </c>
      <c r="DS1959" s="64">
        <f>$P1959-$P1960</f>
        <v/>
      </c>
      <c r="DT1959" s="64">
        <f>$Q1959-$Q1960</f>
        <v/>
      </c>
      <c r="DU1959" s="64">
        <f>$S1959-$S1960</f>
        <v/>
      </c>
      <c r="DV1959" s="65">
        <f>IFERROR(AVERAGE($AA1960/$AA1959-1,$AB1960/$AB1959-1,$AC1960/$AC1959-1,$AD1960/$AD1959-1,$AE1960/$AE1959-1,$AG1960/$AG1959-1,$AH1960/$AH1959-1,$AI1960/$AI1959-1,$AJ1960/$AJ1959-1,$AL1960/$AL1959-1,$AM1960/$AM1959-1,$AR1960/$AR1959-1,$AS1960/$AS1959-1,$AT1960/$AT1959-1,$AU1960/$AU1959-1,$AV1960/$AV1959-1,$AW1960/$AW1959-1,$AX1960/$AX1959-1,$AY1960/$AY1959-1),"")</f>
        <v/>
      </c>
      <c r="DW1959" s="66">
        <f>AVERAGE($CB1959,$CC1959,$CD1959,$CE1959,$CF1959,$CG1959,$CH1959,$CI1959,$CJ1959,$CL1959,$CM1959,$CN1959,$CO1959,$CP1959,$CQ1959,$CR1959,$CS1959,$CT1959)</f>
        <v/>
      </c>
      <c r="DX1959" s="66">
        <f>AVERAGE($CB1959,$CC1959,$CM1959,$CE1959,$CP1959)</f>
        <v/>
      </c>
      <c r="DY1959" s="64">
        <f>($DW1959-$DW1960)*100</f>
        <v/>
      </c>
      <c r="DZ1959" s="64">
        <f>($DX1959-$DX1960)*100</f>
        <v/>
      </c>
      <c r="EA1959" s="64">
        <f>($DW1959-$D1959)*100</f>
        <v/>
      </c>
      <c r="EB1959" s="64">
        <f>$Q1959-$O1959</f>
        <v/>
      </c>
      <c r="EC1959" s="67">
        <f>IFERROR($Q1959/$P1959,"")</f>
        <v/>
      </c>
    </row>
    <row r="1960">
      <c r="DG1960" s="64">
        <f>($B1960-$B1961)*100</f>
        <v/>
      </c>
      <c r="DH1960" s="64">
        <f>($D1960-$D1961)*100</f>
        <v/>
      </c>
      <c r="DI1960" s="64">
        <f>($E1960-$E1961)*100</f>
        <v/>
      </c>
      <c r="DJ1960" s="64">
        <f>($H1960-$H1961)*100</f>
        <v/>
      </c>
      <c r="DK1960" s="65">
        <f>IFERROR($J1960/$J1961-1,"")</f>
        <v/>
      </c>
      <c r="DL1960" s="64">
        <f>$L1960-$L1961</f>
        <v/>
      </c>
      <c r="DM1960" s="64">
        <f>$K1960-$K1961</f>
        <v/>
      </c>
      <c r="DN1960" s="65">
        <f>IFERROR($N1960/$N1961-1,"")</f>
        <v/>
      </c>
      <c r="DO1960" s="65">
        <f>IFERROR($M1960/$M1961-1,"")</f>
        <v/>
      </c>
      <c r="DP1960" s="65">
        <f>IFERROR($AZ1960/$AZ1961-1,"")</f>
        <v/>
      </c>
      <c r="DQ1960" s="65">
        <f>IFERROR($BA1960/$BA1961-1,"")</f>
        <v/>
      </c>
      <c r="DR1960" s="64">
        <f>$O1960-$O1961</f>
        <v/>
      </c>
      <c r="DS1960" s="64">
        <f>$P1960-$P1961</f>
        <v/>
      </c>
      <c r="DT1960" s="64">
        <f>$Q1960-$Q1961</f>
        <v/>
      </c>
      <c r="DU1960" s="64">
        <f>$S1960-$S1961</f>
        <v/>
      </c>
      <c r="DV1960" s="65">
        <f>IFERROR(AVERAGE($AA1961/$AA1960-1,$AB1961/$AB1960-1,$AC1961/$AC1960-1,$AD1961/$AD1960-1,$AE1961/$AE1960-1,$AG1961/$AG1960-1,$AH1961/$AH1960-1,$AI1961/$AI1960-1,$AJ1961/$AJ1960-1,$AL1961/$AL1960-1,$AM1961/$AM1960-1,$AR1961/$AR1960-1,$AS1961/$AS1960-1,$AT1961/$AT1960-1,$AU1961/$AU1960-1,$AV1961/$AV1960-1,$AW1961/$AW1960-1,$AX1961/$AX1960-1,$AY1961/$AY1960-1),"")</f>
        <v/>
      </c>
      <c r="DW1960" s="66">
        <f>AVERAGE($CB1960,$CC1960,$CD1960,$CE1960,$CF1960,$CG1960,$CH1960,$CI1960,$CJ1960,$CL1960,$CM1960,$CN1960,$CO1960,$CP1960,$CQ1960,$CR1960,$CS1960,$CT1960)</f>
        <v/>
      </c>
      <c r="DX1960" s="66">
        <f>AVERAGE($CB1960,$CC1960,$CM1960,$CE1960,$CP1960)</f>
        <v/>
      </c>
      <c r="DY1960" s="64">
        <f>($DW1960-$DW1961)*100</f>
        <v/>
      </c>
      <c r="DZ1960" s="64">
        <f>($DX1960-$DX1961)*100</f>
        <v/>
      </c>
      <c r="EA1960" s="64">
        <f>($DW1960-$D1960)*100</f>
        <v/>
      </c>
      <c r="EB1960" s="64">
        <f>$Q1960-$O1960</f>
        <v/>
      </c>
      <c r="EC1960" s="67">
        <f>IFERROR($Q1960/$P1960,"")</f>
        <v/>
      </c>
    </row>
    <row r="1961">
      <c r="DG1961" s="64">
        <f>($B1961-$B1962)*100</f>
        <v/>
      </c>
      <c r="DH1961" s="64">
        <f>($D1961-$D1962)*100</f>
        <v/>
      </c>
      <c r="DI1961" s="64">
        <f>($E1961-$E1962)*100</f>
        <v/>
      </c>
      <c r="DJ1961" s="64">
        <f>($H1961-$H1962)*100</f>
        <v/>
      </c>
      <c r="DK1961" s="65">
        <f>IFERROR($J1961/$J1962-1,"")</f>
        <v/>
      </c>
      <c r="DL1961" s="64">
        <f>$L1961-$L1962</f>
        <v/>
      </c>
      <c r="DM1961" s="64">
        <f>$K1961-$K1962</f>
        <v/>
      </c>
      <c r="DN1961" s="65">
        <f>IFERROR($N1961/$N1962-1,"")</f>
        <v/>
      </c>
      <c r="DO1961" s="65">
        <f>IFERROR($M1961/$M1962-1,"")</f>
        <v/>
      </c>
      <c r="DP1961" s="65">
        <f>IFERROR($AZ1961/$AZ1962-1,"")</f>
        <v/>
      </c>
      <c r="DQ1961" s="65">
        <f>IFERROR($BA1961/$BA1962-1,"")</f>
        <v/>
      </c>
      <c r="DR1961" s="64">
        <f>$O1961-$O1962</f>
        <v/>
      </c>
      <c r="DS1961" s="64">
        <f>$P1961-$P1962</f>
        <v/>
      </c>
      <c r="DT1961" s="64">
        <f>$Q1961-$Q1962</f>
        <v/>
      </c>
      <c r="DU1961" s="64">
        <f>$S1961-$S1962</f>
        <v/>
      </c>
      <c r="DV1961" s="65">
        <f>IFERROR(AVERAGE($AA1962/$AA1961-1,$AB1962/$AB1961-1,$AC1962/$AC1961-1,$AD1962/$AD1961-1,$AE1962/$AE1961-1,$AG1962/$AG1961-1,$AH1962/$AH1961-1,$AI1962/$AI1961-1,$AJ1962/$AJ1961-1,$AL1962/$AL1961-1,$AM1962/$AM1961-1,$AR1962/$AR1961-1,$AS1962/$AS1961-1,$AT1962/$AT1961-1,$AU1962/$AU1961-1,$AV1962/$AV1961-1,$AW1962/$AW1961-1,$AX1962/$AX1961-1,$AY1962/$AY1961-1),"")</f>
        <v/>
      </c>
      <c r="DW1961" s="66">
        <f>AVERAGE($CB1961,$CC1961,$CD1961,$CE1961,$CF1961,$CG1961,$CH1961,$CI1961,$CJ1961,$CL1961,$CM1961,$CN1961,$CO1961,$CP1961,$CQ1961,$CR1961,$CS1961,$CT1961)</f>
        <v/>
      </c>
      <c r="DX1961" s="66">
        <f>AVERAGE($CB1961,$CC1961,$CM1961,$CE1961,$CP1961)</f>
        <v/>
      </c>
      <c r="DY1961" s="64">
        <f>($DW1961-$DW1962)*100</f>
        <v/>
      </c>
      <c r="DZ1961" s="64">
        <f>($DX1961-$DX1962)*100</f>
        <v/>
      </c>
      <c r="EA1961" s="64">
        <f>($DW1961-$D1961)*100</f>
        <v/>
      </c>
      <c r="EB1961" s="64">
        <f>$Q1961-$O1961</f>
        <v/>
      </c>
      <c r="EC1961" s="67">
        <f>IFERROR($Q1961/$P1961,"")</f>
        <v/>
      </c>
    </row>
    <row r="1962">
      <c r="DG1962" s="64">
        <f>($B1962-$B1963)*100</f>
        <v/>
      </c>
      <c r="DH1962" s="64">
        <f>($D1962-$D1963)*100</f>
        <v/>
      </c>
      <c r="DI1962" s="64">
        <f>($E1962-$E1963)*100</f>
        <v/>
      </c>
      <c r="DJ1962" s="64">
        <f>($H1962-$H1963)*100</f>
        <v/>
      </c>
      <c r="DK1962" s="65">
        <f>IFERROR($J1962/$J1963-1,"")</f>
        <v/>
      </c>
      <c r="DL1962" s="64">
        <f>$L1962-$L1963</f>
        <v/>
      </c>
      <c r="DM1962" s="64">
        <f>$K1962-$K1963</f>
        <v/>
      </c>
      <c r="DN1962" s="65">
        <f>IFERROR($N1962/$N1963-1,"")</f>
        <v/>
      </c>
      <c r="DO1962" s="65">
        <f>IFERROR($M1962/$M1963-1,"")</f>
        <v/>
      </c>
      <c r="DP1962" s="65">
        <f>IFERROR($AZ1962/$AZ1963-1,"")</f>
        <v/>
      </c>
      <c r="DQ1962" s="65">
        <f>IFERROR($BA1962/$BA1963-1,"")</f>
        <v/>
      </c>
      <c r="DR1962" s="64">
        <f>$O1962-$O1963</f>
        <v/>
      </c>
      <c r="DS1962" s="64">
        <f>$P1962-$P1963</f>
        <v/>
      </c>
      <c r="DT1962" s="64">
        <f>$Q1962-$Q1963</f>
        <v/>
      </c>
      <c r="DU1962" s="64">
        <f>$S1962-$S1963</f>
        <v/>
      </c>
      <c r="DV1962" s="65">
        <f>IFERROR(AVERAGE($AA1963/$AA1962-1,$AB1963/$AB1962-1,$AC1963/$AC1962-1,$AD1963/$AD1962-1,$AE1963/$AE1962-1,$AG1963/$AG1962-1,$AH1963/$AH1962-1,$AI1963/$AI1962-1,$AJ1963/$AJ1962-1,$AL1963/$AL1962-1,$AM1963/$AM1962-1,$AR1963/$AR1962-1,$AS1963/$AS1962-1,$AT1963/$AT1962-1,$AU1963/$AU1962-1,$AV1963/$AV1962-1,$AW1963/$AW1962-1,$AX1963/$AX1962-1,$AY1963/$AY1962-1),"")</f>
        <v/>
      </c>
      <c r="DW1962" s="66">
        <f>AVERAGE($CB1962,$CC1962,$CD1962,$CE1962,$CF1962,$CG1962,$CH1962,$CI1962,$CJ1962,$CL1962,$CM1962,$CN1962,$CO1962,$CP1962,$CQ1962,$CR1962,$CS1962,$CT1962)</f>
        <v/>
      </c>
      <c r="DX1962" s="66">
        <f>AVERAGE($CB1962,$CC1962,$CM1962,$CE1962,$CP1962)</f>
        <v/>
      </c>
      <c r="DY1962" s="64">
        <f>($DW1962-$DW1963)*100</f>
        <v/>
      </c>
      <c r="DZ1962" s="64">
        <f>($DX1962-$DX1963)*100</f>
        <v/>
      </c>
      <c r="EA1962" s="64">
        <f>($DW1962-$D1962)*100</f>
        <v/>
      </c>
      <c r="EB1962" s="64">
        <f>$Q1962-$O1962</f>
        <v/>
      </c>
      <c r="EC1962" s="67">
        <f>IFERROR($Q1962/$P1962,"")</f>
        <v/>
      </c>
    </row>
    <row r="1963">
      <c r="DG1963" s="64">
        <f>($B1963-$B1964)*100</f>
        <v/>
      </c>
      <c r="DH1963" s="64">
        <f>($D1963-$D1964)*100</f>
        <v/>
      </c>
      <c r="DI1963" s="64">
        <f>($E1963-$E1964)*100</f>
        <v/>
      </c>
      <c r="DJ1963" s="64">
        <f>($H1963-$H1964)*100</f>
        <v/>
      </c>
      <c r="DK1963" s="65">
        <f>IFERROR($J1963/$J1964-1,"")</f>
        <v/>
      </c>
      <c r="DL1963" s="64">
        <f>$L1963-$L1964</f>
        <v/>
      </c>
      <c r="DM1963" s="64">
        <f>$K1963-$K1964</f>
        <v/>
      </c>
      <c r="DN1963" s="65">
        <f>IFERROR($N1963/$N1964-1,"")</f>
        <v/>
      </c>
      <c r="DO1963" s="65">
        <f>IFERROR($M1963/$M1964-1,"")</f>
        <v/>
      </c>
      <c r="DP1963" s="65">
        <f>IFERROR($AZ1963/$AZ1964-1,"")</f>
        <v/>
      </c>
      <c r="DQ1963" s="65">
        <f>IFERROR($BA1963/$BA1964-1,"")</f>
        <v/>
      </c>
      <c r="DR1963" s="64">
        <f>$O1963-$O1964</f>
        <v/>
      </c>
      <c r="DS1963" s="64">
        <f>$P1963-$P1964</f>
        <v/>
      </c>
      <c r="DT1963" s="64">
        <f>$Q1963-$Q1964</f>
        <v/>
      </c>
      <c r="DU1963" s="64">
        <f>$S1963-$S1964</f>
        <v/>
      </c>
      <c r="DV1963" s="65">
        <f>IFERROR(AVERAGE($AA1964/$AA1963-1,$AB1964/$AB1963-1,$AC1964/$AC1963-1,$AD1964/$AD1963-1,$AE1964/$AE1963-1,$AG1964/$AG1963-1,$AH1964/$AH1963-1,$AI1964/$AI1963-1,$AJ1964/$AJ1963-1,$AL1964/$AL1963-1,$AM1964/$AM1963-1,$AR1964/$AR1963-1,$AS1964/$AS1963-1,$AT1964/$AT1963-1,$AU1964/$AU1963-1,$AV1964/$AV1963-1,$AW1964/$AW1963-1,$AX1964/$AX1963-1,$AY1964/$AY1963-1),"")</f>
        <v/>
      </c>
      <c r="DW1963" s="66">
        <f>AVERAGE($CB1963,$CC1963,$CD1963,$CE1963,$CF1963,$CG1963,$CH1963,$CI1963,$CJ1963,$CL1963,$CM1963,$CN1963,$CO1963,$CP1963,$CQ1963,$CR1963,$CS1963,$CT1963)</f>
        <v/>
      </c>
      <c r="DX1963" s="66">
        <f>AVERAGE($CB1963,$CC1963,$CM1963,$CE1963,$CP1963)</f>
        <v/>
      </c>
      <c r="DY1963" s="64">
        <f>($DW1963-$DW1964)*100</f>
        <v/>
      </c>
      <c r="DZ1963" s="64">
        <f>($DX1963-$DX1964)*100</f>
        <v/>
      </c>
      <c r="EA1963" s="64">
        <f>($DW1963-$D1963)*100</f>
        <v/>
      </c>
      <c r="EB1963" s="64">
        <f>$Q1963-$O1963</f>
        <v/>
      </c>
      <c r="EC1963" s="67">
        <f>IFERROR($Q1963/$P1963,"")</f>
        <v/>
      </c>
    </row>
    <row r="1964">
      <c r="DG1964" s="64">
        <f>($B1964-$B1965)*100</f>
        <v/>
      </c>
      <c r="DH1964" s="64">
        <f>($D1964-$D1965)*100</f>
        <v/>
      </c>
      <c r="DI1964" s="64">
        <f>($E1964-$E1965)*100</f>
        <v/>
      </c>
      <c r="DJ1964" s="64">
        <f>($H1964-$H1965)*100</f>
        <v/>
      </c>
      <c r="DK1964" s="65">
        <f>IFERROR($J1964/$J1965-1,"")</f>
        <v/>
      </c>
      <c r="DL1964" s="64">
        <f>$L1964-$L1965</f>
        <v/>
      </c>
      <c r="DM1964" s="64">
        <f>$K1964-$K1965</f>
        <v/>
      </c>
      <c r="DN1964" s="65">
        <f>IFERROR($N1964/$N1965-1,"")</f>
        <v/>
      </c>
      <c r="DO1964" s="65">
        <f>IFERROR($M1964/$M1965-1,"")</f>
        <v/>
      </c>
      <c r="DP1964" s="65">
        <f>IFERROR($AZ1964/$AZ1965-1,"")</f>
        <v/>
      </c>
      <c r="DQ1964" s="65">
        <f>IFERROR($BA1964/$BA1965-1,"")</f>
        <v/>
      </c>
      <c r="DR1964" s="64">
        <f>$O1964-$O1965</f>
        <v/>
      </c>
      <c r="DS1964" s="64">
        <f>$P1964-$P1965</f>
        <v/>
      </c>
      <c r="DT1964" s="64">
        <f>$Q1964-$Q1965</f>
        <v/>
      </c>
      <c r="DU1964" s="64">
        <f>$S1964-$S1965</f>
        <v/>
      </c>
      <c r="DV1964" s="65">
        <f>IFERROR(AVERAGE($AA1965/$AA1964-1,$AB1965/$AB1964-1,$AC1965/$AC1964-1,$AD1965/$AD1964-1,$AE1965/$AE1964-1,$AG1965/$AG1964-1,$AH1965/$AH1964-1,$AI1965/$AI1964-1,$AJ1965/$AJ1964-1,$AL1965/$AL1964-1,$AM1965/$AM1964-1,$AR1965/$AR1964-1,$AS1965/$AS1964-1,$AT1965/$AT1964-1,$AU1965/$AU1964-1,$AV1965/$AV1964-1,$AW1965/$AW1964-1,$AX1965/$AX1964-1,$AY1965/$AY1964-1),"")</f>
        <v/>
      </c>
      <c r="DW1964" s="66">
        <f>AVERAGE($CB1964,$CC1964,$CD1964,$CE1964,$CF1964,$CG1964,$CH1964,$CI1964,$CJ1964,$CL1964,$CM1964,$CN1964,$CO1964,$CP1964,$CQ1964,$CR1964,$CS1964,$CT1964)</f>
        <v/>
      </c>
      <c r="DX1964" s="66">
        <f>AVERAGE($CB1964,$CC1964,$CM1964,$CE1964,$CP1964)</f>
        <v/>
      </c>
      <c r="DY1964" s="64">
        <f>($DW1964-$DW1965)*100</f>
        <v/>
      </c>
      <c r="DZ1964" s="64">
        <f>($DX1964-$DX1965)*100</f>
        <v/>
      </c>
      <c r="EA1964" s="64">
        <f>($DW1964-$D1964)*100</f>
        <v/>
      </c>
      <c r="EB1964" s="64">
        <f>$Q1964-$O1964</f>
        <v/>
      </c>
      <c r="EC1964" s="67">
        <f>IFERROR($Q1964/$P1964,"")</f>
        <v/>
      </c>
    </row>
    <row r="1965">
      <c r="DG1965" s="64">
        <f>($B1965-$B1966)*100</f>
        <v/>
      </c>
      <c r="DH1965" s="64">
        <f>($D1965-$D1966)*100</f>
        <v/>
      </c>
      <c r="DI1965" s="64">
        <f>($E1965-$E1966)*100</f>
        <v/>
      </c>
      <c r="DJ1965" s="64">
        <f>($H1965-$H1966)*100</f>
        <v/>
      </c>
      <c r="DK1965" s="65">
        <f>IFERROR($J1965/$J1966-1,"")</f>
        <v/>
      </c>
      <c r="DL1965" s="64">
        <f>$L1965-$L1966</f>
        <v/>
      </c>
      <c r="DM1965" s="64">
        <f>$K1965-$K1966</f>
        <v/>
      </c>
      <c r="DN1965" s="65">
        <f>IFERROR($N1965/$N1966-1,"")</f>
        <v/>
      </c>
      <c r="DO1965" s="65">
        <f>IFERROR($M1965/$M1966-1,"")</f>
        <v/>
      </c>
      <c r="DP1965" s="65">
        <f>IFERROR($AZ1965/$AZ1966-1,"")</f>
        <v/>
      </c>
      <c r="DQ1965" s="65">
        <f>IFERROR($BA1965/$BA1966-1,"")</f>
        <v/>
      </c>
      <c r="DR1965" s="64">
        <f>$O1965-$O1966</f>
        <v/>
      </c>
      <c r="DS1965" s="64">
        <f>$P1965-$P1966</f>
        <v/>
      </c>
      <c r="DT1965" s="64">
        <f>$Q1965-$Q1966</f>
        <v/>
      </c>
      <c r="DU1965" s="64">
        <f>$S1965-$S1966</f>
        <v/>
      </c>
      <c r="DV1965" s="65">
        <f>IFERROR(AVERAGE($AA1966/$AA1965-1,$AB1966/$AB1965-1,$AC1966/$AC1965-1,$AD1966/$AD1965-1,$AE1966/$AE1965-1,$AG1966/$AG1965-1,$AH1966/$AH1965-1,$AI1966/$AI1965-1,$AJ1966/$AJ1965-1,$AL1966/$AL1965-1,$AM1966/$AM1965-1,$AR1966/$AR1965-1,$AS1966/$AS1965-1,$AT1966/$AT1965-1,$AU1966/$AU1965-1,$AV1966/$AV1965-1,$AW1966/$AW1965-1,$AX1966/$AX1965-1,$AY1966/$AY1965-1),"")</f>
        <v/>
      </c>
      <c r="DW1965" s="66">
        <f>AVERAGE($CB1965,$CC1965,$CD1965,$CE1965,$CF1965,$CG1965,$CH1965,$CI1965,$CJ1965,$CL1965,$CM1965,$CN1965,$CO1965,$CP1965,$CQ1965,$CR1965,$CS1965,$CT1965)</f>
        <v/>
      </c>
      <c r="DX1965" s="66">
        <f>AVERAGE($CB1965,$CC1965,$CM1965,$CE1965,$CP1965)</f>
        <v/>
      </c>
      <c r="DY1965" s="64">
        <f>($DW1965-$DW1966)*100</f>
        <v/>
      </c>
      <c r="DZ1965" s="64">
        <f>($DX1965-$DX1966)*100</f>
        <v/>
      </c>
      <c r="EA1965" s="64">
        <f>($DW1965-$D1965)*100</f>
        <v/>
      </c>
      <c r="EB1965" s="64">
        <f>$Q1965-$O1965</f>
        <v/>
      </c>
      <c r="EC1965" s="67">
        <f>IFERROR($Q1965/$P1965,"")</f>
        <v/>
      </c>
    </row>
    <row r="1966">
      <c r="DG1966" s="64">
        <f>($B1966-$B1967)*100</f>
        <v/>
      </c>
      <c r="DH1966" s="64">
        <f>($D1966-$D1967)*100</f>
        <v/>
      </c>
      <c r="DI1966" s="64">
        <f>($E1966-$E1967)*100</f>
        <v/>
      </c>
      <c r="DJ1966" s="64">
        <f>($H1966-$H1967)*100</f>
        <v/>
      </c>
      <c r="DK1966" s="65">
        <f>IFERROR($J1966/$J1967-1,"")</f>
        <v/>
      </c>
      <c r="DL1966" s="64">
        <f>$L1966-$L1967</f>
        <v/>
      </c>
      <c r="DM1966" s="64">
        <f>$K1966-$K1967</f>
        <v/>
      </c>
      <c r="DN1966" s="65">
        <f>IFERROR($N1966/$N1967-1,"")</f>
        <v/>
      </c>
      <c r="DO1966" s="65">
        <f>IFERROR($M1966/$M1967-1,"")</f>
        <v/>
      </c>
      <c r="DP1966" s="65">
        <f>IFERROR($AZ1966/$AZ1967-1,"")</f>
        <v/>
      </c>
      <c r="DQ1966" s="65">
        <f>IFERROR($BA1966/$BA1967-1,"")</f>
        <v/>
      </c>
      <c r="DR1966" s="64">
        <f>$O1966-$O1967</f>
        <v/>
      </c>
      <c r="DS1966" s="64">
        <f>$P1966-$P1967</f>
        <v/>
      </c>
      <c r="DT1966" s="64">
        <f>$Q1966-$Q1967</f>
        <v/>
      </c>
      <c r="DU1966" s="64">
        <f>$S1966-$S1967</f>
        <v/>
      </c>
      <c r="DV1966" s="65">
        <f>IFERROR(AVERAGE($AA1967/$AA1966-1,$AB1967/$AB1966-1,$AC1967/$AC1966-1,$AD1967/$AD1966-1,$AE1967/$AE1966-1,$AG1967/$AG1966-1,$AH1967/$AH1966-1,$AI1967/$AI1966-1,$AJ1967/$AJ1966-1,$AL1967/$AL1966-1,$AM1967/$AM1966-1,$AR1967/$AR1966-1,$AS1967/$AS1966-1,$AT1967/$AT1966-1,$AU1967/$AU1966-1,$AV1967/$AV1966-1,$AW1967/$AW1966-1,$AX1967/$AX1966-1,$AY1967/$AY1966-1),"")</f>
        <v/>
      </c>
      <c r="DW1966" s="66">
        <f>AVERAGE($CB1966,$CC1966,$CD1966,$CE1966,$CF1966,$CG1966,$CH1966,$CI1966,$CJ1966,$CL1966,$CM1966,$CN1966,$CO1966,$CP1966,$CQ1966,$CR1966,$CS1966,$CT1966)</f>
        <v/>
      </c>
      <c r="DX1966" s="66">
        <f>AVERAGE($CB1966,$CC1966,$CM1966,$CE1966,$CP1966)</f>
        <v/>
      </c>
      <c r="DY1966" s="64">
        <f>($DW1966-$DW1967)*100</f>
        <v/>
      </c>
      <c r="DZ1966" s="64">
        <f>($DX1966-$DX1967)*100</f>
        <v/>
      </c>
      <c r="EA1966" s="64">
        <f>($DW1966-$D1966)*100</f>
        <v/>
      </c>
      <c r="EB1966" s="64">
        <f>$Q1966-$O1966</f>
        <v/>
      </c>
      <c r="EC1966" s="67">
        <f>IFERROR($Q1966/$P1966,"")</f>
        <v/>
      </c>
    </row>
    <row r="1967">
      <c r="DG1967" s="64">
        <f>($B1967-$B1968)*100</f>
        <v/>
      </c>
      <c r="DH1967" s="64">
        <f>($D1967-$D1968)*100</f>
        <v/>
      </c>
      <c r="DI1967" s="64">
        <f>($E1967-$E1968)*100</f>
        <v/>
      </c>
      <c r="DJ1967" s="64">
        <f>($H1967-$H1968)*100</f>
        <v/>
      </c>
      <c r="DK1967" s="65">
        <f>IFERROR($J1967/$J1968-1,"")</f>
        <v/>
      </c>
      <c r="DL1967" s="64">
        <f>$L1967-$L1968</f>
        <v/>
      </c>
      <c r="DM1967" s="64">
        <f>$K1967-$K1968</f>
        <v/>
      </c>
      <c r="DN1967" s="65">
        <f>IFERROR($N1967/$N1968-1,"")</f>
        <v/>
      </c>
      <c r="DO1967" s="65">
        <f>IFERROR($M1967/$M1968-1,"")</f>
        <v/>
      </c>
      <c r="DP1967" s="65">
        <f>IFERROR($AZ1967/$AZ1968-1,"")</f>
        <v/>
      </c>
      <c r="DQ1967" s="65">
        <f>IFERROR($BA1967/$BA1968-1,"")</f>
        <v/>
      </c>
      <c r="DR1967" s="64">
        <f>$O1967-$O1968</f>
        <v/>
      </c>
      <c r="DS1967" s="64">
        <f>$P1967-$P1968</f>
        <v/>
      </c>
      <c r="DT1967" s="64">
        <f>$Q1967-$Q1968</f>
        <v/>
      </c>
      <c r="DU1967" s="64">
        <f>$S1967-$S1968</f>
        <v/>
      </c>
      <c r="DV1967" s="65">
        <f>IFERROR(AVERAGE($AA1968/$AA1967-1,$AB1968/$AB1967-1,$AC1968/$AC1967-1,$AD1968/$AD1967-1,$AE1968/$AE1967-1,$AG1968/$AG1967-1,$AH1968/$AH1967-1,$AI1968/$AI1967-1,$AJ1968/$AJ1967-1,$AL1968/$AL1967-1,$AM1968/$AM1967-1,$AR1968/$AR1967-1,$AS1968/$AS1967-1,$AT1968/$AT1967-1,$AU1968/$AU1967-1,$AV1968/$AV1967-1,$AW1968/$AW1967-1,$AX1968/$AX1967-1,$AY1968/$AY1967-1),"")</f>
        <v/>
      </c>
      <c r="DW1967" s="66">
        <f>AVERAGE($CB1967,$CC1967,$CD1967,$CE1967,$CF1967,$CG1967,$CH1967,$CI1967,$CJ1967,$CL1967,$CM1967,$CN1967,$CO1967,$CP1967,$CQ1967,$CR1967,$CS1967,$CT1967)</f>
        <v/>
      </c>
      <c r="DX1967" s="66">
        <f>AVERAGE($CB1967,$CC1967,$CM1967,$CE1967,$CP1967)</f>
        <v/>
      </c>
      <c r="DY1967" s="64">
        <f>($DW1967-$DW1968)*100</f>
        <v/>
      </c>
      <c r="DZ1967" s="64">
        <f>($DX1967-$DX1968)*100</f>
        <v/>
      </c>
      <c r="EA1967" s="64">
        <f>($DW1967-$D1967)*100</f>
        <v/>
      </c>
      <c r="EB1967" s="64">
        <f>$Q1967-$O1967</f>
        <v/>
      </c>
      <c r="EC1967" s="67">
        <f>IFERROR($Q1967/$P1967,"")</f>
        <v/>
      </c>
    </row>
    <row r="1968">
      <c r="DG1968" s="64">
        <f>($B1968-$B1969)*100</f>
        <v/>
      </c>
      <c r="DH1968" s="64">
        <f>($D1968-$D1969)*100</f>
        <v/>
      </c>
      <c r="DI1968" s="64">
        <f>($E1968-$E1969)*100</f>
        <v/>
      </c>
      <c r="DJ1968" s="64">
        <f>($H1968-$H1969)*100</f>
        <v/>
      </c>
      <c r="DK1968" s="65">
        <f>IFERROR($J1968/$J1969-1,"")</f>
        <v/>
      </c>
      <c r="DL1968" s="64">
        <f>$L1968-$L1969</f>
        <v/>
      </c>
      <c r="DM1968" s="64">
        <f>$K1968-$K1969</f>
        <v/>
      </c>
      <c r="DN1968" s="65">
        <f>IFERROR($N1968/$N1969-1,"")</f>
        <v/>
      </c>
      <c r="DO1968" s="65">
        <f>IFERROR($M1968/$M1969-1,"")</f>
        <v/>
      </c>
      <c r="DP1968" s="65">
        <f>IFERROR($AZ1968/$AZ1969-1,"")</f>
        <v/>
      </c>
      <c r="DQ1968" s="65">
        <f>IFERROR($BA1968/$BA1969-1,"")</f>
        <v/>
      </c>
      <c r="DR1968" s="64">
        <f>$O1968-$O1969</f>
        <v/>
      </c>
      <c r="DS1968" s="64">
        <f>$P1968-$P1969</f>
        <v/>
      </c>
      <c r="DT1968" s="64">
        <f>$Q1968-$Q1969</f>
        <v/>
      </c>
      <c r="DU1968" s="64">
        <f>$S1968-$S1969</f>
        <v/>
      </c>
      <c r="DV1968" s="65">
        <f>IFERROR(AVERAGE($AA1969/$AA1968-1,$AB1969/$AB1968-1,$AC1969/$AC1968-1,$AD1969/$AD1968-1,$AE1969/$AE1968-1,$AG1969/$AG1968-1,$AH1969/$AH1968-1,$AI1969/$AI1968-1,$AJ1969/$AJ1968-1,$AL1969/$AL1968-1,$AM1969/$AM1968-1,$AR1969/$AR1968-1,$AS1969/$AS1968-1,$AT1969/$AT1968-1,$AU1969/$AU1968-1,$AV1969/$AV1968-1,$AW1969/$AW1968-1,$AX1969/$AX1968-1,$AY1969/$AY1968-1),"")</f>
        <v/>
      </c>
      <c r="DW1968" s="66">
        <f>AVERAGE($CB1968,$CC1968,$CD1968,$CE1968,$CF1968,$CG1968,$CH1968,$CI1968,$CJ1968,$CL1968,$CM1968,$CN1968,$CO1968,$CP1968,$CQ1968,$CR1968,$CS1968,$CT1968)</f>
        <v/>
      </c>
      <c r="DX1968" s="66">
        <f>AVERAGE($CB1968,$CC1968,$CM1968,$CE1968,$CP1968)</f>
        <v/>
      </c>
      <c r="DY1968" s="64">
        <f>($DW1968-$DW1969)*100</f>
        <v/>
      </c>
      <c r="DZ1968" s="64">
        <f>($DX1968-$DX1969)*100</f>
        <v/>
      </c>
      <c r="EA1968" s="64">
        <f>($DW1968-$D1968)*100</f>
        <v/>
      </c>
      <c r="EB1968" s="64">
        <f>$Q1968-$O1968</f>
        <v/>
      </c>
      <c r="EC1968" s="67">
        <f>IFERROR($Q1968/$P1968,"")</f>
        <v/>
      </c>
    </row>
    <row r="1969">
      <c r="DG1969" s="64">
        <f>($B1969-$B1970)*100</f>
        <v/>
      </c>
      <c r="DH1969" s="64">
        <f>($D1969-$D1970)*100</f>
        <v/>
      </c>
      <c r="DI1969" s="64">
        <f>($E1969-$E1970)*100</f>
        <v/>
      </c>
      <c r="DJ1969" s="64">
        <f>($H1969-$H1970)*100</f>
        <v/>
      </c>
      <c r="DK1969" s="65">
        <f>IFERROR($J1969/$J1970-1,"")</f>
        <v/>
      </c>
      <c r="DL1969" s="64">
        <f>$L1969-$L1970</f>
        <v/>
      </c>
      <c r="DM1969" s="64">
        <f>$K1969-$K1970</f>
        <v/>
      </c>
      <c r="DN1969" s="65">
        <f>IFERROR($N1969/$N1970-1,"")</f>
        <v/>
      </c>
      <c r="DO1969" s="65">
        <f>IFERROR($M1969/$M1970-1,"")</f>
        <v/>
      </c>
      <c r="DP1969" s="65">
        <f>IFERROR($AZ1969/$AZ1970-1,"")</f>
        <v/>
      </c>
      <c r="DQ1969" s="65">
        <f>IFERROR($BA1969/$BA1970-1,"")</f>
        <v/>
      </c>
      <c r="DR1969" s="64">
        <f>$O1969-$O1970</f>
        <v/>
      </c>
      <c r="DS1969" s="64">
        <f>$P1969-$P1970</f>
        <v/>
      </c>
      <c r="DT1969" s="64">
        <f>$Q1969-$Q1970</f>
        <v/>
      </c>
      <c r="DU1969" s="64">
        <f>$S1969-$S1970</f>
        <v/>
      </c>
      <c r="DV1969" s="65">
        <f>IFERROR(AVERAGE($AA1970/$AA1969-1,$AB1970/$AB1969-1,$AC1970/$AC1969-1,$AD1970/$AD1969-1,$AE1970/$AE1969-1,$AG1970/$AG1969-1,$AH1970/$AH1969-1,$AI1970/$AI1969-1,$AJ1970/$AJ1969-1,$AL1970/$AL1969-1,$AM1970/$AM1969-1,$AR1970/$AR1969-1,$AS1970/$AS1969-1,$AT1970/$AT1969-1,$AU1970/$AU1969-1,$AV1970/$AV1969-1,$AW1970/$AW1969-1,$AX1970/$AX1969-1,$AY1970/$AY1969-1),"")</f>
        <v/>
      </c>
      <c r="DW1969" s="66">
        <f>AVERAGE($CB1969,$CC1969,$CD1969,$CE1969,$CF1969,$CG1969,$CH1969,$CI1969,$CJ1969,$CL1969,$CM1969,$CN1969,$CO1969,$CP1969,$CQ1969,$CR1969,$CS1969,$CT1969)</f>
        <v/>
      </c>
      <c r="DX1969" s="66">
        <f>AVERAGE($CB1969,$CC1969,$CM1969,$CE1969,$CP1969)</f>
        <v/>
      </c>
      <c r="DY1969" s="64">
        <f>($DW1969-$DW1970)*100</f>
        <v/>
      </c>
      <c r="DZ1969" s="64">
        <f>($DX1969-$DX1970)*100</f>
        <v/>
      </c>
      <c r="EA1969" s="64">
        <f>($DW1969-$D1969)*100</f>
        <v/>
      </c>
      <c r="EB1969" s="64">
        <f>$Q1969-$O1969</f>
        <v/>
      </c>
      <c r="EC1969" s="67">
        <f>IFERROR($Q1969/$P1969,"")</f>
        <v/>
      </c>
    </row>
    <row r="1970">
      <c r="DG1970" s="64">
        <f>($B1970-$B1971)*100</f>
        <v/>
      </c>
      <c r="DH1970" s="64">
        <f>($D1970-$D1971)*100</f>
        <v/>
      </c>
      <c r="DI1970" s="64">
        <f>($E1970-$E1971)*100</f>
        <v/>
      </c>
      <c r="DJ1970" s="64">
        <f>($H1970-$H1971)*100</f>
        <v/>
      </c>
      <c r="DK1970" s="65">
        <f>IFERROR($J1970/$J1971-1,"")</f>
        <v/>
      </c>
      <c r="DL1970" s="64">
        <f>$L1970-$L1971</f>
        <v/>
      </c>
      <c r="DM1970" s="64">
        <f>$K1970-$K1971</f>
        <v/>
      </c>
      <c r="DN1970" s="65">
        <f>IFERROR($N1970/$N1971-1,"")</f>
        <v/>
      </c>
      <c r="DO1970" s="65">
        <f>IFERROR($M1970/$M1971-1,"")</f>
        <v/>
      </c>
      <c r="DP1970" s="65">
        <f>IFERROR($AZ1970/$AZ1971-1,"")</f>
        <v/>
      </c>
      <c r="DQ1970" s="65">
        <f>IFERROR($BA1970/$BA1971-1,"")</f>
        <v/>
      </c>
      <c r="DR1970" s="64">
        <f>$O1970-$O1971</f>
        <v/>
      </c>
      <c r="DS1970" s="64">
        <f>$P1970-$P1971</f>
        <v/>
      </c>
      <c r="DT1970" s="64">
        <f>$Q1970-$Q1971</f>
        <v/>
      </c>
      <c r="DU1970" s="64">
        <f>$S1970-$S1971</f>
        <v/>
      </c>
      <c r="DV1970" s="65">
        <f>IFERROR(AVERAGE($AA1971/$AA1970-1,$AB1971/$AB1970-1,$AC1971/$AC1970-1,$AD1971/$AD1970-1,$AE1971/$AE1970-1,$AG1971/$AG1970-1,$AH1971/$AH1970-1,$AI1971/$AI1970-1,$AJ1971/$AJ1970-1,$AL1971/$AL1970-1,$AM1971/$AM1970-1,$AR1971/$AR1970-1,$AS1971/$AS1970-1,$AT1971/$AT1970-1,$AU1971/$AU1970-1,$AV1971/$AV1970-1,$AW1971/$AW1970-1,$AX1971/$AX1970-1,$AY1971/$AY1970-1),"")</f>
        <v/>
      </c>
      <c r="DW1970" s="66">
        <f>AVERAGE($CB1970,$CC1970,$CD1970,$CE1970,$CF1970,$CG1970,$CH1970,$CI1970,$CJ1970,$CL1970,$CM1970,$CN1970,$CO1970,$CP1970,$CQ1970,$CR1970,$CS1970,$CT1970)</f>
        <v/>
      </c>
      <c r="DX1970" s="66">
        <f>AVERAGE($CB1970,$CC1970,$CM1970,$CE1970,$CP1970)</f>
        <v/>
      </c>
      <c r="DY1970" s="64">
        <f>($DW1970-$DW1971)*100</f>
        <v/>
      </c>
      <c r="DZ1970" s="64">
        <f>($DX1970-$DX1971)*100</f>
        <v/>
      </c>
      <c r="EA1970" s="64">
        <f>($DW1970-$D1970)*100</f>
        <v/>
      </c>
      <c r="EB1970" s="64">
        <f>$Q1970-$O1970</f>
        <v/>
      </c>
      <c r="EC1970" s="67">
        <f>IFERROR($Q1970/$P1970,"")</f>
        <v/>
      </c>
    </row>
    <row r="1971">
      <c r="DG1971" s="64">
        <f>($B1971-$B1972)*100</f>
        <v/>
      </c>
      <c r="DH1971" s="64">
        <f>($D1971-$D1972)*100</f>
        <v/>
      </c>
      <c r="DI1971" s="64">
        <f>($E1971-$E1972)*100</f>
        <v/>
      </c>
      <c r="DJ1971" s="64">
        <f>($H1971-$H1972)*100</f>
        <v/>
      </c>
      <c r="DK1971" s="65">
        <f>IFERROR($J1971/$J1972-1,"")</f>
        <v/>
      </c>
      <c r="DL1971" s="64">
        <f>$L1971-$L1972</f>
        <v/>
      </c>
      <c r="DM1971" s="64">
        <f>$K1971-$K1972</f>
        <v/>
      </c>
      <c r="DN1971" s="65">
        <f>IFERROR($N1971/$N1972-1,"")</f>
        <v/>
      </c>
      <c r="DO1971" s="65">
        <f>IFERROR($M1971/$M1972-1,"")</f>
        <v/>
      </c>
      <c r="DP1971" s="65">
        <f>IFERROR($AZ1971/$AZ1972-1,"")</f>
        <v/>
      </c>
      <c r="DQ1971" s="65">
        <f>IFERROR($BA1971/$BA1972-1,"")</f>
        <v/>
      </c>
      <c r="DR1971" s="64">
        <f>$O1971-$O1972</f>
        <v/>
      </c>
      <c r="DS1971" s="64">
        <f>$P1971-$P1972</f>
        <v/>
      </c>
      <c r="DT1971" s="64">
        <f>$Q1971-$Q1972</f>
        <v/>
      </c>
      <c r="DU1971" s="64">
        <f>$S1971-$S1972</f>
        <v/>
      </c>
      <c r="DV1971" s="65">
        <f>IFERROR(AVERAGE($AA1972/$AA1971-1,$AB1972/$AB1971-1,$AC1972/$AC1971-1,$AD1972/$AD1971-1,$AE1972/$AE1971-1,$AG1972/$AG1971-1,$AH1972/$AH1971-1,$AI1972/$AI1971-1,$AJ1972/$AJ1971-1,$AL1972/$AL1971-1,$AM1972/$AM1971-1,$AR1972/$AR1971-1,$AS1972/$AS1971-1,$AT1972/$AT1971-1,$AU1972/$AU1971-1,$AV1972/$AV1971-1,$AW1972/$AW1971-1,$AX1972/$AX1971-1,$AY1972/$AY1971-1),"")</f>
        <v/>
      </c>
      <c r="DW1971" s="66">
        <f>AVERAGE($CB1971,$CC1971,$CD1971,$CE1971,$CF1971,$CG1971,$CH1971,$CI1971,$CJ1971,$CL1971,$CM1971,$CN1971,$CO1971,$CP1971,$CQ1971,$CR1971,$CS1971,$CT1971)</f>
        <v/>
      </c>
      <c r="DX1971" s="66">
        <f>AVERAGE($CB1971,$CC1971,$CM1971,$CE1971,$CP1971)</f>
        <v/>
      </c>
      <c r="DY1971" s="64">
        <f>($DW1971-$DW1972)*100</f>
        <v/>
      </c>
      <c r="DZ1971" s="64">
        <f>($DX1971-$DX1972)*100</f>
        <v/>
      </c>
      <c r="EA1971" s="64">
        <f>($DW1971-$D1971)*100</f>
        <v/>
      </c>
      <c r="EB1971" s="64">
        <f>$Q1971-$O1971</f>
        <v/>
      </c>
      <c r="EC1971" s="67">
        <f>IFERROR($Q1971/$P1971,"")</f>
        <v/>
      </c>
    </row>
    <row r="1972">
      <c r="DG1972" s="64">
        <f>($B1972-$B1973)*100</f>
        <v/>
      </c>
      <c r="DH1972" s="64">
        <f>($D1972-$D1973)*100</f>
        <v/>
      </c>
      <c r="DI1972" s="64">
        <f>($E1972-$E1973)*100</f>
        <v/>
      </c>
      <c r="DJ1972" s="64">
        <f>($H1972-$H1973)*100</f>
        <v/>
      </c>
      <c r="DK1972" s="65">
        <f>IFERROR($J1972/$J1973-1,"")</f>
        <v/>
      </c>
      <c r="DL1972" s="64">
        <f>$L1972-$L1973</f>
        <v/>
      </c>
      <c r="DM1972" s="64">
        <f>$K1972-$K1973</f>
        <v/>
      </c>
      <c r="DN1972" s="65">
        <f>IFERROR($N1972/$N1973-1,"")</f>
        <v/>
      </c>
      <c r="DO1972" s="65">
        <f>IFERROR($M1972/$M1973-1,"")</f>
        <v/>
      </c>
      <c r="DP1972" s="65">
        <f>IFERROR($AZ1972/$AZ1973-1,"")</f>
        <v/>
      </c>
      <c r="DQ1972" s="65">
        <f>IFERROR($BA1972/$BA1973-1,"")</f>
        <v/>
      </c>
      <c r="DR1972" s="64">
        <f>$O1972-$O1973</f>
        <v/>
      </c>
      <c r="DS1972" s="64">
        <f>$P1972-$P1973</f>
        <v/>
      </c>
      <c r="DT1972" s="64">
        <f>$Q1972-$Q1973</f>
        <v/>
      </c>
      <c r="DU1972" s="64">
        <f>$S1972-$S1973</f>
        <v/>
      </c>
      <c r="DV1972" s="65">
        <f>IFERROR(AVERAGE($AA1973/$AA1972-1,$AB1973/$AB1972-1,$AC1973/$AC1972-1,$AD1973/$AD1972-1,$AE1973/$AE1972-1,$AG1973/$AG1972-1,$AH1973/$AH1972-1,$AI1973/$AI1972-1,$AJ1973/$AJ1972-1,$AL1973/$AL1972-1,$AM1973/$AM1972-1,$AR1973/$AR1972-1,$AS1973/$AS1972-1,$AT1973/$AT1972-1,$AU1973/$AU1972-1,$AV1973/$AV1972-1,$AW1973/$AW1972-1,$AX1973/$AX1972-1,$AY1973/$AY1972-1),"")</f>
        <v/>
      </c>
      <c r="DW1972" s="66">
        <f>AVERAGE($CB1972,$CC1972,$CD1972,$CE1972,$CF1972,$CG1972,$CH1972,$CI1972,$CJ1972,$CL1972,$CM1972,$CN1972,$CO1972,$CP1972,$CQ1972,$CR1972,$CS1972,$CT1972)</f>
        <v/>
      </c>
      <c r="DX1972" s="66">
        <f>AVERAGE($CB1972,$CC1972,$CM1972,$CE1972,$CP1972)</f>
        <v/>
      </c>
      <c r="DY1972" s="64">
        <f>($DW1972-$DW1973)*100</f>
        <v/>
      </c>
      <c r="DZ1972" s="64">
        <f>($DX1972-$DX1973)*100</f>
        <v/>
      </c>
      <c r="EA1972" s="64">
        <f>($DW1972-$D1972)*100</f>
        <v/>
      </c>
      <c r="EB1972" s="64">
        <f>$Q1972-$O1972</f>
        <v/>
      </c>
      <c r="EC1972" s="67">
        <f>IFERROR($Q1972/$P1972,"")</f>
        <v/>
      </c>
    </row>
    <row r="1973">
      <c r="DG1973" s="64">
        <f>($B1973-$B1974)*100</f>
        <v/>
      </c>
      <c r="DH1973" s="64">
        <f>($D1973-$D1974)*100</f>
        <v/>
      </c>
      <c r="DI1973" s="64">
        <f>($E1973-$E1974)*100</f>
        <v/>
      </c>
      <c r="DJ1973" s="64">
        <f>($H1973-$H1974)*100</f>
        <v/>
      </c>
      <c r="DK1973" s="65">
        <f>IFERROR($J1973/$J1974-1,"")</f>
        <v/>
      </c>
      <c r="DL1973" s="64">
        <f>$L1973-$L1974</f>
        <v/>
      </c>
      <c r="DM1973" s="64">
        <f>$K1973-$K1974</f>
        <v/>
      </c>
      <c r="DN1973" s="65">
        <f>IFERROR($N1973/$N1974-1,"")</f>
        <v/>
      </c>
      <c r="DO1973" s="65">
        <f>IFERROR($M1973/$M1974-1,"")</f>
        <v/>
      </c>
      <c r="DP1973" s="65">
        <f>IFERROR($AZ1973/$AZ1974-1,"")</f>
        <v/>
      </c>
      <c r="DQ1973" s="65">
        <f>IFERROR($BA1973/$BA1974-1,"")</f>
        <v/>
      </c>
      <c r="DR1973" s="64">
        <f>$O1973-$O1974</f>
        <v/>
      </c>
      <c r="DS1973" s="64">
        <f>$P1973-$P1974</f>
        <v/>
      </c>
      <c r="DT1973" s="64">
        <f>$Q1973-$Q1974</f>
        <v/>
      </c>
      <c r="DU1973" s="64">
        <f>$S1973-$S1974</f>
        <v/>
      </c>
      <c r="DV1973" s="65">
        <f>IFERROR(AVERAGE($AA1974/$AA1973-1,$AB1974/$AB1973-1,$AC1974/$AC1973-1,$AD1974/$AD1973-1,$AE1974/$AE1973-1,$AG1974/$AG1973-1,$AH1974/$AH1973-1,$AI1974/$AI1973-1,$AJ1974/$AJ1973-1,$AL1974/$AL1973-1,$AM1974/$AM1973-1,$AR1974/$AR1973-1,$AS1974/$AS1973-1,$AT1974/$AT1973-1,$AU1974/$AU1973-1,$AV1974/$AV1973-1,$AW1974/$AW1973-1,$AX1974/$AX1973-1,$AY1974/$AY1973-1),"")</f>
        <v/>
      </c>
      <c r="DW1973" s="66">
        <f>AVERAGE($CB1973,$CC1973,$CD1973,$CE1973,$CF1973,$CG1973,$CH1973,$CI1973,$CJ1973,$CL1973,$CM1973,$CN1973,$CO1973,$CP1973,$CQ1973,$CR1973,$CS1973,$CT1973)</f>
        <v/>
      </c>
      <c r="DX1973" s="66">
        <f>AVERAGE($CB1973,$CC1973,$CM1973,$CE1973,$CP1973)</f>
        <v/>
      </c>
      <c r="DY1973" s="64">
        <f>($DW1973-$DW1974)*100</f>
        <v/>
      </c>
      <c r="DZ1973" s="64">
        <f>($DX1973-$DX1974)*100</f>
        <v/>
      </c>
      <c r="EA1973" s="64">
        <f>($DW1973-$D1973)*100</f>
        <v/>
      </c>
      <c r="EB1973" s="64">
        <f>$Q1973-$O1973</f>
        <v/>
      </c>
      <c r="EC1973" s="67">
        <f>IFERROR($Q1973/$P1973,"")</f>
        <v/>
      </c>
    </row>
    <row r="1974">
      <c r="DG1974" s="64">
        <f>($B1974-$B1975)*100</f>
        <v/>
      </c>
      <c r="DH1974" s="64">
        <f>($D1974-$D1975)*100</f>
        <v/>
      </c>
      <c r="DI1974" s="64">
        <f>($E1974-$E1975)*100</f>
        <v/>
      </c>
      <c r="DJ1974" s="64">
        <f>($H1974-$H1975)*100</f>
        <v/>
      </c>
      <c r="DK1974" s="65">
        <f>IFERROR($J1974/$J1975-1,"")</f>
        <v/>
      </c>
      <c r="DL1974" s="64">
        <f>$L1974-$L1975</f>
        <v/>
      </c>
      <c r="DM1974" s="64">
        <f>$K1974-$K1975</f>
        <v/>
      </c>
      <c r="DN1974" s="65">
        <f>IFERROR($N1974/$N1975-1,"")</f>
        <v/>
      </c>
      <c r="DO1974" s="65">
        <f>IFERROR($M1974/$M1975-1,"")</f>
        <v/>
      </c>
      <c r="DP1974" s="65">
        <f>IFERROR($AZ1974/$AZ1975-1,"")</f>
        <v/>
      </c>
      <c r="DQ1974" s="65">
        <f>IFERROR($BA1974/$BA1975-1,"")</f>
        <v/>
      </c>
      <c r="DR1974" s="64">
        <f>$O1974-$O1975</f>
        <v/>
      </c>
      <c r="DS1974" s="64">
        <f>$P1974-$P1975</f>
        <v/>
      </c>
      <c r="DT1974" s="64">
        <f>$Q1974-$Q1975</f>
        <v/>
      </c>
      <c r="DU1974" s="64">
        <f>$S1974-$S1975</f>
        <v/>
      </c>
      <c r="DV1974" s="65">
        <f>IFERROR(AVERAGE($AA1975/$AA1974-1,$AB1975/$AB1974-1,$AC1975/$AC1974-1,$AD1975/$AD1974-1,$AE1975/$AE1974-1,$AG1975/$AG1974-1,$AH1975/$AH1974-1,$AI1975/$AI1974-1,$AJ1975/$AJ1974-1,$AL1975/$AL1974-1,$AM1975/$AM1974-1,$AR1975/$AR1974-1,$AS1975/$AS1974-1,$AT1975/$AT1974-1,$AU1975/$AU1974-1,$AV1975/$AV1974-1,$AW1975/$AW1974-1,$AX1975/$AX1974-1,$AY1975/$AY1974-1),"")</f>
        <v/>
      </c>
      <c r="DW1974" s="66">
        <f>AVERAGE($CB1974,$CC1974,$CD1974,$CE1974,$CF1974,$CG1974,$CH1974,$CI1974,$CJ1974,$CL1974,$CM1974,$CN1974,$CO1974,$CP1974,$CQ1974,$CR1974,$CS1974,$CT1974)</f>
        <v/>
      </c>
      <c r="DX1974" s="66">
        <f>AVERAGE($CB1974,$CC1974,$CM1974,$CE1974,$CP1974)</f>
        <v/>
      </c>
      <c r="DY1974" s="64">
        <f>($DW1974-$DW1975)*100</f>
        <v/>
      </c>
      <c r="DZ1974" s="64">
        <f>($DX1974-$DX1975)*100</f>
        <v/>
      </c>
      <c r="EA1974" s="64">
        <f>($DW1974-$D1974)*100</f>
        <v/>
      </c>
      <c r="EB1974" s="64">
        <f>$Q1974-$O1974</f>
        <v/>
      </c>
      <c r="EC1974" s="67">
        <f>IFERROR($Q1974/$P1974,"")</f>
        <v/>
      </c>
    </row>
    <row r="1975">
      <c r="DG1975" s="64">
        <f>($B1975-$B1976)*100</f>
        <v/>
      </c>
      <c r="DH1975" s="64">
        <f>($D1975-$D1976)*100</f>
        <v/>
      </c>
      <c r="DI1975" s="64">
        <f>($E1975-$E1976)*100</f>
        <v/>
      </c>
      <c r="DJ1975" s="64">
        <f>($H1975-$H1976)*100</f>
        <v/>
      </c>
      <c r="DK1975" s="65">
        <f>IFERROR($J1975/$J1976-1,"")</f>
        <v/>
      </c>
      <c r="DL1975" s="64">
        <f>$L1975-$L1976</f>
        <v/>
      </c>
      <c r="DM1975" s="64">
        <f>$K1975-$K1976</f>
        <v/>
      </c>
      <c r="DN1975" s="65">
        <f>IFERROR($N1975/$N1976-1,"")</f>
        <v/>
      </c>
      <c r="DO1975" s="65">
        <f>IFERROR($M1975/$M1976-1,"")</f>
        <v/>
      </c>
      <c r="DP1975" s="65">
        <f>IFERROR($AZ1975/$AZ1976-1,"")</f>
        <v/>
      </c>
      <c r="DQ1975" s="65">
        <f>IFERROR($BA1975/$BA1976-1,"")</f>
        <v/>
      </c>
      <c r="DR1975" s="64">
        <f>$O1975-$O1976</f>
        <v/>
      </c>
      <c r="DS1975" s="64">
        <f>$P1975-$P1976</f>
        <v/>
      </c>
      <c r="DT1975" s="64">
        <f>$Q1975-$Q1976</f>
        <v/>
      </c>
      <c r="DU1975" s="64">
        <f>$S1975-$S1976</f>
        <v/>
      </c>
      <c r="DV1975" s="65">
        <f>IFERROR(AVERAGE($AA1976/$AA1975-1,$AB1976/$AB1975-1,$AC1976/$AC1975-1,$AD1976/$AD1975-1,$AE1976/$AE1975-1,$AG1976/$AG1975-1,$AH1976/$AH1975-1,$AI1976/$AI1975-1,$AJ1976/$AJ1975-1,$AL1976/$AL1975-1,$AM1976/$AM1975-1,$AR1976/$AR1975-1,$AS1976/$AS1975-1,$AT1976/$AT1975-1,$AU1976/$AU1975-1,$AV1976/$AV1975-1,$AW1976/$AW1975-1,$AX1976/$AX1975-1,$AY1976/$AY1975-1),"")</f>
        <v/>
      </c>
      <c r="DW1975" s="66">
        <f>AVERAGE($CB1975,$CC1975,$CD1975,$CE1975,$CF1975,$CG1975,$CH1975,$CI1975,$CJ1975,$CL1975,$CM1975,$CN1975,$CO1975,$CP1975,$CQ1975,$CR1975,$CS1975,$CT1975)</f>
        <v/>
      </c>
      <c r="DX1975" s="66">
        <f>AVERAGE($CB1975,$CC1975,$CM1975,$CE1975,$CP1975)</f>
        <v/>
      </c>
      <c r="DY1975" s="64">
        <f>($DW1975-$DW1976)*100</f>
        <v/>
      </c>
      <c r="DZ1975" s="64">
        <f>($DX1975-$DX1976)*100</f>
        <v/>
      </c>
      <c r="EA1975" s="64">
        <f>($DW1975-$D1975)*100</f>
        <v/>
      </c>
      <c r="EB1975" s="64">
        <f>$Q1975-$O1975</f>
        <v/>
      </c>
      <c r="EC1975" s="67">
        <f>IFERROR($Q1975/$P1975,"")</f>
        <v/>
      </c>
    </row>
    <row r="1976">
      <c r="DG1976" s="64">
        <f>($B1976-$B1977)*100</f>
        <v/>
      </c>
      <c r="DH1976" s="64">
        <f>($D1976-$D1977)*100</f>
        <v/>
      </c>
      <c r="DI1976" s="64">
        <f>($E1976-$E1977)*100</f>
        <v/>
      </c>
      <c r="DJ1976" s="64">
        <f>($H1976-$H1977)*100</f>
        <v/>
      </c>
      <c r="DK1976" s="65">
        <f>IFERROR($J1976/$J1977-1,"")</f>
        <v/>
      </c>
      <c r="DL1976" s="64">
        <f>$L1976-$L1977</f>
        <v/>
      </c>
      <c r="DM1976" s="64">
        <f>$K1976-$K1977</f>
        <v/>
      </c>
      <c r="DN1976" s="65">
        <f>IFERROR($N1976/$N1977-1,"")</f>
        <v/>
      </c>
      <c r="DO1976" s="65">
        <f>IFERROR($M1976/$M1977-1,"")</f>
        <v/>
      </c>
      <c r="DP1976" s="65">
        <f>IFERROR($AZ1976/$AZ1977-1,"")</f>
        <v/>
      </c>
      <c r="DQ1976" s="65">
        <f>IFERROR($BA1976/$BA1977-1,"")</f>
        <v/>
      </c>
      <c r="DR1976" s="64">
        <f>$O1976-$O1977</f>
        <v/>
      </c>
      <c r="DS1976" s="64">
        <f>$P1976-$P1977</f>
        <v/>
      </c>
      <c r="DT1976" s="64">
        <f>$Q1976-$Q1977</f>
        <v/>
      </c>
      <c r="DU1976" s="64">
        <f>$S1976-$S1977</f>
        <v/>
      </c>
      <c r="DV1976" s="65">
        <f>IFERROR(AVERAGE($AA1977/$AA1976-1,$AB1977/$AB1976-1,$AC1977/$AC1976-1,$AD1977/$AD1976-1,$AE1977/$AE1976-1,$AG1977/$AG1976-1,$AH1977/$AH1976-1,$AI1977/$AI1976-1,$AJ1977/$AJ1976-1,$AL1977/$AL1976-1,$AM1977/$AM1976-1,$AR1977/$AR1976-1,$AS1977/$AS1976-1,$AT1977/$AT1976-1,$AU1977/$AU1976-1,$AV1977/$AV1976-1,$AW1977/$AW1976-1,$AX1977/$AX1976-1,$AY1977/$AY1976-1),"")</f>
        <v/>
      </c>
      <c r="DW1976" s="66">
        <f>AVERAGE($CB1976,$CC1976,$CD1976,$CE1976,$CF1976,$CG1976,$CH1976,$CI1976,$CJ1976,$CL1976,$CM1976,$CN1976,$CO1976,$CP1976,$CQ1976,$CR1976,$CS1976,$CT1976)</f>
        <v/>
      </c>
      <c r="DX1976" s="66">
        <f>AVERAGE($CB1976,$CC1976,$CM1976,$CE1976,$CP1976)</f>
        <v/>
      </c>
      <c r="DY1976" s="64">
        <f>($DW1976-$DW1977)*100</f>
        <v/>
      </c>
      <c r="DZ1976" s="64">
        <f>($DX1976-$DX1977)*100</f>
        <v/>
      </c>
      <c r="EA1976" s="64">
        <f>($DW1976-$D1976)*100</f>
        <v/>
      </c>
      <c r="EB1976" s="64">
        <f>$Q1976-$O1976</f>
        <v/>
      </c>
      <c r="EC1976" s="67">
        <f>IFERROR($Q1976/$P1976,"")</f>
        <v/>
      </c>
    </row>
    <row r="1977">
      <c r="DG1977" s="64">
        <f>($B1977-$B1978)*100</f>
        <v/>
      </c>
      <c r="DH1977" s="64">
        <f>($D1977-$D1978)*100</f>
        <v/>
      </c>
      <c r="DI1977" s="64">
        <f>($E1977-$E1978)*100</f>
        <v/>
      </c>
      <c r="DJ1977" s="64">
        <f>($H1977-$H1978)*100</f>
        <v/>
      </c>
      <c r="DK1977" s="65">
        <f>IFERROR($J1977/$J1978-1,"")</f>
        <v/>
      </c>
      <c r="DL1977" s="64">
        <f>$L1977-$L1978</f>
        <v/>
      </c>
      <c r="DM1977" s="64">
        <f>$K1977-$K1978</f>
        <v/>
      </c>
      <c r="DN1977" s="65">
        <f>IFERROR($N1977/$N1978-1,"")</f>
        <v/>
      </c>
      <c r="DO1977" s="65">
        <f>IFERROR($M1977/$M1978-1,"")</f>
        <v/>
      </c>
      <c r="DP1977" s="65">
        <f>IFERROR($AZ1977/$AZ1978-1,"")</f>
        <v/>
      </c>
      <c r="DQ1977" s="65">
        <f>IFERROR($BA1977/$BA1978-1,"")</f>
        <v/>
      </c>
      <c r="DR1977" s="64">
        <f>$O1977-$O1978</f>
        <v/>
      </c>
      <c r="DS1977" s="64">
        <f>$P1977-$P1978</f>
        <v/>
      </c>
      <c r="DT1977" s="64">
        <f>$Q1977-$Q1978</f>
        <v/>
      </c>
      <c r="DU1977" s="64">
        <f>$S1977-$S1978</f>
        <v/>
      </c>
      <c r="DV1977" s="65">
        <f>IFERROR(AVERAGE($AA1978/$AA1977-1,$AB1978/$AB1977-1,$AC1978/$AC1977-1,$AD1978/$AD1977-1,$AE1978/$AE1977-1,$AG1978/$AG1977-1,$AH1978/$AH1977-1,$AI1978/$AI1977-1,$AJ1978/$AJ1977-1,$AL1978/$AL1977-1,$AM1978/$AM1977-1,$AR1978/$AR1977-1,$AS1978/$AS1977-1,$AT1978/$AT1977-1,$AU1978/$AU1977-1,$AV1978/$AV1977-1,$AW1978/$AW1977-1,$AX1978/$AX1977-1,$AY1978/$AY1977-1),"")</f>
        <v/>
      </c>
      <c r="DW1977" s="66">
        <f>AVERAGE($CB1977,$CC1977,$CD1977,$CE1977,$CF1977,$CG1977,$CH1977,$CI1977,$CJ1977,$CL1977,$CM1977,$CN1977,$CO1977,$CP1977,$CQ1977,$CR1977,$CS1977,$CT1977)</f>
        <v/>
      </c>
      <c r="DX1977" s="66">
        <f>AVERAGE($CB1977,$CC1977,$CM1977,$CE1977,$CP1977)</f>
        <v/>
      </c>
      <c r="DY1977" s="64">
        <f>($DW1977-$DW1978)*100</f>
        <v/>
      </c>
      <c r="DZ1977" s="64">
        <f>($DX1977-$DX1978)*100</f>
        <v/>
      </c>
      <c r="EA1977" s="64">
        <f>($DW1977-$D1977)*100</f>
        <v/>
      </c>
      <c r="EB1977" s="64">
        <f>$Q1977-$O1977</f>
        <v/>
      </c>
      <c r="EC1977" s="67">
        <f>IFERROR($Q1977/$P1977,"")</f>
        <v/>
      </c>
    </row>
    <row r="1978">
      <c r="DG1978" s="64">
        <f>($B1978-$B1979)*100</f>
        <v/>
      </c>
      <c r="DH1978" s="64">
        <f>($D1978-$D1979)*100</f>
        <v/>
      </c>
      <c r="DI1978" s="64">
        <f>($E1978-$E1979)*100</f>
        <v/>
      </c>
      <c r="DJ1978" s="64">
        <f>($H1978-$H1979)*100</f>
        <v/>
      </c>
      <c r="DK1978" s="65">
        <f>IFERROR($J1978/$J1979-1,"")</f>
        <v/>
      </c>
      <c r="DL1978" s="64">
        <f>$L1978-$L1979</f>
        <v/>
      </c>
      <c r="DM1978" s="64">
        <f>$K1978-$K1979</f>
        <v/>
      </c>
      <c r="DN1978" s="65">
        <f>IFERROR($N1978/$N1979-1,"")</f>
        <v/>
      </c>
      <c r="DO1978" s="65">
        <f>IFERROR($M1978/$M1979-1,"")</f>
        <v/>
      </c>
      <c r="DP1978" s="65">
        <f>IFERROR($AZ1978/$AZ1979-1,"")</f>
        <v/>
      </c>
      <c r="DQ1978" s="65">
        <f>IFERROR($BA1978/$BA1979-1,"")</f>
        <v/>
      </c>
      <c r="DR1978" s="64">
        <f>$O1978-$O1979</f>
        <v/>
      </c>
      <c r="DS1978" s="64">
        <f>$P1978-$P1979</f>
        <v/>
      </c>
      <c r="DT1978" s="64">
        <f>$Q1978-$Q1979</f>
        <v/>
      </c>
      <c r="DU1978" s="64">
        <f>$S1978-$S1979</f>
        <v/>
      </c>
      <c r="DV1978" s="65">
        <f>IFERROR(AVERAGE($AA1979/$AA1978-1,$AB1979/$AB1978-1,$AC1979/$AC1978-1,$AD1979/$AD1978-1,$AE1979/$AE1978-1,$AG1979/$AG1978-1,$AH1979/$AH1978-1,$AI1979/$AI1978-1,$AJ1979/$AJ1978-1,$AL1979/$AL1978-1,$AM1979/$AM1978-1,$AR1979/$AR1978-1,$AS1979/$AS1978-1,$AT1979/$AT1978-1,$AU1979/$AU1978-1,$AV1979/$AV1978-1,$AW1979/$AW1978-1,$AX1979/$AX1978-1,$AY1979/$AY1978-1),"")</f>
        <v/>
      </c>
      <c r="DW1978" s="66">
        <f>AVERAGE($CB1978,$CC1978,$CD1978,$CE1978,$CF1978,$CG1978,$CH1978,$CI1978,$CJ1978,$CL1978,$CM1978,$CN1978,$CO1978,$CP1978,$CQ1978,$CR1978,$CS1978,$CT1978)</f>
        <v/>
      </c>
      <c r="DX1978" s="66">
        <f>AVERAGE($CB1978,$CC1978,$CM1978,$CE1978,$CP1978)</f>
        <v/>
      </c>
      <c r="DY1978" s="64">
        <f>($DW1978-$DW1979)*100</f>
        <v/>
      </c>
      <c r="DZ1978" s="64">
        <f>($DX1978-$DX1979)*100</f>
        <v/>
      </c>
      <c r="EA1978" s="64">
        <f>($DW1978-$D1978)*100</f>
        <v/>
      </c>
      <c r="EB1978" s="64">
        <f>$Q1978-$O1978</f>
        <v/>
      </c>
      <c r="EC1978" s="67">
        <f>IFERROR($Q1978/$P1978,"")</f>
        <v/>
      </c>
    </row>
    <row r="1979">
      <c r="DG1979" s="64">
        <f>($B1979-$B1980)*100</f>
        <v/>
      </c>
      <c r="DH1979" s="64">
        <f>($D1979-$D1980)*100</f>
        <v/>
      </c>
      <c r="DI1979" s="64">
        <f>($E1979-$E1980)*100</f>
        <v/>
      </c>
      <c r="DJ1979" s="64">
        <f>($H1979-$H1980)*100</f>
        <v/>
      </c>
      <c r="DK1979" s="65">
        <f>IFERROR($J1979/$J1980-1,"")</f>
        <v/>
      </c>
      <c r="DL1979" s="64">
        <f>$L1979-$L1980</f>
        <v/>
      </c>
      <c r="DM1979" s="64">
        <f>$K1979-$K1980</f>
        <v/>
      </c>
      <c r="DN1979" s="65">
        <f>IFERROR($N1979/$N1980-1,"")</f>
        <v/>
      </c>
      <c r="DO1979" s="65">
        <f>IFERROR($M1979/$M1980-1,"")</f>
        <v/>
      </c>
      <c r="DP1979" s="65">
        <f>IFERROR($AZ1979/$AZ1980-1,"")</f>
        <v/>
      </c>
      <c r="DQ1979" s="65">
        <f>IFERROR($BA1979/$BA1980-1,"")</f>
        <v/>
      </c>
      <c r="DR1979" s="64">
        <f>$O1979-$O1980</f>
        <v/>
      </c>
      <c r="DS1979" s="64">
        <f>$P1979-$P1980</f>
        <v/>
      </c>
      <c r="DT1979" s="64">
        <f>$Q1979-$Q1980</f>
        <v/>
      </c>
      <c r="DU1979" s="64">
        <f>$S1979-$S1980</f>
        <v/>
      </c>
      <c r="DV1979" s="65">
        <f>IFERROR(AVERAGE($AA1980/$AA1979-1,$AB1980/$AB1979-1,$AC1980/$AC1979-1,$AD1980/$AD1979-1,$AE1980/$AE1979-1,$AG1980/$AG1979-1,$AH1980/$AH1979-1,$AI1980/$AI1979-1,$AJ1980/$AJ1979-1,$AL1980/$AL1979-1,$AM1980/$AM1979-1,$AR1980/$AR1979-1,$AS1980/$AS1979-1,$AT1980/$AT1979-1,$AU1980/$AU1979-1,$AV1980/$AV1979-1,$AW1980/$AW1979-1,$AX1980/$AX1979-1,$AY1980/$AY1979-1),"")</f>
        <v/>
      </c>
      <c r="DW1979" s="66">
        <f>AVERAGE($CB1979,$CC1979,$CD1979,$CE1979,$CF1979,$CG1979,$CH1979,$CI1979,$CJ1979,$CL1979,$CM1979,$CN1979,$CO1979,$CP1979,$CQ1979,$CR1979,$CS1979,$CT1979)</f>
        <v/>
      </c>
      <c r="DX1979" s="66">
        <f>AVERAGE($CB1979,$CC1979,$CM1979,$CE1979,$CP1979)</f>
        <v/>
      </c>
      <c r="DY1979" s="64">
        <f>($DW1979-$DW1980)*100</f>
        <v/>
      </c>
      <c r="DZ1979" s="64">
        <f>($DX1979-$DX1980)*100</f>
        <v/>
      </c>
      <c r="EA1979" s="64">
        <f>($DW1979-$D1979)*100</f>
        <v/>
      </c>
      <c r="EB1979" s="64">
        <f>$Q1979-$O1979</f>
        <v/>
      </c>
      <c r="EC1979" s="67">
        <f>IFERROR($Q1979/$P1979,"")</f>
        <v/>
      </c>
    </row>
    <row r="1980">
      <c r="DG1980" s="64">
        <f>($B1980-$B1981)*100</f>
        <v/>
      </c>
      <c r="DH1980" s="64">
        <f>($D1980-$D1981)*100</f>
        <v/>
      </c>
      <c r="DI1980" s="64">
        <f>($E1980-$E1981)*100</f>
        <v/>
      </c>
      <c r="DJ1980" s="64">
        <f>($H1980-$H1981)*100</f>
        <v/>
      </c>
      <c r="DK1980" s="65">
        <f>IFERROR($J1980/$J1981-1,"")</f>
        <v/>
      </c>
      <c r="DL1980" s="64">
        <f>$L1980-$L1981</f>
        <v/>
      </c>
      <c r="DM1980" s="64">
        <f>$K1980-$K1981</f>
        <v/>
      </c>
      <c r="DN1980" s="65">
        <f>IFERROR($N1980/$N1981-1,"")</f>
        <v/>
      </c>
      <c r="DO1980" s="65">
        <f>IFERROR($M1980/$M1981-1,"")</f>
        <v/>
      </c>
      <c r="DP1980" s="65">
        <f>IFERROR($AZ1980/$AZ1981-1,"")</f>
        <v/>
      </c>
      <c r="DQ1980" s="65">
        <f>IFERROR($BA1980/$BA1981-1,"")</f>
        <v/>
      </c>
      <c r="DR1980" s="64">
        <f>$O1980-$O1981</f>
        <v/>
      </c>
      <c r="DS1980" s="64">
        <f>$P1980-$P1981</f>
        <v/>
      </c>
      <c r="DT1980" s="64">
        <f>$Q1980-$Q1981</f>
        <v/>
      </c>
      <c r="DU1980" s="64">
        <f>$S1980-$S1981</f>
        <v/>
      </c>
      <c r="DV1980" s="65">
        <f>IFERROR(AVERAGE($AA1981/$AA1980-1,$AB1981/$AB1980-1,$AC1981/$AC1980-1,$AD1981/$AD1980-1,$AE1981/$AE1980-1,$AG1981/$AG1980-1,$AH1981/$AH1980-1,$AI1981/$AI1980-1,$AJ1981/$AJ1980-1,$AL1981/$AL1980-1,$AM1981/$AM1980-1,$AR1981/$AR1980-1,$AS1981/$AS1980-1,$AT1981/$AT1980-1,$AU1981/$AU1980-1,$AV1981/$AV1980-1,$AW1981/$AW1980-1,$AX1981/$AX1980-1,$AY1981/$AY1980-1),"")</f>
        <v/>
      </c>
      <c r="DW1980" s="66">
        <f>AVERAGE($CB1980,$CC1980,$CD1980,$CE1980,$CF1980,$CG1980,$CH1980,$CI1980,$CJ1980,$CL1980,$CM1980,$CN1980,$CO1980,$CP1980,$CQ1980,$CR1980,$CS1980,$CT1980)</f>
        <v/>
      </c>
      <c r="DX1980" s="66">
        <f>AVERAGE($CB1980,$CC1980,$CM1980,$CE1980,$CP1980)</f>
        <v/>
      </c>
      <c r="DY1980" s="64">
        <f>($DW1980-$DW1981)*100</f>
        <v/>
      </c>
      <c r="DZ1980" s="64">
        <f>($DX1980-$DX1981)*100</f>
        <v/>
      </c>
      <c r="EA1980" s="64">
        <f>($DW1980-$D1980)*100</f>
        <v/>
      </c>
      <c r="EB1980" s="64">
        <f>$Q1980-$O1980</f>
        <v/>
      </c>
      <c r="EC1980" s="67">
        <f>IFERROR($Q1980/$P1980,"")</f>
        <v/>
      </c>
    </row>
    <row r="1981">
      <c r="DG1981" s="64">
        <f>($B1981-$B1982)*100</f>
        <v/>
      </c>
      <c r="DH1981" s="64">
        <f>($D1981-$D1982)*100</f>
        <v/>
      </c>
      <c r="DI1981" s="64">
        <f>($E1981-$E1982)*100</f>
        <v/>
      </c>
      <c r="DJ1981" s="64">
        <f>($H1981-$H1982)*100</f>
        <v/>
      </c>
      <c r="DK1981" s="65">
        <f>IFERROR($J1981/$J1982-1,"")</f>
        <v/>
      </c>
      <c r="DL1981" s="64">
        <f>$L1981-$L1982</f>
        <v/>
      </c>
      <c r="DM1981" s="64">
        <f>$K1981-$K1982</f>
        <v/>
      </c>
      <c r="DN1981" s="65">
        <f>IFERROR($N1981/$N1982-1,"")</f>
        <v/>
      </c>
      <c r="DO1981" s="65">
        <f>IFERROR($M1981/$M1982-1,"")</f>
        <v/>
      </c>
      <c r="DP1981" s="65">
        <f>IFERROR($AZ1981/$AZ1982-1,"")</f>
        <v/>
      </c>
      <c r="DQ1981" s="65">
        <f>IFERROR($BA1981/$BA1982-1,"")</f>
        <v/>
      </c>
      <c r="DR1981" s="64">
        <f>$O1981-$O1982</f>
        <v/>
      </c>
      <c r="DS1981" s="64">
        <f>$P1981-$P1982</f>
        <v/>
      </c>
      <c r="DT1981" s="64">
        <f>$Q1981-$Q1982</f>
        <v/>
      </c>
      <c r="DU1981" s="64">
        <f>$S1981-$S1982</f>
        <v/>
      </c>
      <c r="DV1981" s="65">
        <f>IFERROR(AVERAGE($AA1982/$AA1981-1,$AB1982/$AB1981-1,$AC1982/$AC1981-1,$AD1982/$AD1981-1,$AE1982/$AE1981-1,$AG1982/$AG1981-1,$AH1982/$AH1981-1,$AI1982/$AI1981-1,$AJ1982/$AJ1981-1,$AL1982/$AL1981-1,$AM1982/$AM1981-1,$AR1982/$AR1981-1,$AS1982/$AS1981-1,$AT1982/$AT1981-1,$AU1982/$AU1981-1,$AV1982/$AV1981-1,$AW1982/$AW1981-1,$AX1982/$AX1981-1,$AY1982/$AY1981-1),"")</f>
        <v/>
      </c>
      <c r="DW1981" s="66">
        <f>AVERAGE($CB1981,$CC1981,$CD1981,$CE1981,$CF1981,$CG1981,$CH1981,$CI1981,$CJ1981,$CL1981,$CM1981,$CN1981,$CO1981,$CP1981,$CQ1981,$CR1981,$CS1981,$CT1981)</f>
        <v/>
      </c>
      <c r="DX1981" s="66">
        <f>AVERAGE($CB1981,$CC1981,$CM1981,$CE1981,$CP1981)</f>
        <v/>
      </c>
      <c r="DY1981" s="64">
        <f>($DW1981-$DW1982)*100</f>
        <v/>
      </c>
      <c r="DZ1981" s="64">
        <f>($DX1981-$DX1982)*100</f>
        <v/>
      </c>
      <c r="EA1981" s="64">
        <f>($DW1981-$D1981)*100</f>
        <v/>
      </c>
      <c r="EB1981" s="64">
        <f>$Q1981-$O1981</f>
        <v/>
      </c>
      <c r="EC1981" s="67">
        <f>IFERROR($Q1981/$P1981,"")</f>
        <v/>
      </c>
    </row>
    <row r="1982">
      <c r="DG1982" s="64">
        <f>($B1982-$B1983)*100</f>
        <v/>
      </c>
      <c r="DH1982" s="64">
        <f>($D1982-$D1983)*100</f>
        <v/>
      </c>
      <c r="DI1982" s="64">
        <f>($E1982-$E1983)*100</f>
        <v/>
      </c>
      <c r="DJ1982" s="64">
        <f>($H1982-$H1983)*100</f>
        <v/>
      </c>
      <c r="DK1982" s="65">
        <f>IFERROR($J1982/$J1983-1,"")</f>
        <v/>
      </c>
      <c r="DL1982" s="64">
        <f>$L1982-$L1983</f>
        <v/>
      </c>
      <c r="DM1982" s="64">
        <f>$K1982-$K1983</f>
        <v/>
      </c>
      <c r="DN1982" s="65">
        <f>IFERROR($N1982/$N1983-1,"")</f>
        <v/>
      </c>
      <c r="DO1982" s="65">
        <f>IFERROR($M1982/$M1983-1,"")</f>
        <v/>
      </c>
      <c r="DP1982" s="65">
        <f>IFERROR($AZ1982/$AZ1983-1,"")</f>
        <v/>
      </c>
      <c r="DQ1982" s="65">
        <f>IFERROR($BA1982/$BA1983-1,"")</f>
        <v/>
      </c>
      <c r="DR1982" s="64">
        <f>$O1982-$O1983</f>
        <v/>
      </c>
      <c r="DS1982" s="64">
        <f>$P1982-$P1983</f>
        <v/>
      </c>
      <c r="DT1982" s="64">
        <f>$Q1982-$Q1983</f>
        <v/>
      </c>
      <c r="DU1982" s="64">
        <f>$S1982-$S1983</f>
        <v/>
      </c>
      <c r="DV1982" s="65">
        <f>IFERROR(AVERAGE($AA1983/$AA1982-1,$AB1983/$AB1982-1,$AC1983/$AC1982-1,$AD1983/$AD1982-1,$AE1983/$AE1982-1,$AG1983/$AG1982-1,$AH1983/$AH1982-1,$AI1983/$AI1982-1,$AJ1983/$AJ1982-1,$AL1983/$AL1982-1,$AM1983/$AM1982-1,$AR1983/$AR1982-1,$AS1983/$AS1982-1,$AT1983/$AT1982-1,$AU1983/$AU1982-1,$AV1983/$AV1982-1,$AW1983/$AW1982-1,$AX1983/$AX1982-1,$AY1983/$AY1982-1),"")</f>
        <v/>
      </c>
      <c r="DW1982" s="66">
        <f>AVERAGE($CB1982,$CC1982,$CD1982,$CE1982,$CF1982,$CG1982,$CH1982,$CI1982,$CJ1982,$CL1982,$CM1982,$CN1982,$CO1982,$CP1982,$CQ1982,$CR1982,$CS1982,$CT1982)</f>
        <v/>
      </c>
      <c r="DX1982" s="66">
        <f>AVERAGE($CB1982,$CC1982,$CM1982,$CE1982,$CP1982)</f>
        <v/>
      </c>
      <c r="DY1982" s="64">
        <f>($DW1982-$DW1983)*100</f>
        <v/>
      </c>
      <c r="DZ1982" s="64">
        <f>($DX1982-$DX1983)*100</f>
        <v/>
      </c>
      <c r="EA1982" s="64">
        <f>($DW1982-$D1982)*100</f>
        <v/>
      </c>
      <c r="EB1982" s="64">
        <f>$Q1982-$O1982</f>
        <v/>
      </c>
      <c r="EC1982" s="67">
        <f>IFERROR($Q1982/$P1982,"")</f>
        <v/>
      </c>
    </row>
    <row r="1983">
      <c r="DG1983" s="64">
        <f>($B1983-$B1984)*100</f>
        <v/>
      </c>
      <c r="DH1983" s="64">
        <f>($D1983-$D1984)*100</f>
        <v/>
      </c>
      <c r="DI1983" s="64">
        <f>($E1983-$E1984)*100</f>
        <v/>
      </c>
      <c r="DJ1983" s="64">
        <f>($H1983-$H1984)*100</f>
        <v/>
      </c>
      <c r="DK1983" s="65">
        <f>IFERROR($J1983/$J1984-1,"")</f>
        <v/>
      </c>
      <c r="DL1983" s="64">
        <f>$L1983-$L1984</f>
        <v/>
      </c>
      <c r="DM1983" s="64">
        <f>$K1983-$K1984</f>
        <v/>
      </c>
      <c r="DN1983" s="65">
        <f>IFERROR($N1983/$N1984-1,"")</f>
        <v/>
      </c>
      <c r="DO1983" s="65">
        <f>IFERROR($M1983/$M1984-1,"")</f>
        <v/>
      </c>
      <c r="DP1983" s="65">
        <f>IFERROR($AZ1983/$AZ1984-1,"")</f>
        <v/>
      </c>
      <c r="DQ1983" s="65">
        <f>IFERROR($BA1983/$BA1984-1,"")</f>
        <v/>
      </c>
      <c r="DR1983" s="64">
        <f>$O1983-$O1984</f>
        <v/>
      </c>
      <c r="DS1983" s="64">
        <f>$P1983-$P1984</f>
        <v/>
      </c>
      <c r="DT1983" s="64">
        <f>$Q1983-$Q1984</f>
        <v/>
      </c>
      <c r="DU1983" s="64">
        <f>$S1983-$S1984</f>
        <v/>
      </c>
      <c r="DV1983" s="65">
        <f>IFERROR(AVERAGE($AA1984/$AA1983-1,$AB1984/$AB1983-1,$AC1984/$AC1983-1,$AD1984/$AD1983-1,$AE1984/$AE1983-1,$AG1984/$AG1983-1,$AH1984/$AH1983-1,$AI1984/$AI1983-1,$AJ1984/$AJ1983-1,$AL1984/$AL1983-1,$AM1984/$AM1983-1,$AR1984/$AR1983-1,$AS1984/$AS1983-1,$AT1984/$AT1983-1,$AU1984/$AU1983-1,$AV1984/$AV1983-1,$AW1984/$AW1983-1,$AX1984/$AX1983-1,$AY1984/$AY1983-1),"")</f>
        <v/>
      </c>
      <c r="DW1983" s="66">
        <f>AVERAGE($CB1983,$CC1983,$CD1983,$CE1983,$CF1983,$CG1983,$CH1983,$CI1983,$CJ1983,$CL1983,$CM1983,$CN1983,$CO1983,$CP1983,$CQ1983,$CR1983,$CS1983,$CT1983)</f>
        <v/>
      </c>
      <c r="DX1983" s="66">
        <f>AVERAGE($CB1983,$CC1983,$CM1983,$CE1983,$CP1983)</f>
        <v/>
      </c>
      <c r="DY1983" s="64">
        <f>($DW1983-$DW1984)*100</f>
        <v/>
      </c>
      <c r="DZ1983" s="64">
        <f>($DX1983-$DX1984)*100</f>
        <v/>
      </c>
      <c r="EA1983" s="64">
        <f>($DW1983-$D1983)*100</f>
        <v/>
      </c>
      <c r="EB1983" s="64">
        <f>$Q1983-$O1983</f>
        <v/>
      </c>
      <c r="EC1983" s="67">
        <f>IFERROR($Q1983/$P1983,"")</f>
        <v/>
      </c>
    </row>
    <row r="1984">
      <c r="DG1984" s="64">
        <f>($B1984-$B1985)*100</f>
        <v/>
      </c>
      <c r="DH1984" s="64">
        <f>($D1984-$D1985)*100</f>
        <v/>
      </c>
      <c r="DI1984" s="64">
        <f>($E1984-$E1985)*100</f>
        <v/>
      </c>
      <c r="DJ1984" s="64">
        <f>($H1984-$H1985)*100</f>
        <v/>
      </c>
      <c r="DK1984" s="65">
        <f>IFERROR($J1984/$J1985-1,"")</f>
        <v/>
      </c>
      <c r="DL1984" s="64">
        <f>$L1984-$L1985</f>
        <v/>
      </c>
      <c r="DM1984" s="64">
        <f>$K1984-$K1985</f>
        <v/>
      </c>
      <c r="DN1984" s="65">
        <f>IFERROR($N1984/$N1985-1,"")</f>
        <v/>
      </c>
      <c r="DO1984" s="65">
        <f>IFERROR($M1984/$M1985-1,"")</f>
        <v/>
      </c>
      <c r="DP1984" s="65">
        <f>IFERROR($AZ1984/$AZ1985-1,"")</f>
        <v/>
      </c>
      <c r="DQ1984" s="65">
        <f>IFERROR($BA1984/$BA1985-1,"")</f>
        <v/>
      </c>
      <c r="DR1984" s="64">
        <f>$O1984-$O1985</f>
        <v/>
      </c>
      <c r="DS1984" s="64">
        <f>$P1984-$P1985</f>
        <v/>
      </c>
      <c r="DT1984" s="64">
        <f>$Q1984-$Q1985</f>
        <v/>
      </c>
      <c r="DU1984" s="64">
        <f>$S1984-$S1985</f>
        <v/>
      </c>
      <c r="DV1984" s="65">
        <f>IFERROR(AVERAGE($AA1985/$AA1984-1,$AB1985/$AB1984-1,$AC1985/$AC1984-1,$AD1985/$AD1984-1,$AE1985/$AE1984-1,$AG1985/$AG1984-1,$AH1985/$AH1984-1,$AI1985/$AI1984-1,$AJ1985/$AJ1984-1,$AL1985/$AL1984-1,$AM1985/$AM1984-1,$AR1985/$AR1984-1,$AS1985/$AS1984-1,$AT1985/$AT1984-1,$AU1985/$AU1984-1,$AV1985/$AV1984-1,$AW1985/$AW1984-1,$AX1985/$AX1984-1,$AY1985/$AY1984-1),"")</f>
        <v/>
      </c>
      <c r="DW1984" s="66">
        <f>AVERAGE($CB1984,$CC1984,$CD1984,$CE1984,$CF1984,$CG1984,$CH1984,$CI1984,$CJ1984,$CL1984,$CM1984,$CN1984,$CO1984,$CP1984,$CQ1984,$CR1984,$CS1984,$CT1984)</f>
        <v/>
      </c>
      <c r="DX1984" s="66">
        <f>AVERAGE($CB1984,$CC1984,$CM1984,$CE1984,$CP1984)</f>
        <v/>
      </c>
      <c r="DY1984" s="64">
        <f>($DW1984-$DW1985)*100</f>
        <v/>
      </c>
      <c r="DZ1984" s="64">
        <f>($DX1984-$DX1985)*100</f>
        <v/>
      </c>
      <c r="EA1984" s="64">
        <f>($DW1984-$D1984)*100</f>
        <v/>
      </c>
      <c r="EB1984" s="64">
        <f>$Q1984-$O1984</f>
        <v/>
      </c>
      <c r="EC1984" s="67">
        <f>IFERROR($Q1984/$P1984,"")</f>
        <v/>
      </c>
    </row>
    <row r="1985">
      <c r="DG1985" s="64">
        <f>($B1985-$B1986)*100</f>
        <v/>
      </c>
      <c r="DH1985" s="64">
        <f>($D1985-$D1986)*100</f>
        <v/>
      </c>
      <c r="DI1985" s="64">
        <f>($E1985-$E1986)*100</f>
        <v/>
      </c>
      <c r="DJ1985" s="64">
        <f>($H1985-$H1986)*100</f>
        <v/>
      </c>
      <c r="DK1985" s="65">
        <f>IFERROR($J1985/$J1986-1,"")</f>
        <v/>
      </c>
      <c r="DL1985" s="64">
        <f>$L1985-$L1986</f>
        <v/>
      </c>
      <c r="DM1985" s="64">
        <f>$K1985-$K1986</f>
        <v/>
      </c>
      <c r="DN1985" s="65">
        <f>IFERROR($N1985/$N1986-1,"")</f>
        <v/>
      </c>
      <c r="DO1985" s="65">
        <f>IFERROR($M1985/$M1986-1,"")</f>
        <v/>
      </c>
      <c r="DP1985" s="65">
        <f>IFERROR($AZ1985/$AZ1986-1,"")</f>
        <v/>
      </c>
      <c r="DQ1985" s="65">
        <f>IFERROR($BA1985/$BA1986-1,"")</f>
        <v/>
      </c>
      <c r="DR1985" s="64">
        <f>$O1985-$O1986</f>
        <v/>
      </c>
      <c r="DS1985" s="64">
        <f>$P1985-$P1986</f>
        <v/>
      </c>
      <c r="DT1985" s="64">
        <f>$Q1985-$Q1986</f>
        <v/>
      </c>
      <c r="DU1985" s="64">
        <f>$S1985-$S1986</f>
        <v/>
      </c>
      <c r="DV1985" s="65">
        <f>IFERROR(AVERAGE($AA1986/$AA1985-1,$AB1986/$AB1985-1,$AC1986/$AC1985-1,$AD1986/$AD1985-1,$AE1986/$AE1985-1,$AG1986/$AG1985-1,$AH1986/$AH1985-1,$AI1986/$AI1985-1,$AJ1986/$AJ1985-1,$AL1986/$AL1985-1,$AM1986/$AM1985-1,$AR1986/$AR1985-1,$AS1986/$AS1985-1,$AT1986/$AT1985-1,$AU1986/$AU1985-1,$AV1986/$AV1985-1,$AW1986/$AW1985-1,$AX1986/$AX1985-1,$AY1986/$AY1985-1),"")</f>
        <v/>
      </c>
      <c r="DW1985" s="66">
        <f>AVERAGE($CB1985,$CC1985,$CD1985,$CE1985,$CF1985,$CG1985,$CH1985,$CI1985,$CJ1985,$CL1985,$CM1985,$CN1985,$CO1985,$CP1985,$CQ1985,$CR1985,$CS1985,$CT1985)</f>
        <v/>
      </c>
      <c r="DX1985" s="66">
        <f>AVERAGE($CB1985,$CC1985,$CM1985,$CE1985,$CP1985)</f>
        <v/>
      </c>
      <c r="DY1985" s="64">
        <f>($DW1985-$DW1986)*100</f>
        <v/>
      </c>
      <c r="DZ1985" s="64">
        <f>($DX1985-$DX1986)*100</f>
        <v/>
      </c>
      <c r="EA1985" s="64">
        <f>($DW1985-$D1985)*100</f>
        <v/>
      </c>
      <c r="EB1985" s="64">
        <f>$Q1985-$O1985</f>
        <v/>
      </c>
      <c r="EC1985" s="67">
        <f>IFERROR($Q1985/$P1985,"")</f>
        <v/>
      </c>
    </row>
    <row r="1986">
      <c r="DG1986" s="64">
        <f>($B1986-$B1987)*100</f>
        <v/>
      </c>
      <c r="DH1986" s="64">
        <f>($D1986-$D1987)*100</f>
        <v/>
      </c>
      <c r="DI1986" s="64">
        <f>($E1986-$E1987)*100</f>
        <v/>
      </c>
      <c r="DJ1986" s="64">
        <f>($H1986-$H1987)*100</f>
        <v/>
      </c>
      <c r="DK1986" s="65">
        <f>IFERROR($J1986/$J1987-1,"")</f>
        <v/>
      </c>
      <c r="DL1986" s="64">
        <f>$L1986-$L1987</f>
        <v/>
      </c>
      <c r="DM1986" s="64">
        <f>$K1986-$K1987</f>
        <v/>
      </c>
      <c r="DN1986" s="65">
        <f>IFERROR($N1986/$N1987-1,"")</f>
        <v/>
      </c>
      <c r="DO1986" s="65">
        <f>IFERROR($M1986/$M1987-1,"")</f>
        <v/>
      </c>
      <c r="DP1986" s="65">
        <f>IFERROR($AZ1986/$AZ1987-1,"")</f>
        <v/>
      </c>
      <c r="DQ1986" s="65">
        <f>IFERROR($BA1986/$BA1987-1,"")</f>
        <v/>
      </c>
      <c r="DR1986" s="64">
        <f>$O1986-$O1987</f>
        <v/>
      </c>
      <c r="DS1986" s="64">
        <f>$P1986-$P1987</f>
        <v/>
      </c>
      <c r="DT1986" s="64">
        <f>$Q1986-$Q1987</f>
        <v/>
      </c>
      <c r="DU1986" s="64">
        <f>$S1986-$S1987</f>
        <v/>
      </c>
      <c r="DV1986" s="65">
        <f>IFERROR(AVERAGE($AA1987/$AA1986-1,$AB1987/$AB1986-1,$AC1987/$AC1986-1,$AD1987/$AD1986-1,$AE1987/$AE1986-1,$AG1987/$AG1986-1,$AH1987/$AH1986-1,$AI1987/$AI1986-1,$AJ1987/$AJ1986-1,$AL1987/$AL1986-1,$AM1987/$AM1986-1,$AR1987/$AR1986-1,$AS1987/$AS1986-1,$AT1987/$AT1986-1,$AU1987/$AU1986-1,$AV1987/$AV1986-1,$AW1987/$AW1986-1,$AX1987/$AX1986-1,$AY1987/$AY1986-1),"")</f>
        <v/>
      </c>
      <c r="DW1986" s="66">
        <f>AVERAGE($CB1986,$CC1986,$CD1986,$CE1986,$CF1986,$CG1986,$CH1986,$CI1986,$CJ1986,$CL1986,$CM1986,$CN1986,$CO1986,$CP1986,$CQ1986,$CR1986,$CS1986,$CT1986)</f>
        <v/>
      </c>
      <c r="DX1986" s="66">
        <f>AVERAGE($CB1986,$CC1986,$CM1986,$CE1986,$CP1986)</f>
        <v/>
      </c>
      <c r="DY1986" s="64">
        <f>($DW1986-$DW1987)*100</f>
        <v/>
      </c>
      <c r="DZ1986" s="64">
        <f>($DX1986-$DX1987)*100</f>
        <v/>
      </c>
      <c r="EA1986" s="64">
        <f>($DW1986-$D1986)*100</f>
        <v/>
      </c>
      <c r="EB1986" s="64">
        <f>$Q1986-$O1986</f>
        <v/>
      </c>
      <c r="EC1986" s="67">
        <f>IFERROR($Q1986/$P1986,"")</f>
        <v/>
      </c>
    </row>
    <row r="1987">
      <c r="DG1987" s="64">
        <f>($B1987-$B1988)*100</f>
        <v/>
      </c>
      <c r="DH1987" s="64">
        <f>($D1987-$D1988)*100</f>
        <v/>
      </c>
      <c r="DI1987" s="64">
        <f>($E1987-$E1988)*100</f>
        <v/>
      </c>
      <c r="DJ1987" s="64">
        <f>($H1987-$H1988)*100</f>
        <v/>
      </c>
      <c r="DK1987" s="65">
        <f>IFERROR($J1987/$J1988-1,"")</f>
        <v/>
      </c>
      <c r="DL1987" s="64">
        <f>$L1987-$L1988</f>
        <v/>
      </c>
      <c r="DM1987" s="64">
        <f>$K1987-$K1988</f>
        <v/>
      </c>
      <c r="DN1987" s="65">
        <f>IFERROR($N1987/$N1988-1,"")</f>
        <v/>
      </c>
      <c r="DO1987" s="65">
        <f>IFERROR($M1987/$M1988-1,"")</f>
        <v/>
      </c>
      <c r="DP1987" s="65">
        <f>IFERROR($AZ1987/$AZ1988-1,"")</f>
        <v/>
      </c>
      <c r="DQ1987" s="65">
        <f>IFERROR($BA1987/$BA1988-1,"")</f>
        <v/>
      </c>
      <c r="DR1987" s="64">
        <f>$O1987-$O1988</f>
        <v/>
      </c>
      <c r="DS1987" s="64">
        <f>$P1987-$P1988</f>
        <v/>
      </c>
      <c r="DT1987" s="64">
        <f>$Q1987-$Q1988</f>
        <v/>
      </c>
      <c r="DU1987" s="64">
        <f>$S1987-$S1988</f>
        <v/>
      </c>
      <c r="DV1987" s="65">
        <f>IFERROR(AVERAGE($AA1988/$AA1987-1,$AB1988/$AB1987-1,$AC1988/$AC1987-1,$AD1988/$AD1987-1,$AE1988/$AE1987-1,$AG1988/$AG1987-1,$AH1988/$AH1987-1,$AI1988/$AI1987-1,$AJ1988/$AJ1987-1,$AL1988/$AL1987-1,$AM1988/$AM1987-1,$AR1988/$AR1987-1,$AS1988/$AS1987-1,$AT1988/$AT1987-1,$AU1988/$AU1987-1,$AV1988/$AV1987-1,$AW1988/$AW1987-1,$AX1988/$AX1987-1,$AY1988/$AY1987-1),"")</f>
        <v/>
      </c>
      <c r="DW1987" s="66">
        <f>AVERAGE($CB1987,$CC1987,$CD1987,$CE1987,$CF1987,$CG1987,$CH1987,$CI1987,$CJ1987,$CL1987,$CM1987,$CN1987,$CO1987,$CP1987,$CQ1987,$CR1987,$CS1987,$CT1987)</f>
        <v/>
      </c>
      <c r="DX1987" s="66">
        <f>AVERAGE($CB1987,$CC1987,$CM1987,$CE1987,$CP1987)</f>
        <v/>
      </c>
      <c r="DY1987" s="64">
        <f>($DW1987-$DW1988)*100</f>
        <v/>
      </c>
      <c r="DZ1987" s="64">
        <f>($DX1987-$DX1988)*100</f>
        <v/>
      </c>
      <c r="EA1987" s="64">
        <f>($DW1987-$D1987)*100</f>
        <v/>
      </c>
      <c r="EB1987" s="64">
        <f>$Q1987-$O1987</f>
        <v/>
      </c>
      <c r="EC1987" s="67">
        <f>IFERROR($Q1987/$P1987,"")</f>
        <v/>
      </c>
    </row>
    <row r="1988">
      <c r="DG1988" s="64">
        <f>($B1988-$B1989)*100</f>
        <v/>
      </c>
      <c r="DH1988" s="64">
        <f>($D1988-$D1989)*100</f>
        <v/>
      </c>
      <c r="DI1988" s="64">
        <f>($E1988-$E1989)*100</f>
        <v/>
      </c>
      <c r="DJ1988" s="64">
        <f>($H1988-$H1989)*100</f>
        <v/>
      </c>
      <c r="DK1988" s="65">
        <f>IFERROR($J1988/$J1989-1,"")</f>
        <v/>
      </c>
      <c r="DL1988" s="64">
        <f>$L1988-$L1989</f>
        <v/>
      </c>
      <c r="DM1988" s="64">
        <f>$K1988-$K1989</f>
        <v/>
      </c>
      <c r="DN1988" s="65">
        <f>IFERROR($N1988/$N1989-1,"")</f>
        <v/>
      </c>
      <c r="DO1988" s="65">
        <f>IFERROR($M1988/$M1989-1,"")</f>
        <v/>
      </c>
      <c r="DP1988" s="65">
        <f>IFERROR($AZ1988/$AZ1989-1,"")</f>
        <v/>
      </c>
      <c r="DQ1988" s="65">
        <f>IFERROR($BA1988/$BA1989-1,"")</f>
        <v/>
      </c>
      <c r="DR1988" s="64">
        <f>$O1988-$O1989</f>
        <v/>
      </c>
      <c r="DS1988" s="64">
        <f>$P1988-$P1989</f>
        <v/>
      </c>
      <c r="DT1988" s="64">
        <f>$Q1988-$Q1989</f>
        <v/>
      </c>
      <c r="DU1988" s="64">
        <f>$S1988-$S1989</f>
        <v/>
      </c>
      <c r="DV1988" s="65">
        <f>IFERROR(AVERAGE($AA1989/$AA1988-1,$AB1989/$AB1988-1,$AC1989/$AC1988-1,$AD1989/$AD1988-1,$AE1989/$AE1988-1,$AG1989/$AG1988-1,$AH1989/$AH1988-1,$AI1989/$AI1988-1,$AJ1989/$AJ1988-1,$AL1989/$AL1988-1,$AM1989/$AM1988-1,$AR1989/$AR1988-1,$AS1989/$AS1988-1,$AT1989/$AT1988-1,$AU1989/$AU1988-1,$AV1989/$AV1988-1,$AW1989/$AW1988-1,$AX1989/$AX1988-1,$AY1989/$AY1988-1),"")</f>
        <v/>
      </c>
      <c r="DW1988" s="66">
        <f>AVERAGE($CB1988,$CC1988,$CD1988,$CE1988,$CF1988,$CG1988,$CH1988,$CI1988,$CJ1988,$CL1988,$CM1988,$CN1988,$CO1988,$CP1988,$CQ1988,$CR1988,$CS1988,$CT1988)</f>
        <v/>
      </c>
      <c r="DX1988" s="66">
        <f>AVERAGE($CB1988,$CC1988,$CM1988,$CE1988,$CP1988)</f>
        <v/>
      </c>
      <c r="DY1988" s="64">
        <f>($DW1988-$DW1989)*100</f>
        <v/>
      </c>
      <c r="DZ1988" s="64">
        <f>($DX1988-$DX1989)*100</f>
        <v/>
      </c>
      <c r="EA1988" s="64">
        <f>($DW1988-$D1988)*100</f>
        <v/>
      </c>
      <c r="EB1988" s="64">
        <f>$Q1988-$O1988</f>
        <v/>
      </c>
      <c r="EC1988" s="67">
        <f>IFERROR($Q1988/$P1988,"")</f>
        <v/>
      </c>
    </row>
    <row r="1989">
      <c r="DG1989" s="64">
        <f>($B1989-$B1990)*100</f>
        <v/>
      </c>
      <c r="DH1989" s="64">
        <f>($D1989-$D1990)*100</f>
        <v/>
      </c>
      <c r="DI1989" s="64">
        <f>($E1989-$E1990)*100</f>
        <v/>
      </c>
      <c r="DJ1989" s="64">
        <f>($H1989-$H1990)*100</f>
        <v/>
      </c>
      <c r="DK1989" s="65">
        <f>IFERROR($J1989/$J1990-1,"")</f>
        <v/>
      </c>
      <c r="DL1989" s="64">
        <f>$L1989-$L1990</f>
        <v/>
      </c>
      <c r="DM1989" s="64">
        <f>$K1989-$K1990</f>
        <v/>
      </c>
      <c r="DN1989" s="65">
        <f>IFERROR($N1989/$N1990-1,"")</f>
        <v/>
      </c>
      <c r="DO1989" s="65">
        <f>IFERROR($M1989/$M1990-1,"")</f>
        <v/>
      </c>
      <c r="DP1989" s="65">
        <f>IFERROR($AZ1989/$AZ1990-1,"")</f>
        <v/>
      </c>
      <c r="DQ1989" s="65">
        <f>IFERROR($BA1989/$BA1990-1,"")</f>
        <v/>
      </c>
      <c r="DR1989" s="64">
        <f>$O1989-$O1990</f>
        <v/>
      </c>
      <c r="DS1989" s="64">
        <f>$P1989-$P1990</f>
        <v/>
      </c>
      <c r="DT1989" s="64">
        <f>$Q1989-$Q1990</f>
        <v/>
      </c>
      <c r="DU1989" s="64">
        <f>$S1989-$S1990</f>
        <v/>
      </c>
      <c r="DV1989" s="65">
        <f>IFERROR(AVERAGE($AA1990/$AA1989-1,$AB1990/$AB1989-1,$AC1990/$AC1989-1,$AD1990/$AD1989-1,$AE1990/$AE1989-1,$AG1990/$AG1989-1,$AH1990/$AH1989-1,$AI1990/$AI1989-1,$AJ1990/$AJ1989-1,$AL1990/$AL1989-1,$AM1990/$AM1989-1,$AR1990/$AR1989-1,$AS1990/$AS1989-1,$AT1990/$AT1989-1,$AU1990/$AU1989-1,$AV1990/$AV1989-1,$AW1990/$AW1989-1,$AX1990/$AX1989-1,$AY1990/$AY1989-1),"")</f>
        <v/>
      </c>
      <c r="DW1989" s="66">
        <f>AVERAGE($CB1989,$CC1989,$CD1989,$CE1989,$CF1989,$CG1989,$CH1989,$CI1989,$CJ1989,$CL1989,$CM1989,$CN1989,$CO1989,$CP1989,$CQ1989,$CR1989,$CS1989,$CT1989)</f>
        <v/>
      </c>
      <c r="DX1989" s="66">
        <f>AVERAGE($CB1989,$CC1989,$CM1989,$CE1989,$CP1989)</f>
        <v/>
      </c>
      <c r="DY1989" s="64">
        <f>($DW1989-$DW1990)*100</f>
        <v/>
      </c>
      <c r="DZ1989" s="64">
        <f>($DX1989-$DX1990)*100</f>
        <v/>
      </c>
      <c r="EA1989" s="64">
        <f>($DW1989-$D1989)*100</f>
        <v/>
      </c>
      <c r="EB1989" s="64">
        <f>$Q1989-$O1989</f>
        <v/>
      </c>
      <c r="EC1989" s="67">
        <f>IFERROR($Q1989/$P1989,"")</f>
        <v/>
      </c>
    </row>
    <row r="1990">
      <c r="DG1990" s="64">
        <f>($B1990-$B1991)*100</f>
        <v/>
      </c>
      <c r="DH1990" s="64">
        <f>($D1990-$D1991)*100</f>
        <v/>
      </c>
      <c r="DI1990" s="64">
        <f>($E1990-$E1991)*100</f>
        <v/>
      </c>
      <c r="DJ1990" s="64">
        <f>($H1990-$H1991)*100</f>
        <v/>
      </c>
      <c r="DK1990" s="65">
        <f>IFERROR($J1990/$J1991-1,"")</f>
        <v/>
      </c>
      <c r="DL1990" s="64">
        <f>$L1990-$L1991</f>
        <v/>
      </c>
      <c r="DM1990" s="64">
        <f>$K1990-$K1991</f>
        <v/>
      </c>
      <c r="DN1990" s="65">
        <f>IFERROR($N1990/$N1991-1,"")</f>
        <v/>
      </c>
      <c r="DO1990" s="65">
        <f>IFERROR($M1990/$M1991-1,"")</f>
        <v/>
      </c>
      <c r="DP1990" s="65">
        <f>IFERROR($AZ1990/$AZ1991-1,"")</f>
        <v/>
      </c>
      <c r="DQ1990" s="65">
        <f>IFERROR($BA1990/$BA1991-1,"")</f>
        <v/>
      </c>
      <c r="DR1990" s="64">
        <f>$O1990-$O1991</f>
        <v/>
      </c>
      <c r="DS1990" s="64">
        <f>$P1990-$P1991</f>
        <v/>
      </c>
      <c r="DT1990" s="64">
        <f>$Q1990-$Q1991</f>
        <v/>
      </c>
      <c r="DU1990" s="64">
        <f>$S1990-$S1991</f>
        <v/>
      </c>
      <c r="DV1990" s="65">
        <f>IFERROR(AVERAGE($AA1991/$AA1990-1,$AB1991/$AB1990-1,$AC1991/$AC1990-1,$AD1991/$AD1990-1,$AE1991/$AE1990-1,$AG1991/$AG1990-1,$AH1991/$AH1990-1,$AI1991/$AI1990-1,$AJ1991/$AJ1990-1,$AL1991/$AL1990-1,$AM1991/$AM1990-1,$AR1991/$AR1990-1,$AS1991/$AS1990-1,$AT1991/$AT1990-1,$AU1991/$AU1990-1,$AV1991/$AV1990-1,$AW1991/$AW1990-1,$AX1991/$AX1990-1,$AY1991/$AY1990-1),"")</f>
        <v/>
      </c>
      <c r="DW1990" s="66">
        <f>AVERAGE($CB1990,$CC1990,$CD1990,$CE1990,$CF1990,$CG1990,$CH1990,$CI1990,$CJ1990,$CL1990,$CM1990,$CN1990,$CO1990,$CP1990,$CQ1990,$CR1990,$CS1990,$CT1990)</f>
        <v/>
      </c>
      <c r="DX1990" s="66">
        <f>AVERAGE($CB1990,$CC1990,$CM1990,$CE1990,$CP1990)</f>
        <v/>
      </c>
      <c r="DY1990" s="64">
        <f>($DW1990-$DW1991)*100</f>
        <v/>
      </c>
      <c r="DZ1990" s="64">
        <f>($DX1990-$DX1991)*100</f>
        <v/>
      </c>
      <c r="EA1990" s="64">
        <f>($DW1990-$D1990)*100</f>
        <v/>
      </c>
      <c r="EB1990" s="64">
        <f>$Q1990-$O1990</f>
        <v/>
      </c>
      <c r="EC1990" s="67">
        <f>IFERROR($Q1990/$P1990,"")</f>
        <v/>
      </c>
    </row>
    <row r="1991">
      <c r="DG1991" s="64">
        <f>($B1991-$B1992)*100</f>
        <v/>
      </c>
      <c r="DH1991" s="64">
        <f>($D1991-$D1992)*100</f>
        <v/>
      </c>
      <c r="DI1991" s="64">
        <f>($E1991-$E1992)*100</f>
        <v/>
      </c>
      <c r="DJ1991" s="64">
        <f>($H1991-$H1992)*100</f>
        <v/>
      </c>
      <c r="DK1991" s="65">
        <f>IFERROR($J1991/$J1992-1,"")</f>
        <v/>
      </c>
      <c r="DL1991" s="64">
        <f>$L1991-$L1992</f>
        <v/>
      </c>
      <c r="DM1991" s="64">
        <f>$K1991-$K1992</f>
        <v/>
      </c>
      <c r="DN1991" s="65">
        <f>IFERROR($N1991/$N1992-1,"")</f>
        <v/>
      </c>
      <c r="DO1991" s="65">
        <f>IFERROR($M1991/$M1992-1,"")</f>
        <v/>
      </c>
      <c r="DP1991" s="65">
        <f>IFERROR($AZ1991/$AZ1992-1,"")</f>
        <v/>
      </c>
      <c r="DQ1991" s="65">
        <f>IFERROR($BA1991/$BA1992-1,"")</f>
        <v/>
      </c>
      <c r="DR1991" s="64">
        <f>$O1991-$O1992</f>
        <v/>
      </c>
      <c r="DS1991" s="64">
        <f>$P1991-$P1992</f>
        <v/>
      </c>
      <c r="DT1991" s="64">
        <f>$Q1991-$Q1992</f>
        <v/>
      </c>
      <c r="DU1991" s="64">
        <f>$S1991-$S1992</f>
        <v/>
      </c>
      <c r="DV1991" s="65">
        <f>IFERROR(AVERAGE($AA1992/$AA1991-1,$AB1992/$AB1991-1,$AC1992/$AC1991-1,$AD1992/$AD1991-1,$AE1992/$AE1991-1,$AG1992/$AG1991-1,$AH1992/$AH1991-1,$AI1992/$AI1991-1,$AJ1992/$AJ1991-1,$AL1992/$AL1991-1,$AM1992/$AM1991-1,$AR1992/$AR1991-1,$AS1992/$AS1991-1,$AT1992/$AT1991-1,$AU1992/$AU1991-1,$AV1992/$AV1991-1,$AW1992/$AW1991-1,$AX1992/$AX1991-1,$AY1992/$AY1991-1),"")</f>
        <v/>
      </c>
      <c r="DW1991" s="66">
        <f>AVERAGE($CB1991,$CC1991,$CD1991,$CE1991,$CF1991,$CG1991,$CH1991,$CI1991,$CJ1991,$CL1991,$CM1991,$CN1991,$CO1991,$CP1991,$CQ1991,$CR1991,$CS1991,$CT1991)</f>
        <v/>
      </c>
      <c r="DX1991" s="66">
        <f>AVERAGE($CB1991,$CC1991,$CM1991,$CE1991,$CP1991)</f>
        <v/>
      </c>
      <c r="DY1991" s="64">
        <f>($DW1991-$DW1992)*100</f>
        <v/>
      </c>
      <c r="DZ1991" s="64">
        <f>($DX1991-$DX1992)*100</f>
        <v/>
      </c>
      <c r="EA1991" s="64">
        <f>($DW1991-$D1991)*100</f>
        <v/>
      </c>
      <c r="EB1991" s="64">
        <f>$Q1991-$O1991</f>
        <v/>
      </c>
      <c r="EC1991" s="67">
        <f>IFERROR($Q1991/$P1991,"")</f>
        <v/>
      </c>
    </row>
    <row r="1992">
      <c r="DG1992" s="64">
        <f>($B1992-$B1993)*100</f>
        <v/>
      </c>
      <c r="DH1992" s="64">
        <f>($D1992-$D1993)*100</f>
        <v/>
      </c>
      <c r="DI1992" s="64">
        <f>($E1992-$E1993)*100</f>
        <v/>
      </c>
      <c r="DJ1992" s="64">
        <f>($H1992-$H1993)*100</f>
        <v/>
      </c>
      <c r="DK1992" s="65">
        <f>IFERROR($J1992/$J1993-1,"")</f>
        <v/>
      </c>
      <c r="DL1992" s="64">
        <f>$L1992-$L1993</f>
        <v/>
      </c>
      <c r="DM1992" s="64">
        <f>$K1992-$K1993</f>
        <v/>
      </c>
      <c r="DN1992" s="65">
        <f>IFERROR($N1992/$N1993-1,"")</f>
        <v/>
      </c>
      <c r="DO1992" s="65">
        <f>IFERROR($M1992/$M1993-1,"")</f>
        <v/>
      </c>
      <c r="DP1992" s="65">
        <f>IFERROR($AZ1992/$AZ1993-1,"")</f>
        <v/>
      </c>
      <c r="DQ1992" s="65">
        <f>IFERROR($BA1992/$BA1993-1,"")</f>
        <v/>
      </c>
      <c r="DR1992" s="64">
        <f>$O1992-$O1993</f>
        <v/>
      </c>
      <c r="DS1992" s="64">
        <f>$P1992-$P1993</f>
        <v/>
      </c>
      <c r="DT1992" s="64">
        <f>$Q1992-$Q1993</f>
        <v/>
      </c>
      <c r="DU1992" s="64">
        <f>$S1992-$S1993</f>
        <v/>
      </c>
      <c r="DV1992" s="65">
        <f>IFERROR(AVERAGE($AA1993/$AA1992-1,$AB1993/$AB1992-1,$AC1993/$AC1992-1,$AD1993/$AD1992-1,$AE1993/$AE1992-1,$AG1993/$AG1992-1,$AH1993/$AH1992-1,$AI1993/$AI1992-1,$AJ1993/$AJ1992-1,$AL1993/$AL1992-1,$AM1993/$AM1992-1,$AR1993/$AR1992-1,$AS1993/$AS1992-1,$AT1993/$AT1992-1,$AU1993/$AU1992-1,$AV1993/$AV1992-1,$AW1993/$AW1992-1,$AX1993/$AX1992-1,$AY1993/$AY1992-1),"")</f>
        <v/>
      </c>
      <c r="DW1992" s="66">
        <f>AVERAGE($CB1992,$CC1992,$CD1992,$CE1992,$CF1992,$CG1992,$CH1992,$CI1992,$CJ1992,$CL1992,$CM1992,$CN1992,$CO1992,$CP1992,$CQ1992,$CR1992,$CS1992,$CT1992)</f>
        <v/>
      </c>
      <c r="DX1992" s="66">
        <f>AVERAGE($CB1992,$CC1992,$CM1992,$CE1992,$CP1992)</f>
        <v/>
      </c>
      <c r="DY1992" s="64">
        <f>($DW1992-$DW1993)*100</f>
        <v/>
      </c>
      <c r="DZ1992" s="64">
        <f>($DX1992-$DX1993)*100</f>
        <v/>
      </c>
      <c r="EA1992" s="64">
        <f>($DW1992-$D1992)*100</f>
        <v/>
      </c>
      <c r="EB1992" s="64">
        <f>$Q1992-$O1992</f>
        <v/>
      </c>
      <c r="EC1992" s="67">
        <f>IFERROR($Q1992/$P1992,"")</f>
        <v/>
      </c>
    </row>
    <row r="1993">
      <c r="DG1993" s="64">
        <f>($B1993-$B1994)*100</f>
        <v/>
      </c>
      <c r="DH1993" s="64">
        <f>($D1993-$D1994)*100</f>
        <v/>
      </c>
      <c r="DI1993" s="64">
        <f>($E1993-$E1994)*100</f>
        <v/>
      </c>
      <c r="DJ1993" s="64">
        <f>($H1993-$H1994)*100</f>
        <v/>
      </c>
      <c r="DK1993" s="65">
        <f>IFERROR($J1993/$J1994-1,"")</f>
        <v/>
      </c>
      <c r="DL1993" s="64">
        <f>$L1993-$L1994</f>
        <v/>
      </c>
      <c r="DM1993" s="64">
        <f>$K1993-$K1994</f>
        <v/>
      </c>
      <c r="DN1993" s="65">
        <f>IFERROR($N1993/$N1994-1,"")</f>
        <v/>
      </c>
      <c r="DO1993" s="65">
        <f>IFERROR($M1993/$M1994-1,"")</f>
        <v/>
      </c>
      <c r="DP1993" s="65">
        <f>IFERROR($AZ1993/$AZ1994-1,"")</f>
        <v/>
      </c>
      <c r="DQ1993" s="65">
        <f>IFERROR($BA1993/$BA1994-1,"")</f>
        <v/>
      </c>
      <c r="DR1993" s="64">
        <f>$O1993-$O1994</f>
        <v/>
      </c>
      <c r="DS1993" s="64">
        <f>$P1993-$P1994</f>
        <v/>
      </c>
      <c r="DT1993" s="64">
        <f>$Q1993-$Q1994</f>
        <v/>
      </c>
      <c r="DU1993" s="64">
        <f>$S1993-$S1994</f>
        <v/>
      </c>
      <c r="DV1993" s="65">
        <f>IFERROR(AVERAGE($AA1994/$AA1993-1,$AB1994/$AB1993-1,$AC1994/$AC1993-1,$AD1994/$AD1993-1,$AE1994/$AE1993-1,$AG1994/$AG1993-1,$AH1994/$AH1993-1,$AI1994/$AI1993-1,$AJ1994/$AJ1993-1,$AL1994/$AL1993-1,$AM1994/$AM1993-1,$AR1994/$AR1993-1,$AS1994/$AS1993-1,$AT1994/$AT1993-1,$AU1994/$AU1993-1,$AV1994/$AV1993-1,$AW1994/$AW1993-1,$AX1994/$AX1993-1,$AY1994/$AY1993-1),"")</f>
        <v/>
      </c>
      <c r="DW1993" s="66">
        <f>AVERAGE($CB1993,$CC1993,$CD1993,$CE1993,$CF1993,$CG1993,$CH1993,$CI1993,$CJ1993,$CL1993,$CM1993,$CN1993,$CO1993,$CP1993,$CQ1993,$CR1993,$CS1993,$CT1993)</f>
        <v/>
      </c>
      <c r="DX1993" s="66">
        <f>AVERAGE($CB1993,$CC1993,$CM1993,$CE1993,$CP1993)</f>
        <v/>
      </c>
      <c r="DY1993" s="64">
        <f>($DW1993-$DW1994)*100</f>
        <v/>
      </c>
      <c r="DZ1993" s="64">
        <f>($DX1993-$DX1994)*100</f>
        <v/>
      </c>
      <c r="EA1993" s="64">
        <f>($DW1993-$D1993)*100</f>
        <v/>
      </c>
      <c r="EB1993" s="64">
        <f>$Q1993-$O1993</f>
        <v/>
      </c>
      <c r="EC1993" s="67">
        <f>IFERROR($Q1993/$P1993,"")</f>
        <v/>
      </c>
    </row>
    <row r="1994">
      <c r="DG1994" s="64">
        <f>($B1994-$B1995)*100</f>
        <v/>
      </c>
      <c r="DH1994" s="64">
        <f>($D1994-$D1995)*100</f>
        <v/>
      </c>
      <c r="DI1994" s="64">
        <f>($E1994-$E1995)*100</f>
        <v/>
      </c>
      <c r="DJ1994" s="64">
        <f>($H1994-$H1995)*100</f>
        <v/>
      </c>
      <c r="DK1994" s="65">
        <f>IFERROR($J1994/$J1995-1,"")</f>
        <v/>
      </c>
      <c r="DL1994" s="64">
        <f>$L1994-$L1995</f>
        <v/>
      </c>
      <c r="DM1994" s="64">
        <f>$K1994-$K1995</f>
        <v/>
      </c>
      <c r="DN1994" s="65">
        <f>IFERROR($N1994/$N1995-1,"")</f>
        <v/>
      </c>
      <c r="DO1994" s="65">
        <f>IFERROR($M1994/$M1995-1,"")</f>
        <v/>
      </c>
      <c r="DP1994" s="65">
        <f>IFERROR($AZ1994/$AZ1995-1,"")</f>
        <v/>
      </c>
      <c r="DQ1994" s="65">
        <f>IFERROR($BA1994/$BA1995-1,"")</f>
        <v/>
      </c>
      <c r="DR1994" s="64">
        <f>$O1994-$O1995</f>
        <v/>
      </c>
      <c r="DS1994" s="64">
        <f>$P1994-$P1995</f>
        <v/>
      </c>
      <c r="DT1994" s="64">
        <f>$Q1994-$Q1995</f>
        <v/>
      </c>
      <c r="DU1994" s="64">
        <f>$S1994-$S1995</f>
        <v/>
      </c>
      <c r="DV1994" s="65">
        <f>IFERROR(AVERAGE($AA1995/$AA1994-1,$AB1995/$AB1994-1,$AC1995/$AC1994-1,$AD1995/$AD1994-1,$AE1995/$AE1994-1,$AG1995/$AG1994-1,$AH1995/$AH1994-1,$AI1995/$AI1994-1,$AJ1995/$AJ1994-1,$AL1995/$AL1994-1,$AM1995/$AM1994-1,$AR1995/$AR1994-1,$AS1995/$AS1994-1,$AT1995/$AT1994-1,$AU1995/$AU1994-1,$AV1995/$AV1994-1,$AW1995/$AW1994-1,$AX1995/$AX1994-1,$AY1995/$AY1994-1),"")</f>
        <v/>
      </c>
      <c r="DW1994" s="66">
        <f>AVERAGE($CB1994,$CC1994,$CD1994,$CE1994,$CF1994,$CG1994,$CH1994,$CI1994,$CJ1994,$CL1994,$CM1994,$CN1994,$CO1994,$CP1994,$CQ1994,$CR1994,$CS1994,$CT1994)</f>
        <v/>
      </c>
      <c r="DX1994" s="66">
        <f>AVERAGE($CB1994,$CC1994,$CM1994,$CE1994,$CP1994)</f>
        <v/>
      </c>
      <c r="DY1994" s="64">
        <f>($DW1994-$DW1995)*100</f>
        <v/>
      </c>
      <c r="DZ1994" s="64">
        <f>($DX1994-$DX1995)*100</f>
        <v/>
      </c>
      <c r="EA1994" s="64">
        <f>($DW1994-$D1994)*100</f>
        <v/>
      </c>
      <c r="EB1994" s="64">
        <f>$Q1994-$O1994</f>
        <v/>
      </c>
      <c r="EC1994" s="67">
        <f>IFERROR($Q1994/$P1994,"")</f>
        <v/>
      </c>
    </row>
    <row r="1995">
      <c r="DG1995" s="64">
        <f>($B1995-$B1996)*100</f>
        <v/>
      </c>
      <c r="DH1995" s="64">
        <f>($D1995-$D1996)*100</f>
        <v/>
      </c>
      <c r="DI1995" s="64">
        <f>($E1995-$E1996)*100</f>
        <v/>
      </c>
      <c r="DJ1995" s="64">
        <f>($H1995-$H1996)*100</f>
        <v/>
      </c>
      <c r="DK1995" s="65">
        <f>IFERROR($J1995/$J1996-1,"")</f>
        <v/>
      </c>
      <c r="DL1995" s="64">
        <f>$L1995-$L1996</f>
        <v/>
      </c>
      <c r="DM1995" s="64">
        <f>$K1995-$K1996</f>
        <v/>
      </c>
      <c r="DN1995" s="65">
        <f>IFERROR($N1995/$N1996-1,"")</f>
        <v/>
      </c>
      <c r="DO1995" s="65">
        <f>IFERROR($M1995/$M1996-1,"")</f>
        <v/>
      </c>
      <c r="DP1995" s="65">
        <f>IFERROR($AZ1995/$AZ1996-1,"")</f>
        <v/>
      </c>
      <c r="DQ1995" s="65">
        <f>IFERROR($BA1995/$BA1996-1,"")</f>
        <v/>
      </c>
      <c r="DR1995" s="64">
        <f>$O1995-$O1996</f>
        <v/>
      </c>
      <c r="DS1995" s="64">
        <f>$P1995-$P1996</f>
        <v/>
      </c>
      <c r="DT1995" s="64">
        <f>$Q1995-$Q1996</f>
        <v/>
      </c>
      <c r="DU1995" s="64">
        <f>$S1995-$S1996</f>
        <v/>
      </c>
      <c r="DV1995" s="65">
        <f>IFERROR(AVERAGE($AA1996/$AA1995-1,$AB1996/$AB1995-1,$AC1996/$AC1995-1,$AD1996/$AD1995-1,$AE1996/$AE1995-1,$AG1996/$AG1995-1,$AH1996/$AH1995-1,$AI1996/$AI1995-1,$AJ1996/$AJ1995-1,$AL1996/$AL1995-1,$AM1996/$AM1995-1,$AR1996/$AR1995-1,$AS1996/$AS1995-1,$AT1996/$AT1995-1,$AU1996/$AU1995-1,$AV1996/$AV1995-1,$AW1996/$AW1995-1,$AX1996/$AX1995-1,$AY1996/$AY1995-1),"")</f>
        <v/>
      </c>
      <c r="DW1995" s="66">
        <f>AVERAGE($CB1995,$CC1995,$CD1995,$CE1995,$CF1995,$CG1995,$CH1995,$CI1995,$CJ1995,$CL1995,$CM1995,$CN1995,$CO1995,$CP1995,$CQ1995,$CR1995,$CS1995,$CT1995)</f>
        <v/>
      </c>
      <c r="DX1995" s="66">
        <f>AVERAGE($CB1995,$CC1995,$CM1995,$CE1995,$CP1995)</f>
        <v/>
      </c>
      <c r="DY1995" s="64">
        <f>($DW1995-$DW1996)*100</f>
        <v/>
      </c>
      <c r="DZ1995" s="64">
        <f>($DX1995-$DX1996)*100</f>
        <v/>
      </c>
      <c r="EA1995" s="64">
        <f>($DW1995-$D1995)*100</f>
        <v/>
      </c>
      <c r="EB1995" s="64">
        <f>$Q1995-$O1995</f>
        <v/>
      </c>
      <c r="EC1995" s="67">
        <f>IFERROR($Q1995/$P1995,"")</f>
        <v/>
      </c>
    </row>
    <row r="1996">
      <c r="DG1996" s="64">
        <f>($B1996-$B1997)*100</f>
        <v/>
      </c>
      <c r="DH1996" s="64">
        <f>($D1996-$D1997)*100</f>
        <v/>
      </c>
      <c r="DI1996" s="64">
        <f>($E1996-$E1997)*100</f>
        <v/>
      </c>
      <c r="DJ1996" s="64">
        <f>($H1996-$H1997)*100</f>
        <v/>
      </c>
      <c r="DK1996" s="65">
        <f>IFERROR($J1996/$J1997-1,"")</f>
        <v/>
      </c>
      <c r="DL1996" s="64">
        <f>$L1996-$L1997</f>
        <v/>
      </c>
      <c r="DM1996" s="64">
        <f>$K1996-$K1997</f>
        <v/>
      </c>
      <c r="DN1996" s="65">
        <f>IFERROR($N1996/$N1997-1,"")</f>
        <v/>
      </c>
      <c r="DO1996" s="65">
        <f>IFERROR($M1996/$M1997-1,"")</f>
        <v/>
      </c>
      <c r="DP1996" s="65">
        <f>IFERROR($AZ1996/$AZ1997-1,"")</f>
        <v/>
      </c>
      <c r="DQ1996" s="65">
        <f>IFERROR($BA1996/$BA1997-1,"")</f>
        <v/>
      </c>
      <c r="DR1996" s="64">
        <f>$O1996-$O1997</f>
        <v/>
      </c>
      <c r="DS1996" s="64">
        <f>$P1996-$P1997</f>
        <v/>
      </c>
      <c r="DT1996" s="64">
        <f>$Q1996-$Q1997</f>
        <v/>
      </c>
      <c r="DU1996" s="64">
        <f>$S1996-$S1997</f>
        <v/>
      </c>
      <c r="DV1996" s="65">
        <f>IFERROR(AVERAGE($AA1997/$AA1996-1,$AB1997/$AB1996-1,$AC1997/$AC1996-1,$AD1997/$AD1996-1,$AE1997/$AE1996-1,$AG1997/$AG1996-1,$AH1997/$AH1996-1,$AI1997/$AI1996-1,$AJ1997/$AJ1996-1,$AL1997/$AL1996-1,$AM1997/$AM1996-1,$AR1997/$AR1996-1,$AS1997/$AS1996-1,$AT1997/$AT1996-1,$AU1997/$AU1996-1,$AV1997/$AV1996-1,$AW1997/$AW1996-1,$AX1997/$AX1996-1,$AY1997/$AY1996-1),"")</f>
        <v/>
      </c>
      <c r="DW1996" s="66">
        <f>AVERAGE($CB1996,$CC1996,$CD1996,$CE1996,$CF1996,$CG1996,$CH1996,$CI1996,$CJ1996,$CL1996,$CM1996,$CN1996,$CO1996,$CP1996,$CQ1996,$CR1996,$CS1996,$CT1996)</f>
        <v/>
      </c>
      <c r="DX1996" s="66">
        <f>AVERAGE($CB1996,$CC1996,$CM1996,$CE1996,$CP1996)</f>
        <v/>
      </c>
      <c r="DY1996" s="64">
        <f>($DW1996-$DW1997)*100</f>
        <v/>
      </c>
      <c r="DZ1996" s="64">
        <f>($DX1996-$DX1997)*100</f>
        <v/>
      </c>
      <c r="EA1996" s="64">
        <f>($DW1996-$D1996)*100</f>
        <v/>
      </c>
      <c r="EB1996" s="64">
        <f>$Q1996-$O1996</f>
        <v/>
      </c>
      <c r="EC1996" s="67">
        <f>IFERROR($Q1996/$P1996,"")</f>
        <v/>
      </c>
    </row>
    <row r="1997">
      <c r="DG1997" s="64">
        <f>($B1997-$B1998)*100</f>
        <v/>
      </c>
      <c r="DH1997" s="64">
        <f>($D1997-$D1998)*100</f>
        <v/>
      </c>
      <c r="DI1997" s="64">
        <f>($E1997-$E1998)*100</f>
        <v/>
      </c>
      <c r="DJ1997" s="64">
        <f>($H1997-$H1998)*100</f>
        <v/>
      </c>
      <c r="DK1997" s="65">
        <f>IFERROR($J1997/$J1998-1,"")</f>
        <v/>
      </c>
      <c r="DL1997" s="64">
        <f>$L1997-$L1998</f>
        <v/>
      </c>
      <c r="DM1997" s="64">
        <f>$K1997-$K1998</f>
        <v/>
      </c>
      <c r="DN1997" s="65">
        <f>IFERROR($N1997/$N1998-1,"")</f>
        <v/>
      </c>
      <c r="DO1997" s="65">
        <f>IFERROR($M1997/$M1998-1,"")</f>
        <v/>
      </c>
      <c r="DP1997" s="65">
        <f>IFERROR($AZ1997/$AZ1998-1,"")</f>
        <v/>
      </c>
      <c r="DQ1997" s="65">
        <f>IFERROR($BA1997/$BA1998-1,"")</f>
        <v/>
      </c>
      <c r="DR1997" s="64">
        <f>$O1997-$O1998</f>
        <v/>
      </c>
      <c r="DS1997" s="64">
        <f>$P1997-$P1998</f>
        <v/>
      </c>
      <c r="DT1997" s="64">
        <f>$Q1997-$Q1998</f>
        <v/>
      </c>
      <c r="DU1997" s="64">
        <f>$S1997-$S1998</f>
        <v/>
      </c>
      <c r="DV1997" s="65">
        <f>IFERROR(AVERAGE($AA1998/$AA1997-1,$AB1998/$AB1997-1,$AC1998/$AC1997-1,$AD1998/$AD1997-1,$AE1998/$AE1997-1,$AG1998/$AG1997-1,$AH1998/$AH1997-1,$AI1998/$AI1997-1,$AJ1998/$AJ1997-1,$AL1998/$AL1997-1,$AM1998/$AM1997-1,$AR1998/$AR1997-1,$AS1998/$AS1997-1,$AT1998/$AT1997-1,$AU1998/$AU1997-1,$AV1998/$AV1997-1,$AW1998/$AW1997-1,$AX1998/$AX1997-1,$AY1998/$AY1997-1),"")</f>
        <v/>
      </c>
      <c r="DW1997" s="66">
        <f>AVERAGE($CB1997,$CC1997,$CD1997,$CE1997,$CF1997,$CG1997,$CH1997,$CI1997,$CJ1997,$CL1997,$CM1997,$CN1997,$CO1997,$CP1997,$CQ1997,$CR1997,$CS1997,$CT1997)</f>
        <v/>
      </c>
      <c r="DX1997" s="66">
        <f>AVERAGE($CB1997,$CC1997,$CM1997,$CE1997,$CP1997)</f>
        <v/>
      </c>
      <c r="DY1997" s="64">
        <f>($DW1997-$DW1998)*100</f>
        <v/>
      </c>
      <c r="DZ1997" s="64">
        <f>($DX1997-$DX1998)*100</f>
        <v/>
      </c>
      <c r="EA1997" s="64">
        <f>($DW1997-$D1997)*100</f>
        <v/>
      </c>
      <c r="EB1997" s="64">
        <f>$Q1997-$O1997</f>
        <v/>
      </c>
      <c r="EC1997" s="67">
        <f>IFERROR($Q1997/$P1997,"")</f>
        <v/>
      </c>
    </row>
    <row r="1998">
      <c r="DG1998" s="64">
        <f>($B1998-$B1999)*100</f>
        <v/>
      </c>
      <c r="DH1998" s="64">
        <f>($D1998-$D1999)*100</f>
        <v/>
      </c>
      <c r="DI1998" s="64">
        <f>($E1998-$E1999)*100</f>
        <v/>
      </c>
      <c r="DJ1998" s="64">
        <f>($H1998-$H1999)*100</f>
        <v/>
      </c>
      <c r="DK1998" s="65">
        <f>IFERROR($J1998/$J1999-1,"")</f>
        <v/>
      </c>
      <c r="DL1998" s="64">
        <f>$L1998-$L1999</f>
        <v/>
      </c>
      <c r="DM1998" s="64">
        <f>$K1998-$K1999</f>
        <v/>
      </c>
      <c r="DN1998" s="65">
        <f>IFERROR($N1998/$N1999-1,"")</f>
        <v/>
      </c>
      <c r="DO1998" s="65">
        <f>IFERROR($M1998/$M1999-1,"")</f>
        <v/>
      </c>
      <c r="DP1998" s="65">
        <f>IFERROR($AZ1998/$AZ1999-1,"")</f>
        <v/>
      </c>
      <c r="DQ1998" s="65">
        <f>IFERROR($BA1998/$BA1999-1,"")</f>
        <v/>
      </c>
      <c r="DR1998" s="64">
        <f>$O1998-$O1999</f>
        <v/>
      </c>
      <c r="DS1998" s="64">
        <f>$P1998-$P1999</f>
        <v/>
      </c>
      <c r="DT1998" s="64">
        <f>$Q1998-$Q1999</f>
        <v/>
      </c>
      <c r="DU1998" s="64">
        <f>$S1998-$S1999</f>
        <v/>
      </c>
      <c r="DV1998" s="65">
        <f>IFERROR(AVERAGE($AA1999/$AA1998-1,$AB1999/$AB1998-1,$AC1999/$AC1998-1,$AD1999/$AD1998-1,$AE1999/$AE1998-1,$AG1999/$AG1998-1,$AH1999/$AH1998-1,$AI1999/$AI1998-1,$AJ1999/$AJ1998-1,$AL1999/$AL1998-1,$AM1999/$AM1998-1,$AR1999/$AR1998-1,$AS1999/$AS1998-1,$AT1999/$AT1998-1,$AU1999/$AU1998-1,$AV1999/$AV1998-1,$AW1999/$AW1998-1,$AX1999/$AX1998-1,$AY1999/$AY1998-1),"")</f>
        <v/>
      </c>
      <c r="DW1998" s="66">
        <f>AVERAGE($CB1998,$CC1998,$CD1998,$CE1998,$CF1998,$CG1998,$CH1998,$CI1998,$CJ1998,$CL1998,$CM1998,$CN1998,$CO1998,$CP1998,$CQ1998,$CR1998,$CS1998,$CT1998)</f>
        <v/>
      </c>
      <c r="DX1998" s="66">
        <f>AVERAGE($CB1998,$CC1998,$CM1998,$CE1998,$CP1998)</f>
        <v/>
      </c>
      <c r="DY1998" s="64">
        <f>($DW1998-$DW1999)*100</f>
        <v/>
      </c>
      <c r="DZ1998" s="64">
        <f>($DX1998-$DX1999)*100</f>
        <v/>
      </c>
      <c r="EA1998" s="64">
        <f>($DW1998-$D1998)*100</f>
        <v/>
      </c>
      <c r="EB1998" s="64">
        <f>$Q1998-$O1998</f>
        <v/>
      </c>
      <c r="EC1998" s="67">
        <f>IFERROR($Q1998/$P1998,"")</f>
        <v/>
      </c>
    </row>
    <row r="1999">
      <c r="DG1999" s="64">
        <f>($B1999-$B2000)*100</f>
        <v/>
      </c>
      <c r="DH1999" s="64">
        <f>($D1999-$D2000)*100</f>
        <v/>
      </c>
      <c r="DI1999" s="64">
        <f>($E1999-$E2000)*100</f>
        <v/>
      </c>
      <c r="DJ1999" s="64">
        <f>($H1999-$H2000)*100</f>
        <v/>
      </c>
      <c r="DK1999" s="65">
        <f>IFERROR($J1999/$J2000-1,"")</f>
        <v/>
      </c>
      <c r="DL1999" s="64">
        <f>$L1999-$L2000</f>
        <v/>
      </c>
      <c r="DM1999" s="64">
        <f>$K1999-$K2000</f>
        <v/>
      </c>
      <c r="DN1999" s="65">
        <f>IFERROR($N1999/$N2000-1,"")</f>
        <v/>
      </c>
      <c r="DO1999" s="65">
        <f>IFERROR($M1999/$M2000-1,"")</f>
        <v/>
      </c>
      <c r="DP1999" s="65">
        <f>IFERROR($AZ1999/$AZ2000-1,"")</f>
        <v/>
      </c>
      <c r="DQ1999" s="65">
        <f>IFERROR($BA1999/$BA2000-1,"")</f>
        <v/>
      </c>
      <c r="DR1999" s="64">
        <f>$O1999-$O2000</f>
        <v/>
      </c>
      <c r="DS1999" s="64">
        <f>$P1999-$P2000</f>
        <v/>
      </c>
      <c r="DT1999" s="64">
        <f>$Q1999-$Q2000</f>
        <v/>
      </c>
      <c r="DU1999" s="64">
        <f>$S1999-$S2000</f>
        <v/>
      </c>
      <c r="DV1999" s="65">
        <f>IFERROR(AVERAGE($AA2000/$AA1999-1,$AB2000/$AB1999-1,$AC2000/$AC1999-1,$AD2000/$AD1999-1,$AE2000/$AE1999-1,$AG2000/$AG1999-1,$AH2000/$AH1999-1,$AI2000/$AI1999-1,$AJ2000/$AJ1999-1,$AL2000/$AL1999-1,$AM2000/$AM1999-1,$AR2000/$AR1999-1,$AS2000/$AS1999-1,$AT2000/$AT1999-1,$AU2000/$AU1999-1,$AV2000/$AV1999-1,$AW2000/$AW1999-1,$AX2000/$AX1999-1,$AY2000/$AY1999-1),"")</f>
        <v/>
      </c>
      <c r="DW1999" s="66">
        <f>AVERAGE($CB1999,$CC1999,$CD1999,$CE1999,$CF1999,$CG1999,$CH1999,$CI1999,$CJ1999,$CL1999,$CM1999,$CN1999,$CO1999,$CP1999,$CQ1999,$CR1999,$CS1999,$CT1999)</f>
        <v/>
      </c>
      <c r="DX1999" s="66">
        <f>AVERAGE($CB1999,$CC1999,$CM1999,$CE1999,$CP1999)</f>
        <v/>
      </c>
      <c r="DY1999" s="64">
        <f>($DW1999-$DW2000)*100</f>
        <v/>
      </c>
      <c r="DZ1999" s="64">
        <f>($DX1999-$DX2000)*100</f>
        <v/>
      </c>
      <c r="EA1999" s="64">
        <f>($DW1999-$D1999)*100</f>
        <v/>
      </c>
      <c r="EB1999" s="64">
        <f>$Q1999-$O1999</f>
        <v/>
      </c>
      <c r="EC1999" s="67">
        <f>IFERROR($Q1999/$P1999,"")</f>
        <v/>
      </c>
    </row>
    <row r="2000">
      <c r="DG2000" s="64">
        <f>($B2000-$B2001)*100</f>
        <v/>
      </c>
      <c r="DH2000" s="64">
        <f>($D2000-$D2001)*100</f>
        <v/>
      </c>
      <c r="DI2000" s="64">
        <f>($E2000-$E2001)*100</f>
        <v/>
      </c>
      <c r="DJ2000" s="64">
        <f>($H2000-$H2001)*100</f>
        <v/>
      </c>
      <c r="DK2000" s="65">
        <f>IFERROR($J2000/$J2001-1,"")</f>
        <v/>
      </c>
      <c r="DL2000" s="64">
        <f>$L2000-$L2001</f>
        <v/>
      </c>
      <c r="DM2000" s="64">
        <f>$K2000-$K2001</f>
        <v/>
      </c>
      <c r="DN2000" s="65">
        <f>IFERROR($N2000/$N2001-1,"")</f>
        <v/>
      </c>
      <c r="DO2000" s="65">
        <f>IFERROR($M2000/$M2001-1,"")</f>
        <v/>
      </c>
      <c r="DP2000" s="65">
        <f>IFERROR($AZ2000/$AZ2001-1,"")</f>
        <v/>
      </c>
      <c r="DQ2000" s="65">
        <f>IFERROR($BA2000/$BA2001-1,"")</f>
        <v/>
      </c>
      <c r="DR2000" s="64">
        <f>$O2000-$O2001</f>
        <v/>
      </c>
      <c r="DS2000" s="64">
        <f>$P2000-$P2001</f>
        <v/>
      </c>
      <c r="DT2000" s="64">
        <f>$Q2000-$Q2001</f>
        <v/>
      </c>
      <c r="DU2000" s="64">
        <f>$S2000-$S2001</f>
        <v/>
      </c>
      <c r="DV2000" s="65">
        <f>IFERROR(AVERAGE($AA2001/$AA2000-1,$AB2001/$AB2000-1,$AC2001/$AC2000-1,$AD2001/$AD2000-1,$AE2001/$AE2000-1,$AG2001/$AG2000-1,$AH2001/$AH2000-1,$AI2001/$AI2000-1,$AJ2001/$AJ2000-1,$AL2001/$AL2000-1,$AM2001/$AM2000-1,$AR2001/$AR2000-1,$AS2001/$AS2000-1,$AT2001/$AT2000-1,$AU2001/$AU2000-1,$AV2001/$AV2000-1,$AW2001/$AW2000-1,$AX2001/$AX2000-1,$AY2001/$AY2000-1),"")</f>
        <v/>
      </c>
      <c r="DW2000" s="66">
        <f>AVERAGE($CB2000,$CC2000,$CD2000,$CE2000,$CF2000,$CG2000,$CH2000,$CI2000,$CJ2000,$CL2000,$CM2000,$CN2000,$CO2000,$CP2000,$CQ2000,$CR2000,$CS2000,$CT2000)</f>
        <v/>
      </c>
      <c r="DX2000" s="66">
        <f>AVERAGE($CB2000,$CC2000,$CM2000,$CE2000,$CP2000)</f>
        <v/>
      </c>
      <c r="DY2000" s="64">
        <f>($DW2000-$DW2001)*100</f>
        <v/>
      </c>
      <c r="DZ2000" s="64">
        <f>($DX2000-$DX2001)*100</f>
        <v/>
      </c>
      <c r="EA2000" s="64">
        <f>($DW2000-$D2000)*100</f>
        <v/>
      </c>
      <c r="EB2000" s="64">
        <f>$Q2000-$O2000</f>
        <v/>
      </c>
      <c r="EC2000" s="67">
        <f>IFERROR($Q2000/$P2000,"")</f>
        <v/>
      </c>
    </row>
    <row r="2001">
      <c r="DG2001" s="64">
        <f>($B2001-$B2002)*100</f>
        <v/>
      </c>
      <c r="DH2001" s="64">
        <f>($D2001-$D2002)*100</f>
        <v/>
      </c>
      <c r="DI2001" s="64">
        <f>($E2001-$E2002)*100</f>
        <v/>
      </c>
      <c r="DJ2001" s="64">
        <f>($H2001-$H2002)*100</f>
        <v/>
      </c>
      <c r="DK2001" s="65">
        <f>IFERROR($J2001/$J2002-1,"")</f>
        <v/>
      </c>
      <c r="DL2001" s="64">
        <f>$L2001-$L2002</f>
        <v/>
      </c>
      <c r="DM2001" s="64">
        <f>$K2001-$K2002</f>
        <v/>
      </c>
      <c r="DN2001" s="65">
        <f>IFERROR($N2001/$N2002-1,"")</f>
        <v/>
      </c>
      <c r="DO2001" s="65">
        <f>IFERROR($M2001/$M2002-1,"")</f>
        <v/>
      </c>
      <c r="DP2001" s="65">
        <f>IFERROR($AZ2001/$AZ2002-1,"")</f>
        <v/>
      </c>
      <c r="DQ2001" s="65">
        <f>IFERROR($BA2001/$BA2002-1,"")</f>
        <v/>
      </c>
      <c r="DR2001" s="64">
        <f>$O2001-$O2002</f>
        <v/>
      </c>
      <c r="DS2001" s="64">
        <f>$P2001-$P2002</f>
        <v/>
      </c>
      <c r="DT2001" s="64">
        <f>$Q2001-$Q2002</f>
        <v/>
      </c>
      <c r="DU2001" s="64">
        <f>$S2001-$S2002</f>
        <v/>
      </c>
      <c r="DV2001" s="65">
        <f>IFERROR(AVERAGE($AA2002/$AA2001-1,$AB2002/$AB2001-1,$AC2002/$AC2001-1,$AD2002/$AD2001-1,$AE2002/$AE2001-1,$AG2002/$AG2001-1,$AH2002/$AH2001-1,$AI2002/$AI2001-1,$AJ2002/$AJ2001-1,$AL2002/$AL2001-1,$AM2002/$AM2001-1,$AR2002/$AR2001-1,$AS2002/$AS2001-1,$AT2002/$AT2001-1,$AU2002/$AU2001-1,$AV2002/$AV2001-1,$AW2002/$AW2001-1,$AX2002/$AX2001-1,$AY2002/$AY2001-1),"")</f>
        <v/>
      </c>
      <c r="DW2001" s="66">
        <f>AVERAGE($CB2001,$CC2001,$CD2001,$CE2001,$CF2001,$CG2001,$CH2001,$CI2001,$CJ2001,$CL2001,$CM2001,$CN2001,$CO2001,$CP2001,$CQ2001,$CR2001,$CS2001,$CT2001)</f>
        <v/>
      </c>
      <c r="DX2001" s="66">
        <f>AVERAGE($CB2001,$CC2001,$CM2001,$CE2001,$CP2001)</f>
        <v/>
      </c>
      <c r="DY2001" s="64">
        <f>($DW2001-$DW2002)*100</f>
        <v/>
      </c>
      <c r="DZ2001" s="64">
        <f>($DX2001-$DX2002)*100</f>
        <v/>
      </c>
      <c r="EA2001" s="64">
        <f>($DW2001-$D2001)*100</f>
        <v/>
      </c>
      <c r="EB2001" s="64">
        <f>$Q2001-$O2001</f>
        <v/>
      </c>
      <c r="EC2001" s="67">
        <f>IFERROR($Q2001/$P2001,"")</f>
        <v/>
      </c>
    </row>
    <row r="2002">
      <c r="DG2002" s="64">
        <f>($B2002-$B2003)*100</f>
        <v/>
      </c>
      <c r="DH2002" s="64">
        <f>($D2002-$D2003)*100</f>
        <v/>
      </c>
      <c r="DI2002" s="64">
        <f>($E2002-$E2003)*100</f>
        <v/>
      </c>
      <c r="DJ2002" s="64">
        <f>($H2002-$H2003)*100</f>
        <v/>
      </c>
      <c r="DK2002" s="65">
        <f>IFERROR($J2002/$J2003-1,"")</f>
        <v/>
      </c>
      <c r="DL2002" s="64">
        <f>$L2002-$L2003</f>
        <v/>
      </c>
      <c r="DM2002" s="64">
        <f>$K2002-$K2003</f>
        <v/>
      </c>
      <c r="DN2002" s="65">
        <f>IFERROR($N2002/$N2003-1,"")</f>
        <v/>
      </c>
      <c r="DO2002" s="65">
        <f>IFERROR($M2002/$M2003-1,"")</f>
        <v/>
      </c>
      <c r="DP2002" s="65">
        <f>IFERROR($AZ2002/$AZ2003-1,"")</f>
        <v/>
      </c>
      <c r="DQ2002" s="65">
        <f>IFERROR($BA2002/$BA2003-1,"")</f>
        <v/>
      </c>
      <c r="DR2002" s="64">
        <f>$O2002-$O2003</f>
        <v/>
      </c>
      <c r="DS2002" s="64">
        <f>$P2002-$P2003</f>
        <v/>
      </c>
      <c r="DT2002" s="64">
        <f>$Q2002-$Q2003</f>
        <v/>
      </c>
      <c r="DU2002" s="64">
        <f>$S2002-$S2003</f>
        <v/>
      </c>
      <c r="DV2002" s="65">
        <f>IFERROR(AVERAGE($AA2003/$AA2002-1,$AB2003/$AB2002-1,$AC2003/$AC2002-1,$AD2003/$AD2002-1,$AE2003/$AE2002-1,$AG2003/$AG2002-1,$AH2003/$AH2002-1,$AI2003/$AI2002-1,$AJ2003/$AJ2002-1,$AL2003/$AL2002-1,$AM2003/$AM2002-1,$AR2003/$AR2002-1,$AS2003/$AS2002-1,$AT2003/$AT2002-1,$AU2003/$AU2002-1,$AV2003/$AV2002-1,$AW2003/$AW2002-1,$AX2003/$AX2002-1,$AY2003/$AY2002-1),"")</f>
        <v/>
      </c>
      <c r="DW2002" s="66">
        <f>AVERAGE($CB2002,$CC2002,$CD2002,$CE2002,$CF2002,$CG2002,$CH2002,$CI2002,$CJ2002,$CL2002,$CM2002,$CN2002,$CO2002,$CP2002,$CQ2002,$CR2002,$CS2002,$CT2002)</f>
        <v/>
      </c>
      <c r="DX2002" s="66">
        <f>AVERAGE($CB2002,$CC2002,$CM2002,$CE2002,$CP2002)</f>
        <v/>
      </c>
      <c r="DY2002" s="64">
        <f>($DW2002-$DW2003)*100</f>
        <v/>
      </c>
      <c r="DZ2002" s="64">
        <f>($DX2002-$DX2003)*100</f>
        <v/>
      </c>
      <c r="EA2002" s="64">
        <f>($DW2002-$D2002)*100</f>
        <v/>
      </c>
      <c r="EB2002" s="64">
        <f>$Q2002-$O2002</f>
        <v/>
      </c>
      <c r="EC2002" s="67">
        <f>IFERROR($Q2002/$P2002,"")</f>
        <v/>
      </c>
    </row>
    <row r="2003">
      <c r="DG2003" s="64">
        <f>($B2003-$B2004)*100</f>
        <v/>
      </c>
      <c r="DH2003" s="64">
        <f>($D2003-$D2004)*100</f>
        <v/>
      </c>
      <c r="DI2003" s="64">
        <f>($E2003-$E2004)*100</f>
        <v/>
      </c>
      <c r="DJ2003" s="64">
        <f>($H2003-$H2004)*100</f>
        <v/>
      </c>
      <c r="DK2003" s="65">
        <f>IFERROR($J2003/$J2004-1,"")</f>
        <v/>
      </c>
      <c r="DL2003" s="64">
        <f>$L2003-$L2004</f>
        <v/>
      </c>
      <c r="DM2003" s="64">
        <f>$K2003-$K2004</f>
        <v/>
      </c>
      <c r="DN2003" s="65">
        <f>IFERROR($N2003/$N2004-1,"")</f>
        <v/>
      </c>
      <c r="DO2003" s="65">
        <f>IFERROR($M2003/$M2004-1,"")</f>
        <v/>
      </c>
      <c r="DP2003" s="65">
        <f>IFERROR($AZ2003/$AZ2004-1,"")</f>
        <v/>
      </c>
      <c r="DQ2003" s="65">
        <f>IFERROR($BA2003/$BA2004-1,"")</f>
        <v/>
      </c>
      <c r="DR2003" s="64">
        <f>$O2003-$O2004</f>
        <v/>
      </c>
      <c r="DS2003" s="64">
        <f>$P2003-$P2004</f>
        <v/>
      </c>
      <c r="DT2003" s="64">
        <f>$Q2003-$Q2004</f>
        <v/>
      </c>
      <c r="DU2003" s="64">
        <f>$S2003-$S2004</f>
        <v/>
      </c>
      <c r="DV2003" s="65">
        <f>IFERROR(AVERAGE($AA2004/$AA2003-1,$AB2004/$AB2003-1,$AC2004/$AC2003-1,$AD2004/$AD2003-1,$AE2004/$AE2003-1,$AG2004/$AG2003-1,$AH2004/$AH2003-1,$AI2004/$AI2003-1,$AJ2004/$AJ2003-1,$AL2004/$AL2003-1,$AM2004/$AM2003-1,$AR2004/$AR2003-1,$AS2004/$AS2003-1,$AT2004/$AT2003-1,$AU2004/$AU2003-1,$AV2004/$AV2003-1,$AW2004/$AW2003-1,$AX2004/$AX2003-1,$AY2004/$AY2003-1),"")</f>
        <v/>
      </c>
      <c r="DW2003" s="66">
        <f>AVERAGE($CB2003,$CC2003,$CD2003,$CE2003,$CF2003,$CG2003,$CH2003,$CI2003,$CJ2003,$CL2003,$CM2003,$CN2003,$CO2003,$CP2003,$CQ2003,$CR2003,$CS2003,$CT2003)</f>
        <v/>
      </c>
      <c r="DX2003" s="66">
        <f>AVERAGE($CB2003,$CC2003,$CM2003,$CE2003,$CP2003)</f>
        <v/>
      </c>
      <c r="DY2003" s="64">
        <f>($DW2003-$DW2004)*100</f>
        <v/>
      </c>
      <c r="DZ2003" s="64">
        <f>($DX2003-$DX2004)*100</f>
        <v/>
      </c>
      <c r="EA2003" s="64">
        <f>($DW2003-$D2003)*100</f>
        <v/>
      </c>
      <c r="EB2003" s="64">
        <f>$Q2003-$O2003</f>
        <v/>
      </c>
      <c r="EC2003" s="67">
        <f>IFERROR($Q2003/$P2003,"")</f>
        <v/>
      </c>
    </row>
    <row r="2004">
      <c r="DG2004" s="64">
        <f>($B2004-$B2005)*100</f>
        <v/>
      </c>
      <c r="DH2004" s="64">
        <f>($D2004-$D2005)*100</f>
        <v/>
      </c>
      <c r="DI2004" s="64">
        <f>($E2004-$E2005)*100</f>
        <v/>
      </c>
      <c r="DJ2004" s="64">
        <f>($H2004-$H2005)*100</f>
        <v/>
      </c>
      <c r="DK2004" s="65">
        <f>IFERROR($J2004/$J2005-1,"")</f>
        <v/>
      </c>
      <c r="DL2004" s="64">
        <f>$L2004-$L2005</f>
        <v/>
      </c>
      <c r="DM2004" s="64">
        <f>$K2004-$K2005</f>
        <v/>
      </c>
      <c r="DN2004" s="65">
        <f>IFERROR($N2004/$N2005-1,"")</f>
        <v/>
      </c>
      <c r="DO2004" s="65">
        <f>IFERROR($M2004/$M2005-1,"")</f>
        <v/>
      </c>
      <c r="DP2004" s="65">
        <f>IFERROR($AZ2004/$AZ2005-1,"")</f>
        <v/>
      </c>
      <c r="DQ2004" s="65">
        <f>IFERROR($BA2004/$BA2005-1,"")</f>
        <v/>
      </c>
      <c r="DR2004" s="64">
        <f>$O2004-$O2005</f>
        <v/>
      </c>
      <c r="DS2004" s="64">
        <f>$P2004-$P2005</f>
        <v/>
      </c>
      <c r="DT2004" s="64">
        <f>$Q2004-$Q2005</f>
        <v/>
      </c>
      <c r="DU2004" s="64">
        <f>$S2004-$S2005</f>
        <v/>
      </c>
      <c r="DV2004" s="65">
        <f>IFERROR(AVERAGE($AA2005/$AA2004-1,$AB2005/$AB2004-1,$AC2005/$AC2004-1,$AD2005/$AD2004-1,$AE2005/$AE2004-1,$AG2005/$AG2004-1,$AH2005/$AH2004-1,$AI2005/$AI2004-1,$AJ2005/$AJ2004-1,$AL2005/$AL2004-1,$AM2005/$AM2004-1,$AR2005/$AR2004-1,$AS2005/$AS2004-1,$AT2005/$AT2004-1,$AU2005/$AU2004-1,$AV2005/$AV2004-1,$AW2005/$AW2004-1,$AX2005/$AX2004-1,$AY2005/$AY2004-1),"")</f>
        <v/>
      </c>
      <c r="DW2004" s="66">
        <f>AVERAGE($CB2004,$CC2004,$CD2004,$CE2004,$CF2004,$CG2004,$CH2004,$CI2004,$CJ2004,$CL2004,$CM2004,$CN2004,$CO2004,$CP2004,$CQ2004,$CR2004,$CS2004,$CT2004)</f>
        <v/>
      </c>
      <c r="DX2004" s="66">
        <f>AVERAGE($CB2004,$CC2004,$CM2004,$CE2004,$CP2004)</f>
        <v/>
      </c>
      <c r="DY2004" s="64">
        <f>($DW2004-$DW2005)*100</f>
        <v/>
      </c>
      <c r="DZ2004" s="64">
        <f>($DX2004-$DX2005)*100</f>
        <v/>
      </c>
      <c r="EA2004" s="64">
        <f>($DW2004-$D2004)*100</f>
        <v/>
      </c>
      <c r="EB2004" s="64">
        <f>$Q2004-$O2004</f>
        <v/>
      </c>
      <c r="EC2004" s="67">
        <f>IFERROR($Q2004/$P2004,"")</f>
        <v/>
      </c>
    </row>
    <row r="2005">
      <c r="DG2005" s="64">
        <f>($B2005-$B2006)*100</f>
        <v/>
      </c>
      <c r="DH2005" s="64">
        <f>($D2005-$D2006)*100</f>
        <v/>
      </c>
      <c r="DI2005" s="64">
        <f>($E2005-$E2006)*100</f>
        <v/>
      </c>
      <c r="DJ2005" s="64">
        <f>($H2005-$H2006)*100</f>
        <v/>
      </c>
      <c r="DK2005" s="65">
        <f>IFERROR($J2005/$J2006-1,"")</f>
        <v/>
      </c>
      <c r="DL2005" s="64">
        <f>$L2005-$L2006</f>
        <v/>
      </c>
      <c r="DM2005" s="64">
        <f>$K2005-$K2006</f>
        <v/>
      </c>
      <c r="DN2005" s="65">
        <f>IFERROR($N2005/$N2006-1,"")</f>
        <v/>
      </c>
      <c r="DO2005" s="65">
        <f>IFERROR($M2005/$M2006-1,"")</f>
        <v/>
      </c>
      <c r="DP2005" s="65">
        <f>IFERROR($AZ2005/$AZ2006-1,"")</f>
        <v/>
      </c>
      <c r="DQ2005" s="65">
        <f>IFERROR($BA2005/$BA2006-1,"")</f>
        <v/>
      </c>
      <c r="DR2005" s="64">
        <f>$O2005-$O2006</f>
        <v/>
      </c>
      <c r="DS2005" s="64">
        <f>$P2005-$P2006</f>
        <v/>
      </c>
      <c r="DT2005" s="64">
        <f>$Q2005-$Q2006</f>
        <v/>
      </c>
      <c r="DU2005" s="64">
        <f>$S2005-$S2006</f>
        <v/>
      </c>
      <c r="DV2005" s="65">
        <f>IFERROR(AVERAGE($AA2006/$AA2005-1,$AB2006/$AB2005-1,$AC2006/$AC2005-1,$AD2006/$AD2005-1,$AE2006/$AE2005-1,$AG2006/$AG2005-1,$AH2006/$AH2005-1,$AI2006/$AI2005-1,$AJ2006/$AJ2005-1,$AL2006/$AL2005-1,$AM2006/$AM2005-1,$AR2006/$AR2005-1,$AS2006/$AS2005-1,$AT2006/$AT2005-1,$AU2006/$AU2005-1,$AV2006/$AV2005-1,$AW2006/$AW2005-1,$AX2006/$AX2005-1,$AY2006/$AY2005-1),"")</f>
        <v/>
      </c>
      <c r="DW2005" s="66">
        <f>AVERAGE($CB2005,$CC2005,$CD2005,$CE2005,$CF2005,$CG2005,$CH2005,$CI2005,$CJ2005,$CL2005,$CM2005,$CN2005,$CO2005,$CP2005,$CQ2005,$CR2005,$CS2005,$CT2005)</f>
        <v/>
      </c>
      <c r="DX2005" s="66">
        <f>AVERAGE($CB2005,$CC2005,$CM2005,$CE2005,$CP2005)</f>
        <v/>
      </c>
      <c r="DY2005" s="64">
        <f>($DW2005-$DW2006)*100</f>
        <v/>
      </c>
      <c r="DZ2005" s="64">
        <f>($DX2005-$DX2006)*100</f>
        <v/>
      </c>
      <c r="EA2005" s="64">
        <f>($DW2005-$D2005)*100</f>
        <v/>
      </c>
      <c r="EB2005" s="64">
        <f>$Q2005-$O2005</f>
        <v/>
      </c>
      <c r="EC2005" s="67">
        <f>IFERROR($Q2005/$P2005,"")</f>
        <v/>
      </c>
    </row>
    <row r="2006">
      <c r="DG2006" s="64">
        <f>($B2006-$B2007)*100</f>
        <v/>
      </c>
      <c r="DH2006" s="64">
        <f>($D2006-$D2007)*100</f>
        <v/>
      </c>
      <c r="DI2006" s="64">
        <f>($E2006-$E2007)*100</f>
        <v/>
      </c>
      <c r="DJ2006" s="64">
        <f>($H2006-$H2007)*100</f>
        <v/>
      </c>
      <c r="DK2006" s="65">
        <f>IFERROR($J2006/$J2007-1,"")</f>
        <v/>
      </c>
      <c r="DL2006" s="64">
        <f>$L2006-$L2007</f>
        <v/>
      </c>
      <c r="DM2006" s="64">
        <f>$K2006-$K2007</f>
        <v/>
      </c>
      <c r="DN2006" s="65">
        <f>IFERROR($N2006/$N2007-1,"")</f>
        <v/>
      </c>
      <c r="DO2006" s="65">
        <f>IFERROR($M2006/$M2007-1,"")</f>
        <v/>
      </c>
      <c r="DP2006" s="65">
        <f>IFERROR($AZ2006/$AZ2007-1,"")</f>
        <v/>
      </c>
      <c r="DQ2006" s="65">
        <f>IFERROR($BA2006/$BA2007-1,"")</f>
        <v/>
      </c>
      <c r="DR2006" s="64">
        <f>$O2006-$O2007</f>
        <v/>
      </c>
      <c r="DS2006" s="64">
        <f>$P2006-$P2007</f>
        <v/>
      </c>
      <c r="DT2006" s="64">
        <f>$Q2006-$Q2007</f>
        <v/>
      </c>
      <c r="DU2006" s="64">
        <f>$S2006-$S2007</f>
        <v/>
      </c>
      <c r="DV2006" s="65">
        <f>IFERROR(AVERAGE($AA2007/$AA2006-1,$AB2007/$AB2006-1,$AC2007/$AC2006-1,$AD2007/$AD2006-1,$AE2007/$AE2006-1,$AG2007/$AG2006-1,$AH2007/$AH2006-1,$AI2007/$AI2006-1,$AJ2007/$AJ2006-1,$AL2007/$AL2006-1,$AM2007/$AM2006-1,$AR2007/$AR2006-1,$AS2007/$AS2006-1,$AT2007/$AT2006-1,$AU2007/$AU2006-1,$AV2007/$AV2006-1,$AW2007/$AW2006-1,$AX2007/$AX2006-1,$AY2007/$AY2006-1),"")</f>
        <v/>
      </c>
      <c r="DW2006" s="66">
        <f>AVERAGE($CB2006,$CC2006,$CD2006,$CE2006,$CF2006,$CG2006,$CH2006,$CI2006,$CJ2006,$CL2006,$CM2006,$CN2006,$CO2006,$CP2006,$CQ2006,$CR2006,$CS2006,$CT2006)</f>
        <v/>
      </c>
      <c r="DX2006" s="66">
        <f>AVERAGE($CB2006,$CC2006,$CM2006,$CE2006,$CP2006)</f>
        <v/>
      </c>
      <c r="DY2006" s="64">
        <f>($DW2006-$DW2007)*100</f>
        <v/>
      </c>
      <c r="DZ2006" s="64">
        <f>($DX2006-$DX2007)*100</f>
        <v/>
      </c>
      <c r="EA2006" s="64">
        <f>($DW2006-$D2006)*100</f>
        <v/>
      </c>
      <c r="EB2006" s="64">
        <f>$Q2006-$O2006</f>
        <v/>
      </c>
      <c r="EC2006" s="67">
        <f>IFERROR($Q2006/$P2006,"")</f>
        <v/>
      </c>
    </row>
    <row r="2007">
      <c r="DG2007" s="64">
        <f>($B2007-$B2008)*100</f>
        <v/>
      </c>
      <c r="DH2007" s="64">
        <f>($D2007-$D2008)*100</f>
        <v/>
      </c>
      <c r="DI2007" s="64">
        <f>($E2007-$E2008)*100</f>
        <v/>
      </c>
      <c r="DJ2007" s="64">
        <f>($H2007-$H2008)*100</f>
        <v/>
      </c>
      <c r="DK2007" s="65">
        <f>IFERROR($J2007/$J2008-1,"")</f>
        <v/>
      </c>
      <c r="DL2007" s="64">
        <f>$L2007-$L2008</f>
        <v/>
      </c>
      <c r="DM2007" s="64">
        <f>$K2007-$K2008</f>
        <v/>
      </c>
      <c r="DN2007" s="65">
        <f>IFERROR($N2007/$N2008-1,"")</f>
        <v/>
      </c>
      <c r="DO2007" s="65">
        <f>IFERROR($M2007/$M2008-1,"")</f>
        <v/>
      </c>
      <c r="DP2007" s="65">
        <f>IFERROR($AZ2007/$AZ2008-1,"")</f>
        <v/>
      </c>
      <c r="DQ2007" s="65">
        <f>IFERROR($BA2007/$BA2008-1,"")</f>
        <v/>
      </c>
      <c r="DR2007" s="64">
        <f>$O2007-$O2008</f>
        <v/>
      </c>
      <c r="DS2007" s="64">
        <f>$P2007-$P2008</f>
        <v/>
      </c>
      <c r="DT2007" s="64">
        <f>$Q2007-$Q2008</f>
        <v/>
      </c>
      <c r="DU2007" s="64">
        <f>$S2007-$S2008</f>
        <v/>
      </c>
      <c r="DV2007" s="65">
        <f>IFERROR(AVERAGE($AA2008/$AA2007-1,$AB2008/$AB2007-1,$AC2008/$AC2007-1,$AD2008/$AD2007-1,$AE2008/$AE2007-1,$AG2008/$AG2007-1,$AH2008/$AH2007-1,$AI2008/$AI2007-1,$AJ2008/$AJ2007-1,$AL2008/$AL2007-1,$AM2008/$AM2007-1,$AR2008/$AR2007-1,$AS2008/$AS2007-1,$AT2008/$AT2007-1,$AU2008/$AU2007-1,$AV2008/$AV2007-1,$AW2008/$AW2007-1,$AX2008/$AX2007-1,$AY2008/$AY2007-1),"")</f>
        <v/>
      </c>
      <c r="DW2007" s="66">
        <f>AVERAGE($CB2007,$CC2007,$CD2007,$CE2007,$CF2007,$CG2007,$CH2007,$CI2007,$CJ2007,$CL2007,$CM2007,$CN2007,$CO2007,$CP2007,$CQ2007,$CR2007,$CS2007,$CT2007)</f>
        <v/>
      </c>
      <c r="DX2007" s="66">
        <f>AVERAGE($CB2007,$CC2007,$CM2007,$CE2007,$CP2007)</f>
        <v/>
      </c>
      <c r="DY2007" s="64">
        <f>($DW2007-$DW2008)*100</f>
        <v/>
      </c>
      <c r="DZ2007" s="64">
        <f>($DX2007-$DX2008)*100</f>
        <v/>
      </c>
      <c r="EA2007" s="64">
        <f>($DW2007-$D2007)*100</f>
        <v/>
      </c>
      <c r="EB2007" s="64">
        <f>$Q2007-$O2007</f>
        <v/>
      </c>
      <c r="EC2007" s="67">
        <f>IFERROR($Q2007/$P2007,"")</f>
        <v/>
      </c>
    </row>
    <row r="2008">
      <c r="DG2008" s="64">
        <f>($B2008-$B2009)*100</f>
        <v/>
      </c>
      <c r="DH2008" s="64">
        <f>($D2008-$D2009)*100</f>
        <v/>
      </c>
      <c r="DI2008" s="64">
        <f>($E2008-$E2009)*100</f>
        <v/>
      </c>
      <c r="DJ2008" s="64">
        <f>($H2008-$H2009)*100</f>
        <v/>
      </c>
      <c r="DK2008" s="65">
        <f>IFERROR($J2008/$J2009-1,"")</f>
        <v/>
      </c>
      <c r="DL2008" s="64">
        <f>$L2008-$L2009</f>
        <v/>
      </c>
      <c r="DM2008" s="64">
        <f>$K2008-$K2009</f>
        <v/>
      </c>
      <c r="DN2008" s="65">
        <f>IFERROR($N2008/$N2009-1,"")</f>
        <v/>
      </c>
      <c r="DO2008" s="65">
        <f>IFERROR($M2008/$M2009-1,"")</f>
        <v/>
      </c>
      <c r="DP2008" s="65">
        <f>IFERROR($AZ2008/$AZ2009-1,"")</f>
        <v/>
      </c>
      <c r="DQ2008" s="65">
        <f>IFERROR($BA2008/$BA2009-1,"")</f>
        <v/>
      </c>
      <c r="DR2008" s="64">
        <f>$O2008-$O2009</f>
        <v/>
      </c>
      <c r="DS2008" s="64">
        <f>$P2008-$P2009</f>
        <v/>
      </c>
      <c r="DT2008" s="64">
        <f>$Q2008-$Q2009</f>
        <v/>
      </c>
      <c r="DU2008" s="64">
        <f>$S2008-$S2009</f>
        <v/>
      </c>
      <c r="DV2008" s="65">
        <f>IFERROR(AVERAGE($AA2009/$AA2008-1,$AB2009/$AB2008-1,$AC2009/$AC2008-1,$AD2009/$AD2008-1,$AE2009/$AE2008-1,$AG2009/$AG2008-1,$AH2009/$AH2008-1,$AI2009/$AI2008-1,$AJ2009/$AJ2008-1,$AL2009/$AL2008-1,$AM2009/$AM2008-1,$AR2009/$AR2008-1,$AS2009/$AS2008-1,$AT2009/$AT2008-1,$AU2009/$AU2008-1,$AV2009/$AV2008-1,$AW2009/$AW2008-1,$AX2009/$AX2008-1,$AY2009/$AY2008-1),"")</f>
        <v/>
      </c>
      <c r="DW2008" s="66">
        <f>AVERAGE($CB2008,$CC2008,$CD2008,$CE2008,$CF2008,$CG2008,$CH2008,$CI2008,$CJ2008,$CL2008,$CM2008,$CN2008,$CO2008,$CP2008,$CQ2008,$CR2008,$CS2008,$CT2008)</f>
        <v/>
      </c>
      <c r="DX2008" s="66">
        <f>AVERAGE($CB2008,$CC2008,$CM2008,$CE2008,$CP2008)</f>
        <v/>
      </c>
      <c r="DY2008" s="64">
        <f>($DW2008-$DW2009)*100</f>
        <v/>
      </c>
      <c r="DZ2008" s="64">
        <f>($DX2008-$DX2009)*100</f>
        <v/>
      </c>
      <c r="EA2008" s="64">
        <f>($DW2008-$D2008)*100</f>
        <v/>
      </c>
      <c r="EB2008" s="64">
        <f>$Q2008-$O2008</f>
        <v/>
      </c>
      <c r="EC2008" s="67">
        <f>IFERROR($Q2008/$P2008,"")</f>
        <v/>
      </c>
    </row>
    <row r="2009">
      <c r="DG2009" s="64">
        <f>($B2009-$B2010)*100</f>
        <v/>
      </c>
      <c r="DH2009" s="64">
        <f>($D2009-$D2010)*100</f>
        <v/>
      </c>
      <c r="DI2009" s="64">
        <f>($E2009-$E2010)*100</f>
        <v/>
      </c>
      <c r="DJ2009" s="64">
        <f>($H2009-$H2010)*100</f>
        <v/>
      </c>
      <c r="DK2009" s="65">
        <f>IFERROR($J2009/$J2010-1,"")</f>
        <v/>
      </c>
      <c r="DL2009" s="64">
        <f>$L2009-$L2010</f>
        <v/>
      </c>
      <c r="DM2009" s="64">
        <f>$K2009-$K2010</f>
        <v/>
      </c>
      <c r="DN2009" s="65">
        <f>IFERROR($N2009/$N2010-1,"")</f>
        <v/>
      </c>
      <c r="DO2009" s="65">
        <f>IFERROR($M2009/$M2010-1,"")</f>
        <v/>
      </c>
      <c r="DP2009" s="65">
        <f>IFERROR($AZ2009/$AZ2010-1,"")</f>
        <v/>
      </c>
      <c r="DQ2009" s="65">
        <f>IFERROR($BA2009/$BA2010-1,"")</f>
        <v/>
      </c>
      <c r="DR2009" s="64">
        <f>$O2009-$O2010</f>
        <v/>
      </c>
      <c r="DS2009" s="64">
        <f>$P2009-$P2010</f>
        <v/>
      </c>
      <c r="DT2009" s="64">
        <f>$Q2009-$Q2010</f>
        <v/>
      </c>
      <c r="DU2009" s="64">
        <f>$S2009-$S2010</f>
        <v/>
      </c>
      <c r="DV2009" s="65">
        <f>IFERROR(AVERAGE($AA2010/$AA2009-1,$AB2010/$AB2009-1,$AC2010/$AC2009-1,$AD2010/$AD2009-1,$AE2010/$AE2009-1,$AG2010/$AG2009-1,$AH2010/$AH2009-1,$AI2010/$AI2009-1,$AJ2010/$AJ2009-1,$AL2010/$AL2009-1,$AM2010/$AM2009-1,$AR2010/$AR2009-1,$AS2010/$AS2009-1,$AT2010/$AT2009-1,$AU2010/$AU2009-1,$AV2010/$AV2009-1,$AW2010/$AW2009-1,$AX2010/$AX2009-1,$AY2010/$AY2009-1),"")</f>
        <v/>
      </c>
      <c r="DW2009" s="66">
        <f>AVERAGE($CB2009,$CC2009,$CD2009,$CE2009,$CF2009,$CG2009,$CH2009,$CI2009,$CJ2009,$CL2009,$CM2009,$CN2009,$CO2009,$CP2009,$CQ2009,$CR2009,$CS2009,$CT2009)</f>
        <v/>
      </c>
      <c r="DX2009" s="66">
        <f>AVERAGE($CB2009,$CC2009,$CM2009,$CE2009,$CP2009)</f>
        <v/>
      </c>
      <c r="DY2009" s="64">
        <f>($DW2009-$DW2010)*100</f>
        <v/>
      </c>
      <c r="DZ2009" s="64">
        <f>($DX2009-$DX2010)*100</f>
        <v/>
      </c>
      <c r="EA2009" s="64">
        <f>($DW2009-$D2009)*100</f>
        <v/>
      </c>
      <c r="EB2009" s="64">
        <f>$Q2009-$O2009</f>
        <v/>
      </c>
      <c r="EC2009" s="67">
        <f>IFERROR($Q2009/$P2009,"")</f>
        <v/>
      </c>
    </row>
    <row r="2010">
      <c r="DG2010" s="64">
        <f>($B2010-$B2011)*100</f>
        <v/>
      </c>
      <c r="DH2010" s="64">
        <f>($D2010-$D2011)*100</f>
        <v/>
      </c>
      <c r="DI2010" s="64">
        <f>($E2010-$E2011)*100</f>
        <v/>
      </c>
      <c r="DJ2010" s="64">
        <f>($H2010-$H2011)*100</f>
        <v/>
      </c>
      <c r="DK2010" s="65">
        <f>IFERROR($J2010/$J2011-1,"")</f>
        <v/>
      </c>
      <c r="DL2010" s="64">
        <f>$L2010-$L2011</f>
        <v/>
      </c>
      <c r="DM2010" s="64">
        <f>$K2010-$K2011</f>
        <v/>
      </c>
      <c r="DN2010" s="65">
        <f>IFERROR($N2010/$N2011-1,"")</f>
        <v/>
      </c>
      <c r="DO2010" s="65">
        <f>IFERROR($M2010/$M2011-1,"")</f>
        <v/>
      </c>
      <c r="DP2010" s="65">
        <f>IFERROR($AZ2010/$AZ2011-1,"")</f>
        <v/>
      </c>
      <c r="DQ2010" s="65">
        <f>IFERROR($BA2010/$BA2011-1,"")</f>
        <v/>
      </c>
      <c r="DR2010" s="64">
        <f>$O2010-$O2011</f>
        <v/>
      </c>
      <c r="DS2010" s="64">
        <f>$P2010-$P2011</f>
        <v/>
      </c>
      <c r="DT2010" s="64">
        <f>$Q2010-$Q2011</f>
        <v/>
      </c>
      <c r="DU2010" s="64">
        <f>$S2010-$S2011</f>
        <v/>
      </c>
      <c r="DV2010" s="65">
        <f>IFERROR(AVERAGE($AA2011/$AA2010-1,$AB2011/$AB2010-1,$AC2011/$AC2010-1,$AD2011/$AD2010-1,$AE2011/$AE2010-1,$AG2011/$AG2010-1,$AH2011/$AH2010-1,$AI2011/$AI2010-1,$AJ2011/$AJ2010-1,$AL2011/$AL2010-1,$AM2011/$AM2010-1,$AR2011/$AR2010-1,$AS2011/$AS2010-1,$AT2011/$AT2010-1,$AU2011/$AU2010-1,$AV2011/$AV2010-1,$AW2011/$AW2010-1,$AX2011/$AX2010-1,$AY2011/$AY2010-1),"")</f>
        <v/>
      </c>
      <c r="DW2010" s="66">
        <f>AVERAGE($CB2010,$CC2010,$CD2010,$CE2010,$CF2010,$CG2010,$CH2010,$CI2010,$CJ2010,$CL2010,$CM2010,$CN2010,$CO2010,$CP2010,$CQ2010,$CR2010,$CS2010,$CT2010)</f>
        <v/>
      </c>
      <c r="DX2010" s="66">
        <f>AVERAGE($CB2010,$CC2010,$CM2010,$CE2010,$CP2010)</f>
        <v/>
      </c>
      <c r="DY2010" s="64">
        <f>($DW2010-$DW2011)*100</f>
        <v/>
      </c>
      <c r="DZ2010" s="64">
        <f>($DX2010-$DX2011)*100</f>
        <v/>
      </c>
      <c r="EA2010" s="64">
        <f>($DW2010-$D2010)*100</f>
        <v/>
      </c>
      <c r="EB2010" s="64">
        <f>$Q2010-$O2010</f>
        <v/>
      </c>
      <c r="EC2010" s="67">
        <f>IFERROR($Q2010/$P2010,"")</f>
        <v/>
      </c>
    </row>
    <row r="2011">
      <c r="DG2011" s="64">
        <f>($B2011-$B2012)*100</f>
        <v/>
      </c>
      <c r="DH2011" s="64">
        <f>($D2011-$D2012)*100</f>
        <v/>
      </c>
      <c r="DI2011" s="64">
        <f>($E2011-$E2012)*100</f>
        <v/>
      </c>
      <c r="DJ2011" s="64">
        <f>($H2011-$H2012)*100</f>
        <v/>
      </c>
      <c r="DK2011" s="65">
        <f>IFERROR($J2011/$J2012-1,"")</f>
        <v/>
      </c>
      <c r="DL2011" s="64">
        <f>$L2011-$L2012</f>
        <v/>
      </c>
      <c r="DM2011" s="64">
        <f>$K2011-$K2012</f>
        <v/>
      </c>
      <c r="DN2011" s="65">
        <f>IFERROR($N2011/$N2012-1,"")</f>
        <v/>
      </c>
      <c r="DO2011" s="65">
        <f>IFERROR($M2011/$M2012-1,"")</f>
        <v/>
      </c>
      <c r="DP2011" s="65">
        <f>IFERROR($AZ2011/$AZ2012-1,"")</f>
        <v/>
      </c>
      <c r="DQ2011" s="65">
        <f>IFERROR($BA2011/$BA2012-1,"")</f>
        <v/>
      </c>
      <c r="DR2011" s="64">
        <f>$O2011-$O2012</f>
        <v/>
      </c>
      <c r="DS2011" s="64">
        <f>$P2011-$P2012</f>
        <v/>
      </c>
      <c r="DT2011" s="64">
        <f>$Q2011-$Q2012</f>
        <v/>
      </c>
      <c r="DU2011" s="64">
        <f>$S2011-$S2012</f>
        <v/>
      </c>
      <c r="DV2011" s="65">
        <f>IFERROR(AVERAGE($AA2012/$AA2011-1,$AB2012/$AB2011-1,$AC2012/$AC2011-1,$AD2012/$AD2011-1,$AE2012/$AE2011-1,$AG2012/$AG2011-1,$AH2012/$AH2011-1,$AI2012/$AI2011-1,$AJ2012/$AJ2011-1,$AL2012/$AL2011-1,$AM2012/$AM2011-1,$AR2012/$AR2011-1,$AS2012/$AS2011-1,$AT2012/$AT2011-1,$AU2012/$AU2011-1,$AV2012/$AV2011-1,$AW2012/$AW2011-1,$AX2012/$AX2011-1,$AY2012/$AY2011-1),"")</f>
        <v/>
      </c>
      <c r="DW2011" s="66">
        <f>AVERAGE($CB2011,$CC2011,$CD2011,$CE2011,$CF2011,$CG2011,$CH2011,$CI2011,$CJ2011,$CL2011,$CM2011,$CN2011,$CO2011,$CP2011,$CQ2011,$CR2011,$CS2011,$CT2011)</f>
        <v/>
      </c>
      <c r="DX2011" s="66">
        <f>AVERAGE($CB2011,$CC2011,$CM2011,$CE2011,$CP2011)</f>
        <v/>
      </c>
      <c r="DY2011" s="64">
        <f>($DW2011-$DW2012)*100</f>
        <v/>
      </c>
      <c r="DZ2011" s="64">
        <f>($DX2011-$DX2012)*100</f>
        <v/>
      </c>
      <c r="EA2011" s="64">
        <f>($DW2011-$D2011)*100</f>
        <v/>
      </c>
      <c r="EB2011" s="64">
        <f>$Q2011-$O2011</f>
        <v/>
      </c>
      <c r="EC2011" s="67">
        <f>IFERROR($Q2011/$P2011,"")</f>
        <v/>
      </c>
    </row>
    <row r="2012">
      <c r="DG2012" s="64">
        <f>($B2012-$B2013)*100</f>
        <v/>
      </c>
      <c r="DH2012" s="64">
        <f>($D2012-$D2013)*100</f>
        <v/>
      </c>
      <c r="DI2012" s="64">
        <f>($E2012-$E2013)*100</f>
        <v/>
      </c>
      <c r="DJ2012" s="64">
        <f>($H2012-$H2013)*100</f>
        <v/>
      </c>
      <c r="DK2012" s="65">
        <f>IFERROR($J2012/$J2013-1,"")</f>
        <v/>
      </c>
      <c r="DL2012" s="64">
        <f>$L2012-$L2013</f>
        <v/>
      </c>
      <c r="DM2012" s="64">
        <f>$K2012-$K2013</f>
        <v/>
      </c>
      <c r="DN2012" s="65">
        <f>IFERROR($N2012/$N2013-1,"")</f>
        <v/>
      </c>
      <c r="DO2012" s="65">
        <f>IFERROR($M2012/$M2013-1,"")</f>
        <v/>
      </c>
      <c r="DP2012" s="65">
        <f>IFERROR($AZ2012/$AZ2013-1,"")</f>
        <v/>
      </c>
      <c r="DQ2012" s="65">
        <f>IFERROR($BA2012/$BA2013-1,"")</f>
        <v/>
      </c>
      <c r="DR2012" s="64">
        <f>$O2012-$O2013</f>
        <v/>
      </c>
      <c r="DS2012" s="64">
        <f>$P2012-$P2013</f>
        <v/>
      </c>
      <c r="DT2012" s="64">
        <f>$Q2012-$Q2013</f>
        <v/>
      </c>
      <c r="DU2012" s="64">
        <f>$S2012-$S2013</f>
        <v/>
      </c>
      <c r="DV2012" s="65">
        <f>IFERROR(AVERAGE($AA2013/$AA2012-1,$AB2013/$AB2012-1,$AC2013/$AC2012-1,$AD2013/$AD2012-1,$AE2013/$AE2012-1,$AG2013/$AG2012-1,$AH2013/$AH2012-1,$AI2013/$AI2012-1,$AJ2013/$AJ2012-1,$AL2013/$AL2012-1,$AM2013/$AM2012-1,$AR2013/$AR2012-1,$AS2013/$AS2012-1,$AT2013/$AT2012-1,$AU2013/$AU2012-1,$AV2013/$AV2012-1,$AW2013/$AW2012-1,$AX2013/$AX2012-1,$AY2013/$AY2012-1),"")</f>
        <v/>
      </c>
      <c r="DW2012" s="66">
        <f>AVERAGE($CB2012,$CC2012,$CD2012,$CE2012,$CF2012,$CG2012,$CH2012,$CI2012,$CJ2012,$CL2012,$CM2012,$CN2012,$CO2012,$CP2012,$CQ2012,$CR2012,$CS2012,$CT2012)</f>
        <v/>
      </c>
      <c r="DX2012" s="66">
        <f>AVERAGE($CB2012,$CC2012,$CM2012,$CE2012,$CP2012)</f>
        <v/>
      </c>
      <c r="DY2012" s="64">
        <f>($DW2012-$DW2013)*100</f>
        <v/>
      </c>
      <c r="DZ2012" s="64">
        <f>($DX2012-$DX2013)*100</f>
        <v/>
      </c>
      <c r="EA2012" s="64">
        <f>($DW2012-$D2012)*100</f>
        <v/>
      </c>
      <c r="EB2012" s="64">
        <f>$Q2012-$O2012</f>
        <v/>
      </c>
      <c r="EC2012" s="67">
        <f>IFERROR($Q2012/$P2012,"")</f>
        <v/>
      </c>
    </row>
    <row r="2013">
      <c r="DG2013" s="64">
        <f>($B2013-$B2014)*100</f>
        <v/>
      </c>
      <c r="DH2013" s="64">
        <f>($D2013-$D2014)*100</f>
        <v/>
      </c>
      <c r="DI2013" s="64">
        <f>($E2013-$E2014)*100</f>
        <v/>
      </c>
      <c r="DJ2013" s="64">
        <f>($H2013-$H2014)*100</f>
        <v/>
      </c>
      <c r="DK2013" s="65">
        <f>IFERROR($J2013/$J2014-1,"")</f>
        <v/>
      </c>
      <c r="DL2013" s="64">
        <f>$L2013-$L2014</f>
        <v/>
      </c>
      <c r="DM2013" s="64">
        <f>$K2013-$K2014</f>
        <v/>
      </c>
      <c r="DN2013" s="65">
        <f>IFERROR($N2013/$N2014-1,"")</f>
        <v/>
      </c>
      <c r="DO2013" s="65">
        <f>IFERROR($M2013/$M2014-1,"")</f>
        <v/>
      </c>
      <c r="DP2013" s="65">
        <f>IFERROR($AZ2013/$AZ2014-1,"")</f>
        <v/>
      </c>
      <c r="DQ2013" s="65">
        <f>IFERROR($BA2013/$BA2014-1,"")</f>
        <v/>
      </c>
      <c r="DR2013" s="64">
        <f>$O2013-$O2014</f>
        <v/>
      </c>
      <c r="DS2013" s="64">
        <f>$P2013-$P2014</f>
        <v/>
      </c>
      <c r="DT2013" s="64">
        <f>$Q2013-$Q2014</f>
        <v/>
      </c>
      <c r="DU2013" s="64">
        <f>$S2013-$S2014</f>
        <v/>
      </c>
      <c r="DV2013" s="65">
        <f>IFERROR(AVERAGE($AA2014/$AA2013-1,$AB2014/$AB2013-1,$AC2014/$AC2013-1,$AD2014/$AD2013-1,$AE2014/$AE2013-1,$AG2014/$AG2013-1,$AH2014/$AH2013-1,$AI2014/$AI2013-1,$AJ2014/$AJ2013-1,$AL2014/$AL2013-1,$AM2014/$AM2013-1,$AR2014/$AR2013-1,$AS2014/$AS2013-1,$AT2014/$AT2013-1,$AU2014/$AU2013-1,$AV2014/$AV2013-1,$AW2014/$AW2013-1,$AX2014/$AX2013-1,$AY2014/$AY2013-1),"")</f>
        <v/>
      </c>
      <c r="DW2013" s="66">
        <f>AVERAGE($CB2013,$CC2013,$CD2013,$CE2013,$CF2013,$CG2013,$CH2013,$CI2013,$CJ2013,$CL2013,$CM2013,$CN2013,$CO2013,$CP2013,$CQ2013,$CR2013,$CS2013,$CT2013)</f>
        <v/>
      </c>
      <c r="DX2013" s="66">
        <f>AVERAGE($CB2013,$CC2013,$CM2013,$CE2013,$CP2013)</f>
        <v/>
      </c>
      <c r="DY2013" s="64">
        <f>($DW2013-$DW2014)*100</f>
        <v/>
      </c>
      <c r="DZ2013" s="64">
        <f>($DX2013-$DX2014)*100</f>
        <v/>
      </c>
      <c r="EA2013" s="64">
        <f>($DW2013-$D2013)*100</f>
        <v/>
      </c>
      <c r="EB2013" s="64">
        <f>$Q2013-$O2013</f>
        <v/>
      </c>
      <c r="EC2013" s="67">
        <f>IFERROR($Q2013/$P2013,"")</f>
        <v/>
      </c>
    </row>
    <row r="2014">
      <c r="DG2014" s="64">
        <f>($B2014-$B2015)*100</f>
        <v/>
      </c>
      <c r="DH2014" s="64">
        <f>($D2014-$D2015)*100</f>
        <v/>
      </c>
      <c r="DI2014" s="64">
        <f>($E2014-$E2015)*100</f>
        <v/>
      </c>
      <c r="DJ2014" s="64">
        <f>($H2014-$H2015)*100</f>
        <v/>
      </c>
      <c r="DK2014" s="65">
        <f>IFERROR($J2014/$J2015-1,"")</f>
        <v/>
      </c>
      <c r="DL2014" s="64">
        <f>$L2014-$L2015</f>
        <v/>
      </c>
      <c r="DM2014" s="64">
        <f>$K2014-$K2015</f>
        <v/>
      </c>
      <c r="DN2014" s="65">
        <f>IFERROR($N2014/$N2015-1,"")</f>
        <v/>
      </c>
      <c r="DO2014" s="65">
        <f>IFERROR($M2014/$M2015-1,"")</f>
        <v/>
      </c>
      <c r="DP2014" s="65">
        <f>IFERROR($AZ2014/$AZ2015-1,"")</f>
        <v/>
      </c>
      <c r="DQ2014" s="65">
        <f>IFERROR($BA2014/$BA2015-1,"")</f>
        <v/>
      </c>
      <c r="DR2014" s="64">
        <f>$O2014-$O2015</f>
        <v/>
      </c>
      <c r="DS2014" s="64">
        <f>$P2014-$P2015</f>
        <v/>
      </c>
      <c r="DT2014" s="64">
        <f>$Q2014-$Q2015</f>
        <v/>
      </c>
      <c r="DU2014" s="64">
        <f>$S2014-$S2015</f>
        <v/>
      </c>
      <c r="DV2014" s="65">
        <f>IFERROR(AVERAGE($AA2015/$AA2014-1,$AB2015/$AB2014-1,$AC2015/$AC2014-1,$AD2015/$AD2014-1,$AE2015/$AE2014-1,$AG2015/$AG2014-1,$AH2015/$AH2014-1,$AI2015/$AI2014-1,$AJ2015/$AJ2014-1,$AL2015/$AL2014-1,$AM2015/$AM2014-1,$AR2015/$AR2014-1,$AS2015/$AS2014-1,$AT2015/$AT2014-1,$AU2015/$AU2014-1,$AV2015/$AV2014-1,$AW2015/$AW2014-1,$AX2015/$AX2014-1,$AY2015/$AY2014-1),"")</f>
        <v/>
      </c>
      <c r="DW2014" s="66">
        <f>AVERAGE($CB2014,$CC2014,$CD2014,$CE2014,$CF2014,$CG2014,$CH2014,$CI2014,$CJ2014,$CL2014,$CM2014,$CN2014,$CO2014,$CP2014,$CQ2014,$CR2014,$CS2014,$CT2014)</f>
        <v/>
      </c>
      <c r="DX2014" s="66">
        <f>AVERAGE($CB2014,$CC2014,$CM2014,$CE2014,$CP2014)</f>
        <v/>
      </c>
      <c r="DY2014" s="64">
        <f>($DW2014-$DW2015)*100</f>
        <v/>
      </c>
      <c r="DZ2014" s="64">
        <f>($DX2014-$DX2015)*100</f>
        <v/>
      </c>
      <c r="EA2014" s="64">
        <f>($DW2014-$D2014)*100</f>
        <v/>
      </c>
      <c r="EB2014" s="64">
        <f>$Q2014-$O2014</f>
        <v/>
      </c>
      <c r="EC2014" s="67">
        <f>IFERROR($Q2014/$P2014,"")</f>
        <v/>
      </c>
    </row>
    <row r="2015">
      <c r="DG2015" s="64">
        <f>($B2015-$B2016)*100</f>
        <v/>
      </c>
      <c r="DH2015" s="64">
        <f>($D2015-$D2016)*100</f>
        <v/>
      </c>
      <c r="DI2015" s="64">
        <f>($E2015-$E2016)*100</f>
        <v/>
      </c>
      <c r="DJ2015" s="64">
        <f>($H2015-$H2016)*100</f>
        <v/>
      </c>
      <c r="DK2015" s="65">
        <f>IFERROR($J2015/$J2016-1,"")</f>
        <v/>
      </c>
      <c r="DL2015" s="64">
        <f>$L2015-$L2016</f>
        <v/>
      </c>
      <c r="DM2015" s="64">
        <f>$K2015-$K2016</f>
        <v/>
      </c>
      <c r="DN2015" s="65">
        <f>IFERROR($N2015/$N2016-1,"")</f>
        <v/>
      </c>
      <c r="DO2015" s="65">
        <f>IFERROR($M2015/$M2016-1,"")</f>
        <v/>
      </c>
      <c r="DP2015" s="65">
        <f>IFERROR($AZ2015/$AZ2016-1,"")</f>
        <v/>
      </c>
      <c r="DQ2015" s="65">
        <f>IFERROR($BA2015/$BA2016-1,"")</f>
        <v/>
      </c>
      <c r="DR2015" s="64">
        <f>$O2015-$O2016</f>
        <v/>
      </c>
      <c r="DS2015" s="64">
        <f>$P2015-$P2016</f>
        <v/>
      </c>
      <c r="DT2015" s="64">
        <f>$Q2015-$Q2016</f>
        <v/>
      </c>
      <c r="DU2015" s="64">
        <f>$S2015-$S2016</f>
        <v/>
      </c>
      <c r="DV2015" s="65">
        <f>IFERROR(AVERAGE($AA2016/$AA2015-1,$AB2016/$AB2015-1,$AC2016/$AC2015-1,$AD2016/$AD2015-1,$AE2016/$AE2015-1,$AG2016/$AG2015-1,$AH2016/$AH2015-1,$AI2016/$AI2015-1,$AJ2016/$AJ2015-1,$AL2016/$AL2015-1,$AM2016/$AM2015-1,$AR2016/$AR2015-1,$AS2016/$AS2015-1,$AT2016/$AT2015-1,$AU2016/$AU2015-1,$AV2016/$AV2015-1,$AW2016/$AW2015-1,$AX2016/$AX2015-1,$AY2016/$AY2015-1),"")</f>
        <v/>
      </c>
      <c r="DW2015" s="66">
        <f>AVERAGE($CB2015,$CC2015,$CD2015,$CE2015,$CF2015,$CG2015,$CH2015,$CI2015,$CJ2015,$CL2015,$CM2015,$CN2015,$CO2015,$CP2015,$CQ2015,$CR2015,$CS2015,$CT2015)</f>
        <v/>
      </c>
      <c r="DX2015" s="66">
        <f>AVERAGE($CB2015,$CC2015,$CM2015,$CE2015,$CP2015)</f>
        <v/>
      </c>
      <c r="DY2015" s="64">
        <f>($DW2015-$DW2016)*100</f>
        <v/>
      </c>
      <c r="DZ2015" s="64">
        <f>($DX2015-$DX2016)*100</f>
        <v/>
      </c>
      <c r="EA2015" s="64">
        <f>($DW2015-$D2015)*100</f>
        <v/>
      </c>
      <c r="EB2015" s="64">
        <f>$Q2015-$O2015</f>
        <v/>
      </c>
      <c r="EC2015" s="67">
        <f>IFERROR($Q2015/$P2015,"")</f>
        <v/>
      </c>
    </row>
    <row r="2016">
      <c r="DG2016" s="64">
        <f>($B2016-$B2017)*100</f>
        <v/>
      </c>
      <c r="DH2016" s="64">
        <f>($D2016-$D2017)*100</f>
        <v/>
      </c>
      <c r="DI2016" s="64">
        <f>($E2016-$E2017)*100</f>
        <v/>
      </c>
      <c r="DJ2016" s="64">
        <f>($H2016-$H2017)*100</f>
        <v/>
      </c>
      <c r="DK2016" s="65">
        <f>IFERROR($J2016/$J2017-1,"")</f>
        <v/>
      </c>
      <c r="DL2016" s="64">
        <f>$L2016-$L2017</f>
        <v/>
      </c>
      <c r="DM2016" s="64">
        <f>$K2016-$K2017</f>
        <v/>
      </c>
      <c r="DN2016" s="65">
        <f>IFERROR($N2016/$N2017-1,"")</f>
        <v/>
      </c>
      <c r="DO2016" s="65">
        <f>IFERROR($M2016/$M2017-1,"")</f>
        <v/>
      </c>
      <c r="DP2016" s="65">
        <f>IFERROR($AZ2016/$AZ2017-1,"")</f>
        <v/>
      </c>
      <c r="DQ2016" s="65">
        <f>IFERROR($BA2016/$BA2017-1,"")</f>
        <v/>
      </c>
      <c r="DR2016" s="64">
        <f>$O2016-$O2017</f>
        <v/>
      </c>
      <c r="DS2016" s="64">
        <f>$P2016-$P2017</f>
        <v/>
      </c>
      <c r="DT2016" s="64">
        <f>$Q2016-$Q2017</f>
        <v/>
      </c>
      <c r="DU2016" s="64">
        <f>$S2016-$S2017</f>
        <v/>
      </c>
      <c r="DV2016" s="65">
        <f>IFERROR(AVERAGE($AA2017/$AA2016-1,$AB2017/$AB2016-1,$AC2017/$AC2016-1,$AD2017/$AD2016-1,$AE2017/$AE2016-1,$AG2017/$AG2016-1,$AH2017/$AH2016-1,$AI2017/$AI2016-1,$AJ2017/$AJ2016-1,$AL2017/$AL2016-1,$AM2017/$AM2016-1,$AR2017/$AR2016-1,$AS2017/$AS2016-1,$AT2017/$AT2016-1,$AU2017/$AU2016-1,$AV2017/$AV2016-1,$AW2017/$AW2016-1,$AX2017/$AX2016-1,$AY2017/$AY2016-1),"")</f>
        <v/>
      </c>
      <c r="DW2016" s="66">
        <f>AVERAGE($CB2016,$CC2016,$CD2016,$CE2016,$CF2016,$CG2016,$CH2016,$CI2016,$CJ2016,$CL2016,$CM2016,$CN2016,$CO2016,$CP2016,$CQ2016,$CR2016,$CS2016,$CT2016)</f>
        <v/>
      </c>
      <c r="DX2016" s="66">
        <f>AVERAGE($CB2016,$CC2016,$CM2016,$CE2016,$CP2016)</f>
        <v/>
      </c>
      <c r="DY2016" s="64">
        <f>($DW2016-$DW2017)*100</f>
        <v/>
      </c>
      <c r="DZ2016" s="64">
        <f>($DX2016-$DX2017)*100</f>
        <v/>
      </c>
      <c r="EA2016" s="64">
        <f>($DW2016-$D2016)*100</f>
        <v/>
      </c>
      <c r="EB2016" s="64">
        <f>$Q2016-$O2016</f>
        <v/>
      </c>
      <c r="EC2016" s="67">
        <f>IFERROR($Q2016/$P2016,"")</f>
        <v/>
      </c>
    </row>
    <row r="2017">
      <c r="DG2017" s="64">
        <f>($B2017-$B2018)*100</f>
        <v/>
      </c>
      <c r="DH2017" s="64">
        <f>($D2017-$D2018)*100</f>
        <v/>
      </c>
      <c r="DI2017" s="64">
        <f>($E2017-$E2018)*100</f>
        <v/>
      </c>
      <c r="DJ2017" s="64">
        <f>($H2017-$H2018)*100</f>
        <v/>
      </c>
      <c r="DK2017" s="65">
        <f>IFERROR($J2017/$J2018-1,"")</f>
        <v/>
      </c>
      <c r="DL2017" s="64">
        <f>$L2017-$L2018</f>
        <v/>
      </c>
      <c r="DM2017" s="64">
        <f>$K2017-$K2018</f>
        <v/>
      </c>
      <c r="DN2017" s="65">
        <f>IFERROR($N2017/$N2018-1,"")</f>
        <v/>
      </c>
      <c r="DO2017" s="65">
        <f>IFERROR($M2017/$M2018-1,"")</f>
        <v/>
      </c>
      <c r="DP2017" s="65">
        <f>IFERROR($AZ2017/$AZ2018-1,"")</f>
        <v/>
      </c>
      <c r="DQ2017" s="65">
        <f>IFERROR($BA2017/$BA2018-1,"")</f>
        <v/>
      </c>
      <c r="DR2017" s="64">
        <f>$O2017-$O2018</f>
        <v/>
      </c>
      <c r="DS2017" s="64">
        <f>$P2017-$P2018</f>
        <v/>
      </c>
      <c r="DT2017" s="64">
        <f>$Q2017-$Q2018</f>
        <v/>
      </c>
      <c r="DU2017" s="64">
        <f>$S2017-$S2018</f>
        <v/>
      </c>
      <c r="DV2017" s="65">
        <f>IFERROR(AVERAGE($AA2018/$AA2017-1,$AB2018/$AB2017-1,$AC2018/$AC2017-1,$AD2018/$AD2017-1,$AE2018/$AE2017-1,$AG2018/$AG2017-1,$AH2018/$AH2017-1,$AI2018/$AI2017-1,$AJ2018/$AJ2017-1,$AL2018/$AL2017-1,$AM2018/$AM2017-1,$AR2018/$AR2017-1,$AS2018/$AS2017-1,$AT2018/$AT2017-1,$AU2018/$AU2017-1,$AV2018/$AV2017-1,$AW2018/$AW2017-1,$AX2018/$AX2017-1,$AY2018/$AY2017-1),"")</f>
        <v/>
      </c>
      <c r="DW2017" s="66">
        <f>AVERAGE($CB2017,$CC2017,$CD2017,$CE2017,$CF2017,$CG2017,$CH2017,$CI2017,$CJ2017,$CL2017,$CM2017,$CN2017,$CO2017,$CP2017,$CQ2017,$CR2017,$CS2017,$CT2017)</f>
        <v/>
      </c>
      <c r="DX2017" s="66">
        <f>AVERAGE($CB2017,$CC2017,$CM2017,$CE2017,$CP2017)</f>
        <v/>
      </c>
      <c r="DY2017" s="64">
        <f>($DW2017-$DW2018)*100</f>
        <v/>
      </c>
      <c r="DZ2017" s="64">
        <f>($DX2017-$DX2018)*100</f>
        <v/>
      </c>
      <c r="EA2017" s="64">
        <f>($DW2017-$D2017)*100</f>
        <v/>
      </c>
      <c r="EB2017" s="64">
        <f>$Q2017-$O2017</f>
        <v/>
      </c>
      <c r="EC2017" s="67">
        <f>IFERROR($Q2017/$P2017,"")</f>
        <v/>
      </c>
    </row>
    <row r="2018">
      <c r="DG2018" s="64">
        <f>($B2018-$B2019)*100</f>
        <v/>
      </c>
      <c r="DH2018" s="64">
        <f>($D2018-$D2019)*100</f>
        <v/>
      </c>
      <c r="DI2018" s="64">
        <f>($E2018-$E2019)*100</f>
        <v/>
      </c>
      <c r="DJ2018" s="64">
        <f>($H2018-$H2019)*100</f>
        <v/>
      </c>
      <c r="DK2018" s="65">
        <f>IFERROR($J2018/$J2019-1,"")</f>
        <v/>
      </c>
      <c r="DL2018" s="64">
        <f>$L2018-$L2019</f>
        <v/>
      </c>
      <c r="DM2018" s="64">
        <f>$K2018-$K2019</f>
        <v/>
      </c>
      <c r="DN2018" s="65">
        <f>IFERROR($N2018/$N2019-1,"")</f>
        <v/>
      </c>
      <c r="DO2018" s="65">
        <f>IFERROR($M2018/$M2019-1,"")</f>
        <v/>
      </c>
      <c r="DP2018" s="65">
        <f>IFERROR($AZ2018/$AZ2019-1,"")</f>
        <v/>
      </c>
      <c r="DQ2018" s="65">
        <f>IFERROR($BA2018/$BA2019-1,"")</f>
        <v/>
      </c>
      <c r="DR2018" s="64">
        <f>$O2018-$O2019</f>
        <v/>
      </c>
      <c r="DS2018" s="64">
        <f>$P2018-$P2019</f>
        <v/>
      </c>
      <c r="DT2018" s="64">
        <f>$Q2018-$Q2019</f>
        <v/>
      </c>
      <c r="DU2018" s="64">
        <f>$S2018-$S2019</f>
        <v/>
      </c>
      <c r="DV2018" s="65">
        <f>IFERROR(AVERAGE($AA2019/$AA2018-1,$AB2019/$AB2018-1,$AC2019/$AC2018-1,$AD2019/$AD2018-1,$AE2019/$AE2018-1,$AG2019/$AG2018-1,$AH2019/$AH2018-1,$AI2019/$AI2018-1,$AJ2019/$AJ2018-1,$AL2019/$AL2018-1,$AM2019/$AM2018-1,$AR2019/$AR2018-1,$AS2019/$AS2018-1,$AT2019/$AT2018-1,$AU2019/$AU2018-1,$AV2019/$AV2018-1,$AW2019/$AW2018-1,$AX2019/$AX2018-1,$AY2019/$AY2018-1),"")</f>
        <v/>
      </c>
      <c r="DW2018" s="66">
        <f>AVERAGE($CB2018,$CC2018,$CD2018,$CE2018,$CF2018,$CG2018,$CH2018,$CI2018,$CJ2018,$CL2018,$CM2018,$CN2018,$CO2018,$CP2018,$CQ2018,$CR2018,$CS2018,$CT2018)</f>
        <v/>
      </c>
      <c r="DX2018" s="66">
        <f>AVERAGE($CB2018,$CC2018,$CM2018,$CE2018,$CP2018)</f>
        <v/>
      </c>
      <c r="DY2018" s="64">
        <f>($DW2018-$DW2019)*100</f>
        <v/>
      </c>
      <c r="DZ2018" s="64">
        <f>($DX2018-$DX2019)*100</f>
        <v/>
      </c>
      <c r="EA2018" s="64">
        <f>($DW2018-$D2018)*100</f>
        <v/>
      </c>
      <c r="EB2018" s="64">
        <f>$Q2018-$O2018</f>
        <v/>
      </c>
      <c r="EC2018" s="67">
        <f>IFERROR($Q2018/$P2018,"")</f>
        <v/>
      </c>
    </row>
    <row r="2019">
      <c r="DG2019" s="64">
        <f>($B2019-$B2020)*100</f>
        <v/>
      </c>
      <c r="DH2019" s="64">
        <f>($D2019-$D2020)*100</f>
        <v/>
      </c>
      <c r="DI2019" s="64">
        <f>($E2019-$E2020)*100</f>
        <v/>
      </c>
      <c r="DJ2019" s="64">
        <f>($H2019-$H2020)*100</f>
        <v/>
      </c>
      <c r="DK2019" s="65">
        <f>IFERROR($J2019/$J2020-1,"")</f>
        <v/>
      </c>
      <c r="DL2019" s="64">
        <f>$L2019-$L2020</f>
        <v/>
      </c>
      <c r="DM2019" s="64">
        <f>$K2019-$K2020</f>
        <v/>
      </c>
      <c r="DN2019" s="65">
        <f>IFERROR($N2019/$N2020-1,"")</f>
        <v/>
      </c>
      <c r="DO2019" s="65">
        <f>IFERROR($M2019/$M2020-1,"")</f>
        <v/>
      </c>
      <c r="DP2019" s="65">
        <f>IFERROR($AZ2019/$AZ2020-1,"")</f>
        <v/>
      </c>
      <c r="DQ2019" s="65">
        <f>IFERROR($BA2019/$BA2020-1,"")</f>
        <v/>
      </c>
      <c r="DR2019" s="64">
        <f>$O2019-$O2020</f>
        <v/>
      </c>
      <c r="DS2019" s="64">
        <f>$P2019-$P2020</f>
        <v/>
      </c>
      <c r="DT2019" s="64">
        <f>$Q2019-$Q2020</f>
        <v/>
      </c>
      <c r="DU2019" s="64">
        <f>$S2019-$S2020</f>
        <v/>
      </c>
      <c r="DV2019" s="65">
        <f>IFERROR(AVERAGE($AA2020/$AA2019-1,$AB2020/$AB2019-1,$AC2020/$AC2019-1,$AD2020/$AD2019-1,$AE2020/$AE2019-1,$AG2020/$AG2019-1,$AH2020/$AH2019-1,$AI2020/$AI2019-1,$AJ2020/$AJ2019-1,$AL2020/$AL2019-1,$AM2020/$AM2019-1,$AR2020/$AR2019-1,$AS2020/$AS2019-1,$AT2020/$AT2019-1,$AU2020/$AU2019-1,$AV2020/$AV2019-1,$AW2020/$AW2019-1,$AX2020/$AX2019-1,$AY2020/$AY2019-1),"")</f>
        <v/>
      </c>
      <c r="DW2019" s="66">
        <f>AVERAGE($CB2019,$CC2019,$CD2019,$CE2019,$CF2019,$CG2019,$CH2019,$CI2019,$CJ2019,$CL2019,$CM2019,$CN2019,$CO2019,$CP2019,$CQ2019,$CR2019,$CS2019,$CT2019)</f>
        <v/>
      </c>
      <c r="DX2019" s="66">
        <f>AVERAGE($CB2019,$CC2019,$CM2019,$CE2019,$CP2019)</f>
        <v/>
      </c>
      <c r="DY2019" s="64">
        <f>($DW2019-$DW2020)*100</f>
        <v/>
      </c>
      <c r="DZ2019" s="64">
        <f>($DX2019-$DX2020)*100</f>
        <v/>
      </c>
      <c r="EA2019" s="64">
        <f>($DW2019-$D2019)*100</f>
        <v/>
      </c>
      <c r="EB2019" s="64">
        <f>$Q2019-$O2019</f>
        <v/>
      </c>
      <c r="EC2019" s="67">
        <f>IFERROR($Q2019/$P2019,"")</f>
        <v/>
      </c>
    </row>
    <row r="2020">
      <c r="DG2020" s="64">
        <f>($B2020-$B2021)*100</f>
        <v/>
      </c>
      <c r="DH2020" s="64">
        <f>($D2020-$D2021)*100</f>
        <v/>
      </c>
      <c r="DI2020" s="64">
        <f>($E2020-$E2021)*100</f>
        <v/>
      </c>
      <c r="DJ2020" s="64">
        <f>($H2020-$H2021)*100</f>
        <v/>
      </c>
      <c r="DK2020" s="65">
        <f>IFERROR($J2020/$J2021-1,"")</f>
        <v/>
      </c>
      <c r="DL2020" s="64">
        <f>$L2020-$L2021</f>
        <v/>
      </c>
      <c r="DM2020" s="64">
        <f>$K2020-$K2021</f>
        <v/>
      </c>
      <c r="DN2020" s="65">
        <f>IFERROR($N2020/$N2021-1,"")</f>
        <v/>
      </c>
      <c r="DO2020" s="65">
        <f>IFERROR($M2020/$M2021-1,"")</f>
        <v/>
      </c>
      <c r="DP2020" s="65">
        <f>IFERROR($AZ2020/$AZ2021-1,"")</f>
        <v/>
      </c>
      <c r="DQ2020" s="65">
        <f>IFERROR($BA2020/$BA2021-1,"")</f>
        <v/>
      </c>
      <c r="DR2020" s="64">
        <f>$O2020-$O2021</f>
        <v/>
      </c>
      <c r="DS2020" s="64">
        <f>$P2020-$P2021</f>
        <v/>
      </c>
      <c r="DT2020" s="64">
        <f>$Q2020-$Q2021</f>
        <v/>
      </c>
      <c r="DU2020" s="64">
        <f>$S2020-$S2021</f>
        <v/>
      </c>
      <c r="DV2020" s="65">
        <f>IFERROR(AVERAGE($AA2021/$AA2020-1,$AB2021/$AB2020-1,$AC2021/$AC2020-1,$AD2021/$AD2020-1,$AE2021/$AE2020-1,$AG2021/$AG2020-1,$AH2021/$AH2020-1,$AI2021/$AI2020-1,$AJ2021/$AJ2020-1,$AL2021/$AL2020-1,$AM2021/$AM2020-1,$AR2021/$AR2020-1,$AS2021/$AS2020-1,$AT2021/$AT2020-1,$AU2021/$AU2020-1,$AV2021/$AV2020-1,$AW2021/$AW2020-1,$AX2021/$AX2020-1,$AY2021/$AY2020-1),"")</f>
        <v/>
      </c>
      <c r="DW2020" s="66">
        <f>AVERAGE($CB2020,$CC2020,$CD2020,$CE2020,$CF2020,$CG2020,$CH2020,$CI2020,$CJ2020,$CL2020,$CM2020,$CN2020,$CO2020,$CP2020,$CQ2020,$CR2020,$CS2020,$CT2020)</f>
        <v/>
      </c>
      <c r="DX2020" s="66">
        <f>AVERAGE($CB2020,$CC2020,$CM2020,$CE2020,$CP2020)</f>
        <v/>
      </c>
      <c r="DY2020" s="64">
        <f>($DW2020-$DW2021)*100</f>
        <v/>
      </c>
      <c r="DZ2020" s="64">
        <f>($DX2020-$DX2021)*100</f>
        <v/>
      </c>
      <c r="EA2020" s="64">
        <f>($DW2020-$D2020)*100</f>
        <v/>
      </c>
      <c r="EB2020" s="64">
        <f>$Q2020-$O2020</f>
        <v/>
      </c>
      <c r="EC2020" s="67">
        <f>IFERROR($Q2020/$P2020,"")</f>
        <v/>
      </c>
    </row>
    <row r="2021">
      <c r="DG2021" s="64">
        <f>($B2021-$B2022)*100</f>
        <v/>
      </c>
      <c r="DH2021" s="64">
        <f>($D2021-$D2022)*100</f>
        <v/>
      </c>
      <c r="DI2021" s="64">
        <f>($E2021-$E2022)*100</f>
        <v/>
      </c>
      <c r="DJ2021" s="64">
        <f>($H2021-$H2022)*100</f>
        <v/>
      </c>
      <c r="DK2021" s="65">
        <f>IFERROR($J2021/$J2022-1,"")</f>
        <v/>
      </c>
      <c r="DL2021" s="64">
        <f>$L2021-$L2022</f>
        <v/>
      </c>
      <c r="DM2021" s="64">
        <f>$K2021-$K2022</f>
        <v/>
      </c>
      <c r="DN2021" s="65">
        <f>IFERROR($N2021/$N2022-1,"")</f>
        <v/>
      </c>
      <c r="DO2021" s="65">
        <f>IFERROR($M2021/$M2022-1,"")</f>
        <v/>
      </c>
      <c r="DP2021" s="65">
        <f>IFERROR($AZ2021/$AZ2022-1,"")</f>
        <v/>
      </c>
      <c r="DQ2021" s="65">
        <f>IFERROR($BA2021/$BA2022-1,"")</f>
        <v/>
      </c>
      <c r="DR2021" s="64">
        <f>$O2021-$O2022</f>
        <v/>
      </c>
      <c r="DS2021" s="64">
        <f>$P2021-$P2022</f>
        <v/>
      </c>
      <c r="DT2021" s="64">
        <f>$Q2021-$Q2022</f>
        <v/>
      </c>
      <c r="DU2021" s="64">
        <f>$S2021-$S2022</f>
        <v/>
      </c>
      <c r="DV2021" s="65">
        <f>IFERROR(AVERAGE($AA2022/$AA2021-1,$AB2022/$AB2021-1,$AC2022/$AC2021-1,$AD2022/$AD2021-1,$AE2022/$AE2021-1,$AG2022/$AG2021-1,$AH2022/$AH2021-1,$AI2022/$AI2021-1,$AJ2022/$AJ2021-1,$AL2022/$AL2021-1,$AM2022/$AM2021-1,$AR2022/$AR2021-1,$AS2022/$AS2021-1,$AT2022/$AT2021-1,$AU2022/$AU2021-1,$AV2022/$AV2021-1,$AW2022/$AW2021-1,$AX2022/$AX2021-1,$AY2022/$AY2021-1),"")</f>
        <v/>
      </c>
      <c r="DW2021" s="66">
        <f>AVERAGE($CB2021,$CC2021,$CD2021,$CE2021,$CF2021,$CG2021,$CH2021,$CI2021,$CJ2021,$CL2021,$CM2021,$CN2021,$CO2021,$CP2021,$CQ2021,$CR2021,$CS2021,$CT2021)</f>
        <v/>
      </c>
      <c r="DX2021" s="66">
        <f>AVERAGE($CB2021,$CC2021,$CM2021,$CE2021,$CP2021)</f>
        <v/>
      </c>
      <c r="DY2021" s="64">
        <f>($DW2021-$DW2022)*100</f>
        <v/>
      </c>
      <c r="DZ2021" s="64">
        <f>($DX2021-$DX2022)*100</f>
        <v/>
      </c>
      <c r="EA2021" s="64">
        <f>($DW2021-$D2021)*100</f>
        <v/>
      </c>
      <c r="EB2021" s="64">
        <f>$Q2021-$O2021</f>
        <v/>
      </c>
      <c r="EC2021" s="67">
        <f>IFERROR($Q2021/$P2021,"")</f>
        <v/>
      </c>
    </row>
    <row r="2022">
      <c r="DG2022" s="64">
        <f>($B2022-$B2023)*100</f>
        <v/>
      </c>
      <c r="DH2022" s="64">
        <f>($D2022-$D2023)*100</f>
        <v/>
      </c>
      <c r="DI2022" s="64">
        <f>($E2022-$E2023)*100</f>
        <v/>
      </c>
      <c r="DJ2022" s="64">
        <f>($H2022-$H2023)*100</f>
        <v/>
      </c>
      <c r="DK2022" s="65">
        <f>IFERROR($J2022/$J2023-1,"")</f>
        <v/>
      </c>
      <c r="DL2022" s="64">
        <f>$L2022-$L2023</f>
        <v/>
      </c>
      <c r="DM2022" s="64">
        <f>$K2022-$K2023</f>
        <v/>
      </c>
      <c r="DN2022" s="65">
        <f>IFERROR($N2022/$N2023-1,"")</f>
        <v/>
      </c>
      <c r="DO2022" s="65">
        <f>IFERROR($M2022/$M2023-1,"")</f>
        <v/>
      </c>
      <c r="DP2022" s="65">
        <f>IFERROR($AZ2022/$AZ2023-1,"")</f>
        <v/>
      </c>
      <c r="DQ2022" s="65">
        <f>IFERROR($BA2022/$BA2023-1,"")</f>
        <v/>
      </c>
      <c r="DR2022" s="64">
        <f>$O2022-$O2023</f>
        <v/>
      </c>
      <c r="DS2022" s="64">
        <f>$P2022-$P2023</f>
        <v/>
      </c>
      <c r="DT2022" s="64">
        <f>$Q2022-$Q2023</f>
        <v/>
      </c>
      <c r="DU2022" s="64">
        <f>$S2022-$S2023</f>
        <v/>
      </c>
      <c r="DV2022" s="65">
        <f>IFERROR(AVERAGE($AA2023/$AA2022-1,$AB2023/$AB2022-1,$AC2023/$AC2022-1,$AD2023/$AD2022-1,$AE2023/$AE2022-1,$AG2023/$AG2022-1,$AH2023/$AH2022-1,$AI2023/$AI2022-1,$AJ2023/$AJ2022-1,$AL2023/$AL2022-1,$AM2023/$AM2022-1,$AR2023/$AR2022-1,$AS2023/$AS2022-1,$AT2023/$AT2022-1,$AU2023/$AU2022-1,$AV2023/$AV2022-1,$AW2023/$AW2022-1,$AX2023/$AX2022-1,$AY2023/$AY2022-1),"")</f>
        <v/>
      </c>
      <c r="DW2022" s="66">
        <f>AVERAGE($CB2022,$CC2022,$CD2022,$CE2022,$CF2022,$CG2022,$CH2022,$CI2022,$CJ2022,$CL2022,$CM2022,$CN2022,$CO2022,$CP2022,$CQ2022,$CR2022,$CS2022,$CT2022)</f>
        <v/>
      </c>
      <c r="DX2022" s="66">
        <f>AVERAGE($CB2022,$CC2022,$CM2022,$CE2022,$CP2022)</f>
        <v/>
      </c>
      <c r="DY2022" s="64">
        <f>($DW2022-$DW2023)*100</f>
        <v/>
      </c>
      <c r="DZ2022" s="64">
        <f>($DX2022-$DX2023)*100</f>
        <v/>
      </c>
      <c r="EA2022" s="64">
        <f>($DW2022-$D2022)*100</f>
        <v/>
      </c>
      <c r="EB2022" s="64">
        <f>$Q2022-$O2022</f>
        <v/>
      </c>
      <c r="EC2022" s="67">
        <f>IFERROR($Q2022/$P2022,"")</f>
        <v/>
      </c>
    </row>
    <row r="2023">
      <c r="DG2023" s="64">
        <f>($B2023-$B2024)*100</f>
        <v/>
      </c>
      <c r="DH2023" s="64">
        <f>($D2023-$D2024)*100</f>
        <v/>
      </c>
      <c r="DI2023" s="64">
        <f>($E2023-$E2024)*100</f>
        <v/>
      </c>
      <c r="DJ2023" s="64">
        <f>($H2023-$H2024)*100</f>
        <v/>
      </c>
      <c r="DK2023" s="65">
        <f>IFERROR($J2023/$J2024-1,"")</f>
        <v/>
      </c>
      <c r="DL2023" s="64">
        <f>$L2023-$L2024</f>
        <v/>
      </c>
      <c r="DM2023" s="64">
        <f>$K2023-$K2024</f>
        <v/>
      </c>
      <c r="DN2023" s="65">
        <f>IFERROR($N2023/$N2024-1,"")</f>
        <v/>
      </c>
      <c r="DO2023" s="65">
        <f>IFERROR($M2023/$M2024-1,"")</f>
        <v/>
      </c>
      <c r="DP2023" s="65">
        <f>IFERROR($AZ2023/$AZ2024-1,"")</f>
        <v/>
      </c>
      <c r="DQ2023" s="65">
        <f>IFERROR($BA2023/$BA2024-1,"")</f>
        <v/>
      </c>
      <c r="DR2023" s="64">
        <f>$O2023-$O2024</f>
        <v/>
      </c>
      <c r="DS2023" s="64">
        <f>$P2023-$P2024</f>
        <v/>
      </c>
      <c r="DT2023" s="64">
        <f>$Q2023-$Q2024</f>
        <v/>
      </c>
      <c r="DU2023" s="64">
        <f>$S2023-$S2024</f>
        <v/>
      </c>
      <c r="DV2023" s="65">
        <f>IFERROR(AVERAGE($AA2024/$AA2023-1,$AB2024/$AB2023-1,$AC2024/$AC2023-1,$AD2024/$AD2023-1,$AE2024/$AE2023-1,$AG2024/$AG2023-1,$AH2024/$AH2023-1,$AI2024/$AI2023-1,$AJ2024/$AJ2023-1,$AL2024/$AL2023-1,$AM2024/$AM2023-1,$AR2024/$AR2023-1,$AS2024/$AS2023-1,$AT2024/$AT2023-1,$AU2024/$AU2023-1,$AV2024/$AV2023-1,$AW2024/$AW2023-1,$AX2024/$AX2023-1,$AY2024/$AY2023-1),"")</f>
        <v/>
      </c>
      <c r="DW2023" s="66">
        <f>AVERAGE($CB2023,$CC2023,$CD2023,$CE2023,$CF2023,$CG2023,$CH2023,$CI2023,$CJ2023,$CL2023,$CM2023,$CN2023,$CO2023,$CP2023,$CQ2023,$CR2023,$CS2023,$CT2023)</f>
        <v/>
      </c>
      <c r="DX2023" s="66">
        <f>AVERAGE($CB2023,$CC2023,$CM2023,$CE2023,$CP2023)</f>
        <v/>
      </c>
      <c r="DY2023" s="64">
        <f>($DW2023-$DW2024)*100</f>
        <v/>
      </c>
      <c r="DZ2023" s="64">
        <f>($DX2023-$DX2024)*100</f>
        <v/>
      </c>
      <c r="EA2023" s="64">
        <f>($DW2023-$D2023)*100</f>
        <v/>
      </c>
      <c r="EB2023" s="64">
        <f>$Q2023-$O2023</f>
        <v/>
      </c>
      <c r="EC2023" s="67">
        <f>IFERROR($Q2023/$P2023,"")</f>
        <v/>
      </c>
    </row>
    <row r="2024">
      <c r="DG2024" s="64">
        <f>($B2024-$B2025)*100</f>
        <v/>
      </c>
      <c r="DH2024" s="64">
        <f>($D2024-$D2025)*100</f>
        <v/>
      </c>
      <c r="DI2024" s="64">
        <f>($E2024-$E2025)*100</f>
        <v/>
      </c>
      <c r="DJ2024" s="64">
        <f>($H2024-$H2025)*100</f>
        <v/>
      </c>
      <c r="DK2024" s="65">
        <f>IFERROR($J2024/$J2025-1,"")</f>
        <v/>
      </c>
      <c r="DL2024" s="64">
        <f>$L2024-$L2025</f>
        <v/>
      </c>
      <c r="DM2024" s="64">
        <f>$K2024-$K2025</f>
        <v/>
      </c>
      <c r="DN2024" s="65">
        <f>IFERROR($N2024/$N2025-1,"")</f>
        <v/>
      </c>
      <c r="DO2024" s="65">
        <f>IFERROR($M2024/$M2025-1,"")</f>
        <v/>
      </c>
      <c r="DP2024" s="65">
        <f>IFERROR($AZ2024/$AZ2025-1,"")</f>
        <v/>
      </c>
      <c r="DQ2024" s="65">
        <f>IFERROR($BA2024/$BA2025-1,"")</f>
        <v/>
      </c>
      <c r="DR2024" s="64">
        <f>$O2024-$O2025</f>
        <v/>
      </c>
      <c r="DS2024" s="64">
        <f>$P2024-$P2025</f>
        <v/>
      </c>
      <c r="DT2024" s="64">
        <f>$Q2024-$Q2025</f>
        <v/>
      </c>
      <c r="DU2024" s="64">
        <f>$S2024-$S2025</f>
        <v/>
      </c>
      <c r="DV2024" s="65">
        <f>IFERROR(AVERAGE($AA2025/$AA2024-1,$AB2025/$AB2024-1,$AC2025/$AC2024-1,$AD2025/$AD2024-1,$AE2025/$AE2024-1,$AG2025/$AG2024-1,$AH2025/$AH2024-1,$AI2025/$AI2024-1,$AJ2025/$AJ2024-1,$AL2025/$AL2024-1,$AM2025/$AM2024-1,$AR2025/$AR2024-1,$AS2025/$AS2024-1,$AT2025/$AT2024-1,$AU2025/$AU2024-1,$AV2025/$AV2024-1,$AW2025/$AW2024-1,$AX2025/$AX2024-1,$AY2025/$AY2024-1),"")</f>
        <v/>
      </c>
      <c r="DW2024" s="66">
        <f>AVERAGE($CB2024,$CC2024,$CD2024,$CE2024,$CF2024,$CG2024,$CH2024,$CI2024,$CJ2024,$CL2024,$CM2024,$CN2024,$CO2024,$CP2024,$CQ2024,$CR2024,$CS2024,$CT2024)</f>
        <v/>
      </c>
      <c r="DX2024" s="66">
        <f>AVERAGE($CB2024,$CC2024,$CM2024,$CE2024,$CP2024)</f>
        <v/>
      </c>
      <c r="DY2024" s="64">
        <f>($DW2024-$DW2025)*100</f>
        <v/>
      </c>
      <c r="DZ2024" s="64">
        <f>($DX2024-$DX2025)*100</f>
        <v/>
      </c>
      <c r="EA2024" s="64">
        <f>($DW2024-$D2024)*100</f>
        <v/>
      </c>
      <c r="EB2024" s="64">
        <f>$Q2024-$O2024</f>
        <v/>
      </c>
      <c r="EC2024" s="67">
        <f>IFERROR($Q2024/$P2024,"")</f>
        <v/>
      </c>
    </row>
    <row r="2025">
      <c r="DG2025" s="64">
        <f>($B2025-$B2026)*100</f>
        <v/>
      </c>
      <c r="DH2025" s="64">
        <f>($D2025-$D2026)*100</f>
        <v/>
      </c>
      <c r="DI2025" s="64">
        <f>($E2025-$E2026)*100</f>
        <v/>
      </c>
      <c r="DJ2025" s="64">
        <f>($H2025-$H2026)*100</f>
        <v/>
      </c>
      <c r="DK2025" s="65">
        <f>IFERROR($J2025/$J2026-1,"")</f>
        <v/>
      </c>
      <c r="DL2025" s="64">
        <f>$L2025-$L2026</f>
        <v/>
      </c>
      <c r="DM2025" s="64">
        <f>$K2025-$K2026</f>
        <v/>
      </c>
      <c r="DN2025" s="65">
        <f>IFERROR($N2025/$N2026-1,"")</f>
        <v/>
      </c>
      <c r="DO2025" s="65">
        <f>IFERROR($M2025/$M2026-1,"")</f>
        <v/>
      </c>
      <c r="DP2025" s="65">
        <f>IFERROR($AZ2025/$AZ2026-1,"")</f>
        <v/>
      </c>
      <c r="DQ2025" s="65">
        <f>IFERROR($BA2025/$BA2026-1,"")</f>
        <v/>
      </c>
      <c r="DR2025" s="64">
        <f>$O2025-$O2026</f>
        <v/>
      </c>
      <c r="DS2025" s="64">
        <f>$P2025-$P2026</f>
        <v/>
      </c>
      <c r="DT2025" s="64">
        <f>$Q2025-$Q2026</f>
        <v/>
      </c>
      <c r="DU2025" s="64">
        <f>$S2025-$S2026</f>
        <v/>
      </c>
      <c r="DV2025" s="65">
        <f>IFERROR(AVERAGE($AA2026/$AA2025-1,$AB2026/$AB2025-1,$AC2026/$AC2025-1,$AD2026/$AD2025-1,$AE2026/$AE2025-1,$AG2026/$AG2025-1,$AH2026/$AH2025-1,$AI2026/$AI2025-1,$AJ2026/$AJ2025-1,$AL2026/$AL2025-1,$AM2026/$AM2025-1,$AR2026/$AR2025-1,$AS2026/$AS2025-1,$AT2026/$AT2025-1,$AU2026/$AU2025-1,$AV2026/$AV2025-1,$AW2026/$AW2025-1,$AX2026/$AX2025-1,$AY2026/$AY2025-1),"")</f>
        <v/>
      </c>
      <c r="DW2025" s="66">
        <f>AVERAGE($CB2025,$CC2025,$CD2025,$CE2025,$CF2025,$CG2025,$CH2025,$CI2025,$CJ2025,$CL2025,$CM2025,$CN2025,$CO2025,$CP2025,$CQ2025,$CR2025,$CS2025,$CT2025)</f>
        <v/>
      </c>
      <c r="DX2025" s="66">
        <f>AVERAGE($CB2025,$CC2025,$CM2025,$CE2025,$CP2025)</f>
        <v/>
      </c>
      <c r="DY2025" s="64">
        <f>($DW2025-$DW2026)*100</f>
        <v/>
      </c>
      <c r="DZ2025" s="64">
        <f>($DX2025-$DX2026)*100</f>
        <v/>
      </c>
      <c r="EA2025" s="64">
        <f>($DW2025-$D2025)*100</f>
        <v/>
      </c>
      <c r="EB2025" s="64">
        <f>$Q2025-$O2025</f>
        <v/>
      </c>
      <c r="EC2025" s="67">
        <f>IFERROR($Q2025/$P2025,"")</f>
        <v/>
      </c>
    </row>
    <row r="2026">
      <c r="DG2026" s="64">
        <f>($B2026-$B2027)*100</f>
        <v/>
      </c>
      <c r="DH2026" s="64">
        <f>($D2026-$D2027)*100</f>
        <v/>
      </c>
      <c r="DI2026" s="64">
        <f>($E2026-$E2027)*100</f>
        <v/>
      </c>
      <c r="DJ2026" s="64">
        <f>($H2026-$H2027)*100</f>
        <v/>
      </c>
      <c r="DK2026" s="65">
        <f>IFERROR($J2026/$J2027-1,"")</f>
        <v/>
      </c>
      <c r="DL2026" s="64">
        <f>$L2026-$L2027</f>
        <v/>
      </c>
      <c r="DM2026" s="64">
        <f>$K2026-$K2027</f>
        <v/>
      </c>
      <c r="DN2026" s="65">
        <f>IFERROR($N2026/$N2027-1,"")</f>
        <v/>
      </c>
      <c r="DO2026" s="65">
        <f>IFERROR($M2026/$M2027-1,"")</f>
        <v/>
      </c>
      <c r="DP2026" s="65">
        <f>IFERROR($AZ2026/$AZ2027-1,"")</f>
        <v/>
      </c>
      <c r="DQ2026" s="65">
        <f>IFERROR($BA2026/$BA2027-1,"")</f>
        <v/>
      </c>
      <c r="DR2026" s="64">
        <f>$O2026-$O2027</f>
        <v/>
      </c>
      <c r="DS2026" s="64">
        <f>$P2026-$P2027</f>
        <v/>
      </c>
      <c r="DT2026" s="64">
        <f>$Q2026-$Q2027</f>
        <v/>
      </c>
      <c r="DU2026" s="64">
        <f>$S2026-$S2027</f>
        <v/>
      </c>
      <c r="DV2026" s="65">
        <f>IFERROR(AVERAGE($AA2027/$AA2026-1,$AB2027/$AB2026-1,$AC2027/$AC2026-1,$AD2027/$AD2026-1,$AE2027/$AE2026-1,$AG2027/$AG2026-1,$AH2027/$AH2026-1,$AI2027/$AI2026-1,$AJ2027/$AJ2026-1,$AL2027/$AL2026-1,$AM2027/$AM2026-1,$AR2027/$AR2026-1,$AS2027/$AS2026-1,$AT2027/$AT2026-1,$AU2027/$AU2026-1,$AV2027/$AV2026-1,$AW2027/$AW2026-1,$AX2027/$AX2026-1,$AY2027/$AY2026-1),"")</f>
        <v/>
      </c>
      <c r="DW2026" s="66">
        <f>AVERAGE($CB2026,$CC2026,$CD2026,$CE2026,$CF2026,$CG2026,$CH2026,$CI2026,$CJ2026,$CL2026,$CM2026,$CN2026,$CO2026,$CP2026,$CQ2026,$CR2026,$CS2026,$CT2026)</f>
        <v/>
      </c>
      <c r="DX2026" s="66">
        <f>AVERAGE($CB2026,$CC2026,$CM2026,$CE2026,$CP2026)</f>
        <v/>
      </c>
      <c r="DY2026" s="64">
        <f>($DW2026-$DW2027)*100</f>
        <v/>
      </c>
      <c r="DZ2026" s="64">
        <f>($DX2026-$DX2027)*100</f>
        <v/>
      </c>
      <c r="EA2026" s="64">
        <f>($DW2026-$D2026)*100</f>
        <v/>
      </c>
      <c r="EB2026" s="64">
        <f>$Q2026-$O2026</f>
        <v/>
      </c>
      <c r="EC2026" s="67">
        <f>IFERROR($Q2026/$P2026,"")</f>
        <v/>
      </c>
    </row>
    <row r="2027">
      <c r="DG2027" s="64">
        <f>($B2027-$B2028)*100</f>
        <v/>
      </c>
      <c r="DH2027" s="64">
        <f>($D2027-$D2028)*100</f>
        <v/>
      </c>
      <c r="DI2027" s="64">
        <f>($E2027-$E2028)*100</f>
        <v/>
      </c>
      <c r="DJ2027" s="64">
        <f>($H2027-$H2028)*100</f>
        <v/>
      </c>
      <c r="DK2027" s="65">
        <f>IFERROR($J2027/$J2028-1,"")</f>
        <v/>
      </c>
      <c r="DL2027" s="64">
        <f>$L2027-$L2028</f>
        <v/>
      </c>
      <c r="DM2027" s="64">
        <f>$K2027-$K2028</f>
        <v/>
      </c>
      <c r="DN2027" s="65">
        <f>IFERROR($N2027/$N2028-1,"")</f>
        <v/>
      </c>
      <c r="DO2027" s="65">
        <f>IFERROR($M2027/$M2028-1,"")</f>
        <v/>
      </c>
      <c r="DP2027" s="65">
        <f>IFERROR($AZ2027/$AZ2028-1,"")</f>
        <v/>
      </c>
      <c r="DQ2027" s="65">
        <f>IFERROR($BA2027/$BA2028-1,"")</f>
        <v/>
      </c>
      <c r="DR2027" s="64">
        <f>$O2027-$O2028</f>
        <v/>
      </c>
      <c r="DS2027" s="64">
        <f>$P2027-$P2028</f>
        <v/>
      </c>
      <c r="DT2027" s="64">
        <f>$Q2027-$Q2028</f>
        <v/>
      </c>
      <c r="DU2027" s="64">
        <f>$S2027-$S2028</f>
        <v/>
      </c>
      <c r="DV2027" s="65">
        <f>IFERROR(AVERAGE($AA2028/$AA2027-1,$AB2028/$AB2027-1,$AC2028/$AC2027-1,$AD2028/$AD2027-1,$AE2028/$AE2027-1,$AG2028/$AG2027-1,$AH2028/$AH2027-1,$AI2028/$AI2027-1,$AJ2028/$AJ2027-1,$AL2028/$AL2027-1,$AM2028/$AM2027-1,$AR2028/$AR2027-1,$AS2028/$AS2027-1,$AT2028/$AT2027-1,$AU2028/$AU2027-1,$AV2028/$AV2027-1,$AW2028/$AW2027-1,$AX2028/$AX2027-1,$AY2028/$AY2027-1),"")</f>
        <v/>
      </c>
      <c r="DW2027" s="66">
        <f>AVERAGE($CB2027,$CC2027,$CD2027,$CE2027,$CF2027,$CG2027,$CH2027,$CI2027,$CJ2027,$CL2027,$CM2027,$CN2027,$CO2027,$CP2027,$CQ2027,$CR2027,$CS2027,$CT2027)</f>
        <v/>
      </c>
      <c r="DX2027" s="66">
        <f>AVERAGE($CB2027,$CC2027,$CM2027,$CE2027,$CP2027)</f>
        <v/>
      </c>
      <c r="DY2027" s="64">
        <f>($DW2027-$DW2028)*100</f>
        <v/>
      </c>
      <c r="DZ2027" s="64">
        <f>($DX2027-$DX2028)*100</f>
        <v/>
      </c>
      <c r="EA2027" s="64">
        <f>($DW2027-$D2027)*100</f>
        <v/>
      </c>
      <c r="EB2027" s="64">
        <f>$Q2027-$O2027</f>
        <v/>
      </c>
      <c r="EC2027" s="67">
        <f>IFERROR($Q2027/$P2027,"")</f>
        <v/>
      </c>
    </row>
    <row r="2028">
      <c r="DG2028" s="64">
        <f>($B2028-$B2029)*100</f>
        <v/>
      </c>
      <c r="DH2028" s="64">
        <f>($D2028-$D2029)*100</f>
        <v/>
      </c>
      <c r="DI2028" s="64">
        <f>($E2028-$E2029)*100</f>
        <v/>
      </c>
      <c r="DJ2028" s="64">
        <f>($H2028-$H2029)*100</f>
        <v/>
      </c>
      <c r="DK2028" s="65">
        <f>IFERROR($J2028/$J2029-1,"")</f>
        <v/>
      </c>
      <c r="DL2028" s="64">
        <f>$L2028-$L2029</f>
        <v/>
      </c>
      <c r="DM2028" s="64">
        <f>$K2028-$K2029</f>
        <v/>
      </c>
      <c r="DN2028" s="65">
        <f>IFERROR($N2028/$N2029-1,"")</f>
        <v/>
      </c>
      <c r="DO2028" s="65">
        <f>IFERROR($M2028/$M2029-1,"")</f>
        <v/>
      </c>
      <c r="DP2028" s="65">
        <f>IFERROR($AZ2028/$AZ2029-1,"")</f>
        <v/>
      </c>
      <c r="DQ2028" s="65">
        <f>IFERROR($BA2028/$BA2029-1,"")</f>
        <v/>
      </c>
      <c r="DR2028" s="64">
        <f>$O2028-$O2029</f>
        <v/>
      </c>
      <c r="DS2028" s="64">
        <f>$P2028-$P2029</f>
        <v/>
      </c>
      <c r="DT2028" s="64">
        <f>$Q2028-$Q2029</f>
        <v/>
      </c>
      <c r="DU2028" s="64">
        <f>$S2028-$S2029</f>
        <v/>
      </c>
      <c r="DV2028" s="65">
        <f>IFERROR(AVERAGE($AA2029/$AA2028-1,$AB2029/$AB2028-1,$AC2029/$AC2028-1,$AD2029/$AD2028-1,$AE2029/$AE2028-1,$AG2029/$AG2028-1,$AH2029/$AH2028-1,$AI2029/$AI2028-1,$AJ2029/$AJ2028-1,$AL2029/$AL2028-1,$AM2029/$AM2028-1,$AR2029/$AR2028-1,$AS2029/$AS2028-1,$AT2029/$AT2028-1,$AU2029/$AU2028-1,$AV2029/$AV2028-1,$AW2029/$AW2028-1,$AX2029/$AX2028-1,$AY2029/$AY2028-1),"")</f>
        <v/>
      </c>
      <c r="DW2028" s="66">
        <f>AVERAGE($CB2028,$CC2028,$CD2028,$CE2028,$CF2028,$CG2028,$CH2028,$CI2028,$CJ2028,$CL2028,$CM2028,$CN2028,$CO2028,$CP2028,$CQ2028,$CR2028,$CS2028,$CT2028)</f>
        <v/>
      </c>
      <c r="DX2028" s="66">
        <f>AVERAGE($CB2028,$CC2028,$CM2028,$CE2028,$CP2028)</f>
        <v/>
      </c>
      <c r="DY2028" s="64">
        <f>($DW2028-$DW2029)*100</f>
        <v/>
      </c>
      <c r="DZ2028" s="64">
        <f>($DX2028-$DX2029)*100</f>
        <v/>
      </c>
      <c r="EA2028" s="64">
        <f>($DW2028-$D2028)*100</f>
        <v/>
      </c>
      <c r="EB2028" s="64">
        <f>$Q2028-$O2028</f>
        <v/>
      </c>
      <c r="EC2028" s="67">
        <f>IFERROR($Q2028/$P2028,"")</f>
        <v/>
      </c>
    </row>
    <row r="2029">
      <c r="DG2029" s="64">
        <f>($B2029-$B2030)*100</f>
        <v/>
      </c>
      <c r="DH2029" s="64">
        <f>($D2029-$D2030)*100</f>
        <v/>
      </c>
      <c r="DI2029" s="64">
        <f>($E2029-$E2030)*100</f>
        <v/>
      </c>
      <c r="DJ2029" s="64">
        <f>($H2029-$H2030)*100</f>
        <v/>
      </c>
      <c r="DK2029" s="65">
        <f>IFERROR($J2029/$J2030-1,"")</f>
        <v/>
      </c>
      <c r="DL2029" s="64">
        <f>$L2029-$L2030</f>
        <v/>
      </c>
      <c r="DM2029" s="64">
        <f>$K2029-$K2030</f>
        <v/>
      </c>
      <c r="DN2029" s="65">
        <f>IFERROR($N2029/$N2030-1,"")</f>
        <v/>
      </c>
      <c r="DO2029" s="65">
        <f>IFERROR($M2029/$M2030-1,"")</f>
        <v/>
      </c>
      <c r="DP2029" s="65">
        <f>IFERROR($AZ2029/$AZ2030-1,"")</f>
        <v/>
      </c>
      <c r="DQ2029" s="65">
        <f>IFERROR($BA2029/$BA2030-1,"")</f>
        <v/>
      </c>
      <c r="DR2029" s="64">
        <f>$O2029-$O2030</f>
        <v/>
      </c>
      <c r="DS2029" s="64">
        <f>$P2029-$P2030</f>
        <v/>
      </c>
      <c r="DT2029" s="64">
        <f>$Q2029-$Q2030</f>
        <v/>
      </c>
      <c r="DU2029" s="64">
        <f>$S2029-$S2030</f>
        <v/>
      </c>
      <c r="DV2029" s="65">
        <f>IFERROR(AVERAGE($AA2030/$AA2029-1,$AB2030/$AB2029-1,$AC2030/$AC2029-1,$AD2030/$AD2029-1,$AE2030/$AE2029-1,$AG2030/$AG2029-1,$AH2030/$AH2029-1,$AI2030/$AI2029-1,$AJ2030/$AJ2029-1,$AL2030/$AL2029-1,$AM2030/$AM2029-1,$AR2030/$AR2029-1,$AS2030/$AS2029-1,$AT2030/$AT2029-1,$AU2030/$AU2029-1,$AV2030/$AV2029-1,$AW2030/$AW2029-1,$AX2030/$AX2029-1,$AY2030/$AY2029-1),"")</f>
        <v/>
      </c>
      <c r="DW2029" s="66">
        <f>AVERAGE($CB2029,$CC2029,$CD2029,$CE2029,$CF2029,$CG2029,$CH2029,$CI2029,$CJ2029,$CL2029,$CM2029,$CN2029,$CO2029,$CP2029,$CQ2029,$CR2029,$CS2029,$CT2029)</f>
        <v/>
      </c>
      <c r="DX2029" s="66">
        <f>AVERAGE($CB2029,$CC2029,$CM2029,$CE2029,$CP2029)</f>
        <v/>
      </c>
      <c r="DY2029" s="64">
        <f>($DW2029-$DW2030)*100</f>
        <v/>
      </c>
      <c r="DZ2029" s="64">
        <f>($DX2029-$DX2030)*100</f>
        <v/>
      </c>
      <c r="EA2029" s="64">
        <f>($DW2029-$D2029)*100</f>
        <v/>
      </c>
      <c r="EB2029" s="64">
        <f>$Q2029-$O2029</f>
        <v/>
      </c>
      <c r="EC2029" s="67">
        <f>IFERROR($Q2029/$P2029,"")</f>
        <v/>
      </c>
    </row>
    <row r="2030">
      <c r="DG2030" s="64">
        <f>($B2030-$B2031)*100</f>
        <v/>
      </c>
      <c r="DH2030" s="64">
        <f>($D2030-$D2031)*100</f>
        <v/>
      </c>
      <c r="DI2030" s="64">
        <f>($E2030-$E2031)*100</f>
        <v/>
      </c>
      <c r="DJ2030" s="64">
        <f>($H2030-$H2031)*100</f>
        <v/>
      </c>
      <c r="DK2030" s="65">
        <f>IFERROR($J2030/$J2031-1,"")</f>
        <v/>
      </c>
      <c r="DL2030" s="64">
        <f>$L2030-$L2031</f>
        <v/>
      </c>
      <c r="DM2030" s="64">
        <f>$K2030-$K2031</f>
        <v/>
      </c>
      <c r="DN2030" s="65">
        <f>IFERROR($N2030/$N2031-1,"")</f>
        <v/>
      </c>
      <c r="DO2030" s="65">
        <f>IFERROR($M2030/$M2031-1,"")</f>
        <v/>
      </c>
      <c r="DP2030" s="65">
        <f>IFERROR($AZ2030/$AZ2031-1,"")</f>
        <v/>
      </c>
      <c r="DQ2030" s="65">
        <f>IFERROR($BA2030/$BA2031-1,"")</f>
        <v/>
      </c>
      <c r="DR2030" s="64">
        <f>$O2030-$O2031</f>
        <v/>
      </c>
      <c r="DS2030" s="64">
        <f>$P2030-$P2031</f>
        <v/>
      </c>
      <c r="DT2030" s="64">
        <f>$Q2030-$Q2031</f>
        <v/>
      </c>
      <c r="DU2030" s="64">
        <f>$S2030-$S2031</f>
        <v/>
      </c>
      <c r="DV2030" s="65">
        <f>IFERROR(AVERAGE($AA2031/$AA2030-1,$AB2031/$AB2030-1,$AC2031/$AC2030-1,$AD2031/$AD2030-1,$AE2031/$AE2030-1,$AG2031/$AG2030-1,$AH2031/$AH2030-1,$AI2031/$AI2030-1,$AJ2031/$AJ2030-1,$AL2031/$AL2030-1,$AM2031/$AM2030-1,$AR2031/$AR2030-1,$AS2031/$AS2030-1,$AT2031/$AT2030-1,$AU2031/$AU2030-1,$AV2031/$AV2030-1,$AW2031/$AW2030-1,$AX2031/$AX2030-1,$AY2031/$AY2030-1),"")</f>
        <v/>
      </c>
      <c r="DW2030" s="66">
        <f>AVERAGE($CB2030,$CC2030,$CD2030,$CE2030,$CF2030,$CG2030,$CH2030,$CI2030,$CJ2030,$CL2030,$CM2030,$CN2030,$CO2030,$CP2030,$CQ2030,$CR2030,$CS2030,$CT2030)</f>
        <v/>
      </c>
      <c r="DX2030" s="66">
        <f>AVERAGE($CB2030,$CC2030,$CM2030,$CE2030,$CP2030)</f>
        <v/>
      </c>
      <c r="DY2030" s="64">
        <f>($DW2030-$DW2031)*100</f>
        <v/>
      </c>
      <c r="DZ2030" s="64">
        <f>($DX2030-$DX2031)*100</f>
        <v/>
      </c>
      <c r="EA2030" s="64">
        <f>($DW2030-$D2030)*100</f>
        <v/>
      </c>
      <c r="EB2030" s="64">
        <f>$Q2030-$O2030</f>
        <v/>
      </c>
      <c r="EC2030" s="67">
        <f>IFERROR($Q2030/$P2030,"")</f>
        <v/>
      </c>
    </row>
    <row r="2031">
      <c r="DG2031" s="64">
        <f>($B2031-$B2032)*100</f>
        <v/>
      </c>
      <c r="DH2031" s="64">
        <f>($D2031-$D2032)*100</f>
        <v/>
      </c>
      <c r="DI2031" s="64">
        <f>($E2031-$E2032)*100</f>
        <v/>
      </c>
      <c r="DJ2031" s="64">
        <f>($H2031-$H2032)*100</f>
        <v/>
      </c>
      <c r="DK2031" s="65">
        <f>IFERROR($J2031/$J2032-1,"")</f>
        <v/>
      </c>
      <c r="DL2031" s="64">
        <f>$L2031-$L2032</f>
        <v/>
      </c>
      <c r="DM2031" s="64">
        <f>$K2031-$K2032</f>
        <v/>
      </c>
      <c r="DN2031" s="65">
        <f>IFERROR($N2031/$N2032-1,"")</f>
        <v/>
      </c>
      <c r="DO2031" s="65">
        <f>IFERROR($M2031/$M2032-1,"")</f>
        <v/>
      </c>
      <c r="DP2031" s="65">
        <f>IFERROR($AZ2031/$AZ2032-1,"")</f>
        <v/>
      </c>
      <c r="DQ2031" s="65">
        <f>IFERROR($BA2031/$BA2032-1,"")</f>
        <v/>
      </c>
      <c r="DR2031" s="64">
        <f>$O2031-$O2032</f>
        <v/>
      </c>
      <c r="DS2031" s="64">
        <f>$P2031-$P2032</f>
        <v/>
      </c>
      <c r="DT2031" s="64">
        <f>$Q2031-$Q2032</f>
        <v/>
      </c>
      <c r="DU2031" s="64">
        <f>$S2031-$S2032</f>
        <v/>
      </c>
      <c r="DV2031" s="65">
        <f>IFERROR(AVERAGE($AA2032/$AA2031-1,$AB2032/$AB2031-1,$AC2032/$AC2031-1,$AD2032/$AD2031-1,$AE2032/$AE2031-1,$AG2032/$AG2031-1,$AH2032/$AH2031-1,$AI2032/$AI2031-1,$AJ2032/$AJ2031-1,$AL2032/$AL2031-1,$AM2032/$AM2031-1,$AR2032/$AR2031-1,$AS2032/$AS2031-1,$AT2032/$AT2031-1,$AU2032/$AU2031-1,$AV2032/$AV2031-1,$AW2032/$AW2031-1,$AX2032/$AX2031-1,$AY2032/$AY2031-1),"")</f>
        <v/>
      </c>
      <c r="DW2031" s="66">
        <f>AVERAGE($CB2031,$CC2031,$CD2031,$CE2031,$CF2031,$CG2031,$CH2031,$CI2031,$CJ2031,$CL2031,$CM2031,$CN2031,$CO2031,$CP2031,$CQ2031,$CR2031,$CS2031,$CT2031)</f>
        <v/>
      </c>
      <c r="DX2031" s="66">
        <f>AVERAGE($CB2031,$CC2031,$CM2031,$CE2031,$CP2031)</f>
        <v/>
      </c>
      <c r="DY2031" s="64">
        <f>($DW2031-$DW2032)*100</f>
        <v/>
      </c>
      <c r="DZ2031" s="64">
        <f>($DX2031-$DX2032)*100</f>
        <v/>
      </c>
      <c r="EA2031" s="64">
        <f>($DW2031-$D2031)*100</f>
        <v/>
      </c>
      <c r="EB2031" s="64">
        <f>$Q2031-$O2031</f>
        <v/>
      </c>
      <c r="EC2031" s="67">
        <f>IFERROR($Q2031/$P2031,"")</f>
        <v/>
      </c>
    </row>
    <row r="2032">
      <c r="DG2032" s="64">
        <f>($B2032-$B2033)*100</f>
        <v/>
      </c>
      <c r="DH2032" s="64">
        <f>($D2032-$D2033)*100</f>
        <v/>
      </c>
      <c r="DI2032" s="64">
        <f>($E2032-$E2033)*100</f>
        <v/>
      </c>
      <c r="DJ2032" s="64">
        <f>($H2032-$H2033)*100</f>
        <v/>
      </c>
      <c r="DK2032" s="65">
        <f>IFERROR($J2032/$J2033-1,"")</f>
        <v/>
      </c>
      <c r="DL2032" s="64">
        <f>$L2032-$L2033</f>
        <v/>
      </c>
      <c r="DM2032" s="64">
        <f>$K2032-$K2033</f>
        <v/>
      </c>
      <c r="DN2032" s="65">
        <f>IFERROR($N2032/$N2033-1,"")</f>
        <v/>
      </c>
      <c r="DO2032" s="65">
        <f>IFERROR($M2032/$M2033-1,"")</f>
        <v/>
      </c>
      <c r="DP2032" s="65">
        <f>IFERROR($AZ2032/$AZ2033-1,"")</f>
        <v/>
      </c>
      <c r="DQ2032" s="65">
        <f>IFERROR($BA2032/$BA2033-1,"")</f>
        <v/>
      </c>
      <c r="DR2032" s="64">
        <f>$O2032-$O2033</f>
        <v/>
      </c>
      <c r="DS2032" s="64">
        <f>$P2032-$P2033</f>
        <v/>
      </c>
      <c r="DT2032" s="64">
        <f>$Q2032-$Q2033</f>
        <v/>
      </c>
      <c r="DU2032" s="64">
        <f>$S2032-$S2033</f>
        <v/>
      </c>
      <c r="DV2032" s="65">
        <f>IFERROR(AVERAGE($AA2033/$AA2032-1,$AB2033/$AB2032-1,$AC2033/$AC2032-1,$AD2033/$AD2032-1,$AE2033/$AE2032-1,$AG2033/$AG2032-1,$AH2033/$AH2032-1,$AI2033/$AI2032-1,$AJ2033/$AJ2032-1,$AL2033/$AL2032-1,$AM2033/$AM2032-1,$AR2033/$AR2032-1,$AS2033/$AS2032-1,$AT2033/$AT2032-1,$AU2033/$AU2032-1,$AV2033/$AV2032-1,$AW2033/$AW2032-1,$AX2033/$AX2032-1,$AY2033/$AY2032-1),"")</f>
        <v/>
      </c>
      <c r="DW2032" s="66">
        <f>AVERAGE($CB2032,$CC2032,$CD2032,$CE2032,$CF2032,$CG2032,$CH2032,$CI2032,$CJ2032,$CL2032,$CM2032,$CN2032,$CO2032,$CP2032,$CQ2032,$CR2032,$CS2032,$CT2032)</f>
        <v/>
      </c>
      <c r="DX2032" s="66">
        <f>AVERAGE($CB2032,$CC2032,$CM2032,$CE2032,$CP2032)</f>
        <v/>
      </c>
      <c r="DY2032" s="64">
        <f>($DW2032-$DW2033)*100</f>
        <v/>
      </c>
      <c r="DZ2032" s="64">
        <f>($DX2032-$DX2033)*100</f>
        <v/>
      </c>
      <c r="EA2032" s="64">
        <f>($DW2032-$D2032)*100</f>
        <v/>
      </c>
      <c r="EB2032" s="64">
        <f>$Q2032-$O2032</f>
        <v/>
      </c>
      <c r="EC2032" s="67">
        <f>IFERROR($Q2032/$P2032,"")</f>
        <v/>
      </c>
    </row>
    <row r="2033">
      <c r="DG2033" s="64">
        <f>($B2033-$B2034)*100</f>
        <v/>
      </c>
      <c r="DH2033" s="64">
        <f>($D2033-$D2034)*100</f>
        <v/>
      </c>
      <c r="DI2033" s="64">
        <f>($E2033-$E2034)*100</f>
        <v/>
      </c>
      <c r="DJ2033" s="64">
        <f>($H2033-$H2034)*100</f>
        <v/>
      </c>
      <c r="DK2033" s="65">
        <f>IFERROR($J2033/$J2034-1,"")</f>
        <v/>
      </c>
      <c r="DL2033" s="64">
        <f>$L2033-$L2034</f>
        <v/>
      </c>
      <c r="DM2033" s="64">
        <f>$K2033-$K2034</f>
        <v/>
      </c>
      <c r="DN2033" s="65">
        <f>IFERROR($N2033/$N2034-1,"")</f>
        <v/>
      </c>
      <c r="DO2033" s="65">
        <f>IFERROR($M2033/$M2034-1,"")</f>
        <v/>
      </c>
      <c r="DP2033" s="65">
        <f>IFERROR($AZ2033/$AZ2034-1,"")</f>
        <v/>
      </c>
      <c r="DQ2033" s="65">
        <f>IFERROR($BA2033/$BA2034-1,"")</f>
        <v/>
      </c>
      <c r="DR2033" s="64">
        <f>$O2033-$O2034</f>
        <v/>
      </c>
      <c r="DS2033" s="64">
        <f>$P2033-$P2034</f>
        <v/>
      </c>
      <c r="DT2033" s="64">
        <f>$Q2033-$Q2034</f>
        <v/>
      </c>
      <c r="DU2033" s="64">
        <f>$S2033-$S2034</f>
        <v/>
      </c>
      <c r="DV2033" s="65">
        <f>IFERROR(AVERAGE($AA2034/$AA2033-1,$AB2034/$AB2033-1,$AC2034/$AC2033-1,$AD2034/$AD2033-1,$AE2034/$AE2033-1,$AG2034/$AG2033-1,$AH2034/$AH2033-1,$AI2034/$AI2033-1,$AJ2034/$AJ2033-1,$AL2034/$AL2033-1,$AM2034/$AM2033-1,$AR2034/$AR2033-1,$AS2034/$AS2033-1,$AT2034/$AT2033-1,$AU2034/$AU2033-1,$AV2034/$AV2033-1,$AW2034/$AW2033-1,$AX2034/$AX2033-1,$AY2034/$AY2033-1),"")</f>
        <v/>
      </c>
      <c r="DW2033" s="66">
        <f>AVERAGE($CB2033,$CC2033,$CD2033,$CE2033,$CF2033,$CG2033,$CH2033,$CI2033,$CJ2033,$CL2033,$CM2033,$CN2033,$CO2033,$CP2033,$CQ2033,$CR2033,$CS2033,$CT2033)</f>
        <v/>
      </c>
      <c r="DX2033" s="66">
        <f>AVERAGE($CB2033,$CC2033,$CM2033,$CE2033,$CP2033)</f>
        <v/>
      </c>
      <c r="DY2033" s="64">
        <f>($DW2033-$DW2034)*100</f>
        <v/>
      </c>
      <c r="DZ2033" s="64">
        <f>($DX2033-$DX2034)*100</f>
        <v/>
      </c>
      <c r="EA2033" s="64">
        <f>($DW2033-$D2033)*100</f>
        <v/>
      </c>
      <c r="EB2033" s="64">
        <f>$Q2033-$O2033</f>
        <v/>
      </c>
      <c r="EC2033" s="67">
        <f>IFERROR($Q2033/$P2033,"")</f>
        <v/>
      </c>
    </row>
    <row r="2034">
      <c r="DG2034" s="64">
        <f>($B2034-$B2035)*100</f>
        <v/>
      </c>
      <c r="DH2034" s="64">
        <f>($D2034-$D2035)*100</f>
        <v/>
      </c>
      <c r="DI2034" s="64">
        <f>($E2034-$E2035)*100</f>
        <v/>
      </c>
      <c r="DJ2034" s="64">
        <f>($H2034-$H2035)*100</f>
        <v/>
      </c>
      <c r="DK2034" s="65">
        <f>IFERROR($J2034/$J2035-1,"")</f>
        <v/>
      </c>
      <c r="DL2034" s="64">
        <f>$L2034-$L2035</f>
        <v/>
      </c>
      <c r="DM2034" s="64">
        <f>$K2034-$K2035</f>
        <v/>
      </c>
      <c r="DN2034" s="65">
        <f>IFERROR($N2034/$N2035-1,"")</f>
        <v/>
      </c>
      <c r="DO2034" s="65">
        <f>IFERROR($M2034/$M2035-1,"")</f>
        <v/>
      </c>
      <c r="DP2034" s="65">
        <f>IFERROR($AZ2034/$AZ2035-1,"")</f>
        <v/>
      </c>
      <c r="DQ2034" s="65">
        <f>IFERROR($BA2034/$BA2035-1,"")</f>
        <v/>
      </c>
      <c r="DR2034" s="64">
        <f>$O2034-$O2035</f>
        <v/>
      </c>
      <c r="DS2034" s="64">
        <f>$P2034-$P2035</f>
        <v/>
      </c>
      <c r="DT2034" s="64">
        <f>$Q2034-$Q2035</f>
        <v/>
      </c>
      <c r="DU2034" s="64">
        <f>$S2034-$S2035</f>
        <v/>
      </c>
      <c r="DV2034" s="65">
        <f>IFERROR(AVERAGE($AA2035/$AA2034-1,$AB2035/$AB2034-1,$AC2035/$AC2034-1,$AD2035/$AD2034-1,$AE2035/$AE2034-1,$AG2035/$AG2034-1,$AH2035/$AH2034-1,$AI2035/$AI2034-1,$AJ2035/$AJ2034-1,$AL2035/$AL2034-1,$AM2035/$AM2034-1,$AR2035/$AR2034-1,$AS2035/$AS2034-1,$AT2035/$AT2034-1,$AU2035/$AU2034-1,$AV2035/$AV2034-1,$AW2035/$AW2034-1,$AX2035/$AX2034-1,$AY2035/$AY2034-1),"")</f>
        <v/>
      </c>
      <c r="DW2034" s="66">
        <f>AVERAGE($CB2034,$CC2034,$CD2034,$CE2034,$CF2034,$CG2034,$CH2034,$CI2034,$CJ2034,$CL2034,$CM2034,$CN2034,$CO2034,$CP2034,$CQ2034,$CR2034,$CS2034,$CT2034)</f>
        <v/>
      </c>
      <c r="DX2034" s="66">
        <f>AVERAGE($CB2034,$CC2034,$CM2034,$CE2034,$CP2034)</f>
        <v/>
      </c>
      <c r="DY2034" s="64">
        <f>($DW2034-$DW2035)*100</f>
        <v/>
      </c>
      <c r="DZ2034" s="64">
        <f>($DX2034-$DX2035)*100</f>
        <v/>
      </c>
      <c r="EA2034" s="64">
        <f>($DW2034-$D2034)*100</f>
        <v/>
      </c>
      <c r="EB2034" s="64">
        <f>$Q2034-$O2034</f>
        <v/>
      </c>
      <c r="EC2034" s="67">
        <f>IFERROR($Q2034/$P2034,"")</f>
        <v/>
      </c>
    </row>
    <row r="2035">
      <c r="DG2035" s="64">
        <f>($B2035-$B2036)*100</f>
        <v/>
      </c>
      <c r="DH2035" s="64">
        <f>($D2035-$D2036)*100</f>
        <v/>
      </c>
      <c r="DI2035" s="64">
        <f>($E2035-$E2036)*100</f>
        <v/>
      </c>
      <c r="DJ2035" s="64">
        <f>($H2035-$H2036)*100</f>
        <v/>
      </c>
      <c r="DK2035" s="65">
        <f>IFERROR($J2035/$J2036-1,"")</f>
        <v/>
      </c>
      <c r="DL2035" s="64">
        <f>$L2035-$L2036</f>
        <v/>
      </c>
      <c r="DM2035" s="64">
        <f>$K2035-$K2036</f>
        <v/>
      </c>
      <c r="DN2035" s="65">
        <f>IFERROR($N2035/$N2036-1,"")</f>
        <v/>
      </c>
      <c r="DO2035" s="65">
        <f>IFERROR($M2035/$M2036-1,"")</f>
        <v/>
      </c>
      <c r="DP2035" s="65">
        <f>IFERROR($AZ2035/$AZ2036-1,"")</f>
        <v/>
      </c>
      <c r="DQ2035" s="65">
        <f>IFERROR($BA2035/$BA2036-1,"")</f>
        <v/>
      </c>
      <c r="DR2035" s="64">
        <f>$O2035-$O2036</f>
        <v/>
      </c>
      <c r="DS2035" s="64">
        <f>$P2035-$P2036</f>
        <v/>
      </c>
      <c r="DT2035" s="64">
        <f>$Q2035-$Q2036</f>
        <v/>
      </c>
      <c r="DU2035" s="64">
        <f>$S2035-$S2036</f>
        <v/>
      </c>
      <c r="DV2035" s="65">
        <f>IFERROR(AVERAGE($AA2036/$AA2035-1,$AB2036/$AB2035-1,$AC2036/$AC2035-1,$AD2036/$AD2035-1,$AE2036/$AE2035-1,$AG2036/$AG2035-1,$AH2036/$AH2035-1,$AI2036/$AI2035-1,$AJ2036/$AJ2035-1,$AL2036/$AL2035-1,$AM2036/$AM2035-1,$AR2036/$AR2035-1,$AS2036/$AS2035-1,$AT2036/$AT2035-1,$AU2036/$AU2035-1,$AV2036/$AV2035-1,$AW2036/$AW2035-1,$AX2036/$AX2035-1,$AY2036/$AY2035-1),"")</f>
        <v/>
      </c>
      <c r="DW2035" s="66">
        <f>AVERAGE($CB2035,$CC2035,$CD2035,$CE2035,$CF2035,$CG2035,$CH2035,$CI2035,$CJ2035,$CL2035,$CM2035,$CN2035,$CO2035,$CP2035,$CQ2035,$CR2035,$CS2035,$CT2035)</f>
        <v/>
      </c>
      <c r="DX2035" s="66">
        <f>AVERAGE($CB2035,$CC2035,$CM2035,$CE2035,$CP2035)</f>
        <v/>
      </c>
      <c r="DY2035" s="64">
        <f>($DW2035-$DW2036)*100</f>
        <v/>
      </c>
      <c r="DZ2035" s="64">
        <f>($DX2035-$DX2036)*100</f>
        <v/>
      </c>
      <c r="EA2035" s="64">
        <f>($DW2035-$D2035)*100</f>
        <v/>
      </c>
      <c r="EB2035" s="64">
        <f>$Q2035-$O2035</f>
        <v/>
      </c>
      <c r="EC2035" s="67">
        <f>IFERROR($Q2035/$P2035,"")</f>
        <v/>
      </c>
    </row>
    <row r="2036">
      <c r="DG2036" s="64">
        <f>($B2036-$B2037)*100</f>
        <v/>
      </c>
      <c r="DH2036" s="64">
        <f>($D2036-$D2037)*100</f>
        <v/>
      </c>
      <c r="DI2036" s="64">
        <f>($E2036-$E2037)*100</f>
        <v/>
      </c>
      <c r="DJ2036" s="64">
        <f>($H2036-$H2037)*100</f>
        <v/>
      </c>
      <c r="DK2036" s="65">
        <f>IFERROR($J2036/$J2037-1,"")</f>
        <v/>
      </c>
      <c r="DL2036" s="64">
        <f>$L2036-$L2037</f>
        <v/>
      </c>
      <c r="DM2036" s="64">
        <f>$K2036-$K2037</f>
        <v/>
      </c>
      <c r="DN2036" s="65">
        <f>IFERROR($N2036/$N2037-1,"")</f>
        <v/>
      </c>
      <c r="DO2036" s="65">
        <f>IFERROR($M2036/$M2037-1,"")</f>
        <v/>
      </c>
      <c r="DP2036" s="65">
        <f>IFERROR($AZ2036/$AZ2037-1,"")</f>
        <v/>
      </c>
      <c r="DQ2036" s="65">
        <f>IFERROR($BA2036/$BA2037-1,"")</f>
        <v/>
      </c>
      <c r="DR2036" s="64">
        <f>$O2036-$O2037</f>
        <v/>
      </c>
      <c r="DS2036" s="64">
        <f>$P2036-$P2037</f>
        <v/>
      </c>
      <c r="DT2036" s="64">
        <f>$Q2036-$Q2037</f>
        <v/>
      </c>
      <c r="DU2036" s="64">
        <f>$S2036-$S2037</f>
        <v/>
      </c>
      <c r="DV2036" s="65">
        <f>IFERROR(AVERAGE($AA2037/$AA2036-1,$AB2037/$AB2036-1,$AC2037/$AC2036-1,$AD2037/$AD2036-1,$AE2037/$AE2036-1,$AG2037/$AG2036-1,$AH2037/$AH2036-1,$AI2037/$AI2036-1,$AJ2037/$AJ2036-1,$AL2037/$AL2036-1,$AM2037/$AM2036-1,$AR2037/$AR2036-1,$AS2037/$AS2036-1,$AT2037/$AT2036-1,$AU2037/$AU2036-1,$AV2037/$AV2036-1,$AW2037/$AW2036-1,$AX2037/$AX2036-1,$AY2037/$AY2036-1),"")</f>
        <v/>
      </c>
      <c r="DW2036" s="66">
        <f>AVERAGE($CB2036,$CC2036,$CD2036,$CE2036,$CF2036,$CG2036,$CH2036,$CI2036,$CJ2036,$CL2036,$CM2036,$CN2036,$CO2036,$CP2036,$CQ2036,$CR2036,$CS2036,$CT2036)</f>
        <v/>
      </c>
      <c r="DX2036" s="66">
        <f>AVERAGE($CB2036,$CC2036,$CM2036,$CE2036,$CP2036)</f>
        <v/>
      </c>
      <c r="DY2036" s="64">
        <f>($DW2036-$DW2037)*100</f>
        <v/>
      </c>
      <c r="DZ2036" s="64">
        <f>($DX2036-$DX2037)*100</f>
        <v/>
      </c>
      <c r="EA2036" s="64">
        <f>($DW2036-$D2036)*100</f>
        <v/>
      </c>
      <c r="EB2036" s="64">
        <f>$Q2036-$O2036</f>
        <v/>
      </c>
      <c r="EC2036" s="67">
        <f>IFERROR($Q2036/$P2036,"")</f>
        <v/>
      </c>
    </row>
    <row r="2037">
      <c r="DG2037" s="64">
        <f>($B2037-$B2038)*100</f>
        <v/>
      </c>
      <c r="DH2037" s="64">
        <f>($D2037-$D2038)*100</f>
        <v/>
      </c>
      <c r="DI2037" s="64">
        <f>($E2037-$E2038)*100</f>
        <v/>
      </c>
      <c r="DJ2037" s="64">
        <f>($H2037-$H2038)*100</f>
        <v/>
      </c>
      <c r="DK2037" s="65">
        <f>IFERROR($J2037/$J2038-1,"")</f>
        <v/>
      </c>
      <c r="DL2037" s="64">
        <f>$L2037-$L2038</f>
        <v/>
      </c>
      <c r="DM2037" s="64">
        <f>$K2037-$K2038</f>
        <v/>
      </c>
      <c r="DN2037" s="65">
        <f>IFERROR($N2037/$N2038-1,"")</f>
        <v/>
      </c>
      <c r="DO2037" s="65">
        <f>IFERROR($M2037/$M2038-1,"")</f>
        <v/>
      </c>
      <c r="DP2037" s="65">
        <f>IFERROR($AZ2037/$AZ2038-1,"")</f>
        <v/>
      </c>
      <c r="DQ2037" s="65">
        <f>IFERROR($BA2037/$BA2038-1,"")</f>
        <v/>
      </c>
      <c r="DR2037" s="64">
        <f>$O2037-$O2038</f>
        <v/>
      </c>
      <c r="DS2037" s="64">
        <f>$P2037-$P2038</f>
        <v/>
      </c>
      <c r="DT2037" s="64">
        <f>$Q2037-$Q2038</f>
        <v/>
      </c>
      <c r="DU2037" s="64">
        <f>$S2037-$S2038</f>
        <v/>
      </c>
      <c r="DV2037" s="65">
        <f>IFERROR(AVERAGE($AA2038/$AA2037-1,$AB2038/$AB2037-1,$AC2038/$AC2037-1,$AD2038/$AD2037-1,$AE2038/$AE2037-1,$AG2038/$AG2037-1,$AH2038/$AH2037-1,$AI2038/$AI2037-1,$AJ2038/$AJ2037-1,$AL2038/$AL2037-1,$AM2038/$AM2037-1,$AR2038/$AR2037-1,$AS2038/$AS2037-1,$AT2038/$AT2037-1,$AU2038/$AU2037-1,$AV2038/$AV2037-1,$AW2038/$AW2037-1,$AX2038/$AX2037-1,$AY2038/$AY2037-1),"")</f>
        <v/>
      </c>
      <c r="DW2037" s="66">
        <f>AVERAGE($CB2037,$CC2037,$CD2037,$CE2037,$CF2037,$CG2037,$CH2037,$CI2037,$CJ2037,$CL2037,$CM2037,$CN2037,$CO2037,$CP2037,$CQ2037,$CR2037,$CS2037,$CT2037)</f>
        <v/>
      </c>
      <c r="DX2037" s="66">
        <f>AVERAGE($CB2037,$CC2037,$CM2037,$CE2037,$CP2037)</f>
        <v/>
      </c>
      <c r="DY2037" s="64">
        <f>($DW2037-$DW2038)*100</f>
        <v/>
      </c>
      <c r="DZ2037" s="64">
        <f>($DX2037-$DX2038)*100</f>
        <v/>
      </c>
      <c r="EA2037" s="64">
        <f>($DW2037-$D2037)*100</f>
        <v/>
      </c>
      <c r="EB2037" s="64">
        <f>$Q2037-$O2037</f>
        <v/>
      </c>
      <c r="EC2037" s="67">
        <f>IFERROR($Q2037/$P2037,"")</f>
        <v/>
      </c>
    </row>
    <row r="2038">
      <c r="DG2038" s="64">
        <f>($B2038-$B2039)*100</f>
        <v/>
      </c>
      <c r="DH2038" s="64">
        <f>($D2038-$D2039)*100</f>
        <v/>
      </c>
      <c r="DI2038" s="64">
        <f>($E2038-$E2039)*100</f>
        <v/>
      </c>
      <c r="DJ2038" s="64">
        <f>($H2038-$H2039)*100</f>
        <v/>
      </c>
      <c r="DK2038" s="65">
        <f>IFERROR($J2038/$J2039-1,"")</f>
        <v/>
      </c>
      <c r="DL2038" s="64">
        <f>$L2038-$L2039</f>
        <v/>
      </c>
      <c r="DM2038" s="64">
        <f>$K2038-$K2039</f>
        <v/>
      </c>
      <c r="DN2038" s="65">
        <f>IFERROR($N2038/$N2039-1,"")</f>
        <v/>
      </c>
      <c r="DO2038" s="65">
        <f>IFERROR($M2038/$M2039-1,"")</f>
        <v/>
      </c>
      <c r="DP2038" s="65">
        <f>IFERROR($AZ2038/$AZ2039-1,"")</f>
        <v/>
      </c>
      <c r="DQ2038" s="65">
        <f>IFERROR($BA2038/$BA2039-1,"")</f>
        <v/>
      </c>
      <c r="DR2038" s="64">
        <f>$O2038-$O2039</f>
        <v/>
      </c>
      <c r="DS2038" s="64">
        <f>$P2038-$P2039</f>
        <v/>
      </c>
      <c r="DT2038" s="64">
        <f>$Q2038-$Q2039</f>
        <v/>
      </c>
      <c r="DU2038" s="64">
        <f>$S2038-$S2039</f>
        <v/>
      </c>
      <c r="DV2038" s="65">
        <f>IFERROR(AVERAGE($AA2039/$AA2038-1,$AB2039/$AB2038-1,$AC2039/$AC2038-1,$AD2039/$AD2038-1,$AE2039/$AE2038-1,$AG2039/$AG2038-1,$AH2039/$AH2038-1,$AI2039/$AI2038-1,$AJ2039/$AJ2038-1,$AL2039/$AL2038-1,$AM2039/$AM2038-1,$AR2039/$AR2038-1,$AS2039/$AS2038-1,$AT2039/$AT2038-1,$AU2039/$AU2038-1,$AV2039/$AV2038-1,$AW2039/$AW2038-1,$AX2039/$AX2038-1,$AY2039/$AY2038-1),"")</f>
        <v/>
      </c>
      <c r="DW2038" s="66">
        <f>AVERAGE($CB2038,$CC2038,$CD2038,$CE2038,$CF2038,$CG2038,$CH2038,$CI2038,$CJ2038,$CL2038,$CM2038,$CN2038,$CO2038,$CP2038,$CQ2038,$CR2038,$CS2038,$CT2038)</f>
        <v/>
      </c>
      <c r="DX2038" s="66">
        <f>AVERAGE($CB2038,$CC2038,$CM2038,$CE2038,$CP2038)</f>
        <v/>
      </c>
      <c r="DY2038" s="64">
        <f>($DW2038-$DW2039)*100</f>
        <v/>
      </c>
      <c r="DZ2038" s="64">
        <f>($DX2038-$DX2039)*100</f>
        <v/>
      </c>
      <c r="EA2038" s="64">
        <f>($DW2038-$D2038)*100</f>
        <v/>
      </c>
      <c r="EB2038" s="64">
        <f>$Q2038-$O2038</f>
        <v/>
      </c>
      <c r="EC2038" s="67">
        <f>IFERROR($Q2038/$P2038,"")</f>
        <v/>
      </c>
    </row>
    <row r="2039">
      <c r="DG2039" s="64">
        <f>($B2039-$B2040)*100</f>
        <v/>
      </c>
      <c r="DH2039" s="64">
        <f>($D2039-$D2040)*100</f>
        <v/>
      </c>
      <c r="DI2039" s="64">
        <f>($E2039-$E2040)*100</f>
        <v/>
      </c>
      <c r="DJ2039" s="64">
        <f>($H2039-$H2040)*100</f>
        <v/>
      </c>
      <c r="DK2039" s="65">
        <f>IFERROR($J2039/$J2040-1,"")</f>
        <v/>
      </c>
      <c r="DL2039" s="64">
        <f>$L2039-$L2040</f>
        <v/>
      </c>
      <c r="DM2039" s="64">
        <f>$K2039-$K2040</f>
        <v/>
      </c>
      <c r="DN2039" s="65">
        <f>IFERROR($N2039/$N2040-1,"")</f>
        <v/>
      </c>
      <c r="DO2039" s="65">
        <f>IFERROR($M2039/$M2040-1,"")</f>
        <v/>
      </c>
      <c r="DP2039" s="65">
        <f>IFERROR($AZ2039/$AZ2040-1,"")</f>
        <v/>
      </c>
      <c r="DQ2039" s="65">
        <f>IFERROR($BA2039/$BA2040-1,"")</f>
        <v/>
      </c>
      <c r="DR2039" s="64">
        <f>$O2039-$O2040</f>
        <v/>
      </c>
      <c r="DS2039" s="64">
        <f>$P2039-$P2040</f>
        <v/>
      </c>
      <c r="DT2039" s="64">
        <f>$Q2039-$Q2040</f>
        <v/>
      </c>
      <c r="DU2039" s="64">
        <f>$S2039-$S2040</f>
        <v/>
      </c>
      <c r="DV2039" s="65">
        <f>IFERROR(AVERAGE($AA2040/$AA2039-1,$AB2040/$AB2039-1,$AC2040/$AC2039-1,$AD2040/$AD2039-1,$AE2040/$AE2039-1,$AG2040/$AG2039-1,$AH2040/$AH2039-1,$AI2040/$AI2039-1,$AJ2040/$AJ2039-1,$AL2040/$AL2039-1,$AM2040/$AM2039-1,$AR2040/$AR2039-1,$AS2040/$AS2039-1,$AT2040/$AT2039-1,$AU2040/$AU2039-1,$AV2040/$AV2039-1,$AW2040/$AW2039-1,$AX2040/$AX2039-1,$AY2040/$AY2039-1),"")</f>
        <v/>
      </c>
      <c r="DW2039" s="66">
        <f>AVERAGE($CB2039,$CC2039,$CD2039,$CE2039,$CF2039,$CG2039,$CH2039,$CI2039,$CJ2039,$CL2039,$CM2039,$CN2039,$CO2039,$CP2039,$CQ2039,$CR2039,$CS2039,$CT2039)</f>
        <v/>
      </c>
      <c r="DX2039" s="66">
        <f>AVERAGE($CB2039,$CC2039,$CM2039,$CE2039,$CP2039)</f>
        <v/>
      </c>
      <c r="DY2039" s="64">
        <f>($DW2039-$DW2040)*100</f>
        <v/>
      </c>
      <c r="DZ2039" s="64">
        <f>($DX2039-$DX2040)*100</f>
        <v/>
      </c>
      <c r="EA2039" s="64">
        <f>($DW2039-$D2039)*100</f>
        <v/>
      </c>
      <c r="EB2039" s="64">
        <f>$Q2039-$O2039</f>
        <v/>
      </c>
      <c r="EC2039" s="67">
        <f>IFERROR($Q2039/$P2039,"")</f>
        <v/>
      </c>
    </row>
    <row r="2040">
      <c r="DG2040" s="64">
        <f>($B2040-$B2041)*100</f>
        <v/>
      </c>
      <c r="DH2040" s="64">
        <f>($D2040-$D2041)*100</f>
        <v/>
      </c>
      <c r="DI2040" s="64">
        <f>($E2040-$E2041)*100</f>
        <v/>
      </c>
      <c r="DJ2040" s="64">
        <f>($H2040-$H2041)*100</f>
        <v/>
      </c>
      <c r="DK2040" s="65">
        <f>IFERROR($J2040/$J2041-1,"")</f>
        <v/>
      </c>
      <c r="DL2040" s="64">
        <f>$L2040-$L2041</f>
        <v/>
      </c>
      <c r="DM2040" s="64">
        <f>$K2040-$K2041</f>
        <v/>
      </c>
      <c r="DN2040" s="65">
        <f>IFERROR($N2040/$N2041-1,"")</f>
        <v/>
      </c>
      <c r="DO2040" s="65">
        <f>IFERROR($M2040/$M2041-1,"")</f>
        <v/>
      </c>
      <c r="DP2040" s="65">
        <f>IFERROR($AZ2040/$AZ2041-1,"")</f>
        <v/>
      </c>
      <c r="DQ2040" s="65">
        <f>IFERROR($BA2040/$BA2041-1,"")</f>
        <v/>
      </c>
      <c r="DR2040" s="64">
        <f>$O2040-$O2041</f>
        <v/>
      </c>
      <c r="DS2040" s="64">
        <f>$P2040-$P2041</f>
        <v/>
      </c>
      <c r="DT2040" s="64">
        <f>$Q2040-$Q2041</f>
        <v/>
      </c>
      <c r="DU2040" s="64">
        <f>$S2040-$S2041</f>
        <v/>
      </c>
      <c r="DV2040" s="65">
        <f>IFERROR(AVERAGE($AA2041/$AA2040-1,$AB2041/$AB2040-1,$AC2041/$AC2040-1,$AD2041/$AD2040-1,$AE2041/$AE2040-1,$AG2041/$AG2040-1,$AH2041/$AH2040-1,$AI2041/$AI2040-1,$AJ2041/$AJ2040-1,$AL2041/$AL2040-1,$AM2041/$AM2040-1,$AR2041/$AR2040-1,$AS2041/$AS2040-1,$AT2041/$AT2040-1,$AU2041/$AU2040-1,$AV2041/$AV2040-1,$AW2041/$AW2040-1,$AX2041/$AX2040-1,$AY2041/$AY2040-1),"")</f>
        <v/>
      </c>
      <c r="DW2040" s="66">
        <f>AVERAGE($CB2040,$CC2040,$CD2040,$CE2040,$CF2040,$CG2040,$CH2040,$CI2040,$CJ2040,$CL2040,$CM2040,$CN2040,$CO2040,$CP2040,$CQ2040,$CR2040,$CS2040,$CT2040)</f>
        <v/>
      </c>
      <c r="DX2040" s="66">
        <f>AVERAGE($CB2040,$CC2040,$CM2040,$CE2040,$CP2040)</f>
        <v/>
      </c>
      <c r="DY2040" s="64">
        <f>($DW2040-$DW2041)*100</f>
        <v/>
      </c>
      <c r="DZ2040" s="64">
        <f>($DX2040-$DX2041)*100</f>
        <v/>
      </c>
      <c r="EA2040" s="64">
        <f>($DW2040-$D2040)*100</f>
        <v/>
      </c>
      <c r="EB2040" s="64">
        <f>$Q2040-$O2040</f>
        <v/>
      </c>
      <c r="EC2040" s="67">
        <f>IFERROR($Q2040/$P2040,"")</f>
        <v/>
      </c>
    </row>
    <row r="2041">
      <c r="DG2041" s="64">
        <f>($B2041-$B2042)*100</f>
        <v/>
      </c>
      <c r="DH2041" s="64">
        <f>($D2041-$D2042)*100</f>
        <v/>
      </c>
      <c r="DI2041" s="64">
        <f>($E2041-$E2042)*100</f>
        <v/>
      </c>
      <c r="DJ2041" s="64">
        <f>($H2041-$H2042)*100</f>
        <v/>
      </c>
      <c r="DK2041" s="65">
        <f>IFERROR($J2041/$J2042-1,"")</f>
        <v/>
      </c>
      <c r="DL2041" s="64">
        <f>$L2041-$L2042</f>
        <v/>
      </c>
      <c r="DM2041" s="64">
        <f>$K2041-$K2042</f>
        <v/>
      </c>
      <c r="DN2041" s="65">
        <f>IFERROR($N2041/$N2042-1,"")</f>
        <v/>
      </c>
      <c r="DO2041" s="65">
        <f>IFERROR($M2041/$M2042-1,"")</f>
        <v/>
      </c>
      <c r="DP2041" s="65">
        <f>IFERROR($AZ2041/$AZ2042-1,"")</f>
        <v/>
      </c>
      <c r="DQ2041" s="65">
        <f>IFERROR($BA2041/$BA2042-1,"")</f>
        <v/>
      </c>
      <c r="DR2041" s="64">
        <f>$O2041-$O2042</f>
        <v/>
      </c>
      <c r="DS2041" s="64">
        <f>$P2041-$P2042</f>
        <v/>
      </c>
      <c r="DT2041" s="64">
        <f>$Q2041-$Q2042</f>
        <v/>
      </c>
      <c r="DU2041" s="64">
        <f>$S2041-$S2042</f>
        <v/>
      </c>
      <c r="DV2041" s="65">
        <f>IFERROR(AVERAGE($AA2042/$AA2041-1,$AB2042/$AB2041-1,$AC2042/$AC2041-1,$AD2042/$AD2041-1,$AE2042/$AE2041-1,$AG2042/$AG2041-1,$AH2042/$AH2041-1,$AI2042/$AI2041-1,$AJ2042/$AJ2041-1,$AL2042/$AL2041-1,$AM2042/$AM2041-1,$AR2042/$AR2041-1,$AS2042/$AS2041-1,$AT2042/$AT2041-1,$AU2042/$AU2041-1,$AV2042/$AV2041-1,$AW2042/$AW2041-1,$AX2042/$AX2041-1,$AY2042/$AY2041-1),"")</f>
        <v/>
      </c>
      <c r="DW2041" s="66">
        <f>AVERAGE($CB2041,$CC2041,$CD2041,$CE2041,$CF2041,$CG2041,$CH2041,$CI2041,$CJ2041,$CL2041,$CM2041,$CN2041,$CO2041,$CP2041,$CQ2041,$CR2041,$CS2041,$CT2041)</f>
        <v/>
      </c>
      <c r="DX2041" s="66">
        <f>AVERAGE($CB2041,$CC2041,$CM2041,$CE2041,$CP2041)</f>
        <v/>
      </c>
      <c r="DY2041" s="64">
        <f>($DW2041-$DW2042)*100</f>
        <v/>
      </c>
      <c r="DZ2041" s="64">
        <f>($DX2041-$DX2042)*100</f>
        <v/>
      </c>
      <c r="EA2041" s="64">
        <f>($DW2041-$D2041)*100</f>
        <v/>
      </c>
      <c r="EB2041" s="64">
        <f>$Q2041-$O2041</f>
        <v/>
      </c>
      <c r="EC2041" s="67">
        <f>IFERROR($Q2041/$P2041,"")</f>
        <v/>
      </c>
    </row>
    <row r="2042">
      <c r="DG2042" s="64">
        <f>($B2042-$B2043)*100</f>
        <v/>
      </c>
      <c r="DH2042" s="64">
        <f>($D2042-$D2043)*100</f>
        <v/>
      </c>
      <c r="DI2042" s="64">
        <f>($E2042-$E2043)*100</f>
        <v/>
      </c>
      <c r="DJ2042" s="64">
        <f>($H2042-$H2043)*100</f>
        <v/>
      </c>
      <c r="DK2042" s="65">
        <f>IFERROR($J2042/$J2043-1,"")</f>
        <v/>
      </c>
      <c r="DL2042" s="64">
        <f>$L2042-$L2043</f>
        <v/>
      </c>
      <c r="DM2042" s="64">
        <f>$K2042-$K2043</f>
        <v/>
      </c>
      <c r="DN2042" s="65">
        <f>IFERROR($N2042/$N2043-1,"")</f>
        <v/>
      </c>
      <c r="DO2042" s="65">
        <f>IFERROR($M2042/$M2043-1,"")</f>
        <v/>
      </c>
      <c r="DP2042" s="65">
        <f>IFERROR($AZ2042/$AZ2043-1,"")</f>
        <v/>
      </c>
      <c r="DQ2042" s="65">
        <f>IFERROR($BA2042/$BA2043-1,"")</f>
        <v/>
      </c>
      <c r="DR2042" s="64">
        <f>$O2042-$O2043</f>
        <v/>
      </c>
      <c r="DS2042" s="64">
        <f>$P2042-$P2043</f>
        <v/>
      </c>
      <c r="DT2042" s="64">
        <f>$Q2042-$Q2043</f>
        <v/>
      </c>
      <c r="DU2042" s="64">
        <f>$S2042-$S2043</f>
        <v/>
      </c>
      <c r="DV2042" s="65">
        <f>IFERROR(AVERAGE($AA2043/$AA2042-1,$AB2043/$AB2042-1,$AC2043/$AC2042-1,$AD2043/$AD2042-1,$AE2043/$AE2042-1,$AG2043/$AG2042-1,$AH2043/$AH2042-1,$AI2043/$AI2042-1,$AJ2043/$AJ2042-1,$AL2043/$AL2042-1,$AM2043/$AM2042-1,$AR2043/$AR2042-1,$AS2043/$AS2042-1,$AT2043/$AT2042-1,$AU2043/$AU2042-1,$AV2043/$AV2042-1,$AW2043/$AW2042-1,$AX2043/$AX2042-1,$AY2043/$AY2042-1),"")</f>
        <v/>
      </c>
      <c r="DW2042" s="66">
        <f>AVERAGE($CB2042,$CC2042,$CD2042,$CE2042,$CF2042,$CG2042,$CH2042,$CI2042,$CJ2042,$CL2042,$CM2042,$CN2042,$CO2042,$CP2042,$CQ2042,$CR2042,$CS2042,$CT2042)</f>
        <v/>
      </c>
      <c r="DX2042" s="66">
        <f>AVERAGE($CB2042,$CC2042,$CM2042,$CE2042,$CP2042)</f>
        <v/>
      </c>
      <c r="DY2042" s="64">
        <f>($DW2042-$DW2043)*100</f>
        <v/>
      </c>
      <c r="DZ2042" s="64">
        <f>($DX2042-$DX2043)*100</f>
        <v/>
      </c>
      <c r="EA2042" s="64">
        <f>($DW2042-$D2042)*100</f>
        <v/>
      </c>
      <c r="EB2042" s="64">
        <f>$Q2042-$O2042</f>
        <v/>
      </c>
      <c r="EC2042" s="67">
        <f>IFERROR($Q2042/$P2042,"")</f>
        <v/>
      </c>
    </row>
    <row r="2043">
      <c r="DG2043" s="64">
        <f>($B2043-$B2044)*100</f>
        <v/>
      </c>
      <c r="DH2043" s="64">
        <f>($D2043-$D2044)*100</f>
        <v/>
      </c>
      <c r="DI2043" s="64">
        <f>($E2043-$E2044)*100</f>
        <v/>
      </c>
      <c r="DJ2043" s="64">
        <f>($H2043-$H2044)*100</f>
        <v/>
      </c>
      <c r="DK2043" s="65">
        <f>IFERROR($J2043/$J2044-1,"")</f>
        <v/>
      </c>
      <c r="DL2043" s="64">
        <f>$L2043-$L2044</f>
        <v/>
      </c>
      <c r="DM2043" s="64">
        <f>$K2043-$K2044</f>
        <v/>
      </c>
      <c r="DN2043" s="65">
        <f>IFERROR($N2043/$N2044-1,"")</f>
        <v/>
      </c>
      <c r="DO2043" s="65">
        <f>IFERROR($M2043/$M2044-1,"")</f>
        <v/>
      </c>
      <c r="DP2043" s="65">
        <f>IFERROR($AZ2043/$AZ2044-1,"")</f>
        <v/>
      </c>
      <c r="DQ2043" s="65">
        <f>IFERROR($BA2043/$BA2044-1,"")</f>
        <v/>
      </c>
      <c r="DR2043" s="64">
        <f>$O2043-$O2044</f>
        <v/>
      </c>
      <c r="DS2043" s="64">
        <f>$P2043-$P2044</f>
        <v/>
      </c>
      <c r="DT2043" s="64">
        <f>$Q2043-$Q2044</f>
        <v/>
      </c>
      <c r="DU2043" s="64">
        <f>$S2043-$S2044</f>
        <v/>
      </c>
      <c r="DV2043" s="65">
        <f>IFERROR(AVERAGE($AA2044/$AA2043-1,$AB2044/$AB2043-1,$AC2044/$AC2043-1,$AD2044/$AD2043-1,$AE2044/$AE2043-1,$AG2044/$AG2043-1,$AH2044/$AH2043-1,$AI2044/$AI2043-1,$AJ2044/$AJ2043-1,$AL2044/$AL2043-1,$AM2044/$AM2043-1,$AR2044/$AR2043-1,$AS2044/$AS2043-1,$AT2044/$AT2043-1,$AU2044/$AU2043-1,$AV2044/$AV2043-1,$AW2044/$AW2043-1,$AX2044/$AX2043-1,$AY2044/$AY2043-1),"")</f>
        <v/>
      </c>
      <c r="DW2043" s="66">
        <f>AVERAGE($CB2043,$CC2043,$CD2043,$CE2043,$CF2043,$CG2043,$CH2043,$CI2043,$CJ2043,$CL2043,$CM2043,$CN2043,$CO2043,$CP2043,$CQ2043,$CR2043,$CS2043,$CT2043)</f>
        <v/>
      </c>
      <c r="DX2043" s="66">
        <f>AVERAGE($CB2043,$CC2043,$CM2043,$CE2043,$CP2043)</f>
        <v/>
      </c>
      <c r="DY2043" s="64">
        <f>($DW2043-$DW2044)*100</f>
        <v/>
      </c>
      <c r="DZ2043" s="64">
        <f>($DX2043-$DX2044)*100</f>
        <v/>
      </c>
      <c r="EA2043" s="64">
        <f>($DW2043-$D2043)*100</f>
        <v/>
      </c>
      <c r="EB2043" s="64">
        <f>$Q2043-$O2043</f>
        <v/>
      </c>
      <c r="EC2043" s="67">
        <f>IFERROR($Q2043/$P2043,"")</f>
        <v/>
      </c>
    </row>
    <row r="2044">
      <c r="DG2044" s="64">
        <f>($B2044-$B2045)*100</f>
        <v/>
      </c>
      <c r="DH2044" s="64">
        <f>($D2044-$D2045)*100</f>
        <v/>
      </c>
      <c r="DI2044" s="64">
        <f>($E2044-$E2045)*100</f>
        <v/>
      </c>
      <c r="DJ2044" s="64">
        <f>($H2044-$H2045)*100</f>
        <v/>
      </c>
      <c r="DK2044" s="65">
        <f>IFERROR($J2044/$J2045-1,"")</f>
        <v/>
      </c>
      <c r="DL2044" s="64">
        <f>$L2044-$L2045</f>
        <v/>
      </c>
      <c r="DM2044" s="64">
        <f>$K2044-$K2045</f>
        <v/>
      </c>
      <c r="DN2044" s="65">
        <f>IFERROR($N2044/$N2045-1,"")</f>
        <v/>
      </c>
      <c r="DO2044" s="65">
        <f>IFERROR($M2044/$M2045-1,"")</f>
        <v/>
      </c>
      <c r="DP2044" s="65">
        <f>IFERROR($AZ2044/$AZ2045-1,"")</f>
        <v/>
      </c>
      <c r="DQ2044" s="65">
        <f>IFERROR($BA2044/$BA2045-1,"")</f>
        <v/>
      </c>
      <c r="DR2044" s="64">
        <f>$O2044-$O2045</f>
        <v/>
      </c>
      <c r="DS2044" s="64">
        <f>$P2044-$P2045</f>
        <v/>
      </c>
      <c r="DT2044" s="64">
        <f>$Q2044-$Q2045</f>
        <v/>
      </c>
      <c r="DU2044" s="64">
        <f>$S2044-$S2045</f>
        <v/>
      </c>
      <c r="DV2044" s="65">
        <f>IFERROR(AVERAGE($AA2045/$AA2044-1,$AB2045/$AB2044-1,$AC2045/$AC2044-1,$AD2045/$AD2044-1,$AE2045/$AE2044-1,$AG2045/$AG2044-1,$AH2045/$AH2044-1,$AI2045/$AI2044-1,$AJ2045/$AJ2044-1,$AL2045/$AL2044-1,$AM2045/$AM2044-1,$AR2045/$AR2044-1,$AS2045/$AS2044-1,$AT2045/$AT2044-1,$AU2045/$AU2044-1,$AV2045/$AV2044-1,$AW2045/$AW2044-1,$AX2045/$AX2044-1,$AY2045/$AY2044-1),"")</f>
        <v/>
      </c>
      <c r="DW2044" s="66">
        <f>AVERAGE($CB2044,$CC2044,$CD2044,$CE2044,$CF2044,$CG2044,$CH2044,$CI2044,$CJ2044,$CL2044,$CM2044,$CN2044,$CO2044,$CP2044,$CQ2044,$CR2044,$CS2044,$CT2044)</f>
        <v/>
      </c>
      <c r="DX2044" s="66">
        <f>AVERAGE($CB2044,$CC2044,$CM2044,$CE2044,$CP2044)</f>
        <v/>
      </c>
      <c r="DY2044" s="64">
        <f>($DW2044-$DW2045)*100</f>
        <v/>
      </c>
      <c r="DZ2044" s="64">
        <f>($DX2044-$DX2045)*100</f>
        <v/>
      </c>
      <c r="EA2044" s="64">
        <f>($DW2044-$D2044)*100</f>
        <v/>
      </c>
      <c r="EB2044" s="64">
        <f>$Q2044-$O2044</f>
        <v/>
      </c>
      <c r="EC2044" s="67">
        <f>IFERROR($Q2044/$P2044,"")</f>
        <v/>
      </c>
    </row>
    <row r="2045">
      <c r="DG2045" s="64">
        <f>($B2045-$B2046)*100</f>
        <v/>
      </c>
      <c r="DH2045" s="64">
        <f>($D2045-$D2046)*100</f>
        <v/>
      </c>
      <c r="DI2045" s="64">
        <f>($E2045-$E2046)*100</f>
        <v/>
      </c>
      <c r="DJ2045" s="64">
        <f>($H2045-$H2046)*100</f>
        <v/>
      </c>
      <c r="DK2045" s="65">
        <f>IFERROR($J2045/$J2046-1,"")</f>
        <v/>
      </c>
      <c r="DL2045" s="64">
        <f>$L2045-$L2046</f>
        <v/>
      </c>
      <c r="DM2045" s="64">
        <f>$K2045-$K2046</f>
        <v/>
      </c>
      <c r="DN2045" s="65">
        <f>IFERROR($N2045/$N2046-1,"")</f>
        <v/>
      </c>
      <c r="DO2045" s="65">
        <f>IFERROR($M2045/$M2046-1,"")</f>
        <v/>
      </c>
      <c r="DP2045" s="65">
        <f>IFERROR($AZ2045/$AZ2046-1,"")</f>
        <v/>
      </c>
      <c r="DQ2045" s="65">
        <f>IFERROR($BA2045/$BA2046-1,"")</f>
        <v/>
      </c>
      <c r="DR2045" s="64">
        <f>$O2045-$O2046</f>
        <v/>
      </c>
      <c r="DS2045" s="64">
        <f>$P2045-$P2046</f>
        <v/>
      </c>
      <c r="DT2045" s="64">
        <f>$Q2045-$Q2046</f>
        <v/>
      </c>
      <c r="DU2045" s="64">
        <f>$S2045-$S2046</f>
        <v/>
      </c>
      <c r="DV2045" s="65">
        <f>IFERROR(AVERAGE($AA2046/$AA2045-1,$AB2046/$AB2045-1,$AC2046/$AC2045-1,$AD2046/$AD2045-1,$AE2046/$AE2045-1,$AG2046/$AG2045-1,$AH2046/$AH2045-1,$AI2046/$AI2045-1,$AJ2046/$AJ2045-1,$AL2046/$AL2045-1,$AM2046/$AM2045-1,$AR2046/$AR2045-1,$AS2046/$AS2045-1,$AT2046/$AT2045-1,$AU2046/$AU2045-1,$AV2046/$AV2045-1,$AW2046/$AW2045-1,$AX2046/$AX2045-1,$AY2046/$AY2045-1),"")</f>
        <v/>
      </c>
      <c r="DW2045" s="66">
        <f>AVERAGE($CB2045,$CC2045,$CD2045,$CE2045,$CF2045,$CG2045,$CH2045,$CI2045,$CJ2045,$CL2045,$CM2045,$CN2045,$CO2045,$CP2045,$CQ2045,$CR2045,$CS2045,$CT2045)</f>
        <v/>
      </c>
      <c r="DX2045" s="66">
        <f>AVERAGE($CB2045,$CC2045,$CM2045,$CE2045,$CP2045)</f>
        <v/>
      </c>
      <c r="DY2045" s="64">
        <f>($DW2045-$DW2046)*100</f>
        <v/>
      </c>
      <c r="DZ2045" s="64">
        <f>($DX2045-$DX2046)*100</f>
        <v/>
      </c>
      <c r="EA2045" s="64">
        <f>($DW2045-$D2045)*100</f>
        <v/>
      </c>
      <c r="EB2045" s="64">
        <f>$Q2045-$O2045</f>
        <v/>
      </c>
      <c r="EC2045" s="67">
        <f>IFERROR($Q2045/$P2045,"")</f>
        <v/>
      </c>
    </row>
    <row r="2046">
      <c r="DG2046" s="64">
        <f>($B2046-$B2047)*100</f>
        <v/>
      </c>
      <c r="DH2046" s="64">
        <f>($D2046-$D2047)*100</f>
        <v/>
      </c>
      <c r="DI2046" s="64">
        <f>($E2046-$E2047)*100</f>
        <v/>
      </c>
      <c r="DJ2046" s="64">
        <f>($H2046-$H2047)*100</f>
        <v/>
      </c>
      <c r="DK2046" s="65">
        <f>IFERROR($J2046/$J2047-1,"")</f>
        <v/>
      </c>
      <c r="DL2046" s="64">
        <f>$L2046-$L2047</f>
        <v/>
      </c>
      <c r="DM2046" s="64">
        <f>$K2046-$K2047</f>
        <v/>
      </c>
      <c r="DN2046" s="65">
        <f>IFERROR($N2046/$N2047-1,"")</f>
        <v/>
      </c>
      <c r="DO2046" s="65">
        <f>IFERROR($M2046/$M2047-1,"")</f>
        <v/>
      </c>
      <c r="DP2046" s="65">
        <f>IFERROR($AZ2046/$AZ2047-1,"")</f>
        <v/>
      </c>
      <c r="DQ2046" s="65">
        <f>IFERROR($BA2046/$BA2047-1,"")</f>
        <v/>
      </c>
      <c r="DR2046" s="64">
        <f>$O2046-$O2047</f>
        <v/>
      </c>
      <c r="DS2046" s="64">
        <f>$P2046-$P2047</f>
        <v/>
      </c>
      <c r="DT2046" s="64">
        <f>$Q2046-$Q2047</f>
        <v/>
      </c>
      <c r="DU2046" s="64">
        <f>$S2046-$S2047</f>
        <v/>
      </c>
      <c r="DV2046" s="65">
        <f>IFERROR(AVERAGE($AA2047/$AA2046-1,$AB2047/$AB2046-1,$AC2047/$AC2046-1,$AD2047/$AD2046-1,$AE2047/$AE2046-1,$AG2047/$AG2046-1,$AH2047/$AH2046-1,$AI2047/$AI2046-1,$AJ2047/$AJ2046-1,$AL2047/$AL2046-1,$AM2047/$AM2046-1,$AR2047/$AR2046-1,$AS2047/$AS2046-1,$AT2047/$AT2046-1,$AU2047/$AU2046-1,$AV2047/$AV2046-1,$AW2047/$AW2046-1,$AX2047/$AX2046-1,$AY2047/$AY2046-1),"")</f>
        <v/>
      </c>
      <c r="DW2046" s="66">
        <f>AVERAGE($CB2046,$CC2046,$CD2046,$CE2046,$CF2046,$CG2046,$CH2046,$CI2046,$CJ2046,$CL2046,$CM2046,$CN2046,$CO2046,$CP2046,$CQ2046,$CR2046,$CS2046,$CT2046)</f>
        <v/>
      </c>
      <c r="DX2046" s="66">
        <f>AVERAGE($CB2046,$CC2046,$CM2046,$CE2046,$CP2046)</f>
        <v/>
      </c>
      <c r="DY2046" s="64">
        <f>($DW2046-$DW2047)*100</f>
        <v/>
      </c>
      <c r="DZ2046" s="64">
        <f>($DX2046-$DX2047)*100</f>
        <v/>
      </c>
      <c r="EA2046" s="64">
        <f>($DW2046-$D2046)*100</f>
        <v/>
      </c>
      <c r="EB2046" s="64">
        <f>$Q2046-$O2046</f>
        <v/>
      </c>
      <c r="EC2046" s="67">
        <f>IFERROR($Q2046/$P2046,"")</f>
        <v/>
      </c>
    </row>
    <row r="2047">
      <c r="DG2047" s="64">
        <f>($B2047-$B2048)*100</f>
        <v/>
      </c>
      <c r="DH2047" s="64">
        <f>($D2047-$D2048)*100</f>
        <v/>
      </c>
      <c r="DI2047" s="64">
        <f>($E2047-$E2048)*100</f>
        <v/>
      </c>
      <c r="DJ2047" s="64">
        <f>($H2047-$H2048)*100</f>
        <v/>
      </c>
      <c r="DK2047" s="65">
        <f>IFERROR($J2047/$J2048-1,"")</f>
        <v/>
      </c>
      <c r="DL2047" s="64">
        <f>$L2047-$L2048</f>
        <v/>
      </c>
      <c r="DM2047" s="64">
        <f>$K2047-$K2048</f>
        <v/>
      </c>
      <c r="DN2047" s="65">
        <f>IFERROR($N2047/$N2048-1,"")</f>
        <v/>
      </c>
      <c r="DO2047" s="65">
        <f>IFERROR($M2047/$M2048-1,"")</f>
        <v/>
      </c>
      <c r="DP2047" s="65">
        <f>IFERROR($AZ2047/$AZ2048-1,"")</f>
        <v/>
      </c>
      <c r="DQ2047" s="65">
        <f>IFERROR($BA2047/$BA2048-1,"")</f>
        <v/>
      </c>
      <c r="DR2047" s="64">
        <f>$O2047-$O2048</f>
        <v/>
      </c>
      <c r="DS2047" s="64">
        <f>$P2047-$P2048</f>
        <v/>
      </c>
      <c r="DT2047" s="64">
        <f>$Q2047-$Q2048</f>
        <v/>
      </c>
      <c r="DU2047" s="64">
        <f>$S2047-$S2048</f>
        <v/>
      </c>
      <c r="DV2047" s="65">
        <f>IFERROR(AVERAGE($AA2048/$AA2047-1,$AB2048/$AB2047-1,$AC2048/$AC2047-1,$AD2048/$AD2047-1,$AE2048/$AE2047-1,$AG2048/$AG2047-1,$AH2048/$AH2047-1,$AI2048/$AI2047-1,$AJ2048/$AJ2047-1,$AL2048/$AL2047-1,$AM2048/$AM2047-1,$AR2048/$AR2047-1,$AS2048/$AS2047-1,$AT2048/$AT2047-1,$AU2048/$AU2047-1,$AV2048/$AV2047-1,$AW2048/$AW2047-1,$AX2048/$AX2047-1,$AY2048/$AY2047-1),"")</f>
        <v/>
      </c>
      <c r="DW2047" s="66">
        <f>AVERAGE($CB2047,$CC2047,$CD2047,$CE2047,$CF2047,$CG2047,$CH2047,$CI2047,$CJ2047,$CL2047,$CM2047,$CN2047,$CO2047,$CP2047,$CQ2047,$CR2047,$CS2047,$CT2047)</f>
        <v/>
      </c>
      <c r="DX2047" s="66">
        <f>AVERAGE($CB2047,$CC2047,$CM2047,$CE2047,$CP2047)</f>
        <v/>
      </c>
      <c r="DY2047" s="64">
        <f>($DW2047-$DW2048)*100</f>
        <v/>
      </c>
      <c r="DZ2047" s="64">
        <f>($DX2047-$DX2048)*100</f>
        <v/>
      </c>
      <c r="EA2047" s="64">
        <f>($DW2047-$D2047)*100</f>
        <v/>
      </c>
      <c r="EB2047" s="64">
        <f>$Q2047-$O2047</f>
        <v/>
      </c>
      <c r="EC2047" s="67">
        <f>IFERROR($Q2047/$P2047,"")</f>
        <v/>
      </c>
    </row>
    <row r="2048">
      <c r="DG2048" s="64">
        <f>($B2048-$B2049)*100</f>
        <v/>
      </c>
      <c r="DH2048" s="64">
        <f>($D2048-$D2049)*100</f>
        <v/>
      </c>
      <c r="DI2048" s="64">
        <f>($E2048-$E2049)*100</f>
        <v/>
      </c>
      <c r="DJ2048" s="64">
        <f>($H2048-$H2049)*100</f>
        <v/>
      </c>
      <c r="DK2048" s="65">
        <f>IFERROR($J2048/$J2049-1,"")</f>
        <v/>
      </c>
      <c r="DL2048" s="64">
        <f>$L2048-$L2049</f>
        <v/>
      </c>
      <c r="DM2048" s="64">
        <f>$K2048-$K2049</f>
        <v/>
      </c>
      <c r="DN2048" s="65">
        <f>IFERROR($N2048/$N2049-1,"")</f>
        <v/>
      </c>
      <c r="DO2048" s="65">
        <f>IFERROR($M2048/$M2049-1,"")</f>
        <v/>
      </c>
      <c r="DP2048" s="65">
        <f>IFERROR($AZ2048/$AZ2049-1,"")</f>
        <v/>
      </c>
      <c r="DQ2048" s="65">
        <f>IFERROR($BA2048/$BA2049-1,"")</f>
        <v/>
      </c>
      <c r="DR2048" s="64">
        <f>$O2048-$O2049</f>
        <v/>
      </c>
      <c r="DS2048" s="64">
        <f>$P2048-$P2049</f>
        <v/>
      </c>
      <c r="DT2048" s="64">
        <f>$Q2048-$Q2049</f>
        <v/>
      </c>
      <c r="DU2048" s="64">
        <f>$S2048-$S2049</f>
        <v/>
      </c>
      <c r="DV2048" s="65">
        <f>IFERROR(AVERAGE($AA2049/$AA2048-1,$AB2049/$AB2048-1,$AC2049/$AC2048-1,$AD2049/$AD2048-1,$AE2049/$AE2048-1,$AG2049/$AG2048-1,$AH2049/$AH2048-1,$AI2049/$AI2048-1,$AJ2049/$AJ2048-1,$AL2049/$AL2048-1,$AM2049/$AM2048-1,$AR2049/$AR2048-1,$AS2049/$AS2048-1,$AT2049/$AT2048-1,$AU2049/$AU2048-1,$AV2049/$AV2048-1,$AW2049/$AW2048-1,$AX2049/$AX2048-1,$AY2049/$AY2048-1),"")</f>
        <v/>
      </c>
      <c r="DW2048" s="66">
        <f>AVERAGE($CB2048,$CC2048,$CD2048,$CE2048,$CF2048,$CG2048,$CH2048,$CI2048,$CJ2048,$CL2048,$CM2048,$CN2048,$CO2048,$CP2048,$CQ2048,$CR2048,$CS2048,$CT2048)</f>
        <v/>
      </c>
      <c r="DX2048" s="66">
        <f>AVERAGE($CB2048,$CC2048,$CM2048,$CE2048,$CP2048)</f>
        <v/>
      </c>
      <c r="DY2048" s="64">
        <f>($DW2048-$DW2049)*100</f>
        <v/>
      </c>
      <c r="DZ2048" s="64">
        <f>($DX2048-$DX2049)*100</f>
        <v/>
      </c>
      <c r="EA2048" s="64">
        <f>($DW2048-$D2048)*100</f>
        <v/>
      </c>
      <c r="EB2048" s="64">
        <f>$Q2048-$O2048</f>
        <v/>
      </c>
      <c r="EC2048" s="67">
        <f>IFERROR($Q2048/$P2048,"")</f>
        <v/>
      </c>
    </row>
    <row r="2049">
      <c r="DG2049" s="64">
        <f>($B2049-$B2050)*100</f>
        <v/>
      </c>
      <c r="DH2049" s="64">
        <f>($D2049-$D2050)*100</f>
        <v/>
      </c>
      <c r="DI2049" s="64">
        <f>($E2049-$E2050)*100</f>
        <v/>
      </c>
      <c r="DJ2049" s="64">
        <f>($H2049-$H2050)*100</f>
        <v/>
      </c>
      <c r="DK2049" s="65">
        <f>IFERROR($J2049/$J2050-1,"")</f>
        <v/>
      </c>
      <c r="DL2049" s="64">
        <f>$L2049-$L2050</f>
        <v/>
      </c>
      <c r="DM2049" s="64">
        <f>$K2049-$K2050</f>
        <v/>
      </c>
      <c r="DN2049" s="65">
        <f>IFERROR($N2049/$N2050-1,"")</f>
        <v/>
      </c>
      <c r="DO2049" s="65">
        <f>IFERROR($M2049/$M2050-1,"")</f>
        <v/>
      </c>
      <c r="DP2049" s="65">
        <f>IFERROR($AZ2049/$AZ2050-1,"")</f>
        <v/>
      </c>
      <c r="DQ2049" s="65">
        <f>IFERROR($BA2049/$BA2050-1,"")</f>
        <v/>
      </c>
      <c r="DR2049" s="64">
        <f>$O2049-$O2050</f>
        <v/>
      </c>
      <c r="DS2049" s="64">
        <f>$P2049-$P2050</f>
        <v/>
      </c>
      <c r="DT2049" s="64">
        <f>$Q2049-$Q2050</f>
        <v/>
      </c>
      <c r="DU2049" s="64">
        <f>$S2049-$S2050</f>
        <v/>
      </c>
      <c r="DV2049" s="65">
        <f>IFERROR(AVERAGE($AA2050/$AA2049-1,$AB2050/$AB2049-1,$AC2050/$AC2049-1,$AD2050/$AD2049-1,$AE2050/$AE2049-1,$AG2050/$AG2049-1,$AH2050/$AH2049-1,$AI2050/$AI2049-1,$AJ2050/$AJ2049-1,$AL2050/$AL2049-1,$AM2050/$AM2049-1,$AR2050/$AR2049-1,$AS2050/$AS2049-1,$AT2050/$AT2049-1,$AU2050/$AU2049-1,$AV2050/$AV2049-1,$AW2050/$AW2049-1,$AX2050/$AX2049-1,$AY2050/$AY2049-1),"")</f>
        <v/>
      </c>
      <c r="DW2049" s="66">
        <f>AVERAGE($CB2049,$CC2049,$CD2049,$CE2049,$CF2049,$CG2049,$CH2049,$CI2049,$CJ2049,$CL2049,$CM2049,$CN2049,$CO2049,$CP2049,$CQ2049,$CR2049,$CS2049,$CT2049)</f>
        <v/>
      </c>
      <c r="DX2049" s="66">
        <f>AVERAGE($CB2049,$CC2049,$CM2049,$CE2049,$CP2049)</f>
        <v/>
      </c>
      <c r="DY2049" s="64">
        <f>($DW2049-$DW2050)*100</f>
        <v/>
      </c>
      <c r="DZ2049" s="64">
        <f>($DX2049-$DX2050)*100</f>
        <v/>
      </c>
      <c r="EA2049" s="64">
        <f>($DW2049-$D2049)*100</f>
        <v/>
      </c>
      <c r="EB2049" s="64">
        <f>$Q2049-$O2049</f>
        <v/>
      </c>
      <c r="EC2049" s="67">
        <f>IFERROR($Q2049/$P2049,"")</f>
        <v/>
      </c>
    </row>
    <row r="2050">
      <c r="DG2050" s="64">
        <f>($B2050-$B2051)*100</f>
        <v/>
      </c>
      <c r="DH2050" s="64">
        <f>($D2050-$D2051)*100</f>
        <v/>
      </c>
      <c r="DI2050" s="64">
        <f>($E2050-$E2051)*100</f>
        <v/>
      </c>
      <c r="DJ2050" s="64">
        <f>($H2050-$H2051)*100</f>
        <v/>
      </c>
      <c r="DK2050" s="65">
        <f>IFERROR($J2050/$J2051-1,"")</f>
        <v/>
      </c>
      <c r="DL2050" s="64">
        <f>$L2050-$L2051</f>
        <v/>
      </c>
      <c r="DM2050" s="64">
        <f>$K2050-$K2051</f>
        <v/>
      </c>
      <c r="DN2050" s="65">
        <f>IFERROR($N2050/$N2051-1,"")</f>
        <v/>
      </c>
      <c r="DO2050" s="65">
        <f>IFERROR($M2050/$M2051-1,"")</f>
        <v/>
      </c>
      <c r="DP2050" s="65">
        <f>IFERROR($AZ2050/$AZ2051-1,"")</f>
        <v/>
      </c>
      <c r="DQ2050" s="65">
        <f>IFERROR($BA2050/$BA2051-1,"")</f>
        <v/>
      </c>
      <c r="DR2050" s="64">
        <f>$O2050-$O2051</f>
        <v/>
      </c>
      <c r="DS2050" s="64">
        <f>$P2050-$P2051</f>
        <v/>
      </c>
      <c r="DT2050" s="64">
        <f>$Q2050-$Q2051</f>
        <v/>
      </c>
      <c r="DU2050" s="64">
        <f>$S2050-$S2051</f>
        <v/>
      </c>
      <c r="DV2050" s="65">
        <f>IFERROR(AVERAGE($AA2051/$AA2050-1,$AB2051/$AB2050-1,$AC2051/$AC2050-1,$AD2051/$AD2050-1,$AE2051/$AE2050-1,$AG2051/$AG2050-1,$AH2051/$AH2050-1,$AI2051/$AI2050-1,$AJ2051/$AJ2050-1,$AL2051/$AL2050-1,$AM2051/$AM2050-1,$AR2051/$AR2050-1,$AS2051/$AS2050-1,$AT2051/$AT2050-1,$AU2051/$AU2050-1,$AV2051/$AV2050-1,$AW2051/$AW2050-1,$AX2051/$AX2050-1,$AY2051/$AY2050-1),"")</f>
        <v/>
      </c>
      <c r="DW2050" s="66">
        <f>AVERAGE($CB2050,$CC2050,$CD2050,$CE2050,$CF2050,$CG2050,$CH2050,$CI2050,$CJ2050,$CL2050,$CM2050,$CN2050,$CO2050,$CP2050,$CQ2050,$CR2050,$CS2050,$CT2050)</f>
        <v/>
      </c>
      <c r="DX2050" s="66">
        <f>AVERAGE($CB2050,$CC2050,$CM2050,$CE2050,$CP2050)</f>
        <v/>
      </c>
      <c r="DY2050" s="64">
        <f>($DW2050-$DW2051)*100</f>
        <v/>
      </c>
      <c r="DZ2050" s="64">
        <f>($DX2050-$DX2051)*100</f>
        <v/>
      </c>
      <c r="EA2050" s="64">
        <f>($DW2050-$D2050)*100</f>
        <v/>
      </c>
      <c r="EB2050" s="64">
        <f>$Q2050-$O2050</f>
        <v/>
      </c>
      <c r="EC2050" s="67">
        <f>IFERROR($Q2050/$P2050,"")</f>
        <v/>
      </c>
    </row>
    <row r="2051">
      <c r="DG2051" s="64">
        <f>($B2051-$B2052)*100</f>
        <v/>
      </c>
      <c r="DH2051" s="64">
        <f>($D2051-$D2052)*100</f>
        <v/>
      </c>
      <c r="DI2051" s="64">
        <f>($E2051-$E2052)*100</f>
        <v/>
      </c>
      <c r="DJ2051" s="64">
        <f>($H2051-$H2052)*100</f>
        <v/>
      </c>
      <c r="DK2051" s="65">
        <f>IFERROR($J2051/$J2052-1,"")</f>
        <v/>
      </c>
      <c r="DL2051" s="64">
        <f>$L2051-$L2052</f>
        <v/>
      </c>
      <c r="DM2051" s="64">
        <f>$K2051-$K2052</f>
        <v/>
      </c>
      <c r="DN2051" s="65">
        <f>IFERROR($N2051/$N2052-1,"")</f>
        <v/>
      </c>
      <c r="DO2051" s="65">
        <f>IFERROR($M2051/$M2052-1,"")</f>
        <v/>
      </c>
      <c r="DP2051" s="65">
        <f>IFERROR($AZ2051/$AZ2052-1,"")</f>
        <v/>
      </c>
      <c r="DQ2051" s="65">
        <f>IFERROR($BA2051/$BA2052-1,"")</f>
        <v/>
      </c>
      <c r="DR2051" s="64">
        <f>$O2051-$O2052</f>
        <v/>
      </c>
      <c r="DS2051" s="64">
        <f>$P2051-$P2052</f>
        <v/>
      </c>
      <c r="DT2051" s="64">
        <f>$Q2051-$Q2052</f>
        <v/>
      </c>
      <c r="DU2051" s="64">
        <f>$S2051-$S2052</f>
        <v/>
      </c>
      <c r="DV2051" s="65">
        <f>IFERROR(AVERAGE($AA2052/$AA2051-1,$AB2052/$AB2051-1,$AC2052/$AC2051-1,$AD2052/$AD2051-1,$AE2052/$AE2051-1,$AG2052/$AG2051-1,$AH2052/$AH2051-1,$AI2052/$AI2051-1,$AJ2052/$AJ2051-1,$AL2052/$AL2051-1,$AM2052/$AM2051-1,$AR2052/$AR2051-1,$AS2052/$AS2051-1,$AT2052/$AT2051-1,$AU2052/$AU2051-1,$AV2052/$AV2051-1,$AW2052/$AW2051-1,$AX2052/$AX2051-1,$AY2052/$AY2051-1),"")</f>
        <v/>
      </c>
      <c r="DW2051" s="66">
        <f>AVERAGE($CB2051,$CC2051,$CD2051,$CE2051,$CF2051,$CG2051,$CH2051,$CI2051,$CJ2051,$CL2051,$CM2051,$CN2051,$CO2051,$CP2051,$CQ2051,$CR2051,$CS2051,$CT2051)</f>
        <v/>
      </c>
      <c r="DX2051" s="66">
        <f>AVERAGE($CB2051,$CC2051,$CM2051,$CE2051,$CP2051)</f>
        <v/>
      </c>
      <c r="DY2051" s="64">
        <f>($DW2051-$DW2052)*100</f>
        <v/>
      </c>
      <c r="DZ2051" s="64">
        <f>($DX2051-$DX2052)*100</f>
        <v/>
      </c>
      <c r="EA2051" s="64">
        <f>($DW2051-$D2051)*100</f>
        <v/>
      </c>
      <c r="EB2051" s="64">
        <f>$Q2051-$O2051</f>
        <v/>
      </c>
      <c r="EC2051" s="67">
        <f>IFERROR($Q2051/$P2051,"")</f>
        <v/>
      </c>
    </row>
    <row r="2052">
      <c r="DG2052" s="64">
        <f>($B2052-$B2053)*100</f>
        <v/>
      </c>
      <c r="DH2052" s="64">
        <f>($D2052-$D2053)*100</f>
        <v/>
      </c>
      <c r="DI2052" s="64">
        <f>($E2052-$E2053)*100</f>
        <v/>
      </c>
      <c r="DJ2052" s="64">
        <f>($H2052-$H2053)*100</f>
        <v/>
      </c>
      <c r="DK2052" s="65">
        <f>IFERROR($J2052/$J2053-1,"")</f>
        <v/>
      </c>
      <c r="DL2052" s="64">
        <f>$L2052-$L2053</f>
        <v/>
      </c>
      <c r="DM2052" s="64">
        <f>$K2052-$K2053</f>
        <v/>
      </c>
      <c r="DN2052" s="65">
        <f>IFERROR($N2052/$N2053-1,"")</f>
        <v/>
      </c>
      <c r="DO2052" s="65">
        <f>IFERROR($M2052/$M2053-1,"")</f>
        <v/>
      </c>
      <c r="DP2052" s="65">
        <f>IFERROR($AZ2052/$AZ2053-1,"")</f>
        <v/>
      </c>
      <c r="DQ2052" s="65">
        <f>IFERROR($BA2052/$BA2053-1,"")</f>
        <v/>
      </c>
      <c r="DR2052" s="64">
        <f>$O2052-$O2053</f>
        <v/>
      </c>
      <c r="DS2052" s="64">
        <f>$P2052-$P2053</f>
        <v/>
      </c>
      <c r="DT2052" s="64">
        <f>$Q2052-$Q2053</f>
        <v/>
      </c>
      <c r="DU2052" s="64">
        <f>$S2052-$S2053</f>
        <v/>
      </c>
      <c r="DV2052" s="65">
        <f>IFERROR(AVERAGE($AA2053/$AA2052-1,$AB2053/$AB2052-1,$AC2053/$AC2052-1,$AD2053/$AD2052-1,$AE2053/$AE2052-1,$AG2053/$AG2052-1,$AH2053/$AH2052-1,$AI2053/$AI2052-1,$AJ2053/$AJ2052-1,$AL2053/$AL2052-1,$AM2053/$AM2052-1,$AR2053/$AR2052-1,$AS2053/$AS2052-1,$AT2053/$AT2052-1,$AU2053/$AU2052-1,$AV2053/$AV2052-1,$AW2053/$AW2052-1,$AX2053/$AX2052-1,$AY2053/$AY2052-1),"")</f>
        <v/>
      </c>
      <c r="DW2052" s="66">
        <f>AVERAGE($CB2052,$CC2052,$CD2052,$CE2052,$CF2052,$CG2052,$CH2052,$CI2052,$CJ2052,$CL2052,$CM2052,$CN2052,$CO2052,$CP2052,$CQ2052,$CR2052,$CS2052,$CT2052)</f>
        <v/>
      </c>
      <c r="DX2052" s="66">
        <f>AVERAGE($CB2052,$CC2052,$CM2052,$CE2052,$CP2052)</f>
        <v/>
      </c>
      <c r="DY2052" s="64">
        <f>($DW2052-$DW2053)*100</f>
        <v/>
      </c>
      <c r="DZ2052" s="64">
        <f>($DX2052-$DX2053)*100</f>
        <v/>
      </c>
      <c r="EA2052" s="64">
        <f>($DW2052-$D2052)*100</f>
        <v/>
      </c>
      <c r="EB2052" s="64">
        <f>$Q2052-$O2052</f>
        <v/>
      </c>
      <c r="EC2052" s="67">
        <f>IFERROR($Q2052/$P2052,"")</f>
        <v/>
      </c>
    </row>
    <row r="2053">
      <c r="DG2053" s="64">
        <f>($B2053-$B2054)*100</f>
        <v/>
      </c>
      <c r="DH2053" s="64">
        <f>($D2053-$D2054)*100</f>
        <v/>
      </c>
      <c r="DI2053" s="64">
        <f>($E2053-$E2054)*100</f>
        <v/>
      </c>
      <c r="DJ2053" s="64">
        <f>($H2053-$H2054)*100</f>
        <v/>
      </c>
      <c r="DK2053" s="65">
        <f>IFERROR($J2053/$J2054-1,"")</f>
        <v/>
      </c>
      <c r="DL2053" s="64">
        <f>$L2053-$L2054</f>
        <v/>
      </c>
      <c r="DM2053" s="64">
        <f>$K2053-$K2054</f>
        <v/>
      </c>
      <c r="DN2053" s="65">
        <f>IFERROR($N2053/$N2054-1,"")</f>
        <v/>
      </c>
      <c r="DO2053" s="65">
        <f>IFERROR($M2053/$M2054-1,"")</f>
        <v/>
      </c>
      <c r="DP2053" s="65">
        <f>IFERROR($AZ2053/$AZ2054-1,"")</f>
        <v/>
      </c>
      <c r="DQ2053" s="65">
        <f>IFERROR($BA2053/$BA2054-1,"")</f>
        <v/>
      </c>
      <c r="DR2053" s="64">
        <f>$O2053-$O2054</f>
        <v/>
      </c>
      <c r="DS2053" s="64">
        <f>$P2053-$P2054</f>
        <v/>
      </c>
      <c r="DT2053" s="64">
        <f>$Q2053-$Q2054</f>
        <v/>
      </c>
      <c r="DU2053" s="64">
        <f>$S2053-$S2054</f>
        <v/>
      </c>
      <c r="DV2053" s="65">
        <f>IFERROR(AVERAGE($AA2054/$AA2053-1,$AB2054/$AB2053-1,$AC2054/$AC2053-1,$AD2054/$AD2053-1,$AE2054/$AE2053-1,$AG2054/$AG2053-1,$AH2054/$AH2053-1,$AI2054/$AI2053-1,$AJ2054/$AJ2053-1,$AL2054/$AL2053-1,$AM2054/$AM2053-1,$AR2054/$AR2053-1,$AS2054/$AS2053-1,$AT2054/$AT2053-1,$AU2054/$AU2053-1,$AV2054/$AV2053-1,$AW2054/$AW2053-1,$AX2054/$AX2053-1,$AY2054/$AY2053-1),"")</f>
        <v/>
      </c>
      <c r="DW2053" s="66">
        <f>AVERAGE($CB2053,$CC2053,$CD2053,$CE2053,$CF2053,$CG2053,$CH2053,$CI2053,$CJ2053,$CL2053,$CM2053,$CN2053,$CO2053,$CP2053,$CQ2053,$CR2053,$CS2053,$CT2053)</f>
        <v/>
      </c>
      <c r="DX2053" s="66">
        <f>AVERAGE($CB2053,$CC2053,$CM2053,$CE2053,$CP2053)</f>
        <v/>
      </c>
      <c r="DY2053" s="64">
        <f>($DW2053-$DW2054)*100</f>
        <v/>
      </c>
      <c r="DZ2053" s="64">
        <f>($DX2053-$DX2054)*100</f>
        <v/>
      </c>
      <c r="EA2053" s="64">
        <f>($DW2053-$D2053)*100</f>
        <v/>
      </c>
      <c r="EB2053" s="64">
        <f>$Q2053-$O2053</f>
        <v/>
      </c>
      <c r="EC2053" s="67">
        <f>IFERROR($Q2053/$P2053,"")</f>
        <v/>
      </c>
    </row>
    <row r="2054">
      <c r="DG2054" s="64">
        <f>($B2054-$B2055)*100</f>
        <v/>
      </c>
      <c r="DH2054" s="64">
        <f>($D2054-$D2055)*100</f>
        <v/>
      </c>
      <c r="DI2054" s="64">
        <f>($E2054-$E2055)*100</f>
        <v/>
      </c>
      <c r="DJ2054" s="64">
        <f>($H2054-$H2055)*100</f>
        <v/>
      </c>
      <c r="DK2054" s="65">
        <f>IFERROR($J2054/$J2055-1,"")</f>
        <v/>
      </c>
      <c r="DL2054" s="64">
        <f>$L2054-$L2055</f>
        <v/>
      </c>
      <c r="DM2054" s="64">
        <f>$K2054-$K2055</f>
        <v/>
      </c>
      <c r="DN2054" s="65">
        <f>IFERROR($N2054/$N2055-1,"")</f>
        <v/>
      </c>
      <c r="DO2054" s="65">
        <f>IFERROR($M2054/$M2055-1,"")</f>
        <v/>
      </c>
      <c r="DP2054" s="65">
        <f>IFERROR($AZ2054/$AZ2055-1,"")</f>
        <v/>
      </c>
      <c r="DQ2054" s="65">
        <f>IFERROR($BA2054/$BA2055-1,"")</f>
        <v/>
      </c>
      <c r="DR2054" s="64">
        <f>$O2054-$O2055</f>
        <v/>
      </c>
      <c r="DS2054" s="64">
        <f>$P2054-$P2055</f>
        <v/>
      </c>
      <c r="DT2054" s="64">
        <f>$Q2054-$Q2055</f>
        <v/>
      </c>
      <c r="DU2054" s="64">
        <f>$S2054-$S2055</f>
        <v/>
      </c>
      <c r="DV2054" s="65">
        <f>IFERROR(AVERAGE($AA2055/$AA2054-1,$AB2055/$AB2054-1,$AC2055/$AC2054-1,$AD2055/$AD2054-1,$AE2055/$AE2054-1,$AG2055/$AG2054-1,$AH2055/$AH2054-1,$AI2055/$AI2054-1,$AJ2055/$AJ2054-1,$AL2055/$AL2054-1,$AM2055/$AM2054-1,$AR2055/$AR2054-1,$AS2055/$AS2054-1,$AT2055/$AT2054-1,$AU2055/$AU2054-1,$AV2055/$AV2054-1,$AW2055/$AW2054-1,$AX2055/$AX2054-1,$AY2055/$AY2054-1),"")</f>
        <v/>
      </c>
      <c r="DW2054" s="66">
        <f>AVERAGE($CB2054,$CC2054,$CD2054,$CE2054,$CF2054,$CG2054,$CH2054,$CI2054,$CJ2054,$CL2054,$CM2054,$CN2054,$CO2054,$CP2054,$CQ2054,$CR2054,$CS2054,$CT2054)</f>
        <v/>
      </c>
      <c r="DX2054" s="66">
        <f>AVERAGE($CB2054,$CC2054,$CM2054,$CE2054,$CP2054)</f>
        <v/>
      </c>
      <c r="DY2054" s="64">
        <f>($DW2054-$DW2055)*100</f>
        <v/>
      </c>
      <c r="DZ2054" s="64">
        <f>($DX2054-$DX2055)*100</f>
        <v/>
      </c>
      <c r="EA2054" s="64">
        <f>($DW2054-$D2054)*100</f>
        <v/>
      </c>
      <c r="EB2054" s="64">
        <f>$Q2054-$O2054</f>
        <v/>
      </c>
      <c r="EC2054" s="67">
        <f>IFERROR($Q2054/$P2054,"")</f>
        <v/>
      </c>
    </row>
    <row r="2055">
      <c r="DG2055" s="64">
        <f>($B2055-$B2056)*100</f>
        <v/>
      </c>
      <c r="DH2055" s="64">
        <f>($D2055-$D2056)*100</f>
        <v/>
      </c>
      <c r="DI2055" s="64">
        <f>($E2055-$E2056)*100</f>
        <v/>
      </c>
      <c r="DJ2055" s="64">
        <f>($H2055-$H2056)*100</f>
        <v/>
      </c>
      <c r="DK2055" s="65">
        <f>IFERROR($J2055/$J2056-1,"")</f>
        <v/>
      </c>
      <c r="DL2055" s="64">
        <f>$L2055-$L2056</f>
        <v/>
      </c>
      <c r="DM2055" s="64">
        <f>$K2055-$K2056</f>
        <v/>
      </c>
      <c r="DN2055" s="65">
        <f>IFERROR($N2055/$N2056-1,"")</f>
        <v/>
      </c>
      <c r="DO2055" s="65">
        <f>IFERROR($M2055/$M2056-1,"")</f>
        <v/>
      </c>
      <c r="DP2055" s="65">
        <f>IFERROR($AZ2055/$AZ2056-1,"")</f>
        <v/>
      </c>
      <c r="DQ2055" s="65">
        <f>IFERROR($BA2055/$BA2056-1,"")</f>
        <v/>
      </c>
      <c r="DR2055" s="64">
        <f>$O2055-$O2056</f>
        <v/>
      </c>
      <c r="DS2055" s="64">
        <f>$P2055-$P2056</f>
        <v/>
      </c>
      <c r="DT2055" s="64">
        <f>$Q2055-$Q2056</f>
        <v/>
      </c>
      <c r="DU2055" s="64">
        <f>$S2055-$S2056</f>
        <v/>
      </c>
      <c r="DV2055" s="65">
        <f>IFERROR(AVERAGE($AA2056/$AA2055-1,$AB2056/$AB2055-1,$AC2056/$AC2055-1,$AD2056/$AD2055-1,$AE2056/$AE2055-1,$AG2056/$AG2055-1,$AH2056/$AH2055-1,$AI2056/$AI2055-1,$AJ2056/$AJ2055-1,$AL2056/$AL2055-1,$AM2056/$AM2055-1,$AR2056/$AR2055-1,$AS2056/$AS2055-1,$AT2056/$AT2055-1,$AU2056/$AU2055-1,$AV2056/$AV2055-1,$AW2056/$AW2055-1,$AX2056/$AX2055-1,$AY2056/$AY2055-1),"")</f>
        <v/>
      </c>
      <c r="DW2055" s="66">
        <f>AVERAGE($CB2055,$CC2055,$CD2055,$CE2055,$CF2055,$CG2055,$CH2055,$CI2055,$CJ2055,$CL2055,$CM2055,$CN2055,$CO2055,$CP2055,$CQ2055,$CR2055,$CS2055,$CT2055)</f>
        <v/>
      </c>
      <c r="DX2055" s="66">
        <f>AVERAGE($CB2055,$CC2055,$CM2055,$CE2055,$CP2055)</f>
        <v/>
      </c>
      <c r="DY2055" s="64">
        <f>($DW2055-$DW2056)*100</f>
        <v/>
      </c>
      <c r="DZ2055" s="64">
        <f>($DX2055-$DX2056)*100</f>
        <v/>
      </c>
      <c r="EA2055" s="64">
        <f>($DW2055-$D2055)*100</f>
        <v/>
      </c>
      <c r="EB2055" s="64">
        <f>$Q2055-$O2055</f>
        <v/>
      </c>
      <c r="EC2055" s="67">
        <f>IFERROR($Q2055/$P2055,"")</f>
        <v/>
      </c>
    </row>
    <row r="2056">
      <c r="DG2056" s="64">
        <f>($B2056-$B2057)*100</f>
        <v/>
      </c>
      <c r="DH2056" s="64">
        <f>($D2056-$D2057)*100</f>
        <v/>
      </c>
      <c r="DI2056" s="64">
        <f>($E2056-$E2057)*100</f>
        <v/>
      </c>
      <c r="DJ2056" s="64">
        <f>($H2056-$H2057)*100</f>
        <v/>
      </c>
      <c r="DK2056" s="65">
        <f>IFERROR($J2056/$J2057-1,"")</f>
        <v/>
      </c>
      <c r="DL2056" s="64">
        <f>$L2056-$L2057</f>
        <v/>
      </c>
      <c r="DM2056" s="64">
        <f>$K2056-$K2057</f>
        <v/>
      </c>
      <c r="DN2056" s="65">
        <f>IFERROR($N2056/$N2057-1,"")</f>
        <v/>
      </c>
      <c r="DO2056" s="65">
        <f>IFERROR($M2056/$M2057-1,"")</f>
        <v/>
      </c>
      <c r="DP2056" s="65">
        <f>IFERROR($AZ2056/$AZ2057-1,"")</f>
        <v/>
      </c>
      <c r="DQ2056" s="65">
        <f>IFERROR($BA2056/$BA2057-1,"")</f>
        <v/>
      </c>
      <c r="DR2056" s="64">
        <f>$O2056-$O2057</f>
        <v/>
      </c>
      <c r="DS2056" s="64">
        <f>$P2056-$P2057</f>
        <v/>
      </c>
      <c r="DT2056" s="64">
        <f>$Q2056-$Q2057</f>
        <v/>
      </c>
      <c r="DU2056" s="64">
        <f>$S2056-$S2057</f>
        <v/>
      </c>
      <c r="DV2056" s="65">
        <f>IFERROR(AVERAGE($AA2057/$AA2056-1,$AB2057/$AB2056-1,$AC2057/$AC2056-1,$AD2057/$AD2056-1,$AE2057/$AE2056-1,$AG2057/$AG2056-1,$AH2057/$AH2056-1,$AI2057/$AI2056-1,$AJ2057/$AJ2056-1,$AL2057/$AL2056-1,$AM2057/$AM2056-1,$AR2057/$AR2056-1,$AS2057/$AS2056-1,$AT2057/$AT2056-1,$AU2057/$AU2056-1,$AV2057/$AV2056-1,$AW2057/$AW2056-1,$AX2057/$AX2056-1,$AY2057/$AY2056-1),"")</f>
        <v/>
      </c>
      <c r="DW2056" s="66">
        <f>AVERAGE($CB2056,$CC2056,$CD2056,$CE2056,$CF2056,$CG2056,$CH2056,$CI2056,$CJ2056,$CL2056,$CM2056,$CN2056,$CO2056,$CP2056,$CQ2056,$CR2056,$CS2056,$CT2056)</f>
        <v/>
      </c>
      <c r="DX2056" s="66">
        <f>AVERAGE($CB2056,$CC2056,$CM2056,$CE2056,$CP2056)</f>
        <v/>
      </c>
      <c r="DY2056" s="64">
        <f>($DW2056-$DW2057)*100</f>
        <v/>
      </c>
      <c r="DZ2056" s="64">
        <f>($DX2056-$DX2057)*100</f>
        <v/>
      </c>
      <c r="EA2056" s="64">
        <f>($DW2056-$D2056)*100</f>
        <v/>
      </c>
      <c r="EB2056" s="64">
        <f>$Q2056-$O2056</f>
        <v/>
      </c>
      <c r="EC2056" s="67">
        <f>IFERROR($Q2056/$P2056,"")</f>
        <v/>
      </c>
    </row>
    <row r="2057">
      <c r="DG2057" s="64">
        <f>($B2057-$B2058)*100</f>
        <v/>
      </c>
      <c r="DH2057" s="64">
        <f>($D2057-$D2058)*100</f>
        <v/>
      </c>
      <c r="DI2057" s="64">
        <f>($E2057-$E2058)*100</f>
        <v/>
      </c>
      <c r="DJ2057" s="64">
        <f>($H2057-$H2058)*100</f>
        <v/>
      </c>
      <c r="DK2057" s="65">
        <f>IFERROR($J2057/$J2058-1,"")</f>
        <v/>
      </c>
      <c r="DL2057" s="64">
        <f>$L2057-$L2058</f>
        <v/>
      </c>
      <c r="DM2057" s="64">
        <f>$K2057-$K2058</f>
        <v/>
      </c>
      <c r="DN2057" s="65">
        <f>IFERROR($N2057/$N2058-1,"")</f>
        <v/>
      </c>
      <c r="DO2057" s="65">
        <f>IFERROR($M2057/$M2058-1,"")</f>
        <v/>
      </c>
      <c r="DP2057" s="65">
        <f>IFERROR($AZ2057/$AZ2058-1,"")</f>
        <v/>
      </c>
      <c r="DQ2057" s="65">
        <f>IFERROR($BA2057/$BA2058-1,"")</f>
        <v/>
      </c>
      <c r="DR2057" s="64">
        <f>$O2057-$O2058</f>
        <v/>
      </c>
      <c r="DS2057" s="64">
        <f>$P2057-$P2058</f>
        <v/>
      </c>
      <c r="DT2057" s="64">
        <f>$Q2057-$Q2058</f>
        <v/>
      </c>
      <c r="DU2057" s="64">
        <f>$S2057-$S2058</f>
        <v/>
      </c>
      <c r="DV2057" s="65">
        <f>IFERROR(AVERAGE($AA2058/$AA2057-1,$AB2058/$AB2057-1,$AC2058/$AC2057-1,$AD2058/$AD2057-1,$AE2058/$AE2057-1,$AG2058/$AG2057-1,$AH2058/$AH2057-1,$AI2058/$AI2057-1,$AJ2058/$AJ2057-1,$AL2058/$AL2057-1,$AM2058/$AM2057-1,$AR2058/$AR2057-1,$AS2058/$AS2057-1,$AT2058/$AT2057-1,$AU2058/$AU2057-1,$AV2058/$AV2057-1,$AW2058/$AW2057-1,$AX2058/$AX2057-1,$AY2058/$AY2057-1),"")</f>
        <v/>
      </c>
      <c r="DW2057" s="66">
        <f>AVERAGE($CB2057,$CC2057,$CD2057,$CE2057,$CF2057,$CG2057,$CH2057,$CI2057,$CJ2057,$CL2057,$CM2057,$CN2057,$CO2057,$CP2057,$CQ2057,$CR2057,$CS2057,$CT2057)</f>
        <v/>
      </c>
      <c r="DX2057" s="66">
        <f>AVERAGE($CB2057,$CC2057,$CM2057,$CE2057,$CP2057)</f>
        <v/>
      </c>
      <c r="DY2057" s="64">
        <f>($DW2057-$DW2058)*100</f>
        <v/>
      </c>
      <c r="DZ2057" s="64">
        <f>($DX2057-$DX2058)*100</f>
        <v/>
      </c>
      <c r="EA2057" s="64">
        <f>($DW2057-$D2057)*100</f>
        <v/>
      </c>
      <c r="EB2057" s="64">
        <f>$Q2057-$O2057</f>
        <v/>
      </c>
      <c r="EC2057" s="67">
        <f>IFERROR($Q2057/$P2057,"")</f>
        <v/>
      </c>
    </row>
    <row r="2058">
      <c r="DG2058" s="64">
        <f>($B2058-$B2059)*100</f>
        <v/>
      </c>
      <c r="DH2058" s="64">
        <f>($D2058-$D2059)*100</f>
        <v/>
      </c>
      <c r="DI2058" s="64">
        <f>($E2058-$E2059)*100</f>
        <v/>
      </c>
      <c r="DJ2058" s="64">
        <f>($H2058-$H2059)*100</f>
        <v/>
      </c>
      <c r="DK2058" s="65">
        <f>IFERROR($J2058/$J2059-1,"")</f>
        <v/>
      </c>
      <c r="DL2058" s="64">
        <f>$L2058-$L2059</f>
        <v/>
      </c>
      <c r="DM2058" s="64">
        <f>$K2058-$K2059</f>
        <v/>
      </c>
      <c r="DN2058" s="65">
        <f>IFERROR($N2058/$N2059-1,"")</f>
        <v/>
      </c>
      <c r="DO2058" s="65">
        <f>IFERROR($M2058/$M2059-1,"")</f>
        <v/>
      </c>
      <c r="DP2058" s="65">
        <f>IFERROR($AZ2058/$AZ2059-1,"")</f>
        <v/>
      </c>
      <c r="DQ2058" s="65">
        <f>IFERROR($BA2058/$BA2059-1,"")</f>
        <v/>
      </c>
      <c r="DR2058" s="64">
        <f>$O2058-$O2059</f>
        <v/>
      </c>
      <c r="DS2058" s="64">
        <f>$P2058-$P2059</f>
        <v/>
      </c>
      <c r="DT2058" s="64">
        <f>$Q2058-$Q2059</f>
        <v/>
      </c>
      <c r="DU2058" s="64">
        <f>$S2058-$S2059</f>
        <v/>
      </c>
      <c r="DV2058" s="65">
        <f>IFERROR(AVERAGE($AA2059/$AA2058-1,$AB2059/$AB2058-1,$AC2059/$AC2058-1,$AD2059/$AD2058-1,$AE2059/$AE2058-1,$AG2059/$AG2058-1,$AH2059/$AH2058-1,$AI2059/$AI2058-1,$AJ2059/$AJ2058-1,$AL2059/$AL2058-1,$AM2059/$AM2058-1,$AR2059/$AR2058-1,$AS2059/$AS2058-1,$AT2059/$AT2058-1,$AU2059/$AU2058-1,$AV2059/$AV2058-1,$AW2059/$AW2058-1,$AX2059/$AX2058-1,$AY2059/$AY2058-1),"")</f>
        <v/>
      </c>
      <c r="DW2058" s="66">
        <f>AVERAGE($CB2058,$CC2058,$CD2058,$CE2058,$CF2058,$CG2058,$CH2058,$CI2058,$CJ2058,$CL2058,$CM2058,$CN2058,$CO2058,$CP2058,$CQ2058,$CR2058,$CS2058,$CT2058)</f>
        <v/>
      </c>
      <c r="DX2058" s="66">
        <f>AVERAGE($CB2058,$CC2058,$CM2058,$CE2058,$CP2058)</f>
        <v/>
      </c>
      <c r="DY2058" s="64">
        <f>($DW2058-$DW2059)*100</f>
        <v/>
      </c>
      <c r="DZ2058" s="64">
        <f>($DX2058-$DX2059)*100</f>
        <v/>
      </c>
      <c r="EA2058" s="64">
        <f>($DW2058-$D2058)*100</f>
        <v/>
      </c>
      <c r="EB2058" s="64">
        <f>$Q2058-$O2058</f>
        <v/>
      </c>
      <c r="EC2058" s="67">
        <f>IFERROR($Q2058/$P2058,"")</f>
        <v/>
      </c>
    </row>
    <row r="2059">
      <c r="DG2059" s="64">
        <f>($B2059-$B2060)*100</f>
        <v/>
      </c>
      <c r="DH2059" s="64">
        <f>($D2059-$D2060)*100</f>
        <v/>
      </c>
      <c r="DI2059" s="64">
        <f>($E2059-$E2060)*100</f>
        <v/>
      </c>
      <c r="DJ2059" s="64">
        <f>($H2059-$H2060)*100</f>
        <v/>
      </c>
      <c r="DK2059" s="65">
        <f>IFERROR($J2059/$J2060-1,"")</f>
        <v/>
      </c>
      <c r="DL2059" s="64">
        <f>$L2059-$L2060</f>
        <v/>
      </c>
      <c r="DM2059" s="64">
        <f>$K2059-$K2060</f>
        <v/>
      </c>
      <c r="DN2059" s="65">
        <f>IFERROR($N2059/$N2060-1,"")</f>
        <v/>
      </c>
      <c r="DO2059" s="65">
        <f>IFERROR($M2059/$M2060-1,"")</f>
        <v/>
      </c>
      <c r="DP2059" s="65">
        <f>IFERROR($AZ2059/$AZ2060-1,"")</f>
        <v/>
      </c>
      <c r="DQ2059" s="65">
        <f>IFERROR($BA2059/$BA2060-1,"")</f>
        <v/>
      </c>
      <c r="DR2059" s="64">
        <f>$O2059-$O2060</f>
        <v/>
      </c>
      <c r="DS2059" s="64">
        <f>$P2059-$P2060</f>
        <v/>
      </c>
      <c r="DT2059" s="64">
        <f>$Q2059-$Q2060</f>
        <v/>
      </c>
      <c r="DU2059" s="64">
        <f>$S2059-$S2060</f>
        <v/>
      </c>
      <c r="DV2059" s="65">
        <f>IFERROR(AVERAGE($AA2060/$AA2059-1,$AB2060/$AB2059-1,$AC2060/$AC2059-1,$AD2060/$AD2059-1,$AE2060/$AE2059-1,$AG2060/$AG2059-1,$AH2060/$AH2059-1,$AI2060/$AI2059-1,$AJ2060/$AJ2059-1,$AL2060/$AL2059-1,$AM2060/$AM2059-1,$AR2060/$AR2059-1,$AS2060/$AS2059-1,$AT2060/$AT2059-1,$AU2060/$AU2059-1,$AV2060/$AV2059-1,$AW2060/$AW2059-1,$AX2060/$AX2059-1,$AY2060/$AY2059-1),"")</f>
        <v/>
      </c>
      <c r="DW2059" s="66">
        <f>AVERAGE($CB2059,$CC2059,$CD2059,$CE2059,$CF2059,$CG2059,$CH2059,$CI2059,$CJ2059,$CL2059,$CM2059,$CN2059,$CO2059,$CP2059,$CQ2059,$CR2059,$CS2059,$CT2059)</f>
        <v/>
      </c>
      <c r="DX2059" s="66">
        <f>AVERAGE($CB2059,$CC2059,$CM2059,$CE2059,$CP2059)</f>
        <v/>
      </c>
      <c r="DY2059" s="64">
        <f>($DW2059-$DW2060)*100</f>
        <v/>
      </c>
      <c r="DZ2059" s="64">
        <f>($DX2059-$DX2060)*100</f>
        <v/>
      </c>
      <c r="EA2059" s="64">
        <f>($DW2059-$D2059)*100</f>
        <v/>
      </c>
      <c r="EB2059" s="64">
        <f>$Q2059-$O2059</f>
        <v/>
      </c>
      <c r="EC2059" s="67">
        <f>IFERROR($Q2059/$P2059,"")</f>
        <v/>
      </c>
    </row>
    <row r="2060">
      <c r="DG2060" s="64">
        <f>($B2060-$B2061)*100</f>
        <v/>
      </c>
      <c r="DH2060" s="64">
        <f>($D2060-$D2061)*100</f>
        <v/>
      </c>
      <c r="DI2060" s="64">
        <f>($E2060-$E2061)*100</f>
        <v/>
      </c>
      <c r="DJ2060" s="64">
        <f>($H2060-$H2061)*100</f>
        <v/>
      </c>
      <c r="DK2060" s="65">
        <f>IFERROR($J2060/$J2061-1,"")</f>
        <v/>
      </c>
      <c r="DL2060" s="64">
        <f>$L2060-$L2061</f>
        <v/>
      </c>
      <c r="DM2060" s="64">
        <f>$K2060-$K2061</f>
        <v/>
      </c>
      <c r="DN2060" s="65">
        <f>IFERROR($N2060/$N2061-1,"")</f>
        <v/>
      </c>
      <c r="DO2060" s="65">
        <f>IFERROR($M2060/$M2061-1,"")</f>
        <v/>
      </c>
      <c r="DP2060" s="65">
        <f>IFERROR($AZ2060/$AZ2061-1,"")</f>
        <v/>
      </c>
      <c r="DQ2060" s="65">
        <f>IFERROR($BA2060/$BA2061-1,"")</f>
        <v/>
      </c>
      <c r="DR2060" s="64">
        <f>$O2060-$O2061</f>
        <v/>
      </c>
      <c r="DS2060" s="64">
        <f>$P2060-$P2061</f>
        <v/>
      </c>
      <c r="DT2060" s="64">
        <f>$Q2060-$Q2061</f>
        <v/>
      </c>
      <c r="DU2060" s="64">
        <f>$S2060-$S2061</f>
        <v/>
      </c>
      <c r="DV2060" s="65">
        <f>IFERROR(AVERAGE($AA2061/$AA2060-1,$AB2061/$AB2060-1,$AC2061/$AC2060-1,$AD2061/$AD2060-1,$AE2061/$AE2060-1,$AG2061/$AG2060-1,$AH2061/$AH2060-1,$AI2061/$AI2060-1,$AJ2061/$AJ2060-1,$AL2061/$AL2060-1,$AM2061/$AM2060-1,$AR2061/$AR2060-1,$AS2061/$AS2060-1,$AT2061/$AT2060-1,$AU2061/$AU2060-1,$AV2061/$AV2060-1,$AW2061/$AW2060-1,$AX2061/$AX2060-1,$AY2061/$AY2060-1),"")</f>
        <v/>
      </c>
      <c r="DW2060" s="66">
        <f>AVERAGE($CB2060,$CC2060,$CD2060,$CE2060,$CF2060,$CG2060,$CH2060,$CI2060,$CJ2060,$CL2060,$CM2060,$CN2060,$CO2060,$CP2060,$CQ2060,$CR2060,$CS2060,$CT2060)</f>
        <v/>
      </c>
      <c r="DX2060" s="66">
        <f>AVERAGE($CB2060,$CC2060,$CM2060,$CE2060,$CP2060)</f>
        <v/>
      </c>
      <c r="DY2060" s="64">
        <f>($DW2060-$DW2061)*100</f>
        <v/>
      </c>
      <c r="DZ2060" s="64">
        <f>($DX2060-$DX2061)*100</f>
        <v/>
      </c>
      <c r="EA2060" s="64">
        <f>($DW2060-$D2060)*100</f>
        <v/>
      </c>
      <c r="EB2060" s="64">
        <f>$Q2060-$O2060</f>
        <v/>
      </c>
      <c r="EC2060" s="67">
        <f>IFERROR($Q2060/$P2060,"")</f>
        <v/>
      </c>
    </row>
    <row r="2061">
      <c r="DG2061" s="64">
        <f>($B2061-$B2062)*100</f>
        <v/>
      </c>
      <c r="DH2061" s="64">
        <f>($D2061-$D2062)*100</f>
        <v/>
      </c>
      <c r="DI2061" s="64">
        <f>($E2061-$E2062)*100</f>
        <v/>
      </c>
      <c r="DJ2061" s="64">
        <f>($H2061-$H2062)*100</f>
        <v/>
      </c>
      <c r="DK2061" s="65">
        <f>IFERROR($J2061/$J2062-1,"")</f>
        <v/>
      </c>
      <c r="DL2061" s="64">
        <f>$L2061-$L2062</f>
        <v/>
      </c>
      <c r="DM2061" s="64">
        <f>$K2061-$K2062</f>
        <v/>
      </c>
      <c r="DN2061" s="65">
        <f>IFERROR($N2061/$N2062-1,"")</f>
        <v/>
      </c>
      <c r="DO2061" s="65">
        <f>IFERROR($M2061/$M2062-1,"")</f>
        <v/>
      </c>
      <c r="DP2061" s="65">
        <f>IFERROR($AZ2061/$AZ2062-1,"")</f>
        <v/>
      </c>
      <c r="DQ2061" s="65">
        <f>IFERROR($BA2061/$BA2062-1,"")</f>
        <v/>
      </c>
      <c r="DR2061" s="64">
        <f>$O2061-$O2062</f>
        <v/>
      </c>
      <c r="DS2061" s="64">
        <f>$P2061-$P2062</f>
        <v/>
      </c>
      <c r="DT2061" s="64">
        <f>$Q2061-$Q2062</f>
        <v/>
      </c>
      <c r="DU2061" s="64">
        <f>$S2061-$S2062</f>
        <v/>
      </c>
      <c r="DV2061" s="65">
        <f>IFERROR(AVERAGE($AA2062/$AA2061-1,$AB2062/$AB2061-1,$AC2062/$AC2061-1,$AD2062/$AD2061-1,$AE2062/$AE2061-1,$AG2062/$AG2061-1,$AH2062/$AH2061-1,$AI2062/$AI2061-1,$AJ2062/$AJ2061-1,$AL2062/$AL2061-1,$AM2062/$AM2061-1,$AR2062/$AR2061-1,$AS2062/$AS2061-1,$AT2062/$AT2061-1,$AU2062/$AU2061-1,$AV2062/$AV2061-1,$AW2062/$AW2061-1,$AX2062/$AX2061-1,$AY2062/$AY2061-1),"")</f>
        <v/>
      </c>
      <c r="DW2061" s="66">
        <f>AVERAGE($CB2061,$CC2061,$CD2061,$CE2061,$CF2061,$CG2061,$CH2061,$CI2061,$CJ2061,$CL2061,$CM2061,$CN2061,$CO2061,$CP2061,$CQ2061,$CR2061,$CS2061,$CT2061)</f>
        <v/>
      </c>
      <c r="DX2061" s="66">
        <f>AVERAGE($CB2061,$CC2061,$CM2061,$CE2061,$CP2061)</f>
        <v/>
      </c>
      <c r="DY2061" s="64">
        <f>($DW2061-$DW2062)*100</f>
        <v/>
      </c>
      <c r="DZ2061" s="64">
        <f>($DX2061-$DX2062)*100</f>
        <v/>
      </c>
      <c r="EA2061" s="64">
        <f>($DW2061-$D2061)*100</f>
        <v/>
      </c>
      <c r="EB2061" s="64">
        <f>$Q2061-$O2061</f>
        <v/>
      </c>
      <c r="EC2061" s="67">
        <f>IFERROR($Q2061/$P2061,"")</f>
        <v/>
      </c>
    </row>
    <row r="2062">
      <c r="DG2062" s="64">
        <f>($B2062-$B2063)*100</f>
        <v/>
      </c>
      <c r="DH2062" s="64">
        <f>($D2062-$D2063)*100</f>
        <v/>
      </c>
      <c r="DI2062" s="64">
        <f>($E2062-$E2063)*100</f>
        <v/>
      </c>
      <c r="DJ2062" s="64">
        <f>($H2062-$H2063)*100</f>
        <v/>
      </c>
      <c r="DK2062" s="65">
        <f>IFERROR($J2062/$J2063-1,"")</f>
        <v/>
      </c>
      <c r="DL2062" s="64">
        <f>$L2062-$L2063</f>
        <v/>
      </c>
      <c r="DM2062" s="64">
        <f>$K2062-$K2063</f>
        <v/>
      </c>
      <c r="DN2062" s="65">
        <f>IFERROR($N2062/$N2063-1,"")</f>
        <v/>
      </c>
      <c r="DO2062" s="65">
        <f>IFERROR($M2062/$M2063-1,"")</f>
        <v/>
      </c>
      <c r="DP2062" s="65">
        <f>IFERROR($AZ2062/$AZ2063-1,"")</f>
        <v/>
      </c>
      <c r="DQ2062" s="65">
        <f>IFERROR($BA2062/$BA2063-1,"")</f>
        <v/>
      </c>
      <c r="DR2062" s="64">
        <f>$O2062-$O2063</f>
        <v/>
      </c>
      <c r="DS2062" s="64">
        <f>$P2062-$P2063</f>
        <v/>
      </c>
      <c r="DT2062" s="64">
        <f>$Q2062-$Q2063</f>
        <v/>
      </c>
      <c r="DU2062" s="64">
        <f>$S2062-$S2063</f>
        <v/>
      </c>
      <c r="DV2062" s="65">
        <f>IFERROR(AVERAGE($AA2063/$AA2062-1,$AB2063/$AB2062-1,$AC2063/$AC2062-1,$AD2063/$AD2062-1,$AE2063/$AE2062-1,$AG2063/$AG2062-1,$AH2063/$AH2062-1,$AI2063/$AI2062-1,$AJ2063/$AJ2062-1,$AL2063/$AL2062-1,$AM2063/$AM2062-1,$AR2063/$AR2062-1,$AS2063/$AS2062-1,$AT2063/$AT2062-1,$AU2063/$AU2062-1,$AV2063/$AV2062-1,$AW2063/$AW2062-1,$AX2063/$AX2062-1,$AY2063/$AY2062-1),"")</f>
        <v/>
      </c>
      <c r="DW2062" s="66">
        <f>AVERAGE($CB2062,$CC2062,$CD2062,$CE2062,$CF2062,$CG2062,$CH2062,$CI2062,$CJ2062,$CL2062,$CM2062,$CN2062,$CO2062,$CP2062,$CQ2062,$CR2062,$CS2062,$CT2062)</f>
        <v/>
      </c>
      <c r="DX2062" s="66">
        <f>AVERAGE($CB2062,$CC2062,$CM2062,$CE2062,$CP2062)</f>
        <v/>
      </c>
      <c r="DY2062" s="64">
        <f>($DW2062-$DW2063)*100</f>
        <v/>
      </c>
      <c r="DZ2062" s="64">
        <f>($DX2062-$DX2063)*100</f>
        <v/>
      </c>
      <c r="EA2062" s="64">
        <f>($DW2062-$D2062)*100</f>
        <v/>
      </c>
      <c r="EB2062" s="64">
        <f>$Q2062-$O2062</f>
        <v/>
      </c>
      <c r="EC2062" s="67">
        <f>IFERROR($Q2062/$P2062,"")</f>
        <v/>
      </c>
    </row>
    <row r="2063">
      <c r="DG2063" s="64">
        <f>($B2063-$B2064)*100</f>
        <v/>
      </c>
      <c r="DH2063" s="64">
        <f>($D2063-$D2064)*100</f>
        <v/>
      </c>
      <c r="DI2063" s="64">
        <f>($E2063-$E2064)*100</f>
        <v/>
      </c>
      <c r="DJ2063" s="64">
        <f>($H2063-$H2064)*100</f>
        <v/>
      </c>
      <c r="DK2063" s="65">
        <f>IFERROR($J2063/$J2064-1,"")</f>
        <v/>
      </c>
      <c r="DL2063" s="64">
        <f>$L2063-$L2064</f>
        <v/>
      </c>
      <c r="DM2063" s="64">
        <f>$K2063-$K2064</f>
        <v/>
      </c>
      <c r="DN2063" s="65">
        <f>IFERROR($N2063/$N2064-1,"")</f>
        <v/>
      </c>
      <c r="DO2063" s="65">
        <f>IFERROR($M2063/$M2064-1,"")</f>
        <v/>
      </c>
      <c r="DP2063" s="65">
        <f>IFERROR($AZ2063/$AZ2064-1,"")</f>
        <v/>
      </c>
      <c r="DQ2063" s="65">
        <f>IFERROR($BA2063/$BA2064-1,"")</f>
        <v/>
      </c>
      <c r="DR2063" s="64">
        <f>$O2063-$O2064</f>
        <v/>
      </c>
      <c r="DS2063" s="64">
        <f>$P2063-$P2064</f>
        <v/>
      </c>
      <c r="DT2063" s="64">
        <f>$Q2063-$Q2064</f>
        <v/>
      </c>
      <c r="DU2063" s="64">
        <f>$S2063-$S2064</f>
        <v/>
      </c>
      <c r="DV2063" s="65">
        <f>IFERROR(AVERAGE($AA2064/$AA2063-1,$AB2064/$AB2063-1,$AC2064/$AC2063-1,$AD2064/$AD2063-1,$AE2064/$AE2063-1,$AG2064/$AG2063-1,$AH2064/$AH2063-1,$AI2064/$AI2063-1,$AJ2064/$AJ2063-1,$AL2064/$AL2063-1,$AM2064/$AM2063-1,$AR2064/$AR2063-1,$AS2064/$AS2063-1,$AT2064/$AT2063-1,$AU2064/$AU2063-1,$AV2064/$AV2063-1,$AW2064/$AW2063-1,$AX2064/$AX2063-1,$AY2064/$AY2063-1),"")</f>
        <v/>
      </c>
      <c r="DW2063" s="66">
        <f>AVERAGE($CB2063,$CC2063,$CD2063,$CE2063,$CF2063,$CG2063,$CH2063,$CI2063,$CJ2063,$CL2063,$CM2063,$CN2063,$CO2063,$CP2063,$CQ2063,$CR2063,$CS2063,$CT2063)</f>
        <v/>
      </c>
      <c r="DX2063" s="66">
        <f>AVERAGE($CB2063,$CC2063,$CM2063,$CE2063,$CP2063)</f>
        <v/>
      </c>
      <c r="DY2063" s="64">
        <f>($DW2063-$DW2064)*100</f>
        <v/>
      </c>
      <c r="DZ2063" s="64">
        <f>($DX2063-$DX2064)*100</f>
        <v/>
      </c>
      <c r="EA2063" s="64">
        <f>($DW2063-$D2063)*100</f>
        <v/>
      </c>
      <c r="EB2063" s="64">
        <f>$Q2063-$O2063</f>
        <v/>
      </c>
      <c r="EC2063" s="67">
        <f>IFERROR($Q2063/$P2063,"")</f>
        <v/>
      </c>
    </row>
    <row r="2064">
      <c r="DG2064" s="64">
        <f>($B2064-$B2065)*100</f>
        <v/>
      </c>
      <c r="DH2064" s="64">
        <f>($D2064-$D2065)*100</f>
        <v/>
      </c>
      <c r="DI2064" s="64">
        <f>($E2064-$E2065)*100</f>
        <v/>
      </c>
      <c r="DJ2064" s="64">
        <f>($H2064-$H2065)*100</f>
        <v/>
      </c>
      <c r="DK2064" s="65">
        <f>IFERROR($J2064/$J2065-1,"")</f>
        <v/>
      </c>
      <c r="DL2064" s="64">
        <f>$L2064-$L2065</f>
        <v/>
      </c>
      <c r="DM2064" s="64">
        <f>$K2064-$K2065</f>
        <v/>
      </c>
      <c r="DN2064" s="65">
        <f>IFERROR($N2064/$N2065-1,"")</f>
        <v/>
      </c>
      <c r="DO2064" s="65">
        <f>IFERROR($M2064/$M2065-1,"")</f>
        <v/>
      </c>
      <c r="DP2064" s="65">
        <f>IFERROR($AZ2064/$AZ2065-1,"")</f>
        <v/>
      </c>
      <c r="DQ2064" s="65">
        <f>IFERROR($BA2064/$BA2065-1,"")</f>
        <v/>
      </c>
      <c r="DR2064" s="64">
        <f>$O2064-$O2065</f>
        <v/>
      </c>
      <c r="DS2064" s="64">
        <f>$P2064-$P2065</f>
        <v/>
      </c>
      <c r="DT2064" s="64">
        <f>$Q2064-$Q2065</f>
        <v/>
      </c>
      <c r="DU2064" s="64">
        <f>$S2064-$S2065</f>
        <v/>
      </c>
      <c r="DV2064" s="65">
        <f>IFERROR(AVERAGE($AA2065/$AA2064-1,$AB2065/$AB2064-1,$AC2065/$AC2064-1,$AD2065/$AD2064-1,$AE2065/$AE2064-1,$AG2065/$AG2064-1,$AH2065/$AH2064-1,$AI2065/$AI2064-1,$AJ2065/$AJ2064-1,$AL2065/$AL2064-1,$AM2065/$AM2064-1,$AR2065/$AR2064-1,$AS2065/$AS2064-1,$AT2065/$AT2064-1,$AU2065/$AU2064-1,$AV2065/$AV2064-1,$AW2065/$AW2064-1,$AX2065/$AX2064-1,$AY2065/$AY2064-1),"")</f>
        <v/>
      </c>
      <c r="DW2064" s="66">
        <f>AVERAGE($CB2064,$CC2064,$CD2064,$CE2064,$CF2064,$CG2064,$CH2064,$CI2064,$CJ2064,$CL2064,$CM2064,$CN2064,$CO2064,$CP2064,$CQ2064,$CR2064,$CS2064,$CT2064)</f>
        <v/>
      </c>
      <c r="DX2064" s="66">
        <f>AVERAGE($CB2064,$CC2064,$CM2064,$CE2064,$CP2064)</f>
        <v/>
      </c>
      <c r="DY2064" s="64">
        <f>($DW2064-$DW2065)*100</f>
        <v/>
      </c>
      <c r="DZ2064" s="64">
        <f>($DX2064-$DX2065)*100</f>
        <v/>
      </c>
      <c r="EA2064" s="64">
        <f>($DW2064-$D2064)*100</f>
        <v/>
      </c>
      <c r="EB2064" s="64">
        <f>$Q2064-$O2064</f>
        <v/>
      </c>
      <c r="EC2064" s="67">
        <f>IFERROR($Q2064/$P2064,"")</f>
        <v/>
      </c>
    </row>
    <row r="2065">
      <c r="DG2065" s="64">
        <f>($B2065-$B2066)*100</f>
        <v/>
      </c>
      <c r="DH2065" s="64">
        <f>($D2065-$D2066)*100</f>
        <v/>
      </c>
      <c r="DI2065" s="64">
        <f>($E2065-$E2066)*100</f>
        <v/>
      </c>
      <c r="DJ2065" s="64">
        <f>($H2065-$H2066)*100</f>
        <v/>
      </c>
      <c r="DK2065" s="65">
        <f>IFERROR($J2065/$J2066-1,"")</f>
        <v/>
      </c>
      <c r="DL2065" s="64">
        <f>$L2065-$L2066</f>
        <v/>
      </c>
      <c r="DM2065" s="64">
        <f>$K2065-$K2066</f>
        <v/>
      </c>
      <c r="DN2065" s="65">
        <f>IFERROR($N2065/$N2066-1,"")</f>
        <v/>
      </c>
      <c r="DO2065" s="65">
        <f>IFERROR($M2065/$M2066-1,"")</f>
        <v/>
      </c>
      <c r="DP2065" s="65">
        <f>IFERROR($AZ2065/$AZ2066-1,"")</f>
        <v/>
      </c>
      <c r="DQ2065" s="65">
        <f>IFERROR($BA2065/$BA2066-1,"")</f>
        <v/>
      </c>
      <c r="DR2065" s="64">
        <f>$O2065-$O2066</f>
        <v/>
      </c>
      <c r="DS2065" s="64">
        <f>$P2065-$P2066</f>
        <v/>
      </c>
      <c r="DT2065" s="64">
        <f>$Q2065-$Q2066</f>
        <v/>
      </c>
      <c r="DU2065" s="64">
        <f>$S2065-$S2066</f>
        <v/>
      </c>
      <c r="DV2065" s="65">
        <f>IFERROR(AVERAGE($AA2066/$AA2065-1,$AB2066/$AB2065-1,$AC2066/$AC2065-1,$AD2066/$AD2065-1,$AE2066/$AE2065-1,$AG2066/$AG2065-1,$AH2066/$AH2065-1,$AI2066/$AI2065-1,$AJ2066/$AJ2065-1,$AL2066/$AL2065-1,$AM2066/$AM2065-1,$AR2066/$AR2065-1,$AS2066/$AS2065-1,$AT2066/$AT2065-1,$AU2066/$AU2065-1,$AV2066/$AV2065-1,$AW2066/$AW2065-1,$AX2066/$AX2065-1,$AY2066/$AY2065-1),"")</f>
        <v/>
      </c>
      <c r="DW2065" s="66">
        <f>AVERAGE($CB2065,$CC2065,$CD2065,$CE2065,$CF2065,$CG2065,$CH2065,$CI2065,$CJ2065,$CL2065,$CM2065,$CN2065,$CO2065,$CP2065,$CQ2065,$CR2065,$CS2065,$CT2065)</f>
        <v/>
      </c>
      <c r="DX2065" s="66">
        <f>AVERAGE($CB2065,$CC2065,$CM2065,$CE2065,$CP2065)</f>
        <v/>
      </c>
      <c r="DY2065" s="64">
        <f>($DW2065-$DW2066)*100</f>
        <v/>
      </c>
      <c r="DZ2065" s="64">
        <f>($DX2065-$DX2066)*100</f>
        <v/>
      </c>
      <c r="EA2065" s="64">
        <f>($DW2065-$D2065)*100</f>
        <v/>
      </c>
      <c r="EB2065" s="64">
        <f>$Q2065-$O2065</f>
        <v/>
      </c>
      <c r="EC2065" s="67">
        <f>IFERROR($Q2065/$P2065,"")</f>
        <v/>
      </c>
    </row>
    <row r="2066">
      <c r="DG2066" s="64">
        <f>($B2066-$B2067)*100</f>
        <v/>
      </c>
      <c r="DH2066" s="64">
        <f>($D2066-$D2067)*100</f>
        <v/>
      </c>
      <c r="DI2066" s="64">
        <f>($E2066-$E2067)*100</f>
        <v/>
      </c>
      <c r="DJ2066" s="64">
        <f>($H2066-$H2067)*100</f>
        <v/>
      </c>
      <c r="DK2066" s="65">
        <f>IFERROR($J2066/$J2067-1,"")</f>
        <v/>
      </c>
      <c r="DL2066" s="64">
        <f>$L2066-$L2067</f>
        <v/>
      </c>
      <c r="DM2066" s="64">
        <f>$K2066-$K2067</f>
        <v/>
      </c>
      <c r="DN2066" s="65">
        <f>IFERROR($N2066/$N2067-1,"")</f>
        <v/>
      </c>
      <c r="DO2066" s="65">
        <f>IFERROR($M2066/$M2067-1,"")</f>
        <v/>
      </c>
      <c r="DP2066" s="65">
        <f>IFERROR($AZ2066/$AZ2067-1,"")</f>
        <v/>
      </c>
      <c r="DQ2066" s="65">
        <f>IFERROR($BA2066/$BA2067-1,"")</f>
        <v/>
      </c>
      <c r="DR2066" s="64">
        <f>$O2066-$O2067</f>
        <v/>
      </c>
      <c r="DS2066" s="64">
        <f>$P2066-$P2067</f>
        <v/>
      </c>
      <c r="DT2066" s="64">
        <f>$Q2066-$Q2067</f>
        <v/>
      </c>
      <c r="DU2066" s="64">
        <f>$S2066-$S2067</f>
        <v/>
      </c>
      <c r="DV2066" s="65">
        <f>IFERROR(AVERAGE($AA2067/$AA2066-1,$AB2067/$AB2066-1,$AC2067/$AC2066-1,$AD2067/$AD2066-1,$AE2067/$AE2066-1,$AG2067/$AG2066-1,$AH2067/$AH2066-1,$AI2067/$AI2066-1,$AJ2067/$AJ2066-1,$AL2067/$AL2066-1,$AM2067/$AM2066-1,$AR2067/$AR2066-1,$AS2067/$AS2066-1,$AT2067/$AT2066-1,$AU2067/$AU2066-1,$AV2067/$AV2066-1,$AW2067/$AW2066-1,$AX2067/$AX2066-1,$AY2067/$AY2066-1),"")</f>
        <v/>
      </c>
      <c r="DW2066" s="66">
        <f>AVERAGE($CB2066,$CC2066,$CD2066,$CE2066,$CF2066,$CG2066,$CH2066,$CI2066,$CJ2066,$CL2066,$CM2066,$CN2066,$CO2066,$CP2066,$CQ2066,$CR2066,$CS2066,$CT2066)</f>
        <v/>
      </c>
      <c r="DX2066" s="66">
        <f>AVERAGE($CB2066,$CC2066,$CM2066,$CE2066,$CP2066)</f>
        <v/>
      </c>
      <c r="DY2066" s="64">
        <f>($DW2066-$DW2067)*100</f>
        <v/>
      </c>
      <c r="DZ2066" s="64">
        <f>($DX2066-$DX2067)*100</f>
        <v/>
      </c>
      <c r="EA2066" s="64">
        <f>($DW2066-$D2066)*100</f>
        <v/>
      </c>
      <c r="EB2066" s="64">
        <f>$Q2066-$O2066</f>
        <v/>
      </c>
      <c r="EC2066" s="67">
        <f>IFERROR($Q2066/$P2066,"")</f>
        <v/>
      </c>
    </row>
    <row r="2067">
      <c r="DG2067" s="64">
        <f>($B2067-$B2068)*100</f>
        <v/>
      </c>
      <c r="DH2067" s="64">
        <f>($D2067-$D2068)*100</f>
        <v/>
      </c>
      <c r="DI2067" s="64">
        <f>($E2067-$E2068)*100</f>
        <v/>
      </c>
      <c r="DJ2067" s="64">
        <f>($H2067-$H2068)*100</f>
        <v/>
      </c>
      <c r="DK2067" s="65">
        <f>IFERROR($J2067/$J2068-1,"")</f>
        <v/>
      </c>
      <c r="DL2067" s="64">
        <f>$L2067-$L2068</f>
        <v/>
      </c>
      <c r="DM2067" s="64">
        <f>$K2067-$K2068</f>
        <v/>
      </c>
      <c r="DN2067" s="65">
        <f>IFERROR($N2067/$N2068-1,"")</f>
        <v/>
      </c>
      <c r="DO2067" s="65">
        <f>IFERROR($M2067/$M2068-1,"")</f>
        <v/>
      </c>
      <c r="DP2067" s="65">
        <f>IFERROR($AZ2067/$AZ2068-1,"")</f>
        <v/>
      </c>
      <c r="DQ2067" s="65">
        <f>IFERROR($BA2067/$BA2068-1,"")</f>
        <v/>
      </c>
      <c r="DR2067" s="64">
        <f>$O2067-$O2068</f>
        <v/>
      </c>
      <c r="DS2067" s="64">
        <f>$P2067-$P2068</f>
        <v/>
      </c>
      <c r="DT2067" s="64">
        <f>$Q2067-$Q2068</f>
        <v/>
      </c>
      <c r="DU2067" s="64">
        <f>$S2067-$S2068</f>
        <v/>
      </c>
      <c r="DV2067" s="65">
        <f>IFERROR(AVERAGE($AA2068/$AA2067-1,$AB2068/$AB2067-1,$AC2068/$AC2067-1,$AD2068/$AD2067-1,$AE2068/$AE2067-1,$AG2068/$AG2067-1,$AH2068/$AH2067-1,$AI2068/$AI2067-1,$AJ2068/$AJ2067-1,$AL2068/$AL2067-1,$AM2068/$AM2067-1,$AR2068/$AR2067-1,$AS2068/$AS2067-1,$AT2068/$AT2067-1,$AU2068/$AU2067-1,$AV2068/$AV2067-1,$AW2068/$AW2067-1,$AX2068/$AX2067-1,$AY2068/$AY2067-1),"")</f>
        <v/>
      </c>
      <c r="DW2067" s="66">
        <f>AVERAGE($CB2067,$CC2067,$CD2067,$CE2067,$CF2067,$CG2067,$CH2067,$CI2067,$CJ2067,$CL2067,$CM2067,$CN2067,$CO2067,$CP2067,$CQ2067,$CR2067,$CS2067,$CT2067)</f>
        <v/>
      </c>
      <c r="DX2067" s="66">
        <f>AVERAGE($CB2067,$CC2067,$CM2067,$CE2067,$CP2067)</f>
        <v/>
      </c>
      <c r="DY2067" s="64">
        <f>($DW2067-$DW2068)*100</f>
        <v/>
      </c>
      <c r="DZ2067" s="64">
        <f>($DX2067-$DX2068)*100</f>
        <v/>
      </c>
      <c r="EA2067" s="64">
        <f>($DW2067-$D2067)*100</f>
        <v/>
      </c>
      <c r="EB2067" s="64">
        <f>$Q2067-$O2067</f>
        <v/>
      </c>
      <c r="EC2067" s="67">
        <f>IFERROR($Q2067/$P2067,"")</f>
        <v/>
      </c>
    </row>
    <row r="2068">
      <c r="DG2068" s="64">
        <f>($B2068-$B2069)*100</f>
        <v/>
      </c>
      <c r="DH2068" s="64">
        <f>($D2068-$D2069)*100</f>
        <v/>
      </c>
      <c r="DI2068" s="64">
        <f>($E2068-$E2069)*100</f>
        <v/>
      </c>
      <c r="DJ2068" s="64">
        <f>($H2068-$H2069)*100</f>
        <v/>
      </c>
      <c r="DK2068" s="65">
        <f>IFERROR($J2068/$J2069-1,"")</f>
        <v/>
      </c>
      <c r="DL2068" s="64">
        <f>$L2068-$L2069</f>
        <v/>
      </c>
      <c r="DM2068" s="64">
        <f>$K2068-$K2069</f>
        <v/>
      </c>
      <c r="DN2068" s="65">
        <f>IFERROR($N2068/$N2069-1,"")</f>
        <v/>
      </c>
      <c r="DO2068" s="65">
        <f>IFERROR($M2068/$M2069-1,"")</f>
        <v/>
      </c>
      <c r="DP2068" s="65">
        <f>IFERROR($AZ2068/$AZ2069-1,"")</f>
        <v/>
      </c>
      <c r="DQ2068" s="65">
        <f>IFERROR($BA2068/$BA2069-1,"")</f>
        <v/>
      </c>
      <c r="DR2068" s="64">
        <f>$O2068-$O2069</f>
        <v/>
      </c>
      <c r="DS2068" s="64">
        <f>$P2068-$P2069</f>
        <v/>
      </c>
      <c r="DT2068" s="64">
        <f>$Q2068-$Q2069</f>
        <v/>
      </c>
      <c r="DU2068" s="64">
        <f>$S2068-$S2069</f>
        <v/>
      </c>
      <c r="DV2068" s="65">
        <f>IFERROR(AVERAGE($AA2069/$AA2068-1,$AB2069/$AB2068-1,$AC2069/$AC2068-1,$AD2069/$AD2068-1,$AE2069/$AE2068-1,$AG2069/$AG2068-1,$AH2069/$AH2068-1,$AI2069/$AI2068-1,$AJ2069/$AJ2068-1,$AL2069/$AL2068-1,$AM2069/$AM2068-1,$AR2069/$AR2068-1,$AS2069/$AS2068-1,$AT2069/$AT2068-1,$AU2069/$AU2068-1,$AV2069/$AV2068-1,$AW2069/$AW2068-1,$AX2069/$AX2068-1,$AY2069/$AY2068-1),"")</f>
        <v/>
      </c>
      <c r="DW2068" s="66">
        <f>AVERAGE($CB2068,$CC2068,$CD2068,$CE2068,$CF2068,$CG2068,$CH2068,$CI2068,$CJ2068,$CL2068,$CM2068,$CN2068,$CO2068,$CP2068,$CQ2068,$CR2068,$CS2068,$CT2068)</f>
        <v/>
      </c>
      <c r="DX2068" s="66">
        <f>AVERAGE($CB2068,$CC2068,$CM2068,$CE2068,$CP2068)</f>
        <v/>
      </c>
      <c r="DY2068" s="64">
        <f>($DW2068-$DW2069)*100</f>
        <v/>
      </c>
      <c r="DZ2068" s="64">
        <f>($DX2068-$DX2069)*100</f>
        <v/>
      </c>
      <c r="EA2068" s="64">
        <f>($DW2068-$D2068)*100</f>
        <v/>
      </c>
      <c r="EB2068" s="64">
        <f>$Q2068-$O2068</f>
        <v/>
      </c>
      <c r="EC2068" s="67">
        <f>IFERROR($Q2068/$P2068,"")</f>
        <v/>
      </c>
    </row>
    <row r="2069">
      <c r="DG2069" s="64">
        <f>($B2069-$B2070)*100</f>
        <v/>
      </c>
      <c r="DH2069" s="64">
        <f>($D2069-$D2070)*100</f>
        <v/>
      </c>
      <c r="DI2069" s="64">
        <f>($E2069-$E2070)*100</f>
        <v/>
      </c>
      <c r="DJ2069" s="64">
        <f>($H2069-$H2070)*100</f>
        <v/>
      </c>
      <c r="DK2069" s="65">
        <f>IFERROR($J2069/$J2070-1,"")</f>
        <v/>
      </c>
      <c r="DL2069" s="64">
        <f>$L2069-$L2070</f>
        <v/>
      </c>
      <c r="DM2069" s="64">
        <f>$K2069-$K2070</f>
        <v/>
      </c>
      <c r="DN2069" s="65">
        <f>IFERROR($N2069/$N2070-1,"")</f>
        <v/>
      </c>
      <c r="DO2069" s="65">
        <f>IFERROR($M2069/$M2070-1,"")</f>
        <v/>
      </c>
      <c r="DP2069" s="65">
        <f>IFERROR($AZ2069/$AZ2070-1,"")</f>
        <v/>
      </c>
      <c r="DQ2069" s="65">
        <f>IFERROR($BA2069/$BA2070-1,"")</f>
        <v/>
      </c>
      <c r="DR2069" s="64">
        <f>$O2069-$O2070</f>
        <v/>
      </c>
      <c r="DS2069" s="64">
        <f>$P2069-$P2070</f>
        <v/>
      </c>
      <c r="DT2069" s="64">
        <f>$Q2069-$Q2070</f>
        <v/>
      </c>
      <c r="DU2069" s="64">
        <f>$S2069-$S2070</f>
        <v/>
      </c>
      <c r="DV2069" s="65">
        <f>IFERROR(AVERAGE($AA2070/$AA2069-1,$AB2070/$AB2069-1,$AC2070/$AC2069-1,$AD2070/$AD2069-1,$AE2070/$AE2069-1,$AG2070/$AG2069-1,$AH2070/$AH2069-1,$AI2070/$AI2069-1,$AJ2070/$AJ2069-1,$AL2070/$AL2069-1,$AM2070/$AM2069-1,$AR2070/$AR2069-1,$AS2070/$AS2069-1,$AT2070/$AT2069-1,$AU2070/$AU2069-1,$AV2070/$AV2069-1,$AW2070/$AW2069-1,$AX2070/$AX2069-1,$AY2070/$AY2069-1),"")</f>
        <v/>
      </c>
      <c r="DW2069" s="66">
        <f>AVERAGE($CB2069,$CC2069,$CD2069,$CE2069,$CF2069,$CG2069,$CH2069,$CI2069,$CJ2069,$CL2069,$CM2069,$CN2069,$CO2069,$CP2069,$CQ2069,$CR2069,$CS2069,$CT2069)</f>
        <v/>
      </c>
      <c r="DX2069" s="66">
        <f>AVERAGE($CB2069,$CC2069,$CM2069,$CE2069,$CP2069)</f>
        <v/>
      </c>
      <c r="DY2069" s="64">
        <f>($DW2069-$DW2070)*100</f>
        <v/>
      </c>
      <c r="DZ2069" s="64">
        <f>($DX2069-$DX2070)*100</f>
        <v/>
      </c>
      <c r="EA2069" s="64">
        <f>($DW2069-$D2069)*100</f>
        <v/>
      </c>
      <c r="EB2069" s="64">
        <f>$Q2069-$O2069</f>
        <v/>
      </c>
      <c r="EC2069" s="67">
        <f>IFERROR($Q2069/$P2069,"")</f>
        <v/>
      </c>
    </row>
    <row r="2070">
      <c r="DG2070" s="64">
        <f>($B2070-$B2071)*100</f>
        <v/>
      </c>
      <c r="DH2070" s="64">
        <f>($D2070-$D2071)*100</f>
        <v/>
      </c>
      <c r="DI2070" s="64">
        <f>($E2070-$E2071)*100</f>
        <v/>
      </c>
      <c r="DJ2070" s="64">
        <f>($H2070-$H2071)*100</f>
        <v/>
      </c>
      <c r="DK2070" s="65">
        <f>IFERROR($J2070/$J2071-1,"")</f>
        <v/>
      </c>
      <c r="DL2070" s="64">
        <f>$L2070-$L2071</f>
        <v/>
      </c>
      <c r="DM2070" s="64">
        <f>$K2070-$K2071</f>
        <v/>
      </c>
      <c r="DN2070" s="65">
        <f>IFERROR($N2070/$N2071-1,"")</f>
        <v/>
      </c>
      <c r="DO2070" s="65">
        <f>IFERROR($M2070/$M2071-1,"")</f>
        <v/>
      </c>
      <c r="DP2070" s="65">
        <f>IFERROR($AZ2070/$AZ2071-1,"")</f>
        <v/>
      </c>
      <c r="DQ2070" s="65">
        <f>IFERROR($BA2070/$BA2071-1,"")</f>
        <v/>
      </c>
      <c r="DR2070" s="64">
        <f>$O2070-$O2071</f>
        <v/>
      </c>
      <c r="DS2070" s="64">
        <f>$P2070-$P2071</f>
        <v/>
      </c>
      <c r="DT2070" s="64">
        <f>$Q2070-$Q2071</f>
        <v/>
      </c>
      <c r="DU2070" s="64">
        <f>$S2070-$S2071</f>
        <v/>
      </c>
      <c r="DV2070" s="65">
        <f>IFERROR(AVERAGE($AA2071/$AA2070-1,$AB2071/$AB2070-1,$AC2071/$AC2070-1,$AD2071/$AD2070-1,$AE2071/$AE2070-1,$AG2071/$AG2070-1,$AH2071/$AH2070-1,$AI2071/$AI2070-1,$AJ2071/$AJ2070-1,$AL2071/$AL2070-1,$AM2071/$AM2070-1,$AR2071/$AR2070-1,$AS2071/$AS2070-1,$AT2071/$AT2070-1,$AU2071/$AU2070-1,$AV2071/$AV2070-1,$AW2071/$AW2070-1,$AX2071/$AX2070-1,$AY2071/$AY2070-1),"")</f>
        <v/>
      </c>
      <c r="DW2070" s="66">
        <f>AVERAGE($CB2070,$CC2070,$CD2070,$CE2070,$CF2070,$CG2070,$CH2070,$CI2070,$CJ2070,$CL2070,$CM2070,$CN2070,$CO2070,$CP2070,$CQ2070,$CR2070,$CS2070,$CT2070)</f>
        <v/>
      </c>
      <c r="DX2070" s="66">
        <f>AVERAGE($CB2070,$CC2070,$CM2070,$CE2070,$CP2070)</f>
        <v/>
      </c>
      <c r="DY2070" s="64">
        <f>($DW2070-$DW2071)*100</f>
        <v/>
      </c>
      <c r="DZ2070" s="64">
        <f>($DX2070-$DX2071)*100</f>
        <v/>
      </c>
      <c r="EA2070" s="64">
        <f>($DW2070-$D2070)*100</f>
        <v/>
      </c>
      <c r="EB2070" s="64">
        <f>$Q2070-$O2070</f>
        <v/>
      </c>
      <c r="EC2070" s="67">
        <f>IFERROR($Q2070/$P2070,"")</f>
        <v/>
      </c>
    </row>
    <row r="2071">
      <c r="DG2071" s="64">
        <f>($B2071-$B2072)*100</f>
        <v/>
      </c>
      <c r="DH2071" s="64">
        <f>($D2071-$D2072)*100</f>
        <v/>
      </c>
      <c r="DI2071" s="64">
        <f>($E2071-$E2072)*100</f>
        <v/>
      </c>
      <c r="DJ2071" s="64">
        <f>($H2071-$H2072)*100</f>
        <v/>
      </c>
      <c r="DK2071" s="65">
        <f>IFERROR($J2071/$J2072-1,"")</f>
        <v/>
      </c>
      <c r="DL2071" s="64">
        <f>$L2071-$L2072</f>
        <v/>
      </c>
      <c r="DM2071" s="64">
        <f>$K2071-$K2072</f>
        <v/>
      </c>
      <c r="DN2071" s="65">
        <f>IFERROR($N2071/$N2072-1,"")</f>
        <v/>
      </c>
      <c r="DO2071" s="65">
        <f>IFERROR($M2071/$M2072-1,"")</f>
        <v/>
      </c>
      <c r="DP2071" s="65">
        <f>IFERROR($AZ2071/$AZ2072-1,"")</f>
        <v/>
      </c>
      <c r="DQ2071" s="65">
        <f>IFERROR($BA2071/$BA2072-1,"")</f>
        <v/>
      </c>
      <c r="DR2071" s="64">
        <f>$O2071-$O2072</f>
        <v/>
      </c>
      <c r="DS2071" s="64">
        <f>$P2071-$P2072</f>
        <v/>
      </c>
      <c r="DT2071" s="64">
        <f>$Q2071-$Q2072</f>
        <v/>
      </c>
      <c r="DU2071" s="64">
        <f>$S2071-$S2072</f>
        <v/>
      </c>
      <c r="DV2071" s="65">
        <f>IFERROR(AVERAGE($AA2072/$AA2071-1,$AB2072/$AB2071-1,$AC2072/$AC2071-1,$AD2072/$AD2071-1,$AE2072/$AE2071-1,$AG2072/$AG2071-1,$AH2072/$AH2071-1,$AI2072/$AI2071-1,$AJ2072/$AJ2071-1,$AL2072/$AL2071-1,$AM2072/$AM2071-1,$AR2072/$AR2071-1,$AS2072/$AS2071-1,$AT2072/$AT2071-1,$AU2072/$AU2071-1,$AV2072/$AV2071-1,$AW2072/$AW2071-1,$AX2072/$AX2071-1,$AY2072/$AY2071-1),"")</f>
        <v/>
      </c>
      <c r="DW2071" s="66">
        <f>AVERAGE($CB2071,$CC2071,$CD2071,$CE2071,$CF2071,$CG2071,$CH2071,$CI2071,$CJ2071,$CL2071,$CM2071,$CN2071,$CO2071,$CP2071,$CQ2071,$CR2071,$CS2071,$CT2071)</f>
        <v/>
      </c>
      <c r="DX2071" s="66">
        <f>AVERAGE($CB2071,$CC2071,$CM2071,$CE2071,$CP2071)</f>
        <v/>
      </c>
      <c r="DY2071" s="64">
        <f>($DW2071-$DW2072)*100</f>
        <v/>
      </c>
      <c r="DZ2071" s="64">
        <f>($DX2071-$DX2072)*100</f>
        <v/>
      </c>
      <c r="EA2071" s="64">
        <f>($DW2071-$D2071)*100</f>
        <v/>
      </c>
      <c r="EB2071" s="64">
        <f>$Q2071-$O2071</f>
        <v/>
      </c>
      <c r="EC2071" s="67">
        <f>IFERROR($Q2071/$P2071,"")</f>
        <v/>
      </c>
    </row>
    <row r="2072">
      <c r="DG2072" s="64">
        <f>($B2072-$B2073)*100</f>
        <v/>
      </c>
      <c r="DH2072" s="64">
        <f>($D2072-$D2073)*100</f>
        <v/>
      </c>
      <c r="DI2072" s="64">
        <f>($E2072-$E2073)*100</f>
        <v/>
      </c>
      <c r="DJ2072" s="64">
        <f>($H2072-$H2073)*100</f>
        <v/>
      </c>
      <c r="DK2072" s="65">
        <f>IFERROR($J2072/$J2073-1,"")</f>
        <v/>
      </c>
      <c r="DL2072" s="64">
        <f>$L2072-$L2073</f>
        <v/>
      </c>
      <c r="DM2072" s="64">
        <f>$K2072-$K2073</f>
        <v/>
      </c>
      <c r="DN2072" s="65">
        <f>IFERROR($N2072/$N2073-1,"")</f>
        <v/>
      </c>
      <c r="DO2072" s="65">
        <f>IFERROR($M2072/$M2073-1,"")</f>
        <v/>
      </c>
      <c r="DP2072" s="65">
        <f>IFERROR($AZ2072/$AZ2073-1,"")</f>
        <v/>
      </c>
      <c r="DQ2072" s="65">
        <f>IFERROR($BA2072/$BA2073-1,"")</f>
        <v/>
      </c>
      <c r="DR2072" s="64">
        <f>$O2072-$O2073</f>
        <v/>
      </c>
      <c r="DS2072" s="64">
        <f>$P2072-$P2073</f>
        <v/>
      </c>
      <c r="DT2072" s="64">
        <f>$Q2072-$Q2073</f>
        <v/>
      </c>
      <c r="DU2072" s="64">
        <f>$S2072-$S2073</f>
        <v/>
      </c>
      <c r="DV2072" s="65">
        <f>IFERROR(AVERAGE($AA2073/$AA2072-1,$AB2073/$AB2072-1,$AC2073/$AC2072-1,$AD2073/$AD2072-1,$AE2073/$AE2072-1,$AG2073/$AG2072-1,$AH2073/$AH2072-1,$AI2073/$AI2072-1,$AJ2073/$AJ2072-1,$AL2073/$AL2072-1,$AM2073/$AM2072-1,$AR2073/$AR2072-1,$AS2073/$AS2072-1,$AT2073/$AT2072-1,$AU2073/$AU2072-1,$AV2073/$AV2072-1,$AW2073/$AW2072-1,$AX2073/$AX2072-1,$AY2073/$AY2072-1),"")</f>
        <v/>
      </c>
      <c r="DW2072" s="66">
        <f>AVERAGE($CB2072,$CC2072,$CD2072,$CE2072,$CF2072,$CG2072,$CH2072,$CI2072,$CJ2072,$CL2072,$CM2072,$CN2072,$CO2072,$CP2072,$CQ2072,$CR2072,$CS2072,$CT2072)</f>
        <v/>
      </c>
      <c r="DX2072" s="66">
        <f>AVERAGE($CB2072,$CC2072,$CM2072,$CE2072,$CP2072)</f>
        <v/>
      </c>
      <c r="DY2072" s="64">
        <f>($DW2072-$DW2073)*100</f>
        <v/>
      </c>
      <c r="DZ2072" s="64">
        <f>($DX2072-$DX2073)*100</f>
        <v/>
      </c>
      <c r="EA2072" s="64">
        <f>($DW2072-$D2072)*100</f>
        <v/>
      </c>
      <c r="EB2072" s="64">
        <f>$Q2072-$O2072</f>
        <v/>
      </c>
      <c r="EC2072" s="67">
        <f>IFERROR($Q2072/$P2072,"")</f>
        <v/>
      </c>
    </row>
    <row r="2073">
      <c r="DG2073" s="64">
        <f>($B2073-$B2074)*100</f>
        <v/>
      </c>
      <c r="DH2073" s="64">
        <f>($D2073-$D2074)*100</f>
        <v/>
      </c>
      <c r="DI2073" s="64">
        <f>($E2073-$E2074)*100</f>
        <v/>
      </c>
      <c r="DJ2073" s="64">
        <f>($H2073-$H2074)*100</f>
        <v/>
      </c>
      <c r="DK2073" s="65">
        <f>IFERROR($J2073/$J2074-1,"")</f>
        <v/>
      </c>
      <c r="DL2073" s="64">
        <f>$L2073-$L2074</f>
        <v/>
      </c>
      <c r="DM2073" s="64">
        <f>$K2073-$K2074</f>
        <v/>
      </c>
      <c r="DN2073" s="65">
        <f>IFERROR($N2073/$N2074-1,"")</f>
        <v/>
      </c>
      <c r="DO2073" s="65">
        <f>IFERROR($M2073/$M2074-1,"")</f>
        <v/>
      </c>
      <c r="DP2073" s="65">
        <f>IFERROR($AZ2073/$AZ2074-1,"")</f>
        <v/>
      </c>
      <c r="DQ2073" s="65">
        <f>IFERROR($BA2073/$BA2074-1,"")</f>
        <v/>
      </c>
      <c r="DR2073" s="64">
        <f>$O2073-$O2074</f>
        <v/>
      </c>
      <c r="DS2073" s="64">
        <f>$P2073-$P2074</f>
        <v/>
      </c>
      <c r="DT2073" s="64">
        <f>$Q2073-$Q2074</f>
        <v/>
      </c>
      <c r="DU2073" s="64">
        <f>$S2073-$S2074</f>
        <v/>
      </c>
      <c r="DV2073" s="65">
        <f>IFERROR(AVERAGE($AA2074/$AA2073-1,$AB2074/$AB2073-1,$AC2074/$AC2073-1,$AD2074/$AD2073-1,$AE2074/$AE2073-1,$AG2074/$AG2073-1,$AH2074/$AH2073-1,$AI2074/$AI2073-1,$AJ2074/$AJ2073-1,$AL2074/$AL2073-1,$AM2074/$AM2073-1,$AR2074/$AR2073-1,$AS2074/$AS2073-1,$AT2074/$AT2073-1,$AU2074/$AU2073-1,$AV2074/$AV2073-1,$AW2074/$AW2073-1,$AX2074/$AX2073-1,$AY2074/$AY2073-1),"")</f>
        <v/>
      </c>
      <c r="DW2073" s="66">
        <f>AVERAGE($CB2073,$CC2073,$CD2073,$CE2073,$CF2073,$CG2073,$CH2073,$CI2073,$CJ2073,$CL2073,$CM2073,$CN2073,$CO2073,$CP2073,$CQ2073,$CR2073,$CS2073,$CT2073)</f>
        <v/>
      </c>
      <c r="DX2073" s="66">
        <f>AVERAGE($CB2073,$CC2073,$CM2073,$CE2073,$CP2073)</f>
        <v/>
      </c>
      <c r="DY2073" s="64">
        <f>($DW2073-$DW2074)*100</f>
        <v/>
      </c>
      <c r="DZ2073" s="64">
        <f>($DX2073-$DX2074)*100</f>
        <v/>
      </c>
      <c r="EA2073" s="64">
        <f>($DW2073-$D2073)*100</f>
        <v/>
      </c>
      <c r="EB2073" s="64">
        <f>$Q2073-$O2073</f>
        <v/>
      </c>
      <c r="EC2073" s="67">
        <f>IFERROR($Q2073/$P2073,"")</f>
        <v/>
      </c>
    </row>
    <row r="2074">
      <c r="DG2074" s="64">
        <f>($B2074-$B2075)*100</f>
        <v/>
      </c>
      <c r="DH2074" s="64">
        <f>($D2074-$D2075)*100</f>
        <v/>
      </c>
      <c r="DI2074" s="64">
        <f>($E2074-$E2075)*100</f>
        <v/>
      </c>
      <c r="DJ2074" s="64">
        <f>($H2074-$H2075)*100</f>
        <v/>
      </c>
      <c r="DK2074" s="65">
        <f>IFERROR($J2074/$J2075-1,"")</f>
        <v/>
      </c>
      <c r="DL2074" s="64">
        <f>$L2074-$L2075</f>
        <v/>
      </c>
      <c r="DM2074" s="64">
        <f>$K2074-$K2075</f>
        <v/>
      </c>
      <c r="DN2074" s="65">
        <f>IFERROR($N2074/$N2075-1,"")</f>
        <v/>
      </c>
      <c r="DO2074" s="65">
        <f>IFERROR($M2074/$M2075-1,"")</f>
        <v/>
      </c>
      <c r="DP2074" s="65">
        <f>IFERROR($AZ2074/$AZ2075-1,"")</f>
        <v/>
      </c>
      <c r="DQ2074" s="65">
        <f>IFERROR($BA2074/$BA2075-1,"")</f>
        <v/>
      </c>
      <c r="DR2074" s="64">
        <f>$O2074-$O2075</f>
        <v/>
      </c>
      <c r="DS2074" s="64">
        <f>$P2074-$P2075</f>
        <v/>
      </c>
      <c r="DT2074" s="64">
        <f>$Q2074-$Q2075</f>
        <v/>
      </c>
      <c r="DU2074" s="64">
        <f>$S2074-$S2075</f>
        <v/>
      </c>
      <c r="DV2074" s="65">
        <f>IFERROR(AVERAGE($AA2075/$AA2074-1,$AB2075/$AB2074-1,$AC2075/$AC2074-1,$AD2075/$AD2074-1,$AE2075/$AE2074-1,$AG2075/$AG2074-1,$AH2075/$AH2074-1,$AI2075/$AI2074-1,$AJ2075/$AJ2074-1,$AL2075/$AL2074-1,$AM2075/$AM2074-1,$AR2075/$AR2074-1,$AS2075/$AS2074-1,$AT2075/$AT2074-1,$AU2075/$AU2074-1,$AV2075/$AV2074-1,$AW2075/$AW2074-1,$AX2075/$AX2074-1,$AY2075/$AY2074-1),"")</f>
        <v/>
      </c>
      <c r="DW2074" s="66">
        <f>AVERAGE($CB2074,$CC2074,$CD2074,$CE2074,$CF2074,$CG2074,$CH2074,$CI2074,$CJ2074,$CL2074,$CM2074,$CN2074,$CO2074,$CP2074,$CQ2074,$CR2074,$CS2074,$CT2074)</f>
        <v/>
      </c>
      <c r="DX2074" s="66">
        <f>AVERAGE($CB2074,$CC2074,$CM2074,$CE2074,$CP2074)</f>
        <v/>
      </c>
      <c r="DY2074" s="64">
        <f>($DW2074-$DW2075)*100</f>
        <v/>
      </c>
      <c r="DZ2074" s="64">
        <f>($DX2074-$DX2075)*100</f>
        <v/>
      </c>
      <c r="EA2074" s="64">
        <f>($DW2074-$D2074)*100</f>
        <v/>
      </c>
      <c r="EB2074" s="64">
        <f>$Q2074-$O2074</f>
        <v/>
      </c>
      <c r="EC2074" s="67">
        <f>IFERROR($Q2074/$P2074,"")</f>
        <v/>
      </c>
    </row>
    <row r="2075">
      <c r="DG2075" s="64">
        <f>($B2075-$B2076)*100</f>
        <v/>
      </c>
      <c r="DH2075" s="64">
        <f>($D2075-$D2076)*100</f>
        <v/>
      </c>
      <c r="DI2075" s="64">
        <f>($E2075-$E2076)*100</f>
        <v/>
      </c>
      <c r="DJ2075" s="64">
        <f>($H2075-$H2076)*100</f>
        <v/>
      </c>
      <c r="DK2075" s="65">
        <f>IFERROR($J2075/$J2076-1,"")</f>
        <v/>
      </c>
      <c r="DL2075" s="64">
        <f>$L2075-$L2076</f>
        <v/>
      </c>
      <c r="DM2075" s="64">
        <f>$K2075-$K2076</f>
        <v/>
      </c>
      <c r="DN2075" s="65">
        <f>IFERROR($N2075/$N2076-1,"")</f>
        <v/>
      </c>
      <c r="DO2075" s="65">
        <f>IFERROR($M2075/$M2076-1,"")</f>
        <v/>
      </c>
      <c r="DP2075" s="65">
        <f>IFERROR($AZ2075/$AZ2076-1,"")</f>
        <v/>
      </c>
      <c r="DQ2075" s="65">
        <f>IFERROR($BA2075/$BA2076-1,"")</f>
        <v/>
      </c>
      <c r="DR2075" s="64">
        <f>$O2075-$O2076</f>
        <v/>
      </c>
      <c r="DS2075" s="64">
        <f>$P2075-$P2076</f>
        <v/>
      </c>
      <c r="DT2075" s="64">
        <f>$Q2075-$Q2076</f>
        <v/>
      </c>
      <c r="DU2075" s="64">
        <f>$S2075-$S2076</f>
        <v/>
      </c>
      <c r="DV2075" s="65">
        <f>IFERROR(AVERAGE($AA2076/$AA2075-1,$AB2076/$AB2075-1,$AC2076/$AC2075-1,$AD2076/$AD2075-1,$AE2076/$AE2075-1,$AG2076/$AG2075-1,$AH2076/$AH2075-1,$AI2076/$AI2075-1,$AJ2076/$AJ2075-1,$AL2076/$AL2075-1,$AM2076/$AM2075-1,$AR2076/$AR2075-1,$AS2076/$AS2075-1,$AT2076/$AT2075-1,$AU2076/$AU2075-1,$AV2076/$AV2075-1,$AW2076/$AW2075-1,$AX2076/$AX2075-1,$AY2076/$AY2075-1),"")</f>
        <v/>
      </c>
      <c r="DW2075" s="66">
        <f>AVERAGE($CB2075,$CC2075,$CD2075,$CE2075,$CF2075,$CG2075,$CH2075,$CI2075,$CJ2075,$CL2075,$CM2075,$CN2075,$CO2075,$CP2075,$CQ2075,$CR2075,$CS2075,$CT2075)</f>
        <v/>
      </c>
      <c r="DX2075" s="66">
        <f>AVERAGE($CB2075,$CC2075,$CM2075,$CE2075,$CP2075)</f>
        <v/>
      </c>
      <c r="DY2075" s="64">
        <f>($DW2075-$DW2076)*100</f>
        <v/>
      </c>
      <c r="DZ2075" s="64">
        <f>($DX2075-$DX2076)*100</f>
        <v/>
      </c>
      <c r="EA2075" s="64">
        <f>($DW2075-$D2075)*100</f>
        <v/>
      </c>
      <c r="EB2075" s="64">
        <f>$Q2075-$O2075</f>
        <v/>
      </c>
      <c r="EC2075" s="67">
        <f>IFERROR($Q2075/$P2075,"")</f>
        <v/>
      </c>
    </row>
    <row r="2076">
      <c r="DG2076" s="64">
        <f>($B2076-$B2077)*100</f>
        <v/>
      </c>
      <c r="DH2076" s="64">
        <f>($D2076-$D2077)*100</f>
        <v/>
      </c>
      <c r="DI2076" s="64">
        <f>($E2076-$E2077)*100</f>
        <v/>
      </c>
      <c r="DJ2076" s="64">
        <f>($H2076-$H2077)*100</f>
        <v/>
      </c>
      <c r="DK2076" s="65">
        <f>IFERROR($J2076/$J2077-1,"")</f>
        <v/>
      </c>
      <c r="DL2076" s="64">
        <f>$L2076-$L2077</f>
        <v/>
      </c>
      <c r="DM2076" s="64">
        <f>$K2076-$K2077</f>
        <v/>
      </c>
      <c r="DN2076" s="65">
        <f>IFERROR($N2076/$N2077-1,"")</f>
        <v/>
      </c>
      <c r="DO2076" s="65">
        <f>IFERROR($M2076/$M2077-1,"")</f>
        <v/>
      </c>
      <c r="DP2076" s="65">
        <f>IFERROR($AZ2076/$AZ2077-1,"")</f>
        <v/>
      </c>
      <c r="DQ2076" s="65">
        <f>IFERROR($BA2076/$BA2077-1,"")</f>
        <v/>
      </c>
      <c r="DR2076" s="64">
        <f>$O2076-$O2077</f>
        <v/>
      </c>
      <c r="DS2076" s="64">
        <f>$P2076-$P2077</f>
        <v/>
      </c>
      <c r="DT2076" s="64">
        <f>$Q2076-$Q2077</f>
        <v/>
      </c>
      <c r="DU2076" s="64">
        <f>$S2076-$S2077</f>
        <v/>
      </c>
      <c r="DV2076" s="65">
        <f>IFERROR(AVERAGE($AA2077/$AA2076-1,$AB2077/$AB2076-1,$AC2077/$AC2076-1,$AD2077/$AD2076-1,$AE2077/$AE2076-1,$AG2077/$AG2076-1,$AH2077/$AH2076-1,$AI2077/$AI2076-1,$AJ2077/$AJ2076-1,$AL2077/$AL2076-1,$AM2077/$AM2076-1,$AR2077/$AR2076-1,$AS2077/$AS2076-1,$AT2077/$AT2076-1,$AU2077/$AU2076-1,$AV2077/$AV2076-1,$AW2077/$AW2076-1,$AX2077/$AX2076-1,$AY2077/$AY2076-1),"")</f>
        <v/>
      </c>
      <c r="DW2076" s="66">
        <f>AVERAGE($CB2076,$CC2076,$CD2076,$CE2076,$CF2076,$CG2076,$CH2076,$CI2076,$CJ2076,$CL2076,$CM2076,$CN2076,$CO2076,$CP2076,$CQ2076,$CR2076,$CS2076,$CT2076)</f>
        <v/>
      </c>
      <c r="DX2076" s="66">
        <f>AVERAGE($CB2076,$CC2076,$CM2076,$CE2076,$CP2076)</f>
        <v/>
      </c>
      <c r="DY2076" s="64">
        <f>($DW2076-$DW2077)*100</f>
        <v/>
      </c>
      <c r="DZ2076" s="64">
        <f>($DX2076-$DX2077)*100</f>
        <v/>
      </c>
      <c r="EA2076" s="64">
        <f>($DW2076-$D2076)*100</f>
        <v/>
      </c>
      <c r="EB2076" s="64">
        <f>$Q2076-$O2076</f>
        <v/>
      </c>
      <c r="EC2076" s="67">
        <f>IFERROR($Q2076/$P2076,"")</f>
        <v/>
      </c>
    </row>
    <row r="2077">
      <c r="DG2077" s="64">
        <f>($B2077-$B2078)*100</f>
        <v/>
      </c>
      <c r="DH2077" s="64">
        <f>($D2077-$D2078)*100</f>
        <v/>
      </c>
      <c r="DI2077" s="64">
        <f>($E2077-$E2078)*100</f>
        <v/>
      </c>
      <c r="DJ2077" s="64">
        <f>($H2077-$H2078)*100</f>
        <v/>
      </c>
      <c r="DK2077" s="65">
        <f>IFERROR($J2077/$J2078-1,"")</f>
        <v/>
      </c>
      <c r="DL2077" s="64">
        <f>$L2077-$L2078</f>
        <v/>
      </c>
      <c r="DM2077" s="64">
        <f>$K2077-$K2078</f>
        <v/>
      </c>
      <c r="DN2077" s="65">
        <f>IFERROR($N2077/$N2078-1,"")</f>
        <v/>
      </c>
      <c r="DO2077" s="65">
        <f>IFERROR($M2077/$M2078-1,"")</f>
        <v/>
      </c>
      <c r="DP2077" s="65">
        <f>IFERROR($AZ2077/$AZ2078-1,"")</f>
        <v/>
      </c>
      <c r="DQ2077" s="65">
        <f>IFERROR($BA2077/$BA2078-1,"")</f>
        <v/>
      </c>
      <c r="DR2077" s="64">
        <f>$O2077-$O2078</f>
        <v/>
      </c>
      <c r="DS2077" s="64">
        <f>$P2077-$P2078</f>
        <v/>
      </c>
      <c r="DT2077" s="64">
        <f>$Q2077-$Q2078</f>
        <v/>
      </c>
      <c r="DU2077" s="64">
        <f>$S2077-$S2078</f>
        <v/>
      </c>
      <c r="DV2077" s="65">
        <f>IFERROR(AVERAGE($AA2078/$AA2077-1,$AB2078/$AB2077-1,$AC2078/$AC2077-1,$AD2078/$AD2077-1,$AE2078/$AE2077-1,$AG2078/$AG2077-1,$AH2078/$AH2077-1,$AI2078/$AI2077-1,$AJ2078/$AJ2077-1,$AL2078/$AL2077-1,$AM2078/$AM2077-1,$AR2078/$AR2077-1,$AS2078/$AS2077-1,$AT2078/$AT2077-1,$AU2078/$AU2077-1,$AV2078/$AV2077-1,$AW2078/$AW2077-1,$AX2078/$AX2077-1,$AY2078/$AY2077-1),"")</f>
        <v/>
      </c>
      <c r="DW2077" s="66">
        <f>AVERAGE($CB2077,$CC2077,$CD2077,$CE2077,$CF2077,$CG2077,$CH2077,$CI2077,$CJ2077,$CL2077,$CM2077,$CN2077,$CO2077,$CP2077,$CQ2077,$CR2077,$CS2077,$CT2077)</f>
        <v/>
      </c>
      <c r="DX2077" s="66">
        <f>AVERAGE($CB2077,$CC2077,$CM2077,$CE2077,$CP2077)</f>
        <v/>
      </c>
      <c r="DY2077" s="64">
        <f>($DW2077-$DW2078)*100</f>
        <v/>
      </c>
      <c r="DZ2077" s="64">
        <f>($DX2077-$DX2078)*100</f>
        <v/>
      </c>
      <c r="EA2077" s="64">
        <f>($DW2077-$D2077)*100</f>
        <v/>
      </c>
      <c r="EB2077" s="64">
        <f>$Q2077-$O2077</f>
        <v/>
      </c>
      <c r="EC2077" s="67">
        <f>IFERROR($Q2077/$P2077,"")</f>
        <v/>
      </c>
    </row>
    <row r="2078">
      <c r="DG2078" s="64">
        <f>($B2078-$B2079)*100</f>
        <v/>
      </c>
      <c r="DH2078" s="64">
        <f>($D2078-$D2079)*100</f>
        <v/>
      </c>
      <c r="DI2078" s="64">
        <f>($E2078-$E2079)*100</f>
        <v/>
      </c>
      <c r="DJ2078" s="64">
        <f>($H2078-$H2079)*100</f>
        <v/>
      </c>
      <c r="DK2078" s="65">
        <f>IFERROR($J2078/$J2079-1,"")</f>
        <v/>
      </c>
      <c r="DL2078" s="64">
        <f>$L2078-$L2079</f>
        <v/>
      </c>
      <c r="DM2078" s="64">
        <f>$K2078-$K2079</f>
        <v/>
      </c>
      <c r="DN2078" s="65">
        <f>IFERROR($N2078/$N2079-1,"")</f>
        <v/>
      </c>
      <c r="DO2078" s="65">
        <f>IFERROR($M2078/$M2079-1,"")</f>
        <v/>
      </c>
      <c r="DP2078" s="65">
        <f>IFERROR($AZ2078/$AZ2079-1,"")</f>
        <v/>
      </c>
      <c r="DQ2078" s="65">
        <f>IFERROR($BA2078/$BA2079-1,"")</f>
        <v/>
      </c>
      <c r="DR2078" s="64">
        <f>$O2078-$O2079</f>
        <v/>
      </c>
      <c r="DS2078" s="64">
        <f>$P2078-$P2079</f>
        <v/>
      </c>
      <c r="DT2078" s="64">
        <f>$Q2078-$Q2079</f>
        <v/>
      </c>
      <c r="DU2078" s="64">
        <f>$S2078-$S2079</f>
        <v/>
      </c>
      <c r="DV2078" s="65">
        <f>IFERROR(AVERAGE($AA2079/$AA2078-1,$AB2079/$AB2078-1,$AC2079/$AC2078-1,$AD2079/$AD2078-1,$AE2079/$AE2078-1,$AG2079/$AG2078-1,$AH2079/$AH2078-1,$AI2079/$AI2078-1,$AJ2079/$AJ2078-1,$AL2079/$AL2078-1,$AM2079/$AM2078-1,$AR2079/$AR2078-1,$AS2079/$AS2078-1,$AT2079/$AT2078-1,$AU2079/$AU2078-1,$AV2079/$AV2078-1,$AW2079/$AW2078-1,$AX2079/$AX2078-1,$AY2079/$AY2078-1),"")</f>
        <v/>
      </c>
      <c r="DW2078" s="66">
        <f>AVERAGE($CB2078,$CC2078,$CD2078,$CE2078,$CF2078,$CG2078,$CH2078,$CI2078,$CJ2078,$CL2078,$CM2078,$CN2078,$CO2078,$CP2078,$CQ2078,$CR2078,$CS2078,$CT2078)</f>
        <v/>
      </c>
      <c r="DX2078" s="66">
        <f>AVERAGE($CB2078,$CC2078,$CM2078,$CE2078,$CP2078)</f>
        <v/>
      </c>
      <c r="DY2078" s="64">
        <f>($DW2078-$DW2079)*100</f>
        <v/>
      </c>
      <c r="DZ2078" s="64">
        <f>($DX2078-$DX2079)*100</f>
        <v/>
      </c>
      <c r="EA2078" s="64">
        <f>($DW2078-$D2078)*100</f>
        <v/>
      </c>
      <c r="EB2078" s="64">
        <f>$Q2078-$O2078</f>
        <v/>
      </c>
      <c r="EC2078" s="67">
        <f>IFERROR($Q2078/$P2078,"")</f>
        <v/>
      </c>
    </row>
    <row r="2079">
      <c r="DG2079" s="64">
        <f>($B2079-$B2080)*100</f>
        <v/>
      </c>
      <c r="DH2079" s="64">
        <f>($D2079-$D2080)*100</f>
        <v/>
      </c>
      <c r="DI2079" s="64">
        <f>($E2079-$E2080)*100</f>
        <v/>
      </c>
      <c r="DJ2079" s="64">
        <f>($H2079-$H2080)*100</f>
        <v/>
      </c>
      <c r="DK2079" s="65">
        <f>IFERROR($J2079/$J2080-1,"")</f>
        <v/>
      </c>
      <c r="DL2079" s="64">
        <f>$L2079-$L2080</f>
        <v/>
      </c>
      <c r="DM2079" s="64">
        <f>$K2079-$K2080</f>
        <v/>
      </c>
      <c r="DN2079" s="65">
        <f>IFERROR($N2079/$N2080-1,"")</f>
        <v/>
      </c>
      <c r="DO2079" s="65">
        <f>IFERROR($M2079/$M2080-1,"")</f>
        <v/>
      </c>
      <c r="DP2079" s="65">
        <f>IFERROR($AZ2079/$AZ2080-1,"")</f>
        <v/>
      </c>
      <c r="DQ2079" s="65">
        <f>IFERROR($BA2079/$BA2080-1,"")</f>
        <v/>
      </c>
      <c r="DR2079" s="64">
        <f>$O2079-$O2080</f>
        <v/>
      </c>
      <c r="DS2079" s="64">
        <f>$P2079-$P2080</f>
        <v/>
      </c>
      <c r="DT2079" s="64">
        <f>$Q2079-$Q2080</f>
        <v/>
      </c>
      <c r="DU2079" s="64">
        <f>$S2079-$S2080</f>
        <v/>
      </c>
      <c r="DV2079" s="65">
        <f>IFERROR(AVERAGE($AA2080/$AA2079-1,$AB2080/$AB2079-1,$AC2080/$AC2079-1,$AD2080/$AD2079-1,$AE2080/$AE2079-1,$AG2080/$AG2079-1,$AH2080/$AH2079-1,$AI2080/$AI2079-1,$AJ2080/$AJ2079-1,$AL2080/$AL2079-1,$AM2080/$AM2079-1,$AR2080/$AR2079-1,$AS2080/$AS2079-1,$AT2080/$AT2079-1,$AU2080/$AU2079-1,$AV2080/$AV2079-1,$AW2080/$AW2079-1,$AX2080/$AX2079-1,$AY2080/$AY2079-1),"")</f>
        <v/>
      </c>
      <c r="DW2079" s="66">
        <f>AVERAGE($CB2079,$CC2079,$CD2079,$CE2079,$CF2079,$CG2079,$CH2079,$CI2079,$CJ2079,$CL2079,$CM2079,$CN2079,$CO2079,$CP2079,$CQ2079,$CR2079,$CS2079,$CT2079)</f>
        <v/>
      </c>
      <c r="DX2079" s="66">
        <f>AVERAGE($CB2079,$CC2079,$CM2079,$CE2079,$CP2079)</f>
        <v/>
      </c>
      <c r="DY2079" s="64">
        <f>($DW2079-$DW2080)*100</f>
        <v/>
      </c>
      <c r="DZ2079" s="64">
        <f>($DX2079-$DX2080)*100</f>
        <v/>
      </c>
      <c r="EA2079" s="64">
        <f>($DW2079-$D2079)*100</f>
        <v/>
      </c>
      <c r="EB2079" s="64">
        <f>$Q2079-$O2079</f>
        <v/>
      </c>
      <c r="EC2079" s="67">
        <f>IFERROR($Q2079/$P2079,"")</f>
        <v/>
      </c>
    </row>
    <row r="2080">
      <c r="DG2080" s="64">
        <f>($B2080-$B2081)*100</f>
        <v/>
      </c>
      <c r="DH2080" s="64">
        <f>($D2080-$D2081)*100</f>
        <v/>
      </c>
      <c r="DI2080" s="64">
        <f>($E2080-$E2081)*100</f>
        <v/>
      </c>
      <c r="DJ2080" s="64">
        <f>($H2080-$H2081)*100</f>
        <v/>
      </c>
      <c r="DK2080" s="65">
        <f>IFERROR($J2080/$J2081-1,"")</f>
        <v/>
      </c>
      <c r="DL2080" s="64">
        <f>$L2080-$L2081</f>
        <v/>
      </c>
      <c r="DM2080" s="64">
        <f>$K2080-$K2081</f>
        <v/>
      </c>
      <c r="DN2080" s="65">
        <f>IFERROR($N2080/$N2081-1,"")</f>
        <v/>
      </c>
      <c r="DO2080" s="65">
        <f>IFERROR($M2080/$M2081-1,"")</f>
        <v/>
      </c>
      <c r="DP2080" s="65">
        <f>IFERROR($AZ2080/$AZ2081-1,"")</f>
        <v/>
      </c>
      <c r="DQ2080" s="65">
        <f>IFERROR($BA2080/$BA2081-1,"")</f>
        <v/>
      </c>
      <c r="DR2080" s="64">
        <f>$O2080-$O2081</f>
        <v/>
      </c>
      <c r="DS2080" s="64">
        <f>$P2080-$P2081</f>
        <v/>
      </c>
      <c r="DT2080" s="64">
        <f>$Q2080-$Q2081</f>
        <v/>
      </c>
      <c r="DU2080" s="64">
        <f>$S2080-$S2081</f>
        <v/>
      </c>
      <c r="DV2080" s="65">
        <f>IFERROR(AVERAGE($AA2081/$AA2080-1,$AB2081/$AB2080-1,$AC2081/$AC2080-1,$AD2081/$AD2080-1,$AE2081/$AE2080-1,$AG2081/$AG2080-1,$AH2081/$AH2080-1,$AI2081/$AI2080-1,$AJ2081/$AJ2080-1,$AL2081/$AL2080-1,$AM2081/$AM2080-1,$AR2081/$AR2080-1,$AS2081/$AS2080-1,$AT2081/$AT2080-1,$AU2081/$AU2080-1,$AV2081/$AV2080-1,$AW2081/$AW2080-1,$AX2081/$AX2080-1,$AY2081/$AY2080-1),"")</f>
        <v/>
      </c>
      <c r="DW2080" s="66">
        <f>AVERAGE($CB2080,$CC2080,$CD2080,$CE2080,$CF2080,$CG2080,$CH2080,$CI2080,$CJ2080,$CL2080,$CM2080,$CN2080,$CO2080,$CP2080,$CQ2080,$CR2080,$CS2080,$CT2080)</f>
        <v/>
      </c>
      <c r="DX2080" s="66">
        <f>AVERAGE($CB2080,$CC2080,$CM2080,$CE2080,$CP2080)</f>
        <v/>
      </c>
      <c r="DY2080" s="64">
        <f>($DW2080-$DW2081)*100</f>
        <v/>
      </c>
      <c r="DZ2080" s="64">
        <f>($DX2080-$DX2081)*100</f>
        <v/>
      </c>
      <c r="EA2080" s="64">
        <f>($DW2080-$D2080)*100</f>
        <v/>
      </c>
      <c r="EB2080" s="64">
        <f>$Q2080-$O2080</f>
        <v/>
      </c>
      <c r="EC2080" s="67">
        <f>IFERROR($Q2080/$P2080,"")</f>
        <v/>
      </c>
    </row>
    <row r="2081">
      <c r="DG2081" s="64">
        <f>($B2081-$B2082)*100</f>
        <v/>
      </c>
      <c r="DH2081" s="64">
        <f>($D2081-$D2082)*100</f>
        <v/>
      </c>
      <c r="DI2081" s="64">
        <f>($E2081-$E2082)*100</f>
        <v/>
      </c>
      <c r="DJ2081" s="64">
        <f>($H2081-$H2082)*100</f>
        <v/>
      </c>
      <c r="DK2081" s="65">
        <f>IFERROR($J2081/$J2082-1,"")</f>
        <v/>
      </c>
      <c r="DL2081" s="64">
        <f>$L2081-$L2082</f>
        <v/>
      </c>
      <c r="DM2081" s="64">
        <f>$K2081-$K2082</f>
        <v/>
      </c>
      <c r="DN2081" s="65">
        <f>IFERROR($N2081/$N2082-1,"")</f>
        <v/>
      </c>
      <c r="DO2081" s="65">
        <f>IFERROR($M2081/$M2082-1,"")</f>
        <v/>
      </c>
      <c r="DP2081" s="65">
        <f>IFERROR($AZ2081/$AZ2082-1,"")</f>
        <v/>
      </c>
      <c r="DQ2081" s="65">
        <f>IFERROR($BA2081/$BA2082-1,"")</f>
        <v/>
      </c>
      <c r="DR2081" s="64">
        <f>$O2081-$O2082</f>
        <v/>
      </c>
      <c r="DS2081" s="64">
        <f>$P2081-$P2082</f>
        <v/>
      </c>
      <c r="DT2081" s="64">
        <f>$Q2081-$Q2082</f>
        <v/>
      </c>
      <c r="DU2081" s="64">
        <f>$S2081-$S2082</f>
        <v/>
      </c>
      <c r="DV2081" s="65">
        <f>IFERROR(AVERAGE($AA2082/$AA2081-1,$AB2082/$AB2081-1,$AC2082/$AC2081-1,$AD2082/$AD2081-1,$AE2082/$AE2081-1,$AG2082/$AG2081-1,$AH2082/$AH2081-1,$AI2082/$AI2081-1,$AJ2082/$AJ2081-1,$AL2082/$AL2081-1,$AM2082/$AM2081-1,$AR2082/$AR2081-1,$AS2082/$AS2081-1,$AT2082/$AT2081-1,$AU2082/$AU2081-1,$AV2082/$AV2081-1,$AW2082/$AW2081-1,$AX2082/$AX2081-1,$AY2082/$AY2081-1),"")</f>
        <v/>
      </c>
      <c r="DW2081" s="66">
        <f>AVERAGE($CB2081,$CC2081,$CD2081,$CE2081,$CF2081,$CG2081,$CH2081,$CI2081,$CJ2081,$CL2081,$CM2081,$CN2081,$CO2081,$CP2081,$CQ2081,$CR2081,$CS2081,$CT2081)</f>
        <v/>
      </c>
      <c r="DX2081" s="66">
        <f>AVERAGE($CB2081,$CC2081,$CM2081,$CE2081,$CP2081)</f>
        <v/>
      </c>
      <c r="DY2081" s="64">
        <f>($DW2081-$DW2082)*100</f>
        <v/>
      </c>
      <c r="DZ2081" s="64">
        <f>($DX2081-$DX2082)*100</f>
        <v/>
      </c>
      <c r="EA2081" s="64">
        <f>($DW2081-$D2081)*100</f>
        <v/>
      </c>
      <c r="EB2081" s="64">
        <f>$Q2081-$O2081</f>
        <v/>
      </c>
      <c r="EC2081" s="67">
        <f>IFERROR($Q2081/$P2081,"")</f>
        <v/>
      </c>
    </row>
    <row r="2082">
      <c r="DG2082" s="64">
        <f>($B2082-$B2083)*100</f>
        <v/>
      </c>
      <c r="DH2082" s="64">
        <f>($D2082-$D2083)*100</f>
        <v/>
      </c>
      <c r="DI2082" s="64">
        <f>($E2082-$E2083)*100</f>
        <v/>
      </c>
      <c r="DJ2082" s="64">
        <f>($H2082-$H2083)*100</f>
        <v/>
      </c>
      <c r="DK2082" s="65">
        <f>IFERROR($J2082/$J2083-1,"")</f>
        <v/>
      </c>
      <c r="DL2082" s="64">
        <f>$L2082-$L2083</f>
        <v/>
      </c>
      <c r="DM2082" s="64">
        <f>$K2082-$K2083</f>
        <v/>
      </c>
      <c r="DN2082" s="65">
        <f>IFERROR($N2082/$N2083-1,"")</f>
        <v/>
      </c>
      <c r="DO2082" s="65">
        <f>IFERROR($M2082/$M2083-1,"")</f>
        <v/>
      </c>
      <c r="DP2082" s="65">
        <f>IFERROR($AZ2082/$AZ2083-1,"")</f>
        <v/>
      </c>
      <c r="DQ2082" s="65">
        <f>IFERROR($BA2082/$BA2083-1,"")</f>
        <v/>
      </c>
      <c r="DR2082" s="64">
        <f>$O2082-$O2083</f>
        <v/>
      </c>
      <c r="DS2082" s="64">
        <f>$P2082-$P2083</f>
        <v/>
      </c>
      <c r="DT2082" s="64">
        <f>$Q2082-$Q2083</f>
        <v/>
      </c>
      <c r="DU2082" s="64">
        <f>$S2082-$S2083</f>
        <v/>
      </c>
      <c r="DV2082" s="65">
        <f>IFERROR(AVERAGE($AA2083/$AA2082-1,$AB2083/$AB2082-1,$AC2083/$AC2082-1,$AD2083/$AD2082-1,$AE2083/$AE2082-1,$AG2083/$AG2082-1,$AH2083/$AH2082-1,$AI2083/$AI2082-1,$AJ2083/$AJ2082-1,$AL2083/$AL2082-1,$AM2083/$AM2082-1,$AR2083/$AR2082-1,$AS2083/$AS2082-1,$AT2083/$AT2082-1,$AU2083/$AU2082-1,$AV2083/$AV2082-1,$AW2083/$AW2082-1,$AX2083/$AX2082-1,$AY2083/$AY2082-1),"")</f>
        <v/>
      </c>
      <c r="DW2082" s="66">
        <f>AVERAGE($CB2082,$CC2082,$CD2082,$CE2082,$CF2082,$CG2082,$CH2082,$CI2082,$CJ2082,$CL2082,$CM2082,$CN2082,$CO2082,$CP2082,$CQ2082,$CR2082,$CS2082,$CT2082)</f>
        <v/>
      </c>
      <c r="DX2082" s="66">
        <f>AVERAGE($CB2082,$CC2082,$CM2082,$CE2082,$CP2082)</f>
        <v/>
      </c>
      <c r="DY2082" s="64">
        <f>($DW2082-$DW2083)*100</f>
        <v/>
      </c>
      <c r="DZ2082" s="64">
        <f>($DX2082-$DX2083)*100</f>
        <v/>
      </c>
      <c r="EA2082" s="64">
        <f>($DW2082-$D2082)*100</f>
        <v/>
      </c>
      <c r="EB2082" s="64">
        <f>$Q2082-$O2082</f>
        <v/>
      </c>
      <c r="EC2082" s="67">
        <f>IFERROR($Q2082/$P2082,"")</f>
        <v/>
      </c>
    </row>
    <row r="2083">
      <c r="DG2083" s="64">
        <f>($B2083-$B2084)*100</f>
        <v/>
      </c>
      <c r="DH2083" s="64">
        <f>($D2083-$D2084)*100</f>
        <v/>
      </c>
      <c r="DI2083" s="64">
        <f>($E2083-$E2084)*100</f>
        <v/>
      </c>
      <c r="DJ2083" s="64">
        <f>($H2083-$H2084)*100</f>
        <v/>
      </c>
      <c r="DK2083" s="65">
        <f>IFERROR($J2083/$J2084-1,"")</f>
        <v/>
      </c>
      <c r="DL2083" s="64">
        <f>$L2083-$L2084</f>
        <v/>
      </c>
      <c r="DM2083" s="64">
        <f>$K2083-$K2084</f>
        <v/>
      </c>
      <c r="DN2083" s="65">
        <f>IFERROR($N2083/$N2084-1,"")</f>
        <v/>
      </c>
      <c r="DO2083" s="65">
        <f>IFERROR($M2083/$M2084-1,"")</f>
        <v/>
      </c>
      <c r="DP2083" s="65">
        <f>IFERROR($AZ2083/$AZ2084-1,"")</f>
        <v/>
      </c>
      <c r="DQ2083" s="65">
        <f>IFERROR($BA2083/$BA2084-1,"")</f>
        <v/>
      </c>
      <c r="DR2083" s="64">
        <f>$O2083-$O2084</f>
        <v/>
      </c>
      <c r="DS2083" s="64">
        <f>$P2083-$P2084</f>
        <v/>
      </c>
      <c r="DT2083" s="64">
        <f>$Q2083-$Q2084</f>
        <v/>
      </c>
      <c r="DU2083" s="64">
        <f>$S2083-$S2084</f>
        <v/>
      </c>
      <c r="DV2083" s="65">
        <f>IFERROR(AVERAGE($AA2084/$AA2083-1,$AB2084/$AB2083-1,$AC2084/$AC2083-1,$AD2084/$AD2083-1,$AE2084/$AE2083-1,$AG2084/$AG2083-1,$AH2084/$AH2083-1,$AI2084/$AI2083-1,$AJ2084/$AJ2083-1,$AL2084/$AL2083-1,$AM2084/$AM2083-1,$AR2084/$AR2083-1,$AS2084/$AS2083-1,$AT2084/$AT2083-1,$AU2084/$AU2083-1,$AV2084/$AV2083-1,$AW2084/$AW2083-1,$AX2084/$AX2083-1,$AY2084/$AY2083-1),"")</f>
        <v/>
      </c>
      <c r="DW2083" s="66">
        <f>AVERAGE($CB2083,$CC2083,$CD2083,$CE2083,$CF2083,$CG2083,$CH2083,$CI2083,$CJ2083,$CL2083,$CM2083,$CN2083,$CO2083,$CP2083,$CQ2083,$CR2083,$CS2083,$CT2083)</f>
        <v/>
      </c>
      <c r="DX2083" s="66">
        <f>AVERAGE($CB2083,$CC2083,$CM2083,$CE2083,$CP2083)</f>
        <v/>
      </c>
      <c r="DY2083" s="64">
        <f>($DW2083-$DW2084)*100</f>
        <v/>
      </c>
      <c r="DZ2083" s="64">
        <f>($DX2083-$DX2084)*100</f>
        <v/>
      </c>
      <c r="EA2083" s="64">
        <f>($DW2083-$D2083)*100</f>
        <v/>
      </c>
      <c r="EB2083" s="64">
        <f>$Q2083-$O2083</f>
        <v/>
      </c>
      <c r="EC2083" s="67">
        <f>IFERROR($Q2083/$P2083,"")</f>
        <v/>
      </c>
    </row>
    <row r="2084">
      <c r="DG2084" s="64">
        <f>($B2084-$B2085)*100</f>
        <v/>
      </c>
      <c r="DH2084" s="64">
        <f>($D2084-$D2085)*100</f>
        <v/>
      </c>
      <c r="DI2084" s="64">
        <f>($E2084-$E2085)*100</f>
        <v/>
      </c>
      <c r="DJ2084" s="64">
        <f>($H2084-$H2085)*100</f>
        <v/>
      </c>
      <c r="DK2084" s="65">
        <f>IFERROR($J2084/$J2085-1,"")</f>
        <v/>
      </c>
      <c r="DL2084" s="64">
        <f>$L2084-$L2085</f>
        <v/>
      </c>
      <c r="DM2084" s="64">
        <f>$K2084-$K2085</f>
        <v/>
      </c>
      <c r="DN2084" s="65">
        <f>IFERROR($N2084/$N2085-1,"")</f>
        <v/>
      </c>
      <c r="DO2084" s="65">
        <f>IFERROR($M2084/$M2085-1,"")</f>
        <v/>
      </c>
      <c r="DP2084" s="65">
        <f>IFERROR($AZ2084/$AZ2085-1,"")</f>
        <v/>
      </c>
      <c r="DQ2084" s="65">
        <f>IFERROR($BA2084/$BA2085-1,"")</f>
        <v/>
      </c>
      <c r="DR2084" s="64">
        <f>$O2084-$O2085</f>
        <v/>
      </c>
      <c r="DS2084" s="64">
        <f>$P2084-$P2085</f>
        <v/>
      </c>
      <c r="DT2084" s="64">
        <f>$Q2084-$Q2085</f>
        <v/>
      </c>
      <c r="DU2084" s="64">
        <f>$S2084-$S2085</f>
        <v/>
      </c>
      <c r="DV2084" s="65">
        <f>IFERROR(AVERAGE($AA2085/$AA2084-1,$AB2085/$AB2084-1,$AC2085/$AC2084-1,$AD2085/$AD2084-1,$AE2085/$AE2084-1,$AG2085/$AG2084-1,$AH2085/$AH2084-1,$AI2085/$AI2084-1,$AJ2085/$AJ2084-1,$AL2085/$AL2084-1,$AM2085/$AM2084-1,$AR2085/$AR2084-1,$AS2085/$AS2084-1,$AT2085/$AT2084-1,$AU2085/$AU2084-1,$AV2085/$AV2084-1,$AW2085/$AW2084-1,$AX2085/$AX2084-1,$AY2085/$AY2084-1),"")</f>
        <v/>
      </c>
      <c r="DW2084" s="66">
        <f>AVERAGE($CB2084,$CC2084,$CD2084,$CE2084,$CF2084,$CG2084,$CH2084,$CI2084,$CJ2084,$CL2084,$CM2084,$CN2084,$CO2084,$CP2084,$CQ2084,$CR2084,$CS2084,$CT2084)</f>
        <v/>
      </c>
      <c r="DX2084" s="66">
        <f>AVERAGE($CB2084,$CC2084,$CM2084,$CE2084,$CP2084)</f>
        <v/>
      </c>
      <c r="DY2084" s="64">
        <f>($DW2084-$DW2085)*100</f>
        <v/>
      </c>
      <c r="DZ2084" s="64">
        <f>($DX2084-$DX2085)*100</f>
        <v/>
      </c>
      <c r="EA2084" s="64">
        <f>($DW2084-$D2084)*100</f>
        <v/>
      </c>
      <c r="EB2084" s="64">
        <f>$Q2084-$O2084</f>
        <v/>
      </c>
      <c r="EC2084" s="67">
        <f>IFERROR($Q2084/$P2084,"")</f>
        <v/>
      </c>
    </row>
    <row r="2085">
      <c r="DG2085" s="64">
        <f>($B2085-$B2086)*100</f>
        <v/>
      </c>
      <c r="DH2085" s="64">
        <f>($D2085-$D2086)*100</f>
        <v/>
      </c>
      <c r="DI2085" s="64">
        <f>($E2085-$E2086)*100</f>
        <v/>
      </c>
      <c r="DJ2085" s="64">
        <f>($H2085-$H2086)*100</f>
        <v/>
      </c>
      <c r="DK2085" s="65">
        <f>IFERROR($J2085/$J2086-1,"")</f>
        <v/>
      </c>
      <c r="DL2085" s="64">
        <f>$L2085-$L2086</f>
        <v/>
      </c>
      <c r="DM2085" s="64">
        <f>$K2085-$K2086</f>
        <v/>
      </c>
      <c r="DN2085" s="65">
        <f>IFERROR($N2085/$N2086-1,"")</f>
        <v/>
      </c>
      <c r="DO2085" s="65">
        <f>IFERROR($M2085/$M2086-1,"")</f>
        <v/>
      </c>
      <c r="DP2085" s="65">
        <f>IFERROR($AZ2085/$AZ2086-1,"")</f>
        <v/>
      </c>
      <c r="DQ2085" s="65">
        <f>IFERROR($BA2085/$BA2086-1,"")</f>
        <v/>
      </c>
      <c r="DR2085" s="64">
        <f>$O2085-$O2086</f>
        <v/>
      </c>
      <c r="DS2085" s="64">
        <f>$P2085-$P2086</f>
        <v/>
      </c>
      <c r="DT2085" s="64">
        <f>$Q2085-$Q2086</f>
        <v/>
      </c>
      <c r="DU2085" s="64">
        <f>$S2085-$S2086</f>
        <v/>
      </c>
      <c r="DV2085" s="65">
        <f>IFERROR(AVERAGE($AA2086/$AA2085-1,$AB2086/$AB2085-1,$AC2086/$AC2085-1,$AD2086/$AD2085-1,$AE2086/$AE2085-1,$AG2086/$AG2085-1,$AH2086/$AH2085-1,$AI2086/$AI2085-1,$AJ2086/$AJ2085-1,$AL2086/$AL2085-1,$AM2086/$AM2085-1,$AR2086/$AR2085-1,$AS2086/$AS2085-1,$AT2086/$AT2085-1,$AU2086/$AU2085-1,$AV2086/$AV2085-1,$AW2086/$AW2085-1,$AX2086/$AX2085-1,$AY2086/$AY2085-1),"")</f>
        <v/>
      </c>
      <c r="DW2085" s="66">
        <f>AVERAGE($CB2085,$CC2085,$CD2085,$CE2085,$CF2085,$CG2085,$CH2085,$CI2085,$CJ2085,$CL2085,$CM2085,$CN2085,$CO2085,$CP2085,$CQ2085,$CR2085,$CS2085,$CT2085)</f>
        <v/>
      </c>
      <c r="DX2085" s="66">
        <f>AVERAGE($CB2085,$CC2085,$CM2085,$CE2085,$CP2085)</f>
        <v/>
      </c>
      <c r="DY2085" s="64">
        <f>($DW2085-$DW2086)*100</f>
        <v/>
      </c>
      <c r="DZ2085" s="64">
        <f>($DX2085-$DX2086)*100</f>
        <v/>
      </c>
      <c r="EA2085" s="64">
        <f>($DW2085-$D2085)*100</f>
        <v/>
      </c>
      <c r="EB2085" s="64">
        <f>$Q2085-$O2085</f>
        <v/>
      </c>
      <c r="EC2085" s="67">
        <f>IFERROR($Q2085/$P2085,"")</f>
        <v/>
      </c>
    </row>
    <row r="2086">
      <c r="DG2086" s="64">
        <f>($B2086-$B2087)*100</f>
        <v/>
      </c>
      <c r="DH2086" s="64">
        <f>($D2086-$D2087)*100</f>
        <v/>
      </c>
      <c r="DI2086" s="64">
        <f>($E2086-$E2087)*100</f>
        <v/>
      </c>
      <c r="DJ2086" s="64">
        <f>($H2086-$H2087)*100</f>
        <v/>
      </c>
      <c r="DK2086" s="65">
        <f>IFERROR($J2086/$J2087-1,"")</f>
        <v/>
      </c>
      <c r="DL2086" s="64">
        <f>$L2086-$L2087</f>
        <v/>
      </c>
      <c r="DM2086" s="64">
        <f>$K2086-$K2087</f>
        <v/>
      </c>
      <c r="DN2086" s="65">
        <f>IFERROR($N2086/$N2087-1,"")</f>
        <v/>
      </c>
      <c r="DO2086" s="65">
        <f>IFERROR($M2086/$M2087-1,"")</f>
        <v/>
      </c>
      <c r="DP2086" s="65">
        <f>IFERROR($AZ2086/$AZ2087-1,"")</f>
        <v/>
      </c>
      <c r="DQ2086" s="65">
        <f>IFERROR($BA2086/$BA2087-1,"")</f>
        <v/>
      </c>
      <c r="DR2086" s="64">
        <f>$O2086-$O2087</f>
        <v/>
      </c>
      <c r="DS2086" s="64">
        <f>$P2086-$P2087</f>
        <v/>
      </c>
      <c r="DT2086" s="64">
        <f>$Q2086-$Q2087</f>
        <v/>
      </c>
      <c r="DU2086" s="64">
        <f>$S2086-$S2087</f>
        <v/>
      </c>
      <c r="DV2086" s="65">
        <f>IFERROR(AVERAGE($AA2087/$AA2086-1,$AB2087/$AB2086-1,$AC2087/$AC2086-1,$AD2087/$AD2086-1,$AE2087/$AE2086-1,$AG2087/$AG2086-1,$AH2087/$AH2086-1,$AI2087/$AI2086-1,$AJ2087/$AJ2086-1,$AL2087/$AL2086-1,$AM2087/$AM2086-1,$AR2087/$AR2086-1,$AS2087/$AS2086-1,$AT2087/$AT2086-1,$AU2087/$AU2086-1,$AV2087/$AV2086-1,$AW2087/$AW2086-1,$AX2087/$AX2086-1,$AY2087/$AY2086-1),"")</f>
        <v/>
      </c>
      <c r="DW2086" s="66">
        <f>AVERAGE($CB2086,$CC2086,$CD2086,$CE2086,$CF2086,$CG2086,$CH2086,$CI2086,$CJ2086,$CL2086,$CM2086,$CN2086,$CO2086,$CP2086,$CQ2086,$CR2086,$CS2086,$CT2086)</f>
        <v/>
      </c>
      <c r="DX2086" s="66">
        <f>AVERAGE($CB2086,$CC2086,$CM2086,$CE2086,$CP2086)</f>
        <v/>
      </c>
      <c r="DY2086" s="64">
        <f>($DW2086-$DW2087)*100</f>
        <v/>
      </c>
      <c r="DZ2086" s="64">
        <f>($DX2086-$DX2087)*100</f>
        <v/>
      </c>
      <c r="EA2086" s="64">
        <f>($DW2086-$D2086)*100</f>
        <v/>
      </c>
      <c r="EB2086" s="64">
        <f>$Q2086-$O2086</f>
        <v/>
      </c>
      <c r="EC2086" s="67">
        <f>IFERROR($Q2086/$P2086,"")</f>
        <v/>
      </c>
    </row>
    <row r="2087">
      <c r="DG2087" s="64">
        <f>($B2087-$B2088)*100</f>
        <v/>
      </c>
      <c r="DH2087" s="64">
        <f>($D2087-$D2088)*100</f>
        <v/>
      </c>
      <c r="DI2087" s="64">
        <f>($E2087-$E2088)*100</f>
        <v/>
      </c>
      <c r="DJ2087" s="64">
        <f>($H2087-$H2088)*100</f>
        <v/>
      </c>
      <c r="DK2087" s="65">
        <f>IFERROR($J2087/$J2088-1,"")</f>
        <v/>
      </c>
      <c r="DL2087" s="64">
        <f>$L2087-$L2088</f>
        <v/>
      </c>
      <c r="DM2087" s="64">
        <f>$K2087-$K2088</f>
        <v/>
      </c>
      <c r="DN2087" s="65">
        <f>IFERROR($N2087/$N2088-1,"")</f>
        <v/>
      </c>
      <c r="DO2087" s="65">
        <f>IFERROR($M2087/$M2088-1,"")</f>
        <v/>
      </c>
      <c r="DP2087" s="65">
        <f>IFERROR($AZ2087/$AZ2088-1,"")</f>
        <v/>
      </c>
      <c r="DQ2087" s="65">
        <f>IFERROR($BA2087/$BA2088-1,"")</f>
        <v/>
      </c>
      <c r="DR2087" s="64">
        <f>$O2087-$O2088</f>
        <v/>
      </c>
      <c r="DS2087" s="64">
        <f>$P2087-$P2088</f>
        <v/>
      </c>
      <c r="DT2087" s="64">
        <f>$Q2087-$Q2088</f>
        <v/>
      </c>
      <c r="DU2087" s="64">
        <f>$S2087-$S2088</f>
        <v/>
      </c>
      <c r="DV2087" s="65">
        <f>IFERROR(AVERAGE($AA2088/$AA2087-1,$AB2088/$AB2087-1,$AC2088/$AC2087-1,$AD2088/$AD2087-1,$AE2088/$AE2087-1,$AG2088/$AG2087-1,$AH2088/$AH2087-1,$AI2088/$AI2087-1,$AJ2088/$AJ2087-1,$AL2088/$AL2087-1,$AM2088/$AM2087-1,$AR2088/$AR2087-1,$AS2088/$AS2087-1,$AT2088/$AT2087-1,$AU2088/$AU2087-1,$AV2088/$AV2087-1,$AW2088/$AW2087-1,$AX2088/$AX2087-1,$AY2088/$AY2087-1),"")</f>
        <v/>
      </c>
      <c r="DW2087" s="66">
        <f>AVERAGE($CB2087,$CC2087,$CD2087,$CE2087,$CF2087,$CG2087,$CH2087,$CI2087,$CJ2087,$CL2087,$CM2087,$CN2087,$CO2087,$CP2087,$CQ2087,$CR2087,$CS2087,$CT2087)</f>
        <v/>
      </c>
      <c r="DX2087" s="66">
        <f>AVERAGE($CB2087,$CC2087,$CM2087,$CE2087,$CP2087)</f>
        <v/>
      </c>
      <c r="DY2087" s="64">
        <f>($DW2087-$DW2088)*100</f>
        <v/>
      </c>
      <c r="DZ2087" s="64">
        <f>($DX2087-$DX2088)*100</f>
        <v/>
      </c>
      <c r="EA2087" s="64">
        <f>($DW2087-$D2087)*100</f>
        <v/>
      </c>
      <c r="EB2087" s="64">
        <f>$Q2087-$O2087</f>
        <v/>
      </c>
      <c r="EC2087" s="67">
        <f>IFERROR($Q2087/$P2087,"")</f>
        <v/>
      </c>
    </row>
    <row r="2088">
      <c r="DG2088" s="64">
        <f>($B2088-$B2089)*100</f>
        <v/>
      </c>
      <c r="DH2088" s="64">
        <f>($D2088-$D2089)*100</f>
        <v/>
      </c>
      <c r="DI2088" s="64">
        <f>($E2088-$E2089)*100</f>
        <v/>
      </c>
      <c r="DJ2088" s="64">
        <f>($H2088-$H2089)*100</f>
        <v/>
      </c>
      <c r="DK2088" s="65">
        <f>IFERROR($J2088/$J2089-1,"")</f>
        <v/>
      </c>
      <c r="DL2088" s="64">
        <f>$L2088-$L2089</f>
        <v/>
      </c>
      <c r="DM2088" s="64">
        <f>$K2088-$K2089</f>
        <v/>
      </c>
      <c r="DN2088" s="65">
        <f>IFERROR($N2088/$N2089-1,"")</f>
        <v/>
      </c>
      <c r="DO2088" s="65">
        <f>IFERROR($M2088/$M2089-1,"")</f>
        <v/>
      </c>
      <c r="DP2088" s="65">
        <f>IFERROR($AZ2088/$AZ2089-1,"")</f>
        <v/>
      </c>
      <c r="DQ2088" s="65">
        <f>IFERROR($BA2088/$BA2089-1,"")</f>
        <v/>
      </c>
      <c r="DR2088" s="64">
        <f>$O2088-$O2089</f>
        <v/>
      </c>
      <c r="DS2088" s="64">
        <f>$P2088-$P2089</f>
        <v/>
      </c>
      <c r="DT2088" s="64">
        <f>$Q2088-$Q2089</f>
        <v/>
      </c>
      <c r="DU2088" s="64">
        <f>$S2088-$S2089</f>
        <v/>
      </c>
      <c r="DV2088" s="65">
        <f>IFERROR(AVERAGE($AA2089/$AA2088-1,$AB2089/$AB2088-1,$AC2089/$AC2088-1,$AD2089/$AD2088-1,$AE2089/$AE2088-1,$AG2089/$AG2088-1,$AH2089/$AH2088-1,$AI2089/$AI2088-1,$AJ2089/$AJ2088-1,$AL2089/$AL2088-1,$AM2089/$AM2088-1,$AR2089/$AR2088-1,$AS2089/$AS2088-1,$AT2089/$AT2088-1,$AU2089/$AU2088-1,$AV2089/$AV2088-1,$AW2089/$AW2088-1,$AX2089/$AX2088-1,$AY2089/$AY2088-1),"")</f>
        <v/>
      </c>
      <c r="DW2088" s="66">
        <f>AVERAGE($CB2088,$CC2088,$CD2088,$CE2088,$CF2088,$CG2088,$CH2088,$CI2088,$CJ2088,$CL2088,$CM2088,$CN2088,$CO2088,$CP2088,$CQ2088,$CR2088,$CS2088,$CT2088)</f>
        <v/>
      </c>
      <c r="DX2088" s="66">
        <f>AVERAGE($CB2088,$CC2088,$CM2088,$CE2088,$CP2088)</f>
        <v/>
      </c>
      <c r="DY2088" s="64">
        <f>($DW2088-$DW2089)*100</f>
        <v/>
      </c>
      <c r="DZ2088" s="64">
        <f>($DX2088-$DX2089)*100</f>
        <v/>
      </c>
      <c r="EA2088" s="64">
        <f>($DW2088-$D2088)*100</f>
        <v/>
      </c>
      <c r="EB2088" s="64">
        <f>$Q2088-$O2088</f>
        <v/>
      </c>
      <c r="EC2088" s="67">
        <f>IFERROR($Q2088/$P2088,"")</f>
        <v/>
      </c>
    </row>
    <row r="2089">
      <c r="DG2089" s="64">
        <f>($B2089-$B2090)*100</f>
        <v/>
      </c>
      <c r="DH2089" s="64">
        <f>($D2089-$D2090)*100</f>
        <v/>
      </c>
      <c r="DI2089" s="64">
        <f>($E2089-$E2090)*100</f>
        <v/>
      </c>
      <c r="DJ2089" s="64">
        <f>($H2089-$H2090)*100</f>
        <v/>
      </c>
      <c r="DK2089" s="65">
        <f>IFERROR($J2089/$J2090-1,"")</f>
        <v/>
      </c>
      <c r="DL2089" s="64">
        <f>$L2089-$L2090</f>
        <v/>
      </c>
      <c r="DM2089" s="64">
        <f>$K2089-$K2090</f>
        <v/>
      </c>
      <c r="DN2089" s="65">
        <f>IFERROR($N2089/$N2090-1,"")</f>
        <v/>
      </c>
      <c r="DO2089" s="65">
        <f>IFERROR($M2089/$M2090-1,"")</f>
        <v/>
      </c>
      <c r="DP2089" s="65">
        <f>IFERROR($AZ2089/$AZ2090-1,"")</f>
        <v/>
      </c>
      <c r="DQ2089" s="65">
        <f>IFERROR($BA2089/$BA2090-1,"")</f>
        <v/>
      </c>
      <c r="DR2089" s="64">
        <f>$O2089-$O2090</f>
        <v/>
      </c>
      <c r="DS2089" s="64">
        <f>$P2089-$P2090</f>
        <v/>
      </c>
      <c r="DT2089" s="64">
        <f>$Q2089-$Q2090</f>
        <v/>
      </c>
      <c r="DU2089" s="64">
        <f>$S2089-$S2090</f>
        <v/>
      </c>
      <c r="DV2089" s="65">
        <f>IFERROR(AVERAGE($AA2090/$AA2089-1,$AB2090/$AB2089-1,$AC2090/$AC2089-1,$AD2090/$AD2089-1,$AE2090/$AE2089-1,$AG2090/$AG2089-1,$AH2090/$AH2089-1,$AI2090/$AI2089-1,$AJ2090/$AJ2089-1,$AL2090/$AL2089-1,$AM2090/$AM2089-1,$AR2090/$AR2089-1,$AS2090/$AS2089-1,$AT2090/$AT2089-1,$AU2090/$AU2089-1,$AV2090/$AV2089-1,$AW2090/$AW2089-1,$AX2090/$AX2089-1,$AY2090/$AY2089-1),"")</f>
        <v/>
      </c>
      <c r="DW2089" s="66">
        <f>AVERAGE($CB2089,$CC2089,$CD2089,$CE2089,$CF2089,$CG2089,$CH2089,$CI2089,$CJ2089,$CL2089,$CM2089,$CN2089,$CO2089,$CP2089,$CQ2089,$CR2089,$CS2089,$CT2089)</f>
        <v/>
      </c>
      <c r="DX2089" s="66">
        <f>AVERAGE($CB2089,$CC2089,$CM2089,$CE2089,$CP2089)</f>
        <v/>
      </c>
      <c r="DY2089" s="64">
        <f>($DW2089-$DW2090)*100</f>
        <v/>
      </c>
      <c r="DZ2089" s="64">
        <f>($DX2089-$DX2090)*100</f>
        <v/>
      </c>
      <c r="EA2089" s="64">
        <f>($DW2089-$D2089)*100</f>
        <v/>
      </c>
      <c r="EB2089" s="64">
        <f>$Q2089-$O2089</f>
        <v/>
      </c>
      <c r="EC2089" s="67">
        <f>IFERROR($Q2089/$P2089,"")</f>
        <v/>
      </c>
    </row>
    <row r="2090">
      <c r="DG2090" s="64">
        <f>($B2090-$B2091)*100</f>
        <v/>
      </c>
      <c r="DH2090" s="64">
        <f>($D2090-$D2091)*100</f>
        <v/>
      </c>
      <c r="DI2090" s="64">
        <f>($E2090-$E2091)*100</f>
        <v/>
      </c>
      <c r="DJ2090" s="64">
        <f>($H2090-$H2091)*100</f>
        <v/>
      </c>
      <c r="DK2090" s="65">
        <f>IFERROR($J2090/$J2091-1,"")</f>
        <v/>
      </c>
      <c r="DL2090" s="64">
        <f>$L2090-$L2091</f>
        <v/>
      </c>
      <c r="DM2090" s="64">
        <f>$K2090-$K2091</f>
        <v/>
      </c>
      <c r="DN2090" s="65">
        <f>IFERROR($N2090/$N2091-1,"")</f>
        <v/>
      </c>
      <c r="DO2090" s="65">
        <f>IFERROR($M2090/$M2091-1,"")</f>
        <v/>
      </c>
      <c r="DP2090" s="65">
        <f>IFERROR($AZ2090/$AZ2091-1,"")</f>
        <v/>
      </c>
      <c r="DQ2090" s="65">
        <f>IFERROR($BA2090/$BA2091-1,"")</f>
        <v/>
      </c>
      <c r="DR2090" s="64">
        <f>$O2090-$O2091</f>
        <v/>
      </c>
      <c r="DS2090" s="64">
        <f>$P2090-$P2091</f>
        <v/>
      </c>
      <c r="DT2090" s="64">
        <f>$Q2090-$Q2091</f>
        <v/>
      </c>
      <c r="DU2090" s="64">
        <f>$S2090-$S2091</f>
        <v/>
      </c>
      <c r="DV2090" s="65">
        <f>IFERROR(AVERAGE($AA2091/$AA2090-1,$AB2091/$AB2090-1,$AC2091/$AC2090-1,$AD2091/$AD2090-1,$AE2091/$AE2090-1,$AG2091/$AG2090-1,$AH2091/$AH2090-1,$AI2091/$AI2090-1,$AJ2091/$AJ2090-1,$AL2091/$AL2090-1,$AM2091/$AM2090-1,$AR2091/$AR2090-1,$AS2091/$AS2090-1,$AT2091/$AT2090-1,$AU2091/$AU2090-1,$AV2091/$AV2090-1,$AW2091/$AW2090-1,$AX2091/$AX2090-1,$AY2091/$AY2090-1),"")</f>
        <v/>
      </c>
      <c r="DW2090" s="66">
        <f>AVERAGE($CB2090,$CC2090,$CD2090,$CE2090,$CF2090,$CG2090,$CH2090,$CI2090,$CJ2090,$CL2090,$CM2090,$CN2090,$CO2090,$CP2090,$CQ2090,$CR2090,$CS2090,$CT2090)</f>
        <v/>
      </c>
      <c r="DX2090" s="66">
        <f>AVERAGE($CB2090,$CC2090,$CM2090,$CE2090,$CP2090)</f>
        <v/>
      </c>
      <c r="DY2090" s="64">
        <f>($DW2090-$DW2091)*100</f>
        <v/>
      </c>
      <c r="DZ2090" s="64">
        <f>($DX2090-$DX2091)*100</f>
        <v/>
      </c>
      <c r="EA2090" s="64">
        <f>($DW2090-$D2090)*100</f>
        <v/>
      </c>
      <c r="EB2090" s="64">
        <f>$Q2090-$O2090</f>
        <v/>
      </c>
      <c r="EC2090" s="67">
        <f>IFERROR($Q2090/$P2090,"")</f>
        <v/>
      </c>
    </row>
    <row r="2091">
      <c r="DG2091" s="64">
        <f>($B2091-$B2092)*100</f>
        <v/>
      </c>
      <c r="DH2091" s="64">
        <f>($D2091-$D2092)*100</f>
        <v/>
      </c>
      <c r="DI2091" s="64">
        <f>($E2091-$E2092)*100</f>
        <v/>
      </c>
      <c r="DJ2091" s="64">
        <f>($H2091-$H2092)*100</f>
        <v/>
      </c>
      <c r="DK2091" s="65">
        <f>IFERROR($J2091/$J2092-1,"")</f>
        <v/>
      </c>
      <c r="DL2091" s="64">
        <f>$L2091-$L2092</f>
        <v/>
      </c>
      <c r="DM2091" s="64">
        <f>$K2091-$K2092</f>
        <v/>
      </c>
      <c r="DN2091" s="65">
        <f>IFERROR($N2091/$N2092-1,"")</f>
        <v/>
      </c>
      <c r="DO2091" s="65">
        <f>IFERROR($M2091/$M2092-1,"")</f>
        <v/>
      </c>
      <c r="DP2091" s="65">
        <f>IFERROR($AZ2091/$AZ2092-1,"")</f>
        <v/>
      </c>
      <c r="DQ2091" s="65">
        <f>IFERROR($BA2091/$BA2092-1,"")</f>
        <v/>
      </c>
      <c r="DR2091" s="64">
        <f>$O2091-$O2092</f>
        <v/>
      </c>
      <c r="DS2091" s="64">
        <f>$P2091-$P2092</f>
        <v/>
      </c>
      <c r="DT2091" s="64">
        <f>$Q2091-$Q2092</f>
        <v/>
      </c>
      <c r="DU2091" s="64">
        <f>$S2091-$S2092</f>
        <v/>
      </c>
      <c r="DV2091" s="65">
        <f>IFERROR(AVERAGE($AA2092/$AA2091-1,$AB2092/$AB2091-1,$AC2092/$AC2091-1,$AD2092/$AD2091-1,$AE2092/$AE2091-1,$AG2092/$AG2091-1,$AH2092/$AH2091-1,$AI2092/$AI2091-1,$AJ2092/$AJ2091-1,$AL2092/$AL2091-1,$AM2092/$AM2091-1,$AR2092/$AR2091-1,$AS2092/$AS2091-1,$AT2092/$AT2091-1,$AU2092/$AU2091-1,$AV2092/$AV2091-1,$AW2092/$AW2091-1,$AX2092/$AX2091-1,$AY2092/$AY2091-1),"")</f>
        <v/>
      </c>
      <c r="DW2091" s="66">
        <f>AVERAGE($CB2091,$CC2091,$CD2091,$CE2091,$CF2091,$CG2091,$CH2091,$CI2091,$CJ2091,$CL2091,$CM2091,$CN2091,$CO2091,$CP2091,$CQ2091,$CR2091,$CS2091,$CT2091)</f>
        <v/>
      </c>
      <c r="DX2091" s="66">
        <f>AVERAGE($CB2091,$CC2091,$CM2091,$CE2091,$CP2091)</f>
        <v/>
      </c>
      <c r="DY2091" s="64">
        <f>($DW2091-$DW2092)*100</f>
        <v/>
      </c>
      <c r="DZ2091" s="64">
        <f>($DX2091-$DX2092)*100</f>
        <v/>
      </c>
      <c r="EA2091" s="64">
        <f>($DW2091-$D2091)*100</f>
        <v/>
      </c>
      <c r="EB2091" s="64">
        <f>$Q2091-$O2091</f>
        <v/>
      </c>
      <c r="EC2091" s="67">
        <f>IFERROR($Q2091/$P2091,"")</f>
        <v/>
      </c>
    </row>
    <row r="2092">
      <c r="DG2092" s="64">
        <f>($B2092-$B2093)*100</f>
        <v/>
      </c>
      <c r="DH2092" s="64">
        <f>($D2092-$D2093)*100</f>
        <v/>
      </c>
      <c r="DI2092" s="64">
        <f>($E2092-$E2093)*100</f>
        <v/>
      </c>
      <c r="DJ2092" s="64">
        <f>($H2092-$H2093)*100</f>
        <v/>
      </c>
      <c r="DK2092" s="65">
        <f>IFERROR($J2092/$J2093-1,"")</f>
        <v/>
      </c>
      <c r="DL2092" s="64">
        <f>$L2092-$L2093</f>
        <v/>
      </c>
      <c r="DM2092" s="64">
        <f>$K2092-$K2093</f>
        <v/>
      </c>
      <c r="DN2092" s="65">
        <f>IFERROR($N2092/$N2093-1,"")</f>
        <v/>
      </c>
      <c r="DO2092" s="65">
        <f>IFERROR($M2092/$M2093-1,"")</f>
        <v/>
      </c>
      <c r="DP2092" s="65">
        <f>IFERROR($AZ2092/$AZ2093-1,"")</f>
        <v/>
      </c>
      <c r="DQ2092" s="65">
        <f>IFERROR($BA2092/$BA2093-1,"")</f>
        <v/>
      </c>
      <c r="DR2092" s="64">
        <f>$O2092-$O2093</f>
        <v/>
      </c>
      <c r="DS2092" s="64">
        <f>$P2092-$P2093</f>
        <v/>
      </c>
      <c r="DT2092" s="64">
        <f>$Q2092-$Q2093</f>
        <v/>
      </c>
      <c r="DU2092" s="64">
        <f>$S2092-$S2093</f>
        <v/>
      </c>
      <c r="DV2092" s="65">
        <f>IFERROR(AVERAGE($AA2093/$AA2092-1,$AB2093/$AB2092-1,$AC2093/$AC2092-1,$AD2093/$AD2092-1,$AE2093/$AE2092-1,$AG2093/$AG2092-1,$AH2093/$AH2092-1,$AI2093/$AI2092-1,$AJ2093/$AJ2092-1,$AL2093/$AL2092-1,$AM2093/$AM2092-1,$AR2093/$AR2092-1,$AS2093/$AS2092-1,$AT2093/$AT2092-1,$AU2093/$AU2092-1,$AV2093/$AV2092-1,$AW2093/$AW2092-1,$AX2093/$AX2092-1,$AY2093/$AY2092-1),"")</f>
        <v/>
      </c>
      <c r="DW2092" s="66">
        <f>AVERAGE($CB2092,$CC2092,$CD2092,$CE2092,$CF2092,$CG2092,$CH2092,$CI2092,$CJ2092,$CL2092,$CM2092,$CN2092,$CO2092,$CP2092,$CQ2092,$CR2092,$CS2092,$CT2092)</f>
        <v/>
      </c>
      <c r="DX2092" s="66">
        <f>AVERAGE($CB2092,$CC2092,$CM2092,$CE2092,$CP2092)</f>
        <v/>
      </c>
      <c r="DY2092" s="64">
        <f>($DW2092-$DW2093)*100</f>
        <v/>
      </c>
      <c r="DZ2092" s="64">
        <f>($DX2092-$DX2093)*100</f>
        <v/>
      </c>
      <c r="EA2092" s="64">
        <f>($DW2092-$D2092)*100</f>
        <v/>
      </c>
      <c r="EB2092" s="64">
        <f>$Q2092-$O2092</f>
        <v/>
      </c>
      <c r="EC2092" s="67">
        <f>IFERROR($Q2092/$P2092,"")</f>
        <v/>
      </c>
    </row>
    <row r="2093">
      <c r="DG2093" s="64">
        <f>($B2093-$B2094)*100</f>
        <v/>
      </c>
      <c r="DH2093" s="64">
        <f>($D2093-$D2094)*100</f>
        <v/>
      </c>
      <c r="DI2093" s="64">
        <f>($E2093-$E2094)*100</f>
        <v/>
      </c>
      <c r="DJ2093" s="64">
        <f>($H2093-$H2094)*100</f>
        <v/>
      </c>
      <c r="DK2093" s="65">
        <f>IFERROR($J2093/$J2094-1,"")</f>
        <v/>
      </c>
      <c r="DL2093" s="64">
        <f>$L2093-$L2094</f>
        <v/>
      </c>
      <c r="DM2093" s="64">
        <f>$K2093-$K2094</f>
        <v/>
      </c>
      <c r="DN2093" s="65">
        <f>IFERROR($N2093/$N2094-1,"")</f>
        <v/>
      </c>
      <c r="DO2093" s="65">
        <f>IFERROR($M2093/$M2094-1,"")</f>
        <v/>
      </c>
      <c r="DP2093" s="65">
        <f>IFERROR($AZ2093/$AZ2094-1,"")</f>
        <v/>
      </c>
      <c r="DQ2093" s="65">
        <f>IFERROR($BA2093/$BA2094-1,"")</f>
        <v/>
      </c>
      <c r="DR2093" s="64">
        <f>$O2093-$O2094</f>
        <v/>
      </c>
      <c r="DS2093" s="64">
        <f>$P2093-$P2094</f>
        <v/>
      </c>
      <c r="DT2093" s="64">
        <f>$Q2093-$Q2094</f>
        <v/>
      </c>
      <c r="DU2093" s="64">
        <f>$S2093-$S2094</f>
        <v/>
      </c>
      <c r="DV2093" s="65">
        <f>IFERROR(AVERAGE($AA2094/$AA2093-1,$AB2094/$AB2093-1,$AC2094/$AC2093-1,$AD2094/$AD2093-1,$AE2094/$AE2093-1,$AG2094/$AG2093-1,$AH2094/$AH2093-1,$AI2094/$AI2093-1,$AJ2094/$AJ2093-1,$AL2094/$AL2093-1,$AM2094/$AM2093-1,$AR2094/$AR2093-1,$AS2094/$AS2093-1,$AT2094/$AT2093-1,$AU2094/$AU2093-1,$AV2094/$AV2093-1,$AW2094/$AW2093-1,$AX2094/$AX2093-1,$AY2094/$AY2093-1),"")</f>
        <v/>
      </c>
      <c r="DW2093" s="66">
        <f>AVERAGE($CB2093,$CC2093,$CD2093,$CE2093,$CF2093,$CG2093,$CH2093,$CI2093,$CJ2093,$CL2093,$CM2093,$CN2093,$CO2093,$CP2093,$CQ2093,$CR2093,$CS2093,$CT2093)</f>
        <v/>
      </c>
      <c r="DX2093" s="66">
        <f>AVERAGE($CB2093,$CC2093,$CM2093,$CE2093,$CP2093)</f>
        <v/>
      </c>
      <c r="DY2093" s="64">
        <f>($DW2093-$DW2094)*100</f>
        <v/>
      </c>
      <c r="DZ2093" s="64">
        <f>($DX2093-$DX2094)*100</f>
        <v/>
      </c>
      <c r="EA2093" s="64">
        <f>($DW2093-$D2093)*100</f>
        <v/>
      </c>
      <c r="EB2093" s="64">
        <f>$Q2093-$O2093</f>
        <v/>
      </c>
      <c r="EC2093" s="67">
        <f>IFERROR($Q2093/$P2093,"")</f>
        <v/>
      </c>
    </row>
    <row r="2094">
      <c r="DG2094" s="64">
        <f>($B2094-$B2095)*100</f>
        <v/>
      </c>
      <c r="DH2094" s="64">
        <f>($D2094-$D2095)*100</f>
        <v/>
      </c>
      <c r="DI2094" s="64">
        <f>($E2094-$E2095)*100</f>
        <v/>
      </c>
      <c r="DJ2094" s="64">
        <f>($H2094-$H2095)*100</f>
        <v/>
      </c>
      <c r="DK2094" s="65">
        <f>IFERROR($J2094/$J2095-1,"")</f>
        <v/>
      </c>
      <c r="DL2094" s="64">
        <f>$L2094-$L2095</f>
        <v/>
      </c>
      <c r="DM2094" s="64">
        <f>$K2094-$K2095</f>
        <v/>
      </c>
      <c r="DN2094" s="65">
        <f>IFERROR($N2094/$N2095-1,"")</f>
        <v/>
      </c>
      <c r="DO2094" s="65">
        <f>IFERROR($M2094/$M2095-1,"")</f>
        <v/>
      </c>
      <c r="DP2094" s="65">
        <f>IFERROR($AZ2094/$AZ2095-1,"")</f>
        <v/>
      </c>
      <c r="DQ2094" s="65">
        <f>IFERROR($BA2094/$BA2095-1,"")</f>
        <v/>
      </c>
      <c r="DR2094" s="64">
        <f>$O2094-$O2095</f>
        <v/>
      </c>
      <c r="DS2094" s="64">
        <f>$P2094-$P2095</f>
        <v/>
      </c>
      <c r="DT2094" s="64">
        <f>$Q2094-$Q2095</f>
        <v/>
      </c>
      <c r="DU2094" s="64">
        <f>$S2094-$S2095</f>
        <v/>
      </c>
      <c r="DV2094" s="65">
        <f>IFERROR(AVERAGE($AA2095/$AA2094-1,$AB2095/$AB2094-1,$AC2095/$AC2094-1,$AD2095/$AD2094-1,$AE2095/$AE2094-1,$AG2095/$AG2094-1,$AH2095/$AH2094-1,$AI2095/$AI2094-1,$AJ2095/$AJ2094-1,$AL2095/$AL2094-1,$AM2095/$AM2094-1,$AR2095/$AR2094-1,$AS2095/$AS2094-1,$AT2095/$AT2094-1,$AU2095/$AU2094-1,$AV2095/$AV2094-1,$AW2095/$AW2094-1,$AX2095/$AX2094-1,$AY2095/$AY2094-1),"")</f>
        <v/>
      </c>
      <c r="DW2094" s="66">
        <f>AVERAGE($CB2094,$CC2094,$CD2094,$CE2094,$CF2094,$CG2094,$CH2094,$CI2094,$CJ2094,$CL2094,$CM2094,$CN2094,$CO2094,$CP2094,$CQ2094,$CR2094,$CS2094,$CT2094)</f>
        <v/>
      </c>
      <c r="DX2094" s="66">
        <f>AVERAGE($CB2094,$CC2094,$CM2094,$CE2094,$CP2094)</f>
        <v/>
      </c>
      <c r="DY2094" s="64">
        <f>($DW2094-$DW2095)*100</f>
        <v/>
      </c>
      <c r="DZ2094" s="64">
        <f>($DX2094-$DX2095)*100</f>
        <v/>
      </c>
      <c r="EA2094" s="64">
        <f>($DW2094-$D2094)*100</f>
        <v/>
      </c>
      <c r="EB2094" s="64">
        <f>$Q2094-$O2094</f>
        <v/>
      </c>
      <c r="EC2094" s="67">
        <f>IFERROR($Q2094/$P2094,"")</f>
        <v/>
      </c>
    </row>
    <row r="2095">
      <c r="DG2095" s="64">
        <f>($B2095-$B2096)*100</f>
        <v/>
      </c>
      <c r="DH2095" s="64">
        <f>($D2095-$D2096)*100</f>
        <v/>
      </c>
      <c r="DI2095" s="64">
        <f>($E2095-$E2096)*100</f>
        <v/>
      </c>
      <c r="DJ2095" s="64">
        <f>($H2095-$H2096)*100</f>
        <v/>
      </c>
      <c r="DK2095" s="65">
        <f>IFERROR($J2095/$J2096-1,"")</f>
        <v/>
      </c>
      <c r="DL2095" s="64">
        <f>$L2095-$L2096</f>
        <v/>
      </c>
      <c r="DM2095" s="64">
        <f>$K2095-$K2096</f>
        <v/>
      </c>
      <c r="DN2095" s="65">
        <f>IFERROR($N2095/$N2096-1,"")</f>
        <v/>
      </c>
      <c r="DO2095" s="65">
        <f>IFERROR($M2095/$M2096-1,"")</f>
        <v/>
      </c>
      <c r="DP2095" s="65">
        <f>IFERROR($AZ2095/$AZ2096-1,"")</f>
        <v/>
      </c>
      <c r="DQ2095" s="65">
        <f>IFERROR($BA2095/$BA2096-1,"")</f>
        <v/>
      </c>
      <c r="DR2095" s="64">
        <f>$O2095-$O2096</f>
        <v/>
      </c>
      <c r="DS2095" s="64">
        <f>$P2095-$P2096</f>
        <v/>
      </c>
      <c r="DT2095" s="64">
        <f>$Q2095-$Q2096</f>
        <v/>
      </c>
      <c r="DU2095" s="64">
        <f>$S2095-$S2096</f>
        <v/>
      </c>
      <c r="DV2095" s="65">
        <f>IFERROR(AVERAGE($AA2096/$AA2095-1,$AB2096/$AB2095-1,$AC2096/$AC2095-1,$AD2096/$AD2095-1,$AE2096/$AE2095-1,$AG2096/$AG2095-1,$AH2096/$AH2095-1,$AI2096/$AI2095-1,$AJ2096/$AJ2095-1,$AL2096/$AL2095-1,$AM2096/$AM2095-1,$AR2096/$AR2095-1,$AS2096/$AS2095-1,$AT2096/$AT2095-1,$AU2096/$AU2095-1,$AV2096/$AV2095-1,$AW2096/$AW2095-1,$AX2096/$AX2095-1,$AY2096/$AY2095-1),"")</f>
        <v/>
      </c>
      <c r="DW2095" s="66">
        <f>AVERAGE($CB2095,$CC2095,$CD2095,$CE2095,$CF2095,$CG2095,$CH2095,$CI2095,$CJ2095,$CL2095,$CM2095,$CN2095,$CO2095,$CP2095,$CQ2095,$CR2095,$CS2095,$CT2095)</f>
        <v/>
      </c>
      <c r="DX2095" s="66">
        <f>AVERAGE($CB2095,$CC2095,$CM2095,$CE2095,$CP2095)</f>
        <v/>
      </c>
      <c r="DY2095" s="64">
        <f>($DW2095-$DW2096)*100</f>
        <v/>
      </c>
      <c r="DZ2095" s="64">
        <f>($DX2095-$DX2096)*100</f>
        <v/>
      </c>
      <c r="EA2095" s="64">
        <f>($DW2095-$D2095)*100</f>
        <v/>
      </c>
      <c r="EB2095" s="64">
        <f>$Q2095-$O2095</f>
        <v/>
      </c>
      <c r="EC2095" s="67">
        <f>IFERROR($Q2095/$P2095,"")</f>
        <v/>
      </c>
    </row>
    <row r="2096">
      <c r="DG2096" s="64">
        <f>($B2096-$B2097)*100</f>
        <v/>
      </c>
      <c r="DH2096" s="64">
        <f>($D2096-$D2097)*100</f>
        <v/>
      </c>
      <c r="DI2096" s="64">
        <f>($E2096-$E2097)*100</f>
        <v/>
      </c>
      <c r="DJ2096" s="64">
        <f>($H2096-$H2097)*100</f>
        <v/>
      </c>
      <c r="DK2096" s="65">
        <f>IFERROR($J2096/$J2097-1,"")</f>
        <v/>
      </c>
      <c r="DL2096" s="64">
        <f>$L2096-$L2097</f>
        <v/>
      </c>
      <c r="DM2096" s="64">
        <f>$K2096-$K2097</f>
        <v/>
      </c>
      <c r="DN2096" s="65">
        <f>IFERROR($N2096/$N2097-1,"")</f>
        <v/>
      </c>
      <c r="DO2096" s="65">
        <f>IFERROR($M2096/$M2097-1,"")</f>
        <v/>
      </c>
      <c r="DP2096" s="65">
        <f>IFERROR($AZ2096/$AZ2097-1,"")</f>
        <v/>
      </c>
      <c r="DQ2096" s="65">
        <f>IFERROR($BA2096/$BA2097-1,"")</f>
        <v/>
      </c>
      <c r="DR2096" s="64">
        <f>$O2096-$O2097</f>
        <v/>
      </c>
      <c r="DS2096" s="64">
        <f>$P2096-$P2097</f>
        <v/>
      </c>
      <c r="DT2096" s="64">
        <f>$Q2096-$Q2097</f>
        <v/>
      </c>
      <c r="DU2096" s="64">
        <f>$S2096-$S2097</f>
        <v/>
      </c>
      <c r="DV2096" s="65">
        <f>IFERROR(AVERAGE($AA2097/$AA2096-1,$AB2097/$AB2096-1,$AC2097/$AC2096-1,$AD2097/$AD2096-1,$AE2097/$AE2096-1,$AG2097/$AG2096-1,$AH2097/$AH2096-1,$AI2097/$AI2096-1,$AJ2097/$AJ2096-1,$AL2097/$AL2096-1,$AM2097/$AM2096-1,$AR2097/$AR2096-1,$AS2097/$AS2096-1,$AT2097/$AT2096-1,$AU2097/$AU2096-1,$AV2097/$AV2096-1,$AW2097/$AW2096-1,$AX2097/$AX2096-1,$AY2097/$AY2096-1),"")</f>
        <v/>
      </c>
      <c r="DW2096" s="66">
        <f>AVERAGE($CB2096,$CC2096,$CD2096,$CE2096,$CF2096,$CG2096,$CH2096,$CI2096,$CJ2096,$CL2096,$CM2096,$CN2096,$CO2096,$CP2096,$CQ2096,$CR2096,$CS2096,$CT2096)</f>
        <v/>
      </c>
      <c r="DX2096" s="66">
        <f>AVERAGE($CB2096,$CC2096,$CM2096,$CE2096,$CP2096)</f>
        <v/>
      </c>
      <c r="DY2096" s="64">
        <f>($DW2096-$DW2097)*100</f>
        <v/>
      </c>
      <c r="DZ2096" s="64">
        <f>($DX2096-$DX2097)*100</f>
        <v/>
      </c>
      <c r="EA2096" s="64">
        <f>($DW2096-$D2096)*100</f>
        <v/>
      </c>
      <c r="EB2096" s="64">
        <f>$Q2096-$O2096</f>
        <v/>
      </c>
      <c r="EC2096" s="67">
        <f>IFERROR($Q2096/$P2096,"")</f>
        <v/>
      </c>
    </row>
    <row r="2097">
      <c r="DG2097" s="64">
        <f>($B2097-$B2098)*100</f>
        <v/>
      </c>
      <c r="DH2097" s="64">
        <f>($D2097-$D2098)*100</f>
        <v/>
      </c>
      <c r="DI2097" s="64">
        <f>($E2097-$E2098)*100</f>
        <v/>
      </c>
      <c r="DJ2097" s="64">
        <f>($H2097-$H2098)*100</f>
        <v/>
      </c>
      <c r="DK2097" s="65">
        <f>IFERROR($J2097/$J2098-1,"")</f>
        <v/>
      </c>
      <c r="DL2097" s="64">
        <f>$L2097-$L2098</f>
        <v/>
      </c>
      <c r="DM2097" s="64">
        <f>$K2097-$K2098</f>
        <v/>
      </c>
      <c r="DN2097" s="65">
        <f>IFERROR($N2097/$N2098-1,"")</f>
        <v/>
      </c>
      <c r="DO2097" s="65">
        <f>IFERROR($M2097/$M2098-1,"")</f>
        <v/>
      </c>
      <c r="DP2097" s="65">
        <f>IFERROR($AZ2097/$AZ2098-1,"")</f>
        <v/>
      </c>
      <c r="DQ2097" s="65">
        <f>IFERROR($BA2097/$BA2098-1,"")</f>
        <v/>
      </c>
      <c r="DR2097" s="64">
        <f>$O2097-$O2098</f>
        <v/>
      </c>
      <c r="DS2097" s="64">
        <f>$P2097-$P2098</f>
        <v/>
      </c>
      <c r="DT2097" s="64">
        <f>$Q2097-$Q2098</f>
        <v/>
      </c>
      <c r="DU2097" s="64">
        <f>$S2097-$S2098</f>
        <v/>
      </c>
      <c r="DV2097" s="65">
        <f>IFERROR(AVERAGE($AA2098/$AA2097-1,$AB2098/$AB2097-1,$AC2098/$AC2097-1,$AD2098/$AD2097-1,$AE2098/$AE2097-1,$AG2098/$AG2097-1,$AH2098/$AH2097-1,$AI2098/$AI2097-1,$AJ2098/$AJ2097-1,$AL2098/$AL2097-1,$AM2098/$AM2097-1,$AR2098/$AR2097-1,$AS2098/$AS2097-1,$AT2098/$AT2097-1,$AU2098/$AU2097-1,$AV2098/$AV2097-1,$AW2098/$AW2097-1,$AX2098/$AX2097-1,$AY2098/$AY2097-1),"")</f>
        <v/>
      </c>
      <c r="DW2097" s="66">
        <f>AVERAGE($CB2097,$CC2097,$CD2097,$CE2097,$CF2097,$CG2097,$CH2097,$CI2097,$CJ2097,$CL2097,$CM2097,$CN2097,$CO2097,$CP2097,$CQ2097,$CR2097,$CS2097,$CT2097)</f>
        <v/>
      </c>
      <c r="DX2097" s="66">
        <f>AVERAGE($CB2097,$CC2097,$CM2097,$CE2097,$CP2097)</f>
        <v/>
      </c>
      <c r="DY2097" s="64">
        <f>($DW2097-$DW2098)*100</f>
        <v/>
      </c>
      <c r="DZ2097" s="64">
        <f>($DX2097-$DX2098)*100</f>
        <v/>
      </c>
      <c r="EA2097" s="64">
        <f>($DW2097-$D2097)*100</f>
        <v/>
      </c>
      <c r="EB2097" s="64">
        <f>$Q2097-$O2097</f>
        <v/>
      </c>
      <c r="EC2097" s="67">
        <f>IFERROR($Q2097/$P2097,"")</f>
        <v/>
      </c>
    </row>
    <row r="2098">
      <c r="DG2098" s="64">
        <f>($B2098-$B2099)*100</f>
        <v/>
      </c>
      <c r="DH2098" s="64">
        <f>($D2098-$D2099)*100</f>
        <v/>
      </c>
      <c r="DI2098" s="64">
        <f>($E2098-$E2099)*100</f>
        <v/>
      </c>
      <c r="DJ2098" s="64">
        <f>($H2098-$H2099)*100</f>
        <v/>
      </c>
      <c r="DK2098" s="65">
        <f>IFERROR($J2098/$J2099-1,"")</f>
        <v/>
      </c>
      <c r="DL2098" s="64">
        <f>$L2098-$L2099</f>
        <v/>
      </c>
      <c r="DM2098" s="64">
        <f>$K2098-$K2099</f>
        <v/>
      </c>
      <c r="DN2098" s="65">
        <f>IFERROR($N2098/$N2099-1,"")</f>
        <v/>
      </c>
      <c r="DO2098" s="65">
        <f>IFERROR($M2098/$M2099-1,"")</f>
        <v/>
      </c>
      <c r="DP2098" s="65">
        <f>IFERROR($AZ2098/$AZ2099-1,"")</f>
        <v/>
      </c>
      <c r="DQ2098" s="65">
        <f>IFERROR($BA2098/$BA2099-1,"")</f>
        <v/>
      </c>
      <c r="DR2098" s="64">
        <f>$O2098-$O2099</f>
        <v/>
      </c>
      <c r="DS2098" s="64">
        <f>$P2098-$P2099</f>
        <v/>
      </c>
      <c r="DT2098" s="64">
        <f>$Q2098-$Q2099</f>
        <v/>
      </c>
      <c r="DU2098" s="64">
        <f>$S2098-$S2099</f>
        <v/>
      </c>
      <c r="DV2098" s="65">
        <f>IFERROR(AVERAGE($AA2099/$AA2098-1,$AB2099/$AB2098-1,$AC2099/$AC2098-1,$AD2099/$AD2098-1,$AE2099/$AE2098-1,$AG2099/$AG2098-1,$AH2099/$AH2098-1,$AI2099/$AI2098-1,$AJ2099/$AJ2098-1,$AL2099/$AL2098-1,$AM2099/$AM2098-1,$AR2099/$AR2098-1,$AS2099/$AS2098-1,$AT2099/$AT2098-1,$AU2099/$AU2098-1,$AV2099/$AV2098-1,$AW2099/$AW2098-1,$AX2099/$AX2098-1,$AY2099/$AY2098-1),"")</f>
        <v/>
      </c>
      <c r="DW2098" s="66">
        <f>AVERAGE($CB2098,$CC2098,$CD2098,$CE2098,$CF2098,$CG2098,$CH2098,$CI2098,$CJ2098,$CL2098,$CM2098,$CN2098,$CO2098,$CP2098,$CQ2098,$CR2098,$CS2098,$CT2098)</f>
        <v/>
      </c>
      <c r="DX2098" s="66">
        <f>AVERAGE($CB2098,$CC2098,$CM2098,$CE2098,$CP2098)</f>
        <v/>
      </c>
      <c r="DY2098" s="64">
        <f>($DW2098-$DW2099)*100</f>
        <v/>
      </c>
      <c r="DZ2098" s="64">
        <f>($DX2098-$DX2099)*100</f>
        <v/>
      </c>
      <c r="EA2098" s="64">
        <f>($DW2098-$D2098)*100</f>
        <v/>
      </c>
      <c r="EB2098" s="64">
        <f>$Q2098-$O2098</f>
        <v/>
      </c>
      <c r="EC2098" s="67">
        <f>IFERROR($Q2098/$P2098,"")</f>
        <v/>
      </c>
    </row>
    <row r="2099">
      <c r="DG2099" s="64">
        <f>($B2099-$B2100)*100</f>
        <v/>
      </c>
      <c r="DH2099" s="64">
        <f>($D2099-$D2100)*100</f>
        <v/>
      </c>
      <c r="DI2099" s="64">
        <f>($E2099-$E2100)*100</f>
        <v/>
      </c>
      <c r="DJ2099" s="64">
        <f>($H2099-$H2100)*100</f>
        <v/>
      </c>
      <c r="DK2099" s="65">
        <f>IFERROR($J2099/$J2100-1,"")</f>
        <v/>
      </c>
      <c r="DL2099" s="64">
        <f>$L2099-$L2100</f>
        <v/>
      </c>
      <c r="DM2099" s="64">
        <f>$K2099-$K2100</f>
        <v/>
      </c>
      <c r="DN2099" s="65">
        <f>IFERROR($N2099/$N2100-1,"")</f>
        <v/>
      </c>
      <c r="DO2099" s="65">
        <f>IFERROR($M2099/$M2100-1,"")</f>
        <v/>
      </c>
      <c r="DP2099" s="65">
        <f>IFERROR($AZ2099/$AZ2100-1,"")</f>
        <v/>
      </c>
      <c r="DQ2099" s="65">
        <f>IFERROR($BA2099/$BA2100-1,"")</f>
        <v/>
      </c>
      <c r="DR2099" s="64">
        <f>$O2099-$O2100</f>
        <v/>
      </c>
      <c r="DS2099" s="64">
        <f>$P2099-$P2100</f>
        <v/>
      </c>
      <c r="DT2099" s="64">
        <f>$Q2099-$Q2100</f>
        <v/>
      </c>
      <c r="DU2099" s="64">
        <f>$S2099-$S2100</f>
        <v/>
      </c>
      <c r="DV2099" s="65">
        <f>IFERROR(AVERAGE($AA2100/$AA2099-1,$AB2100/$AB2099-1,$AC2100/$AC2099-1,$AD2100/$AD2099-1,$AE2100/$AE2099-1,$AG2100/$AG2099-1,$AH2100/$AH2099-1,$AI2100/$AI2099-1,$AJ2100/$AJ2099-1,$AL2100/$AL2099-1,$AM2100/$AM2099-1,$AR2100/$AR2099-1,$AS2100/$AS2099-1,$AT2100/$AT2099-1,$AU2100/$AU2099-1,$AV2100/$AV2099-1,$AW2100/$AW2099-1,$AX2100/$AX2099-1,$AY2100/$AY2099-1),"")</f>
        <v/>
      </c>
      <c r="DW2099" s="66">
        <f>AVERAGE($CB2099,$CC2099,$CD2099,$CE2099,$CF2099,$CG2099,$CH2099,$CI2099,$CJ2099,$CL2099,$CM2099,$CN2099,$CO2099,$CP2099,$CQ2099,$CR2099,$CS2099,$CT2099)</f>
        <v/>
      </c>
      <c r="DX2099" s="66">
        <f>AVERAGE($CB2099,$CC2099,$CM2099,$CE2099,$CP2099)</f>
        <v/>
      </c>
      <c r="DY2099" s="64">
        <f>($DW2099-$DW2100)*100</f>
        <v/>
      </c>
      <c r="DZ2099" s="64">
        <f>($DX2099-$DX2100)*100</f>
        <v/>
      </c>
      <c r="EA2099" s="64">
        <f>($DW2099-$D2099)*100</f>
        <v/>
      </c>
      <c r="EB2099" s="64">
        <f>$Q2099-$O2099</f>
        <v/>
      </c>
      <c r="EC2099" s="67">
        <f>IFERROR($Q2099/$P2099,"")</f>
        <v/>
      </c>
    </row>
    <row r="2100">
      <c r="DG2100" s="64">
        <f>($B2100-$B2101)*100</f>
        <v/>
      </c>
      <c r="DH2100" s="64">
        <f>($D2100-$D2101)*100</f>
        <v/>
      </c>
      <c r="DI2100" s="64">
        <f>($E2100-$E2101)*100</f>
        <v/>
      </c>
      <c r="DJ2100" s="64">
        <f>($H2100-$H2101)*100</f>
        <v/>
      </c>
      <c r="DK2100" s="65">
        <f>IFERROR($J2100/$J2101-1,"")</f>
        <v/>
      </c>
      <c r="DL2100" s="64">
        <f>$L2100-$L2101</f>
        <v/>
      </c>
      <c r="DM2100" s="64">
        <f>$K2100-$K2101</f>
        <v/>
      </c>
      <c r="DN2100" s="65">
        <f>IFERROR($N2100/$N2101-1,"")</f>
        <v/>
      </c>
      <c r="DO2100" s="65">
        <f>IFERROR($M2100/$M2101-1,"")</f>
        <v/>
      </c>
      <c r="DP2100" s="65">
        <f>IFERROR($AZ2100/$AZ2101-1,"")</f>
        <v/>
      </c>
      <c r="DQ2100" s="65">
        <f>IFERROR($BA2100/$BA2101-1,"")</f>
        <v/>
      </c>
      <c r="DR2100" s="64">
        <f>$O2100-$O2101</f>
        <v/>
      </c>
      <c r="DS2100" s="64">
        <f>$P2100-$P2101</f>
        <v/>
      </c>
      <c r="DT2100" s="64">
        <f>$Q2100-$Q2101</f>
        <v/>
      </c>
      <c r="DU2100" s="64">
        <f>$S2100-$S2101</f>
        <v/>
      </c>
      <c r="DV2100" s="65">
        <f>IFERROR(AVERAGE($AA2101/$AA2100-1,$AB2101/$AB2100-1,$AC2101/$AC2100-1,$AD2101/$AD2100-1,$AE2101/$AE2100-1,$AG2101/$AG2100-1,$AH2101/$AH2100-1,$AI2101/$AI2100-1,$AJ2101/$AJ2100-1,$AL2101/$AL2100-1,$AM2101/$AM2100-1,$AR2101/$AR2100-1,$AS2101/$AS2100-1,$AT2101/$AT2100-1,$AU2101/$AU2100-1,$AV2101/$AV2100-1,$AW2101/$AW2100-1,$AX2101/$AX2100-1,$AY2101/$AY2100-1),"")</f>
        <v/>
      </c>
      <c r="DW2100" s="66">
        <f>AVERAGE($CB2100,$CC2100,$CD2100,$CE2100,$CF2100,$CG2100,$CH2100,$CI2100,$CJ2100,$CL2100,$CM2100,$CN2100,$CO2100,$CP2100,$CQ2100,$CR2100,$CS2100,$CT2100)</f>
        <v/>
      </c>
      <c r="DX2100" s="66">
        <f>AVERAGE($CB2100,$CC2100,$CM2100,$CE2100,$CP2100)</f>
        <v/>
      </c>
      <c r="DY2100" s="64">
        <f>($DW2100-$DW2101)*100</f>
        <v/>
      </c>
      <c r="DZ2100" s="64">
        <f>($DX2100-$DX2101)*100</f>
        <v/>
      </c>
      <c r="EA2100" s="64">
        <f>($DW2100-$D2100)*100</f>
        <v/>
      </c>
      <c r="EB2100" s="64">
        <f>$Q2100-$O2100</f>
        <v/>
      </c>
      <c r="EC2100" s="67">
        <f>IFERROR($Q2100/$P2100,"")</f>
        <v/>
      </c>
    </row>
    <row r="2101">
      <c r="DG2101" s="64">
        <f>($B2101-$B2102)*100</f>
        <v/>
      </c>
      <c r="DH2101" s="64">
        <f>($D2101-$D2102)*100</f>
        <v/>
      </c>
      <c r="DI2101" s="64">
        <f>($E2101-$E2102)*100</f>
        <v/>
      </c>
      <c r="DJ2101" s="64">
        <f>($H2101-$H2102)*100</f>
        <v/>
      </c>
      <c r="DK2101" s="65">
        <f>IFERROR($J2101/$J2102-1,"")</f>
        <v/>
      </c>
      <c r="DL2101" s="64">
        <f>$L2101-$L2102</f>
        <v/>
      </c>
      <c r="DM2101" s="64">
        <f>$K2101-$K2102</f>
        <v/>
      </c>
      <c r="DN2101" s="65">
        <f>IFERROR($N2101/$N2102-1,"")</f>
        <v/>
      </c>
      <c r="DO2101" s="65">
        <f>IFERROR($M2101/$M2102-1,"")</f>
        <v/>
      </c>
      <c r="DP2101" s="65">
        <f>IFERROR($AZ2101/$AZ2102-1,"")</f>
        <v/>
      </c>
      <c r="DQ2101" s="65">
        <f>IFERROR($BA2101/$BA2102-1,"")</f>
        <v/>
      </c>
      <c r="DR2101" s="64">
        <f>$O2101-$O2102</f>
        <v/>
      </c>
      <c r="DS2101" s="64">
        <f>$P2101-$P2102</f>
        <v/>
      </c>
      <c r="DT2101" s="64">
        <f>$Q2101-$Q2102</f>
        <v/>
      </c>
      <c r="DU2101" s="64">
        <f>$S2101-$S2102</f>
        <v/>
      </c>
      <c r="DV2101" s="65">
        <f>IFERROR(AVERAGE($AA2102/$AA2101-1,$AB2102/$AB2101-1,$AC2102/$AC2101-1,$AD2102/$AD2101-1,$AE2102/$AE2101-1,$AG2102/$AG2101-1,$AH2102/$AH2101-1,$AI2102/$AI2101-1,$AJ2102/$AJ2101-1,$AL2102/$AL2101-1,$AM2102/$AM2101-1,$AR2102/$AR2101-1,$AS2102/$AS2101-1,$AT2102/$AT2101-1,$AU2102/$AU2101-1,$AV2102/$AV2101-1,$AW2102/$AW2101-1,$AX2102/$AX2101-1,$AY2102/$AY2101-1),"")</f>
        <v/>
      </c>
      <c r="DW2101" s="66">
        <f>AVERAGE($CB2101,$CC2101,$CD2101,$CE2101,$CF2101,$CG2101,$CH2101,$CI2101,$CJ2101,$CL2101,$CM2101,$CN2101,$CO2101,$CP2101,$CQ2101,$CR2101,$CS2101,$CT2101)</f>
        <v/>
      </c>
      <c r="DX2101" s="66">
        <f>AVERAGE($CB2101,$CC2101,$CM2101,$CE2101,$CP2101)</f>
        <v/>
      </c>
      <c r="DY2101" s="64">
        <f>($DW2101-$DW2102)*100</f>
        <v/>
      </c>
      <c r="DZ2101" s="64">
        <f>($DX2101-$DX2102)*100</f>
        <v/>
      </c>
      <c r="EA2101" s="64">
        <f>($DW2101-$D2101)*100</f>
        <v/>
      </c>
      <c r="EB2101" s="64">
        <f>$Q2101-$O2101</f>
        <v/>
      </c>
      <c r="EC2101" s="67">
        <f>IFERROR($Q2101/$P2101,"")</f>
        <v/>
      </c>
    </row>
    <row r="2102">
      <c r="DG2102" s="64">
        <f>($B2102-$B2103)*100</f>
        <v/>
      </c>
      <c r="DH2102" s="64">
        <f>($D2102-$D2103)*100</f>
        <v/>
      </c>
      <c r="DI2102" s="64">
        <f>($E2102-$E2103)*100</f>
        <v/>
      </c>
      <c r="DJ2102" s="64">
        <f>($H2102-$H2103)*100</f>
        <v/>
      </c>
      <c r="DK2102" s="65">
        <f>IFERROR($J2102/$J2103-1,"")</f>
        <v/>
      </c>
      <c r="DL2102" s="64">
        <f>$L2102-$L2103</f>
        <v/>
      </c>
      <c r="DM2102" s="64">
        <f>$K2102-$K2103</f>
        <v/>
      </c>
      <c r="DN2102" s="65">
        <f>IFERROR($N2102/$N2103-1,"")</f>
        <v/>
      </c>
      <c r="DO2102" s="65">
        <f>IFERROR($M2102/$M2103-1,"")</f>
        <v/>
      </c>
      <c r="DP2102" s="65">
        <f>IFERROR($AZ2102/$AZ2103-1,"")</f>
        <v/>
      </c>
      <c r="DQ2102" s="65">
        <f>IFERROR($BA2102/$BA2103-1,"")</f>
        <v/>
      </c>
      <c r="DR2102" s="64">
        <f>$O2102-$O2103</f>
        <v/>
      </c>
      <c r="DS2102" s="64">
        <f>$P2102-$P2103</f>
        <v/>
      </c>
      <c r="DT2102" s="64">
        <f>$Q2102-$Q2103</f>
        <v/>
      </c>
      <c r="DU2102" s="64">
        <f>$S2102-$S2103</f>
        <v/>
      </c>
      <c r="DV2102" s="65">
        <f>IFERROR(AVERAGE($AA2103/$AA2102-1,$AB2103/$AB2102-1,$AC2103/$AC2102-1,$AD2103/$AD2102-1,$AE2103/$AE2102-1,$AG2103/$AG2102-1,$AH2103/$AH2102-1,$AI2103/$AI2102-1,$AJ2103/$AJ2102-1,$AL2103/$AL2102-1,$AM2103/$AM2102-1,$AR2103/$AR2102-1,$AS2103/$AS2102-1,$AT2103/$AT2102-1,$AU2103/$AU2102-1,$AV2103/$AV2102-1,$AW2103/$AW2102-1,$AX2103/$AX2102-1,$AY2103/$AY2102-1),"")</f>
        <v/>
      </c>
      <c r="DW2102" s="66">
        <f>AVERAGE($CB2102,$CC2102,$CD2102,$CE2102,$CF2102,$CG2102,$CH2102,$CI2102,$CJ2102,$CL2102,$CM2102,$CN2102,$CO2102,$CP2102,$CQ2102,$CR2102,$CS2102,$CT2102)</f>
        <v/>
      </c>
      <c r="DX2102" s="66">
        <f>AVERAGE($CB2102,$CC2102,$CM2102,$CE2102,$CP2102)</f>
        <v/>
      </c>
      <c r="DY2102" s="64">
        <f>($DW2102-$DW2103)*100</f>
        <v/>
      </c>
      <c r="DZ2102" s="64">
        <f>($DX2102-$DX2103)*100</f>
        <v/>
      </c>
      <c r="EA2102" s="64">
        <f>($DW2102-$D2102)*100</f>
        <v/>
      </c>
      <c r="EB2102" s="64">
        <f>$Q2102-$O2102</f>
        <v/>
      </c>
      <c r="EC2102" s="67">
        <f>IFERROR($Q2102/$P2102,"")</f>
        <v/>
      </c>
    </row>
    <row r="2103">
      <c r="DG2103" s="64">
        <f>($B2103-$B2104)*100</f>
        <v/>
      </c>
      <c r="DH2103" s="64">
        <f>($D2103-$D2104)*100</f>
        <v/>
      </c>
      <c r="DI2103" s="64">
        <f>($E2103-$E2104)*100</f>
        <v/>
      </c>
      <c r="DJ2103" s="64">
        <f>($H2103-$H2104)*100</f>
        <v/>
      </c>
      <c r="DK2103" s="65">
        <f>IFERROR($J2103/$J2104-1,"")</f>
        <v/>
      </c>
      <c r="DL2103" s="64">
        <f>$L2103-$L2104</f>
        <v/>
      </c>
      <c r="DM2103" s="64">
        <f>$K2103-$K2104</f>
        <v/>
      </c>
      <c r="DN2103" s="65">
        <f>IFERROR($N2103/$N2104-1,"")</f>
        <v/>
      </c>
      <c r="DO2103" s="65">
        <f>IFERROR($M2103/$M2104-1,"")</f>
        <v/>
      </c>
      <c r="DP2103" s="65">
        <f>IFERROR($AZ2103/$AZ2104-1,"")</f>
        <v/>
      </c>
      <c r="DQ2103" s="65">
        <f>IFERROR($BA2103/$BA2104-1,"")</f>
        <v/>
      </c>
      <c r="DR2103" s="64">
        <f>$O2103-$O2104</f>
        <v/>
      </c>
      <c r="DS2103" s="64">
        <f>$P2103-$P2104</f>
        <v/>
      </c>
      <c r="DT2103" s="64">
        <f>$Q2103-$Q2104</f>
        <v/>
      </c>
      <c r="DU2103" s="64">
        <f>$S2103-$S2104</f>
        <v/>
      </c>
      <c r="DV2103" s="65">
        <f>IFERROR(AVERAGE($AA2104/$AA2103-1,$AB2104/$AB2103-1,$AC2104/$AC2103-1,$AD2104/$AD2103-1,$AE2104/$AE2103-1,$AG2104/$AG2103-1,$AH2104/$AH2103-1,$AI2104/$AI2103-1,$AJ2104/$AJ2103-1,$AL2104/$AL2103-1,$AM2104/$AM2103-1,$AR2104/$AR2103-1,$AS2104/$AS2103-1,$AT2104/$AT2103-1,$AU2104/$AU2103-1,$AV2104/$AV2103-1,$AW2104/$AW2103-1,$AX2104/$AX2103-1,$AY2104/$AY2103-1),"")</f>
        <v/>
      </c>
      <c r="DW2103" s="66">
        <f>AVERAGE($CB2103,$CC2103,$CD2103,$CE2103,$CF2103,$CG2103,$CH2103,$CI2103,$CJ2103,$CL2103,$CM2103,$CN2103,$CO2103,$CP2103,$CQ2103,$CR2103,$CS2103,$CT2103)</f>
        <v/>
      </c>
      <c r="DX2103" s="66">
        <f>AVERAGE($CB2103,$CC2103,$CM2103,$CE2103,$CP2103)</f>
        <v/>
      </c>
      <c r="DY2103" s="64">
        <f>($DW2103-$DW2104)*100</f>
        <v/>
      </c>
      <c r="DZ2103" s="64">
        <f>($DX2103-$DX2104)*100</f>
        <v/>
      </c>
      <c r="EA2103" s="64">
        <f>($DW2103-$D2103)*100</f>
        <v/>
      </c>
      <c r="EB2103" s="64">
        <f>$Q2103-$O2103</f>
        <v/>
      </c>
      <c r="EC2103" s="67">
        <f>IFERROR($Q2103/$P2103,"")</f>
        <v/>
      </c>
    </row>
    <row r="2104">
      <c r="DG2104" s="64">
        <f>($B2104-$B2105)*100</f>
        <v/>
      </c>
      <c r="DH2104" s="64">
        <f>($D2104-$D2105)*100</f>
        <v/>
      </c>
      <c r="DI2104" s="64">
        <f>($E2104-$E2105)*100</f>
        <v/>
      </c>
      <c r="DJ2104" s="64">
        <f>($H2104-$H2105)*100</f>
        <v/>
      </c>
      <c r="DK2104" s="65">
        <f>IFERROR($J2104/$J2105-1,"")</f>
        <v/>
      </c>
      <c r="DL2104" s="64">
        <f>$L2104-$L2105</f>
        <v/>
      </c>
      <c r="DM2104" s="64">
        <f>$K2104-$K2105</f>
        <v/>
      </c>
      <c r="DN2104" s="65">
        <f>IFERROR($N2104/$N2105-1,"")</f>
        <v/>
      </c>
      <c r="DO2104" s="65">
        <f>IFERROR($M2104/$M2105-1,"")</f>
        <v/>
      </c>
      <c r="DP2104" s="65">
        <f>IFERROR($AZ2104/$AZ2105-1,"")</f>
        <v/>
      </c>
      <c r="DQ2104" s="65">
        <f>IFERROR($BA2104/$BA2105-1,"")</f>
        <v/>
      </c>
      <c r="DR2104" s="64">
        <f>$O2104-$O2105</f>
        <v/>
      </c>
      <c r="DS2104" s="64">
        <f>$P2104-$P2105</f>
        <v/>
      </c>
      <c r="DT2104" s="64">
        <f>$Q2104-$Q2105</f>
        <v/>
      </c>
      <c r="DU2104" s="64">
        <f>$S2104-$S2105</f>
        <v/>
      </c>
      <c r="DV2104" s="65">
        <f>IFERROR(AVERAGE($AA2105/$AA2104-1,$AB2105/$AB2104-1,$AC2105/$AC2104-1,$AD2105/$AD2104-1,$AE2105/$AE2104-1,$AG2105/$AG2104-1,$AH2105/$AH2104-1,$AI2105/$AI2104-1,$AJ2105/$AJ2104-1,$AL2105/$AL2104-1,$AM2105/$AM2104-1,$AR2105/$AR2104-1,$AS2105/$AS2104-1,$AT2105/$AT2104-1,$AU2105/$AU2104-1,$AV2105/$AV2104-1,$AW2105/$AW2104-1,$AX2105/$AX2104-1,$AY2105/$AY2104-1),"")</f>
        <v/>
      </c>
      <c r="DW2104" s="66">
        <f>AVERAGE($CB2104,$CC2104,$CD2104,$CE2104,$CF2104,$CG2104,$CH2104,$CI2104,$CJ2104,$CL2104,$CM2104,$CN2104,$CO2104,$CP2104,$CQ2104,$CR2104,$CS2104,$CT2104)</f>
        <v/>
      </c>
      <c r="DX2104" s="66">
        <f>AVERAGE($CB2104,$CC2104,$CM2104,$CE2104,$CP2104)</f>
        <v/>
      </c>
      <c r="DY2104" s="64">
        <f>($DW2104-$DW2105)*100</f>
        <v/>
      </c>
      <c r="DZ2104" s="64">
        <f>($DX2104-$DX2105)*100</f>
        <v/>
      </c>
      <c r="EA2104" s="64">
        <f>($DW2104-$D2104)*100</f>
        <v/>
      </c>
      <c r="EB2104" s="64">
        <f>$Q2104-$O2104</f>
        <v/>
      </c>
      <c r="EC2104" s="67">
        <f>IFERROR($Q2104/$P2104,"")</f>
        <v/>
      </c>
    </row>
    <row r="2105">
      <c r="DG2105" s="64">
        <f>($B2105-$B2106)*100</f>
        <v/>
      </c>
      <c r="DH2105" s="64">
        <f>($D2105-$D2106)*100</f>
        <v/>
      </c>
      <c r="DI2105" s="64">
        <f>($E2105-$E2106)*100</f>
        <v/>
      </c>
      <c r="DJ2105" s="64">
        <f>($H2105-$H2106)*100</f>
        <v/>
      </c>
      <c r="DK2105" s="65">
        <f>IFERROR($J2105/$J2106-1,"")</f>
        <v/>
      </c>
      <c r="DL2105" s="64">
        <f>$L2105-$L2106</f>
        <v/>
      </c>
      <c r="DM2105" s="64">
        <f>$K2105-$K2106</f>
        <v/>
      </c>
      <c r="DN2105" s="65">
        <f>IFERROR($N2105/$N2106-1,"")</f>
        <v/>
      </c>
      <c r="DO2105" s="65">
        <f>IFERROR($M2105/$M2106-1,"")</f>
        <v/>
      </c>
      <c r="DP2105" s="65">
        <f>IFERROR($AZ2105/$AZ2106-1,"")</f>
        <v/>
      </c>
      <c r="DQ2105" s="65">
        <f>IFERROR($BA2105/$BA2106-1,"")</f>
        <v/>
      </c>
      <c r="DR2105" s="64">
        <f>$O2105-$O2106</f>
        <v/>
      </c>
      <c r="DS2105" s="64">
        <f>$P2105-$P2106</f>
        <v/>
      </c>
      <c r="DT2105" s="64">
        <f>$Q2105-$Q2106</f>
        <v/>
      </c>
      <c r="DU2105" s="64">
        <f>$S2105-$S2106</f>
        <v/>
      </c>
      <c r="DV2105" s="65">
        <f>IFERROR(AVERAGE($AA2106/$AA2105-1,$AB2106/$AB2105-1,$AC2106/$AC2105-1,$AD2106/$AD2105-1,$AE2106/$AE2105-1,$AG2106/$AG2105-1,$AH2106/$AH2105-1,$AI2106/$AI2105-1,$AJ2106/$AJ2105-1,$AL2106/$AL2105-1,$AM2106/$AM2105-1,$AR2106/$AR2105-1,$AS2106/$AS2105-1,$AT2106/$AT2105-1,$AU2106/$AU2105-1,$AV2106/$AV2105-1,$AW2106/$AW2105-1,$AX2106/$AX2105-1,$AY2106/$AY2105-1),"")</f>
        <v/>
      </c>
      <c r="DW2105" s="66">
        <f>AVERAGE($CB2105,$CC2105,$CD2105,$CE2105,$CF2105,$CG2105,$CH2105,$CI2105,$CJ2105,$CL2105,$CM2105,$CN2105,$CO2105,$CP2105,$CQ2105,$CR2105,$CS2105,$CT2105)</f>
        <v/>
      </c>
      <c r="DX2105" s="66">
        <f>AVERAGE($CB2105,$CC2105,$CM2105,$CE2105,$CP2105)</f>
        <v/>
      </c>
      <c r="DY2105" s="64">
        <f>($DW2105-$DW2106)*100</f>
        <v/>
      </c>
      <c r="DZ2105" s="64">
        <f>($DX2105-$DX2106)*100</f>
        <v/>
      </c>
      <c r="EA2105" s="64">
        <f>($DW2105-$D2105)*100</f>
        <v/>
      </c>
      <c r="EB2105" s="64">
        <f>$Q2105-$O2105</f>
        <v/>
      </c>
      <c r="EC2105" s="67">
        <f>IFERROR($Q2105/$P2105,"")</f>
        <v/>
      </c>
    </row>
    <row r="2106">
      <c r="DG2106" s="64">
        <f>($B2106-$B2107)*100</f>
        <v/>
      </c>
      <c r="DH2106" s="64">
        <f>($D2106-$D2107)*100</f>
        <v/>
      </c>
      <c r="DI2106" s="64">
        <f>($E2106-$E2107)*100</f>
        <v/>
      </c>
      <c r="DJ2106" s="64">
        <f>($H2106-$H2107)*100</f>
        <v/>
      </c>
      <c r="DK2106" s="65">
        <f>IFERROR($J2106/$J2107-1,"")</f>
        <v/>
      </c>
      <c r="DL2106" s="64">
        <f>$L2106-$L2107</f>
        <v/>
      </c>
      <c r="DM2106" s="64">
        <f>$K2106-$K2107</f>
        <v/>
      </c>
      <c r="DN2106" s="65">
        <f>IFERROR($N2106/$N2107-1,"")</f>
        <v/>
      </c>
      <c r="DO2106" s="65">
        <f>IFERROR($M2106/$M2107-1,"")</f>
        <v/>
      </c>
      <c r="DP2106" s="65">
        <f>IFERROR($AZ2106/$AZ2107-1,"")</f>
        <v/>
      </c>
      <c r="DQ2106" s="65">
        <f>IFERROR($BA2106/$BA2107-1,"")</f>
        <v/>
      </c>
      <c r="DR2106" s="64">
        <f>$O2106-$O2107</f>
        <v/>
      </c>
      <c r="DS2106" s="64">
        <f>$P2106-$P2107</f>
        <v/>
      </c>
      <c r="DT2106" s="64">
        <f>$Q2106-$Q2107</f>
        <v/>
      </c>
      <c r="DU2106" s="64">
        <f>$S2106-$S2107</f>
        <v/>
      </c>
      <c r="DV2106" s="65">
        <f>IFERROR(AVERAGE($AA2107/$AA2106-1,$AB2107/$AB2106-1,$AC2107/$AC2106-1,$AD2107/$AD2106-1,$AE2107/$AE2106-1,$AG2107/$AG2106-1,$AH2107/$AH2106-1,$AI2107/$AI2106-1,$AJ2107/$AJ2106-1,$AL2107/$AL2106-1,$AM2107/$AM2106-1,$AR2107/$AR2106-1,$AS2107/$AS2106-1,$AT2107/$AT2106-1,$AU2107/$AU2106-1,$AV2107/$AV2106-1,$AW2107/$AW2106-1,$AX2107/$AX2106-1,$AY2107/$AY2106-1),"")</f>
        <v/>
      </c>
      <c r="DW2106" s="66">
        <f>AVERAGE($CB2106,$CC2106,$CD2106,$CE2106,$CF2106,$CG2106,$CH2106,$CI2106,$CJ2106,$CL2106,$CM2106,$CN2106,$CO2106,$CP2106,$CQ2106,$CR2106,$CS2106,$CT2106)</f>
        <v/>
      </c>
      <c r="DX2106" s="66">
        <f>AVERAGE($CB2106,$CC2106,$CM2106,$CE2106,$CP2106)</f>
        <v/>
      </c>
      <c r="DY2106" s="64">
        <f>($DW2106-$DW2107)*100</f>
        <v/>
      </c>
      <c r="DZ2106" s="64">
        <f>($DX2106-$DX2107)*100</f>
        <v/>
      </c>
      <c r="EA2106" s="64">
        <f>($DW2106-$D2106)*100</f>
        <v/>
      </c>
      <c r="EB2106" s="64">
        <f>$Q2106-$O2106</f>
        <v/>
      </c>
      <c r="EC2106" s="67">
        <f>IFERROR($Q2106/$P2106,"")</f>
        <v/>
      </c>
    </row>
    <row r="2107">
      <c r="DG2107" s="64">
        <f>($B2107-$B2108)*100</f>
        <v/>
      </c>
      <c r="DH2107" s="64">
        <f>($D2107-$D2108)*100</f>
        <v/>
      </c>
      <c r="DI2107" s="64">
        <f>($E2107-$E2108)*100</f>
        <v/>
      </c>
      <c r="DJ2107" s="64">
        <f>($H2107-$H2108)*100</f>
        <v/>
      </c>
      <c r="DK2107" s="65">
        <f>IFERROR($J2107/$J2108-1,"")</f>
        <v/>
      </c>
      <c r="DL2107" s="64">
        <f>$L2107-$L2108</f>
        <v/>
      </c>
      <c r="DM2107" s="64">
        <f>$K2107-$K2108</f>
        <v/>
      </c>
      <c r="DN2107" s="65">
        <f>IFERROR($N2107/$N2108-1,"")</f>
        <v/>
      </c>
      <c r="DO2107" s="65">
        <f>IFERROR($M2107/$M2108-1,"")</f>
        <v/>
      </c>
      <c r="DP2107" s="65">
        <f>IFERROR($AZ2107/$AZ2108-1,"")</f>
        <v/>
      </c>
      <c r="DQ2107" s="65">
        <f>IFERROR($BA2107/$BA2108-1,"")</f>
        <v/>
      </c>
      <c r="DR2107" s="64">
        <f>$O2107-$O2108</f>
        <v/>
      </c>
      <c r="DS2107" s="64">
        <f>$P2107-$P2108</f>
        <v/>
      </c>
      <c r="DT2107" s="64">
        <f>$Q2107-$Q2108</f>
        <v/>
      </c>
      <c r="DU2107" s="64">
        <f>$S2107-$S2108</f>
        <v/>
      </c>
      <c r="DV2107" s="65">
        <f>IFERROR(AVERAGE($AA2108/$AA2107-1,$AB2108/$AB2107-1,$AC2108/$AC2107-1,$AD2108/$AD2107-1,$AE2108/$AE2107-1,$AG2108/$AG2107-1,$AH2108/$AH2107-1,$AI2108/$AI2107-1,$AJ2108/$AJ2107-1,$AL2108/$AL2107-1,$AM2108/$AM2107-1,$AR2108/$AR2107-1,$AS2108/$AS2107-1,$AT2108/$AT2107-1,$AU2108/$AU2107-1,$AV2108/$AV2107-1,$AW2108/$AW2107-1,$AX2108/$AX2107-1,$AY2108/$AY2107-1),"")</f>
        <v/>
      </c>
      <c r="DW2107" s="66">
        <f>AVERAGE($CB2107,$CC2107,$CD2107,$CE2107,$CF2107,$CG2107,$CH2107,$CI2107,$CJ2107,$CL2107,$CM2107,$CN2107,$CO2107,$CP2107,$CQ2107,$CR2107,$CS2107,$CT2107)</f>
        <v/>
      </c>
      <c r="DX2107" s="66">
        <f>AVERAGE($CB2107,$CC2107,$CM2107,$CE2107,$CP2107)</f>
        <v/>
      </c>
      <c r="DY2107" s="64">
        <f>($DW2107-$DW2108)*100</f>
        <v/>
      </c>
      <c r="DZ2107" s="64">
        <f>($DX2107-$DX2108)*100</f>
        <v/>
      </c>
      <c r="EA2107" s="64">
        <f>($DW2107-$D2107)*100</f>
        <v/>
      </c>
      <c r="EB2107" s="64">
        <f>$Q2107-$O2107</f>
        <v/>
      </c>
      <c r="EC2107" s="67">
        <f>IFERROR($Q2107/$P2107,"")</f>
        <v/>
      </c>
    </row>
    <row r="2108">
      <c r="DG2108" s="64">
        <f>($B2108-$B2109)*100</f>
        <v/>
      </c>
      <c r="DH2108" s="64">
        <f>($D2108-$D2109)*100</f>
        <v/>
      </c>
      <c r="DI2108" s="64">
        <f>($E2108-$E2109)*100</f>
        <v/>
      </c>
      <c r="DJ2108" s="64">
        <f>($H2108-$H2109)*100</f>
        <v/>
      </c>
      <c r="DK2108" s="65">
        <f>IFERROR($J2108/$J2109-1,"")</f>
        <v/>
      </c>
      <c r="DL2108" s="64">
        <f>$L2108-$L2109</f>
        <v/>
      </c>
      <c r="DM2108" s="64">
        <f>$K2108-$K2109</f>
        <v/>
      </c>
      <c r="DN2108" s="65">
        <f>IFERROR($N2108/$N2109-1,"")</f>
        <v/>
      </c>
      <c r="DO2108" s="65">
        <f>IFERROR($M2108/$M2109-1,"")</f>
        <v/>
      </c>
      <c r="DP2108" s="65">
        <f>IFERROR($AZ2108/$AZ2109-1,"")</f>
        <v/>
      </c>
      <c r="DQ2108" s="65">
        <f>IFERROR($BA2108/$BA2109-1,"")</f>
        <v/>
      </c>
      <c r="DR2108" s="64">
        <f>$O2108-$O2109</f>
        <v/>
      </c>
      <c r="DS2108" s="64">
        <f>$P2108-$P2109</f>
        <v/>
      </c>
      <c r="DT2108" s="64">
        <f>$Q2108-$Q2109</f>
        <v/>
      </c>
      <c r="DU2108" s="64">
        <f>$S2108-$S2109</f>
        <v/>
      </c>
      <c r="DV2108" s="65">
        <f>IFERROR(AVERAGE($AA2109/$AA2108-1,$AB2109/$AB2108-1,$AC2109/$AC2108-1,$AD2109/$AD2108-1,$AE2109/$AE2108-1,$AG2109/$AG2108-1,$AH2109/$AH2108-1,$AI2109/$AI2108-1,$AJ2109/$AJ2108-1,$AL2109/$AL2108-1,$AM2109/$AM2108-1,$AR2109/$AR2108-1,$AS2109/$AS2108-1,$AT2109/$AT2108-1,$AU2109/$AU2108-1,$AV2109/$AV2108-1,$AW2109/$AW2108-1,$AX2109/$AX2108-1,$AY2109/$AY2108-1),"")</f>
        <v/>
      </c>
      <c r="DW2108" s="66">
        <f>AVERAGE($CB2108,$CC2108,$CD2108,$CE2108,$CF2108,$CG2108,$CH2108,$CI2108,$CJ2108,$CL2108,$CM2108,$CN2108,$CO2108,$CP2108,$CQ2108,$CR2108,$CS2108,$CT2108)</f>
        <v/>
      </c>
      <c r="DX2108" s="66">
        <f>AVERAGE($CB2108,$CC2108,$CM2108,$CE2108,$CP2108)</f>
        <v/>
      </c>
      <c r="DY2108" s="64">
        <f>($DW2108-$DW2109)*100</f>
        <v/>
      </c>
      <c r="DZ2108" s="64">
        <f>($DX2108-$DX2109)*100</f>
        <v/>
      </c>
      <c r="EA2108" s="64">
        <f>($DW2108-$D2108)*100</f>
        <v/>
      </c>
      <c r="EB2108" s="64">
        <f>$Q2108-$O2108</f>
        <v/>
      </c>
      <c r="EC2108" s="67">
        <f>IFERROR($Q2108/$P2108,"")</f>
        <v/>
      </c>
    </row>
    <row r="2109">
      <c r="DG2109" s="64">
        <f>($B2109-$B2110)*100</f>
        <v/>
      </c>
      <c r="DH2109" s="64">
        <f>($D2109-$D2110)*100</f>
        <v/>
      </c>
      <c r="DI2109" s="64">
        <f>($E2109-$E2110)*100</f>
        <v/>
      </c>
      <c r="DJ2109" s="64">
        <f>($H2109-$H2110)*100</f>
        <v/>
      </c>
      <c r="DK2109" s="65">
        <f>IFERROR($J2109/$J2110-1,"")</f>
        <v/>
      </c>
      <c r="DL2109" s="64">
        <f>$L2109-$L2110</f>
        <v/>
      </c>
      <c r="DM2109" s="64">
        <f>$K2109-$K2110</f>
        <v/>
      </c>
      <c r="DN2109" s="65">
        <f>IFERROR($N2109/$N2110-1,"")</f>
        <v/>
      </c>
      <c r="DO2109" s="65">
        <f>IFERROR($M2109/$M2110-1,"")</f>
        <v/>
      </c>
      <c r="DP2109" s="65">
        <f>IFERROR($AZ2109/$AZ2110-1,"")</f>
        <v/>
      </c>
      <c r="DQ2109" s="65">
        <f>IFERROR($BA2109/$BA2110-1,"")</f>
        <v/>
      </c>
      <c r="DR2109" s="64">
        <f>$O2109-$O2110</f>
        <v/>
      </c>
      <c r="DS2109" s="64">
        <f>$P2109-$P2110</f>
        <v/>
      </c>
      <c r="DT2109" s="64">
        <f>$Q2109-$Q2110</f>
        <v/>
      </c>
      <c r="DU2109" s="64">
        <f>$S2109-$S2110</f>
        <v/>
      </c>
      <c r="DV2109" s="65">
        <f>IFERROR(AVERAGE($AA2110/$AA2109-1,$AB2110/$AB2109-1,$AC2110/$AC2109-1,$AD2110/$AD2109-1,$AE2110/$AE2109-1,$AG2110/$AG2109-1,$AH2110/$AH2109-1,$AI2110/$AI2109-1,$AJ2110/$AJ2109-1,$AL2110/$AL2109-1,$AM2110/$AM2109-1,$AR2110/$AR2109-1,$AS2110/$AS2109-1,$AT2110/$AT2109-1,$AU2110/$AU2109-1,$AV2110/$AV2109-1,$AW2110/$AW2109-1,$AX2110/$AX2109-1,$AY2110/$AY2109-1),"")</f>
        <v/>
      </c>
      <c r="DW2109" s="66">
        <f>AVERAGE($CB2109,$CC2109,$CD2109,$CE2109,$CF2109,$CG2109,$CH2109,$CI2109,$CJ2109,$CL2109,$CM2109,$CN2109,$CO2109,$CP2109,$CQ2109,$CR2109,$CS2109,$CT2109)</f>
        <v/>
      </c>
      <c r="DX2109" s="66">
        <f>AVERAGE($CB2109,$CC2109,$CM2109,$CE2109,$CP2109)</f>
        <v/>
      </c>
      <c r="DY2109" s="64">
        <f>($DW2109-$DW2110)*100</f>
        <v/>
      </c>
      <c r="DZ2109" s="64">
        <f>($DX2109-$DX2110)*100</f>
        <v/>
      </c>
      <c r="EA2109" s="64">
        <f>($DW2109-$D2109)*100</f>
        <v/>
      </c>
      <c r="EB2109" s="64">
        <f>$Q2109-$O2109</f>
        <v/>
      </c>
      <c r="EC2109" s="67">
        <f>IFERROR($Q2109/$P2109,"")</f>
        <v/>
      </c>
    </row>
    <row r="2110">
      <c r="DG2110" s="64">
        <f>($B2110-$B2111)*100</f>
        <v/>
      </c>
      <c r="DH2110" s="64">
        <f>($D2110-$D2111)*100</f>
        <v/>
      </c>
      <c r="DI2110" s="64">
        <f>($E2110-$E2111)*100</f>
        <v/>
      </c>
      <c r="DJ2110" s="64">
        <f>($H2110-$H2111)*100</f>
        <v/>
      </c>
      <c r="DK2110" s="65">
        <f>IFERROR($J2110/$J2111-1,"")</f>
        <v/>
      </c>
      <c r="DL2110" s="64">
        <f>$L2110-$L2111</f>
        <v/>
      </c>
      <c r="DM2110" s="64">
        <f>$K2110-$K2111</f>
        <v/>
      </c>
      <c r="DN2110" s="65">
        <f>IFERROR($N2110/$N2111-1,"")</f>
        <v/>
      </c>
      <c r="DO2110" s="65">
        <f>IFERROR($M2110/$M2111-1,"")</f>
        <v/>
      </c>
      <c r="DP2110" s="65">
        <f>IFERROR($AZ2110/$AZ2111-1,"")</f>
        <v/>
      </c>
      <c r="DQ2110" s="65">
        <f>IFERROR($BA2110/$BA2111-1,"")</f>
        <v/>
      </c>
      <c r="DR2110" s="64">
        <f>$O2110-$O2111</f>
        <v/>
      </c>
      <c r="DS2110" s="64">
        <f>$P2110-$P2111</f>
        <v/>
      </c>
      <c r="DT2110" s="64">
        <f>$Q2110-$Q2111</f>
        <v/>
      </c>
      <c r="DU2110" s="64">
        <f>$S2110-$S2111</f>
        <v/>
      </c>
      <c r="DV2110" s="65">
        <f>IFERROR(AVERAGE($AA2111/$AA2110-1,$AB2111/$AB2110-1,$AC2111/$AC2110-1,$AD2111/$AD2110-1,$AE2111/$AE2110-1,$AG2111/$AG2110-1,$AH2111/$AH2110-1,$AI2111/$AI2110-1,$AJ2111/$AJ2110-1,$AL2111/$AL2110-1,$AM2111/$AM2110-1,$AR2111/$AR2110-1,$AS2111/$AS2110-1,$AT2111/$AT2110-1,$AU2111/$AU2110-1,$AV2111/$AV2110-1,$AW2111/$AW2110-1,$AX2111/$AX2110-1,$AY2111/$AY2110-1),"")</f>
        <v/>
      </c>
      <c r="DW2110" s="66">
        <f>AVERAGE($CB2110,$CC2110,$CD2110,$CE2110,$CF2110,$CG2110,$CH2110,$CI2110,$CJ2110,$CL2110,$CM2110,$CN2110,$CO2110,$CP2110,$CQ2110,$CR2110,$CS2110,$CT2110)</f>
        <v/>
      </c>
      <c r="DX2110" s="66">
        <f>AVERAGE($CB2110,$CC2110,$CM2110,$CE2110,$CP2110)</f>
        <v/>
      </c>
      <c r="DY2110" s="64">
        <f>($DW2110-$DW2111)*100</f>
        <v/>
      </c>
      <c r="DZ2110" s="64">
        <f>($DX2110-$DX2111)*100</f>
        <v/>
      </c>
      <c r="EA2110" s="64">
        <f>($DW2110-$D2110)*100</f>
        <v/>
      </c>
      <c r="EB2110" s="64">
        <f>$Q2110-$O2110</f>
        <v/>
      </c>
      <c r="EC2110" s="67">
        <f>IFERROR($Q2110/$P2110,"")</f>
        <v/>
      </c>
    </row>
    <row r="2111">
      <c r="DG2111" s="64">
        <f>($B2111-$B2112)*100</f>
        <v/>
      </c>
      <c r="DH2111" s="64">
        <f>($D2111-$D2112)*100</f>
        <v/>
      </c>
      <c r="DI2111" s="64">
        <f>($E2111-$E2112)*100</f>
        <v/>
      </c>
      <c r="DJ2111" s="64">
        <f>($H2111-$H2112)*100</f>
        <v/>
      </c>
      <c r="DK2111" s="65">
        <f>IFERROR($J2111/$J2112-1,"")</f>
        <v/>
      </c>
      <c r="DL2111" s="64">
        <f>$L2111-$L2112</f>
        <v/>
      </c>
      <c r="DM2111" s="64">
        <f>$K2111-$K2112</f>
        <v/>
      </c>
      <c r="DN2111" s="65">
        <f>IFERROR($N2111/$N2112-1,"")</f>
        <v/>
      </c>
      <c r="DO2111" s="65">
        <f>IFERROR($M2111/$M2112-1,"")</f>
        <v/>
      </c>
      <c r="DP2111" s="65">
        <f>IFERROR($AZ2111/$AZ2112-1,"")</f>
        <v/>
      </c>
      <c r="DQ2111" s="65">
        <f>IFERROR($BA2111/$BA2112-1,"")</f>
        <v/>
      </c>
      <c r="DR2111" s="64">
        <f>$O2111-$O2112</f>
        <v/>
      </c>
      <c r="DS2111" s="64">
        <f>$P2111-$P2112</f>
        <v/>
      </c>
      <c r="DT2111" s="64">
        <f>$Q2111-$Q2112</f>
        <v/>
      </c>
      <c r="DU2111" s="64">
        <f>$S2111-$S2112</f>
        <v/>
      </c>
      <c r="DV2111" s="65">
        <f>IFERROR(AVERAGE($AA2112/$AA2111-1,$AB2112/$AB2111-1,$AC2112/$AC2111-1,$AD2112/$AD2111-1,$AE2112/$AE2111-1,$AG2112/$AG2111-1,$AH2112/$AH2111-1,$AI2112/$AI2111-1,$AJ2112/$AJ2111-1,$AL2112/$AL2111-1,$AM2112/$AM2111-1,$AR2112/$AR2111-1,$AS2112/$AS2111-1,$AT2112/$AT2111-1,$AU2112/$AU2111-1,$AV2112/$AV2111-1,$AW2112/$AW2111-1,$AX2112/$AX2111-1,$AY2112/$AY2111-1),"")</f>
        <v/>
      </c>
      <c r="DW2111" s="66">
        <f>AVERAGE($CB2111,$CC2111,$CD2111,$CE2111,$CF2111,$CG2111,$CH2111,$CI2111,$CJ2111,$CL2111,$CM2111,$CN2111,$CO2111,$CP2111,$CQ2111,$CR2111,$CS2111,$CT2111)</f>
        <v/>
      </c>
      <c r="DX2111" s="66">
        <f>AVERAGE($CB2111,$CC2111,$CM2111,$CE2111,$CP2111)</f>
        <v/>
      </c>
      <c r="DY2111" s="64">
        <f>($DW2111-$DW2112)*100</f>
        <v/>
      </c>
      <c r="DZ2111" s="64">
        <f>($DX2111-$DX2112)*100</f>
        <v/>
      </c>
      <c r="EA2111" s="64">
        <f>($DW2111-$D2111)*100</f>
        <v/>
      </c>
      <c r="EB2111" s="64">
        <f>$Q2111-$O2111</f>
        <v/>
      </c>
      <c r="EC2111" s="67">
        <f>IFERROR($Q2111/$P2111,"")</f>
        <v/>
      </c>
    </row>
    <row r="2112">
      <c r="DG2112" s="64">
        <f>($B2112-$B2113)*100</f>
        <v/>
      </c>
      <c r="DH2112" s="64">
        <f>($D2112-$D2113)*100</f>
        <v/>
      </c>
      <c r="DI2112" s="64">
        <f>($E2112-$E2113)*100</f>
        <v/>
      </c>
      <c r="DJ2112" s="64">
        <f>($H2112-$H2113)*100</f>
        <v/>
      </c>
      <c r="DK2112" s="65">
        <f>IFERROR($J2112/$J2113-1,"")</f>
        <v/>
      </c>
      <c r="DL2112" s="64">
        <f>$L2112-$L2113</f>
        <v/>
      </c>
      <c r="DM2112" s="64">
        <f>$K2112-$K2113</f>
        <v/>
      </c>
      <c r="DN2112" s="65">
        <f>IFERROR($N2112/$N2113-1,"")</f>
        <v/>
      </c>
      <c r="DO2112" s="65">
        <f>IFERROR($M2112/$M2113-1,"")</f>
        <v/>
      </c>
      <c r="DP2112" s="65">
        <f>IFERROR($AZ2112/$AZ2113-1,"")</f>
        <v/>
      </c>
      <c r="DQ2112" s="65">
        <f>IFERROR($BA2112/$BA2113-1,"")</f>
        <v/>
      </c>
      <c r="DR2112" s="64">
        <f>$O2112-$O2113</f>
        <v/>
      </c>
      <c r="DS2112" s="64">
        <f>$P2112-$P2113</f>
        <v/>
      </c>
      <c r="DT2112" s="64">
        <f>$Q2112-$Q2113</f>
        <v/>
      </c>
      <c r="DU2112" s="64">
        <f>$S2112-$S2113</f>
        <v/>
      </c>
      <c r="DV2112" s="65">
        <f>IFERROR(AVERAGE($AA2113/$AA2112-1,$AB2113/$AB2112-1,$AC2113/$AC2112-1,$AD2113/$AD2112-1,$AE2113/$AE2112-1,$AG2113/$AG2112-1,$AH2113/$AH2112-1,$AI2113/$AI2112-1,$AJ2113/$AJ2112-1,$AL2113/$AL2112-1,$AM2113/$AM2112-1,$AR2113/$AR2112-1,$AS2113/$AS2112-1,$AT2113/$AT2112-1,$AU2113/$AU2112-1,$AV2113/$AV2112-1,$AW2113/$AW2112-1,$AX2113/$AX2112-1,$AY2113/$AY2112-1),"")</f>
        <v/>
      </c>
      <c r="DW2112" s="66">
        <f>AVERAGE($CB2112,$CC2112,$CD2112,$CE2112,$CF2112,$CG2112,$CH2112,$CI2112,$CJ2112,$CL2112,$CM2112,$CN2112,$CO2112,$CP2112,$CQ2112,$CR2112,$CS2112,$CT2112)</f>
        <v/>
      </c>
      <c r="DX2112" s="66">
        <f>AVERAGE($CB2112,$CC2112,$CM2112,$CE2112,$CP2112)</f>
        <v/>
      </c>
      <c r="DY2112" s="64">
        <f>($DW2112-$DW2113)*100</f>
        <v/>
      </c>
      <c r="DZ2112" s="64">
        <f>($DX2112-$DX2113)*100</f>
        <v/>
      </c>
      <c r="EA2112" s="64">
        <f>($DW2112-$D2112)*100</f>
        <v/>
      </c>
      <c r="EB2112" s="64">
        <f>$Q2112-$O2112</f>
        <v/>
      </c>
      <c r="EC2112" s="67">
        <f>IFERROR($Q2112/$P2112,"")</f>
        <v/>
      </c>
    </row>
    <row r="2113">
      <c r="DG2113" s="64">
        <f>($B2113-$B2114)*100</f>
        <v/>
      </c>
      <c r="DH2113" s="64">
        <f>($D2113-$D2114)*100</f>
        <v/>
      </c>
      <c r="DI2113" s="64">
        <f>($E2113-$E2114)*100</f>
        <v/>
      </c>
      <c r="DJ2113" s="64">
        <f>($H2113-$H2114)*100</f>
        <v/>
      </c>
      <c r="DK2113" s="65">
        <f>IFERROR($J2113/$J2114-1,"")</f>
        <v/>
      </c>
      <c r="DL2113" s="64">
        <f>$L2113-$L2114</f>
        <v/>
      </c>
      <c r="DM2113" s="64">
        <f>$K2113-$K2114</f>
        <v/>
      </c>
      <c r="DN2113" s="65">
        <f>IFERROR($N2113/$N2114-1,"")</f>
        <v/>
      </c>
      <c r="DO2113" s="65">
        <f>IFERROR($M2113/$M2114-1,"")</f>
        <v/>
      </c>
      <c r="DP2113" s="65">
        <f>IFERROR($AZ2113/$AZ2114-1,"")</f>
        <v/>
      </c>
      <c r="DQ2113" s="65">
        <f>IFERROR($BA2113/$BA2114-1,"")</f>
        <v/>
      </c>
      <c r="DR2113" s="64">
        <f>$O2113-$O2114</f>
        <v/>
      </c>
      <c r="DS2113" s="64">
        <f>$P2113-$P2114</f>
        <v/>
      </c>
      <c r="DT2113" s="64">
        <f>$Q2113-$Q2114</f>
        <v/>
      </c>
      <c r="DU2113" s="64">
        <f>$S2113-$S2114</f>
        <v/>
      </c>
      <c r="DV2113" s="65">
        <f>IFERROR(AVERAGE($AA2114/$AA2113-1,$AB2114/$AB2113-1,$AC2114/$AC2113-1,$AD2114/$AD2113-1,$AE2114/$AE2113-1,$AG2114/$AG2113-1,$AH2114/$AH2113-1,$AI2114/$AI2113-1,$AJ2114/$AJ2113-1,$AL2114/$AL2113-1,$AM2114/$AM2113-1,$AR2114/$AR2113-1,$AS2114/$AS2113-1,$AT2114/$AT2113-1,$AU2114/$AU2113-1,$AV2114/$AV2113-1,$AW2114/$AW2113-1,$AX2114/$AX2113-1,$AY2114/$AY2113-1),"")</f>
        <v/>
      </c>
      <c r="DW2113" s="66">
        <f>AVERAGE($CB2113,$CC2113,$CD2113,$CE2113,$CF2113,$CG2113,$CH2113,$CI2113,$CJ2113,$CL2113,$CM2113,$CN2113,$CO2113,$CP2113,$CQ2113,$CR2113,$CS2113,$CT2113)</f>
        <v/>
      </c>
      <c r="DX2113" s="66">
        <f>AVERAGE($CB2113,$CC2113,$CM2113,$CE2113,$CP2113)</f>
        <v/>
      </c>
      <c r="DY2113" s="64">
        <f>($DW2113-$DW2114)*100</f>
        <v/>
      </c>
      <c r="DZ2113" s="64">
        <f>($DX2113-$DX2114)*100</f>
        <v/>
      </c>
      <c r="EA2113" s="64">
        <f>($DW2113-$D2113)*100</f>
        <v/>
      </c>
      <c r="EB2113" s="64">
        <f>$Q2113-$O2113</f>
        <v/>
      </c>
      <c r="EC2113" s="67">
        <f>IFERROR($Q2113/$P2113,"")</f>
        <v/>
      </c>
    </row>
    <row r="2114">
      <c r="DG2114" s="64">
        <f>($B2114-$B2115)*100</f>
        <v/>
      </c>
      <c r="DH2114" s="64">
        <f>($D2114-$D2115)*100</f>
        <v/>
      </c>
      <c r="DI2114" s="64">
        <f>($E2114-$E2115)*100</f>
        <v/>
      </c>
      <c r="DJ2114" s="64">
        <f>($H2114-$H2115)*100</f>
        <v/>
      </c>
      <c r="DK2114" s="65">
        <f>IFERROR($J2114/$J2115-1,"")</f>
        <v/>
      </c>
      <c r="DL2114" s="64">
        <f>$L2114-$L2115</f>
        <v/>
      </c>
      <c r="DM2114" s="64">
        <f>$K2114-$K2115</f>
        <v/>
      </c>
      <c r="DN2114" s="65">
        <f>IFERROR($N2114/$N2115-1,"")</f>
        <v/>
      </c>
      <c r="DO2114" s="65">
        <f>IFERROR($M2114/$M2115-1,"")</f>
        <v/>
      </c>
      <c r="DP2114" s="65">
        <f>IFERROR($AZ2114/$AZ2115-1,"")</f>
        <v/>
      </c>
      <c r="DQ2114" s="65">
        <f>IFERROR($BA2114/$BA2115-1,"")</f>
        <v/>
      </c>
      <c r="DR2114" s="64">
        <f>$O2114-$O2115</f>
        <v/>
      </c>
      <c r="DS2114" s="64">
        <f>$P2114-$P2115</f>
        <v/>
      </c>
      <c r="DT2114" s="64">
        <f>$Q2114-$Q2115</f>
        <v/>
      </c>
      <c r="DU2114" s="64">
        <f>$S2114-$S2115</f>
        <v/>
      </c>
      <c r="DV2114" s="65">
        <f>IFERROR(AVERAGE($AA2115/$AA2114-1,$AB2115/$AB2114-1,$AC2115/$AC2114-1,$AD2115/$AD2114-1,$AE2115/$AE2114-1,$AG2115/$AG2114-1,$AH2115/$AH2114-1,$AI2115/$AI2114-1,$AJ2115/$AJ2114-1,$AL2115/$AL2114-1,$AM2115/$AM2114-1,$AR2115/$AR2114-1,$AS2115/$AS2114-1,$AT2115/$AT2114-1,$AU2115/$AU2114-1,$AV2115/$AV2114-1,$AW2115/$AW2114-1,$AX2115/$AX2114-1,$AY2115/$AY2114-1),"")</f>
        <v/>
      </c>
      <c r="DW2114" s="66">
        <f>AVERAGE($CB2114,$CC2114,$CD2114,$CE2114,$CF2114,$CG2114,$CH2114,$CI2114,$CJ2114,$CL2114,$CM2114,$CN2114,$CO2114,$CP2114,$CQ2114,$CR2114,$CS2114,$CT2114)</f>
        <v/>
      </c>
      <c r="DX2114" s="66">
        <f>AVERAGE($CB2114,$CC2114,$CM2114,$CE2114,$CP2114)</f>
        <v/>
      </c>
      <c r="DY2114" s="64">
        <f>($DW2114-$DW2115)*100</f>
        <v/>
      </c>
      <c r="DZ2114" s="64">
        <f>($DX2114-$DX2115)*100</f>
        <v/>
      </c>
      <c r="EA2114" s="64">
        <f>($DW2114-$D2114)*100</f>
        <v/>
      </c>
      <c r="EB2114" s="64">
        <f>$Q2114-$O2114</f>
        <v/>
      </c>
      <c r="EC2114" s="67">
        <f>IFERROR($Q2114/$P2114,"")</f>
        <v/>
      </c>
    </row>
    <row r="2115">
      <c r="DG2115" s="64">
        <f>($B2115-$B2116)*100</f>
        <v/>
      </c>
      <c r="DH2115" s="64">
        <f>($D2115-$D2116)*100</f>
        <v/>
      </c>
      <c r="DI2115" s="64">
        <f>($E2115-$E2116)*100</f>
        <v/>
      </c>
      <c r="DJ2115" s="64">
        <f>($H2115-$H2116)*100</f>
        <v/>
      </c>
      <c r="DK2115" s="65">
        <f>IFERROR($J2115/$J2116-1,"")</f>
        <v/>
      </c>
      <c r="DL2115" s="64">
        <f>$L2115-$L2116</f>
        <v/>
      </c>
      <c r="DM2115" s="64">
        <f>$K2115-$K2116</f>
        <v/>
      </c>
      <c r="DN2115" s="65">
        <f>IFERROR($N2115/$N2116-1,"")</f>
        <v/>
      </c>
      <c r="DO2115" s="65">
        <f>IFERROR($M2115/$M2116-1,"")</f>
        <v/>
      </c>
      <c r="DP2115" s="65">
        <f>IFERROR($AZ2115/$AZ2116-1,"")</f>
        <v/>
      </c>
      <c r="DQ2115" s="65">
        <f>IFERROR($BA2115/$BA2116-1,"")</f>
        <v/>
      </c>
      <c r="DR2115" s="64">
        <f>$O2115-$O2116</f>
        <v/>
      </c>
      <c r="DS2115" s="64">
        <f>$P2115-$P2116</f>
        <v/>
      </c>
      <c r="DT2115" s="64">
        <f>$Q2115-$Q2116</f>
        <v/>
      </c>
      <c r="DU2115" s="64">
        <f>$S2115-$S2116</f>
        <v/>
      </c>
      <c r="DV2115" s="65">
        <f>IFERROR(AVERAGE($AA2116/$AA2115-1,$AB2116/$AB2115-1,$AC2116/$AC2115-1,$AD2116/$AD2115-1,$AE2116/$AE2115-1,$AG2116/$AG2115-1,$AH2116/$AH2115-1,$AI2116/$AI2115-1,$AJ2116/$AJ2115-1,$AL2116/$AL2115-1,$AM2116/$AM2115-1,$AR2116/$AR2115-1,$AS2116/$AS2115-1,$AT2116/$AT2115-1,$AU2116/$AU2115-1,$AV2116/$AV2115-1,$AW2116/$AW2115-1,$AX2116/$AX2115-1,$AY2116/$AY2115-1),"")</f>
        <v/>
      </c>
      <c r="DW2115" s="66">
        <f>AVERAGE($CB2115,$CC2115,$CD2115,$CE2115,$CF2115,$CG2115,$CH2115,$CI2115,$CJ2115,$CL2115,$CM2115,$CN2115,$CO2115,$CP2115,$CQ2115,$CR2115,$CS2115,$CT2115)</f>
        <v/>
      </c>
      <c r="DX2115" s="66">
        <f>AVERAGE($CB2115,$CC2115,$CM2115,$CE2115,$CP2115)</f>
        <v/>
      </c>
      <c r="DY2115" s="64">
        <f>($DW2115-$DW2116)*100</f>
        <v/>
      </c>
      <c r="DZ2115" s="64">
        <f>($DX2115-$DX2116)*100</f>
        <v/>
      </c>
      <c r="EA2115" s="64">
        <f>($DW2115-$D2115)*100</f>
        <v/>
      </c>
      <c r="EB2115" s="64">
        <f>$Q2115-$O2115</f>
        <v/>
      </c>
      <c r="EC2115" s="67">
        <f>IFERROR($Q2115/$P2115,"")</f>
        <v/>
      </c>
    </row>
    <row r="2116">
      <c r="DG2116" s="64">
        <f>($B2116-$B2117)*100</f>
        <v/>
      </c>
      <c r="DH2116" s="64">
        <f>($D2116-$D2117)*100</f>
        <v/>
      </c>
      <c r="DI2116" s="64">
        <f>($E2116-$E2117)*100</f>
        <v/>
      </c>
      <c r="DJ2116" s="64">
        <f>($H2116-$H2117)*100</f>
        <v/>
      </c>
      <c r="DK2116" s="65">
        <f>IFERROR($J2116/$J2117-1,"")</f>
        <v/>
      </c>
      <c r="DL2116" s="64">
        <f>$L2116-$L2117</f>
        <v/>
      </c>
      <c r="DM2116" s="64">
        <f>$K2116-$K2117</f>
        <v/>
      </c>
      <c r="DN2116" s="65">
        <f>IFERROR($N2116/$N2117-1,"")</f>
        <v/>
      </c>
      <c r="DO2116" s="65">
        <f>IFERROR($M2116/$M2117-1,"")</f>
        <v/>
      </c>
      <c r="DP2116" s="65">
        <f>IFERROR($AZ2116/$AZ2117-1,"")</f>
        <v/>
      </c>
      <c r="DQ2116" s="65">
        <f>IFERROR($BA2116/$BA2117-1,"")</f>
        <v/>
      </c>
      <c r="DR2116" s="64">
        <f>$O2116-$O2117</f>
        <v/>
      </c>
      <c r="DS2116" s="64">
        <f>$P2116-$P2117</f>
        <v/>
      </c>
      <c r="DT2116" s="64">
        <f>$Q2116-$Q2117</f>
        <v/>
      </c>
      <c r="DU2116" s="64">
        <f>$S2116-$S2117</f>
        <v/>
      </c>
      <c r="DV2116" s="65">
        <f>IFERROR(AVERAGE($AA2117/$AA2116-1,$AB2117/$AB2116-1,$AC2117/$AC2116-1,$AD2117/$AD2116-1,$AE2117/$AE2116-1,$AG2117/$AG2116-1,$AH2117/$AH2116-1,$AI2117/$AI2116-1,$AJ2117/$AJ2116-1,$AL2117/$AL2116-1,$AM2117/$AM2116-1,$AR2117/$AR2116-1,$AS2117/$AS2116-1,$AT2117/$AT2116-1,$AU2117/$AU2116-1,$AV2117/$AV2116-1,$AW2117/$AW2116-1,$AX2117/$AX2116-1,$AY2117/$AY2116-1),"")</f>
        <v/>
      </c>
      <c r="DW2116" s="66">
        <f>AVERAGE($CB2116,$CC2116,$CD2116,$CE2116,$CF2116,$CG2116,$CH2116,$CI2116,$CJ2116,$CL2116,$CM2116,$CN2116,$CO2116,$CP2116,$CQ2116,$CR2116,$CS2116,$CT2116)</f>
        <v/>
      </c>
      <c r="DX2116" s="66">
        <f>AVERAGE($CB2116,$CC2116,$CM2116,$CE2116,$CP2116)</f>
        <v/>
      </c>
      <c r="DY2116" s="64">
        <f>($DW2116-$DW2117)*100</f>
        <v/>
      </c>
      <c r="DZ2116" s="64">
        <f>($DX2116-$DX2117)*100</f>
        <v/>
      </c>
      <c r="EA2116" s="64">
        <f>($DW2116-$D2116)*100</f>
        <v/>
      </c>
      <c r="EB2116" s="64">
        <f>$Q2116-$O2116</f>
        <v/>
      </c>
      <c r="EC2116" s="67">
        <f>IFERROR($Q2116/$P2116,"")</f>
        <v/>
      </c>
    </row>
    <row r="2117">
      <c r="DG2117" s="64">
        <f>($B2117-$B2118)*100</f>
        <v/>
      </c>
      <c r="DH2117" s="64">
        <f>($D2117-$D2118)*100</f>
        <v/>
      </c>
      <c r="DI2117" s="64">
        <f>($E2117-$E2118)*100</f>
        <v/>
      </c>
      <c r="DJ2117" s="64">
        <f>($H2117-$H2118)*100</f>
        <v/>
      </c>
      <c r="DK2117" s="65">
        <f>IFERROR($J2117/$J2118-1,"")</f>
        <v/>
      </c>
      <c r="DL2117" s="64">
        <f>$L2117-$L2118</f>
        <v/>
      </c>
      <c r="DM2117" s="64">
        <f>$K2117-$K2118</f>
        <v/>
      </c>
      <c r="DN2117" s="65">
        <f>IFERROR($N2117/$N2118-1,"")</f>
        <v/>
      </c>
      <c r="DO2117" s="65">
        <f>IFERROR($M2117/$M2118-1,"")</f>
        <v/>
      </c>
      <c r="DP2117" s="65">
        <f>IFERROR($AZ2117/$AZ2118-1,"")</f>
        <v/>
      </c>
      <c r="DQ2117" s="65">
        <f>IFERROR($BA2117/$BA2118-1,"")</f>
        <v/>
      </c>
      <c r="DR2117" s="64">
        <f>$O2117-$O2118</f>
        <v/>
      </c>
      <c r="DS2117" s="64">
        <f>$P2117-$P2118</f>
        <v/>
      </c>
      <c r="DT2117" s="64">
        <f>$Q2117-$Q2118</f>
        <v/>
      </c>
      <c r="DU2117" s="64">
        <f>$S2117-$S2118</f>
        <v/>
      </c>
      <c r="DV2117" s="65">
        <f>IFERROR(AVERAGE($AA2118/$AA2117-1,$AB2118/$AB2117-1,$AC2118/$AC2117-1,$AD2118/$AD2117-1,$AE2118/$AE2117-1,$AG2118/$AG2117-1,$AH2118/$AH2117-1,$AI2118/$AI2117-1,$AJ2118/$AJ2117-1,$AL2118/$AL2117-1,$AM2118/$AM2117-1,$AR2118/$AR2117-1,$AS2118/$AS2117-1,$AT2118/$AT2117-1,$AU2118/$AU2117-1,$AV2118/$AV2117-1,$AW2118/$AW2117-1,$AX2118/$AX2117-1,$AY2118/$AY2117-1),"")</f>
        <v/>
      </c>
      <c r="DW2117" s="66">
        <f>AVERAGE($CB2117,$CC2117,$CD2117,$CE2117,$CF2117,$CG2117,$CH2117,$CI2117,$CJ2117,$CL2117,$CM2117,$CN2117,$CO2117,$CP2117,$CQ2117,$CR2117,$CS2117,$CT2117)</f>
        <v/>
      </c>
      <c r="DX2117" s="66">
        <f>AVERAGE($CB2117,$CC2117,$CM2117,$CE2117,$CP2117)</f>
        <v/>
      </c>
      <c r="DY2117" s="64">
        <f>($DW2117-$DW2118)*100</f>
        <v/>
      </c>
      <c r="DZ2117" s="64">
        <f>($DX2117-$DX2118)*100</f>
        <v/>
      </c>
      <c r="EA2117" s="64">
        <f>($DW2117-$D2117)*100</f>
        <v/>
      </c>
      <c r="EB2117" s="64">
        <f>$Q2117-$O2117</f>
        <v/>
      </c>
      <c r="EC2117" s="67">
        <f>IFERROR($Q2117/$P2117,"")</f>
        <v/>
      </c>
    </row>
    <row r="2118">
      <c r="DG2118" s="64">
        <f>($B2118-$B2119)*100</f>
        <v/>
      </c>
      <c r="DH2118" s="64">
        <f>($D2118-$D2119)*100</f>
        <v/>
      </c>
      <c r="DI2118" s="64">
        <f>($E2118-$E2119)*100</f>
        <v/>
      </c>
      <c r="DJ2118" s="64">
        <f>($H2118-$H2119)*100</f>
        <v/>
      </c>
      <c r="DK2118" s="65">
        <f>IFERROR($J2118/$J2119-1,"")</f>
        <v/>
      </c>
      <c r="DL2118" s="64">
        <f>$L2118-$L2119</f>
        <v/>
      </c>
      <c r="DM2118" s="64">
        <f>$K2118-$K2119</f>
        <v/>
      </c>
      <c r="DN2118" s="65">
        <f>IFERROR($N2118/$N2119-1,"")</f>
        <v/>
      </c>
      <c r="DO2118" s="65">
        <f>IFERROR($M2118/$M2119-1,"")</f>
        <v/>
      </c>
      <c r="DP2118" s="65">
        <f>IFERROR($AZ2118/$AZ2119-1,"")</f>
        <v/>
      </c>
      <c r="DQ2118" s="65">
        <f>IFERROR($BA2118/$BA2119-1,"")</f>
        <v/>
      </c>
      <c r="DR2118" s="64">
        <f>$O2118-$O2119</f>
        <v/>
      </c>
      <c r="DS2118" s="64">
        <f>$P2118-$P2119</f>
        <v/>
      </c>
      <c r="DT2118" s="64">
        <f>$Q2118-$Q2119</f>
        <v/>
      </c>
      <c r="DU2118" s="64">
        <f>$S2118-$S2119</f>
        <v/>
      </c>
      <c r="DV2118" s="65">
        <f>IFERROR(AVERAGE($AA2119/$AA2118-1,$AB2119/$AB2118-1,$AC2119/$AC2118-1,$AD2119/$AD2118-1,$AE2119/$AE2118-1,$AG2119/$AG2118-1,$AH2119/$AH2118-1,$AI2119/$AI2118-1,$AJ2119/$AJ2118-1,$AL2119/$AL2118-1,$AM2119/$AM2118-1,$AR2119/$AR2118-1,$AS2119/$AS2118-1,$AT2119/$AT2118-1,$AU2119/$AU2118-1,$AV2119/$AV2118-1,$AW2119/$AW2118-1,$AX2119/$AX2118-1,$AY2119/$AY2118-1),"")</f>
        <v/>
      </c>
      <c r="DW2118" s="66">
        <f>AVERAGE($CB2118,$CC2118,$CD2118,$CE2118,$CF2118,$CG2118,$CH2118,$CI2118,$CJ2118,$CL2118,$CM2118,$CN2118,$CO2118,$CP2118,$CQ2118,$CR2118,$CS2118,$CT2118)</f>
        <v/>
      </c>
      <c r="DX2118" s="66">
        <f>AVERAGE($CB2118,$CC2118,$CM2118,$CE2118,$CP2118)</f>
        <v/>
      </c>
      <c r="DY2118" s="64">
        <f>($DW2118-$DW2119)*100</f>
        <v/>
      </c>
      <c r="DZ2118" s="64">
        <f>($DX2118-$DX2119)*100</f>
        <v/>
      </c>
      <c r="EA2118" s="64">
        <f>($DW2118-$D2118)*100</f>
        <v/>
      </c>
      <c r="EB2118" s="64">
        <f>$Q2118-$O2118</f>
        <v/>
      </c>
      <c r="EC2118" s="67">
        <f>IFERROR($Q2118/$P2118,"")</f>
        <v/>
      </c>
    </row>
    <row r="2119">
      <c r="DG2119" s="64">
        <f>($B2119-$B2120)*100</f>
        <v/>
      </c>
      <c r="DH2119" s="64">
        <f>($D2119-$D2120)*100</f>
        <v/>
      </c>
      <c r="DI2119" s="64">
        <f>($E2119-$E2120)*100</f>
        <v/>
      </c>
      <c r="DJ2119" s="64">
        <f>($H2119-$H2120)*100</f>
        <v/>
      </c>
      <c r="DK2119" s="65">
        <f>IFERROR($J2119/$J2120-1,"")</f>
        <v/>
      </c>
      <c r="DL2119" s="64">
        <f>$L2119-$L2120</f>
        <v/>
      </c>
      <c r="DM2119" s="64">
        <f>$K2119-$K2120</f>
        <v/>
      </c>
      <c r="DN2119" s="65">
        <f>IFERROR($N2119/$N2120-1,"")</f>
        <v/>
      </c>
      <c r="DO2119" s="65">
        <f>IFERROR($M2119/$M2120-1,"")</f>
        <v/>
      </c>
      <c r="DP2119" s="65">
        <f>IFERROR($AZ2119/$AZ2120-1,"")</f>
        <v/>
      </c>
      <c r="DQ2119" s="65">
        <f>IFERROR($BA2119/$BA2120-1,"")</f>
        <v/>
      </c>
      <c r="DR2119" s="64">
        <f>$O2119-$O2120</f>
        <v/>
      </c>
      <c r="DS2119" s="64">
        <f>$P2119-$P2120</f>
        <v/>
      </c>
      <c r="DT2119" s="64">
        <f>$Q2119-$Q2120</f>
        <v/>
      </c>
      <c r="DU2119" s="64">
        <f>$S2119-$S2120</f>
        <v/>
      </c>
      <c r="DV2119" s="65">
        <f>IFERROR(AVERAGE($AA2120/$AA2119-1,$AB2120/$AB2119-1,$AC2120/$AC2119-1,$AD2120/$AD2119-1,$AE2120/$AE2119-1,$AG2120/$AG2119-1,$AH2120/$AH2119-1,$AI2120/$AI2119-1,$AJ2120/$AJ2119-1,$AL2120/$AL2119-1,$AM2120/$AM2119-1,$AR2120/$AR2119-1,$AS2120/$AS2119-1,$AT2120/$AT2119-1,$AU2120/$AU2119-1,$AV2120/$AV2119-1,$AW2120/$AW2119-1,$AX2120/$AX2119-1,$AY2120/$AY2119-1),"")</f>
        <v/>
      </c>
      <c r="DW2119" s="66">
        <f>AVERAGE($CB2119,$CC2119,$CD2119,$CE2119,$CF2119,$CG2119,$CH2119,$CI2119,$CJ2119,$CL2119,$CM2119,$CN2119,$CO2119,$CP2119,$CQ2119,$CR2119,$CS2119,$CT2119)</f>
        <v/>
      </c>
      <c r="DX2119" s="66">
        <f>AVERAGE($CB2119,$CC2119,$CM2119,$CE2119,$CP2119)</f>
        <v/>
      </c>
      <c r="DY2119" s="64">
        <f>($DW2119-$DW2120)*100</f>
        <v/>
      </c>
      <c r="DZ2119" s="64">
        <f>($DX2119-$DX2120)*100</f>
        <v/>
      </c>
      <c r="EA2119" s="64">
        <f>($DW2119-$D2119)*100</f>
        <v/>
      </c>
      <c r="EB2119" s="64">
        <f>$Q2119-$O2119</f>
        <v/>
      </c>
      <c r="EC2119" s="67">
        <f>IFERROR($Q2119/$P2119,"")</f>
        <v/>
      </c>
    </row>
    <row r="2120">
      <c r="DG2120" s="64">
        <f>($B2120-$B2121)*100</f>
        <v/>
      </c>
      <c r="DH2120" s="64">
        <f>($D2120-$D2121)*100</f>
        <v/>
      </c>
      <c r="DI2120" s="64">
        <f>($E2120-$E2121)*100</f>
        <v/>
      </c>
      <c r="DJ2120" s="64">
        <f>($H2120-$H2121)*100</f>
        <v/>
      </c>
      <c r="DK2120" s="65">
        <f>IFERROR($J2120/$J2121-1,"")</f>
        <v/>
      </c>
      <c r="DL2120" s="64">
        <f>$L2120-$L2121</f>
        <v/>
      </c>
      <c r="DM2120" s="64">
        <f>$K2120-$K2121</f>
        <v/>
      </c>
      <c r="DN2120" s="65">
        <f>IFERROR($N2120/$N2121-1,"")</f>
        <v/>
      </c>
      <c r="DO2120" s="65">
        <f>IFERROR($M2120/$M2121-1,"")</f>
        <v/>
      </c>
      <c r="DP2120" s="65">
        <f>IFERROR($AZ2120/$AZ2121-1,"")</f>
        <v/>
      </c>
      <c r="DQ2120" s="65">
        <f>IFERROR($BA2120/$BA2121-1,"")</f>
        <v/>
      </c>
      <c r="DR2120" s="64">
        <f>$O2120-$O2121</f>
        <v/>
      </c>
      <c r="DS2120" s="64">
        <f>$P2120-$P2121</f>
        <v/>
      </c>
      <c r="DT2120" s="64">
        <f>$Q2120-$Q2121</f>
        <v/>
      </c>
      <c r="DU2120" s="64">
        <f>$S2120-$S2121</f>
        <v/>
      </c>
      <c r="DV2120" s="65">
        <f>IFERROR(AVERAGE($AA2121/$AA2120-1,$AB2121/$AB2120-1,$AC2121/$AC2120-1,$AD2121/$AD2120-1,$AE2121/$AE2120-1,$AG2121/$AG2120-1,$AH2121/$AH2120-1,$AI2121/$AI2120-1,$AJ2121/$AJ2120-1,$AL2121/$AL2120-1,$AM2121/$AM2120-1,$AR2121/$AR2120-1,$AS2121/$AS2120-1,$AT2121/$AT2120-1,$AU2121/$AU2120-1,$AV2121/$AV2120-1,$AW2121/$AW2120-1,$AX2121/$AX2120-1,$AY2121/$AY2120-1),"")</f>
        <v/>
      </c>
      <c r="DW2120" s="66">
        <f>AVERAGE($CB2120,$CC2120,$CD2120,$CE2120,$CF2120,$CG2120,$CH2120,$CI2120,$CJ2120,$CL2120,$CM2120,$CN2120,$CO2120,$CP2120,$CQ2120,$CR2120,$CS2120,$CT2120)</f>
        <v/>
      </c>
      <c r="DX2120" s="66">
        <f>AVERAGE($CB2120,$CC2120,$CM2120,$CE2120,$CP2120)</f>
        <v/>
      </c>
      <c r="DY2120" s="64">
        <f>($DW2120-$DW2121)*100</f>
        <v/>
      </c>
      <c r="DZ2120" s="64">
        <f>($DX2120-$DX2121)*100</f>
        <v/>
      </c>
      <c r="EA2120" s="64">
        <f>($DW2120-$D2120)*100</f>
        <v/>
      </c>
      <c r="EB2120" s="64">
        <f>$Q2120-$O2120</f>
        <v/>
      </c>
      <c r="EC2120" s="67">
        <f>IFERROR($Q2120/$P2120,"")</f>
        <v/>
      </c>
    </row>
    <row r="2121">
      <c r="DG2121" s="64">
        <f>($B2121-$B2122)*100</f>
        <v/>
      </c>
      <c r="DH2121" s="64">
        <f>($D2121-$D2122)*100</f>
        <v/>
      </c>
      <c r="DI2121" s="64">
        <f>($E2121-$E2122)*100</f>
        <v/>
      </c>
      <c r="DJ2121" s="64">
        <f>($H2121-$H2122)*100</f>
        <v/>
      </c>
      <c r="DK2121" s="65">
        <f>IFERROR($J2121/$J2122-1,"")</f>
        <v/>
      </c>
      <c r="DL2121" s="64">
        <f>$L2121-$L2122</f>
        <v/>
      </c>
      <c r="DM2121" s="64">
        <f>$K2121-$K2122</f>
        <v/>
      </c>
      <c r="DN2121" s="65">
        <f>IFERROR($N2121/$N2122-1,"")</f>
        <v/>
      </c>
      <c r="DO2121" s="65">
        <f>IFERROR($M2121/$M2122-1,"")</f>
        <v/>
      </c>
      <c r="DP2121" s="65">
        <f>IFERROR($AZ2121/$AZ2122-1,"")</f>
        <v/>
      </c>
      <c r="DQ2121" s="65">
        <f>IFERROR($BA2121/$BA2122-1,"")</f>
        <v/>
      </c>
      <c r="DR2121" s="64">
        <f>$O2121-$O2122</f>
        <v/>
      </c>
      <c r="DS2121" s="64">
        <f>$P2121-$P2122</f>
        <v/>
      </c>
      <c r="DT2121" s="64">
        <f>$Q2121-$Q2122</f>
        <v/>
      </c>
      <c r="DU2121" s="64">
        <f>$S2121-$S2122</f>
        <v/>
      </c>
      <c r="DV2121" s="65">
        <f>IFERROR(AVERAGE($AA2122/$AA2121-1,$AB2122/$AB2121-1,$AC2122/$AC2121-1,$AD2122/$AD2121-1,$AE2122/$AE2121-1,$AG2122/$AG2121-1,$AH2122/$AH2121-1,$AI2122/$AI2121-1,$AJ2122/$AJ2121-1,$AL2122/$AL2121-1,$AM2122/$AM2121-1,$AR2122/$AR2121-1,$AS2122/$AS2121-1,$AT2122/$AT2121-1,$AU2122/$AU2121-1,$AV2122/$AV2121-1,$AW2122/$AW2121-1,$AX2122/$AX2121-1,$AY2122/$AY2121-1),"")</f>
        <v/>
      </c>
      <c r="DW2121" s="66">
        <f>AVERAGE($CB2121,$CC2121,$CD2121,$CE2121,$CF2121,$CG2121,$CH2121,$CI2121,$CJ2121,$CL2121,$CM2121,$CN2121,$CO2121,$CP2121,$CQ2121,$CR2121,$CS2121,$CT2121)</f>
        <v/>
      </c>
      <c r="DX2121" s="66">
        <f>AVERAGE($CB2121,$CC2121,$CM2121,$CE2121,$CP2121)</f>
        <v/>
      </c>
      <c r="DY2121" s="64">
        <f>($DW2121-$DW2122)*100</f>
        <v/>
      </c>
      <c r="DZ2121" s="64">
        <f>($DX2121-$DX2122)*100</f>
        <v/>
      </c>
      <c r="EA2121" s="64">
        <f>($DW2121-$D2121)*100</f>
        <v/>
      </c>
      <c r="EB2121" s="64">
        <f>$Q2121-$O2121</f>
        <v/>
      </c>
      <c r="EC2121" s="67">
        <f>IFERROR($Q2121/$P2121,"")</f>
        <v/>
      </c>
    </row>
    <row r="2122">
      <c r="DG2122" s="64">
        <f>($B2122-$B2123)*100</f>
        <v/>
      </c>
      <c r="DH2122" s="64">
        <f>($D2122-$D2123)*100</f>
        <v/>
      </c>
      <c r="DI2122" s="64">
        <f>($E2122-$E2123)*100</f>
        <v/>
      </c>
      <c r="DJ2122" s="64">
        <f>($H2122-$H2123)*100</f>
        <v/>
      </c>
      <c r="DK2122" s="65">
        <f>IFERROR($J2122/$J2123-1,"")</f>
        <v/>
      </c>
      <c r="DL2122" s="64">
        <f>$L2122-$L2123</f>
        <v/>
      </c>
      <c r="DM2122" s="64">
        <f>$K2122-$K2123</f>
        <v/>
      </c>
      <c r="DN2122" s="65">
        <f>IFERROR($N2122/$N2123-1,"")</f>
        <v/>
      </c>
      <c r="DO2122" s="65">
        <f>IFERROR($M2122/$M2123-1,"")</f>
        <v/>
      </c>
      <c r="DP2122" s="65">
        <f>IFERROR($AZ2122/$AZ2123-1,"")</f>
        <v/>
      </c>
      <c r="DQ2122" s="65">
        <f>IFERROR($BA2122/$BA2123-1,"")</f>
        <v/>
      </c>
      <c r="DR2122" s="64">
        <f>$O2122-$O2123</f>
        <v/>
      </c>
      <c r="DS2122" s="64">
        <f>$P2122-$P2123</f>
        <v/>
      </c>
      <c r="DT2122" s="64">
        <f>$Q2122-$Q2123</f>
        <v/>
      </c>
      <c r="DU2122" s="64">
        <f>$S2122-$S2123</f>
        <v/>
      </c>
      <c r="DV2122" s="65">
        <f>IFERROR(AVERAGE($AA2123/$AA2122-1,$AB2123/$AB2122-1,$AC2123/$AC2122-1,$AD2123/$AD2122-1,$AE2123/$AE2122-1,$AG2123/$AG2122-1,$AH2123/$AH2122-1,$AI2123/$AI2122-1,$AJ2123/$AJ2122-1,$AL2123/$AL2122-1,$AM2123/$AM2122-1,$AR2123/$AR2122-1,$AS2123/$AS2122-1,$AT2123/$AT2122-1,$AU2123/$AU2122-1,$AV2123/$AV2122-1,$AW2123/$AW2122-1,$AX2123/$AX2122-1,$AY2123/$AY2122-1),"")</f>
        <v/>
      </c>
      <c r="DW2122" s="66">
        <f>AVERAGE($CB2122,$CC2122,$CD2122,$CE2122,$CF2122,$CG2122,$CH2122,$CI2122,$CJ2122,$CL2122,$CM2122,$CN2122,$CO2122,$CP2122,$CQ2122,$CR2122,$CS2122,$CT2122)</f>
        <v/>
      </c>
      <c r="DX2122" s="66">
        <f>AVERAGE($CB2122,$CC2122,$CM2122,$CE2122,$CP2122)</f>
        <v/>
      </c>
      <c r="DY2122" s="64">
        <f>($DW2122-$DW2123)*100</f>
        <v/>
      </c>
      <c r="DZ2122" s="64">
        <f>($DX2122-$DX2123)*100</f>
        <v/>
      </c>
      <c r="EA2122" s="64">
        <f>($DW2122-$D2122)*100</f>
        <v/>
      </c>
      <c r="EB2122" s="64">
        <f>$Q2122-$O2122</f>
        <v/>
      </c>
      <c r="EC2122" s="67">
        <f>IFERROR($Q2122/$P2122,"")</f>
        <v/>
      </c>
    </row>
    <row r="2123">
      <c r="DG2123" s="64">
        <f>($B2123-$B2124)*100</f>
        <v/>
      </c>
      <c r="DH2123" s="64">
        <f>($D2123-$D2124)*100</f>
        <v/>
      </c>
      <c r="DI2123" s="64">
        <f>($E2123-$E2124)*100</f>
        <v/>
      </c>
      <c r="DJ2123" s="64">
        <f>($H2123-$H2124)*100</f>
        <v/>
      </c>
      <c r="DK2123" s="65">
        <f>IFERROR($J2123/$J2124-1,"")</f>
        <v/>
      </c>
      <c r="DL2123" s="64">
        <f>$L2123-$L2124</f>
        <v/>
      </c>
      <c r="DM2123" s="64">
        <f>$K2123-$K2124</f>
        <v/>
      </c>
      <c r="DN2123" s="65">
        <f>IFERROR($N2123/$N2124-1,"")</f>
        <v/>
      </c>
      <c r="DO2123" s="65">
        <f>IFERROR($M2123/$M2124-1,"")</f>
        <v/>
      </c>
      <c r="DP2123" s="65">
        <f>IFERROR($AZ2123/$AZ2124-1,"")</f>
        <v/>
      </c>
      <c r="DQ2123" s="65">
        <f>IFERROR($BA2123/$BA2124-1,"")</f>
        <v/>
      </c>
      <c r="DR2123" s="64">
        <f>$O2123-$O2124</f>
        <v/>
      </c>
      <c r="DS2123" s="64">
        <f>$P2123-$P2124</f>
        <v/>
      </c>
      <c r="DT2123" s="64">
        <f>$Q2123-$Q2124</f>
        <v/>
      </c>
      <c r="DU2123" s="64">
        <f>$S2123-$S2124</f>
        <v/>
      </c>
      <c r="DV2123" s="65">
        <f>IFERROR(AVERAGE($AA2124/$AA2123-1,$AB2124/$AB2123-1,$AC2124/$AC2123-1,$AD2124/$AD2123-1,$AE2124/$AE2123-1,$AG2124/$AG2123-1,$AH2124/$AH2123-1,$AI2124/$AI2123-1,$AJ2124/$AJ2123-1,$AL2124/$AL2123-1,$AM2124/$AM2123-1,$AR2124/$AR2123-1,$AS2124/$AS2123-1,$AT2124/$AT2123-1,$AU2124/$AU2123-1,$AV2124/$AV2123-1,$AW2124/$AW2123-1,$AX2124/$AX2123-1,$AY2124/$AY2123-1),"")</f>
        <v/>
      </c>
      <c r="DW2123" s="66">
        <f>AVERAGE($CB2123,$CC2123,$CD2123,$CE2123,$CF2123,$CG2123,$CH2123,$CI2123,$CJ2123,$CL2123,$CM2123,$CN2123,$CO2123,$CP2123,$CQ2123,$CR2123,$CS2123,$CT2123)</f>
        <v/>
      </c>
      <c r="DX2123" s="66">
        <f>AVERAGE($CB2123,$CC2123,$CM2123,$CE2123,$CP2123)</f>
        <v/>
      </c>
      <c r="DY2123" s="64">
        <f>($DW2123-$DW2124)*100</f>
        <v/>
      </c>
      <c r="DZ2123" s="64">
        <f>($DX2123-$DX2124)*100</f>
        <v/>
      </c>
      <c r="EA2123" s="64">
        <f>($DW2123-$D2123)*100</f>
        <v/>
      </c>
      <c r="EB2123" s="64">
        <f>$Q2123-$O2123</f>
        <v/>
      </c>
      <c r="EC2123" s="67">
        <f>IFERROR($Q2123/$P2123,"")</f>
        <v/>
      </c>
    </row>
    <row r="2124">
      <c r="DG2124" s="64">
        <f>($B2124-$B2125)*100</f>
        <v/>
      </c>
      <c r="DH2124" s="64">
        <f>($D2124-$D2125)*100</f>
        <v/>
      </c>
      <c r="DI2124" s="64">
        <f>($E2124-$E2125)*100</f>
        <v/>
      </c>
      <c r="DJ2124" s="64">
        <f>($H2124-$H2125)*100</f>
        <v/>
      </c>
      <c r="DK2124" s="65">
        <f>IFERROR($J2124/$J2125-1,"")</f>
        <v/>
      </c>
      <c r="DL2124" s="64">
        <f>$L2124-$L2125</f>
        <v/>
      </c>
      <c r="DM2124" s="64">
        <f>$K2124-$K2125</f>
        <v/>
      </c>
      <c r="DN2124" s="65">
        <f>IFERROR($N2124/$N2125-1,"")</f>
        <v/>
      </c>
      <c r="DO2124" s="65">
        <f>IFERROR($M2124/$M2125-1,"")</f>
        <v/>
      </c>
      <c r="DP2124" s="65">
        <f>IFERROR($AZ2124/$AZ2125-1,"")</f>
        <v/>
      </c>
      <c r="DQ2124" s="65">
        <f>IFERROR($BA2124/$BA2125-1,"")</f>
        <v/>
      </c>
      <c r="DR2124" s="64">
        <f>$O2124-$O2125</f>
        <v/>
      </c>
      <c r="DS2124" s="64">
        <f>$P2124-$P2125</f>
        <v/>
      </c>
      <c r="DT2124" s="64">
        <f>$Q2124-$Q2125</f>
        <v/>
      </c>
      <c r="DU2124" s="64">
        <f>$S2124-$S2125</f>
        <v/>
      </c>
      <c r="DV2124" s="65">
        <f>IFERROR(AVERAGE($AA2125/$AA2124-1,$AB2125/$AB2124-1,$AC2125/$AC2124-1,$AD2125/$AD2124-1,$AE2125/$AE2124-1,$AG2125/$AG2124-1,$AH2125/$AH2124-1,$AI2125/$AI2124-1,$AJ2125/$AJ2124-1,$AL2125/$AL2124-1,$AM2125/$AM2124-1,$AR2125/$AR2124-1,$AS2125/$AS2124-1,$AT2125/$AT2124-1,$AU2125/$AU2124-1,$AV2125/$AV2124-1,$AW2125/$AW2124-1,$AX2125/$AX2124-1,$AY2125/$AY2124-1),"")</f>
        <v/>
      </c>
      <c r="DW2124" s="66">
        <f>AVERAGE($CB2124,$CC2124,$CD2124,$CE2124,$CF2124,$CG2124,$CH2124,$CI2124,$CJ2124,$CL2124,$CM2124,$CN2124,$CO2124,$CP2124,$CQ2124,$CR2124,$CS2124,$CT2124)</f>
        <v/>
      </c>
      <c r="DX2124" s="66">
        <f>AVERAGE($CB2124,$CC2124,$CM2124,$CE2124,$CP2124)</f>
        <v/>
      </c>
      <c r="DY2124" s="64">
        <f>($DW2124-$DW2125)*100</f>
        <v/>
      </c>
      <c r="DZ2124" s="64">
        <f>($DX2124-$DX2125)*100</f>
        <v/>
      </c>
      <c r="EA2124" s="64">
        <f>($DW2124-$D2124)*100</f>
        <v/>
      </c>
      <c r="EB2124" s="64">
        <f>$Q2124-$O2124</f>
        <v/>
      </c>
      <c r="EC2124" s="67">
        <f>IFERROR($Q2124/$P2124,"")</f>
        <v/>
      </c>
    </row>
    <row r="2125">
      <c r="DG2125" s="64">
        <f>($B2125-$B2126)*100</f>
        <v/>
      </c>
      <c r="DH2125" s="64">
        <f>($D2125-$D2126)*100</f>
        <v/>
      </c>
      <c r="DI2125" s="64">
        <f>($E2125-$E2126)*100</f>
        <v/>
      </c>
      <c r="DJ2125" s="64">
        <f>($H2125-$H2126)*100</f>
        <v/>
      </c>
      <c r="DK2125" s="65">
        <f>IFERROR($J2125/$J2126-1,"")</f>
        <v/>
      </c>
      <c r="DL2125" s="64">
        <f>$L2125-$L2126</f>
        <v/>
      </c>
      <c r="DM2125" s="64">
        <f>$K2125-$K2126</f>
        <v/>
      </c>
      <c r="DN2125" s="65">
        <f>IFERROR($N2125/$N2126-1,"")</f>
        <v/>
      </c>
      <c r="DO2125" s="65">
        <f>IFERROR($M2125/$M2126-1,"")</f>
        <v/>
      </c>
      <c r="DP2125" s="65">
        <f>IFERROR($AZ2125/$AZ2126-1,"")</f>
        <v/>
      </c>
      <c r="DQ2125" s="65">
        <f>IFERROR($BA2125/$BA2126-1,"")</f>
        <v/>
      </c>
      <c r="DR2125" s="64">
        <f>$O2125-$O2126</f>
        <v/>
      </c>
      <c r="DS2125" s="64">
        <f>$P2125-$P2126</f>
        <v/>
      </c>
      <c r="DT2125" s="64">
        <f>$Q2125-$Q2126</f>
        <v/>
      </c>
      <c r="DU2125" s="64">
        <f>$S2125-$S2126</f>
        <v/>
      </c>
      <c r="DV2125" s="65">
        <f>IFERROR(AVERAGE($AA2126/$AA2125-1,$AB2126/$AB2125-1,$AC2126/$AC2125-1,$AD2126/$AD2125-1,$AE2126/$AE2125-1,$AG2126/$AG2125-1,$AH2126/$AH2125-1,$AI2126/$AI2125-1,$AJ2126/$AJ2125-1,$AL2126/$AL2125-1,$AM2126/$AM2125-1,$AR2126/$AR2125-1,$AS2126/$AS2125-1,$AT2126/$AT2125-1,$AU2126/$AU2125-1,$AV2126/$AV2125-1,$AW2126/$AW2125-1,$AX2126/$AX2125-1,$AY2126/$AY2125-1),"")</f>
        <v/>
      </c>
      <c r="DW2125" s="66">
        <f>AVERAGE($CB2125,$CC2125,$CD2125,$CE2125,$CF2125,$CG2125,$CH2125,$CI2125,$CJ2125,$CL2125,$CM2125,$CN2125,$CO2125,$CP2125,$CQ2125,$CR2125,$CS2125,$CT2125)</f>
        <v/>
      </c>
      <c r="DX2125" s="66">
        <f>AVERAGE($CB2125,$CC2125,$CM2125,$CE2125,$CP2125)</f>
        <v/>
      </c>
      <c r="DY2125" s="64">
        <f>($DW2125-$DW2126)*100</f>
        <v/>
      </c>
      <c r="DZ2125" s="64">
        <f>($DX2125-$DX2126)*100</f>
        <v/>
      </c>
      <c r="EA2125" s="64">
        <f>($DW2125-$D2125)*100</f>
        <v/>
      </c>
      <c r="EB2125" s="64">
        <f>$Q2125-$O2125</f>
        <v/>
      </c>
      <c r="EC2125" s="67">
        <f>IFERROR($Q2125/$P2125,"")</f>
        <v/>
      </c>
    </row>
    <row r="2126">
      <c r="DG2126" s="64">
        <f>($B2126-$B2127)*100</f>
        <v/>
      </c>
      <c r="DH2126" s="64">
        <f>($D2126-$D2127)*100</f>
        <v/>
      </c>
      <c r="DI2126" s="64">
        <f>($E2126-$E2127)*100</f>
        <v/>
      </c>
      <c r="DJ2126" s="64">
        <f>($H2126-$H2127)*100</f>
        <v/>
      </c>
      <c r="DK2126" s="65">
        <f>IFERROR($J2126/$J2127-1,"")</f>
        <v/>
      </c>
      <c r="DL2126" s="64">
        <f>$L2126-$L2127</f>
        <v/>
      </c>
      <c r="DM2126" s="64">
        <f>$K2126-$K2127</f>
        <v/>
      </c>
      <c r="DN2126" s="65">
        <f>IFERROR($N2126/$N2127-1,"")</f>
        <v/>
      </c>
      <c r="DO2126" s="65">
        <f>IFERROR($M2126/$M2127-1,"")</f>
        <v/>
      </c>
      <c r="DP2126" s="65">
        <f>IFERROR($AZ2126/$AZ2127-1,"")</f>
        <v/>
      </c>
      <c r="DQ2126" s="65">
        <f>IFERROR($BA2126/$BA2127-1,"")</f>
        <v/>
      </c>
      <c r="DR2126" s="64">
        <f>$O2126-$O2127</f>
        <v/>
      </c>
      <c r="DS2126" s="64">
        <f>$P2126-$P2127</f>
        <v/>
      </c>
      <c r="DT2126" s="64">
        <f>$Q2126-$Q2127</f>
        <v/>
      </c>
      <c r="DU2126" s="64">
        <f>$S2126-$S2127</f>
        <v/>
      </c>
      <c r="DV2126" s="65">
        <f>IFERROR(AVERAGE($AA2127/$AA2126-1,$AB2127/$AB2126-1,$AC2127/$AC2126-1,$AD2127/$AD2126-1,$AE2127/$AE2126-1,$AG2127/$AG2126-1,$AH2127/$AH2126-1,$AI2127/$AI2126-1,$AJ2127/$AJ2126-1,$AL2127/$AL2126-1,$AM2127/$AM2126-1,$AR2127/$AR2126-1,$AS2127/$AS2126-1,$AT2127/$AT2126-1,$AU2127/$AU2126-1,$AV2127/$AV2126-1,$AW2127/$AW2126-1,$AX2127/$AX2126-1,$AY2127/$AY2126-1),"")</f>
        <v/>
      </c>
      <c r="DW2126" s="66">
        <f>AVERAGE($CB2126,$CC2126,$CD2126,$CE2126,$CF2126,$CG2126,$CH2126,$CI2126,$CJ2126,$CL2126,$CM2126,$CN2126,$CO2126,$CP2126,$CQ2126,$CR2126,$CS2126,$CT2126)</f>
        <v/>
      </c>
      <c r="DX2126" s="66">
        <f>AVERAGE($CB2126,$CC2126,$CM2126,$CE2126,$CP2126)</f>
        <v/>
      </c>
      <c r="DY2126" s="64">
        <f>($DW2126-$DW2127)*100</f>
        <v/>
      </c>
      <c r="DZ2126" s="64">
        <f>($DX2126-$DX2127)*100</f>
        <v/>
      </c>
      <c r="EA2126" s="64">
        <f>($DW2126-$D2126)*100</f>
        <v/>
      </c>
      <c r="EB2126" s="64">
        <f>$Q2126-$O2126</f>
        <v/>
      </c>
      <c r="EC2126" s="67">
        <f>IFERROR($Q2126/$P2126,"")</f>
        <v/>
      </c>
    </row>
    <row r="2127">
      <c r="DG2127" s="64">
        <f>($B2127-$B2128)*100</f>
        <v/>
      </c>
      <c r="DH2127" s="64">
        <f>($D2127-$D2128)*100</f>
        <v/>
      </c>
      <c r="DI2127" s="64">
        <f>($E2127-$E2128)*100</f>
        <v/>
      </c>
      <c r="DJ2127" s="64">
        <f>($H2127-$H2128)*100</f>
        <v/>
      </c>
      <c r="DK2127" s="65">
        <f>IFERROR($J2127/$J2128-1,"")</f>
        <v/>
      </c>
      <c r="DL2127" s="64">
        <f>$L2127-$L2128</f>
        <v/>
      </c>
      <c r="DM2127" s="64">
        <f>$K2127-$K2128</f>
        <v/>
      </c>
      <c r="DN2127" s="65">
        <f>IFERROR($N2127/$N2128-1,"")</f>
        <v/>
      </c>
      <c r="DO2127" s="65">
        <f>IFERROR($M2127/$M2128-1,"")</f>
        <v/>
      </c>
      <c r="DP2127" s="65">
        <f>IFERROR($AZ2127/$AZ2128-1,"")</f>
        <v/>
      </c>
      <c r="DQ2127" s="65">
        <f>IFERROR($BA2127/$BA2128-1,"")</f>
        <v/>
      </c>
      <c r="DR2127" s="64">
        <f>$O2127-$O2128</f>
        <v/>
      </c>
      <c r="DS2127" s="64">
        <f>$P2127-$P2128</f>
        <v/>
      </c>
      <c r="DT2127" s="64">
        <f>$Q2127-$Q2128</f>
        <v/>
      </c>
      <c r="DU2127" s="64">
        <f>$S2127-$S2128</f>
        <v/>
      </c>
      <c r="DV2127" s="65">
        <f>IFERROR(AVERAGE($AA2128/$AA2127-1,$AB2128/$AB2127-1,$AC2128/$AC2127-1,$AD2128/$AD2127-1,$AE2128/$AE2127-1,$AG2128/$AG2127-1,$AH2128/$AH2127-1,$AI2128/$AI2127-1,$AJ2128/$AJ2127-1,$AL2128/$AL2127-1,$AM2128/$AM2127-1,$AR2128/$AR2127-1,$AS2128/$AS2127-1,$AT2128/$AT2127-1,$AU2128/$AU2127-1,$AV2128/$AV2127-1,$AW2128/$AW2127-1,$AX2128/$AX2127-1,$AY2128/$AY2127-1),"")</f>
        <v/>
      </c>
      <c r="DW2127" s="66">
        <f>AVERAGE($CB2127,$CC2127,$CD2127,$CE2127,$CF2127,$CG2127,$CH2127,$CI2127,$CJ2127,$CL2127,$CM2127,$CN2127,$CO2127,$CP2127,$CQ2127,$CR2127,$CS2127,$CT2127)</f>
        <v/>
      </c>
      <c r="DX2127" s="66">
        <f>AVERAGE($CB2127,$CC2127,$CM2127,$CE2127,$CP2127)</f>
        <v/>
      </c>
      <c r="DY2127" s="64">
        <f>($DW2127-$DW2128)*100</f>
        <v/>
      </c>
      <c r="DZ2127" s="64">
        <f>($DX2127-$DX2128)*100</f>
        <v/>
      </c>
      <c r="EA2127" s="64">
        <f>($DW2127-$D2127)*100</f>
        <v/>
      </c>
      <c r="EB2127" s="64">
        <f>$Q2127-$O2127</f>
        <v/>
      </c>
      <c r="EC2127" s="67">
        <f>IFERROR($Q2127/$P2127,"")</f>
        <v/>
      </c>
    </row>
    <row r="2128">
      <c r="DG2128" s="64">
        <f>($B2128-$B2129)*100</f>
        <v/>
      </c>
      <c r="DH2128" s="64">
        <f>($D2128-$D2129)*100</f>
        <v/>
      </c>
      <c r="DI2128" s="64">
        <f>($E2128-$E2129)*100</f>
        <v/>
      </c>
      <c r="DJ2128" s="64">
        <f>($H2128-$H2129)*100</f>
        <v/>
      </c>
      <c r="DK2128" s="65">
        <f>IFERROR($J2128/$J2129-1,"")</f>
        <v/>
      </c>
      <c r="DL2128" s="64">
        <f>$L2128-$L2129</f>
        <v/>
      </c>
      <c r="DM2128" s="64">
        <f>$K2128-$K2129</f>
        <v/>
      </c>
      <c r="DN2128" s="65">
        <f>IFERROR($N2128/$N2129-1,"")</f>
        <v/>
      </c>
      <c r="DO2128" s="65">
        <f>IFERROR($M2128/$M2129-1,"")</f>
        <v/>
      </c>
      <c r="DP2128" s="65">
        <f>IFERROR($AZ2128/$AZ2129-1,"")</f>
        <v/>
      </c>
      <c r="DQ2128" s="65">
        <f>IFERROR($BA2128/$BA2129-1,"")</f>
        <v/>
      </c>
      <c r="DR2128" s="64">
        <f>$O2128-$O2129</f>
        <v/>
      </c>
      <c r="DS2128" s="64">
        <f>$P2128-$P2129</f>
        <v/>
      </c>
      <c r="DT2128" s="64">
        <f>$Q2128-$Q2129</f>
        <v/>
      </c>
      <c r="DU2128" s="64">
        <f>$S2128-$S2129</f>
        <v/>
      </c>
      <c r="DV2128" s="65">
        <f>IFERROR(AVERAGE($AA2129/$AA2128-1,$AB2129/$AB2128-1,$AC2129/$AC2128-1,$AD2129/$AD2128-1,$AE2129/$AE2128-1,$AG2129/$AG2128-1,$AH2129/$AH2128-1,$AI2129/$AI2128-1,$AJ2129/$AJ2128-1,$AL2129/$AL2128-1,$AM2129/$AM2128-1,$AR2129/$AR2128-1,$AS2129/$AS2128-1,$AT2129/$AT2128-1,$AU2129/$AU2128-1,$AV2129/$AV2128-1,$AW2129/$AW2128-1,$AX2129/$AX2128-1,$AY2129/$AY2128-1),"")</f>
        <v/>
      </c>
      <c r="DW2128" s="66">
        <f>AVERAGE($CB2128,$CC2128,$CD2128,$CE2128,$CF2128,$CG2128,$CH2128,$CI2128,$CJ2128,$CL2128,$CM2128,$CN2128,$CO2128,$CP2128,$CQ2128,$CR2128,$CS2128,$CT2128)</f>
        <v/>
      </c>
      <c r="DX2128" s="66">
        <f>AVERAGE($CB2128,$CC2128,$CM2128,$CE2128,$CP2128)</f>
        <v/>
      </c>
      <c r="DY2128" s="64">
        <f>($DW2128-$DW2129)*100</f>
        <v/>
      </c>
      <c r="DZ2128" s="64">
        <f>($DX2128-$DX2129)*100</f>
        <v/>
      </c>
      <c r="EA2128" s="64">
        <f>($DW2128-$D2128)*100</f>
        <v/>
      </c>
      <c r="EB2128" s="64">
        <f>$Q2128-$O2128</f>
        <v/>
      </c>
      <c r="EC2128" s="67">
        <f>IFERROR($Q2128/$P2128,"")</f>
        <v/>
      </c>
    </row>
    <row r="2129">
      <c r="DG2129" s="64">
        <f>($B2129-$B2130)*100</f>
        <v/>
      </c>
      <c r="DH2129" s="64">
        <f>($D2129-$D2130)*100</f>
        <v/>
      </c>
      <c r="DI2129" s="64">
        <f>($E2129-$E2130)*100</f>
        <v/>
      </c>
      <c r="DJ2129" s="64">
        <f>($H2129-$H2130)*100</f>
        <v/>
      </c>
      <c r="DK2129" s="65">
        <f>IFERROR($J2129/$J2130-1,"")</f>
        <v/>
      </c>
      <c r="DL2129" s="64">
        <f>$L2129-$L2130</f>
        <v/>
      </c>
      <c r="DM2129" s="64">
        <f>$K2129-$K2130</f>
        <v/>
      </c>
      <c r="DN2129" s="65">
        <f>IFERROR($N2129/$N2130-1,"")</f>
        <v/>
      </c>
      <c r="DO2129" s="65">
        <f>IFERROR($M2129/$M2130-1,"")</f>
        <v/>
      </c>
      <c r="DP2129" s="65">
        <f>IFERROR($AZ2129/$AZ2130-1,"")</f>
        <v/>
      </c>
      <c r="DQ2129" s="65">
        <f>IFERROR($BA2129/$BA2130-1,"")</f>
        <v/>
      </c>
      <c r="DR2129" s="64">
        <f>$O2129-$O2130</f>
        <v/>
      </c>
      <c r="DS2129" s="64">
        <f>$P2129-$P2130</f>
        <v/>
      </c>
      <c r="DT2129" s="64">
        <f>$Q2129-$Q2130</f>
        <v/>
      </c>
      <c r="DU2129" s="64">
        <f>$S2129-$S2130</f>
        <v/>
      </c>
      <c r="DV2129" s="65">
        <f>IFERROR(AVERAGE($AA2130/$AA2129-1,$AB2130/$AB2129-1,$AC2130/$AC2129-1,$AD2130/$AD2129-1,$AE2130/$AE2129-1,$AG2130/$AG2129-1,$AH2130/$AH2129-1,$AI2130/$AI2129-1,$AJ2130/$AJ2129-1,$AL2130/$AL2129-1,$AM2130/$AM2129-1,$AR2130/$AR2129-1,$AS2130/$AS2129-1,$AT2130/$AT2129-1,$AU2130/$AU2129-1,$AV2130/$AV2129-1,$AW2130/$AW2129-1,$AX2130/$AX2129-1,$AY2130/$AY2129-1),"")</f>
        <v/>
      </c>
      <c r="DW2129" s="66">
        <f>AVERAGE($CB2129,$CC2129,$CD2129,$CE2129,$CF2129,$CG2129,$CH2129,$CI2129,$CJ2129,$CL2129,$CM2129,$CN2129,$CO2129,$CP2129,$CQ2129,$CR2129,$CS2129,$CT2129)</f>
        <v/>
      </c>
      <c r="DX2129" s="66">
        <f>AVERAGE($CB2129,$CC2129,$CM2129,$CE2129,$CP2129)</f>
        <v/>
      </c>
      <c r="DY2129" s="64">
        <f>($DW2129-$DW2130)*100</f>
        <v/>
      </c>
      <c r="DZ2129" s="64">
        <f>($DX2129-$DX2130)*100</f>
        <v/>
      </c>
      <c r="EA2129" s="64">
        <f>($DW2129-$D2129)*100</f>
        <v/>
      </c>
      <c r="EB2129" s="64">
        <f>$Q2129-$O2129</f>
        <v/>
      </c>
      <c r="EC2129" s="67">
        <f>IFERROR($Q2129/$P2129,"")</f>
        <v/>
      </c>
    </row>
    <row r="2130">
      <c r="DG2130" s="64">
        <f>($B2130-$B2131)*100</f>
        <v/>
      </c>
      <c r="DH2130" s="64">
        <f>($D2130-$D2131)*100</f>
        <v/>
      </c>
      <c r="DI2130" s="64">
        <f>($E2130-$E2131)*100</f>
        <v/>
      </c>
      <c r="DJ2130" s="64">
        <f>($H2130-$H2131)*100</f>
        <v/>
      </c>
      <c r="DK2130" s="65">
        <f>IFERROR($J2130/$J2131-1,"")</f>
        <v/>
      </c>
      <c r="DL2130" s="64">
        <f>$L2130-$L2131</f>
        <v/>
      </c>
      <c r="DM2130" s="64">
        <f>$K2130-$K2131</f>
        <v/>
      </c>
      <c r="DN2130" s="65">
        <f>IFERROR($N2130/$N2131-1,"")</f>
        <v/>
      </c>
      <c r="DO2130" s="65">
        <f>IFERROR($M2130/$M2131-1,"")</f>
        <v/>
      </c>
      <c r="DP2130" s="65">
        <f>IFERROR($AZ2130/$AZ2131-1,"")</f>
        <v/>
      </c>
      <c r="DQ2130" s="65">
        <f>IFERROR($BA2130/$BA2131-1,"")</f>
        <v/>
      </c>
      <c r="DR2130" s="64">
        <f>$O2130-$O2131</f>
        <v/>
      </c>
      <c r="DS2130" s="64">
        <f>$P2130-$P2131</f>
        <v/>
      </c>
      <c r="DT2130" s="64">
        <f>$Q2130-$Q2131</f>
        <v/>
      </c>
      <c r="DU2130" s="64">
        <f>$S2130-$S2131</f>
        <v/>
      </c>
      <c r="DV2130" s="65">
        <f>IFERROR(AVERAGE($AA2131/$AA2130-1,$AB2131/$AB2130-1,$AC2131/$AC2130-1,$AD2131/$AD2130-1,$AE2131/$AE2130-1,$AG2131/$AG2130-1,$AH2131/$AH2130-1,$AI2131/$AI2130-1,$AJ2131/$AJ2130-1,$AL2131/$AL2130-1,$AM2131/$AM2130-1,$AR2131/$AR2130-1,$AS2131/$AS2130-1,$AT2131/$AT2130-1,$AU2131/$AU2130-1,$AV2131/$AV2130-1,$AW2131/$AW2130-1,$AX2131/$AX2130-1,$AY2131/$AY2130-1),"")</f>
        <v/>
      </c>
      <c r="DW2130" s="66">
        <f>AVERAGE($CB2130,$CC2130,$CD2130,$CE2130,$CF2130,$CG2130,$CH2130,$CI2130,$CJ2130,$CL2130,$CM2130,$CN2130,$CO2130,$CP2130,$CQ2130,$CR2130,$CS2130,$CT2130)</f>
        <v/>
      </c>
      <c r="DX2130" s="66">
        <f>AVERAGE($CB2130,$CC2130,$CM2130,$CE2130,$CP2130)</f>
        <v/>
      </c>
      <c r="DY2130" s="64">
        <f>($DW2130-$DW2131)*100</f>
        <v/>
      </c>
      <c r="DZ2130" s="64">
        <f>($DX2130-$DX2131)*100</f>
        <v/>
      </c>
      <c r="EA2130" s="64">
        <f>($DW2130-$D2130)*100</f>
        <v/>
      </c>
      <c r="EB2130" s="64">
        <f>$Q2130-$O2130</f>
        <v/>
      </c>
      <c r="EC2130" s="67">
        <f>IFERROR($Q2130/$P2130,"")</f>
        <v/>
      </c>
    </row>
    <row r="2131">
      <c r="DG2131" s="64">
        <f>($B2131-$B2132)*100</f>
        <v/>
      </c>
      <c r="DH2131" s="64">
        <f>($D2131-$D2132)*100</f>
        <v/>
      </c>
      <c r="DI2131" s="64">
        <f>($E2131-$E2132)*100</f>
        <v/>
      </c>
      <c r="DJ2131" s="64">
        <f>($H2131-$H2132)*100</f>
        <v/>
      </c>
      <c r="DK2131" s="65">
        <f>IFERROR($J2131/$J2132-1,"")</f>
        <v/>
      </c>
      <c r="DL2131" s="64">
        <f>$L2131-$L2132</f>
        <v/>
      </c>
      <c r="DM2131" s="64">
        <f>$K2131-$K2132</f>
        <v/>
      </c>
      <c r="DN2131" s="65">
        <f>IFERROR($N2131/$N2132-1,"")</f>
        <v/>
      </c>
      <c r="DO2131" s="65">
        <f>IFERROR($M2131/$M2132-1,"")</f>
        <v/>
      </c>
      <c r="DP2131" s="65">
        <f>IFERROR($AZ2131/$AZ2132-1,"")</f>
        <v/>
      </c>
      <c r="DQ2131" s="65">
        <f>IFERROR($BA2131/$BA2132-1,"")</f>
        <v/>
      </c>
      <c r="DR2131" s="64">
        <f>$O2131-$O2132</f>
        <v/>
      </c>
      <c r="DS2131" s="64">
        <f>$P2131-$P2132</f>
        <v/>
      </c>
      <c r="DT2131" s="64">
        <f>$Q2131-$Q2132</f>
        <v/>
      </c>
      <c r="DU2131" s="64">
        <f>$S2131-$S2132</f>
        <v/>
      </c>
      <c r="DV2131" s="65">
        <f>IFERROR(AVERAGE($AA2132/$AA2131-1,$AB2132/$AB2131-1,$AC2132/$AC2131-1,$AD2132/$AD2131-1,$AE2132/$AE2131-1,$AG2132/$AG2131-1,$AH2132/$AH2131-1,$AI2132/$AI2131-1,$AJ2132/$AJ2131-1,$AL2132/$AL2131-1,$AM2132/$AM2131-1,$AR2132/$AR2131-1,$AS2132/$AS2131-1,$AT2132/$AT2131-1,$AU2132/$AU2131-1,$AV2132/$AV2131-1,$AW2132/$AW2131-1,$AX2132/$AX2131-1,$AY2132/$AY2131-1),"")</f>
        <v/>
      </c>
      <c r="DW2131" s="66">
        <f>AVERAGE($CB2131,$CC2131,$CD2131,$CE2131,$CF2131,$CG2131,$CH2131,$CI2131,$CJ2131,$CL2131,$CM2131,$CN2131,$CO2131,$CP2131,$CQ2131,$CR2131,$CS2131,$CT2131)</f>
        <v/>
      </c>
      <c r="DX2131" s="66">
        <f>AVERAGE($CB2131,$CC2131,$CM2131,$CE2131,$CP2131)</f>
        <v/>
      </c>
      <c r="DY2131" s="64">
        <f>($DW2131-$DW2132)*100</f>
        <v/>
      </c>
      <c r="DZ2131" s="64">
        <f>($DX2131-$DX2132)*100</f>
        <v/>
      </c>
      <c r="EA2131" s="64">
        <f>($DW2131-$D2131)*100</f>
        <v/>
      </c>
      <c r="EB2131" s="64">
        <f>$Q2131-$O2131</f>
        <v/>
      </c>
      <c r="EC2131" s="67">
        <f>IFERROR($Q2131/$P2131,"")</f>
        <v/>
      </c>
    </row>
    <row r="2132">
      <c r="DG2132" s="64">
        <f>($B2132-$B2133)*100</f>
        <v/>
      </c>
      <c r="DH2132" s="64">
        <f>($D2132-$D2133)*100</f>
        <v/>
      </c>
      <c r="DI2132" s="64">
        <f>($E2132-$E2133)*100</f>
        <v/>
      </c>
      <c r="DJ2132" s="64">
        <f>($H2132-$H2133)*100</f>
        <v/>
      </c>
      <c r="DK2132" s="65">
        <f>IFERROR($J2132/$J2133-1,"")</f>
        <v/>
      </c>
      <c r="DL2132" s="64">
        <f>$L2132-$L2133</f>
        <v/>
      </c>
      <c r="DM2132" s="64">
        <f>$K2132-$K2133</f>
        <v/>
      </c>
      <c r="DN2132" s="65">
        <f>IFERROR($N2132/$N2133-1,"")</f>
        <v/>
      </c>
      <c r="DO2132" s="65">
        <f>IFERROR($M2132/$M2133-1,"")</f>
        <v/>
      </c>
      <c r="DP2132" s="65">
        <f>IFERROR($AZ2132/$AZ2133-1,"")</f>
        <v/>
      </c>
      <c r="DQ2132" s="65">
        <f>IFERROR($BA2132/$BA2133-1,"")</f>
        <v/>
      </c>
      <c r="DR2132" s="64">
        <f>$O2132-$O2133</f>
        <v/>
      </c>
      <c r="DS2132" s="64">
        <f>$P2132-$P2133</f>
        <v/>
      </c>
      <c r="DT2132" s="64">
        <f>$Q2132-$Q2133</f>
        <v/>
      </c>
      <c r="DU2132" s="64">
        <f>$S2132-$S2133</f>
        <v/>
      </c>
      <c r="DV2132" s="65">
        <f>IFERROR(AVERAGE($AA2133/$AA2132-1,$AB2133/$AB2132-1,$AC2133/$AC2132-1,$AD2133/$AD2132-1,$AE2133/$AE2132-1,$AG2133/$AG2132-1,$AH2133/$AH2132-1,$AI2133/$AI2132-1,$AJ2133/$AJ2132-1,$AL2133/$AL2132-1,$AM2133/$AM2132-1,$AR2133/$AR2132-1,$AS2133/$AS2132-1,$AT2133/$AT2132-1,$AU2133/$AU2132-1,$AV2133/$AV2132-1,$AW2133/$AW2132-1,$AX2133/$AX2132-1,$AY2133/$AY2132-1),"")</f>
        <v/>
      </c>
      <c r="DW2132" s="66">
        <f>AVERAGE($CB2132,$CC2132,$CD2132,$CE2132,$CF2132,$CG2132,$CH2132,$CI2132,$CJ2132,$CL2132,$CM2132,$CN2132,$CO2132,$CP2132,$CQ2132,$CR2132,$CS2132,$CT2132)</f>
        <v/>
      </c>
      <c r="DX2132" s="66">
        <f>AVERAGE($CB2132,$CC2132,$CM2132,$CE2132,$CP2132)</f>
        <v/>
      </c>
      <c r="DY2132" s="64">
        <f>($DW2132-$DW2133)*100</f>
        <v/>
      </c>
      <c r="DZ2132" s="64">
        <f>($DX2132-$DX2133)*100</f>
        <v/>
      </c>
      <c r="EA2132" s="64">
        <f>($DW2132-$D2132)*100</f>
        <v/>
      </c>
      <c r="EB2132" s="64">
        <f>$Q2132-$O2132</f>
        <v/>
      </c>
      <c r="EC2132" s="67">
        <f>IFERROR($Q2132/$P2132,"")</f>
        <v/>
      </c>
    </row>
    <row r="2133">
      <c r="DG2133" s="64">
        <f>($B2133-$B2134)*100</f>
        <v/>
      </c>
      <c r="DH2133" s="64">
        <f>($D2133-$D2134)*100</f>
        <v/>
      </c>
      <c r="DI2133" s="64">
        <f>($E2133-$E2134)*100</f>
        <v/>
      </c>
      <c r="DJ2133" s="64">
        <f>($H2133-$H2134)*100</f>
        <v/>
      </c>
      <c r="DK2133" s="65">
        <f>IFERROR($J2133/$J2134-1,"")</f>
        <v/>
      </c>
      <c r="DL2133" s="64">
        <f>$L2133-$L2134</f>
        <v/>
      </c>
      <c r="DM2133" s="64">
        <f>$K2133-$K2134</f>
        <v/>
      </c>
      <c r="DN2133" s="65">
        <f>IFERROR($N2133/$N2134-1,"")</f>
        <v/>
      </c>
      <c r="DO2133" s="65">
        <f>IFERROR($M2133/$M2134-1,"")</f>
        <v/>
      </c>
      <c r="DP2133" s="65">
        <f>IFERROR($AZ2133/$AZ2134-1,"")</f>
        <v/>
      </c>
      <c r="DQ2133" s="65">
        <f>IFERROR($BA2133/$BA2134-1,"")</f>
        <v/>
      </c>
      <c r="DR2133" s="64">
        <f>$O2133-$O2134</f>
        <v/>
      </c>
      <c r="DS2133" s="64">
        <f>$P2133-$P2134</f>
        <v/>
      </c>
      <c r="DT2133" s="64">
        <f>$Q2133-$Q2134</f>
        <v/>
      </c>
      <c r="DU2133" s="64">
        <f>$S2133-$S2134</f>
        <v/>
      </c>
      <c r="DV2133" s="65">
        <f>IFERROR(AVERAGE($AA2134/$AA2133-1,$AB2134/$AB2133-1,$AC2134/$AC2133-1,$AD2134/$AD2133-1,$AE2134/$AE2133-1,$AG2134/$AG2133-1,$AH2134/$AH2133-1,$AI2134/$AI2133-1,$AJ2134/$AJ2133-1,$AL2134/$AL2133-1,$AM2134/$AM2133-1,$AR2134/$AR2133-1,$AS2134/$AS2133-1,$AT2134/$AT2133-1,$AU2134/$AU2133-1,$AV2134/$AV2133-1,$AW2134/$AW2133-1,$AX2134/$AX2133-1,$AY2134/$AY2133-1),"")</f>
        <v/>
      </c>
      <c r="DW2133" s="66">
        <f>AVERAGE($CB2133,$CC2133,$CD2133,$CE2133,$CF2133,$CG2133,$CH2133,$CI2133,$CJ2133,$CL2133,$CM2133,$CN2133,$CO2133,$CP2133,$CQ2133,$CR2133,$CS2133,$CT2133)</f>
        <v/>
      </c>
      <c r="DX2133" s="66">
        <f>AVERAGE($CB2133,$CC2133,$CM2133,$CE2133,$CP2133)</f>
        <v/>
      </c>
      <c r="DY2133" s="64">
        <f>($DW2133-$DW2134)*100</f>
        <v/>
      </c>
      <c r="DZ2133" s="64">
        <f>($DX2133-$DX2134)*100</f>
        <v/>
      </c>
      <c r="EA2133" s="64">
        <f>($DW2133-$D2133)*100</f>
        <v/>
      </c>
      <c r="EB2133" s="64">
        <f>$Q2133-$O2133</f>
        <v/>
      </c>
      <c r="EC2133" s="67">
        <f>IFERROR($Q2133/$P2133,"")</f>
        <v/>
      </c>
    </row>
    <row r="2134">
      <c r="DG2134" s="64">
        <f>($B2134-$B2135)*100</f>
        <v/>
      </c>
      <c r="DH2134" s="64">
        <f>($D2134-$D2135)*100</f>
        <v/>
      </c>
      <c r="DI2134" s="64">
        <f>($E2134-$E2135)*100</f>
        <v/>
      </c>
      <c r="DJ2134" s="64">
        <f>($H2134-$H2135)*100</f>
        <v/>
      </c>
      <c r="DK2134" s="65">
        <f>IFERROR($J2134/$J2135-1,"")</f>
        <v/>
      </c>
      <c r="DL2134" s="64">
        <f>$L2134-$L2135</f>
        <v/>
      </c>
      <c r="DM2134" s="64">
        <f>$K2134-$K2135</f>
        <v/>
      </c>
      <c r="DN2134" s="65">
        <f>IFERROR($N2134/$N2135-1,"")</f>
        <v/>
      </c>
      <c r="DO2134" s="65">
        <f>IFERROR($M2134/$M2135-1,"")</f>
        <v/>
      </c>
      <c r="DP2134" s="65">
        <f>IFERROR($AZ2134/$AZ2135-1,"")</f>
        <v/>
      </c>
      <c r="DQ2134" s="65">
        <f>IFERROR($BA2134/$BA2135-1,"")</f>
        <v/>
      </c>
      <c r="DR2134" s="64">
        <f>$O2134-$O2135</f>
        <v/>
      </c>
      <c r="DS2134" s="64">
        <f>$P2134-$P2135</f>
        <v/>
      </c>
      <c r="DT2134" s="64">
        <f>$Q2134-$Q2135</f>
        <v/>
      </c>
      <c r="DU2134" s="64">
        <f>$S2134-$S2135</f>
        <v/>
      </c>
      <c r="DV2134" s="65">
        <f>IFERROR(AVERAGE($AA2135/$AA2134-1,$AB2135/$AB2134-1,$AC2135/$AC2134-1,$AD2135/$AD2134-1,$AE2135/$AE2134-1,$AG2135/$AG2134-1,$AH2135/$AH2134-1,$AI2135/$AI2134-1,$AJ2135/$AJ2134-1,$AL2135/$AL2134-1,$AM2135/$AM2134-1,$AR2135/$AR2134-1,$AS2135/$AS2134-1,$AT2135/$AT2134-1,$AU2135/$AU2134-1,$AV2135/$AV2134-1,$AW2135/$AW2134-1,$AX2135/$AX2134-1,$AY2135/$AY2134-1),"")</f>
        <v/>
      </c>
      <c r="DW2134" s="66">
        <f>AVERAGE($CB2134,$CC2134,$CD2134,$CE2134,$CF2134,$CG2134,$CH2134,$CI2134,$CJ2134,$CL2134,$CM2134,$CN2134,$CO2134,$CP2134,$CQ2134,$CR2134,$CS2134,$CT2134)</f>
        <v/>
      </c>
      <c r="DX2134" s="66">
        <f>AVERAGE($CB2134,$CC2134,$CM2134,$CE2134,$CP2134)</f>
        <v/>
      </c>
      <c r="DY2134" s="64">
        <f>($DW2134-$DW2135)*100</f>
        <v/>
      </c>
      <c r="DZ2134" s="64">
        <f>($DX2134-$DX2135)*100</f>
        <v/>
      </c>
      <c r="EA2134" s="64">
        <f>($DW2134-$D2134)*100</f>
        <v/>
      </c>
      <c r="EB2134" s="64">
        <f>$Q2134-$O2134</f>
        <v/>
      </c>
      <c r="EC2134" s="67">
        <f>IFERROR($Q2134/$P2134,"")</f>
        <v/>
      </c>
    </row>
    <row r="2135">
      <c r="DG2135" s="64">
        <f>($B2135-$B2136)*100</f>
        <v/>
      </c>
      <c r="DH2135" s="64">
        <f>($D2135-$D2136)*100</f>
        <v/>
      </c>
      <c r="DI2135" s="64">
        <f>($E2135-$E2136)*100</f>
        <v/>
      </c>
      <c r="DJ2135" s="64">
        <f>($H2135-$H2136)*100</f>
        <v/>
      </c>
      <c r="DK2135" s="65">
        <f>IFERROR($J2135/$J2136-1,"")</f>
        <v/>
      </c>
      <c r="DL2135" s="64">
        <f>$L2135-$L2136</f>
        <v/>
      </c>
      <c r="DM2135" s="64">
        <f>$K2135-$K2136</f>
        <v/>
      </c>
      <c r="DN2135" s="65">
        <f>IFERROR($N2135/$N2136-1,"")</f>
        <v/>
      </c>
      <c r="DO2135" s="65">
        <f>IFERROR($M2135/$M2136-1,"")</f>
        <v/>
      </c>
      <c r="DP2135" s="65">
        <f>IFERROR($AZ2135/$AZ2136-1,"")</f>
        <v/>
      </c>
      <c r="DQ2135" s="65">
        <f>IFERROR($BA2135/$BA2136-1,"")</f>
        <v/>
      </c>
      <c r="DR2135" s="64">
        <f>$O2135-$O2136</f>
        <v/>
      </c>
      <c r="DS2135" s="64">
        <f>$P2135-$P2136</f>
        <v/>
      </c>
      <c r="DT2135" s="64">
        <f>$Q2135-$Q2136</f>
        <v/>
      </c>
      <c r="DU2135" s="64">
        <f>$S2135-$S2136</f>
        <v/>
      </c>
      <c r="DV2135" s="65">
        <f>IFERROR(AVERAGE($AA2136/$AA2135-1,$AB2136/$AB2135-1,$AC2136/$AC2135-1,$AD2136/$AD2135-1,$AE2136/$AE2135-1,$AG2136/$AG2135-1,$AH2136/$AH2135-1,$AI2136/$AI2135-1,$AJ2136/$AJ2135-1,$AL2136/$AL2135-1,$AM2136/$AM2135-1,$AR2136/$AR2135-1,$AS2136/$AS2135-1,$AT2136/$AT2135-1,$AU2136/$AU2135-1,$AV2136/$AV2135-1,$AW2136/$AW2135-1,$AX2136/$AX2135-1,$AY2136/$AY2135-1),"")</f>
        <v/>
      </c>
      <c r="DW2135" s="66">
        <f>AVERAGE($CB2135,$CC2135,$CD2135,$CE2135,$CF2135,$CG2135,$CH2135,$CI2135,$CJ2135,$CL2135,$CM2135,$CN2135,$CO2135,$CP2135,$CQ2135,$CR2135,$CS2135,$CT2135)</f>
        <v/>
      </c>
      <c r="DX2135" s="66">
        <f>AVERAGE($CB2135,$CC2135,$CM2135,$CE2135,$CP2135)</f>
        <v/>
      </c>
      <c r="DY2135" s="64">
        <f>($DW2135-$DW2136)*100</f>
        <v/>
      </c>
      <c r="DZ2135" s="64">
        <f>($DX2135-$DX2136)*100</f>
        <v/>
      </c>
      <c r="EA2135" s="64">
        <f>($DW2135-$D2135)*100</f>
        <v/>
      </c>
      <c r="EB2135" s="64">
        <f>$Q2135-$O2135</f>
        <v/>
      </c>
      <c r="EC2135" s="67">
        <f>IFERROR($Q2135/$P2135,"")</f>
        <v/>
      </c>
    </row>
    <row r="2136">
      <c r="DG2136" s="64">
        <f>($B2136-$B2137)*100</f>
        <v/>
      </c>
      <c r="DH2136" s="64">
        <f>($D2136-$D2137)*100</f>
        <v/>
      </c>
      <c r="DI2136" s="64">
        <f>($E2136-$E2137)*100</f>
        <v/>
      </c>
      <c r="DJ2136" s="64">
        <f>($H2136-$H2137)*100</f>
        <v/>
      </c>
      <c r="DK2136" s="65">
        <f>IFERROR($J2136/$J2137-1,"")</f>
        <v/>
      </c>
      <c r="DL2136" s="64">
        <f>$L2136-$L2137</f>
        <v/>
      </c>
      <c r="DM2136" s="64">
        <f>$K2136-$K2137</f>
        <v/>
      </c>
      <c r="DN2136" s="65">
        <f>IFERROR($N2136/$N2137-1,"")</f>
        <v/>
      </c>
      <c r="DO2136" s="65">
        <f>IFERROR($M2136/$M2137-1,"")</f>
        <v/>
      </c>
      <c r="DP2136" s="65">
        <f>IFERROR($AZ2136/$AZ2137-1,"")</f>
        <v/>
      </c>
      <c r="DQ2136" s="65">
        <f>IFERROR($BA2136/$BA2137-1,"")</f>
        <v/>
      </c>
      <c r="DR2136" s="64">
        <f>$O2136-$O2137</f>
        <v/>
      </c>
      <c r="DS2136" s="64">
        <f>$P2136-$P2137</f>
        <v/>
      </c>
      <c r="DT2136" s="64">
        <f>$Q2136-$Q2137</f>
        <v/>
      </c>
      <c r="DU2136" s="64">
        <f>$S2136-$S2137</f>
        <v/>
      </c>
      <c r="DV2136" s="65">
        <f>IFERROR(AVERAGE($AA2137/$AA2136-1,$AB2137/$AB2136-1,$AC2137/$AC2136-1,$AD2137/$AD2136-1,$AE2137/$AE2136-1,$AG2137/$AG2136-1,$AH2137/$AH2136-1,$AI2137/$AI2136-1,$AJ2137/$AJ2136-1,$AL2137/$AL2136-1,$AM2137/$AM2136-1,$AR2137/$AR2136-1,$AS2137/$AS2136-1,$AT2137/$AT2136-1,$AU2137/$AU2136-1,$AV2137/$AV2136-1,$AW2137/$AW2136-1,$AX2137/$AX2136-1,$AY2137/$AY2136-1),"")</f>
        <v/>
      </c>
      <c r="DW2136" s="66">
        <f>AVERAGE($CB2136,$CC2136,$CD2136,$CE2136,$CF2136,$CG2136,$CH2136,$CI2136,$CJ2136,$CL2136,$CM2136,$CN2136,$CO2136,$CP2136,$CQ2136,$CR2136,$CS2136,$CT2136)</f>
        <v/>
      </c>
      <c r="DX2136" s="66">
        <f>AVERAGE($CB2136,$CC2136,$CM2136,$CE2136,$CP2136)</f>
        <v/>
      </c>
      <c r="DY2136" s="64">
        <f>($DW2136-$DW2137)*100</f>
        <v/>
      </c>
      <c r="DZ2136" s="64">
        <f>($DX2136-$DX2137)*100</f>
        <v/>
      </c>
      <c r="EA2136" s="64">
        <f>($DW2136-$D2136)*100</f>
        <v/>
      </c>
      <c r="EB2136" s="64">
        <f>$Q2136-$O2136</f>
        <v/>
      </c>
      <c r="EC2136" s="67">
        <f>IFERROR($Q2136/$P2136,"")</f>
        <v/>
      </c>
    </row>
    <row r="2137">
      <c r="DG2137" s="64">
        <f>($B2137-$B2138)*100</f>
        <v/>
      </c>
      <c r="DH2137" s="64">
        <f>($D2137-$D2138)*100</f>
        <v/>
      </c>
      <c r="DI2137" s="64">
        <f>($E2137-$E2138)*100</f>
        <v/>
      </c>
      <c r="DJ2137" s="64">
        <f>($H2137-$H2138)*100</f>
        <v/>
      </c>
      <c r="DK2137" s="65">
        <f>IFERROR($J2137/$J2138-1,"")</f>
        <v/>
      </c>
      <c r="DL2137" s="64">
        <f>$L2137-$L2138</f>
        <v/>
      </c>
      <c r="DM2137" s="64">
        <f>$K2137-$K2138</f>
        <v/>
      </c>
      <c r="DN2137" s="65">
        <f>IFERROR($N2137/$N2138-1,"")</f>
        <v/>
      </c>
      <c r="DO2137" s="65">
        <f>IFERROR($M2137/$M2138-1,"")</f>
        <v/>
      </c>
      <c r="DP2137" s="65">
        <f>IFERROR($AZ2137/$AZ2138-1,"")</f>
        <v/>
      </c>
      <c r="DQ2137" s="65">
        <f>IFERROR($BA2137/$BA2138-1,"")</f>
        <v/>
      </c>
      <c r="DR2137" s="64">
        <f>$O2137-$O2138</f>
        <v/>
      </c>
      <c r="DS2137" s="64">
        <f>$P2137-$P2138</f>
        <v/>
      </c>
      <c r="DT2137" s="64">
        <f>$Q2137-$Q2138</f>
        <v/>
      </c>
      <c r="DU2137" s="64">
        <f>$S2137-$S2138</f>
        <v/>
      </c>
      <c r="DV2137" s="65">
        <f>IFERROR(AVERAGE($AA2138/$AA2137-1,$AB2138/$AB2137-1,$AC2138/$AC2137-1,$AD2138/$AD2137-1,$AE2138/$AE2137-1,$AG2138/$AG2137-1,$AH2138/$AH2137-1,$AI2138/$AI2137-1,$AJ2138/$AJ2137-1,$AL2138/$AL2137-1,$AM2138/$AM2137-1,$AR2138/$AR2137-1,$AS2138/$AS2137-1,$AT2138/$AT2137-1,$AU2138/$AU2137-1,$AV2138/$AV2137-1,$AW2138/$AW2137-1,$AX2138/$AX2137-1,$AY2138/$AY2137-1),"")</f>
        <v/>
      </c>
      <c r="DW2137" s="66">
        <f>AVERAGE($CB2137,$CC2137,$CD2137,$CE2137,$CF2137,$CG2137,$CH2137,$CI2137,$CJ2137,$CL2137,$CM2137,$CN2137,$CO2137,$CP2137,$CQ2137,$CR2137,$CS2137,$CT2137)</f>
        <v/>
      </c>
      <c r="DX2137" s="66">
        <f>AVERAGE($CB2137,$CC2137,$CM2137,$CE2137,$CP2137)</f>
        <v/>
      </c>
      <c r="DY2137" s="64">
        <f>($DW2137-$DW2138)*100</f>
        <v/>
      </c>
      <c r="DZ2137" s="64">
        <f>($DX2137-$DX2138)*100</f>
        <v/>
      </c>
      <c r="EA2137" s="64">
        <f>($DW2137-$D2137)*100</f>
        <v/>
      </c>
      <c r="EB2137" s="64">
        <f>$Q2137-$O2137</f>
        <v/>
      </c>
      <c r="EC2137" s="67">
        <f>IFERROR($Q2137/$P2137,"")</f>
        <v/>
      </c>
    </row>
    <row r="2138">
      <c r="DG2138" s="64">
        <f>($B2138-$B2139)*100</f>
        <v/>
      </c>
      <c r="DH2138" s="64">
        <f>($D2138-$D2139)*100</f>
        <v/>
      </c>
      <c r="DI2138" s="64">
        <f>($E2138-$E2139)*100</f>
        <v/>
      </c>
      <c r="DJ2138" s="64">
        <f>($H2138-$H2139)*100</f>
        <v/>
      </c>
      <c r="DK2138" s="65">
        <f>IFERROR($J2138/$J2139-1,"")</f>
        <v/>
      </c>
      <c r="DL2138" s="64">
        <f>$L2138-$L2139</f>
        <v/>
      </c>
      <c r="DM2138" s="64">
        <f>$K2138-$K2139</f>
        <v/>
      </c>
      <c r="DN2138" s="65">
        <f>IFERROR($N2138/$N2139-1,"")</f>
        <v/>
      </c>
      <c r="DO2138" s="65">
        <f>IFERROR($M2138/$M2139-1,"")</f>
        <v/>
      </c>
      <c r="DP2138" s="65">
        <f>IFERROR($AZ2138/$AZ2139-1,"")</f>
        <v/>
      </c>
      <c r="DQ2138" s="65">
        <f>IFERROR($BA2138/$BA2139-1,"")</f>
        <v/>
      </c>
      <c r="DR2138" s="64">
        <f>$O2138-$O2139</f>
        <v/>
      </c>
      <c r="DS2138" s="64">
        <f>$P2138-$P2139</f>
        <v/>
      </c>
      <c r="DT2138" s="64">
        <f>$Q2138-$Q2139</f>
        <v/>
      </c>
      <c r="DU2138" s="64">
        <f>$S2138-$S2139</f>
        <v/>
      </c>
      <c r="DV2138" s="65">
        <f>IFERROR(AVERAGE($AA2139/$AA2138-1,$AB2139/$AB2138-1,$AC2139/$AC2138-1,$AD2139/$AD2138-1,$AE2139/$AE2138-1,$AG2139/$AG2138-1,$AH2139/$AH2138-1,$AI2139/$AI2138-1,$AJ2139/$AJ2138-1,$AL2139/$AL2138-1,$AM2139/$AM2138-1,$AR2139/$AR2138-1,$AS2139/$AS2138-1,$AT2139/$AT2138-1,$AU2139/$AU2138-1,$AV2139/$AV2138-1,$AW2139/$AW2138-1,$AX2139/$AX2138-1,$AY2139/$AY2138-1),"")</f>
        <v/>
      </c>
      <c r="DW2138" s="66">
        <f>AVERAGE($CB2138,$CC2138,$CD2138,$CE2138,$CF2138,$CG2138,$CH2138,$CI2138,$CJ2138,$CL2138,$CM2138,$CN2138,$CO2138,$CP2138,$CQ2138,$CR2138,$CS2138,$CT2138)</f>
        <v/>
      </c>
      <c r="DX2138" s="66">
        <f>AVERAGE($CB2138,$CC2138,$CM2138,$CE2138,$CP2138)</f>
        <v/>
      </c>
      <c r="DY2138" s="64">
        <f>($DW2138-$DW2139)*100</f>
        <v/>
      </c>
      <c r="DZ2138" s="64">
        <f>($DX2138-$DX2139)*100</f>
        <v/>
      </c>
      <c r="EA2138" s="64">
        <f>($DW2138-$D2138)*100</f>
        <v/>
      </c>
      <c r="EB2138" s="64">
        <f>$Q2138-$O2138</f>
        <v/>
      </c>
      <c r="EC2138" s="67">
        <f>IFERROR($Q2138/$P2138,"")</f>
        <v/>
      </c>
    </row>
    <row r="2139">
      <c r="DG2139" s="64">
        <f>($B2139-$B2140)*100</f>
        <v/>
      </c>
      <c r="DH2139" s="64">
        <f>($D2139-$D2140)*100</f>
        <v/>
      </c>
      <c r="DI2139" s="64">
        <f>($E2139-$E2140)*100</f>
        <v/>
      </c>
      <c r="DJ2139" s="64">
        <f>($H2139-$H2140)*100</f>
        <v/>
      </c>
      <c r="DK2139" s="65">
        <f>IFERROR($J2139/$J2140-1,"")</f>
        <v/>
      </c>
      <c r="DL2139" s="64">
        <f>$L2139-$L2140</f>
        <v/>
      </c>
      <c r="DM2139" s="64">
        <f>$K2139-$K2140</f>
        <v/>
      </c>
      <c r="DN2139" s="65">
        <f>IFERROR($N2139/$N2140-1,"")</f>
        <v/>
      </c>
      <c r="DO2139" s="65">
        <f>IFERROR($M2139/$M2140-1,"")</f>
        <v/>
      </c>
      <c r="DP2139" s="65">
        <f>IFERROR($AZ2139/$AZ2140-1,"")</f>
        <v/>
      </c>
      <c r="DQ2139" s="65">
        <f>IFERROR($BA2139/$BA2140-1,"")</f>
        <v/>
      </c>
      <c r="DR2139" s="64">
        <f>$O2139-$O2140</f>
        <v/>
      </c>
      <c r="DS2139" s="64">
        <f>$P2139-$P2140</f>
        <v/>
      </c>
      <c r="DT2139" s="64">
        <f>$Q2139-$Q2140</f>
        <v/>
      </c>
      <c r="DU2139" s="64">
        <f>$S2139-$S2140</f>
        <v/>
      </c>
      <c r="DV2139" s="65">
        <f>IFERROR(AVERAGE($AA2140/$AA2139-1,$AB2140/$AB2139-1,$AC2140/$AC2139-1,$AD2140/$AD2139-1,$AE2140/$AE2139-1,$AG2140/$AG2139-1,$AH2140/$AH2139-1,$AI2140/$AI2139-1,$AJ2140/$AJ2139-1,$AL2140/$AL2139-1,$AM2140/$AM2139-1,$AR2140/$AR2139-1,$AS2140/$AS2139-1,$AT2140/$AT2139-1,$AU2140/$AU2139-1,$AV2140/$AV2139-1,$AW2140/$AW2139-1,$AX2140/$AX2139-1,$AY2140/$AY2139-1),"")</f>
        <v/>
      </c>
      <c r="DW2139" s="66">
        <f>AVERAGE($CB2139,$CC2139,$CD2139,$CE2139,$CF2139,$CG2139,$CH2139,$CI2139,$CJ2139,$CL2139,$CM2139,$CN2139,$CO2139,$CP2139,$CQ2139,$CR2139,$CS2139,$CT2139)</f>
        <v/>
      </c>
      <c r="DX2139" s="66">
        <f>AVERAGE($CB2139,$CC2139,$CM2139,$CE2139,$CP2139)</f>
        <v/>
      </c>
      <c r="DY2139" s="64">
        <f>($DW2139-$DW2140)*100</f>
        <v/>
      </c>
      <c r="DZ2139" s="64">
        <f>($DX2139-$DX2140)*100</f>
        <v/>
      </c>
      <c r="EA2139" s="64">
        <f>($DW2139-$D2139)*100</f>
        <v/>
      </c>
      <c r="EB2139" s="64">
        <f>$Q2139-$O2139</f>
        <v/>
      </c>
      <c r="EC2139" s="67">
        <f>IFERROR($Q2139/$P2139,"")</f>
        <v/>
      </c>
    </row>
    <row r="2140">
      <c r="DG2140" s="64">
        <f>($B2140-$B2141)*100</f>
        <v/>
      </c>
      <c r="DH2140" s="64">
        <f>($D2140-$D2141)*100</f>
        <v/>
      </c>
      <c r="DI2140" s="64">
        <f>($E2140-$E2141)*100</f>
        <v/>
      </c>
      <c r="DJ2140" s="64">
        <f>($H2140-$H2141)*100</f>
        <v/>
      </c>
      <c r="DK2140" s="65">
        <f>IFERROR($J2140/$J2141-1,"")</f>
        <v/>
      </c>
      <c r="DL2140" s="64">
        <f>$L2140-$L2141</f>
        <v/>
      </c>
      <c r="DM2140" s="64">
        <f>$K2140-$K2141</f>
        <v/>
      </c>
      <c r="DN2140" s="65">
        <f>IFERROR($N2140/$N2141-1,"")</f>
        <v/>
      </c>
      <c r="DO2140" s="65">
        <f>IFERROR($M2140/$M2141-1,"")</f>
        <v/>
      </c>
      <c r="DP2140" s="65">
        <f>IFERROR($AZ2140/$AZ2141-1,"")</f>
        <v/>
      </c>
      <c r="DQ2140" s="65">
        <f>IFERROR($BA2140/$BA2141-1,"")</f>
        <v/>
      </c>
      <c r="DR2140" s="64">
        <f>$O2140-$O2141</f>
        <v/>
      </c>
      <c r="DS2140" s="64">
        <f>$P2140-$P2141</f>
        <v/>
      </c>
      <c r="DT2140" s="64">
        <f>$Q2140-$Q2141</f>
        <v/>
      </c>
      <c r="DU2140" s="64">
        <f>$S2140-$S2141</f>
        <v/>
      </c>
      <c r="DV2140" s="65">
        <f>IFERROR(AVERAGE($AA2141/$AA2140-1,$AB2141/$AB2140-1,$AC2141/$AC2140-1,$AD2141/$AD2140-1,$AE2141/$AE2140-1,$AG2141/$AG2140-1,$AH2141/$AH2140-1,$AI2141/$AI2140-1,$AJ2141/$AJ2140-1,$AL2141/$AL2140-1,$AM2141/$AM2140-1,$AR2141/$AR2140-1,$AS2141/$AS2140-1,$AT2141/$AT2140-1,$AU2141/$AU2140-1,$AV2141/$AV2140-1,$AW2141/$AW2140-1,$AX2141/$AX2140-1,$AY2141/$AY2140-1),"")</f>
        <v/>
      </c>
      <c r="DW2140" s="66">
        <f>AVERAGE($CB2140,$CC2140,$CD2140,$CE2140,$CF2140,$CG2140,$CH2140,$CI2140,$CJ2140,$CL2140,$CM2140,$CN2140,$CO2140,$CP2140,$CQ2140,$CR2140,$CS2140,$CT2140)</f>
        <v/>
      </c>
      <c r="DX2140" s="66">
        <f>AVERAGE($CB2140,$CC2140,$CM2140,$CE2140,$CP2140)</f>
        <v/>
      </c>
      <c r="DY2140" s="64">
        <f>($DW2140-$DW2141)*100</f>
        <v/>
      </c>
      <c r="DZ2140" s="64">
        <f>($DX2140-$DX2141)*100</f>
        <v/>
      </c>
      <c r="EA2140" s="64">
        <f>($DW2140-$D2140)*100</f>
        <v/>
      </c>
      <c r="EB2140" s="64">
        <f>$Q2140-$O2140</f>
        <v/>
      </c>
      <c r="EC2140" s="67">
        <f>IFERROR($Q2140/$P2140,"")</f>
        <v/>
      </c>
    </row>
    <row r="2141">
      <c r="DG2141" s="64">
        <f>($B2141-$B2142)*100</f>
        <v/>
      </c>
      <c r="DH2141" s="64">
        <f>($D2141-$D2142)*100</f>
        <v/>
      </c>
      <c r="DI2141" s="64">
        <f>($E2141-$E2142)*100</f>
        <v/>
      </c>
      <c r="DJ2141" s="64">
        <f>($H2141-$H2142)*100</f>
        <v/>
      </c>
      <c r="DK2141" s="65">
        <f>IFERROR($J2141/$J2142-1,"")</f>
        <v/>
      </c>
      <c r="DL2141" s="64">
        <f>$L2141-$L2142</f>
        <v/>
      </c>
      <c r="DM2141" s="64">
        <f>$K2141-$K2142</f>
        <v/>
      </c>
      <c r="DN2141" s="65">
        <f>IFERROR($N2141/$N2142-1,"")</f>
        <v/>
      </c>
      <c r="DO2141" s="65">
        <f>IFERROR($M2141/$M2142-1,"")</f>
        <v/>
      </c>
      <c r="DP2141" s="65">
        <f>IFERROR($AZ2141/$AZ2142-1,"")</f>
        <v/>
      </c>
      <c r="DQ2141" s="65">
        <f>IFERROR($BA2141/$BA2142-1,"")</f>
        <v/>
      </c>
      <c r="DR2141" s="64">
        <f>$O2141-$O2142</f>
        <v/>
      </c>
      <c r="DS2141" s="64">
        <f>$P2141-$P2142</f>
        <v/>
      </c>
      <c r="DT2141" s="64">
        <f>$Q2141-$Q2142</f>
        <v/>
      </c>
      <c r="DU2141" s="64">
        <f>$S2141-$S2142</f>
        <v/>
      </c>
      <c r="DV2141" s="65">
        <f>IFERROR(AVERAGE($AA2142/$AA2141-1,$AB2142/$AB2141-1,$AC2142/$AC2141-1,$AD2142/$AD2141-1,$AE2142/$AE2141-1,$AG2142/$AG2141-1,$AH2142/$AH2141-1,$AI2142/$AI2141-1,$AJ2142/$AJ2141-1,$AL2142/$AL2141-1,$AM2142/$AM2141-1,$AR2142/$AR2141-1,$AS2142/$AS2141-1,$AT2142/$AT2141-1,$AU2142/$AU2141-1,$AV2142/$AV2141-1,$AW2142/$AW2141-1,$AX2142/$AX2141-1,$AY2142/$AY2141-1),"")</f>
        <v/>
      </c>
      <c r="DW2141" s="66">
        <f>AVERAGE($CB2141,$CC2141,$CD2141,$CE2141,$CF2141,$CG2141,$CH2141,$CI2141,$CJ2141,$CL2141,$CM2141,$CN2141,$CO2141,$CP2141,$CQ2141,$CR2141,$CS2141,$CT2141)</f>
        <v/>
      </c>
      <c r="DX2141" s="66">
        <f>AVERAGE($CB2141,$CC2141,$CM2141,$CE2141,$CP2141)</f>
        <v/>
      </c>
      <c r="DY2141" s="64">
        <f>($DW2141-$DW2142)*100</f>
        <v/>
      </c>
      <c r="DZ2141" s="64">
        <f>($DX2141-$DX2142)*100</f>
        <v/>
      </c>
      <c r="EA2141" s="64">
        <f>($DW2141-$D2141)*100</f>
        <v/>
      </c>
      <c r="EB2141" s="64">
        <f>$Q2141-$O2141</f>
        <v/>
      </c>
      <c r="EC2141" s="67">
        <f>IFERROR($Q2141/$P2141,"")</f>
        <v/>
      </c>
    </row>
    <row r="2142">
      <c r="DG2142" s="64">
        <f>($B2142-$B2143)*100</f>
        <v/>
      </c>
      <c r="DH2142" s="64">
        <f>($D2142-$D2143)*100</f>
        <v/>
      </c>
      <c r="DI2142" s="64">
        <f>($E2142-$E2143)*100</f>
        <v/>
      </c>
      <c r="DJ2142" s="64">
        <f>($H2142-$H2143)*100</f>
        <v/>
      </c>
      <c r="DK2142" s="65">
        <f>IFERROR($J2142/$J2143-1,"")</f>
        <v/>
      </c>
      <c r="DL2142" s="64">
        <f>$L2142-$L2143</f>
        <v/>
      </c>
      <c r="DM2142" s="64">
        <f>$K2142-$K2143</f>
        <v/>
      </c>
      <c r="DN2142" s="65">
        <f>IFERROR($N2142/$N2143-1,"")</f>
        <v/>
      </c>
      <c r="DO2142" s="65">
        <f>IFERROR($M2142/$M2143-1,"")</f>
        <v/>
      </c>
      <c r="DP2142" s="65">
        <f>IFERROR($AZ2142/$AZ2143-1,"")</f>
        <v/>
      </c>
      <c r="DQ2142" s="65">
        <f>IFERROR($BA2142/$BA2143-1,"")</f>
        <v/>
      </c>
      <c r="DR2142" s="64">
        <f>$O2142-$O2143</f>
        <v/>
      </c>
      <c r="DS2142" s="64">
        <f>$P2142-$P2143</f>
        <v/>
      </c>
      <c r="DT2142" s="64">
        <f>$Q2142-$Q2143</f>
        <v/>
      </c>
      <c r="DU2142" s="64">
        <f>$S2142-$S2143</f>
        <v/>
      </c>
      <c r="DV2142" s="65">
        <f>IFERROR(AVERAGE($AA2143/$AA2142-1,$AB2143/$AB2142-1,$AC2143/$AC2142-1,$AD2143/$AD2142-1,$AE2143/$AE2142-1,$AG2143/$AG2142-1,$AH2143/$AH2142-1,$AI2143/$AI2142-1,$AJ2143/$AJ2142-1,$AL2143/$AL2142-1,$AM2143/$AM2142-1,$AR2143/$AR2142-1,$AS2143/$AS2142-1,$AT2143/$AT2142-1,$AU2143/$AU2142-1,$AV2143/$AV2142-1,$AW2143/$AW2142-1,$AX2143/$AX2142-1,$AY2143/$AY2142-1),"")</f>
        <v/>
      </c>
      <c r="DW2142" s="66">
        <f>AVERAGE($CB2142,$CC2142,$CD2142,$CE2142,$CF2142,$CG2142,$CH2142,$CI2142,$CJ2142,$CL2142,$CM2142,$CN2142,$CO2142,$CP2142,$CQ2142,$CR2142,$CS2142,$CT2142)</f>
        <v/>
      </c>
      <c r="DX2142" s="66">
        <f>AVERAGE($CB2142,$CC2142,$CM2142,$CE2142,$CP2142)</f>
        <v/>
      </c>
      <c r="DY2142" s="64">
        <f>($DW2142-$DW2143)*100</f>
        <v/>
      </c>
      <c r="DZ2142" s="64">
        <f>($DX2142-$DX2143)*100</f>
        <v/>
      </c>
      <c r="EA2142" s="64">
        <f>($DW2142-$D2142)*100</f>
        <v/>
      </c>
      <c r="EB2142" s="64">
        <f>$Q2142-$O2142</f>
        <v/>
      </c>
      <c r="EC2142" s="67">
        <f>IFERROR($Q2142/$P2142,"")</f>
        <v/>
      </c>
    </row>
    <row r="2143">
      <c r="DG2143" s="64">
        <f>($B2143-$B2144)*100</f>
        <v/>
      </c>
      <c r="DH2143" s="64">
        <f>($D2143-$D2144)*100</f>
        <v/>
      </c>
      <c r="DI2143" s="64">
        <f>($E2143-$E2144)*100</f>
        <v/>
      </c>
      <c r="DJ2143" s="64">
        <f>($H2143-$H2144)*100</f>
        <v/>
      </c>
      <c r="DK2143" s="65">
        <f>IFERROR($J2143/$J2144-1,"")</f>
        <v/>
      </c>
      <c r="DL2143" s="64">
        <f>$L2143-$L2144</f>
        <v/>
      </c>
      <c r="DM2143" s="64">
        <f>$K2143-$K2144</f>
        <v/>
      </c>
      <c r="DN2143" s="65">
        <f>IFERROR($N2143/$N2144-1,"")</f>
        <v/>
      </c>
      <c r="DO2143" s="65">
        <f>IFERROR($M2143/$M2144-1,"")</f>
        <v/>
      </c>
      <c r="DP2143" s="65">
        <f>IFERROR($AZ2143/$AZ2144-1,"")</f>
        <v/>
      </c>
      <c r="DQ2143" s="65">
        <f>IFERROR($BA2143/$BA2144-1,"")</f>
        <v/>
      </c>
      <c r="DR2143" s="64">
        <f>$O2143-$O2144</f>
        <v/>
      </c>
      <c r="DS2143" s="64">
        <f>$P2143-$P2144</f>
        <v/>
      </c>
      <c r="DT2143" s="64">
        <f>$Q2143-$Q2144</f>
        <v/>
      </c>
      <c r="DU2143" s="64">
        <f>$S2143-$S2144</f>
        <v/>
      </c>
      <c r="DV2143" s="65">
        <f>IFERROR(AVERAGE($AA2144/$AA2143-1,$AB2144/$AB2143-1,$AC2144/$AC2143-1,$AD2144/$AD2143-1,$AE2144/$AE2143-1,$AG2144/$AG2143-1,$AH2144/$AH2143-1,$AI2144/$AI2143-1,$AJ2144/$AJ2143-1,$AL2144/$AL2143-1,$AM2144/$AM2143-1,$AR2144/$AR2143-1,$AS2144/$AS2143-1,$AT2144/$AT2143-1,$AU2144/$AU2143-1,$AV2144/$AV2143-1,$AW2144/$AW2143-1,$AX2144/$AX2143-1,$AY2144/$AY2143-1),"")</f>
        <v/>
      </c>
      <c r="DW2143" s="66">
        <f>AVERAGE($CB2143,$CC2143,$CD2143,$CE2143,$CF2143,$CG2143,$CH2143,$CI2143,$CJ2143,$CL2143,$CM2143,$CN2143,$CO2143,$CP2143,$CQ2143,$CR2143,$CS2143,$CT2143)</f>
        <v/>
      </c>
      <c r="DX2143" s="66">
        <f>AVERAGE($CB2143,$CC2143,$CM2143,$CE2143,$CP2143)</f>
        <v/>
      </c>
      <c r="DY2143" s="64">
        <f>($DW2143-$DW2144)*100</f>
        <v/>
      </c>
      <c r="DZ2143" s="64">
        <f>($DX2143-$DX2144)*100</f>
        <v/>
      </c>
      <c r="EA2143" s="64">
        <f>($DW2143-$D2143)*100</f>
        <v/>
      </c>
      <c r="EB2143" s="64">
        <f>$Q2143-$O2143</f>
        <v/>
      </c>
      <c r="EC2143" s="67">
        <f>IFERROR($Q2143/$P2143,"")</f>
        <v/>
      </c>
    </row>
    <row r="2144">
      <c r="DG2144" s="64">
        <f>($B2144-$B2145)*100</f>
        <v/>
      </c>
      <c r="DH2144" s="64">
        <f>($D2144-$D2145)*100</f>
        <v/>
      </c>
      <c r="DI2144" s="64">
        <f>($E2144-$E2145)*100</f>
        <v/>
      </c>
      <c r="DJ2144" s="64">
        <f>($H2144-$H2145)*100</f>
        <v/>
      </c>
      <c r="DK2144" s="65">
        <f>IFERROR($J2144/$J2145-1,"")</f>
        <v/>
      </c>
      <c r="DL2144" s="64">
        <f>$L2144-$L2145</f>
        <v/>
      </c>
      <c r="DM2144" s="64">
        <f>$K2144-$K2145</f>
        <v/>
      </c>
      <c r="DN2144" s="65">
        <f>IFERROR($N2144/$N2145-1,"")</f>
        <v/>
      </c>
      <c r="DO2144" s="65">
        <f>IFERROR($M2144/$M2145-1,"")</f>
        <v/>
      </c>
      <c r="DP2144" s="65">
        <f>IFERROR($AZ2144/$AZ2145-1,"")</f>
        <v/>
      </c>
      <c r="DQ2144" s="65">
        <f>IFERROR($BA2144/$BA2145-1,"")</f>
        <v/>
      </c>
      <c r="DR2144" s="64">
        <f>$O2144-$O2145</f>
        <v/>
      </c>
      <c r="DS2144" s="64">
        <f>$P2144-$P2145</f>
        <v/>
      </c>
      <c r="DT2144" s="64">
        <f>$Q2144-$Q2145</f>
        <v/>
      </c>
      <c r="DU2144" s="64">
        <f>$S2144-$S2145</f>
        <v/>
      </c>
      <c r="DV2144" s="65">
        <f>IFERROR(AVERAGE($AA2145/$AA2144-1,$AB2145/$AB2144-1,$AC2145/$AC2144-1,$AD2145/$AD2144-1,$AE2145/$AE2144-1,$AG2145/$AG2144-1,$AH2145/$AH2144-1,$AI2145/$AI2144-1,$AJ2145/$AJ2144-1,$AL2145/$AL2144-1,$AM2145/$AM2144-1,$AR2145/$AR2144-1,$AS2145/$AS2144-1,$AT2145/$AT2144-1,$AU2145/$AU2144-1,$AV2145/$AV2144-1,$AW2145/$AW2144-1,$AX2145/$AX2144-1,$AY2145/$AY2144-1),"")</f>
        <v/>
      </c>
      <c r="DW2144" s="66">
        <f>AVERAGE($CB2144,$CC2144,$CD2144,$CE2144,$CF2144,$CG2144,$CH2144,$CI2144,$CJ2144,$CL2144,$CM2144,$CN2144,$CO2144,$CP2144,$CQ2144,$CR2144,$CS2144,$CT2144)</f>
        <v/>
      </c>
      <c r="DX2144" s="66">
        <f>AVERAGE($CB2144,$CC2144,$CM2144,$CE2144,$CP2144)</f>
        <v/>
      </c>
      <c r="DY2144" s="64">
        <f>($DW2144-$DW2145)*100</f>
        <v/>
      </c>
      <c r="DZ2144" s="64">
        <f>($DX2144-$DX2145)*100</f>
        <v/>
      </c>
      <c r="EA2144" s="64">
        <f>($DW2144-$D2144)*100</f>
        <v/>
      </c>
      <c r="EB2144" s="64">
        <f>$Q2144-$O2144</f>
        <v/>
      </c>
      <c r="EC2144" s="67">
        <f>IFERROR($Q2144/$P2144,"")</f>
        <v/>
      </c>
    </row>
    <row r="2145">
      <c r="DG2145" s="64">
        <f>($B2145-$B2146)*100</f>
        <v/>
      </c>
      <c r="DH2145" s="64">
        <f>($D2145-$D2146)*100</f>
        <v/>
      </c>
      <c r="DI2145" s="64">
        <f>($E2145-$E2146)*100</f>
        <v/>
      </c>
      <c r="DJ2145" s="64">
        <f>($H2145-$H2146)*100</f>
        <v/>
      </c>
      <c r="DK2145" s="65">
        <f>IFERROR($J2145/$J2146-1,"")</f>
        <v/>
      </c>
      <c r="DL2145" s="64">
        <f>$L2145-$L2146</f>
        <v/>
      </c>
      <c r="DM2145" s="64">
        <f>$K2145-$K2146</f>
        <v/>
      </c>
      <c r="DN2145" s="65">
        <f>IFERROR($N2145/$N2146-1,"")</f>
        <v/>
      </c>
      <c r="DO2145" s="65">
        <f>IFERROR($M2145/$M2146-1,"")</f>
        <v/>
      </c>
      <c r="DP2145" s="65">
        <f>IFERROR($AZ2145/$AZ2146-1,"")</f>
        <v/>
      </c>
      <c r="DQ2145" s="65">
        <f>IFERROR($BA2145/$BA2146-1,"")</f>
        <v/>
      </c>
      <c r="DR2145" s="64">
        <f>$O2145-$O2146</f>
        <v/>
      </c>
      <c r="DS2145" s="64">
        <f>$P2145-$P2146</f>
        <v/>
      </c>
      <c r="DT2145" s="64">
        <f>$Q2145-$Q2146</f>
        <v/>
      </c>
      <c r="DU2145" s="64">
        <f>$S2145-$S2146</f>
        <v/>
      </c>
      <c r="DV2145" s="65">
        <f>IFERROR(AVERAGE($AA2146/$AA2145-1,$AB2146/$AB2145-1,$AC2146/$AC2145-1,$AD2146/$AD2145-1,$AE2146/$AE2145-1,$AG2146/$AG2145-1,$AH2146/$AH2145-1,$AI2146/$AI2145-1,$AJ2146/$AJ2145-1,$AL2146/$AL2145-1,$AM2146/$AM2145-1,$AR2146/$AR2145-1,$AS2146/$AS2145-1,$AT2146/$AT2145-1,$AU2146/$AU2145-1,$AV2146/$AV2145-1,$AW2146/$AW2145-1,$AX2146/$AX2145-1,$AY2146/$AY2145-1),"")</f>
        <v/>
      </c>
      <c r="DW2145" s="66">
        <f>AVERAGE($CB2145,$CC2145,$CD2145,$CE2145,$CF2145,$CG2145,$CH2145,$CI2145,$CJ2145,$CL2145,$CM2145,$CN2145,$CO2145,$CP2145,$CQ2145,$CR2145,$CS2145,$CT2145)</f>
        <v/>
      </c>
      <c r="DX2145" s="66">
        <f>AVERAGE($CB2145,$CC2145,$CM2145,$CE2145,$CP2145)</f>
        <v/>
      </c>
      <c r="DY2145" s="64">
        <f>($DW2145-$DW2146)*100</f>
        <v/>
      </c>
      <c r="DZ2145" s="64">
        <f>($DX2145-$DX2146)*100</f>
        <v/>
      </c>
      <c r="EA2145" s="64">
        <f>($DW2145-$D2145)*100</f>
        <v/>
      </c>
      <c r="EB2145" s="64">
        <f>$Q2145-$O2145</f>
        <v/>
      </c>
      <c r="EC2145" s="67">
        <f>IFERROR($Q2145/$P2145,"")</f>
        <v/>
      </c>
    </row>
    <row r="2146">
      <c r="DG2146" s="64">
        <f>($B2146-$B2147)*100</f>
        <v/>
      </c>
      <c r="DH2146" s="64">
        <f>($D2146-$D2147)*100</f>
        <v/>
      </c>
      <c r="DI2146" s="64">
        <f>($E2146-$E2147)*100</f>
        <v/>
      </c>
      <c r="DJ2146" s="64">
        <f>($H2146-$H2147)*100</f>
        <v/>
      </c>
      <c r="DK2146" s="65">
        <f>IFERROR($J2146/$J2147-1,"")</f>
        <v/>
      </c>
      <c r="DL2146" s="64">
        <f>$L2146-$L2147</f>
        <v/>
      </c>
      <c r="DM2146" s="64">
        <f>$K2146-$K2147</f>
        <v/>
      </c>
      <c r="DN2146" s="65">
        <f>IFERROR($N2146/$N2147-1,"")</f>
        <v/>
      </c>
      <c r="DO2146" s="65">
        <f>IFERROR($M2146/$M2147-1,"")</f>
        <v/>
      </c>
      <c r="DP2146" s="65">
        <f>IFERROR($AZ2146/$AZ2147-1,"")</f>
        <v/>
      </c>
      <c r="DQ2146" s="65">
        <f>IFERROR($BA2146/$BA2147-1,"")</f>
        <v/>
      </c>
      <c r="DR2146" s="64">
        <f>$O2146-$O2147</f>
        <v/>
      </c>
      <c r="DS2146" s="64">
        <f>$P2146-$P2147</f>
        <v/>
      </c>
      <c r="DT2146" s="64">
        <f>$Q2146-$Q2147</f>
        <v/>
      </c>
      <c r="DU2146" s="64">
        <f>$S2146-$S2147</f>
        <v/>
      </c>
      <c r="DV2146" s="65">
        <f>IFERROR(AVERAGE($AA2147/$AA2146-1,$AB2147/$AB2146-1,$AC2147/$AC2146-1,$AD2147/$AD2146-1,$AE2147/$AE2146-1,$AG2147/$AG2146-1,$AH2147/$AH2146-1,$AI2147/$AI2146-1,$AJ2147/$AJ2146-1,$AL2147/$AL2146-1,$AM2147/$AM2146-1,$AR2147/$AR2146-1,$AS2147/$AS2146-1,$AT2147/$AT2146-1,$AU2147/$AU2146-1,$AV2147/$AV2146-1,$AW2147/$AW2146-1,$AX2147/$AX2146-1,$AY2147/$AY2146-1),"")</f>
        <v/>
      </c>
      <c r="DW2146" s="66">
        <f>AVERAGE($CB2146,$CC2146,$CD2146,$CE2146,$CF2146,$CG2146,$CH2146,$CI2146,$CJ2146,$CL2146,$CM2146,$CN2146,$CO2146,$CP2146,$CQ2146,$CR2146,$CS2146,$CT2146)</f>
        <v/>
      </c>
      <c r="DX2146" s="66">
        <f>AVERAGE($CB2146,$CC2146,$CM2146,$CE2146,$CP2146)</f>
        <v/>
      </c>
      <c r="DY2146" s="64">
        <f>($DW2146-$DW2147)*100</f>
        <v/>
      </c>
      <c r="DZ2146" s="64">
        <f>($DX2146-$DX2147)*100</f>
        <v/>
      </c>
      <c r="EA2146" s="64">
        <f>($DW2146-$D2146)*100</f>
        <v/>
      </c>
      <c r="EB2146" s="64">
        <f>$Q2146-$O2146</f>
        <v/>
      </c>
      <c r="EC2146" s="67">
        <f>IFERROR($Q2146/$P2146,"")</f>
        <v/>
      </c>
    </row>
    <row r="2147">
      <c r="DG2147" s="64">
        <f>($B2147-$B2148)*100</f>
        <v/>
      </c>
      <c r="DH2147" s="64">
        <f>($D2147-$D2148)*100</f>
        <v/>
      </c>
      <c r="DI2147" s="64">
        <f>($E2147-$E2148)*100</f>
        <v/>
      </c>
      <c r="DJ2147" s="64">
        <f>($H2147-$H2148)*100</f>
        <v/>
      </c>
      <c r="DK2147" s="65">
        <f>IFERROR($J2147/$J2148-1,"")</f>
        <v/>
      </c>
      <c r="DL2147" s="64">
        <f>$L2147-$L2148</f>
        <v/>
      </c>
      <c r="DM2147" s="64">
        <f>$K2147-$K2148</f>
        <v/>
      </c>
      <c r="DN2147" s="65">
        <f>IFERROR($N2147/$N2148-1,"")</f>
        <v/>
      </c>
      <c r="DO2147" s="65">
        <f>IFERROR($M2147/$M2148-1,"")</f>
        <v/>
      </c>
      <c r="DP2147" s="65">
        <f>IFERROR($AZ2147/$AZ2148-1,"")</f>
        <v/>
      </c>
      <c r="DQ2147" s="65">
        <f>IFERROR($BA2147/$BA2148-1,"")</f>
        <v/>
      </c>
      <c r="DR2147" s="64">
        <f>$O2147-$O2148</f>
        <v/>
      </c>
      <c r="DS2147" s="64">
        <f>$P2147-$P2148</f>
        <v/>
      </c>
      <c r="DT2147" s="64">
        <f>$Q2147-$Q2148</f>
        <v/>
      </c>
      <c r="DU2147" s="64">
        <f>$S2147-$S2148</f>
        <v/>
      </c>
      <c r="DV2147" s="65">
        <f>IFERROR(AVERAGE($AA2148/$AA2147-1,$AB2148/$AB2147-1,$AC2148/$AC2147-1,$AD2148/$AD2147-1,$AE2148/$AE2147-1,$AG2148/$AG2147-1,$AH2148/$AH2147-1,$AI2148/$AI2147-1,$AJ2148/$AJ2147-1,$AL2148/$AL2147-1,$AM2148/$AM2147-1,$AR2148/$AR2147-1,$AS2148/$AS2147-1,$AT2148/$AT2147-1,$AU2148/$AU2147-1,$AV2148/$AV2147-1,$AW2148/$AW2147-1,$AX2148/$AX2147-1,$AY2148/$AY2147-1),"")</f>
        <v/>
      </c>
      <c r="DW2147" s="66">
        <f>AVERAGE($CB2147,$CC2147,$CD2147,$CE2147,$CF2147,$CG2147,$CH2147,$CI2147,$CJ2147,$CL2147,$CM2147,$CN2147,$CO2147,$CP2147,$CQ2147,$CR2147,$CS2147,$CT2147)</f>
        <v/>
      </c>
      <c r="DX2147" s="66">
        <f>AVERAGE($CB2147,$CC2147,$CM2147,$CE2147,$CP2147)</f>
        <v/>
      </c>
      <c r="DY2147" s="64">
        <f>($DW2147-$DW2148)*100</f>
        <v/>
      </c>
      <c r="DZ2147" s="64">
        <f>($DX2147-$DX2148)*100</f>
        <v/>
      </c>
      <c r="EA2147" s="64">
        <f>($DW2147-$D2147)*100</f>
        <v/>
      </c>
      <c r="EB2147" s="64">
        <f>$Q2147-$O2147</f>
        <v/>
      </c>
      <c r="EC2147" s="67">
        <f>IFERROR($Q2147/$P2147,"")</f>
        <v/>
      </c>
    </row>
    <row r="2148">
      <c r="DG2148" s="64">
        <f>($B2148-$B2149)*100</f>
        <v/>
      </c>
      <c r="DH2148" s="64">
        <f>($D2148-$D2149)*100</f>
        <v/>
      </c>
      <c r="DI2148" s="64">
        <f>($E2148-$E2149)*100</f>
        <v/>
      </c>
      <c r="DJ2148" s="64">
        <f>($H2148-$H2149)*100</f>
        <v/>
      </c>
      <c r="DK2148" s="65">
        <f>IFERROR($J2148/$J2149-1,"")</f>
        <v/>
      </c>
      <c r="DL2148" s="64">
        <f>$L2148-$L2149</f>
        <v/>
      </c>
      <c r="DM2148" s="64">
        <f>$K2148-$K2149</f>
        <v/>
      </c>
      <c r="DN2148" s="65">
        <f>IFERROR($N2148/$N2149-1,"")</f>
        <v/>
      </c>
      <c r="DO2148" s="65">
        <f>IFERROR($M2148/$M2149-1,"")</f>
        <v/>
      </c>
      <c r="DP2148" s="65">
        <f>IFERROR($AZ2148/$AZ2149-1,"")</f>
        <v/>
      </c>
      <c r="DQ2148" s="65">
        <f>IFERROR($BA2148/$BA2149-1,"")</f>
        <v/>
      </c>
      <c r="DR2148" s="64">
        <f>$O2148-$O2149</f>
        <v/>
      </c>
      <c r="DS2148" s="64">
        <f>$P2148-$P2149</f>
        <v/>
      </c>
      <c r="DT2148" s="64">
        <f>$Q2148-$Q2149</f>
        <v/>
      </c>
      <c r="DU2148" s="64">
        <f>$S2148-$S2149</f>
        <v/>
      </c>
      <c r="DV2148" s="65">
        <f>IFERROR(AVERAGE($AA2149/$AA2148-1,$AB2149/$AB2148-1,$AC2149/$AC2148-1,$AD2149/$AD2148-1,$AE2149/$AE2148-1,$AG2149/$AG2148-1,$AH2149/$AH2148-1,$AI2149/$AI2148-1,$AJ2149/$AJ2148-1,$AL2149/$AL2148-1,$AM2149/$AM2148-1,$AR2149/$AR2148-1,$AS2149/$AS2148-1,$AT2149/$AT2148-1,$AU2149/$AU2148-1,$AV2149/$AV2148-1,$AW2149/$AW2148-1,$AX2149/$AX2148-1,$AY2149/$AY2148-1),"")</f>
        <v/>
      </c>
      <c r="DW2148" s="66">
        <f>AVERAGE($CB2148,$CC2148,$CD2148,$CE2148,$CF2148,$CG2148,$CH2148,$CI2148,$CJ2148,$CL2148,$CM2148,$CN2148,$CO2148,$CP2148,$CQ2148,$CR2148,$CS2148,$CT2148)</f>
        <v/>
      </c>
      <c r="DX2148" s="66">
        <f>AVERAGE($CB2148,$CC2148,$CM2148,$CE2148,$CP2148)</f>
        <v/>
      </c>
      <c r="DY2148" s="64">
        <f>($DW2148-$DW2149)*100</f>
        <v/>
      </c>
      <c r="DZ2148" s="64">
        <f>($DX2148-$DX2149)*100</f>
        <v/>
      </c>
      <c r="EA2148" s="64">
        <f>($DW2148-$D2148)*100</f>
        <v/>
      </c>
      <c r="EB2148" s="64">
        <f>$Q2148-$O2148</f>
        <v/>
      </c>
      <c r="EC2148" s="67">
        <f>IFERROR($Q2148/$P2148,"")</f>
        <v/>
      </c>
    </row>
    <row r="2149">
      <c r="DG2149" s="64">
        <f>($B2149-$B2150)*100</f>
        <v/>
      </c>
      <c r="DH2149" s="64">
        <f>($D2149-$D2150)*100</f>
        <v/>
      </c>
      <c r="DI2149" s="64">
        <f>($E2149-$E2150)*100</f>
        <v/>
      </c>
      <c r="DJ2149" s="64">
        <f>($H2149-$H2150)*100</f>
        <v/>
      </c>
      <c r="DK2149" s="65">
        <f>IFERROR($J2149/$J2150-1,"")</f>
        <v/>
      </c>
      <c r="DL2149" s="64">
        <f>$L2149-$L2150</f>
        <v/>
      </c>
      <c r="DM2149" s="64">
        <f>$K2149-$K2150</f>
        <v/>
      </c>
      <c r="DN2149" s="65">
        <f>IFERROR($N2149/$N2150-1,"")</f>
        <v/>
      </c>
      <c r="DO2149" s="65">
        <f>IFERROR($M2149/$M2150-1,"")</f>
        <v/>
      </c>
      <c r="DP2149" s="65">
        <f>IFERROR($AZ2149/$AZ2150-1,"")</f>
        <v/>
      </c>
      <c r="DQ2149" s="65">
        <f>IFERROR($BA2149/$BA2150-1,"")</f>
        <v/>
      </c>
      <c r="DR2149" s="64">
        <f>$O2149-$O2150</f>
        <v/>
      </c>
      <c r="DS2149" s="64">
        <f>$P2149-$P2150</f>
        <v/>
      </c>
      <c r="DT2149" s="64">
        <f>$Q2149-$Q2150</f>
        <v/>
      </c>
      <c r="DU2149" s="64">
        <f>$S2149-$S2150</f>
        <v/>
      </c>
      <c r="DV2149" s="65">
        <f>IFERROR(AVERAGE($AA2150/$AA2149-1,$AB2150/$AB2149-1,$AC2150/$AC2149-1,$AD2150/$AD2149-1,$AE2150/$AE2149-1,$AG2150/$AG2149-1,$AH2150/$AH2149-1,$AI2150/$AI2149-1,$AJ2150/$AJ2149-1,$AL2150/$AL2149-1,$AM2150/$AM2149-1,$AR2150/$AR2149-1,$AS2150/$AS2149-1,$AT2150/$AT2149-1,$AU2150/$AU2149-1,$AV2150/$AV2149-1,$AW2150/$AW2149-1,$AX2150/$AX2149-1,$AY2150/$AY2149-1),"")</f>
        <v/>
      </c>
      <c r="DW2149" s="66">
        <f>AVERAGE($CB2149,$CC2149,$CD2149,$CE2149,$CF2149,$CG2149,$CH2149,$CI2149,$CJ2149,$CL2149,$CM2149,$CN2149,$CO2149,$CP2149,$CQ2149,$CR2149,$CS2149,$CT2149)</f>
        <v/>
      </c>
      <c r="DX2149" s="66">
        <f>AVERAGE($CB2149,$CC2149,$CM2149,$CE2149,$CP2149)</f>
        <v/>
      </c>
      <c r="DY2149" s="64">
        <f>($DW2149-$DW2150)*100</f>
        <v/>
      </c>
      <c r="DZ2149" s="64">
        <f>($DX2149-$DX2150)*100</f>
        <v/>
      </c>
      <c r="EA2149" s="64">
        <f>($DW2149-$D2149)*100</f>
        <v/>
      </c>
      <c r="EB2149" s="64">
        <f>$Q2149-$O2149</f>
        <v/>
      </c>
      <c r="EC2149" s="67">
        <f>IFERROR($Q2149/$P2149,"")</f>
        <v/>
      </c>
    </row>
    <row r="2150">
      <c r="DG2150" s="64">
        <f>($B2150-$B2151)*100</f>
        <v/>
      </c>
      <c r="DH2150" s="64">
        <f>($D2150-$D2151)*100</f>
        <v/>
      </c>
      <c r="DI2150" s="64">
        <f>($E2150-$E2151)*100</f>
        <v/>
      </c>
      <c r="DJ2150" s="64">
        <f>($H2150-$H2151)*100</f>
        <v/>
      </c>
      <c r="DK2150" s="65">
        <f>IFERROR($J2150/$J2151-1,"")</f>
        <v/>
      </c>
      <c r="DL2150" s="64">
        <f>$L2150-$L2151</f>
        <v/>
      </c>
      <c r="DM2150" s="64">
        <f>$K2150-$K2151</f>
        <v/>
      </c>
      <c r="DN2150" s="65">
        <f>IFERROR($N2150/$N2151-1,"")</f>
        <v/>
      </c>
      <c r="DO2150" s="65">
        <f>IFERROR($M2150/$M2151-1,"")</f>
        <v/>
      </c>
      <c r="DP2150" s="65">
        <f>IFERROR($AZ2150/$AZ2151-1,"")</f>
        <v/>
      </c>
      <c r="DQ2150" s="65">
        <f>IFERROR($BA2150/$BA2151-1,"")</f>
        <v/>
      </c>
      <c r="DR2150" s="64">
        <f>$O2150-$O2151</f>
        <v/>
      </c>
      <c r="DS2150" s="64">
        <f>$P2150-$P2151</f>
        <v/>
      </c>
      <c r="DT2150" s="64">
        <f>$Q2150-$Q2151</f>
        <v/>
      </c>
      <c r="DU2150" s="64">
        <f>$S2150-$S2151</f>
        <v/>
      </c>
      <c r="DV2150" s="65">
        <f>IFERROR(AVERAGE($AA2151/$AA2150-1,$AB2151/$AB2150-1,$AC2151/$AC2150-1,$AD2151/$AD2150-1,$AE2151/$AE2150-1,$AG2151/$AG2150-1,$AH2151/$AH2150-1,$AI2151/$AI2150-1,$AJ2151/$AJ2150-1,$AL2151/$AL2150-1,$AM2151/$AM2150-1,$AR2151/$AR2150-1,$AS2151/$AS2150-1,$AT2151/$AT2150-1,$AU2151/$AU2150-1,$AV2151/$AV2150-1,$AW2151/$AW2150-1,$AX2151/$AX2150-1,$AY2151/$AY2150-1),"")</f>
        <v/>
      </c>
      <c r="DW2150" s="66">
        <f>AVERAGE($CB2150,$CC2150,$CD2150,$CE2150,$CF2150,$CG2150,$CH2150,$CI2150,$CJ2150,$CL2150,$CM2150,$CN2150,$CO2150,$CP2150,$CQ2150,$CR2150,$CS2150,$CT2150)</f>
        <v/>
      </c>
      <c r="DX2150" s="66">
        <f>AVERAGE($CB2150,$CC2150,$CM2150,$CE2150,$CP2150)</f>
        <v/>
      </c>
      <c r="DY2150" s="64">
        <f>($DW2150-$DW2151)*100</f>
        <v/>
      </c>
      <c r="DZ2150" s="64">
        <f>($DX2150-$DX2151)*100</f>
        <v/>
      </c>
      <c r="EA2150" s="64">
        <f>($DW2150-$D2150)*100</f>
        <v/>
      </c>
      <c r="EB2150" s="64">
        <f>$Q2150-$O2150</f>
        <v/>
      </c>
      <c r="EC2150" s="67">
        <f>IFERROR($Q2150/$P2150,"")</f>
        <v/>
      </c>
    </row>
    <row r="2151">
      <c r="DG2151" s="64">
        <f>($B2151-$B2152)*100</f>
        <v/>
      </c>
      <c r="DH2151" s="64">
        <f>($D2151-$D2152)*100</f>
        <v/>
      </c>
      <c r="DI2151" s="64">
        <f>($E2151-$E2152)*100</f>
        <v/>
      </c>
      <c r="DJ2151" s="64">
        <f>($H2151-$H2152)*100</f>
        <v/>
      </c>
      <c r="DK2151" s="65">
        <f>IFERROR($J2151/$J2152-1,"")</f>
        <v/>
      </c>
      <c r="DL2151" s="64">
        <f>$L2151-$L2152</f>
        <v/>
      </c>
      <c r="DM2151" s="64">
        <f>$K2151-$K2152</f>
        <v/>
      </c>
      <c r="DN2151" s="65">
        <f>IFERROR($N2151/$N2152-1,"")</f>
        <v/>
      </c>
      <c r="DO2151" s="65">
        <f>IFERROR($M2151/$M2152-1,"")</f>
        <v/>
      </c>
      <c r="DP2151" s="65">
        <f>IFERROR($AZ2151/$AZ2152-1,"")</f>
        <v/>
      </c>
      <c r="DQ2151" s="65">
        <f>IFERROR($BA2151/$BA2152-1,"")</f>
        <v/>
      </c>
      <c r="DR2151" s="64">
        <f>$O2151-$O2152</f>
        <v/>
      </c>
      <c r="DS2151" s="64">
        <f>$P2151-$P2152</f>
        <v/>
      </c>
      <c r="DT2151" s="64">
        <f>$Q2151-$Q2152</f>
        <v/>
      </c>
      <c r="DU2151" s="64">
        <f>$S2151-$S2152</f>
        <v/>
      </c>
      <c r="DV2151" s="65">
        <f>IFERROR(AVERAGE($AA2152/$AA2151-1,$AB2152/$AB2151-1,$AC2152/$AC2151-1,$AD2152/$AD2151-1,$AE2152/$AE2151-1,$AG2152/$AG2151-1,$AH2152/$AH2151-1,$AI2152/$AI2151-1,$AJ2152/$AJ2151-1,$AL2152/$AL2151-1,$AM2152/$AM2151-1,$AR2152/$AR2151-1,$AS2152/$AS2151-1,$AT2152/$AT2151-1,$AU2152/$AU2151-1,$AV2152/$AV2151-1,$AW2152/$AW2151-1,$AX2152/$AX2151-1,$AY2152/$AY2151-1),"")</f>
        <v/>
      </c>
      <c r="DW2151" s="66">
        <f>AVERAGE($CB2151,$CC2151,$CD2151,$CE2151,$CF2151,$CG2151,$CH2151,$CI2151,$CJ2151,$CL2151,$CM2151,$CN2151,$CO2151,$CP2151,$CQ2151,$CR2151,$CS2151,$CT2151)</f>
        <v/>
      </c>
      <c r="DX2151" s="66">
        <f>AVERAGE($CB2151,$CC2151,$CM2151,$CE2151,$CP2151)</f>
        <v/>
      </c>
      <c r="DY2151" s="64">
        <f>($DW2151-$DW2152)*100</f>
        <v/>
      </c>
      <c r="DZ2151" s="64">
        <f>($DX2151-$DX2152)*100</f>
        <v/>
      </c>
      <c r="EA2151" s="64">
        <f>($DW2151-$D2151)*100</f>
        <v/>
      </c>
      <c r="EB2151" s="64">
        <f>$Q2151-$O2151</f>
        <v/>
      </c>
      <c r="EC2151" s="67">
        <f>IFERROR($Q2151/$P2151,"")</f>
        <v/>
      </c>
    </row>
    <row r="2152">
      <c r="DG2152" s="64">
        <f>($B2152-$B2153)*100</f>
        <v/>
      </c>
      <c r="DH2152" s="64">
        <f>($D2152-$D2153)*100</f>
        <v/>
      </c>
      <c r="DI2152" s="64">
        <f>($E2152-$E2153)*100</f>
        <v/>
      </c>
      <c r="DJ2152" s="64">
        <f>($H2152-$H2153)*100</f>
        <v/>
      </c>
      <c r="DK2152" s="65">
        <f>IFERROR($J2152/$J2153-1,"")</f>
        <v/>
      </c>
      <c r="DL2152" s="64">
        <f>$L2152-$L2153</f>
        <v/>
      </c>
      <c r="DM2152" s="64">
        <f>$K2152-$K2153</f>
        <v/>
      </c>
      <c r="DN2152" s="65">
        <f>IFERROR($N2152/$N2153-1,"")</f>
        <v/>
      </c>
      <c r="DO2152" s="65">
        <f>IFERROR($M2152/$M2153-1,"")</f>
        <v/>
      </c>
      <c r="DP2152" s="65">
        <f>IFERROR($AZ2152/$AZ2153-1,"")</f>
        <v/>
      </c>
      <c r="DQ2152" s="65">
        <f>IFERROR($BA2152/$BA2153-1,"")</f>
        <v/>
      </c>
      <c r="DR2152" s="64">
        <f>$O2152-$O2153</f>
        <v/>
      </c>
      <c r="DS2152" s="64">
        <f>$P2152-$P2153</f>
        <v/>
      </c>
      <c r="DT2152" s="64">
        <f>$Q2152-$Q2153</f>
        <v/>
      </c>
      <c r="DU2152" s="64">
        <f>$S2152-$S2153</f>
        <v/>
      </c>
      <c r="DV2152" s="65">
        <f>IFERROR(AVERAGE($AA2153/$AA2152-1,$AB2153/$AB2152-1,$AC2153/$AC2152-1,$AD2153/$AD2152-1,$AE2153/$AE2152-1,$AG2153/$AG2152-1,$AH2153/$AH2152-1,$AI2153/$AI2152-1,$AJ2153/$AJ2152-1,$AL2153/$AL2152-1,$AM2153/$AM2152-1,$AR2153/$AR2152-1,$AS2153/$AS2152-1,$AT2153/$AT2152-1,$AU2153/$AU2152-1,$AV2153/$AV2152-1,$AW2153/$AW2152-1,$AX2153/$AX2152-1,$AY2153/$AY2152-1),"")</f>
        <v/>
      </c>
      <c r="DW2152" s="66">
        <f>AVERAGE($CB2152,$CC2152,$CD2152,$CE2152,$CF2152,$CG2152,$CH2152,$CI2152,$CJ2152,$CL2152,$CM2152,$CN2152,$CO2152,$CP2152,$CQ2152,$CR2152,$CS2152,$CT2152)</f>
        <v/>
      </c>
      <c r="DX2152" s="66">
        <f>AVERAGE($CB2152,$CC2152,$CM2152,$CE2152,$CP2152)</f>
        <v/>
      </c>
      <c r="DY2152" s="64">
        <f>($DW2152-$DW2153)*100</f>
        <v/>
      </c>
      <c r="DZ2152" s="64">
        <f>($DX2152-$DX2153)*100</f>
        <v/>
      </c>
      <c r="EA2152" s="64">
        <f>($DW2152-$D2152)*100</f>
        <v/>
      </c>
      <c r="EB2152" s="64">
        <f>$Q2152-$O2152</f>
        <v/>
      </c>
      <c r="EC2152" s="67">
        <f>IFERROR($Q2152/$P2152,"")</f>
        <v/>
      </c>
    </row>
    <row r="2153">
      <c r="DG2153" s="64">
        <f>($B2153-$B2154)*100</f>
        <v/>
      </c>
      <c r="DH2153" s="64">
        <f>($D2153-$D2154)*100</f>
        <v/>
      </c>
      <c r="DI2153" s="64">
        <f>($E2153-$E2154)*100</f>
        <v/>
      </c>
      <c r="DJ2153" s="64">
        <f>($H2153-$H2154)*100</f>
        <v/>
      </c>
      <c r="DK2153" s="65">
        <f>IFERROR($J2153/$J2154-1,"")</f>
        <v/>
      </c>
      <c r="DL2153" s="64">
        <f>$L2153-$L2154</f>
        <v/>
      </c>
      <c r="DM2153" s="64">
        <f>$K2153-$K2154</f>
        <v/>
      </c>
      <c r="DN2153" s="65">
        <f>IFERROR($N2153/$N2154-1,"")</f>
        <v/>
      </c>
      <c r="DO2153" s="65">
        <f>IFERROR($M2153/$M2154-1,"")</f>
        <v/>
      </c>
      <c r="DP2153" s="65">
        <f>IFERROR($AZ2153/$AZ2154-1,"")</f>
        <v/>
      </c>
      <c r="DQ2153" s="65">
        <f>IFERROR($BA2153/$BA2154-1,"")</f>
        <v/>
      </c>
      <c r="DR2153" s="64">
        <f>$O2153-$O2154</f>
        <v/>
      </c>
      <c r="DS2153" s="64">
        <f>$P2153-$P2154</f>
        <v/>
      </c>
      <c r="DT2153" s="64">
        <f>$Q2153-$Q2154</f>
        <v/>
      </c>
      <c r="DU2153" s="64">
        <f>$S2153-$S2154</f>
        <v/>
      </c>
      <c r="DV2153" s="65">
        <f>IFERROR(AVERAGE($AA2154/$AA2153-1,$AB2154/$AB2153-1,$AC2154/$AC2153-1,$AD2154/$AD2153-1,$AE2154/$AE2153-1,$AG2154/$AG2153-1,$AH2154/$AH2153-1,$AI2154/$AI2153-1,$AJ2154/$AJ2153-1,$AL2154/$AL2153-1,$AM2154/$AM2153-1,$AR2154/$AR2153-1,$AS2154/$AS2153-1,$AT2154/$AT2153-1,$AU2154/$AU2153-1,$AV2154/$AV2153-1,$AW2154/$AW2153-1,$AX2154/$AX2153-1,$AY2154/$AY2153-1),"")</f>
        <v/>
      </c>
      <c r="DW2153" s="66">
        <f>AVERAGE($CB2153,$CC2153,$CD2153,$CE2153,$CF2153,$CG2153,$CH2153,$CI2153,$CJ2153,$CL2153,$CM2153,$CN2153,$CO2153,$CP2153,$CQ2153,$CR2153,$CS2153,$CT2153)</f>
        <v/>
      </c>
      <c r="DX2153" s="66">
        <f>AVERAGE($CB2153,$CC2153,$CM2153,$CE2153,$CP2153)</f>
        <v/>
      </c>
      <c r="DY2153" s="64">
        <f>($DW2153-$DW2154)*100</f>
        <v/>
      </c>
      <c r="DZ2153" s="64">
        <f>($DX2153-$DX2154)*100</f>
        <v/>
      </c>
      <c r="EA2153" s="64">
        <f>($DW2153-$D2153)*100</f>
        <v/>
      </c>
      <c r="EB2153" s="64">
        <f>$Q2153-$O2153</f>
        <v/>
      </c>
      <c r="EC2153" s="67">
        <f>IFERROR($Q2153/$P2153,"")</f>
        <v/>
      </c>
    </row>
    <row r="2154">
      <c r="DG2154" s="64">
        <f>($B2154-$B2155)*100</f>
        <v/>
      </c>
      <c r="DH2154" s="64">
        <f>($D2154-$D2155)*100</f>
        <v/>
      </c>
      <c r="DI2154" s="64">
        <f>($E2154-$E2155)*100</f>
        <v/>
      </c>
      <c r="DJ2154" s="64">
        <f>($H2154-$H2155)*100</f>
        <v/>
      </c>
      <c r="DK2154" s="65">
        <f>IFERROR($J2154/$J2155-1,"")</f>
        <v/>
      </c>
      <c r="DL2154" s="64">
        <f>$L2154-$L2155</f>
        <v/>
      </c>
      <c r="DM2154" s="64">
        <f>$K2154-$K2155</f>
        <v/>
      </c>
      <c r="DN2154" s="65">
        <f>IFERROR($N2154/$N2155-1,"")</f>
        <v/>
      </c>
      <c r="DO2154" s="65">
        <f>IFERROR($M2154/$M2155-1,"")</f>
        <v/>
      </c>
      <c r="DP2154" s="65">
        <f>IFERROR($AZ2154/$AZ2155-1,"")</f>
        <v/>
      </c>
      <c r="DQ2154" s="65">
        <f>IFERROR($BA2154/$BA2155-1,"")</f>
        <v/>
      </c>
      <c r="DR2154" s="64">
        <f>$O2154-$O2155</f>
        <v/>
      </c>
      <c r="DS2154" s="64">
        <f>$P2154-$P2155</f>
        <v/>
      </c>
      <c r="DT2154" s="64">
        <f>$Q2154-$Q2155</f>
        <v/>
      </c>
      <c r="DU2154" s="64">
        <f>$S2154-$S2155</f>
        <v/>
      </c>
      <c r="DV2154" s="65">
        <f>IFERROR(AVERAGE($AA2155/$AA2154-1,$AB2155/$AB2154-1,$AC2155/$AC2154-1,$AD2155/$AD2154-1,$AE2155/$AE2154-1,$AG2155/$AG2154-1,$AH2155/$AH2154-1,$AI2155/$AI2154-1,$AJ2155/$AJ2154-1,$AL2155/$AL2154-1,$AM2155/$AM2154-1,$AR2155/$AR2154-1,$AS2155/$AS2154-1,$AT2155/$AT2154-1,$AU2155/$AU2154-1,$AV2155/$AV2154-1,$AW2155/$AW2154-1,$AX2155/$AX2154-1,$AY2155/$AY2154-1),"")</f>
        <v/>
      </c>
      <c r="DW2154" s="66">
        <f>AVERAGE($CB2154,$CC2154,$CD2154,$CE2154,$CF2154,$CG2154,$CH2154,$CI2154,$CJ2154,$CL2154,$CM2154,$CN2154,$CO2154,$CP2154,$CQ2154,$CR2154,$CS2154,$CT2154)</f>
        <v/>
      </c>
      <c r="DX2154" s="66">
        <f>AVERAGE($CB2154,$CC2154,$CM2154,$CE2154,$CP2154)</f>
        <v/>
      </c>
      <c r="DY2154" s="64">
        <f>($DW2154-$DW2155)*100</f>
        <v/>
      </c>
      <c r="DZ2154" s="64">
        <f>($DX2154-$DX2155)*100</f>
        <v/>
      </c>
      <c r="EA2154" s="64">
        <f>($DW2154-$D2154)*100</f>
        <v/>
      </c>
      <c r="EB2154" s="64">
        <f>$Q2154-$O2154</f>
        <v/>
      </c>
      <c r="EC2154" s="67">
        <f>IFERROR($Q2154/$P2154,"")</f>
        <v/>
      </c>
    </row>
    <row r="2155">
      <c r="DG2155" s="64">
        <f>($B2155-$B2156)*100</f>
        <v/>
      </c>
      <c r="DH2155" s="64">
        <f>($D2155-$D2156)*100</f>
        <v/>
      </c>
      <c r="DI2155" s="64">
        <f>($E2155-$E2156)*100</f>
        <v/>
      </c>
      <c r="DJ2155" s="64">
        <f>($H2155-$H2156)*100</f>
        <v/>
      </c>
      <c r="DK2155" s="65">
        <f>IFERROR($J2155/$J2156-1,"")</f>
        <v/>
      </c>
      <c r="DL2155" s="64">
        <f>$L2155-$L2156</f>
        <v/>
      </c>
      <c r="DM2155" s="64">
        <f>$K2155-$K2156</f>
        <v/>
      </c>
      <c r="DN2155" s="65">
        <f>IFERROR($N2155/$N2156-1,"")</f>
        <v/>
      </c>
      <c r="DO2155" s="65">
        <f>IFERROR($M2155/$M2156-1,"")</f>
        <v/>
      </c>
      <c r="DP2155" s="65">
        <f>IFERROR($AZ2155/$AZ2156-1,"")</f>
        <v/>
      </c>
      <c r="DQ2155" s="65">
        <f>IFERROR($BA2155/$BA2156-1,"")</f>
        <v/>
      </c>
      <c r="DR2155" s="64">
        <f>$O2155-$O2156</f>
        <v/>
      </c>
      <c r="DS2155" s="64">
        <f>$P2155-$P2156</f>
        <v/>
      </c>
      <c r="DT2155" s="64">
        <f>$Q2155-$Q2156</f>
        <v/>
      </c>
      <c r="DU2155" s="64">
        <f>$S2155-$S2156</f>
        <v/>
      </c>
      <c r="DV2155" s="65">
        <f>IFERROR(AVERAGE($AA2156/$AA2155-1,$AB2156/$AB2155-1,$AC2156/$AC2155-1,$AD2156/$AD2155-1,$AE2156/$AE2155-1,$AG2156/$AG2155-1,$AH2156/$AH2155-1,$AI2156/$AI2155-1,$AJ2156/$AJ2155-1,$AL2156/$AL2155-1,$AM2156/$AM2155-1,$AR2156/$AR2155-1,$AS2156/$AS2155-1,$AT2156/$AT2155-1,$AU2156/$AU2155-1,$AV2156/$AV2155-1,$AW2156/$AW2155-1,$AX2156/$AX2155-1,$AY2156/$AY2155-1),"")</f>
        <v/>
      </c>
      <c r="DW2155" s="66">
        <f>AVERAGE($CB2155,$CC2155,$CD2155,$CE2155,$CF2155,$CG2155,$CH2155,$CI2155,$CJ2155,$CL2155,$CM2155,$CN2155,$CO2155,$CP2155,$CQ2155,$CR2155,$CS2155,$CT2155)</f>
        <v/>
      </c>
      <c r="DX2155" s="66">
        <f>AVERAGE($CB2155,$CC2155,$CM2155,$CE2155,$CP2155)</f>
        <v/>
      </c>
      <c r="DY2155" s="64">
        <f>($DW2155-$DW2156)*100</f>
        <v/>
      </c>
      <c r="DZ2155" s="64">
        <f>($DX2155-$DX2156)*100</f>
        <v/>
      </c>
      <c r="EA2155" s="64">
        <f>($DW2155-$D2155)*100</f>
        <v/>
      </c>
      <c r="EB2155" s="64">
        <f>$Q2155-$O2155</f>
        <v/>
      </c>
      <c r="EC2155" s="67">
        <f>IFERROR($Q2155/$P2155,"")</f>
        <v/>
      </c>
    </row>
    <row r="2156">
      <c r="DG2156" s="64">
        <f>($B2156-$B2157)*100</f>
        <v/>
      </c>
      <c r="DH2156" s="64">
        <f>($D2156-$D2157)*100</f>
        <v/>
      </c>
      <c r="DI2156" s="64">
        <f>($E2156-$E2157)*100</f>
        <v/>
      </c>
      <c r="DJ2156" s="64">
        <f>($H2156-$H2157)*100</f>
        <v/>
      </c>
      <c r="DK2156" s="65">
        <f>IFERROR($J2156/$J2157-1,"")</f>
        <v/>
      </c>
      <c r="DL2156" s="64">
        <f>$L2156-$L2157</f>
        <v/>
      </c>
      <c r="DM2156" s="64">
        <f>$K2156-$K2157</f>
        <v/>
      </c>
      <c r="DN2156" s="65">
        <f>IFERROR($N2156/$N2157-1,"")</f>
        <v/>
      </c>
      <c r="DO2156" s="65">
        <f>IFERROR($M2156/$M2157-1,"")</f>
        <v/>
      </c>
      <c r="DP2156" s="65">
        <f>IFERROR($AZ2156/$AZ2157-1,"")</f>
        <v/>
      </c>
      <c r="DQ2156" s="65">
        <f>IFERROR($BA2156/$BA2157-1,"")</f>
        <v/>
      </c>
      <c r="DR2156" s="64">
        <f>$O2156-$O2157</f>
        <v/>
      </c>
      <c r="DS2156" s="64">
        <f>$P2156-$P2157</f>
        <v/>
      </c>
      <c r="DT2156" s="64">
        <f>$Q2156-$Q2157</f>
        <v/>
      </c>
      <c r="DU2156" s="64">
        <f>$S2156-$S2157</f>
        <v/>
      </c>
      <c r="DV2156" s="65">
        <f>IFERROR(AVERAGE($AA2157/$AA2156-1,$AB2157/$AB2156-1,$AC2157/$AC2156-1,$AD2157/$AD2156-1,$AE2157/$AE2156-1,$AG2157/$AG2156-1,$AH2157/$AH2156-1,$AI2157/$AI2156-1,$AJ2157/$AJ2156-1,$AL2157/$AL2156-1,$AM2157/$AM2156-1,$AR2157/$AR2156-1,$AS2157/$AS2156-1,$AT2157/$AT2156-1,$AU2157/$AU2156-1,$AV2157/$AV2156-1,$AW2157/$AW2156-1,$AX2157/$AX2156-1,$AY2157/$AY2156-1),"")</f>
        <v/>
      </c>
      <c r="DW2156" s="66">
        <f>AVERAGE($CB2156,$CC2156,$CD2156,$CE2156,$CF2156,$CG2156,$CH2156,$CI2156,$CJ2156,$CL2156,$CM2156,$CN2156,$CO2156,$CP2156,$CQ2156,$CR2156,$CS2156,$CT2156)</f>
        <v/>
      </c>
      <c r="DX2156" s="66">
        <f>AVERAGE($CB2156,$CC2156,$CM2156,$CE2156,$CP2156)</f>
        <v/>
      </c>
      <c r="DY2156" s="64">
        <f>($DW2156-$DW2157)*100</f>
        <v/>
      </c>
      <c r="DZ2156" s="64">
        <f>($DX2156-$DX2157)*100</f>
        <v/>
      </c>
      <c r="EA2156" s="64">
        <f>($DW2156-$D2156)*100</f>
        <v/>
      </c>
      <c r="EB2156" s="64">
        <f>$Q2156-$O2156</f>
        <v/>
      </c>
      <c r="EC2156" s="67">
        <f>IFERROR($Q2156/$P2156,"")</f>
        <v/>
      </c>
    </row>
    <row r="2157">
      <c r="DG2157" s="64">
        <f>($B2157-$B2158)*100</f>
        <v/>
      </c>
      <c r="DH2157" s="64">
        <f>($D2157-$D2158)*100</f>
        <v/>
      </c>
      <c r="DI2157" s="64">
        <f>($E2157-$E2158)*100</f>
        <v/>
      </c>
      <c r="DJ2157" s="64">
        <f>($H2157-$H2158)*100</f>
        <v/>
      </c>
      <c r="DK2157" s="65">
        <f>IFERROR($J2157/$J2158-1,"")</f>
        <v/>
      </c>
      <c r="DL2157" s="64">
        <f>$L2157-$L2158</f>
        <v/>
      </c>
      <c r="DM2157" s="64">
        <f>$K2157-$K2158</f>
        <v/>
      </c>
      <c r="DN2157" s="65">
        <f>IFERROR($N2157/$N2158-1,"")</f>
        <v/>
      </c>
      <c r="DO2157" s="65">
        <f>IFERROR($M2157/$M2158-1,"")</f>
        <v/>
      </c>
      <c r="DP2157" s="65">
        <f>IFERROR($AZ2157/$AZ2158-1,"")</f>
        <v/>
      </c>
      <c r="DQ2157" s="65">
        <f>IFERROR($BA2157/$BA2158-1,"")</f>
        <v/>
      </c>
      <c r="DR2157" s="64">
        <f>$O2157-$O2158</f>
        <v/>
      </c>
      <c r="DS2157" s="64">
        <f>$P2157-$P2158</f>
        <v/>
      </c>
      <c r="DT2157" s="64">
        <f>$Q2157-$Q2158</f>
        <v/>
      </c>
      <c r="DU2157" s="64">
        <f>$S2157-$S2158</f>
        <v/>
      </c>
      <c r="DV2157" s="65">
        <f>IFERROR(AVERAGE($AA2158/$AA2157-1,$AB2158/$AB2157-1,$AC2158/$AC2157-1,$AD2158/$AD2157-1,$AE2158/$AE2157-1,$AG2158/$AG2157-1,$AH2158/$AH2157-1,$AI2158/$AI2157-1,$AJ2158/$AJ2157-1,$AL2158/$AL2157-1,$AM2158/$AM2157-1,$AR2158/$AR2157-1,$AS2158/$AS2157-1,$AT2158/$AT2157-1,$AU2158/$AU2157-1,$AV2158/$AV2157-1,$AW2158/$AW2157-1,$AX2158/$AX2157-1,$AY2158/$AY2157-1),"")</f>
        <v/>
      </c>
      <c r="DW2157" s="66">
        <f>AVERAGE($CB2157,$CC2157,$CD2157,$CE2157,$CF2157,$CG2157,$CH2157,$CI2157,$CJ2157,$CL2157,$CM2157,$CN2157,$CO2157,$CP2157,$CQ2157,$CR2157,$CS2157,$CT2157)</f>
        <v/>
      </c>
      <c r="DX2157" s="66">
        <f>AVERAGE($CB2157,$CC2157,$CM2157,$CE2157,$CP2157)</f>
        <v/>
      </c>
      <c r="DY2157" s="64">
        <f>($DW2157-$DW2158)*100</f>
        <v/>
      </c>
      <c r="DZ2157" s="64">
        <f>($DX2157-$DX2158)*100</f>
        <v/>
      </c>
      <c r="EA2157" s="64">
        <f>($DW2157-$D2157)*100</f>
        <v/>
      </c>
      <c r="EB2157" s="64">
        <f>$Q2157-$O2157</f>
        <v/>
      </c>
      <c r="EC2157" s="67">
        <f>IFERROR($Q2157/$P2157,"")</f>
        <v/>
      </c>
    </row>
    <row r="2158">
      <c r="DG2158" s="64">
        <f>($B2158-$B2159)*100</f>
        <v/>
      </c>
      <c r="DH2158" s="64">
        <f>($D2158-$D2159)*100</f>
        <v/>
      </c>
      <c r="DI2158" s="64">
        <f>($E2158-$E2159)*100</f>
        <v/>
      </c>
      <c r="DJ2158" s="64">
        <f>($H2158-$H2159)*100</f>
        <v/>
      </c>
      <c r="DK2158" s="65">
        <f>IFERROR($J2158/$J2159-1,"")</f>
        <v/>
      </c>
      <c r="DL2158" s="64">
        <f>$L2158-$L2159</f>
        <v/>
      </c>
      <c r="DM2158" s="64">
        <f>$K2158-$K2159</f>
        <v/>
      </c>
      <c r="DN2158" s="65">
        <f>IFERROR($N2158/$N2159-1,"")</f>
        <v/>
      </c>
      <c r="DO2158" s="65">
        <f>IFERROR($M2158/$M2159-1,"")</f>
        <v/>
      </c>
      <c r="DP2158" s="65">
        <f>IFERROR($AZ2158/$AZ2159-1,"")</f>
        <v/>
      </c>
      <c r="DQ2158" s="65">
        <f>IFERROR($BA2158/$BA2159-1,"")</f>
        <v/>
      </c>
      <c r="DR2158" s="64">
        <f>$O2158-$O2159</f>
        <v/>
      </c>
      <c r="DS2158" s="64">
        <f>$P2158-$P2159</f>
        <v/>
      </c>
      <c r="DT2158" s="64">
        <f>$Q2158-$Q2159</f>
        <v/>
      </c>
      <c r="DU2158" s="64">
        <f>$S2158-$S2159</f>
        <v/>
      </c>
      <c r="DV2158" s="65">
        <f>IFERROR(AVERAGE($AA2159/$AA2158-1,$AB2159/$AB2158-1,$AC2159/$AC2158-1,$AD2159/$AD2158-1,$AE2159/$AE2158-1,$AG2159/$AG2158-1,$AH2159/$AH2158-1,$AI2159/$AI2158-1,$AJ2159/$AJ2158-1,$AL2159/$AL2158-1,$AM2159/$AM2158-1,$AR2159/$AR2158-1,$AS2159/$AS2158-1,$AT2159/$AT2158-1,$AU2159/$AU2158-1,$AV2159/$AV2158-1,$AW2159/$AW2158-1,$AX2159/$AX2158-1,$AY2159/$AY2158-1),"")</f>
        <v/>
      </c>
      <c r="DW2158" s="66">
        <f>AVERAGE($CB2158,$CC2158,$CD2158,$CE2158,$CF2158,$CG2158,$CH2158,$CI2158,$CJ2158,$CL2158,$CM2158,$CN2158,$CO2158,$CP2158,$CQ2158,$CR2158,$CS2158,$CT2158)</f>
        <v/>
      </c>
      <c r="DX2158" s="66">
        <f>AVERAGE($CB2158,$CC2158,$CM2158,$CE2158,$CP2158)</f>
        <v/>
      </c>
      <c r="DY2158" s="64">
        <f>($DW2158-$DW2159)*100</f>
        <v/>
      </c>
      <c r="DZ2158" s="64">
        <f>($DX2158-$DX2159)*100</f>
        <v/>
      </c>
      <c r="EA2158" s="64">
        <f>($DW2158-$D2158)*100</f>
        <v/>
      </c>
      <c r="EB2158" s="64">
        <f>$Q2158-$O2158</f>
        <v/>
      </c>
      <c r="EC2158" s="67">
        <f>IFERROR($Q2158/$P2158,"")</f>
        <v/>
      </c>
    </row>
    <row r="2159">
      <c r="DG2159" s="64">
        <f>($B2159-$B2160)*100</f>
        <v/>
      </c>
      <c r="DH2159" s="64">
        <f>($D2159-$D2160)*100</f>
        <v/>
      </c>
      <c r="DI2159" s="64">
        <f>($E2159-$E2160)*100</f>
        <v/>
      </c>
      <c r="DJ2159" s="64">
        <f>($H2159-$H2160)*100</f>
        <v/>
      </c>
      <c r="DK2159" s="65">
        <f>IFERROR($J2159/$J2160-1,"")</f>
        <v/>
      </c>
      <c r="DL2159" s="64">
        <f>$L2159-$L2160</f>
        <v/>
      </c>
      <c r="DM2159" s="64">
        <f>$K2159-$K2160</f>
        <v/>
      </c>
      <c r="DN2159" s="65">
        <f>IFERROR($N2159/$N2160-1,"")</f>
        <v/>
      </c>
      <c r="DO2159" s="65">
        <f>IFERROR($M2159/$M2160-1,"")</f>
        <v/>
      </c>
      <c r="DP2159" s="65">
        <f>IFERROR($AZ2159/$AZ2160-1,"")</f>
        <v/>
      </c>
      <c r="DQ2159" s="65">
        <f>IFERROR($BA2159/$BA2160-1,"")</f>
        <v/>
      </c>
      <c r="DR2159" s="64">
        <f>$O2159-$O2160</f>
        <v/>
      </c>
      <c r="DS2159" s="64">
        <f>$P2159-$P2160</f>
        <v/>
      </c>
      <c r="DT2159" s="64">
        <f>$Q2159-$Q2160</f>
        <v/>
      </c>
      <c r="DU2159" s="64">
        <f>$S2159-$S2160</f>
        <v/>
      </c>
      <c r="DV2159" s="65">
        <f>IFERROR(AVERAGE($AA2160/$AA2159-1,$AB2160/$AB2159-1,$AC2160/$AC2159-1,$AD2160/$AD2159-1,$AE2160/$AE2159-1,$AG2160/$AG2159-1,$AH2160/$AH2159-1,$AI2160/$AI2159-1,$AJ2160/$AJ2159-1,$AL2160/$AL2159-1,$AM2160/$AM2159-1,$AR2160/$AR2159-1,$AS2160/$AS2159-1,$AT2160/$AT2159-1,$AU2160/$AU2159-1,$AV2160/$AV2159-1,$AW2160/$AW2159-1,$AX2160/$AX2159-1,$AY2160/$AY2159-1),"")</f>
        <v/>
      </c>
      <c r="DW2159" s="66">
        <f>AVERAGE($CB2159,$CC2159,$CD2159,$CE2159,$CF2159,$CG2159,$CH2159,$CI2159,$CJ2159,$CL2159,$CM2159,$CN2159,$CO2159,$CP2159,$CQ2159,$CR2159,$CS2159,$CT2159)</f>
        <v/>
      </c>
      <c r="DX2159" s="66">
        <f>AVERAGE($CB2159,$CC2159,$CM2159,$CE2159,$CP2159)</f>
        <v/>
      </c>
      <c r="DY2159" s="64">
        <f>($DW2159-$DW2160)*100</f>
        <v/>
      </c>
      <c r="DZ2159" s="64">
        <f>($DX2159-$DX2160)*100</f>
        <v/>
      </c>
      <c r="EA2159" s="64">
        <f>($DW2159-$D2159)*100</f>
        <v/>
      </c>
      <c r="EB2159" s="64">
        <f>$Q2159-$O2159</f>
        <v/>
      </c>
      <c r="EC2159" s="67">
        <f>IFERROR($Q2159/$P2159,"")</f>
        <v/>
      </c>
    </row>
    <row r="2160">
      <c r="DG2160" s="64">
        <f>($B2160-$B2161)*100</f>
        <v/>
      </c>
      <c r="DH2160" s="64">
        <f>($D2160-$D2161)*100</f>
        <v/>
      </c>
      <c r="DI2160" s="64">
        <f>($E2160-$E2161)*100</f>
        <v/>
      </c>
      <c r="DJ2160" s="64">
        <f>($H2160-$H2161)*100</f>
        <v/>
      </c>
      <c r="DK2160" s="65">
        <f>IFERROR($J2160/$J2161-1,"")</f>
        <v/>
      </c>
      <c r="DL2160" s="64">
        <f>$L2160-$L2161</f>
        <v/>
      </c>
      <c r="DM2160" s="64">
        <f>$K2160-$K2161</f>
        <v/>
      </c>
      <c r="DN2160" s="65">
        <f>IFERROR($N2160/$N2161-1,"")</f>
        <v/>
      </c>
      <c r="DO2160" s="65">
        <f>IFERROR($M2160/$M2161-1,"")</f>
        <v/>
      </c>
      <c r="DP2160" s="65">
        <f>IFERROR($AZ2160/$AZ2161-1,"")</f>
        <v/>
      </c>
      <c r="DQ2160" s="65">
        <f>IFERROR($BA2160/$BA2161-1,"")</f>
        <v/>
      </c>
      <c r="DR2160" s="64">
        <f>$O2160-$O2161</f>
        <v/>
      </c>
      <c r="DS2160" s="64">
        <f>$P2160-$P2161</f>
        <v/>
      </c>
      <c r="DT2160" s="64">
        <f>$Q2160-$Q2161</f>
        <v/>
      </c>
      <c r="DU2160" s="64">
        <f>$S2160-$S2161</f>
        <v/>
      </c>
      <c r="DV2160" s="65">
        <f>IFERROR(AVERAGE($AA2161/$AA2160-1,$AB2161/$AB2160-1,$AC2161/$AC2160-1,$AD2161/$AD2160-1,$AE2161/$AE2160-1,$AG2161/$AG2160-1,$AH2161/$AH2160-1,$AI2161/$AI2160-1,$AJ2161/$AJ2160-1,$AL2161/$AL2160-1,$AM2161/$AM2160-1,$AR2161/$AR2160-1,$AS2161/$AS2160-1,$AT2161/$AT2160-1,$AU2161/$AU2160-1,$AV2161/$AV2160-1,$AW2161/$AW2160-1,$AX2161/$AX2160-1,$AY2161/$AY2160-1),"")</f>
        <v/>
      </c>
      <c r="DW2160" s="66">
        <f>AVERAGE($CB2160,$CC2160,$CD2160,$CE2160,$CF2160,$CG2160,$CH2160,$CI2160,$CJ2160,$CL2160,$CM2160,$CN2160,$CO2160,$CP2160,$CQ2160,$CR2160,$CS2160,$CT2160)</f>
        <v/>
      </c>
      <c r="DX2160" s="66">
        <f>AVERAGE($CB2160,$CC2160,$CM2160,$CE2160,$CP2160)</f>
        <v/>
      </c>
      <c r="DY2160" s="64">
        <f>($DW2160-$DW2161)*100</f>
        <v/>
      </c>
      <c r="DZ2160" s="64">
        <f>($DX2160-$DX2161)*100</f>
        <v/>
      </c>
      <c r="EA2160" s="64">
        <f>($DW2160-$D2160)*100</f>
        <v/>
      </c>
      <c r="EB2160" s="64">
        <f>$Q2160-$O2160</f>
        <v/>
      </c>
      <c r="EC2160" s="67">
        <f>IFERROR($Q2160/$P2160,"")</f>
        <v/>
      </c>
    </row>
    <row r="2161">
      <c r="DG2161" s="64">
        <f>($B2161-$B2162)*100</f>
        <v/>
      </c>
      <c r="DH2161" s="64">
        <f>($D2161-$D2162)*100</f>
        <v/>
      </c>
      <c r="DI2161" s="64">
        <f>($E2161-$E2162)*100</f>
        <v/>
      </c>
      <c r="DJ2161" s="64">
        <f>($H2161-$H2162)*100</f>
        <v/>
      </c>
      <c r="DK2161" s="65">
        <f>IFERROR($J2161/$J2162-1,"")</f>
        <v/>
      </c>
      <c r="DL2161" s="64">
        <f>$L2161-$L2162</f>
        <v/>
      </c>
      <c r="DM2161" s="64">
        <f>$K2161-$K2162</f>
        <v/>
      </c>
      <c r="DN2161" s="65">
        <f>IFERROR($N2161/$N2162-1,"")</f>
        <v/>
      </c>
      <c r="DO2161" s="65">
        <f>IFERROR($M2161/$M2162-1,"")</f>
        <v/>
      </c>
      <c r="DP2161" s="65">
        <f>IFERROR($AZ2161/$AZ2162-1,"")</f>
        <v/>
      </c>
      <c r="DQ2161" s="65">
        <f>IFERROR($BA2161/$BA2162-1,"")</f>
        <v/>
      </c>
      <c r="DR2161" s="64">
        <f>$O2161-$O2162</f>
        <v/>
      </c>
      <c r="DS2161" s="64">
        <f>$P2161-$P2162</f>
        <v/>
      </c>
      <c r="DT2161" s="64">
        <f>$Q2161-$Q2162</f>
        <v/>
      </c>
      <c r="DU2161" s="64">
        <f>$S2161-$S2162</f>
        <v/>
      </c>
      <c r="DV2161" s="65">
        <f>IFERROR(AVERAGE($AA2162/$AA2161-1,$AB2162/$AB2161-1,$AC2162/$AC2161-1,$AD2162/$AD2161-1,$AE2162/$AE2161-1,$AG2162/$AG2161-1,$AH2162/$AH2161-1,$AI2162/$AI2161-1,$AJ2162/$AJ2161-1,$AL2162/$AL2161-1,$AM2162/$AM2161-1,$AR2162/$AR2161-1,$AS2162/$AS2161-1,$AT2162/$AT2161-1,$AU2162/$AU2161-1,$AV2162/$AV2161-1,$AW2162/$AW2161-1,$AX2162/$AX2161-1,$AY2162/$AY2161-1),"")</f>
        <v/>
      </c>
      <c r="DW2161" s="66">
        <f>AVERAGE($CB2161,$CC2161,$CD2161,$CE2161,$CF2161,$CG2161,$CH2161,$CI2161,$CJ2161,$CL2161,$CM2161,$CN2161,$CO2161,$CP2161,$CQ2161,$CR2161,$CS2161,$CT2161)</f>
        <v/>
      </c>
      <c r="DX2161" s="66">
        <f>AVERAGE($CB2161,$CC2161,$CM2161,$CE2161,$CP2161)</f>
        <v/>
      </c>
      <c r="DY2161" s="64">
        <f>($DW2161-$DW2162)*100</f>
        <v/>
      </c>
      <c r="DZ2161" s="64">
        <f>($DX2161-$DX2162)*100</f>
        <v/>
      </c>
      <c r="EA2161" s="64">
        <f>($DW2161-$D2161)*100</f>
        <v/>
      </c>
      <c r="EB2161" s="64">
        <f>$Q2161-$O2161</f>
        <v/>
      </c>
      <c r="EC2161" s="67">
        <f>IFERROR($Q2161/$P2161,"")</f>
        <v/>
      </c>
    </row>
    <row r="2162">
      <c r="DG2162" s="64">
        <f>($B2162-$B2163)*100</f>
        <v/>
      </c>
      <c r="DH2162" s="64">
        <f>($D2162-$D2163)*100</f>
        <v/>
      </c>
      <c r="DI2162" s="64">
        <f>($E2162-$E2163)*100</f>
        <v/>
      </c>
      <c r="DJ2162" s="64">
        <f>($H2162-$H2163)*100</f>
        <v/>
      </c>
      <c r="DK2162" s="65">
        <f>IFERROR($J2162/$J2163-1,"")</f>
        <v/>
      </c>
      <c r="DL2162" s="64">
        <f>$L2162-$L2163</f>
        <v/>
      </c>
      <c r="DM2162" s="64">
        <f>$K2162-$K2163</f>
        <v/>
      </c>
      <c r="DN2162" s="65">
        <f>IFERROR($N2162/$N2163-1,"")</f>
        <v/>
      </c>
      <c r="DO2162" s="65">
        <f>IFERROR($M2162/$M2163-1,"")</f>
        <v/>
      </c>
      <c r="DP2162" s="65">
        <f>IFERROR($AZ2162/$AZ2163-1,"")</f>
        <v/>
      </c>
      <c r="DQ2162" s="65">
        <f>IFERROR($BA2162/$BA2163-1,"")</f>
        <v/>
      </c>
      <c r="DR2162" s="64">
        <f>$O2162-$O2163</f>
        <v/>
      </c>
      <c r="DS2162" s="64">
        <f>$P2162-$P2163</f>
        <v/>
      </c>
      <c r="DT2162" s="64">
        <f>$Q2162-$Q2163</f>
        <v/>
      </c>
      <c r="DU2162" s="64">
        <f>$S2162-$S2163</f>
        <v/>
      </c>
      <c r="DV2162" s="65">
        <f>IFERROR(AVERAGE($AA2163/$AA2162-1,$AB2163/$AB2162-1,$AC2163/$AC2162-1,$AD2163/$AD2162-1,$AE2163/$AE2162-1,$AG2163/$AG2162-1,$AH2163/$AH2162-1,$AI2163/$AI2162-1,$AJ2163/$AJ2162-1,$AL2163/$AL2162-1,$AM2163/$AM2162-1,$AR2163/$AR2162-1,$AS2163/$AS2162-1,$AT2163/$AT2162-1,$AU2163/$AU2162-1,$AV2163/$AV2162-1,$AW2163/$AW2162-1,$AX2163/$AX2162-1,$AY2163/$AY2162-1),"")</f>
        <v/>
      </c>
      <c r="DW2162" s="66">
        <f>AVERAGE($CB2162,$CC2162,$CD2162,$CE2162,$CF2162,$CG2162,$CH2162,$CI2162,$CJ2162,$CL2162,$CM2162,$CN2162,$CO2162,$CP2162,$CQ2162,$CR2162,$CS2162,$CT2162)</f>
        <v/>
      </c>
      <c r="DX2162" s="66">
        <f>AVERAGE($CB2162,$CC2162,$CM2162,$CE2162,$CP2162)</f>
        <v/>
      </c>
      <c r="DY2162" s="64">
        <f>($DW2162-$DW2163)*100</f>
        <v/>
      </c>
      <c r="DZ2162" s="64">
        <f>($DX2162-$DX2163)*100</f>
        <v/>
      </c>
      <c r="EA2162" s="64">
        <f>($DW2162-$D2162)*100</f>
        <v/>
      </c>
      <c r="EB2162" s="64">
        <f>$Q2162-$O2162</f>
        <v/>
      </c>
      <c r="EC2162" s="67">
        <f>IFERROR($Q2162/$P2162,"")</f>
        <v/>
      </c>
    </row>
    <row r="2163">
      <c r="DG2163" s="64">
        <f>($B2163-$B2164)*100</f>
        <v/>
      </c>
      <c r="DH2163" s="64">
        <f>($D2163-$D2164)*100</f>
        <v/>
      </c>
      <c r="DI2163" s="64">
        <f>($E2163-$E2164)*100</f>
        <v/>
      </c>
      <c r="DJ2163" s="64">
        <f>($H2163-$H2164)*100</f>
        <v/>
      </c>
      <c r="DK2163" s="65">
        <f>IFERROR($J2163/$J2164-1,"")</f>
        <v/>
      </c>
      <c r="DL2163" s="64">
        <f>$L2163-$L2164</f>
        <v/>
      </c>
      <c r="DM2163" s="64">
        <f>$K2163-$K2164</f>
        <v/>
      </c>
      <c r="DN2163" s="65">
        <f>IFERROR($N2163/$N2164-1,"")</f>
        <v/>
      </c>
      <c r="DO2163" s="65">
        <f>IFERROR($M2163/$M2164-1,"")</f>
        <v/>
      </c>
      <c r="DP2163" s="65">
        <f>IFERROR($AZ2163/$AZ2164-1,"")</f>
        <v/>
      </c>
      <c r="DQ2163" s="65">
        <f>IFERROR($BA2163/$BA2164-1,"")</f>
        <v/>
      </c>
      <c r="DR2163" s="64">
        <f>$O2163-$O2164</f>
        <v/>
      </c>
      <c r="DS2163" s="64">
        <f>$P2163-$P2164</f>
        <v/>
      </c>
      <c r="DT2163" s="64">
        <f>$Q2163-$Q2164</f>
        <v/>
      </c>
      <c r="DU2163" s="64">
        <f>$S2163-$S2164</f>
        <v/>
      </c>
      <c r="DV2163" s="65">
        <f>IFERROR(AVERAGE($AA2164/$AA2163-1,$AB2164/$AB2163-1,$AC2164/$AC2163-1,$AD2164/$AD2163-1,$AE2164/$AE2163-1,$AG2164/$AG2163-1,$AH2164/$AH2163-1,$AI2164/$AI2163-1,$AJ2164/$AJ2163-1,$AL2164/$AL2163-1,$AM2164/$AM2163-1,$AR2164/$AR2163-1,$AS2164/$AS2163-1,$AT2164/$AT2163-1,$AU2164/$AU2163-1,$AV2164/$AV2163-1,$AW2164/$AW2163-1,$AX2164/$AX2163-1,$AY2164/$AY2163-1),"")</f>
        <v/>
      </c>
      <c r="DW2163" s="66">
        <f>AVERAGE($CB2163,$CC2163,$CD2163,$CE2163,$CF2163,$CG2163,$CH2163,$CI2163,$CJ2163,$CL2163,$CM2163,$CN2163,$CO2163,$CP2163,$CQ2163,$CR2163,$CS2163,$CT2163)</f>
        <v/>
      </c>
      <c r="DX2163" s="66">
        <f>AVERAGE($CB2163,$CC2163,$CM2163,$CE2163,$CP2163)</f>
        <v/>
      </c>
      <c r="DY2163" s="64">
        <f>($DW2163-$DW2164)*100</f>
        <v/>
      </c>
      <c r="DZ2163" s="64">
        <f>($DX2163-$DX2164)*100</f>
        <v/>
      </c>
      <c r="EA2163" s="64">
        <f>($DW2163-$D2163)*100</f>
        <v/>
      </c>
      <c r="EB2163" s="64">
        <f>$Q2163-$O2163</f>
        <v/>
      </c>
      <c r="EC2163" s="67">
        <f>IFERROR($Q2163/$P2163,"")</f>
        <v/>
      </c>
    </row>
    <row r="2164">
      <c r="DG2164" s="64">
        <f>($B2164-$B2165)*100</f>
        <v/>
      </c>
      <c r="DH2164" s="64">
        <f>($D2164-$D2165)*100</f>
        <v/>
      </c>
      <c r="DI2164" s="64">
        <f>($E2164-$E2165)*100</f>
        <v/>
      </c>
      <c r="DJ2164" s="64">
        <f>($H2164-$H2165)*100</f>
        <v/>
      </c>
      <c r="DK2164" s="65">
        <f>IFERROR($J2164/$J2165-1,"")</f>
        <v/>
      </c>
      <c r="DL2164" s="64">
        <f>$L2164-$L2165</f>
        <v/>
      </c>
      <c r="DM2164" s="64">
        <f>$K2164-$K2165</f>
        <v/>
      </c>
      <c r="DN2164" s="65">
        <f>IFERROR($N2164/$N2165-1,"")</f>
        <v/>
      </c>
      <c r="DO2164" s="65">
        <f>IFERROR($M2164/$M2165-1,"")</f>
        <v/>
      </c>
      <c r="DP2164" s="65">
        <f>IFERROR($AZ2164/$AZ2165-1,"")</f>
        <v/>
      </c>
      <c r="DQ2164" s="65">
        <f>IFERROR($BA2164/$BA2165-1,"")</f>
        <v/>
      </c>
      <c r="DR2164" s="64">
        <f>$O2164-$O2165</f>
        <v/>
      </c>
      <c r="DS2164" s="64">
        <f>$P2164-$P2165</f>
        <v/>
      </c>
      <c r="DT2164" s="64">
        <f>$Q2164-$Q2165</f>
        <v/>
      </c>
      <c r="DU2164" s="64">
        <f>$S2164-$S2165</f>
        <v/>
      </c>
      <c r="DV2164" s="65">
        <f>IFERROR(AVERAGE($AA2165/$AA2164-1,$AB2165/$AB2164-1,$AC2165/$AC2164-1,$AD2165/$AD2164-1,$AE2165/$AE2164-1,$AG2165/$AG2164-1,$AH2165/$AH2164-1,$AI2165/$AI2164-1,$AJ2165/$AJ2164-1,$AL2165/$AL2164-1,$AM2165/$AM2164-1,$AR2165/$AR2164-1,$AS2165/$AS2164-1,$AT2165/$AT2164-1,$AU2165/$AU2164-1,$AV2165/$AV2164-1,$AW2165/$AW2164-1,$AX2165/$AX2164-1,$AY2165/$AY2164-1),"")</f>
        <v/>
      </c>
      <c r="DW2164" s="66">
        <f>AVERAGE($CB2164,$CC2164,$CD2164,$CE2164,$CF2164,$CG2164,$CH2164,$CI2164,$CJ2164,$CL2164,$CM2164,$CN2164,$CO2164,$CP2164,$CQ2164,$CR2164,$CS2164,$CT2164)</f>
        <v/>
      </c>
      <c r="DX2164" s="66">
        <f>AVERAGE($CB2164,$CC2164,$CM2164,$CE2164,$CP2164)</f>
        <v/>
      </c>
      <c r="DY2164" s="64">
        <f>($DW2164-$DW2165)*100</f>
        <v/>
      </c>
      <c r="DZ2164" s="64">
        <f>($DX2164-$DX2165)*100</f>
        <v/>
      </c>
      <c r="EA2164" s="64">
        <f>($DW2164-$D2164)*100</f>
        <v/>
      </c>
      <c r="EB2164" s="64">
        <f>$Q2164-$O2164</f>
        <v/>
      </c>
      <c r="EC2164" s="67">
        <f>IFERROR($Q2164/$P2164,"")</f>
        <v/>
      </c>
    </row>
    <row r="2165">
      <c r="DG2165" s="64">
        <f>($B2165-$B2166)*100</f>
        <v/>
      </c>
      <c r="DH2165" s="64">
        <f>($D2165-$D2166)*100</f>
        <v/>
      </c>
      <c r="DI2165" s="64">
        <f>($E2165-$E2166)*100</f>
        <v/>
      </c>
      <c r="DJ2165" s="64">
        <f>($H2165-$H2166)*100</f>
        <v/>
      </c>
      <c r="DK2165" s="65">
        <f>IFERROR($J2165/$J2166-1,"")</f>
        <v/>
      </c>
      <c r="DL2165" s="64">
        <f>$L2165-$L2166</f>
        <v/>
      </c>
      <c r="DM2165" s="64">
        <f>$K2165-$K2166</f>
        <v/>
      </c>
      <c r="DN2165" s="65">
        <f>IFERROR($N2165/$N2166-1,"")</f>
        <v/>
      </c>
      <c r="DO2165" s="65">
        <f>IFERROR($M2165/$M2166-1,"")</f>
        <v/>
      </c>
      <c r="DP2165" s="65">
        <f>IFERROR($AZ2165/$AZ2166-1,"")</f>
        <v/>
      </c>
      <c r="DQ2165" s="65">
        <f>IFERROR($BA2165/$BA2166-1,"")</f>
        <v/>
      </c>
      <c r="DR2165" s="64">
        <f>$O2165-$O2166</f>
        <v/>
      </c>
      <c r="DS2165" s="64">
        <f>$P2165-$P2166</f>
        <v/>
      </c>
      <c r="DT2165" s="64">
        <f>$Q2165-$Q2166</f>
        <v/>
      </c>
      <c r="DU2165" s="64">
        <f>$S2165-$S2166</f>
        <v/>
      </c>
      <c r="DV2165" s="65">
        <f>IFERROR(AVERAGE($AA2166/$AA2165-1,$AB2166/$AB2165-1,$AC2166/$AC2165-1,$AD2166/$AD2165-1,$AE2166/$AE2165-1,$AG2166/$AG2165-1,$AH2166/$AH2165-1,$AI2166/$AI2165-1,$AJ2166/$AJ2165-1,$AL2166/$AL2165-1,$AM2166/$AM2165-1,$AR2166/$AR2165-1,$AS2166/$AS2165-1,$AT2166/$AT2165-1,$AU2166/$AU2165-1,$AV2166/$AV2165-1,$AW2166/$AW2165-1,$AX2166/$AX2165-1,$AY2166/$AY2165-1),"")</f>
        <v/>
      </c>
      <c r="DW2165" s="66">
        <f>AVERAGE($CB2165,$CC2165,$CD2165,$CE2165,$CF2165,$CG2165,$CH2165,$CI2165,$CJ2165,$CL2165,$CM2165,$CN2165,$CO2165,$CP2165,$CQ2165,$CR2165,$CS2165,$CT2165)</f>
        <v/>
      </c>
      <c r="DX2165" s="66">
        <f>AVERAGE($CB2165,$CC2165,$CM2165,$CE2165,$CP2165)</f>
        <v/>
      </c>
      <c r="DY2165" s="64">
        <f>($DW2165-$DW2166)*100</f>
        <v/>
      </c>
      <c r="DZ2165" s="64">
        <f>($DX2165-$DX2166)*100</f>
        <v/>
      </c>
      <c r="EA2165" s="64">
        <f>($DW2165-$D2165)*100</f>
        <v/>
      </c>
      <c r="EB2165" s="64">
        <f>$Q2165-$O2165</f>
        <v/>
      </c>
      <c r="EC2165" s="67">
        <f>IFERROR($Q2165/$P2165,"")</f>
        <v/>
      </c>
    </row>
    <row r="2166">
      <c r="DG2166" s="64">
        <f>($B2166-$B2167)*100</f>
        <v/>
      </c>
      <c r="DH2166" s="64">
        <f>($D2166-$D2167)*100</f>
        <v/>
      </c>
      <c r="DI2166" s="64">
        <f>($E2166-$E2167)*100</f>
        <v/>
      </c>
      <c r="DJ2166" s="64">
        <f>($H2166-$H2167)*100</f>
        <v/>
      </c>
      <c r="DK2166" s="65">
        <f>IFERROR($J2166/$J2167-1,"")</f>
        <v/>
      </c>
      <c r="DL2166" s="64">
        <f>$L2166-$L2167</f>
        <v/>
      </c>
      <c r="DM2166" s="64">
        <f>$K2166-$K2167</f>
        <v/>
      </c>
      <c r="DN2166" s="65">
        <f>IFERROR($N2166/$N2167-1,"")</f>
        <v/>
      </c>
      <c r="DO2166" s="65">
        <f>IFERROR($M2166/$M2167-1,"")</f>
        <v/>
      </c>
      <c r="DP2166" s="65">
        <f>IFERROR($AZ2166/$AZ2167-1,"")</f>
        <v/>
      </c>
      <c r="DQ2166" s="65">
        <f>IFERROR($BA2166/$BA2167-1,"")</f>
        <v/>
      </c>
      <c r="DR2166" s="64">
        <f>$O2166-$O2167</f>
        <v/>
      </c>
      <c r="DS2166" s="64">
        <f>$P2166-$P2167</f>
        <v/>
      </c>
      <c r="DT2166" s="64">
        <f>$Q2166-$Q2167</f>
        <v/>
      </c>
      <c r="DU2166" s="64">
        <f>$S2166-$S2167</f>
        <v/>
      </c>
      <c r="DV2166" s="65">
        <f>IFERROR(AVERAGE($AA2167/$AA2166-1,$AB2167/$AB2166-1,$AC2167/$AC2166-1,$AD2167/$AD2166-1,$AE2167/$AE2166-1,$AG2167/$AG2166-1,$AH2167/$AH2166-1,$AI2167/$AI2166-1,$AJ2167/$AJ2166-1,$AL2167/$AL2166-1,$AM2167/$AM2166-1,$AR2167/$AR2166-1,$AS2167/$AS2166-1,$AT2167/$AT2166-1,$AU2167/$AU2166-1,$AV2167/$AV2166-1,$AW2167/$AW2166-1,$AX2167/$AX2166-1,$AY2167/$AY2166-1),"")</f>
        <v/>
      </c>
      <c r="DW2166" s="66">
        <f>AVERAGE($CB2166,$CC2166,$CD2166,$CE2166,$CF2166,$CG2166,$CH2166,$CI2166,$CJ2166,$CL2166,$CM2166,$CN2166,$CO2166,$CP2166,$CQ2166,$CR2166,$CS2166,$CT2166)</f>
        <v/>
      </c>
      <c r="DX2166" s="66">
        <f>AVERAGE($CB2166,$CC2166,$CM2166,$CE2166,$CP2166)</f>
        <v/>
      </c>
      <c r="DY2166" s="64">
        <f>($DW2166-$DW2167)*100</f>
        <v/>
      </c>
      <c r="DZ2166" s="64">
        <f>($DX2166-$DX2167)*100</f>
        <v/>
      </c>
      <c r="EA2166" s="64">
        <f>($DW2166-$D2166)*100</f>
        <v/>
      </c>
      <c r="EB2166" s="64">
        <f>$Q2166-$O2166</f>
        <v/>
      </c>
      <c r="EC2166" s="67">
        <f>IFERROR($Q2166/$P2166,"")</f>
        <v/>
      </c>
    </row>
    <row r="2167">
      <c r="DG2167" s="64">
        <f>($B2167-$B2168)*100</f>
        <v/>
      </c>
      <c r="DH2167" s="64">
        <f>($D2167-$D2168)*100</f>
        <v/>
      </c>
      <c r="DI2167" s="64">
        <f>($E2167-$E2168)*100</f>
        <v/>
      </c>
      <c r="DJ2167" s="64">
        <f>($H2167-$H2168)*100</f>
        <v/>
      </c>
      <c r="DK2167" s="65">
        <f>IFERROR($J2167/$J2168-1,"")</f>
        <v/>
      </c>
      <c r="DL2167" s="64">
        <f>$L2167-$L2168</f>
        <v/>
      </c>
      <c r="DM2167" s="64">
        <f>$K2167-$K2168</f>
        <v/>
      </c>
      <c r="DN2167" s="65">
        <f>IFERROR($N2167/$N2168-1,"")</f>
        <v/>
      </c>
      <c r="DO2167" s="65">
        <f>IFERROR($M2167/$M2168-1,"")</f>
        <v/>
      </c>
      <c r="DP2167" s="65">
        <f>IFERROR($AZ2167/$AZ2168-1,"")</f>
        <v/>
      </c>
      <c r="DQ2167" s="65">
        <f>IFERROR($BA2167/$BA2168-1,"")</f>
        <v/>
      </c>
      <c r="DR2167" s="64">
        <f>$O2167-$O2168</f>
        <v/>
      </c>
      <c r="DS2167" s="64">
        <f>$P2167-$P2168</f>
        <v/>
      </c>
      <c r="DT2167" s="64">
        <f>$Q2167-$Q2168</f>
        <v/>
      </c>
      <c r="DU2167" s="64">
        <f>$S2167-$S2168</f>
        <v/>
      </c>
      <c r="DV2167" s="65">
        <f>IFERROR(AVERAGE($AA2168/$AA2167-1,$AB2168/$AB2167-1,$AC2168/$AC2167-1,$AD2168/$AD2167-1,$AE2168/$AE2167-1,$AG2168/$AG2167-1,$AH2168/$AH2167-1,$AI2168/$AI2167-1,$AJ2168/$AJ2167-1,$AL2168/$AL2167-1,$AM2168/$AM2167-1,$AR2168/$AR2167-1,$AS2168/$AS2167-1,$AT2168/$AT2167-1,$AU2168/$AU2167-1,$AV2168/$AV2167-1,$AW2168/$AW2167-1,$AX2168/$AX2167-1,$AY2168/$AY2167-1),"")</f>
        <v/>
      </c>
      <c r="DW2167" s="66">
        <f>AVERAGE($CB2167,$CC2167,$CD2167,$CE2167,$CF2167,$CG2167,$CH2167,$CI2167,$CJ2167,$CL2167,$CM2167,$CN2167,$CO2167,$CP2167,$CQ2167,$CR2167,$CS2167,$CT2167)</f>
        <v/>
      </c>
      <c r="DX2167" s="66">
        <f>AVERAGE($CB2167,$CC2167,$CM2167,$CE2167,$CP2167)</f>
        <v/>
      </c>
      <c r="DY2167" s="64">
        <f>($DW2167-$DW2168)*100</f>
        <v/>
      </c>
      <c r="DZ2167" s="64">
        <f>($DX2167-$DX2168)*100</f>
        <v/>
      </c>
      <c r="EA2167" s="64">
        <f>($DW2167-$D2167)*100</f>
        <v/>
      </c>
      <c r="EB2167" s="64">
        <f>$Q2167-$O2167</f>
        <v/>
      </c>
      <c r="EC2167" s="67">
        <f>IFERROR($Q2167/$P2167,"")</f>
        <v/>
      </c>
    </row>
    <row r="2168">
      <c r="DG2168" s="64">
        <f>($B2168-$B2169)*100</f>
        <v/>
      </c>
      <c r="DH2168" s="64">
        <f>($D2168-$D2169)*100</f>
        <v/>
      </c>
      <c r="DI2168" s="64">
        <f>($E2168-$E2169)*100</f>
        <v/>
      </c>
      <c r="DJ2168" s="64">
        <f>($H2168-$H2169)*100</f>
        <v/>
      </c>
      <c r="DK2168" s="65">
        <f>IFERROR($J2168/$J2169-1,"")</f>
        <v/>
      </c>
      <c r="DL2168" s="64">
        <f>$L2168-$L2169</f>
        <v/>
      </c>
      <c r="DM2168" s="64">
        <f>$K2168-$K2169</f>
        <v/>
      </c>
      <c r="DN2168" s="65">
        <f>IFERROR($N2168/$N2169-1,"")</f>
        <v/>
      </c>
      <c r="DO2168" s="65">
        <f>IFERROR($M2168/$M2169-1,"")</f>
        <v/>
      </c>
      <c r="DP2168" s="65">
        <f>IFERROR($AZ2168/$AZ2169-1,"")</f>
        <v/>
      </c>
      <c r="DQ2168" s="65">
        <f>IFERROR($BA2168/$BA2169-1,"")</f>
        <v/>
      </c>
      <c r="DR2168" s="64">
        <f>$O2168-$O2169</f>
        <v/>
      </c>
      <c r="DS2168" s="64">
        <f>$P2168-$P2169</f>
        <v/>
      </c>
      <c r="DT2168" s="64">
        <f>$Q2168-$Q2169</f>
        <v/>
      </c>
      <c r="DU2168" s="64">
        <f>$S2168-$S2169</f>
        <v/>
      </c>
      <c r="DV2168" s="65">
        <f>IFERROR(AVERAGE($AA2169/$AA2168-1,$AB2169/$AB2168-1,$AC2169/$AC2168-1,$AD2169/$AD2168-1,$AE2169/$AE2168-1,$AG2169/$AG2168-1,$AH2169/$AH2168-1,$AI2169/$AI2168-1,$AJ2169/$AJ2168-1,$AL2169/$AL2168-1,$AM2169/$AM2168-1,$AR2169/$AR2168-1,$AS2169/$AS2168-1,$AT2169/$AT2168-1,$AU2169/$AU2168-1,$AV2169/$AV2168-1,$AW2169/$AW2168-1,$AX2169/$AX2168-1,$AY2169/$AY2168-1),"")</f>
        <v/>
      </c>
      <c r="DW2168" s="66">
        <f>AVERAGE($CB2168,$CC2168,$CD2168,$CE2168,$CF2168,$CG2168,$CH2168,$CI2168,$CJ2168,$CL2168,$CM2168,$CN2168,$CO2168,$CP2168,$CQ2168,$CR2168,$CS2168,$CT2168)</f>
        <v/>
      </c>
      <c r="DX2168" s="66">
        <f>AVERAGE($CB2168,$CC2168,$CM2168,$CE2168,$CP2168)</f>
        <v/>
      </c>
      <c r="DY2168" s="64">
        <f>($DW2168-$DW2169)*100</f>
        <v/>
      </c>
      <c r="DZ2168" s="64">
        <f>($DX2168-$DX2169)*100</f>
        <v/>
      </c>
      <c r="EA2168" s="64">
        <f>($DW2168-$D2168)*100</f>
        <v/>
      </c>
      <c r="EB2168" s="64">
        <f>$Q2168-$O2168</f>
        <v/>
      </c>
      <c r="EC2168" s="67">
        <f>IFERROR($Q2168/$P2168,"")</f>
        <v/>
      </c>
    </row>
    <row r="2169">
      <c r="DG2169" s="64">
        <f>($B2169-$B2170)*100</f>
        <v/>
      </c>
      <c r="DH2169" s="64">
        <f>($D2169-$D2170)*100</f>
        <v/>
      </c>
      <c r="DI2169" s="64">
        <f>($E2169-$E2170)*100</f>
        <v/>
      </c>
      <c r="DJ2169" s="64">
        <f>($H2169-$H2170)*100</f>
        <v/>
      </c>
      <c r="DK2169" s="65">
        <f>IFERROR($J2169/$J2170-1,"")</f>
        <v/>
      </c>
      <c r="DL2169" s="64">
        <f>$L2169-$L2170</f>
        <v/>
      </c>
      <c r="DM2169" s="64">
        <f>$K2169-$K2170</f>
        <v/>
      </c>
      <c r="DN2169" s="65">
        <f>IFERROR($N2169/$N2170-1,"")</f>
        <v/>
      </c>
      <c r="DO2169" s="65">
        <f>IFERROR($M2169/$M2170-1,"")</f>
        <v/>
      </c>
      <c r="DP2169" s="65">
        <f>IFERROR($AZ2169/$AZ2170-1,"")</f>
        <v/>
      </c>
      <c r="DQ2169" s="65">
        <f>IFERROR($BA2169/$BA2170-1,"")</f>
        <v/>
      </c>
      <c r="DR2169" s="64">
        <f>$O2169-$O2170</f>
        <v/>
      </c>
      <c r="DS2169" s="64">
        <f>$P2169-$P2170</f>
        <v/>
      </c>
      <c r="DT2169" s="64">
        <f>$Q2169-$Q2170</f>
        <v/>
      </c>
      <c r="DU2169" s="64">
        <f>$S2169-$S2170</f>
        <v/>
      </c>
      <c r="DV2169" s="65">
        <f>IFERROR(AVERAGE($AA2170/$AA2169-1,$AB2170/$AB2169-1,$AC2170/$AC2169-1,$AD2170/$AD2169-1,$AE2170/$AE2169-1,$AG2170/$AG2169-1,$AH2170/$AH2169-1,$AI2170/$AI2169-1,$AJ2170/$AJ2169-1,$AL2170/$AL2169-1,$AM2170/$AM2169-1,$AR2170/$AR2169-1,$AS2170/$AS2169-1,$AT2170/$AT2169-1,$AU2170/$AU2169-1,$AV2170/$AV2169-1,$AW2170/$AW2169-1,$AX2170/$AX2169-1,$AY2170/$AY2169-1),"")</f>
        <v/>
      </c>
      <c r="DW2169" s="66">
        <f>AVERAGE($CB2169,$CC2169,$CD2169,$CE2169,$CF2169,$CG2169,$CH2169,$CI2169,$CJ2169,$CL2169,$CM2169,$CN2169,$CO2169,$CP2169,$CQ2169,$CR2169,$CS2169,$CT2169)</f>
        <v/>
      </c>
      <c r="DX2169" s="66">
        <f>AVERAGE($CB2169,$CC2169,$CM2169,$CE2169,$CP2169)</f>
        <v/>
      </c>
      <c r="DY2169" s="64">
        <f>($DW2169-$DW2170)*100</f>
        <v/>
      </c>
      <c r="DZ2169" s="64">
        <f>($DX2169-$DX2170)*100</f>
        <v/>
      </c>
      <c r="EA2169" s="64">
        <f>($DW2169-$D2169)*100</f>
        <v/>
      </c>
      <c r="EB2169" s="64">
        <f>$Q2169-$O2169</f>
        <v/>
      </c>
      <c r="EC2169" s="67">
        <f>IFERROR($Q2169/$P2169,"")</f>
        <v/>
      </c>
    </row>
    <row r="2170">
      <c r="DG2170" s="64">
        <f>($B2170-$B2171)*100</f>
        <v/>
      </c>
      <c r="DH2170" s="64">
        <f>($D2170-$D2171)*100</f>
        <v/>
      </c>
      <c r="DI2170" s="64">
        <f>($E2170-$E2171)*100</f>
        <v/>
      </c>
      <c r="DJ2170" s="64">
        <f>($H2170-$H2171)*100</f>
        <v/>
      </c>
      <c r="DK2170" s="65">
        <f>IFERROR($J2170/$J2171-1,"")</f>
        <v/>
      </c>
      <c r="DL2170" s="64">
        <f>$L2170-$L2171</f>
        <v/>
      </c>
      <c r="DM2170" s="64">
        <f>$K2170-$K2171</f>
        <v/>
      </c>
      <c r="DN2170" s="65">
        <f>IFERROR($N2170/$N2171-1,"")</f>
        <v/>
      </c>
      <c r="DO2170" s="65">
        <f>IFERROR($M2170/$M2171-1,"")</f>
        <v/>
      </c>
      <c r="DP2170" s="65">
        <f>IFERROR($AZ2170/$AZ2171-1,"")</f>
        <v/>
      </c>
      <c r="DQ2170" s="65">
        <f>IFERROR($BA2170/$BA2171-1,"")</f>
        <v/>
      </c>
      <c r="DR2170" s="64">
        <f>$O2170-$O2171</f>
        <v/>
      </c>
      <c r="DS2170" s="64">
        <f>$P2170-$P2171</f>
        <v/>
      </c>
      <c r="DT2170" s="64">
        <f>$Q2170-$Q2171</f>
        <v/>
      </c>
      <c r="DU2170" s="64">
        <f>$S2170-$S2171</f>
        <v/>
      </c>
      <c r="DV2170" s="65">
        <f>IFERROR(AVERAGE($AA2171/$AA2170-1,$AB2171/$AB2170-1,$AC2171/$AC2170-1,$AD2171/$AD2170-1,$AE2171/$AE2170-1,$AG2171/$AG2170-1,$AH2171/$AH2170-1,$AI2171/$AI2170-1,$AJ2171/$AJ2170-1,$AL2171/$AL2170-1,$AM2171/$AM2170-1,$AR2171/$AR2170-1,$AS2171/$AS2170-1,$AT2171/$AT2170-1,$AU2171/$AU2170-1,$AV2171/$AV2170-1,$AW2171/$AW2170-1,$AX2171/$AX2170-1,$AY2171/$AY2170-1),"")</f>
        <v/>
      </c>
      <c r="DW2170" s="66">
        <f>AVERAGE($CB2170,$CC2170,$CD2170,$CE2170,$CF2170,$CG2170,$CH2170,$CI2170,$CJ2170,$CL2170,$CM2170,$CN2170,$CO2170,$CP2170,$CQ2170,$CR2170,$CS2170,$CT2170)</f>
        <v/>
      </c>
      <c r="DX2170" s="66">
        <f>AVERAGE($CB2170,$CC2170,$CM2170,$CE2170,$CP2170)</f>
        <v/>
      </c>
      <c r="DY2170" s="64">
        <f>($DW2170-$DW2171)*100</f>
        <v/>
      </c>
      <c r="DZ2170" s="64">
        <f>($DX2170-$DX2171)*100</f>
        <v/>
      </c>
      <c r="EA2170" s="64">
        <f>($DW2170-$D2170)*100</f>
        <v/>
      </c>
      <c r="EB2170" s="64">
        <f>$Q2170-$O2170</f>
        <v/>
      </c>
      <c r="EC2170" s="67">
        <f>IFERROR($Q2170/$P2170,"")</f>
        <v/>
      </c>
    </row>
    <row r="2171">
      <c r="DG2171" s="64">
        <f>($B2171-$B2172)*100</f>
        <v/>
      </c>
      <c r="DH2171" s="64">
        <f>($D2171-$D2172)*100</f>
        <v/>
      </c>
      <c r="DI2171" s="64">
        <f>($E2171-$E2172)*100</f>
        <v/>
      </c>
      <c r="DJ2171" s="64">
        <f>($H2171-$H2172)*100</f>
        <v/>
      </c>
      <c r="DK2171" s="65">
        <f>IFERROR($J2171/$J2172-1,"")</f>
        <v/>
      </c>
      <c r="DL2171" s="64">
        <f>$L2171-$L2172</f>
        <v/>
      </c>
      <c r="DM2171" s="64">
        <f>$K2171-$K2172</f>
        <v/>
      </c>
      <c r="DN2171" s="65">
        <f>IFERROR($N2171/$N2172-1,"")</f>
        <v/>
      </c>
      <c r="DO2171" s="65">
        <f>IFERROR($M2171/$M2172-1,"")</f>
        <v/>
      </c>
      <c r="DP2171" s="65">
        <f>IFERROR($AZ2171/$AZ2172-1,"")</f>
        <v/>
      </c>
      <c r="DQ2171" s="65">
        <f>IFERROR($BA2171/$BA2172-1,"")</f>
        <v/>
      </c>
      <c r="DR2171" s="64">
        <f>$O2171-$O2172</f>
        <v/>
      </c>
      <c r="DS2171" s="64">
        <f>$P2171-$P2172</f>
        <v/>
      </c>
      <c r="DT2171" s="64">
        <f>$Q2171-$Q2172</f>
        <v/>
      </c>
      <c r="DU2171" s="64">
        <f>$S2171-$S2172</f>
        <v/>
      </c>
      <c r="DV2171" s="65">
        <f>IFERROR(AVERAGE($AA2172/$AA2171-1,$AB2172/$AB2171-1,$AC2172/$AC2171-1,$AD2172/$AD2171-1,$AE2172/$AE2171-1,$AG2172/$AG2171-1,$AH2172/$AH2171-1,$AI2172/$AI2171-1,$AJ2172/$AJ2171-1,$AL2172/$AL2171-1,$AM2172/$AM2171-1,$AR2172/$AR2171-1,$AS2172/$AS2171-1,$AT2172/$AT2171-1,$AU2172/$AU2171-1,$AV2172/$AV2171-1,$AW2172/$AW2171-1,$AX2172/$AX2171-1,$AY2172/$AY2171-1),"")</f>
        <v/>
      </c>
      <c r="DW2171" s="66">
        <f>AVERAGE($CB2171,$CC2171,$CD2171,$CE2171,$CF2171,$CG2171,$CH2171,$CI2171,$CJ2171,$CL2171,$CM2171,$CN2171,$CO2171,$CP2171,$CQ2171,$CR2171,$CS2171,$CT2171)</f>
        <v/>
      </c>
      <c r="DX2171" s="66">
        <f>AVERAGE($CB2171,$CC2171,$CM2171,$CE2171,$CP2171)</f>
        <v/>
      </c>
      <c r="DY2171" s="64">
        <f>($DW2171-$DW2172)*100</f>
        <v/>
      </c>
      <c r="DZ2171" s="64">
        <f>($DX2171-$DX2172)*100</f>
        <v/>
      </c>
      <c r="EA2171" s="64">
        <f>($DW2171-$D2171)*100</f>
        <v/>
      </c>
      <c r="EB2171" s="64">
        <f>$Q2171-$O2171</f>
        <v/>
      </c>
      <c r="EC2171" s="67">
        <f>IFERROR($Q2171/$P2171,"")</f>
        <v/>
      </c>
    </row>
    <row r="2172">
      <c r="DG2172" s="64">
        <f>($B2172-$B2173)*100</f>
        <v/>
      </c>
      <c r="DH2172" s="64">
        <f>($D2172-$D2173)*100</f>
        <v/>
      </c>
      <c r="DI2172" s="64">
        <f>($E2172-$E2173)*100</f>
        <v/>
      </c>
      <c r="DJ2172" s="64">
        <f>($H2172-$H2173)*100</f>
        <v/>
      </c>
      <c r="DK2172" s="65">
        <f>IFERROR($J2172/$J2173-1,"")</f>
        <v/>
      </c>
      <c r="DL2172" s="64">
        <f>$L2172-$L2173</f>
        <v/>
      </c>
      <c r="DM2172" s="64">
        <f>$K2172-$K2173</f>
        <v/>
      </c>
      <c r="DN2172" s="65">
        <f>IFERROR($N2172/$N2173-1,"")</f>
        <v/>
      </c>
      <c r="DO2172" s="65">
        <f>IFERROR($M2172/$M2173-1,"")</f>
        <v/>
      </c>
      <c r="DP2172" s="65">
        <f>IFERROR($AZ2172/$AZ2173-1,"")</f>
        <v/>
      </c>
      <c r="DQ2172" s="65">
        <f>IFERROR($BA2172/$BA2173-1,"")</f>
        <v/>
      </c>
      <c r="DR2172" s="64">
        <f>$O2172-$O2173</f>
        <v/>
      </c>
      <c r="DS2172" s="64">
        <f>$P2172-$P2173</f>
        <v/>
      </c>
      <c r="DT2172" s="64">
        <f>$Q2172-$Q2173</f>
        <v/>
      </c>
      <c r="DU2172" s="64">
        <f>$S2172-$S2173</f>
        <v/>
      </c>
      <c r="DV2172" s="65">
        <f>IFERROR(AVERAGE($AA2173/$AA2172-1,$AB2173/$AB2172-1,$AC2173/$AC2172-1,$AD2173/$AD2172-1,$AE2173/$AE2172-1,$AG2173/$AG2172-1,$AH2173/$AH2172-1,$AI2173/$AI2172-1,$AJ2173/$AJ2172-1,$AL2173/$AL2172-1,$AM2173/$AM2172-1,$AR2173/$AR2172-1,$AS2173/$AS2172-1,$AT2173/$AT2172-1,$AU2173/$AU2172-1,$AV2173/$AV2172-1,$AW2173/$AW2172-1,$AX2173/$AX2172-1,$AY2173/$AY2172-1),"")</f>
        <v/>
      </c>
      <c r="DW2172" s="66">
        <f>AVERAGE($CB2172,$CC2172,$CD2172,$CE2172,$CF2172,$CG2172,$CH2172,$CI2172,$CJ2172,$CL2172,$CM2172,$CN2172,$CO2172,$CP2172,$CQ2172,$CR2172,$CS2172,$CT2172)</f>
        <v/>
      </c>
      <c r="DX2172" s="66">
        <f>AVERAGE($CB2172,$CC2172,$CM2172,$CE2172,$CP2172)</f>
        <v/>
      </c>
      <c r="DY2172" s="64">
        <f>($DW2172-$DW2173)*100</f>
        <v/>
      </c>
      <c r="DZ2172" s="64">
        <f>($DX2172-$DX2173)*100</f>
        <v/>
      </c>
      <c r="EA2172" s="64">
        <f>($DW2172-$D2172)*100</f>
        <v/>
      </c>
      <c r="EB2172" s="64">
        <f>$Q2172-$O2172</f>
        <v/>
      </c>
      <c r="EC2172" s="67">
        <f>IFERROR($Q2172/$P2172,"")</f>
        <v/>
      </c>
    </row>
    <row r="2173">
      <c r="DG2173" s="64">
        <f>($B2173-$B2174)*100</f>
        <v/>
      </c>
      <c r="DH2173" s="64">
        <f>($D2173-$D2174)*100</f>
        <v/>
      </c>
      <c r="DI2173" s="64">
        <f>($E2173-$E2174)*100</f>
        <v/>
      </c>
      <c r="DJ2173" s="64">
        <f>($H2173-$H2174)*100</f>
        <v/>
      </c>
      <c r="DK2173" s="65">
        <f>IFERROR($J2173/$J2174-1,"")</f>
        <v/>
      </c>
      <c r="DL2173" s="64">
        <f>$L2173-$L2174</f>
        <v/>
      </c>
      <c r="DM2173" s="64">
        <f>$K2173-$K2174</f>
        <v/>
      </c>
      <c r="DN2173" s="65">
        <f>IFERROR($N2173/$N2174-1,"")</f>
        <v/>
      </c>
      <c r="DO2173" s="65">
        <f>IFERROR($M2173/$M2174-1,"")</f>
        <v/>
      </c>
      <c r="DP2173" s="65">
        <f>IFERROR($AZ2173/$AZ2174-1,"")</f>
        <v/>
      </c>
      <c r="DQ2173" s="65">
        <f>IFERROR($BA2173/$BA2174-1,"")</f>
        <v/>
      </c>
      <c r="DR2173" s="64">
        <f>$O2173-$O2174</f>
        <v/>
      </c>
      <c r="DS2173" s="64">
        <f>$P2173-$P2174</f>
        <v/>
      </c>
      <c r="DT2173" s="64">
        <f>$Q2173-$Q2174</f>
        <v/>
      </c>
      <c r="DU2173" s="64">
        <f>$S2173-$S2174</f>
        <v/>
      </c>
      <c r="DV2173" s="65">
        <f>IFERROR(AVERAGE($AA2174/$AA2173-1,$AB2174/$AB2173-1,$AC2174/$AC2173-1,$AD2174/$AD2173-1,$AE2174/$AE2173-1,$AG2174/$AG2173-1,$AH2174/$AH2173-1,$AI2174/$AI2173-1,$AJ2174/$AJ2173-1,$AL2174/$AL2173-1,$AM2174/$AM2173-1,$AR2174/$AR2173-1,$AS2174/$AS2173-1,$AT2174/$AT2173-1,$AU2174/$AU2173-1,$AV2174/$AV2173-1,$AW2174/$AW2173-1,$AX2174/$AX2173-1,$AY2174/$AY2173-1),"")</f>
        <v/>
      </c>
      <c r="DW2173" s="66">
        <f>AVERAGE($CB2173,$CC2173,$CD2173,$CE2173,$CF2173,$CG2173,$CH2173,$CI2173,$CJ2173,$CL2173,$CM2173,$CN2173,$CO2173,$CP2173,$CQ2173,$CR2173,$CS2173,$CT2173)</f>
        <v/>
      </c>
      <c r="DX2173" s="66">
        <f>AVERAGE($CB2173,$CC2173,$CM2173,$CE2173,$CP2173)</f>
        <v/>
      </c>
      <c r="DY2173" s="64">
        <f>($DW2173-$DW2174)*100</f>
        <v/>
      </c>
      <c r="DZ2173" s="64">
        <f>($DX2173-$DX2174)*100</f>
        <v/>
      </c>
      <c r="EA2173" s="64">
        <f>($DW2173-$D2173)*100</f>
        <v/>
      </c>
      <c r="EB2173" s="64">
        <f>$Q2173-$O2173</f>
        <v/>
      </c>
      <c r="EC2173" s="67">
        <f>IFERROR($Q2173/$P2173,"")</f>
        <v/>
      </c>
    </row>
    <row r="2174">
      <c r="DG2174" s="64">
        <f>($B2174-$B2175)*100</f>
        <v/>
      </c>
      <c r="DH2174" s="64">
        <f>($D2174-$D2175)*100</f>
        <v/>
      </c>
      <c r="DI2174" s="64">
        <f>($E2174-$E2175)*100</f>
        <v/>
      </c>
      <c r="DJ2174" s="64">
        <f>($H2174-$H2175)*100</f>
        <v/>
      </c>
      <c r="DK2174" s="65">
        <f>IFERROR($J2174/$J2175-1,"")</f>
        <v/>
      </c>
      <c r="DL2174" s="64">
        <f>$L2174-$L2175</f>
        <v/>
      </c>
      <c r="DM2174" s="64">
        <f>$K2174-$K2175</f>
        <v/>
      </c>
      <c r="DN2174" s="65">
        <f>IFERROR($N2174/$N2175-1,"")</f>
        <v/>
      </c>
      <c r="DO2174" s="65">
        <f>IFERROR($M2174/$M2175-1,"")</f>
        <v/>
      </c>
      <c r="DP2174" s="65">
        <f>IFERROR($AZ2174/$AZ2175-1,"")</f>
        <v/>
      </c>
      <c r="DQ2174" s="65">
        <f>IFERROR($BA2174/$BA2175-1,"")</f>
        <v/>
      </c>
      <c r="DR2174" s="64">
        <f>$O2174-$O2175</f>
        <v/>
      </c>
      <c r="DS2174" s="64">
        <f>$P2174-$P2175</f>
        <v/>
      </c>
      <c r="DT2174" s="64">
        <f>$Q2174-$Q2175</f>
        <v/>
      </c>
      <c r="DU2174" s="64">
        <f>$S2174-$S2175</f>
        <v/>
      </c>
      <c r="DV2174" s="65">
        <f>IFERROR(AVERAGE($AA2175/$AA2174-1,$AB2175/$AB2174-1,$AC2175/$AC2174-1,$AD2175/$AD2174-1,$AE2175/$AE2174-1,$AG2175/$AG2174-1,$AH2175/$AH2174-1,$AI2175/$AI2174-1,$AJ2175/$AJ2174-1,$AL2175/$AL2174-1,$AM2175/$AM2174-1,$AR2175/$AR2174-1,$AS2175/$AS2174-1,$AT2175/$AT2174-1,$AU2175/$AU2174-1,$AV2175/$AV2174-1,$AW2175/$AW2174-1,$AX2175/$AX2174-1,$AY2175/$AY2174-1),"")</f>
        <v/>
      </c>
      <c r="DW2174" s="66">
        <f>AVERAGE($CB2174,$CC2174,$CD2174,$CE2174,$CF2174,$CG2174,$CH2174,$CI2174,$CJ2174,$CL2174,$CM2174,$CN2174,$CO2174,$CP2174,$CQ2174,$CR2174,$CS2174,$CT2174)</f>
        <v/>
      </c>
      <c r="DX2174" s="66">
        <f>AVERAGE($CB2174,$CC2174,$CM2174,$CE2174,$CP2174)</f>
        <v/>
      </c>
      <c r="DY2174" s="64">
        <f>($DW2174-$DW2175)*100</f>
        <v/>
      </c>
      <c r="DZ2174" s="64">
        <f>($DX2174-$DX2175)*100</f>
        <v/>
      </c>
      <c r="EA2174" s="64">
        <f>($DW2174-$D2174)*100</f>
        <v/>
      </c>
      <c r="EB2174" s="64">
        <f>$Q2174-$O2174</f>
        <v/>
      </c>
      <c r="EC2174" s="67">
        <f>IFERROR($Q2174/$P2174,"")</f>
        <v/>
      </c>
    </row>
    <row r="2175">
      <c r="DG2175" s="64">
        <f>($B2175-$B2176)*100</f>
        <v/>
      </c>
      <c r="DH2175" s="64">
        <f>($D2175-$D2176)*100</f>
        <v/>
      </c>
      <c r="DI2175" s="64">
        <f>($E2175-$E2176)*100</f>
        <v/>
      </c>
      <c r="DJ2175" s="64">
        <f>($H2175-$H2176)*100</f>
        <v/>
      </c>
      <c r="DK2175" s="65">
        <f>IFERROR($J2175/$J2176-1,"")</f>
        <v/>
      </c>
      <c r="DL2175" s="64">
        <f>$L2175-$L2176</f>
        <v/>
      </c>
      <c r="DM2175" s="64">
        <f>$K2175-$K2176</f>
        <v/>
      </c>
      <c r="DN2175" s="65">
        <f>IFERROR($N2175/$N2176-1,"")</f>
        <v/>
      </c>
      <c r="DO2175" s="65">
        <f>IFERROR($M2175/$M2176-1,"")</f>
        <v/>
      </c>
      <c r="DP2175" s="65">
        <f>IFERROR($AZ2175/$AZ2176-1,"")</f>
        <v/>
      </c>
      <c r="DQ2175" s="65">
        <f>IFERROR($BA2175/$BA2176-1,"")</f>
        <v/>
      </c>
      <c r="DR2175" s="64">
        <f>$O2175-$O2176</f>
        <v/>
      </c>
      <c r="DS2175" s="64">
        <f>$P2175-$P2176</f>
        <v/>
      </c>
      <c r="DT2175" s="64">
        <f>$Q2175-$Q2176</f>
        <v/>
      </c>
      <c r="DU2175" s="64">
        <f>$S2175-$S2176</f>
        <v/>
      </c>
      <c r="DV2175" s="65">
        <f>IFERROR(AVERAGE($AA2176/$AA2175-1,$AB2176/$AB2175-1,$AC2176/$AC2175-1,$AD2176/$AD2175-1,$AE2176/$AE2175-1,$AG2176/$AG2175-1,$AH2176/$AH2175-1,$AI2176/$AI2175-1,$AJ2176/$AJ2175-1,$AL2176/$AL2175-1,$AM2176/$AM2175-1,$AR2176/$AR2175-1,$AS2176/$AS2175-1,$AT2176/$AT2175-1,$AU2176/$AU2175-1,$AV2176/$AV2175-1,$AW2176/$AW2175-1,$AX2176/$AX2175-1,$AY2176/$AY2175-1),"")</f>
        <v/>
      </c>
      <c r="DW2175" s="66">
        <f>AVERAGE($CB2175,$CC2175,$CD2175,$CE2175,$CF2175,$CG2175,$CH2175,$CI2175,$CJ2175,$CL2175,$CM2175,$CN2175,$CO2175,$CP2175,$CQ2175,$CR2175,$CS2175,$CT2175)</f>
        <v/>
      </c>
      <c r="DX2175" s="66">
        <f>AVERAGE($CB2175,$CC2175,$CM2175,$CE2175,$CP2175)</f>
        <v/>
      </c>
      <c r="DY2175" s="64">
        <f>($DW2175-$DW2176)*100</f>
        <v/>
      </c>
      <c r="DZ2175" s="64">
        <f>($DX2175-$DX2176)*100</f>
        <v/>
      </c>
      <c r="EA2175" s="64">
        <f>($DW2175-$D2175)*100</f>
        <v/>
      </c>
      <c r="EB2175" s="64">
        <f>$Q2175-$O2175</f>
        <v/>
      </c>
      <c r="EC2175" s="67">
        <f>IFERROR($Q2175/$P2175,"")</f>
        <v/>
      </c>
    </row>
    <row r="2176">
      <c r="DG2176" s="64">
        <f>($B2176-$B2177)*100</f>
        <v/>
      </c>
      <c r="DH2176" s="64">
        <f>($D2176-$D2177)*100</f>
        <v/>
      </c>
      <c r="DI2176" s="64">
        <f>($E2176-$E2177)*100</f>
        <v/>
      </c>
      <c r="DJ2176" s="64">
        <f>($H2176-$H2177)*100</f>
        <v/>
      </c>
      <c r="DK2176" s="65">
        <f>IFERROR($J2176/$J2177-1,"")</f>
        <v/>
      </c>
      <c r="DL2176" s="64">
        <f>$L2176-$L2177</f>
        <v/>
      </c>
      <c r="DM2176" s="64">
        <f>$K2176-$K2177</f>
        <v/>
      </c>
      <c r="DN2176" s="65">
        <f>IFERROR($N2176/$N2177-1,"")</f>
        <v/>
      </c>
      <c r="DO2176" s="65">
        <f>IFERROR($M2176/$M2177-1,"")</f>
        <v/>
      </c>
      <c r="DP2176" s="65">
        <f>IFERROR($AZ2176/$AZ2177-1,"")</f>
        <v/>
      </c>
      <c r="DQ2176" s="65">
        <f>IFERROR($BA2176/$BA2177-1,"")</f>
        <v/>
      </c>
      <c r="DR2176" s="64">
        <f>$O2176-$O2177</f>
        <v/>
      </c>
      <c r="DS2176" s="64">
        <f>$P2176-$P2177</f>
        <v/>
      </c>
      <c r="DT2176" s="64">
        <f>$Q2176-$Q2177</f>
        <v/>
      </c>
      <c r="DU2176" s="64">
        <f>$S2176-$S2177</f>
        <v/>
      </c>
      <c r="DV2176" s="65">
        <f>IFERROR(AVERAGE($AA2177/$AA2176-1,$AB2177/$AB2176-1,$AC2177/$AC2176-1,$AD2177/$AD2176-1,$AE2177/$AE2176-1,$AG2177/$AG2176-1,$AH2177/$AH2176-1,$AI2177/$AI2176-1,$AJ2177/$AJ2176-1,$AL2177/$AL2176-1,$AM2177/$AM2176-1,$AR2177/$AR2176-1,$AS2177/$AS2176-1,$AT2177/$AT2176-1,$AU2177/$AU2176-1,$AV2177/$AV2176-1,$AW2177/$AW2176-1,$AX2177/$AX2176-1,$AY2177/$AY2176-1),"")</f>
        <v/>
      </c>
      <c r="DW2176" s="66">
        <f>AVERAGE($CB2176,$CC2176,$CD2176,$CE2176,$CF2176,$CG2176,$CH2176,$CI2176,$CJ2176,$CL2176,$CM2176,$CN2176,$CO2176,$CP2176,$CQ2176,$CR2176,$CS2176,$CT2176)</f>
        <v/>
      </c>
      <c r="DX2176" s="66">
        <f>AVERAGE($CB2176,$CC2176,$CM2176,$CE2176,$CP2176)</f>
        <v/>
      </c>
      <c r="DY2176" s="64">
        <f>($DW2176-$DW2177)*100</f>
        <v/>
      </c>
      <c r="DZ2176" s="64">
        <f>($DX2176-$DX2177)*100</f>
        <v/>
      </c>
      <c r="EA2176" s="64">
        <f>($DW2176-$D2176)*100</f>
        <v/>
      </c>
      <c r="EB2176" s="64">
        <f>$Q2176-$O2176</f>
        <v/>
      </c>
      <c r="EC2176" s="67">
        <f>IFERROR($Q2176/$P2176,"")</f>
        <v/>
      </c>
    </row>
    <row r="2177">
      <c r="DG2177" s="64">
        <f>($B2177-$B2178)*100</f>
        <v/>
      </c>
      <c r="DH2177" s="64">
        <f>($D2177-$D2178)*100</f>
        <v/>
      </c>
      <c r="DI2177" s="64">
        <f>($E2177-$E2178)*100</f>
        <v/>
      </c>
      <c r="DJ2177" s="64">
        <f>($H2177-$H2178)*100</f>
        <v/>
      </c>
      <c r="DK2177" s="65">
        <f>IFERROR($J2177/$J2178-1,"")</f>
        <v/>
      </c>
      <c r="DL2177" s="64">
        <f>$L2177-$L2178</f>
        <v/>
      </c>
      <c r="DM2177" s="64">
        <f>$K2177-$K2178</f>
        <v/>
      </c>
      <c r="DN2177" s="65">
        <f>IFERROR($N2177/$N2178-1,"")</f>
        <v/>
      </c>
      <c r="DO2177" s="65">
        <f>IFERROR($M2177/$M2178-1,"")</f>
        <v/>
      </c>
      <c r="DP2177" s="65">
        <f>IFERROR($AZ2177/$AZ2178-1,"")</f>
        <v/>
      </c>
      <c r="DQ2177" s="65">
        <f>IFERROR($BA2177/$BA2178-1,"")</f>
        <v/>
      </c>
      <c r="DR2177" s="64">
        <f>$O2177-$O2178</f>
        <v/>
      </c>
      <c r="DS2177" s="64">
        <f>$P2177-$P2178</f>
        <v/>
      </c>
      <c r="DT2177" s="64">
        <f>$Q2177-$Q2178</f>
        <v/>
      </c>
      <c r="DU2177" s="64">
        <f>$S2177-$S2178</f>
        <v/>
      </c>
      <c r="DV2177" s="65">
        <f>IFERROR(AVERAGE($AA2178/$AA2177-1,$AB2178/$AB2177-1,$AC2178/$AC2177-1,$AD2178/$AD2177-1,$AE2178/$AE2177-1,$AG2178/$AG2177-1,$AH2178/$AH2177-1,$AI2178/$AI2177-1,$AJ2178/$AJ2177-1,$AL2178/$AL2177-1,$AM2178/$AM2177-1,$AR2178/$AR2177-1,$AS2178/$AS2177-1,$AT2178/$AT2177-1,$AU2178/$AU2177-1,$AV2178/$AV2177-1,$AW2178/$AW2177-1,$AX2178/$AX2177-1,$AY2178/$AY2177-1),"")</f>
        <v/>
      </c>
      <c r="DW2177" s="66">
        <f>AVERAGE($CB2177,$CC2177,$CD2177,$CE2177,$CF2177,$CG2177,$CH2177,$CI2177,$CJ2177,$CL2177,$CM2177,$CN2177,$CO2177,$CP2177,$CQ2177,$CR2177,$CS2177,$CT2177)</f>
        <v/>
      </c>
      <c r="DX2177" s="66">
        <f>AVERAGE($CB2177,$CC2177,$CM2177,$CE2177,$CP2177)</f>
        <v/>
      </c>
      <c r="DY2177" s="64">
        <f>($DW2177-$DW2178)*100</f>
        <v/>
      </c>
      <c r="DZ2177" s="64">
        <f>($DX2177-$DX2178)*100</f>
        <v/>
      </c>
      <c r="EA2177" s="64">
        <f>($DW2177-$D2177)*100</f>
        <v/>
      </c>
      <c r="EB2177" s="64">
        <f>$Q2177-$O2177</f>
        <v/>
      </c>
      <c r="EC2177" s="67">
        <f>IFERROR($Q2177/$P2177,"")</f>
        <v/>
      </c>
    </row>
    <row r="2178">
      <c r="DG2178" s="64">
        <f>($B2178-$B2179)*100</f>
        <v/>
      </c>
      <c r="DH2178" s="64">
        <f>($D2178-$D2179)*100</f>
        <v/>
      </c>
      <c r="DI2178" s="64">
        <f>($E2178-$E2179)*100</f>
        <v/>
      </c>
      <c r="DJ2178" s="64">
        <f>($H2178-$H2179)*100</f>
        <v/>
      </c>
      <c r="DK2178" s="65">
        <f>IFERROR($J2178/$J2179-1,"")</f>
        <v/>
      </c>
      <c r="DL2178" s="64">
        <f>$L2178-$L2179</f>
        <v/>
      </c>
      <c r="DM2178" s="64">
        <f>$K2178-$K2179</f>
        <v/>
      </c>
      <c r="DN2178" s="65">
        <f>IFERROR($N2178/$N2179-1,"")</f>
        <v/>
      </c>
      <c r="DO2178" s="65">
        <f>IFERROR($M2178/$M2179-1,"")</f>
        <v/>
      </c>
      <c r="DP2178" s="65">
        <f>IFERROR($AZ2178/$AZ2179-1,"")</f>
        <v/>
      </c>
      <c r="DQ2178" s="65">
        <f>IFERROR($BA2178/$BA2179-1,"")</f>
        <v/>
      </c>
      <c r="DR2178" s="64">
        <f>$O2178-$O2179</f>
        <v/>
      </c>
      <c r="DS2178" s="64">
        <f>$P2178-$P2179</f>
        <v/>
      </c>
      <c r="DT2178" s="64">
        <f>$Q2178-$Q2179</f>
        <v/>
      </c>
      <c r="DU2178" s="64">
        <f>$S2178-$S2179</f>
        <v/>
      </c>
      <c r="DV2178" s="65">
        <f>IFERROR(AVERAGE($AA2179/$AA2178-1,$AB2179/$AB2178-1,$AC2179/$AC2178-1,$AD2179/$AD2178-1,$AE2179/$AE2178-1,$AG2179/$AG2178-1,$AH2179/$AH2178-1,$AI2179/$AI2178-1,$AJ2179/$AJ2178-1,$AL2179/$AL2178-1,$AM2179/$AM2178-1,$AR2179/$AR2178-1,$AS2179/$AS2178-1,$AT2179/$AT2178-1,$AU2179/$AU2178-1,$AV2179/$AV2178-1,$AW2179/$AW2178-1,$AX2179/$AX2178-1,$AY2179/$AY2178-1),"")</f>
        <v/>
      </c>
      <c r="DW2178" s="66">
        <f>AVERAGE($CB2178,$CC2178,$CD2178,$CE2178,$CF2178,$CG2178,$CH2178,$CI2178,$CJ2178,$CL2178,$CM2178,$CN2178,$CO2178,$CP2178,$CQ2178,$CR2178,$CS2178,$CT2178)</f>
        <v/>
      </c>
      <c r="DX2178" s="66">
        <f>AVERAGE($CB2178,$CC2178,$CM2178,$CE2178,$CP2178)</f>
        <v/>
      </c>
      <c r="DY2178" s="64">
        <f>($DW2178-$DW2179)*100</f>
        <v/>
      </c>
      <c r="DZ2178" s="64">
        <f>($DX2178-$DX2179)*100</f>
        <v/>
      </c>
      <c r="EA2178" s="64">
        <f>($DW2178-$D2178)*100</f>
        <v/>
      </c>
      <c r="EB2178" s="64">
        <f>$Q2178-$O2178</f>
        <v/>
      </c>
      <c r="EC2178" s="67">
        <f>IFERROR($Q2178/$P2178,"")</f>
        <v/>
      </c>
    </row>
    <row r="2179">
      <c r="DG2179" s="64">
        <f>($B2179-$B2180)*100</f>
        <v/>
      </c>
      <c r="DH2179" s="64">
        <f>($D2179-$D2180)*100</f>
        <v/>
      </c>
      <c r="DI2179" s="64">
        <f>($E2179-$E2180)*100</f>
        <v/>
      </c>
      <c r="DJ2179" s="64">
        <f>($H2179-$H2180)*100</f>
        <v/>
      </c>
      <c r="DK2179" s="65">
        <f>IFERROR($J2179/$J2180-1,"")</f>
        <v/>
      </c>
      <c r="DL2179" s="64">
        <f>$L2179-$L2180</f>
        <v/>
      </c>
      <c r="DM2179" s="64">
        <f>$K2179-$K2180</f>
        <v/>
      </c>
      <c r="DN2179" s="65">
        <f>IFERROR($N2179/$N2180-1,"")</f>
        <v/>
      </c>
      <c r="DO2179" s="65">
        <f>IFERROR($M2179/$M2180-1,"")</f>
        <v/>
      </c>
      <c r="DP2179" s="65">
        <f>IFERROR($AZ2179/$AZ2180-1,"")</f>
        <v/>
      </c>
      <c r="DQ2179" s="65">
        <f>IFERROR($BA2179/$BA2180-1,"")</f>
        <v/>
      </c>
      <c r="DR2179" s="64">
        <f>$O2179-$O2180</f>
        <v/>
      </c>
      <c r="DS2179" s="64">
        <f>$P2179-$P2180</f>
        <v/>
      </c>
      <c r="DT2179" s="64">
        <f>$Q2179-$Q2180</f>
        <v/>
      </c>
      <c r="DU2179" s="64">
        <f>$S2179-$S2180</f>
        <v/>
      </c>
      <c r="DV2179" s="65">
        <f>IFERROR(AVERAGE($AA2180/$AA2179-1,$AB2180/$AB2179-1,$AC2180/$AC2179-1,$AD2180/$AD2179-1,$AE2180/$AE2179-1,$AG2180/$AG2179-1,$AH2180/$AH2179-1,$AI2180/$AI2179-1,$AJ2180/$AJ2179-1,$AL2180/$AL2179-1,$AM2180/$AM2179-1,$AR2180/$AR2179-1,$AS2180/$AS2179-1,$AT2180/$AT2179-1,$AU2180/$AU2179-1,$AV2180/$AV2179-1,$AW2180/$AW2179-1,$AX2180/$AX2179-1,$AY2180/$AY2179-1),"")</f>
        <v/>
      </c>
      <c r="DW2179" s="66">
        <f>AVERAGE($CB2179,$CC2179,$CD2179,$CE2179,$CF2179,$CG2179,$CH2179,$CI2179,$CJ2179,$CL2179,$CM2179,$CN2179,$CO2179,$CP2179,$CQ2179,$CR2179,$CS2179,$CT2179)</f>
        <v/>
      </c>
      <c r="DX2179" s="66">
        <f>AVERAGE($CB2179,$CC2179,$CM2179,$CE2179,$CP2179)</f>
        <v/>
      </c>
      <c r="DY2179" s="64">
        <f>($DW2179-$DW2180)*100</f>
        <v/>
      </c>
      <c r="DZ2179" s="64">
        <f>($DX2179-$DX2180)*100</f>
        <v/>
      </c>
      <c r="EA2179" s="64">
        <f>($DW2179-$D2179)*100</f>
        <v/>
      </c>
      <c r="EB2179" s="64">
        <f>$Q2179-$O2179</f>
        <v/>
      </c>
      <c r="EC2179" s="67">
        <f>IFERROR($Q2179/$P2179,"")</f>
        <v/>
      </c>
    </row>
    <row r="2180">
      <c r="DG2180" s="64">
        <f>($B2180-$B2181)*100</f>
        <v/>
      </c>
      <c r="DH2180" s="64">
        <f>($D2180-$D2181)*100</f>
        <v/>
      </c>
      <c r="DI2180" s="64">
        <f>($E2180-$E2181)*100</f>
        <v/>
      </c>
      <c r="DJ2180" s="64">
        <f>($H2180-$H2181)*100</f>
        <v/>
      </c>
      <c r="DK2180" s="65">
        <f>IFERROR($J2180/$J2181-1,"")</f>
        <v/>
      </c>
      <c r="DL2180" s="64">
        <f>$L2180-$L2181</f>
        <v/>
      </c>
      <c r="DM2180" s="64">
        <f>$K2180-$K2181</f>
        <v/>
      </c>
      <c r="DN2180" s="65">
        <f>IFERROR($N2180/$N2181-1,"")</f>
        <v/>
      </c>
      <c r="DO2180" s="65">
        <f>IFERROR($M2180/$M2181-1,"")</f>
        <v/>
      </c>
      <c r="DP2180" s="65">
        <f>IFERROR($AZ2180/$AZ2181-1,"")</f>
        <v/>
      </c>
      <c r="DQ2180" s="65">
        <f>IFERROR($BA2180/$BA2181-1,"")</f>
        <v/>
      </c>
      <c r="DR2180" s="64">
        <f>$O2180-$O2181</f>
        <v/>
      </c>
      <c r="DS2180" s="64">
        <f>$P2180-$P2181</f>
        <v/>
      </c>
      <c r="DT2180" s="64">
        <f>$Q2180-$Q2181</f>
        <v/>
      </c>
      <c r="DU2180" s="64">
        <f>$S2180-$S2181</f>
        <v/>
      </c>
      <c r="DV2180" s="65">
        <f>IFERROR(AVERAGE($AA2181/$AA2180-1,$AB2181/$AB2180-1,$AC2181/$AC2180-1,$AD2181/$AD2180-1,$AE2181/$AE2180-1,$AG2181/$AG2180-1,$AH2181/$AH2180-1,$AI2181/$AI2180-1,$AJ2181/$AJ2180-1,$AL2181/$AL2180-1,$AM2181/$AM2180-1,$AR2181/$AR2180-1,$AS2181/$AS2180-1,$AT2181/$AT2180-1,$AU2181/$AU2180-1,$AV2181/$AV2180-1,$AW2181/$AW2180-1,$AX2181/$AX2180-1,$AY2181/$AY2180-1),"")</f>
        <v/>
      </c>
      <c r="DW2180" s="66">
        <f>AVERAGE($CB2180,$CC2180,$CD2180,$CE2180,$CF2180,$CG2180,$CH2180,$CI2180,$CJ2180,$CL2180,$CM2180,$CN2180,$CO2180,$CP2180,$CQ2180,$CR2180,$CS2180,$CT2180)</f>
        <v/>
      </c>
      <c r="DX2180" s="66">
        <f>AVERAGE($CB2180,$CC2180,$CM2180,$CE2180,$CP2180)</f>
        <v/>
      </c>
      <c r="DY2180" s="64">
        <f>($DW2180-$DW2181)*100</f>
        <v/>
      </c>
      <c r="DZ2180" s="64">
        <f>($DX2180-$DX2181)*100</f>
        <v/>
      </c>
      <c r="EA2180" s="64">
        <f>($DW2180-$D2180)*100</f>
        <v/>
      </c>
      <c r="EB2180" s="64">
        <f>$Q2180-$O2180</f>
        <v/>
      </c>
      <c r="EC2180" s="67">
        <f>IFERROR($Q2180/$P2180,"")</f>
        <v/>
      </c>
    </row>
    <row r="2181">
      <c r="DG2181" s="64">
        <f>($B2181-$B2182)*100</f>
        <v/>
      </c>
      <c r="DH2181" s="64">
        <f>($D2181-$D2182)*100</f>
        <v/>
      </c>
      <c r="DI2181" s="64">
        <f>($E2181-$E2182)*100</f>
        <v/>
      </c>
      <c r="DJ2181" s="64">
        <f>($H2181-$H2182)*100</f>
        <v/>
      </c>
      <c r="DK2181" s="65">
        <f>IFERROR($J2181/$J2182-1,"")</f>
        <v/>
      </c>
      <c r="DL2181" s="64">
        <f>$L2181-$L2182</f>
        <v/>
      </c>
      <c r="DM2181" s="64">
        <f>$K2181-$K2182</f>
        <v/>
      </c>
      <c r="DN2181" s="65">
        <f>IFERROR($N2181/$N2182-1,"")</f>
        <v/>
      </c>
      <c r="DO2181" s="65">
        <f>IFERROR($M2181/$M2182-1,"")</f>
        <v/>
      </c>
      <c r="DP2181" s="65">
        <f>IFERROR($AZ2181/$AZ2182-1,"")</f>
        <v/>
      </c>
      <c r="DQ2181" s="65">
        <f>IFERROR($BA2181/$BA2182-1,"")</f>
        <v/>
      </c>
      <c r="DR2181" s="64">
        <f>$O2181-$O2182</f>
        <v/>
      </c>
      <c r="DS2181" s="64">
        <f>$P2181-$P2182</f>
        <v/>
      </c>
      <c r="DT2181" s="64">
        <f>$Q2181-$Q2182</f>
        <v/>
      </c>
      <c r="DU2181" s="64">
        <f>$S2181-$S2182</f>
        <v/>
      </c>
      <c r="DV2181" s="65">
        <f>IFERROR(AVERAGE($AA2182/$AA2181-1,$AB2182/$AB2181-1,$AC2182/$AC2181-1,$AD2182/$AD2181-1,$AE2182/$AE2181-1,$AG2182/$AG2181-1,$AH2182/$AH2181-1,$AI2182/$AI2181-1,$AJ2182/$AJ2181-1,$AL2182/$AL2181-1,$AM2182/$AM2181-1,$AR2182/$AR2181-1,$AS2182/$AS2181-1,$AT2182/$AT2181-1,$AU2182/$AU2181-1,$AV2182/$AV2181-1,$AW2182/$AW2181-1,$AX2182/$AX2181-1,$AY2182/$AY2181-1),"")</f>
        <v/>
      </c>
      <c r="DW2181" s="66">
        <f>AVERAGE($CB2181,$CC2181,$CD2181,$CE2181,$CF2181,$CG2181,$CH2181,$CI2181,$CJ2181,$CL2181,$CM2181,$CN2181,$CO2181,$CP2181,$CQ2181,$CR2181,$CS2181,$CT2181)</f>
        <v/>
      </c>
      <c r="DX2181" s="66">
        <f>AVERAGE($CB2181,$CC2181,$CM2181,$CE2181,$CP2181)</f>
        <v/>
      </c>
      <c r="DY2181" s="64">
        <f>($DW2181-$DW2182)*100</f>
        <v/>
      </c>
      <c r="DZ2181" s="64">
        <f>($DX2181-$DX2182)*100</f>
        <v/>
      </c>
      <c r="EA2181" s="64">
        <f>($DW2181-$D2181)*100</f>
        <v/>
      </c>
      <c r="EB2181" s="64">
        <f>$Q2181-$O2181</f>
        <v/>
      </c>
      <c r="EC2181" s="67">
        <f>IFERROR($Q2181/$P2181,"")</f>
        <v/>
      </c>
    </row>
    <row r="2182">
      <c r="DG2182" s="64">
        <f>($B2182-$B2183)*100</f>
        <v/>
      </c>
      <c r="DH2182" s="64">
        <f>($D2182-$D2183)*100</f>
        <v/>
      </c>
      <c r="DI2182" s="64">
        <f>($E2182-$E2183)*100</f>
        <v/>
      </c>
      <c r="DJ2182" s="64">
        <f>($H2182-$H2183)*100</f>
        <v/>
      </c>
      <c r="DK2182" s="65">
        <f>IFERROR($J2182/$J2183-1,"")</f>
        <v/>
      </c>
      <c r="DL2182" s="64">
        <f>$L2182-$L2183</f>
        <v/>
      </c>
      <c r="DM2182" s="64">
        <f>$K2182-$K2183</f>
        <v/>
      </c>
      <c r="DN2182" s="65">
        <f>IFERROR($N2182/$N2183-1,"")</f>
        <v/>
      </c>
      <c r="DO2182" s="65">
        <f>IFERROR($M2182/$M2183-1,"")</f>
        <v/>
      </c>
      <c r="DP2182" s="65">
        <f>IFERROR($AZ2182/$AZ2183-1,"")</f>
        <v/>
      </c>
      <c r="DQ2182" s="65">
        <f>IFERROR($BA2182/$BA2183-1,"")</f>
        <v/>
      </c>
      <c r="DR2182" s="64">
        <f>$O2182-$O2183</f>
        <v/>
      </c>
      <c r="DS2182" s="64">
        <f>$P2182-$P2183</f>
        <v/>
      </c>
      <c r="DT2182" s="64">
        <f>$Q2182-$Q2183</f>
        <v/>
      </c>
      <c r="DU2182" s="64">
        <f>$S2182-$S2183</f>
        <v/>
      </c>
      <c r="DV2182" s="65">
        <f>IFERROR(AVERAGE($AA2183/$AA2182-1,$AB2183/$AB2182-1,$AC2183/$AC2182-1,$AD2183/$AD2182-1,$AE2183/$AE2182-1,$AG2183/$AG2182-1,$AH2183/$AH2182-1,$AI2183/$AI2182-1,$AJ2183/$AJ2182-1,$AL2183/$AL2182-1,$AM2183/$AM2182-1,$AR2183/$AR2182-1,$AS2183/$AS2182-1,$AT2183/$AT2182-1,$AU2183/$AU2182-1,$AV2183/$AV2182-1,$AW2183/$AW2182-1,$AX2183/$AX2182-1,$AY2183/$AY2182-1),"")</f>
        <v/>
      </c>
      <c r="DW2182" s="66">
        <f>AVERAGE($CB2182,$CC2182,$CD2182,$CE2182,$CF2182,$CG2182,$CH2182,$CI2182,$CJ2182,$CL2182,$CM2182,$CN2182,$CO2182,$CP2182,$CQ2182,$CR2182,$CS2182,$CT2182)</f>
        <v/>
      </c>
      <c r="DX2182" s="66">
        <f>AVERAGE($CB2182,$CC2182,$CM2182,$CE2182,$CP2182)</f>
        <v/>
      </c>
      <c r="DY2182" s="64">
        <f>($DW2182-$DW2183)*100</f>
        <v/>
      </c>
      <c r="DZ2182" s="64">
        <f>($DX2182-$DX2183)*100</f>
        <v/>
      </c>
      <c r="EA2182" s="64">
        <f>($DW2182-$D2182)*100</f>
        <v/>
      </c>
      <c r="EB2182" s="64">
        <f>$Q2182-$O2182</f>
        <v/>
      </c>
      <c r="EC2182" s="67">
        <f>IFERROR($Q2182/$P2182,"")</f>
        <v/>
      </c>
    </row>
    <row r="2183">
      <c r="DG2183" s="64">
        <f>($B2183-$B2184)*100</f>
        <v/>
      </c>
      <c r="DH2183" s="64">
        <f>($D2183-$D2184)*100</f>
        <v/>
      </c>
      <c r="DI2183" s="64">
        <f>($E2183-$E2184)*100</f>
        <v/>
      </c>
      <c r="DJ2183" s="64">
        <f>($H2183-$H2184)*100</f>
        <v/>
      </c>
      <c r="DK2183" s="65">
        <f>IFERROR($J2183/$J2184-1,"")</f>
        <v/>
      </c>
      <c r="DL2183" s="64">
        <f>$L2183-$L2184</f>
        <v/>
      </c>
      <c r="DM2183" s="64">
        <f>$K2183-$K2184</f>
        <v/>
      </c>
      <c r="DN2183" s="65">
        <f>IFERROR($N2183/$N2184-1,"")</f>
        <v/>
      </c>
      <c r="DO2183" s="65">
        <f>IFERROR($M2183/$M2184-1,"")</f>
        <v/>
      </c>
      <c r="DP2183" s="65">
        <f>IFERROR($AZ2183/$AZ2184-1,"")</f>
        <v/>
      </c>
      <c r="DQ2183" s="65">
        <f>IFERROR($BA2183/$BA2184-1,"")</f>
        <v/>
      </c>
      <c r="DR2183" s="64">
        <f>$O2183-$O2184</f>
        <v/>
      </c>
      <c r="DS2183" s="64">
        <f>$P2183-$P2184</f>
        <v/>
      </c>
      <c r="DT2183" s="64">
        <f>$Q2183-$Q2184</f>
        <v/>
      </c>
      <c r="DU2183" s="64">
        <f>$S2183-$S2184</f>
        <v/>
      </c>
      <c r="DV2183" s="65">
        <f>IFERROR(AVERAGE($AA2184/$AA2183-1,$AB2184/$AB2183-1,$AC2184/$AC2183-1,$AD2184/$AD2183-1,$AE2184/$AE2183-1,$AG2184/$AG2183-1,$AH2184/$AH2183-1,$AI2184/$AI2183-1,$AJ2184/$AJ2183-1,$AL2184/$AL2183-1,$AM2184/$AM2183-1,$AR2184/$AR2183-1,$AS2184/$AS2183-1,$AT2184/$AT2183-1,$AU2184/$AU2183-1,$AV2184/$AV2183-1,$AW2184/$AW2183-1,$AX2184/$AX2183-1,$AY2184/$AY2183-1),"")</f>
        <v/>
      </c>
      <c r="DW2183" s="66">
        <f>AVERAGE($CB2183,$CC2183,$CD2183,$CE2183,$CF2183,$CG2183,$CH2183,$CI2183,$CJ2183,$CL2183,$CM2183,$CN2183,$CO2183,$CP2183,$CQ2183,$CR2183,$CS2183,$CT2183)</f>
        <v/>
      </c>
      <c r="DX2183" s="66">
        <f>AVERAGE($CB2183,$CC2183,$CM2183,$CE2183,$CP2183)</f>
        <v/>
      </c>
      <c r="DY2183" s="64">
        <f>($DW2183-$DW2184)*100</f>
        <v/>
      </c>
      <c r="DZ2183" s="64">
        <f>($DX2183-$DX2184)*100</f>
        <v/>
      </c>
      <c r="EA2183" s="64">
        <f>($DW2183-$D2183)*100</f>
        <v/>
      </c>
      <c r="EB2183" s="64">
        <f>$Q2183-$O2183</f>
        <v/>
      </c>
      <c r="EC2183" s="67">
        <f>IFERROR($Q2183/$P2183,"")</f>
        <v/>
      </c>
    </row>
    <row r="2184">
      <c r="DG2184" s="64">
        <f>($B2184-$B2185)*100</f>
        <v/>
      </c>
      <c r="DH2184" s="64">
        <f>($D2184-$D2185)*100</f>
        <v/>
      </c>
      <c r="DI2184" s="64">
        <f>($E2184-$E2185)*100</f>
        <v/>
      </c>
      <c r="DJ2184" s="64">
        <f>($H2184-$H2185)*100</f>
        <v/>
      </c>
      <c r="DK2184" s="65">
        <f>IFERROR($J2184/$J2185-1,"")</f>
        <v/>
      </c>
      <c r="DL2184" s="64">
        <f>$L2184-$L2185</f>
        <v/>
      </c>
      <c r="DM2184" s="64">
        <f>$K2184-$K2185</f>
        <v/>
      </c>
      <c r="DN2184" s="65">
        <f>IFERROR($N2184/$N2185-1,"")</f>
        <v/>
      </c>
      <c r="DO2184" s="65">
        <f>IFERROR($M2184/$M2185-1,"")</f>
        <v/>
      </c>
      <c r="DP2184" s="65">
        <f>IFERROR($AZ2184/$AZ2185-1,"")</f>
        <v/>
      </c>
      <c r="DQ2184" s="65">
        <f>IFERROR($BA2184/$BA2185-1,"")</f>
        <v/>
      </c>
      <c r="DR2184" s="64">
        <f>$O2184-$O2185</f>
        <v/>
      </c>
      <c r="DS2184" s="64">
        <f>$P2184-$P2185</f>
        <v/>
      </c>
      <c r="DT2184" s="64">
        <f>$Q2184-$Q2185</f>
        <v/>
      </c>
      <c r="DU2184" s="64">
        <f>$S2184-$S2185</f>
        <v/>
      </c>
      <c r="DV2184" s="65">
        <f>IFERROR(AVERAGE($AA2185/$AA2184-1,$AB2185/$AB2184-1,$AC2185/$AC2184-1,$AD2185/$AD2184-1,$AE2185/$AE2184-1,$AG2185/$AG2184-1,$AH2185/$AH2184-1,$AI2185/$AI2184-1,$AJ2185/$AJ2184-1,$AL2185/$AL2184-1,$AM2185/$AM2184-1,$AR2185/$AR2184-1,$AS2185/$AS2184-1,$AT2185/$AT2184-1,$AU2185/$AU2184-1,$AV2185/$AV2184-1,$AW2185/$AW2184-1,$AX2185/$AX2184-1,$AY2185/$AY2184-1),"")</f>
        <v/>
      </c>
      <c r="DW2184" s="66">
        <f>AVERAGE($CB2184,$CC2184,$CD2184,$CE2184,$CF2184,$CG2184,$CH2184,$CI2184,$CJ2184,$CL2184,$CM2184,$CN2184,$CO2184,$CP2184,$CQ2184,$CR2184,$CS2184,$CT2184)</f>
        <v/>
      </c>
      <c r="DX2184" s="66">
        <f>AVERAGE($CB2184,$CC2184,$CM2184,$CE2184,$CP2184)</f>
        <v/>
      </c>
      <c r="DY2184" s="64">
        <f>($DW2184-$DW2185)*100</f>
        <v/>
      </c>
      <c r="DZ2184" s="64">
        <f>($DX2184-$DX2185)*100</f>
        <v/>
      </c>
      <c r="EA2184" s="64">
        <f>($DW2184-$D2184)*100</f>
        <v/>
      </c>
      <c r="EB2184" s="64">
        <f>$Q2184-$O2184</f>
        <v/>
      </c>
      <c r="EC2184" s="67">
        <f>IFERROR($Q2184/$P2184,"")</f>
        <v/>
      </c>
    </row>
    <row r="2185">
      <c r="DG2185" s="64">
        <f>($B2185-$B2186)*100</f>
        <v/>
      </c>
      <c r="DH2185" s="64">
        <f>($D2185-$D2186)*100</f>
        <v/>
      </c>
      <c r="DI2185" s="64">
        <f>($E2185-$E2186)*100</f>
        <v/>
      </c>
      <c r="DJ2185" s="64">
        <f>($H2185-$H2186)*100</f>
        <v/>
      </c>
      <c r="DK2185" s="65">
        <f>IFERROR($J2185/$J2186-1,"")</f>
        <v/>
      </c>
      <c r="DL2185" s="64">
        <f>$L2185-$L2186</f>
        <v/>
      </c>
      <c r="DM2185" s="64">
        <f>$K2185-$K2186</f>
        <v/>
      </c>
      <c r="DN2185" s="65">
        <f>IFERROR($N2185/$N2186-1,"")</f>
        <v/>
      </c>
      <c r="DO2185" s="65">
        <f>IFERROR($M2185/$M2186-1,"")</f>
        <v/>
      </c>
      <c r="DP2185" s="65">
        <f>IFERROR($AZ2185/$AZ2186-1,"")</f>
        <v/>
      </c>
      <c r="DQ2185" s="65">
        <f>IFERROR($BA2185/$BA2186-1,"")</f>
        <v/>
      </c>
      <c r="DR2185" s="64">
        <f>$O2185-$O2186</f>
        <v/>
      </c>
      <c r="DS2185" s="64">
        <f>$P2185-$P2186</f>
        <v/>
      </c>
      <c r="DT2185" s="64">
        <f>$Q2185-$Q2186</f>
        <v/>
      </c>
      <c r="DU2185" s="64">
        <f>$S2185-$S2186</f>
        <v/>
      </c>
      <c r="DV2185" s="65">
        <f>IFERROR(AVERAGE($AA2186/$AA2185-1,$AB2186/$AB2185-1,$AC2186/$AC2185-1,$AD2186/$AD2185-1,$AE2186/$AE2185-1,$AG2186/$AG2185-1,$AH2186/$AH2185-1,$AI2186/$AI2185-1,$AJ2186/$AJ2185-1,$AL2186/$AL2185-1,$AM2186/$AM2185-1,$AR2186/$AR2185-1,$AS2186/$AS2185-1,$AT2186/$AT2185-1,$AU2186/$AU2185-1,$AV2186/$AV2185-1,$AW2186/$AW2185-1,$AX2186/$AX2185-1,$AY2186/$AY2185-1),"")</f>
        <v/>
      </c>
      <c r="DW2185" s="66">
        <f>AVERAGE($CB2185,$CC2185,$CD2185,$CE2185,$CF2185,$CG2185,$CH2185,$CI2185,$CJ2185,$CL2185,$CM2185,$CN2185,$CO2185,$CP2185,$CQ2185,$CR2185,$CS2185,$CT2185)</f>
        <v/>
      </c>
      <c r="DX2185" s="66">
        <f>AVERAGE($CB2185,$CC2185,$CM2185,$CE2185,$CP2185)</f>
        <v/>
      </c>
      <c r="DY2185" s="64">
        <f>($DW2185-$DW2186)*100</f>
        <v/>
      </c>
      <c r="DZ2185" s="64">
        <f>($DX2185-$DX2186)*100</f>
        <v/>
      </c>
      <c r="EA2185" s="64">
        <f>($DW2185-$D2185)*100</f>
        <v/>
      </c>
      <c r="EB2185" s="64">
        <f>$Q2185-$O2185</f>
        <v/>
      </c>
      <c r="EC2185" s="67">
        <f>IFERROR($Q2185/$P2185,"")</f>
        <v/>
      </c>
    </row>
    <row r="2186">
      <c r="DG2186" s="64">
        <f>($B2186-$B2187)*100</f>
        <v/>
      </c>
      <c r="DH2186" s="64">
        <f>($D2186-$D2187)*100</f>
        <v/>
      </c>
      <c r="DI2186" s="64">
        <f>($E2186-$E2187)*100</f>
        <v/>
      </c>
      <c r="DJ2186" s="64">
        <f>($H2186-$H2187)*100</f>
        <v/>
      </c>
      <c r="DK2186" s="65">
        <f>IFERROR($J2186/$J2187-1,"")</f>
        <v/>
      </c>
      <c r="DL2186" s="64">
        <f>$L2186-$L2187</f>
        <v/>
      </c>
      <c r="DM2186" s="64">
        <f>$K2186-$K2187</f>
        <v/>
      </c>
      <c r="DN2186" s="65">
        <f>IFERROR($N2186/$N2187-1,"")</f>
        <v/>
      </c>
      <c r="DO2186" s="65">
        <f>IFERROR($M2186/$M2187-1,"")</f>
        <v/>
      </c>
      <c r="DP2186" s="65">
        <f>IFERROR($AZ2186/$AZ2187-1,"")</f>
        <v/>
      </c>
      <c r="DQ2186" s="65">
        <f>IFERROR($BA2186/$BA2187-1,"")</f>
        <v/>
      </c>
      <c r="DR2186" s="64">
        <f>$O2186-$O2187</f>
        <v/>
      </c>
      <c r="DS2186" s="64">
        <f>$P2186-$P2187</f>
        <v/>
      </c>
      <c r="DT2186" s="64">
        <f>$Q2186-$Q2187</f>
        <v/>
      </c>
      <c r="DU2186" s="64">
        <f>$S2186-$S2187</f>
        <v/>
      </c>
      <c r="DV2186" s="65">
        <f>IFERROR(AVERAGE($AA2187/$AA2186-1,$AB2187/$AB2186-1,$AC2187/$AC2186-1,$AD2187/$AD2186-1,$AE2187/$AE2186-1,$AG2187/$AG2186-1,$AH2187/$AH2186-1,$AI2187/$AI2186-1,$AJ2187/$AJ2186-1,$AL2187/$AL2186-1,$AM2187/$AM2186-1,$AR2187/$AR2186-1,$AS2187/$AS2186-1,$AT2187/$AT2186-1,$AU2187/$AU2186-1,$AV2187/$AV2186-1,$AW2187/$AW2186-1,$AX2187/$AX2186-1,$AY2187/$AY2186-1),"")</f>
        <v/>
      </c>
      <c r="DW2186" s="66">
        <f>AVERAGE($CB2186,$CC2186,$CD2186,$CE2186,$CF2186,$CG2186,$CH2186,$CI2186,$CJ2186,$CL2186,$CM2186,$CN2186,$CO2186,$CP2186,$CQ2186,$CR2186,$CS2186,$CT2186)</f>
        <v/>
      </c>
      <c r="DX2186" s="66">
        <f>AVERAGE($CB2186,$CC2186,$CM2186,$CE2186,$CP2186)</f>
        <v/>
      </c>
      <c r="DY2186" s="64">
        <f>($DW2186-$DW2187)*100</f>
        <v/>
      </c>
      <c r="DZ2186" s="64">
        <f>($DX2186-$DX2187)*100</f>
        <v/>
      </c>
      <c r="EA2186" s="64">
        <f>($DW2186-$D2186)*100</f>
        <v/>
      </c>
      <c r="EB2186" s="64">
        <f>$Q2186-$O2186</f>
        <v/>
      </c>
      <c r="EC2186" s="67">
        <f>IFERROR($Q2186/$P2186,"")</f>
        <v/>
      </c>
    </row>
    <row r="2187">
      <c r="DG2187" s="64">
        <f>($B2187-$B2188)*100</f>
        <v/>
      </c>
      <c r="DH2187" s="64">
        <f>($D2187-$D2188)*100</f>
        <v/>
      </c>
      <c r="DI2187" s="64">
        <f>($E2187-$E2188)*100</f>
        <v/>
      </c>
      <c r="DJ2187" s="64">
        <f>($H2187-$H2188)*100</f>
        <v/>
      </c>
      <c r="DK2187" s="65">
        <f>IFERROR($J2187/$J2188-1,"")</f>
        <v/>
      </c>
      <c r="DL2187" s="64">
        <f>$L2187-$L2188</f>
        <v/>
      </c>
      <c r="DM2187" s="64">
        <f>$K2187-$K2188</f>
        <v/>
      </c>
      <c r="DN2187" s="65">
        <f>IFERROR($N2187/$N2188-1,"")</f>
        <v/>
      </c>
      <c r="DO2187" s="65">
        <f>IFERROR($M2187/$M2188-1,"")</f>
        <v/>
      </c>
      <c r="DP2187" s="65">
        <f>IFERROR($AZ2187/$AZ2188-1,"")</f>
        <v/>
      </c>
      <c r="DQ2187" s="65">
        <f>IFERROR($BA2187/$BA2188-1,"")</f>
        <v/>
      </c>
      <c r="DR2187" s="64">
        <f>$O2187-$O2188</f>
        <v/>
      </c>
      <c r="DS2187" s="64">
        <f>$P2187-$P2188</f>
        <v/>
      </c>
      <c r="DT2187" s="64">
        <f>$Q2187-$Q2188</f>
        <v/>
      </c>
      <c r="DU2187" s="64">
        <f>$S2187-$S2188</f>
        <v/>
      </c>
      <c r="DV2187" s="65">
        <f>IFERROR(AVERAGE($AA2188/$AA2187-1,$AB2188/$AB2187-1,$AC2188/$AC2187-1,$AD2188/$AD2187-1,$AE2188/$AE2187-1,$AG2188/$AG2187-1,$AH2188/$AH2187-1,$AI2188/$AI2187-1,$AJ2188/$AJ2187-1,$AL2188/$AL2187-1,$AM2188/$AM2187-1,$AR2188/$AR2187-1,$AS2188/$AS2187-1,$AT2188/$AT2187-1,$AU2188/$AU2187-1,$AV2188/$AV2187-1,$AW2188/$AW2187-1,$AX2188/$AX2187-1,$AY2188/$AY2187-1),"")</f>
        <v/>
      </c>
      <c r="DW2187" s="66">
        <f>AVERAGE($CB2187,$CC2187,$CD2187,$CE2187,$CF2187,$CG2187,$CH2187,$CI2187,$CJ2187,$CL2187,$CM2187,$CN2187,$CO2187,$CP2187,$CQ2187,$CR2187,$CS2187,$CT2187)</f>
        <v/>
      </c>
      <c r="DX2187" s="66">
        <f>AVERAGE($CB2187,$CC2187,$CM2187,$CE2187,$CP2187)</f>
        <v/>
      </c>
      <c r="DY2187" s="64">
        <f>($DW2187-$DW2188)*100</f>
        <v/>
      </c>
      <c r="DZ2187" s="64">
        <f>($DX2187-$DX2188)*100</f>
        <v/>
      </c>
      <c r="EA2187" s="64">
        <f>($DW2187-$D2187)*100</f>
        <v/>
      </c>
      <c r="EB2187" s="64">
        <f>$Q2187-$O2187</f>
        <v/>
      </c>
      <c r="EC2187" s="67">
        <f>IFERROR($Q2187/$P2187,"")</f>
        <v/>
      </c>
    </row>
    <row r="2188">
      <c r="DG2188" s="64">
        <f>($B2188-$B2189)*100</f>
        <v/>
      </c>
      <c r="DH2188" s="64">
        <f>($D2188-$D2189)*100</f>
        <v/>
      </c>
      <c r="DI2188" s="64">
        <f>($E2188-$E2189)*100</f>
        <v/>
      </c>
      <c r="DJ2188" s="64">
        <f>($H2188-$H2189)*100</f>
        <v/>
      </c>
      <c r="DK2188" s="65">
        <f>IFERROR($J2188/$J2189-1,"")</f>
        <v/>
      </c>
      <c r="DL2188" s="64">
        <f>$L2188-$L2189</f>
        <v/>
      </c>
      <c r="DM2188" s="64">
        <f>$K2188-$K2189</f>
        <v/>
      </c>
      <c r="DN2188" s="65">
        <f>IFERROR($N2188/$N2189-1,"")</f>
        <v/>
      </c>
      <c r="DO2188" s="65">
        <f>IFERROR($M2188/$M2189-1,"")</f>
        <v/>
      </c>
      <c r="DP2188" s="65">
        <f>IFERROR($AZ2188/$AZ2189-1,"")</f>
        <v/>
      </c>
      <c r="DQ2188" s="65">
        <f>IFERROR($BA2188/$BA2189-1,"")</f>
        <v/>
      </c>
      <c r="DR2188" s="64">
        <f>$O2188-$O2189</f>
        <v/>
      </c>
      <c r="DS2188" s="64">
        <f>$P2188-$P2189</f>
        <v/>
      </c>
      <c r="DT2188" s="64">
        <f>$Q2188-$Q2189</f>
        <v/>
      </c>
      <c r="DU2188" s="64">
        <f>$S2188-$S2189</f>
        <v/>
      </c>
      <c r="DV2188" s="65">
        <f>IFERROR(AVERAGE($AA2189/$AA2188-1,$AB2189/$AB2188-1,$AC2189/$AC2188-1,$AD2189/$AD2188-1,$AE2189/$AE2188-1,$AG2189/$AG2188-1,$AH2189/$AH2188-1,$AI2189/$AI2188-1,$AJ2189/$AJ2188-1,$AL2189/$AL2188-1,$AM2189/$AM2188-1,$AR2189/$AR2188-1,$AS2189/$AS2188-1,$AT2189/$AT2188-1,$AU2189/$AU2188-1,$AV2189/$AV2188-1,$AW2189/$AW2188-1,$AX2189/$AX2188-1,$AY2189/$AY2188-1),"")</f>
        <v/>
      </c>
      <c r="DW2188" s="66">
        <f>AVERAGE($CB2188,$CC2188,$CD2188,$CE2188,$CF2188,$CG2188,$CH2188,$CI2188,$CJ2188,$CL2188,$CM2188,$CN2188,$CO2188,$CP2188,$CQ2188,$CR2188,$CS2188,$CT2188)</f>
        <v/>
      </c>
      <c r="DX2188" s="66">
        <f>AVERAGE($CB2188,$CC2188,$CM2188,$CE2188,$CP2188)</f>
        <v/>
      </c>
      <c r="DY2188" s="64">
        <f>($DW2188-$DW2189)*100</f>
        <v/>
      </c>
      <c r="DZ2188" s="64">
        <f>($DX2188-$DX2189)*100</f>
        <v/>
      </c>
      <c r="EA2188" s="64">
        <f>($DW2188-$D2188)*100</f>
        <v/>
      </c>
      <c r="EB2188" s="64">
        <f>$Q2188-$O2188</f>
        <v/>
      </c>
      <c r="EC2188" s="67">
        <f>IFERROR($Q2188/$P2188,"")</f>
        <v/>
      </c>
    </row>
    <row r="2189">
      <c r="DG2189" s="64">
        <f>($B2189-$B2190)*100</f>
        <v/>
      </c>
      <c r="DH2189" s="64">
        <f>($D2189-$D2190)*100</f>
        <v/>
      </c>
      <c r="DI2189" s="64">
        <f>($E2189-$E2190)*100</f>
        <v/>
      </c>
      <c r="DJ2189" s="64">
        <f>($H2189-$H2190)*100</f>
        <v/>
      </c>
      <c r="DK2189" s="65">
        <f>IFERROR($J2189/$J2190-1,"")</f>
        <v/>
      </c>
      <c r="DL2189" s="64">
        <f>$L2189-$L2190</f>
        <v/>
      </c>
      <c r="DM2189" s="64">
        <f>$K2189-$K2190</f>
        <v/>
      </c>
      <c r="DN2189" s="65">
        <f>IFERROR($N2189/$N2190-1,"")</f>
        <v/>
      </c>
      <c r="DO2189" s="65">
        <f>IFERROR($M2189/$M2190-1,"")</f>
        <v/>
      </c>
      <c r="DP2189" s="65">
        <f>IFERROR($AZ2189/$AZ2190-1,"")</f>
        <v/>
      </c>
      <c r="DQ2189" s="65">
        <f>IFERROR($BA2189/$BA2190-1,"")</f>
        <v/>
      </c>
      <c r="DR2189" s="64">
        <f>$O2189-$O2190</f>
        <v/>
      </c>
      <c r="DS2189" s="64">
        <f>$P2189-$P2190</f>
        <v/>
      </c>
      <c r="DT2189" s="64">
        <f>$Q2189-$Q2190</f>
        <v/>
      </c>
      <c r="DU2189" s="64">
        <f>$S2189-$S2190</f>
        <v/>
      </c>
      <c r="DV2189" s="65">
        <f>IFERROR(AVERAGE($AA2190/$AA2189-1,$AB2190/$AB2189-1,$AC2190/$AC2189-1,$AD2190/$AD2189-1,$AE2190/$AE2189-1,$AG2190/$AG2189-1,$AH2190/$AH2189-1,$AI2190/$AI2189-1,$AJ2190/$AJ2189-1,$AL2190/$AL2189-1,$AM2190/$AM2189-1,$AR2190/$AR2189-1,$AS2190/$AS2189-1,$AT2190/$AT2189-1,$AU2190/$AU2189-1,$AV2190/$AV2189-1,$AW2190/$AW2189-1,$AX2190/$AX2189-1,$AY2190/$AY2189-1),"")</f>
        <v/>
      </c>
      <c r="DW2189" s="66">
        <f>AVERAGE($CB2189,$CC2189,$CD2189,$CE2189,$CF2189,$CG2189,$CH2189,$CI2189,$CJ2189,$CL2189,$CM2189,$CN2189,$CO2189,$CP2189,$CQ2189,$CR2189,$CS2189,$CT2189)</f>
        <v/>
      </c>
      <c r="DX2189" s="66">
        <f>AVERAGE($CB2189,$CC2189,$CM2189,$CE2189,$CP2189)</f>
        <v/>
      </c>
      <c r="DY2189" s="64">
        <f>($DW2189-$DW2190)*100</f>
        <v/>
      </c>
      <c r="DZ2189" s="64">
        <f>($DX2189-$DX2190)*100</f>
        <v/>
      </c>
      <c r="EA2189" s="64">
        <f>($DW2189-$D2189)*100</f>
        <v/>
      </c>
      <c r="EB2189" s="64">
        <f>$Q2189-$O2189</f>
        <v/>
      </c>
      <c r="EC2189" s="67">
        <f>IFERROR($Q2189/$P2189,"")</f>
        <v/>
      </c>
    </row>
    <row r="2190">
      <c r="DG2190" s="64">
        <f>($B2190-$B2191)*100</f>
        <v/>
      </c>
      <c r="DH2190" s="64">
        <f>($D2190-$D2191)*100</f>
        <v/>
      </c>
      <c r="DI2190" s="64">
        <f>($E2190-$E2191)*100</f>
        <v/>
      </c>
      <c r="DJ2190" s="64">
        <f>($H2190-$H2191)*100</f>
        <v/>
      </c>
      <c r="DK2190" s="65">
        <f>IFERROR($J2190/$J2191-1,"")</f>
        <v/>
      </c>
      <c r="DL2190" s="64">
        <f>$L2190-$L2191</f>
        <v/>
      </c>
      <c r="DM2190" s="64">
        <f>$K2190-$K2191</f>
        <v/>
      </c>
      <c r="DN2190" s="65">
        <f>IFERROR($N2190/$N2191-1,"")</f>
        <v/>
      </c>
      <c r="DO2190" s="65">
        <f>IFERROR($M2190/$M2191-1,"")</f>
        <v/>
      </c>
      <c r="DP2190" s="65">
        <f>IFERROR($AZ2190/$AZ2191-1,"")</f>
        <v/>
      </c>
      <c r="DQ2190" s="65">
        <f>IFERROR($BA2190/$BA2191-1,"")</f>
        <v/>
      </c>
      <c r="DR2190" s="64">
        <f>$O2190-$O2191</f>
        <v/>
      </c>
      <c r="DS2190" s="64">
        <f>$P2190-$P2191</f>
        <v/>
      </c>
      <c r="DT2190" s="64">
        <f>$Q2190-$Q2191</f>
        <v/>
      </c>
      <c r="DU2190" s="64">
        <f>$S2190-$S2191</f>
        <v/>
      </c>
      <c r="DV2190" s="65">
        <f>IFERROR(AVERAGE($AA2191/$AA2190-1,$AB2191/$AB2190-1,$AC2191/$AC2190-1,$AD2191/$AD2190-1,$AE2191/$AE2190-1,$AG2191/$AG2190-1,$AH2191/$AH2190-1,$AI2191/$AI2190-1,$AJ2191/$AJ2190-1,$AL2191/$AL2190-1,$AM2191/$AM2190-1,$AR2191/$AR2190-1,$AS2191/$AS2190-1,$AT2191/$AT2190-1,$AU2191/$AU2190-1,$AV2191/$AV2190-1,$AW2191/$AW2190-1,$AX2191/$AX2190-1,$AY2191/$AY2190-1),"")</f>
        <v/>
      </c>
      <c r="DW2190" s="66">
        <f>AVERAGE($CB2190,$CC2190,$CD2190,$CE2190,$CF2190,$CG2190,$CH2190,$CI2190,$CJ2190,$CL2190,$CM2190,$CN2190,$CO2190,$CP2190,$CQ2190,$CR2190,$CS2190,$CT2190)</f>
        <v/>
      </c>
      <c r="DX2190" s="66">
        <f>AVERAGE($CB2190,$CC2190,$CM2190,$CE2190,$CP2190)</f>
        <v/>
      </c>
      <c r="DY2190" s="64">
        <f>($DW2190-$DW2191)*100</f>
        <v/>
      </c>
      <c r="DZ2190" s="64">
        <f>($DX2190-$DX2191)*100</f>
        <v/>
      </c>
      <c r="EA2190" s="64">
        <f>($DW2190-$D2190)*100</f>
        <v/>
      </c>
      <c r="EB2190" s="64">
        <f>$Q2190-$O2190</f>
        <v/>
      </c>
      <c r="EC2190" s="67">
        <f>IFERROR($Q2190/$P2190,"")</f>
        <v/>
      </c>
    </row>
    <row r="2191">
      <c r="DG2191" s="64">
        <f>($B2191-$B2192)*100</f>
        <v/>
      </c>
      <c r="DH2191" s="64">
        <f>($D2191-$D2192)*100</f>
        <v/>
      </c>
      <c r="DI2191" s="64">
        <f>($E2191-$E2192)*100</f>
        <v/>
      </c>
      <c r="DJ2191" s="64">
        <f>($H2191-$H2192)*100</f>
        <v/>
      </c>
      <c r="DK2191" s="65">
        <f>IFERROR($J2191/$J2192-1,"")</f>
        <v/>
      </c>
      <c r="DL2191" s="64">
        <f>$L2191-$L2192</f>
        <v/>
      </c>
      <c r="DM2191" s="64">
        <f>$K2191-$K2192</f>
        <v/>
      </c>
      <c r="DN2191" s="65">
        <f>IFERROR($N2191/$N2192-1,"")</f>
        <v/>
      </c>
      <c r="DO2191" s="65">
        <f>IFERROR($M2191/$M2192-1,"")</f>
        <v/>
      </c>
      <c r="DP2191" s="65">
        <f>IFERROR($AZ2191/$AZ2192-1,"")</f>
        <v/>
      </c>
      <c r="DQ2191" s="65">
        <f>IFERROR($BA2191/$BA2192-1,"")</f>
        <v/>
      </c>
      <c r="DR2191" s="64">
        <f>$O2191-$O2192</f>
        <v/>
      </c>
      <c r="DS2191" s="64">
        <f>$P2191-$P2192</f>
        <v/>
      </c>
      <c r="DT2191" s="64">
        <f>$Q2191-$Q2192</f>
        <v/>
      </c>
      <c r="DU2191" s="64">
        <f>$S2191-$S2192</f>
        <v/>
      </c>
      <c r="DV2191" s="65">
        <f>IFERROR(AVERAGE($AA2192/$AA2191-1,$AB2192/$AB2191-1,$AC2192/$AC2191-1,$AD2192/$AD2191-1,$AE2192/$AE2191-1,$AG2192/$AG2191-1,$AH2192/$AH2191-1,$AI2192/$AI2191-1,$AJ2192/$AJ2191-1,$AL2192/$AL2191-1,$AM2192/$AM2191-1,$AR2192/$AR2191-1,$AS2192/$AS2191-1,$AT2192/$AT2191-1,$AU2192/$AU2191-1,$AV2192/$AV2191-1,$AW2192/$AW2191-1,$AX2192/$AX2191-1,$AY2192/$AY2191-1),"")</f>
        <v/>
      </c>
      <c r="DW2191" s="66">
        <f>AVERAGE($CB2191,$CC2191,$CD2191,$CE2191,$CF2191,$CG2191,$CH2191,$CI2191,$CJ2191,$CL2191,$CM2191,$CN2191,$CO2191,$CP2191,$CQ2191,$CR2191,$CS2191,$CT2191)</f>
        <v/>
      </c>
      <c r="DX2191" s="66">
        <f>AVERAGE($CB2191,$CC2191,$CM2191,$CE2191,$CP2191)</f>
        <v/>
      </c>
      <c r="DY2191" s="64">
        <f>($DW2191-$DW2192)*100</f>
        <v/>
      </c>
      <c r="DZ2191" s="64">
        <f>($DX2191-$DX2192)*100</f>
        <v/>
      </c>
      <c r="EA2191" s="64">
        <f>($DW2191-$D2191)*100</f>
        <v/>
      </c>
      <c r="EB2191" s="64">
        <f>$Q2191-$O2191</f>
        <v/>
      </c>
      <c r="EC2191" s="67">
        <f>IFERROR($Q2191/$P2191,"")</f>
        <v/>
      </c>
    </row>
    <row r="2192">
      <c r="DG2192" s="64">
        <f>($B2192-$B2193)*100</f>
        <v/>
      </c>
      <c r="DH2192" s="64">
        <f>($D2192-$D2193)*100</f>
        <v/>
      </c>
      <c r="DI2192" s="64">
        <f>($E2192-$E2193)*100</f>
        <v/>
      </c>
      <c r="DJ2192" s="64">
        <f>($H2192-$H2193)*100</f>
        <v/>
      </c>
      <c r="DK2192" s="65">
        <f>IFERROR($J2192/$J2193-1,"")</f>
        <v/>
      </c>
      <c r="DL2192" s="64">
        <f>$L2192-$L2193</f>
        <v/>
      </c>
      <c r="DM2192" s="64">
        <f>$K2192-$K2193</f>
        <v/>
      </c>
      <c r="DN2192" s="65">
        <f>IFERROR($N2192/$N2193-1,"")</f>
        <v/>
      </c>
      <c r="DO2192" s="65">
        <f>IFERROR($M2192/$M2193-1,"")</f>
        <v/>
      </c>
      <c r="DP2192" s="65">
        <f>IFERROR($AZ2192/$AZ2193-1,"")</f>
        <v/>
      </c>
      <c r="DQ2192" s="65">
        <f>IFERROR($BA2192/$BA2193-1,"")</f>
        <v/>
      </c>
      <c r="DR2192" s="64">
        <f>$O2192-$O2193</f>
        <v/>
      </c>
      <c r="DS2192" s="64">
        <f>$P2192-$P2193</f>
        <v/>
      </c>
      <c r="DT2192" s="64">
        <f>$Q2192-$Q2193</f>
        <v/>
      </c>
      <c r="DU2192" s="64">
        <f>$S2192-$S2193</f>
        <v/>
      </c>
      <c r="DV2192" s="65">
        <f>IFERROR(AVERAGE($AA2193/$AA2192-1,$AB2193/$AB2192-1,$AC2193/$AC2192-1,$AD2193/$AD2192-1,$AE2193/$AE2192-1,$AG2193/$AG2192-1,$AH2193/$AH2192-1,$AI2193/$AI2192-1,$AJ2193/$AJ2192-1,$AL2193/$AL2192-1,$AM2193/$AM2192-1,$AR2193/$AR2192-1,$AS2193/$AS2192-1,$AT2193/$AT2192-1,$AU2193/$AU2192-1,$AV2193/$AV2192-1,$AW2193/$AW2192-1,$AX2193/$AX2192-1,$AY2193/$AY2192-1),"")</f>
        <v/>
      </c>
      <c r="DW2192" s="66">
        <f>AVERAGE($CB2192,$CC2192,$CD2192,$CE2192,$CF2192,$CG2192,$CH2192,$CI2192,$CJ2192,$CL2192,$CM2192,$CN2192,$CO2192,$CP2192,$CQ2192,$CR2192,$CS2192,$CT2192)</f>
        <v/>
      </c>
      <c r="DX2192" s="66">
        <f>AVERAGE($CB2192,$CC2192,$CM2192,$CE2192,$CP2192)</f>
        <v/>
      </c>
      <c r="DY2192" s="64">
        <f>($DW2192-$DW2193)*100</f>
        <v/>
      </c>
      <c r="DZ2192" s="64">
        <f>($DX2192-$DX2193)*100</f>
        <v/>
      </c>
      <c r="EA2192" s="64">
        <f>($DW2192-$D2192)*100</f>
        <v/>
      </c>
      <c r="EB2192" s="64">
        <f>$Q2192-$O2192</f>
        <v/>
      </c>
      <c r="EC2192" s="67">
        <f>IFERROR($Q2192/$P2192,"")</f>
        <v/>
      </c>
    </row>
    <row r="2193">
      <c r="DG2193" s="64">
        <f>($B2193-$B2194)*100</f>
        <v/>
      </c>
      <c r="DH2193" s="64">
        <f>($D2193-$D2194)*100</f>
        <v/>
      </c>
      <c r="DI2193" s="64">
        <f>($E2193-$E2194)*100</f>
        <v/>
      </c>
      <c r="DJ2193" s="64">
        <f>($H2193-$H2194)*100</f>
        <v/>
      </c>
      <c r="DK2193" s="65">
        <f>IFERROR($J2193/$J2194-1,"")</f>
        <v/>
      </c>
      <c r="DL2193" s="64">
        <f>$L2193-$L2194</f>
        <v/>
      </c>
      <c r="DM2193" s="64">
        <f>$K2193-$K2194</f>
        <v/>
      </c>
      <c r="DN2193" s="65">
        <f>IFERROR($N2193/$N2194-1,"")</f>
        <v/>
      </c>
      <c r="DO2193" s="65">
        <f>IFERROR($M2193/$M2194-1,"")</f>
        <v/>
      </c>
      <c r="DP2193" s="65">
        <f>IFERROR($AZ2193/$AZ2194-1,"")</f>
        <v/>
      </c>
      <c r="DQ2193" s="65">
        <f>IFERROR($BA2193/$BA2194-1,"")</f>
        <v/>
      </c>
      <c r="DR2193" s="64">
        <f>$O2193-$O2194</f>
        <v/>
      </c>
      <c r="DS2193" s="64">
        <f>$P2193-$P2194</f>
        <v/>
      </c>
      <c r="DT2193" s="64">
        <f>$Q2193-$Q2194</f>
        <v/>
      </c>
      <c r="DU2193" s="64">
        <f>$S2193-$S2194</f>
        <v/>
      </c>
      <c r="DV2193" s="65">
        <f>IFERROR(AVERAGE($AA2194/$AA2193-1,$AB2194/$AB2193-1,$AC2194/$AC2193-1,$AD2194/$AD2193-1,$AE2194/$AE2193-1,$AG2194/$AG2193-1,$AH2194/$AH2193-1,$AI2194/$AI2193-1,$AJ2194/$AJ2193-1,$AL2194/$AL2193-1,$AM2194/$AM2193-1,$AR2194/$AR2193-1,$AS2194/$AS2193-1,$AT2194/$AT2193-1,$AU2194/$AU2193-1,$AV2194/$AV2193-1,$AW2194/$AW2193-1,$AX2194/$AX2193-1,$AY2194/$AY2193-1),"")</f>
        <v/>
      </c>
      <c r="DW2193" s="66">
        <f>AVERAGE($CB2193,$CC2193,$CD2193,$CE2193,$CF2193,$CG2193,$CH2193,$CI2193,$CJ2193,$CL2193,$CM2193,$CN2193,$CO2193,$CP2193,$CQ2193,$CR2193,$CS2193,$CT2193)</f>
        <v/>
      </c>
      <c r="DX2193" s="66">
        <f>AVERAGE($CB2193,$CC2193,$CM2193,$CE2193,$CP2193)</f>
        <v/>
      </c>
      <c r="DY2193" s="64">
        <f>($DW2193-$DW2194)*100</f>
        <v/>
      </c>
      <c r="DZ2193" s="64">
        <f>($DX2193-$DX2194)*100</f>
        <v/>
      </c>
      <c r="EA2193" s="64">
        <f>($DW2193-$D2193)*100</f>
        <v/>
      </c>
      <c r="EB2193" s="64">
        <f>$Q2193-$O2193</f>
        <v/>
      </c>
      <c r="EC2193" s="67">
        <f>IFERROR($Q2193/$P2193,"")</f>
        <v/>
      </c>
    </row>
    <row r="2194">
      <c r="DG2194" s="64">
        <f>($B2194-$B2195)*100</f>
        <v/>
      </c>
      <c r="DH2194" s="64">
        <f>($D2194-$D2195)*100</f>
        <v/>
      </c>
      <c r="DI2194" s="64">
        <f>($E2194-$E2195)*100</f>
        <v/>
      </c>
      <c r="DJ2194" s="64">
        <f>($H2194-$H2195)*100</f>
        <v/>
      </c>
      <c r="DK2194" s="65">
        <f>IFERROR($J2194/$J2195-1,"")</f>
        <v/>
      </c>
      <c r="DL2194" s="64">
        <f>$L2194-$L2195</f>
        <v/>
      </c>
      <c r="DM2194" s="64">
        <f>$K2194-$K2195</f>
        <v/>
      </c>
      <c r="DN2194" s="65">
        <f>IFERROR($N2194/$N2195-1,"")</f>
        <v/>
      </c>
      <c r="DO2194" s="65">
        <f>IFERROR($M2194/$M2195-1,"")</f>
        <v/>
      </c>
      <c r="DP2194" s="65">
        <f>IFERROR($AZ2194/$AZ2195-1,"")</f>
        <v/>
      </c>
      <c r="DQ2194" s="65">
        <f>IFERROR($BA2194/$BA2195-1,"")</f>
        <v/>
      </c>
      <c r="DR2194" s="64">
        <f>$O2194-$O2195</f>
        <v/>
      </c>
      <c r="DS2194" s="64">
        <f>$P2194-$P2195</f>
        <v/>
      </c>
      <c r="DT2194" s="64">
        <f>$Q2194-$Q2195</f>
        <v/>
      </c>
      <c r="DU2194" s="64">
        <f>$S2194-$S2195</f>
        <v/>
      </c>
      <c r="DV2194" s="65">
        <f>IFERROR(AVERAGE($AA2195/$AA2194-1,$AB2195/$AB2194-1,$AC2195/$AC2194-1,$AD2195/$AD2194-1,$AE2195/$AE2194-1,$AG2195/$AG2194-1,$AH2195/$AH2194-1,$AI2195/$AI2194-1,$AJ2195/$AJ2194-1,$AL2195/$AL2194-1,$AM2195/$AM2194-1,$AR2195/$AR2194-1,$AS2195/$AS2194-1,$AT2195/$AT2194-1,$AU2195/$AU2194-1,$AV2195/$AV2194-1,$AW2195/$AW2194-1,$AX2195/$AX2194-1,$AY2195/$AY2194-1),"")</f>
        <v/>
      </c>
      <c r="DW2194" s="66">
        <f>AVERAGE($CB2194,$CC2194,$CD2194,$CE2194,$CF2194,$CG2194,$CH2194,$CI2194,$CJ2194,$CL2194,$CM2194,$CN2194,$CO2194,$CP2194,$CQ2194,$CR2194,$CS2194,$CT2194)</f>
        <v/>
      </c>
      <c r="DX2194" s="66">
        <f>AVERAGE($CB2194,$CC2194,$CM2194,$CE2194,$CP2194)</f>
        <v/>
      </c>
      <c r="DY2194" s="64">
        <f>($DW2194-$DW2195)*100</f>
        <v/>
      </c>
      <c r="DZ2194" s="64">
        <f>($DX2194-$DX2195)*100</f>
        <v/>
      </c>
      <c r="EA2194" s="64">
        <f>($DW2194-$D2194)*100</f>
        <v/>
      </c>
      <c r="EB2194" s="64">
        <f>$Q2194-$O2194</f>
        <v/>
      </c>
      <c r="EC2194" s="67">
        <f>IFERROR($Q2194/$P2194,"")</f>
        <v/>
      </c>
    </row>
    <row r="2195">
      <c r="DG2195" s="64">
        <f>($B2195-$B2196)*100</f>
        <v/>
      </c>
      <c r="DH2195" s="64">
        <f>($D2195-$D2196)*100</f>
        <v/>
      </c>
      <c r="DI2195" s="64">
        <f>($E2195-$E2196)*100</f>
        <v/>
      </c>
      <c r="DJ2195" s="64">
        <f>($H2195-$H2196)*100</f>
        <v/>
      </c>
      <c r="DK2195" s="65">
        <f>IFERROR($J2195/$J2196-1,"")</f>
        <v/>
      </c>
      <c r="DL2195" s="64">
        <f>$L2195-$L2196</f>
        <v/>
      </c>
      <c r="DM2195" s="64">
        <f>$K2195-$K2196</f>
        <v/>
      </c>
      <c r="DN2195" s="65">
        <f>IFERROR($N2195/$N2196-1,"")</f>
        <v/>
      </c>
      <c r="DO2195" s="65">
        <f>IFERROR($M2195/$M2196-1,"")</f>
        <v/>
      </c>
      <c r="DP2195" s="65">
        <f>IFERROR($AZ2195/$AZ2196-1,"")</f>
        <v/>
      </c>
      <c r="DQ2195" s="65">
        <f>IFERROR($BA2195/$BA2196-1,"")</f>
        <v/>
      </c>
      <c r="DR2195" s="64">
        <f>$O2195-$O2196</f>
        <v/>
      </c>
      <c r="DS2195" s="64">
        <f>$P2195-$P2196</f>
        <v/>
      </c>
      <c r="DT2195" s="64">
        <f>$Q2195-$Q2196</f>
        <v/>
      </c>
      <c r="DU2195" s="64">
        <f>$S2195-$S2196</f>
        <v/>
      </c>
      <c r="DV2195" s="65">
        <f>IFERROR(AVERAGE($AA2196/$AA2195-1,$AB2196/$AB2195-1,$AC2196/$AC2195-1,$AD2196/$AD2195-1,$AE2196/$AE2195-1,$AG2196/$AG2195-1,$AH2196/$AH2195-1,$AI2196/$AI2195-1,$AJ2196/$AJ2195-1,$AL2196/$AL2195-1,$AM2196/$AM2195-1,$AR2196/$AR2195-1,$AS2196/$AS2195-1,$AT2196/$AT2195-1,$AU2196/$AU2195-1,$AV2196/$AV2195-1,$AW2196/$AW2195-1,$AX2196/$AX2195-1,$AY2196/$AY2195-1),"")</f>
        <v/>
      </c>
      <c r="DW2195" s="66">
        <f>AVERAGE($CB2195,$CC2195,$CD2195,$CE2195,$CF2195,$CG2195,$CH2195,$CI2195,$CJ2195,$CL2195,$CM2195,$CN2195,$CO2195,$CP2195,$CQ2195,$CR2195,$CS2195,$CT2195)</f>
        <v/>
      </c>
      <c r="DX2195" s="66">
        <f>AVERAGE($CB2195,$CC2195,$CM2195,$CE2195,$CP2195)</f>
        <v/>
      </c>
      <c r="DY2195" s="64">
        <f>($DW2195-$DW2196)*100</f>
        <v/>
      </c>
      <c r="DZ2195" s="64">
        <f>($DX2195-$DX2196)*100</f>
        <v/>
      </c>
      <c r="EA2195" s="64">
        <f>($DW2195-$D2195)*100</f>
        <v/>
      </c>
      <c r="EB2195" s="64">
        <f>$Q2195-$O2195</f>
        <v/>
      </c>
      <c r="EC2195" s="67">
        <f>IFERROR($Q2195/$P2195,"")</f>
        <v/>
      </c>
    </row>
    <row r="2196">
      <c r="DG2196" s="64">
        <f>($B2196-$B2197)*100</f>
        <v/>
      </c>
      <c r="DH2196" s="64">
        <f>($D2196-$D2197)*100</f>
        <v/>
      </c>
      <c r="DI2196" s="64">
        <f>($E2196-$E2197)*100</f>
        <v/>
      </c>
      <c r="DJ2196" s="64">
        <f>($H2196-$H2197)*100</f>
        <v/>
      </c>
      <c r="DK2196" s="65">
        <f>IFERROR($J2196/$J2197-1,"")</f>
        <v/>
      </c>
      <c r="DL2196" s="64">
        <f>$L2196-$L2197</f>
        <v/>
      </c>
      <c r="DM2196" s="64">
        <f>$K2196-$K2197</f>
        <v/>
      </c>
      <c r="DN2196" s="65">
        <f>IFERROR($N2196/$N2197-1,"")</f>
        <v/>
      </c>
      <c r="DO2196" s="65">
        <f>IFERROR($M2196/$M2197-1,"")</f>
        <v/>
      </c>
      <c r="DP2196" s="65">
        <f>IFERROR($AZ2196/$AZ2197-1,"")</f>
        <v/>
      </c>
      <c r="DQ2196" s="65">
        <f>IFERROR($BA2196/$BA2197-1,"")</f>
        <v/>
      </c>
      <c r="DR2196" s="64">
        <f>$O2196-$O2197</f>
        <v/>
      </c>
      <c r="DS2196" s="64">
        <f>$P2196-$P2197</f>
        <v/>
      </c>
      <c r="DT2196" s="64">
        <f>$Q2196-$Q2197</f>
        <v/>
      </c>
      <c r="DU2196" s="64">
        <f>$S2196-$S2197</f>
        <v/>
      </c>
      <c r="DV2196" s="65">
        <f>IFERROR(AVERAGE($AA2197/$AA2196-1,$AB2197/$AB2196-1,$AC2197/$AC2196-1,$AD2197/$AD2196-1,$AE2197/$AE2196-1,$AG2197/$AG2196-1,$AH2197/$AH2196-1,$AI2197/$AI2196-1,$AJ2197/$AJ2196-1,$AL2197/$AL2196-1,$AM2197/$AM2196-1,$AR2197/$AR2196-1,$AS2197/$AS2196-1,$AT2197/$AT2196-1,$AU2197/$AU2196-1,$AV2197/$AV2196-1,$AW2197/$AW2196-1,$AX2197/$AX2196-1,$AY2197/$AY2196-1),"")</f>
        <v/>
      </c>
      <c r="DW2196" s="66">
        <f>AVERAGE($CB2196,$CC2196,$CD2196,$CE2196,$CF2196,$CG2196,$CH2196,$CI2196,$CJ2196,$CL2196,$CM2196,$CN2196,$CO2196,$CP2196,$CQ2196,$CR2196,$CS2196,$CT2196)</f>
        <v/>
      </c>
      <c r="DX2196" s="66">
        <f>AVERAGE($CB2196,$CC2196,$CM2196,$CE2196,$CP2196)</f>
        <v/>
      </c>
      <c r="DY2196" s="64">
        <f>($DW2196-$DW2197)*100</f>
        <v/>
      </c>
      <c r="DZ2196" s="64">
        <f>($DX2196-$DX2197)*100</f>
        <v/>
      </c>
      <c r="EA2196" s="64">
        <f>($DW2196-$D2196)*100</f>
        <v/>
      </c>
      <c r="EB2196" s="64">
        <f>$Q2196-$O2196</f>
        <v/>
      </c>
      <c r="EC2196" s="67">
        <f>IFERROR($Q2196/$P2196,"")</f>
        <v/>
      </c>
    </row>
    <row r="2197">
      <c r="DG2197" s="64">
        <f>($B2197-$B2198)*100</f>
        <v/>
      </c>
      <c r="DH2197" s="64">
        <f>($D2197-$D2198)*100</f>
        <v/>
      </c>
      <c r="DI2197" s="64">
        <f>($E2197-$E2198)*100</f>
        <v/>
      </c>
      <c r="DJ2197" s="64">
        <f>($H2197-$H2198)*100</f>
        <v/>
      </c>
      <c r="DK2197" s="65">
        <f>IFERROR($J2197/$J2198-1,"")</f>
        <v/>
      </c>
      <c r="DL2197" s="64">
        <f>$L2197-$L2198</f>
        <v/>
      </c>
      <c r="DM2197" s="64">
        <f>$K2197-$K2198</f>
        <v/>
      </c>
      <c r="DN2197" s="65">
        <f>IFERROR($N2197/$N2198-1,"")</f>
        <v/>
      </c>
      <c r="DO2197" s="65">
        <f>IFERROR($M2197/$M2198-1,"")</f>
        <v/>
      </c>
      <c r="DP2197" s="65">
        <f>IFERROR($AZ2197/$AZ2198-1,"")</f>
        <v/>
      </c>
      <c r="DQ2197" s="65">
        <f>IFERROR($BA2197/$BA2198-1,"")</f>
        <v/>
      </c>
      <c r="DR2197" s="64">
        <f>$O2197-$O2198</f>
        <v/>
      </c>
      <c r="DS2197" s="64">
        <f>$P2197-$P2198</f>
        <v/>
      </c>
      <c r="DT2197" s="64">
        <f>$Q2197-$Q2198</f>
        <v/>
      </c>
      <c r="DU2197" s="64">
        <f>$S2197-$S2198</f>
        <v/>
      </c>
      <c r="DV2197" s="65">
        <f>IFERROR(AVERAGE($AA2198/$AA2197-1,$AB2198/$AB2197-1,$AC2198/$AC2197-1,$AD2198/$AD2197-1,$AE2198/$AE2197-1,$AG2198/$AG2197-1,$AH2198/$AH2197-1,$AI2198/$AI2197-1,$AJ2198/$AJ2197-1,$AL2198/$AL2197-1,$AM2198/$AM2197-1,$AR2198/$AR2197-1,$AS2198/$AS2197-1,$AT2198/$AT2197-1,$AU2198/$AU2197-1,$AV2198/$AV2197-1,$AW2198/$AW2197-1,$AX2198/$AX2197-1,$AY2198/$AY2197-1),"")</f>
        <v/>
      </c>
      <c r="DW2197" s="66">
        <f>AVERAGE($CB2197,$CC2197,$CD2197,$CE2197,$CF2197,$CG2197,$CH2197,$CI2197,$CJ2197,$CL2197,$CM2197,$CN2197,$CO2197,$CP2197,$CQ2197,$CR2197,$CS2197,$CT2197)</f>
        <v/>
      </c>
      <c r="DX2197" s="66">
        <f>AVERAGE($CB2197,$CC2197,$CM2197,$CE2197,$CP2197)</f>
        <v/>
      </c>
      <c r="DY2197" s="64">
        <f>($DW2197-$DW2198)*100</f>
        <v/>
      </c>
      <c r="DZ2197" s="64">
        <f>($DX2197-$DX2198)*100</f>
        <v/>
      </c>
      <c r="EA2197" s="64">
        <f>($DW2197-$D2197)*100</f>
        <v/>
      </c>
      <c r="EB2197" s="64">
        <f>$Q2197-$O2197</f>
        <v/>
      </c>
      <c r="EC2197" s="67">
        <f>IFERROR($Q2197/$P2197,"")</f>
        <v/>
      </c>
    </row>
    <row r="2198">
      <c r="DG2198" s="64">
        <f>($B2198-$B2199)*100</f>
        <v/>
      </c>
      <c r="DH2198" s="64">
        <f>($D2198-$D2199)*100</f>
        <v/>
      </c>
      <c r="DI2198" s="64">
        <f>($E2198-$E2199)*100</f>
        <v/>
      </c>
      <c r="DJ2198" s="64">
        <f>($H2198-$H2199)*100</f>
        <v/>
      </c>
      <c r="DK2198" s="65">
        <f>IFERROR($J2198/$J2199-1,"")</f>
        <v/>
      </c>
      <c r="DL2198" s="64">
        <f>$L2198-$L2199</f>
        <v/>
      </c>
      <c r="DM2198" s="64">
        <f>$K2198-$K2199</f>
        <v/>
      </c>
      <c r="DN2198" s="65">
        <f>IFERROR($N2198/$N2199-1,"")</f>
        <v/>
      </c>
      <c r="DO2198" s="65">
        <f>IFERROR($M2198/$M2199-1,"")</f>
        <v/>
      </c>
      <c r="DP2198" s="65">
        <f>IFERROR($AZ2198/$AZ2199-1,"")</f>
        <v/>
      </c>
      <c r="DQ2198" s="65">
        <f>IFERROR($BA2198/$BA2199-1,"")</f>
        <v/>
      </c>
      <c r="DR2198" s="64">
        <f>$O2198-$O2199</f>
        <v/>
      </c>
      <c r="DS2198" s="64">
        <f>$P2198-$P2199</f>
        <v/>
      </c>
      <c r="DT2198" s="64">
        <f>$Q2198-$Q2199</f>
        <v/>
      </c>
      <c r="DU2198" s="64">
        <f>$S2198-$S2199</f>
        <v/>
      </c>
      <c r="DV2198" s="65">
        <f>IFERROR(AVERAGE($AA2199/$AA2198-1,$AB2199/$AB2198-1,$AC2199/$AC2198-1,$AD2199/$AD2198-1,$AE2199/$AE2198-1,$AG2199/$AG2198-1,$AH2199/$AH2198-1,$AI2199/$AI2198-1,$AJ2199/$AJ2198-1,$AL2199/$AL2198-1,$AM2199/$AM2198-1,$AR2199/$AR2198-1,$AS2199/$AS2198-1,$AT2199/$AT2198-1,$AU2199/$AU2198-1,$AV2199/$AV2198-1,$AW2199/$AW2198-1,$AX2199/$AX2198-1,$AY2199/$AY2198-1),"")</f>
        <v/>
      </c>
      <c r="DW2198" s="66">
        <f>AVERAGE($CB2198,$CC2198,$CD2198,$CE2198,$CF2198,$CG2198,$CH2198,$CI2198,$CJ2198,$CL2198,$CM2198,$CN2198,$CO2198,$CP2198,$CQ2198,$CR2198,$CS2198,$CT2198)</f>
        <v/>
      </c>
      <c r="DX2198" s="66">
        <f>AVERAGE($CB2198,$CC2198,$CM2198,$CE2198,$CP2198)</f>
        <v/>
      </c>
      <c r="DY2198" s="64">
        <f>($DW2198-$DW2199)*100</f>
        <v/>
      </c>
      <c r="DZ2198" s="64">
        <f>($DX2198-$DX2199)*100</f>
        <v/>
      </c>
      <c r="EA2198" s="64">
        <f>($DW2198-$D2198)*100</f>
        <v/>
      </c>
      <c r="EB2198" s="64">
        <f>$Q2198-$O2198</f>
        <v/>
      </c>
      <c r="EC2198" s="67">
        <f>IFERROR($Q2198/$P2198,"")</f>
        <v/>
      </c>
    </row>
    <row r="2199">
      <c r="DG2199" s="64">
        <f>($B2199-$B2200)*100</f>
        <v/>
      </c>
      <c r="DH2199" s="64">
        <f>($D2199-$D2200)*100</f>
        <v/>
      </c>
      <c r="DI2199" s="64">
        <f>($E2199-$E2200)*100</f>
        <v/>
      </c>
      <c r="DJ2199" s="64">
        <f>($H2199-$H2200)*100</f>
        <v/>
      </c>
      <c r="DK2199" s="65">
        <f>IFERROR($J2199/$J2200-1,"")</f>
        <v/>
      </c>
      <c r="DL2199" s="64">
        <f>$L2199-$L2200</f>
        <v/>
      </c>
      <c r="DM2199" s="64">
        <f>$K2199-$K2200</f>
        <v/>
      </c>
      <c r="DN2199" s="65">
        <f>IFERROR($N2199/$N2200-1,"")</f>
        <v/>
      </c>
      <c r="DO2199" s="65">
        <f>IFERROR($M2199/$M2200-1,"")</f>
        <v/>
      </c>
      <c r="DP2199" s="65">
        <f>IFERROR($AZ2199/$AZ2200-1,"")</f>
        <v/>
      </c>
      <c r="DQ2199" s="65">
        <f>IFERROR($BA2199/$BA2200-1,"")</f>
        <v/>
      </c>
      <c r="DR2199" s="64">
        <f>$O2199-$O2200</f>
        <v/>
      </c>
      <c r="DS2199" s="64">
        <f>$P2199-$P2200</f>
        <v/>
      </c>
      <c r="DT2199" s="64">
        <f>$Q2199-$Q2200</f>
        <v/>
      </c>
      <c r="DU2199" s="64">
        <f>$S2199-$S2200</f>
        <v/>
      </c>
      <c r="DV2199" s="65">
        <f>IFERROR(AVERAGE($AA2200/$AA2199-1,$AB2200/$AB2199-1,$AC2200/$AC2199-1,$AD2200/$AD2199-1,$AE2200/$AE2199-1,$AG2200/$AG2199-1,$AH2200/$AH2199-1,$AI2200/$AI2199-1,$AJ2200/$AJ2199-1,$AL2200/$AL2199-1,$AM2200/$AM2199-1,$AR2200/$AR2199-1,$AS2200/$AS2199-1,$AT2200/$AT2199-1,$AU2200/$AU2199-1,$AV2200/$AV2199-1,$AW2200/$AW2199-1,$AX2200/$AX2199-1,$AY2200/$AY2199-1),"")</f>
        <v/>
      </c>
      <c r="DW2199" s="66">
        <f>AVERAGE($CB2199,$CC2199,$CD2199,$CE2199,$CF2199,$CG2199,$CH2199,$CI2199,$CJ2199,$CL2199,$CM2199,$CN2199,$CO2199,$CP2199,$CQ2199,$CR2199,$CS2199,$CT2199)</f>
        <v/>
      </c>
      <c r="DX2199" s="66">
        <f>AVERAGE($CB2199,$CC2199,$CM2199,$CE2199,$CP2199)</f>
        <v/>
      </c>
      <c r="DY2199" s="64">
        <f>($DW2199-$DW2200)*100</f>
        <v/>
      </c>
      <c r="DZ2199" s="64">
        <f>($DX2199-$DX2200)*100</f>
        <v/>
      </c>
      <c r="EA2199" s="64">
        <f>($DW2199-$D2199)*100</f>
        <v/>
      </c>
      <c r="EB2199" s="64">
        <f>$Q2199-$O2199</f>
        <v/>
      </c>
      <c r="EC2199" s="67">
        <f>IFERROR($Q2199/$P2199,"")</f>
        <v/>
      </c>
    </row>
    <row r="2200">
      <c r="DG2200" s="64">
        <f>($B2200-$B2201)*100</f>
        <v/>
      </c>
      <c r="DH2200" s="64">
        <f>($D2200-$D2201)*100</f>
        <v/>
      </c>
      <c r="DI2200" s="64">
        <f>($E2200-$E2201)*100</f>
        <v/>
      </c>
      <c r="DJ2200" s="64">
        <f>($H2200-$H2201)*100</f>
        <v/>
      </c>
      <c r="DK2200" s="65">
        <f>IFERROR($J2200/$J2201-1,"")</f>
        <v/>
      </c>
      <c r="DL2200" s="64">
        <f>$L2200-$L2201</f>
        <v/>
      </c>
      <c r="DM2200" s="64">
        <f>$K2200-$K2201</f>
        <v/>
      </c>
      <c r="DN2200" s="65">
        <f>IFERROR($N2200/$N2201-1,"")</f>
        <v/>
      </c>
      <c r="DO2200" s="65">
        <f>IFERROR($M2200/$M2201-1,"")</f>
        <v/>
      </c>
      <c r="DP2200" s="65">
        <f>IFERROR($AZ2200/$AZ2201-1,"")</f>
        <v/>
      </c>
      <c r="DQ2200" s="65">
        <f>IFERROR($BA2200/$BA2201-1,"")</f>
        <v/>
      </c>
      <c r="DR2200" s="64">
        <f>$O2200-$O2201</f>
        <v/>
      </c>
      <c r="DS2200" s="64">
        <f>$P2200-$P2201</f>
        <v/>
      </c>
      <c r="DT2200" s="64">
        <f>$Q2200-$Q2201</f>
        <v/>
      </c>
      <c r="DU2200" s="64">
        <f>$S2200-$S2201</f>
        <v/>
      </c>
      <c r="DV2200" s="65">
        <f>IFERROR(AVERAGE($AA2201/$AA2200-1,$AB2201/$AB2200-1,$AC2201/$AC2200-1,$AD2201/$AD2200-1,$AE2201/$AE2200-1,$AG2201/$AG2200-1,$AH2201/$AH2200-1,$AI2201/$AI2200-1,$AJ2201/$AJ2200-1,$AL2201/$AL2200-1,$AM2201/$AM2200-1,$AR2201/$AR2200-1,$AS2201/$AS2200-1,$AT2201/$AT2200-1,$AU2201/$AU2200-1,$AV2201/$AV2200-1,$AW2201/$AW2200-1,$AX2201/$AX2200-1,$AY2201/$AY2200-1),"")</f>
        <v/>
      </c>
      <c r="DW2200" s="66">
        <f>AVERAGE($CB2200,$CC2200,$CD2200,$CE2200,$CF2200,$CG2200,$CH2200,$CI2200,$CJ2200,$CL2200,$CM2200,$CN2200,$CO2200,$CP2200,$CQ2200,$CR2200,$CS2200,$CT2200)</f>
        <v/>
      </c>
      <c r="DX2200" s="66">
        <f>AVERAGE($CB2200,$CC2200,$CM2200,$CE2200,$CP2200)</f>
        <v/>
      </c>
      <c r="DY2200" s="64">
        <f>($DW2200-$DW2201)*100</f>
        <v/>
      </c>
      <c r="DZ2200" s="64">
        <f>($DX2200-$DX2201)*100</f>
        <v/>
      </c>
      <c r="EA2200" s="64">
        <f>($DW2200-$D2200)*100</f>
        <v/>
      </c>
      <c r="EB2200" s="64">
        <f>$Q2200-$O2200</f>
        <v/>
      </c>
      <c r="EC2200" s="67">
        <f>IFERROR($Q2200/$P2200,"")</f>
        <v/>
      </c>
    </row>
    <row r="2201">
      <c r="DG2201" s="64">
        <f>($B2201-$B2202)*100</f>
        <v/>
      </c>
      <c r="DH2201" s="64">
        <f>($D2201-$D2202)*100</f>
        <v/>
      </c>
      <c r="DI2201" s="64">
        <f>($E2201-$E2202)*100</f>
        <v/>
      </c>
      <c r="DJ2201" s="64">
        <f>($H2201-$H2202)*100</f>
        <v/>
      </c>
      <c r="DK2201" s="65">
        <f>IFERROR($J2201/$J2202-1,"")</f>
        <v/>
      </c>
      <c r="DL2201" s="64">
        <f>$L2201-$L2202</f>
        <v/>
      </c>
      <c r="DM2201" s="64">
        <f>$K2201-$K2202</f>
        <v/>
      </c>
      <c r="DN2201" s="65">
        <f>IFERROR($N2201/$N2202-1,"")</f>
        <v/>
      </c>
      <c r="DO2201" s="65">
        <f>IFERROR($M2201/$M2202-1,"")</f>
        <v/>
      </c>
      <c r="DP2201" s="65">
        <f>IFERROR($AZ2201/$AZ2202-1,"")</f>
        <v/>
      </c>
      <c r="DQ2201" s="65">
        <f>IFERROR($BA2201/$BA2202-1,"")</f>
        <v/>
      </c>
      <c r="DR2201" s="64">
        <f>$O2201-$O2202</f>
        <v/>
      </c>
      <c r="DS2201" s="64">
        <f>$P2201-$P2202</f>
        <v/>
      </c>
      <c r="DT2201" s="64">
        <f>$Q2201-$Q2202</f>
        <v/>
      </c>
      <c r="DU2201" s="64">
        <f>$S2201-$S2202</f>
        <v/>
      </c>
      <c r="DV2201" s="65">
        <f>IFERROR(AVERAGE($AA2202/$AA2201-1,$AB2202/$AB2201-1,$AC2202/$AC2201-1,$AD2202/$AD2201-1,$AE2202/$AE2201-1,$AG2202/$AG2201-1,$AH2202/$AH2201-1,$AI2202/$AI2201-1,$AJ2202/$AJ2201-1,$AL2202/$AL2201-1,$AM2202/$AM2201-1,$AR2202/$AR2201-1,$AS2202/$AS2201-1,$AT2202/$AT2201-1,$AU2202/$AU2201-1,$AV2202/$AV2201-1,$AW2202/$AW2201-1,$AX2202/$AX2201-1,$AY2202/$AY2201-1),"")</f>
        <v/>
      </c>
      <c r="DW2201" s="66">
        <f>AVERAGE($CB2201,$CC2201,$CD2201,$CE2201,$CF2201,$CG2201,$CH2201,$CI2201,$CJ2201,$CL2201,$CM2201,$CN2201,$CO2201,$CP2201,$CQ2201,$CR2201,$CS2201,$CT2201)</f>
        <v/>
      </c>
      <c r="DX2201" s="66">
        <f>AVERAGE($CB2201,$CC2201,$CM2201,$CE2201,$CP2201)</f>
        <v/>
      </c>
      <c r="DY2201" s="64">
        <f>($DW2201-$DW2202)*100</f>
        <v/>
      </c>
      <c r="DZ2201" s="64">
        <f>($DX2201-$DX2202)*100</f>
        <v/>
      </c>
      <c r="EA2201" s="64">
        <f>($DW2201-$D2201)*100</f>
        <v/>
      </c>
      <c r="EB2201" s="64">
        <f>$Q2201-$O2201</f>
        <v/>
      </c>
      <c r="EC2201" s="67">
        <f>IFERROR($Q2201/$P2201,"")</f>
        <v/>
      </c>
    </row>
    <row r="2202">
      <c r="DG2202" s="64">
        <f>($B2202-$B2203)*100</f>
        <v/>
      </c>
      <c r="DH2202" s="64">
        <f>($D2202-$D2203)*100</f>
        <v/>
      </c>
      <c r="DI2202" s="64">
        <f>($E2202-$E2203)*100</f>
        <v/>
      </c>
      <c r="DJ2202" s="64">
        <f>($H2202-$H2203)*100</f>
        <v/>
      </c>
      <c r="DK2202" s="65">
        <f>IFERROR($J2202/$J2203-1,"")</f>
        <v/>
      </c>
      <c r="DL2202" s="64">
        <f>$L2202-$L2203</f>
        <v/>
      </c>
      <c r="DM2202" s="64">
        <f>$K2202-$K2203</f>
        <v/>
      </c>
      <c r="DN2202" s="65">
        <f>IFERROR($N2202/$N2203-1,"")</f>
        <v/>
      </c>
      <c r="DO2202" s="65">
        <f>IFERROR($M2202/$M2203-1,"")</f>
        <v/>
      </c>
      <c r="DP2202" s="65">
        <f>IFERROR($AZ2202/$AZ2203-1,"")</f>
        <v/>
      </c>
      <c r="DQ2202" s="65">
        <f>IFERROR($BA2202/$BA2203-1,"")</f>
        <v/>
      </c>
      <c r="DR2202" s="64">
        <f>$O2202-$O2203</f>
        <v/>
      </c>
      <c r="DS2202" s="64">
        <f>$P2202-$P2203</f>
        <v/>
      </c>
      <c r="DT2202" s="64">
        <f>$Q2202-$Q2203</f>
        <v/>
      </c>
      <c r="DU2202" s="64">
        <f>$S2202-$S2203</f>
        <v/>
      </c>
      <c r="DV2202" s="65">
        <f>IFERROR(AVERAGE($AA2203/$AA2202-1,$AB2203/$AB2202-1,$AC2203/$AC2202-1,$AD2203/$AD2202-1,$AE2203/$AE2202-1,$AG2203/$AG2202-1,$AH2203/$AH2202-1,$AI2203/$AI2202-1,$AJ2203/$AJ2202-1,$AL2203/$AL2202-1,$AM2203/$AM2202-1,$AR2203/$AR2202-1,$AS2203/$AS2202-1,$AT2203/$AT2202-1,$AU2203/$AU2202-1,$AV2203/$AV2202-1,$AW2203/$AW2202-1,$AX2203/$AX2202-1,$AY2203/$AY2202-1),"")</f>
        <v/>
      </c>
      <c r="DW2202" s="66">
        <f>AVERAGE($CB2202,$CC2202,$CD2202,$CE2202,$CF2202,$CG2202,$CH2202,$CI2202,$CJ2202,$CL2202,$CM2202,$CN2202,$CO2202,$CP2202,$CQ2202,$CR2202,$CS2202,$CT2202)</f>
        <v/>
      </c>
      <c r="DX2202" s="66">
        <f>AVERAGE($CB2202,$CC2202,$CM2202,$CE2202,$CP2202)</f>
        <v/>
      </c>
      <c r="DY2202" s="64">
        <f>($DW2202-$DW2203)*100</f>
        <v/>
      </c>
      <c r="DZ2202" s="64">
        <f>($DX2202-$DX2203)*100</f>
        <v/>
      </c>
      <c r="EA2202" s="64">
        <f>($DW2202-$D2202)*100</f>
        <v/>
      </c>
      <c r="EB2202" s="64">
        <f>$Q2202-$O2202</f>
        <v/>
      </c>
      <c r="EC2202" s="67">
        <f>IFERROR($Q2202/$P2202,"")</f>
        <v/>
      </c>
    </row>
    <row r="2203">
      <c r="DG2203" s="64">
        <f>($B2203-$B2204)*100</f>
        <v/>
      </c>
      <c r="DH2203" s="64">
        <f>($D2203-$D2204)*100</f>
        <v/>
      </c>
      <c r="DI2203" s="64">
        <f>($E2203-$E2204)*100</f>
        <v/>
      </c>
      <c r="DJ2203" s="64">
        <f>($H2203-$H2204)*100</f>
        <v/>
      </c>
      <c r="DK2203" s="65">
        <f>IFERROR($J2203/$J2204-1,"")</f>
        <v/>
      </c>
      <c r="DL2203" s="64">
        <f>$L2203-$L2204</f>
        <v/>
      </c>
      <c r="DM2203" s="64">
        <f>$K2203-$K2204</f>
        <v/>
      </c>
      <c r="DN2203" s="65">
        <f>IFERROR($N2203/$N2204-1,"")</f>
        <v/>
      </c>
      <c r="DO2203" s="65">
        <f>IFERROR($M2203/$M2204-1,"")</f>
        <v/>
      </c>
      <c r="DP2203" s="65">
        <f>IFERROR($AZ2203/$AZ2204-1,"")</f>
        <v/>
      </c>
      <c r="DQ2203" s="65">
        <f>IFERROR($BA2203/$BA2204-1,"")</f>
        <v/>
      </c>
      <c r="DR2203" s="64">
        <f>$O2203-$O2204</f>
        <v/>
      </c>
      <c r="DS2203" s="64">
        <f>$P2203-$P2204</f>
        <v/>
      </c>
      <c r="DT2203" s="64">
        <f>$Q2203-$Q2204</f>
        <v/>
      </c>
      <c r="DU2203" s="64">
        <f>$S2203-$S2204</f>
        <v/>
      </c>
      <c r="DV2203" s="65">
        <f>IFERROR(AVERAGE($AA2204/$AA2203-1,$AB2204/$AB2203-1,$AC2204/$AC2203-1,$AD2204/$AD2203-1,$AE2204/$AE2203-1,$AG2204/$AG2203-1,$AH2204/$AH2203-1,$AI2204/$AI2203-1,$AJ2204/$AJ2203-1,$AL2204/$AL2203-1,$AM2204/$AM2203-1,$AR2204/$AR2203-1,$AS2204/$AS2203-1,$AT2204/$AT2203-1,$AU2204/$AU2203-1,$AV2204/$AV2203-1,$AW2204/$AW2203-1,$AX2204/$AX2203-1,$AY2204/$AY2203-1),"")</f>
        <v/>
      </c>
      <c r="DW2203" s="66">
        <f>AVERAGE($CB2203,$CC2203,$CD2203,$CE2203,$CF2203,$CG2203,$CH2203,$CI2203,$CJ2203,$CL2203,$CM2203,$CN2203,$CO2203,$CP2203,$CQ2203,$CR2203,$CS2203,$CT2203)</f>
        <v/>
      </c>
      <c r="DX2203" s="66">
        <f>AVERAGE($CB2203,$CC2203,$CM2203,$CE2203,$CP2203)</f>
        <v/>
      </c>
      <c r="DY2203" s="64">
        <f>($DW2203-$DW2204)*100</f>
        <v/>
      </c>
      <c r="DZ2203" s="64">
        <f>($DX2203-$DX2204)*100</f>
        <v/>
      </c>
      <c r="EA2203" s="64">
        <f>($DW2203-$D2203)*100</f>
        <v/>
      </c>
      <c r="EB2203" s="64">
        <f>$Q2203-$O2203</f>
        <v/>
      </c>
      <c r="EC2203" s="67">
        <f>IFERROR($Q2203/$P2203,"")</f>
        <v/>
      </c>
    </row>
    <row r="2204">
      <c r="DG2204" s="64">
        <f>($B2204-$B2205)*100</f>
        <v/>
      </c>
      <c r="DH2204" s="64">
        <f>($D2204-$D2205)*100</f>
        <v/>
      </c>
      <c r="DI2204" s="64">
        <f>($E2204-$E2205)*100</f>
        <v/>
      </c>
      <c r="DJ2204" s="64">
        <f>($H2204-$H2205)*100</f>
        <v/>
      </c>
      <c r="DK2204" s="65">
        <f>IFERROR($J2204/$J2205-1,"")</f>
        <v/>
      </c>
      <c r="DL2204" s="64">
        <f>$L2204-$L2205</f>
        <v/>
      </c>
      <c r="DM2204" s="64">
        <f>$K2204-$K2205</f>
        <v/>
      </c>
      <c r="DN2204" s="65">
        <f>IFERROR($N2204/$N2205-1,"")</f>
        <v/>
      </c>
      <c r="DO2204" s="65">
        <f>IFERROR($M2204/$M2205-1,"")</f>
        <v/>
      </c>
      <c r="DP2204" s="65">
        <f>IFERROR($AZ2204/$AZ2205-1,"")</f>
        <v/>
      </c>
      <c r="DQ2204" s="65">
        <f>IFERROR($BA2204/$BA2205-1,"")</f>
        <v/>
      </c>
      <c r="DR2204" s="64">
        <f>$O2204-$O2205</f>
        <v/>
      </c>
      <c r="DS2204" s="64">
        <f>$P2204-$P2205</f>
        <v/>
      </c>
      <c r="DT2204" s="64">
        <f>$Q2204-$Q2205</f>
        <v/>
      </c>
      <c r="DU2204" s="64">
        <f>$S2204-$S2205</f>
        <v/>
      </c>
      <c r="DV2204" s="65">
        <f>IFERROR(AVERAGE($AA2205/$AA2204-1,$AB2205/$AB2204-1,$AC2205/$AC2204-1,$AD2205/$AD2204-1,$AE2205/$AE2204-1,$AG2205/$AG2204-1,$AH2205/$AH2204-1,$AI2205/$AI2204-1,$AJ2205/$AJ2204-1,$AL2205/$AL2204-1,$AM2205/$AM2204-1,$AR2205/$AR2204-1,$AS2205/$AS2204-1,$AT2205/$AT2204-1,$AU2205/$AU2204-1,$AV2205/$AV2204-1,$AW2205/$AW2204-1,$AX2205/$AX2204-1,$AY2205/$AY2204-1),"")</f>
        <v/>
      </c>
      <c r="DW2204" s="66">
        <f>AVERAGE($CB2204,$CC2204,$CD2204,$CE2204,$CF2204,$CG2204,$CH2204,$CI2204,$CJ2204,$CL2204,$CM2204,$CN2204,$CO2204,$CP2204,$CQ2204,$CR2204,$CS2204,$CT2204)</f>
        <v/>
      </c>
      <c r="DX2204" s="66">
        <f>AVERAGE($CB2204,$CC2204,$CM2204,$CE2204,$CP2204)</f>
        <v/>
      </c>
      <c r="DY2204" s="64">
        <f>($DW2204-$DW2205)*100</f>
        <v/>
      </c>
      <c r="DZ2204" s="64">
        <f>($DX2204-$DX2205)*100</f>
        <v/>
      </c>
      <c r="EA2204" s="64">
        <f>($DW2204-$D2204)*100</f>
        <v/>
      </c>
      <c r="EB2204" s="64">
        <f>$Q2204-$O2204</f>
        <v/>
      </c>
      <c r="EC2204" s="67">
        <f>IFERROR($Q2204/$P2204,"")</f>
        <v/>
      </c>
    </row>
    <row r="2205">
      <c r="DG2205" s="64">
        <f>($B2205-$B2206)*100</f>
        <v/>
      </c>
      <c r="DH2205" s="64">
        <f>($D2205-$D2206)*100</f>
        <v/>
      </c>
      <c r="DI2205" s="64">
        <f>($E2205-$E2206)*100</f>
        <v/>
      </c>
      <c r="DJ2205" s="64">
        <f>($H2205-$H2206)*100</f>
        <v/>
      </c>
      <c r="DK2205" s="65">
        <f>IFERROR($J2205/$J2206-1,"")</f>
        <v/>
      </c>
      <c r="DL2205" s="64">
        <f>$L2205-$L2206</f>
        <v/>
      </c>
      <c r="DM2205" s="64">
        <f>$K2205-$K2206</f>
        <v/>
      </c>
      <c r="DN2205" s="65">
        <f>IFERROR($N2205/$N2206-1,"")</f>
        <v/>
      </c>
      <c r="DO2205" s="65">
        <f>IFERROR($M2205/$M2206-1,"")</f>
        <v/>
      </c>
      <c r="DP2205" s="65">
        <f>IFERROR($AZ2205/$AZ2206-1,"")</f>
        <v/>
      </c>
      <c r="DQ2205" s="65">
        <f>IFERROR($BA2205/$BA2206-1,"")</f>
        <v/>
      </c>
      <c r="DR2205" s="64">
        <f>$O2205-$O2206</f>
        <v/>
      </c>
      <c r="DS2205" s="64">
        <f>$P2205-$P2206</f>
        <v/>
      </c>
      <c r="DT2205" s="64">
        <f>$Q2205-$Q2206</f>
        <v/>
      </c>
      <c r="DU2205" s="64">
        <f>$S2205-$S2206</f>
        <v/>
      </c>
      <c r="DV2205" s="65">
        <f>IFERROR(AVERAGE($AA2206/$AA2205-1,$AB2206/$AB2205-1,$AC2206/$AC2205-1,$AD2206/$AD2205-1,$AE2206/$AE2205-1,$AG2206/$AG2205-1,$AH2206/$AH2205-1,$AI2206/$AI2205-1,$AJ2206/$AJ2205-1,$AL2206/$AL2205-1,$AM2206/$AM2205-1,$AR2206/$AR2205-1,$AS2206/$AS2205-1,$AT2206/$AT2205-1,$AU2206/$AU2205-1,$AV2206/$AV2205-1,$AW2206/$AW2205-1,$AX2206/$AX2205-1,$AY2206/$AY2205-1),"")</f>
        <v/>
      </c>
      <c r="DW2205" s="66">
        <f>AVERAGE($CB2205,$CC2205,$CD2205,$CE2205,$CF2205,$CG2205,$CH2205,$CI2205,$CJ2205,$CL2205,$CM2205,$CN2205,$CO2205,$CP2205,$CQ2205,$CR2205,$CS2205,$CT2205)</f>
        <v/>
      </c>
      <c r="DX2205" s="66">
        <f>AVERAGE($CB2205,$CC2205,$CM2205,$CE2205,$CP2205)</f>
        <v/>
      </c>
      <c r="DY2205" s="64">
        <f>($DW2205-$DW2206)*100</f>
        <v/>
      </c>
      <c r="DZ2205" s="64">
        <f>($DX2205-$DX2206)*100</f>
        <v/>
      </c>
      <c r="EA2205" s="64">
        <f>($DW2205-$D2205)*100</f>
        <v/>
      </c>
      <c r="EB2205" s="64">
        <f>$Q2205-$O2205</f>
        <v/>
      </c>
      <c r="EC2205" s="67">
        <f>IFERROR($Q2205/$P2205,"")</f>
        <v/>
      </c>
    </row>
    <row r="2206">
      <c r="DG2206" s="64">
        <f>($B2206-$B2207)*100</f>
        <v/>
      </c>
      <c r="DH2206" s="64">
        <f>($D2206-$D2207)*100</f>
        <v/>
      </c>
      <c r="DI2206" s="64">
        <f>($E2206-$E2207)*100</f>
        <v/>
      </c>
      <c r="DJ2206" s="64">
        <f>($H2206-$H2207)*100</f>
        <v/>
      </c>
      <c r="DK2206" s="65">
        <f>IFERROR($J2206/$J2207-1,"")</f>
        <v/>
      </c>
      <c r="DL2206" s="64">
        <f>$L2206-$L2207</f>
        <v/>
      </c>
      <c r="DM2206" s="64">
        <f>$K2206-$K2207</f>
        <v/>
      </c>
      <c r="DN2206" s="65">
        <f>IFERROR($N2206/$N2207-1,"")</f>
        <v/>
      </c>
      <c r="DO2206" s="65">
        <f>IFERROR($M2206/$M2207-1,"")</f>
        <v/>
      </c>
      <c r="DP2206" s="65">
        <f>IFERROR($AZ2206/$AZ2207-1,"")</f>
        <v/>
      </c>
      <c r="DQ2206" s="65">
        <f>IFERROR($BA2206/$BA2207-1,"")</f>
        <v/>
      </c>
      <c r="DR2206" s="64">
        <f>$O2206-$O2207</f>
        <v/>
      </c>
      <c r="DS2206" s="64">
        <f>$P2206-$P2207</f>
        <v/>
      </c>
      <c r="DT2206" s="64">
        <f>$Q2206-$Q2207</f>
        <v/>
      </c>
      <c r="DU2206" s="64">
        <f>$S2206-$S2207</f>
        <v/>
      </c>
      <c r="DV2206" s="65">
        <f>IFERROR(AVERAGE($AA2207/$AA2206-1,$AB2207/$AB2206-1,$AC2207/$AC2206-1,$AD2207/$AD2206-1,$AE2207/$AE2206-1,$AG2207/$AG2206-1,$AH2207/$AH2206-1,$AI2207/$AI2206-1,$AJ2207/$AJ2206-1,$AL2207/$AL2206-1,$AM2207/$AM2206-1,$AR2207/$AR2206-1,$AS2207/$AS2206-1,$AT2207/$AT2206-1,$AU2207/$AU2206-1,$AV2207/$AV2206-1,$AW2207/$AW2206-1,$AX2207/$AX2206-1,$AY2207/$AY2206-1),"")</f>
        <v/>
      </c>
      <c r="DW2206" s="66">
        <f>AVERAGE($CB2206,$CC2206,$CD2206,$CE2206,$CF2206,$CG2206,$CH2206,$CI2206,$CJ2206,$CL2206,$CM2206,$CN2206,$CO2206,$CP2206,$CQ2206,$CR2206,$CS2206,$CT2206)</f>
        <v/>
      </c>
      <c r="DX2206" s="66">
        <f>AVERAGE($CB2206,$CC2206,$CM2206,$CE2206,$CP2206)</f>
        <v/>
      </c>
      <c r="DY2206" s="64">
        <f>($DW2206-$DW2207)*100</f>
        <v/>
      </c>
      <c r="DZ2206" s="64">
        <f>($DX2206-$DX2207)*100</f>
        <v/>
      </c>
      <c r="EA2206" s="64">
        <f>($DW2206-$D2206)*100</f>
        <v/>
      </c>
      <c r="EB2206" s="64">
        <f>$Q2206-$O2206</f>
        <v/>
      </c>
      <c r="EC2206" s="67">
        <f>IFERROR($Q2206/$P2206,"")</f>
        <v/>
      </c>
    </row>
    <row r="2207">
      <c r="DG2207" s="64">
        <f>($B2207-$B2208)*100</f>
        <v/>
      </c>
      <c r="DH2207" s="64">
        <f>($D2207-$D2208)*100</f>
        <v/>
      </c>
      <c r="DI2207" s="64">
        <f>($E2207-$E2208)*100</f>
        <v/>
      </c>
      <c r="DJ2207" s="64">
        <f>($H2207-$H2208)*100</f>
        <v/>
      </c>
      <c r="DK2207" s="65">
        <f>IFERROR($J2207/$J2208-1,"")</f>
        <v/>
      </c>
      <c r="DL2207" s="64">
        <f>$L2207-$L2208</f>
        <v/>
      </c>
      <c r="DM2207" s="64">
        <f>$K2207-$K2208</f>
        <v/>
      </c>
      <c r="DN2207" s="65">
        <f>IFERROR($N2207/$N2208-1,"")</f>
        <v/>
      </c>
      <c r="DO2207" s="65">
        <f>IFERROR($M2207/$M2208-1,"")</f>
        <v/>
      </c>
      <c r="DP2207" s="65">
        <f>IFERROR($AZ2207/$AZ2208-1,"")</f>
        <v/>
      </c>
      <c r="DQ2207" s="65">
        <f>IFERROR($BA2207/$BA2208-1,"")</f>
        <v/>
      </c>
      <c r="DR2207" s="64">
        <f>$O2207-$O2208</f>
        <v/>
      </c>
      <c r="DS2207" s="64">
        <f>$P2207-$P2208</f>
        <v/>
      </c>
      <c r="DT2207" s="64">
        <f>$Q2207-$Q2208</f>
        <v/>
      </c>
      <c r="DU2207" s="64">
        <f>$S2207-$S2208</f>
        <v/>
      </c>
      <c r="DV2207" s="65">
        <f>IFERROR(AVERAGE($AA2208/$AA2207-1,$AB2208/$AB2207-1,$AC2208/$AC2207-1,$AD2208/$AD2207-1,$AE2208/$AE2207-1,$AG2208/$AG2207-1,$AH2208/$AH2207-1,$AI2208/$AI2207-1,$AJ2208/$AJ2207-1,$AL2208/$AL2207-1,$AM2208/$AM2207-1,$AR2208/$AR2207-1,$AS2208/$AS2207-1,$AT2208/$AT2207-1,$AU2208/$AU2207-1,$AV2208/$AV2207-1,$AW2208/$AW2207-1,$AX2208/$AX2207-1,$AY2208/$AY2207-1),"")</f>
        <v/>
      </c>
      <c r="DW2207" s="66">
        <f>AVERAGE($CB2207,$CC2207,$CD2207,$CE2207,$CF2207,$CG2207,$CH2207,$CI2207,$CJ2207,$CL2207,$CM2207,$CN2207,$CO2207,$CP2207,$CQ2207,$CR2207,$CS2207,$CT2207)</f>
        <v/>
      </c>
      <c r="DX2207" s="66">
        <f>AVERAGE($CB2207,$CC2207,$CM2207,$CE2207,$CP2207)</f>
        <v/>
      </c>
      <c r="DY2207" s="64">
        <f>($DW2207-$DW2208)*100</f>
        <v/>
      </c>
      <c r="DZ2207" s="64">
        <f>($DX2207-$DX2208)*100</f>
        <v/>
      </c>
      <c r="EA2207" s="64">
        <f>($DW2207-$D2207)*100</f>
        <v/>
      </c>
      <c r="EB2207" s="64">
        <f>$Q2207-$O2207</f>
        <v/>
      </c>
      <c r="EC2207" s="67">
        <f>IFERROR($Q2207/$P2207,"")</f>
        <v/>
      </c>
    </row>
    <row r="2208">
      <c r="DG2208" s="64">
        <f>($B2208-$B2209)*100</f>
        <v/>
      </c>
      <c r="DH2208" s="64">
        <f>($D2208-$D2209)*100</f>
        <v/>
      </c>
      <c r="DI2208" s="64">
        <f>($E2208-$E2209)*100</f>
        <v/>
      </c>
      <c r="DJ2208" s="64">
        <f>($H2208-$H2209)*100</f>
        <v/>
      </c>
      <c r="DK2208" s="65">
        <f>IFERROR($J2208/$J2209-1,"")</f>
        <v/>
      </c>
      <c r="DL2208" s="64">
        <f>$L2208-$L2209</f>
        <v/>
      </c>
      <c r="DM2208" s="64">
        <f>$K2208-$K2209</f>
        <v/>
      </c>
      <c r="DN2208" s="65">
        <f>IFERROR($N2208/$N2209-1,"")</f>
        <v/>
      </c>
      <c r="DO2208" s="65">
        <f>IFERROR($M2208/$M2209-1,"")</f>
        <v/>
      </c>
      <c r="DP2208" s="65">
        <f>IFERROR($AZ2208/$AZ2209-1,"")</f>
        <v/>
      </c>
      <c r="DQ2208" s="65">
        <f>IFERROR($BA2208/$BA2209-1,"")</f>
        <v/>
      </c>
      <c r="DR2208" s="64">
        <f>$O2208-$O2209</f>
        <v/>
      </c>
      <c r="DS2208" s="64">
        <f>$P2208-$P2209</f>
        <v/>
      </c>
      <c r="DT2208" s="64">
        <f>$Q2208-$Q2209</f>
        <v/>
      </c>
      <c r="DU2208" s="64">
        <f>$S2208-$S2209</f>
        <v/>
      </c>
      <c r="DV2208" s="65">
        <f>IFERROR(AVERAGE($AA2209/$AA2208-1,$AB2209/$AB2208-1,$AC2209/$AC2208-1,$AD2209/$AD2208-1,$AE2209/$AE2208-1,$AG2209/$AG2208-1,$AH2209/$AH2208-1,$AI2209/$AI2208-1,$AJ2209/$AJ2208-1,$AL2209/$AL2208-1,$AM2209/$AM2208-1,$AR2209/$AR2208-1,$AS2209/$AS2208-1,$AT2209/$AT2208-1,$AU2209/$AU2208-1,$AV2209/$AV2208-1,$AW2209/$AW2208-1,$AX2209/$AX2208-1,$AY2209/$AY2208-1),"")</f>
        <v/>
      </c>
      <c r="DW2208" s="66">
        <f>AVERAGE($CB2208,$CC2208,$CD2208,$CE2208,$CF2208,$CG2208,$CH2208,$CI2208,$CJ2208,$CL2208,$CM2208,$CN2208,$CO2208,$CP2208,$CQ2208,$CR2208,$CS2208,$CT2208)</f>
        <v/>
      </c>
      <c r="DX2208" s="66">
        <f>AVERAGE($CB2208,$CC2208,$CM2208,$CE2208,$CP2208)</f>
        <v/>
      </c>
      <c r="DY2208" s="64">
        <f>($DW2208-$DW2209)*100</f>
        <v/>
      </c>
      <c r="DZ2208" s="64">
        <f>($DX2208-$DX2209)*100</f>
        <v/>
      </c>
      <c r="EA2208" s="64">
        <f>($DW2208-$D2208)*100</f>
        <v/>
      </c>
      <c r="EB2208" s="64">
        <f>$Q2208-$O2208</f>
        <v/>
      </c>
      <c r="EC2208" s="67">
        <f>IFERROR($Q2208/$P2208,"")</f>
        <v/>
      </c>
    </row>
    <row r="2209">
      <c r="DG2209" s="64">
        <f>($B2209-$B2210)*100</f>
        <v/>
      </c>
      <c r="DH2209" s="64">
        <f>($D2209-$D2210)*100</f>
        <v/>
      </c>
      <c r="DI2209" s="64">
        <f>($E2209-$E2210)*100</f>
        <v/>
      </c>
      <c r="DJ2209" s="64">
        <f>($H2209-$H2210)*100</f>
        <v/>
      </c>
      <c r="DK2209" s="65">
        <f>IFERROR($J2209/$J2210-1,"")</f>
        <v/>
      </c>
      <c r="DL2209" s="64">
        <f>$L2209-$L2210</f>
        <v/>
      </c>
      <c r="DM2209" s="64">
        <f>$K2209-$K2210</f>
        <v/>
      </c>
      <c r="DN2209" s="65">
        <f>IFERROR($N2209/$N2210-1,"")</f>
        <v/>
      </c>
      <c r="DO2209" s="65">
        <f>IFERROR($M2209/$M2210-1,"")</f>
        <v/>
      </c>
      <c r="DP2209" s="65">
        <f>IFERROR($AZ2209/$AZ2210-1,"")</f>
        <v/>
      </c>
      <c r="DQ2209" s="65">
        <f>IFERROR($BA2209/$BA2210-1,"")</f>
        <v/>
      </c>
      <c r="DR2209" s="64">
        <f>$O2209-$O2210</f>
        <v/>
      </c>
      <c r="DS2209" s="64">
        <f>$P2209-$P2210</f>
        <v/>
      </c>
      <c r="DT2209" s="64">
        <f>$Q2209-$Q2210</f>
        <v/>
      </c>
      <c r="DU2209" s="64">
        <f>$S2209-$S2210</f>
        <v/>
      </c>
      <c r="DV2209" s="65">
        <f>IFERROR(AVERAGE($AA2210/$AA2209-1,$AB2210/$AB2209-1,$AC2210/$AC2209-1,$AD2210/$AD2209-1,$AE2210/$AE2209-1,$AG2210/$AG2209-1,$AH2210/$AH2209-1,$AI2210/$AI2209-1,$AJ2210/$AJ2209-1,$AL2210/$AL2209-1,$AM2210/$AM2209-1,$AR2210/$AR2209-1,$AS2210/$AS2209-1,$AT2210/$AT2209-1,$AU2210/$AU2209-1,$AV2210/$AV2209-1,$AW2210/$AW2209-1,$AX2210/$AX2209-1,$AY2210/$AY2209-1),"")</f>
        <v/>
      </c>
      <c r="DW2209" s="66">
        <f>AVERAGE($CB2209,$CC2209,$CD2209,$CE2209,$CF2209,$CG2209,$CH2209,$CI2209,$CJ2209,$CL2209,$CM2209,$CN2209,$CO2209,$CP2209,$CQ2209,$CR2209,$CS2209,$CT2209)</f>
        <v/>
      </c>
      <c r="DX2209" s="66">
        <f>AVERAGE($CB2209,$CC2209,$CM2209,$CE2209,$CP2209)</f>
        <v/>
      </c>
      <c r="DY2209" s="64">
        <f>($DW2209-$DW2210)*100</f>
        <v/>
      </c>
      <c r="DZ2209" s="64">
        <f>($DX2209-$DX2210)*100</f>
        <v/>
      </c>
      <c r="EA2209" s="64">
        <f>($DW2209-$D2209)*100</f>
        <v/>
      </c>
      <c r="EB2209" s="64">
        <f>$Q2209-$O2209</f>
        <v/>
      </c>
      <c r="EC2209" s="67">
        <f>IFERROR($Q2209/$P2209,"")</f>
        <v/>
      </c>
    </row>
    <row r="2210">
      <c r="DG2210" s="64">
        <f>($B2210-$B2211)*100</f>
        <v/>
      </c>
      <c r="DH2210" s="64">
        <f>($D2210-$D2211)*100</f>
        <v/>
      </c>
      <c r="DI2210" s="64">
        <f>($E2210-$E2211)*100</f>
        <v/>
      </c>
      <c r="DJ2210" s="64">
        <f>($H2210-$H2211)*100</f>
        <v/>
      </c>
      <c r="DK2210" s="65">
        <f>IFERROR($J2210/$J2211-1,"")</f>
        <v/>
      </c>
      <c r="DL2210" s="64">
        <f>$L2210-$L2211</f>
        <v/>
      </c>
      <c r="DM2210" s="64">
        <f>$K2210-$K2211</f>
        <v/>
      </c>
      <c r="DN2210" s="65">
        <f>IFERROR($N2210/$N2211-1,"")</f>
        <v/>
      </c>
      <c r="DO2210" s="65">
        <f>IFERROR($M2210/$M2211-1,"")</f>
        <v/>
      </c>
      <c r="DP2210" s="65">
        <f>IFERROR($AZ2210/$AZ2211-1,"")</f>
        <v/>
      </c>
      <c r="DQ2210" s="65">
        <f>IFERROR($BA2210/$BA2211-1,"")</f>
        <v/>
      </c>
      <c r="DR2210" s="64">
        <f>$O2210-$O2211</f>
        <v/>
      </c>
      <c r="DS2210" s="64">
        <f>$P2210-$P2211</f>
        <v/>
      </c>
      <c r="DT2210" s="64">
        <f>$Q2210-$Q2211</f>
        <v/>
      </c>
      <c r="DU2210" s="64">
        <f>$S2210-$S2211</f>
        <v/>
      </c>
      <c r="DV2210" s="65">
        <f>IFERROR(AVERAGE($AA2211/$AA2210-1,$AB2211/$AB2210-1,$AC2211/$AC2210-1,$AD2211/$AD2210-1,$AE2211/$AE2210-1,$AG2211/$AG2210-1,$AH2211/$AH2210-1,$AI2211/$AI2210-1,$AJ2211/$AJ2210-1,$AL2211/$AL2210-1,$AM2211/$AM2210-1,$AR2211/$AR2210-1,$AS2211/$AS2210-1,$AT2211/$AT2210-1,$AU2211/$AU2210-1,$AV2211/$AV2210-1,$AW2211/$AW2210-1,$AX2211/$AX2210-1,$AY2211/$AY2210-1),"")</f>
        <v/>
      </c>
      <c r="DW2210" s="66">
        <f>AVERAGE($CB2210,$CC2210,$CD2210,$CE2210,$CF2210,$CG2210,$CH2210,$CI2210,$CJ2210,$CL2210,$CM2210,$CN2210,$CO2210,$CP2210,$CQ2210,$CR2210,$CS2210,$CT2210)</f>
        <v/>
      </c>
      <c r="DX2210" s="66">
        <f>AVERAGE($CB2210,$CC2210,$CM2210,$CE2210,$CP2210)</f>
        <v/>
      </c>
      <c r="DY2210" s="64">
        <f>($DW2210-$DW2211)*100</f>
        <v/>
      </c>
      <c r="DZ2210" s="64">
        <f>($DX2210-$DX2211)*100</f>
        <v/>
      </c>
      <c r="EA2210" s="64">
        <f>($DW2210-$D2210)*100</f>
        <v/>
      </c>
      <c r="EB2210" s="64">
        <f>$Q2210-$O2210</f>
        <v/>
      </c>
      <c r="EC2210" s="67">
        <f>IFERROR($Q2210/$P2210,"")</f>
        <v/>
      </c>
    </row>
    <row r="2211">
      <c r="DG2211" s="64">
        <f>($B2211-$B2212)*100</f>
        <v/>
      </c>
      <c r="DH2211" s="64">
        <f>($D2211-$D2212)*100</f>
        <v/>
      </c>
      <c r="DI2211" s="64">
        <f>($E2211-$E2212)*100</f>
        <v/>
      </c>
      <c r="DJ2211" s="64">
        <f>($H2211-$H2212)*100</f>
        <v/>
      </c>
      <c r="DK2211" s="65">
        <f>IFERROR($J2211/$J2212-1,"")</f>
        <v/>
      </c>
      <c r="DL2211" s="64">
        <f>$L2211-$L2212</f>
        <v/>
      </c>
      <c r="DM2211" s="64">
        <f>$K2211-$K2212</f>
        <v/>
      </c>
      <c r="DN2211" s="65">
        <f>IFERROR($N2211/$N2212-1,"")</f>
        <v/>
      </c>
      <c r="DO2211" s="65">
        <f>IFERROR($M2211/$M2212-1,"")</f>
        <v/>
      </c>
      <c r="DP2211" s="65">
        <f>IFERROR($AZ2211/$AZ2212-1,"")</f>
        <v/>
      </c>
      <c r="DQ2211" s="65">
        <f>IFERROR($BA2211/$BA2212-1,"")</f>
        <v/>
      </c>
      <c r="DR2211" s="64">
        <f>$O2211-$O2212</f>
        <v/>
      </c>
      <c r="DS2211" s="64">
        <f>$P2211-$P2212</f>
        <v/>
      </c>
      <c r="DT2211" s="64">
        <f>$Q2211-$Q2212</f>
        <v/>
      </c>
      <c r="DU2211" s="64">
        <f>$S2211-$S2212</f>
        <v/>
      </c>
      <c r="DV2211" s="65">
        <f>IFERROR(AVERAGE($AA2212/$AA2211-1,$AB2212/$AB2211-1,$AC2212/$AC2211-1,$AD2212/$AD2211-1,$AE2212/$AE2211-1,$AG2212/$AG2211-1,$AH2212/$AH2211-1,$AI2212/$AI2211-1,$AJ2212/$AJ2211-1,$AL2212/$AL2211-1,$AM2212/$AM2211-1,$AR2212/$AR2211-1,$AS2212/$AS2211-1,$AT2212/$AT2211-1,$AU2212/$AU2211-1,$AV2212/$AV2211-1,$AW2212/$AW2211-1,$AX2212/$AX2211-1,$AY2212/$AY2211-1),"")</f>
        <v/>
      </c>
      <c r="DW2211" s="66">
        <f>AVERAGE($CB2211,$CC2211,$CD2211,$CE2211,$CF2211,$CG2211,$CH2211,$CI2211,$CJ2211,$CL2211,$CM2211,$CN2211,$CO2211,$CP2211,$CQ2211,$CR2211,$CS2211,$CT2211)</f>
        <v/>
      </c>
      <c r="DX2211" s="66">
        <f>AVERAGE($CB2211,$CC2211,$CM2211,$CE2211,$CP2211)</f>
        <v/>
      </c>
      <c r="DY2211" s="64">
        <f>($DW2211-$DW2212)*100</f>
        <v/>
      </c>
      <c r="DZ2211" s="64">
        <f>($DX2211-$DX2212)*100</f>
        <v/>
      </c>
      <c r="EA2211" s="64">
        <f>($DW2211-$D2211)*100</f>
        <v/>
      </c>
      <c r="EB2211" s="64">
        <f>$Q2211-$O2211</f>
        <v/>
      </c>
      <c r="EC2211" s="67">
        <f>IFERROR($Q2211/$P2211,"")</f>
        <v/>
      </c>
    </row>
    <row r="2212">
      <c r="DG2212" s="64">
        <f>($B2212-$B2213)*100</f>
        <v/>
      </c>
      <c r="DH2212" s="64">
        <f>($D2212-$D2213)*100</f>
        <v/>
      </c>
      <c r="DI2212" s="64">
        <f>($E2212-$E2213)*100</f>
        <v/>
      </c>
      <c r="DJ2212" s="64">
        <f>($H2212-$H2213)*100</f>
        <v/>
      </c>
      <c r="DK2212" s="65">
        <f>IFERROR($J2212/$J2213-1,"")</f>
        <v/>
      </c>
      <c r="DL2212" s="64">
        <f>$L2212-$L2213</f>
        <v/>
      </c>
      <c r="DM2212" s="64">
        <f>$K2212-$K2213</f>
        <v/>
      </c>
      <c r="DN2212" s="65">
        <f>IFERROR($N2212/$N2213-1,"")</f>
        <v/>
      </c>
      <c r="DO2212" s="65">
        <f>IFERROR($M2212/$M2213-1,"")</f>
        <v/>
      </c>
      <c r="DP2212" s="65">
        <f>IFERROR($AZ2212/$AZ2213-1,"")</f>
        <v/>
      </c>
      <c r="DQ2212" s="65">
        <f>IFERROR($BA2212/$BA2213-1,"")</f>
        <v/>
      </c>
      <c r="DR2212" s="64">
        <f>$O2212-$O2213</f>
        <v/>
      </c>
      <c r="DS2212" s="64">
        <f>$P2212-$P2213</f>
        <v/>
      </c>
      <c r="DT2212" s="64">
        <f>$Q2212-$Q2213</f>
        <v/>
      </c>
      <c r="DU2212" s="64">
        <f>$S2212-$S2213</f>
        <v/>
      </c>
      <c r="DV2212" s="65">
        <f>IFERROR(AVERAGE($AA2213/$AA2212-1,$AB2213/$AB2212-1,$AC2213/$AC2212-1,$AD2213/$AD2212-1,$AE2213/$AE2212-1,$AG2213/$AG2212-1,$AH2213/$AH2212-1,$AI2213/$AI2212-1,$AJ2213/$AJ2212-1,$AL2213/$AL2212-1,$AM2213/$AM2212-1,$AR2213/$AR2212-1,$AS2213/$AS2212-1,$AT2213/$AT2212-1,$AU2213/$AU2212-1,$AV2213/$AV2212-1,$AW2213/$AW2212-1,$AX2213/$AX2212-1,$AY2213/$AY2212-1),"")</f>
        <v/>
      </c>
      <c r="DW2212" s="66">
        <f>AVERAGE($CB2212,$CC2212,$CD2212,$CE2212,$CF2212,$CG2212,$CH2212,$CI2212,$CJ2212,$CL2212,$CM2212,$CN2212,$CO2212,$CP2212,$CQ2212,$CR2212,$CS2212,$CT2212)</f>
        <v/>
      </c>
      <c r="DX2212" s="66">
        <f>AVERAGE($CB2212,$CC2212,$CM2212,$CE2212,$CP2212)</f>
        <v/>
      </c>
      <c r="DY2212" s="64">
        <f>($DW2212-$DW2213)*100</f>
        <v/>
      </c>
      <c r="DZ2212" s="64">
        <f>($DX2212-$DX2213)*100</f>
        <v/>
      </c>
      <c r="EA2212" s="64">
        <f>($DW2212-$D2212)*100</f>
        <v/>
      </c>
      <c r="EB2212" s="64">
        <f>$Q2212-$O2212</f>
        <v/>
      </c>
      <c r="EC2212" s="67">
        <f>IFERROR($Q2212/$P2212,"")</f>
        <v/>
      </c>
    </row>
    <row r="2213">
      <c r="DG2213" s="64">
        <f>($B2213-$B2214)*100</f>
        <v/>
      </c>
      <c r="DH2213" s="64">
        <f>($D2213-$D2214)*100</f>
        <v/>
      </c>
      <c r="DI2213" s="64">
        <f>($E2213-$E2214)*100</f>
        <v/>
      </c>
      <c r="DJ2213" s="64">
        <f>($H2213-$H2214)*100</f>
        <v/>
      </c>
      <c r="DK2213" s="65">
        <f>IFERROR($J2213/$J2214-1,"")</f>
        <v/>
      </c>
      <c r="DL2213" s="64">
        <f>$L2213-$L2214</f>
        <v/>
      </c>
      <c r="DM2213" s="64">
        <f>$K2213-$K2214</f>
        <v/>
      </c>
      <c r="DN2213" s="65">
        <f>IFERROR($N2213/$N2214-1,"")</f>
        <v/>
      </c>
      <c r="DO2213" s="65">
        <f>IFERROR($M2213/$M2214-1,"")</f>
        <v/>
      </c>
      <c r="DP2213" s="65">
        <f>IFERROR($AZ2213/$AZ2214-1,"")</f>
        <v/>
      </c>
      <c r="DQ2213" s="65">
        <f>IFERROR($BA2213/$BA2214-1,"")</f>
        <v/>
      </c>
      <c r="DR2213" s="64">
        <f>$O2213-$O2214</f>
        <v/>
      </c>
      <c r="DS2213" s="64">
        <f>$P2213-$P2214</f>
        <v/>
      </c>
      <c r="DT2213" s="64">
        <f>$Q2213-$Q2214</f>
        <v/>
      </c>
      <c r="DU2213" s="64">
        <f>$S2213-$S2214</f>
        <v/>
      </c>
      <c r="DV2213" s="65">
        <f>IFERROR(AVERAGE($AA2214/$AA2213-1,$AB2214/$AB2213-1,$AC2214/$AC2213-1,$AD2214/$AD2213-1,$AE2214/$AE2213-1,$AG2214/$AG2213-1,$AH2214/$AH2213-1,$AI2214/$AI2213-1,$AJ2214/$AJ2213-1,$AL2214/$AL2213-1,$AM2214/$AM2213-1,$AR2214/$AR2213-1,$AS2214/$AS2213-1,$AT2214/$AT2213-1,$AU2214/$AU2213-1,$AV2214/$AV2213-1,$AW2214/$AW2213-1,$AX2214/$AX2213-1,$AY2214/$AY2213-1),"")</f>
        <v/>
      </c>
      <c r="DW2213" s="66">
        <f>AVERAGE($CB2213,$CC2213,$CD2213,$CE2213,$CF2213,$CG2213,$CH2213,$CI2213,$CJ2213,$CL2213,$CM2213,$CN2213,$CO2213,$CP2213,$CQ2213,$CR2213,$CS2213,$CT2213)</f>
        <v/>
      </c>
      <c r="DX2213" s="66">
        <f>AVERAGE($CB2213,$CC2213,$CM2213,$CE2213,$CP2213)</f>
        <v/>
      </c>
      <c r="DY2213" s="64">
        <f>($DW2213-$DW2214)*100</f>
        <v/>
      </c>
      <c r="DZ2213" s="64">
        <f>($DX2213-$DX2214)*100</f>
        <v/>
      </c>
      <c r="EA2213" s="64">
        <f>($DW2213-$D2213)*100</f>
        <v/>
      </c>
      <c r="EB2213" s="64">
        <f>$Q2213-$O2213</f>
        <v/>
      </c>
      <c r="EC2213" s="67">
        <f>IFERROR($Q2213/$P2213,"")</f>
        <v/>
      </c>
    </row>
    <row r="2214">
      <c r="DG2214" s="64">
        <f>($B2214-$B2215)*100</f>
        <v/>
      </c>
      <c r="DH2214" s="64">
        <f>($D2214-$D2215)*100</f>
        <v/>
      </c>
      <c r="DI2214" s="64">
        <f>($E2214-$E2215)*100</f>
        <v/>
      </c>
      <c r="DJ2214" s="64">
        <f>($H2214-$H2215)*100</f>
        <v/>
      </c>
      <c r="DK2214" s="65">
        <f>IFERROR($J2214/$J2215-1,"")</f>
        <v/>
      </c>
      <c r="DL2214" s="64">
        <f>$L2214-$L2215</f>
        <v/>
      </c>
      <c r="DM2214" s="64">
        <f>$K2214-$K2215</f>
        <v/>
      </c>
      <c r="DN2214" s="65">
        <f>IFERROR($N2214/$N2215-1,"")</f>
        <v/>
      </c>
      <c r="DO2214" s="65">
        <f>IFERROR($M2214/$M2215-1,"")</f>
        <v/>
      </c>
      <c r="DP2214" s="65">
        <f>IFERROR($AZ2214/$AZ2215-1,"")</f>
        <v/>
      </c>
      <c r="DQ2214" s="65">
        <f>IFERROR($BA2214/$BA2215-1,"")</f>
        <v/>
      </c>
      <c r="DR2214" s="64">
        <f>$O2214-$O2215</f>
        <v/>
      </c>
      <c r="DS2214" s="64">
        <f>$P2214-$P2215</f>
        <v/>
      </c>
      <c r="DT2214" s="64">
        <f>$Q2214-$Q2215</f>
        <v/>
      </c>
      <c r="DU2214" s="64">
        <f>$S2214-$S2215</f>
        <v/>
      </c>
      <c r="DV2214" s="65">
        <f>IFERROR(AVERAGE($AA2215/$AA2214-1,$AB2215/$AB2214-1,$AC2215/$AC2214-1,$AD2215/$AD2214-1,$AE2215/$AE2214-1,$AG2215/$AG2214-1,$AH2215/$AH2214-1,$AI2215/$AI2214-1,$AJ2215/$AJ2214-1,$AL2215/$AL2214-1,$AM2215/$AM2214-1,$AR2215/$AR2214-1,$AS2215/$AS2214-1,$AT2215/$AT2214-1,$AU2215/$AU2214-1,$AV2215/$AV2214-1,$AW2215/$AW2214-1,$AX2215/$AX2214-1,$AY2215/$AY2214-1),"")</f>
        <v/>
      </c>
      <c r="DW2214" s="66">
        <f>AVERAGE($CB2214,$CC2214,$CD2214,$CE2214,$CF2214,$CG2214,$CH2214,$CI2214,$CJ2214,$CL2214,$CM2214,$CN2214,$CO2214,$CP2214,$CQ2214,$CR2214,$CS2214,$CT2214)</f>
        <v/>
      </c>
      <c r="DX2214" s="66">
        <f>AVERAGE($CB2214,$CC2214,$CM2214,$CE2214,$CP2214)</f>
        <v/>
      </c>
      <c r="DY2214" s="64">
        <f>($DW2214-$DW2215)*100</f>
        <v/>
      </c>
      <c r="DZ2214" s="64">
        <f>($DX2214-$DX2215)*100</f>
        <v/>
      </c>
      <c r="EA2214" s="64">
        <f>($DW2214-$D2214)*100</f>
        <v/>
      </c>
      <c r="EB2214" s="64">
        <f>$Q2214-$O2214</f>
        <v/>
      </c>
      <c r="EC2214" s="67">
        <f>IFERROR($Q2214/$P2214,"")</f>
        <v/>
      </c>
    </row>
    <row r="2215">
      <c r="DG2215" s="64">
        <f>($B2215-$B2216)*100</f>
        <v/>
      </c>
      <c r="DH2215" s="64">
        <f>($D2215-$D2216)*100</f>
        <v/>
      </c>
      <c r="DI2215" s="64">
        <f>($E2215-$E2216)*100</f>
        <v/>
      </c>
      <c r="DJ2215" s="64">
        <f>($H2215-$H2216)*100</f>
        <v/>
      </c>
      <c r="DK2215" s="65">
        <f>IFERROR($J2215/$J2216-1,"")</f>
        <v/>
      </c>
      <c r="DL2215" s="64">
        <f>$L2215-$L2216</f>
        <v/>
      </c>
      <c r="DM2215" s="64">
        <f>$K2215-$K2216</f>
        <v/>
      </c>
      <c r="DN2215" s="65">
        <f>IFERROR($N2215/$N2216-1,"")</f>
        <v/>
      </c>
      <c r="DO2215" s="65">
        <f>IFERROR($M2215/$M2216-1,"")</f>
        <v/>
      </c>
      <c r="DP2215" s="65">
        <f>IFERROR($AZ2215/$AZ2216-1,"")</f>
        <v/>
      </c>
      <c r="DQ2215" s="65">
        <f>IFERROR($BA2215/$BA2216-1,"")</f>
        <v/>
      </c>
      <c r="DR2215" s="64">
        <f>$O2215-$O2216</f>
        <v/>
      </c>
      <c r="DS2215" s="64">
        <f>$P2215-$P2216</f>
        <v/>
      </c>
      <c r="DT2215" s="64">
        <f>$Q2215-$Q2216</f>
        <v/>
      </c>
      <c r="DU2215" s="64">
        <f>$S2215-$S2216</f>
        <v/>
      </c>
      <c r="DV2215" s="65">
        <f>IFERROR(AVERAGE($AA2216/$AA2215-1,$AB2216/$AB2215-1,$AC2216/$AC2215-1,$AD2216/$AD2215-1,$AE2216/$AE2215-1,$AG2216/$AG2215-1,$AH2216/$AH2215-1,$AI2216/$AI2215-1,$AJ2216/$AJ2215-1,$AL2216/$AL2215-1,$AM2216/$AM2215-1,$AR2216/$AR2215-1,$AS2216/$AS2215-1,$AT2216/$AT2215-1,$AU2216/$AU2215-1,$AV2216/$AV2215-1,$AW2216/$AW2215-1,$AX2216/$AX2215-1,$AY2216/$AY2215-1),"")</f>
        <v/>
      </c>
      <c r="DW2215" s="66">
        <f>AVERAGE($CB2215,$CC2215,$CD2215,$CE2215,$CF2215,$CG2215,$CH2215,$CI2215,$CJ2215,$CL2215,$CM2215,$CN2215,$CO2215,$CP2215,$CQ2215,$CR2215,$CS2215,$CT2215)</f>
        <v/>
      </c>
      <c r="DX2215" s="66">
        <f>AVERAGE($CB2215,$CC2215,$CM2215,$CE2215,$CP2215)</f>
        <v/>
      </c>
      <c r="DY2215" s="64">
        <f>($DW2215-$DW2216)*100</f>
        <v/>
      </c>
      <c r="DZ2215" s="64">
        <f>($DX2215-$DX2216)*100</f>
        <v/>
      </c>
      <c r="EA2215" s="64">
        <f>($DW2215-$D2215)*100</f>
        <v/>
      </c>
      <c r="EB2215" s="64">
        <f>$Q2215-$O2215</f>
        <v/>
      </c>
      <c r="EC2215" s="67">
        <f>IFERROR($Q2215/$P2215,"")</f>
        <v/>
      </c>
    </row>
    <row r="2216">
      <c r="DG2216" s="64">
        <f>($B2216-$B2217)*100</f>
        <v/>
      </c>
      <c r="DH2216" s="64">
        <f>($D2216-$D2217)*100</f>
        <v/>
      </c>
      <c r="DI2216" s="64">
        <f>($E2216-$E2217)*100</f>
        <v/>
      </c>
      <c r="DJ2216" s="64">
        <f>($H2216-$H2217)*100</f>
        <v/>
      </c>
      <c r="DK2216" s="65">
        <f>IFERROR($J2216/$J2217-1,"")</f>
        <v/>
      </c>
      <c r="DL2216" s="64">
        <f>$L2216-$L2217</f>
        <v/>
      </c>
      <c r="DM2216" s="64">
        <f>$K2216-$K2217</f>
        <v/>
      </c>
      <c r="DN2216" s="65">
        <f>IFERROR($N2216/$N2217-1,"")</f>
        <v/>
      </c>
      <c r="DO2216" s="65">
        <f>IFERROR($M2216/$M2217-1,"")</f>
        <v/>
      </c>
      <c r="DP2216" s="65">
        <f>IFERROR($AZ2216/$AZ2217-1,"")</f>
        <v/>
      </c>
      <c r="DQ2216" s="65">
        <f>IFERROR($BA2216/$BA2217-1,"")</f>
        <v/>
      </c>
      <c r="DR2216" s="64">
        <f>$O2216-$O2217</f>
        <v/>
      </c>
      <c r="DS2216" s="64">
        <f>$P2216-$P2217</f>
        <v/>
      </c>
      <c r="DT2216" s="64">
        <f>$Q2216-$Q2217</f>
        <v/>
      </c>
      <c r="DU2216" s="64">
        <f>$S2216-$S2217</f>
        <v/>
      </c>
      <c r="DV2216" s="65">
        <f>IFERROR(AVERAGE($AA2217/$AA2216-1,$AB2217/$AB2216-1,$AC2217/$AC2216-1,$AD2217/$AD2216-1,$AE2217/$AE2216-1,$AG2217/$AG2216-1,$AH2217/$AH2216-1,$AI2217/$AI2216-1,$AJ2217/$AJ2216-1,$AL2217/$AL2216-1,$AM2217/$AM2216-1,$AR2217/$AR2216-1,$AS2217/$AS2216-1,$AT2217/$AT2216-1,$AU2217/$AU2216-1,$AV2217/$AV2216-1,$AW2217/$AW2216-1,$AX2217/$AX2216-1,$AY2217/$AY2216-1),"")</f>
        <v/>
      </c>
      <c r="DW2216" s="66">
        <f>AVERAGE($CB2216,$CC2216,$CD2216,$CE2216,$CF2216,$CG2216,$CH2216,$CI2216,$CJ2216,$CL2216,$CM2216,$CN2216,$CO2216,$CP2216,$CQ2216,$CR2216,$CS2216,$CT2216)</f>
        <v/>
      </c>
      <c r="DX2216" s="66">
        <f>AVERAGE($CB2216,$CC2216,$CM2216,$CE2216,$CP2216)</f>
        <v/>
      </c>
      <c r="DY2216" s="64">
        <f>($DW2216-$DW2217)*100</f>
        <v/>
      </c>
      <c r="DZ2216" s="64">
        <f>($DX2216-$DX2217)*100</f>
        <v/>
      </c>
      <c r="EA2216" s="64">
        <f>($DW2216-$D2216)*100</f>
        <v/>
      </c>
      <c r="EB2216" s="64">
        <f>$Q2216-$O2216</f>
        <v/>
      </c>
      <c r="EC2216" s="67">
        <f>IFERROR($Q2216/$P2216,"")</f>
        <v/>
      </c>
    </row>
    <row r="2217">
      <c r="DG2217" s="64">
        <f>($B2217-$B2218)*100</f>
        <v/>
      </c>
      <c r="DH2217" s="64">
        <f>($D2217-$D2218)*100</f>
        <v/>
      </c>
      <c r="DI2217" s="64">
        <f>($E2217-$E2218)*100</f>
        <v/>
      </c>
      <c r="DJ2217" s="64">
        <f>($H2217-$H2218)*100</f>
        <v/>
      </c>
      <c r="DK2217" s="65">
        <f>IFERROR($J2217/$J2218-1,"")</f>
        <v/>
      </c>
      <c r="DL2217" s="64">
        <f>$L2217-$L2218</f>
        <v/>
      </c>
      <c r="DM2217" s="64">
        <f>$K2217-$K2218</f>
        <v/>
      </c>
      <c r="DN2217" s="65">
        <f>IFERROR($N2217/$N2218-1,"")</f>
        <v/>
      </c>
      <c r="DO2217" s="65">
        <f>IFERROR($M2217/$M2218-1,"")</f>
        <v/>
      </c>
      <c r="DP2217" s="65">
        <f>IFERROR($AZ2217/$AZ2218-1,"")</f>
        <v/>
      </c>
      <c r="DQ2217" s="65">
        <f>IFERROR($BA2217/$BA2218-1,"")</f>
        <v/>
      </c>
      <c r="DR2217" s="64">
        <f>$O2217-$O2218</f>
        <v/>
      </c>
      <c r="DS2217" s="64">
        <f>$P2217-$P2218</f>
        <v/>
      </c>
      <c r="DT2217" s="64">
        <f>$Q2217-$Q2218</f>
        <v/>
      </c>
      <c r="DU2217" s="64">
        <f>$S2217-$S2218</f>
        <v/>
      </c>
      <c r="DV2217" s="65">
        <f>IFERROR(AVERAGE($AA2218/$AA2217-1,$AB2218/$AB2217-1,$AC2218/$AC2217-1,$AD2218/$AD2217-1,$AE2218/$AE2217-1,$AG2218/$AG2217-1,$AH2218/$AH2217-1,$AI2218/$AI2217-1,$AJ2218/$AJ2217-1,$AL2218/$AL2217-1,$AM2218/$AM2217-1,$AR2218/$AR2217-1,$AS2218/$AS2217-1,$AT2218/$AT2217-1,$AU2218/$AU2217-1,$AV2218/$AV2217-1,$AW2218/$AW2217-1,$AX2218/$AX2217-1,$AY2218/$AY2217-1),"")</f>
        <v/>
      </c>
      <c r="DW2217" s="66">
        <f>AVERAGE($CB2217,$CC2217,$CD2217,$CE2217,$CF2217,$CG2217,$CH2217,$CI2217,$CJ2217,$CL2217,$CM2217,$CN2217,$CO2217,$CP2217,$CQ2217,$CR2217,$CS2217,$CT2217)</f>
        <v/>
      </c>
      <c r="DX2217" s="66">
        <f>AVERAGE($CB2217,$CC2217,$CM2217,$CE2217,$CP2217)</f>
        <v/>
      </c>
      <c r="DY2217" s="64">
        <f>($DW2217-$DW2218)*100</f>
        <v/>
      </c>
      <c r="DZ2217" s="64">
        <f>($DX2217-$DX2218)*100</f>
        <v/>
      </c>
      <c r="EA2217" s="64">
        <f>($DW2217-$D2217)*100</f>
        <v/>
      </c>
      <c r="EB2217" s="64">
        <f>$Q2217-$O2217</f>
        <v/>
      </c>
      <c r="EC2217" s="67">
        <f>IFERROR($Q2217/$P2217,"")</f>
        <v/>
      </c>
    </row>
    <row r="2218">
      <c r="DG2218" s="64">
        <f>($B2218-$B2219)*100</f>
        <v/>
      </c>
      <c r="DH2218" s="64">
        <f>($D2218-$D2219)*100</f>
        <v/>
      </c>
      <c r="DI2218" s="64">
        <f>($E2218-$E2219)*100</f>
        <v/>
      </c>
      <c r="DJ2218" s="64">
        <f>($H2218-$H2219)*100</f>
        <v/>
      </c>
      <c r="DK2218" s="65">
        <f>IFERROR($J2218/$J2219-1,"")</f>
        <v/>
      </c>
      <c r="DL2218" s="64">
        <f>$L2218-$L2219</f>
        <v/>
      </c>
      <c r="DM2218" s="64">
        <f>$K2218-$K2219</f>
        <v/>
      </c>
      <c r="DN2218" s="65">
        <f>IFERROR($N2218/$N2219-1,"")</f>
        <v/>
      </c>
      <c r="DO2218" s="65">
        <f>IFERROR($M2218/$M2219-1,"")</f>
        <v/>
      </c>
      <c r="DP2218" s="65">
        <f>IFERROR($AZ2218/$AZ2219-1,"")</f>
        <v/>
      </c>
      <c r="DQ2218" s="65">
        <f>IFERROR($BA2218/$BA2219-1,"")</f>
        <v/>
      </c>
      <c r="DR2218" s="64">
        <f>$O2218-$O2219</f>
        <v/>
      </c>
      <c r="DS2218" s="64">
        <f>$P2218-$P2219</f>
        <v/>
      </c>
      <c r="DT2218" s="64">
        <f>$Q2218-$Q2219</f>
        <v/>
      </c>
      <c r="DU2218" s="64">
        <f>$S2218-$S2219</f>
        <v/>
      </c>
      <c r="DV2218" s="65">
        <f>IFERROR(AVERAGE($AA2219/$AA2218-1,$AB2219/$AB2218-1,$AC2219/$AC2218-1,$AD2219/$AD2218-1,$AE2219/$AE2218-1,$AG2219/$AG2218-1,$AH2219/$AH2218-1,$AI2219/$AI2218-1,$AJ2219/$AJ2218-1,$AL2219/$AL2218-1,$AM2219/$AM2218-1,$AR2219/$AR2218-1,$AS2219/$AS2218-1,$AT2219/$AT2218-1,$AU2219/$AU2218-1,$AV2219/$AV2218-1,$AW2219/$AW2218-1,$AX2219/$AX2218-1,$AY2219/$AY2218-1),"")</f>
        <v/>
      </c>
      <c r="DW2218" s="66">
        <f>AVERAGE($CB2218,$CC2218,$CD2218,$CE2218,$CF2218,$CG2218,$CH2218,$CI2218,$CJ2218,$CL2218,$CM2218,$CN2218,$CO2218,$CP2218,$CQ2218,$CR2218,$CS2218,$CT2218)</f>
        <v/>
      </c>
      <c r="DX2218" s="66">
        <f>AVERAGE($CB2218,$CC2218,$CM2218,$CE2218,$CP2218)</f>
        <v/>
      </c>
      <c r="DY2218" s="64">
        <f>($DW2218-$DW2219)*100</f>
        <v/>
      </c>
      <c r="DZ2218" s="64">
        <f>($DX2218-$DX2219)*100</f>
        <v/>
      </c>
      <c r="EA2218" s="64">
        <f>($DW2218-$D2218)*100</f>
        <v/>
      </c>
      <c r="EB2218" s="64">
        <f>$Q2218-$O2218</f>
        <v/>
      </c>
      <c r="EC2218" s="67">
        <f>IFERROR($Q2218/$P2218,"")</f>
        <v/>
      </c>
    </row>
    <row r="2219">
      <c r="DG2219" s="64">
        <f>($B2219-$B2220)*100</f>
        <v/>
      </c>
      <c r="DH2219" s="64">
        <f>($D2219-$D2220)*100</f>
        <v/>
      </c>
      <c r="DI2219" s="64">
        <f>($E2219-$E2220)*100</f>
        <v/>
      </c>
      <c r="DJ2219" s="64">
        <f>($H2219-$H2220)*100</f>
        <v/>
      </c>
      <c r="DK2219" s="65">
        <f>IFERROR($J2219/$J2220-1,"")</f>
        <v/>
      </c>
      <c r="DL2219" s="64">
        <f>$L2219-$L2220</f>
        <v/>
      </c>
      <c r="DM2219" s="64">
        <f>$K2219-$K2220</f>
        <v/>
      </c>
      <c r="DN2219" s="65">
        <f>IFERROR($N2219/$N2220-1,"")</f>
        <v/>
      </c>
      <c r="DO2219" s="65">
        <f>IFERROR($M2219/$M2220-1,"")</f>
        <v/>
      </c>
      <c r="DP2219" s="65">
        <f>IFERROR($AZ2219/$AZ2220-1,"")</f>
        <v/>
      </c>
      <c r="DQ2219" s="65">
        <f>IFERROR($BA2219/$BA2220-1,"")</f>
        <v/>
      </c>
      <c r="DR2219" s="64">
        <f>$O2219-$O2220</f>
        <v/>
      </c>
      <c r="DS2219" s="64">
        <f>$P2219-$P2220</f>
        <v/>
      </c>
      <c r="DT2219" s="64">
        <f>$Q2219-$Q2220</f>
        <v/>
      </c>
      <c r="DU2219" s="64">
        <f>$S2219-$S2220</f>
        <v/>
      </c>
      <c r="DV2219" s="65">
        <f>IFERROR(AVERAGE($AA2220/$AA2219-1,$AB2220/$AB2219-1,$AC2220/$AC2219-1,$AD2220/$AD2219-1,$AE2220/$AE2219-1,$AG2220/$AG2219-1,$AH2220/$AH2219-1,$AI2220/$AI2219-1,$AJ2220/$AJ2219-1,$AL2220/$AL2219-1,$AM2220/$AM2219-1,$AR2220/$AR2219-1,$AS2220/$AS2219-1,$AT2220/$AT2219-1,$AU2220/$AU2219-1,$AV2220/$AV2219-1,$AW2220/$AW2219-1,$AX2220/$AX2219-1,$AY2220/$AY2219-1),"")</f>
        <v/>
      </c>
      <c r="DW2219" s="66">
        <f>AVERAGE($CB2219,$CC2219,$CD2219,$CE2219,$CF2219,$CG2219,$CH2219,$CI2219,$CJ2219,$CL2219,$CM2219,$CN2219,$CO2219,$CP2219,$CQ2219,$CR2219,$CS2219,$CT2219)</f>
        <v/>
      </c>
      <c r="DX2219" s="66">
        <f>AVERAGE($CB2219,$CC2219,$CM2219,$CE2219,$CP2219)</f>
        <v/>
      </c>
      <c r="DY2219" s="64">
        <f>($DW2219-$DW2220)*100</f>
        <v/>
      </c>
      <c r="DZ2219" s="64">
        <f>($DX2219-$DX2220)*100</f>
        <v/>
      </c>
      <c r="EA2219" s="64">
        <f>($DW2219-$D2219)*100</f>
        <v/>
      </c>
      <c r="EB2219" s="64">
        <f>$Q2219-$O2219</f>
        <v/>
      </c>
      <c r="EC2219" s="67">
        <f>IFERROR($Q2219/$P2219,"")</f>
        <v/>
      </c>
    </row>
    <row r="2220">
      <c r="DG2220" s="64">
        <f>($B2220-$B2221)*100</f>
        <v/>
      </c>
      <c r="DH2220" s="64">
        <f>($D2220-$D2221)*100</f>
        <v/>
      </c>
      <c r="DI2220" s="64">
        <f>($E2220-$E2221)*100</f>
        <v/>
      </c>
      <c r="DJ2220" s="64">
        <f>($H2220-$H2221)*100</f>
        <v/>
      </c>
      <c r="DK2220" s="65">
        <f>IFERROR($J2220/$J2221-1,"")</f>
        <v/>
      </c>
      <c r="DL2220" s="64">
        <f>$L2220-$L2221</f>
        <v/>
      </c>
      <c r="DM2220" s="64">
        <f>$K2220-$K2221</f>
        <v/>
      </c>
      <c r="DN2220" s="65">
        <f>IFERROR($N2220/$N2221-1,"")</f>
        <v/>
      </c>
      <c r="DO2220" s="65">
        <f>IFERROR($M2220/$M2221-1,"")</f>
        <v/>
      </c>
      <c r="DP2220" s="65">
        <f>IFERROR($AZ2220/$AZ2221-1,"")</f>
        <v/>
      </c>
      <c r="DQ2220" s="65">
        <f>IFERROR($BA2220/$BA2221-1,"")</f>
        <v/>
      </c>
      <c r="DR2220" s="64">
        <f>$O2220-$O2221</f>
        <v/>
      </c>
      <c r="DS2220" s="64">
        <f>$P2220-$P2221</f>
        <v/>
      </c>
      <c r="DT2220" s="64">
        <f>$Q2220-$Q2221</f>
        <v/>
      </c>
      <c r="DU2220" s="64">
        <f>$S2220-$S2221</f>
        <v/>
      </c>
      <c r="DV2220" s="65">
        <f>IFERROR(AVERAGE($AA2221/$AA2220-1,$AB2221/$AB2220-1,$AC2221/$AC2220-1,$AD2221/$AD2220-1,$AE2221/$AE2220-1,$AG2221/$AG2220-1,$AH2221/$AH2220-1,$AI2221/$AI2220-1,$AJ2221/$AJ2220-1,$AL2221/$AL2220-1,$AM2221/$AM2220-1,$AR2221/$AR2220-1,$AS2221/$AS2220-1,$AT2221/$AT2220-1,$AU2221/$AU2220-1,$AV2221/$AV2220-1,$AW2221/$AW2220-1,$AX2221/$AX2220-1,$AY2221/$AY2220-1),"")</f>
        <v/>
      </c>
      <c r="DW2220" s="66">
        <f>AVERAGE($CB2220,$CC2220,$CD2220,$CE2220,$CF2220,$CG2220,$CH2220,$CI2220,$CJ2220,$CL2220,$CM2220,$CN2220,$CO2220,$CP2220,$CQ2220,$CR2220,$CS2220,$CT2220)</f>
        <v/>
      </c>
      <c r="DX2220" s="66">
        <f>AVERAGE($CB2220,$CC2220,$CM2220,$CE2220,$CP2220)</f>
        <v/>
      </c>
      <c r="DY2220" s="64">
        <f>($DW2220-$DW2221)*100</f>
        <v/>
      </c>
      <c r="DZ2220" s="64">
        <f>($DX2220-$DX2221)*100</f>
        <v/>
      </c>
      <c r="EA2220" s="64">
        <f>($DW2220-$D2220)*100</f>
        <v/>
      </c>
      <c r="EB2220" s="64">
        <f>$Q2220-$O2220</f>
        <v/>
      </c>
      <c r="EC2220" s="67">
        <f>IFERROR($Q2220/$P2220,"")</f>
        <v/>
      </c>
    </row>
    <row r="2221">
      <c r="DG2221" s="64">
        <f>($B2221-$B2222)*100</f>
        <v/>
      </c>
      <c r="DH2221" s="64">
        <f>($D2221-$D2222)*100</f>
        <v/>
      </c>
      <c r="DI2221" s="64">
        <f>($E2221-$E2222)*100</f>
        <v/>
      </c>
      <c r="DJ2221" s="64">
        <f>($H2221-$H2222)*100</f>
        <v/>
      </c>
      <c r="DK2221" s="65">
        <f>IFERROR($J2221/$J2222-1,"")</f>
        <v/>
      </c>
      <c r="DL2221" s="64">
        <f>$L2221-$L2222</f>
        <v/>
      </c>
      <c r="DM2221" s="64">
        <f>$K2221-$K2222</f>
        <v/>
      </c>
      <c r="DN2221" s="65">
        <f>IFERROR($N2221/$N2222-1,"")</f>
        <v/>
      </c>
      <c r="DO2221" s="65">
        <f>IFERROR($M2221/$M2222-1,"")</f>
        <v/>
      </c>
      <c r="DP2221" s="65">
        <f>IFERROR($AZ2221/$AZ2222-1,"")</f>
        <v/>
      </c>
      <c r="DQ2221" s="65">
        <f>IFERROR($BA2221/$BA2222-1,"")</f>
        <v/>
      </c>
      <c r="DR2221" s="64">
        <f>$O2221-$O2222</f>
        <v/>
      </c>
      <c r="DS2221" s="64">
        <f>$P2221-$P2222</f>
        <v/>
      </c>
      <c r="DT2221" s="64">
        <f>$Q2221-$Q2222</f>
        <v/>
      </c>
      <c r="DU2221" s="64">
        <f>$S2221-$S2222</f>
        <v/>
      </c>
      <c r="DV2221" s="65">
        <f>IFERROR(AVERAGE($AA2222/$AA2221-1,$AB2222/$AB2221-1,$AC2222/$AC2221-1,$AD2222/$AD2221-1,$AE2222/$AE2221-1,$AG2222/$AG2221-1,$AH2222/$AH2221-1,$AI2222/$AI2221-1,$AJ2222/$AJ2221-1,$AL2222/$AL2221-1,$AM2222/$AM2221-1,$AR2222/$AR2221-1,$AS2222/$AS2221-1,$AT2222/$AT2221-1,$AU2222/$AU2221-1,$AV2222/$AV2221-1,$AW2222/$AW2221-1,$AX2222/$AX2221-1,$AY2222/$AY2221-1),"")</f>
        <v/>
      </c>
      <c r="DW2221" s="66">
        <f>AVERAGE($CB2221,$CC2221,$CD2221,$CE2221,$CF2221,$CG2221,$CH2221,$CI2221,$CJ2221,$CL2221,$CM2221,$CN2221,$CO2221,$CP2221,$CQ2221,$CR2221,$CS2221,$CT2221)</f>
        <v/>
      </c>
      <c r="DX2221" s="66">
        <f>AVERAGE($CB2221,$CC2221,$CM2221,$CE2221,$CP2221)</f>
        <v/>
      </c>
      <c r="DY2221" s="64">
        <f>($DW2221-$DW2222)*100</f>
        <v/>
      </c>
      <c r="DZ2221" s="64">
        <f>($DX2221-$DX2222)*100</f>
        <v/>
      </c>
      <c r="EA2221" s="64">
        <f>($DW2221-$D2221)*100</f>
        <v/>
      </c>
      <c r="EB2221" s="64">
        <f>$Q2221-$O2221</f>
        <v/>
      </c>
      <c r="EC2221" s="67">
        <f>IFERROR($Q2221/$P2221,"")</f>
        <v/>
      </c>
    </row>
    <row r="2222">
      <c r="DG2222" s="64">
        <f>($B2222-$B2223)*100</f>
        <v/>
      </c>
      <c r="DH2222" s="64">
        <f>($D2222-$D2223)*100</f>
        <v/>
      </c>
      <c r="DI2222" s="64">
        <f>($E2222-$E2223)*100</f>
        <v/>
      </c>
      <c r="DJ2222" s="64">
        <f>($H2222-$H2223)*100</f>
        <v/>
      </c>
      <c r="DK2222" s="65">
        <f>IFERROR($J2222/$J2223-1,"")</f>
        <v/>
      </c>
      <c r="DL2222" s="64">
        <f>$L2222-$L2223</f>
        <v/>
      </c>
      <c r="DM2222" s="64">
        <f>$K2222-$K2223</f>
        <v/>
      </c>
      <c r="DN2222" s="65">
        <f>IFERROR($N2222/$N2223-1,"")</f>
        <v/>
      </c>
      <c r="DO2222" s="65">
        <f>IFERROR($M2222/$M2223-1,"")</f>
        <v/>
      </c>
      <c r="DP2222" s="65">
        <f>IFERROR($AZ2222/$AZ2223-1,"")</f>
        <v/>
      </c>
      <c r="DQ2222" s="65">
        <f>IFERROR($BA2222/$BA2223-1,"")</f>
        <v/>
      </c>
      <c r="DR2222" s="64">
        <f>$O2222-$O2223</f>
        <v/>
      </c>
      <c r="DS2222" s="64">
        <f>$P2222-$P2223</f>
        <v/>
      </c>
      <c r="DT2222" s="64">
        <f>$Q2222-$Q2223</f>
        <v/>
      </c>
      <c r="DU2222" s="64">
        <f>$S2222-$S2223</f>
        <v/>
      </c>
      <c r="DV2222" s="65">
        <f>IFERROR(AVERAGE($AA2223/$AA2222-1,$AB2223/$AB2222-1,$AC2223/$AC2222-1,$AD2223/$AD2222-1,$AE2223/$AE2222-1,$AG2223/$AG2222-1,$AH2223/$AH2222-1,$AI2223/$AI2222-1,$AJ2223/$AJ2222-1,$AL2223/$AL2222-1,$AM2223/$AM2222-1,$AR2223/$AR2222-1,$AS2223/$AS2222-1,$AT2223/$AT2222-1,$AU2223/$AU2222-1,$AV2223/$AV2222-1,$AW2223/$AW2222-1,$AX2223/$AX2222-1,$AY2223/$AY2222-1),"")</f>
        <v/>
      </c>
      <c r="DW2222" s="66">
        <f>AVERAGE($CB2222,$CC2222,$CD2222,$CE2222,$CF2222,$CG2222,$CH2222,$CI2222,$CJ2222,$CL2222,$CM2222,$CN2222,$CO2222,$CP2222,$CQ2222,$CR2222,$CS2222,$CT2222)</f>
        <v/>
      </c>
      <c r="DX2222" s="66">
        <f>AVERAGE($CB2222,$CC2222,$CM2222,$CE2222,$CP2222)</f>
        <v/>
      </c>
      <c r="DY2222" s="64">
        <f>($DW2222-$DW2223)*100</f>
        <v/>
      </c>
      <c r="DZ2222" s="64">
        <f>($DX2222-$DX2223)*100</f>
        <v/>
      </c>
      <c r="EA2222" s="64">
        <f>($DW2222-$D2222)*100</f>
        <v/>
      </c>
      <c r="EB2222" s="64">
        <f>$Q2222-$O2222</f>
        <v/>
      </c>
      <c r="EC2222" s="67">
        <f>IFERROR($Q2222/$P2222,"")</f>
        <v/>
      </c>
    </row>
    <row r="2223">
      <c r="DG2223" s="64">
        <f>($B2223-$B2224)*100</f>
        <v/>
      </c>
      <c r="DH2223" s="64">
        <f>($D2223-$D2224)*100</f>
        <v/>
      </c>
      <c r="DI2223" s="64">
        <f>($E2223-$E2224)*100</f>
        <v/>
      </c>
      <c r="DJ2223" s="64">
        <f>($H2223-$H2224)*100</f>
        <v/>
      </c>
      <c r="DK2223" s="65">
        <f>IFERROR($J2223/$J2224-1,"")</f>
        <v/>
      </c>
      <c r="DL2223" s="64">
        <f>$L2223-$L2224</f>
        <v/>
      </c>
      <c r="DM2223" s="64">
        <f>$K2223-$K2224</f>
        <v/>
      </c>
      <c r="DN2223" s="65">
        <f>IFERROR($N2223/$N2224-1,"")</f>
        <v/>
      </c>
      <c r="DO2223" s="65">
        <f>IFERROR($M2223/$M2224-1,"")</f>
        <v/>
      </c>
      <c r="DP2223" s="65">
        <f>IFERROR($AZ2223/$AZ2224-1,"")</f>
        <v/>
      </c>
      <c r="DQ2223" s="65">
        <f>IFERROR($BA2223/$BA2224-1,"")</f>
        <v/>
      </c>
      <c r="DR2223" s="64">
        <f>$O2223-$O2224</f>
        <v/>
      </c>
      <c r="DS2223" s="64">
        <f>$P2223-$P2224</f>
        <v/>
      </c>
      <c r="DT2223" s="64">
        <f>$Q2223-$Q2224</f>
        <v/>
      </c>
      <c r="DU2223" s="64">
        <f>$S2223-$S2224</f>
        <v/>
      </c>
      <c r="DV2223" s="65">
        <f>IFERROR(AVERAGE($AA2224/$AA2223-1,$AB2224/$AB2223-1,$AC2224/$AC2223-1,$AD2224/$AD2223-1,$AE2224/$AE2223-1,$AG2224/$AG2223-1,$AH2224/$AH2223-1,$AI2224/$AI2223-1,$AJ2224/$AJ2223-1,$AL2224/$AL2223-1,$AM2224/$AM2223-1,$AR2224/$AR2223-1,$AS2224/$AS2223-1,$AT2224/$AT2223-1,$AU2224/$AU2223-1,$AV2224/$AV2223-1,$AW2224/$AW2223-1,$AX2224/$AX2223-1,$AY2224/$AY2223-1),"")</f>
        <v/>
      </c>
      <c r="DW2223" s="66">
        <f>AVERAGE($CB2223,$CC2223,$CD2223,$CE2223,$CF2223,$CG2223,$CH2223,$CI2223,$CJ2223,$CL2223,$CM2223,$CN2223,$CO2223,$CP2223,$CQ2223,$CR2223,$CS2223,$CT2223)</f>
        <v/>
      </c>
      <c r="DX2223" s="66">
        <f>AVERAGE($CB2223,$CC2223,$CM2223,$CE2223,$CP2223)</f>
        <v/>
      </c>
      <c r="DY2223" s="64">
        <f>($DW2223-$DW2224)*100</f>
        <v/>
      </c>
      <c r="DZ2223" s="64">
        <f>($DX2223-$DX2224)*100</f>
        <v/>
      </c>
      <c r="EA2223" s="64">
        <f>($DW2223-$D2223)*100</f>
        <v/>
      </c>
      <c r="EB2223" s="64">
        <f>$Q2223-$O2223</f>
        <v/>
      </c>
      <c r="EC2223" s="67">
        <f>IFERROR($Q2223/$P2223,"")</f>
        <v/>
      </c>
    </row>
    <row r="2224">
      <c r="DG2224" s="64">
        <f>($B2224-$B2225)*100</f>
        <v/>
      </c>
      <c r="DH2224" s="64">
        <f>($D2224-$D2225)*100</f>
        <v/>
      </c>
      <c r="DI2224" s="64">
        <f>($E2224-$E2225)*100</f>
        <v/>
      </c>
      <c r="DJ2224" s="64">
        <f>($H2224-$H2225)*100</f>
        <v/>
      </c>
      <c r="DK2224" s="65">
        <f>IFERROR($J2224/$J2225-1,"")</f>
        <v/>
      </c>
      <c r="DL2224" s="64">
        <f>$L2224-$L2225</f>
        <v/>
      </c>
      <c r="DM2224" s="64">
        <f>$K2224-$K2225</f>
        <v/>
      </c>
      <c r="DN2224" s="65">
        <f>IFERROR($N2224/$N2225-1,"")</f>
        <v/>
      </c>
      <c r="DO2224" s="65">
        <f>IFERROR($M2224/$M2225-1,"")</f>
        <v/>
      </c>
      <c r="DP2224" s="65">
        <f>IFERROR($AZ2224/$AZ2225-1,"")</f>
        <v/>
      </c>
      <c r="DQ2224" s="65">
        <f>IFERROR($BA2224/$BA2225-1,"")</f>
        <v/>
      </c>
      <c r="DR2224" s="64">
        <f>$O2224-$O2225</f>
        <v/>
      </c>
      <c r="DS2224" s="64">
        <f>$P2224-$P2225</f>
        <v/>
      </c>
      <c r="DT2224" s="64">
        <f>$Q2224-$Q2225</f>
        <v/>
      </c>
      <c r="DU2224" s="64">
        <f>$S2224-$S2225</f>
        <v/>
      </c>
      <c r="DV2224" s="65">
        <f>IFERROR(AVERAGE($AA2225/$AA2224-1,$AB2225/$AB2224-1,$AC2225/$AC2224-1,$AD2225/$AD2224-1,$AE2225/$AE2224-1,$AG2225/$AG2224-1,$AH2225/$AH2224-1,$AI2225/$AI2224-1,$AJ2225/$AJ2224-1,$AL2225/$AL2224-1,$AM2225/$AM2224-1,$AR2225/$AR2224-1,$AS2225/$AS2224-1,$AT2225/$AT2224-1,$AU2225/$AU2224-1,$AV2225/$AV2224-1,$AW2225/$AW2224-1,$AX2225/$AX2224-1,$AY2225/$AY2224-1),"")</f>
        <v/>
      </c>
      <c r="DW2224" s="66">
        <f>AVERAGE($CB2224,$CC2224,$CD2224,$CE2224,$CF2224,$CG2224,$CH2224,$CI2224,$CJ2224,$CL2224,$CM2224,$CN2224,$CO2224,$CP2224,$CQ2224,$CR2224,$CS2224,$CT2224)</f>
        <v/>
      </c>
      <c r="DX2224" s="66">
        <f>AVERAGE($CB2224,$CC2224,$CM2224,$CE2224,$CP2224)</f>
        <v/>
      </c>
      <c r="DY2224" s="64">
        <f>($DW2224-$DW2225)*100</f>
        <v/>
      </c>
      <c r="DZ2224" s="64">
        <f>($DX2224-$DX2225)*100</f>
        <v/>
      </c>
      <c r="EA2224" s="64">
        <f>($DW2224-$D2224)*100</f>
        <v/>
      </c>
      <c r="EB2224" s="64">
        <f>$Q2224-$O2224</f>
        <v/>
      </c>
      <c r="EC2224" s="67">
        <f>IFERROR($Q2224/$P2224,"")</f>
        <v/>
      </c>
    </row>
    <row r="2225">
      <c r="DG2225" s="64">
        <f>($B2225-$B2226)*100</f>
        <v/>
      </c>
      <c r="DH2225" s="64">
        <f>($D2225-$D2226)*100</f>
        <v/>
      </c>
      <c r="DI2225" s="64">
        <f>($E2225-$E2226)*100</f>
        <v/>
      </c>
      <c r="DJ2225" s="64">
        <f>($H2225-$H2226)*100</f>
        <v/>
      </c>
      <c r="DK2225" s="65">
        <f>IFERROR($J2225/$J2226-1,"")</f>
        <v/>
      </c>
      <c r="DL2225" s="64">
        <f>$L2225-$L2226</f>
        <v/>
      </c>
      <c r="DM2225" s="64">
        <f>$K2225-$K2226</f>
        <v/>
      </c>
      <c r="DN2225" s="65">
        <f>IFERROR($N2225/$N2226-1,"")</f>
        <v/>
      </c>
      <c r="DO2225" s="65">
        <f>IFERROR($M2225/$M2226-1,"")</f>
        <v/>
      </c>
      <c r="DP2225" s="65">
        <f>IFERROR($AZ2225/$AZ2226-1,"")</f>
        <v/>
      </c>
      <c r="DQ2225" s="65">
        <f>IFERROR($BA2225/$BA2226-1,"")</f>
        <v/>
      </c>
      <c r="DR2225" s="64">
        <f>$O2225-$O2226</f>
        <v/>
      </c>
      <c r="DS2225" s="64">
        <f>$P2225-$P2226</f>
        <v/>
      </c>
      <c r="DT2225" s="64">
        <f>$Q2225-$Q2226</f>
        <v/>
      </c>
      <c r="DU2225" s="64">
        <f>$S2225-$S2226</f>
        <v/>
      </c>
      <c r="DV2225" s="65">
        <f>IFERROR(AVERAGE($AA2226/$AA2225-1,$AB2226/$AB2225-1,$AC2226/$AC2225-1,$AD2226/$AD2225-1,$AE2226/$AE2225-1,$AG2226/$AG2225-1,$AH2226/$AH2225-1,$AI2226/$AI2225-1,$AJ2226/$AJ2225-1,$AL2226/$AL2225-1,$AM2226/$AM2225-1,$AR2226/$AR2225-1,$AS2226/$AS2225-1,$AT2226/$AT2225-1,$AU2226/$AU2225-1,$AV2226/$AV2225-1,$AW2226/$AW2225-1,$AX2226/$AX2225-1,$AY2226/$AY2225-1),"")</f>
        <v/>
      </c>
      <c r="DW2225" s="66">
        <f>AVERAGE($CB2225,$CC2225,$CD2225,$CE2225,$CF2225,$CG2225,$CH2225,$CI2225,$CJ2225,$CL2225,$CM2225,$CN2225,$CO2225,$CP2225,$CQ2225,$CR2225,$CS2225,$CT2225)</f>
        <v/>
      </c>
      <c r="DX2225" s="66">
        <f>AVERAGE($CB2225,$CC2225,$CM2225,$CE2225,$CP2225)</f>
        <v/>
      </c>
      <c r="DY2225" s="64">
        <f>($DW2225-$DW2226)*100</f>
        <v/>
      </c>
      <c r="DZ2225" s="64">
        <f>($DX2225-$DX2226)*100</f>
        <v/>
      </c>
      <c r="EA2225" s="64">
        <f>($DW2225-$D2225)*100</f>
        <v/>
      </c>
      <c r="EB2225" s="64">
        <f>$Q2225-$O2225</f>
        <v/>
      </c>
      <c r="EC2225" s="67">
        <f>IFERROR($Q2225/$P2225,"")</f>
        <v/>
      </c>
    </row>
    <row r="2226">
      <c r="DG2226" s="64">
        <f>($B2226-$B2227)*100</f>
        <v/>
      </c>
      <c r="DH2226" s="64">
        <f>($D2226-$D2227)*100</f>
        <v/>
      </c>
      <c r="DI2226" s="64">
        <f>($E2226-$E2227)*100</f>
        <v/>
      </c>
      <c r="DJ2226" s="64">
        <f>($H2226-$H2227)*100</f>
        <v/>
      </c>
      <c r="DK2226" s="65">
        <f>IFERROR($J2226/$J2227-1,"")</f>
        <v/>
      </c>
      <c r="DL2226" s="64">
        <f>$L2226-$L2227</f>
        <v/>
      </c>
      <c r="DM2226" s="64">
        <f>$K2226-$K2227</f>
        <v/>
      </c>
      <c r="DN2226" s="65">
        <f>IFERROR($N2226/$N2227-1,"")</f>
        <v/>
      </c>
      <c r="DO2226" s="65">
        <f>IFERROR($M2226/$M2227-1,"")</f>
        <v/>
      </c>
      <c r="DP2226" s="65">
        <f>IFERROR($AZ2226/$AZ2227-1,"")</f>
        <v/>
      </c>
      <c r="DQ2226" s="65">
        <f>IFERROR($BA2226/$BA2227-1,"")</f>
        <v/>
      </c>
      <c r="DR2226" s="64">
        <f>$O2226-$O2227</f>
        <v/>
      </c>
      <c r="DS2226" s="64">
        <f>$P2226-$P2227</f>
        <v/>
      </c>
      <c r="DT2226" s="64">
        <f>$Q2226-$Q2227</f>
        <v/>
      </c>
      <c r="DU2226" s="64">
        <f>$S2226-$S2227</f>
        <v/>
      </c>
      <c r="DV2226" s="65">
        <f>IFERROR(AVERAGE($AA2227/$AA2226-1,$AB2227/$AB2226-1,$AC2227/$AC2226-1,$AD2227/$AD2226-1,$AE2227/$AE2226-1,$AG2227/$AG2226-1,$AH2227/$AH2226-1,$AI2227/$AI2226-1,$AJ2227/$AJ2226-1,$AL2227/$AL2226-1,$AM2227/$AM2226-1,$AR2227/$AR2226-1,$AS2227/$AS2226-1,$AT2227/$AT2226-1,$AU2227/$AU2226-1,$AV2227/$AV2226-1,$AW2227/$AW2226-1,$AX2227/$AX2226-1,$AY2227/$AY2226-1),"")</f>
        <v/>
      </c>
      <c r="DW2226" s="66">
        <f>AVERAGE($CB2226,$CC2226,$CD2226,$CE2226,$CF2226,$CG2226,$CH2226,$CI2226,$CJ2226,$CL2226,$CM2226,$CN2226,$CO2226,$CP2226,$CQ2226,$CR2226,$CS2226,$CT2226)</f>
        <v/>
      </c>
      <c r="DX2226" s="66">
        <f>AVERAGE($CB2226,$CC2226,$CM2226,$CE2226,$CP2226)</f>
        <v/>
      </c>
      <c r="DY2226" s="64">
        <f>($DW2226-$DW2227)*100</f>
        <v/>
      </c>
      <c r="DZ2226" s="64">
        <f>($DX2226-$DX2227)*100</f>
        <v/>
      </c>
      <c r="EA2226" s="64">
        <f>($DW2226-$D2226)*100</f>
        <v/>
      </c>
      <c r="EB2226" s="64">
        <f>$Q2226-$O2226</f>
        <v/>
      </c>
      <c r="EC2226" s="67">
        <f>IFERROR($Q2226/$P2226,"")</f>
        <v/>
      </c>
    </row>
    <row r="2227">
      <c r="DG2227" s="64">
        <f>($B2227-$B2228)*100</f>
        <v/>
      </c>
      <c r="DH2227" s="64">
        <f>($D2227-$D2228)*100</f>
        <v/>
      </c>
      <c r="DI2227" s="64">
        <f>($E2227-$E2228)*100</f>
        <v/>
      </c>
      <c r="DJ2227" s="64">
        <f>($H2227-$H2228)*100</f>
        <v/>
      </c>
      <c r="DK2227" s="65">
        <f>IFERROR($J2227/$J2228-1,"")</f>
        <v/>
      </c>
      <c r="DL2227" s="64">
        <f>$L2227-$L2228</f>
        <v/>
      </c>
      <c r="DM2227" s="64">
        <f>$K2227-$K2228</f>
        <v/>
      </c>
      <c r="DN2227" s="65">
        <f>IFERROR($N2227/$N2228-1,"")</f>
        <v/>
      </c>
      <c r="DO2227" s="65">
        <f>IFERROR($M2227/$M2228-1,"")</f>
        <v/>
      </c>
      <c r="DP2227" s="65">
        <f>IFERROR($AZ2227/$AZ2228-1,"")</f>
        <v/>
      </c>
      <c r="DQ2227" s="65">
        <f>IFERROR($BA2227/$BA2228-1,"")</f>
        <v/>
      </c>
      <c r="DR2227" s="64">
        <f>$O2227-$O2228</f>
        <v/>
      </c>
      <c r="DS2227" s="64">
        <f>$P2227-$P2228</f>
        <v/>
      </c>
      <c r="DT2227" s="64">
        <f>$Q2227-$Q2228</f>
        <v/>
      </c>
      <c r="DU2227" s="64">
        <f>$S2227-$S2228</f>
        <v/>
      </c>
      <c r="DV2227" s="65">
        <f>IFERROR(AVERAGE($AA2228/$AA2227-1,$AB2228/$AB2227-1,$AC2228/$AC2227-1,$AD2228/$AD2227-1,$AE2228/$AE2227-1,$AG2228/$AG2227-1,$AH2228/$AH2227-1,$AI2228/$AI2227-1,$AJ2228/$AJ2227-1,$AL2228/$AL2227-1,$AM2228/$AM2227-1,$AR2228/$AR2227-1,$AS2228/$AS2227-1,$AT2228/$AT2227-1,$AU2228/$AU2227-1,$AV2228/$AV2227-1,$AW2228/$AW2227-1,$AX2228/$AX2227-1,$AY2228/$AY2227-1),"")</f>
        <v/>
      </c>
      <c r="DW2227" s="66">
        <f>AVERAGE($CB2227,$CC2227,$CD2227,$CE2227,$CF2227,$CG2227,$CH2227,$CI2227,$CJ2227,$CL2227,$CM2227,$CN2227,$CO2227,$CP2227,$CQ2227,$CR2227,$CS2227,$CT2227)</f>
        <v/>
      </c>
      <c r="DX2227" s="66">
        <f>AVERAGE($CB2227,$CC2227,$CM2227,$CE2227,$CP2227)</f>
        <v/>
      </c>
      <c r="DY2227" s="64">
        <f>($DW2227-$DW2228)*100</f>
        <v/>
      </c>
      <c r="DZ2227" s="64">
        <f>($DX2227-$DX2228)*100</f>
        <v/>
      </c>
      <c r="EA2227" s="64">
        <f>($DW2227-$D2227)*100</f>
        <v/>
      </c>
      <c r="EB2227" s="64">
        <f>$Q2227-$O2227</f>
        <v/>
      </c>
      <c r="EC2227" s="67">
        <f>IFERROR($Q2227/$P2227,"")</f>
        <v/>
      </c>
    </row>
    <row r="2228">
      <c r="DG2228" s="64">
        <f>($B2228-$B2229)*100</f>
        <v/>
      </c>
      <c r="DH2228" s="64">
        <f>($D2228-$D2229)*100</f>
        <v/>
      </c>
      <c r="DI2228" s="64">
        <f>($E2228-$E2229)*100</f>
        <v/>
      </c>
      <c r="DJ2228" s="64">
        <f>($H2228-$H2229)*100</f>
        <v/>
      </c>
      <c r="DK2228" s="65">
        <f>IFERROR($J2228/$J2229-1,"")</f>
        <v/>
      </c>
      <c r="DL2228" s="64">
        <f>$L2228-$L2229</f>
        <v/>
      </c>
      <c r="DM2228" s="64">
        <f>$K2228-$K2229</f>
        <v/>
      </c>
      <c r="DN2228" s="65">
        <f>IFERROR($N2228/$N2229-1,"")</f>
        <v/>
      </c>
      <c r="DO2228" s="65">
        <f>IFERROR($M2228/$M2229-1,"")</f>
        <v/>
      </c>
      <c r="DP2228" s="65">
        <f>IFERROR($AZ2228/$AZ2229-1,"")</f>
        <v/>
      </c>
      <c r="DQ2228" s="65">
        <f>IFERROR($BA2228/$BA2229-1,"")</f>
        <v/>
      </c>
      <c r="DR2228" s="64">
        <f>$O2228-$O2229</f>
        <v/>
      </c>
      <c r="DS2228" s="64">
        <f>$P2228-$P2229</f>
        <v/>
      </c>
      <c r="DT2228" s="64">
        <f>$Q2228-$Q2229</f>
        <v/>
      </c>
      <c r="DU2228" s="64">
        <f>$S2228-$S2229</f>
        <v/>
      </c>
      <c r="DV2228" s="65">
        <f>IFERROR(AVERAGE($AA2229/$AA2228-1,$AB2229/$AB2228-1,$AC2229/$AC2228-1,$AD2229/$AD2228-1,$AE2229/$AE2228-1,$AG2229/$AG2228-1,$AH2229/$AH2228-1,$AI2229/$AI2228-1,$AJ2229/$AJ2228-1,$AL2229/$AL2228-1,$AM2229/$AM2228-1,$AR2229/$AR2228-1,$AS2229/$AS2228-1,$AT2229/$AT2228-1,$AU2229/$AU2228-1,$AV2229/$AV2228-1,$AW2229/$AW2228-1,$AX2229/$AX2228-1,$AY2229/$AY2228-1),"")</f>
        <v/>
      </c>
      <c r="DW2228" s="66">
        <f>AVERAGE($CB2228,$CC2228,$CD2228,$CE2228,$CF2228,$CG2228,$CH2228,$CI2228,$CJ2228,$CL2228,$CM2228,$CN2228,$CO2228,$CP2228,$CQ2228,$CR2228,$CS2228,$CT2228)</f>
        <v/>
      </c>
      <c r="DX2228" s="66">
        <f>AVERAGE($CB2228,$CC2228,$CM2228,$CE2228,$CP2228)</f>
        <v/>
      </c>
      <c r="DY2228" s="64">
        <f>($DW2228-$DW2229)*100</f>
        <v/>
      </c>
      <c r="DZ2228" s="64">
        <f>($DX2228-$DX2229)*100</f>
        <v/>
      </c>
      <c r="EA2228" s="64">
        <f>($DW2228-$D2228)*100</f>
        <v/>
      </c>
      <c r="EB2228" s="64">
        <f>$Q2228-$O2228</f>
        <v/>
      </c>
      <c r="EC2228" s="67">
        <f>IFERROR($Q2228/$P2228,"")</f>
        <v/>
      </c>
    </row>
    <row r="2229">
      <c r="DG2229" s="64">
        <f>($B2229-$B2230)*100</f>
        <v/>
      </c>
      <c r="DH2229" s="64">
        <f>($D2229-$D2230)*100</f>
        <v/>
      </c>
      <c r="DI2229" s="64">
        <f>($E2229-$E2230)*100</f>
        <v/>
      </c>
      <c r="DJ2229" s="64">
        <f>($H2229-$H2230)*100</f>
        <v/>
      </c>
      <c r="DK2229" s="65">
        <f>IFERROR($J2229/$J2230-1,"")</f>
        <v/>
      </c>
      <c r="DL2229" s="64">
        <f>$L2229-$L2230</f>
        <v/>
      </c>
      <c r="DM2229" s="64">
        <f>$K2229-$K2230</f>
        <v/>
      </c>
      <c r="DN2229" s="65">
        <f>IFERROR($N2229/$N2230-1,"")</f>
        <v/>
      </c>
      <c r="DO2229" s="65">
        <f>IFERROR($M2229/$M2230-1,"")</f>
        <v/>
      </c>
      <c r="DP2229" s="65">
        <f>IFERROR($AZ2229/$AZ2230-1,"")</f>
        <v/>
      </c>
      <c r="DQ2229" s="65">
        <f>IFERROR($BA2229/$BA2230-1,"")</f>
        <v/>
      </c>
      <c r="DR2229" s="64">
        <f>$O2229-$O2230</f>
        <v/>
      </c>
      <c r="DS2229" s="64">
        <f>$P2229-$P2230</f>
        <v/>
      </c>
      <c r="DT2229" s="64">
        <f>$Q2229-$Q2230</f>
        <v/>
      </c>
      <c r="DU2229" s="64">
        <f>$S2229-$S2230</f>
        <v/>
      </c>
      <c r="DV2229" s="65">
        <f>IFERROR(AVERAGE($AA2230/$AA2229-1,$AB2230/$AB2229-1,$AC2230/$AC2229-1,$AD2230/$AD2229-1,$AE2230/$AE2229-1,$AG2230/$AG2229-1,$AH2230/$AH2229-1,$AI2230/$AI2229-1,$AJ2230/$AJ2229-1,$AL2230/$AL2229-1,$AM2230/$AM2229-1,$AR2230/$AR2229-1,$AS2230/$AS2229-1,$AT2230/$AT2229-1,$AU2230/$AU2229-1,$AV2230/$AV2229-1,$AW2230/$AW2229-1,$AX2230/$AX2229-1,$AY2230/$AY2229-1),"")</f>
        <v/>
      </c>
      <c r="DW2229" s="66">
        <f>AVERAGE($CB2229,$CC2229,$CD2229,$CE2229,$CF2229,$CG2229,$CH2229,$CI2229,$CJ2229,$CL2229,$CM2229,$CN2229,$CO2229,$CP2229,$CQ2229,$CR2229,$CS2229,$CT2229)</f>
        <v/>
      </c>
      <c r="DX2229" s="66">
        <f>AVERAGE($CB2229,$CC2229,$CM2229,$CE2229,$CP2229)</f>
        <v/>
      </c>
      <c r="DY2229" s="64">
        <f>($DW2229-$DW2230)*100</f>
        <v/>
      </c>
      <c r="DZ2229" s="64">
        <f>($DX2229-$DX2230)*100</f>
        <v/>
      </c>
      <c r="EA2229" s="64">
        <f>($DW2229-$D2229)*100</f>
        <v/>
      </c>
      <c r="EB2229" s="64">
        <f>$Q2229-$O2229</f>
        <v/>
      </c>
      <c r="EC2229" s="67">
        <f>IFERROR($Q2229/$P2229,"")</f>
        <v/>
      </c>
    </row>
    <row r="2230">
      <c r="DG2230" s="64">
        <f>($B2230-$B2231)*100</f>
        <v/>
      </c>
      <c r="DH2230" s="64">
        <f>($D2230-$D2231)*100</f>
        <v/>
      </c>
      <c r="DI2230" s="64">
        <f>($E2230-$E2231)*100</f>
        <v/>
      </c>
      <c r="DJ2230" s="64">
        <f>($H2230-$H2231)*100</f>
        <v/>
      </c>
      <c r="DK2230" s="65">
        <f>IFERROR($J2230/$J2231-1,"")</f>
        <v/>
      </c>
      <c r="DL2230" s="64">
        <f>$L2230-$L2231</f>
        <v/>
      </c>
      <c r="DM2230" s="64">
        <f>$K2230-$K2231</f>
        <v/>
      </c>
      <c r="DN2230" s="65">
        <f>IFERROR($N2230/$N2231-1,"")</f>
        <v/>
      </c>
      <c r="DO2230" s="65">
        <f>IFERROR($M2230/$M2231-1,"")</f>
        <v/>
      </c>
      <c r="DP2230" s="65">
        <f>IFERROR($AZ2230/$AZ2231-1,"")</f>
        <v/>
      </c>
      <c r="DQ2230" s="65">
        <f>IFERROR($BA2230/$BA2231-1,"")</f>
        <v/>
      </c>
      <c r="DR2230" s="64">
        <f>$O2230-$O2231</f>
        <v/>
      </c>
      <c r="DS2230" s="64">
        <f>$P2230-$P2231</f>
        <v/>
      </c>
      <c r="DT2230" s="64">
        <f>$Q2230-$Q2231</f>
        <v/>
      </c>
      <c r="DU2230" s="64">
        <f>$S2230-$S2231</f>
        <v/>
      </c>
      <c r="DV2230" s="65">
        <f>IFERROR(AVERAGE($AA2231/$AA2230-1,$AB2231/$AB2230-1,$AC2231/$AC2230-1,$AD2231/$AD2230-1,$AE2231/$AE2230-1,$AG2231/$AG2230-1,$AH2231/$AH2230-1,$AI2231/$AI2230-1,$AJ2231/$AJ2230-1,$AL2231/$AL2230-1,$AM2231/$AM2230-1,$AR2231/$AR2230-1,$AS2231/$AS2230-1,$AT2231/$AT2230-1,$AU2231/$AU2230-1,$AV2231/$AV2230-1,$AW2231/$AW2230-1,$AX2231/$AX2230-1,$AY2231/$AY2230-1),"")</f>
        <v/>
      </c>
      <c r="DW2230" s="66">
        <f>AVERAGE($CB2230,$CC2230,$CD2230,$CE2230,$CF2230,$CG2230,$CH2230,$CI2230,$CJ2230,$CL2230,$CM2230,$CN2230,$CO2230,$CP2230,$CQ2230,$CR2230,$CS2230,$CT2230)</f>
        <v/>
      </c>
      <c r="DX2230" s="66">
        <f>AVERAGE($CB2230,$CC2230,$CM2230,$CE2230,$CP2230)</f>
        <v/>
      </c>
      <c r="DY2230" s="64">
        <f>($DW2230-$DW2231)*100</f>
        <v/>
      </c>
      <c r="DZ2230" s="64">
        <f>($DX2230-$DX2231)*100</f>
        <v/>
      </c>
      <c r="EA2230" s="64">
        <f>($DW2230-$D2230)*100</f>
        <v/>
      </c>
      <c r="EB2230" s="64">
        <f>$Q2230-$O2230</f>
        <v/>
      </c>
      <c r="EC2230" s="67">
        <f>IFERROR($Q2230/$P2230,"")</f>
        <v/>
      </c>
    </row>
    <row r="2231">
      <c r="DG2231" s="64">
        <f>($B2231-$B2232)*100</f>
        <v/>
      </c>
      <c r="DH2231" s="64">
        <f>($D2231-$D2232)*100</f>
        <v/>
      </c>
      <c r="DI2231" s="64">
        <f>($E2231-$E2232)*100</f>
        <v/>
      </c>
      <c r="DJ2231" s="64">
        <f>($H2231-$H2232)*100</f>
        <v/>
      </c>
      <c r="DK2231" s="65">
        <f>IFERROR($J2231/$J2232-1,"")</f>
        <v/>
      </c>
      <c r="DL2231" s="64">
        <f>$L2231-$L2232</f>
        <v/>
      </c>
      <c r="DM2231" s="64">
        <f>$K2231-$K2232</f>
        <v/>
      </c>
      <c r="DN2231" s="65">
        <f>IFERROR($N2231/$N2232-1,"")</f>
        <v/>
      </c>
      <c r="DO2231" s="65">
        <f>IFERROR($M2231/$M2232-1,"")</f>
        <v/>
      </c>
      <c r="DP2231" s="65">
        <f>IFERROR($AZ2231/$AZ2232-1,"")</f>
        <v/>
      </c>
      <c r="DQ2231" s="65">
        <f>IFERROR($BA2231/$BA2232-1,"")</f>
        <v/>
      </c>
      <c r="DR2231" s="64">
        <f>$O2231-$O2232</f>
        <v/>
      </c>
      <c r="DS2231" s="64">
        <f>$P2231-$P2232</f>
        <v/>
      </c>
      <c r="DT2231" s="64">
        <f>$Q2231-$Q2232</f>
        <v/>
      </c>
      <c r="DU2231" s="64">
        <f>$S2231-$S2232</f>
        <v/>
      </c>
      <c r="DV2231" s="65">
        <f>IFERROR(AVERAGE($AA2232/$AA2231-1,$AB2232/$AB2231-1,$AC2232/$AC2231-1,$AD2232/$AD2231-1,$AE2232/$AE2231-1,$AG2232/$AG2231-1,$AH2232/$AH2231-1,$AI2232/$AI2231-1,$AJ2232/$AJ2231-1,$AL2232/$AL2231-1,$AM2232/$AM2231-1,$AR2232/$AR2231-1,$AS2232/$AS2231-1,$AT2232/$AT2231-1,$AU2232/$AU2231-1,$AV2232/$AV2231-1,$AW2232/$AW2231-1,$AX2232/$AX2231-1,$AY2232/$AY2231-1),"")</f>
        <v/>
      </c>
      <c r="DW2231" s="66">
        <f>AVERAGE($CB2231,$CC2231,$CD2231,$CE2231,$CF2231,$CG2231,$CH2231,$CI2231,$CJ2231,$CL2231,$CM2231,$CN2231,$CO2231,$CP2231,$CQ2231,$CR2231,$CS2231,$CT2231)</f>
        <v/>
      </c>
      <c r="DX2231" s="66">
        <f>AVERAGE($CB2231,$CC2231,$CM2231,$CE2231,$CP2231)</f>
        <v/>
      </c>
      <c r="DY2231" s="64">
        <f>($DW2231-$DW2232)*100</f>
        <v/>
      </c>
      <c r="DZ2231" s="64">
        <f>($DX2231-$DX2232)*100</f>
        <v/>
      </c>
      <c r="EA2231" s="64">
        <f>($DW2231-$D2231)*100</f>
        <v/>
      </c>
      <c r="EB2231" s="64">
        <f>$Q2231-$O2231</f>
        <v/>
      </c>
      <c r="EC2231" s="67">
        <f>IFERROR($Q2231/$P2231,"")</f>
        <v/>
      </c>
    </row>
    <row r="2232">
      <c r="DG2232" s="64">
        <f>($B2232-$B2233)*100</f>
        <v/>
      </c>
      <c r="DH2232" s="64">
        <f>($D2232-$D2233)*100</f>
        <v/>
      </c>
      <c r="DI2232" s="64">
        <f>($E2232-$E2233)*100</f>
        <v/>
      </c>
      <c r="DJ2232" s="64">
        <f>($H2232-$H2233)*100</f>
        <v/>
      </c>
      <c r="DK2232" s="65">
        <f>IFERROR($J2232/$J2233-1,"")</f>
        <v/>
      </c>
      <c r="DL2232" s="64">
        <f>$L2232-$L2233</f>
        <v/>
      </c>
      <c r="DM2232" s="64">
        <f>$K2232-$K2233</f>
        <v/>
      </c>
      <c r="DN2232" s="65">
        <f>IFERROR($N2232/$N2233-1,"")</f>
        <v/>
      </c>
      <c r="DO2232" s="65">
        <f>IFERROR($M2232/$M2233-1,"")</f>
        <v/>
      </c>
      <c r="DP2232" s="65">
        <f>IFERROR($AZ2232/$AZ2233-1,"")</f>
        <v/>
      </c>
      <c r="DQ2232" s="65">
        <f>IFERROR($BA2232/$BA2233-1,"")</f>
        <v/>
      </c>
      <c r="DR2232" s="64">
        <f>$O2232-$O2233</f>
        <v/>
      </c>
      <c r="DS2232" s="64">
        <f>$P2232-$P2233</f>
        <v/>
      </c>
      <c r="DT2232" s="64">
        <f>$Q2232-$Q2233</f>
        <v/>
      </c>
      <c r="DU2232" s="64">
        <f>$S2232-$S2233</f>
        <v/>
      </c>
      <c r="DV2232" s="65">
        <f>IFERROR(AVERAGE($AA2233/$AA2232-1,$AB2233/$AB2232-1,$AC2233/$AC2232-1,$AD2233/$AD2232-1,$AE2233/$AE2232-1,$AG2233/$AG2232-1,$AH2233/$AH2232-1,$AI2233/$AI2232-1,$AJ2233/$AJ2232-1,$AL2233/$AL2232-1,$AM2233/$AM2232-1,$AR2233/$AR2232-1,$AS2233/$AS2232-1,$AT2233/$AT2232-1,$AU2233/$AU2232-1,$AV2233/$AV2232-1,$AW2233/$AW2232-1,$AX2233/$AX2232-1,$AY2233/$AY2232-1),"")</f>
        <v/>
      </c>
      <c r="DW2232" s="66">
        <f>AVERAGE($CB2232,$CC2232,$CD2232,$CE2232,$CF2232,$CG2232,$CH2232,$CI2232,$CJ2232,$CL2232,$CM2232,$CN2232,$CO2232,$CP2232,$CQ2232,$CR2232,$CS2232,$CT2232)</f>
        <v/>
      </c>
      <c r="DX2232" s="66">
        <f>AVERAGE($CB2232,$CC2232,$CM2232,$CE2232,$CP2232)</f>
        <v/>
      </c>
      <c r="DY2232" s="64">
        <f>($DW2232-$DW2233)*100</f>
        <v/>
      </c>
      <c r="DZ2232" s="64">
        <f>($DX2232-$DX2233)*100</f>
        <v/>
      </c>
      <c r="EA2232" s="64">
        <f>($DW2232-$D2232)*100</f>
        <v/>
      </c>
      <c r="EB2232" s="64">
        <f>$Q2232-$O2232</f>
        <v/>
      </c>
      <c r="EC2232" s="67">
        <f>IFERROR($Q2232/$P2232,"")</f>
        <v/>
      </c>
    </row>
    <row r="2233">
      <c r="DG2233" s="64">
        <f>($B2233-$B2234)*100</f>
        <v/>
      </c>
      <c r="DH2233" s="64">
        <f>($D2233-$D2234)*100</f>
        <v/>
      </c>
      <c r="DI2233" s="64">
        <f>($E2233-$E2234)*100</f>
        <v/>
      </c>
      <c r="DJ2233" s="64">
        <f>($H2233-$H2234)*100</f>
        <v/>
      </c>
      <c r="DK2233" s="65">
        <f>IFERROR($J2233/$J2234-1,"")</f>
        <v/>
      </c>
      <c r="DL2233" s="64">
        <f>$L2233-$L2234</f>
        <v/>
      </c>
      <c r="DM2233" s="64">
        <f>$K2233-$K2234</f>
        <v/>
      </c>
      <c r="DN2233" s="65">
        <f>IFERROR($N2233/$N2234-1,"")</f>
        <v/>
      </c>
      <c r="DO2233" s="65">
        <f>IFERROR($M2233/$M2234-1,"")</f>
        <v/>
      </c>
      <c r="DP2233" s="65">
        <f>IFERROR($AZ2233/$AZ2234-1,"")</f>
        <v/>
      </c>
      <c r="DQ2233" s="65">
        <f>IFERROR($BA2233/$BA2234-1,"")</f>
        <v/>
      </c>
      <c r="DR2233" s="64">
        <f>$O2233-$O2234</f>
        <v/>
      </c>
      <c r="DS2233" s="64">
        <f>$P2233-$P2234</f>
        <v/>
      </c>
      <c r="DT2233" s="64">
        <f>$Q2233-$Q2234</f>
        <v/>
      </c>
      <c r="DU2233" s="64">
        <f>$S2233-$S2234</f>
        <v/>
      </c>
      <c r="DV2233" s="65">
        <f>IFERROR(AVERAGE($AA2234/$AA2233-1,$AB2234/$AB2233-1,$AC2234/$AC2233-1,$AD2234/$AD2233-1,$AE2234/$AE2233-1,$AG2234/$AG2233-1,$AH2234/$AH2233-1,$AI2234/$AI2233-1,$AJ2234/$AJ2233-1,$AL2234/$AL2233-1,$AM2234/$AM2233-1,$AR2234/$AR2233-1,$AS2234/$AS2233-1,$AT2234/$AT2233-1,$AU2234/$AU2233-1,$AV2234/$AV2233-1,$AW2234/$AW2233-1,$AX2234/$AX2233-1,$AY2234/$AY2233-1),"")</f>
        <v/>
      </c>
      <c r="DW2233" s="66">
        <f>AVERAGE($CB2233,$CC2233,$CD2233,$CE2233,$CF2233,$CG2233,$CH2233,$CI2233,$CJ2233,$CL2233,$CM2233,$CN2233,$CO2233,$CP2233,$CQ2233,$CR2233,$CS2233,$CT2233)</f>
        <v/>
      </c>
      <c r="DX2233" s="66">
        <f>AVERAGE($CB2233,$CC2233,$CM2233,$CE2233,$CP2233)</f>
        <v/>
      </c>
      <c r="DY2233" s="64">
        <f>($DW2233-$DW2234)*100</f>
        <v/>
      </c>
      <c r="DZ2233" s="64">
        <f>($DX2233-$DX2234)*100</f>
        <v/>
      </c>
      <c r="EA2233" s="64">
        <f>($DW2233-$D2233)*100</f>
        <v/>
      </c>
      <c r="EB2233" s="64">
        <f>$Q2233-$O2233</f>
        <v/>
      </c>
      <c r="EC2233" s="67">
        <f>IFERROR($Q2233/$P2233,"")</f>
        <v/>
      </c>
    </row>
    <row r="2234">
      <c r="DG2234" s="64">
        <f>($B2234-$B2235)*100</f>
        <v/>
      </c>
      <c r="DH2234" s="64">
        <f>($D2234-$D2235)*100</f>
        <v/>
      </c>
      <c r="DI2234" s="64">
        <f>($E2234-$E2235)*100</f>
        <v/>
      </c>
      <c r="DJ2234" s="64">
        <f>($H2234-$H2235)*100</f>
        <v/>
      </c>
      <c r="DK2234" s="65">
        <f>IFERROR($J2234/$J2235-1,"")</f>
        <v/>
      </c>
      <c r="DL2234" s="64">
        <f>$L2234-$L2235</f>
        <v/>
      </c>
      <c r="DM2234" s="64">
        <f>$K2234-$K2235</f>
        <v/>
      </c>
      <c r="DN2234" s="65">
        <f>IFERROR($N2234/$N2235-1,"")</f>
        <v/>
      </c>
      <c r="DO2234" s="65">
        <f>IFERROR($M2234/$M2235-1,"")</f>
        <v/>
      </c>
      <c r="DP2234" s="65">
        <f>IFERROR($AZ2234/$AZ2235-1,"")</f>
        <v/>
      </c>
      <c r="DQ2234" s="65">
        <f>IFERROR($BA2234/$BA2235-1,"")</f>
        <v/>
      </c>
      <c r="DR2234" s="64">
        <f>$O2234-$O2235</f>
        <v/>
      </c>
      <c r="DS2234" s="64">
        <f>$P2234-$P2235</f>
        <v/>
      </c>
      <c r="DT2234" s="64">
        <f>$Q2234-$Q2235</f>
        <v/>
      </c>
      <c r="DU2234" s="64">
        <f>$S2234-$S2235</f>
        <v/>
      </c>
      <c r="DV2234" s="65">
        <f>IFERROR(AVERAGE($AA2235/$AA2234-1,$AB2235/$AB2234-1,$AC2235/$AC2234-1,$AD2235/$AD2234-1,$AE2235/$AE2234-1,$AG2235/$AG2234-1,$AH2235/$AH2234-1,$AI2235/$AI2234-1,$AJ2235/$AJ2234-1,$AL2235/$AL2234-1,$AM2235/$AM2234-1,$AR2235/$AR2234-1,$AS2235/$AS2234-1,$AT2235/$AT2234-1,$AU2235/$AU2234-1,$AV2235/$AV2234-1,$AW2235/$AW2234-1,$AX2235/$AX2234-1,$AY2235/$AY2234-1),"")</f>
        <v/>
      </c>
      <c r="DW2234" s="66">
        <f>AVERAGE($CB2234,$CC2234,$CD2234,$CE2234,$CF2234,$CG2234,$CH2234,$CI2234,$CJ2234,$CL2234,$CM2234,$CN2234,$CO2234,$CP2234,$CQ2234,$CR2234,$CS2234,$CT2234)</f>
        <v/>
      </c>
      <c r="DX2234" s="66">
        <f>AVERAGE($CB2234,$CC2234,$CM2234,$CE2234,$CP2234)</f>
        <v/>
      </c>
      <c r="DY2234" s="64">
        <f>($DW2234-$DW2235)*100</f>
        <v/>
      </c>
      <c r="DZ2234" s="64">
        <f>($DX2234-$DX2235)*100</f>
        <v/>
      </c>
      <c r="EA2234" s="64">
        <f>($DW2234-$D2234)*100</f>
        <v/>
      </c>
      <c r="EB2234" s="64">
        <f>$Q2234-$O2234</f>
        <v/>
      </c>
      <c r="EC2234" s="67">
        <f>IFERROR($Q2234/$P2234,"")</f>
        <v/>
      </c>
    </row>
    <row r="2235">
      <c r="DG2235" s="64">
        <f>($B2235-$B2236)*100</f>
        <v/>
      </c>
      <c r="DH2235" s="64">
        <f>($D2235-$D2236)*100</f>
        <v/>
      </c>
      <c r="DI2235" s="64">
        <f>($E2235-$E2236)*100</f>
        <v/>
      </c>
      <c r="DJ2235" s="64">
        <f>($H2235-$H2236)*100</f>
        <v/>
      </c>
      <c r="DK2235" s="65">
        <f>IFERROR($J2235/$J2236-1,"")</f>
        <v/>
      </c>
      <c r="DL2235" s="64">
        <f>$L2235-$L2236</f>
        <v/>
      </c>
      <c r="DM2235" s="64">
        <f>$K2235-$K2236</f>
        <v/>
      </c>
      <c r="DN2235" s="65">
        <f>IFERROR($N2235/$N2236-1,"")</f>
        <v/>
      </c>
      <c r="DO2235" s="65">
        <f>IFERROR($M2235/$M2236-1,"")</f>
        <v/>
      </c>
      <c r="DP2235" s="65">
        <f>IFERROR($AZ2235/$AZ2236-1,"")</f>
        <v/>
      </c>
      <c r="DQ2235" s="65">
        <f>IFERROR($BA2235/$BA2236-1,"")</f>
        <v/>
      </c>
      <c r="DR2235" s="64">
        <f>$O2235-$O2236</f>
        <v/>
      </c>
      <c r="DS2235" s="64">
        <f>$P2235-$P2236</f>
        <v/>
      </c>
      <c r="DT2235" s="64">
        <f>$Q2235-$Q2236</f>
        <v/>
      </c>
      <c r="DU2235" s="64">
        <f>$S2235-$S2236</f>
        <v/>
      </c>
      <c r="DV2235" s="65">
        <f>IFERROR(AVERAGE($AA2236/$AA2235-1,$AB2236/$AB2235-1,$AC2236/$AC2235-1,$AD2236/$AD2235-1,$AE2236/$AE2235-1,$AG2236/$AG2235-1,$AH2236/$AH2235-1,$AI2236/$AI2235-1,$AJ2236/$AJ2235-1,$AL2236/$AL2235-1,$AM2236/$AM2235-1,$AR2236/$AR2235-1,$AS2236/$AS2235-1,$AT2236/$AT2235-1,$AU2236/$AU2235-1,$AV2236/$AV2235-1,$AW2236/$AW2235-1,$AX2236/$AX2235-1,$AY2236/$AY2235-1),"")</f>
        <v/>
      </c>
      <c r="DW2235" s="66">
        <f>AVERAGE($CB2235,$CC2235,$CD2235,$CE2235,$CF2235,$CG2235,$CH2235,$CI2235,$CJ2235,$CL2235,$CM2235,$CN2235,$CO2235,$CP2235,$CQ2235,$CR2235,$CS2235,$CT2235)</f>
        <v/>
      </c>
      <c r="DX2235" s="66">
        <f>AVERAGE($CB2235,$CC2235,$CM2235,$CE2235,$CP2235)</f>
        <v/>
      </c>
      <c r="DY2235" s="64">
        <f>($DW2235-$DW2236)*100</f>
        <v/>
      </c>
      <c r="DZ2235" s="64">
        <f>($DX2235-$DX2236)*100</f>
        <v/>
      </c>
      <c r="EA2235" s="64">
        <f>($DW2235-$D2235)*100</f>
        <v/>
      </c>
      <c r="EB2235" s="64">
        <f>$Q2235-$O2235</f>
        <v/>
      </c>
      <c r="EC2235" s="67">
        <f>IFERROR($Q2235/$P2235,"")</f>
        <v/>
      </c>
    </row>
    <row r="2236">
      <c r="DG2236" s="64">
        <f>($B2236-$B2237)*100</f>
        <v/>
      </c>
      <c r="DH2236" s="64">
        <f>($D2236-$D2237)*100</f>
        <v/>
      </c>
      <c r="DI2236" s="64">
        <f>($E2236-$E2237)*100</f>
        <v/>
      </c>
      <c r="DJ2236" s="64">
        <f>($H2236-$H2237)*100</f>
        <v/>
      </c>
      <c r="DK2236" s="65">
        <f>IFERROR($J2236/$J2237-1,"")</f>
        <v/>
      </c>
      <c r="DL2236" s="64">
        <f>$L2236-$L2237</f>
        <v/>
      </c>
      <c r="DM2236" s="64">
        <f>$K2236-$K2237</f>
        <v/>
      </c>
      <c r="DN2236" s="65">
        <f>IFERROR($N2236/$N2237-1,"")</f>
        <v/>
      </c>
      <c r="DO2236" s="65">
        <f>IFERROR($M2236/$M2237-1,"")</f>
        <v/>
      </c>
      <c r="DP2236" s="65">
        <f>IFERROR($AZ2236/$AZ2237-1,"")</f>
        <v/>
      </c>
      <c r="DQ2236" s="65">
        <f>IFERROR($BA2236/$BA2237-1,"")</f>
        <v/>
      </c>
      <c r="DR2236" s="64">
        <f>$O2236-$O2237</f>
        <v/>
      </c>
      <c r="DS2236" s="64">
        <f>$P2236-$P2237</f>
        <v/>
      </c>
      <c r="DT2236" s="64">
        <f>$Q2236-$Q2237</f>
        <v/>
      </c>
      <c r="DU2236" s="64">
        <f>$S2236-$S2237</f>
        <v/>
      </c>
      <c r="DV2236" s="65">
        <f>IFERROR(AVERAGE($AA2237/$AA2236-1,$AB2237/$AB2236-1,$AC2237/$AC2236-1,$AD2237/$AD2236-1,$AE2237/$AE2236-1,$AG2237/$AG2236-1,$AH2237/$AH2236-1,$AI2237/$AI2236-1,$AJ2237/$AJ2236-1,$AL2237/$AL2236-1,$AM2237/$AM2236-1,$AR2237/$AR2236-1,$AS2237/$AS2236-1,$AT2237/$AT2236-1,$AU2237/$AU2236-1,$AV2237/$AV2236-1,$AW2237/$AW2236-1,$AX2237/$AX2236-1,$AY2237/$AY2236-1),"")</f>
        <v/>
      </c>
      <c r="DW2236" s="66">
        <f>AVERAGE($CB2236,$CC2236,$CD2236,$CE2236,$CF2236,$CG2236,$CH2236,$CI2236,$CJ2236,$CL2236,$CM2236,$CN2236,$CO2236,$CP2236,$CQ2236,$CR2236,$CS2236,$CT2236)</f>
        <v/>
      </c>
      <c r="DX2236" s="66">
        <f>AVERAGE($CB2236,$CC2236,$CM2236,$CE2236,$CP2236)</f>
        <v/>
      </c>
      <c r="DY2236" s="64">
        <f>($DW2236-$DW2237)*100</f>
        <v/>
      </c>
      <c r="DZ2236" s="64">
        <f>($DX2236-$DX2237)*100</f>
        <v/>
      </c>
      <c r="EA2236" s="64">
        <f>($DW2236-$D2236)*100</f>
        <v/>
      </c>
      <c r="EB2236" s="64">
        <f>$Q2236-$O2236</f>
        <v/>
      </c>
      <c r="EC2236" s="67">
        <f>IFERROR($Q2236/$P2236,"")</f>
        <v/>
      </c>
    </row>
    <row r="2237">
      <c r="DG2237" s="64">
        <f>($B2237-$B2238)*100</f>
        <v/>
      </c>
      <c r="DH2237" s="64">
        <f>($D2237-$D2238)*100</f>
        <v/>
      </c>
      <c r="DI2237" s="64">
        <f>($E2237-$E2238)*100</f>
        <v/>
      </c>
      <c r="DJ2237" s="64">
        <f>($H2237-$H2238)*100</f>
        <v/>
      </c>
      <c r="DK2237" s="65">
        <f>IFERROR($J2237/$J2238-1,"")</f>
        <v/>
      </c>
      <c r="DL2237" s="64">
        <f>$L2237-$L2238</f>
        <v/>
      </c>
      <c r="DM2237" s="64">
        <f>$K2237-$K2238</f>
        <v/>
      </c>
      <c r="DN2237" s="65">
        <f>IFERROR($N2237/$N2238-1,"")</f>
        <v/>
      </c>
      <c r="DO2237" s="65">
        <f>IFERROR($M2237/$M2238-1,"")</f>
        <v/>
      </c>
      <c r="DP2237" s="65">
        <f>IFERROR($AZ2237/$AZ2238-1,"")</f>
        <v/>
      </c>
      <c r="DQ2237" s="65">
        <f>IFERROR($BA2237/$BA2238-1,"")</f>
        <v/>
      </c>
      <c r="DR2237" s="64">
        <f>$O2237-$O2238</f>
        <v/>
      </c>
      <c r="DS2237" s="64">
        <f>$P2237-$P2238</f>
        <v/>
      </c>
      <c r="DT2237" s="64">
        <f>$Q2237-$Q2238</f>
        <v/>
      </c>
      <c r="DU2237" s="64">
        <f>$S2237-$S2238</f>
        <v/>
      </c>
      <c r="DV2237" s="65">
        <f>IFERROR(AVERAGE($AA2238/$AA2237-1,$AB2238/$AB2237-1,$AC2238/$AC2237-1,$AD2238/$AD2237-1,$AE2238/$AE2237-1,$AG2238/$AG2237-1,$AH2238/$AH2237-1,$AI2238/$AI2237-1,$AJ2238/$AJ2237-1,$AL2238/$AL2237-1,$AM2238/$AM2237-1,$AR2238/$AR2237-1,$AS2238/$AS2237-1,$AT2238/$AT2237-1,$AU2238/$AU2237-1,$AV2238/$AV2237-1,$AW2238/$AW2237-1,$AX2238/$AX2237-1,$AY2238/$AY2237-1),"")</f>
        <v/>
      </c>
      <c r="DW2237" s="66">
        <f>AVERAGE($CB2237,$CC2237,$CD2237,$CE2237,$CF2237,$CG2237,$CH2237,$CI2237,$CJ2237,$CL2237,$CM2237,$CN2237,$CO2237,$CP2237,$CQ2237,$CR2237,$CS2237,$CT2237)</f>
        <v/>
      </c>
      <c r="DX2237" s="66">
        <f>AVERAGE($CB2237,$CC2237,$CM2237,$CE2237,$CP2237)</f>
        <v/>
      </c>
      <c r="DY2237" s="64">
        <f>($DW2237-$DW2238)*100</f>
        <v/>
      </c>
      <c r="DZ2237" s="64">
        <f>($DX2237-$DX2238)*100</f>
        <v/>
      </c>
      <c r="EA2237" s="64">
        <f>($DW2237-$D2237)*100</f>
        <v/>
      </c>
      <c r="EB2237" s="64">
        <f>$Q2237-$O2237</f>
        <v/>
      </c>
      <c r="EC2237" s="67">
        <f>IFERROR($Q2237/$P2237,"")</f>
        <v/>
      </c>
    </row>
    <row r="2238">
      <c r="DG2238" s="64">
        <f>($B2238-$B2239)*100</f>
        <v/>
      </c>
      <c r="DH2238" s="64">
        <f>($D2238-$D2239)*100</f>
        <v/>
      </c>
      <c r="DI2238" s="64">
        <f>($E2238-$E2239)*100</f>
        <v/>
      </c>
      <c r="DJ2238" s="64">
        <f>($H2238-$H2239)*100</f>
        <v/>
      </c>
      <c r="DK2238" s="65">
        <f>IFERROR($J2238/$J2239-1,"")</f>
        <v/>
      </c>
      <c r="DL2238" s="64">
        <f>$L2238-$L2239</f>
        <v/>
      </c>
      <c r="DM2238" s="64">
        <f>$K2238-$K2239</f>
        <v/>
      </c>
      <c r="DN2238" s="65">
        <f>IFERROR($N2238/$N2239-1,"")</f>
        <v/>
      </c>
      <c r="DO2238" s="65">
        <f>IFERROR($M2238/$M2239-1,"")</f>
        <v/>
      </c>
      <c r="DP2238" s="65">
        <f>IFERROR($AZ2238/$AZ2239-1,"")</f>
        <v/>
      </c>
      <c r="DQ2238" s="65">
        <f>IFERROR($BA2238/$BA2239-1,"")</f>
        <v/>
      </c>
      <c r="DR2238" s="64">
        <f>$O2238-$O2239</f>
        <v/>
      </c>
      <c r="DS2238" s="64">
        <f>$P2238-$P2239</f>
        <v/>
      </c>
      <c r="DT2238" s="64">
        <f>$Q2238-$Q2239</f>
        <v/>
      </c>
      <c r="DU2238" s="64">
        <f>$S2238-$S2239</f>
        <v/>
      </c>
      <c r="DV2238" s="65">
        <f>IFERROR(AVERAGE($AA2239/$AA2238-1,$AB2239/$AB2238-1,$AC2239/$AC2238-1,$AD2239/$AD2238-1,$AE2239/$AE2238-1,$AG2239/$AG2238-1,$AH2239/$AH2238-1,$AI2239/$AI2238-1,$AJ2239/$AJ2238-1,$AL2239/$AL2238-1,$AM2239/$AM2238-1,$AR2239/$AR2238-1,$AS2239/$AS2238-1,$AT2239/$AT2238-1,$AU2239/$AU2238-1,$AV2239/$AV2238-1,$AW2239/$AW2238-1,$AX2239/$AX2238-1,$AY2239/$AY2238-1),"")</f>
        <v/>
      </c>
      <c r="DW2238" s="66">
        <f>AVERAGE($CB2238,$CC2238,$CD2238,$CE2238,$CF2238,$CG2238,$CH2238,$CI2238,$CJ2238,$CL2238,$CM2238,$CN2238,$CO2238,$CP2238,$CQ2238,$CR2238,$CS2238,$CT2238)</f>
        <v/>
      </c>
      <c r="DX2238" s="66">
        <f>AVERAGE($CB2238,$CC2238,$CM2238,$CE2238,$CP2238)</f>
        <v/>
      </c>
      <c r="DY2238" s="64">
        <f>($DW2238-$DW2239)*100</f>
        <v/>
      </c>
      <c r="DZ2238" s="64">
        <f>($DX2238-$DX2239)*100</f>
        <v/>
      </c>
      <c r="EA2238" s="64">
        <f>($DW2238-$D2238)*100</f>
        <v/>
      </c>
      <c r="EB2238" s="64">
        <f>$Q2238-$O2238</f>
        <v/>
      </c>
      <c r="EC2238" s="67">
        <f>IFERROR($Q2238/$P2238,"")</f>
        <v/>
      </c>
    </row>
    <row r="2239">
      <c r="DG2239" s="64">
        <f>($B2239-$B2240)*100</f>
        <v/>
      </c>
      <c r="DH2239" s="64">
        <f>($D2239-$D2240)*100</f>
        <v/>
      </c>
      <c r="DI2239" s="64">
        <f>($E2239-$E2240)*100</f>
        <v/>
      </c>
      <c r="DJ2239" s="64">
        <f>($H2239-$H2240)*100</f>
        <v/>
      </c>
      <c r="DK2239" s="65">
        <f>IFERROR($J2239/$J2240-1,"")</f>
        <v/>
      </c>
      <c r="DL2239" s="64">
        <f>$L2239-$L2240</f>
        <v/>
      </c>
      <c r="DM2239" s="64">
        <f>$K2239-$K2240</f>
        <v/>
      </c>
      <c r="DN2239" s="65">
        <f>IFERROR($N2239/$N2240-1,"")</f>
        <v/>
      </c>
      <c r="DO2239" s="65">
        <f>IFERROR($M2239/$M2240-1,"")</f>
        <v/>
      </c>
      <c r="DP2239" s="65">
        <f>IFERROR($AZ2239/$AZ2240-1,"")</f>
        <v/>
      </c>
      <c r="DQ2239" s="65">
        <f>IFERROR($BA2239/$BA2240-1,"")</f>
        <v/>
      </c>
      <c r="DR2239" s="64">
        <f>$O2239-$O2240</f>
        <v/>
      </c>
      <c r="DS2239" s="64">
        <f>$P2239-$P2240</f>
        <v/>
      </c>
      <c r="DT2239" s="64">
        <f>$Q2239-$Q2240</f>
        <v/>
      </c>
      <c r="DU2239" s="64">
        <f>$S2239-$S2240</f>
        <v/>
      </c>
      <c r="DV2239" s="65">
        <f>IFERROR(AVERAGE($AA2240/$AA2239-1,$AB2240/$AB2239-1,$AC2240/$AC2239-1,$AD2240/$AD2239-1,$AE2240/$AE2239-1,$AG2240/$AG2239-1,$AH2240/$AH2239-1,$AI2240/$AI2239-1,$AJ2240/$AJ2239-1,$AL2240/$AL2239-1,$AM2240/$AM2239-1,$AR2240/$AR2239-1,$AS2240/$AS2239-1,$AT2240/$AT2239-1,$AU2240/$AU2239-1,$AV2240/$AV2239-1,$AW2240/$AW2239-1,$AX2240/$AX2239-1,$AY2240/$AY2239-1),"")</f>
        <v/>
      </c>
      <c r="DW2239" s="66">
        <f>AVERAGE($CB2239,$CC2239,$CD2239,$CE2239,$CF2239,$CG2239,$CH2239,$CI2239,$CJ2239,$CL2239,$CM2239,$CN2239,$CO2239,$CP2239,$CQ2239,$CR2239,$CS2239,$CT2239)</f>
        <v/>
      </c>
      <c r="DX2239" s="66">
        <f>AVERAGE($CB2239,$CC2239,$CM2239,$CE2239,$CP2239)</f>
        <v/>
      </c>
      <c r="DY2239" s="64">
        <f>($DW2239-$DW2240)*100</f>
        <v/>
      </c>
      <c r="DZ2239" s="64">
        <f>($DX2239-$DX2240)*100</f>
        <v/>
      </c>
      <c r="EA2239" s="64">
        <f>($DW2239-$D2239)*100</f>
        <v/>
      </c>
      <c r="EB2239" s="64">
        <f>$Q2239-$O2239</f>
        <v/>
      </c>
      <c r="EC2239" s="67">
        <f>IFERROR($Q2239/$P2239,"")</f>
        <v/>
      </c>
    </row>
    <row r="2240">
      <c r="DG2240" s="64">
        <f>($B2240-$B2241)*100</f>
        <v/>
      </c>
      <c r="DH2240" s="64">
        <f>($D2240-$D2241)*100</f>
        <v/>
      </c>
      <c r="DI2240" s="64">
        <f>($E2240-$E2241)*100</f>
        <v/>
      </c>
      <c r="DJ2240" s="64">
        <f>($H2240-$H2241)*100</f>
        <v/>
      </c>
      <c r="DK2240" s="65">
        <f>IFERROR($J2240/$J2241-1,"")</f>
        <v/>
      </c>
      <c r="DL2240" s="64">
        <f>$L2240-$L2241</f>
        <v/>
      </c>
      <c r="DM2240" s="64">
        <f>$K2240-$K2241</f>
        <v/>
      </c>
      <c r="DN2240" s="65">
        <f>IFERROR($N2240/$N2241-1,"")</f>
        <v/>
      </c>
      <c r="DO2240" s="65">
        <f>IFERROR($M2240/$M2241-1,"")</f>
        <v/>
      </c>
      <c r="DP2240" s="65">
        <f>IFERROR($AZ2240/$AZ2241-1,"")</f>
        <v/>
      </c>
      <c r="DQ2240" s="65">
        <f>IFERROR($BA2240/$BA2241-1,"")</f>
        <v/>
      </c>
      <c r="DR2240" s="64">
        <f>$O2240-$O2241</f>
        <v/>
      </c>
      <c r="DS2240" s="64">
        <f>$P2240-$P2241</f>
        <v/>
      </c>
      <c r="DT2240" s="64">
        <f>$Q2240-$Q2241</f>
        <v/>
      </c>
      <c r="DU2240" s="64">
        <f>$S2240-$S2241</f>
        <v/>
      </c>
      <c r="DV2240" s="65">
        <f>IFERROR(AVERAGE($AA2241/$AA2240-1,$AB2241/$AB2240-1,$AC2241/$AC2240-1,$AD2241/$AD2240-1,$AE2241/$AE2240-1,$AG2241/$AG2240-1,$AH2241/$AH2240-1,$AI2241/$AI2240-1,$AJ2241/$AJ2240-1,$AL2241/$AL2240-1,$AM2241/$AM2240-1,$AR2241/$AR2240-1,$AS2241/$AS2240-1,$AT2241/$AT2240-1,$AU2241/$AU2240-1,$AV2241/$AV2240-1,$AW2241/$AW2240-1,$AX2241/$AX2240-1,$AY2241/$AY2240-1),"")</f>
        <v/>
      </c>
      <c r="DW2240" s="66">
        <f>AVERAGE($CB2240,$CC2240,$CD2240,$CE2240,$CF2240,$CG2240,$CH2240,$CI2240,$CJ2240,$CL2240,$CM2240,$CN2240,$CO2240,$CP2240,$CQ2240,$CR2240,$CS2240,$CT2240)</f>
        <v/>
      </c>
      <c r="DX2240" s="66">
        <f>AVERAGE($CB2240,$CC2240,$CM2240,$CE2240,$CP2240)</f>
        <v/>
      </c>
      <c r="DY2240" s="64">
        <f>($DW2240-$DW2241)*100</f>
        <v/>
      </c>
      <c r="DZ2240" s="64">
        <f>($DX2240-$DX2241)*100</f>
        <v/>
      </c>
      <c r="EA2240" s="64">
        <f>($DW2240-$D2240)*100</f>
        <v/>
      </c>
      <c r="EB2240" s="64">
        <f>$Q2240-$O2240</f>
        <v/>
      </c>
      <c r="EC2240" s="67">
        <f>IFERROR($Q2240/$P2240,"")</f>
        <v/>
      </c>
    </row>
    <row r="2241">
      <c r="DG2241" s="64">
        <f>($B2241-$B2242)*100</f>
        <v/>
      </c>
      <c r="DH2241" s="64">
        <f>($D2241-$D2242)*100</f>
        <v/>
      </c>
      <c r="DI2241" s="64">
        <f>($E2241-$E2242)*100</f>
        <v/>
      </c>
      <c r="DJ2241" s="64">
        <f>($H2241-$H2242)*100</f>
        <v/>
      </c>
      <c r="DK2241" s="65">
        <f>IFERROR($J2241/$J2242-1,"")</f>
        <v/>
      </c>
      <c r="DL2241" s="64">
        <f>$L2241-$L2242</f>
        <v/>
      </c>
      <c r="DM2241" s="64">
        <f>$K2241-$K2242</f>
        <v/>
      </c>
      <c r="DN2241" s="65">
        <f>IFERROR($N2241/$N2242-1,"")</f>
        <v/>
      </c>
      <c r="DO2241" s="65">
        <f>IFERROR($M2241/$M2242-1,"")</f>
        <v/>
      </c>
      <c r="DP2241" s="65">
        <f>IFERROR($AZ2241/$AZ2242-1,"")</f>
        <v/>
      </c>
      <c r="DQ2241" s="65">
        <f>IFERROR($BA2241/$BA2242-1,"")</f>
        <v/>
      </c>
      <c r="DR2241" s="64">
        <f>$O2241-$O2242</f>
        <v/>
      </c>
      <c r="DS2241" s="64">
        <f>$P2241-$P2242</f>
        <v/>
      </c>
      <c r="DT2241" s="64">
        <f>$Q2241-$Q2242</f>
        <v/>
      </c>
      <c r="DU2241" s="64">
        <f>$S2241-$S2242</f>
        <v/>
      </c>
      <c r="DV2241" s="65">
        <f>IFERROR(AVERAGE($AA2242/$AA2241-1,$AB2242/$AB2241-1,$AC2242/$AC2241-1,$AD2242/$AD2241-1,$AE2242/$AE2241-1,$AG2242/$AG2241-1,$AH2242/$AH2241-1,$AI2242/$AI2241-1,$AJ2242/$AJ2241-1,$AL2242/$AL2241-1,$AM2242/$AM2241-1,$AR2242/$AR2241-1,$AS2242/$AS2241-1,$AT2242/$AT2241-1,$AU2242/$AU2241-1,$AV2242/$AV2241-1,$AW2242/$AW2241-1,$AX2242/$AX2241-1,$AY2242/$AY2241-1),"")</f>
        <v/>
      </c>
      <c r="DW2241" s="66">
        <f>AVERAGE($CB2241,$CC2241,$CD2241,$CE2241,$CF2241,$CG2241,$CH2241,$CI2241,$CJ2241,$CL2241,$CM2241,$CN2241,$CO2241,$CP2241,$CQ2241,$CR2241,$CS2241,$CT2241)</f>
        <v/>
      </c>
      <c r="DX2241" s="66">
        <f>AVERAGE($CB2241,$CC2241,$CM2241,$CE2241,$CP2241)</f>
        <v/>
      </c>
      <c r="DY2241" s="64">
        <f>($DW2241-$DW2242)*100</f>
        <v/>
      </c>
      <c r="DZ2241" s="64">
        <f>($DX2241-$DX2242)*100</f>
        <v/>
      </c>
      <c r="EA2241" s="64">
        <f>($DW2241-$D2241)*100</f>
        <v/>
      </c>
      <c r="EB2241" s="64">
        <f>$Q2241-$O2241</f>
        <v/>
      </c>
      <c r="EC2241" s="67">
        <f>IFERROR($Q2241/$P2241,"")</f>
        <v/>
      </c>
    </row>
    <row r="2242">
      <c r="DG2242" s="64">
        <f>($B2242-$B2243)*100</f>
        <v/>
      </c>
      <c r="DH2242" s="64">
        <f>($D2242-$D2243)*100</f>
        <v/>
      </c>
      <c r="DI2242" s="64">
        <f>($E2242-$E2243)*100</f>
        <v/>
      </c>
      <c r="DJ2242" s="64">
        <f>($H2242-$H2243)*100</f>
        <v/>
      </c>
      <c r="DK2242" s="65">
        <f>IFERROR($J2242/$J2243-1,"")</f>
        <v/>
      </c>
      <c r="DL2242" s="64">
        <f>$L2242-$L2243</f>
        <v/>
      </c>
      <c r="DM2242" s="64">
        <f>$K2242-$K2243</f>
        <v/>
      </c>
      <c r="DN2242" s="65">
        <f>IFERROR($N2242/$N2243-1,"")</f>
        <v/>
      </c>
      <c r="DO2242" s="65">
        <f>IFERROR($M2242/$M2243-1,"")</f>
        <v/>
      </c>
      <c r="DP2242" s="65">
        <f>IFERROR($AZ2242/$AZ2243-1,"")</f>
        <v/>
      </c>
      <c r="DQ2242" s="65">
        <f>IFERROR($BA2242/$BA2243-1,"")</f>
        <v/>
      </c>
      <c r="DR2242" s="64">
        <f>$O2242-$O2243</f>
        <v/>
      </c>
      <c r="DS2242" s="64">
        <f>$P2242-$P2243</f>
        <v/>
      </c>
      <c r="DT2242" s="64">
        <f>$Q2242-$Q2243</f>
        <v/>
      </c>
      <c r="DU2242" s="64">
        <f>$S2242-$S2243</f>
        <v/>
      </c>
      <c r="DV2242" s="65">
        <f>IFERROR(AVERAGE($AA2243/$AA2242-1,$AB2243/$AB2242-1,$AC2243/$AC2242-1,$AD2243/$AD2242-1,$AE2243/$AE2242-1,$AG2243/$AG2242-1,$AH2243/$AH2242-1,$AI2243/$AI2242-1,$AJ2243/$AJ2242-1,$AL2243/$AL2242-1,$AM2243/$AM2242-1,$AR2243/$AR2242-1,$AS2243/$AS2242-1,$AT2243/$AT2242-1,$AU2243/$AU2242-1,$AV2243/$AV2242-1,$AW2243/$AW2242-1,$AX2243/$AX2242-1,$AY2243/$AY2242-1),"")</f>
        <v/>
      </c>
      <c r="DW2242" s="66">
        <f>AVERAGE($CB2242,$CC2242,$CD2242,$CE2242,$CF2242,$CG2242,$CH2242,$CI2242,$CJ2242,$CL2242,$CM2242,$CN2242,$CO2242,$CP2242,$CQ2242,$CR2242,$CS2242,$CT2242)</f>
        <v/>
      </c>
      <c r="DX2242" s="66">
        <f>AVERAGE($CB2242,$CC2242,$CM2242,$CE2242,$CP2242)</f>
        <v/>
      </c>
      <c r="DY2242" s="64">
        <f>($DW2242-$DW2243)*100</f>
        <v/>
      </c>
      <c r="DZ2242" s="64">
        <f>($DX2242-$DX2243)*100</f>
        <v/>
      </c>
      <c r="EA2242" s="64">
        <f>($DW2242-$D2242)*100</f>
        <v/>
      </c>
      <c r="EB2242" s="64">
        <f>$Q2242-$O2242</f>
        <v/>
      </c>
      <c r="EC2242" s="67">
        <f>IFERROR($Q2242/$P2242,"")</f>
        <v/>
      </c>
    </row>
    <row r="2243">
      <c r="DG2243" s="64">
        <f>($B2243-$B2244)*100</f>
        <v/>
      </c>
      <c r="DH2243" s="64">
        <f>($D2243-$D2244)*100</f>
        <v/>
      </c>
      <c r="DI2243" s="64">
        <f>($E2243-$E2244)*100</f>
        <v/>
      </c>
      <c r="DJ2243" s="64">
        <f>($H2243-$H2244)*100</f>
        <v/>
      </c>
      <c r="DK2243" s="65">
        <f>IFERROR($J2243/$J2244-1,"")</f>
        <v/>
      </c>
      <c r="DL2243" s="64">
        <f>$L2243-$L2244</f>
        <v/>
      </c>
      <c r="DM2243" s="64">
        <f>$K2243-$K2244</f>
        <v/>
      </c>
      <c r="DN2243" s="65">
        <f>IFERROR($N2243/$N2244-1,"")</f>
        <v/>
      </c>
      <c r="DO2243" s="65">
        <f>IFERROR($M2243/$M2244-1,"")</f>
        <v/>
      </c>
      <c r="DP2243" s="65">
        <f>IFERROR($AZ2243/$AZ2244-1,"")</f>
        <v/>
      </c>
      <c r="DQ2243" s="65">
        <f>IFERROR($BA2243/$BA2244-1,"")</f>
        <v/>
      </c>
      <c r="DR2243" s="64">
        <f>$O2243-$O2244</f>
        <v/>
      </c>
      <c r="DS2243" s="64">
        <f>$P2243-$P2244</f>
        <v/>
      </c>
      <c r="DT2243" s="64">
        <f>$Q2243-$Q2244</f>
        <v/>
      </c>
      <c r="DU2243" s="64">
        <f>$S2243-$S2244</f>
        <v/>
      </c>
      <c r="DV2243" s="65">
        <f>IFERROR(AVERAGE($AA2244/$AA2243-1,$AB2244/$AB2243-1,$AC2244/$AC2243-1,$AD2244/$AD2243-1,$AE2244/$AE2243-1,$AG2244/$AG2243-1,$AH2244/$AH2243-1,$AI2244/$AI2243-1,$AJ2244/$AJ2243-1,$AL2244/$AL2243-1,$AM2244/$AM2243-1,$AR2244/$AR2243-1,$AS2244/$AS2243-1,$AT2244/$AT2243-1,$AU2244/$AU2243-1,$AV2244/$AV2243-1,$AW2244/$AW2243-1,$AX2244/$AX2243-1,$AY2244/$AY2243-1),"")</f>
        <v/>
      </c>
      <c r="DW2243" s="66">
        <f>AVERAGE($CB2243,$CC2243,$CD2243,$CE2243,$CF2243,$CG2243,$CH2243,$CI2243,$CJ2243,$CL2243,$CM2243,$CN2243,$CO2243,$CP2243,$CQ2243,$CR2243,$CS2243,$CT2243)</f>
        <v/>
      </c>
      <c r="DX2243" s="66">
        <f>AVERAGE($CB2243,$CC2243,$CM2243,$CE2243,$CP2243)</f>
        <v/>
      </c>
      <c r="DY2243" s="64">
        <f>($DW2243-$DW2244)*100</f>
        <v/>
      </c>
      <c r="DZ2243" s="64">
        <f>($DX2243-$DX2244)*100</f>
        <v/>
      </c>
      <c r="EA2243" s="64">
        <f>($DW2243-$D2243)*100</f>
        <v/>
      </c>
      <c r="EB2243" s="64">
        <f>$Q2243-$O2243</f>
        <v/>
      </c>
      <c r="EC2243" s="67">
        <f>IFERROR($Q2243/$P2243,"")</f>
        <v/>
      </c>
    </row>
    <row r="2244">
      <c r="DG2244" s="64">
        <f>($B2244-$B2245)*100</f>
        <v/>
      </c>
      <c r="DH2244" s="64">
        <f>($D2244-$D2245)*100</f>
        <v/>
      </c>
      <c r="DI2244" s="64">
        <f>($E2244-$E2245)*100</f>
        <v/>
      </c>
      <c r="DJ2244" s="64">
        <f>($H2244-$H2245)*100</f>
        <v/>
      </c>
      <c r="DK2244" s="65">
        <f>IFERROR($J2244/$J2245-1,"")</f>
        <v/>
      </c>
      <c r="DL2244" s="64">
        <f>$L2244-$L2245</f>
        <v/>
      </c>
      <c r="DM2244" s="64">
        <f>$K2244-$K2245</f>
        <v/>
      </c>
      <c r="DN2244" s="65">
        <f>IFERROR($N2244/$N2245-1,"")</f>
        <v/>
      </c>
      <c r="DO2244" s="65">
        <f>IFERROR($M2244/$M2245-1,"")</f>
        <v/>
      </c>
      <c r="DP2244" s="65">
        <f>IFERROR($AZ2244/$AZ2245-1,"")</f>
        <v/>
      </c>
      <c r="DQ2244" s="65">
        <f>IFERROR($BA2244/$BA2245-1,"")</f>
        <v/>
      </c>
      <c r="DR2244" s="64">
        <f>$O2244-$O2245</f>
        <v/>
      </c>
      <c r="DS2244" s="64">
        <f>$P2244-$P2245</f>
        <v/>
      </c>
      <c r="DT2244" s="64">
        <f>$Q2244-$Q2245</f>
        <v/>
      </c>
      <c r="DU2244" s="64">
        <f>$S2244-$S2245</f>
        <v/>
      </c>
      <c r="DV2244" s="65">
        <f>IFERROR(AVERAGE($AA2245/$AA2244-1,$AB2245/$AB2244-1,$AC2245/$AC2244-1,$AD2245/$AD2244-1,$AE2245/$AE2244-1,$AG2245/$AG2244-1,$AH2245/$AH2244-1,$AI2245/$AI2244-1,$AJ2245/$AJ2244-1,$AL2245/$AL2244-1,$AM2245/$AM2244-1,$AR2245/$AR2244-1,$AS2245/$AS2244-1,$AT2245/$AT2244-1,$AU2245/$AU2244-1,$AV2245/$AV2244-1,$AW2245/$AW2244-1,$AX2245/$AX2244-1,$AY2245/$AY2244-1),"")</f>
        <v/>
      </c>
      <c r="DW2244" s="66">
        <f>AVERAGE($CB2244,$CC2244,$CD2244,$CE2244,$CF2244,$CG2244,$CH2244,$CI2244,$CJ2244,$CL2244,$CM2244,$CN2244,$CO2244,$CP2244,$CQ2244,$CR2244,$CS2244,$CT2244)</f>
        <v/>
      </c>
      <c r="DX2244" s="66">
        <f>AVERAGE($CB2244,$CC2244,$CM2244,$CE2244,$CP2244)</f>
        <v/>
      </c>
      <c r="DY2244" s="64">
        <f>($DW2244-$DW2245)*100</f>
        <v/>
      </c>
      <c r="DZ2244" s="64">
        <f>($DX2244-$DX2245)*100</f>
        <v/>
      </c>
      <c r="EA2244" s="64">
        <f>($DW2244-$D2244)*100</f>
        <v/>
      </c>
      <c r="EB2244" s="64">
        <f>$Q2244-$O2244</f>
        <v/>
      </c>
      <c r="EC2244" s="67">
        <f>IFERROR($Q2244/$P2244,"")</f>
        <v/>
      </c>
    </row>
    <row r="2245">
      <c r="DG2245" s="64">
        <f>($B2245-$B2246)*100</f>
        <v/>
      </c>
      <c r="DH2245" s="64">
        <f>($D2245-$D2246)*100</f>
        <v/>
      </c>
      <c r="DI2245" s="64">
        <f>($E2245-$E2246)*100</f>
        <v/>
      </c>
      <c r="DJ2245" s="64">
        <f>($H2245-$H2246)*100</f>
        <v/>
      </c>
      <c r="DK2245" s="65">
        <f>IFERROR($J2245/$J2246-1,"")</f>
        <v/>
      </c>
      <c r="DL2245" s="64">
        <f>$L2245-$L2246</f>
        <v/>
      </c>
      <c r="DM2245" s="64">
        <f>$K2245-$K2246</f>
        <v/>
      </c>
      <c r="DN2245" s="65">
        <f>IFERROR($N2245/$N2246-1,"")</f>
        <v/>
      </c>
      <c r="DO2245" s="65">
        <f>IFERROR($M2245/$M2246-1,"")</f>
        <v/>
      </c>
      <c r="DP2245" s="65">
        <f>IFERROR($AZ2245/$AZ2246-1,"")</f>
        <v/>
      </c>
      <c r="DQ2245" s="65">
        <f>IFERROR($BA2245/$BA2246-1,"")</f>
        <v/>
      </c>
      <c r="DR2245" s="64">
        <f>$O2245-$O2246</f>
        <v/>
      </c>
      <c r="DS2245" s="64">
        <f>$P2245-$P2246</f>
        <v/>
      </c>
      <c r="DT2245" s="64">
        <f>$Q2245-$Q2246</f>
        <v/>
      </c>
      <c r="DU2245" s="64">
        <f>$S2245-$S2246</f>
        <v/>
      </c>
      <c r="DV2245" s="65">
        <f>IFERROR(AVERAGE($AA2246/$AA2245-1,$AB2246/$AB2245-1,$AC2246/$AC2245-1,$AD2246/$AD2245-1,$AE2246/$AE2245-1,$AG2246/$AG2245-1,$AH2246/$AH2245-1,$AI2246/$AI2245-1,$AJ2246/$AJ2245-1,$AL2246/$AL2245-1,$AM2246/$AM2245-1,$AR2246/$AR2245-1,$AS2246/$AS2245-1,$AT2246/$AT2245-1,$AU2246/$AU2245-1,$AV2246/$AV2245-1,$AW2246/$AW2245-1,$AX2246/$AX2245-1,$AY2246/$AY2245-1),"")</f>
        <v/>
      </c>
      <c r="DW2245" s="66">
        <f>AVERAGE($CB2245,$CC2245,$CD2245,$CE2245,$CF2245,$CG2245,$CH2245,$CI2245,$CJ2245,$CL2245,$CM2245,$CN2245,$CO2245,$CP2245,$CQ2245,$CR2245,$CS2245,$CT2245)</f>
        <v/>
      </c>
      <c r="DX2245" s="66">
        <f>AVERAGE($CB2245,$CC2245,$CM2245,$CE2245,$CP2245)</f>
        <v/>
      </c>
      <c r="DY2245" s="64">
        <f>($DW2245-$DW2246)*100</f>
        <v/>
      </c>
      <c r="DZ2245" s="64">
        <f>($DX2245-$DX2246)*100</f>
        <v/>
      </c>
      <c r="EA2245" s="64">
        <f>($DW2245-$D2245)*100</f>
        <v/>
      </c>
      <c r="EB2245" s="64">
        <f>$Q2245-$O2245</f>
        <v/>
      </c>
      <c r="EC2245" s="67">
        <f>IFERROR($Q2245/$P2245,"")</f>
        <v/>
      </c>
    </row>
    <row r="2246">
      <c r="DG2246" s="64">
        <f>($B2246-$B2247)*100</f>
        <v/>
      </c>
      <c r="DH2246" s="64">
        <f>($D2246-$D2247)*100</f>
        <v/>
      </c>
      <c r="DI2246" s="64">
        <f>($E2246-$E2247)*100</f>
        <v/>
      </c>
      <c r="DJ2246" s="64">
        <f>($H2246-$H2247)*100</f>
        <v/>
      </c>
      <c r="DK2246" s="65">
        <f>IFERROR($J2246/$J2247-1,"")</f>
        <v/>
      </c>
      <c r="DL2246" s="64">
        <f>$L2246-$L2247</f>
        <v/>
      </c>
      <c r="DM2246" s="64">
        <f>$K2246-$K2247</f>
        <v/>
      </c>
      <c r="DN2246" s="65">
        <f>IFERROR($N2246/$N2247-1,"")</f>
        <v/>
      </c>
      <c r="DO2246" s="65">
        <f>IFERROR($M2246/$M2247-1,"")</f>
        <v/>
      </c>
      <c r="DP2246" s="65">
        <f>IFERROR($AZ2246/$AZ2247-1,"")</f>
        <v/>
      </c>
      <c r="DQ2246" s="65">
        <f>IFERROR($BA2246/$BA2247-1,"")</f>
        <v/>
      </c>
      <c r="DR2246" s="64">
        <f>$O2246-$O2247</f>
        <v/>
      </c>
      <c r="DS2246" s="64">
        <f>$P2246-$P2247</f>
        <v/>
      </c>
      <c r="DT2246" s="64">
        <f>$Q2246-$Q2247</f>
        <v/>
      </c>
      <c r="DU2246" s="64">
        <f>$S2246-$S2247</f>
        <v/>
      </c>
      <c r="DV2246" s="65">
        <f>IFERROR(AVERAGE($AA2247/$AA2246-1,$AB2247/$AB2246-1,$AC2247/$AC2246-1,$AD2247/$AD2246-1,$AE2247/$AE2246-1,$AG2247/$AG2246-1,$AH2247/$AH2246-1,$AI2247/$AI2246-1,$AJ2247/$AJ2246-1,$AL2247/$AL2246-1,$AM2247/$AM2246-1,$AR2247/$AR2246-1,$AS2247/$AS2246-1,$AT2247/$AT2246-1,$AU2247/$AU2246-1,$AV2247/$AV2246-1,$AW2247/$AW2246-1,$AX2247/$AX2246-1,$AY2247/$AY2246-1),"")</f>
        <v/>
      </c>
      <c r="DW2246" s="66">
        <f>AVERAGE($CB2246,$CC2246,$CD2246,$CE2246,$CF2246,$CG2246,$CH2246,$CI2246,$CJ2246,$CL2246,$CM2246,$CN2246,$CO2246,$CP2246,$CQ2246,$CR2246,$CS2246,$CT2246)</f>
        <v/>
      </c>
      <c r="DX2246" s="66">
        <f>AVERAGE($CB2246,$CC2246,$CM2246,$CE2246,$CP2246)</f>
        <v/>
      </c>
      <c r="DY2246" s="64">
        <f>($DW2246-$DW2247)*100</f>
        <v/>
      </c>
      <c r="DZ2246" s="64">
        <f>($DX2246-$DX2247)*100</f>
        <v/>
      </c>
      <c r="EA2246" s="64">
        <f>($DW2246-$D2246)*100</f>
        <v/>
      </c>
      <c r="EB2246" s="64">
        <f>$Q2246-$O2246</f>
        <v/>
      </c>
      <c r="EC2246" s="67">
        <f>IFERROR($Q2246/$P2246,"")</f>
        <v/>
      </c>
    </row>
    <row r="2247">
      <c r="DG2247" s="64">
        <f>($B2247-$B2248)*100</f>
        <v/>
      </c>
      <c r="DH2247" s="64">
        <f>($D2247-$D2248)*100</f>
        <v/>
      </c>
      <c r="DI2247" s="64">
        <f>($E2247-$E2248)*100</f>
        <v/>
      </c>
      <c r="DJ2247" s="64">
        <f>($H2247-$H2248)*100</f>
        <v/>
      </c>
      <c r="DK2247" s="65">
        <f>IFERROR($J2247/$J2248-1,"")</f>
        <v/>
      </c>
      <c r="DL2247" s="64">
        <f>$L2247-$L2248</f>
        <v/>
      </c>
      <c r="DM2247" s="64">
        <f>$K2247-$K2248</f>
        <v/>
      </c>
      <c r="DN2247" s="65">
        <f>IFERROR($N2247/$N2248-1,"")</f>
        <v/>
      </c>
      <c r="DO2247" s="65">
        <f>IFERROR($M2247/$M2248-1,"")</f>
        <v/>
      </c>
      <c r="DP2247" s="65">
        <f>IFERROR($AZ2247/$AZ2248-1,"")</f>
        <v/>
      </c>
      <c r="DQ2247" s="65">
        <f>IFERROR($BA2247/$BA2248-1,"")</f>
        <v/>
      </c>
      <c r="DR2247" s="64">
        <f>$O2247-$O2248</f>
        <v/>
      </c>
      <c r="DS2247" s="64">
        <f>$P2247-$P2248</f>
        <v/>
      </c>
      <c r="DT2247" s="64">
        <f>$Q2247-$Q2248</f>
        <v/>
      </c>
      <c r="DU2247" s="64">
        <f>$S2247-$S2248</f>
        <v/>
      </c>
      <c r="DV2247" s="65">
        <f>IFERROR(AVERAGE($AA2248/$AA2247-1,$AB2248/$AB2247-1,$AC2248/$AC2247-1,$AD2248/$AD2247-1,$AE2248/$AE2247-1,$AG2248/$AG2247-1,$AH2248/$AH2247-1,$AI2248/$AI2247-1,$AJ2248/$AJ2247-1,$AL2248/$AL2247-1,$AM2248/$AM2247-1,$AR2248/$AR2247-1,$AS2248/$AS2247-1,$AT2248/$AT2247-1,$AU2248/$AU2247-1,$AV2248/$AV2247-1,$AW2248/$AW2247-1,$AX2248/$AX2247-1,$AY2248/$AY2247-1),"")</f>
        <v/>
      </c>
      <c r="DW2247" s="66">
        <f>AVERAGE($CB2247,$CC2247,$CD2247,$CE2247,$CF2247,$CG2247,$CH2247,$CI2247,$CJ2247,$CL2247,$CM2247,$CN2247,$CO2247,$CP2247,$CQ2247,$CR2247,$CS2247,$CT2247)</f>
        <v/>
      </c>
      <c r="DX2247" s="66">
        <f>AVERAGE($CB2247,$CC2247,$CM2247,$CE2247,$CP2247)</f>
        <v/>
      </c>
      <c r="DY2247" s="64">
        <f>($DW2247-$DW2248)*100</f>
        <v/>
      </c>
      <c r="DZ2247" s="64">
        <f>($DX2247-$DX2248)*100</f>
        <v/>
      </c>
      <c r="EA2247" s="64">
        <f>($DW2247-$D2247)*100</f>
        <v/>
      </c>
      <c r="EB2247" s="64">
        <f>$Q2247-$O2247</f>
        <v/>
      </c>
      <c r="EC2247" s="67">
        <f>IFERROR($Q2247/$P2247,"")</f>
        <v/>
      </c>
    </row>
    <row r="2248">
      <c r="DG2248" s="64">
        <f>($B2248-$B2249)*100</f>
        <v/>
      </c>
      <c r="DH2248" s="64">
        <f>($D2248-$D2249)*100</f>
        <v/>
      </c>
      <c r="DI2248" s="64">
        <f>($E2248-$E2249)*100</f>
        <v/>
      </c>
      <c r="DJ2248" s="64">
        <f>($H2248-$H2249)*100</f>
        <v/>
      </c>
      <c r="DK2248" s="65">
        <f>IFERROR($J2248/$J2249-1,"")</f>
        <v/>
      </c>
      <c r="DL2248" s="64">
        <f>$L2248-$L2249</f>
        <v/>
      </c>
      <c r="DM2248" s="64">
        <f>$K2248-$K2249</f>
        <v/>
      </c>
      <c r="DN2248" s="65">
        <f>IFERROR($N2248/$N2249-1,"")</f>
        <v/>
      </c>
      <c r="DO2248" s="65">
        <f>IFERROR($M2248/$M2249-1,"")</f>
        <v/>
      </c>
      <c r="DP2248" s="65">
        <f>IFERROR($AZ2248/$AZ2249-1,"")</f>
        <v/>
      </c>
      <c r="DQ2248" s="65">
        <f>IFERROR($BA2248/$BA2249-1,"")</f>
        <v/>
      </c>
      <c r="DR2248" s="64">
        <f>$O2248-$O2249</f>
        <v/>
      </c>
      <c r="DS2248" s="64">
        <f>$P2248-$P2249</f>
        <v/>
      </c>
      <c r="DT2248" s="64">
        <f>$Q2248-$Q2249</f>
        <v/>
      </c>
      <c r="DU2248" s="64">
        <f>$S2248-$S2249</f>
        <v/>
      </c>
      <c r="DV2248" s="65">
        <f>IFERROR(AVERAGE($AA2249/$AA2248-1,$AB2249/$AB2248-1,$AC2249/$AC2248-1,$AD2249/$AD2248-1,$AE2249/$AE2248-1,$AG2249/$AG2248-1,$AH2249/$AH2248-1,$AI2249/$AI2248-1,$AJ2249/$AJ2248-1,$AL2249/$AL2248-1,$AM2249/$AM2248-1,$AR2249/$AR2248-1,$AS2249/$AS2248-1,$AT2249/$AT2248-1,$AU2249/$AU2248-1,$AV2249/$AV2248-1,$AW2249/$AW2248-1,$AX2249/$AX2248-1,$AY2249/$AY2248-1),"")</f>
        <v/>
      </c>
      <c r="DW2248" s="66">
        <f>AVERAGE($CB2248,$CC2248,$CD2248,$CE2248,$CF2248,$CG2248,$CH2248,$CI2248,$CJ2248,$CL2248,$CM2248,$CN2248,$CO2248,$CP2248,$CQ2248,$CR2248,$CS2248,$CT2248)</f>
        <v/>
      </c>
      <c r="DX2248" s="66">
        <f>AVERAGE($CB2248,$CC2248,$CM2248,$CE2248,$CP2248)</f>
        <v/>
      </c>
      <c r="DY2248" s="64">
        <f>($DW2248-$DW2249)*100</f>
        <v/>
      </c>
      <c r="DZ2248" s="64">
        <f>($DX2248-$DX2249)*100</f>
        <v/>
      </c>
      <c r="EA2248" s="64">
        <f>($DW2248-$D2248)*100</f>
        <v/>
      </c>
      <c r="EB2248" s="64">
        <f>$Q2248-$O2248</f>
        <v/>
      </c>
      <c r="EC2248" s="67">
        <f>IFERROR($Q2248/$P2248,"")</f>
        <v/>
      </c>
    </row>
    <row r="2249">
      <c r="DG2249" s="64">
        <f>($B2249-$B2250)*100</f>
        <v/>
      </c>
      <c r="DH2249" s="64">
        <f>($D2249-$D2250)*100</f>
        <v/>
      </c>
      <c r="DI2249" s="64">
        <f>($E2249-$E2250)*100</f>
        <v/>
      </c>
      <c r="DJ2249" s="64">
        <f>($H2249-$H2250)*100</f>
        <v/>
      </c>
      <c r="DK2249" s="65">
        <f>IFERROR($J2249/$J2250-1,"")</f>
        <v/>
      </c>
      <c r="DL2249" s="64">
        <f>$L2249-$L2250</f>
        <v/>
      </c>
      <c r="DM2249" s="64">
        <f>$K2249-$K2250</f>
        <v/>
      </c>
      <c r="DN2249" s="65">
        <f>IFERROR($N2249/$N2250-1,"")</f>
        <v/>
      </c>
      <c r="DO2249" s="65">
        <f>IFERROR($M2249/$M2250-1,"")</f>
        <v/>
      </c>
      <c r="DP2249" s="65">
        <f>IFERROR($AZ2249/$AZ2250-1,"")</f>
        <v/>
      </c>
      <c r="DQ2249" s="65">
        <f>IFERROR($BA2249/$BA2250-1,"")</f>
        <v/>
      </c>
      <c r="DR2249" s="64">
        <f>$O2249-$O2250</f>
        <v/>
      </c>
      <c r="DS2249" s="64">
        <f>$P2249-$P2250</f>
        <v/>
      </c>
      <c r="DT2249" s="64">
        <f>$Q2249-$Q2250</f>
        <v/>
      </c>
      <c r="DU2249" s="64">
        <f>$S2249-$S2250</f>
        <v/>
      </c>
      <c r="DV2249" s="65">
        <f>IFERROR(AVERAGE($AA2250/$AA2249-1,$AB2250/$AB2249-1,$AC2250/$AC2249-1,$AD2250/$AD2249-1,$AE2250/$AE2249-1,$AG2250/$AG2249-1,$AH2250/$AH2249-1,$AI2250/$AI2249-1,$AJ2250/$AJ2249-1,$AL2250/$AL2249-1,$AM2250/$AM2249-1,$AR2250/$AR2249-1,$AS2250/$AS2249-1,$AT2250/$AT2249-1,$AU2250/$AU2249-1,$AV2250/$AV2249-1,$AW2250/$AW2249-1,$AX2250/$AX2249-1,$AY2250/$AY2249-1),"")</f>
        <v/>
      </c>
      <c r="DW2249" s="66">
        <f>AVERAGE($CB2249,$CC2249,$CD2249,$CE2249,$CF2249,$CG2249,$CH2249,$CI2249,$CJ2249,$CL2249,$CM2249,$CN2249,$CO2249,$CP2249,$CQ2249,$CR2249,$CS2249,$CT2249)</f>
        <v/>
      </c>
      <c r="DX2249" s="66">
        <f>AVERAGE($CB2249,$CC2249,$CM2249,$CE2249,$CP2249)</f>
        <v/>
      </c>
      <c r="DY2249" s="64">
        <f>($DW2249-$DW2250)*100</f>
        <v/>
      </c>
      <c r="DZ2249" s="64">
        <f>($DX2249-$DX2250)*100</f>
        <v/>
      </c>
      <c r="EA2249" s="64">
        <f>($DW2249-$D2249)*100</f>
        <v/>
      </c>
      <c r="EB2249" s="64">
        <f>$Q2249-$O2249</f>
        <v/>
      </c>
      <c r="EC2249" s="67">
        <f>IFERROR($Q2249/$P2249,"")</f>
        <v/>
      </c>
    </row>
    <row r="2250">
      <c r="DG2250" s="64">
        <f>($B2250-$B2251)*100</f>
        <v/>
      </c>
      <c r="DH2250" s="64">
        <f>($D2250-$D2251)*100</f>
        <v/>
      </c>
      <c r="DI2250" s="64">
        <f>($E2250-$E2251)*100</f>
        <v/>
      </c>
      <c r="DJ2250" s="64">
        <f>($H2250-$H2251)*100</f>
        <v/>
      </c>
      <c r="DK2250" s="65">
        <f>IFERROR($J2250/$J2251-1,"")</f>
        <v/>
      </c>
      <c r="DL2250" s="64">
        <f>$L2250-$L2251</f>
        <v/>
      </c>
      <c r="DM2250" s="64">
        <f>$K2250-$K2251</f>
        <v/>
      </c>
      <c r="DN2250" s="65">
        <f>IFERROR($N2250/$N2251-1,"")</f>
        <v/>
      </c>
      <c r="DO2250" s="65">
        <f>IFERROR($M2250/$M2251-1,"")</f>
        <v/>
      </c>
      <c r="DP2250" s="65">
        <f>IFERROR($AZ2250/$AZ2251-1,"")</f>
        <v/>
      </c>
      <c r="DQ2250" s="65">
        <f>IFERROR($BA2250/$BA2251-1,"")</f>
        <v/>
      </c>
      <c r="DR2250" s="64">
        <f>$O2250-$O2251</f>
        <v/>
      </c>
      <c r="DS2250" s="64">
        <f>$P2250-$P2251</f>
        <v/>
      </c>
      <c r="DT2250" s="64">
        <f>$Q2250-$Q2251</f>
        <v/>
      </c>
      <c r="DU2250" s="64">
        <f>$S2250-$S2251</f>
        <v/>
      </c>
      <c r="DV2250" s="65">
        <f>IFERROR(AVERAGE($AA2251/$AA2250-1,$AB2251/$AB2250-1,$AC2251/$AC2250-1,$AD2251/$AD2250-1,$AE2251/$AE2250-1,$AG2251/$AG2250-1,$AH2251/$AH2250-1,$AI2251/$AI2250-1,$AJ2251/$AJ2250-1,$AL2251/$AL2250-1,$AM2251/$AM2250-1,$AR2251/$AR2250-1,$AS2251/$AS2250-1,$AT2251/$AT2250-1,$AU2251/$AU2250-1,$AV2251/$AV2250-1,$AW2251/$AW2250-1,$AX2251/$AX2250-1,$AY2251/$AY2250-1),"")</f>
        <v/>
      </c>
      <c r="DW2250" s="66">
        <f>AVERAGE($CB2250,$CC2250,$CD2250,$CE2250,$CF2250,$CG2250,$CH2250,$CI2250,$CJ2250,$CL2250,$CM2250,$CN2250,$CO2250,$CP2250,$CQ2250,$CR2250,$CS2250,$CT2250)</f>
        <v/>
      </c>
      <c r="DX2250" s="66">
        <f>AVERAGE($CB2250,$CC2250,$CM2250,$CE2250,$CP2250)</f>
        <v/>
      </c>
      <c r="DY2250" s="64">
        <f>($DW2250-$DW2251)*100</f>
        <v/>
      </c>
      <c r="DZ2250" s="64">
        <f>($DX2250-$DX2251)*100</f>
        <v/>
      </c>
      <c r="EA2250" s="64">
        <f>($DW2250-$D2250)*100</f>
        <v/>
      </c>
      <c r="EB2250" s="64">
        <f>$Q2250-$O2250</f>
        <v/>
      </c>
      <c r="EC2250" s="67">
        <f>IFERROR($Q2250/$P2250,"")</f>
        <v/>
      </c>
    </row>
    <row r="2251">
      <c r="DG2251" s="64">
        <f>($B2251-$B2252)*100</f>
        <v/>
      </c>
      <c r="DH2251" s="64">
        <f>($D2251-$D2252)*100</f>
        <v/>
      </c>
      <c r="DI2251" s="64">
        <f>($E2251-$E2252)*100</f>
        <v/>
      </c>
      <c r="DJ2251" s="64">
        <f>($H2251-$H2252)*100</f>
        <v/>
      </c>
      <c r="DK2251" s="65">
        <f>IFERROR($J2251/$J2252-1,"")</f>
        <v/>
      </c>
      <c r="DL2251" s="64">
        <f>$L2251-$L2252</f>
        <v/>
      </c>
      <c r="DM2251" s="64">
        <f>$K2251-$K2252</f>
        <v/>
      </c>
      <c r="DN2251" s="65">
        <f>IFERROR($N2251/$N2252-1,"")</f>
        <v/>
      </c>
      <c r="DO2251" s="65">
        <f>IFERROR($M2251/$M2252-1,"")</f>
        <v/>
      </c>
      <c r="DP2251" s="65">
        <f>IFERROR($AZ2251/$AZ2252-1,"")</f>
        <v/>
      </c>
      <c r="DQ2251" s="65">
        <f>IFERROR($BA2251/$BA2252-1,"")</f>
        <v/>
      </c>
      <c r="DR2251" s="64">
        <f>$O2251-$O2252</f>
        <v/>
      </c>
      <c r="DS2251" s="64">
        <f>$P2251-$P2252</f>
        <v/>
      </c>
      <c r="DT2251" s="64">
        <f>$Q2251-$Q2252</f>
        <v/>
      </c>
      <c r="DU2251" s="64">
        <f>$S2251-$S2252</f>
        <v/>
      </c>
      <c r="DV2251" s="65">
        <f>IFERROR(AVERAGE($AA2252/$AA2251-1,$AB2252/$AB2251-1,$AC2252/$AC2251-1,$AD2252/$AD2251-1,$AE2252/$AE2251-1,$AG2252/$AG2251-1,$AH2252/$AH2251-1,$AI2252/$AI2251-1,$AJ2252/$AJ2251-1,$AL2252/$AL2251-1,$AM2252/$AM2251-1,$AR2252/$AR2251-1,$AS2252/$AS2251-1,$AT2252/$AT2251-1,$AU2252/$AU2251-1,$AV2252/$AV2251-1,$AW2252/$AW2251-1,$AX2252/$AX2251-1,$AY2252/$AY2251-1),"")</f>
        <v/>
      </c>
      <c r="DW2251" s="66">
        <f>AVERAGE($CB2251,$CC2251,$CD2251,$CE2251,$CF2251,$CG2251,$CH2251,$CI2251,$CJ2251,$CL2251,$CM2251,$CN2251,$CO2251,$CP2251,$CQ2251,$CR2251,$CS2251,$CT2251)</f>
        <v/>
      </c>
      <c r="DX2251" s="66">
        <f>AVERAGE($CB2251,$CC2251,$CM2251,$CE2251,$CP2251)</f>
        <v/>
      </c>
      <c r="DY2251" s="64">
        <f>($DW2251-$DW2252)*100</f>
        <v/>
      </c>
      <c r="DZ2251" s="64">
        <f>($DX2251-$DX2252)*100</f>
        <v/>
      </c>
      <c r="EA2251" s="64">
        <f>($DW2251-$D2251)*100</f>
        <v/>
      </c>
      <c r="EB2251" s="64">
        <f>$Q2251-$O2251</f>
        <v/>
      </c>
      <c r="EC2251" s="67">
        <f>IFERROR($Q2251/$P2251,"")</f>
        <v/>
      </c>
    </row>
    <row r="2252">
      <c r="DG2252" s="64">
        <f>($B2252-$B2253)*100</f>
        <v/>
      </c>
      <c r="DH2252" s="64">
        <f>($D2252-$D2253)*100</f>
        <v/>
      </c>
      <c r="DI2252" s="64">
        <f>($E2252-$E2253)*100</f>
        <v/>
      </c>
      <c r="DJ2252" s="64">
        <f>($H2252-$H2253)*100</f>
        <v/>
      </c>
      <c r="DK2252" s="65">
        <f>IFERROR($J2252/$J2253-1,"")</f>
        <v/>
      </c>
      <c r="DL2252" s="64">
        <f>$L2252-$L2253</f>
        <v/>
      </c>
      <c r="DM2252" s="64">
        <f>$K2252-$K2253</f>
        <v/>
      </c>
      <c r="DN2252" s="65">
        <f>IFERROR($N2252/$N2253-1,"")</f>
        <v/>
      </c>
      <c r="DO2252" s="65">
        <f>IFERROR($M2252/$M2253-1,"")</f>
        <v/>
      </c>
      <c r="DP2252" s="65">
        <f>IFERROR($AZ2252/$AZ2253-1,"")</f>
        <v/>
      </c>
      <c r="DQ2252" s="65">
        <f>IFERROR($BA2252/$BA2253-1,"")</f>
        <v/>
      </c>
      <c r="DR2252" s="64">
        <f>$O2252-$O2253</f>
        <v/>
      </c>
      <c r="DS2252" s="64">
        <f>$P2252-$P2253</f>
        <v/>
      </c>
      <c r="DT2252" s="64">
        <f>$Q2252-$Q2253</f>
        <v/>
      </c>
      <c r="DU2252" s="64">
        <f>$S2252-$S2253</f>
        <v/>
      </c>
      <c r="DV2252" s="65">
        <f>IFERROR(AVERAGE($AA2253/$AA2252-1,$AB2253/$AB2252-1,$AC2253/$AC2252-1,$AD2253/$AD2252-1,$AE2253/$AE2252-1,$AG2253/$AG2252-1,$AH2253/$AH2252-1,$AI2253/$AI2252-1,$AJ2253/$AJ2252-1,$AL2253/$AL2252-1,$AM2253/$AM2252-1,$AR2253/$AR2252-1,$AS2253/$AS2252-1,$AT2253/$AT2252-1,$AU2253/$AU2252-1,$AV2253/$AV2252-1,$AW2253/$AW2252-1,$AX2253/$AX2252-1,$AY2253/$AY2252-1),"")</f>
        <v/>
      </c>
      <c r="DW2252" s="66">
        <f>AVERAGE($CB2252,$CC2252,$CD2252,$CE2252,$CF2252,$CG2252,$CH2252,$CI2252,$CJ2252,$CL2252,$CM2252,$CN2252,$CO2252,$CP2252,$CQ2252,$CR2252,$CS2252,$CT2252)</f>
        <v/>
      </c>
      <c r="DX2252" s="66">
        <f>AVERAGE($CB2252,$CC2252,$CM2252,$CE2252,$CP2252)</f>
        <v/>
      </c>
      <c r="DY2252" s="64">
        <f>($DW2252-$DW2253)*100</f>
        <v/>
      </c>
      <c r="DZ2252" s="64">
        <f>($DX2252-$DX2253)*100</f>
        <v/>
      </c>
      <c r="EA2252" s="64">
        <f>($DW2252-$D2252)*100</f>
        <v/>
      </c>
      <c r="EB2252" s="64">
        <f>$Q2252-$O2252</f>
        <v/>
      </c>
      <c r="EC2252" s="67">
        <f>IFERROR($Q2252/$P2252,"")</f>
        <v/>
      </c>
    </row>
    <row r="2253">
      <c r="DG2253" s="64">
        <f>($B2253-$B2254)*100</f>
        <v/>
      </c>
      <c r="DH2253" s="64">
        <f>($D2253-$D2254)*100</f>
        <v/>
      </c>
      <c r="DI2253" s="64">
        <f>($E2253-$E2254)*100</f>
        <v/>
      </c>
      <c r="DJ2253" s="64">
        <f>($H2253-$H2254)*100</f>
        <v/>
      </c>
      <c r="DK2253" s="65">
        <f>IFERROR($J2253/$J2254-1,"")</f>
        <v/>
      </c>
      <c r="DL2253" s="64">
        <f>$L2253-$L2254</f>
        <v/>
      </c>
      <c r="DM2253" s="64">
        <f>$K2253-$K2254</f>
        <v/>
      </c>
      <c r="DN2253" s="65">
        <f>IFERROR($N2253/$N2254-1,"")</f>
        <v/>
      </c>
      <c r="DO2253" s="65">
        <f>IFERROR($M2253/$M2254-1,"")</f>
        <v/>
      </c>
      <c r="DP2253" s="65">
        <f>IFERROR($AZ2253/$AZ2254-1,"")</f>
        <v/>
      </c>
      <c r="DQ2253" s="65">
        <f>IFERROR($BA2253/$BA2254-1,"")</f>
        <v/>
      </c>
      <c r="DR2253" s="64">
        <f>$O2253-$O2254</f>
        <v/>
      </c>
      <c r="DS2253" s="64">
        <f>$P2253-$P2254</f>
        <v/>
      </c>
      <c r="DT2253" s="64">
        <f>$Q2253-$Q2254</f>
        <v/>
      </c>
      <c r="DU2253" s="64">
        <f>$S2253-$S2254</f>
        <v/>
      </c>
      <c r="DV2253" s="65">
        <f>IFERROR(AVERAGE($AA2254/$AA2253-1,$AB2254/$AB2253-1,$AC2254/$AC2253-1,$AD2254/$AD2253-1,$AE2254/$AE2253-1,$AG2254/$AG2253-1,$AH2254/$AH2253-1,$AI2254/$AI2253-1,$AJ2254/$AJ2253-1,$AL2254/$AL2253-1,$AM2254/$AM2253-1,$AR2254/$AR2253-1,$AS2254/$AS2253-1,$AT2254/$AT2253-1,$AU2254/$AU2253-1,$AV2254/$AV2253-1,$AW2254/$AW2253-1,$AX2254/$AX2253-1,$AY2254/$AY2253-1),"")</f>
        <v/>
      </c>
      <c r="DW2253" s="66">
        <f>AVERAGE($CB2253,$CC2253,$CD2253,$CE2253,$CF2253,$CG2253,$CH2253,$CI2253,$CJ2253,$CL2253,$CM2253,$CN2253,$CO2253,$CP2253,$CQ2253,$CR2253,$CS2253,$CT2253)</f>
        <v/>
      </c>
      <c r="DX2253" s="66">
        <f>AVERAGE($CB2253,$CC2253,$CM2253,$CE2253,$CP2253)</f>
        <v/>
      </c>
      <c r="DY2253" s="64">
        <f>($DW2253-$DW2254)*100</f>
        <v/>
      </c>
      <c r="DZ2253" s="64">
        <f>($DX2253-$DX2254)*100</f>
        <v/>
      </c>
      <c r="EA2253" s="64">
        <f>($DW2253-$D2253)*100</f>
        <v/>
      </c>
      <c r="EB2253" s="64">
        <f>$Q2253-$O2253</f>
        <v/>
      </c>
      <c r="EC2253" s="67">
        <f>IFERROR($Q2253/$P2253,"")</f>
        <v/>
      </c>
    </row>
    <row r="2254">
      <c r="DG2254" s="64">
        <f>($B2254-$B2255)*100</f>
        <v/>
      </c>
      <c r="DH2254" s="64">
        <f>($D2254-$D2255)*100</f>
        <v/>
      </c>
      <c r="DI2254" s="64">
        <f>($E2254-$E2255)*100</f>
        <v/>
      </c>
      <c r="DJ2254" s="64">
        <f>($H2254-$H2255)*100</f>
        <v/>
      </c>
      <c r="DK2254" s="65">
        <f>IFERROR($J2254/$J2255-1,"")</f>
        <v/>
      </c>
      <c r="DL2254" s="64">
        <f>$L2254-$L2255</f>
        <v/>
      </c>
      <c r="DM2254" s="64">
        <f>$K2254-$K2255</f>
        <v/>
      </c>
      <c r="DN2254" s="65">
        <f>IFERROR($N2254/$N2255-1,"")</f>
        <v/>
      </c>
      <c r="DO2254" s="65">
        <f>IFERROR($M2254/$M2255-1,"")</f>
        <v/>
      </c>
      <c r="DP2254" s="65">
        <f>IFERROR($AZ2254/$AZ2255-1,"")</f>
        <v/>
      </c>
      <c r="DQ2254" s="65">
        <f>IFERROR($BA2254/$BA2255-1,"")</f>
        <v/>
      </c>
      <c r="DR2254" s="64">
        <f>$O2254-$O2255</f>
        <v/>
      </c>
      <c r="DS2254" s="64">
        <f>$P2254-$P2255</f>
        <v/>
      </c>
      <c r="DT2254" s="64">
        <f>$Q2254-$Q2255</f>
        <v/>
      </c>
      <c r="DU2254" s="64">
        <f>$S2254-$S2255</f>
        <v/>
      </c>
      <c r="DV2254" s="65">
        <f>IFERROR(AVERAGE($AA2255/$AA2254-1,$AB2255/$AB2254-1,$AC2255/$AC2254-1,$AD2255/$AD2254-1,$AE2255/$AE2254-1,$AG2255/$AG2254-1,$AH2255/$AH2254-1,$AI2255/$AI2254-1,$AJ2255/$AJ2254-1,$AL2255/$AL2254-1,$AM2255/$AM2254-1,$AR2255/$AR2254-1,$AS2255/$AS2254-1,$AT2255/$AT2254-1,$AU2255/$AU2254-1,$AV2255/$AV2254-1,$AW2255/$AW2254-1,$AX2255/$AX2254-1,$AY2255/$AY2254-1),"")</f>
        <v/>
      </c>
      <c r="DW2254" s="66">
        <f>AVERAGE($CB2254,$CC2254,$CD2254,$CE2254,$CF2254,$CG2254,$CH2254,$CI2254,$CJ2254,$CL2254,$CM2254,$CN2254,$CO2254,$CP2254,$CQ2254,$CR2254,$CS2254,$CT2254)</f>
        <v/>
      </c>
      <c r="DX2254" s="66">
        <f>AVERAGE($CB2254,$CC2254,$CM2254,$CE2254,$CP2254)</f>
        <v/>
      </c>
      <c r="DY2254" s="64">
        <f>($DW2254-$DW2255)*100</f>
        <v/>
      </c>
      <c r="DZ2254" s="64">
        <f>($DX2254-$DX2255)*100</f>
        <v/>
      </c>
      <c r="EA2254" s="64">
        <f>($DW2254-$D2254)*100</f>
        <v/>
      </c>
      <c r="EB2254" s="64">
        <f>$Q2254-$O2254</f>
        <v/>
      </c>
      <c r="EC2254" s="67">
        <f>IFERROR($Q2254/$P2254,"")</f>
        <v/>
      </c>
    </row>
    <row r="2255">
      <c r="DG2255" s="64">
        <f>($B2255-$B2256)*100</f>
        <v/>
      </c>
      <c r="DH2255" s="64">
        <f>($D2255-$D2256)*100</f>
        <v/>
      </c>
      <c r="DI2255" s="64">
        <f>($E2255-$E2256)*100</f>
        <v/>
      </c>
      <c r="DJ2255" s="64">
        <f>($H2255-$H2256)*100</f>
        <v/>
      </c>
      <c r="DK2255" s="65">
        <f>IFERROR($J2255/$J2256-1,"")</f>
        <v/>
      </c>
      <c r="DL2255" s="64">
        <f>$L2255-$L2256</f>
        <v/>
      </c>
      <c r="DM2255" s="64">
        <f>$K2255-$K2256</f>
        <v/>
      </c>
      <c r="DN2255" s="65">
        <f>IFERROR($N2255/$N2256-1,"")</f>
        <v/>
      </c>
      <c r="DO2255" s="65">
        <f>IFERROR($M2255/$M2256-1,"")</f>
        <v/>
      </c>
      <c r="DP2255" s="65">
        <f>IFERROR($AZ2255/$AZ2256-1,"")</f>
        <v/>
      </c>
      <c r="DQ2255" s="65">
        <f>IFERROR($BA2255/$BA2256-1,"")</f>
        <v/>
      </c>
      <c r="DR2255" s="64">
        <f>$O2255-$O2256</f>
        <v/>
      </c>
      <c r="DS2255" s="64">
        <f>$P2255-$P2256</f>
        <v/>
      </c>
      <c r="DT2255" s="64">
        <f>$Q2255-$Q2256</f>
        <v/>
      </c>
      <c r="DU2255" s="64">
        <f>$S2255-$S2256</f>
        <v/>
      </c>
      <c r="DV2255" s="65">
        <f>IFERROR(AVERAGE($AA2256/$AA2255-1,$AB2256/$AB2255-1,$AC2256/$AC2255-1,$AD2256/$AD2255-1,$AE2256/$AE2255-1,$AG2256/$AG2255-1,$AH2256/$AH2255-1,$AI2256/$AI2255-1,$AJ2256/$AJ2255-1,$AL2256/$AL2255-1,$AM2256/$AM2255-1,$AR2256/$AR2255-1,$AS2256/$AS2255-1,$AT2256/$AT2255-1,$AU2256/$AU2255-1,$AV2256/$AV2255-1,$AW2256/$AW2255-1,$AX2256/$AX2255-1,$AY2256/$AY2255-1),"")</f>
        <v/>
      </c>
      <c r="DW2255" s="66">
        <f>AVERAGE($CB2255,$CC2255,$CD2255,$CE2255,$CF2255,$CG2255,$CH2255,$CI2255,$CJ2255,$CL2255,$CM2255,$CN2255,$CO2255,$CP2255,$CQ2255,$CR2255,$CS2255,$CT2255)</f>
        <v/>
      </c>
      <c r="DX2255" s="66">
        <f>AVERAGE($CB2255,$CC2255,$CM2255,$CE2255,$CP2255)</f>
        <v/>
      </c>
      <c r="DY2255" s="64">
        <f>($DW2255-$DW2256)*100</f>
        <v/>
      </c>
      <c r="DZ2255" s="64">
        <f>($DX2255-$DX2256)*100</f>
        <v/>
      </c>
      <c r="EA2255" s="64">
        <f>($DW2255-$D2255)*100</f>
        <v/>
      </c>
      <c r="EB2255" s="64">
        <f>$Q2255-$O2255</f>
        <v/>
      </c>
      <c r="EC2255" s="67">
        <f>IFERROR($Q2255/$P2255,"")</f>
        <v/>
      </c>
    </row>
    <row r="2256">
      <c r="DG2256" s="64">
        <f>($B2256-$B2257)*100</f>
        <v/>
      </c>
      <c r="DH2256" s="64">
        <f>($D2256-$D2257)*100</f>
        <v/>
      </c>
      <c r="DI2256" s="64">
        <f>($E2256-$E2257)*100</f>
        <v/>
      </c>
      <c r="DJ2256" s="64">
        <f>($H2256-$H2257)*100</f>
        <v/>
      </c>
      <c r="DK2256" s="65">
        <f>IFERROR($J2256/$J2257-1,"")</f>
        <v/>
      </c>
      <c r="DL2256" s="64">
        <f>$L2256-$L2257</f>
        <v/>
      </c>
      <c r="DM2256" s="64">
        <f>$K2256-$K2257</f>
        <v/>
      </c>
      <c r="DN2256" s="65">
        <f>IFERROR($N2256/$N2257-1,"")</f>
        <v/>
      </c>
      <c r="DO2256" s="65">
        <f>IFERROR($M2256/$M2257-1,"")</f>
        <v/>
      </c>
      <c r="DP2256" s="65">
        <f>IFERROR($AZ2256/$AZ2257-1,"")</f>
        <v/>
      </c>
      <c r="DQ2256" s="65">
        <f>IFERROR($BA2256/$BA2257-1,"")</f>
        <v/>
      </c>
      <c r="DR2256" s="64">
        <f>$O2256-$O2257</f>
        <v/>
      </c>
      <c r="DS2256" s="64">
        <f>$P2256-$P2257</f>
        <v/>
      </c>
      <c r="DT2256" s="64">
        <f>$Q2256-$Q2257</f>
        <v/>
      </c>
      <c r="DU2256" s="64">
        <f>$S2256-$S2257</f>
        <v/>
      </c>
      <c r="DV2256" s="65">
        <f>IFERROR(AVERAGE($AA2257/$AA2256-1,$AB2257/$AB2256-1,$AC2257/$AC2256-1,$AD2257/$AD2256-1,$AE2257/$AE2256-1,$AG2257/$AG2256-1,$AH2257/$AH2256-1,$AI2257/$AI2256-1,$AJ2257/$AJ2256-1,$AL2257/$AL2256-1,$AM2257/$AM2256-1,$AR2257/$AR2256-1,$AS2257/$AS2256-1,$AT2257/$AT2256-1,$AU2257/$AU2256-1,$AV2257/$AV2256-1,$AW2257/$AW2256-1,$AX2257/$AX2256-1,$AY2257/$AY2256-1),"")</f>
        <v/>
      </c>
      <c r="DW2256" s="66">
        <f>AVERAGE($CB2256,$CC2256,$CD2256,$CE2256,$CF2256,$CG2256,$CH2256,$CI2256,$CJ2256,$CL2256,$CM2256,$CN2256,$CO2256,$CP2256,$CQ2256,$CR2256,$CS2256,$CT2256)</f>
        <v/>
      </c>
      <c r="DX2256" s="66">
        <f>AVERAGE($CB2256,$CC2256,$CM2256,$CE2256,$CP2256)</f>
        <v/>
      </c>
      <c r="DY2256" s="64">
        <f>($DW2256-$DW2257)*100</f>
        <v/>
      </c>
      <c r="DZ2256" s="64">
        <f>($DX2256-$DX2257)*100</f>
        <v/>
      </c>
      <c r="EA2256" s="64">
        <f>($DW2256-$D2256)*100</f>
        <v/>
      </c>
      <c r="EB2256" s="64">
        <f>$Q2256-$O2256</f>
        <v/>
      </c>
      <c r="EC2256" s="67">
        <f>IFERROR($Q2256/$P2256,"")</f>
        <v/>
      </c>
    </row>
    <row r="2257">
      <c r="DG2257" s="64">
        <f>($B2257-$B2258)*100</f>
        <v/>
      </c>
      <c r="DH2257" s="64">
        <f>($D2257-$D2258)*100</f>
        <v/>
      </c>
      <c r="DI2257" s="64">
        <f>($E2257-$E2258)*100</f>
        <v/>
      </c>
      <c r="DJ2257" s="64">
        <f>($H2257-$H2258)*100</f>
        <v/>
      </c>
      <c r="DK2257" s="65">
        <f>IFERROR($J2257/$J2258-1,"")</f>
        <v/>
      </c>
      <c r="DL2257" s="64">
        <f>$L2257-$L2258</f>
        <v/>
      </c>
      <c r="DM2257" s="64">
        <f>$K2257-$K2258</f>
        <v/>
      </c>
      <c r="DN2257" s="65">
        <f>IFERROR($N2257/$N2258-1,"")</f>
        <v/>
      </c>
      <c r="DO2257" s="65">
        <f>IFERROR($M2257/$M2258-1,"")</f>
        <v/>
      </c>
      <c r="DP2257" s="65">
        <f>IFERROR($AZ2257/$AZ2258-1,"")</f>
        <v/>
      </c>
      <c r="DQ2257" s="65">
        <f>IFERROR($BA2257/$BA2258-1,"")</f>
        <v/>
      </c>
      <c r="DR2257" s="64">
        <f>$O2257-$O2258</f>
        <v/>
      </c>
      <c r="DS2257" s="64">
        <f>$P2257-$P2258</f>
        <v/>
      </c>
      <c r="DT2257" s="64">
        <f>$Q2257-$Q2258</f>
        <v/>
      </c>
      <c r="DU2257" s="64">
        <f>$S2257-$S2258</f>
        <v/>
      </c>
      <c r="DV2257" s="65">
        <f>IFERROR(AVERAGE($AA2258/$AA2257-1,$AB2258/$AB2257-1,$AC2258/$AC2257-1,$AD2258/$AD2257-1,$AE2258/$AE2257-1,$AG2258/$AG2257-1,$AH2258/$AH2257-1,$AI2258/$AI2257-1,$AJ2258/$AJ2257-1,$AL2258/$AL2257-1,$AM2258/$AM2257-1,$AR2258/$AR2257-1,$AS2258/$AS2257-1,$AT2258/$AT2257-1,$AU2258/$AU2257-1,$AV2258/$AV2257-1,$AW2258/$AW2257-1,$AX2258/$AX2257-1,$AY2258/$AY2257-1),"")</f>
        <v/>
      </c>
      <c r="DW2257" s="66">
        <f>AVERAGE($CB2257,$CC2257,$CD2257,$CE2257,$CF2257,$CG2257,$CH2257,$CI2257,$CJ2257,$CL2257,$CM2257,$CN2257,$CO2257,$CP2257,$CQ2257,$CR2257,$CS2257,$CT2257)</f>
        <v/>
      </c>
      <c r="DX2257" s="66">
        <f>AVERAGE($CB2257,$CC2257,$CM2257,$CE2257,$CP2257)</f>
        <v/>
      </c>
      <c r="DY2257" s="64">
        <f>($DW2257-$DW2258)*100</f>
        <v/>
      </c>
      <c r="DZ2257" s="64">
        <f>($DX2257-$DX2258)*100</f>
        <v/>
      </c>
      <c r="EA2257" s="64">
        <f>($DW2257-$D2257)*100</f>
        <v/>
      </c>
      <c r="EB2257" s="64">
        <f>$Q2257-$O2257</f>
        <v/>
      </c>
      <c r="EC2257" s="67">
        <f>IFERROR($Q2257/$P2257,"")</f>
        <v/>
      </c>
    </row>
    <row r="2258">
      <c r="DG2258" s="64">
        <f>($B2258-$B2259)*100</f>
        <v/>
      </c>
      <c r="DH2258" s="64">
        <f>($D2258-$D2259)*100</f>
        <v/>
      </c>
      <c r="DI2258" s="64">
        <f>($E2258-$E2259)*100</f>
        <v/>
      </c>
      <c r="DJ2258" s="64">
        <f>($H2258-$H2259)*100</f>
        <v/>
      </c>
      <c r="DK2258" s="65">
        <f>IFERROR($J2258/$J2259-1,"")</f>
        <v/>
      </c>
      <c r="DL2258" s="64">
        <f>$L2258-$L2259</f>
        <v/>
      </c>
      <c r="DM2258" s="64">
        <f>$K2258-$K2259</f>
        <v/>
      </c>
      <c r="DN2258" s="65">
        <f>IFERROR($N2258/$N2259-1,"")</f>
        <v/>
      </c>
      <c r="DO2258" s="65">
        <f>IFERROR($M2258/$M2259-1,"")</f>
        <v/>
      </c>
      <c r="DP2258" s="65">
        <f>IFERROR($AZ2258/$AZ2259-1,"")</f>
        <v/>
      </c>
      <c r="DQ2258" s="65">
        <f>IFERROR($BA2258/$BA2259-1,"")</f>
        <v/>
      </c>
      <c r="DR2258" s="64">
        <f>$O2258-$O2259</f>
        <v/>
      </c>
      <c r="DS2258" s="64">
        <f>$P2258-$P2259</f>
        <v/>
      </c>
      <c r="DT2258" s="64">
        <f>$Q2258-$Q2259</f>
        <v/>
      </c>
      <c r="DU2258" s="64">
        <f>$S2258-$S2259</f>
        <v/>
      </c>
      <c r="DV2258" s="65">
        <f>IFERROR(AVERAGE($AA2259/$AA2258-1,$AB2259/$AB2258-1,$AC2259/$AC2258-1,$AD2259/$AD2258-1,$AE2259/$AE2258-1,$AG2259/$AG2258-1,$AH2259/$AH2258-1,$AI2259/$AI2258-1,$AJ2259/$AJ2258-1,$AL2259/$AL2258-1,$AM2259/$AM2258-1,$AR2259/$AR2258-1,$AS2259/$AS2258-1,$AT2259/$AT2258-1,$AU2259/$AU2258-1,$AV2259/$AV2258-1,$AW2259/$AW2258-1,$AX2259/$AX2258-1,$AY2259/$AY2258-1),"")</f>
        <v/>
      </c>
      <c r="DW2258" s="66">
        <f>AVERAGE($CB2258,$CC2258,$CD2258,$CE2258,$CF2258,$CG2258,$CH2258,$CI2258,$CJ2258,$CL2258,$CM2258,$CN2258,$CO2258,$CP2258,$CQ2258,$CR2258,$CS2258,$CT2258)</f>
        <v/>
      </c>
      <c r="DX2258" s="66">
        <f>AVERAGE($CB2258,$CC2258,$CM2258,$CE2258,$CP2258)</f>
        <v/>
      </c>
      <c r="DY2258" s="64">
        <f>($DW2258-$DW2259)*100</f>
        <v/>
      </c>
      <c r="DZ2258" s="64">
        <f>($DX2258-$DX2259)*100</f>
        <v/>
      </c>
      <c r="EA2258" s="64">
        <f>($DW2258-$D2258)*100</f>
        <v/>
      </c>
      <c r="EB2258" s="64">
        <f>$Q2258-$O2258</f>
        <v/>
      </c>
      <c r="EC2258" s="67">
        <f>IFERROR($Q2258/$P2258,"")</f>
        <v/>
      </c>
    </row>
    <row r="2259">
      <c r="DG2259" s="64">
        <f>($B2259-$B2260)*100</f>
        <v/>
      </c>
      <c r="DH2259" s="64">
        <f>($D2259-$D2260)*100</f>
        <v/>
      </c>
      <c r="DI2259" s="64">
        <f>($E2259-$E2260)*100</f>
        <v/>
      </c>
      <c r="DJ2259" s="64">
        <f>($H2259-$H2260)*100</f>
        <v/>
      </c>
      <c r="DK2259" s="65">
        <f>IFERROR($J2259/$J2260-1,"")</f>
        <v/>
      </c>
      <c r="DL2259" s="64">
        <f>$L2259-$L2260</f>
        <v/>
      </c>
      <c r="DM2259" s="64">
        <f>$K2259-$K2260</f>
        <v/>
      </c>
      <c r="DN2259" s="65">
        <f>IFERROR($N2259/$N2260-1,"")</f>
        <v/>
      </c>
      <c r="DO2259" s="65">
        <f>IFERROR($M2259/$M2260-1,"")</f>
        <v/>
      </c>
      <c r="DP2259" s="65">
        <f>IFERROR($AZ2259/$AZ2260-1,"")</f>
        <v/>
      </c>
      <c r="DQ2259" s="65">
        <f>IFERROR($BA2259/$BA2260-1,"")</f>
        <v/>
      </c>
      <c r="DR2259" s="64">
        <f>$O2259-$O2260</f>
        <v/>
      </c>
      <c r="DS2259" s="64">
        <f>$P2259-$P2260</f>
        <v/>
      </c>
      <c r="DT2259" s="64">
        <f>$Q2259-$Q2260</f>
        <v/>
      </c>
      <c r="DU2259" s="64">
        <f>$S2259-$S2260</f>
        <v/>
      </c>
      <c r="DV2259" s="65">
        <f>IFERROR(AVERAGE($AA2260/$AA2259-1,$AB2260/$AB2259-1,$AC2260/$AC2259-1,$AD2260/$AD2259-1,$AE2260/$AE2259-1,$AG2260/$AG2259-1,$AH2260/$AH2259-1,$AI2260/$AI2259-1,$AJ2260/$AJ2259-1,$AL2260/$AL2259-1,$AM2260/$AM2259-1,$AR2260/$AR2259-1,$AS2260/$AS2259-1,$AT2260/$AT2259-1,$AU2260/$AU2259-1,$AV2260/$AV2259-1,$AW2260/$AW2259-1,$AX2260/$AX2259-1,$AY2260/$AY2259-1),"")</f>
        <v/>
      </c>
      <c r="DW2259" s="66">
        <f>AVERAGE($CB2259,$CC2259,$CD2259,$CE2259,$CF2259,$CG2259,$CH2259,$CI2259,$CJ2259,$CL2259,$CM2259,$CN2259,$CO2259,$CP2259,$CQ2259,$CR2259,$CS2259,$CT2259)</f>
        <v/>
      </c>
      <c r="DX2259" s="66">
        <f>AVERAGE($CB2259,$CC2259,$CM2259,$CE2259,$CP2259)</f>
        <v/>
      </c>
      <c r="DY2259" s="64">
        <f>($DW2259-$DW2260)*100</f>
        <v/>
      </c>
      <c r="DZ2259" s="64">
        <f>($DX2259-$DX2260)*100</f>
        <v/>
      </c>
      <c r="EA2259" s="64">
        <f>($DW2259-$D2259)*100</f>
        <v/>
      </c>
      <c r="EB2259" s="64">
        <f>$Q2259-$O2259</f>
        <v/>
      </c>
      <c r="EC2259" s="67">
        <f>IFERROR($Q2259/$P2259,"")</f>
        <v/>
      </c>
    </row>
    <row r="2260">
      <c r="DG2260" s="64">
        <f>($B2260-$B2261)*100</f>
        <v/>
      </c>
      <c r="DH2260" s="64">
        <f>($D2260-$D2261)*100</f>
        <v/>
      </c>
      <c r="DI2260" s="64">
        <f>($E2260-$E2261)*100</f>
        <v/>
      </c>
      <c r="DJ2260" s="64">
        <f>($H2260-$H2261)*100</f>
        <v/>
      </c>
      <c r="DK2260" s="65">
        <f>IFERROR($J2260/$J2261-1,"")</f>
        <v/>
      </c>
      <c r="DL2260" s="64">
        <f>$L2260-$L2261</f>
        <v/>
      </c>
      <c r="DM2260" s="64">
        <f>$K2260-$K2261</f>
        <v/>
      </c>
      <c r="DN2260" s="65">
        <f>IFERROR($N2260/$N2261-1,"")</f>
        <v/>
      </c>
      <c r="DO2260" s="65">
        <f>IFERROR($M2260/$M2261-1,"")</f>
        <v/>
      </c>
      <c r="DP2260" s="65">
        <f>IFERROR($AZ2260/$AZ2261-1,"")</f>
        <v/>
      </c>
      <c r="DQ2260" s="65">
        <f>IFERROR($BA2260/$BA2261-1,"")</f>
        <v/>
      </c>
      <c r="DR2260" s="64">
        <f>$O2260-$O2261</f>
        <v/>
      </c>
      <c r="DS2260" s="64">
        <f>$P2260-$P2261</f>
        <v/>
      </c>
      <c r="DT2260" s="64">
        <f>$Q2260-$Q2261</f>
        <v/>
      </c>
      <c r="DU2260" s="64">
        <f>$S2260-$S2261</f>
        <v/>
      </c>
      <c r="DV2260" s="65">
        <f>IFERROR(AVERAGE($AA2261/$AA2260-1,$AB2261/$AB2260-1,$AC2261/$AC2260-1,$AD2261/$AD2260-1,$AE2261/$AE2260-1,$AG2261/$AG2260-1,$AH2261/$AH2260-1,$AI2261/$AI2260-1,$AJ2261/$AJ2260-1,$AL2261/$AL2260-1,$AM2261/$AM2260-1,$AR2261/$AR2260-1,$AS2261/$AS2260-1,$AT2261/$AT2260-1,$AU2261/$AU2260-1,$AV2261/$AV2260-1,$AW2261/$AW2260-1,$AX2261/$AX2260-1,$AY2261/$AY2260-1),"")</f>
        <v/>
      </c>
      <c r="DW2260" s="66">
        <f>AVERAGE($CB2260,$CC2260,$CD2260,$CE2260,$CF2260,$CG2260,$CH2260,$CI2260,$CJ2260,$CL2260,$CM2260,$CN2260,$CO2260,$CP2260,$CQ2260,$CR2260,$CS2260,$CT2260)</f>
        <v/>
      </c>
      <c r="DX2260" s="66">
        <f>AVERAGE($CB2260,$CC2260,$CM2260,$CE2260,$CP2260)</f>
        <v/>
      </c>
      <c r="DY2260" s="64">
        <f>($DW2260-$DW2261)*100</f>
        <v/>
      </c>
      <c r="DZ2260" s="64">
        <f>($DX2260-$DX2261)*100</f>
        <v/>
      </c>
      <c r="EA2260" s="64">
        <f>($DW2260-$D2260)*100</f>
        <v/>
      </c>
      <c r="EB2260" s="64">
        <f>$Q2260-$O2260</f>
        <v/>
      </c>
      <c r="EC2260" s="67">
        <f>IFERROR($Q2260/$P2260,"")</f>
        <v/>
      </c>
    </row>
    <row r="2261">
      <c r="DG2261" s="64">
        <f>($B2261-$B2262)*100</f>
        <v/>
      </c>
      <c r="DH2261" s="64">
        <f>($D2261-$D2262)*100</f>
        <v/>
      </c>
      <c r="DI2261" s="64">
        <f>($E2261-$E2262)*100</f>
        <v/>
      </c>
      <c r="DJ2261" s="64">
        <f>($H2261-$H2262)*100</f>
        <v/>
      </c>
      <c r="DK2261" s="65">
        <f>IFERROR($J2261/$J2262-1,"")</f>
        <v/>
      </c>
      <c r="DL2261" s="64">
        <f>$L2261-$L2262</f>
        <v/>
      </c>
      <c r="DM2261" s="64">
        <f>$K2261-$K2262</f>
        <v/>
      </c>
      <c r="DN2261" s="65">
        <f>IFERROR($N2261/$N2262-1,"")</f>
        <v/>
      </c>
      <c r="DO2261" s="65">
        <f>IFERROR($M2261/$M2262-1,"")</f>
        <v/>
      </c>
      <c r="DP2261" s="65">
        <f>IFERROR($AZ2261/$AZ2262-1,"")</f>
        <v/>
      </c>
      <c r="DQ2261" s="65">
        <f>IFERROR($BA2261/$BA2262-1,"")</f>
        <v/>
      </c>
      <c r="DR2261" s="64">
        <f>$O2261-$O2262</f>
        <v/>
      </c>
      <c r="DS2261" s="64">
        <f>$P2261-$P2262</f>
        <v/>
      </c>
      <c r="DT2261" s="64">
        <f>$Q2261-$Q2262</f>
        <v/>
      </c>
      <c r="DU2261" s="64">
        <f>$S2261-$S2262</f>
        <v/>
      </c>
      <c r="DV2261" s="65">
        <f>IFERROR(AVERAGE($AA2262/$AA2261-1,$AB2262/$AB2261-1,$AC2262/$AC2261-1,$AD2262/$AD2261-1,$AE2262/$AE2261-1,$AG2262/$AG2261-1,$AH2262/$AH2261-1,$AI2262/$AI2261-1,$AJ2262/$AJ2261-1,$AL2262/$AL2261-1,$AM2262/$AM2261-1,$AR2262/$AR2261-1,$AS2262/$AS2261-1,$AT2262/$AT2261-1,$AU2262/$AU2261-1,$AV2262/$AV2261-1,$AW2262/$AW2261-1,$AX2262/$AX2261-1,$AY2262/$AY2261-1),"")</f>
        <v/>
      </c>
      <c r="DW2261" s="66">
        <f>AVERAGE($CB2261,$CC2261,$CD2261,$CE2261,$CF2261,$CG2261,$CH2261,$CI2261,$CJ2261,$CL2261,$CM2261,$CN2261,$CO2261,$CP2261,$CQ2261,$CR2261,$CS2261,$CT2261)</f>
        <v/>
      </c>
      <c r="DX2261" s="66">
        <f>AVERAGE($CB2261,$CC2261,$CM2261,$CE2261,$CP2261)</f>
        <v/>
      </c>
      <c r="DY2261" s="64">
        <f>($DW2261-$DW2262)*100</f>
        <v/>
      </c>
      <c r="DZ2261" s="64">
        <f>($DX2261-$DX2262)*100</f>
        <v/>
      </c>
      <c r="EA2261" s="64">
        <f>($DW2261-$D2261)*100</f>
        <v/>
      </c>
      <c r="EB2261" s="64">
        <f>$Q2261-$O2261</f>
        <v/>
      </c>
      <c r="EC2261" s="67">
        <f>IFERROR($Q2261/$P2261,"")</f>
        <v/>
      </c>
    </row>
    <row r="2262">
      <c r="DG2262" s="64">
        <f>($B2262-$B2263)*100</f>
        <v/>
      </c>
      <c r="DH2262" s="64">
        <f>($D2262-$D2263)*100</f>
        <v/>
      </c>
      <c r="DI2262" s="64">
        <f>($E2262-$E2263)*100</f>
        <v/>
      </c>
      <c r="DJ2262" s="64">
        <f>($H2262-$H2263)*100</f>
        <v/>
      </c>
      <c r="DK2262" s="65">
        <f>IFERROR($J2262/$J2263-1,"")</f>
        <v/>
      </c>
      <c r="DL2262" s="64">
        <f>$L2262-$L2263</f>
        <v/>
      </c>
      <c r="DM2262" s="64">
        <f>$K2262-$K2263</f>
        <v/>
      </c>
      <c r="DN2262" s="65">
        <f>IFERROR($N2262/$N2263-1,"")</f>
        <v/>
      </c>
      <c r="DO2262" s="65">
        <f>IFERROR($M2262/$M2263-1,"")</f>
        <v/>
      </c>
      <c r="DP2262" s="65">
        <f>IFERROR($AZ2262/$AZ2263-1,"")</f>
        <v/>
      </c>
      <c r="DQ2262" s="65">
        <f>IFERROR($BA2262/$BA2263-1,"")</f>
        <v/>
      </c>
      <c r="DR2262" s="64">
        <f>$O2262-$O2263</f>
        <v/>
      </c>
      <c r="DS2262" s="64">
        <f>$P2262-$P2263</f>
        <v/>
      </c>
      <c r="DT2262" s="64">
        <f>$Q2262-$Q2263</f>
        <v/>
      </c>
      <c r="DU2262" s="64">
        <f>$S2262-$S2263</f>
        <v/>
      </c>
      <c r="DV2262" s="65">
        <f>IFERROR(AVERAGE($AA2263/$AA2262-1,$AB2263/$AB2262-1,$AC2263/$AC2262-1,$AD2263/$AD2262-1,$AE2263/$AE2262-1,$AG2263/$AG2262-1,$AH2263/$AH2262-1,$AI2263/$AI2262-1,$AJ2263/$AJ2262-1,$AL2263/$AL2262-1,$AM2263/$AM2262-1,$AR2263/$AR2262-1,$AS2263/$AS2262-1,$AT2263/$AT2262-1,$AU2263/$AU2262-1,$AV2263/$AV2262-1,$AW2263/$AW2262-1,$AX2263/$AX2262-1,$AY2263/$AY2262-1),"")</f>
        <v/>
      </c>
      <c r="DW2262" s="66">
        <f>AVERAGE($CB2262,$CC2262,$CD2262,$CE2262,$CF2262,$CG2262,$CH2262,$CI2262,$CJ2262,$CL2262,$CM2262,$CN2262,$CO2262,$CP2262,$CQ2262,$CR2262,$CS2262,$CT2262)</f>
        <v/>
      </c>
      <c r="DX2262" s="66">
        <f>AVERAGE($CB2262,$CC2262,$CM2262,$CE2262,$CP2262)</f>
        <v/>
      </c>
      <c r="DY2262" s="64">
        <f>($DW2262-$DW2263)*100</f>
        <v/>
      </c>
      <c r="DZ2262" s="64">
        <f>($DX2262-$DX2263)*100</f>
        <v/>
      </c>
      <c r="EA2262" s="64">
        <f>($DW2262-$D2262)*100</f>
        <v/>
      </c>
      <c r="EB2262" s="64">
        <f>$Q2262-$O2262</f>
        <v/>
      </c>
      <c r="EC2262" s="67">
        <f>IFERROR($Q2262/$P2262,"")</f>
        <v/>
      </c>
    </row>
    <row r="2263">
      <c r="DG2263" s="64">
        <f>($B2263-$B2264)*100</f>
        <v/>
      </c>
      <c r="DH2263" s="64">
        <f>($D2263-$D2264)*100</f>
        <v/>
      </c>
      <c r="DI2263" s="64">
        <f>($E2263-$E2264)*100</f>
        <v/>
      </c>
      <c r="DJ2263" s="64">
        <f>($H2263-$H2264)*100</f>
        <v/>
      </c>
      <c r="DK2263" s="65">
        <f>IFERROR($J2263/$J2264-1,"")</f>
        <v/>
      </c>
      <c r="DL2263" s="64">
        <f>$L2263-$L2264</f>
        <v/>
      </c>
      <c r="DM2263" s="64">
        <f>$K2263-$K2264</f>
        <v/>
      </c>
      <c r="DN2263" s="65">
        <f>IFERROR($N2263/$N2264-1,"")</f>
        <v/>
      </c>
      <c r="DO2263" s="65">
        <f>IFERROR($M2263/$M2264-1,"")</f>
        <v/>
      </c>
      <c r="DP2263" s="65">
        <f>IFERROR($AZ2263/$AZ2264-1,"")</f>
        <v/>
      </c>
      <c r="DQ2263" s="65">
        <f>IFERROR($BA2263/$BA2264-1,"")</f>
        <v/>
      </c>
      <c r="DR2263" s="64">
        <f>$O2263-$O2264</f>
        <v/>
      </c>
      <c r="DS2263" s="64">
        <f>$P2263-$P2264</f>
        <v/>
      </c>
      <c r="DT2263" s="64">
        <f>$Q2263-$Q2264</f>
        <v/>
      </c>
      <c r="DU2263" s="64">
        <f>$S2263-$S2264</f>
        <v/>
      </c>
      <c r="DV2263" s="65">
        <f>IFERROR(AVERAGE($AA2264/$AA2263-1,$AB2264/$AB2263-1,$AC2264/$AC2263-1,$AD2264/$AD2263-1,$AE2264/$AE2263-1,$AG2264/$AG2263-1,$AH2264/$AH2263-1,$AI2264/$AI2263-1,$AJ2264/$AJ2263-1,$AL2264/$AL2263-1,$AM2264/$AM2263-1,$AR2264/$AR2263-1,$AS2264/$AS2263-1,$AT2264/$AT2263-1,$AU2264/$AU2263-1,$AV2264/$AV2263-1,$AW2264/$AW2263-1,$AX2264/$AX2263-1,$AY2264/$AY2263-1),"")</f>
        <v/>
      </c>
      <c r="DW2263" s="66">
        <f>AVERAGE($CB2263,$CC2263,$CD2263,$CE2263,$CF2263,$CG2263,$CH2263,$CI2263,$CJ2263,$CL2263,$CM2263,$CN2263,$CO2263,$CP2263,$CQ2263,$CR2263,$CS2263,$CT2263)</f>
        <v/>
      </c>
      <c r="DX2263" s="66">
        <f>AVERAGE($CB2263,$CC2263,$CM2263,$CE2263,$CP2263)</f>
        <v/>
      </c>
      <c r="DY2263" s="64">
        <f>($DW2263-$DW2264)*100</f>
        <v/>
      </c>
      <c r="DZ2263" s="64">
        <f>($DX2263-$DX2264)*100</f>
        <v/>
      </c>
      <c r="EA2263" s="64">
        <f>($DW2263-$D2263)*100</f>
        <v/>
      </c>
      <c r="EB2263" s="64">
        <f>$Q2263-$O2263</f>
        <v/>
      </c>
      <c r="EC2263" s="67">
        <f>IFERROR($Q2263/$P2263,"")</f>
        <v/>
      </c>
    </row>
    <row r="2264">
      <c r="DG2264" s="64">
        <f>($B2264-$B2265)*100</f>
        <v/>
      </c>
      <c r="DH2264" s="64">
        <f>($D2264-$D2265)*100</f>
        <v/>
      </c>
      <c r="DI2264" s="64">
        <f>($E2264-$E2265)*100</f>
        <v/>
      </c>
      <c r="DJ2264" s="64">
        <f>($H2264-$H2265)*100</f>
        <v/>
      </c>
      <c r="DK2264" s="65">
        <f>IFERROR($J2264/$J2265-1,"")</f>
        <v/>
      </c>
      <c r="DL2264" s="64">
        <f>$L2264-$L2265</f>
        <v/>
      </c>
      <c r="DM2264" s="64">
        <f>$K2264-$K2265</f>
        <v/>
      </c>
      <c r="DN2264" s="65">
        <f>IFERROR($N2264/$N2265-1,"")</f>
        <v/>
      </c>
      <c r="DO2264" s="65">
        <f>IFERROR($M2264/$M2265-1,"")</f>
        <v/>
      </c>
      <c r="DP2264" s="65">
        <f>IFERROR($AZ2264/$AZ2265-1,"")</f>
        <v/>
      </c>
      <c r="DQ2264" s="65">
        <f>IFERROR($BA2264/$BA2265-1,"")</f>
        <v/>
      </c>
      <c r="DR2264" s="64">
        <f>$O2264-$O2265</f>
        <v/>
      </c>
      <c r="DS2264" s="64">
        <f>$P2264-$P2265</f>
        <v/>
      </c>
      <c r="DT2264" s="64">
        <f>$Q2264-$Q2265</f>
        <v/>
      </c>
      <c r="DU2264" s="64">
        <f>$S2264-$S2265</f>
        <v/>
      </c>
      <c r="DV2264" s="65">
        <f>IFERROR(AVERAGE($AA2265/$AA2264-1,$AB2265/$AB2264-1,$AC2265/$AC2264-1,$AD2265/$AD2264-1,$AE2265/$AE2264-1,$AG2265/$AG2264-1,$AH2265/$AH2264-1,$AI2265/$AI2264-1,$AJ2265/$AJ2264-1,$AL2265/$AL2264-1,$AM2265/$AM2264-1,$AR2265/$AR2264-1,$AS2265/$AS2264-1,$AT2265/$AT2264-1,$AU2265/$AU2264-1,$AV2265/$AV2264-1,$AW2265/$AW2264-1,$AX2265/$AX2264-1,$AY2265/$AY2264-1),"")</f>
        <v/>
      </c>
      <c r="DW2264" s="66">
        <f>AVERAGE($CB2264,$CC2264,$CD2264,$CE2264,$CF2264,$CG2264,$CH2264,$CI2264,$CJ2264,$CL2264,$CM2264,$CN2264,$CO2264,$CP2264,$CQ2264,$CR2264,$CS2264,$CT2264)</f>
        <v/>
      </c>
      <c r="DX2264" s="66">
        <f>AVERAGE($CB2264,$CC2264,$CM2264,$CE2264,$CP2264)</f>
        <v/>
      </c>
      <c r="DY2264" s="64">
        <f>($DW2264-$DW2265)*100</f>
        <v/>
      </c>
      <c r="DZ2264" s="64">
        <f>($DX2264-$DX2265)*100</f>
        <v/>
      </c>
      <c r="EA2264" s="64">
        <f>($DW2264-$D2264)*100</f>
        <v/>
      </c>
      <c r="EB2264" s="64">
        <f>$Q2264-$O2264</f>
        <v/>
      </c>
      <c r="EC2264" s="67">
        <f>IFERROR($Q2264/$P2264,"")</f>
        <v/>
      </c>
    </row>
    <row r="2265">
      <c r="DG2265" s="64">
        <f>($B2265-$B2266)*100</f>
        <v/>
      </c>
      <c r="DH2265" s="64">
        <f>($D2265-$D2266)*100</f>
        <v/>
      </c>
      <c r="DI2265" s="64">
        <f>($E2265-$E2266)*100</f>
        <v/>
      </c>
      <c r="DJ2265" s="64">
        <f>($H2265-$H2266)*100</f>
        <v/>
      </c>
      <c r="DK2265" s="65">
        <f>IFERROR($J2265/$J2266-1,"")</f>
        <v/>
      </c>
      <c r="DL2265" s="64">
        <f>$L2265-$L2266</f>
        <v/>
      </c>
      <c r="DM2265" s="64">
        <f>$K2265-$K2266</f>
        <v/>
      </c>
      <c r="DN2265" s="65">
        <f>IFERROR($N2265/$N2266-1,"")</f>
        <v/>
      </c>
      <c r="DO2265" s="65">
        <f>IFERROR($M2265/$M2266-1,"")</f>
        <v/>
      </c>
      <c r="DP2265" s="65">
        <f>IFERROR($AZ2265/$AZ2266-1,"")</f>
        <v/>
      </c>
      <c r="DQ2265" s="65">
        <f>IFERROR($BA2265/$BA2266-1,"")</f>
        <v/>
      </c>
      <c r="DR2265" s="64">
        <f>$O2265-$O2266</f>
        <v/>
      </c>
      <c r="DS2265" s="64">
        <f>$P2265-$P2266</f>
        <v/>
      </c>
      <c r="DT2265" s="64">
        <f>$Q2265-$Q2266</f>
        <v/>
      </c>
      <c r="DU2265" s="64">
        <f>$S2265-$S2266</f>
        <v/>
      </c>
      <c r="DV2265" s="65">
        <f>IFERROR(AVERAGE($AA2266/$AA2265-1,$AB2266/$AB2265-1,$AC2266/$AC2265-1,$AD2266/$AD2265-1,$AE2266/$AE2265-1,$AG2266/$AG2265-1,$AH2266/$AH2265-1,$AI2266/$AI2265-1,$AJ2266/$AJ2265-1,$AL2266/$AL2265-1,$AM2266/$AM2265-1,$AR2266/$AR2265-1,$AS2266/$AS2265-1,$AT2266/$AT2265-1,$AU2266/$AU2265-1,$AV2266/$AV2265-1,$AW2266/$AW2265-1,$AX2266/$AX2265-1,$AY2266/$AY2265-1),"")</f>
        <v/>
      </c>
      <c r="DW2265" s="66">
        <f>AVERAGE($CB2265,$CC2265,$CD2265,$CE2265,$CF2265,$CG2265,$CH2265,$CI2265,$CJ2265,$CL2265,$CM2265,$CN2265,$CO2265,$CP2265,$CQ2265,$CR2265,$CS2265,$CT2265)</f>
        <v/>
      </c>
      <c r="DX2265" s="66">
        <f>AVERAGE($CB2265,$CC2265,$CM2265,$CE2265,$CP2265)</f>
        <v/>
      </c>
      <c r="DY2265" s="64">
        <f>($DW2265-$DW2266)*100</f>
        <v/>
      </c>
      <c r="DZ2265" s="64">
        <f>($DX2265-$DX2266)*100</f>
        <v/>
      </c>
      <c r="EA2265" s="64">
        <f>($DW2265-$D2265)*100</f>
        <v/>
      </c>
      <c r="EB2265" s="64">
        <f>$Q2265-$O2265</f>
        <v/>
      </c>
      <c r="EC2265" s="67">
        <f>IFERROR($Q2265/$P2265,"")</f>
        <v/>
      </c>
    </row>
    <row r="2266">
      <c r="DG2266" s="64">
        <f>($B2266-$B2267)*100</f>
        <v/>
      </c>
      <c r="DH2266" s="64">
        <f>($D2266-$D2267)*100</f>
        <v/>
      </c>
      <c r="DI2266" s="64">
        <f>($E2266-$E2267)*100</f>
        <v/>
      </c>
      <c r="DJ2266" s="64">
        <f>($H2266-$H2267)*100</f>
        <v/>
      </c>
      <c r="DK2266" s="65">
        <f>IFERROR($J2266/$J2267-1,"")</f>
        <v/>
      </c>
      <c r="DL2266" s="64">
        <f>$L2266-$L2267</f>
        <v/>
      </c>
      <c r="DM2266" s="64">
        <f>$K2266-$K2267</f>
        <v/>
      </c>
      <c r="DN2266" s="65">
        <f>IFERROR($N2266/$N2267-1,"")</f>
        <v/>
      </c>
      <c r="DO2266" s="65">
        <f>IFERROR($M2266/$M2267-1,"")</f>
        <v/>
      </c>
      <c r="DP2266" s="65">
        <f>IFERROR($AZ2266/$AZ2267-1,"")</f>
        <v/>
      </c>
      <c r="DQ2266" s="65">
        <f>IFERROR($BA2266/$BA2267-1,"")</f>
        <v/>
      </c>
      <c r="DR2266" s="64">
        <f>$O2266-$O2267</f>
        <v/>
      </c>
      <c r="DS2266" s="64">
        <f>$P2266-$P2267</f>
        <v/>
      </c>
      <c r="DT2266" s="64">
        <f>$Q2266-$Q2267</f>
        <v/>
      </c>
      <c r="DU2266" s="64">
        <f>$S2266-$S2267</f>
        <v/>
      </c>
      <c r="DV2266" s="65">
        <f>IFERROR(AVERAGE($AA2267/$AA2266-1,$AB2267/$AB2266-1,$AC2267/$AC2266-1,$AD2267/$AD2266-1,$AE2267/$AE2266-1,$AG2267/$AG2266-1,$AH2267/$AH2266-1,$AI2267/$AI2266-1,$AJ2267/$AJ2266-1,$AL2267/$AL2266-1,$AM2267/$AM2266-1,$AR2267/$AR2266-1,$AS2267/$AS2266-1,$AT2267/$AT2266-1,$AU2267/$AU2266-1,$AV2267/$AV2266-1,$AW2267/$AW2266-1,$AX2267/$AX2266-1,$AY2267/$AY2266-1),"")</f>
        <v/>
      </c>
      <c r="DW2266" s="66">
        <f>AVERAGE($CB2266,$CC2266,$CD2266,$CE2266,$CF2266,$CG2266,$CH2266,$CI2266,$CJ2266,$CL2266,$CM2266,$CN2266,$CO2266,$CP2266,$CQ2266,$CR2266,$CS2266,$CT2266)</f>
        <v/>
      </c>
      <c r="DX2266" s="66">
        <f>AVERAGE($CB2266,$CC2266,$CM2266,$CE2266,$CP2266)</f>
        <v/>
      </c>
      <c r="DY2266" s="64">
        <f>($DW2266-$DW2267)*100</f>
        <v/>
      </c>
      <c r="DZ2266" s="64">
        <f>($DX2266-$DX2267)*100</f>
        <v/>
      </c>
      <c r="EA2266" s="64">
        <f>($DW2266-$D2266)*100</f>
        <v/>
      </c>
      <c r="EB2266" s="64">
        <f>$Q2266-$O2266</f>
        <v/>
      </c>
      <c r="EC2266" s="67">
        <f>IFERROR($Q2266/$P2266,"")</f>
        <v/>
      </c>
    </row>
    <row r="2267">
      <c r="DG2267" s="64">
        <f>($B2267-$B2268)*100</f>
        <v/>
      </c>
      <c r="DH2267" s="64">
        <f>($D2267-$D2268)*100</f>
        <v/>
      </c>
      <c r="DI2267" s="64">
        <f>($E2267-$E2268)*100</f>
        <v/>
      </c>
      <c r="DJ2267" s="64">
        <f>($H2267-$H2268)*100</f>
        <v/>
      </c>
      <c r="DK2267" s="65">
        <f>IFERROR($J2267/$J2268-1,"")</f>
        <v/>
      </c>
      <c r="DL2267" s="64">
        <f>$L2267-$L2268</f>
        <v/>
      </c>
      <c r="DM2267" s="64">
        <f>$K2267-$K2268</f>
        <v/>
      </c>
      <c r="DN2267" s="65">
        <f>IFERROR($N2267/$N2268-1,"")</f>
        <v/>
      </c>
      <c r="DO2267" s="65">
        <f>IFERROR($M2267/$M2268-1,"")</f>
        <v/>
      </c>
      <c r="DP2267" s="65">
        <f>IFERROR($AZ2267/$AZ2268-1,"")</f>
        <v/>
      </c>
      <c r="DQ2267" s="65">
        <f>IFERROR($BA2267/$BA2268-1,"")</f>
        <v/>
      </c>
      <c r="DR2267" s="64">
        <f>$O2267-$O2268</f>
        <v/>
      </c>
      <c r="DS2267" s="64">
        <f>$P2267-$P2268</f>
        <v/>
      </c>
      <c r="DT2267" s="64">
        <f>$Q2267-$Q2268</f>
        <v/>
      </c>
      <c r="DU2267" s="64">
        <f>$S2267-$S2268</f>
        <v/>
      </c>
      <c r="DV2267" s="65">
        <f>IFERROR(AVERAGE($AA2268/$AA2267-1,$AB2268/$AB2267-1,$AC2268/$AC2267-1,$AD2268/$AD2267-1,$AE2268/$AE2267-1,$AG2268/$AG2267-1,$AH2268/$AH2267-1,$AI2268/$AI2267-1,$AJ2268/$AJ2267-1,$AL2268/$AL2267-1,$AM2268/$AM2267-1,$AR2268/$AR2267-1,$AS2268/$AS2267-1,$AT2268/$AT2267-1,$AU2268/$AU2267-1,$AV2268/$AV2267-1,$AW2268/$AW2267-1,$AX2268/$AX2267-1,$AY2268/$AY2267-1),"")</f>
        <v/>
      </c>
      <c r="DW2267" s="66">
        <f>AVERAGE($CB2267,$CC2267,$CD2267,$CE2267,$CF2267,$CG2267,$CH2267,$CI2267,$CJ2267,$CL2267,$CM2267,$CN2267,$CO2267,$CP2267,$CQ2267,$CR2267,$CS2267,$CT2267)</f>
        <v/>
      </c>
      <c r="DX2267" s="66">
        <f>AVERAGE($CB2267,$CC2267,$CM2267,$CE2267,$CP2267)</f>
        <v/>
      </c>
      <c r="DY2267" s="64">
        <f>($DW2267-$DW2268)*100</f>
        <v/>
      </c>
      <c r="DZ2267" s="64">
        <f>($DX2267-$DX2268)*100</f>
        <v/>
      </c>
      <c r="EA2267" s="64">
        <f>($DW2267-$D2267)*100</f>
        <v/>
      </c>
      <c r="EB2267" s="64">
        <f>$Q2267-$O2267</f>
        <v/>
      </c>
      <c r="EC2267" s="67">
        <f>IFERROR($Q2267/$P2267,"")</f>
        <v/>
      </c>
    </row>
    <row r="2268">
      <c r="DG2268" s="64">
        <f>($B2268-$B2269)*100</f>
        <v/>
      </c>
      <c r="DH2268" s="64">
        <f>($D2268-$D2269)*100</f>
        <v/>
      </c>
      <c r="DI2268" s="64">
        <f>($E2268-$E2269)*100</f>
        <v/>
      </c>
      <c r="DJ2268" s="64">
        <f>($H2268-$H2269)*100</f>
        <v/>
      </c>
      <c r="DK2268" s="65">
        <f>IFERROR($J2268/$J2269-1,"")</f>
        <v/>
      </c>
      <c r="DL2268" s="64">
        <f>$L2268-$L2269</f>
        <v/>
      </c>
      <c r="DM2268" s="64">
        <f>$K2268-$K2269</f>
        <v/>
      </c>
      <c r="DN2268" s="65">
        <f>IFERROR($N2268/$N2269-1,"")</f>
        <v/>
      </c>
      <c r="DO2268" s="65">
        <f>IFERROR($M2268/$M2269-1,"")</f>
        <v/>
      </c>
      <c r="DP2268" s="65">
        <f>IFERROR($AZ2268/$AZ2269-1,"")</f>
        <v/>
      </c>
      <c r="DQ2268" s="65">
        <f>IFERROR($BA2268/$BA2269-1,"")</f>
        <v/>
      </c>
      <c r="DR2268" s="64">
        <f>$O2268-$O2269</f>
        <v/>
      </c>
      <c r="DS2268" s="64">
        <f>$P2268-$P2269</f>
        <v/>
      </c>
      <c r="DT2268" s="64">
        <f>$Q2268-$Q2269</f>
        <v/>
      </c>
      <c r="DU2268" s="64">
        <f>$S2268-$S2269</f>
        <v/>
      </c>
      <c r="DV2268" s="65">
        <f>IFERROR(AVERAGE($AA2269/$AA2268-1,$AB2269/$AB2268-1,$AC2269/$AC2268-1,$AD2269/$AD2268-1,$AE2269/$AE2268-1,$AG2269/$AG2268-1,$AH2269/$AH2268-1,$AI2269/$AI2268-1,$AJ2269/$AJ2268-1,$AL2269/$AL2268-1,$AM2269/$AM2268-1,$AR2269/$AR2268-1,$AS2269/$AS2268-1,$AT2269/$AT2268-1,$AU2269/$AU2268-1,$AV2269/$AV2268-1,$AW2269/$AW2268-1,$AX2269/$AX2268-1,$AY2269/$AY2268-1),"")</f>
        <v/>
      </c>
      <c r="DW2268" s="66">
        <f>AVERAGE($CB2268,$CC2268,$CD2268,$CE2268,$CF2268,$CG2268,$CH2268,$CI2268,$CJ2268,$CL2268,$CM2268,$CN2268,$CO2268,$CP2268,$CQ2268,$CR2268,$CS2268,$CT2268)</f>
        <v/>
      </c>
      <c r="DX2268" s="66">
        <f>AVERAGE($CB2268,$CC2268,$CM2268,$CE2268,$CP2268)</f>
        <v/>
      </c>
      <c r="DY2268" s="64">
        <f>($DW2268-$DW2269)*100</f>
        <v/>
      </c>
      <c r="DZ2268" s="64">
        <f>($DX2268-$DX2269)*100</f>
        <v/>
      </c>
      <c r="EA2268" s="64">
        <f>($DW2268-$D2268)*100</f>
        <v/>
      </c>
      <c r="EB2268" s="64">
        <f>$Q2268-$O2268</f>
        <v/>
      </c>
      <c r="EC2268" s="67">
        <f>IFERROR($Q2268/$P2268,"")</f>
        <v/>
      </c>
    </row>
    <row r="2269">
      <c r="DG2269" s="64">
        <f>($B2269-$B2270)*100</f>
        <v/>
      </c>
      <c r="DH2269" s="64">
        <f>($D2269-$D2270)*100</f>
        <v/>
      </c>
      <c r="DI2269" s="64">
        <f>($E2269-$E2270)*100</f>
        <v/>
      </c>
      <c r="DJ2269" s="64">
        <f>($H2269-$H2270)*100</f>
        <v/>
      </c>
      <c r="DK2269" s="65">
        <f>IFERROR($J2269/$J2270-1,"")</f>
        <v/>
      </c>
      <c r="DL2269" s="64">
        <f>$L2269-$L2270</f>
        <v/>
      </c>
      <c r="DM2269" s="64">
        <f>$K2269-$K2270</f>
        <v/>
      </c>
      <c r="DN2269" s="65">
        <f>IFERROR($N2269/$N2270-1,"")</f>
        <v/>
      </c>
      <c r="DO2269" s="65">
        <f>IFERROR($M2269/$M2270-1,"")</f>
        <v/>
      </c>
      <c r="DP2269" s="65">
        <f>IFERROR($AZ2269/$AZ2270-1,"")</f>
        <v/>
      </c>
      <c r="DQ2269" s="65">
        <f>IFERROR($BA2269/$BA2270-1,"")</f>
        <v/>
      </c>
      <c r="DR2269" s="64">
        <f>$O2269-$O2270</f>
        <v/>
      </c>
      <c r="DS2269" s="64">
        <f>$P2269-$P2270</f>
        <v/>
      </c>
      <c r="DT2269" s="64">
        <f>$Q2269-$Q2270</f>
        <v/>
      </c>
      <c r="DU2269" s="64">
        <f>$S2269-$S2270</f>
        <v/>
      </c>
      <c r="DV2269" s="65">
        <f>IFERROR(AVERAGE($AA2270/$AA2269-1,$AB2270/$AB2269-1,$AC2270/$AC2269-1,$AD2270/$AD2269-1,$AE2270/$AE2269-1,$AG2270/$AG2269-1,$AH2270/$AH2269-1,$AI2270/$AI2269-1,$AJ2270/$AJ2269-1,$AL2270/$AL2269-1,$AM2270/$AM2269-1,$AR2270/$AR2269-1,$AS2270/$AS2269-1,$AT2270/$AT2269-1,$AU2270/$AU2269-1,$AV2270/$AV2269-1,$AW2270/$AW2269-1,$AX2270/$AX2269-1,$AY2270/$AY2269-1),"")</f>
        <v/>
      </c>
      <c r="DW2269" s="66">
        <f>AVERAGE($CB2269,$CC2269,$CD2269,$CE2269,$CF2269,$CG2269,$CH2269,$CI2269,$CJ2269,$CL2269,$CM2269,$CN2269,$CO2269,$CP2269,$CQ2269,$CR2269,$CS2269,$CT2269)</f>
        <v/>
      </c>
      <c r="DX2269" s="66">
        <f>AVERAGE($CB2269,$CC2269,$CM2269,$CE2269,$CP2269)</f>
        <v/>
      </c>
      <c r="DY2269" s="64">
        <f>($DW2269-$DW2270)*100</f>
        <v/>
      </c>
      <c r="DZ2269" s="64">
        <f>($DX2269-$DX2270)*100</f>
        <v/>
      </c>
      <c r="EA2269" s="64">
        <f>($DW2269-$D2269)*100</f>
        <v/>
      </c>
      <c r="EB2269" s="64">
        <f>$Q2269-$O2269</f>
        <v/>
      </c>
      <c r="EC2269" s="67">
        <f>IFERROR($Q2269/$P2269,"")</f>
        <v/>
      </c>
    </row>
    <row r="2270">
      <c r="DG2270" s="64">
        <f>($B2270-$B2271)*100</f>
        <v/>
      </c>
      <c r="DH2270" s="64">
        <f>($D2270-$D2271)*100</f>
        <v/>
      </c>
      <c r="DI2270" s="64">
        <f>($E2270-$E2271)*100</f>
        <v/>
      </c>
      <c r="DJ2270" s="64">
        <f>($H2270-$H2271)*100</f>
        <v/>
      </c>
      <c r="DK2270" s="65">
        <f>IFERROR($J2270/$J2271-1,"")</f>
        <v/>
      </c>
      <c r="DL2270" s="64">
        <f>$L2270-$L2271</f>
        <v/>
      </c>
      <c r="DM2270" s="64">
        <f>$K2270-$K2271</f>
        <v/>
      </c>
      <c r="DN2270" s="65">
        <f>IFERROR($N2270/$N2271-1,"")</f>
        <v/>
      </c>
      <c r="DO2270" s="65">
        <f>IFERROR($M2270/$M2271-1,"")</f>
        <v/>
      </c>
      <c r="DP2270" s="65">
        <f>IFERROR($AZ2270/$AZ2271-1,"")</f>
        <v/>
      </c>
      <c r="DQ2270" s="65">
        <f>IFERROR($BA2270/$BA2271-1,"")</f>
        <v/>
      </c>
      <c r="DR2270" s="64">
        <f>$O2270-$O2271</f>
        <v/>
      </c>
      <c r="DS2270" s="64">
        <f>$P2270-$P2271</f>
        <v/>
      </c>
      <c r="DT2270" s="64">
        <f>$Q2270-$Q2271</f>
        <v/>
      </c>
      <c r="DU2270" s="64">
        <f>$S2270-$S2271</f>
        <v/>
      </c>
      <c r="DV2270" s="65">
        <f>IFERROR(AVERAGE($AA2271/$AA2270-1,$AB2271/$AB2270-1,$AC2271/$AC2270-1,$AD2271/$AD2270-1,$AE2271/$AE2270-1,$AG2271/$AG2270-1,$AH2271/$AH2270-1,$AI2271/$AI2270-1,$AJ2271/$AJ2270-1,$AL2271/$AL2270-1,$AM2271/$AM2270-1,$AR2271/$AR2270-1,$AS2271/$AS2270-1,$AT2271/$AT2270-1,$AU2271/$AU2270-1,$AV2271/$AV2270-1,$AW2271/$AW2270-1,$AX2271/$AX2270-1,$AY2271/$AY2270-1),"")</f>
        <v/>
      </c>
      <c r="DW2270" s="66">
        <f>AVERAGE($CB2270,$CC2270,$CD2270,$CE2270,$CF2270,$CG2270,$CH2270,$CI2270,$CJ2270,$CL2270,$CM2270,$CN2270,$CO2270,$CP2270,$CQ2270,$CR2270,$CS2270,$CT2270)</f>
        <v/>
      </c>
      <c r="DX2270" s="66">
        <f>AVERAGE($CB2270,$CC2270,$CM2270,$CE2270,$CP2270)</f>
        <v/>
      </c>
      <c r="DY2270" s="64">
        <f>($DW2270-$DW2271)*100</f>
        <v/>
      </c>
      <c r="DZ2270" s="64">
        <f>($DX2270-$DX2271)*100</f>
        <v/>
      </c>
      <c r="EA2270" s="64">
        <f>($DW2270-$D2270)*100</f>
        <v/>
      </c>
      <c r="EB2270" s="64">
        <f>$Q2270-$O2270</f>
        <v/>
      </c>
      <c r="EC2270" s="67">
        <f>IFERROR($Q2270/$P2270,"")</f>
        <v/>
      </c>
    </row>
    <row r="2271">
      <c r="DG2271" s="64">
        <f>($B2271-$B2272)*100</f>
        <v/>
      </c>
      <c r="DH2271" s="64">
        <f>($D2271-$D2272)*100</f>
        <v/>
      </c>
      <c r="DI2271" s="64">
        <f>($E2271-$E2272)*100</f>
        <v/>
      </c>
      <c r="DJ2271" s="64">
        <f>($H2271-$H2272)*100</f>
        <v/>
      </c>
      <c r="DK2271" s="65">
        <f>IFERROR($J2271/$J2272-1,"")</f>
        <v/>
      </c>
      <c r="DL2271" s="64">
        <f>$L2271-$L2272</f>
        <v/>
      </c>
      <c r="DM2271" s="64">
        <f>$K2271-$K2272</f>
        <v/>
      </c>
      <c r="DN2271" s="65">
        <f>IFERROR($N2271/$N2272-1,"")</f>
        <v/>
      </c>
      <c r="DO2271" s="65">
        <f>IFERROR($M2271/$M2272-1,"")</f>
        <v/>
      </c>
      <c r="DP2271" s="65">
        <f>IFERROR($AZ2271/$AZ2272-1,"")</f>
        <v/>
      </c>
      <c r="DQ2271" s="65">
        <f>IFERROR($BA2271/$BA2272-1,"")</f>
        <v/>
      </c>
      <c r="DR2271" s="64">
        <f>$O2271-$O2272</f>
        <v/>
      </c>
      <c r="DS2271" s="64">
        <f>$P2271-$P2272</f>
        <v/>
      </c>
      <c r="DT2271" s="64">
        <f>$Q2271-$Q2272</f>
        <v/>
      </c>
      <c r="DU2271" s="64">
        <f>$S2271-$S2272</f>
        <v/>
      </c>
      <c r="DV2271" s="65">
        <f>IFERROR(AVERAGE($AA2272/$AA2271-1,$AB2272/$AB2271-1,$AC2272/$AC2271-1,$AD2272/$AD2271-1,$AE2272/$AE2271-1,$AG2272/$AG2271-1,$AH2272/$AH2271-1,$AI2272/$AI2271-1,$AJ2272/$AJ2271-1,$AL2272/$AL2271-1,$AM2272/$AM2271-1,$AR2272/$AR2271-1,$AS2272/$AS2271-1,$AT2272/$AT2271-1,$AU2272/$AU2271-1,$AV2272/$AV2271-1,$AW2272/$AW2271-1,$AX2272/$AX2271-1,$AY2272/$AY2271-1),"")</f>
        <v/>
      </c>
      <c r="DW2271" s="66">
        <f>AVERAGE($CB2271,$CC2271,$CD2271,$CE2271,$CF2271,$CG2271,$CH2271,$CI2271,$CJ2271,$CL2271,$CM2271,$CN2271,$CO2271,$CP2271,$CQ2271,$CR2271,$CS2271,$CT2271)</f>
        <v/>
      </c>
      <c r="DX2271" s="66">
        <f>AVERAGE($CB2271,$CC2271,$CM2271,$CE2271,$CP2271)</f>
        <v/>
      </c>
      <c r="DY2271" s="64">
        <f>($DW2271-$DW2272)*100</f>
        <v/>
      </c>
      <c r="DZ2271" s="64">
        <f>($DX2271-$DX2272)*100</f>
        <v/>
      </c>
      <c r="EA2271" s="64">
        <f>($DW2271-$D2271)*100</f>
        <v/>
      </c>
      <c r="EB2271" s="64">
        <f>$Q2271-$O2271</f>
        <v/>
      </c>
      <c r="EC2271" s="67">
        <f>IFERROR($Q2271/$P2271,"")</f>
        <v/>
      </c>
    </row>
    <row r="2272">
      <c r="DG2272" s="64">
        <f>($B2272-$B2273)*100</f>
        <v/>
      </c>
      <c r="DH2272" s="64">
        <f>($D2272-$D2273)*100</f>
        <v/>
      </c>
      <c r="DI2272" s="64">
        <f>($E2272-$E2273)*100</f>
        <v/>
      </c>
      <c r="DJ2272" s="64">
        <f>($H2272-$H2273)*100</f>
        <v/>
      </c>
      <c r="DK2272" s="65">
        <f>IFERROR($J2272/$J2273-1,"")</f>
        <v/>
      </c>
      <c r="DL2272" s="64">
        <f>$L2272-$L2273</f>
        <v/>
      </c>
      <c r="DM2272" s="64">
        <f>$K2272-$K2273</f>
        <v/>
      </c>
      <c r="DN2272" s="65">
        <f>IFERROR($N2272/$N2273-1,"")</f>
        <v/>
      </c>
      <c r="DO2272" s="65">
        <f>IFERROR($M2272/$M2273-1,"")</f>
        <v/>
      </c>
      <c r="DP2272" s="65">
        <f>IFERROR($AZ2272/$AZ2273-1,"")</f>
        <v/>
      </c>
      <c r="DQ2272" s="65">
        <f>IFERROR($BA2272/$BA2273-1,"")</f>
        <v/>
      </c>
      <c r="DR2272" s="64">
        <f>$O2272-$O2273</f>
        <v/>
      </c>
      <c r="DS2272" s="64">
        <f>$P2272-$P2273</f>
        <v/>
      </c>
      <c r="DT2272" s="64">
        <f>$Q2272-$Q2273</f>
        <v/>
      </c>
      <c r="DU2272" s="64">
        <f>$S2272-$S2273</f>
        <v/>
      </c>
      <c r="DV2272" s="65">
        <f>IFERROR(AVERAGE($AA2273/$AA2272-1,$AB2273/$AB2272-1,$AC2273/$AC2272-1,$AD2273/$AD2272-1,$AE2273/$AE2272-1,$AG2273/$AG2272-1,$AH2273/$AH2272-1,$AI2273/$AI2272-1,$AJ2273/$AJ2272-1,$AL2273/$AL2272-1,$AM2273/$AM2272-1,$AR2273/$AR2272-1,$AS2273/$AS2272-1,$AT2273/$AT2272-1,$AU2273/$AU2272-1,$AV2273/$AV2272-1,$AW2273/$AW2272-1,$AX2273/$AX2272-1,$AY2273/$AY2272-1),"")</f>
        <v/>
      </c>
      <c r="DW2272" s="66">
        <f>AVERAGE($CB2272,$CC2272,$CD2272,$CE2272,$CF2272,$CG2272,$CH2272,$CI2272,$CJ2272,$CL2272,$CM2272,$CN2272,$CO2272,$CP2272,$CQ2272,$CR2272,$CS2272,$CT2272)</f>
        <v/>
      </c>
      <c r="DX2272" s="66">
        <f>AVERAGE($CB2272,$CC2272,$CM2272,$CE2272,$CP2272)</f>
        <v/>
      </c>
      <c r="DY2272" s="64">
        <f>($DW2272-$DW2273)*100</f>
        <v/>
      </c>
      <c r="DZ2272" s="64">
        <f>($DX2272-$DX2273)*100</f>
        <v/>
      </c>
      <c r="EA2272" s="64">
        <f>($DW2272-$D2272)*100</f>
        <v/>
      </c>
      <c r="EB2272" s="64">
        <f>$Q2272-$O2272</f>
        <v/>
      </c>
      <c r="EC2272" s="67">
        <f>IFERROR($Q2272/$P2272,"")</f>
        <v/>
      </c>
    </row>
    <row r="2273">
      <c r="DG2273" s="64">
        <f>($B2273-$B2274)*100</f>
        <v/>
      </c>
      <c r="DH2273" s="64">
        <f>($D2273-$D2274)*100</f>
        <v/>
      </c>
      <c r="DI2273" s="64">
        <f>($E2273-$E2274)*100</f>
        <v/>
      </c>
      <c r="DJ2273" s="64">
        <f>($H2273-$H2274)*100</f>
        <v/>
      </c>
      <c r="DK2273" s="65">
        <f>IFERROR($J2273/$J2274-1,"")</f>
        <v/>
      </c>
      <c r="DL2273" s="64">
        <f>$L2273-$L2274</f>
        <v/>
      </c>
      <c r="DM2273" s="64">
        <f>$K2273-$K2274</f>
        <v/>
      </c>
      <c r="DN2273" s="65">
        <f>IFERROR($N2273/$N2274-1,"")</f>
        <v/>
      </c>
      <c r="DO2273" s="65">
        <f>IFERROR($M2273/$M2274-1,"")</f>
        <v/>
      </c>
      <c r="DP2273" s="65">
        <f>IFERROR($AZ2273/$AZ2274-1,"")</f>
        <v/>
      </c>
      <c r="DQ2273" s="65">
        <f>IFERROR($BA2273/$BA2274-1,"")</f>
        <v/>
      </c>
      <c r="DR2273" s="64">
        <f>$O2273-$O2274</f>
        <v/>
      </c>
      <c r="DS2273" s="64">
        <f>$P2273-$P2274</f>
        <v/>
      </c>
      <c r="DT2273" s="64">
        <f>$Q2273-$Q2274</f>
        <v/>
      </c>
      <c r="DU2273" s="64">
        <f>$S2273-$S2274</f>
        <v/>
      </c>
      <c r="DV2273" s="65">
        <f>IFERROR(AVERAGE($AA2274/$AA2273-1,$AB2274/$AB2273-1,$AC2274/$AC2273-1,$AD2274/$AD2273-1,$AE2274/$AE2273-1,$AG2274/$AG2273-1,$AH2274/$AH2273-1,$AI2274/$AI2273-1,$AJ2274/$AJ2273-1,$AL2274/$AL2273-1,$AM2274/$AM2273-1,$AR2274/$AR2273-1,$AS2274/$AS2273-1,$AT2274/$AT2273-1,$AU2274/$AU2273-1,$AV2274/$AV2273-1,$AW2274/$AW2273-1,$AX2274/$AX2273-1,$AY2274/$AY2273-1),"")</f>
        <v/>
      </c>
      <c r="DW2273" s="66">
        <f>AVERAGE($CB2273,$CC2273,$CD2273,$CE2273,$CF2273,$CG2273,$CH2273,$CI2273,$CJ2273,$CL2273,$CM2273,$CN2273,$CO2273,$CP2273,$CQ2273,$CR2273,$CS2273,$CT2273)</f>
        <v/>
      </c>
      <c r="DX2273" s="66">
        <f>AVERAGE($CB2273,$CC2273,$CM2273,$CE2273,$CP2273)</f>
        <v/>
      </c>
      <c r="DY2273" s="64">
        <f>($DW2273-$DW2274)*100</f>
        <v/>
      </c>
      <c r="DZ2273" s="64">
        <f>($DX2273-$DX2274)*100</f>
        <v/>
      </c>
      <c r="EA2273" s="64">
        <f>($DW2273-$D2273)*100</f>
        <v/>
      </c>
      <c r="EB2273" s="64">
        <f>$Q2273-$O2273</f>
        <v/>
      </c>
      <c r="EC2273" s="67">
        <f>IFERROR($Q2273/$P2273,"")</f>
        <v/>
      </c>
    </row>
    <row r="2274">
      <c r="DG2274" s="64">
        <f>($B2274-$B2275)*100</f>
        <v/>
      </c>
      <c r="DH2274" s="64">
        <f>($D2274-$D2275)*100</f>
        <v/>
      </c>
      <c r="DI2274" s="64">
        <f>($E2274-$E2275)*100</f>
        <v/>
      </c>
      <c r="DJ2274" s="64">
        <f>($H2274-$H2275)*100</f>
        <v/>
      </c>
      <c r="DK2274" s="65">
        <f>IFERROR($J2274/$J2275-1,"")</f>
        <v/>
      </c>
      <c r="DL2274" s="64">
        <f>$L2274-$L2275</f>
        <v/>
      </c>
      <c r="DM2274" s="64">
        <f>$K2274-$K2275</f>
        <v/>
      </c>
      <c r="DN2274" s="65">
        <f>IFERROR($N2274/$N2275-1,"")</f>
        <v/>
      </c>
      <c r="DO2274" s="65">
        <f>IFERROR($M2274/$M2275-1,"")</f>
        <v/>
      </c>
      <c r="DP2274" s="65">
        <f>IFERROR($AZ2274/$AZ2275-1,"")</f>
        <v/>
      </c>
      <c r="DQ2274" s="65">
        <f>IFERROR($BA2274/$BA2275-1,"")</f>
        <v/>
      </c>
      <c r="DR2274" s="64">
        <f>$O2274-$O2275</f>
        <v/>
      </c>
      <c r="DS2274" s="64">
        <f>$P2274-$P2275</f>
        <v/>
      </c>
      <c r="DT2274" s="64">
        <f>$Q2274-$Q2275</f>
        <v/>
      </c>
      <c r="DU2274" s="64">
        <f>$S2274-$S2275</f>
        <v/>
      </c>
      <c r="DV2274" s="65">
        <f>IFERROR(AVERAGE($AA2275/$AA2274-1,$AB2275/$AB2274-1,$AC2275/$AC2274-1,$AD2275/$AD2274-1,$AE2275/$AE2274-1,$AG2275/$AG2274-1,$AH2275/$AH2274-1,$AI2275/$AI2274-1,$AJ2275/$AJ2274-1,$AL2275/$AL2274-1,$AM2275/$AM2274-1,$AR2275/$AR2274-1,$AS2275/$AS2274-1,$AT2275/$AT2274-1,$AU2275/$AU2274-1,$AV2275/$AV2274-1,$AW2275/$AW2274-1,$AX2275/$AX2274-1,$AY2275/$AY2274-1),"")</f>
        <v/>
      </c>
      <c r="DW2274" s="66">
        <f>AVERAGE($CB2274,$CC2274,$CD2274,$CE2274,$CF2274,$CG2274,$CH2274,$CI2274,$CJ2274,$CL2274,$CM2274,$CN2274,$CO2274,$CP2274,$CQ2274,$CR2274,$CS2274,$CT2274)</f>
        <v/>
      </c>
      <c r="DX2274" s="66">
        <f>AVERAGE($CB2274,$CC2274,$CM2274,$CE2274,$CP2274)</f>
        <v/>
      </c>
      <c r="DY2274" s="64">
        <f>($DW2274-$DW2275)*100</f>
        <v/>
      </c>
      <c r="DZ2274" s="64">
        <f>($DX2274-$DX2275)*100</f>
        <v/>
      </c>
      <c r="EA2274" s="64">
        <f>($DW2274-$D2274)*100</f>
        <v/>
      </c>
      <c r="EB2274" s="64">
        <f>$Q2274-$O2274</f>
        <v/>
      </c>
      <c r="EC2274" s="67">
        <f>IFERROR($Q2274/$P2274,"")</f>
        <v/>
      </c>
    </row>
    <row r="2275">
      <c r="DG2275" s="64">
        <f>($B2275-$B2276)*100</f>
        <v/>
      </c>
      <c r="DH2275" s="64">
        <f>($D2275-$D2276)*100</f>
        <v/>
      </c>
      <c r="DI2275" s="64">
        <f>($E2275-$E2276)*100</f>
        <v/>
      </c>
      <c r="DJ2275" s="64">
        <f>($H2275-$H2276)*100</f>
        <v/>
      </c>
      <c r="DK2275" s="65">
        <f>IFERROR($J2275/$J2276-1,"")</f>
        <v/>
      </c>
      <c r="DL2275" s="64">
        <f>$L2275-$L2276</f>
        <v/>
      </c>
      <c r="DM2275" s="64">
        <f>$K2275-$K2276</f>
        <v/>
      </c>
      <c r="DN2275" s="65">
        <f>IFERROR($N2275/$N2276-1,"")</f>
        <v/>
      </c>
      <c r="DO2275" s="65">
        <f>IFERROR($M2275/$M2276-1,"")</f>
        <v/>
      </c>
      <c r="DP2275" s="65">
        <f>IFERROR($AZ2275/$AZ2276-1,"")</f>
        <v/>
      </c>
      <c r="DQ2275" s="65">
        <f>IFERROR($BA2275/$BA2276-1,"")</f>
        <v/>
      </c>
      <c r="DR2275" s="64">
        <f>$O2275-$O2276</f>
        <v/>
      </c>
      <c r="DS2275" s="64">
        <f>$P2275-$P2276</f>
        <v/>
      </c>
      <c r="DT2275" s="64">
        <f>$Q2275-$Q2276</f>
        <v/>
      </c>
      <c r="DU2275" s="64">
        <f>$S2275-$S2276</f>
        <v/>
      </c>
      <c r="DV2275" s="65">
        <f>IFERROR(AVERAGE($AA2276/$AA2275-1,$AB2276/$AB2275-1,$AC2276/$AC2275-1,$AD2276/$AD2275-1,$AE2276/$AE2275-1,$AG2276/$AG2275-1,$AH2276/$AH2275-1,$AI2276/$AI2275-1,$AJ2276/$AJ2275-1,$AL2276/$AL2275-1,$AM2276/$AM2275-1,$AR2276/$AR2275-1,$AS2276/$AS2275-1,$AT2276/$AT2275-1,$AU2276/$AU2275-1,$AV2276/$AV2275-1,$AW2276/$AW2275-1,$AX2276/$AX2275-1,$AY2276/$AY2275-1),"")</f>
        <v/>
      </c>
      <c r="DW2275" s="66">
        <f>AVERAGE($CB2275,$CC2275,$CD2275,$CE2275,$CF2275,$CG2275,$CH2275,$CI2275,$CJ2275,$CL2275,$CM2275,$CN2275,$CO2275,$CP2275,$CQ2275,$CR2275,$CS2275,$CT2275)</f>
        <v/>
      </c>
      <c r="DX2275" s="66">
        <f>AVERAGE($CB2275,$CC2275,$CM2275,$CE2275,$CP2275)</f>
        <v/>
      </c>
      <c r="DY2275" s="64">
        <f>($DW2275-$DW2276)*100</f>
        <v/>
      </c>
      <c r="DZ2275" s="64">
        <f>($DX2275-$DX2276)*100</f>
        <v/>
      </c>
      <c r="EA2275" s="64">
        <f>($DW2275-$D2275)*100</f>
        <v/>
      </c>
      <c r="EB2275" s="64">
        <f>$Q2275-$O2275</f>
        <v/>
      </c>
      <c r="EC2275" s="67">
        <f>IFERROR($Q2275/$P2275,"")</f>
        <v/>
      </c>
    </row>
    <row r="2276">
      <c r="DG2276" s="64">
        <f>($B2276-$B2277)*100</f>
        <v/>
      </c>
      <c r="DH2276" s="64">
        <f>($D2276-$D2277)*100</f>
        <v/>
      </c>
      <c r="DI2276" s="64">
        <f>($E2276-$E2277)*100</f>
        <v/>
      </c>
      <c r="DJ2276" s="64">
        <f>($H2276-$H2277)*100</f>
        <v/>
      </c>
      <c r="DK2276" s="65">
        <f>IFERROR($J2276/$J2277-1,"")</f>
        <v/>
      </c>
      <c r="DL2276" s="64">
        <f>$L2276-$L2277</f>
        <v/>
      </c>
      <c r="DM2276" s="64">
        <f>$K2276-$K2277</f>
        <v/>
      </c>
      <c r="DN2276" s="65">
        <f>IFERROR($N2276/$N2277-1,"")</f>
        <v/>
      </c>
      <c r="DO2276" s="65">
        <f>IFERROR($M2276/$M2277-1,"")</f>
        <v/>
      </c>
      <c r="DP2276" s="65">
        <f>IFERROR($AZ2276/$AZ2277-1,"")</f>
        <v/>
      </c>
      <c r="DQ2276" s="65">
        <f>IFERROR($BA2276/$BA2277-1,"")</f>
        <v/>
      </c>
      <c r="DR2276" s="64">
        <f>$O2276-$O2277</f>
        <v/>
      </c>
      <c r="DS2276" s="64">
        <f>$P2276-$P2277</f>
        <v/>
      </c>
      <c r="DT2276" s="64">
        <f>$Q2276-$Q2277</f>
        <v/>
      </c>
      <c r="DU2276" s="64">
        <f>$S2276-$S2277</f>
        <v/>
      </c>
      <c r="DV2276" s="65">
        <f>IFERROR(AVERAGE($AA2277/$AA2276-1,$AB2277/$AB2276-1,$AC2277/$AC2276-1,$AD2277/$AD2276-1,$AE2277/$AE2276-1,$AG2277/$AG2276-1,$AH2277/$AH2276-1,$AI2277/$AI2276-1,$AJ2277/$AJ2276-1,$AL2277/$AL2276-1,$AM2277/$AM2276-1,$AR2277/$AR2276-1,$AS2277/$AS2276-1,$AT2277/$AT2276-1,$AU2277/$AU2276-1,$AV2277/$AV2276-1,$AW2277/$AW2276-1,$AX2277/$AX2276-1,$AY2277/$AY2276-1),"")</f>
        <v/>
      </c>
      <c r="DW2276" s="66">
        <f>AVERAGE($CB2276,$CC2276,$CD2276,$CE2276,$CF2276,$CG2276,$CH2276,$CI2276,$CJ2276,$CL2276,$CM2276,$CN2276,$CO2276,$CP2276,$CQ2276,$CR2276,$CS2276,$CT2276)</f>
        <v/>
      </c>
      <c r="DX2276" s="66">
        <f>AVERAGE($CB2276,$CC2276,$CM2276,$CE2276,$CP2276)</f>
        <v/>
      </c>
      <c r="DY2276" s="64">
        <f>($DW2276-$DW2277)*100</f>
        <v/>
      </c>
      <c r="DZ2276" s="64">
        <f>($DX2276-$DX2277)*100</f>
        <v/>
      </c>
      <c r="EA2276" s="64">
        <f>($DW2276-$D2276)*100</f>
        <v/>
      </c>
      <c r="EB2276" s="64">
        <f>$Q2276-$O2276</f>
        <v/>
      </c>
      <c r="EC2276" s="67">
        <f>IFERROR($Q2276/$P2276,"")</f>
        <v/>
      </c>
    </row>
    <row r="2277">
      <c r="DG2277" s="64">
        <f>($B2277-$B2278)*100</f>
        <v/>
      </c>
      <c r="DH2277" s="64">
        <f>($D2277-$D2278)*100</f>
        <v/>
      </c>
      <c r="DI2277" s="64">
        <f>($E2277-$E2278)*100</f>
        <v/>
      </c>
      <c r="DJ2277" s="64">
        <f>($H2277-$H2278)*100</f>
        <v/>
      </c>
      <c r="DK2277" s="65">
        <f>IFERROR($J2277/$J2278-1,"")</f>
        <v/>
      </c>
      <c r="DL2277" s="64">
        <f>$L2277-$L2278</f>
        <v/>
      </c>
      <c r="DM2277" s="64">
        <f>$K2277-$K2278</f>
        <v/>
      </c>
      <c r="DN2277" s="65">
        <f>IFERROR($N2277/$N2278-1,"")</f>
        <v/>
      </c>
      <c r="DO2277" s="65">
        <f>IFERROR($M2277/$M2278-1,"")</f>
        <v/>
      </c>
      <c r="DP2277" s="65">
        <f>IFERROR($AZ2277/$AZ2278-1,"")</f>
        <v/>
      </c>
      <c r="DQ2277" s="65">
        <f>IFERROR($BA2277/$BA2278-1,"")</f>
        <v/>
      </c>
      <c r="DR2277" s="64">
        <f>$O2277-$O2278</f>
        <v/>
      </c>
      <c r="DS2277" s="64">
        <f>$P2277-$P2278</f>
        <v/>
      </c>
      <c r="DT2277" s="64">
        <f>$Q2277-$Q2278</f>
        <v/>
      </c>
      <c r="DU2277" s="64">
        <f>$S2277-$S2278</f>
        <v/>
      </c>
      <c r="DV2277" s="65">
        <f>IFERROR(AVERAGE($AA2278/$AA2277-1,$AB2278/$AB2277-1,$AC2278/$AC2277-1,$AD2278/$AD2277-1,$AE2278/$AE2277-1,$AG2278/$AG2277-1,$AH2278/$AH2277-1,$AI2278/$AI2277-1,$AJ2278/$AJ2277-1,$AL2278/$AL2277-1,$AM2278/$AM2277-1,$AR2278/$AR2277-1,$AS2278/$AS2277-1,$AT2278/$AT2277-1,$AU2278/$AU2277-1,$AV2278/$AV2277-1,$AW2278/$AW2277-1,$AX2278/$AX2277-1,$AY2278/$AY2277-1),"")</f>
        <v/>
      </c>
      <c r="DW2277" s="66">
        <f>AVERAGE($CB2277,$CC2277,$CD2277,$CE2277,$CF2277,$CG2277,$CH2277,$CI2277,$CJ2277,$CL2277,$CM2277,$CN2277,$CO2277,$CP2277,$CQ2277,$CR2277,$CS2277,$CT2277)</f>
        <v/>
      </c>
      <c r="DX2277" s="66">
        <f>AVERAGE($CB2277,$CC2277,$CM2277,$CE2277,$CP2277)</f>
        <v/>
      </c>
      <c r="DY2277" s="64">
        <f>($DW2277-$DW2278)*100</f>
        <v/>
      </c>
      <c r="DZ2277" s="64">
        <f>($DX2277-$DX2278)*100</f>
        <v/>
      </c>
      <c r="EA2277" s="64">
        <f>($DW2277-$D2277)*100</f>
        <v/>
      </c>
      <c r="EB2277" s="64">
        <f>$Q2277-$O2277</f>
        <v/>
      </c>
      <c r="EC2277" s="67">
        <f>IFERROR($Q2277/$P2277,"")</f>
        <v/>
      </c>
    </row>
    <row r="2278">
      <c r="DG2278" s="64">
        <f>($B2278-$B2279)*100</f>
        <v/>
      </c>
      <c r="DH2278" s="64">
        <f>($D2278-$D2279)*100</f>
        <v/>
      </c>
      <c r="DI2278" s="64">
        <f>($E2278-$E2279)*100</f>
        <v/>
      </c>
      <c r="DJ2278" s="64">
        <f>($H2278-$H2279)*100</f>
        <v/>
      </c>
      <c r="DK2278" s="65">
        <f>IFERROR($J2278/$J2279-1,"")</f>
        <v/>
      </c>
      <c r="DL2278" s="64">
        <f>$L2278-$L2279</f>
        <v/>
      </c>
      <c r="DM2278" s="64">
        <f>$K2278-$K2279</f>
        <v/>
      </c>
      <c r="DN2278" s="65">
        <f>IFERROR($N2278/$N2279-1,"")</f>
        <v/>
      </c>
      <c r="DO2278" s="65">
        <f>IFERROR($M2278/$M2279-1,"")</f>
        <v/>
      </c>
      <c r="DP2278" s="65">
        <f>IFERROR($AZ2278/$AZ2279-1,"")</f>
        <v/>
      </c>
      <c r="DQ2278" s="65">
        <f>IFERROR($BA2278/$BA2279-1,"")</f>
        <v/>
      </c>
      <c r="DR2278" s="64">
        <f>$O2278-$O2279</f>
        <v/>
      </c>
      <c r="DS2278" s="64">
        <f>$P2278-$P2279</f>
        <v/>
      </c>
      <c r="DT2278" s="64">
        <f>$Q2278-$Q2279</f>
        <v/>
      </c>
      <c r="DU2278" s="64">
        <f>$S2278-$S2279</f>
        <v/>
      </c>
      <c r="DV2278" s="65">
        <f>IFERROR(AVERAGE($AA2279/$AA2278-1,$AB2279/$AB2278-1,$AC2279/$AC2278-1,$AD2279/$AD2278-1,$AE2279/$AE2278-1,$AG2279/$AG2278-1,$AH2279/$AH2278-1,$AI2279/$AI2278-1,$AJ2279/$AJ2278-1,$AL2279/$AL2278-1,$AM2279/$AM2278-1,$AR2279/$AR2278-1,$AS2279/$AS2278-1,$AT2279/$AT2278-1,$AU2279/$AU2278-1,$AV2279/$AV2278-1,$AW2279/$AW2278-1,$AX2279/$AX2278-1,$AY2279/$AY2278-1),"")</f>
        <v/>
      </c>
      <c r="DW2278" s="66">
        <f>AVERAGE($CB2278,$CC2278,$CD2278,$CE2278,$CF2278,$CG2278,$CH2278,$CI2278,$CJ2278,$CL2278,$CM2278,$CN2278,$CO2278,$CP2278,$CQ2278,$CR2278,$CS2278,$CT2278)</f>
        <v/>
      </c>
      <c r="DX2278" s="66">
        <f>AVERAGE($CB2278,$CC2278,$CM2278,$CE2278,$CP2278)</f>
        <v/>
      </c>
      <c r="DY2278" s="64">
        <f>($DW2278-$DW2279)*100</f>
        <v/>
      </c>
      <c r="DZ2278" s="64">
        <f>($DX2278-$DX2279)*100</f>
        <v/>
      </c>
      <c r="EA2278" s="64">
        <f>($DW2278-$D2278)*100</f>
        <v/>
      </c>
      <c r="EB2278" s="64">
        <f>$Q2278-$O2278</f>
        <v/>
      </c>
      <c r="EC2278" s="67">
        <f>IFERROR($Q2278/$P2278,"")</f>
        <v/>
      </c>
    </row>
    <row r="2279">
      <c r="DG2279" s="64">
        <f>($B2279-$B2280)*100</f>
        <v/>
      </c>
      <c r="DH2279" s="64">
        <f>($D2279-$D2280)*100</f>
        <v/>
      </c>
      <c r="DI2279" s="64">
        <f>($E2279-$E2280)*100</f>
        <v/>
      </c>
      <c r="DJ2279" s="64">
        <f>($H2279-$H2280)*100</f>
        <v/>
      </c>
      <c r="DK2279" s="65">
        <f>IFERROR($J2279/$J2280-1,"")</f>
        <v/>
      </c>
      <c r="DL2279" s="64">
        <f>$L2279-$L2280</f>
        <v/>
      </c>
      <c r="DM2279" s="64">
        <f>$K2279-$K2280</f>
        <v/>
      </c>
      <c r="DN2279" s="65">
        <f>IFERROR($N2279/$N2280-1,"")</f>
        <v/>
      </c>
      <c r="DO2279" s="65">
        <f>IFERROR($M2279/$M2280-1,"")</f>
        <v/>
      </c>
      <c r="DP2279" s="65">
        <f>IFERROR($AZ2279/$AZ2280-1,"")</f>
        <v/>
      </c>
      <c r="DQ2279" s="65">
        <f>IFERROR($BA2279/$BA2280-1,"")</f>
        <v/>
      </c>
      <c r="DR2279" s="64">
        <f>$O2279-$O2280</f>
        <v/>
      </c>
      <c r="DS2279" s="64">
        <f>$P2279-$P2280</f>
        <v/>
      </c>
      <c r="DT2279" s="64">
        <f>$Q2279-$Q2280</f>
        <v/>
      </c>
      <c r="DU2279" s="64">
        <f>$S2279-$S2280</f>
        <v/>
      </c>
      <c r="DV2279" s="65">
        <f>IFERROR(AVERAGE($AA2280/$AA2279-1,$AB2280/$AB2279-1,$AC2280/$AC2279-1,$AD2280/$AD2279-1,$AE2280/$AE2279-1,$AG2280/$AG2279-1,$AH2280/$AH2279-1,$AI2280/$AI2279-1,$AJ2280/$AJ2279-1,$AL2280/$AL2279-1,$AM2280/$AM2279-1,$AR2280/$AR2279-1,$AS2280/$AS2279-1,$AT2280/$AT2279-1,$AU2280/$AU2279-1,$AV2280/$AV2279-1,$AW2280/$AW2279-1,$AX2280/$AX2279-1,$AY2280/$AY2279-1),"")</f>
        <v/>
      </c>
      <c r="DW2279" s="66">
        <f>AVERAGE($CB2279,$CC2279,$CD2279,$CE2279,$CF2279,$CG2279,$CH2279,$CI2279,$CJ2279,$CL2279,$CM2279,$CN2279,$CO2279,$CP2279,$CQ2279,$CR2279,$CS2279,$CT2279)</f>
        <v/>
      </c>
      <c r="DX2279" s="66">
        <f>AVERAGE($CB2279,$CC2279,$CM2279,$CE2279,$CP2279)</f>
        <v/>
      </c>
      <c r="DY2279" s="64">
        <f>($DW2279-$DW2280)*100</f>
        <v/>
      </c>
      <c r="DZ2279" s="64">
        <f>($DX2279-$DX2280)*100</f>
        <v/>
      </c>
      <c r="EA2279" s="64">
        <f>($DW2279-$D2279)*100</f>
        <v/>
      </c>
      <c r="EB2279" s="64">
        <f>$Q2279-$O2279</f>
        <v/>
      </c>
      <c r="EC2279" s="67">
        <f>IFERROR($Q2279/$P2279,"")</f>
        <v/>
      </c>
    </row>
    <row r="2280">
      <c r="DG2280" s="64">
        <f>($B2280-$B2281)*100</f>
        <v/>
      </c>
      <c r="DH2280" s="64">
        <f>($D2280-$D2281)*100</f>
        <v/>
      </c>
      <c r="DI2280" s="64">
        <f>($E2280-$E2281)*100</f>
        <v/>
      </c>
      <c r="DJ2280" s="64">
        <f>($H2280-$H2281)*100</f>
        <v/>
      </c>
      <c r="DK2280" s="65">
        <f>IFERROR($J2280/$J2281-1,"")</f>
        <v/>
      </c>
      <c r="DL2280" s="64">
        <f>$L2280-$L2281</f>
        <v/>
      </c>
      <c r="DM2280" s="64">
        <f>$K2280-$K2281</f>
        <v/>
      </c>
      <c r="DN2280" s="65">
        <f>IFERROR($N2280/$N2281-1,"")</f>
        <v/>
      </c>
      <c r="DO2280" s="65">
        <f>IFERROR($M2280/$M2281-1,"")</f>
        <v/>
      </c>
      <c r="DP2280" s="65">
        <f>IFERROR($AZ2280/$AZ2281-1,"")</f>
        <v/>
      </c>
      <c r="DQ2280" s="65">
        <f>IFERROR($BA2280/$BA2281-1,"")</f>
        <v/>
      </c>
      <c r="DR2280" s="64">
        <f>$O2280-$O2281</f>
        <v/>
      </c>
      <c r="DS2280" s="64">
        <f>$P2280-$P2281</f>
        <v/>
      </c>
      <c r="DT2280" s="64">
        <f>$Q2280-$Q2281</f>
        <v/>
      </c>
      <c r="DU2280" s="64">
        <f>$S2280-$S2281</f>
        <v/>
      </c>
      <c r="DV2280" s="65">
        <f>IFERROR(AVERAGE($AA2281/$AA2280-1,$AB2281/$AB2280-1,$AC2281/$AC2280-1,$AD2281/$AD2280-1,$AE2281/$AE2280-1,$AG2281/$AG2280-1,$AH2281/$AH2280-1,$AI2281/$AI2280-1,$AJ2281/$AJ2280-1,$AL2281/$AL2280-1,$AM2281/$AM2280-1,$AR2281/$AR2280-1,$AS2281/$AS2280-1,$AT2281/$AT2280-1,$AU2281/$AU2280-1,$AV2281/$AV2280-1,$AW2281/$AW2280-1,$AX2281/$AX2280-1,$AY2281/$AY2280-1),"")</f>
        <v/>
      </c>
      <c r="DW2280" s="66">
        <f>AVERAGE($CB2280,$CC2280,$CD2280,$CE2280,$CF2280,$CG2280,$CH2280,$CI2280,$CJ2280,$CL2280,$CM2280,$CN2280,$CO2280,$CP2280,$CQ2280,$CR2280,$CS2280,$CT2280)</f>
        <v/>
      </c>
      <c r="DX2280" s="66">
        <f>AVERAGE($CB2280,$CC2280,$CM2280,$CE2280,$CP2280)</f>
        <v/>
      </c>
      <c r="DY2280" s="64">
        <f>($DW2280-$DW2281)*100</f>
        <v/>
      </c>
      <c r="DZ2280" s="64">
        <f>($DX2280-$DX2281)*100</f>
        <v/>
      </c>
      <c r="EA2280" s="64">
        <f>($DW2280-$D2280)*100</f>
        <v/>
      </c>
      <c r="EB2280" s="64">
        <f>$Q2280-$O2280</f>
        <v/>
      </c>
      <c r="EC2280" s="67">
        <f>IFERROR($Q2280/$P2280,"")</f>
        <v/>
      </c>
    </row>
    <row r="2281">
      <c r="DG2281" s="64">
        <f>($B2281-$B2282)*100</f>
        <v/>
      </c>
      <c r="DH2281" s="64">
        <f>($D2281-$D2282)*100</f>
        <v/>
      </c>
      <c r="DI2281" s="64">
        <f>($E2281-$E2282)*100</f>
        <v/>
      </c>
      <c r="DJ2281" s="64">
        <f>($H2281-$H2282)*100</f>
        <v/>
      </c>
      <c r="DK2281" s="65">
        <f>IFERROR($J2281/$J2282-1,"")</f>
        <v/>
      </c>
      <c r="DL2281" s="64">
        <f>$L2281-$L2282</f>
        <v/>
      </c>
      <c r="DM2281" s="64">
        <f>$K2281-$K2282</f>
        <v/>
      </c>
      <c r="DN2281" s="65">
        <f>IFERROR($N2281/$N2282-1,"")</f>
        <v/>
      </c>
      <c r="DO2281" s="65">
        <f>IFERROR($M2281/$M2282-1,"")</f>
        <v/>
      </c>
      <c r="DP2281" s="65">
        <f>IFERROR($AZ2281/$AZ2282-1,"")</f>
        <v/>
      </c>
      <c r="DQ2281" s="65">
        <f>IFERROR($BA2281/$BA2282-1,"")</f>
        <v/>
      </c>
      <c r="DR2281" s="64">
        <f>$O2281-$O2282</f>
        <v/>
      </c>
      <c r="DS2281" s="64">
        <f>$P2281-$P2282</f>
        <v/>
      </c>
      <c r="DT2281" s="64">
        <f>$Q2281-$Q2282</f>
        <v/>
      </c>
      <c r="DU2281" s="64">
        <f>$S2281-$S2282</f>
        <v/>
      </c>
      <c r="DV2281" s="65">
        <f>IFERROR(AVERAGE($AA2282/$AA2281-1,$AB2282/$AB2281-1,$AC2282/$AC2281-1,$AD2282/$AD2281-1,$AE2282/$AE2281-1,$AG2282/$AG2281-1,$AH2282/$AH2281-1,$AI2282/$AI2281-1,$AJ2282/$AJ2281-1,$AL2282/$AL2281-1,$AM2282/$AM2281-1,$AR2282/$AR2281-1,$AS2282/$AS2281-1,$AT2282/$AT2281-1,$AU2282/$AU2281-1,$AV2282/$AV2281-1,$AW2282/$AW2281-1,$AX2282/$AX2281-1,$AY2282/$AY2281-1),"")</f>
        <v/>
      </c>
      <c r="DW2281" s="66">
        <f>AVERAGE($CB2281,$CC2281,$CD2281,$CE2281,$CF2281,$CG2281,$CH2281,$CI2281,$CJ2281,$CL2281,$CM2281,$CN2281,$CO2281,$CP2281,$CQ2281,$CR2281,$CS2281,$CT2281)</f>
        <v/>
      </c>
      <c r="DX2281" s="66">
        <f>AVERAGE($CB2281,$CC2281,$CM2281,$CE2281,$CP2281)</f>
        <v/>
      </c>
      <c r="DY2281" s="64">
        <f>($DW2281-$DW2282)*100</f>
        <v/>
      </c>
      <c r="DZ2281" s="64">
        <f>($DX2281-$DX2282)*100</f>
        <v/>
      </c>
      <c r="EA2281" s="64">
        <f>($DW2281-$D2281)*100</f>
        <v/>
      </c>
      <c r="EB2281" s="64">
        <f>$Q2281-$O2281</f>
        <v/>
      </c>
      <c r="EC2281" s="67">
        <f>IFERROR($Q2281/$P2281,"")</f>
        <v/>
      </c>
    </row>
    <row r="2282">
      <c r="DG2282" s="64">
        <f>($B2282-$B2283)*100</f>
        <v/>
      </c>
      <c r="DH2282" s="64">
        <f>($D2282-$D2283)*100</f>
        <v/>
      </c>
      <c r="DI2282" s="64">
        <f>($E2282-$E2283)*100</f>
        <v/>
      </c>
      <c r="DJ2282" s="64">
        <f>($H2282-$H2283)*100</f>
        <v/>
      </c>
      <c r="DK2282" s="65">
        <f>IFERROR($J2282/$J2283-1,"")</f>
        <v/>
      </c>
      <c r="DL2282" s="64">
        <f>$L2282-$L2283</f>
        <v/>
      </c>
      <c r="DM2282" s="64">
        <f>$K2282-$K2283</f>
        <v/>
      </c>
      <c r="DN2282" s="65">
        <f>IFERROR($N2282/$N2283-1,"")</f>
        <v/>
      </c>
      <c r="DO2282" s="65">
        <f>IFERROR($M2282/$M2283-1,"")</f>
        <v/>
      </c>
      <c r="DP2282" s="65">
        <f>IFERROR($AZ2282/$AZ2283-1,"")</f>
        <v/>
      </c>
      <c r="DQ2282" s="65">
        <f>IFERROR($BA2282/$BA2283-1,"")</f>
        <v/>
      </c>
      <c r="DR2282" s="64">
        <f>$O2282-$O2283</f>
        <v/>
      </c>
      <c r="DS2282" s="64">
        <f>$P2282-$P2283</f>
        <v/>
      </c>
      <c r="DT2282" s="64">
        <f>$Q2282-$Q2283</f>
        <v/>
      </c>
      <c r="DU2282" s="64">
        <f>$S2282-$S2283</f>
        <v/>
      </c>
      <c r="DV2282" s="65">
        <f>IFERROR(AVERAGE($AA2283/$AA2282-1,$AB2283/$AB2282-1,$AC2283/$AC2282-1,$AD2283/$AD2282-1,$AE2283/$AE2282-1,$AG2283/$AG2282-1,$AH2283/$AH2282-1,$AI2283/$AI2282-1,$AJ2283/$AJ2282-1,$AL2283/$AL2282-1,$AM2283/$AM2282-1,$AR2283/$AR2282-1,$AS2283/$AS2282-1,$AT2283/$AT2282-1,$AU2283/$AU2282-1,$AV2283/$AV2282-1,$AW2283/$AW2282-1,$AX2283/$AX2282-1,$AY2283/$AY2282-1),"")</f>
        <v/>
      </c>
      <c r="DW2282" s="66">
        <f>AVERAGE($CB2282,$CC2282,$CD2282,$CE2282,$CF2282,$CG2282,$CH2282,$CI2282,$CJ2282,$CL2282,$CM2282,$CN2282,$CO2282,$CP2282,$CQ2282,$CR2282,$CS2282,$CT2282)</f>
        <v/>
      </c>
      <c r="DX2282" s="66">
        <f>AVERAGE($CB2282,$CC2282,$CM2282,$CE2282,$CP2282)</f>
        <v/>
      </c>
      <c r="DY2282" s="64">
        <f>($DW2282-$DW2283)*100</f>
        <v/>
      </c>
      <c r="DZ2282" s="64">
        <f>($DX2282-$DX2283)*100</f>
        <v/>
      </c>
      <c r="EA2282" s="64">
        <f>($DW2282-$D2282)*100</f>
        <v/>
      </c>
      <c r="EB2282" s="64">
        <f>$Q2282-$O2282</f>
        <v/>
      </c>
      <c r="EC2282" s="67">
        <f>IFERROR($Q2282/$P2282,"")</f>
        <v/>
      </c>
    </row>
    <row r="2283">
      <c r="DG2283" s="64">
        <f>($B2283-$B2284)*100</f>
        <v/>
      </c>
      <c r="DH2283" s="64">
        <f>($D2283-$D2284)*100</f>
        <v/>
      </c>
      <c r="DI2283" s="64">
        <f>($E2283-$E2284)*100</f>
        <v/>
      </c>
      <c r="DJ2283" s="64">
        <f>($H2283-$H2284)*100</f>
        <v/>
      </c>
      <c r="DK2283" s="65">
        <f>IFERROR($J2283/$J2284-1,"")</f>
        <v/>
      </c>
      <c r="DL2283" s="64">
        <f>$L2283-$L2284</f>
        <v/>
      </c>
      <c r="DM2283" s="64">
        <f>$K2283-$K2284</f>
        <v/>
      </c>
      <c r="DN2283" s="65">
        <f>IFERROR($N2283/$N2284-1,"")</f>
        <v/>
      </c>
      <c r="DO2283" s="65">
        <f>IFERROR($M2283/$M2284-1,"")</f>
        <v/>
      </c>
      <c r="DP2283" s="65">
        <f>IFERROR($AZ2283/$AZ2284-1,"")</f>
        <v/>
      </c>
      <c r="DQ2283" s="65">
        <f>IFERROR($BA2283/$BA2284-1,"")</f>
        <v/>
      </c>
      <c r="DR2283" s="64">
        <f>$O2283-$O2284</f>
        <v/>
      </c>
      <c r="DS2283" s="64">
        <f>$P2283-$P2284</f>
        <v/>
      </c>
      <c r="DT2283" s="64">
        <f>$Q2283-$Q2284</f>
        <v/>
      </c>
      <c r="DU2283" s="64">
        <f>$S2283-$S2284</f>
        <v/>
      </c>
      <c r="DV2283" s="65">
        <f>IFERROR(AVERAGE($AA2284/$AA2283-1,$AB2284/$AB2283-1,$AC2284/$AC2283-1,$AD2284/$AD2283-1,$AE2284/$AE2283-1,$AG2284/$AG2283-1,$AH2284/$AH2283-1,$AI2284/$AI2283-1,$AJ2284/$AJ2283-1,$AL2284/$AL2283-1,$AM2284/$AM2283-1,$AR2284/$AR2283-1,$AS2284/$AS2283-1,$AT2284/$AT2283-1,$AU2284/$AU2283-1,$AV2284/$AV2283-1,$AW2284/$AW2283-1,$AX2284/$AX2283-1,$AY2284/$AY2283-1),"")</f>
        <v/>
      </c>
      <c r="DW2283" s="66">
        <f>AVERAGE($CB2283,$CC2283,$CD2283,$CE2283,$CF2283,$CG2283,$CH2283,$CI2283,$CJ2283,$CL2283,$CM2283,$CN2283,$CO2283,$CP2283,$CQ2283,$CR2283,$CS2283,$CT2283)</f>
        <v/>
      </c>
      <c r="DX2283" s="66">
        <f>AVERAGE($CB2283,$CC2283,$CM2283,$CE2283,$CP2283)</f>
        <v/>
      </c>
      <c r="DY2283" s="64">
        <f>($DW2283-$DW2284)*100</f>
        <v/>
      </c>
      <c r="DZ2283" s="64">
        <f>($DX2283-$DX2284)*100</f>
        <v/>
      </c>
      <c r="EA2283" s="64">
        <f>($DW2283-$D2283)*100</f>
        <v/>
      </c>
      <c r="EB2283" s="64">
        <f>$Q2283-$O2283</f>
        <v/>
      </c>
      <c r="EC2283" s="67">
        <f>IFERROR($Q2283/$P2283,"")</f>
        <v/>
      </c>
    </row>
    <row r="2284">
      <c r="DG2284" s="64">
        <f>($B2284-$B2285)*100</f>
        <v/>
      </c>
      <c r="DH2284" s="64">
        <f>($D2284-$D2285)*100</f>
        <v/>
      </c>
      <c r="DI2284" s="64">
        <f>($E2284-$E2285)*100</f>
        <v/>
      </c>
      <c r="DJ2284" s="64">
        <f>($H2284-$H2285)*100</f>
        <v/>
      </c>
      <c r="DK2284" s="65">
        <f>IFERROR($J2284/$J2285-1,"")</f>
        <v/>
      </c>
      <c r="DL2284" s="64">
        <f>$L2284-$L2285</f>
        <v/>
      </c>
      <c r="DM2284" s="64">
        <f>$K2284-$K2285</f>
        <v/>
      </c>
      <c r="DN2284" s="65">
        <f>IFERROR($N2284/$N2285-1,"")</f>
        <v/>
      </c>
      <c r="DO2284" s="65">
        <f>IFERROR($M2284/$M2285-1,"")</f>
        <v/>
      </c>
      <c r="DP2284" s="65">
        <f>IFERROR($AZ2284/$AZ2285-1,"")</f>
        <v/>
      </c>
      <c r="DQ2284" s="65">
        <f>IFERROR($BA2284/$BA2285-1,"")</f>
        <v/>
      </c>
      <c r="DR2284" s="64">
        <f>$O2284-$O2285</f>
        <v/>
      </c>
      <c r="DS2284" s="64">
        <f>$P2284-$P2285</f>
        <v/>
      </c>
      <c r="DT2284" s="64">
        <f>$Q2284-$Q2285</f>
        <v/>
      </c>
      <c r="DU2284" s="64">
        <f>$S2284-$S2285</f>
        <v/>
      </c>
      <c r="DV2284" s="65">
        <f>IFERROR(AVERAGE($AA2285/$AA2284-1,$AB2285/$AB2284-1,$AC2285/$AC2284-1,$AD2285/$AD2284-1,$AE2285/$AE2284-1,$AG2285/$AG2284-1,$AH2285/$AH2284-1,$AI2285/$AI2284-1,$AJ2285/$AJ2284-1,$AL2285/$AL2284-1,$AM2285/$AM2284-1,$AR2285/$AR2284-1,$AS2285/$AS2284-1,$AT2285/$AT2284-1,$AU2285/$AU2284-1,$AV2285/$AV2284-1,$AW2285/$AW2284-1,$AX2285/$AX2284-1,$AY2285/$AY2284-1),"")</f>
        <v/>
      </c>
      <c r="DW2284" s="66">
        <f>AVERAGE($CB2284,$CC2284,$CD2284,$CE2284,$CF2284,$CG2284,$CH2284,$CI2284,$CJ2284,$CL2284,$CM2284,$CN2284,$CO2284,$CP2284,$CQ2284,$CR2284,$CS2284,$CT2284)</f>
        <v/>
      </c>
      <c r="DX2284" s="66">
        <f>AVERAGE($CB2284,$CC2284,$CM2284,$CE2284,$CP2284)</f>
        <v/>
      </c>
      <c r="DY2284" s="64">
        <f>($DW2284-$DW2285)*100</f>
        <v/>
      </c>
      <c r="DZ2284" s="64">
        <f>($DX2284-$DX2285)*100</f>
        <v/>
      </c>
      <c r="EA2284" s="64">
        <f>($DW2284-$D2284)*100</f>
        <v/>
      </c>
      <c r="EB2284" s="64">
        <f>$Q2284-$O2284</f>
        <v/>
      </c>
      <c r="EC2284" s="67">
        <f>IFERROR($Q2284/$P2284,"")</f>
        <v/>
      </c>
    </row>
    <row r="2285">
      <c r="DG2285" s="64">
        <f>($B2285-$B2286)*100</f>
        <v/>
      </c>
      <c r="DH2285" s="64">
        <f>($D2285-$D2286)*100</f>
        <v/>
      </c>
      <c r="DI2285" s="64">
        <f>($E2285-$E2286)*100</f>
        <v/>
      </c>
      <c r="DJ2285" s="64">
        <f>($H2285-$H2286)*100</f>
        <v/>
      </c>
      <c r="DK2285" s="65">
        <f>IFERROR($J2285/$J2286-1,"")</f>
        <v/>
      </c>
      <c r="DL2285" s="64">
        <f>$L2285-$L2286</f>
        <v/>
      </c>
      <c r="DM2285" s="64">
        <f>$K2285-$K2286</f>
        <v/>
      </c>
      <c r="DN2285" s="65">
        <f>IFERROR($N2285/$N2286-1,"")</f>
        <v/>
      </c>
      <c r="DO2285" s="65">
        <f>IFERROR($M2285/$M2286-1,"")</f>
        <v/>
      </c>
      <c r="DP2285" s="65">
        <f>IFERROR($AZ2285/$AZ2286-1,"")</f>
        <v/>
      </c>
      <c r="DQ2285" s="65">
        <f>IFERROR($BA2285/$BA2286-1,"")</f>
        <v/>
      </c>
      <c r="DR2285" s="64">
        <f>$O2285-$O2286</f>
        <v/>
      </c>
      <c r="DS2285" s="64">
        <f>$P2285-$P2286</f>
        <v/>
      </c>
      <c r="DT2285" s="64">
        <f>$Q2285-$Q2286</f>
        <v/>
      </c>
      <c r="DU2285" s="64">
        <f>$S2285-$S2286</f>
        <v/>
      </c>
      <c r="DV2285" s="65">
        <f>IFERROR(AVERAGE($AA2286/$AA2285-1,$AB2286/$AB2285-1,$AC2286/$AC2285-1,$AD2286/$AD2285-1,$AE2286/$AE2285-1,$AG2286/$AG2285-1,$AH2286/$AH2285-1,$AI2286/$AI2285-1,$AJ2286/$AJ2285-1,$AL2286/$AL2285-1,$AM2286/$AM2285-1,$AR2286/$AR2285-1,$AS2286/$AS2285-1,$AT2286/$AT2285-1,$AU2286/$AU2285-1,$AV2286/$AV2285-1,$AW2286/$AW2285-1,$AX2286/$AX2285-1,$AY2286/$AY2285-1),"")</f>
        <v/>
      </c>
      <c r="DW2285" s="66">
        <f>AVERAGE($CB2285,$CC2285,$CD2285,$CE2285,$CF2285,$CG2285,$CH2285,$CI2285,$CJ2285,$CL2285,$CM2285,$CN2285,$CO2285,$CP2285,$CQ2285,$CR2285,$CS2285,$CT2285)</f>
        <v/>
      </c>
      <c r="DX2285" s="66">
        <f>AVERAGE($CB2285,$CC2285,$CM2285,$CE2285,$CP2285)</f>
        <v/>
      </c>
      <c r="DY2285" s="64">
        <f>($DW2285-$DW2286)*100</f>
        <v/>
      </c>
      <c r="DZ2285" s="64">
        <f>($DX2285-$DX2286)*100</f>
        <v/>
      </c>
      <c r="EA2285" s="64">
        <f>($DW2285-$D2285)*100</f>
        <v/>
      </c>
      <c r="EB2285" s="64">
        <f>$Q2285-$O2285</f>
        <v/>
      </c>
      <c r="EC2285" s="67">
        <f>IFERROR($Q2285/$P2285,"")</f>
        <v/>
      </c>
    </row>
    <row r="2286">
      <c r="DG2286" s="64">
        <f>($B2286-$B2287)*100</f>
        <v/>
      </c>
      <c r="DH2286" s="64">
        <f>($D2286-$D2287)*100</f>
        <v/>
      </c>
      <c r="DI2286" s="64">
        <f>($E2286-$E2287)*100</f>
        <v/>
      </c>
      <c r="DJ2286" s="64">
        <f>($H2286-$H2287)*100</f>
        <v/>
      </c>
      <c r="DK2286" s="65">
        <f>IFERROR($J2286/$J2287-1,"")</f>
        <v/>
      </c>
      <c r="DL2286" s="64">
        <f>$L2286-$L2287</f>
        <v/>
      </c>
      <c r="DM2286" s="64">
        <f>$K2286-$K2287</f>
        <v/>
      </c>
      <c r="DN2286" s="65">
        <f>IFERROR($N2286/$N2287-1,"")</f>
        <v/>
      </c>
      <c r="DO2286" s="65">
        <f>IFERROR($M2286/$M2287-1,"")</f>
        <v/>
      </c>
      <c r="DP2286" s="65">
        <f>IFERROR($AZ2286/$AZ2287-1,"")</f>
        <v/>
      </c>
      <c r="DQ2286" s="65">
        <f>IFERROR($BA2286/$BA2287-1,"")</f>
        <v/>
      </c>
      <c r="DR2286" s="64">
        <f>$O2286-$O2287</f>
        <v/>
      </c>
      <c r="DS2286" s="64">
        <f>$P2286-$P2287</f>
        <v/>
      </c>
      <c r="DT2286" s="64">
        <f>$Q2286-$Q2287</f>
        <v/>
      </c>
      <c r="DU2286" s="64">
        <f>$S2286-$S2287</f>
        <v/>
      </c>
      <c r="DV2286" s="65">
        <f>IFERROR(AVERAGE($AA2287/$AA2286-1,$AB2287/$AB2286-1,$AC2287/$AC2286-1,$AD2287/$AD2286-1,$AE2287/$AE2286-1,$AG2287/$AG2286-1,$AH2287/$AH2286-1,$AI2287/$AI2286-1,$AJ2287/$AJ2286-1,$AL2287/$AL2286-1,$AM2287/$AM2286-1,$AR2287/$AR2286-1,$AS2287/$AS2286-1,$AT2287/$AT2286-1,$AU2287/$AU2286-1,$AV2287/$AV2286-1,$AW2287/$AW2286-1,$AX2287/$AX2286-1,$AY2287/$AY2286-1),"")</f>
        <v/>
      </c>
      <c r="DW2286" s="66">
        <f>AVERAGE($CB2286,$CC2286,$CD2286,$CE2286,$CF2286,$CG2286,$CH2286,$CI2286,$CJ2286,$CL2286,$CM2286,$CN2286,$CO2286,$CP2286,$CQ2286,$CR2286,$CS2286,$CT2286)</f>
        <v/>
      </c>
      <c r="DX2286" s="66">
        <f>AVERAGE($CB2286,$CC2286,$CM2286,$CE2286,$CP2286)</f>
        <v/>
      </c>
      <c r="DY2286" s="64">
        <f>($DW2286-$DW2287)*100</f>
        <v/>
      </c>
      <c r="DZ2286" s="64">
        <f>($DX2286-$DX2287)*100</f>
        <v/>
      </c>
      <c r="EA2286" s="64">
        <f>($DW2286-$D2286)*100</f>
        <v/>
      </c>
      <c r="EB2286" s="64">
        <f>$Q2286-$O2286</f>
        <v/>
      </c>
      <c r="EC2286" s="67">
        <f>IFERROR($Q2286/$P2286,"")</f>
        <v/>
      </c>
    </row>
    <row r="2287">
      <c r="DG2287" s="64">
        <f>($B2287-$B2288)*100</f>
        <v/>
      </c>
      <c r="DH2287" s="64">
        <f>($D2287-$D2288)*100</f>
        <v/>
      </c>
      <c r="DI2287" s="64">
        <f>($E2287-$E2288)*100</f>
        <v/>
      </c>
      <c r="DJ2287" s="64">
        <f>($H2287-$H2288)*100</f>
        <v/>
      </c>
      <c r="DK2287" s="65">
        <f>IFERROR($J2287/$J2288-1,"")</f>
        <v/>
      </c>
      <c r="DL2287" s="64">
        <f>$L2287-$L2288</f>
        <v/>
      </c>
      <c r="DM2287" s="64">
        <f>$K2287-$K2288</f>
        <v/>
      </c>
      <c r="DN2287" s="65">
        <f>IFERROR($N2287/$N2288-1,"")</f>
        <v/>
      </c>
      <c r="DO2287" s="65">
        <f>IFERROR($M2287/$M2288-1,"")</f>
        <v/>
      </c>
      <c r="DP2287" s="65">
        <f>IFERROR($AZ2287/$AZ2288-1,"")</f>
        <v/>
      </c>
      <c r="DQ2287" s="65">
        <f>IFERROR($BA2287/$BA2288-1,"")</f>
        <v/>
      </c>
      <c r="DR2287" s="64">
        <f>$O2287-$O2288</f>
        <v/>
      </c>
      <c r="DS2287" s="64">
        <f>$P2287-$P2288</f>
        <v/>
      </c>
      <c r="DT2287" s="64">
        <f>$Q2287-$Q2288</f>
        <v/>
      </c>
      <c r="DU2287" s="64">
        <f>$S2287-$S2288</f>
        <v/>
      </c>
      <c r="DV2287" s="65">
        <f>IFERROR(AVERAGE($AA2288/$AA2287-1,$AB2288/$AB2287-1,$AC2288/$AC2287-1,$AD2288/$AD2287-1,$AE2288/$AE2287-1,$AG2288/$AG2287-1,$AH2288/$AH2287-1,$AI2288/$AI2287-1,$AJ2288/$AJ2287-1,$AL2288/$AL2287-1,$AM2288/$AM2287-1,$AR2288/$AR2287-1,$AS2288/$AS2287-1,$AT2288/$AT2287-1,$AU2288/$AU2287-1,$AV2288/$AV2287-1,$AW2288/$AW2287-1,$AX2288/$AX2287-1,$AY2288/$AY2287-1),"")</f>
        <v/>
      </c>
      <c r="DW2287" s="66">
        <f>AVERAGE($CB2287,$CC2287,$CD2287,$CE2287,$CF2287,$CG2287,$CH2287,$CI2287,$CJ2287,$CL2287,$CM2287,$CN2287,$CO2287,$CP2287,$CQ2287,$CR2287,$CS2287,$CT2287)</f>
        <v/>
      </c>
      <c r="DX2287" s="66">
        <f>AVERAGE($CB2287,$CC2287,$CM2287,$CE2287,$CP2287)</f>
        <v/>
      </c>
      <c r="DY2287" s="64">
        <f>($DW2287-$DW2288)*100</f>
        <v/>
      </c>
      <c r="DZ2287" s="64">
        <f>($DX2287-$DX2288)*100</f>
        <v/>
      </c>
      <c r="EA2287" s="64">
        <f>($DW2287-$D2287)*100</f>
        <v/>
      </c>
      <c r="EB2287" s="64">
        <f>$Q2287-$O2287</f>
        <v/>
      </c>
      <c r="EC2287" s="67">
        <f>IFERROR($Q2287/$P2287,"")</f>
        <v/>
      </c>
    </row>
    <row r="2288">
      <c r="DG2288" s="64">
        <f>($B2288-$B2289)*100</f>
        <v/>
      </c>
      <c r="DH2288" s="64">
        <f>($D2288-$D2289)*100</f>
        <v/>
      </c>
      <c r="DI2288" s="64">
        <f>($E2288-$E2289)*100</f>
        <v/>
      </c>
      <c r="DJ2288" s="64">
        <f>($H2288-$H2289)*100</f>
        <v/>
      </c>
      <c r="DK2288" s="65">
        <f>IFERROR($J2288/$J2289-1,"")</f>
        <v/>
      </c>
      <c r="DL2288" s="64">
        <f>$L2288-$L2289</f>
        <v/>
      </c>
      <c r="DM2288" s="64">
        <f>$K2288-$K2289</f>
        <v/>
      </c>
      <c r="DN2288" s="65">
        <f>IFERROR($N2288/$N2289-1,"")</f>
        <v/>
      </c>
      <c r="DO2288" s="65">
        <f>IFERROR($M2288/$M2289-1,"")</f>
        <v/>
      </c>
      <c r="DP2288" s="65">
        <f>IFERROR($AZ2288/$AZ2289-1,"")</f>
        <v/>
      </c>
      <c r="DQ2288" s="65">
        <f>IFERROR($BA2288/$BA2289-1,"")</f>
        <v/>
      </c>
      <c r="DR2288" s="64">
        <f>$O2288-$O2289</f>
        <v/>
      </c>
      <c r="DS2288" s="64">
        <f>$P2288-$P2289</f>
        <v/>
      </c>
      <c r="DT2288" s="64">
        <f>$Q2288-$Q2289</f>
        <v/>
      </c>
      <c r="DU2288" s="64">
        <f>$S2288-$S2289</f>
        <v/>
      </c>
      <c r="DV2288" s="65">
        <f>IFERROR(AVERAGE($AA2289/$AA2288-1,$AB2289/$AB2288-1,$AC2289/$AC2288-1,$AD2289/$AD2288-1,$AE2289/$AE2288-1,$AG2289/$AG2288-1,$AH2289/$AH2288-1,$AI2289/$AI2288-1,$AJ2289/$AJ2288-1,$AL2289/$AL2288-1,$AM2289/$AM2288-1,$AR2289/$AR2288-1,$AS2289/$AS2288-1,$AT2289/$AT2288-1,$AU2289/$AU2288-1,$AV2289/$AV2288-1,$AW2289/$AW2288-1,$AX2289/$AX2288-1,$AY2289/$AY2288-1),"")</f>
        <v/>
      </c>
      <c r="DW2288" s="66">
        <f>AVERAGE($CB2288,$CC2288,$CD2288,$CE2288,$CF2288,$CG2288,$CH2288,$CI2288,$CJ2288,$CL2288,$CM2288,$CN2288,$CO2288,$CP2288,$CQ2288,$CR2288,$CS2288,$CT2288)</f>
        <v/>
      </c>
      <c r="DX2288" s="66">
        <f>AVERAGE($CB2288,$CC2288,$CM2288,$CE2288,$CP2288)</f>
        <v/>
      </c>
      <c r="DY2288" s="64">
        <f>($DW2288-$DW2289)*100</f>
        <v/>
      </c>
      <c r="DZ2288" s="64">
        <f>($DX2288-$DX2289)*100</f>
        <v/>
      </c>
      <c r="EA2288" s="64">
        <f>($DW2288-$D2288)*100</f>
        <v/>
      </c>
      <c r="EB2288" s="64">
        <f>$Q2288-$O2288</f>
        <v/>
      </c>
      <c r="EC2288" s="67">
        <f>IFERROR($Q2288/$P2288,"")</f>
        <v/>
      </c>
    </row>
    <row r="2289">
      <c r="DG2289" s="64">
        <f>($B2289-$B2290)*100</f>
        <v/>
      </c>
      <c r="DH2289" s="64">
        <f>($D2289-$D2290)*100</f>
        <v/>
      </c>
      <c r="DI2289" s="64">
        <f>($E2289-$E2290)*100</f>
        <v/>
      </c>
      <c r="DJ2289" s="64">
        <f>($H2289-$H2290)*100</f>
        <v/>
      </c>
      <c r="DK2289" s="65">
        <f>IFERROR($J2289/$J2290-1,"")</f>
        <v/>
      </c>
      <c r="DL2289" s="64">
        <f>$L2289-$L2290</f>
        <v/>
      </c>
      <c r="DM2289" s="64">
        <f>$K2289-$K2290</f>
        <v/>
      </c>
      <c r="DN2289" s="65">
        <f>IFERROR($N2289/$N2290-1,"")</f>
        <v/>
      </c>
      <c r="DO2289" s="65">
        <f>IFERROR($M2289/$M2290-1,"")</f>
        <v/>
      </c>
      <c r="DP2289" s="65">
        <f>IFERROR($AZ2289/$AZ2290-1,"")</f>
        <v/>
      </c>
      <c r="DQ2289" s="65">
        <f>IFERROR($BA2289/$BA2290-1,"")</f>
        <v/>
      </c>
      <c r="DR2289" s="64">
        <f>$O2289-$O2290</f>
        <v/>
      </c>
      <c r="DS2289" s="64">
        <f>$P2289-$P2290</f>
        <v/>
      </c>
      <c r="DT2289" s="64">
        <f>$Q2289-$Q2290</f>
        <v/>
      </c>
      <c r="DU2289" s="64">
        <f>$S2289-$S2290</f>
        <v/>
      </c>
      <c r="DV2289" s="65">
        <f>IFERROR(AVERAGE($AA2290/$AA2289-1,$AB2290/$AB2289-1,$AC2290/$AC2289-1,$AD2290/$AD2289-1,$AE2290/$AE2289-1,$AG2290/$AG2289-1,$AH2290/$AH2289-1,$AI2290/$AI2289-1,$AJ2290/$AJ2289-1,$AL2290/$AL2289-1,$AM2290/$AM2289-1,$AR2290/$AR2289-1,$AS2290/$AS2289-1,$AT2290/$AT2289-1,$AU2290/$AU2289-1,$AV2290/$AV2289-1,$AW2290/$AW2289-1,$AX2290/$AX2289-1,$AY2290/$AY2289-1),"")</f>
        <v/>
      </c>
      <c r="DW2289" s="66">
        <f>AVERAGE($CB2289,$CC2289,$CD2289,$CE2289,$CF2289,$CG2289,$CH2289,$CI2289,$CJ2289,$CL2289,$CM2289,$CN2289,$CO2289,$CP2289,$CQ2289,$CR2289,$CS2289,$CT2289)</f>
        <v/>
      </c>
      <c r="DX2289" s="66">
        <f>AVERAGE($CB2289,$CC2289,$CM2289,$CE2289,$CP2289)</f>
        <v/>
      </c>
      <c r="DY2289" s="64">
        <f>($DW2289-$DW2290)*100</f>
        <v/>
      </c>
      <c r="DZ2289" s="64">
        <f>($DX2289-$DX2290)*100</f>
        <v/>
      </c>
      <c r="EA2289" s="64">
        <f>($DW2289-$D2289)*100</f>
        <v/>
      </c>
      <c r="EB2289" s="64">
        <f>$Q2289-$O2289</f>
        <v/>
      </c>
      <c r="EC2289" s="67">
        <f>IFERROR($Q2289/$P2289,"")</f>
        <v/>
      </c>
    </row>
    <row r="2290">
      <c r="DG2290" s="64">
        <f>($B2290-$B2291)*100</f>
        <v/>
      </c>
      <c r="DH2290" s="64">
        <f>($D2290-$D2291)*100</f>
        <v/>
      </c>
      <c r="DI2290" s="64">
        <f>($E2290-$E2291)*100</f>
        <v/>
      </c>
      <c r="DJ2290" s="64">
        <f>($H2290-$H2291)*100</f>
        <v/>
      </c>
      <c r="DK2290" s="65">
        <f>IFERROR($J2290/$J2291-1,"")</f>
        <v/>
      </c>
      <c r="DL2290" s="64">
        <f>$L2290-$L2291</f>
        <v/>
      </c>
      <c r="DM2290" s="64">
        <f>$K2290-$K2291</f>
        <v/>
      </c>
      <c r="DN2290" s="65">
        <f>IFERROR($N2290/$N2291-1,"")</f>
        <v/>
      </c>
      <c r="DO2290" s="65">
        <f>IFERROR($M2290/$M2291-1,"")</f>
        <v/>
      </c>
      <c r="DP2290" s="65">
        <f>IFERROR($AZ2290/$AZ2291-1,"")</f>
        <v/>
      </c>
      <c r="DQ2290" s="65">
        <f>IFERROR($BA2290/$BA2291-1,"")</f>
        <v/>
      </c>
      <c r="DR2290" s="64">
        <f>$O2290-$O2291</f>
        <v/>
      </c>
      <c r="DS2290" s="64">
        <f>$P2290-$P2291</f>
        <v/>
      </c>
      <c r="DT2290" s="64">
        <f>$Q2290-$Q2291</f>
        <v/>
      </c>
      <c r="DU2290" s="64">
        <f>$S2290-$S2291</f>
        <v/>
      </c>
      <c r="DV2290" s="65">
        <f>IFERROR(AVERAGE($AA2291/$AA2290-1,$AB2291/$AB2290-1,$AC2291/$AC2290-1,$AD2291/$AD2290-1,$AE2291/$AE2290-1,$AG2291/$AG2290-1,$AH2291/$AH2290-1,$AI2291/$AI2290-1,$AJ2291/$AJ2290-1,$AL2291/$AL2290-1,$AM2291/$AM2290-1,$AR2291/$AR2290-1,$AS2291/$AS2290-1,$AT2291/$AT2290-1,$AU2291/$AU2290-1,$AV2291/$AV2290-1,$AW2291/$AW2290-1,$AX2291/$AX2290-1,$AY2291/$AY2290-1),"")</f>
        <v/>
      </c>
      <c r="DW2290" s="66">
        <f>AVERAGE($CB2290,$CC2290,$CD2290,$CE2290,$CF2290,$CG2290,$CH2290,$CI2290,$CJ2290,$CL2290,$CM2290,$CN2290,$CO2290,$CP2290,$CQ2290,$CR2290,$CS2290,$CT2290)</f>
        <v/>
      </c>
      <c r="DX2290" s="66">
        <f>AVERAGE($CB2290,$CC2290,$CM2290,$CE2290,$CP2290)</f>
        <v/>
      </c>
      <c r="DY2290" s="64">
        <f>($DW2290-$DW2291)*100</f>
        <v/>
      </c>
      <c r="DZ2290" s="64">
        <f>($DX2290-$DX2291)*100</f>
        <v/>
      </c>
      <c r="EA2290" s="64">
        <f>($DW2290-$D2290)*100</f>
        <v/>
      </c>
      <c r="EB2290" s="64">
        <f>$Q2290-$O2290</f>
        <v/>
      </c>
      <c r="EC2290" s="67">
        <f>IFERROR($Q2290/$P2290,"")</f>
        <v/>
      </c>
    </row>
    <row r="2291">
      <c r="DG2291" s="64">
        <f>($B2291-$B2292)*100</f>
        <v/>
      </c>
      <c r="DH2291" s="64">
        <f>($D2291-$D2292)*100</f>
        <v/>
      </c>
      <c r="DI2291" s="64">
        <f>($E2291-$E2292)*100</f>
        <v/>
      </c>
      <c r="DJ2291" s="64">
        <f>($H2291-$H2292)*100</f>
        <v/>
      </c>
      <c r="DK2291" s="65">
        <f>IFERROR($J2291/$J2292-1,"")</f>
        <v/>
      </c>
      <c r="DL2291" s="64">
        <f>$L2291-$L2292</f>
        <v/>
      </c>
      <c r="DM2291" s="64">
        <f>$K2291-$K2292</f>
        <v/>
      </c>
      <c r="DN2291" s="65">
        <f>IFERROR($N2291/$N2292-1,"")</f>
        <v/>
      </c>
      <c r="DO2291" s="65">
        <f>IFERROR($M2291/$M2292-1,"")</f>
        <v/>
      </c>
      <c r="DP2291" s="65">
        <f>IFERROR($AZ2291/$AZ2292-1,"")</f>
        <v/>
      </c>
      <c r="DQ2291" s="65">
        <f>IFERROR($BA2291/$BA2292-1,"")</f>
        <v/>
      </c>
      <c r="DR2291" s="64">
        <f>$O2291-$O2292</f>
        <v/>
      </c>
      <c r="DS2291" s="64">
        <f>$P2291-$P2292</f>
        <v/>
      </c>
      <c r="DT2291" s="64">
        <f>$Q2291-$Q2292</f>
        <v/>
      </c>
      <c r="DU2291" s="64">
        <f>$S2291-$S2292</f>
        <v/>
      </c>
      <c r="DV2291" s="65">
        <f>IFERROR(AVERAGE($AA2292/$AA2291-1,$AB2292/$AB2291-1,$AC2292/$AC2291-1,$AD2292/$AD2291-1,$AE2292/$AE2291-1,$AG2292/$AG2291-1,$AH2292/$AH2291-1,$AI2292/$AI2291-1,$AJ2292/$AJ2291-1,$AL2292/$AL2291-1,$AM2292/$AM2291-1,$AR2292/$AR2291-1,$AS2292/$AS2291-1,$AT2292/$AT2291-1,$AU2292/$AU2291-1,$AV2292/$AV2291-1,$AW2292/$AW2291-1,$AX2292/$AX2291-1,$AY2292/$AY2291-1),"")</f>
        <v/>
      </c>
      <c r="DW2291" s="66">
        <f>AVERAGE($CB2291,$CC2291,$CD2291,$CE2291,$CF2291,$CG2291,$CH2291,$CI2291,$CJ2291,$CL2291,$CM2291,$CN2291,$CO2291,$CP2291,$CQ2291,$CR2291,$CS2291,$CT2291)</f>
        <v/>
      </c>
      <c r="DX2291" s="66">
        <f>AVERAGE($CB2291,$CC2291,$CM2291,$CE2291,$CP2291)</f>
        <v/>
      </c>
      <c r="DY2291" s="64">
        <f>($DW2291-$DW2292)*100</f>
        <v/>
      </c>
      <c r="DZ2291" s="64">
        <f>($DX2291-$DX2292)*100</f>
        <v/>
      </c>
      <c r="EA2291" s="64">
        <f>($DW2291-$D2291)*100</f>
        <v/>
      </c>
      <c r="EB2291" s="64">
        <f>$Q2291-$O2291</f>
        <v/>
      </c>
      <c r="EC2291" s="67">
        <f>IFERROR($Q2291/$P2291,"")</f>
        <v/>
      </c>
    </row>
    <row r="2292">
      <c r="DG2292" s="64">
        <f>($B2292-$B2293)*100</f>
        <v/>
      </c>
      <c r="DH2292" s="64">
        <f>($D2292-$D2293)*100</f>
        <v/>
      </c>
      <c r="DI2292" s="64">
        <f>($E2292-$E2293)*100</f>
        <v/>
      </c>
      <c r="DJ2292" s="64">
        <f>($H2292-$H2293)*100</f>
        <v/>
      </c>
      <c r="DK2292" s="65">
        <f>IFERROR($J2292/$J2293-1,"")</f>
        <v/>
      </c>
      <c r="DL2292" s="64">
        <f>$L2292-$L2293</f>
        <v/>
      </c>
      <c r="DM2292" s="64">
        <f>$K2292-$K2293</f>
        <v/>
      </c>
      <c r="DN2292" s="65">
        <f>IFERROR($N2292/$N2293-1,"")</f>
        <v/>
      </c>
      <c r="DO2292" s="65">
        <f>IFERROR($M2292/$M2293-1,"")</f>
        <v/>
      </c>
      <c r="DP2292" s="65">
        <f>IFERROR($AZ2292/$AZ2293-1,"")</f>
        <v/>
      </c>
      <c r="DQ2292" s="65">
        <f>IFERROR($BA2292/$BA2293-1,"")</f>
        <v/>
      </c>
      <c r="DR2292" s="64">
        <f>$O2292-$O2293</f>
        <v/>
      </c>
      <c r="DS2292" s="64">
        <f>$P2292-$P2293</f>
        <v/>
      </c>
      <c r="DT2292" s="64">
        <f>$Q2292-$Q2293</f>
        <v/>
      </c>
      <c r="DU2292" s="64">
        <f>$S2292-$S2293</f>
        <v/>
      </c>
      <c r="DV2292" s="65">
        <f>IFERROR(AVERAGE($AA2293/$AA2292-1,$AB2293/$AB2292-1,$AC2293/$AC2292-1,$AD2293/$AD2292-1,$AE2293/$AE2292-1,$AG2293/$AG2292-1,$AH2293/$AH2292-1,$AI2293/$AI2292-1,$AJ2293/$AJ2292-1,$AL2293/$AL2292-1,$AM2293/$AM2292-1,$AR2293/$AR2292-1,$AS2293/$AS2292-1,$AT2293/$AT2292-1,$AU2293/$AU2292-1,$AV2293/$AV2292-1,$AW2293/$AW2292-1,$AX2293/$AX2292-1,$AY2293/$AY2292-1),"")</f>
        <v/>
      </c>
      <c r="DW2292" s="66">
        <f>AVERAGE($CB2292,$CC2292,$CD2292,$CE2292,$CF2292,$CG2292,$CH2292,$CI2292,$CJ2292,$CL2292,$CM2292,$CN2292,$CO2292,$CP2292,$CQ2292,$CR2292,$CS2292,$CT2292)</f>
        <v/>
      </c>
      <c r="DX2292" s="66">
        <f>AVERAGE($CB2292,$CC2292,$CM2292,$CE2292,$CP2292)</f>
        <v/>
      </c>
      <c r="DY2292" s="64">
        <f>($DW2292-$DW2293)*100</f>
        <v/>
      </c>
      <c r="DZ2292" s="64">
        <f>($DX2292-$DX2293)*100</f>
        <v/>
      </c>
      <c r="EA2292" s="64">
        <f>($DW2292-$D2292)*100</f>
        <v/>
      </c>
      <c r="EB2292" s="64">
        <f>$Q2292-$O2292</f>
        <v/>
      </c>
      <c r="EC2292" s="67">
        <f>IFERROR($Q2292/$P2292,"")</f>
        <v/>
      </c>
    </row>
    <row r="2293">
      <c r="DG2293" s="64">
        <f>($B2293-$B2294)*100</f>
        <v/>
      </c>
      <c r="DH2293" s="64">
        <f>($D2293-$D2294)*100</f>
        <v/>
      </c>
      <c r="DI2293" s="64">
        <f>($E2293-$E2294)*100</f>
        <v/>
      </c>
      <c r="DJ2293" s="64">
        <f>($H2293-$H2294)*100</f>
        <v/>
      </c>
      <c r="DK2293" s="65">
        <f>IFERROR($J2293/$J2294-1,"")</f>
        <v/>
      </c>
      <c r="DL2293" s="64">
        <f>$L2293-$L2294</f>
        <v/>
      </c>
      <c r="DM2293" s="64">
        <f>$K2293-$K2294</f>
        <v/>
      </c>
      <c r="DN2293" s="65">
        <f>IFERROR($N2293/$N2294-1,"")</f>
        <v/>
      </c>
      <c r="DO2293" s="65">
        <f>IFERROR($M2293/$M2294-1,"")</f>
        <v/>
      </c>
      <c r="DP2293" s="65">
        <f>IFERROR($AZ2293/$AZ2294-1,"")</f>
        <v/>
      </c>
      <c r="DQ2293" s="65">
        <f>IFERROR($BA2293/$BA2294-1,"")</f>
        <v/>
      </c>
      <c r="DR2293" s="64">
        <f>$O2293-$O2294</f>
        <v/>
      </c>
      <c r="DS2293" s="64">
        <f>$P2293-$P2294</f>
        <v/>
      </c>
      <c r="DT2293" s="64">
        <f>$Q2293-$Q2294</f>
        <v/>
      </c>
      <c r="DU2293" s="64">
        <f>$S2293-$S2294</f>
        <v/>
      </c>
      <c r="DV2293" s="65">
        <f>IFERROR(AVERAGE($AA2294/$AA2293-1,$AB2294/$AB2293-1,$AC2294/$AC2293-1,$AD2294/$AD2293-1,$AE2294/$AE2293-1,$AG2294/$AG2293-1,$AH2294/$AH2293-1,$AI2294/$AI2293-1,$AJ2294/$AJ2293-1,$AL2294/$AL2293-1,$AM2294/$AM2293-1,$AR2294/$AR2293-1,$AS2294/$AS2293-1,$AT2294/$AT2293-1,$AU2294/$AU2293-1,$AV2294/$AV2293-1,$AW2294/$AW2293-1,$AX2294/$AX2293-1,$AY2294/$AY2293-1),"")</f>
        <v/>
      </c>
      <c r="DW2293" s="66">
        <f>AVERAGE($CB2293,$CC2293,$CD2293,$CE2293,$CF2293,$CG2293,$CH2293,$CI2293,$CJ2293,$CL2293,$CM2293,$CN2293,$CO2293,$CP2293,$CQ2293,$CR2293,$CS2293,$CT2293)</f>
        <v/>
      </c>
      <c r="DX2293" s="66">
        <f>AVERAGE($CB2293,$CC2293,$CM2293,$CE2293,$CP2293)</f>
        <v/>
      </c>
      <c r="DY2293" s="64">
        <f>($DW2293-$DW2294)*100</f>
        <v/>
      </c>
      <c r="DZ2293" s="64">
        <f>($DX2293-$DX2294)*100</f>
        <v/>
      </c>
      <c r="EA2293" s="64">
        <f>($DW2293-$D2293)*100</f>
        <v/>
      </c>
      <c r="EB2293" s="64">
        <f>$Q2293-$O2293</f>
        <v/>
      </c>
      <c r="EC2293" s="67">
        <f>IFERROR($Q2293/$P2293,"")</f>
        <v/>
      </c>
    </row>
    <row r="2294">
      <c r="DG2294" s="64">
        <f>($B2294-$B2295)*100</f>
        <v/>
      </c>
      <c r="DH2294" s="64">
        <f>($D2294-$D2295)*100</f>
        <v/>
      </c>
      <c r="DI2294" s="64">
        <f>($E2294-$E2295)*100</f>
        <v/>
      </c>
      <c r="DJ2294" s="64">
        <f>($H2294-$H2295)*100</f>
        <v/>
      </c>
      <c r="DK2294" s="65">
        <f>IFERROR($J2294/$J2295-1,"")</f>
        <v/>
      </c>
      <c r="DL2294" s="64">
        <f>$L2294-$L2295</f>
        <v/>
      </c>
      <c r="DM2294" s="64">
        <f>$K2294-$K2295</f>
        <v/>
      </c>
      <c r="DN2294" s="65">
        <f>IFERROR($N2294/$N2295-1,"")</f>
        <v/>
      </c>
      <c r="DO2294" s="65">
        <f>IFERROR($M2294/$M2295-1,"")</f>
        <v/>
      </c>
      <c r="DP2294" s="65">
        <f>IFERROR($AZ2294/$AZ2295-1,"")</f>
        <v/>
      </c>
      <c r="DQ2294" s="65">
        <f>IFERROR($BA2294/$BA2295-1,"")</f>
        <v/>
      </c>
      <c r="DR2294" s="64">
        <f>$O2294-$O2295</f>
        <v/>
      </c>
      <c r="DS2294" s="64">
        <f>$P2294-$P2295</f>
        <v/>
      </c>
      <c r="DT2294" s="64">
        <f>$Q2294-$Q2295</f>
        <v/>
      </c>
      <c r="DU2294" s="64">
        <f>$S2294-$S2295</f>
        <v/>
      </c>
      <c r="DV2294" s="65">
        <f>IFERROR(AVERAGE($AA2295/$AA2294-1,$AB2295/$AB2294-1,$AC2295/$AC2294-1,$AD2295/$AD2294-1,$AE2295/$AE2294-1,$AG2295/$AG2294-1,$AH2295/$AH2294-1,$AI2295/$AI2294-1,$AJ2295/$AJ2294-1,$AL2295/$AL2294-1,$AM2295/$AM2294-1,$AR2295/$AR2294-1,$AS2295/$AS2294-1,$AT2295/$AT2294-1,$AU2295/$AU2294-1,$AV2295/$AV2294-1,$AW2295/$AW2294-1,$AX2295/$AX2294-1,$AY2295/$AY2294-1),"")</f>
        <v/>
      </c>
      <c r="DW2294" s="66">
        <f>AVERAGE($CB2294,$CC2294,$CD2294,$CE2294,$CF2294,$CG2294,$CH2294,$CI2294,$CJ2294,$CL2294,$CM2294,$CN2294,$CO2294,$CP2294,$CQ2294,$CR2294,$CS2294,$CT2294)</f>
        <v/>
      </c>
      <c r="DX2294" s="66">
        <f>AVERAGE($CB2294,$CC2294,$CM2294,$CE2294,$CP2294)</f>
        <v/>
      </c>
      <c r="DY2294" s="64">
        <f>($DW2294-$DW2295)*100</f>
        <v/>
      </c>
      <c r="DZ2294" s="64">
        <f>($DX2294-$DX2295)*100</f>
        <v/>
      </c>
      <c r="EA2294" s="64">
        <f>($DW2294-$D2294)*100</f>
        <v/>
      </c>
      <c r="EB2294" s="64">
        <f>$Q2294-$O2294</f>
        <v/>
      </c>
      <c r="EC2294" s="67">
        <f>IFERROR($Q2294/$P2294,"")</f>
        <v/>
      </c>
    </row>
    <row r="2295">
      <c r="DG2295" s="64">
        <f>($B2295-$B2296)*100</f>
        <v/>
      </c>
      <c r="DH2295" s="64">
        <f>($D2295-$D2296)*100</f>
        <v/>
      </c>
      <c r="DI2295" s="64">
        <f>($E2295-$E2296)*100</f>
        <v/>
      </c>
      <c r="DJ2295" s="64">
        <f>($H2295-$H2296)*100</f>
        <v/>
      </c>
      <c r="DK2295" s="65">
        <f>IFERROR($J2295/$J2296-1,"")</f>
        <v/>
      </c>
      <c r="DL2295" s="64">
        <f>$L2295-$L2296</f>
        <v/>
      </c>
      <c r="DM2295" s="64">
        <f>$K2295-$K2296</f>
        <v/>
      </c>
      <c r="DN2295" s="65">
        <f>IFERROR($N2295/$N2296-1,"")</f>
        <v/>
      </c>
      <c r="DO2295" s="65">
        <f>IFERROR($M2295/$M2296-1,"")</f>
        <v/>
      </c>
      <c r="DP2295" s="65">
        <f>IFERROR($AZ2295/$AZ2296-1,"")</f>
        <v/>
      </c>
      <c r="DQ2295" s="65">
        <f>IFERROR($BA2295/$BA2296-1,"")</f>
        <v/>
      </c>
      <c r="DR2295" s="64">
        <f>$O2295-$O2296</f>
        <v/>
      </c>
      <c r="DS2295" s="64">
        <f>$P2295-$P2296</f>
        <v/>
      </c>
      <c r="DT2295" s="64">
        <f>$Q2295-$Q2296</f>
        <v/>
      </c>
      <c r="DU2295" s="64">
        <f>$S2295-$S2296</f>
        <v/>
      </c>
      <c r="DV2295" s="65">
        <f>IFERROR(AVERAGE($AA2296/$AA2295-1,$AB2296/$AB2295-1,$AC2296/$AC2295-1,$AD2296/$AD2295-1,$AE2296/$AE2295-1,$AG2296/$AG2295-1,$AH2296/$AH2295-1,$AI2296/$AI2295-1,$AJ2296/$AJ2295-1,$AL2296/$AL2295-1,$AM2296/$AM2295-1,$AR2296/$AR2295-1,$AS2296/$AS2295-1,$AT2296/$AT2295-1,$AU2296/$AU2295-1,$AV2296/$AV2295-1,$AW2296/$AW2295-1,$AX2296/$AX2295-1,$AY2296/$AY2295-1),"")</f>
        <v/>
      </c>
      <c r="DW2295" s="66">
        <f>AVERAGE($CB2295,$CC2295,$CD2295,$CE2295,$CF2295,$CG2295,$CH2295,$CI2295,$CJ2295,$CL2295,$CM2295,$CN2295,$CO2295,$CP2295,$CQ2295,$CR2295,$CS2295,$CT2295)</f>
        <v/>
      </c>
      <c r="DX2295" s="66">
        <f>AVERAGE($CB2295,$CC2295,$CM2295,$CE2295,$CP2295)</f>
        <v/>
      </c>
      <c r="DY2295" s="64">
        <f>($DW2295-$DW2296)*100</f>
        <v/>
      </c>
      <c r="DZ2295" s="64">
        <f>($DX2295-$DX2296)*100</f>
        <v/>
      </c>
      <c r="EA2295" s="64">
        <f>($DW2295-$D2295)*100</f>
        <v/>
      </c>
      <c r="EB2295" s="64">
        <f>$Q2295-$O2295</f>
        <v/>
      </c>
      <c r="EC2295" s="67">
        <f>IFERROR($Q2295/$P2295,"")</f>
        <v/>
      </c>
    </row>
    <row r="2296">
      <c r="DG2296" s="64">
        <f>($B2296-$B2297)*100</f>
        <v/>
      </c>
      <c r="DH2296" s="64">
        <f>($D2296-$D2297)*100</f>
        <v/>
      </c>
      <c r="DI2296" s="64">
        <f>($E2296-$E2297)*100</f>
        <v/>
      </c>
      <c r="DJ2296" s="64">
        <f>($H2296-$H2297)*100</f>
        <v/>
      </c>
      <c r="DK2296" s="65">
        <f>IFERROR($J2296/$J2297-1,"")</f>
        <v/>
      </c>
      <c r="DL2296" s="64">
        <f>$L2296-$L2297</f>
        <v/>
      </c>
      <c r="DM2296" s="64">
        <f>$K2296-$K2297</f>
        <v/>
      </c>
      <c r="DN2296" s="65">
        <f>IFERROR($N2296/$N2297-1,"")</f>
        <v/>
      </c>
      <c r="DO2296" s="65">
        <f>IFERROR($M2296/$M2297-1,"")</f>
        <v/>
      </c>
      <c r="DP2296" s="65">
        <f>IFERROR($AZ2296/$AZ2297-1,"")</f>
        <v/>
      </c>
      <c r="DQ2296" s="65">
        <f>IFERROR($BA2296/$BA2297-1,"")</f>
        <v/>
      </c>
      <c r="DR2296" s="64">
        <f>$O2296-$O2297</f>
        <v/>
      </c>
      <c r="DS2296" s="64">
        <f>$P2296-$P2297</f>
        <v/>
      </c>
      <c r="DT2296" s="64">
        <f>$Q2296-$Q2297</f>
        <v/>
      </c>
      <c r="DU2296" s="64">
        <f>$S2296-$S2297</f>
        <v/>
      </c>
      <c r="DV2296" s="65">
        <f>IFERROR(AVERAGE($AA2297/$AA2296-1,$AB2297/$AB2296-1,$AC2297/$AC2296-1,$AD2297/$AD2296-1,$AE2297/$AE2296-1,$AG2297/$AG2296-1,$AH2297/$AH2296-1,$AI2297/$AI2296-1,$AJ2297/$AJ2296-1,$AL2297/$AL2296-1,$AM2297/$AM2296-1,$AR2297/$AR2296-1,$AS2297/$AS2296-1,$AT2297/$AT2296-1,$AU2297/$AU2296-1,$AV2297/$AV2296-1,$AW2297/$AW2296-1,$AX2297/$AX2296-1,$AY2297/$AY2296-1),"")</f>
        <v/>
      </c>
      <c r="DW2296" s="66">
        <f>AVERAGE($CB2296,$CC2296,$CD2296,$CE2296,$CF2296,$CG2296,$CH2296,$CI2296,$CJ2296,$CL2296,$CM2296,$CN2296,$CO2296,$CP2296,$CQ2296,$CR2296,$CS2296,$CT2296)</f>
        <v/>
      </c>
      <c r="DX2296" s="66">
        <f>AVERAGE($CB2296,$CC2296,$CM2296,$CE2296,$CP2296)</f>
        <v/>
      </c>
      <c r="DY2296" s="64">
        <f>($DW2296-$DW2297)*100</f>
        <v/>
      </c>
      <c r="DZ2296" s="64">
        <f>($DX2296-$DX2297)*100</f>
        <v/>
      </c>
      <c r="EA2296" s="64">
        <f>($DW2296-$D2296)*100</f>
        <v/>
      </c>
      <c r="EB2296" s="64">
        <f>$Q2296-$O2296</f>
        <v/>
      </c>
      <c r="EC2296" s="67">
        <f>IFERROR($Q2296/$P2296,"")</f>
        <v/>
      </c>
    </row>
    <row r="2297">
      <c r="DG2297" s="64">
        <f>($B2297-$B2298)*100</f>
        <v/>
      </c>
      <c r="DH2297" s="64">
        <f>($D2297-$D2298)*100</f>
        <v/>
      </c>
      <c r="DI2297" s="64">
        <f>($E2297-$E2298)*100</f>
        <v/>
      </c>
      <c r="DJ2297" s="64">
        <f>($H2297-$H2298)*100</f>
        <v/>
      </c>
      <c r="DK2297" s="65">
        <f>IFERROR($J2297/$J2298-1,"")</f>
        <v/>
      </c>
      <c r="DL2297" s="64">
        <f>$L2297-$L2298</f>
        <v/>
      </c>
      <c r="DM2297" s="64">
        <f>$K2297-$K2298</f>
        <v/>
      </c>
      <c r="DN2297" s="65">
        <f>IFERROR($N2297/$N2298-1,"")</f>
        <v/>
      </c>
      <c r="DO2297" s="65">
        <f>IFERROR($M2297/$M2298-1,"")</f>
        <v/>
      </c>
      <c r="DP2297" s="65">
        <f>IFERROR($AZ2297/$AZ2298-1,"")</f>
        <v/>
      </c>
      <c r="DQ2297" s="65">
        <f>IFERROR($BA2297/$BA2298-1,"")</f>
        <v/>
      </c>
      <c r="DR2297" s="64">
        <f>$O2297-$O2298</f>
        <v/>
      </c>
      <c r="DS2297" s="64">
        <f>$P2297-$P2298</f>
        <v/>
      </c>
      <c r="DT2297" s="64">
        <f>$Q2297-$Q2298</f>
        <v/>
      </c>
      <c r="DU2297" s="64">
        <f>$S2297-$S2298</f>
        <v/>
      </c>
      <c r="DV2297" s="65">
        <f>IFERROR(AVERAGE($AA2298/$AA2297-1,$AB2298/$AB2297-1,$AC2298/$AC2297-1,$AD2298/$AD2297-1,$AE2298/$AE2297-1,$AG2298/$AG2297-1,$AH2298/$AH2297-1,$AI2298/$AI2297-1,$AJ2298/$AJ2297-1,$AL2298/$AL2297-1,$AM2298/$AM2297-1,$AR2298/$AR2297-1,$AS2298/$AS2297-1,$AT2298/$AT2297-1,$AU2298/$AU2297-1,$AV2298/$AV2297-1,$AW2298/$AW2297-1,$AX2298/$AX2297-1,$AY2298/$AY2297-1),"")</f>
        <v/>
      </c>
      <c r="DW2297" s="66">
        <f>AVERAGE($CB2297,$CC2297,$CD2297,$CE2297,$CF2297,$CG2297,$CH2297,$CI2297,$CJ2297,$CL2297,$CM2297,$CN2297,$CO2297,$CP2297,$CQ2297,$CR2297,$CS2297,$CT2297)</f>
        <v/>
      </c>
      <c r="DX2297" s="66">
        <f>AVERAGE($CB2297,$CC2297,$CM2297,$CE2297,$CP2297)</f>
        <v/>
      </c>
      <c r="DY2297" s="64">
        <f>($DW2297-$DW2298)*100</f>
        <v/>
      </c>
      <c r="DZ2297" s="64">
        <f>($DX2297-$DX2298)*100</f>
        <v/>
      </c>
      <c r="EA2297" s="64">
        <f>($DW2297-$D2297)*100</f>
        <v/>
      </c>
      <c r="EB2297" s="64">
        <f>$Q2297-$O2297</f>
        <v/>
      </c>
      <c r="EC2297" s="67">
        <f>IFERROR($Q2297/$P2297,"")</f>
        <v/>
      </c>
    </row>
    <row r="2298">
      <c r="DG2298" s="64">
        <f>($B2298-$B2299)*100</f>
        <v/>
      </c>
      <c r="DH2298" s="64">
        <f>($D2298-$D2299)*100</f>
        <v/>
      </c>
      <c r="DI2298" s="64">
        <f>($E2298-$E2299)*100</f>
        <v/>
      </c>
      <c r="DJ2298" s="64">
        <f>($H2298-$H2299)*100</f>
        <v/>
      </c>
      <c r="DK2298" s="65">
        <f>IFERROR($J2298/$J2299-1,"")</f>
        <v/>
      </c>
      <c r="DL2298" s="64">
        <f>$L2298-$L2299</f>
        <v/>
      </c>
      <c r="DM2298" s="64">
        <f>$K2298-$K2299</f>
        <v/>
      </c>
      <c r="DN2298" s="65">
        <f>IFERROR($N2298/$N2299-1,"")</f>
        <v/>
      </c>
      <c r="DO2298" s="65">
        <f>IFERROR($M2298/$M2299-1,"")</f>
        <v/>
      </c>
      <c r="DP2298" s="65">
        <f>IFERROR($AZ2298/$AZ2299-1,"")</f>
        <v/>
      </c>
      <c r="DQ2298" s="65">
        <f>IFERROR($BA2298/$BA2299-1,"")</f>
        <v/>
      </c>
      <c r="DR2298" s="64">
        <f>$O2298-$O2299</f>
        <v/>
      </c>
      <c r="DS2298" s="64">
        <f>$P2298-$P2299</f>
        <v/>
      </c>
      <c r="DT2298" s="64">
        <f>$Q2298-$Q2299</f>
        <v/>
      </c>
      <c r="DU2298" s="64">
        <f>$S2298-$S2299</f>
        <v/>
      </c>
      <c r="DV2298" s="65">
        <f>IFERROR(AVERAGE($AA2299/$AA2298-1,$AB2299/$AB2298-1,$AC2299/$AC2298-1,$AD2299/$AD2298-1,$AE2299/$AE2298-1,$AG2299/$AG2298-1,$AH2299/$AH2298-1,$AI2299/$AI2298-1,$AJ2299/$AJ2298-1,$AL2299/$AL2298-1,$AM2299/$AM2298-1,$AR2299/$AR2298-1,$AS2299/$AS2298-1,$AT2299/$AT2298-1,$AU2299/$AU2298-1,$AV2299/$AV2298-1,$AW2299/$AW2298-1,$AX2299/$AX2298-1,$AY2299/$AY2298-1),"")</f>
        <v/>
      </c>
      <c r="DW2298" s="66">
        <f>AVERAGE($CB2298,$CC2298,$CD2298,$CE2298,$CF2298,$CG2298,$CH2298,$CI2298,$CJ2298,$CL2298,$CM2298,$CN2298,$CO2298,$CP2298,$CQ2298,$CR2298,$CS2298,$CT2298)</f>
        <v/>
      </c>
      <c r="DX2298" s="66">
        <f>AVERAGE($CB2298,$CC2298,$CM2298,$CE2298,$CP2298)</f>
        <v/>
      </c>
      <c r="DY2298" s="64">
        <f>($DW2298-$DW2299)*100</f>
        <v/>
      </c>
      <c r="DZ2298" s="64">
        <f>($DX2298-$DX2299)*100</f>
        <v/>
      </c>
      <c r="EA2298" s="64">
        <f>($DW2298-$D2298)*100</f>
        <v/>
      </c>
      <c r="EB2298" s="64">
        <f>$Q2298-$O2298</f>
        <v/>
      </c>
      <c r="EC2298" s="67">
        <f>IFERROR($Q2298/$P2298,"")</f>
        <v/>
      </c>
    </row>
    <row r="2299">
      <c r="DG2299" s="64">
        <f>($B2299-$B2300)*100</f>
        <v/>
      </c>
      <c r="DH2299" s="64">
        <f>($D2299-$D2300)*100</f>
        <v/>
      </c>
      <c r="DI2299" s="64">
        <f>($E2299-$E2300)*100</f>
        <v/>
      </c>
      <c r="DJ2299" s="64">
        <f>($H2299-$H2300)*100</f>
        <v/>
      </c>
      <c r="DK2299" s="65">
        <f>IFERROR($J2299/$J2300-1,"")</f>
        <v/>
      </c>
      <c r="DL2299" s="64">
        <f>$L2299-$L2300</f>
        <v/>
      </c>
      <c r="DM2299" s="64">
        <f>$K2299-$K2300</f>
        <v/>
      </c>
      <c r="DN2299" s="65">
        <f>IFERROR($N2299/$N2300-1,"")</f>
        <v/>
      </c>
      <c r="DO2299" s="65">
        <f>IFERROR($M2299/$M2300-1,"")</f>
        <v/>
      </c>
      <c r="DP2299" s="65">
        <f>IFERROR($AZ2299/$AZ2300-1,"")</f>
        <v/>
      </c>
      <c r="DQ2299" s="65">
        <f>IFERROR($BA2299/$BA2300-1,"")</f>
        <v/>
      </c>
      <c r="DR2299" s="64">
        <f>$O2299-$O2300</f>
        <v/>
      </c>
      <c r="DS2299" s="64">
        <f>$P2299-$P2300</f>
        <v/>
      </c>
      <c r="DT2299" s="64">
        <f>$Q2299-$Q2300</f>
        <v/>
      </c>
      <c r="DU2299" s="64">
        <f>$S2299-$S2300</f>
        <v/>
      </c>
      <c r="DV2299" s="65">
        <f>IFERROR(AVERAGE($AA2300/$AA2299-1,$AB2300/$AB2299-1,$AC2300/$AC2299-1,$AD2300/$AD2299-1,$AE2300/$AE2299-1,$AG2300/$AG2299-1,$AH2300/$AH2299-1,$AI2300/$AI2299-1,$AJ2300/$AJ2299-1,$AL2300/$AL2299-1,$AM2300/$AM2299-1,$AR2300/$AR2299-1,$AS2300/$AS2299-1,$AT2300/$AT2299-1,$AU2300/$AU2299-1,$AV2300/$AV2299-1,$AW2300/$AW2299-1,$AX2300/$AX2299-1,$AY2300/$AY2299-1),"")</f>
        <v/>
      </c>
      <c r="DW2299" s="66">
        <f>AVERAGE($CB2299,$CC2299,$CD2299,$CE2299,$CF2299,$CG2299,$CH2299,$CI2299,$CJ2299,$CL2299,$CM2299,$CN2299,$CO2299,$CP2299,$CQ2299,$CR2299,$CS2299,$CT2299)</f>
        <v/>
      </c>
      <c r="DX2299" s="66">
        <f>AVERAGE($CB2299,$CC2299,$CM2299,$CE2299,$CP2299)</f>
        <v/>
      </c>
      <c r="DY2299" s="64">
        <f>($DW2299-$DW2300)*100</f>
        <v/>
      </c>
      <c r="DZ2299" s="64">
        <f>($DX2299-$DX2300)*100</f>
        <v/>
      </c>
      <c r="EA2299" s="64">
        <f>($DW2299-$D2299)*100</f>
        <v/>
      </c>
      <c r="EB2299" s="64">
        <f>$Q2299-$O2299</f>
        <v/>
      </c>
      <c r="EC2299" s="67">
        <f>IFERROR($Q2299/$P2299,"")</f>
        <v/>
      </c>
    </row>
    <row r="2300">
      <c r="DG2300" s="64">
        <f>($B2300-$B2301)*100</f>
        <v/>
      </c>
      <c r="DH2300" s="64">
        <f>($D2300-$D2301)*100</f>
        <v/>
      </c>
      <c r="DI2300" s="64">
        <f>($E2300-$E2301)*100</f>
        <v/>
      </c>
      <c r="DJ2300" s="64">
        <f>($H2300-$H2301)*100</f>
        <v/>
      </c>
      <c r="DK2300" s="65">
        <f>IFERROR($J2300/$J2301-1,"")</f>
        <v/>
      </c>
      <c r="DL2300" s="64">
        <f>$L2300-$L2301</f>
        <v/>
      </c>
      <c r="DM2300" s="64">
        <f>$K2300-$K2301</f>
        <v/>
      </c>
      <c r="DN2300" s="65">
        <f>IFERROR($N2300/$N2301-1,"")</f>
        <v/>
      </c>
      <c r="DO2300" s="65">
        <f>IFERROR($M2300/$M2301-1,"")</f>
        <v/>
      </c>
      <c r="DP2300" s="65">
        <f>IFERROR($AZ2300/$AZ2301-1,"")</f>
        <v/>
      </c>
      <c r="DQ2300" s="65">
        <f>IFERROR($BA2300/$BA2301-1,"")</f>
        <v/>
      </c>
      <c r="DR2300" s="64">
        <f>$O2300-$O2301</f>
        <v/>
      </c>
      <c r="DS2300" s="64">
        <f>$P2300-$P2301</f>
        <v/>
      </c>
      <c r="DT2300" s="64">
        <f>$Q2300-$Q2301</f>
        <v/>
      </c>
      <c r="DU2300" s="64">
        <f>$S2300-$S2301</f>
        <v/>
      </c>
      <c r="DV2300" s="65">
        <f>IFERROR(AVERAGE($AA2301/$AA2300-1,$AB2301/$AB2300-1,$AC2301/$AC2300-1,$AD2301/$AD2300-1,$AE2301/$AE2300-1,$AG2301/$AG2300-1,$AH2301/$AH2300-1,$AI2301/$AI2300-1,$AJ2301/$AJ2300-1,$AL2301/$AL2300-1,$AM2301/$AM2300-1,$AR2301/$AR2300-1,$AS2301/$AS2300-1,$AT2301/$AT2300-1,$AU2301/$AU2300-1,$AV2301/$AV2300-1,$AW2301/$AW2300-1,$AX2301/$AX2300-1,$AY2301/$AY2300-1),"")</f>
        <v/>
      </c>
      <c r="DW2300" s="66">
        <f>AVERAGE($CB2300,$CC2300,$CD2300,$CE2300,$CF2300,$CG2300,$CH2300,$CI2300,$CJ2300,$CL2300,$CM2300,$CN2300,$CO2300,$CP2300,$CQ2300,$CR2300,$CS2300,$CT2300)</f>
        <v/>
      </c>
      <c r="DX2300" s="66">
        <f>AVERAGE($CB2300,$CC2300,$CM2300,$CE2300,$CP2300)</f>
        <v/>
      </c>
      <c r="DY2300" s="64">
        <f>($DW2300-$DW2301)*100</f>
        <v/>
      </c>
      <c r="DZ2300" s="64">
        <f>($DX2300-$DX2301)*100</f>
        <v/>
      </c>
      <c r="EA2300" s="64">
        <f>($DW2300-$D2300)*100</f>
        <v/>
      </c>
      <c r="EB2300" s="64">
        <f>$Q2300-$O2300</f>
        <v/>
      </c>
      <c r="EC2300" s="67">
        <f>IFERROR($Q2300/$P2300,"")</f>
        <v/>
      </c>
    </row>
    <row r="2301">
      <c r="DG2301" s="64">
        <f>($B2301-$B2302)*100</f>
        <v/>
      </c>
      <c r="DH2301" s="64">
        <f>($D2301-$D2302)*100</f>
        <v/>
      </c>
      <c r="DI2301" s="64">
        <f>($E2301-$E2302)*100</f>
        <v/>
      </c>
      <c r="DJ2301" s="64">
        <f>($H2301-$H2302)*100</f>
        <v/>
      </c>
      <c r="DK2301" s="65">
        <f>IFERROR($J2301/$J2302-1,"")</f>
        <v/>
      </c>
      <c r="DL2301" s="64">
        <f>$L2301-$L2302</f>
        <v/>
      </c>
      <c r="DM2301" s="64">
        <f>$K2301-$K2302</f>
        <v/>
      </c>
      <c r="DN2301" s="65">
        <f>IFERROR($N2301/$N2302-1,"")</f>
        <v/>
      </c>
      <c r="DO2301" s="65">
        <f>IFERROR($M2301/$M2302-1,"")</f>
        <v/>
      </c>
      <c r="DP2301" s="65">
        <f>IFERROR($AZ2301/$AZ2302-1,"")</f>
        <v/>
      </c>
      <c r="DQ2301" s="65">
        <f>IFERROR($BA2301/$BA2302-1,"")</f>
        <v/>
      </c>
      <c r="DR2301" s="64">
        <f>$O2301-$O2302</f>
        <v/>
      </c>
      <c r="DS2301" s="64">
        <f>$P2301-$P2302</f>
        <v/>
      </c>
      <c r="DT2301" s="64">
        <f>$Q2301-$Q2302</f>
        <v/>
      </c>
      <c r="DU2301" s="64">
        <f>$S2301-$S2302</f>
        <v/>
      </c>
      <c r="DV2301" s="65">
        <f>IFERROR(AVERAGE($AA2302/$AA2301-1,$AB2302/$AB2301-1,$AC2302/$AC2301-1,$AD2302/$AD2301-1,$AE2302/$AE2301-1,$AG2302/$AG2301-1,$AH2302/$AH2301-1,$AI2302/$AI2301-1,$AJ2302/$AJ2301-1,$AL2302/$AL2301-1,$AM2302/$AM2301-1,$AR2302/$AR2301-1,$AS2302/$AS2301-1,$AT2302/$AT2301-1,$AU2302/$AU2301-1,$AV2302/$AV2301-1,$AW2302/$AW2301-1,$AX2302/$AX2301-1,$AY2302/$AY2301-1),"")</f>
        <v/>
      </c>
      <c r="DW2301" s="66">
        <f>AVERAGE($CB2301,$CC2301,$CD2301,$CE2301,$CF2301,$CG2301,$CH2301,$CI2301,$CJ2301,$CL2301,$CM2301,$CN2301,$CO2301,$CP2301,$CQ2301,$CR2301,$CS2301,$CT2301)</f>
        <v/>
      </c>
      <c r="DX2301" s="66">
        <f>AVERAGE($CB2301,$CC2301,$CM2301,$CE2301,$CP2301)</f>
        <v/>
      </c>
      <c r="DY2301" s="64">
        <f>($DW2301-$DW2302)*100</f>
        <v/>
      </c>
      <c r="DZ2301" s="64">
        <f>($DX2301-$DX2302)*100</f>
        <v/>
      </c>
      <c r="EA2301" s="64">
        <f>($DW2301-$D2301)*100</f>
        <v/>
      </c>
      <c r="EB2301" s="64">
        <f>$Q2301-$O2301</f>
        <v/>
      </c>
      <c r="EC2301" s="67">
        <f>IFERROR($Q2301/$P2301,"")</f>
        <v/>
      </c>
    </row>
    <row r="2302">
      <c r="DG2302" s="64">
        <f>($B2302-$B2303)*100</f>
        <v/>
      </c>
      <c r="DH2302" s="64">
        <f>($D2302-$D2303)*100</f>
        <v/>
      </c>
      <c r="DI2302" s="64">
        <f>($E2302-$E2303)*100</f>
        <v/>
      </c>
      <c r="DJ2302" s="64">
        <f>($H2302-$H2303)*100</f>
        <v/>
      </c>
      <c r="DK2302" s="65">
        <f>IFERROR($J2302/$J2303-1,"")</f>
        <v/>
      </c>
      <c r="DL2302" s="64">
        <f>$L2302-$L2303</f>
        <v/>
      </c>
      <c r="DM2302" s="64">
        <f>$K2302-$K2303</f>
        <v/>
      </c>
      <c r="DN2302" s="65">
        <f>IFERROR($N2302/$N2303-1,"")</f>
        <v/>
      </c>
      <c r="DO2302" s="65">
        <f>IFERROR($M2302/$M2303-1,"")</f>
        <v/>
      </c>
      <c r="DP2302" s="65">
        <f>IFERROR($AZ2302/$AZ2303-1,"")</f>
        <v/>
      </c>
      <c r="DQ2302" s="65">
        <f>IFERROR($BA2302/$BA2303-1,"")</f>
        <v/>
      </c>
      <c r="DR2302" s="64">
        <f>$O2302-$O2303</f>
        <v/>
      </c>
      <c r="DS2302" s="64">
        <f>$P2302-$P2303</f>
        <v/>
      </c>
      <c r="DT2302" s="64">
        <f>$Q2302-$Q2303</f>
        <v/>
      </c>
      <c r="DU2302" s="64">
        <f>$S2302-$S2303</f>
        <v/>
      </c>
      <c r="DV2302" s="65">
        <f>IFERROR(AVERAGE($AA2303/$AA2302-1,$AB2303/$AB2302-1,$AC2303/$AC2302-1,$AD2303/$AD2302-1,$AE2303/$AE2302-1,$AG2303/$AG2302-1,$AH2303/$AH2302-1,$AI2303/$AI2302-1,$AJ2303/$AJ2302-1,$AL2303/$AL2302-1,$AM2303/$AM2302-1,$AR2303/$AR2302-1,$AS2303/$AS2302-1,$AT2303/$AT2302-1,$AU2303/$AU2302-1,$AV2303/$AV2302-1,$AW2303/$AW2302-1,$AX2303/$AX2302-1,$AY2303/$AY2302-1),"")</f>
        <v/>
      </c>
      <c r="DW2302" s="66">
        <f>AVERAGE($CB2302,$CC2302,$CD2302,$CE2302,$CF2302,$CG2302,$CH2302,$CI2302,$CJ2302,$CL2302,$CM2302,$CN2302,$CO2302,$CP2302,$CQ2302,$CR2302,$CS2302,$CT2302)</f>
        <v/>
      </c>
      <c r="DX2302" s="66">
        <f>AVERAGE($CB2302,$CC2302,$CM2302,$CE2302,$CP2302)</f>
        <v/>
      </c>
      <c r="DY2302" s="64">
        <f>($DW2302-$DW2303)*100</f>
        <v/>
      </c>
      <c r="DZ2302" s="64">
        <f>($DX2302-$DX2303)*100</f>
        <v/>
      </c>
      <c r="EA2302" s="64">
        <f>($DW2302-$D2302)*100</f>
        <v/>
      </c>
      <c r="EB2302" s="64">
        <f>$Q2302-$O2302</f>
        <v/>
      </c>
      <c r="EC2302" s="67">
        <f>IFERROR($Q2302/$P2302,"")</f>
        <v/>
      </c>
    </row>
    <row r="2303">
      <c r="DG2303" s="64">
        <f>($B2303-$B2304)*100</f>
        <v/>
      </c>
      <c r="DH2303" s="64">
        <f>($D2303-$D2304)*100</f>
        <v/>
      </c>
      <c r="DI2303" s="64">
        <f>($E2303-$E2304)*100</f>
        <v/>
      </c>
      <c r="DJ2303" s="64">
        <f>($H2303-$H2304)*100</f>
        <v/>
      </c>
      <c r="DK2303" s="65">
        <f>IFERROR($J2303/$J2304-1,"")</f>
        <v/>
      </c>
      <c r="DL2303" s="64">
        <f>$L2303-$L2304</f>
        <v/>
      </c>
      <c r="DM2303" s="64">
        <f>$K2303-$K2304</f>
        <v/>
      </c>
      <c r="DN2303" s="65">
        <f>IFERROR($N2303/$N2304-1,"")</f>
        <v/>
      </c>
      <c r="DO2303" s="65">
        <f>IFERROR($M2303/$M2304-1,"")</f>
        <v/>
      </c>
      <c r="DP2303" s="65">
        <f>IFERROR($AZ2303/$AZ2304-1,"")</f>
        <v/>
      </c>
      <c r="DQ2303" s="65">
        <f>IFERROR($BA2303/$BA2304-1,"")</f>
        <v/>
      </c>
      <c r="DR2303" s="64">
        <f>$O2303-$O2304</f>
        <v/>
      </c>
      <c r="DS2303" s="64">
        <f>$P2303-$P2304</f>
        <v/>
      </c>
      <c r="DT2303" s="64">
        <f>$Q2303-$Q2304</f>
        <v/>
      </c>
      <c r="DU2303" s="64">
        <f>$S2303-$S2304</f>
        <v/>
      </c>
      <c r="DV2303" s="65">
        <f>IFERROR(AVERAGE($AA2304/$AA2303-1,$AB2304/$AB2303-1,$AC2304/$AC2303-1,$AD2304/$AD2303-1,$AE2304/$AE2303-1,$AG2304/$AG2303-1,$AH2304/$AH2303-1,$AI2304/$AI2303-1,$AJ2304/$AJ2303-1,$AL2304/$AL2303-1,$AM2304/$AM2303-1,$AR2304/$AR2303-1,$AS2304/$AS2303-1,$AT2304/$AT2303-1,$AU2304/$AU2303-1,$AV2304/$AV2303-1,$AW2304/$AW2303-1,$AX2304/$AX2303-1,$AY2304/$AY2303-1),"")</f>
        <v/>
      </c>
      <c r="DW2303" s="66">
        <f>AVERAGE($CB2303,$CC2303,$CD2303,$CE2303,$CF2303,$CG2303,$CH2303,$CI2303,$CJ2303,$CL2303,$CM2303,$CN2303,$CO2303,$CP2303,$CQ2303,$CR2303,$CS2303,$CT2303)</f>
        <v/>
      </c>
      <c r="DX2303" s="66">
        <f>AVERAGE($CB2303,$CC2303,$CM2303,$CE2303,$CP2303)</f>
        <v/>
      </c>
      <c r="DY2303" s="64">
        <f>($DW2303-$DW2304)*100</f>
        <v/>
      </c>
      <c r="DZ2303" s="64">
        <f>($DX2303-$DX2304)*100</f>
        <v/>
      </c>
      <c r="EA2303" s="64">
        <f>($DW2303-$D2303)*100</f>
        <v/>
      </c>
      <c r="EB2303" s="64">
        <f>$Q2303-$O2303</f>
        <v/>
      </c>
      <c r="EC2303" s="67">
        <f>IFERROR($Q2303/$P2303,"")</f>
        <v/>
      </c>
    </row>
    <row r="2304">
      <c r="DG2304" s="64">
        <f>($B2304-$B2305)*100</f>
        <v/>
      </c>
      <c r="DH2304" s="64">
        <f>($D2304-$D2305)*100</f>
        <v/>
      </c>
      <c r="DI2304" s="64">
        <f>($E2304-$E2305)*100</f>
        <v/>
      </c>
      <c r="DJ2304" s="64">
        <f>($H2304-$H2305)*100</f>
        <v/>
      </c>
      <c r="DK2304" s="65">
        <f>IFERROR($J2304/$J2305-1,"")</f>
        <v/>
      </c>
      <c r="DL2304" s="64">
        <f>$L2304-$L2305</f>
        <v/>
      </c>
      <c r="DM2304" s="64">
        <f>$K2304-$K2305</f>
        <v/>
      </c>
      <c r="DN2304" s="65">
        <f>IFERROR($N2304/$N2305-1,"")</f>
        <v/>
      </c>
      <c r="DO2304" s="65">
        <f>IFERROR($M2304/$M2305-1,"")</f>
        <v/>
      </c>
      <c r="DP2304" s="65">
        <f>IFERROR($AZ2304/$AZ2305-1,"")</f>
        <v/>
      </c>
      <c r="DQ2304" s="65">
        <f>IFERROR($BA2304/$BA2305-1,"")</f>
        <v/>
      </c>
      <c r="DR2304" s="64">
        <f>$O2304-$O2305</f>
        <v/>
      </c>
      <c r="DS2304" s="64">
        <f>$P2304-$P2305</f>
        <v/>
      </c>
      <c r="DT2304" s="64">
        <f>$Q2304-$Q2305</f>
        <v/>
      </c>
      <c r="DU2304" s="64">
        <f>$S2304-$S2305</f>
        <v/>
      </c>
      <c r="DV2304" s="65">
        <f>IFERROR(AVERAGE($AA2305/$AA2304-1,$AB2305/$AB2304-1,$AC2305/$AC2304-1,$AD2305/$AD2304-1,$AE2305/$AE2304-1,$AG2305/$AG2304-1,$AH2305/$AH2304-1,$AI2305/$AI2304-1,$AJ2305/$AJ2304-1,$AL2305/$AL2304-1,$AM2305/$AM2304-1,$AR2305/$AR2304-1,$AS2305/$AS2304-1,$AT2305/$AT2304-1,$AU2305/$AU2304-1,$AV2305/$AV2304-1,$AW2305/$AW2304-1,$AX2305/$AX2304-1,$AY2305/$AY2304-1),"")</f>
        <v/>
      </c>
      <c r="DW2304" s="66">
        <f>AVERAGE($CB2304,$CC2304,$CD2304,$CE2304,$CF2304,$CG2304,$CH2304,$CI2304,$CJ2304,$CL2304,$CM2304,$CN2304,$CO2304,$CP2304,$CQ2304,$CR2304,$CS2304,$CT2304)</f>
        <v/>
      </c>
      <c r="DX2304" s="66">
        <f>AVERAGE($CB2304,$CC2304,$CM2304,$CE2304,$CP2304)</f>
        <v/>
      </c>
      <c r="DY2304" s="64">
        <f>($DW2304-$DW2305)*100</f>
        <v/>
      </c>
      <c r="DZ2304" s="64">
        <f>($DX2304-$DX2305)*100</f>
        <v/>
      </c>
      <c r="EA2304" s="64">
        <f>($DW2304-$D2304)*100</f>
        <v/>
      </c>
      <c r="EB2304" s="64">
        <f>$Q2304-$O2304</f>
        <v/>
      </c>
      <c r="EC2304" s="67">
        <f>IFERROR($Q2304/$P2304,"")</f>
        <v/>
      </c>
    </row>
    <row r="2305">
      <c r="DG2305" s="64">
        <f>($B2305-$B2306)*100</f>
        <v/>
      </c>
      <c r="DH2305" s="64">
        <f>($D2305-$D2306)*100</f>
        <v/>
      </c>
      <c r="DI2305" s="64">
        <f>($E2305-$E2306)*100</f>
        <v/>
      </c>
      <c r="DJ2305" s="64">
        <f>($H2305-$H2306)*100</f>
        <v/>
      </c>
      <c r="DK2305" s="65">
        <f>IFERROR($J2305/$J2306-1,"")</f>
        <v/>
      </c>
      <c r="DL2305" s="64">
        <f>$L2305-$L2306</f>
        <v/>
      </c>
      <c r="DM2305" s="64">
        <f>$K2305-$K2306</f>
        <v/>
      </c>
      <c r="DN2305" s="65">
        <f>IFERROR($N2305/$N2306-1,"")</f>
        <v/>
      </c>
      <c r="DO2305" s="65">
        <f>IFERROR($M2305/$M2306-1,"")</f>
        <v/>
      </c>
      <c r="DP2305" s="65">
        <f>IFERROR($AZ2305/$AZ2306-1,"")</f>
        <v/>
      </c>
      <c r="DQ2305" s="65">
        <f>IFERROR($BA2305/$BA2306-1,"")</f>
        <v/>
      </c>
      <c r="DR2305" s="64">
        <f>$O2305-$O2306</f>
        <v/>
      </c>
      <c r="DS2305" s="64">
        <f>$P2305-$P2306</f>
        <v/>
      </c>
      <c r="DT2305" s="64">
        <f>$Q2305-$Q2306</f>
        <v/>
      </c>
      <c r="DU2305" s="64">
        <f>$S2305-$S2306</f>
        <v/>
      </c>
      <c r="DV2305" s="65">
        <f>IFERROR(AVERAGE($AA2306/$AA2305-1,$AB2306/$AB2305-1,$AC2306/$AC2305-1,$AD2306/$AD2305-1,$AE2306/$AE2305-1,$AG2306/$AG2305-1,$AH2306/$AH2305-1,$AI2306/$AI2305-1,$AJ2306/$AJ2305-1,$AL2306/$AL2305-1,$AM2306/$AM2305-1,$AR2306/$AR2305-1,$AS2306/$AS2305-1,$AT2306/$AT2305-1,$AU2306/$AU2305-1,$AV2306/$AV2305-1,$AW2306/$AW2305-1,$AX2306/$AX2305-1,$AY2306/$AY2305-1),"")</f>
        <v/>
      </c>
      <c r="DW2305" s="66">
        <f>AVERAGE($CB2305,$CC2305,$CD2305,$CE2305,$CF2305,$CG2305,$CH2305,$CI2305,$CJ2305,$CL2305,$CM2305,$CN2305,$CO2305,$CP2305,$CQ2305,$CR2305,$CS2305,$CT2305)</f>
        <v/>
      </c>
      <c r="DX2305" s="66">
        <f>AVERAGE($CB2305,$CC2305,$CM2305,$CE2305,$CP2305)</f>
        <v/>
      </c>
      <c r="DY2305" s="64">
        <f>($DW2305-$DW2306)*100</f>
        <v/>
      </c>
      <c r="DZ2305" s="64">
        <f>($DX2305-$DX2306)*100</f>
        <v/>
      </c>
      <c r="EA2305" s="64">
        <f>($DW2305-$D2305)*100</f>
        <v/>
      </c>
      <c r="EB2305" s="64">
        <f>$Q2305-$O2305</f>
        <v/>
      </c>
      <c r="EC2305" s="67">
        <f>IFERROR($Q2305/$P2305,"")</f>
        <v/>
      </c>
    </row>
    <row r="2306">
      <c r="DG2306" s="64">
        <f>($B2306-$B2307)*100</f>
        <v/>
      </c>
      <c r="DH2306" s="64">
        <f>($D2306-$D2307)*100</f>
        <v/>
      </c>
      <c r="DI2306" s="64">
        <f>($E2306-$E2307)*100</f>
        <v/>
      </c>
      <c r="DJ2306" s="64">
        <f>($H2306-$H2307)*100</f>
        <v/>
      </c>
      <c r="DK2306" s="65">
        <f>IFERROR($J2306/$J2307-1,"")</f>
        <v/>
      </c>
      <c r="DL2306" s="64">
        <f>$L2306-$L2307</f>
        <v/>
      </c>
      <c r="DM2306" s="64">
        <f>$K2306-$K2307</f>
        <v/>
      </c>
      <c r="DN2306" s="65">
        <f>IFERROR($N2306/$N2307-1,"")</f>
        <v/>
      </c>
      <c r="DO2306" s="65">
        <f>IFERROR($M2306/$M2307-1,"")</f>
        <v/>
      </c>
      <c r="DP2306" s="65">
        <f>IFERROR($AZ2306/$AZ2307-1,"")</f>
        <v/>
      </c>
      <c r="DQ2306" s="65">
        <f>IFERROR($BA2306/$BA2307-1,"")</f>
        <v/>
      </c>
      <c r="DR2306" s="64">
        <f>$O2306-$O2307</f>
        <v/>
      </c>
      <c r="DS2306" s="64">
        <f>$P2306-$P2307</f>
        <v/>
      </c>
      <c r="DT2306" s="64">
        <f>$Q2306-$Q2307</f>
        <v/>
      </c>
      <c r="DU2306" s="64">
        <f>$S2306-$S2307</f>
        <v/>
      </c>
      <c r="DV2306" s="65">
        <f>IFERROR(AVERAGE($AA2307/$AA2306-1,$AB2307/$AB2306-1,$AC2307/$AC2306-1,$AD2307/$AD2306-1,$AE2307/$AE2306-1,$AG2307/$AG2306-1,$AH2307/$AH2306-1,$AI2307/$AI2306-1,$AJ2307/$AJ2306-1,$AL2307/$AL2306-1,$AM2307/$AM2306-1,$AR2307/$AR2306-1,$AS2307/$AS2306-1,$AT2307/$AT2306-1,$AU2307/$AU2306-1,$AV2307/$AV2306-1,$AW2307/$AW2306-1,$AX2307/$AX2306-1,$AY2307/$AY2306-1),"")</f>
        <v/>
      </c>
      <c r="DW2306" s="66">
        <f>AVERAGE($CB2306,$CC2306,$CD2306,$CE2306,$CF2306,$CG2306,$CH2306,$CI2306,$CJ2306,$CL2306,$CM2306,$CN2306,$CO2306,$CP2306,$CQ2306,$CR2306,$CS2306,$CT2306)</f>
        <v/>
      </c>
      <c r="DX2306" s="66">
        <f>AVERAGE($CB2306,$CC2306,$CM2306,$CE2306,$CP2306)</f>
        <v/>
      </c>
      <c r="DY2306" s="64">
        <f>($DW2306-$DW2307)*100</f>
        <v/>
      </c>
      <c r="DZ2306" s="64">
        <f>($DX2306-$DX2307)*100</f>
        <v/>
      </c>
      <c r="EA2306" s="64">
        <f>($DW2306-$D2306)*100</f>
        <v/>
      </c>
      <c r="EB2306" s="64">
        <f>$Q2306-$O2306</f>
        <v/>
      </c>
      <c r="EC2306" s="67">
        <f>IFERROR($Q2306/$P2306,"")</f>
        <v/>
      </c>
    </row>
    <row r="2307">
      <c r="DG2307" s="64">
        <f>($B2307-$B2308)*100</f>
        <v/>
      </c>
      <c r="DH2307" s="64">
        <f>($D2307-$D2308)*100</f>
        <v/>
      </c>
      <c r="DI2307" s="64">
        <f>($E2307-$E2308)*100</f>
        <v/>
      </c>
      <c r="DJ2307" s="64">
        <f>($H2307-$H2308)*100</f>
        <v/>
      </c>
      <c r="DK2307" s="65">
        <f>IFERROR($J2307/$J2308-1,"")</f>
        <v/>
      </c>
      <c r="DL2307" s="64">
        <f>$L2307-$L2308</f>
        <v/>
      </c>
      <c r="DM2307" s="64">
        <f>$K2307-$K2308</f>
        <v/>
      </c>
      <c r="DN2307" s="65">
        <f>IFERROR($N2307/$N2308-1,"")</f>
        <v/>
      </c>
      <c r="DO2307" s="65">
        <f>IFERROR($M2307/$M2308-1,"")</f>
        <v/>
      </c>
      <c r="DP2307" s="65">
        <f>IFERROR($AZ2307/$AZ2308-1,"")</f>
        <v/>
      </c>
      <c r="DQ2307" s="65">
        <f>IFERROR($BA2307/$BA2308-1,"")</f>
        <v/>
      </c>
      <c r="DR2307" s="64">
        <f>$O2307-$O2308</f>
        <v/>
      </c>
      <c r="DS2307" s="64">
        <f>$P2307-$P2308</f>
        <v/>
      </c>
      <c r="DT2307" s="64">
        <f>$Q2307-$Q2308</f>
        <v/>
      </c>
      <c r="DU2307" s="64">
        <f>$S2307-$S2308</f>
        <v/>
      </c>
      <c r="DV2307" s="65">
        <f>IFERROR(AVERAGE($AA2308/$AA2307-1,$AB2308/$AB2307-1,$AC2308/$AC2307-1,$AD2308/$AD2307-1,$AE2308/$AE2307-1,$AG2308/$AG2307-1,$AH2308/$AH2307-1,$AI2308/$AI2307-1,$AJ2308/$AJ2307-1,$AL2308/$AL2307-1,$AM2308/$AM2307-1,$AR2308/$AR2307-1,$AS2308/$AS2307-1,$AT2308/$AT2307-1,$AU2308/$AU2307-1,$AV2308/$AV2307-1,$AW2308/$AW2307-1,$AX2308/$AX2307-1,$AY2308/$AY2307-1),"")</f>
        <v/>
      </c>
      <c r="DW2307" s="66">
        <f>AVERAGE($CB2307,$CC2307,$CD2307,$CE2307,$CF2307,$CG2307,$CH2307,$CI2307,$CJ2307,$CL2307,$CM2307,$CN2307,$CO2307,$CP2307,$CQ2307,$CR2307,$CS2307,$CT2307)</f>
        <v/>
      </c>
      <c r="DX2307" s="66">
        <f>AVERAGE($CB2307,$CC2307,$CM2307,$CE2307,$CP2307)</f>
        <v/>
      </c>
      <c r="DY2307" s="64">
        <f>($DW2307-$DW2308)*100</f>
        <v/>
      </c>
      <c r="DZ2307" s="64">
        <f>($DX2307-$DX2308)*100</f>
        <v/>
      </c>
      <c r="EA2307" s="64">
        <f>($DW2307-$D2307)*100</f>
        <v/>
      </c>
      <c r="EB2307" s="64">
        <f>$Q2307-$O2307</f>
        <v/>
      </c>
      <c r="EC2307" s="67">
        <f>IFERROR($Q2307/$P2307,"")</f>
        <v/>
      </c>
    </row>
    <row r="2308">
      <c r="DG2308" s="64">
        <f>($B2308-$B2309)*100</f>
        <v/>
      </c>
      <c r="DH2308" s="64">
        <f>($D2308-$D2309)*100</f>
        <v/>
      </c>
      <c r="DI2308" s="64">
        <f>($E2308-$E2309)*100</f>
        <v/>
      </c>
      <c r="DJ2308" s="64">
        <f>($H2308-$H2309)*100</f>
        <v/>
      </c>
      <c r="DK2308" s="65">
        <f>IFERROR($J2308/$J2309-1,"")</f>
        <v/>
      </c>
      <c r="DL2308" s="64">
        <f>$L2308-$L2309</f>
        <v/>
      </c>
      <c r="DM2308" s="64">
        <f>$K2308-$K2309</f>
        <v/>
      </c>
      <c r="DN2308" s="65">
        <f>IFERROR($N2308/$N2309-1,"")</f>
        <v/>
      </c>
      <c r="DO2308" s="65">
        <f>IFERROR($M2308/$M2309-1,"")</f>
        <v/>
      </c>
      <c r="DP2308" s="65">
        <f>IFERROR($AZ2308/$AZ2309-1,"")</f>
        <v/>
      </c>
      <c r="DQ2308" s="65">
        <f>IFERROR($BA2308/$BA2309-1,"")</f>
        <v/>
      </c>
      <c r="DR2308" s="64">
        <f>$O2308-$O2309</f>
        <v/>
      </c>
      <c r="DS2308" s="64">
        <f>$P2308-$P2309</f>
        <v/>
      </c>
      <c r="DT2308" s="64">
        <f>$Q2308-$Q2309</f>
        <v/>
      </c>
      <c r="DU2308" s="64">
        <f>$S2308-$S2309</f>
        <v/>
      </c>
      <c r="DV2308" s="65">
        <f>IFERROR(AVERAGE($AA2309/$AA2308-1,$AB2309/$AB2308-1,$AC2309/$AC2308-1,$AD2309/$AD2308-1,$AE2309/$AE2308-1,$AG2309/$AG2308-1,$AH2309/$AH2308-1,$AI2309/$AI2308-1,$AJ2309/$AJ2308-1,$AL2309/$AL2308-1,$AM2309/$AM2308-1,$AR2309/$AR2308-1,$AS2309/$AS2308-1,$AT2309/$AT2308-1,$AU2309/$AU2308-1,$AV2309/$AV2308-1,$AW2309/$AW2308-1,$AX2309/$AX2308-1,$AY2309/$AY2308-1),"")</f>
        <v/>
      </c>
      <c r="DW2308" s="66">
        <f>AVERAGE($CB2308,$CC2308,$CD2308,$CE2308,$CF2308,$CG2308,$CH2308,$CI2308,$CJ2308,$CL2308,$CM2308,$CN2308,$CO2308,$CP2308,$CQ2308,$CR2308,$CS2308,$CT2308)</f>
        <v/>
      </c>
      <c r="DX2308" s="66">
        <f>AVERAGE($CB2308,$CC2308,$CM2308,$CE2308,$CP2308)</f>
        <v/>
      </c>
      <c r="DY2308" s="64">
        <f>($DW2308-$DW2309)*100</f>
        <v/>
      </c>
      <c r="DZ2308" s="64">
        <f>($DX2308-$DX2309)*100</f>
        <v/>
      </c>
      <c r="EA2308" s="64">
        <f>($DW2308-$D2308)*100</f>
        <v/>
      </c>
      <c r="EB2308" s="64">
        <f>$Q2308-$O2308</f>
        <v/>
      </c>
      <c r="EC2308" s="67">
        <f>IFERROR($Q2308/$P2308,"")</f>
        <v/>
      </c>
    </row>
    <row r="2309">
      <c r="DG2309" s="64">
        <f>($B2309-$B2310)*100</f>
        <v/>
      </c>
      <c r="DH2309" s="64">
        <f>($D2309-$D2310)*100</f>
        <v/>
      </c>
      <c r="DI2309" s="64">
        <f>($E2309-$E2310)*100</f>
        <v/>
      </c>
      <c r="DJ2309" s="64">
        <f>($H2309-$H2310)*100</f>
        <v/>
      </c>
      <c r="DK2309" s="65">
        <f>IFERROR($J2309/$J2310-1,"")</f>
        <v/>
      </c>
      <c r="DL2309" s="64">
        <f>$L2309-$L2310</f>
        <v/>
      </c>
      <c r="DM2309" s="64">
        <f>$K2309-$K2310</f>
        <v/>
      </c>
      <c r="DN2309" s="65">
        <f>IFERROR($N2309/$N2310-1,"")</f>
        <v/>
      </c>
      <c r="DO2309" s="65">
        <f>IFERROR($M2309/$M2310-1,"")</f>
        <v/>
      </c>
      <c r="DP2309" s="65">
        <f>IFERROR($AZ2309/$AZ2310-1,"")</f>
        <v/>
      </c>
      <c r="DQ2309" s="65">
        <f>IFERROR($BA2309/$BA2310-1,"")</f>
        <v/>
      </c>
      <c r="DR2309" s="64">
        <f>$O2309-$O2310</f>
        <v/>
      </c>
      <c r="DS2309" s="64">
        <f>$P2309-$P2310</f>
        <v/>
      </c>
      <c r="DT2309" s="64">
        <f>$Q2309-$Q2310</f>
        <v/>
      </c>
      <c r="DU2309" s="64">
        <f>$S2309-$S2310</f>
        <v/>
      </c>
      <c r="DV2309" s="65">
        <f>IFERROR(AVERAGE($AA2310/$AA2309-1,$AB2310/$AB2309-1,$AC2310/$AC2309-1,$AD2310/$AD2309-1,$AE2310/$AE2309-1,$AG2310/$AG2309-1,$AH2310/$AH2309-1,$AI2310/$AI2309-1,$AJ2310/$AJ2309-1,$AL2310/$AL2309-1,$AM2310/$AM2309-1,$AR2310/$AR2309-1,$AS2310/$AS2309-1,$AT2310/$AT2309-1,$AU2310/$AU2309-1,$AV2310/$AV2309-1,$AW2310/$AW2309-1,$AX2310/$AX2309-1,$AY2310/$AY2309-1),"")</f>
        <v/>
      </c>
      <c r="DW2309" s="66">
        <f>AVERAGE($CB2309,$CC2309,$CD2309,$CE2309,$CF2309,$CG2309,$CH2309,$CI2309,$CJ2309,$CL2309,$CM2309,$CN2309,$CO2309,$CP2309,$CQ2309,$CR2309,$CS2309,$CT2309)</f>
        <v/>
      </c>
      <c r="DX2309" s="66">
        <f>AVERAGE($CB2309,$CC2309,$CM2309,$CE2309,$CP2309)</f>
        <v/>
      </c>
      <c r="DY2309" s="64">
        <f>($DW2309-$DW2310)*100</f>
        <v/>
      </c>
      <c r="DZ2309" s="64">
        <f>($DX2309-$DX2310)*100</f>
        <v/>
      </c>
      <c r="EA2309" s="64">
        <f>($DW2309-$D2309)*100</f>
        <v/>
      </c>
      <c r="EB2309" s="64">
        <f>$Q2309-$O2309</f>
        <v/>
      </c>
      <c r="EC2309" s="67">
        <f>IFERROR($Q2309/$P2309,"")</f>
        <v/>
      </c>
    </row>
    <row r="2310">
      <c r="DG2310" s="64">
        <f>($B2310-$B2311)*100</f>
        <v/>
      </c>
      <c r="DH2310" s="64">
        <f>($D2310-$D2311)*100</f>
        <v/>
      </c>
      <c r="DI2310" s="64">
        <f>($E2310-$E2311)*100</f>
        <v/>
      </c>
      <c r="DJ2310" s="64">
        <f>($H2310-$H2311)*100</f>
        <v/>
      </c>
      <c r="DK2310" s="65">
        <f>IFERROR($J2310/$J2311-1,"")</f>
        <v/>
      </c>
      <c r="DL2310" s="64">
        <f>$L2310-$L2311</f>
        <v/>
      </c>
      <c r="DM2310" s="64">
        <f>$K2310-$K2311</f>
        <v/>
      </c>
      <c r="DN2310" s="65">
        <f>IFERROR($N2310/$N2311-1,"")</f>
        <v/>
      </c>
      <c r="DO2310" s="65">
        <f>IFERROR($M2310/$M2311-1,"")</f>
        <v/>
      </c>
      <c r="DP2310" s="65">
        <f>IFERROR($AZ2310/$AZ2311-1,"")</f>
        <v/>
      </c>
      <c r="DQ2310" s="65">
        <f>IFERROR($BA2310/$BA2311-1,"")</f>
        <v/>
      </c>
      <c r="DR2310" s="64">
        <f>$O2310-$O2311</f>
        <v/>
      </c>
      <c r="DS2310" s="64">
        <f>$P2310-$P2311</f>
        <v/>
      </c>
      <c r="DT2310" s="64">
        <f>$Q2310-$Q2311</f>
        <v/>
      </c>
      <c r="DU2310" s="64">
        <f>$S2310-$S2311</f>
        <v/>
      </c>
      <c r="DV2310" s="65">
        <f>IFERROR(AVERAGE($AA2311/$AA2310-1,$AB2311/$AB2310-1,$AC2311/$AC2310-1,$AD2311/$AD2310-1,$AE2311/$AE2310-1,$AG2311/$AG2310-1,$AH2311/$AH2310-1,$AI2311/$AI2310-1,$AJ2311/$AJ2310-1,$AL2311/$AL2310-1,$AM2311/$AM2310-1,$AR2311/$AR2310-1,$AS2311/$AS2310-1,$AT2311/$AT2310-1,$AU2311/$AU2310-1,$AV2311/$AV2310-1,$AW2311/$AW2310-1,$AX2311/$AX2310-1,$AY2311/$AY2310-1),"")</f>
        <v/>
      </c>
      <c r="DW2310" s="66">
        <f>AVERAGE($CB2310,$CC2310,$CD2310,$CE2310,$CF2310,$CG2310,$CH2310,$CI2310,$CJ2310,$CL2310,$CM2310,$CN2310,$CO2310,$CP2310,$CQ2310,$CR2310,$CS2310,$CT2310)</f>
        <v/>
      </c>
      <c r="DX2310" s="66">
        <f>AVERAGE($CB2310,$CC2310,$CM2310,$CE2310,$CP2310)</f>
        <v/>
      </c>
      <c r="DY2310" s="64">
        <f>($DW2310-$DW2311)*100</f>
        <v/>
      </c>
      <c r="DZ2310" s="64">
        <f>($DX2310-$DX2311)*100</f>
        <v/>
      </c>
      <c r="EA2310" s="64">
        <f>($DW2310-$D2310)*100</f>
        <v/>
      </c>
      <c r="EB2310" s="64">
        <f>$Q2310-$O2310</f>
        <v/>
      </c>
      <c r="EC2310" s="67">
        <f>IFERROR($Q2310/$P2310,"")</f>
        <v/>
      </c>
    </row>
    <row r="2311">
      <c r="DG2311" s="64">
        <f>($B2311-$B2312)*100</f>
        <v/>
      </c>
      <c r="DH2311" s="64">
        <f>($D2311-$D2312)*100</f>
        <v/>
      </c>
      <c r="DI2311" s="64">
        <f>($E2311-$E2312)*100</f>
        <v/>
      </c>
      <c r="DJ2311" s="64">
        <f>($H2311-$H2312)*100</f>
        <v/>
      </c>
      <c r="DK2311" s="65">
        <f>IFERROR($J2311/$J2312-1,"")</f>
        <v/>
      </c>
      <c r="DL2311" s="64">
        <f>$L2311-$L2312</f>
        <v/>
      </c>
      <c r="DM2311" s="64">
        <f>$K2311-$K2312</f>
        <v/>
      </c>
      <c r="DN2311" s="65">
        <f>IFERROR($N2311/$N2312-1,"")</f>
        <v/>
      </c>
      <c r="DO2311" s="65">
        <f>IFERROR($M2311/$M2312-1,"")</f>
        <v/>
      </c>
      <c r="DP2311" s="65">
        <f>IFERROR($AZ2311/$AZ2312-1,"")</f>
        <v/>
      </c>
      <c r="DQ2311" s="65">
        <f>IFERROR($BA2311/$BA2312-1,"")</f>
        <v/>
      </c>
      <c r="DR2311" s="64">
        <f>$O2311-$O2312</f>
        <v/>
      </c>
      <c r="DS2311" s="64">
        <f>$P2311-$P2312</f>
        <v/>
      </c>
      <c r="DT2311" s="64">
        <f>$Q2311-$Q2312</f>
        <v/>
      </c>
      <c r="DU2311" s="64">
        <f>$S2311-$S2312</f>
        <v/>
      </c>
      <c r="DV2311" s="65">
        <f>IFERROR(AVERAGE($AA2312/$AA2311-1,$AB2312/$AB2311-1,$AC2312/$AC2311-1,$AD2312/$AD2311-1,$AE2312/$AE2311-1,$AG2312/$AG2311-1,$AH2312/$AH2311-1,$AI2312/$AI2311-1,$AJ2312/$AJ2311-1,$AL2312/$AL2311-1,$AM2312/$AM2311-1,$AR2312/$AR2311-1,$AS2312/$AS2311-1,$AT2312/$AT2311-1,$AU2312/$AU2311-1,$AV2312/$AV2311-1,$AW2312/$AW2311-1,$AX2312/$AX2311-1,$AY2312/$AY2311-1),"")</f>
        <v/>
      </c>
      <c r="DW2311" s="66">
        <f>AVERAGE($CB2311,$CC2311,$CD2311,$CE2311,$CF2311,$CG2311,$CH2311,$CI2311,$CJ2311,$CL2311,$CM2311,$CN2311,$CO2311,$CP2311,$CQ2311,$CR2311,$CS2311,$CT2311)</f>
        <v/>
      </c>
      <c r="DX2311" s="66">
        <f>AVERAGE($CB2311,$CC2311,$CM2311,$CE2311,$CP2311)</f>
        <v/>
      </c>
      <c r="DY2311" s="64">
        <f>($DW2311-$DW2312)*100</f>
        <v/>
      </c>
      <c r="DZ2311" s="64">
        <f>($DX2311-$DX2312)*100</f>
        <v/>
      </c>
      <c r="EA2311" s="64">
        <f>($DW2311-$D2311)*100</f>
        <v/>
      </c>
      <c r="EB2311" s="64">
        <f>$Q2311-$O2311</f>
        <v/>
      </c>
      <c r="EC2311" s="67">
        <f>IFERROR($Q2311/$P2311,"")</f>
        <v/>
      </c>
    </row>
    <row r="2312">
      <c r="DG2312" s="64">
        <f>($B2312-$B2313)*100</f>
        <v/>
      </c>
      <c r="DH2312" s="64">
        <f>($D2312-$D2313)*100</f>
        <v/>
      </c>
      <c r="DI2312" s="64">
        <f>($E2312-$E2313)*100</f>
        <v/>
      </c>
      <c r="DJ2312" s="64">
        <f>($H2312-$H2313)*100</f>
        <v/>
      </c>
      <c r="DK2312" s="65">
        <f>IFERROR($J2312/$J2313-1,"")</f>
        <v/>
      </c>
      <c r="DL2312" s="64">
        <f>$L2312-$L2313</f>
        <v/>
      </c>
      <c r="DM2312" s="64">
        <f>$K2312-$K2313</f>
        <v/>
      </c>
      <c r="DN2312" s="65">
        <f>IFERROR($N2312/$N2313-1,"")</f>
        <v/>
      </c>
      <c r="DO2312" s="65">
        <f>IFERROR($M2312/$M2313-1,"")</f>
        <v/>
      </c>
      <c r="DP2312" s="65">
        <f>IFERROR($AZ2312/$AZ2313-1,"")</f>
        <v/>
      </c>
      <c r="DQ2312" s="65">
        <f>IFERROR($BA2312/$BA2313-1,"")</f>
        <v/>
      </c>
      <c r="DR2312" s="64">
        <f>$O2312-$O2313</f>
        <v/>
      </c>
      <c r="DS2312" s="64">
        <f>$P2312-$P2313</f>
        <v/>
      </c>
      <c r="DT2312" s="64">
        <f>$Q2312-$Q2313</f>
        <v/>
      </c>
      <c r="DU2312" s="64">
        <f>$S2312-$S2313</f>
        <v/>
      </c>
      <c r="DV2312" s="65">
        <f>IFERROR(AVERAGE($AA2313/$AA2312-1,$AB2313/$AB2312-1,$AC2313/$AC2312-1,$AD2313/$AD2312-1,$AE2313/$AE2312-1,$AG2313/$AG2312-1,$AH2313/$AH2312-1,$AI2313/$AI2312-1,$AJ2313/$AJ2312-1,$AL2313/$AL2312-1,$AM2313/$AM2312-1,$AR2313/$AR2312-1,$AS2313/$AS2312-1,$AT2313/$AT2312-1,$AU2313/$AU2312-1,$AV2313/$AV2312-1,$AW2313/$AW2312-1,$AX2313/$AX2312-1,$AY2313/$AY2312-1),"")</f>
        <v/>
      </c>
      <c r="DW2312" s="66">
        <f>AVERAGE($CB2312,$CC2312,$CD2312,$CE2312,$CF2312,$CG2312,$CH2312,$CI2312,$CJ2312,$CL2312,$CM2312,$CN2312,$CO2312,$CP2312,$CQ2312,$CR2312,$CS2312,$CT2312)</f>
        <v/>
      </c>
      <c r="DX2312" s="66">
        <f>AVERAGE($CB2312,$CC2312,$CM2312,$CE2312,$CP2312)</f>
        <v/>
      </c>
      <c r="DY2312" s="64">
        <f>($DW2312-$DW2313)*100</f>
        <v/>
      </c>
      <c r="DZ2312" s="64">
        <f>($DX2312-$DX2313)*100</f>
        <v/>
      </c>
      <c r="EA2312" s="64">
        <f>($DW2312-$D2312)*100</f>
        <v/>
      </c>
      <c r="EB2312" s="64">
        <f>$Q2312-$O2312</f>
        <v/>
      </c>
      <c r="EC2312" s="67">
        <f>IFERROR($Q2312/$P2312,"")</f>
        <v/>
      </c>
    </row>
    <row r="2313">
      <c r="DG2313" s="64">
        <f>($B2313-$B2314)*100</f>
        <v/>
      </c>
      <c r="DH2313" s="64">
        <f>($D2313-$D2314)*100</f>
        <v/>
      </c>
      <c r="DI2313" s="64">
        <f>($E2313-$E2314)*100</f>
        <v/>
      </c>
      <c r="DJ2313" s="64">
        <f>($H2313-$H2314)*100</f>
        <v/>
      </c>
      <c r="DK2313" s="65">
        <f>IFERROR($J2313/$J2314-1,"")</f>
        <v/>
      </c>
      <c r="DL2313" s="64">
        <f>$L2313-$L2314</f>
        <v/>
      </c>
      <c r="DM2313" s="64">
        <f>$K2313-$K2314</f>
        <v/>
      </c>
      <c r="DN2313" s="65">
        <f>IFERROR($N2313/$N2314-1,"")</f>
        <v/>
      </c>
      <c r="DO2313" s="65">
        <f>IFERROR($M2313/$M2314-1,"")</f>
        <v/>
      </c>
      <c r="DP2313" s="65">
        <f>IFERROR($AZ2313/$AZ2314-1,"")</f>
        <v/>
      </c>
      <c r="DQ2313" s="65">
        <f>IFERROR($BA2313/$BA2314-1,"")</f>
        <v/>
      </c>
      <c r="DR2313" s="64">
        <f>$O2313-$O2314</f>
        <v/>
      </c>
      <c r="DS2313" s="64">
        <f>$P2313-$P2314</f>
        <v/>
      </c>
      <c r="DT2313" s="64">
        <f>$Q2313-$Q2314</f>
        <v/>
      </c>
      <c r="DU2313" s="64">
        <f>$S2313-$S2314</f>
        <v/>
      </c>
      <c r="DV2313" s="65">
        <f>IFERROR(AVERAGE($AA2314/$AA2313-1,$AB2314/$AB2313-1,$AC2314/$AC2313-1,$AD2314/$AD2313-1,$AE2314/$AE2313-1,$AG2314/$AG2313-1,$AH2314/$AH2313-1,$AI2314/$AI2313-1,$AJ2314/$AJ2313-1,$AL2314/$AL2313-1,$AM2314/$AM2313-1,$AR2314/$AR2313-1,$AS2314/$AS2313-1,$AT2314/$AT2313-1,$AU2314/$AU2313-1,$AV2314/$AV2313-1,$AW2314/$AW2313-1,$AX2314/$AX2313-1,$AY2314/$AY2313-1),"")</f>
        <v/>
      </c>
      <c r="DW2313" s="66">
        <f>AVERAGE($CB2313,$CC2313,$CD2313,$CE2313,$CF2313,$CG2313,$CH2313,$CI2313,$CJ2313,$CL2313,$CM2313,$CN2313,$CO2313,$CP2313,$CQ2313,$CR2313,$CS2313,$CT2313)</f>
        <v/>
      </c>
      <c r="DX2313" s="66">
        <f>AVERAGE($CB2313,$CC2313,$CM2313,$CE2313,$CP2313)</f>
        <v/>
      </c>
      <c r="DY2313" s="64">
        <f>($DW2313-$DW2314)*100</f>
        <v/>
      </c>
      <c r="DZ2313" s="64">
        <f>($DX2313-$DX2314)*100</f>
        <v/>
      </c>
      <c r="EA2313" s="64">
        <f>($DW2313-$D2313)*100</f>
        <v/>
      </c>
      <c r="EB2313" s="64">
        <f>$Q2313-$O2313</f>
        <v/>
      </c>
      <c r="EC2313" s="67">
        <f>IFERROR($Q2313/$P2313,"")</f>
        <v/>
      </c>
    </row>
    <row r="2314">
      <c r="DG2314" s="64">
        <f>($B2314-$B2315)*100</f>
        <v/>
      </c>
      <c r="DH2314" s="64">
        <f>($D2314-$D2315)*100</f>
        <v/>
      </c>
      <c r="DI2314" s="64">
        <f>($E2314-$E2315)*100</f>
        <v/>
      </c>
      <c r="DJ2314" s="64">
        <f>($H2314-$H2315)*100</f>
        <v/>
      </c>
      <c r="DK2314" s="65">
        <f>IFERROR($J2314/$J2315-1,"")</f>
        <v/>
      </c>
      <c r="DL2314" s="64">
        <f>$L2314-$L2315</f>
        <v/>
      </c>
      <c r="DM2314" s="64">
        <f>$K2314-$K2315</f>
        <v/>
      </c>
      <c r="DN2314" s="65">
        <f>IFERROR($N2314/$N2315-1,"")</f>
        <v/>
      </c>
      <c r="DO2314" s="65">
        <f>IFERROR($M2314/$M2315-1,"")</f>
        <v/>
      </c>
      <c r="DP2314" s="65">
        <f>IFERROR($AZ2314/$AZ2315-1,"")</f>
        <v/>
      </c>
      <c r="DQ2314" s="65">
        <f>IFERROR($BA2314/$BA2315-1,"")</f>
        <v/>
      </c>
      <c r="DR2314" s="64">
        <f>$O2314-$O2315</f>
        <v/>
      </c>
      <c r="DS2314" s="64">
        <f>$P2314-$P2315</f>
        <v/>
      </c>
      <c r="DT2314" s="64">
        <f>$Q2314-$Q2315</f>
        <v/>
      </c>
      <c r="DU2314" s="64">
        <f>$S2314-$S2315</f>
        <v/>
      </c>
      <c r="DV2314" s="65">
        <f>IFERROR(AVERAGE($AA2315/$AA2314-1,$AB2315/$AB2314-1,$AC2315/$AC2314-1,$AD2315/$AD2314-1,$AE2315/$AE2314-1,$AG2315/$AG2314-1,$AH2315/$AH2314-1,$AI2315/$AI2314-1,$AJ2315/$AJ2314-1,$AL2315/$AL2314-1,$AM2315/$AM2314-1,$AR2315/$AR2314-1,$AS2315/$AS2314-1,$AT2315/$AT2314-1,$AU2315/$AU2314-1,$AV2315/$AV2314-1,$AW2315/$AW2314-1,$AX2315/$AX2314-1,$AY2315/$AY2314-1),"")</f>
        <v/>
      </c>
      <c r="DW2314" s="66">
        <f>AVERAGE($CB2314,$CC2314,$CD2314,$CE2314,$CF2314,$CG2314,$CH2314,$CI2314,$CJ2314,$CL2314,$CM2314,$CN2314,$CO2314,$CP2314,$CQ2314,$CR2314,$CS2314,$CT2314)</f>
        <v/>
      </c>
      <c r="DX2314" s="66">
        <f>AVERAGE($CB2314,$CC2314,$CM2314,$CE2314,$CP2314)</f>
        <v/>
      </c>
      <c r="DY2314" s="64">
        <f>($DW2314-$DW2315)*100</f>
        <v/>
      </c>
      <c r="DZ2314" s="64">
        <f>($DX2314-$DX2315)*100</f>
        <v/>
      </c>
      <c r="EA2314" s="64">
        <f>($DW2314-$D2314)*100</f>
        <v/>
      </c>
      <c r="EB2314" s="64">
        <f>$Q2314-$O2314</f>
        <v/>
      </c>
      <c r="EC2314" s="67">
        <f>IFERROR($Q2314/$P2314,"")</f>
        <v/>
      </c>
    </row>
    <row r="2315">
      <c r="DG2315" s="64">
        <f>($B2315-$B2316)*100</f>
        <v/>
      </c>
      <c r="DH2315" s="64">
        <f>($D2315-$D2316)*100</f>
        <v/>
      </c>
      <c r="DI2315" s="64">
        <f>($E2315-$E2316)*100</f>
        <v/>
      </c>
      <c r="DJ2315" s="64">
        <f>($H2315-$H2316)*100</f>
        <v/>
      </c>
      <c r="DK2315" s="65">
        <f>IFERROR($J2315/$J2316-1,"")</f>
        <v/>
      </c>
      <c r="DL2315" s="64">
        <f>$L2315-$L2316</f>
        <v/>
      </c>
      <c r="DM2315" s="64">
        <f>$K2315-$K2316</f>
        <v/>
      </c>
      <c r="DN2315" s="65">
        <f>IFERROR($N2315/$N2316-1,"")</f>
        <v/>
      </c>
      <c r="DO2315" s="65">
        <f>IFERROR($M2315/$M2316-1,"")</f>
        <v/>
      </c>
      <c r="DP2315" s="65">
        <f>IFERROR($AZ2315/$AZ2316-1,"")</f>
        <v/>
      </c>
      <c r="DQ2315" s="65">
        <f>IFERROR($BA2315/$BA2316-1,"")</f>
        <v/>
      </c>
      <c r="DR2315" s="64">
        <f>$O2315-$O2316</f>
        <v/>
      </c>
      <c r="DS2315" s="64">
        <f>$P2315-$P2316</f>
        <v/>
      </c>
      <c r="DT2315" s="64">
        <f>$Q2315-$Q2316</f>
        <v/>
      </c>
      <c r="DU2315" s="64">
        <f>$S2315-$S2316</f>
        <v/>
      </c>
      <c r="DV2315" s="65">
        <f>IFERROR(AVERAGE($AA2316/$AA2315-1,$AB2316/$AB2315-1,$AC2316/$AC2315-1,$AD2316/$AD2315-1,$AE2316/$AE2315-1,$AG2316/$AG2315-1,$AH2316/$AH2315-1,$AI2316/$AI2315-1,$AJ2316/$AJ2315-1,$AL2316/$AL2315-1,$AM2316/$AM2315-1,$AR2316/$AR2315-1,$AS2316/$AS2315-1,$AT2316/$AT2315-1,$AU2316/$AU2315-1,$AV2316/$AV2315-1,$AW2316/$AW2315-1,$AX2316/$AX2315-1,$AY2316/$AY2315-1),"")</f>
        <v/>
      </c>
      <c r="DW2315" s="66">
        <f>AVERAGE($CB2315,$CC2315,$CD2315,$CE2315,$CF2315,$CG2315,$CH2315,$CI2315,$CJ2315,$CL2315,$CM2315,$CN2315,$CO2315,$CP2315,$CQ2315,$CR2315,$CS2315,$CT2315)</f>
        <v/>
      </c>
      <c r="DX2315" s="66">
        <f>AVERAGE($CB2315,$CC2315,$CM2315,$CE2315,$CP2315)</f>
        <v/>
      </c>
      <c r="DY2315" s="64">
        <f>($DW2315-$DW2316)*100</f>
        <v/>
      </c>
      <c r="DZ2315" s="64">
        <f>($DX2315-$DX2316)*100</f>
        <v/>
      </c>
      <c r="EA2315" s="64">
        <f>($DW2315-$D2315)*100</f>
        <v/>
      </c>
      <c r="EB2315" s="64">
        <f>$Q2315-$O2315</f>
        <v/>
      </c>
      <c r="EC2315" s="67">
        <f>IFERROR($Q2315/$P2315,"")</f>
        <v/>
      </c>
    </row>
    <row r="2316">
      <c r="DG2316" s="64">
        <f>($B2316-$B2317)*100</f>
        <v/>
      </c>
      <c r="DH2316" s="64">
        <f>($D2316-$D2317)*100</f>
        <v/>
      </c>
      <c r="DI2316" s="64">
        <f>($E2316-$E2317)*100</f>
        <v/>
      </c>
      <c r="DJ2316" s="64">
        <f>($H2316-$H2317)*100</f>
        <v/>
      </c>
      <c r="DK2316" s="65">
        <f>IFERROR($J2316/$J2317-1,"")</f>
        <v/>
      </c>
      <c r="DL2316" s="64">
        <f>$L2316-$L2317</f>
        <v/>
      </c>
      <c r="DM2316" s="64">
        <f>$K2316-$K2317</f>
        <v/>
      </c>
      <c r="DN2316" s="65">
        <f>IFERROR($N2316/$N2317-1,"")</f>
        <v/>
      </c>
      <c r="DO2316" s="65">
        <f>IFERROR($M2316/$M2317-1,"")</f>
        <v/>
      </c>
      <c r="DP2316" s="65">
        <f>IFERROR($AZ2316/$AZ2317-1,"")</f>
        <v/>
      </c>
      <c r="DQ2316" s="65">
        <f>IFERROR($BA2316/$BA2317-1,"")</f>
        <v/>
      </c>
      <c r="DR2316" s="64">
        <f>$O2316-$O2317</f>
        <v/>
      </c>
      <c r="DS2316" s="64">
        <f>$P2316-$P2317</f>
        <v/>
      </c>
      <c r="DT2316" s="64">
        <f>$Q2316-$Q2317</f>
        <v/>
      </c>
      <c r="DU2316" s="64">
        <f>$S2316-$S2317</f>
        <v/>
      </c>
      <c r="DV2316" s="65">
        <f>IFERROR(AVERAGE($AA2317/$AA2316-1,$AB2317/$AB2316-1,$AC2317/$AC2316-1,$AD2317/$AD2316-1,$AE2317/$AE2316-1,$AG2317/$AG2316-1,$AH2317/$AH2316-1,$AI2317/$AI2316-1,$AJ2317/$AJ2316-1,$AL2317/$AL2316-1,$AM2317/$AM2316-1,$AR2317/$AR2316-1,$AS2317/$AS2316-1,$AT2317/$AT2316-1,$AU2317/$AU2316-1,$AV2317/$AV2316-1,$AW2317/$AW2316-1,$AX2317/$AX2316-1,$AY2317/$AY2316-1),"")</f>
        <v/>
      </c>
      <c r="DW2316" s="66">
        <f>AVERAGE($CB2316,$CC2316,$CD2316,$CE2316,$CF2316,$CG2316,$CH2316,$CI2316,$CJ2316,$CL2316,$CM2316,$CN2316,$CO2316,$CP2316,$CQ2316,$CR2316,$CS2316,$CT2316)</f>
        <v/>
      </c>
      <c r="DX2316" s="66">
        <f>AVERAGE($CB2316,$CC2316,$CM2316,$CE2316,$CP2316)</f>
        <v/>
      </c>
      <c r="DY2316" s="64">
        <f>($DW2316-$DW2317)*100</f>
        <v/>
      </c>
      <c r="DZ2316" s="64">
        <f>($DX2316-$DX2317)*100</f>
        <v/>
      </c>
      <c r="EA2316" s="64">
        <f>($DW2316-$D2316)*100</f>
        <v/>
      </c>
      <c r="EB2316" s="64">
        <f>$Q2316-$O2316</f>
        <v/>
      </c>
      <c r="EC2316" s="67">
        <f>IFERROR($Q2316/$P2316,"")</f>
        <v/>
      </c>
    </row>
    <row r="2317">
      <c r="DG2317" s="64">
        <f>($B2317-$B2318)*100</f>
        <v/>
      </c>
      <c r="DH2317" s="64">
        <f>($D2317-$D2318)*100</f>
        <v/>
      </c>
      <c r="DI2317" s="64">
        <f>($E2317-$E2318)*100</f>
        <v/>
      </c>
      <c r="DJ2317" s="64">
        <f>($H2317-$H2318)*100</f>
        <v/>
      </c>
      <c r="DK2317" s="65">
        <f>IFERROR($J2317/$J2318-1,"")</f>
        <v/>
      </c>
      <c r="DL2317" s="64">
        <f>$L2317-$L2318</f>
        <v/>
      </c>
      <c r="DM2317" s="64">
        <f>$K2317-$K2318</f>
        <v/>
      </c>
      <c r="DN2317" s="65">
        <f>IFERROR($N2317/$N2318-1,"")</f>
        <v/>
      </c>
      <c r="DO2317" s="65">
        <f>IFERROR($M2317/$M2318-1,"")</f>
        <v/>
      </c>
      <c r="DP2317" s="65">
        <f>IFERROR($AZ2317/$AZ2318-1,"")</f>
        <v/>
      </c>
      <c r="DQ2317" s="65">
        <f>IFERROR($BA2317/$BA2318-1,"")</f>
        <v/>
      </c>
      <c r="DR2317" s="64">
        <f>$O2317-$O2318</f>
        <v/>
      </c>
      <c r="DS2317" s="64">
        <f>$P2317-$P2318</f>
        <v/>
      </c>
      <c r="DT2317" s="64">
        <f>$Q2317-$Q2318</f>
        <v/>
      </c>
      <c r="DU2317" s="64">
        <f>$S2317-$S2318</f>
        <v/>
      </c>
      <c r="DV2317" s="65">
        <f>IFERROR(AVERAGE($AA2318/$AA2317-1,$AB2318/$AB2317-1,$AC2318/$AC2317-1,$AD2318/$AD2317-1,$AE2318/$AE2317-1,$AG2318/$AG2317-1,$AH2318/$AH2317-1,$AI2318/$AI2317-1,$AJ2318/$AJ2317-1,$AL2318/$AL2317-1,$AM2318/$AM2317-1,$AR2318/$AR2317-1,$AS2318/$AS2317-1,$AT2318/$AT2317-1,$AU2318/$AU2317-1,$AV2318/$AV2317-1,$AW2318/$AW2317-1,$AX2318/$AX2317-1,$AY2318/$AY2317-1),"")</f>
        <v/>
      </c>
      <c r="DW2317" s="66">
        <f>AVERAGE($CB2317,$CC2317,$CD2317,$CE2317,$CF2317,$CG2317,$CH2317,$CI2317,$CJ2317,$CL2317,$CM2317,$CN2317,$CO2317,$CP2317,$CQ2317,$CR2317,$CS2317,$CT2317)</f>
        <v/>
      </c>
      <c r="DX2317" s="66">
        <f>AVERAGE($CB2317,$CC2317,$CM2317,$CE2317,$CP2317)</f>
        <v/>
      </c>
      <c r="DY2317" s="64">
        <f>($DW2317-$DW2318)*100</f>
        <v/>
      </c>
      <c r="DZ2317" s="64">
        <f>($DX2317-$DX2318)*100</f>
        <v/>
      </c>
      <c r="EA2317" s="64">
        <f>($DW2317-$D2317)*100</f>
        <v/>
      </c>
      <c r="EB2317" s="64">
        <f>$Q2317-$O2317</f>
        <v/>
      </c>
      <c r="EC2317" s="67">
        <f>IFERROR($Q2317/$P2317,"")</f>
        <v/>
      </c>
    </row>
    <row r="2318">
      <c r="DG2318" s="64">
        <f>($B2318-$B2319)*100</f>
        <v/>
      </c>
      <c r="DH2318" s="64">
        <f>($D2318-$D2319)*100</f>
        <v/>
      </c>
      <c r="DI2318" s="64">
        <f>($E2318-$E2319)*100</f>
        <v/>
      </c>
      <c r="DJ2318" s="64">
        <f>($H2318-$H2319)*100</f>
        <v/>
      </c>
      <c r="DK2318" s="65">
        <f>IFERROR($J2318/$J2319-1,"")</f>
        <v/>
      </c>
      <c r="DL2318" s="64">
        <f>$L2318-$L2319</f>
        <v/>
      </c>
      <c r="DM2318" s="64">
        <f>$K2318-$K2319</f>
        <v/>
      </c>
      <c r="DN2318" s="65">
        <f>IFERROR($N2318/$N2319-1,"")</f>
        <v/>
      </c>
      <c r="DO2318" s="65">
        <f>IFERROR($M2318/$M2319-1,"")</f>
        <v/>
      </c>
      <c r="DP2318" s="65">
        <f>IFERROR($AZ2318/$AZ2319-1,"")</f>
        <v/>
      </c>
      <c r="DQ2318" s="65">
        <f>IFERROR($BA2318/$BA2319-1,"")</f>
        <v/>
      </c>
      <c r="DR2318" s="64">
        <f>$O2318-$O2319</f>
        <v/>
      </c>
      <c r="DS2318" s="64">
        <f>$P2318-$P2319</f>
        <v/>
      </c>
      <c r="DT2318" s="64">
        <f>$Q2318-$Q2319</f>
        <v/>
      </c>
      <c r="DU2318" s="64">
        <f>$S2318-$S2319</f>
        <v/>
      </c>
      <c r="DV2318" s="65">
        <f>IFERROR(AVERAGE($AA2319/$AA2318-1,$AB2319/$AB2318-1,$AC2319/$AC2318-1,$AD2319/$AD2318-1,$AE2319/$AE2318-1,$AG2319/$AG2318-1,$AH2319/$AH2318-1,$AI2319/$AI2318-1,$AJ2319/$AJ2318-1,$AL2319/$AL2318-1,$AM2319/$AM2318-1,$AR2319/$AR2318-1,$AS2319/$AS2318-1,$AT2319/$AT2318-1,$AU2319/$AU2318-1,$AV2319/$AV2318-1,$AW2319/$AW2318-1,$AX2319/$AX2318-1,$AY2319/$AY2318-1),"")</f>
        <v/>
      </c>
      <c r="DW2318" s="66">
        <f>AVERAGE($CB2318,$CC2318,$CD2318,$CE2318,$CF2318,$CG2318,$CH2318,$CI2318,$CJ2318,$CL2318,$CM2318,$CN2318,$CO2318,$CP2318,$CQ2318,$CR2318,$CS2318,$CT2318)</f>
        <v/>
      </c>
      <c r="DX2318" s="66">
        <f>AVERAGE($CB2318,$CC2318,$CM2318,$CE2318,$CP2318)</f>
        <v/>
      </c>
      <c r="DY2318" s="64">
        <f>($DW2318-$DW2319)*100</f>
        <v/>
      </c>
      <c r="DZ2318" s="64">
        <f>($DX2318-$DX2319)*100</f>
        <v/>
      </c>
      <c r="EA2318" s="64">
        <f>($DW2318-$D2318)*100</f>
        <v/>
      </c>
      <c r="EB2318" s="64">
        <f>$Q2318-$O2318</f>
        <v/>
      </c>
      <c r="EC2318" s="67">
        <f>IFERROR($Q2318/$P2318,"")</f>
        <v/>
      </c>
    </row>
    <row r="2319">
      <c r="DG2319" s="64">
        <f>($B2319-$B2320)*100</f>
        <v/>
      </c>
      <c r="DH2319" s="64">
        <f>($D2319-$D2320)*100</f>
        <v/>
      </c>
      <c r="DI2319" s="64">
        <f>($E2319-$E2320)*100</f>
        <v/>
      </c>
      <c r="DJ2319" s="64">
        <f>($H2319-$H2320)*100</f>
        <v/>
      </c>
      <c r="DK2319" s="65">
        <f>IFERROR($J2319/$J2320-1,"")</f>
        <v/>
      </c>
      <c r="DL2319" s="64">
        <f>$L2319-$L2320</f>
        <v/>
      </c>
      <c r="DM2319" s="64">
        <f>$K2319-$K2320</f>
        <v/>
      </c>
      <c r="DN2319" s="65">
        <f>IFERROR($N2319/$N2320-1,"")</f>
        <v/>
      </c>
      <c r="DO2319" s="65">
        <f>IFERROR($M2319/$M2320-1,"")</f>
        <v/>
      </c>
      <c r="DP2319" s="65">
        <f>IFERROR($AZ2319/$AZ2320-1,"")</f>
        <v/>
      </c>
      <c r="DQ2319" s="65">
        <f>IFERROR($BA2319/$BA2320-1,"")</f>
        <v/>
      </c>
      <c r="DR2319" s="64">
        <f>$O2319-$O2320</f>
        <v/>
      </c>
      <c r="DS2319" s="64">
        <f>$P2319-$P2320</f>
        <v/>
      </c>
      <c r="DT2319" s="64">
        <f>$Q2319-$Q2320</f>
        <v/>
      </c>
      <c r="DU2319" s="64">
        <f>$S2319-$S2320</f>
        <v/>
      </c>
      <c r="DV2319" s="65">
        <f>IFERROR(AVERAGE($AA2320/$AA2319-1,$AB2320/$AB2319-1,$AC2320/$AC2319-1,$AD2320/$AD2319-1,$AE2320/$AE2319-1,$AG2320/$AG2319-1,$AH2320/$AH2319-1,$AI2320/$AI2319-1,$AJ2320/$AJ2319-1,$AL2320/$AL2319-1,$AM2320/$AM2319-1,$AR2320/$AR2319-1,$AS2320/$AS2319-1,$AT2320/$AT2319-1,$AU2320/$AU2319-1,$AV2320/$AV2319-1,$AW2320/$AW2319-1,$AX2320/$AX2319-1,$AY2320/$AY2319-1),"")</f>
        <v/>
      </c>
      <c r="DW2319" s="66">
        <f>AVERAGE($CB2319,$CC2319,$CD2319,$CE2319,$CF2319,$CG2319,$CH2319,$CI2319,$CJ2319,$CL2319,$CM2319,$CN2319,$CO2319,$CP2319,$CQ2319,$CR2319,$CS2319,$CT2319)</f>
        <v/>
      </c>
      <c r="DX2319" s="66">
        <f>AVERAGE($CB2319,$CC2319,$CM2319,$CE2319,$CP2319)</f>
        <v/>
      </c>
      <c r="DY2319" s="64">
        <f>($DW2319-$DW2320)*100</f>
        <v/>
      </c>
      <c r="DZ2319" s="64">
        <f>($DX2319-$DX2320)*100</f>
        <v/>
      </c>
      <c r="EA2319" s="64">
        <f>($DW2319-$D2319)*100</f>
        <v/>
      </c>
      <c r="EB2319" s="64">
        <f>$Q2319-$O2319</f>
        <v/>
      </c>
      <c r="EC2319" s="67">
        <f>IFERROR($Q2319/$P2319,"")</f>
        <v/>
      </c>
    </row>
    <row r="2320">
      <c r="DG2320" s="64">
        <f>($B2320-$B2321)*100</f>
        <v/>
      </c>
      <c r="DH2320" s="64">
        <f>($D2320-$D2321)*100</f>
        <v/>
      </c>
      <c r="DI2320" s="64">
        <f>($E2320-$E2321)*100</f>
        <v/>
      </c>
      <c r="DJ2320" s="64">
        <f>($H2320-$H2321)*100</f>
        <v/>
      </c>
      <c r="DK2320" s="65">
        <f>IFERROR($J2320/$J2321-1,"")</f>
        <v/>
      </c>
      <c r="DL2320" s="64">
        <f>$L2320-$L2321</f>
        <v/>
      </c>
      <c r="DM2320" s="64">
        <f>$K2320-$K2321</f>
        <v/>
      </c>
      <c r="DN2320" s="65">
        <f>IFERROR($N2320/$N2321-1,"")</f>
        <v/>
      </c>
      <c r="DO2320" s="65">
        <f>IFERROR($M2320/$M2321-1,"")</f>
        <v/>
      </c>
      <c r="DP2320" s="65">
        <f>IFERROR($AZ2320/$AZ2321-1,"")</f>
        <v/>
      </c>
      <c r="DQ2320" s="65">
        <f>IFERROR($BA2320/$BA2321-1,"")</f>
        <v/>
      </c>
      <c r="DR2320" s="64">
        <f>$O2320-$O2321</f>
        <v/>
      </c>
      <c r="DS2320" s="64">
        <f>$P2320-$P2321</f>
        <v/>
      </c>
      <c r="DT2320" s="64">
        <f>$Q2320-$Q2321</f>
        <v/>
      </c>
      <c r="DU2320" s="64">
        <f>$S2320-$S2321</f>
        <v/>
      </c>
      <c r="DV2320" s="65">
        <f>IFERROR(AVERAGE($AA2321/$AA2320-1,$AB2321/$AB2320-1,$AC2321/$AC2320-1,$AD2321/$AD2320-1,$AE2321/$AE2320-1,$AG2321/$AG2320-1,$AH2321/$AH2320-1,$AI2321/$AI2320-1,$AJ2321/$AJ2320-1,$AL2321/$AL2320-1,$AM2321/$AM2320-1,$AR2321/$AR2320-1,$AS2321/$AS2320-1,$AT2321/$AT2320-1,$AU2321/$AU2320-1,$AV2321/$AV2320-1,$AW2321/$AW2320-1,$AX2321/$AX2320-1,$AY2321/$AY2320-1),"")</f>
        <v/>
      </c>
      <c r="DW2320" s="66">
        <f>AVERAGE($CB2320,$CC2320,$CD2320,$CE2320,$CF2320,$CG2320,$CH2320,$CI2320,$CJ2320,$CL2320,$CM2320,$CN2320,$CO2320,$CP2320,$CQ2320,$CR2320,$CS2320,$CT2320)</f>
        <v/>
      </c>
      <c r="DX2320" s="66">
        <f>AVERAGE($CB2320,$CC2320,$CM2320,$CE2320,$CP2320)</f>
        <v/>
      </c>
      <c r="DY2320" s="64">
        <f>($DW2320-$DW2321)*100</f>
        <v/>
      </c>
      <c r="DZ2320" s="64">
        <f>($DX2320-$DX2321)*100</f>
        <v/>
      </c>
      <c r="EA2320" s="64">
        <f>($DW2320-$D2320)*100</f>
        <v/>
      </c>
      <c r="EB2320" s="64">
        <f>$Q2320-$O2320</f>
        <v/>
      </c>
      <c r="EC2320" s="67">
        <f>IFERROR($Q2320/$P2320,"")</f>
        <v/>
      </c>
    </row>
    <row r="2321">
      <c r="DG2321" s="64">
        <f>($B2321-$B2322)*100</f>
        <v/>
      </c>
      <c r="DH2321" s="64">
        <f>($D2321-$D2322)*100</f>
        <v/>
      </c>
      <c r="DI2321" s="64">
        <f>($E2321-$E2322)*100</f>
        <v/>
      </c>
      <c r="DJ2321" s="64">
        <f>($H2321-$H2322)*100</f>
        <v/>
      </c>
      <c r="DK2321" s="65">
        <f>IFERROR($J2321/$J2322-1,"")</f>
        <v/>
      </c>
      <c r="DL2321" s="64">
        <f>$L2321-$L2322</f>
        <v/>
      </c>
      <c r="DM2321" s="64">
        <f>$K2321-$K2322</f>
        <v/>
      </c>
      <c r="DN2321" s="65">
        <f>IFERROR($N2321/$N2322-1,"")</f>
        <v/>
      </c>
      <c r="DO2321" s="65">
        <f>IFERROR($M2321/$M2322-1,"")</f>
        <v/>
      </c>
      <c r="DP2321" s="65">
        <f>IFERROR($AZ2321/$AZ2322-1,"")</f>
        <v/>
      </c>
      <c r="DQ2321" s="65">
        <f>IFERROR($BA2321/$BA2322-1,"")</f>
        <v/>
      </c>
      <c r="DR2321" s="64">
        <f>$O2321-$O2322</f>
        <v/>
      </c>
      <c r="DS2321" s="64">
        <f>$P2321-$P2322</f>
        <v/>
      </c>
      <c r="DT2321" s="64">
        <f>$Q2321-$Q2322</f>
        <v/>
      </c>
      <c r="DU2321" s="64">
        <f>$S2321-$S2322</f>
        <v/>
      </c>
      <c r="DV2321" s="65">
        <f>IFERROR(AVERAGE($AA2322/$AA2321-1,$AB2322/$AB2321-1,$AC2322/$AC2321-1,$AD2322/$AD2321-1,$AE2322/$AE2321-1,$AG2322/$AG2321-1,$AH2322/$AH2321-1,$AI2322/$AI2321-1,$AJ2322/$AJ2321-1,$AL2322/$AL2321-1,$AM2322/$AM2321-1,$AR2322/$AR2321-1,$AS2322/$AS2321-1,$AT2322/$AT2321-1,$AU2322/$AU2321-1,$AV2322/$AV2321-1,$AW2322/$AW2321-1,$AX2322/$AX2321-1,$AY2322/$AY2321-1),"")</f>
        <v/>
      </c>
      <c r="DW2321" s="66">
        <f>AVERAGE($CB2321,$CC2321,$CD2321,$CE2321,$CF2321,$CG2321,$CH2321,$CI2321,$CJ2321,$CL2321,$CM2321,$CN2321,$CO2321,$CP2321,$CQ2321,$CR2321,$CS2321,$CT2321)</f>
        <v/>
      </c>
      <c r="DX2321" s="66">
        <f>AVERAGE($CB2321,$CC2321,$CM2321,$CE2321,$CP2321)</f>
        <v/>
      </c>
      <c r="DY2321" s="64">
        <f>($DW2321-$DW2322)*100</f>
        <v/>
      </c>
      <c r="DZ2321" s="64">
        <f>($DX2321-$DX2322)*100</f>
        <v/>
      </c>
      <c r="EA2321" s="64">
        <f>($DW2321-$D2321)*100</f>
        <v/>
      </c>
      <c r="EB2321" s="64">
        <f>$Q2321-$O2321</f>
        <v/>
      </c>
      <c r="EC2321" s="67">
        <f>IFERROR($Q2321/$P2321,"")</f>
        <v/>
      </c>
    </row>
    <row r="2322">
      <c r="DG2322" s="64">
        <f>($B2322-$B2323)*100</f>
        <v/>
      </c>
      <c r="DH2322" s="64">
        <f>($D2322-$D2323)*100</f>
        <v/>
      </c>
      <c r="DI2322" s="64">
        <f>($E2322-$E2323)*100</f>
        <v/>
      </c>
      <c r="DJ2322" s="64">
        <f>($H2322-$H2323)*100</f>
        <v/>
      </c>
      <c r="DK2322" s="65">
        <f>IFERROR($J2322/$J2323-1,"")</f>
        <v/>
      </c>
      <c r="DL2322" s="64">
        <f>$L2322-$L2323</f>
        <v/>
      </c>
      <c r="DM2322" s="64">
        <f>$K2322-$K2323</f>
        <v/>
      </c>
      <c r="DN2322" s="65">
        <f>IFERROR($N2322/$N2323-1,"")</f>
        <v/>
      </c>
      <c r="DO2322" s="65">
        <f>IFERROR($M2322/$M2323-1,"")</f>
        <v/>
      </c>
      <c r="DP2322" s="65">
        <f>IFERROR($AZ2322/$AZ2323-1,"")</f>
        <v/>
      </c>
      <c r="DQ2322" s="65">
        <f>IFERROR($BA2322/$BA2323-1,"")</f>
        <v/>
      </c>
      <c r="DR2322" s="64">
        <f>$O2322-$O2323</f>
        <v/>
      </c>
      <c r="DS2322" s="64">
        <f>$P2322-$P2323</f>
        <v/>
      </c>
      <c r="DT2322" s="64">
        <f>$Q2322-$Q2323</f>
        <v/>
      </c>
      <c r="DU2322" s="64">
        <f>$S2322-$S2323</f>
        <v/>
      </c>
      <c r="DV2322" s="65">
        <f>IFERROR(AVERAGE($AA2323/$AA2322-1,$AB2323/$AB2322-1,$AC2323/$AC2322-1,$AD2323/$AD2322-1,$AE2323/$AE2322-1,$AG2323/$AG2322-1,$AH2323/$AH2322-1,$AI2323/$AI2322-1,$AJ2323/$AJ2322-1,$AL2323/$AL2322-1,$AM2323/$AM2322-1,$AR2323/$AR2322-1,$AS2323/$AS2322-1,$AT2323/$AT2322-1,$AU2323/$AU2322-1,$AV2323/$AV2322-1,$AW2323/$AW2322-1,$AX2323/$AX2322-1,$AY2323/$AY2322-1),"")</f>
        <v/>
      </c>
      <c r="DW2322" s="66">
        <f>AVERAGE($CB2322,$CC2322,$CD2322,$CE2322,$CF2322,$CG2322,$CH2322,$CI2322,$CJ2322,$CL2322,$CM2322,$CN2322,$CO2322,$CP2322,$CQ2322,$CR2322,$CS2322,$CT2322)</f>
        <v/>
      </c>
      <c r="DX2322" s="66">
        <f>AVERAGE($CB2322,$CC2322,$CM2322,$CE2322,$CP2322)</f>
        <v/>
      </c>
      <c r="DY2322" s="64">
        <f>($DW2322-$DW2323)*100</f>
        <v/>
      </c>
      <c r="DZ2322" s="64">
        <f>($DX2322-$DX2323)*100</f>
        <v/>
      </c>
      <c r="EA2322" s="64">
        <f>($DW2322-$D2322)*100</f>
        <v/>
      </c>
      <c r="EB2322" s="64">
        <f>$Q2322-$O2322</f>
        <v/>
      </c>
      <c r="EC2322" s="67">
        <f>IFERROR($Q2322/$P2322,"")</f>
        <v/>
      </c>
    </row>
    <row r="2323">
      <c r="DG2323" s="64">
        <f>($B2323-$B2324)*100</f>
        <v/>
      </c>
      <c r="DH2323" s="64">
        <f>($D2323-$D2324)*100</f>
        <v/>
      </c>
      <c r="DI2323" s="64">
        <f>($E2323-$E2324)*100</f>
        <v/>
      </c>
      <c r="DJ2323" s="64">
        <f>($H2323-$H2324)*100</f>
        <v/>
      </c>
      <c r="DK2323" s="65">
        <f>IFERROR($J2323/$J2324-1,"")</f>
        <v/>
      </c>
      <c r="DL2323" s="64">
        <f>$L2323-$L2324</f>
        <v/>
      </c>
      <c r="DM2323" s="64">
        <f>$K2323-$K2324</f>
        <v/>
      </c>
      <c r="DN2323" s="65">
        <f>IFERROR($N2323/$N2324-1,"")</f>
        <v/>
      </c>
      <c r="DO2323" s="65">
        <f>IFERROR($M2323/$M2324-1,"")</f>
        <v/>
      </c>
      <c r="DP2323" s="65">
        <f>IFERROR($AZ2323/$AZ2324-1,"")</f>
        <v/>
      </c>
      <c r="DQ2323" s="65">
        <f>IFERROR($BA2323/$BA2324-1,"")</f>
        <v/>
      </c>
      <c r="DR2323" s="64">
        <f>$O2323-$O2324</f>
        <v/>
      </c>
      <c r="DS2323" s="64">
        <f>$P2323-$P2324</f>
        <v/>
      </c>
      <c r="DT2323" s="64">
        <f>$Q2323-$Q2324</f>
        <v/>
      </c>
      <c r="DU2323" s="64">
        <f>$S2323-$S2324</f>
        <v/>
      </c>
      <c r="DV2323" s="65">
        <f>IFERROR(AVERAGE($AA2324/$AA2323-1,$AB2324/$AB2323-1,$AC2324/$AC2323-1,$AD2324/$AD2323-1,$AE2324/$AE2323-1,$AG2324/$AG2323-1,$AH2324/$AH2323-1,$AI2324/$AI2323-1,$AJ2324/$AJ2323-1,$AL2324/$AL2323-1,$AM2324/$AM2323-1,$AR2324/$AR2323-1,$AS2324/$AS2323-1,$AT2324/$AT2323-1,$AU2324/$AU2323-1,$AV2324/$AV2323-1,$AW2324/$AW2323-1,$AX2324/$AX2323-1,$AY2324/$AY2323-1),"")</f>
        <v/>
      </c>
      <c r="DW2323" s="66">
        <f>AVERAGE($CB2323,$CC2323,$CD2323,$CE2323,$CF2323,$CG2323,$CH2323,$CI2323,$CJ2323,$CL2323,$CM2323,$CN2323,$CO2323,$CP2323,$CQ2323,$CR2323,$CS2323,$CT2323)</f>
        <v/>
      </c>
      <c r="DX2323" s="66">
        <f>AVERAGE($CB2323,$CC2323,$CM2323,$CE2323,$CP2323)</f>
        <v/>
      </c>
      <c r="DY2323" s="64">
        <f>($DW2323-$DW2324)*100</f>
        <v/>
      </c>
      <c r="DZ2323" s="64">
        <f>($DX2323-$DX2324)*100</f>
        <v/>
      </c>
      <c r="EA2323" s="64">
        <f>($DW2323-$D2323)*100</f>
        <v/>
      </c>
      <c r="EB2323" s="64">
        <f>$Q2323-$O2323</f>
        <v/>
      </c>
      <c r="EC2323" s="67">
        <f>IFERROR($Q2323/$P2323,"")</f>
        <v/>
      </c>
    </row>
    <row r="2324">
      <c r="DG2324" s="64">
        <f>($B2324-$B2325)*100</f>
        <v/>
      </c>
      <c r="DH2324" s="64">
        <f>($D2324-$D2325)*100</f>
        <v/>
      </c>
      <c r="DI2324" s="64">
        <f>($E2324-$E2325)*100</f>
        <v/>
      </c>
      <c r="DJ2324" s="64">
        <f>($H2324-$H2325)*100</f>
        <v/>
      </c>
      <c r="DK2324" s="65">
        <f>IFERROR($J2324/$J2325-1,"")</f>
        <v/>
      </c>
      <c r="DL2324" s="64">
        <f>$L2324-$L2325</f>
        <v/>
      </c>
      <c r="DM2324" s="64">
        <f>$K2324-$K2325</f>
        <v/>
      </c>
      <c r="DN2324" s="65">
        <f>IFERROR($N2324/$N2325-1,"")</f>
        <v/>
      </c>
      <c r="DO2324" s="65">
        <f>IFERROR($M2324/$M2325-1,"")</f>
        <v/>
      </c>
      <c r="DP2324" s="65">
        <f>IFERROR($AZ2324/$AZ2325-1,"")</f>
        <v/>
      </c>
      <c r="DQ2324" s="65">
        <f>IFERROR($BA2324/$BA2325-1,"")</f>
        <v/>
      </c>
      <c r="DR2324" s="64">
        <f>$O2324-$O2325</f>
        <v/>
      </c>
      <c r="DS2324" s="64">
        <f>$P2324-$P2325</f>
        <v/>
      </c>
      <c r="DT2324" s="64">
        <f>$Q2324-$Q2325</f>
        <v/>
      </c>
      <c r="DU2324" s="64">
        <f>$S2324-$S2325</f>
        <v/>
      </c>
      <c r="DV2324" s="65">
        <f>IFERROR(AVERAGE($AA2325/$AA2324-1,$AB2325/$AB2324-1,$AC2325/$AC2324-1,$AD2325/$AD2324-1,$AE2325/$AE2324-1,$AG2325/$AG2324-1,$AH2325/$AH2324-1,$AI2325/$AI2324-1,$AJ2325/$AJ2324-1,$AL2325/$AL2324-1,$AM2325/$AM2324-1,$AR2325/$AR2324-1,$AS2325/$AS2324-1,$AT2325/$AT2324-1,$AU2325/$AU2324-1,$AV2325/$AV2324-1,$AW2325/$AW2324-1,$AX2325/$AX2324-1,$AY2325/$AY2324-1),"")</f>
        <v/>
      </c>
      <c r="DW2324" s="66">
        <f>AVERAGE($CB2324,$CC2324,$CD2324,$CE2324,$CF2324,$CG2324,$CH2324,$CI2324,$CJ2324,$CL2324,$CM2324,$CN2324,$CO2324,$CP2324,$CQ2324,$CR2324,$CS2324,$CT2324)</f>
        <v/>
      </c>
      <c r="DX2324" s="66">
        <f>AVERAGE($CB2324,$CC2324,$CM2324,$CE2324,$CP2324)</f>
        <v/>
      </c>
      <c r="DY2324" s="64">
        <f>($DW2324-$DW2325)*100</f>
        <v/>
      </c>
      <c r="DZ2324" s="64">
        <f>($DX2324-$DX2325)*100</f>
        <v/>
      </c>
      <c r="EA2324" s="64">
        <f>($DW2324-$D2324)*100</f>
        <v/>
      </c>
      <c r="EB2324" s="64">
        <f>$Q2324-$O2324</f>
        <v/>
      </c>
      <c r="EC2324" s="67">
        <f>IFERROR($Q2324/$P2324,"")</f>
        <v/>
      </c>
    </row>
    <row r="2325">
      <c r="DG2325" s="64">
        <f>($B2325-$B2326)*100</f>
        <v/>
      </c>
      <c r="DH2325" s="64">
        <f>($D2325-$D2326)*100</f>
        <v/>
      </c>
      <c r="DI2325" s="64">
        <f>($E2325-$E2326)*100</f>
        <v/>
      </c>
      <c r="DJ2325" s="64">
        <f>($H2325-$H2326)*100</f>
        <v/>
      </c>
      <c r="DK2325" s="65">
        <f>IFERROR($J2325/$J2326-1,"")</f>
        <v/>
      </c>
      <c r="DL2325" s="64">
        <f>$L2325-$L2326</f>
        <v/>
      </c>
      <c r="DM2325" s="64">
        <f>$K2325-$K2326</f>
        <v/>
      </c>
      <c r="DN2325" s="65">
        <f>IFERROR($N2325/$N2326-1,"")</f>
        <v/>
      </c>
      <c r="DO2325" s="65">
        <f>IFERROR($M2325/$M2326-1,"")</f>
        <v/>
      </c>
      <c r="DP2325" s="65">
        <f>IFERROR($AZ2325/$AZ2326-1,"")</f>
        <v/>
      </c>
      <c r="DQ2325" s="65">
        <f>IFERROR($BA2325/$BA2326-1,"")</f>
        <v/>
      </c>
      <c r="DR2325" s="64">
        <f>$O2325-$O2326</f>
        <v/>
      </c>
      <c r="DS2325" s="64">
        <f>$P2325-$P2326</f>
        <v/>
      </c>
      <c r="DT2325" s="64">
        <f>$Q2325-$Q2326</f>
        <v/>
      </c>
      <c r="DU2325" s="64">
        <f>$S2325-$S2326</f>
        <v/>
      </c>
      <c r="DV2325" s="65">
        <f>IFERROR(AVERAGE($AA2326/$AA2325-1,$AB2326/$AB2325-1,$AC2326/$AC2325-1,$AD2326/$AD2325-1,$AE2326/$AE2325-1,$AG2326/$AG2325-1,$AH2326/$AH2325-1,$AI2326/$AI2325-1,$AJ2326/$AJ2325-1,$AL2326/$AL2325-1,$AM2326/$AM2325-1,$AR2326/$AR2325-1,$AS2326/$AS2325-1,$AT2326/$AT2325-1,$AU2326/$AU2325-1,$AV2326/$AV2325-1,$AW2326/$AW2325-1,$AX2326/$AX2325-1,$AY2326/$AY2325-1),"")</f>
        <v/>
      </c>
      <c r="DW2325" s="66">
        <f>AVERAGE($CB2325,$CC2325,$CD2325,$CE2325,$CF2325,$CG2325,$CH2325,$CI2325,$CJ2325,$CL2325,$CM2325,$CN2325,$CO2325,$CP2325,$CQ2325,$CR2325,$CS2325,$CT2325)</f>
        <v/>
      </c>
      <c r="DX2325" s="66">
        <f>AVERAGE($CB2325,$CC2325,$CM2325,$CE2325,$CP2325)</f>
        <v/>
      </c>
      <c r="DY2325" s="64">
        <f>($DW2325-$DW2326)*100</f>
        <v/>
      </c>
      <c r="DZ2325" s="64">
        <f>($DX2325-$DX2326)*100</f>
        <v/>
      </c>
      <c r="EA2325" s="64">
        <f>($DW2325-$D2325)*100</f>
        <v/>
      </c>
      <c r="EB2325" s="64">
        <f>$Q2325-$O2325</f>
        <v/>
      </c>
      <c r="EC2325" s="67">
        <f>IFERROR($Q2325/$P2325,"")</f>
        <v/>
      </c>
    </row>
    <row r="2326">
      <c r="DG2326" s="64">
        <f>($B2326-$B2327)*100</f>
        <v/>
      </c>
      <c r="DH2326" s="64">
        <f>($D2326-$D2327)*100</f>
        <v/>
      </c>
      <c r="DI2326" s="64">
        <f>($E2326-$E2327)*100</f>
        <v/>
      </c>
      <c r="DJ2326" s="64">
        <f>($H2326-$H2327)*100</f>
        <v/>
      </c>
      <c r="DK2326" s="65">
        <f>IFERROR($J2326/$J2327-1,"")</f>
        <v/>
      </c>
      <c r="DL2326" s="64">
        <f>$L2326-$L2327</f>
        <v/>
      </c>
      <c r="DM2326" s="64">
        <f>$K2326-$K2327</f>
        <v/>
      </c>
      <c r="DN2326" s="65">
        <f>IFERROR($N2326/$N2327-1,"")</f>
        <v/>
      </c>
      <c r="DO2326" s="65">
        <f>IFERROR($M2326/$M2327-1,"")</f>
        <v/>
      </c>
      <c r="DP2326" s="65">
        <f>IFERROR($AZ2326/$AZ2327-1,"")</f>
        <v/>
      </c>
      <c r="DQ2326" s="65">
        <f>IFERROR($BA2326/$BA2327-1,"")</f>
        <v/>
      </c>
      <c r="DR2326" s="64">
        <f>$O2326-$O2327</f>
        <v/>
      </c>
      <c r="DS2326" s="64">
        <f>$P2326-$P2327</f>
        <v/>
      </c>
      <c r="DT2326" s="64">
        <f>$Q2326-$Q2327</f>
        <v/>
      </c>
      <c r="DU2326" s="64">
        <f>$S2326-$S2327</f>
        <v/>
      </c>
      <c r="DV2326" s="65">
        <f>IFERROR(AVERAGE($AA2327/$AA2326-1,$AB2327/$AB2326-1,$AC2327/$AC2326-1,$AD2327/$AD2326-1,$AE2327/$AE2326-1,$AG2327/$AG2326-1,$AH2327/$AH2326-1,$AI2327/$AI2326-1,$AJ2327/$AJ2326-1,$AL2327/$AL2326-1,$AM2327/$AM2326-1,$AR2327/$AR2326-1,$AS2327/$AS2326-1,$AT2327/$AT2326-1,$AU2327/$AU2326-1,$AV2327/$AV2326-1,$AW2327/$AW2326-1,$AX2327/$AX2326-1,$AY2327/$AY2326-1),"")</f>
        <v/>
      </c>
      <c r="DW2326" s="66">
        <f>AVERAGE($CB2326,$CC2326,$CD2326,$CE2326,$CF2326,$CG2326,$CH2326,$CI2326,$CJ2326,$CL2326,$CM2326,$CN2326,$CO2326,$CP2326,$CQ2326,$CR2326,$CS2326,$CT2326)</f>
        <v/>
      </c>
      <c r="DX2326" s="66">
        <f>AVERAGE($CB2326,$CC2326,$CM2326,$CE2326,$CP2326)</f>
        <v/>
      </c>
      <c r="DY2326" s="64">
        <f>($DW2326-$DW2327)*100</f>
        <v/>
      </c>
      <c r="DZ2326" s="64">
        <f>($DX2326-$DX2327)*100</f>
        <v/>
      </c>
      <c r="EA2326" s="64">
        <f>($DW2326-$D2326)*100</f>
        <v/>
      </c>
      <c r="EB2326" s="64">
        <f>$Q2326-$O2326</f>
        <v/>
      </c>
      <c r="EC2326" s="67">
        <f>IFERROR($Q2326/$P2326,"")</f>
        <v/>
      </c>
    </row>
    <row r="2327">
      <c r="DG2327" s="64">
        <f>($B2327-$B2328)*100</f>
        <v/>
      </c>
      <c r="DH2327" s="64">
        <f>($D2327-$D2328)*100</f>
        <v/>
      </c>
      <c r="DI2327" s="64">
        <f>($E2327-$E2328)*100</f>
        <v/>
      </c>
      <c r="DJ2327" s="64">
        <f>($H2327-$H2328)*100</f>
        <v/>
      </c>
      <c r="DK2327" s="65">
        <f>IFERROR($J2327/$J2328-1,"")</f>
        <v/>
      </c>
      <c r="DL2327" s="64">
        <f>$L2327-$L2328</f>
        <v/>
      </c>
      <c r="DM2327" s="64">
        <f>$K2327-$K2328</f>
        <v/>
      </c>
      <c r="DN2327" s="65">
        <f>IFERROR($N2327/$N2328-1,"")</f>
        <v/>
      </c>
      <c r="DO2327" s="65">
        <f>IFERROR($M2327/$M2328-1,"")</f>
        <v/>
      </c>
      <c r="DP2327" s="65">
        <f>IFERROR($AZ2327/$AZ2328-1,"")</f>
        <v/>
      </c>
      <c r="DQ2327" s="65">
        <f>IFERROR($BA2327/$BA2328-1,"")</f>
        <v/>
      </c>
      <c r="DR2327" s="64">
        <f>$O2327-$O2328</f>
        <v/>
      </c>
      <c r="DS2327" s="64">
        <f>$P2327-$P2328</f>
        <v/>
      </c>
      <c r="DT2327" s="64">
        <f>$Q2327-$Q2328</f>
        <v/>
      </c>
      <c r="DU2327" s="64">
        <f>$S2327-$S2328</f>
        <v/>
      </c>
      <c r="DV2327" s="65">
        <f>IFERROR(AVERAGE($AA2328/$AA2327-1,$AB2328/$AB2327-1,$AC2328/$AC2327-1,$AD2328/$AD2327-1,$AE2328/$AE2327-1,$AG2328/$AG2327-1,$AH2328/$AH2327-1,$AI2328/$AI2327-1,$AJ2328/$AJ2327-1,$AL2328/$AL2327-1,$AM2328/$AM2327-1,$AR2328/$AR2327-1,$AS2328/$AS2327-1,$AT2328/$AT2327-1,$AU2328/$AU2327-1,$AV2328/$AV2327-1,$AW2328/$AW2327-1,$AX2328/$AX2327-1,$AY2328/$AY2327-1),"")</f>
        <v/>
      </c>
      <c r="DW2327" s="66">
        <f>AVERAGE($CB2327,$CC2327,$CD2327,$CE2327,$CF2327,$CG2327,$CH2327,$CI2327,$CJ2327,$CL2327,$CM2327,$CN2327,$CO2327,$CP2327,$CQ2327,$CR2327,$CS2327,$CT2327)</f>
        <v/>
      </c>
      <c r="DX2327" s="66">
        <f>AVERAGE($CB2327,$CC2327,$CM2327,$CE2327,$CP2327)</f>
        <v/>
      </c>
      <c r="DY2327" s="64">
        <f>($DW2327-$DW2328)*100</f>
        <v/>
      </c>
      <c r="DZ2327" s="64">
        <f>($DX2327-$DX2328)*100</f>
        <v/>
      </c>
      <c r="EA2327" s="64">
        <f>($DW2327-$D2327)*100</f>
        <v/>
      </c>
      <c r="EB2327" s="64">
        <f>$Q2327-$O2327</f>
        <v/>
      </c>
      <c r="EC2327" s="67">
        <f>IFERROR($Q2327/$P2327,"")</f>
        <v/>
      </c>
    </row>
    <row r="2328">
      <c r="DG2328" s="64">
        <f>($B2328-$B2329)*100</f>
        <v/>
      </c>
      <c r="DH2328" s="64">
        <f>($D2328-$D2329)*100</f>
        <v/>
      </c>
      <c r="DI2328" s="64">
        <f>($E2328-$E2329)*100</f>
        <v/>
      </c>
      <c r="DJ2328" s="64">
        <f>($H2328-$H2329)*100</f>
        <v/>
      </c>
      <c r="DK2328" s="65">
        <f>IFERROR($J2328/$J2329-1,"")</f>
        <v/>
      </c>
      <c r="DL2328" s="64">
        <f>$L2328-$L2329</f>
        <v/>
      </c>
      <c r="DM2328" s="64">
        <f>$K2328-$K2329</f>
        <v/>
      </c>
      <c r="DN2328" s="65">
        <f>IFERROR($N2328/$N2329-1,"")</f>
        <v/>
      </c>
      <c r="DO2328" s="65">
        <f>IFERROR($M2328/$M2329-1,"")</f>
        <v/>
      </c>
      <c r="DP2328" s="65">
        <f>IFERROR($AZ2328/$AZ2329-1,"")</f>
        <v/>
      </c>
      <c r="DQ2328" s="65">
        <f>IFERROR($BA2328/$BA2329-1,"")</f>
        <v/>
      </c>
      <c r="DR2328" s="64">
        <f>$O2328-$O2329</f>
        <v/>
      </c>
      <c r="DS2328" s="64">
        <f>$P2328-$P2329</f>
        <v/>
      </c>
      <c r="DT2328" s="64">
        <f>$Q2328-$Q2329</f>
        <v/>
      </c>
      <c r="DU2328" s="64">
        <f>$S2328-$S2329</f>
        <v/>
      </c>
      <c r="DV2328" s="65">
        <f>IFERROR(AVERAGE($AA2329/$AA2328-1,$AB2329/$AB2328-1,$AC2329/$AC2328-1,$AD2329/$AD2328-1,$AE2329/$AE2328-1,$AG2329/$AG2328-1,$AH2329/$AH2328-1,$AI2329/$AI2328-1,$AJ2329/$AJ2328-1,$AL2329/$AL2328-1,$AM2329/$AM2328-1,$AR2329/$AR2328-1,$AS2329/$AS2328-1,$AT2329/$AT2328-1,$AU2329/$AU2328-1,$AV2329/$AV2328-1,$AW2329/$AW2328-1,$AX2329/$AX2328-1,$AY2329/$AY2328-1),"")</f>
        <v/>
      </c>
      <c r="DW2328" s="66">
        <f>AVERAGE($CB2328,$CC2328,$CD2328,$CE2328,$CF2328,$CG2328,$CH2328,$CI2328,$CJ2328,$CL2328,$CM2328,$CN2328,$CO2328,$CP2328,$CQ2328,$CR2328,$CS2328,$CT2328)</f>
        <v/>
      </c>
      <c r="DX2328" s="66">
        <f>AVERAGE($CB2328,$CC2328,$CM2328,$CE2328,$CP2328)</f>
        <v/>
      </c>
      <c r="DY2328" s="64">
        <f>($DW2328-$DW2329)*100</f>
        <v/>
      </c>
      <c r="DZ2328" s="64">
        <f>($DX2328-$DX2329)*100</f>
        <v/>
      </c>
      <c r="EA2328" s="64">
        <f>($DW2328-$D2328)*100</f>
        <v/>
      </c>
      <c r="EB2328" s="64">
        <f>$Q2328-$O2328</f>
        <v/>
      </c>
      <c r="EC2328" s="67">
        <f>IFERROR($Q2328/$P2328,"")</f>
        <v/>
      </c>
    </row>
    <row r="2329">
      <c r="DG2329" s="64">
        <f>($B2329-$B2330)*100</f>
        <v/>
      </c>
      <c r="DH2329" s="64">
        <f>($D2329-$D2330)*100</f>
        <v/>
      </c>
      <c r="DI2329" s="64">
        <f>($E2329-$E2330)*100</f>
        <v/>
      </c>
      <c r="DJ2329" s="64">
        <f>($H2329-$H2330)*100</f>
        <v/>
      </c>
      <c r="DK2329" s="65">
        <f>IFERROR($J2329/$J2330-1,"")</f>
        <v/>
      </c>
      <c r="DL2329" s="64">
        <f>$L2329-$L2330</f>
        <v/>
      </c>
      <c r="DM2329" s="64">
        <f>$K2329-$K2330</f>
        <v/>
      </c>
      <c r="DN2329" s="65">
        <f>IFERROR($N2329/$N2330-1,"")</f>
        <v/>
      </c>
      <c r="DO2329" s="65">
        <f>IFERROR($M2329/$M2330-1,"")</f>
        <v/>
      </c>
      <c r="DP2329" s="65">
        <f>IFERROR($AZ2329/$AZ2330-1,"")</f>
        <v/>
      </c>
      <c r="DQ2329" s="65">
        <f>IFERROR($BA2329/$BA2330-1,"")</f>
        <v/>
      </c>
      <c r="DR2329" s="64">
        <f>$O2329-$O2330</f>
        <v/>
      </c>
      <c r="DS2329" s="64">
        <f>$P2329-$P2330</f>
        <v/>
      </c>
      <c r="DT2329" s="64">
        <f>$Q2329-$Q2330</f>
        <v/>
      </c>
      <c r="DU2329" s="64">
        <f>$S2329-$S2330</f>
        <v/>
      </c>
      <c r="DV2329" s="65">
        <f>IFERROR(AVERAGE($AA2330/$AA2329-1,$AB2330/$AB2329-1,$AC2330/$AC2329-1,$AD2330/$AD2329-1,$AE2330/$AE2329-1,$AG2330/$AG2329-1,$AH2330/$AH2329-1,$AI2330/$AI2329-1,$AJ2330/$AJ2329-1,$AL2330/$AL2329-1,$AM2330/$AM2329-1,$AR2330/$AR2329-1,$AS2330/$AS2329-1,$AT2330/$AT2329-1,$AU2330/$AU2329-1,$AV2330/$AV2329-1,$AW2330/$AW2329-1,$AX2330/$AX2329-1,$AY2330/$AY2329-1),"")</f>
        <v/>
      </c>
      <c r="DW2329" s="66">
        <f>AVERAGE($CB2329,$CC2329,$CD2329,$CE2329,$CF2329,$CG2329,$CH2329,$CI2329,$CJ2329,$CL2329,$CM2329,$CN2329,$CO2329,$CP2329,$CQ2329,$CR2329,$CS2329,$CT2329)</f>
        <v/>
      </c>
      <c r="DX2329" s="66">
        <f>AVERAGE($CB2329,$CC2329,$CM2329,$CE2329,$CP2329)</f>
        <v/>
      </c>
      <c r="DY2329" s="64">
        <f>($DW2329-$DW2330)*100</f>
        <v/>
      </c>
      <c r="DZ2329" s="64">
        <f>($DX2329-$DX2330)*100</f>
        <v/>
      </c>
      <c r="EA2329" s="64">
        <f>($DW2329-$D2329)*100</f>
        <v/>
      </c>
      <c r="EB2329" s="64">
        <f>$Q2329-$O2329</f>
        <v/>
      </c>
      <c r="EC2329" s="67">
        <f>IFERROR($Q2329/$P2329,"")</f>
        <v/>
      </c>
    </row>
    <row r="2330">
      <c r="DG2330" s="64">
        <f>($B2330-$B2331)*100</f>
        <v/>
      </c>
      <c r="DH2330" s="64">
        <f>($D2330-$D2331)*100</f>
        <v/>
      </c>
      <c r="DI2330" s="64">
        <f>($E2330-$E2331)*100</f>
        <v/>
      </c>
      <c r="DJ2330" s="64">
        <f>($H2330-$H2331)*100</f>
        <v/>
      </c>
      <c r="DK2330" s="65">
        <f>IFERROR($J2330/$J2331-1,"")</f>
        <v/>
      </c>
      <c r="DL2330" s="64">
        <f>$L2330-$L2331</f>
        <v/>
      </c>
      <c r="DM2330" s="64">
        <f>$K2330-$K2331</f>
        <v/>
      </c>
      <c r="DN2330" s="65">
        <f>IFERROR($N2330/$N2331-1,"")</f>
        <v/>
      </c>
      <c r="DO2330" s="65">
        <f>IFERROR($M2330/$M2331-1,"")</f>
        <v/>
      </c>
      <c r="DP2330" s="65">
        <f>IFERROR($AZ2330/$AZ2331-1,"")</f>
        <v/>
      </c>
      <c r="DQ2330" s="65">
        <f>IFERROR($BA2330/$BA2331-1,"")</f>
        <v/>
      </c>
      <c r="DR2330" s="64">
        <f>$O2330-$O2331</f>
        <v/>
      </c>
      <c r="DS2330" s="64">
        <f>$P2330-$P2331</f>
        <v/>
      </c>
      <c r="DT2330" s="64">
        <f>$Q2330-$Q2331</f>
        <v/>
      </c>
      <c r="DU2330" s="64">
        <f>$S2330-$S2331</f>
        <v/>
      </c>
      <c r="DV2330" s="65">
        <f>IFERROR(AVERAGE($AA2331/$AA2330-1,$AB2331/$AB2330-1,$AC2331/$AC2330-1,$AD2331/$AD2330-1,$AE2331/$AE2330-1,$AG2331/$AG2330-1,$AH2331/$AH2330-1,$AI2331/$AI2330-1,$AJ2331/$AJ2330-1,$AL2331/$AL2330-1,$AM2331/$AM2330-1,$AR2331/$AR2330-1,$AS2331/$AS2330-1,$AT2331/$AT2330-1,$AU2331/$AU2330-1,$AV2331/$AV2330-1,$AW2331/$AW2330-1,$AX2331/$AX2330-1,$AY2331/$AY2330-1),"")</f>
        <v/>
      </c>
      <c r="DW2330" s="66">
        <f>AVERAGE($CB2330,$CC2330,$CD2330,$CE2330,$CF2330,$CG2330,$CH2330,$CI2330,$CJ2330,$CL2330,$CM2330,$CN2330,$CO2330,$CP2330,$CQ2330,$CR2330,$CS2330,$CT2330)</f>
        <v/>
      </c>
      <c r="DX2330" s="66">
        <f>AVERAGE($CB2330,$CC2330,$CM2330,$CE2330,$CP2330)</f>
        <v/>
      </c>
      <c r="DY2330" s="64">
        <f>($DW2330-$DW2331)*100</f>
        <v/>
      </c>
      <c r="DZ2330" s="64">
        <f>($DX2330-$DX2331)*100</f>
        <v/>
      </c>
      <c r="EA2330" s="64">
        <f>($DW2330-$D2330)*100</f>
        <v/>
      </c>
      <c r="EB2330" s="64">
        <f>$Q2330-$O2330</f>
        <v/>
      </c>
      <c r="EC2330" s="67">
        <f>IFERROR($Q2330/$P2330,"")</f>
        <v/>
      </c>
    </row>
    <row r="2331">
      <c r="DG2331" s="64">
        <f>($B2331-$B2332)*100</f>
        <v/>
      </c>
      <c r="DH2331" s="64">
        <f>($D2331-$D2332)*100</f>
        <v/>
      </c>
      <c r="DI2331" s="64">
        <f>($E2331-$E2332)*100</f>
        <v/>
      </c>
      <c r="DJ2331" s="64">
        <f>($H2331-$H2332)*100</f>
        <v/>
      </c>
      <c r="DK2331" s="65">
        <f>IFERROR($J2331/$J2332-1,"")</f>
        <v/>
      </c>
      <c r="DL2331" s="64">
        <f>$L2331-$L2332</f>
        <v/>
      </c>
      <c r="DM2331" s="64">
        <f>$K2331-$K2332</f>
        <v/>
      </c>
      <c r="DN2331" s="65">
        <f>IFERROR($N2331/$N2332-1,"")</f>
        <v/>
      </c>
      <c r="DO2331" s="65">
        <f>IFERROR($M2331/$M2332-1,"")</f>
        <v/>
      </c>
      <c r="DP2331" s="65">
        <f>IFERROR($AZ2331/$AZ2332-1,"")</f>
        <v/>
      </c>
      <c r="DQ2331" s="65">
        <f>IFERROR($BA2331/$BA2332-1,"")</f>
        <v/>
      </c>
      <c r="DR2331" s="64">
        <f>$O2331-$O2332</f>
        <v/>
      </c>
      <c r="DS2331" s="64">
        <f>$P2331-$P2332</f>
        <v/>
      </c>
      <c r="DT2331" s="64">
        <f>$Q2331-$Q2332</f>
        <v/>
      </c>
      <c r="DU2331" s="64">
        <f>$S2331-$S2332</f>
        <v/>
      </c>
      <c r="DV2331" s="65">
        <f>IFERROR(AVERAGE($AA2332/$AA2331-1,$AB2332/$AB2331-1,$AC2332/$AC2331-1,$AD2332/$AD2331-1,$AE2332/$AE2331-1,$AG2332/$AG2331-1,$AH2332/$AH2331-1,$AI2332/$AI2331-1,$AJ2332/$AJ2331-1,$AL2332/$AL2331-1,$AM2332/$AM2331-1,$AR2332/$AR2331-1,$AS2332/$AS2331-1,$AT2332/$AT2331-1,$AU2332/$AU2331-1,$AV2332/$AV2331-1,$AW2332/$AW2331-1,$AX2332/$AX2331-1,$AY2332/$AY2331-1),"")</f>
        <v/>
      </c>
      <c r="DW2331" s="66">
        <f>AVERAGE($CB2331,$CC2331,$CD2331,$CE2331,$CF2331,$CG2331,$CH2331,$CI2331,$CJ2331,$CL2331,$CM2331,$CN2331,$CO2331,$CP2331,$CQ2331,$CR2331,$CS2331,$CT2331)</f>
        <v/>
      </c>
      <c r="DX2331" s="66">
        <f>AVERAGE($CB2331,$CC2331,$CM2331,$CE2331,$CP2331)</f>
        <v/>
      </c>
      <c r="DY2331" s="64">
        <f>($DW2331-$DW2332)*100</f>
        <v/>
      </c>
      <c r="DZ2331" s="64">
        <f>($DX2331-$DX2332)*100</f>
        <v/>
      </c>
      <c r="EA2331" s="64">
        <f>($DW2331-$D2331)*100</f>
        <v/>
      </c>
      <c r="EB2331" s="64">
        <f>$Q2331-$O2331</f>
        <v/>
      </c>
      <c r="EC2331" s="67">
        <f>IFERROR($Q2331/$P2331,"")</f>
        <v/>
      </c>
    </row>
    <row r="2332">
      <c r="DG2332" s="64">
        <f>($B2332-$B2333)*100</f>
        <v/>
      </c>
      <c r="DH2332" s="64">
        <f>($D2332-$D2333)*100</f>
        <v/>
      </c>
      <c r="DI2332" s="64">
        <f>($E2332-$E2333)*100</f>
        <v/>
      </c>
      <c r="DJ2332" s="64">
        <f>($H2332-$H2333)*100</f>
        <v/>
      </c>
      <c r="DK2332" s="65">
        <f>IFERROR($J2332/$J2333-1,"")</f>
        <v/>
      </c>
      <c r="DL2332" s="64">
        <f>$L2332-$L2333</f>
        <v/>
      </c>
      <c r="DM2332" s="64">
        <f>$K2332-$K2333</f>
        <v/>
      </c>
      <c r="DN2332" s="65">
        <f>IFERROR($N2332/$N2333-1,"")</f>
        <v/>
      </c>
      <c r="DO2332" s="65">
        <f>IFERROR($M2332/$M2333-1,"")</f>
        <v/>
      </c>
      <c r="DP2332" s="65">
        <f>IFERROR($AZ2332/$AZ2333-1,"")</f>
        <v/>
      </c>
      <c r="DQ2332" s="65">
        <f>IFERROR($BA2332/$BA2333-1,"")</f>
        <v/>
      </c>
      <c r="DR2332" s="64">
        <f>$O2332-$O2333</f>
        <v/>
      </c>
      <c r="DS2332" s="64">
        <f>$P2332-$P2333</f>
        <v/>
      </c>
      <c r="DT2332" s="64">
        <f>$Q2332-$Q2333</f>
        <v/>
      </c>
      <c r="DU2332" s="64">
        <f>$S2332-$S2333</f>
        <v/>
      </c>
      <c r="DV2332" s="65">
        <f>IFERROR(AVERAGE($AA2333/$AA2332-1,$AB2333/$AB2332-1,$AC2333/$AC2332-1,$AD2333/$AD2332-1,$AE2333/$AE2332-1,$AG2333/$AG2332-1,$AH2333/$AH2332-1,$AI2333/$AI2332-1,$AJ2333/$AJ2332-1,$AL2333/$AL2332-1,$AM2333/$AM2332-1,$AR2333/$AR2332-1,$AS2333/$AS2332-1,$AT2333/$AT2332-1,$AU2333/$AU2332-1,$AV2333/$AV2332-1,$AW2333/$AW2332-1,$AX2333/$AX2332-1,$AY2333/$AY2332-1),"")</f>
        <v/>
      </c>
      <c r="DW2332" s="66">
        <f>AVERAGE($CB2332,$CC2332,$CD2332,$CE2332,$CF2332,$CG2332,$CH2332,$CI2332,$CJ2332,$CL2332,$CM2332,$CN2332,$CO2332,$CP2332,$CQ2332,$CR2332,$CS2332,$CT2332)</f>
        <v/>
      </c>
      <c r="DX2332" s="66">
        <f>AVERAGE($CB2332,$CC2332,$CM2332,$CE2332,$CP2332)</f>
        <v/>
      </c>
      <c r="DY2332" s="64">
        <f>($DW2332-$DW2333)*100</f>
        <v/>
      </c>
      <c r="DZ2332" s="64">
        <f>($DX2332-$DX2333)*100</f>
        <v/>
      </c>
      <c r="EA2332" s="64">
        <f>($DW2332-$D2332)*100</f>
        <v/>
      </c>
      <c r="EB2332" s="64">
        <f>$Q2332-$O2332</f>
        <v/>
      </c>
      <c r="EC2332" s="67">
        <f>IFERROR($Q2332/$P2332,"")</f>
        <v/>
      </c>
    </row>
    <row r="2333">
      <c r="DG2333" s="64">
        <f>($B2333-$B2334)*100</f>
        <v/>
      </c>
      <c r="DH2333" s="64">
        <f>($D2333-$D2334)*100</f>
        <v/>
      </c>
      <c r="DI2333" s="64">
        <f>($E2333-$E2334)*100</f>
        <v/>
      </c>
      <c r="DJ2333" s="64">
        <f>($H2333-$H2334)*100</f>
        <v/>
      </c>
      <c r="DK2333" s="65">
        <f>IFERROR($J2333/$J2334-1,"")</f>
        <v/>
      </c>
      <c r="DL2333" s="64">
        <f>$L2333-$L2334</f>
        <v/>
      </c>
      <c r="DM2333" s="64">
        <f>$K2333-$K2334</f>
        <v/>
      </c>
      <c r="DN2333" s="65">
        <f>IFERROR($N2333/$N2334-1,"")</f>
        <v/>
      </c>
      <c r="DO2333" s="65">
        <f>IFERROR($M2333/$M2334-1,"")</f>
        <v/>
      </c>
      <c r="DP2333" s="65">
        <f>IFERROR($AZ2333/$AZ2334-1,"")</f>
        <v/>
      </c>
      <c r="DQ2333" s="65">
        <f>IFERROR($BA2333/$BA2334-1,"")</f>
        <v/>
      </c>
      <c r="DR2333" s="64">
        <f>$O2333-$O2334</f>
        <v/>
      </c>
      <c r="DS2333" s="64">
        <f>$P2333-$P2334</f>
        <v/>
      </c>
      <c r="DT2333" s="64">
        <f>$Q2333-$Q2334</f>
        <v/>
      </c>
      <c r="DU2333" s="64">
        <f>$S2333-$S2334</f>
        <v/>
      </c>
      <c r="DV2333" s="65">
        <f>IFERROR(AVERAGE($AA2334/$AA2333-1,$AB2334/$AB2333-1,$AC2334/$AC2333-1,$AD2334/$AD2333-1,$AE2334/$AE2333-1,$AG2334/$AG2333-1,$AH2334/$AH2333-1,$AI2334/$AI2333-1,$AJ2334/$AJ2333-1,$AL2334/$AL2333-1,$AM2334/$AM2333-1,$AR2334/$AR2333-1,$AS2334/$AS2333-1,$AT2334/$AT2333-1,$AU2334/$AU2333-1,$AV2334/$AV2333-1,$AW2334/$AW2333-1,$AX2334/$AX2333-1,$AY2334/$AY2333-1),"")</f>
        <v/>
      </c>
      <c r="DW2333" s="66">
        <f>AVERAGE($CB2333,$CC2333,$CD2333,$CE2333,$CF2333,$CG2333,$CH2333,$CI2333,$CJ2333,$CL2333,$CM2333,$CN2333,$CO2333,$CP2333,$CQ2333,$CR2333,$CS2333,$CT2333)</f>
        <v/>
      </c>
      <c r="DX2333" s="66">
        <f>AVERAGE($CB2333,$CC2333,$CM2333,$CE2333,$CP2333)</f>
        <v/>
      </c>
      <c r="DY2333" s="64">
        <f>($DW2333-$DW2334)*100</f>
        <v/>
      </c>
      <c r="DZ2333" s="64">
        <f>($DX2333-$DX2334)*100</f>
        <v/>
      </c>
      <c r="EA2333" s="64">
        <f>($DW2333-$D2333)*100</f>
        <v/>
      </c>
      <c r="EB2333" s="64">
        <f>$Q2333-$O2333</f>
        <v/>
      </c>
      <c r="EC2333" s="67">
        <f>IFERROR($Q2333/$P2333,"")</f>
        <v/>
      </c>
    </row>
    <row r="2334">
      <c r="DG2334" s="64">
        <f>($B2334-$B2335)*100</f>
        <v/>
      </c>
      <c r="DH2334" s="64">
        <f>($D2334-$D2335)*100</f>
        <v/>
      </c>
      <c r="DI2334" s="64">
        <f>($E2334-$E2335)*100</f>
        <v/>
      </c>
      <c r="DJ2334" s="64">
        <f>($H2334-$H2335)*100</f>
        <v/>
      </c>
      <c r="DK2334" s="65">
        <f>IFERROR($J2334/$J2335-1,"")</f>
        <v/>
      </c>
      <c r="DL2334" s="64">
        <f>$L2334-$L2335</f>
        <v/>
      </c>
      <c r="DM2334" s="64">
        <f>$K2334-$K2335</f>
        <v/>
      </c>
      <c r="DN2334" s="65">
        <f>IFERROR($N2334/$N2335-1,"")</f>
        <v/>
      </c>
      <c r="DO2334" s="65">
        <f>IFERROR($M2334/$M2335-1,"")</f>
        <v/>
      </c>
      <c r="DP2334" s="65">
        <f>IFERROR($AZ2334/$AZ2335-1,"")</f>
        <v/>
      </c>
      <c r="DQ2334" s="65">
        <f>IFERROR($BA2334/$BA2335-1,"")</f>
        <v/>
      </c>
      <c r="DR2334" s="64">
        <f>$O2334-$O2335</f>
        <v/>
      </c>
      <c r="DS2334" s="64">
        <f>$P2334-$P2335</f>
        <v/>
      </c>
      <c r="DT2334" s="64">
        <f>$Q2334-$Q2335</f>
        <v/>
      </c>
      <c r="DU2334" s="64">
        <f>$S2334-$S2335</f>
        <v/>
      </c>
      <c r="DV2334" s="65">
        <f>IFERROR(AVERAGE($AA2335/$AA2334-1,$AB2335/$AB2334-1,$AC2335/$AC2334-1,$AD2335/$AD2334-1,$AE2335/$AE2334-1,$AG2335/$AG2334-1,$AH2335/$AH2334-1,$AI2335/$AI2334-1,$AJ2335/$AJ2334-1,$AL2335/$AL2334-1,$AM2335/$AM2334-1,$AR2335/$AR2334-1,$AS2335/$AS2334-1,$AT2335/$AT2334-1,$AU2335/$AU2334-1,$AV2335/$AV2334-1,$AW2335/$AW2334-1,$AX2335/$AX2334-1,$AY2335/$AY2334-1),"")</f>
        <v/>
      </c>
      <c r="DW2334" s="66">
        <f>AVERAGE($CB2334,$CC2334,$CD2334,$CE2334,$CF2334,$CG2334,$CH2334,$CI2334,$CJ2334,$CL2334,$CM2334,$CN2334,$CO2334,$CP2334,$CQ2334,$CR2334,$CS2334,$CT2334)</f>
        <v/>
      </c>
      <c r="DX2334" s="66">
        <f>AVERAGE($CB2334,$CC2334,$CM2334,$CE2334,$CP2334)</f>
        <v/>
      </c>
      <c r="DY2334" s="64">
        <f>($DW2334-$DW2335)*100</f>
        <v/>
      </c>
      <c r="DZ2334" s="64">
        <f>($DX2334-$DX2335)*100</f>
        <v/>
      </c>
      <c r="EA2334" s="64">
        <f>($DW2334-$D2334)*100</f>
        <v/>
      </c>
      <c r="EB2334" s="64">
        <f>$Q2334-$O2334</f>
        <v/>
      </c>
      <c r="EC2334" s="67">
        <f>IFERROR($Q2334/$P2334,"")</f>
        <v/>
      </c>
    </row>
    <row r="2335">
      <c r="DG2335" s="64">
        <f>($B2335-$B2336)*100</f>
        <v/>
      </c>
      <c r="DH2335" s="64">
        <f>($D2335-$D2336)*100</f>
        <v/>
      </c>
      <c r="DI2335" s="64">
        <f>($E2335-$E2336)*100</f>
        <v/>
      </c>
      <c r="DJ2335" s="64">
        <f>($H2335-$H2336)*100</f>
        <v/>
      </c>
      <c r="DK2335" s="65">
        <f>IFERROR($J2335/$J2336-1,"")</f>
        <v/>
      </c>
      <c r="DL2335" s="64">
        <f>$L2335-$L2336</f>
        <v/>
      </c>
      <c r="DM2335" s="64">
        <f>$K2335-$K2336</f>
        <v/>
      </c>
      <c r="DN2335" s="65">
        <f>IFERROR($N2335/$N2336-1,"")</f>
        <v/>
      </c>
      <c r="DO2335" s="65">
        <f>IFERROR($M2335/$M2336-1,"")</f>
        <v/>
      </c>
      <c r="DP2335" s="65">
        <f>IFERROR($AZ2335/$AZ2336-1,"")</f>
        <v/>
      </c>
      <c r="DQ2335" s="65">
        <f>IFERROR($BA2335/$BA2336-1,"")</f>
        <v/>
      </c>
      <c r="DR2335" s="64">
        <f>$O2335-$O2336</f>
        <v/>
      </c>
      <c r="DS2335" s="64">
        <f>$P2335-$P2336</f>
        <v/>
      </c>
      <c r="DT2335" s="64">
        <f>$Q2335-$Q2336</f>
        <v/>
      </c>
      <c r="DU2335" s="64">
        <f>$S2335-$S2336</f>
        <v/>
      </c>
      <c r="DV2335" s="65">
        <f>IFERROR(AVERAGE($AA2336/$AA2335-1,$AB2336/$AB2335-1,$AC2336/$AC2335-1,$AD2336/$AD2335-1,$AE2336/$AE2335-1,$AG2336/$AG2335-1,$AH2336/$AH2335-1,$AI2336/$AI2335-1,$AJ2336/$AJ2335-1,$AL2336/$AL2335-1,$AM2336/$AM2335-1,$AR2336/$AR2335-1,$AS2336/$AS2335-1,$AT2336/$AT2335-1,$AU2336/$AU2335-1,$AV2336/$AV2335-1,$AW2336/$AW2335-1,$AX2336/$AX2335-1,$AY2336/$AY2335-1),"")</f>
        <v/>
      </c>
      <c r="DW2335" s="66">
        <f>AVERAGE($CB2335,$CC2335,$CD2335,$CE2335,$CF2335,$CG2335,$CH2335,$CI2335,$CJ2335,$CL2335,$CM2335,$CN2335,$CO2335,$CP2335,$CQ2335,$CR2335,$CS2335,$CT2335)</f>
        <v/>
      </c>
      <c r="DX2335" s="66">
        <f>AVERAGE($CB2335,$CC2335,$CM2335,$CE2335,$CP2335)</f>
        <v/>
      </c>
      <c r="DY2335" s="64">
        <f>($DW2335-$DW2336)*100</f>
        <v/>
      </c>
      <c r="DZ2335" s="64">
        <f>($DX2335-$DX2336)*100</f>
        <v/>
      </c>
      <c r="EA2335" s="64">
        <f>($DW2335-$D2335)*100</f>
        <v/>
      </c>
      <c r="EB2335" s="64">
        <f>$Q2335-$O2335</f>
        <v/>
      </c>
      <c r="EC2335" s="67">
        <f>IFERROR($Q2335/$P2335,"")</f>
        <v/>
      </c>
    </row>
    <row r="2336">
      <c r="DG2336" s="64">
        <f>($B2336-$B2337)*100</f>
        <v/>
      </c>
      <c r="DH2336" s="64">
        <f>($D2336-$D2337)*100</f>
        <v/>
      </c>
      <c r="DI2336" s="64">
        <f>($E2336-$E2337)*100</f>
        <v/>
      </c>
      <c r="DJ2336" s="64">
        <f>($H2336-$H2337)*100</f>
        <v/>
      </c>
      <c r="DK2336" s="65">
        <f>IFERROR($J2336/$J2337-1,"")</f>
        <v/>
      </c>
      <c r="DL2336" s="64">
        <f>$L2336-$L2337</f>
        <v/>
      </c>
      <c r="DM2336" s="64">
        <f>$K2336-$K2337</f>
        <v/>
      </c>
      <c r="DN2336" s="65">
        <f>IFERROR($N2336/$N2337-1,"")</f>
        <v/>
      </c>
      <c r="DO2336" s="65">
        <f>IFERROR($M2336/$M2337-1,"")</f>
        <v/>
      </c>
      <c r="DP2336" s="65">
        <f>IFERROR($AZ2336/$AZ2337-1,"")</f>
        <v/>
      </c>
      <c r="DQ2336" s="65">
        <f>IFERROR($BA2336/$BA2337-1,"")</f>
        <v/>
      </c>
      <c r="DR2336" s="64">
        <f>$O2336-$O2337</f>
        <v/>
      </c>
      <c r="DS2336" s="64">
        <f>$P2336-$P2337</f>
        <v/>
      </c>
      <c r="DT2336" s="64">
        <f>$Q2336-$Q2337</f>
        <v/>
      </c>
      <c r="DU2336" s="64">
        <f>$S2336-$S2337</f>
        <v/>
      </c>
      <c r="DV2336" s="65">
        <f>IFERROR(AVERAGE($AA2337/$AA2336-1,$AB2337/$AB2336-1,$AC2337/$AC2336-1,$AD2337/$AD2336-1,$AE2337/$AE2336-1,$AG2337/$AG2336-1,$AH2337/$AH2336-1,$AI2337/$AI2336-1,$AJ2337/$AJ2336-1,$AL2337/$AL2336-1,$AM2337/$AM2336-1,$AR2337/$AR2336-1,$AS2337/$AS2336-1,$AT2337/$AT2336-1,$AU2337/$AU2336-1,$AV2337/$AV2336-1,$AW2337/$AW2336-1,$AX2337/$AX2336-1,$AY2337/$AY2336-1),"")</f>
        <v/>
      </c>
      <c r="DW2336" s="66">
        <f>AVERAGE($CB2336,$CC2336,$CD2336,$CE2336,$CF2336,$CG2336,$CH2336,$CI2336,$CJ2336,$CL2336,$CM2336,$CN2336,$CO2336,$CP2336,$CQ2336,$CR2336,$CS2336,$CT2336)</f>
        <v/>
      </c>
      <c r="DX2336" s="66">
        <f>AVERAGE($CB2336,$CC2336,$CM2336,$CE2336,$CP2336)</f>
        <v/>
      </c>
      <c r="DY2336" s="64">
        <f>($DW2336-$DW2337)*100</f>
        <v/>
      </c>
      <c r="DZ2336" s="64">
        <f>($DX2336-$DX2337)*100</f>
        <v/>
      </c>
      <c r="EA2336" s="64">
        <f>($DW2336-$D2336)*100</f>
        <v/>
      </c>
      <c r="EB2336" s="64">
        <f>$Q2336-$O2336</f>
        <v/>
      </c>
      <c r="EC2336" s="67">
        <f>IFERROR($Q2336/$P2336,"")</f>
        <v/>
      </c>
    </row>
    <row r="2337">
      <c r="DG2337" s="64">
        <f>($B2337-$B2338)*100</f>
        <v/>
      </c>
      <c r="DH2337" s="64">
        <f>($D2337-$D2338)*100</f>
        <v/>
      </c>
      <c r="DI2337" s="64">
        <f>($E2337-$E2338)*100</f>
        <v/>
      </c>
      <c r="DJ2337" s="64">
        <f>($H2337-$H2338)*100</f>
        <v/>
      </c>
      <c r="DK2337" s="65">
        <f>IFERROR($J2337/$J2338-1,"")</f>
        <v/>
      </c>
      <c r="DL2337" s="64">
        <f>$L2337-$L2338</f>
        <v/>
      </c>
      <c r="DM2337" s="64">
        <f>$K2337-$K2338</f>
        <v/>
      </c>
      <c r="DN2337" s="65">
        <f>IFERROR($N2337/$N2338-1,"")</f>
        <v/>
      </c>
      <c r="DO2337" s="65">
        <f>IFERROR($M2337/$M2338-1,"")</f>
        <v/>
      </c>
      <c r="DP2337" s="65">
        <f>IFERROR($AZ2337/$AZ2338-1,"")</f>
        <v/>
      </c>
      <c r="DQ2337" s="65">
        <f>IFERROR($BA2337/$BA2338-1,"")</f>
        <v/>
      </c>
      <c r="DR2337" s="64">
        <f>$O2337-$O2338</f>
        <v/>
      </c>
      <c r="DS2337" s="64">
        <f>$P2337-$P2338</f>
        <v/>
      </c>
      <c r="DT2337" s="64">
        <f>$Q2337-$Q2338</f>
        <v/>
      </c>
      <c r="DU2337" s="64">
        <f>$S2337-$S2338</f>
        <v/>
      </c>
      <c r="DV2337" s="65">
        <f>IFERROR(AVERAGE($AA2338/$AA2337-1,$AB2338/$AB2337-1,$AC2338/$AC2337-1,$AD2338/$AD2337-1,$AE2338/$AE2337-1,$AG2338/$AG2337-1,$AH2338/$AH2337-1,$AI2338/$AI2337-1,$AJ2338/$AJ2337-1,$AL2338/$AL2337-1,$AM2338/$AM2337-1,$AR2338/$AR2337-1,$AS2338/$AS2337-1,$AT2338/$AT2337-1,$AU2338/$AU2337-1,$AV2338/$AV2337-1,$AW2338/$AW2337-1,$AX2338/$AX2337-1,$AY2338/$AY2337-1),"")</f>
        <v/>
      </c>
      <c r="DW2337" s="66">
        <f>AVERAGE($CB2337,$CC2337,$CD2337,$CE2337,$CF2337,$CG2337,$CH2337,$CI2337,$CJ2337,$CL2337,$CM2337,$CN2337,$CO2337,$CP2337,$CQ2337,$CR2337,$CS2337,$CT2337)</f>
        <v/>
      </c>
      <c r="DX2337" s="66">
        <f>AVERAGE($CB2337,$CC2337,$CM2337,$CE2337,$CP2337)</f>
        <v/>
      </c>
      <c r="DY2337" s="64">
        <f>($DW2337-$DW2338)*100</f>
        <v/>
      </c>
      <c r="DZ2337" s="64">
        <f>($DX2337-$DX2338)*100</f>
        <v/>
      </c>
      <c r="EA2337" s="64">
        <f>($DW2337-$D2337)*100</f>
        <v/>
      </c>
      <c r="EB2337" s="64">
        <f>$Q2337-$O2337</f>
        <v/>
      </c>
      <c r="EC2337" s="67">
        <f>IFERROR($Q2337/$P2337,"")</f>
        <v/>
      </c>
    </row>
    <row r="2338">
      <c r="DG2338" s="64">
        <f>($B2338-$B2339)*100</f>
        <v/>
      </c>
      <c r="DH2338" s="64">
        <f>($D2338-$D2339)*100</f>
        <v/>
      </c>
      <c r="DI2338" s="64">
        <f>($E2338-$E2339)*100</f>
        <v/>
      </c>
      <c r="DJ2338" s="64">
        <f>($H2338-$H2339)*100</f>
        <v/>
      </c>
      <c r="DK2338" s="65">
        <f>IFERROR($J2338/$J2339-1,"")</f>
        <v/>
      </c>
      <c r="DL2338" s="64">
        <f>$L2338-$L2339</f>
        <v/>
      </c>
      <c r="DM2338" s="64">
        <f>$K2338-$K2339</f>
        <v/>
      </c>
      <c r="DN2338" s="65">
        <f>IFERROR($N2338/$N2339-1,"")</f>
        <v/>
      </c>
      <c r="DO2338" s="65">
        <f>IFERROR($M2338/$M2339-1,"")</f>
        <v/>
      </c>
      <c r="DP2338" s="65">
        <f>IFERROR($AZ2338/$AZ2339-1,"")</f>
        <v/>
      </c>
      <c r="DQ2338" s="65">
        <f>IFERROR($BA2338/$BA2339-1,"")</f>
        <v/>
      </c>
      <c r="DR2338" s="64">
        <f>$O2338-$O2339</f>
        <v/>
      </c>
      <c r="DS2338" s="64">
        <f>$P2338-$P2339</f>
        <v/>
      </c>
      <c r="DT2338" s="64">
        <f>$Q2338-$Q2339</f>
        <v/>
      </c>
      <c r="DU2338" s="64">
        <f>$S2338-$S2339</f>
        <v/>
      </c>
      <c r="DV2338" s="65">
        <f>IFERROR(AVERAGE($AA2339/$AA2338-1,$AB2339/$AB2338-1,$AC2339/$AC2338-1,$AD2339/$AD2338-1,$AE2339/$AE2338-1,$AG2339/$AG2338-1,$AH2339/$AH2338-1,$AI2339/$AI2338-1,$AJ2339/$AJ2338-1,$AL2339/$AL2338-1,$AM2339/$AM2338-1,$AR2339/$AR2338-1,$AS2339/$AS2338-1,$AT2339/$AT2338-1,$AU2339/$AU2338-1,$AV2339/$AV2338-1,$AW2339/$AW2338-1,$AX2339/$AX2338-1,$AY2339/$AY2338-1),"")</f>
        <v/>
      </c>
      <c r="DW2338" s="66">
        <f>AVERAGE($CB2338,$CC2338,$CD2338,$CE2338,$CF2338,$CG2338,$CH2338,$CI2338,$CJ2338,$CL2338,$CM2338,$CN2338,$CO2338,$CP2338,$CQ2338,$CR2338,$CS2338,$CT2338)</f>
        <v/>
      </c>
      <c r="DX2338" s="66">
        <f>AVERAGE($CB2338,$CC2338,$CM2338,$CE2338,$CP2338)</f>
        <v/>
      </c>
      <c r="DY2338" s="64">
        <f>($DW2338-$DW2339)*100</f>
        <v/>
      </c>
      <c r="DZ2338" s="64">
        <f>($DX2338-$DX2339)*100</f>
        <v/>
      </c>
      <c r="EA2338" s="64">
        <f>($DW2338-$D2338)*100</f>
        <v/>
      </c>
      <c r="EB2338" s="64">
        <f>$Q2338-$O2338</f>
        <v/>
      </c>
      <c r="EC2338" s="67">
        <f>IFERROR($Q2338/$P2338,"")</f>
        <v/>
      </c>
    </row>
    <row r="2339">
      <c r="DG2339" s="64">
        <f>($B2339-$B2340)*100</f>
        <v/>
      </c>
      <c r="DH2339" s="64">
        <f>($D2339-$D2340)*100</f>
        <v/>
      </c>
      <c r="DI2339" s="64">
        <f>($E2339-$E2340)*100</f>
        <v/>
      </c>
      <c r="DJ2339" s="64">
        <f>($H2339-$H2340)*100</f>
        <v/>
      </c>
      <c r="DK2339" s="65">
        <f>IFERROR($J2339/$J2340-1,"")</f>
        <v/>
      </c>
      <c r="DL2339" s="64">
        <f>$L2339-$L2340</f>
        <v/>
      </c>
      <c r="DM2339" s="64">
        <f>$K2339-$K2340</f>
        <v/>
      </c>
      <c r="DN2339" s="65">
        <f>IFERROR($N2339/$N2340-1,"")</f>
        <v/>
      </c>
      <c r="DO2339" s="65">
        <f>IFERROR($M2339/$M2340-1,"")</f>
        <v/>
      </c>
      <c r="DP2339" s="65">
        <f>IFERROR($AZ2339/$AZ2340-1,"")</f>
        <v/>
      </c>
      <c r="DQ2339" s="65">
        <f>IFERROR($BA2339/$BA2340-1,"")</f>
        <v/>
      </c>
      <c r="DR2339" s="64">
        <f>$O2339-$O2340</f>
        <v/>
      </c>
      <c r="DS2339" s="64">
        <f>$P2339-$P2340</f>
        <v/>
      </c>
      <c r="DT2339" s="64">
        <f>$Q2339-$Q2340</f>
        <v/>
      </c>
      <c r="DU2339" s="64">
        <f>$S2339-$S2340</f>
        <v/>
      </c>
      <c r="DV2339" s="65">
        <f>IFERROR(AVERAGE($AA2340/$AA2339-1,$AB2340/$AB2339-1,$AC2340/$AC2339-1,$AD2340/$AD2339-1,$AE2340/$AE2339-1,$AG2340/$AG2339-1,$AH2340/$AH2339-1,$AI2340/$AI2339-1,$AJ2340/$AJ2339-1,$AL2340/$AL2339-1,$AM2340/$AM2339-1,$AR2340/$AR2339-1,$AS2340/$AS2339-1,$AT2340/$AT2339-1,$AU2340/$AU2339-1,$AV2340/$AV2339-1,$AW2340/$AW2339-1,$AX2340/$AX2339-1,$AY2340/$AY2339-1),"")</f>
        <v/>
      </c>
      <c r="DW2339" s="66">
        <f>AVERAGE($CB2339,$CC2339,$CD2339,$CE2339,$CF2339,$CG2339,$CH2339,$CI2339,$CJ2339,$CL2339,$CM2339,$CN2339,$CO2339,$CP2339,$CQ2339,$CR2339,$CS2339,$CT2339)</f>
        <v/>
      </c>
      <c r="DX2339" s="66">
        <f>AVERAGE($CB2339,$CC2339,$CM2339,$CE2339,$CP2339)</f>
        <v/>
      </c>
      <c r="DY2339" s="64">
        <f>($DW2339-$DW2340)*100</f>
        <v/>
      </c>
      <c r="DZ2339" s="64">
        <f>($DX2339-$DX2340)*100</f>
        <v/>
      </c>
      <c r="EA2339" s="64">
        <f>($DW2339-$D2339)*100</f>
        <v/>
      </c>
      <c r="EB2339" s="64">
        <f>$Q2339-$O2339</f>
        <v/>
      </c>
      <c r="EC2339" s="67">
        <f>IFERROR($Q2339/$P2339,"")</f>
        <v/>
      </c>
    </row>
    <row r="2340">
      <c r="DG2340" s="64">
        <f>($B2340-$B2341)*100</f>
        <v/>
      </c>
      <c r="DH2340" s="64">
        <f>($D2340-$D2341)*100</f>
        <v/>
      </c>
      <c r="DI2340" s="64">
        <f>($E2340-$E2341)*100</f>
        <v/>
      </c>
      <c r="DJ2340" s="64">
        <f>($H2340-$H2341)*100</f>
        <v/>
      </c>
      <c r="DK2340" s="65">
        <f>IFERROR($J2340/$J2341-1,"")</f>
        <v/>
      </c>
      <c r="DL2340" s="64">
        <f>$L2340-$L2341</f>
        <v/>
      </c>
      <c r="DM2340" s="64">
        <f>$K2340-$K2341</f>
        <v/>
      </c>
      <c r="DN2340" s="65">
        <f>IFERROR($N2340/$N2341-1,"")</f>
        <v/>
      </c>
      <c r="DO2340" s="65">
        <f>IFERROR($M2340/$M2341-1,"")</f>
        <v/>
      </c>
      <c r="DP2340" s="65">
        <f>IFERROR($AZ2340/$AZ2341-1,"")</f>
        <v/>
      </c>
      <c r="DQ2340" s="65">
        <f>IFERROR($BA2340/$BA2341-1,"")</f>
        <v/>
      </c>
      <c r="DR2340" s="64">
        <f>$O2340-$O2341</f>
        <v/>
      </c>
      <c r="DS2340" s="64">
        <f>$P2340-$P2341</f>
        <v/>
      </c>
      <c r="DT2340" s="64">
        <f>$Q2340-$Q2341</f>
        <v/>
      </c>
      <c r="DU2340" s="64">
        <f>$S2340-$S2341</f>
        <v/>
      </c>
      <c r="DV2340" s="65">
        <f>IFERROR(AVERAGE($AA2341/$AA2340-1,$AB2341/$AB2340-1,$AC2341/$AC2340-1,$AD2341/$AD2340-1,$AE2341/$AE2340-1,$AG2341/$AG2340-1,$AH2341/$AH2340-1,$AI2341/$AI2340-1,$AJ2341/$AJ2340-1,$AL2341/$AL2340-1,$AM2341/$AM2340-1,$AR2341/$AR2340-1,$AS2341/$AS2340-1,$AT2341/$AT2340-1,$AU2341/$AU2340-1,$AV2341/$AV2340-1,$AW2341/$AW2340-1,$AX2341/$AX2340-1,$AY2341/$AY2340-1),"")</f>
        <v/>
      </c>
      <c r="DW2340" s="66">
        <f>AVERAGE($CB2340,$CC2340,$CD2340,$CE2340,$CF2340,$CG2340,$CH2340,$CI2340,$CJ2340,$CL2340,$CM2340,$CN2340,$CO2340,$CP2340,$CQ2340,$CR2340,$CS2340,$CT2340)</f>
        <v/>
      </c>
      <c r="DX2340" s="66">
        <f>AVERAGE($CB2340,$CC2340,$CM2340,$CE2340,$CP2340)</f>
        <v/>
      </c>
      <c r="DY2340" s="64">
        <f>($DW2340-$DW2341)*100</f>
        <v/>
      </c>
      <c r="DZ2340" s="64">
        <f>($DX2340-$DX2341)*100</f>
        <v/>
      </c>
      <c r="EA2340" s="64">
        <f>($DW2340-$D2340)*100</f>
        <v/>
      </c>
      <c r="EB2340" s="64">
        <f>$Q2340-$O2340</f>
        <v/>
      </c>
      <c r="EC2340" s="67">
        <f>IFERROR($Q2340/$P2340,"")</f>
        <v/>
      </c>
    </row>
    <row r="2341">
      <c r="DG2341" s="64">
        <f>($B2341-$B2342)*100</f>
        <v/>
      </c>
      <c r="DH2341" s="64">
        <f>($D2341-$D2342)*100</f>
        <v/>
      </c>
      <c r="DI2341" s="64">
        <f>($E2341-$E2342)*100</f>
        <v/>
      </c>
      <c r="DJ2341" s="64">
        <f>($H2341-$H2342)*100</f>
        <v/>
      </c>
      <c r="DK2341" s="65">
        <f>IFERROR($J2341/$J2342-1,"")</f>
        <v/>
      </c>
      <c r="DL2341" s="64">
        <f>$L2341-$L2342</f>
        <v/>
      </c>
      <c r="DM2341" s="64">
        <f>$K2341-$K2342</f>
        <v/>
      </c>
      <c r="DN2341" s="65">
        <f>IFERROR($N2341/$N2342-1,"")</f>
        <v/>
      </c>
      <c r="DO2341" s="65">
        <f>IFERROR($M2341/$M2342-1,"")</f>
        <v/>
      </c>
      <c r="DP2341" s="65">
        <f>IFERROR($AZ2341/$AZ2342-1,"")</f>
        <v/>
      </c>
      <c r="DQ2341" s="65">
        <f>IFERROR($BA2341/$BA2342-1,"")</f>
        <v/>
      </c>
      <c r="DR2341" s="64">
        <f>$O2341-$O2342</f>
        <v/>
      </c>
      <c r="DS2341" s="64">
        <f>$P2341-$P2342</f>
        <v/>
      </c>
      <c r="DT2341" s="64">
        <f>$Q2341-$Q2342</f>
        <v/>
      </c>
      <c r="DU2341" s="64">
        <f>$S2341-$S2342</f>
        <v/>
      </c>
      <c r="DV2341" s="65">
        <f>IFERROR(AVERAGE($AA2342/$AA2341-1,$AB2342/$AB2341-1,$AC2342/$AC2341-1,$AD2342/$AD2341-1,$AE2342/$AE2341-1,$AG2342/$AG2341-1,$AH2342/$AH2341-1,$AI2342/$AI2341-1,$AJ2342/$AJ2341-1,$AL2342/$AL2341-1,$AM2342/$AM2341-1,$AR2342/$AR2341-1,$AS2342/$AS2341-1,$AT2342/$AT2341-1,$AU2342/$AU2341-1,$AV2342/$AV2341-1,$AW2342/$AW2341-1,$AX2342/$AX2341-1,$AY2342/$AY2341-1),"")</f>
        <v/>
      </c>
      <c r="DW2341" s="66">
        <f>AVERAGE($CB2341,$CC2341,$CD2341,$CE2341,$CF2341,$CG2341,$CH2341,$CI2341,$CJ2341,$CL2341,$CM2341,$CN2341,$CO2341,$CP2341,$CQ2341,$CR2341,$CS2341,$CT2341)</f>
        <v/>
      </c>
      <c r="DX2341" s="66">
        <f>AVERAGE($CB2341,$CC2341,$CM2341,$CE2341,$CP2341)</f>
        <v/>
      </c>
      <c r="DY2341" s="64">
        <f>($DW2341-$DW2342)*100</f>
        <v/>
      </c>
      <c r="DZ2341" s="64">
        <f>($DX2341-$DX2342)*100</f>
        <v/>
      </c>
      <c r="EA2341" s="64">
        <f>($DW2341-$D2341)*100</f>
        <v/>
      </c>
      <c r="EB2341" s="64">
        <f>$Q2341-$O2341</f>
        <v/>
      </c>
      <c r="EC2341" s="67">
        <f>IFERROR($Q2341/$P2341,"")</f>
        <v/>
      </c>
    </row>
    <row r="2342">
      <c r="DG2342" s="64">
        <f>($B2342-$B2343)*100</f>
        <v/>
      </c>
      <c r="DH2342" s="64">
        <f>($D2342-$D2343)*100</f>
        <v/>
      </c>
      <c r="DI2342" s="64">
        <f>($E2342-$E2343)*100</f>
        <v/>
      </c>
      <c r="DJ2342" s="64">
        <f>($H2342-$H2343)*100</f>
        <v/>
      </c>
      <c r="DK2342" s="65">
        <f>IFERROR($J2342/$J2343-1,"")</f>
        <v/>
      </c>
      <c r="DL2342" s="64">
        <f>$L2342-$L2343</f>
        <v/>
      </c>
      <c r="DM2342" s="64">
        <f>$K2342-$K2343</f>
        <v/>
      </c>
      <c r="DN2342" s="65">
        <f>IFERROR($N2342/$N2343-1,"")</f>
        <v/>
      </c>
      <c r="DO2342" s="65">
        <f>IFERROR($M2342/$M2343-1,"")</f>
        <v/>
      </c>
      <c r="DP2342" s="65">
        <f>IFERROR($AZ2342/$AZ2343-1,"")</f>
        <v/>
      </c>
      <c r="DQ2342" s="65">
        <f>IFERROR($BA2342/$BA2343-1,"")</f>
        <v/>
      </c>
      <c r="DR2342" s="64">
        <f>$O2342-$O2343</f>
        <v/>
      </c>
      <c r="DS2342" s="64">
        <f>$P2342-$P2343</f>
        <v/>
      </c>
      <c r="DT2342" s="64">
        <f>$Q2342-$Q2343</f>
        <v/>
      </c>
      <c r="DU2342" s="64">
        <f>$S2342-$S2343</f>
        <v/>
      </c>
      <c r="DV2342" s="65">
        <f>IFERROR(AVERAGE($AA2343/$AA2342-1,$AB2343/$AB2342-1,$AC2343/$AC2342-1,$AD2343/$AD2342-1,$AE2343/$AE2342-1,$AG2343/$AG2342-1,$AH2343/$AH2342-1,$AI2343/$AI2342-1,$AJ2343/$AJ2342-1,$AL2343/$AL2342-1,$AM2343/$AM2342-1,$AR2343/$AR2342-1,$AS2343/$AS2342-1,$AT2343/$AT2342-1,$AU2343/$AU2342-1,$AV2343/$AV2342-1,$AW2343/$AW2342-1,$AX2343/$AX2342-1,$AY2343/$AY2342-1),"")</f>
        <v/>
      </c>
      <c r="DW2342" s="66">
        <f>AVERAGE($CB2342,$CC2342,$CD2342,$CE2342,$CF2342,$CG2342,$CH2342,$CI2342,$CJ2342,$CL2342,$CM2342,$CN2342,$CO2342,$CP2342,$CQ2342,$CR2342,$CS2342,$CT2342)</f>
        <v/>
      </c>
      <c r="DX2342" s="66">
        <f>AVERAGE($CB2342,$CC2342,$CM2342,$CE2342,$CP2342)</f>
        <v/>
      </c>
      <c r="DY2342" s="64">
        <f>($DW2342-$DW2343)*100</f>
        <v/>
      </c>
      <c r="DZ2342" s="64">
        <f>($DX2342-$DX2343)*100</f>
        <v/>
      </c>
      <c r="EA2342" s="64">
        <f>($DW2342-$D2342)*100</f>
        <v/>
      </c>
      <c r="EB2342" s="64">
        <f>$Q2342-$O2342</f>
        <v/>
      </c>
      <c r="EC2342" s="67">
        <f>IFERROR($Q2342/$P2342,"")</f>
        <v/>
      </c>
    </row>
    <row r="2343">
      <c r="DG2343" s="64">
        <f>($B2343-$B2344)*100</f>
        <v/>
      </c>
      <c r="DH2343" s="64">
        <f>($D2343-$D2344)*100</f>
        <v/>
      </c>
      <c r="DI2343" s="64">
        <f>($E2343-$E2344)*100</f>
        <v/>
      </c>
      <c r="DJ2343" s="64">
        <f>($H2343-$H2344)*100</f>
        <v/>
      </c>
      <c r="DK2343" s="65">
        <f>IFERROR($J2343/$J2344-1,"")</f>
        <v/>
      </c>
      <c r="DL2343" s="64">
        <f>$L2343-$L2344</f>
        <v/>
      </c>
      <c r="DM2343" s="64">
        <f>$K2343-$K2344</f>
        <v/>
      </c>
      <c r="DN2343" s="65">
        <f>IFERROR($N2343/$N2344-1,"")</f>
        <v/>
      </c>
      <c r="DO2343" s="65">
        <f>IFERROR($M2343/$M2344-1,"")</f>
        <v/>
      </c>
      <c r="DP2343" s="65">
        <f>IFERROR($AZ2343/$AZ2344-1,"")</f>
        <v/>
      </c>
      <c r="DQ2343" s="65">
        <f>IFERROR($BA2343/$BA2344-1,"")</f>
        <v/>
      </c>
      <c r="DR2343" s="64">
        <f>$O2343-$O2344</f>
        <v/>
      </c>
      <c r="DS2343" s="64">
        <f>$P2343-$P2344</f>
        <v/>
      </c>
      <c r="DT2343" s="64">
        <f>$Q2343-$Q2344</f>
        <v/>
      </c>
      <c r="DU2343" s="64">
        <f>$S2343-$S2344</f>
        <v/>
      </c>
      <c r="DV2343" s="65">
        <f>IFERROR(AVERAGE($AA2344/$AA2343-1,$AB2344/$AB2343-1,$AC2344/$AC2343-1,$AD2344/$AD2343-1,$AE2344/$AE2343-1,$AG2344/$AG2343-1,$AH2344/$AH2343-1,$AI2344/$AI2343-1,$AJ2344/$AJ2343-1,$AL2344/$AL2343-1,$AM2344/$AM2343-1,$AR2344/$AR2343-1,$AS2344/$AS2343-1,$AT2344/$AT2343-1,$AU2344/$AU2343-1,$AV2344/$AV2343-1,$AW2344/$AW2343-1,$AX2344/$AX2343-1,$AY2344/$AY2343-1),"")</f>
        <v/>
      </c>
      <c r="DW2343" s="66">
        <f>AVERAGE($CB2343,$CC2343,$CD2343,$CE2343,$CF2343,$CG2343,$CH2343,$CI2343,$CJ2343,$CL2343,$CM2343,$CN2343,$CO2343,$CP2343,$CQ2343,$CR2343,$CS2343,$CT2343)</f>
        <v/>
      </c>
      <c r="DX2343" s="66">
        <f>AVERAGE($CB2343,$CC2343,$CM2343,$CE2343,$CP2343)</f>
        <v/>
      </c>
      <c r="DY2343" s="64">
        <f>($DW2343-$DW2344)*100</f>
        <v/>
      </c>
      <c r="DZ2343" s="64">
        <f>($DX2343-$DX2344)*100</f>
        <v/>
      </c>
      <c r="EA2343" s="64">
        <f>($DW2343-$D2343)*100</f>
        <v/>
      </c>
      <c r="EB2343" s="64">
        <f>$Q2343-$O2343</f>
        <v/>
      </c>
      <c r="EC2343" s="67">
        <f>IFERROR($Q2343/$P2343,"")</f>
        <v/>
      </c>
    </row>
    <row r="2344">
      <c r="DG2344" s="64">
        <f>($B2344-$B2345)*100</f>
        <v/>
      </c>
      <c r="DH2344" s="64">
        <f>($D2344-$D2345)*100</f>
        <v/>
      </c>
      <c r="DI2344" s="64">
        <f>($E2344-$E2345)*100</f>
        <v/>
      </c>
      <c r="DJ2344" s="64">
        <f>($H2344-$H2345)*100</f>
        <v/>
      </c>
      <c r="DK2344" s="65">
        <f>IFERROR($J2344/$J2345-1,"")</f>
        <v/>
      </c>
      <c r="DL2344" s="64">
        <f>$L2344-$L2345</f>
        <v/>
      </c>
      <c r="DM2344" s="64">
        <f>$K2344-$K2345</f>
        <v/>
      </c>
      <c r="DN2344" s="65">
        <f>IFERROR($N2344/$N2345-1,"")</f>
        <v/>
      </c>
      <c r="DO2344" s="65">
        <f>IFERROR($M2344/$M2345-1,"")</f>
        <v/>
      </c>
      <c r="DP2344" s="65">
        <f>IFERROR($AZ2344/$AZ2345-1,"")</f>
        <v/>
      </c>
      <c r="DQ2344" s="65">
        <f>IFERROR($BA2344/$BA2345-1,"")</f>
        <v/>
      </c>
      <c r="DR2344" s="64">
        <f>$O2344-$O2345</f>
        <v/>
      </c>
      <c r="DS2344" s="64">
        <f>$P2344-$P2345</f>
        <v/>
      </c>
      <c r="DT2344" s="64">
        <f>$Q2344-$Q2345</f>
        <v/>
      </c>
      <c r="DU2344" s="64">
        <f>$S2344-$S2345</f>
        <v/>
      </c>
      <c r="DV2344" s="65">
        <f>IFERROR(AVERAGE($AA2345/$AA2344-1,$AB2345/$AB2344-1,$AC2345/$AC2344-1,$AD2345/$AD2344-1,$AE2345/$AE2344-1,$AG2345/$AG2344-1,$AH2345/$AH2344-1,$AI2345/$AI2344-1,$AJ2345/$AJ2344-1,$AL2345/$AL2344-1,$AM2345/$AM2344-1,$AR2345/$AR2344-1,$AS2345/$AS2344-1,$AT2345/$AT2344-1,$AU2345/$AU2344-1,$AV2345/$AV2344-1,$AW2345/$AW2344-1,$AX2345/$AX2344-1,$AY2345/$AY2344-1),"")</f>
        <v/>
      </c>
      <c r="DW2344" s="66">
        <f>AVERAGE($CB2344,$CC2344,$CD2344,$CE2344,$CF2344,$CG2344,$CH2344,$CI2344,$CJ2344,$CL2344,$CM2344,$CN2344,$CO2344,$CP2344,$CQ2344,$CR2344,$CS2344,$CT2344)</f>
        <v/>
      </c>
      <c r="DX2344" s="66">
        <f>AVERAGE($CB2344,$CC2344,$CM2344,$CE2344,$CP2344)</f>
        <v/>
      </c>
      <c r="DY2344" s="64">
        <f>($DW2344-$DW2345)*100</f>
        <v/>
      </c>
      <c r="DZ2344" s="64">
        <f>($DX2344-$DX2345)*100</f>
        <v/>
      </c>
      <c r="EA2344" s="64">
        <f>($DW2344-$D2344)*100</f>
        <v/>
      </c>
      <c r="EB2344" s="64">
        <f>$Q2344-$O2344</f>
        <v/>
      </c>
      <c r="EC2344" s="67">
        <f>IFERROR($Q2344/$P2344,"")</f>
        <v/>
      </c>
    </row>
    <row r="2345">
      <c r="DG2345" s="64">
        <f>($B2345-$B2346)*100</f>
        <v/>
      </c>
      <c r="DH2345" s="64">
        <f>($D2345-$D2346)*100</f>
        <v/>
      </c>
      <c r="DI2345" s="64">
        <f>($E2345-$E2346)*100</f>
        <v/>
      </c>
      <c r="DJ2345" s="64">
        <f>($H2345-$H2346)*100</f>
        <v/>
      </c>
      <c r="DK2345" s="65">
        <f>IFERROR($J2345/$J2346-1,"")</f>
        <v/>
      </c>
      <c r="DL2345" s="64">
        <f>$L2345-$L2346</f>
        <v/>
      </c>
      <c r="DM2345" s="64">
        <f>$K2345-$K2346</f>
        <v/>
      </c>
      <c r="DN2345" s="65">
        <f>IFERROR($N2345/$N2346-1,"")</f>
        <v/>
      </c>
      <c r="DO2345" s="65">
        <f>IFERROR($M2345/$M2346-1,"")</f>
        <v/>
      </c>
      <c r="DP2345" s="65">
        <f>IFERROR($AZ2345/$AZ2346-1,"")</f>
        <v/>
      </c>
      <c r="DQ2345" s="65">
        <f>IFERROR($BA2345/$BA2346-1,"")</f>
        <v/>
      </c>
      <c r="DR2345" s="64">
        <f>$O2345-$O2346</f>
        <v/>
      </c>
      <c r="DS2345" s="64">
        <f>$P2345-$P2346</f>
        <v/>
      </c>
      <c r="DT2345" s="64">
        <f>$Q2345-$Q2346</f>
        <v/>
      </c>
      <c r="DU2345" s="64">
        <f>$S2345-$S2346</f>
        <v/>
      </c>
      <c r="DV2345" s="65">
        <f>IFERROR(AVERAGE($AA2346/$AA2345-1,$AB2346/$AB2345-1,$AC2346/$AC2345-1,$AD2346/$AD2345-1,$AE2346/$AE2345-1,$AG2346/$AG2345-1,$AH2346/$AH2345-1,$AI2346/$AI2345-1,$AJ2346/$AJ2345-1,$AL2346/$AL2345-1,$AM2346/$AM2345-1,$AR2346/$AR2345-1,$AS2346/$AS2345-1,$AT2346/$AT2345-1,$AU2346/$AU2345-1,$AV2346/$AV2345-1,$AW2346/$AW2345-1,$AX2346/$AX2345-1,$AY2346/$AY2345-1),"")</f>
        <v/>
      </c>
      <c r="DW2345" s="66">
        <f>AVERAGE($CB2345,$CC2345,$CD2345,$CE2345,$CF2345,$CG2345,$CH2345,$CI2345,$CJ2345,$CL2345,$CM2345,$CN2345,$CO2345,$CP2345,$CQ2345,$CR2345,$CS2345,$CT2345)</f>
        <v/>
      </c>
      <c r="DX2345" s="66">
        <f>AVERAGE($CB2345,$CC2345,$CM2345,$CE2345,$CP2345)</f>
        <v/>
      </c>
      <c r="DY2345" s="64">
        <f>($DW2345-$DW2346)*100</f>
        <v/>
      </c>
      <c r="DZ2345" s="64">
        <f>($DX2345-$DX2346)*100</f>
        <v/>
      </c>
      <c r="EA2345" s="64">
        <f>($DW2345-$D2345)*100</f>
        <v/>
      </c>
      <c r="EB2345" s="64">
        <f>$Q2345-$O2345</f>
        <v/>
      </c>
      <c r="EC2345" s="67">
        <f>IFERROR($Q2345/$P2345,"")</f>
        <v/>
      </c>
    </row>
    <row r="2346">
      <c r="DG2346" s="64">
        <f>($B2346-$B2347)*100</f>
        <v/>
      </c>
      <c r="DH2346" s="64">
        <f>($D2346-$D2347)*100</f>
        <v/>
      </c>
      <c r="DI2346" s="64">
        <f>($E2346-$E2347)*100</f>
        <v/>
      </c>
      <c r="DJ2346" s="64">
        <f>($H2346-$H2347)*100</f>
        <v/>
      </c>
      <c r="DK2346" s="65">
        <f>IFERROR($J2346/$J2347-1,"")</f>
        <v/>
      </c>
      <c r="DL2346" s="64">
        <f>$L2346-$L2347</f>
        <v/>
      </c>
      <c r="DM2346" s="64">
        <f>$K2346-$K2347</f>
        <v/>
      </c>
      <c r="DN2346" s="65">
        <f>IFERROR($N2346/$N2347-1,"")</f>
        <v/>
      </c>
      <c r="DO2346" s="65">
        <f>IFERROR($M2346/$M2347-1,"")</f>
        <v/>
      </c>
      <c r="DP2346" s="65">
        <f>IFERROR($AZ2346/$AZ2347-1,"")</f>
        <v/>
      </c>
      <c r="DQ2346" s="65">
        <f>IFERROR($BA2346/$BA2347-1,"")</f>
        <v/>
      </c>
      <c r="DR2346" s="64">
        <f>$O2346-$O2347</f>
        <v/>
      </c>
      <c r="DS2346" s="64">
        <f>$P2346-$P2347</f>
        <v/>
      </c>
      <c r="DT2346" s="64">
        <f>$Q2346-$Q2347</f>
        <v/>
      </c>
      <c r="DU2346" s="64">
        <f>$S2346-$S2347</f>
        <v/>
      </c>
      <c r="DV2346" s="65">
        <f>IFERROR(AVERAGE($AA2347/$AA2346-1,$AB2347/$AB2346-1,$AC2347/$AC2346-1,$AD2347/$AD2346-1,$AE2347/$AE2346-1,$AG2347/$AG2346-1,$AH2347/$AH2346-1,$AI2347/$AI2346-1,$AJ2347/$AJ2346-1,$AL2347/$AL2346-1,$AM2347/$AM2346-1,$AR2347/$AR2346-1,$AS2347/$AS2346-1,$AT2347/$AT2346-1,$AU2347/$AU2346-1,$AV2347/$AV2346-1,$AW2347/$AW2346-1,$AX2347/$AX2346-1,$AY2347/$AY2346-1),"")</f>
        <v/>
      </c>
      <c r="DW2346" s="66">
        <f>AVERAGE($CB2346,$CC2346,$CD2346,$CE2346,$CF2346,$CG2346,$CH2346,$CI2346,$CJ2346,$CL2346,$CM2346,$CN2346,$CO2346,$CP2346,$CQ2346,$CR2346,$CS2346,$CT2346)</f>
        <v/>
      </c>
      <c r="DX2346" s="66">
        <f>AVERAGE($CB2346,$CC2346,$CM2346,$CE2346,$CP2346)</f>
        <v/>
      </c>
      <c r="DY2346" s="64">
        <f>($DW2346-$DW2347)*100</f>
        <v/>
      </c>
      <c r="DZ2346" s="64">
        <f>($DX2346-$DX2347)*100</f>
        <v/>
      </c>
      <c r="EA2346" s="64">
        <f>($DW2346-$D2346)*100</f>
        <v/>
      </c>
      <c r="EB2346" s="64">
        <f>$Q2346-$O2346</f>
        <v/>
      </c>
      <c r="EC2346" s="67">
        <f>IFERROR($Q2346/$P2346,"")</f>
        <v/>
      </c>
    </row>
    <row r="2347">
      <c r="DG2347" s="64">
        <f>($B2347-$B2348)*100</f>
        <v/>
      </c>
      <c r="DH2347" s="64">
        <f>($D2347-$D2348)*100</f>
        <v/>
      </c>
      <c r="DI2347" s="64">
        <f>($E2347-$E2348)*100</f>
        <v/>
      </c>
      <c r="DJ2347" s="64">
        <f>($H2347-$H2348)*100</f>
        <v/>
      </c>
      <c r="DK2347" s="65">
        <f>IFERROR($J2347/$J2348-1,"")</f>
        <v/>
      </c>
      <c r="DL2347" s="64">
        <f>$L2347-$L2348</f>
        <v/>
      </c>
      <c r="DM2347" s="64">
        <f>$K2347-$K2348</f>
        <v/>
      </c>
      <c r="DN2347" s="65">
        <f>IFERROR($N2347/$N2348-1,"")</f>
        <v/>
      </c>
      <c r="DO2347" s="65">
        <f>IFERROR($M2347/$M2348-1,"")</f>
        <v/>
      </c>
      <c r="DP2347" s="65">
        <f>IFERROR($AZ2347/$AZ2348-1,"")</f>
        <v/>
      </c>
      <c r="DQ2347" s="65">
        <f>IFERROR($BA2347/$BA2348-1,"")</f>
        <v/>
      </c>
      <c r="DR2347" s="64">
        <f>$O2347-$O2348</f>
        <v/>
      </c>
      <c r="DS2347" s="64">
        <f>$P2347-$P2348</f>
        <v/>
      </c>
      <c r="DT2347" s="64">
        <f>$Q2347-$Q2348</f>
        <v/>
      </c>
      <c r="DU2347" s="64">
        <f>$S2347-$S2348</f>
        <v/>
      </c>
      <c r="DV2347" s="65">
        <f>IFERROR(AVERAGE($AA2348/$AA2347-1,$AB2348/$AB2347-1,$AC2348/$AC2347-1,$AD2348/$AD2347-1,$AE2348/$AE2347-1,$AG2348/$AG2347-1,$AH2348/$AH2347-1,$AI2348/$AI2347-1,$AJ2348/$AJ2347-1,$AL2348/$AL2347-1,$AM2348/$AM2347-1,$AR2348/$AR2347-1,$AS2348/$AS2347-1,$AT2348/$AT2347-1,$AU2348/$AU2347-1,$AV2348/$AV2347-1,$AW2348/$AW2347-1,$AX2348/$AX2347-1,$AY2348/$AY2347-1),"")</f>
        <v/>
      </c>
      <c r="DW2347" s="66">
        <f>AVERAGE($CB2347,$CC2347,$CD2347,$CE2347,$CF2347,$CG2347,$CH2347,$CI2347,$CJ2347,$CL2347,$CM2347,$CN2347,$CO2347,$CP2347,$CQ2347,$CR2347,$CS2347,$CT2347)</f>
        <v/>
      </c>
      <c r="DX2347" s="66">
        <f>AVERAGE($CB2347,$CC2347,$CM2347,$CE2347,$CP2347)</f>
        <v/>
      </c>
      <c r="DY2347" s="64">
        <f>($DW2347-$DW2348)*100</f>
        <v/>
      </c>
      <c r="DZ2347" s="64">
        <f>($DX2347-$DX2348)*100</f>
        <v/>
      </c>
      <c r="EA2347" s="64">
        <f>($DW2347-$D2347)*100</f>
        <v/>
      </c>
      <c r="EB2347" s="64">
        <f>$Q2347-$O2347</f>
        <v/>
      </c>
      <c r="EC2347" s="67">
        <f>IFERROR($Q2347/$P2347,"")</f>
        <v/>
      </c>
    </row>
    <row r="2348">
      <c r="DG2348" s="64">
        <f>($B2348-$B2349)*100</f>
        <v/>
      </c>
      <c r="DH2348" s="64">
        <f>($D2348-$D2349)*100</f>
        <v/>
      </c>
      <c r="DI2348" s="64">
        <f>($E2348-$E2349)*100</f>
        <v/>
      </c>
      <c r="DJ2348" s="64">
        <f>($H2348-$H2349)*100</f>
        <v/>
      </c>
      <c r="DK2348" s="65">
        <f>IFERROR($J2348/$J2349-1,"")</f>
        <v/>
      </c>
      <c r="DL2348" s="64">
        <f>$L2348-$L2349</f>
        <v/>
      </c>
      <c r="DM2348" s="64">
        <f>$K2348-$K2349</f>
        <v/>
      </c>
      <c r="DN2348" s="65">
        <f>IFERROR($N2348/$N2349-1,"")</f>
        <v/>
      </c>
      <c r="DO2348" s="65">
        <f>IFERROR($M2348/$M2349-1,"")</f>
        <v/>
      </c>
      <c r="DP2348" s="65">
        <f>IFERROR($AZ2348/$AZ2349-1,"")</f>
        <v/>
      </c>
      <c r="DQ2348" s="65">
        <f>IFERROR($BA2348/$BA2349-1,"")</f>
        <v/>
      </c>
      <c r="DR2348" s="64">
        <f>$O2348-$O2349</f>
        <v/>
      </c>
      <c r="DS2348" s="64">
        <f>$P2348-$P2349</f>
        <v/>
      </c>
      <c r="DT2348" s="64">
        <f>$Q2348-$Q2349</f>
        <v/>
      </c>
      <c r="DU2348" s="64">
        <f>$S2348-$S2349</f>
        <v/>
      </c>
      <c r="DV2348" s="65">
        <f>IFERROR(AVERAGE($AA2349/$AA2348-1,$AB2349/$AB2348-1,$AC2349/$AC2348-1,$AD2349/$AD2348-1,$AE2349/$AE2348-1,$AG2349/$AG2348-1,$AH2349/$AH2348-1,$AI2349/$AI2348-1,$AJ2349/$AJ2348-1,$AL2349/$AL2348-1,$AM2349/$AM2348-1,$AR2349/$AR2348-1,$AS2349/$AS2348-1,$AT2349/$AT2348-1,$AU2349/$AU2348-1,$AV2349/$AV2348-1,$AW2349/$AW2348-1,$AX2349/$AX2348-1,$AY2349/$AY2348-1),"")</f>
        <v/>
      </c>
      <c r="DW2348" s="66">
        <f>AVERAGE($CB2348,$CC2348,$CD2348,$CE2348,$CF2348,$CG2348,$CH2348,$CI2348,$CJ2348,$CL2348,$CM2348,$CN2348,$CO2348,$CP2348,$CQ2348,$CR2348,$CS2348,$CT2348)</f>
        <v/>
      </c>
      <c r="DX2348" s="66">
        <f>AVERAGE($CB2348,$CC2348,$CM2348,$CE2348,$CP2348)</f>
        <v/>
      </c>
      <c r="DY2348" s="64">
        <f>($DW2348-$DW2349)*100</f>
        <v/>
      </c>
      <c r="DZ2348" s="64">
        <f>($DX2348-$DX2349)*100</f>
        <v/>
      </c>
      <c r="EA2348" s="64">
        <f>($DW2348-$D2348)*100</f>
        <v/>
      </c>
      <c r="EB2348" s="64">
        <f>$Q2348-$O2348</f>
        <v/>
      </c>
      <c r="EC2348" s="67">
        <f>IFERROR($Q2348/$P2348,"")</f>
        <v/>
      </c>
    </row>
    <row r="2349">
      <c r="DG2349" s="64">
        <f>($B2349-$B2350)*100</f>
        <v/>
      </c>
      <c r="DH2349" s="64">
        <f>($D2349-$D2350)*100</f>
        <v/>
      </c>
      <c r="DI2349" s="64">
        <f>($E2349-$E2350)*100</f>
        <v/>
      </c>
      <c r="DJ2349" s="64">
        <f>($H2349-$H2350)*100</f>
        <v/>
      </c>
      <c r="DK2349" s="65">
        <f>IFERROR($J2349/$J2350-1,"")</f>
        <v/>
      </c>
      <c r="DL2349" s="64">
        <f>$L2349-$L2350</f>
        <v/>
      </c>
      <c r="DM2349" s="64">
        <f>$K2349-$K2350</f>
        <v/>
      </c>
      <c r="DN2349" s="65">
        <f>IFERROR($N2349/$N2350-1,"")</f>
        <v/>
      </c>
      <c r="DO2349" s="65">
        <f>IFERROR($M2349/$M2350-1,"")</f>
        <v/>
      </c>
      <c r="DP2349" s="65">
        <f>IFERROR($AZ2349/$AZ2350-1,"")</f>
        <v/>
      </c>
      <c r="DQ2349" s="65">
        <f>IFERROR($BA2349/$BA2350-1,"")</f>
        <v/>
      </c>
      <c r="DR2349" s="64">
        <f>$O2349-$O2350</f>
        <v/>
      </c>
      <c r="DS2349" s="64">
        <f>$P2349-$P2350</f>
        <v/>
      </c>
      <c r="DT2349" s="64">
        <f>$Q2349-$Q2350</f>
        <v/>
      </c>
      <c r="DU2349" s="64">
        <f>$S2349-$S2350</f>
        <v/>
      </c>
      <c r="DV2349" s="65">
        <f>IFERROR(AVERAGE($AA2350/$AA2349-1,$AB2350/$AB2349-1,$AC2350/$AC2349-1,$AD2350/$AD2349-1,$AE2350/$AE2349-1,$AG2350/$AG2349-1,$AH2350/$AH2349-1,$AI2350/$AI2349-1,$AJ2350/$AJ2349-1,$AL2350/$AL2349-1,$AM2350/$AM2349-1,$AR2350/$AR2349-1,$AS2350/$AS2349-1,$AT2350/$AT2349-1,$AU2350/$AU2349-1,$AV2350/$AV2349-1,$AW2350/$AW2349-1,$AX2350/$AX2349-1,$AY2350/$AY2349-1),"")</f>
        <v/>
      </c>
      <c r="DW2349" s="66">
        <f>AVERAGE($CB2349,$CC2349,$CD2349,$CE2349,$CF2349,$CG2349,$CH2349,$CI2349,$CJ2349,$CL2349,$CM2349,$CN2349,$CO2349,$CP2349,$CQ2349,$CR2349,$CS2349,$CT2349)</f>
        <v/>
      </c>
      <c r="DX2349" s="66">
        <f>AVERAGE($CB2349,$CC2349,$CM2349,$CE2349,$CP2349)</f>
        <v/>
      </c>
      <c r="DY2349" s="64">
        <f>($DW2349-$DW2350)*100</f>
        <v/>
      </c>
      <c r="DZ2349" s="64">
        <f>($DX2349-$DX2350)*100</f>
        <v/>
      </c>
      <c r="EA2349" s="64">
        <f>($DW2349-$D2349)*100</f>
        <v/>
      </c>
      <c r="EB2349" s="64">
        <f>$Q2349-$O2349</f>
        <v/>
      </c>
      <c r="EC2349" s="67">
        <f>IFERROR($Q2349/$P2349,"")</f>
        <v/>
      </c>
    </row>
    <row r="2350">
      <c r="DG2350" s="64">
        <f>($B2350-$B2351)*100</f>
        <v/>
      </c>
      <c r="DH2350" s="64">
        <f>($D2350-$D2351)*100</f>
        <v/>
      </c>
      <c r="DI2350" s="64">
        <f>($E2350-$E2351)*100</f>
        <v/>
      </c>
      <c r="DJ2350" s="64">
        <f>($H2350-$H2351)*100</f>
        <v/>
      </c>
      <c r="DK2350" s="65">
        <f>IFERROR($J2350/$J2351-1,"")</f>
        <v/>
      </c>
      <c r="DL2350" s="64">
        <f>$L2350-$L2351</f>
        <v/>
      </c>
      <c r="DM2350" s="64">
        <f>$K2350-$K2351</f>
        <v/>
      </c>
      <c r="DN2350" s="65">
        <f>IFERROR($N2350/$N2351-1,"")</f>
        <v/>
      </c>
      <c r="DO2350" s="65">
        <f>IFERROR($M2350/$M2351-1,"")</f>
        <v/>
      </c>
      <c r="DP2350" s="65">
        <f>IFERROR($AZ2350/$AZ2351-1,"")</f>
        <v/>
      </c>
      <c r="DQ2350" s="65">
        <f>IFERROR($BA2350/$BA2351-1,"")</f>
        <v/>
      </c>
      <c r="DR2350" s="64">
        <f>$O2350-$O2351</f>
        <v/>
      </c>
      <c r="DS2350" s="64">
        <f>$P2350-$P2351</f>
        <v/>
      </c>
      <c r="DT2350" s="64">
        <f>$Q2350-$Q2351</f>
        <v/>
      </c>
      <c r="DU2350" s="64">
        <f>$S2350-$S2351</f>
        <v/>
      </c>
      <c r="DV2350" s="65">
        <f>IFERROR(AVERAGE($AA2351/$AA2350-1,$AB2351/$AB2350-1,$AC2351/$AC2350-1,$AD2351/$AD2350-1,$AE2351/$AE2350-1,$AG2351/$AG2350-1,$AH2351/$AH2350-1,$AI2351/$AI2350-1,$AJ2351/$AJ2350-1,$AL2351/$AL2350-1,$AM2351/$AM2350-1,$AR2351/$AR2350-1,$AS2351/$AS2350-1,$AT2351/$AT2350-1,$AU2351/$AU2350-1,$AV2351/$AV2350-1,$AW2351/$AW2350-1,$AX2351/$AX2350-1,$AY2351/$AY2350-1),"")</f>
        <v/>
      </c>
      <c r="DW2350" s="66">
        <f>AVERAGE($CB2350,$CC2350,$CD2350,$CE2350,$CF2350,$CG2350,$CH2350,$CI2350,$CJ2350,$CL2350,$CM2350,$CN2350,$CO2350,$CP2350,$CQ2350,$CR2350,$CS2350,$CT2350)</f>
        <v/>
      </c>
      <c r="DX2350" s="66">
        <f>AVERAGE($CB2350,$CC2350,$CM2350,$CE2350,$CP2350)</f>
        <v/>
      </c>
      <c r="DY2350" s="64">
        <f>($DW2350-$DW2351)*100</f>
        <v/>
      </c>
      <c r="DZ2350" s="64">
        <f>($DX2350-$DX2351)*100</f>
        <v/>
      </c>
      <c r="EA2350" s="64">
        <f>($DW2350-$D2350)*100</f>
        <v/>
      </c>
      <c r="EB2350" s="64">
        <f>$Q2350-$O2350</f>
        <v/>
      </c>
      <c r="EC2350" s="67">
        <f>IFERROR($Q2350/$P2350,"")</f>
        <v/>
      </c>
    </row>
    <row r="2351">
      <c r="DG2351" s="64">
        <f>($B2351-$B2352)*100</f>
        <v/>
      </c>
      <c r="DH2351" s="64">
        <f>($D2351-$D2352)*100</f>
        <v/>
      </c>
      <c r="DI2351" s="64">
        <f>($E2351-$E2352)*100</f>
        <v/>
      </c>
      <c r="DJ2351" s="64">
        <f>($H2351-$H2352)*100</f>
        <v/>
      </c>
      <c r="DK2351" s="65">
        <f>IFERROR($J2351/$J2352-1,"")</f>
        <v/>
      </c>
      <c r="DL2351" s="64">
        <f>$L2351-$L2352</f>
        <v/>
      </c>
      <c r="DM2351" s="64">
        <f>$K2351-$K2352</f>
        <v/>
      </c>
      <c r="DN2351" s="65">
        <f>IFERROR($N2351/$N2352-1,"")</f>
        <v/>
      </c>
      <c r="DO2351" s="65">
        <f>IFERROR($M2351/$M2352-1,"")</f>
        <v/>
      </c>
      <c r="DP2351" s="65">
        <f>IFERROR($AZ2351/$AZ2352-1,"")</f>
        <v/>
      </c>
      <c r="DQ2351" s="65">
        <f>IFERROR($BA2351/$BA2352-1,"")</f>
        <v/>
      </c>
      <c r="DR2351" s="64">
        <f>$O2351-$O2352</f>
        <v/>
      </c>
      <c r="DS2351" s="64">
        <f>$P2351-$P2352</f>
        <v/>
      </c>
      <c r="DT2351" s="64">
        <f>$Q2351-$Q2352</f>
        <v/>
      </c>
      <c r="DU2351" s="64">
        <f>$S2351-$S2352</f>
        <v/>
      </c>
      <c r="DV2351" s="65">
        <f>IFERROR(AVERAGE($AA2352/$AA2351-1,$AB2352/$AB2351-1,$AC2352/$AC2351-1,$AD2352/$AD2351-1,$AE2352/$AE2351-1,$AG2352/$AG2351-1,$AH2352/$AH2351-1,$AI2352/$AI2351-1,$AJ2352/$AJ2351-1,$AL2352/$AL2351-1,$AM2352/$AM2351-1,$AR2352/$AR2351-1,$AS2352/$AS2351-1,$AT2352/$AT2351-1,$AU2352/$AU2351-1,$AV2352/$AV2351-1,$AW2352/$AW2351-1,$AX2352/$AX2351-1,$AY2352/$AY2351-1),"")</f>
        <v/>
      </c>
      <c r="DW2351" s="66">
        <f>AVERAGE($CB2351,$CC2351,$CD2351,$CE2351,$CF2351,$CG2351,$CH2351,$CI2351,$CJ2351,$CL2351,$CM2351,$CN2351,$CO2351,$CP2351,$CQ2351,$CR2351,$CS2351,$CT2351)</f>
        <v/>
      </c>
      <c r="DX2351" s="66">
        <f>AVERAGE($CB2351,$CC2351,$CM2351,$CE2351,$CP2351)</f>
        <v/>
      </c>
      <c r="DY2351" s="64">
        <f>($DW2351-$DW2352)*100</f>
        <v/>
      </c>
      <c r="DZ2351" s="64">
        <f>($DX2351-$DX2352)*100</f>
        <v/>
      </c>
      <c r="EA2351" s="64">
        <f>($DW2351-$D2351)*100</f>
        <v/>
      </c>
      <c r="EB2351" s="64">
        <f>$Q2351-$O2351</f>
        <v/>
      </c>
      <c r="EC2351" s="67">
        <f>IFERROR($Q2351/$P2351,"")</f>
        <v/>
      </c>
    </row>
    <row r="2352">
      <c r="DG2352" s="64">
        <f>($B2352-$B2353)*100</f>
        <v/>
      </c>
      <c r="DH2352" s="64">
        <f>($D2352-$D2353)*100</f>
        <v/>
      </c>
      <c r="DI2352" s="64">
        <f>($E2352-$E2353)*100</f>
        <v/>
      </c>
      <c r="DJ2352" s="64">
        <f>($H2352-$H2353)*100</f>
        <v/>
      </c>
      <c r="DK2352" s="65">
        <f>IFERROR($J2352/$J2353-1,"")</f>
        <v/>
      </c>
      <c r="DL2352" s="64">
        <f>$L2352-$L2353</f>
        <v/>
      </c>
      <c r="DM2352" s="64">
        <f>$K2352-$K2353</f>
        <v/>
      </c>
      <c r="DN2352" s="65">
        <f>IFERROR($N2352/$N2353-1,"")</f>
        <v/>
      </c>
      <c r="DO2352" s="65">
        <f>IFERROR($M2352/$M2353-1,"")</f>
        <v/>
      </c>
      <c r="DP2352" s="65">
        <f>IFERROR($AZ2352/$AZ2353-1,"")</f>
        <v/>
      </c>
      <c r="DQ2352" s="65">
        <f>IFERROR($BA2352/$BA2353-1,"")</f>
        <v/>
      </c>
      <c r="DR2352" s="64">
        <f>$O2352-$O2353</f>
        <v/>
      </c>
      <c r="DS2352" s="64">
        <f>$P2352-$P2353</f>
        <v/>
      </c>
      <c r="DT2352" s="64">
        <f>$Q2352-$Q2353</f>
        <v/>
      </c>
      <c r="DU2352" s="64">
        <f>$S2352-$S2353</f>
        <v/>
      </c>
      <c r="DV2352" s="65">
        <f>IFERROR(AVERAGE($AA2353/$AA2352-1,$AB2353/$AB2352-1,$AC2353/$AC2352-1,$AD2353/$AD2352-1,$AE2353/$AE2352-1,$AG2353/$AG2352-1,$AH2353/$AH2352-1,$AI2353/$AI2352-1,$AJ2353/$AJ2352-1,$AL2353/$AL2352-1,$AM2353/$AM2352-1,$AR2353/$AR2352-1,$AS2353/$AS2352-1,$AT2353/$AT2352-1,$AU2353/$AU2352-1,$AV2353/$AV2352-1,$AW2353/$AW2352-1,$AX2353/$AX2352-1,$AY2353/$AY2352-1),"")</f>
        <v/>
      </c>
      <c r="DW2352" s="66">
        <f>AVERAGE($CB2352,$CC2352,$CD2352,$CE2352,$CF2352,$CG2352,$CH2352,$CI2352,$CJ2352,$CL2352,$CM2352,$CN2352,$CO2352,$CP2352,$CQ2352,$CR2352,$CS2352,$CT2352)</f>
        <v/>
      </c>
      <c r="DX2352" s="66">
        <f>AVERAGE($CB2352,$CC2352,$CM2352,$CE2352,$CP2352)</f>
        <v/>
      </c>
      <c r="DY2352" s="64">
        <f>($DW2352-$DW2353)*100</f>
        <v/>
      </c>
      <c r="DZ2352" s="64">
        <f>($DX2352-$DX2353)*100</f>
        <v/>
      </c>
      <c r="EA2352" s="64">
        <f>($DW2352-$D2352)*100</f>
        <v/>
      </c>
      <c r="EB2352" s="64">
        <f>$Q2352-$O2352</f>
        <v/>
      </c>
      <c r="EC2352" s="67">
        <f>IFERROR($Q2352/$P2352,"")</f>
        <v/>
      </c>
    </row>
    <row r="2353">
      <c r="DG2353" s="64">
        <f>($B2353-$B2354)*100</f>
        <v/>
      </c>
      <c r="DH2353" s="64">
        <f>($D2353-$D2354)*100</f>
        <v/>
      </c>
      <c r="DI2353" s="64">
        <f>($E2353-$E2354)*100</f>
        <v/>
      </c>
      <c r="DJ2353" s="64">
        <f>($H2353-$H2354)*100</f>
        <v/>
      </c>
      <c r="DK2353" s="65">
        <f>IFERROR($J2353/$J2354-1,"")</f>
        <v/>
      </c>
      <c r="DL2353" s="64">
        <f>$L2353-$L2354</f>
        <v/>
      </c>
      <c r="DM2353" s="64">
        <f>$K2353-$K2354</f>
        <v/>
      </c>
      <c r="DN2353" s="65">
        <f>IFERROR($N2353/$N2354-1,"")</f>
        <v/>
      </c>
      <c r="DO2353" s="65">
        <f>IFERROR($M2353/$M2354-1,"")</f>
        <v/>
      </c>
      <c r="DP2353" s="65">
        <f>IFERROR($AZ2353/$AZ2354-1,"")</f>
        <v/>
      </c>
      <c r="DQ2353" s="65">
        <f>IFERROR($BA2353/$BA2354-1,"")</f>
        <v/>
      </c>
      <c r="DR2353" s="64">
        <f>$O2353-$O2354</f>
        <v/>
      </c>
      <c r="DS2353" s="64">
        <f>$P2353-$P2354</f>
        <v/>
      </c>
      <c r="DT2353" s="64">
        <f>$Q2353-$Q2354</f>
        <v/>
      </c>
      <c r="DU2353" s="64">
        <f>$S2353-$S2354</f>
        <v/>
      </c>
      <c r="DV2353" s="65">
        <f>IFERROR(AVERAGE($AA2354/$AA2353-1,$AB2354/$AB2353-1,$AC2354/$AC2353-1,$AD2354/$AD2353-1,$AE2354/$AE2353-1,$AG2354/$AG2353-1,$AH2354/$AH2353-1,$AI2354/$AI2353-1,$AJ2354/$AJ2353-1,$AL2354/$AL2353-1,$AM2354/$AM2353-1,$AR2354/$AR2353-1,$AS2354/$AS2353-1,$AT2354/$AT2353-1,$AU2354/$AU2353-1,$AV2354/$AV2353-1,$AW2354/$AW2353-1,$AX2354/$AX2353-1,$AY2354/$AY2353-1),"")</f>
        <v/>
      </c>
      <c r="DW2353" s="66">
        <f>AVERAGE($CB2353,$CC2353,$CD2353,$CE2353,$CF2353,$CG2353,$CH2353,$CI2353,$CJ2353,$CL2353,$CM2353,$CN2353,$CO2353,$CP2353,$CQ2353,$CR2353,$CS2353,$CT2353)</f>
        <v/>
      </c>
      <c r="DX2353" s="66">
        <f>AVERAGE($CB2353,$CC2353,$CM2353,$CE2353,$CP2353)</f>
        <v/>
      </c>
      <c r="DY2353" s="64">
        <f>($DW2353-$DW2354)*100</f>
        <v/>
      </c>
      <c r="DZ2353" s="64">
        <f>($DX2353-$DX2354)*100</f>
        <v/>
      </c>
      <c r="EA2353" s="64">
        <f>($DW2353-$D2353)*100</f>
        <v/>
      </c>
      <c r="EB2353" s="64">
        <f>$Q2353-$O2353</f>
        <v/>
      </c>
      <c r="EC2353" s="67">
        <f>IFERROR($Q2353/$P2353,"")</f>
        <v/>
      </c>
    </row>
    <row r="2354">
      <c r="DG2354" s="64">
        <f>($B2354-$B2355)*100</f>
        <v/>
      </c>
      <c r="DH2354" s="64">
        <f>($D2354-$D2355)*100</f>
        <v/>
      </c>
      <c r="DI2354" s="64">
        <f>($E2354-$E2355)*100</f>
        <v/>
      </c>
      <c r="DJ2354" s="64">
        <f>($H2354-$H2355)*100</f>
        <v/>
      </c>
      <c r="DK2354" s="65">
        <f>IFERROR($J2354/$J2355-1,"")</f>
        <v/>
      </c>
      <c r="DL2354" s="64">
        <f>$L2354-$L2355</f>
        <v/>
      </c>
      <c r="DM2354" s="64">
        <f>$K2354-$K2355</f>
        <v/>
      </c>
      <c r="DN2354" s="65">
        <f>IFERROR($N2354/$N2355-1,"")</f>
        <v/>
      </c>
      <c r="DO2354" s="65">
        <f>IFERROR($M2354/$M2355-1,"")</f>
        <v/>
      </c>
      <c r="DP2354" s="65">
        <f>IFERROR($AZ2354/$AZ2355-1,"")</f>
        <v/>
      </c>
      <c r="DQ2354" s="65">
        <f>IFERROR($BA2354/$BA2355-1,"")</f>
        <v/>
      </c>
      <c r="DR2354" s="64">
        <f>$O2354-$O2355</f>
        <v/>
      </c>
      <c r="DS2354" s="64">
        <f>$P2354-$P2355</f>
        <v/>
      </c>
      <c r="DT2354" s="64">
        <f>$Q2354-$Q2355</f>
        <v/>
      </c>
      <c r="DU2354" s="64">
        <f>$S2354-$S2355</f>
        <v/>
      </c>
      <c r="DV2354" s="65">
        <f>IFERROR(AVERAGE($AA2355/$AA2354-1,$AB2355/$AB2354-1,$AC2355/$AC2354-1,$AD2355/$AD2354-1,$AE2355/$AE2354-1,$AG2355/$AG2354-1,$AH2355/$AH2354-1,$AI2355/$AI2354-1,$AJ2355/$AJ2354-1,$AL2355/$AL2354-1,$AM2355/$AM2354-1,$AR2355/$AR2354-1,$AS2355/$AS2354-1,$AT2355/$AT2354-1,$AU2355/$AU2354-1,$AV2355/$AV2354-1,$AW2355/$AW2354-1,$AX2355/$AX2354-1,$AY2355/$AY2354-1),"")</f>
        <v/>
      </c>
      <c r="DW2354" s="66">
        <f>AVERAGE($CB2354,$CC2354,$CD2354,$CE2354,$CF2354,$CG2354,$CH2354,$CI2354,$CJ2354,$CL2354,$CM2354,$CN2354,$CO2354,$CP2354,$CQ2354,$CR2354,$CS2354,$CT2354)</f>
        <v/>
      </c>
      <c r="DX2354" s="66">
        <f>AVERAGE($CB2354,$CC2354,$CM2354,$CE2354,$CP2354)</f>
        <v/>
      </c>
      <c r="DY2354" s="64">
        <f>($DW2354-$DW2355)*100</f>
        <v/>
      </c>
      <c r="DZ2354" s="64">
        <f>($DX2354-$DX2355)*100</f>
        <v/>
      </c>
      <c r="EA2354" s="64">
        <f>($DW2354-$D2354)*100</f>
        <v/>
      </c>
      <c r="EB2354" s="64">
        <f>$Q2354-$O2354</f>
        <v/>
      </c>
      <c r="EC2354" s="67">
        <f>IFERROR($Q2354/$P2354,"")</f>
        <v/>
      </c>
    </row>
    <row r="2355">
      <c r="DG2355" s="64">
        <f>($B2355-$B2356)*100</f>
        <v/>
      </c>
      <c r="DH2355" s="64">
        <f>($D2355-$D2356)*100</f>
        <v/>
      </c>
      <c r="DI2355" s="64">
        <f>($E2355-$E2356)*100</f>
        <v/>
      </c>
      <c r="DJ2355" s="64">
        <f>($H2355-$H2356)*100</f>
        <v/>
      </c>
      <c r="DK2355" s="65">
        <f>IFERROR($J2355/$J2356-1,"")</f>
        <v/>
      </c>
      <c r="DL2355" s="64">
        <f>$L2355-$L2356</f>
        <v/>
      </c>
      <c r="DM2355" s="64">
        <f>$K2355-$K2356</f>
        <v/>
      </c>
      <c r="DN2355" s="65">
        <f>IFERROR($N2355/$N2356-1,"")</f>
        <v/>
      </c>
      <c r="DO2355" s="65">
        <f>IFERROR($M2355/$M2356-1,"")</f>
        <v/>
      </c>
      <c r="DP2355" s="65">
        <f>IFERROR($AZ2355/$AZ2356-1,"")</f>
        <v/>
      </c>
      <c r="DQ2355" s="65">
        <f>IFERROR($BA2355/$BA2356-1,"")</f>
        <v/>
      </c>
      <c r="DR2355" s="64">
        <f>$O2355-$O2356</f>
        <v/>
      </c>
      <c r="DS2355" s="64">
        <f>$P2355-$P2356</f>
        <v/>
      </c>
      <c r="DT2355" s="64">
        <f>$Q2355-$Q2356</f>
        <v/>
      </c>
      <c r="DU2355" s="64">
        <f>$S2355-$S2356</f>
        <v/>
      </c>
      <c r="DV2355" s="65">
        <f>IFERROR(AVERAGE($AA2356/$AA2355-1,$AB2356/$AB2355-1,$AC2356/$AC2355-1,$AD2356/$AD2355-1,$AE2356/$AE2355-1,$AG2356/$AG2355-1,$AH2356/$AH2355-1,$AI2356/$AI2355-1,$AJ2356/$AJ2355-1,$AL2356/$AL2355-1,$AM2356/$AM2355-1,$AR2356/$AR2355-1,$AS2356/$AS2355-1,$AT2356/$AT2355-1,$AU2356/$AU2355-1,$AV2356/$AV2355-1,$AW2356/$AW2355-1,$AX2356/$AX2355-1,$AY2356/$AY2355-1),"")</f>
        <v/>
      </c>
      <c r="DW2355" s="66">
        <f>AVERAGE($CB2355,$CC2355,$CD2355,$CE2355,$CF2355,$CG2355,$CH2355,$CI2355,$CJ2355,$CL2355,$CM2355,$CN2355,$CO2355,$CP2355,$CQ2355,$CR2355,$CS2355,$CT2355)</f>
        <v/>
      </c>
      <c r="DX2355" s="66">
        <f>AVERAGE($CB2355,$CC2355,$CM2355,$CE2355,$CP2355)</f>
        <v/>
      </c>
      <c r="DY2355" s="64">
        <f>($DW2355-$DW2356)*100</f>
        <v/>
      </c>
      <c r="DZ2355" s="64">
        <f>($DX2355-$DX2356)*100</f>
        <v/>
      </c>
      <c r="EA2355" s="64">
        <f>($DW2355-$D2355)*100</f>
        <v/>
      </c>
      <c r="EB2355" s="64">
        <f>$Q2355-$O2355</f>
        <v/>
      </c>
      <c r="EC2355" s="67">
        <f>IFERROR($Q2355/$P2355,"")</f>
        <v/>
      </c>
    </row>
    <row r="2356">
      <c r="DG2356" s="64">
        <f>($B2356-$B2357)*100</f>
        <v/>
      </c>
      <c r="DH2356" s="64">
        <f>($D2356-$D2357)*100</f>
        <v/>
      </c>
      <c r="DI2356" s="64">
        <f>($E2356-$E2357)*100</f>
        <v/>
      </c>
      <c r="DJ2356" s="64">
        <f>($H2356-$H2357)*100</f>
        <v/>
      </c>
      <c r="DK2356" s="65">
        <f>IFERROR($J2356/$J2357-1,"")</f>
        <v/>
      </c>
      <c r="DL2356" s="64">
        <f>$L2356-$L2357</f>
        <v/>
      </c>
      <c r="DM2356" s="64">
        <f>$K2356-$K2357</f>
        <v/>
      </c>
      <c r="DN2356" s="65">
        <f>IFERROR($N2356/$N2357-1,"")</f>
        <v/>
      </c>
      <c r="DO2356" s="65">
        <f>IFERROR($M2356/$M2357-1,"")</f>
        <v/>
      </c>
      <c r="DP2356" s="65">
        <f>IFERROR($AZ2356/$AZ2357-1,"")</f>
        <v/>
      </c>
      <c r="DQ2356" s="65">
        <f>IFERROR($BA2356/$BA2357-1,"")</f>
        <v/>
      </c>
      <c r="DR2356" s="64">
        <f>$O2356-$O2357</f>
        <v/>
      </c>
      <c r="DS2356" s="64">
        <f>$P2356-$P2357</f>
        <v/>
      </c>
      <c r="DT2356" s="64">
        <f>$Q2356-$Q2357</f>
        <v/>
      </c>
      <c r="DU2356" s="64">
        <f>$S2356-$S2357</f>
        <v/>
      </c>
      <c r="DV2356" s="65">
        <f>IFERROR(AVERAGE($AA2357/$AA2356-1,$AB2357/$AB2356-1,$AC2357/$AC2356-1,$AD2357/$AD2356-1,$AE2357/$AE2356-1,$AG2357/$AG2356-1,$AH2357/$AH2356-1,$AI2357/$AI2356-1,$AJ2357/$AJ2356-1,$AL2357/$AL2356-1,$AM2357/$AM2356-1,$AR2357/$AR2356-1,$AS2357/$AS2356-1,$AT2357/$AT2356-1,$AU2357/$AU2356-1,$AV2357/$AV2356-1,$AW2357/$AW2356-1,$AX2357/$AX2356-1,$AY2357/$AY2356-1),"")</f>
        <v/>
      </c>
      <c r="DW2356" s="66">
        <f>AVERAGE($CB2356,$CC2356,$CD2356,$CE2356,$CF2356,$CG2356,$CH2356,$CI2356,$CJ2356,$CL2356,$CM2356,$CN2356,$CO2356,$CP2356,$CQ2356,$CR2356,$CS2356,$CT2356)</f>
        <v/>
      </c>
      <c r="DX2356" s="66">
        <f>AVERAGE($CB2356,$CC2356,$CM2356,$CE2356,$CP2356)</f>
        <v/>
      </c>
      <c r="DY2356" s="64">
        <f>($DW2356-$DW2357)*100</f>
        <v/>
      </c>
      <c r="DZ2356" s="64">
        <f>($DX2356-$DX2357)*100</f>
        <v/>
      </c>
      <c r="EA2356" s="64">
        <f>($DW2356-$D2356)*100</f>
        <v/>
      </c>
      <c r="EB2356" s="64">
        <f>$Q2356-$O2356</f>
        <v/>
      </c>
      <c r="EC2356" s="67">
        <f>IFERROR($Q2356/$P2356,"")</f>
        <v/>
      </c>
    </row>
    <row r="2357">
      <c r="DG2357" s="64">
        <f>($B2357-$B2358)*100</f>
        <v/>
      </c>
      <c r="DH2357" s="64">
        <f>($D2357-$D2358)*100</f>
        <v/>
      </c>
      <c r="DI2357" s="64">
        <f>($E2357-$E2358)*100</f>
        <v/>
      </c>
      <c r="DJ2357" s="64">
        <f>($H2357-$H2358)*100</f>
        <v/>
      </c>
      <c r="DK2357" s="65">
        <f>IFERROR($J2357/$J2358-1,"")</f>
        <v/>
      </c>
      <c r="DL2357" s="64">
        <f>$L2357-$L2358</f>
        <v/>
      </c>
      <c r="DM2357" s="64">
        <f>$K2357-$K2358</f>
        <v/>
      </c>
      <c r="DN2357" s="65">
        <f>IFERROR($N2357/$N2358-1,"")</f>
        <v/>
      </c>
      <c r="DO2357" s="65">
        <f>IFERROR($M2357/$M2358-1,"")</f>
        <v/>
      </c>
      <c r="DP2357" s="65">
        <f>IFERROR($AZ2357/$AZ2358-1,"")</f>
        <v/>
      </c>
      <c r="DQ2357" s="65">
        <f>IFERROR($BA2357/$BA2358-1,"")</f>
        <v/>
      </c>
      <c r="DR2357" s="64">
        <f>$O2357-$O2358</f>
        <v/>
      </c>
      <c r="DS2357" s="64">
        <f>$P2357-$P2358</f>
        <v/>
      </c>
      <c r="DT2357" s="64">
        <f>$Q2357-$Q2358</f>
        <v/>
      </c>
      <c r="DU2357" s="64">
        <f>$S2357-$S2358</f>
        <v/>
      </c>
      <c r="DV2357" s="65">
        <f>IFERROR(AVERAGE($AA2358/$AA2357-1,$AB2358/$AB2357-1,$AC2358/$AC2357-1,$AD2358/$AD2357-1,$AE2358/$AE2357-1,$AG2358/$AG2357-1,$AH2358/$AH2357-1,$AI2358/$AI2357-1,$AJ2358/$AJ2357-1,$AL2358/$AL2357-1,$AM2358/$AM2357-1,$AR2358/$AR2357-1,$AS2358/$AS2357-1,$AT2358/$AT2357-1,$AU2358/$AU2357-1,$AV2358/$AV2357-1,$AW2358/$AW2357-1,$AX2358/$AX2357-1,$AY2358/$AY2357-1),"")</f>
        <v/>
      </c>
      <c r="DW2357" s="66">
        <f>AVERAGE($CB2357,$CC2357,$CD2357,$CE2357,$CF2357,$CG2357,$CH2357,$CI2357,$CJ2357,$CL2357,$CM2357,$CN2357,$CO2357,$CP2357,$CQ2357,$CR2357,$CS2357,$CT2357)</f>
        <v/>
      </c>
      <c r="DX2357" s="66">
        <f>AVERAGE($CB2357,$CC2357,$CM2357,$CE2357,$CP2357)</f>
        <v/>
      </c>
      <c r="DY2357" s="64">
        <f>($DW2357-$DW2358)*100</f>
        <v/>
      </c>
      <c r="DZ2357" s="64">
        <f>($DX2357-$DX2358)*100</f>
        <v/>
      </c>
      <c r="EA2357" s="64">
        <f>($DW2357-$D2357)*100</f>
        <v/>
      </c>
      <c r="EB2357" s="64">
        <f>$Q2357-$O2357</f>
        <v/>
      </c>
      <c r="EC2357" s="67">
        <f>IFERROR($Q2357/$P2357,"")</f>
        <v/>
      </c>
    </row>
    <row r="2358">
      <c r="DG2358" s="64">
        <f>($B2358-$B2359)*100</f>
        <v/>
      </c>
      <c r="DH2358" s="64">
        <f>($D2358-$D2359)*100</f>
        <v/>
      </c>
      <c r="DI2358" s="64">
        <f>($E2358-$E2359)*100</f>
        <v/>
      </c>
      <c r="DJ2358" s="64">
        <f>($H2358-$H2359)*100</f>
        <v/>
      </c>
      <c r="DK2358" s="65">
        <f>IFERROR($J2358/$J2359-1,"")</f>
        <v/>
      </c>
      <c r="DL2358" s="64">
        <f>$L2358-$L2359</f>
        <v/>
      </c>
      <c r="DM2358" s="64">
        <f>$K2358-$K2359</f>
        <v/>
      </c>
      <c r="DN2358" s="65">
        <f>IFERROR($N2358/$N2359-1,"")</f>
        <v/>
      </c>
      <c r="DO2358" s="65">
        <f>IFERROR($M2358/$M2359-1,"")</f>
        <v/>
      </c>
      <c r="DP2358" s="65">
        <f>IFERROR($AZ2358/$AZ2359-1,"")</f>
        <v/>
      </c>
      <c r="DQ2358" s="65">
        <f>IFERROR($BA2358/$BA2359-1,"")</f>
        <v/>
      </c>
      <c r="DR2358" s="64">
        <f>$O2358-$O2359</f>
        <v/>
      </c>
      <c r="DS2358" s="64">
        <f>$P2358-$P2359</f>
        <v/>
      </c>
      <c r="DT2358" s="64">
        <f>$Q2358-$Q2359</f>
        <v/>
      </c>
      <c r="DU2358" s="64">
        <f>$S2358-$S2359</f>
        <v/>
      </c>
      <c r="DV2358" s="65">
        <f>IFERROR(AVERAGE($AA2359/$AA2358-1,$AB2359/$AB2358-1,$AC2359/$AC2358-1,$AD2359/$AD2358-1,$AE2359/$AE2358-1,$AG2359/$AG2358-1,$AH2359/$AH2358-1,$AI2359/$AI2358-1,$AJ2359/$AJ2358-1,$AL2359/$AL2358-1,$AM2359/$AM2358-1,$AR2359/$AR2358-1,$AS2359/$AS2358-1,$AT2359/$AT2358-1,$AU2359/$AU2358-1,$AV2359/$AV2358-1,$AW2359/$AW2358-1,$AX2359/$AX2358-1,$AY2359/$AY2358-1),"")</f>
        <v/>
      </c>
      <c r="DW2358" s="66">
        <f>AVERAGE($CB2358,$CC2358,$CD2358,$CE2358,$CF2358,$CG2358,$CH2358,$CI2358,$CJ2358,$CL2358,$CM2358,$CN2358,$CO2358,$CP2358,$CQ2358,$CR2358,$CS2358,$CT2358)</f>
        <v/>
      </c>
      <c r="DX2358" s="66">
        <f>AVERAGE($CB2358,$CC2358,$CM2358,$CE2358,$CP2358)</f>
        <v/>
      </c>
      <c r="DY2358" s="64">
        <f>($DW2358-$DW2359)*100</f>
        <v/>
      </c>
      <c r="DZ2358" s="64">
        <f>($DX2358-$DX2359)*100</f>
        <v/>
      </c>
      <c r="EA2358" s="64">
        <f>($DW2358-$D2358)*100</f>
        <v/>
      </c>
      <c r="EB2358" s="64">
        <f>$Q2358-$O2358</f>
        <v/>
      </c>
      <c r="EC2358" s="67">
        <f>IFERROR($Q2358/$P2358,"")</f>
        <v/>
      </c>
    </row>
    <row r="2359">
      <c r="DG2359" s="64">
        <f>($B2359-$B2360)*100</f>
        <v/>
      </c>
      <c r="DH2359" s="64">
        <f>($D2359-$D2360)*100</f>
        <v/>
      </c>
      <c r="DI2359" s="64">
        <f>($E2359-$E2360)*100</f>
        <v/>
      </c>
      <c r="DJ2359" s="64">
        <f>($H2359-$H2360)*100</f>
        <v/>
      </c>
      <c r="DK2359" s="65">
        <f>IFERROR($J2359/$J2360-1,"")</f>
        <v/>
      </c>
      <c r="DL2359" s="64">
        <f>$L2359-$L2360</f>
        <v/>
      </c>
      <c r="DM2359" s="64">
        <f>$K2359-$K2360</f>
        <v/>
      </c>
      <c r="DN2359" s="65">
        <f>IFERROR($N2359/$N2360-1,"")</f>
        <v/>
      </c>
      <c r="DO2359" s="65">
        <f>IFERROR($M2359/$M2360-1,"")</f>
        <v/>
      </c>
      <c r="DP2359" s="65">
        <f>IFERROR($AZ2359/$AZ2360-1,"")</f>
        <v/>
      </c>
      <c r="DQ2359" s="65">
        <f>IFERROR($BA2359/$BA2360-1,"")</f>
        <v/>
      </c>
      <c r="DR2359" s="64">
        <f>$O2359-$O2360</f>
        <v/>
      </c>
      <c r="DS2359" s="64">
        <f>$P2359-$P2360</f>
        <v/>
      </c>
      <c r="DT2359" s="64">
        <f>$Q2359-$Q2360</f>
        <v/>
      </c>
      <c r="DU2359" s="64">
        <f>$S2359-$S2360</f>
        <v/>
      </c>
      <c r="DV2359" s="65">
        <f>IFERROR(AVERAGE($AA2360/$AA2359-1,$AB2360/$AB2359-1,$AC2360/$AC2359-1,$AD2360/$AD2359-1,$AE2360/$AE2359-1,$AG2360/$AG2359-1,$AH2360/$AH2359-1,$AI2360/$AI2359-1,$AJ2360/$AJ2359-1,$AL2360/$AL2359-1,$AM2360/$AM2359-1,$AR2360/$AR2359-1,$AS2360/$AS2359-1,$AT2360/$AT2359-1,$AU2360/$AU2359-1,$AV2360/$AV2359-1,$AW2360/$AW2359-1,$AX2360/$AX2359-1,$AY2360/$AY2359-1),"")</f>
        <v/>
      </c>
      <c r="DW2359" s="66">
        <f>AVERAGE($CB2359,$CC2359,$CD2359,$CE2359,$CF2359,$CG2359,$CH2359,$CI2359,$CJ2359,$CL2359,$CM2359,$CN2359,$CO2359,$CP2359,$CQ2359,$CR2359,$CS2359,$CT2359)</f>
        <v/>
      </c>
      <c r="DX2359" s="66">
        <f>AVERAGE($CB2359,$CC2359,$CM2359,$CE2359,$CP2359)</f>
        <v/>
      </c>
      <c r="DY2359" s="64">
        <f>($DW2359-$DW2360)*100</f>
        <v/>
      </c>
      <c r="DZ2359" s="64">
        <f>($DX2359-$DX2360)*100</f>
        <v/>
      </c>
      <c r="EA2359" s="64">
        <f>($DW2359-$D2359)*100</f>
        <v/>
      </c>
      <c r="EB2359" s="64">
        <f>$Q2359-$O2359</f>
        <v/>
      </c>
      <c r="EC2359" s="67">
        <f>IFERROR($Q2359/$P2359,"")</f>
        <v/>
      </c>
    </row>
    <row r="2360">
      <c r="DG2360" s="64">
        <f>($B2360-$B2361)*100</f>
        <v/>
      </c>
      <c r="DH2360" s="64">
        <f>($D2360-$D2361)*100</f>
        <v/>
      </c>
      <c r="DI2360" s="64">
        <f>($E2360-$E2361)*100</f>
        <v/>
      </c>
      <c r="DJ2360" s="64">
        <f>($H2360-$H2361)*100</f>
        <v/>
      </c>
      <c r="DK2360" s="65">
        <f>IFERROR($J2360/$J2361-1,"")</f>
        <v/>
      </c>
      <c r="DL2360" s="64">
        <f>$L2360-$L2361</f>
        <v/>
      </c>
      <c r="DM2360" s="64">
        <f>$K2360-$K2361</f>
        <v/>
      </c>
      <c r="DN2360" s="65">
        <f>IFERROR($N2360/$N2361-1,"")</f>
        <v/>
      </c>
      <c r="DO2360" s="65">
        <f>IFERROR($M2360/$M2361-1,"")</f>
        <v/>
      </c>
      <c r="DP2360" s="65">
        <f>IFERROR($AZ2360/$AZ2361-1,"")</f>
        <v/>
      </c>
      <c r="DQ2360" s="65">
        <f>IFERROR($BA2360/$BA2361-1,"")</f>
        <v/>
      </c>
      <c r="DR2360" s="64">
        <f>$O2360-$O2361</f>
        <v/>
      </c>
      <c r="DS2360" s="64">
        <f>$P2360-$P2361</f>
        <v/>
      </c>
      <c r="DT2360" s="64">
        <f>$Q2360-$Q2361</f>
        <v/>
      </c>
      <c r="DU2360" s="64">
        <f>$S2360-$S2361</f>
        <v/>
      </c>
      <c r="DV2360" s="65">
        <f>IFERROR(AVERAGE($AA2361/$AA2360-1,$AB2361/$AB2360-1,$AC2361/$AC2360-1,$AD2361/$AD2360-1,$AE2361/$AE2360-1,$AG2361/$AG2360-1,$AH2361/$AH2360-1,$AI2361/$AI2360-1,$AJ2361/$AJ2360-1,$AL2361/$AL2360-1,$AM2361/$AM2360-1,$AR2361/$AR2360-1,$AS2361/$AS2360-1,$AT2361/$AT2360-1,$AU2361/$AU2360-1,$AV2361/$AV2360-1,$AW2361/$AW2360-1,$AX2361/$AX2360-1,$AY2361/$AY2360-1),"")</f>
        <v/>
      </c>
      <c r="DW2360" s="66">
        <f>AVERAGE($CB2360,$CC2360,$CD2360,$CE2360,$CF2360,$CG2360,$CH2360,$CI2360,$CJ2360,$CL2360,$CM2360,$CN2360,$CO2360,$CP2360,$CQ2360,$CR2360,$CS2360,$CT2360)</f>
        <v/>
      </c>
      <c r="DX2360" s="66">
        <f>AVERAGE($CB2360,$CC2360,$CM2360,$CE2360,$CP2360)</f>
        <v/>
      </c>
      <c r="DY2360" s="64">
        <f>($DW2360-$DW2361)*100</f>
        <v/>
      </c>
      <c r="DZ2360" s="64">
        <f>($DX2360-$DX2361)*100</f>
        <v/>
      </c>
      <c r="EA2360" s="64">
        <f>($DW2360-$D2360)*100</f>
        <v/>
      </c>
      <c r="EB2360" s="64">
        <f>$Q2360-$O2360</f>
        <v/>
      </c>
      <c r="EC2360" s="67">
        <f>IFERROR($Q2360/$P2360,"")</f>
        <v/>
      </c>
    </row>
    <row r="2361">
      <c r="DG2361" s="64">
        <f>($B2361-$B2362)*100</f>
        <v/>
      </c>
      <c r="DH2361" s="64">
        <f>($D2361-$D2362)*100</f>
        <v/>
      </c>
      <c r="DI2361" s="64">
        <f>($E2361-$E2362)*100</f>
        <v/>
      </c>
      <c r="DJ2361" s="64">
        <f>($H2361-$H2362)*100</f>
        <v/>
      </c>
      <c r="DK2361" s="65">
        <f>IFERROR($J2361/$J2362-1,"")</f>
        <v/>
      </c>
      <c r="DL2361" s="64">
        <f>$L2361-$L2362</f>
        <v/>
      </c>
      <c r="DM2361" s="64">
        <f>$K2361-$K2362</f>
        <v/>
      </c>
      <c r="DN2361" s="65">
        <f>IFERROR($N2361/$N2362-1,"")</f>
        <v/>
      </c>
      <c r="DO2361" s="65">
        <f>IFERROR($M2361/$M2362-1,"")</f>
        <v/>
      </c>
      <c r="DP2361" s="65">
        <f>IFERROR($AZ2361/$AZ2362-1,"")</f>
        <v/>
      </c>
      <c r="DQ2361" s="65">
        <f>IFERROR($BA2361/$BA2362-1,"")</f>
        <v/>
      </c>
      <c r="DR2361" s="64">
        <f>$O2361-$O2362</f>
        <v/>
      </c>
      <c r="DS2361" s="64">
        <f>$P2361-$P2362</f>
        <v/>
      </c>
      <c r="DT2361" s="64">
        <f>$Q2361-$Q2362</f>
        <v/>
      </c>
      <c r="DU2361" s="64">
        <f>$S2361-$S2362</f>
        <v/>
      </c>
      <c r="DV2361" s="65">
        <f>IFERROR(AVERAGE($AA2362/$AA2361-1,$AB2362/$AB2361-1,$AC2362/$AC2361-1,$AD2362/$AD2361-1,$AE2362/$AE2361-1,$AG2362/$AG2361-1,$AH2362/$AH2361-1,$AI2362/$AI2361-1,$AJ2362/$AJ2361-1,$AL2362/$AL2361-1,$AM2362/$AM2361-1,$AR2362/$AR2361-1,$AS2362/$AS2361-1,$AT2362/$AT2361-1,$AU2362/$AU2361-1,$AV2362/$AV2361-1,$AW2362/$AW2361-1,$AX2362/$AX2361-1,$AY2362/$AY2361-1),"")</f>
        <v/>
      </c>
      <c r="DW2361" s="66">
        <f>AVERAGE($CB2361,$CC2361,$CD2361,$CE2361,$CF2361,$CG2361,$CH2361,$CI2361,$CJ2361,$CL2361,$CM2361,$CN2361,$CO2361,$CP2361,$CQ2361,$CR2361,$CS2361,$CT2361)</f>
        <v/>
      </c>
      <c r="DX2361" s="66">
        <f>AVERAGE($CB2361,$CC2361,$CM2361,$CE2361,$CP2361)</f>
        <v/>
      </c>
      <c r="DY2361" s="64">
        <f>($DW2361-$DW2362)*100</f>
        <v/>
      </c>
      <c r="DZ2361" s="64">
        <f>($DX2361-$DX2362)*100</f>
        <v/>
      </c>
      <c r="EA2361" s="64">
        <f>($DW2361-$D2361)*100</f>
        <v/>
      </c>
      <c r="EB2361" s="64">
        <f>$Q2361-$O2361</f>
        <v/>
      </c>
      <c r="EC2361" s="67">
        <f>IFERROR($Q2361/$P2361,"")</f>
        <v/>
      </c>
    </row>
    <row r="2362">
      <c r="DG2362" s="64">
        <f>($B2362-$B2363)*100</f>
        <v/>
      </c>
      <c r="DH2362" s="64">
        <f>($D2362-$D2363)*100</f>
        <v/>
      </c>
      <c r="DI2362" s="64">
        <f>($E2362-$E2363)*100</f>
        <v/>
      </c>
      <c r="DJ2362" s="64">
        <f>($H2362-$H2363)*100</f>
        <v/>
      </c>
      <c r="DK2362" s="65">
        <f>IFERROR($J2362/$J2363-1,"")</f>
        <v/>
      </c>
      <c r="DL2362" s="64">
        <f>$L2362-$L2363</f>
        <v/>
      </c>
      <c r="DM2362" s="64">
        <f>$K2362-$K2363</f>
        <v/>
      </c>
      <c r="DN2362" s="65">
        <f>IFERROR($N2362/$N2363-1,"")</f>
        <v/>
      </c>
      <c r="DO2362" s="65">
        <f>IFERROR($M2362/$M2363-1,"")</f>
        <v/>
      </c>
      <c r="DP2362" s="65">
        <f>IFERROR($AZ2362/$AZ2363-1,"")</f>
        <v/>
      </c>
      <c r="DQ2362" s="65">
        <f>IFERROR($BA2362/$BA2363-1,"")</f>
        <v/>
      </c>
      <c r="DR2362" s="64">
        <f>$O2362-$O2363</f>
        <v/>
      </c>
      <c r="DS2362" s="64">
        <f>$P2362-$P2363</f>
        <v/>
      </c>
      <c r="DT2362" s="64">
        <f>$Q2362-$Q2363</f>
        <v/>
      </c>
      <c r="DU2362" s="64">
        <f>$S2362-$S2363</f>
        <v/>
      </c>
      <c r="DV2362" s="65">
        <f>IFERROR(AVERAGE($AA2363/$AA2362-1,$AB2363/$AB2362-1,$AC2363/$AC2362-1,$AD2363/$AD2362-1,$AE2363/$AE2362-1,$AG2363/$AG2362-1,$AH2363/$AH2362-1,$AI2363/$AI2362-1,$AJ2363/$AJ2362-1,$AL2363/$AL2362-1,$AM2363/$AM2362-1,$AR2363/$AR2362-1,$AS2363/$AS2362-1,$AT2363/$AT2362-1,$AU2363/$AU2362-1,$AV2363/$AV2362-1,$AW2363/$AW2362-1,$AX2363/$AX2362-1,$AY2363/$AY2362-1),"")</f>
        <v/>
      </c>
      <c r="DW2362" s="66">
        <f>AVERAGE($CB2362,$CC2362,$CD2362,$CE2362,$CF2362,$CG2362,$CH2362,$CI2362,$CJ2362,$CL2362,$CM2362,$CN2362,$CO2362,$CP2362,$CQ2362,$CR2362,$CS2362,$CT2362)</f>
        <v/>
      </c>
      <c r="DX2362" s="66">
        <f>AVERAGE($CB2362,$CC2362,$CM2362,$CE2362,$CP2362)</f>
        <v/>
      </c>
      <c r="DY2362" s="64">
        <f>($DW2362-$DW2363)*100</f>
        <v/>
      </c>
      <c r="DZ2362" s="64">
        <f>($DX2362-$DX2363)*100</f>
        <v/>
      </c>
      <c r="EA2362" s="64">
        <f>($DW2362-$D2362)*100</f>
        <v/>
      </c>
      <c r="EB2362" s="64">
        <f>$Q2362-$O2362</f>
        <v/>
      </c>
      <c r="EC2362" s="67">
        <f>IFERROR($Q2362/$P2362,"")</f>
        <v/>
      </c>
    </row>
    <row r="2363">
      <c r="DG2363" s="64">
        <f>($B2363-$B2364)*100</f>
        <v/>
      </c>
      <c r="DH2363" s="64">
        <f>($D2363-$D2364)*100</f>
        <v/>
      </c>
      <c r="DI2363" s="64">
        <f>($E2363-$E2364)*100</f>
        <v/>
      </c>
      <c r="DJ2363" s="64">
        <f>($H2363-$H2364)*100</f>
        <v/>
      </c>
      <c r="DK2363" s="65">
        <f>IFERROR($J2363/$J2364-1,"")</f>
        <v/>
      </c>
      <c r="DL2363" s="64">
        <f>$L2363-$L2364</f>
        <v/>
      </c>
      <c r="DM2363" s="64">
        <f>$K2363-$K2364</f>
        <v/>
      </c>
      <c r="DN2363" s="65">
        <f>IFERROR($N2363/$N2364-1,"")</f>
        <v/>
      </c>
      <c r="DO2363" s="65">
        <f>IFERROR($M2363/$M2364-1,"")</f>
        <v/>
      </c>
      <c r="DP2363" s="65">
        <f>IFERROR($AZ2363/$AZ2364-1,"")</f>
        <v/>
      </c>
      <c r="DQ2363" s="65">
        <f>IFERROR($BA2363/$BA2364-1,"")</f>
        <v/>
      </c>
      <c r="DR2363" s="64">
        <f>$O2363-$O2364</f>
        <v/>
      </c>
      <c r="DS2363" s="64">
        <f>$P2363-$P2364</f>
        <v/>
      </c>
      <c r="DT2363" s="64">
        <f>$Q2363-$Q2364</f>
        <v/>
      </c>
      <c r="DU2363" s="64">
        <f>$S2363-$S2364</f>
        <v/>
      </c>
      <c r="DV2363" s="65">
        <f>IFERROR(AVERAGE($AA2364/$AA2363-1,$AB2364/$AB2363-1,$AC2364/$AC2363-1,$AD2364/$AD2363-1,$AE2364/$AE2363-1,$AG2364/$AG2363-1,$AH2364/$AH2363-1,$AI2364/$AI2363-1,$AJ2364/$AJ2363-1,$AL2364/$AL2363-1,$AM2364/$AM2363-1,$AR2364/$AR2363-1,$AS2364/$AS2363-1,$AT2364/$AT2363-1,$AU2364/$AU2363-1,$AV2364/$AV2363-1,$AW2364/$AW2363-1,$AX2364/$AX2363-1,$AY2364/$AY2363-1),"")</f>
        <v/>
      </c>
      <c r="DW2363" s="66">
        <f>AVERAGE($CB2363,$CC2363,$CD2363,$CE2363,$CF2363,$CG2363,$CH2363,$CI2363,$CJ2363,$CL2363,$CM2363,$CN2363,$CO2363,$CP2363,$CQ2363,$CR2363,$CS2363,$CT2363)</f>
        <v/>
      </c>
      <c r="DX2363" s="66">
        <f>AVERAGE($CB2363,$CC2363,$CM2363,$CE2363,$CP2363)</f>
        <v/>
      </c>
      <c r="DY2363" s="64">
        <f>($DW2363-$DW2364)*100</f>
        <v/>
      </c>
      <c r="DZ2363" s="64">
        <f>($DX2363-$DX2364)*100</f>
        <v/>
      </c>
      <c r="EA2363" s="64">
        <f>($DW2363-$D2363)*100</f>
        <v/>
      </c>
      <c r="EB2363" s="64">
        <f>$Q2363-$O2363</f>
        <v/>
      </c>
      <c r="EC2363" s="67">
        <f>IFERROR($Q2363/$P2363,"")</f>
        <v/>
      </c>
    </row>
    <row r="2364">
      <c r="DG2364" s="64">
        <f>($B2364-$B2365)*100</f>
        <v/>
      </c>
      <c r="DH2364" s="64">
        <f>($D2364-$D2365)*100</f>
        <v/>
      </c>
      <c r="DI2364" s="64">
        <f>($E2364-$E2365)*100</f>
        <v/>
      </c>
      <c r="DJ2364" s="64">
        <f>($H2364-$H2365)*100</f>
        <v/>
      </c>
      <c r="DK2364" s="65">
        <f>IFERROR($J2364/$J2365-1,"")</f>
        <v/>
      </c>
      <c r="DL2364" s="64">
        <f>$L2364-$L2365</f>
        <v/>
      </c>
      <c r="DM2364" s="64">
        <f>$K2364-$K2365</f>
        <v/>
      </c>
      <c r="DN2364" s="65">
        <f>IFERROR($N2364/$N2365-1,"")</f>
        <v/>
      </c>
      <c r="DO2364" s="65">
        <f>IFERROR($M2364/$M2365-1,"")</f>
        <v/>
      </c>
      <c r="DP2364" s="65">
        <f>IFERROR($AZ2364/$AZ2365-1,"")</f>
        <v/>
      </c>
      <c r="DQ2364" s="65">
        <f>IFERROR($BA2364/$BA2365-1,"")</f>
        <v/>
      </c>
      <c r="DR2364" s="64">
        <f>$O2364-$O2365</f>
        <v/>
      </c>
      <c r="DS2364" s="64">
        <f>$P2364-$P2365</f>
        <v/>
      </c>
      <c r="DT2364" s="64">
        <f>$Q2364-$Q2365</f>
        <v/>
      </c>
      <c r="DU2364" s="64">
        <f>$S2364-$S2365</f>
        <v/>
      </c>
      <c r="DV2364" s="65">
        <f>IFERROR(AVERAGE($AA2365/$AA2364-1,$AB2365/$AB2364-1,$AC2365/$AC2364-1,$AD2365/$AD2364-1,$AE2365/$AE2364-1,$AG2365/$AG2364-1,$AH2365/$AH2364-1,$AI2365/$AI2364-1,$AJ2365/$AJ2364-1,$AL2365/$AL2364-1,$AM2365/$AM2364-1,$AR2365/$AR2364-1,$AS2365/$AS2364-1,$AT2365/$AT2364-1,$AU2365/$AU2364-1,$AV2365/$AV2364-1,$AW2365/$AW2364-1,$AX2365/$AX2364-1,$AY2365/$AY2364-1),"")</f>
        <v/>
      </c>
      <c r="DW2364" s="66">
        <f>AVERAGE($CB2364,$CC2364,$CD2364,$CE2364,$CF2364,$CG2364,$CH2364,$CI2364,$CJ2364,$CL2364,$CM2364,$CN2364,$CO2364,$CP2364,$CQ2364,$CR2364,$CS2364,$CT2364)</f>
        <v/>
      </c>
      <c r="DX2364" s="66">
        <f>AVERAGE($CB2364,$CC2364,$CM2364,$CE2364,$CP2364)</f>
        <v/>
      </c>
      <c r="DY2364" s="64">
        <f>($DW2364-$DW2365)*100</f>
        <v/>
      </c>
      <c r="DZ2364" s="64">
        <f>($DX2364-$DX2365)*100</f>
        <v/>
      </c>
      <c r="EA2364" s="64">
        <f>($DW2364-$D2364)*100</f>
        <v/>
      </c>
      <c r="EB2364" s="64">
        <f>$Q2364-$O2364</f>
        <v/>
      </c>
      <c r="EC2364" s="67">
        <f>IFERROR($Q2364/$P2364,"")</f>
        <v/>
      </c>
    </row>
    <row r="2365">
      <c r="DG2365" s="64">
        <f>($B2365-$B2366)*100</f>
        <v/>
      </c>
      <c r="DH2365" s="64">
        <f>($D2365-$D2366)*100</f>
        <v/>
      </c>
      <c r="DI2365" s="64">
        <f>($E2365-$E2366)*100</f>
        <v/>
      </c>
      <c r="DJ2365" s="64">
        <f>($H2365-$H2366)*100</f>
        <v/>
      </c>
      <c r="DK2365" s="65">
        <f>IFERROR($J2365/$J2366-1,"")</f>
        <v/>
      </c>
      <c r="DL2365" s="64">
        <f>$L2365-$L2366</f>
        <v/>
      </c>
      <c r="DM2365" s="64">
        <f>$K2365-$K2366</f>
        <v/>
      </c>
      <c r="DN2365" s="65">
        <f>IFERROR($N2365/$N2366-1,"")</f>
        <v/>
      </c>
      <c r="DO2365" s="65">
        <f>IFERROR($M2365/$M2366-1,"")</f>
        <v/>
      </c>
      <c r="DP2365" s="65">
        <f>IFERROR($AZ2365/$AZ2366-1,"")</f>
        <v/>
      </c>
      <c r="DQ2365" s="65">
        <f>IFERROR($BA2365/$BA2366-1,"")</f>
        <v/>
      </c>
      <c r="DR2365" s="64">
        <f>$O2365-$O2366</f>
        <v/>
      </c>
      <c r="DS2365" s="64">
        <f>$P2365-$P2366</f>
        <v/>
      </c>
      <c r="DT2365" s="64">
        <f>$Q2365-$Q2366</f>
        <v/>
      </c>
      <c r="DU2365" s="64">
        <f>$S2365-$S2366</f>
        <v/>
      </c>
      <c r="DV2365" s="65">
        <f>IFERROR(AVERAGE($AA2366/$AA2365-1,$AB2366/$AB2365-1,$AC2366/$AC2365-1,$AD2366/$AD2365-1,$AE2366/$AE2365-1,$AG2366/$AG2365-1,$AH2366/$AH2365-1,$AI2366/$AI2365-1,$AJ2366/$AJ2365-1,$AL2366/$AL2365-1,$AM2366/$AM2365-1,$AR2366/$AR2365-1,$AS2366/$AS2365-1,$AT2366/$AT2365-1,$AU2366/$AU2365-1,$AV2366/$AV2365-1,$AW2366/$AW2365-1,$AX2366/$AX2365-1,$AY2366/$AY2365-1),"")</f>
        <v/>
      </c>
      <c r="DW2365" s="66">
        <f>AVERAGE($CB2365,$CC2365,$CD2365,$CE2365,$CF2365,$CG2365,$CH2365,$CI2365,$CJ2365,$CL2365,$CM2365,$CN2365,$CO2365,$CP2365,$CQ2365,$CR2365,$CS2365,$CT2365)</f>
        <v/>
      </c>
      <c r="DX2365" s="66">
        <f>AVERAGE($CB2365,$CC2365,$CM2365,$CE2365,$CP2365)</f>
        <v/>
      </c>
      <c r="DY2365" s="64">
        <f>($DW2365-$DW2366)*100</f>
        <v/>
      </c>
      <c r="DZ2365" s="64">
        <f>($DX2365-$DX2366)*100</f>
        <v/>
      </c>
      <c r="EA2365" s="64">
        <f>($DW2365-$D2365)*100</f>
        <v/>
      </c>
      <c r="EB2365" s="64">
        <f>$Q2365-$O2365</f>
        <v/>
      </c>
      <c r="EC2365" s="67">
        <f>IFERROR($Q2365/$P2365,"")</f>
        <v/>
      </c>
    </row>
    <row r="2366">
      <c r="DG2366" s="64">
        <f>($B2366-$B2367)*100</f>
        <v/>
      </c>
      <c r="DH2366" s="64">
        <f>($D2366-$D2367)*100</f>
        <v/>
      </c>
      <c r="DI2366" s="64">
        <f>($E2366-$E2367)*100</f>
        <v/>
      </c>
      <c r="DJ2366" s="64">
        <f>($H2366-$H2367)*100</f>
        <v/>
      </c>
      <c r="DK2366" s="65">
        <f>IFERROR($J2366/$J2367-1,"")</f>
        <v/>
      </c>
      <c r="DL2366" s="64">
        <f>$L2366-$L2367</f>
        <v/>
      </c>
      <c r="DM2366" s="64">
        <f>$K2366-$K2367</f>
        <v/>
      </c>
      <c r="DN2366" s="65">
        <f>IFERROR($N2366/$N2367-1,"")</f>
        <v/>
      </c>
      <c r="DO2366" s="65">
        <f>IFERROR($M2366/$M2367-1,"")</f>
        <v/>
      </c>
      <c r="DP2366" s="65">
        <f>IFERROR($AZ2366/$AZ2367-1,"")</f>
        <v/>
      </c>
      <c r="DQ2366" s="65">
        <f>IFERROR($BA2366/$BA2367-1,"")</f>
        <v/>
      </c>
      <c r="DR2366" s="64">
        <f>$O2366-$O2367</f>
        <v/>
      </c>
      <c r="DS2366" s="64">
        <f>$P2366-$P2367</f>
        <v/>
      </c>
      <c r="DT2366" s="64">
        <f>$Q2366-$Q2367</f>
        <v/>
      </c>
      <c r="DU2366" s="64">
        <f>$S2366-$S2367</f>
        <v/>
      </c>
      <c r="DV2366" s="65">
        <f>IFERROR(AVERAGE($AA2367/$AA2366-1,$AB2367/$AB2366-1,$AC2367/$AC2366-1,$AD2367/$AD2366-1,$AE2367/$AE2366-1,$AG2367/$AG2366-1,$AH2367/$AH2366-1,$AI2367/$AI2366-1,$AJ2367/$AJ2366-1,$AL2367/$AL2366-1,$AM2367/$AM2366-1,$AR2367/$AR2366-1,$AS2367/$AS2366-1,$AT2367/$AT2366-1,$AU2367/$AU2366-1,$AV2367/$AV2366-1,$AW2367/$AW2366-1,$AX2367/$AX2366-1,$AY2367/$AY2366-1),"")</f>
        <v/>
      </c>
      <c r="DW2366" s="66">
        <f>AVERAGE($CB2366,$CC2366,$CD2366,$CE2366,$CF2366,$CG2366,$CH2366,$CI2366,$CJ2366,$CL2366,$CM2366,$CN2366,$CO2366,$CP2366,$CQ2366,$CR2366,$CS2366,$CT2366)</f>
        <v/>
      </c>
      <c r="DX2366" s="66">
        <f>AVERAGE($CB2366,$CC2366,$CM2366,$CE2366,$CP2366)</f>
        <v/>
      </c>
      <c r="DY2366" s="64">
        <f>($DW2366-$DW2367)*100</f>
        <v/>
      </c>
      <c r="DZ2366" s="64">
        <f>($DX2366-$DX2367)*100</f>
        <v/>
      </c>
      <c r="EA2366" s="64">
        <f>($DW2366-$D2366)*100</f>
        <v/>
      </c>
      <c r="EB2366" s="64">
        <f>$Q2366-$O2366</f>
        <v/>
      </c>
      <c r="EC2366" s="67">
        <f>IFERROR($Q2366/$P2366,"")</f>
        <v/>
      </c>
    </row>
    <row r="2367">
      <c r="DG2367" s="64">
        <f>($B2367-$B2368)*100</f>
        <v/>
      </c>
      <c r="DH2367" s="64">
        <f>($D2367-$D2368)*100</f>
        <v/>
      </c>
      <c r="DI2367" s="64">
        <f>($E2367-$E2368)*100</f>
        <v/>
      </c>
      <c r="DJ2367" s="64">
        <f>($H2367-$H2368)*100</f>
        <v/>
      </c>
      <c r="DK2367" s="65">
        <f>IFERROR($J2367/$J2368-1,"")</f>
        <v/>
      </c>
      <c r="DL2367" s="64">
        <f>$L2367-$L2368</f>
        <v/>
      </c>
      <c r="DM2367" s="64">
        <f>$K2367-$K2368</f>
        <v/>
      </c>
      <c r="DN2367" s="65">
        <f>IFERROR($N2367/$N2368-1,"")</f>
        <v/>
      </c>
      <c r="DO2367" s="65">
        <f>IFERROR($M2367/$M2368-1,"")</f>
        <v/>
      </c>
      <c r="DP2367" s="65">
        <f>IFERROR($AZ2367/$AZ2368-1,"")</f>
        <v/>
      </c>
      <c r="DQ2367" s="65">
        <f>IFERROR($BA2367/$BA2368-1,"")</f>
        <v/>
      </c>
      <c r="DR2367" s="64">
        <f>$O2367-$O2368</f>
        <v/>
      </c>
      <c r="DS2367" s="64">
        <f>$P2367-$P2368</f>
        <v/>
      </c>
      <c r="DT2367" s="64">
        <f>$Q2367-$Q2368</f>
        <v/>
      </c>
      <c r="DU2367" s="64">
        <f>$S2367-$S2368</f>
        <v/>
      </c>
      <c r="DV2367" s="65">
        <f>IFERROR(AVERAGE($AA2368/$AA2367-1,$AB2368/$AB2367-1,$AC2368/$AC2367-1,$AD2368/$AD2367-1,$AE2368/$AE2367-1,$AG2368/$AG2367-1,$AH2368/$AH2367-1,$AI2368/$AI2367-1,$AJ2368/$AJ2367-1,$AL2368/$AL2367-1,$AM2368/$AM2367-1,$AR2368/$AR2367-1,$AS2368/$AS2367-1,$AT2368/$AT2367-1,$AU2368/$AU2367-1,$AV2368/$AV2367-1,$AW2368/$AW2367-1,$AX2368/$AX2367-1,$AY2368/$AY2367-1),"")</f>
        <v/>
      </c>
      <c r="DW2367" s="66">
        <f>AVERAGE($CB2367,$CC2367,$CD2367,$CE2367,$CF2367,$CG2367,$CH2367,$CI2367,$CJ2367,$CL2367,$CM2367,$CN2367,$CO2367,$CP2367,$CQ2367,$CR2367,$CS2367,$CT2367)</f>
        <v/>
      </c>
      <c r="DX2367" s="66">
        <f>AVERAGE($CB2367,$CC2367,$CM2367,$CE2367,$CP2367)</f>
        <v/>
      </c>
      <c r="DY2367" s="64">
        <f>($DW2367-$DW2368)*100</f>
        <v/>
      </c>
      <c r="DZ2367" s="64">
        <f>($DX2367-$DX2368)*100</f>
        <v/>
      </c>
      <c r="EA2367" s="64">
        <f>($DW2367-$D2367)*100</f>
        <v/>
      </c>
      <c r="EB2367" s="64">
        <f>$Q2367-$O2367</f>
        <v/>
      </c>
      <c r="EC2367" s="67">
        <f>IFERROR($Q2367/$P2367,"")</f>
        <v/>
      </c>
    </row>
    <row r="2368">
      <c r="DG2368" s="64">
        <f>($B2368-$B2369)*100</f>
        <v/>
      </c>
      <c r="DH2368" s="64">
        <f>($D2368-$D2369)*100</f>
        <v/>
      </c>
      <c r="DI2368" s="64">
        <f>($E2368-$E2369)*100</f>
        <v/>
      </c>
      <c r="DJ2368" s="64">
        <f>($H2368-$H2369)*100</f>
        <v/>
      </c>
      <c r="DK2368" s="65">
        <f>IFERROR($J2368/$J2369-1,"")</f>
        <v/>
      </c>
      <c r="DL2368" s="64">
        <f>$L2368-$L2369</f>
        <v/>
      </c>
      <c r="DM2368" s="64">
        <f>$K2368-$K2369</f>
        <v/>
      </c>
      <c r="DN2368" s="65">
        <f>IFERROR($N2368/$N2369-1,"")</f>
        <v/>
      </c>
      <c r="DO2368" s="65">
        <f>IFERROR($M2368/$M2369-1,"")</f>
        <v/>
      </c>
      <c r="DP2368" s="65">
        <f>IFERROR($AZ2368/$AZ2369-1,"")</f>
        <v/>
      </c>
      <c r="DQ2368" s="65">
        <f>IFERROR($BA2368/$BA2369-1,"")</f>
        <v/>
      </c>
      <c r="DR2368" s="64">
        <f>$O2368-$O2369</f>
        <v/>
      </c>
      <c r="DS2368" s="64">
        <f>$P2368-$P2369</f>
        <v/>
      </c>
      <c r="DT2368" s="64">
        <f>$Q2368-$Q2369</f>
        <v/>
      </c>
      <c r="DU2368" s="64">
        <f>$S2368-$S2369</f>
        <v/>
      </c>
      <c r="DV2368" s="65">
        <f>IFERROR(AVERAGE($AA2369/$AA2368-1,$AB2369/$AB2368-1,$AC2369/$AC2368-1,$AD2369/$AD2368-1,$AE2369/$AE2368-1,$AG2369/$AG2368-1,$AH2369/$AH2368-1,$AI2369/$AI2368-1,$AJ2369/$AJ2368-1,$AL2369/$AL2368-1,$AM2369/$AM2368-1,$AR2369/$AR2368-1,$AS2369/$AS2368-1,$AT2369/$AT2368-1,$AU2369/$AU2368-1,$AV2369/$AV2368-1,$AW2369/$AW2368-1,$AX2369/$AX2368-1,$AY2369/$AY2368-1),"")</f>
        <v/>
      </c>
      <c r="DW2368" s="66">
        <f>AVERAGE($CB2368,$CC2368,$CD2368,$CE2368,$CF2368,$CG2368,$CH2368,$CI2368,$CJ2368,$CL2368,$CM2368,$CN2368,$CO2368,$CP2368,$CQ2368,$CR2368,$CS2368,$CT2368)</f>
        <v/>
      </c>
      <c r="DX2368" s="66">
        <f>AVERAGE($CB2368,$CC2368,$CM2368,$CE2368,$CP2368)</f>
        <v/>
      </c>
      <c r="DY2368" s="64">
        <f>($DW2368-$DW2369)*100</f>
        <v/>
      </c>
      <c r="DZ2368" s="64">
        <f>($DX2368-$DX2369)*100</f>
        <v/>
      </c>
      <c r="EA2368" s="64">
        <f>($DW2368-$D2368)*100</f>
        <v/>
      </c>
      <c r="EB2368" s="64">
        <f>$Q2368-$O2368</f>
        <v/>
      </c>
      <c r="EC2368" s="67">
        <f>IFERROR($Q2368/$P2368,"")</f>
        <v/>
      </c>
    </row>
    <row r="2369">
      <c r="DG2369" s="64">
        <f>($B2369-$B2370)*100</f>
        <v/>
      </c>
      <c r="DH2369" s="64">
        <f>($D2369-$D2370)*100</f>
        <v/>
      </c>
      <c r="DI2369" s="64">
        <f>($E2369-$E2370)*100</f>
        <v/>
      </c>
      <c r="DJ2369" s="64">
        <f>($H2369-$H2370)*100</f>
        <v/>
      </c>
      <c r="DK2369" s="65">
        <f>IFERROR($J2369/$J2370-1,"")</f>
        <v/>
      </c>
      <c r="DL2369" s="64">
        <f>$L2369-$L2370</f>
        <v/>
      </c>
      <c r="DM2369" s="64">
        <f>$K2369-$K2370</f>
        <v/>
      </c>
      <c r="DN2369" s="65">
        <f>IFERROR($N2369/$N2370-1,"")</f>
        <v/>
      </c>
      <c r="DO2369" s="65">
        <f>IFERROR($M2369/$M2370-1,"")</f>
        <v/>
      </c>
      <c r="DP2369" s="65">
        <f>IFERROR($AZ2369/$AZ2370-1,"")</f>
        <v/>
      </c>
      <c r="DQ2369" s="65">
        <f>IFERROR($BA2369/$BA2370-1,"")</f>
        <v/>
      </c>
      <c r="DR2369" s="64">
        <f>$O2369-$O2370</f>
        <v/>
      </c>
      <c r="DS2369" s="64">
        <f>$P2369-$P2370</f>
        <v/>
      </c>
      <c r="DT2369" s="64">
        <f>$Q2369-$Q2370</f>
        <v/>
      </c>
      <c r="DU2369" s="64">
        <f>$S2369-$S2370</f>
        <v/>
      </c>
      <c r="DV2369" s="65">
        <f>IFERROR(AVERAGE($AA2370/$AA2369-1,$AB2370/$AB2369-1,$AC2370/$AC2369-1,$AD2370/$AD2369-1,$AE2370/$AE2369-1,$AG2370/$AG2369-1,$AH2370/$AH2369-1,$AI2370/$AI2369-1,$AJ2370/$AJ2369-1,$AL2370/$AL2369-1,$AM2370/$AM2369-1,$AR2370/$AR2369-1,$AS2370/$AS2369-1,$AT2370/$AT2369-1,$AU2370/$AU2369-1,$AV2370/$AV2369-1,$AW2370/$AW2369-1,$AX2370/$AX2369-1,$AY2370/$AY2369-1),"")</f>
        <v/>
      </c>
      <c r="DW2369" s="66">
        <f>AVERAGE($CB2369,$CC2369,$CD2369,$CE2369,$CF2369,$CG2369,$CH2369,$CI2369,$CJ2369,$CL2369,$CM2369,$CN2369,$CO2369,$CP2369,$CQ2369,$CR2369,$CS2369,$CT2369)</f>
        <v/>
      </c>
      <c r="DX2369" s="66">
        <f>AVERAGE($CB2369,$CC2369,$CM2369,$CE2369,$CP2369)</f>
        <v/>
      </c>
      <c r="DY2369" s="64">
        <f>($DW2369-$DW2370)*100</f>
        <v/>
      </c>
      <c r="DZ2369" s="64">
        <f>($DX2369-$DX2370)*100</f>
        <v/>
      </c>
      <c r="EA2369" s="64">
        <f>($DW2369-$D2369)*100</f>
        <v/>
      </c>
      <c r="EB2369" s="64">
        <f>$Q2369-$O2369</f>
        <v/>
      </c>
      <c r="EC2369" s="67">
        <f>IFERROR($Q2369/$P2369,"")</f>
        <v/>
      </c>
    </row>
    <row r="2370">
      <c r="DG2370" s="64">
        <f>($B2370-$B2371)*100</f>
        <v/>
      </c>
      <c r="DH2370" s="64">
        <f>($D2370-$D2371)*100</f>
        <v/>
      </c>
      <c r="DI2370" s="64">
        <f>($E2370-$E2371)*100</f>
        <v/>
      </c>
      <c r="DJ2370" s="64">
        <f>($H2370-$H2371)*100</f>
        <v/>
      </c>
      <c r="DK2370" s="65">
        <f>IFERROR($J2370/$J2371-1,"")</f>
        <v/>
      </c>
      <c r="DL2370" s="64">
        <f>$L2370-$L2371</f>
        <v/>
      </c>
      <c r="DM2370" s="64">
        <f>$K2370-$K2371</f>
        <v/>
      </c>
      <c r="DN2370" s="65">
        <f>IFERROR($N2370/$N2371-1,"")</f>
        <v/>
      </c>
      <c r="DO2370" s="65">
        <f>IFERROR($M2370/$M2371-1,"")</f>
        <v/>
      </c>
      <c r="DP2370" s="65">
        <f>IFERROR($AZ2370/$AZ2371-1,"")</f>
        <v/>
      </c>
      <c r="DQ2370" s="65">
        <f>IFERROR($BA2370/$BA2371-1,"")</f>
        <v/>
      </c>
      <c r="DR2370" s="64">
        <f>$O2370-$O2371</f>
        <v/>
      </c>
      <c r="DS2370" s="64">
        <f>$P2370-$P2371</f>
        <v/>
      </c>
      <c r="DT2370" s="64">
        <f>$Q2370-$Q2371</f>
        <v/>
      </c>
      <c r="DU2370" s="64">
        <f>$S2370-$S2371</f>
        <v/>
      </c>
      <c r="DV2370" s="65">
        <f>IFERROR(AVERAGE($AA2371/$AA2370-1,$AB2371/$AB2370-1,$AC2371/$AC2370-1,$AD2371/$AD2370-1,$AE2371/$AE2370-1,$AG2371/$AG2370-1,$AH2371/$AH2370-1,$AI2371/$AI2370-1,$AJ2371/$AJ2370-1,$AL2371/$AL2370-1,$AM2371/$AM2370-1,$AR2371/$AR2370-1,$AS2371/$AS2370-1,$AT2371/$AT2370-1,$AU2371/$AU2370-1,$AV2371/$AV2370-1,$AW2371/$AW2370-1,$AX2371/$AX2370-1,$AY2371/$AY2370-1),"")</f>
        <v/>
      </c>
      <c r="DW2370" s="66">
        <f>AVERAGE($CB2370,$CC2370,$CD2370,$CE2370,$CF2370,$CG2370,$CH2370,$CI2370,$CJ2370,$CL2370,$CM2370,$CN2370,$CO2370,$CP2370,$CQ2370,$CR2370,$CS2370,$CT2370)</f>
        <v/>
      </c>
      <c r="DX2370" s="66">
        <f>AVERAGE($CB2370,$CC2370,$CM2370,$CE2370,$CP2370)</f>
        <v/>
      </c>
      <c r="DY2370" s="64">
        <f>($DW2370-$DW2371)*100</f>
        <v/>
      </c>
      <c r="DZ2370" s="64">
        <f>($DX2370-$DX2371)*100</f>
        <v/>
      </c>
      <c r="EA2370" s="64">
        <f>($DW2370-$D2370)*100</f>
        <v/>
      </c>
      <c r="EB2370" s="64">
        <f>$Q2370-$O2370</f>
        <v/>
      </c>
      <c r="EC2370" s="67">
        <f>IFERROR($Q2370/$P2370,"")</f>
        <v/>
      </c>
    </row>
    <row r="2371">
      <c r="DG2371" s="64">
        <f>($B2371-$B2372)*100</f>
        <v/>
      </c>
      <c r="DH2371" s="64">
        <f>($D2371-$D2372)*100</f>
        <v/>
      </c>
      <c r="DI2371" s="64">
        <f>($E2371-$E2372)*100</f>
        <v/>
      </c>
      <c r="DJ2371" s="64">
        <f>($H2371-$H2372)*100</f>
        <v/>
      </c>
      <c r="DK2371" s="65">
        <f>IFERROR($J2371/$J2372-1,"")</f>
        <v/>
      </c>
      <c r="DL2371" s="64">
        <f>$L2371-$L2372</f>
        <v/>
      </c>
      <c r="DM2371" s="64">
        <f>$K2371-$K2372</f>
        <v/>
      </c>
      <c r="DN2371" s="65">
        <f>IFERROR($N2371/$N2372-1,"")</f>
        <v/>
      </c>
      <c r="DO2371" s="65">
        <f>IFERROR($M2371/$M2372-1,"")</f>
        <v/>
      </c>
      <c r="DP2371" s="65">
        <f>IFERROR($AZ2371/$AZ2372-1,"")</f>
        <v/>
      </c>
      <c r="DQ2371" s="65">
        <f>IFERROR($BA2371/$BA2372-1,"")</f>
        <v/>
      </c>
      <c r="DR2371" s="64">
        <f>$O2371-$O2372</f>
        <v/>
      </c>
      <c r="DS2371" s="64">
        <f>$P2371-$P2372</f>
        <v/>
      </c>
      <c r="DT2371" s="64">
        <f>$Q2371-$Q2372</f>
        <v/>
      </c>
      <c r="DU2371" s="64">
        <f>$S2371-$S2372</f>
        <v/>
      </c>
      <c r="DV2371" s="65">
        <f>IFERROR(AVERAGE($AA2372/$AA2371-1,$AB2372/$AB2371-1,$AC2372/$AC2371-1,$AD2372/$AD2371-1,$AE2372/$AE2371-1,$AG2372/$AG2371-1,$AH2372/$AH2371-1,$AI2372/$AI2371-1,$AJ2372/$AJ2371-1,$AL2372/$AL2371-1,$AM2372/$AM2371-1,$AR2372/$AR2371-1,$AS2372/$AS2371-1,$AT2372/$AT2371-1,$AU2372/$AU2371-1,$AV2372/$AV2371-1,$AW2372/$AW2371-1,$AX2372/$AX2371-1,$AY2372/$AY2371-1),"")</f>
        <v/>
      </c>
      <c r="DW2371" s="66">
        <f>AVERAGE($CB2371,$CC2371,$CD2371,$CE2371,$CF2371,$CG2371,$CH2371,$CI2371,$CJ2371,$CL2371,$CM2371,$CN2371,$CO2371,$CP2371,$CQ2371,$CR2371,$CS2371,$CT2371)</f>
        <v/>
      </c>
      <c r="DX2371" s="66">
        <f>AVERAGE($CB2371,$CC2371,$CM2371,$CE2371,$CP2371)</f>
        <v/>
      </c>
      <c r="DY2371" s="64">
        <f>($DW2371-$DW2372)*100</f>
        <v/>
      </c>
      <c r="DZ2371" s="64">
        <f>($DX2371-$DX2372)*100</f>
        <v/>
      </c>
      <c r="EA2371" s="64">
        <f>($DW2371-$D2371)*100</f>
        <v/>
      </c>
      <c r="EB2371" s="64">
        <f>$Q2371-$O2371</f>
        <v/>
      </c>
      <c r="EC2371" s="67">
        <f>IFERROR($Q2371/$P2371,"")</f>
        <v/>
      </c>
    </row>
    <row r="2372">
      <c r="DG2372" s="64">
        <f>($B2372-$B2373)*100</f>
        <v/>
      </c>
      <c r="DH2372" s="64">
        <f>($D2372-$D2373)*100</f>
        <v/>
      </c>
      <c r="DI2372" s="64">
        <f>($E2372-$E2373)*100</f>
        <v/>
      </c>
      <c r="DJ2372" s="64">
        <f>($H2372-$H2373)*100</f>
        <v/>
      </c>
      <c r="DK2372" s="65">
        <f>IFERROR($J2372/$J2373-1,"")</f>
        <v/>
      </c>
      <c r="DL2372" s="64">
        <f>$L2372-$L2373</f>
        <v/>
      </c>
      <c r="DM2372" s="64">
        <f>$K2372-$K2373</f>
        <v/>
      </c>
      <c r="DN2372" s="65">
        <f>IFERROR($N2372/$N2373-1,"")</f>
        <v/>
      </c>
      <c r="DO2372" s="65">
        <f>IFERROR($M2372/$M2373-1,"")</f>
        <v/>
      </c>
      <c r="DP2372" s="65">
        <f>IFERROR($AZ2372/$AZ2373-1,"")</f>
        <v/>
      </c>
      <c r="DQ2372" s="65">
        <f>IFERROR($BA2372/$BA2373-1,"")</f>
        <v/>
      </c>
      <c r="DR2372" s="64">
        <f>$O2372-$O2373</f>
        <v/>
      </c>
      <c r="DS2372" s="64">
        <f>$P2372-$P2373</f>
        <v/>
      </c>
      <c r="DT2372" s="64">
        <f>$Q2372-$Q2373</f>
        <v/>
      </c>
      <c r="DU2372" s="64">
        <f>$S2372-$S2373</f>
        <v/>
      </c>
      <c r="DV2372" s="65">
        <f>IFERROR(AVERAGE($AA2373/$AA2372-1,$AB2373/$AB2372-1,$AC2373/$AC2372-1,$AD2373/$AD2372-1,$AE2373/$AE2372-1,$AG2373/$AG2372-1,$AH2373/$AH2372-1,$AI2373/$AI2372-1,$AJ2373/$AJ2372-1,$AL2373/$AL2372-1,$AM2373/$AM2372-1,$AR2373/$AR2372-1,$AS2373/$AS2372-1,$AT2373/$AT2372-1,$AU2373/$AU2372-1,$AV2373/$AV2372-1,$AW2373/$AW2372-1,$AX2373/$AX2372-1,$AY2373/$AY2372-1),"")</f>
        <v/>
      </c>
      <c r="DW2372" s="66">
        <f>AVERAGE($CB2372,$CC2372,$CD2372,$CE2372,$CF2372,$CG2372,$CH2372,$CI2372,$CJ2372,$CL2372,$CM2372,$CN2372,$CO2372,$CP2372,$CQ2372,$CR2372,$CS2372,$CT2372)</f>
        <v/>
      </c>
      <c r="DX2372" s="66">
        <f>AVERAGE($CB2372,$CC2372,$CM2372,$CE2372,$CP2372)</f>
        <v/>
      </c>
      <c r="DY2372" s="64">
        <f>($DW2372-$DW2373)*100</f>
        <v/>
      </c>
      <c r="DZ2372" s="64">
        <f>($DX2372-$DX2373)*100</f>
        <v/>
      </c>
      <c r="EA2372" s="64">
        <f>($DW2372-$D2372)*100</f>
        <v/>
      </c>
      <c r="EB2372" s="64">
        <f>$Q2372-$O2372</f>
        <v/>
      </c>
      <c r="EC2372" s="67">
        <f>IFERROR($Q2372/$P2372,"")</f>
        <v/>
      </c>
    </row>
    <row r="2373">
      <c r="DG2373" s="64">
        <f>($B2373-$B2374)*100</f>
        <v/>
      </c>
      <c r="DH2373" s="64">
        <f>($D2373-$D2374)*100</f>
        <v/>
      </c>
      <c r="DI2373" s="64">
        <f>($E2373-$E2374)*100</f>
        <v/>
      </c>
      <c r="DJ2373" s="64">
        <f>($H2373-$H2374)*100</f>
        <v/>
      </c>
      <c r="DK2373" s="65">
        <f>IFERROR($J2373/$J2374-1,"")</f>
        <v/>
      </c>
      <c r="DL2373" s="64">
        <f>$L2373-$L2374</f>
        <v/>
      </c>
      <c r="DM2373" s="64">
        <f>$K2373-$K2374</f>
        <v/>
      </c>
      <c r="DN2373" s="65">
        <f>IFERROR($N2373/$N2374-1,"")</f>
        <v/>
      </c>
      <c r="DO2373" s="65">
        <f>IFERROR($M2373/$M2374-1,"")</f>
        <v/>
      </c>
      <c r="DP2373" s="65">
        <f>IFERROR($AZ2373/$AZ2374-1,"")</f>
        <v/>
      </c>
      <c r="DQ2373" s="65">
        <f>IFERROR($BA2373/$BA2374-1,"")</f>
        <v/>
      </c>
      <c r="DR2373" s="64">
        <f>$O2373-$O2374</f>
        <v/>
      </c>
      <c r="DS2373" s="64">
        <f>$P2373-$P2374</f>
        <v/>
      </c>
      <c r="DT2373" s="64">
        <f>$Q2373-$Q2374</f>
        <v/>
      </c>
      <c r="DU2373" s="64">
        <f>$S2373-$S2374</f>
        <v/>
      </c>
      <c r="DV2373" s="65">
        <f>IFERROR(AVERAGE($AA2374/$AA2373-1,$AB2374/$AB2373-1,$AC2374/$AC2373-1,$AD2374/$AD2373-1,$AE2374/$AE2373-1,$AG2374/$AG2373-1,$AH2374/$AH2373-1,$AI2374/$AI2373-1,$AJ2374/$AJ2373-1,$AL2374/$AL2373-1,$AM2374/$AM2373-1,$AR2374/$AR2373-1,$AS2374/$AS2373-1,$AT2374/$AT2373-1,$AU2374/$AU2373-1,$AV2374/$AV2373-1,$AW2374/$AW2373-1,$AX2374/$AX2373-1,$AY2374/$AY2373-1),"")</f>
        <v/>
      </c>
      <c r="DW2373" s="66">
        <f>AVERAGE($CB2373,$CC2373,$CD2373,$CE2373,$CF2373,$CG2373,$CH2373,$CI2373,$CJ2373,$CL2373,$CM2373,$CN2373,$CO2373,$CP2373,$CQ2373,$CR2373,$CS2373,$CT2373)</f>
        <v/>
      </c>
      <c r="DX2373" s="66">
        <f>AVERAGE($CB2373,$CC2373,$CM2373,$CE2373,$CP2373)</f>
        <v/>
      </c>
      <c r="DY2373" s="64">
        <f>($DW2373-$DW2374)*100</f>
        <v/>
      </c>
      <c r="DZ2373" s="64">
        <f>($DX2373-$DX2374)*100</f>
        <v/>
      </c>
      <c r="EA2373" s="64">
        <f>($DW2373-$D2373)*100</f>
        <v/>
      </c>
      <c r="EB2373" s="64">
        <f>$Q2373-$O2373</f>
        <v/>
      </c>
      <c r="EC2373" s="67">
        <f>IFERROR($Q2373/$P2373,"")</f>
        <v/>
      </c>
    </row>
    <row r="2374">
      <c r="DG2374" s="64">
        <f>($B2374-$B2375)*100</f>
        <v/>
      </c>
      <c r="DH2374" s="64">
        <f>($D2374-$D2375)*100</f>
        <v/>
      </c>
      <c r="DI2374" s="64">
        <f>($E2374-$E2375)*100</f>
        <v/>
      </c>
      <c r="DJ2374" s="64">
        <f>($H2374-$H2375)*100</f>
        <v/>
      </c>
      <c r="DK2374" s="65">
        <f>IFERROR($J2374/$J2375-1,"")</f>
        <v/>
      </c>
      <c r="DL2374" s="64">
        <f>$L2374-$L2375</f>
        <v/>
      </c>
      <c r="DM2374" s="64">
        <f>$K2374-$K2375</f>
        <v/>
      </c>
      <c r="DN2374" s="65">
        <f>IFERROR($N2374/$N2375-1,"")</f>
        <v/>
      </c>
      <c r="DO2374" s="65">
        <f>IFERROR($M2374/$M2375-1,"")</f>
        <v/>
      </c>
      <c r="DP2374" s="65">
        <f>IFERROR($AZ2374/$AZ2375-1,"")</f>
        <v/>
      </c>
      <c r="DQ2374" s="65">
        <f>IFERROR($BA2374/$BA2375-1,"")</f>
        <v/>
      </c>
      <c r="DR2374" s="64">
        <f>$O2374-$O2375</f>
        <v/>
      </c>
      <c r="DS2374" s="64">
        <f>$P2374-$P2375</f>
        <v/>
      </c>
      <c r="DT2374" s="64">
        <f>$Q2374-$Q2375</f>
        <v/>
      </c>
      <c r="DU2374" s="64">
        <f>$S2374-$S2375</f>
        <v/>
      </c>
      <c r="DV2374" s="65">
        <f>IFERROR(AVERAGE($AA2375/$AA2374-1,$AB2375/$AB2374-1,$AC2375/$AC2374-1,$AD2375/$AD2374-1,$AE2375/$AE2374-1,$AG2375/$AG2374-1,$AH2375/$AH2374-1,$AI2375/$AI2374-1,$AJ2375/$AJ2374-1,$AL2375/$AL2374-1,$AM2375/$AM2374-1,$AR2375/$AR2374-1,$AS2375/$AS2374-1,$AT2375/$AT2374-1,$AU2375/$AU2374-1,$AV2375/$AV2374-1,$AW2375/$AW2374-1,$AX2375/$AX2374-1,$AY2375/$AY2374-1),"")</f>
        <v/>
      </c>
      <c r="DW2374" s="66">
        <f>AVERAGE($CB2374,$CC2374,$CD2374,$CE2374,$CF2374,$CG2374,$CH2374,$CI2374,$CJ2374,$CL2374,$CM2374,$CN2374,$CO2374,$CP2374,$CQ2374,$CR2374,$CS2374,$CT2374)</f>
        <v/>
      </c>
      <c r="DX2374" s="66">
        <f>AVERAGE($CB2374,$CC2374,$CM2374,$CE2374,$CP2374)</f>
        <v/>
      </c>
      <c r="DY2374" s="64">
        <f>($DW2374-$DW2375)*100</f>
        <v/>
      </c>
      <c r="DZ2374" s="64">
        <f>($DX2374-$DX2375)*100</f>
        <v/>
      </c>
      <c r="EA2374" s="64">
        <f>($DW2374-$D2374)*100</f>
        <v/>
      </c>
      <c r="EB2374" s="64">
        <f>$Q2374-$O2374</f>
        <v/>
      </c>
      <c r="EC2374" s="67">
        <f>IFERROR($Q2374/$P2374,"")</f>
        <v/>
      </c>
    </row>
    <row r="2375">
      <c r="DG2375" s="64">
        <f>($B2375-$B2376)*100</f>
        <v/>
      </c>
      <c r="DH2375" s="64">
        <f>($D2375-$D2376)*100</f>
        <v/>
      </c>
      <c r="DI2375" s="64">
        <f>($E2375-$E2376)*100</f>
        <v/>
      </c>
      <c r="DJ2375" s="64">
        <f>($H2375-$H2376)*100</f>
        <v/>
      </c>
      <c r="DK2375" s="65">
        <f>IFERROR($J2375/$J2376-1,"")</f>
        <v/>
      </c>
      <c r="DL2375" s="64">
        <f>$L2375-$L2376</f>
        <v/>
      </c>
      <c r="DM2375" s="64">
        <f>$K2375-$K2376</f>
        <v/>
      </c>
      <c r="DN2375" s="65">
        <f>IFERROR($N2375/$N2376-1,"")</f>
        <v/>
      </c>
      <c r="DO2375" s="65">
        <f>IFERROR($M2375/$M2376-1,"")</f>
        <v/>
      </c>
      <c r="DP2375" s="65">
        <f>IFERROR($AZ2375/$AZ2376-1,"")</f>
        <v/>
      </c>
      <c r="DQ2375" s="65">
        <f>IFERROR($BA2375/$BA2376-1,"")</f>
        <v/>
      </c>
      <c r="DR2375" s="64">
        <f>$O2375-$O2376</f>
        <v/>
      </c>
      <c r="DS2375" s="64">
        <f>$P2375-$P2376</f>
        <v/>
      </c>
      <c r="DT2375" s="64">
        <f>$Q2375-$Q2376</f>
        <v/>
      </c>
      <c r="DU2375" s="64">
        <f>$S2375-$S2376</f>
        <v/>
      </c>
      <c r="DV2375" s="65">
        <f>IFERROR(AVERAGE($AA2376/$AA2375-1,$AB2376/$AB2375-1,$AC2376/$AC2375-1,$AD2376/$AD2375-1,$AE2376/$AE2375-1,$AG2376/$AG2375-1,$AH2376/$AH2375-1,$AI2376/$AI2375-1,$AJ2376/$AJ2375-1,$AL2376/$AL2375-1,$AM2376/$AM2375-1,$AR2376/$AR2375-1,$AS2376/$AS2375-1,$AT2376/$AT2375-1,$AU2376/$AU2375-1,$AV2376/$AV2375-1,$AW2376/$AW2375-1,$AX2376/$AX2375-1,$AY2376/$AY2375-1),"")</f>
        <v/>
      </c>
      <c r="DW2375" s="66">
        <f>AVERAGE($CB2375,$CC2375,$CD2375,$CE2375,$CF2375,$CG2375,$CH2375,$CI2375,$CJ2375,$CL2375,$CM2375,$CN2375,$CO2375,$CP2375,$CQ2375,$CR2375,$CS2375,$CT2375)</f>
        <v/>
      </c>
      <c r="DX2375" s="66">
        <f>AVERAGE($CB2375,$CC2375,$CM2375,$CE2375,$CP2375)</f>
        <v/>
      </c>
      <c r="DY2375" s="64">
        <f>($DW2375-$DW2376)*100</f>
        <v/>
      </c>
      <c r="DZ2375" s="64">
        <f>($DX2375-$DX2376)*100</f>
        <v/>
      </c>
      <c r="EA2375" s="64">
        <f>($DW2375-$D2375)*100</f>
        <v/>
      </c>
      <c r="EB2375" s="64">
        <f>$Q2375-$O2375</f>
        <v/>
      </c>
      <c r="EC2375" s="67">
        <f>IFERROR($Q2375/$P2375,"")</f>
        <v/>
      </c>
    </row>
    <row r="2376">
      <c r="DG2376" s="64">
        <f>($B2376-$B2377)*100</f>
        <v/>
      </c>
      <c r="DH2376" s="64">
        <f>($D2376-$D2377)*100</f>
        <v/>
      </c>
      <c r="DI2376" s="64">
        <f>($E2376-$E2377)*100</f>
        <v/>
      </c>
      <c r="DJ2376" s="64">
        <f>($H2376-$H2377)*100</f>
        <v/>
      </c>
      <c r="DK2376" s="65">
        <f>IFERROR($J2376/$J2377-1,"")</f>
        <v/>
      </c>
      <c r="DL2376" s="64">
        <f>$L2376-$L2377</f>
        <v/>
      </c>
      <c r="DM2376" s="64">
        <f>$K2376-$K2377</f>
        <v/>
      </c>
      <c r="DN2376" s="65">
        <f>IFERROR($N2376/$N2377-1,"")</f>
        <v/>
      </c>
      <c r="DO2376" s="65">
        <f>IFERROR($M2376/$M2377-1,"")</f>
        <v/>
      </c>
      <c r="DP2376" s="65">
        <f>IFERROR($AZ2376/$AZ2377-1,"")</f>
        <v/>
      </c>
      <c r="DQ2376" s="65">
        <f>IFERROR($BA2376/$BA2377-1,"")</f>
        <v/>
      </c>
      <c r="DR2376" s="64">
        <f>$O2376-$O2377</f>
        <v/>
      </c>
      <c r="DS2376" s="64">
        <f>$P2376-$P2377</f>
        <v/>
      </c>
      <c r="DT2376" s="64">
        <f>$Q2376-$Q2377</f>
        <v/>
      </c>
      <c r="DU2376" s="64">
        <f>$S2376-$S2377</f>
        <v/>
      </c>
      <c r="DV2376" s="65">
        <f>IFERROR(AVERAGE($AA2377/$AA2376-1,$AB2377/$AB2376-1,$AC2377/$AC2376-1,$AD2377/$AD2376-1,$AE2377/$AE2376-1,$AG2377/$AG2376-1,$AH2377/$AH2376-1,$AI2377/$AI2376-1,$AJ2377/$AJ2376-1,$AL2377/$AL2376-1,$AM2377/$AM2376-1,$AR2377/$AR2376-1,$AS2377/$AS2376-1,$AT2377/$AT2376-1,$AU2377/$AU2376-1,$AV2377/$AV2376-1,$AW2377/$AW2376-1,$AX2377/$AX2376-1,$AY2377/$AY2376-1),"")</f>
        <v/>
      </c>
      <c r="DW2376" s="66">
        <f>AVERAGE($CB2376,$CC2376,$CD2376,$CE2376,$CF2376,$CG2376,$CH2376,$CI2376,$CJ2376,$CL2376,$CM2376,$CN2376,$CO2376,$CP2376,$CQ2376,$CR2376,$CS2376,$CT2376)</f>
        <v/>
      </c>
      <c r="DX2376" s="66">
        <f>AVERAGE($CB2376,$CC2376,$CM2376,$CE2376,$CP2376)</f>
        <v/>
      </c>
      <c r="DY2376" s="64">
        <f>($DW2376-$DW2377)*100</f>
        <v/>
      </c>
      <c r="DZ2376" s="64">
        <f>($DX2376-$DX2377)*100</f>
        <v/>
      </c>
      <c r="EA2376" s="64">
        <f>($DW2376-$D2376)*100</f>
        <v/>
      </c>
      <c r="EB2376" s="64">
        <f>$Q2376-$O2376</f>
        <v/>
      </c>
      <c r="EC2376" s="67">
        <f>IFERROR($Q2376/$P2376,"")</f>
        <v/>
      </c>
    </row>
    <row r="2377">
      <c r="DG2377" s="64">
        <f>($B2377-$B2378)*100</f>
        <v/>
      </c>
      <c r="DH2377" s="64">
        <f>($D2377-$D2378)*100</f>
        <v/>
      </c>
      <c r="DI2377" s="64">
        <f>($E2377-$E2378)*100</f>
        <v/>
      </c>
      <c r="DJ2377" s="64">
        <f>($H2377-$H2378)*100</f>
        <v/>
      </c>
      <c r="DK2377" s="65">
        <f>IFERROR($J2377/$J2378-1,"")</f>
        <v/>
      </c>
      <c r="DL2377" s="64">
        <f>$L2377-$L2378</f>
        <v/>
      </c>
      <c r="DM2377" s="64">
        <f>$K2377-$K2378</f>
        <v/>
      </c>
      <c r="DN2377" s="65">
        <f>IFERROR($N2377/$N2378-1,"")</f>
        <v/>
      </c>
      <c r="DO2377" s="65">
        <f>IFERROR($M2377/$M2378-1,"")</f>
        <v/>
      </c>
      <c r="DP2377" s="65">
        <f>IFERROR($AZ2377/$AZ2378-1,"")</f>
        <v/>
      </c>
      <c r="DQ2377" s="65">
        <f>IFERROR($BA2377/$BA2378-1,"")</f>
        <v/>
      </c>
      <c r="DR2377" s="64">
        <f>$O2377-$O2378</f>
        <v/>
      </c>
      <c r="DS2377" s="64">
        <f>$P2377-$P2378</f>
        <v/>
      </c>
      <c r="DT2377" s="64">
        <f>$Q2377-$Q2378</f>
        <v/>
      </c>
      <c r="DU2377" s="64">
        <f>$S2377-$S2378</f>
        <v/>
      </c>
      <c r="DV2377" s="65">
        <f>IFERROR(AVERAGE($AA2378/$AA2377-1,$AB2378/$AB2377-1,$AC2378/$AC2377-1,$AD2378/$AD2377-1,$AE2378/$AE2377-1,$AG2378/$AG2377-1,$AH2378/$AH2377-1,$AI2378/$AI2377-1,$AJ2378/$AJ2377-1,$AL2378/$AL2377-1,$AM2378/$AM2377-1,$AR2378/$AR2377-1,$AS2378/$AS2377-1,$AT2378/$AT2377-1,$AU2378/$AU2377-1,$AV2378/$AV2377-1,$AW2378/$AW2377-1,$AX2378/$AX2377-1,$AY2378/$AY2377-1),"")</f>
        <v/>
      </c>
      <c r="DW2377" s="66">
        <f>AVERAGE($CB2377,$CC2377,$CD2377,$CE2377,$CF2377,$CG2377,$CH2377,$CI2377,$CJ2377,$CL2377,$CM2377,$CN2377,$CO2377,$CP2377,$CQ2377,$CR2377,$CS2377,$CT2377)</f>
        <v/>
      </c>
      <c r="DX2377" s="66">
        <f>AVERAGE($CB2377,$CC2377,$CM2377,$CE2377,$CP2377)</f>
        <v/>
      </c>
      <c r="DY2377" s="64">
        <f>($DW2377-$DW2378)*100</f>
        <v/>
      </c>
      <c r="DZ2377" s="64">
        <f>($DX2377-$DX2378)*100</f>
        <v/>
      </c>
      <c r="EA2377" s="64">
        <f>($DW2377-$D2377)*100</f>
        <v/>
      </c>
      <c r="EB2377" s="64">
        <f>$Q2377-$O2377</f>
        <v/>
      </c>
      <c r="EC2377" s="67">
        <f>IFERROR($Q2377/$P2377,"")</f>
        <v/>
      </c>
    </row>
    <row r="2378">
      <c r="DG2378" s="64">
        <f>($B2378-$B2379)*100</f>
        <v/>
      </c>
      <c r="DH2378" s="64">
        <f>($D2378-$D2379)*100</f>
        <v/>
      </c>
      <c r="DI2378" s="64">
        <f>($E2378-$E2379)*100</f>
        <v/>
      </c>
      <c r="DJ2378" s="64">
        <f>($H2378-$H2379)*100</f>
        <v/>
      </c>
      <c r="DK2378" s="65">
        <f>IFERROR($J2378/$J2379-1,"")</f>
        <v/>
      </c>
      <c r="DL2378" s="64">
        <f>$L2378-$L2379</f>
        <v/>
      </c>
      <c r="DM2378" s="64">
        <f>$K2378-$K2379</f>
        <v/>
      </c>
      <c r="DN2378" s="65">
        <f>IFERROR($N2378/$N2379-1,"")</f>
        <v/>
      </c>
      <c r="DO2378" s="65">
        <f>IFERROR($M2378/$M2379-1,"")</f>
        <v/>
      </c>
      <c r="DP2378" s="65">
        <f>IFERROR($AZ2378/$AZ2379-1,"")</f>
        <v/>
      </c>
      <c r="DQ2378" s="65">
        <f>IFERROR($BA2378/$BA2379-1,"")</f>
        <v/>
      </c>
      <c r="DR2378" s="64">
        <f>$O2378-$O2379</f>
        <v/>
      </c>
      <c r="DS2378" s="64">
        <f>$P2378-$P2379</f>
        <v/>
      </c>
      <c r="DT2378" s="64">
        <f>$Q2378-$Q2379</f>
        <v/>
      </c>
      <c r="DU2378" s="64">
        <f>$S2378-$S2379</f>
        <v/>
      </c>
      <c r="DV2378" s="65">
        <f>IFERROR(AVERAGE($AA2379/$AA2378-1,$AB2379/$AB2378-1,$AC2379/$AC2378-1,$AD2379/$AD2378-1,$AE2379/$AE2378-1,$AG2379/$AG2378-1,$AH2379/$AH2378-1,$AI2379/$AI2378-1,$AJ2379/$AJ2378-1,$AL2379/$AL2378-1,$AM2379/$AM2378-1,$AR2379/$AR2378-1,$AS2379/$AS2378-1,$AT2379/$AT2378-1,$AU2379/$AU2378-1,$AV2379/$AV2378-1,$AW2379/$AW2378-1,$AX2379/$AX2378-1,$AY2379/$AY2378-1),"")</f>
        <v/>
      </c>
      <c r="DW2378" s="66">
        <f>AVERAGE($CB2378,$CC2378,$CD2378,$CE2378,$CF2378,$CG2378,$CH2378,$CI2378,$CJ2378,$CL2378,$CM2378,$CN2378,$CO2378,$CP2378,$CQ2378,$CR2378,$CS2378,$CT2378)</f>
        <v/>
      </c>
      <c r="DX2378" s="66">
        <f>AVERAGE($CB2378,$CC2378,$CM2378,$CE2378,$CP2378)</f>
        <v/>
      </c>
      <c r="DY2378" s="64">
        <f>($DW2378-$DW2379)*100</f>
        <v/>
      </c>
      <c r="DZ2378" s="64">
        <f>($DX2378-$DX2379)*100</f>
        <v/>
      </c>
      <c r="EA2378" s="64">
        <f>($DW2378-$D2378)*100</f>
        <v/>
      </c>
      <c r="EB2378" s="64">
        <f>$Q2378-$O2378</f>
        <v/>
      </c>
      <c r="EC2378" s="67">
        <f>IFERROR($Q2378/$P2378,"")</f>
        <v/>
      </c>
    </row>
    <row r="2379">
      <c r="DG2379" s="64">
        <f>($B2379-$B2380)*100</f>
        <v/>
      </c>
      <c r="DH2379" s="64">
        <f>($D2379-$D2380)*100</f>
        <v/>
      </c>
      <c r="DI2379" s="64">
        <f>($E2379-$E2380)*100</f>
        <v/>
      </c>
      <c r="DJ2379" s="64">
        <f>($H2379-$H2380)*100</f>
        <v/>
      </c>
      <c r="DK2379" s="65">
        <f>IFERROR($J2379/$J2380-1,"")</f>
        <v/>
      </c>
      <c r="DL2379" s="64">
        <f>$L2379-$L2380</f>
        <v/>
      </c>
      <c r="DM2379" s="64">
        <f>$K2379-$K2380</f>
        <v/>
      </c>
      <c r="DN2379" s="65">
        <f>IFERROR($N2379/$N2380-1,"")</f>
        <v/>
      </c>
      <c r="DO2379" s="65">
        <f>IFERROR($M2379/$M2380-1,"")</f>
        <v/>
      </c>
      <c r="DP2379" s="65">
        <f>IFERROR($AZ2379/$AZ2380-1,"")</f>
        <v/>
      </c>
      <c r="DQ2379" s="65">
        <f>IFERROR($BA2379/$BA2380-1,"")</f>
        <v/>
      </c>
      <c r="DR2379" s="64">
        <f>$O2379-$O2380</f>
        <v/>
      </c>
      <c r="DS2379" s="64">
        <f>$P2379-$P2380</f>
        <v/>
      </c>
      <c r="DT2379" s="64">
        <f>$Q2379-$Q2380</f>
        <v/>
      </c>
      <c r="DU2379" s="64">
        <f>$S2379-$S2380</f>
        <v/>
      </c>
      <c r="DV2379" s="65">
        <f>IFERROR(AVERAGE($AA2380/$AA2379-1,$AB2380/$AB2379-1,$AC2380/$AC2379-1,$AD2380/$AD2379-1,$AE2380/$AE2379-1,$AG2380/$AG2379-1,$AH2380/$AH2379-1,$AI2380/$AI2379-1,$AJ2380/$AJ2379-1,$AL2380/$AL2379-1,$AM2380/$AM2379-1,$AR2380/$AR2379-1,$AS2380/$AS2379-1,$AT2380/$AT2379-1,$AU2380/$AU2379-1,$AV2380/$AV2379-1,$AW2380/$AW2379-1,$AX2380/$AX2379-1,$AY2380/$AY2379-1),"")</f>
        <v/>
      </c>
      <c r="DW2379" s="66">
        <f>AVERAGE($CB2379,$CC2379,$CD2379,$CE2379,$CF2379,$CG2379,$CH2379,$CI2379,$CJ2379,$CL2379,$CM2379,$CN2379,$CO2379,$CP2379,$CQ2379,$CR2379,$CS2379,$CT2379)</f>
        <v/>
      </c>
      <c r="DX2379" s="66">
        <f>AVERAGE($CB2379,$CC2379,$CM2379,$CE2379,$CP2379)</f>
        <v/>
      </c>
      <c r="DY2379" s="64">
        <f>($DW2379-$DW2380)*100</f>
        <v/>
      </c>
      <c r="DZ2379" s="64">
        <f>($DX2379-$DX2380)*100</f>
        <v/>
      </c>
      <c r="EA2379" s="64">
        <f>($DW2379-$D2379)*100</f>
        <v/>
      </c>
      <c r="EB2379" s="64">
        <f>$Q2379-$O2379</f>
        <v/>
      </c>
      <c r="EC2379" s="67">
        <f>IFERROR($Q2379/$P2379,"")</f>
        <v/>
      </c>
    </row>
    <row r="2380">
      <c r="DG2380" s="64">
        <f>($B2380-$B2381)*100</f>
        <v/>
      </c>
      <c r="DH2380" s="64">
        <f>($D2380-$D2381)*100</f>
        <v/>
      </c>
      <c r="DI2380" s="64">
        <f>($E2380-$E2381)*100</f>
        <v/>
      </c>
      <c r="DJ2380" s="64">
        <f>($H2380-$H2381)*100</f>
        <v/>
      </c>
      <c r="DK2380" s="65">
        <f>IFERROR($J2380/$J2381-1,"")</f>
        <v/>
      </c>
      <c r="DL2380" s="64">
        <f>$L2380-$L2381</f>
        <v/>
      </c>
      <c r="DM2380" s="64">
        <f>$K2380-$K2381</f>
        <v/>
      </c>
      <c r="DN2380" s="65">
        <f>IFERROR($N2380/$N2381-1,"")</f>
        <v/>
      </c>
      <c r="DO2380" s="65">
        <f>IFERROR($M2380/$M2381-1,"")</f>
        <v/>
      </c>
      <c r="DP2380" s="65">
        <f>IFERROR($AZ2380/$AZ2381-1,"")</f>
        <v/>
      </c>
      <c r="DQ2380" s="65">
        <f>IFERROR($BA2380/$BA2381-1,"")</f>
        <v/>
      </c>
      <c r="DR2380" s="64">
        <f>$O2380-$O2381</f>
        <v/>
      </c>
      <c r="DS2380" s="64">
        <f>$P2380-$P2381</f>
        <v/>
      </c>
      <c r="DT2380" s="64">
        <f>$Q2380-$Q2381</f>
        <v/>
      </c>
      <c r="DU2380" s="64">
        <f>$S2380-$S2381</f>
        <v/>
      </c>
      <c r="DV2380" s="65">
        <f>IFERROR(AVERAGE($AA2381/$AA2380-1,$AB2381/$AB2380-1,$AC2381/$AC2380-1,$AD2381/$AD2380-1,$AE2381/$AE2380-1,$AG2381/$AG2380-1,$AH2381/$AH2380-1,$AI2381/$AI2380-1,$AJ2381/$AJ2380-1,$AL2381/$AL2380-1,$AM2381/$AM2380-1,$AR2381/$AR2380-1,$AS2381/$AS2380-1,$AT2381/$AT2380-1,$AU2381/$AU2380-1,$AV2381/$AV2380-1,$AW2381/$AW2380-1,$AX2381/$AX2380-1,$AY2381/$AY2380-1),"")</f>
        <v/>
      </c>
      <c r="DW2380" s="66">
        <f>AVERAGE($CB2380,$CC2380,$CD2380,$CE2380,$CF2380,$CG2380,$CH2380,$CI2380,$CJ2380,$CL2380,$CM2380,$CN2380,$CO2380,$CP2380,$CQ2380,$CR2380,$CS2380,$CT2380)</f>
        <v/>
      </c>
      <c r="DX2380" s="66">
        <f>AVERAGE($CB2380,$CC2380,$CM2380,$CE2380,$CP2380)</f>
        <v/>
      </c>
      <c r="DY2380" s="64">
        <f>($DW2380-$DW2381)*100</f>
        <v/>
      </c>
      <c r="DZ2380" s="64">
        <f>($DX2380-$DX2381)*100</f>
        <v/>
      </c>
      <c r="EA2380" s="64">
        <f>($DW2380-$D2380)*100</f>
        <v/>
      </c>
      <c r="EB2380" s="64">
        <f>$Q2380-$O2380</f>
        <v/>
      </c>
      <c r="EC2380" s="67">
        <f>IFERROR($Q2380/$P2380,"")</f>
        <v/>
      </c>
    </row>
    <row r="2381">
      <c r="DG2381" s="64">
        <f>($B2381-$B2382)*100</f>
        <v/>
      </c>
      <c r="DH2381" s="64">
        <f>($D2381-$D2382)*100</f>
        <v/>
      </c>
      <c r="DI2381" s="64">
        <f>($E2381-$E2382)*100</f>
        <v/>
      </c>
      <c r="DJ2381" s="64">
        <f>($H2381-$H2382)*100</f>
        <v/>
      </c>
      <c r="DK2381" s="65">
        <f>IFERROR($J2381/$J2382-1,"")</f>
        <v/>
      </c>
      <c r="DL2381" s="64">
        <f>$L2381-$L2382</f>
        <v/>
      </c>
      <c r="DM2381" s="64">
        <f>$K2381-$K2382</f>
        <v/>
      </c>
      <c r="DN2381" s="65">
        <f>IFERROR($N2381/$N2382-1,"")</f>
        <v/>
      </c>
      <c r="DO2381" s="65">
        <f>IFERROR($M2381/$M2382-1,"")</f>
        <v/>
      </c>
      <c r="DP2381" s="65">
        <f>IFERROR($AZ2381/$AZ2382-1,"")</f>
        <v/>
      </c>
      <c r="DQ2381" s="65">
        <f>IFERROR($BA2381/$BA2382-1,"")</f>
        <v/>
      </c>
      <c r="DR2381" s="64">
        <f>$O2381-$O2382</f>
        <v/>
      </c>
      <c r="DS2381" s="64">
        <f>$P2381-$P2382</f>
        <v/>
      </c>
      <c r="DT2381" s="64">
        <f>$Q2381-$Q2382</f>
        <v/>
      </c>
      <c r="DU2381" s="64">
        <f>$S2381-$S2382</f>
        <v/>
      </c>
      <c r="DV2381" s="65">
        <f>IFERROR(AVERAGE($AA2382/$AA2381-1,$AB2382/$AB2381-1,$AC2382/$AC2381-1,$AD2382/$AD2381-1,$AE2382/$AE2381-1,$AG2382/$AG2381-1,$AH2382/$AH2381-1,$AI2382/$AI2381-1,$AJ2382/$AJ2381-1,$AL2382/$AL2381-1,$AM2382/$AM2381-1,$AR2382/$AR2381-1,$AS2382/$AS2381-1,$AT2382/$AT2381-1,$AU2382/$AU2381-1,$AV2382/$AV2381-1,$AW2382/$AW2381-1,$AX2382/$AX2381-1,$AY2382/$AY2381-1),"")</f>
        <v/>
      </c>
      <c r="DW2381" s="66">
        <f>AVERAGE($CB2381,$CC2381,$CD2381,$CE2381,$CF2381,$CG2381,$CH2381,$CI2381,$CJ2381,$CL2381,$CM2381,$CN2381,$CO2381,$CP2381,$CQ2381,$CR2381,$CS2381,$CT2381)</f>
        <v/>
      </c>
      <c r="DX2381" s="66">
        <f>AVERAGE($CB2381,$CC2381,$CM2381,$CE2381,$CP2381)</f>
        <v/>
      </c>
      <c r="DY2381" s="64">
        <f>($DW2381-$DW2382)*100</f>
        <v/>
      </c>
      <c r="DZ2381" s="64">
        <f>($DX2381-$DX2382)*100</f>
        <v/>
      </c>
      <c r="EA2381" s="64">
        <f>($DW2381-$D2381)*100</f>
        <v/>
      </c>
      <c r="EB2381" s="64">
        <f>$Q2381-$O2381</f>
        <v/>
      </c>
      <c r="EC2381" s="67">
        <f>IFERROR($Q2381/$P2381,"")</f>
        <v/>
      </c>
    </row>
    <row r="2382">
      <c r="DG2382" s="64">
        <f>($B2382-$B2383)*100</f>
        <v/>
      </c>
      <c r="DH2382" s="64">
        <f>($D2382-$D2383)*100</f>
        <v/>
      </c>
      <c r="DI2382" s="64">
        <f>($E2382-$E2383)*100</f>
        <v/>
      </c>
      <c r="DJ2382" s="64">
        <f>($H2382-$H2383)*100</f>
        <v/>
      </c>
      <c r="DK2382" s="65">
        <f>IFERROR($J2382/$J2383-1,"")</f>
        <v/>
      </c>
      <c r="DL2382" s="64">
        <f>$L2382-$L2383</f>
        <v/>
      </c>
      <c r="DM2382" s="64">
        <f>$K2382-$K2383</f>
        <v/>
      </c>
      <c r="DN2382" s="65">
        <f>IFERROR($N2382/$N2383-1,"")</f>
        <v/>
      </c>
      <c r="DO2382" s="65">
        <f>IFERROR($M2382/$M2383-1,"")</f>
        <v/>
      </c>
      <c r="DP2382" s="65">
        <f>IFERROR($AZ2382/$AZ2383-1,"")</f>
        <v/>
      </c>
      <c r="DQ2382" s="65">
        <f>IFERROR($BA2382/$BA2383-1,"")</f>
        <v/>
      </c>
      <c r="DR2382" s="64">
        <f>$O2382-$O2383</f>
        <v/>
      </c>
      <c r="DS2382" s="64">
        <f>$P2382-$P2383</f>
        <v/>
      </c>
      <c r="DT2382" s="64">
        <f>$Q2382-$Q2383</f>
        <v/>
      </c>
      <c r="DU2382" s="64">
        <f>$S2382-$S2383</f>
        <v/>
      </c>
      <c r="DV2382" s="65">
        <f>IFERROR(AVERAGE($AA2383/$AA2382-1,$AB2383/$AB2382-1,$AC2383/$AC2382-1,$AD2383/$AD2382-1,$AE2383/$AE2382-1,$AG2383/$AG2382-1,$AH2383/$AH2382-1,$AI2383/$AI2382-1,$AJ2383/$AJ2382-1,$AL2383/$AL2382-1,$AM2383/$AM2382-1,$AR2383/$AR2382-1,$AS2383/$AS2382-1,$AT2383/$AT2382-1,$AU2383/$AU2382-1,$AV2383/$AV2382-1,$AW2383/$AW2382-1,$AX2383/$AX2382-1,$AY2383/$AY2382-1),"")</f>
        <v/>
      </c>
      <c r="DW2382" s="66">
        <f>AVERAGE($CB2382,$CC2382,$CD2382,$CE2382,$CF2382,$CG2382,$CH2382,$CI2382,$CJ2382,$CL2382,$CM2382,$CN2382,$CO2382,$CP2382,$CQ2382,$CR2382,$CS2382,$CT2382)</f>
        <v/>
      </c>
      <c r="DX2382" s="66">
        <f>AVERAGE($CB2382,$CC2382,$CM2382,$CE2382,$CP2382)</f>
        <v/>
      </c>
      <c r="DY2382" s="64">
        <f>($DW2382-$DW2383)*100</f>
        <v/>
      </c>
      <c r="DZ2382" s="64">
        <f>($DX2382-$DX2383)*100</f>
        <v/>
      </c>
      <c r="EA2382" s="64">
        <f>($DW2382-$D2382)*100</f>
        <v/>
      </c>
      <c r="EB2382" s="64">
        <f>$Q2382-$O2382</f>
        <v/>
      </c>
      <c r="EC2382" s="67">
        <f>IFERROR($Q2382/$P2382,"")</f>
        <v/>
      </c>
    </row>
    <row r="2383">
      <c r="DG2383" s="64">
        <f>($B2383-$B2384)*100</f>
        <v/>
      </c>
      <c r="DH2383" s="64">
        <f>($D2383-$D2384)*100</f>
        <v/>
      </c>
      <c r="DI2383" s="64">
        <f>($E2383-$E2384)*100</f>
        <v/>
      </c>
      <c r="DJ2383" s="64">
        <f>($H2383-$H2384)*100</f>
        <v/>
      </c>
      <c r="DK2383" s="65">
        <f>IFERROR($J2383/$J2384-1,"")</f>
        <v/>
      </c>
      <c r="DL2383" s="64">
        <f>$L2383-$L2384</f>
        <v/>
      </c>
      <c r="DM2383" s="64">
        <f>$K2383-$K2384</f>
        <v/>
      </c>
      <c r="DN2383" s="65">
        <f>IFERROR($N2383/$N2384-1,"")</f>
        <v/>
      </c>
      <c r="DO2383" s="65">
        <f>IFERROR($M2383/$M2384-1,"")</f>
        <v/>
      </c>
      <c r="DP2383" s="65">
        <f>IFERROR($AZ2383/$AZ2384-1,"")</f>
        <v/>
      </c>
      <c r="DQ2383" s="65">
        <f>IFERROR($BA2383/$BA2384-1,"")</f>
        <v/>
      </c>
      <c r="DR2383" s="64">
        <f>$O2383-$O2384</f>
        <v/>
      </c>
      <c r="DS2383" s="64">
        <f>$P2383-$P2384</f>
        <v/>
      </c>
      <c r="DT2383" s="64">
        <f>$Q2383-$Q2384</f>
        <v/>
      </c>
      <c r="DU2383" s="64">
        <f>$S2383-$S2384</f>
        <v/>
      </c>
      <c r="DV2383" s="65">
        <f>IFERROR(AVERAGE($AA2384/$AA2383-1,$AB2384/$AB2383-1,$AC2384/$AC2383-1,$AD2384/$AD2383-1,$AE2384/$AE2383-1,$AG2384/$AG2383-1,$AH2384/$AH2383-1,$AI2384/$AI2383-1,$AJ2384/$AJ2383-1,$AL2384/$AL2383-1,$AM2384/$AM2383-1,$AR2384/$AR2383-1,$AS2384/$AS2383-1,$AT2384/$AT2383-1,$AU2384/$AU2383-1,$AV2384/$AV2383-1,$AW2384/$AW2383-1,$AX2384/$AX2383-1,$AY2384/$AY2383-1),"")</f>
        <v/>
      </c>
      <c r="DW2383" s="66">
        <f>AVERAGE($CB2383,$CC2383,$CD2383,$CE2383,$CF2383,$CG2383,$CH2383,$CI2383,$CJ2383,$CL2383,$CM2383,$CN2383,$CO2383,$CP2383,$CQ2383,$CR2383,$CS2383,$CT2383)</f>
        <v/>
      </c>
      <c r="DX2383" s="66">
        <f>AVERAGE($CB2383,$CC2383,$CM2383,$CE2383,$CP2383)</f>
        <v/>
      </c>
      <c r="DY2383" s="64">
        <f>($DW2383-$DW2384)*100</f>
        <v/>
      </c>
      <c r="DZ2383" s="64">
        <f>($DX2383-$DX2384)*100</f>
        <v/>
      </c>
      <c r="EA2383" s="64">
        <f>($DW2383-$D2383)*100</f>
        <v/>
      </c>
      <c r="EB2383" s="64">
        <f>$Q2383-$O2383</f>
        <v/>
      </c>
      <c r="EC2383" s="67">
        <f>IFERROR($Q2383/$P2383,"")</f>
        <v/>
      </c>
    </row>
    <row r="2384">
      <c r="DG2384" s="64">
        <f>($B2384-$B2385)*100</f>
        <v/>
      </c>
      <c r="DH2384" s="64">
        <f>($D2384-$D2385)*100</f>
        <v/>
      </c>
      <c r="DI2384" s="64">
        <f>($E2384-$E2385)*100</f>
        <v/>
      </c>
      <c r="DJ2384" s="64">
        <f>($H2384-$H2385)*100</f>
        <v/>
      </c>
      <c r="DK2384" s="65">
        <f>IFERROR($J2384/$J2385-1,"")</f>
        <v/>
      </c>
      <c r="DL2384" s="64">
        <f>$L2384-$L2385</f>
        <v/>
      </c>
      <c r="DM2384" s="64">
        <f>$K2384-$K2385</f>
        <v/>
      </c>
      <c r="DN2384" s="65">
        <f>IFERROR($N2384/$N2385-1,"")</f>
        <v/>
      </c>
      <c r="DO2384" s="65">
        <f>IFERROR($M2384/$M2385-1,"")</f>
        <v/>
      </c>
      <c r="DP2384" s="65">
        <f>IFERROR($AZ2384/$AZ2385-1,"")</f>
        <v/>
      </c>
      <c r="DQ2384" s="65">
        <f>IFERROR($BA2384/$BA2385-1,"")</f>
        <v/>
      </c>
      <c r="DR2384" s="64">
        <f>$O2384-$O2385</f>
        <v/>
      </c>
      <c r="DS2384" s="64">
        <f>$P2384-$P2385</f>
        <v/>
      </c>
      <c r="DT2384" s="64">
        <f>$Q2384-$Q2385</f>
        <v/>
      </c>
      <c r="DU2384" s="64">
        <f>$S2384-$S2385</f>
        <v/>
      </c>
      <c r="DV2384" s="65">
        <f>IFERROR(AVERAGE($AA2385/$AA2384-1,$AB2385/$AB2384-1,$AC2385/$AC2384-1,$AD2385/$AD2384-1,$AE2385/$AE2384-1,$AG2385/$AG2384-1,$AH2385/$AH2384-1,$AI2385/$AI2384-1,$AJ2385/$AJ2384-1,$AL2385/$AL2384-1,$AM2385/$AM2384-1,$AR2385/$AR2384-1,$AS2385/$AS2384-1,$AT2385/$AT2384-1,$AU2385/$AU2384-1,$AV2385/$AV2384-1,$AW2385/$AW2384-1,$AX2385/$AX2384-1,$AY2385/$AY2384-1),"")</f>
        <v/>
      </c>
      <c r="DW2384" s="66">
        <f>AVERAGE($CB2384,$CC2384,$CD2384,$CE2384,$CF2384,$CG2384,$CH2384,$CI2384,$CJ2384,$CL2384,$CM2384,$CN2384,$CO2384,$CP2384,$CQ2384,$CR2384,$CS2384,$CT2384)</f>
        <v/>
      </c>
      <c r="DX2384" s="66">
        <f>AVERAGE($CB2384,$CC2384,$CM2384,$CE2384,$CP2384)</f>
        <v/>
      </c>
      <c r="DY2384" s="64">
        <f>($DW2384-$DW2385)*100</f>
        <v/>
      </c>
      <c r="DZ2384" s="64">
        <f>($DX2384-$DX2385)*100</f>
        <v/>
      </c>
      <c r="EA2384" s="64">
        <f>($DW2384-$D2384)*100</f>
        <v/>
      </c>
      <c r="EB2384" s="64">
        <f>$Q2384-$O2384</f>
        <v/>
      </c>
      <c r="EC2384" s="67">
        <f>IFERROR($Q2384/$P2384,"")</f>
        <v/>
      </c>
    </row>
    <row r="2385">
      <c r="DG2385" s="64">
        <f>($B2385-$B2386)*100</f>
        <v/>
      </c>
      <c r="DH2385" s="64">
        <f>($D2385-$D2386)*100</f>
        <v/>
      </c>
      <c r="DI2385" s="64">
        <f>($E2385-$E2386)*100</f>
        <v/>
      </c>
      <c r="DJ2385" s="64">
        <f>($H2385-$H2386)*100</f>
        <v/>
      </c>
      <c r="DK2385" s="65">
        <f>IFERROR($J2385/$J2386-1,"")</f>
        <v/>
      </c>
      <c r="DL2385" s="64">
        <f>$L2385-$L2386</f>
        <v/>
      </c>
      <c r="DM2385" s="64">
        <f>$K2385-$K2386</f>
        <v/>
      </c>
      <c r="DN2385" s="65">
        <f>IFERROR($N2385/$N2386-1,"")</f>
        <v/>
      </c>
      <c r="DO2385" s="65">
        <f>IFERROR($M2385/$M2386-1,"")</f>
        <v/>
      </c>
      <c r="DP2385" s="65">
        <f>IFERROR($AZ2385/$AZ2386-1,"")</f>
        <v/>
      </c>
      <c r="DQ2385" s="65">
        <f>IFERROR($BA2385/$BA2386-1,"")</f>
        <v/>
      </c>
      <c r="DR2385" s="64">
        <f>$O2385-$O2386</f>
        <v/>
      </c>
      <c r="DS2385" s="64">
        <f>$P2385-$P2386</f>
        <v/>
      </c>
      <c r="DT2385" s="64">
        <f>$Q2385-$Q2386</f>
        <v/>
      </c>
      <c r="DU2385" s="64">
        <f>$S2385-$S2386</f>
        <v/>
      </c>
      <c r="DV2385" s="65">
        <f>IFERROR(AVERAGE($AA2386/$AA2385-1,$AB2386/$AB2385-1,$AC2386/$AC2385-1,$AD2386/$AD2385-1,$AE2386/$AE2385-1,$AG2386/$AG2385-1,$AH2386/$AH2385-1,$AI2386/$AI2385-1,$AJ2386/$AJ2385-1,$AL2386/$AL2385-1,$AM2386/$AM2385-1,$AR2386/$AR2385-1,$AS2386/$AS2385-1,$AT2386/$AT2385-1,$AU2386/$AU2385-1,$AV2386/$AV2385-1,$AW2386/$AW2385-1,$AX2386/$AX2385-1,$AY2386/$AY2385-1),"")</f>
        <v/>
      </c>
      <c r="DW2385" s="66">
        <f>AVERAGE($CB2385,$CC2385,$CD2385,$CE2385,$CF2385,$CG2385,$CH2385,$CI2385,$CJ2385,$CL2385,$CM2385,$CN2385,$CO2385,$CP2385,$CQ2385,$CR2385,$CS2385,$CT2385)</f>
        <v/>
      </c>
      <c r="DX2385" s="66">
        <f>AVERAGE($CB2385,$CC2385,$CM2385,$CE2385,$CP2385)</f>
        <v/>
      </c>
      <c r="DY2385" s="64">
        <f>($DW2385-$DW2386)*100</f>
        <v/>
      </c>
      <c r="DZ2385" s="64">
        <f>($DX2385-$DX2386)*100</f>
        <v/>
      </c>
      <c r="EA2385" s="64">
        <f>($DW2385-$D2385)*100</f>
        <v/>
      </c>
      <c r="EB2385" s="64">
        <f>$Q2385-$O2385</f>
        <v/>
      </c>
      <c r="EC2385" s="67">
        <f>IFERROR($Q2385/$P2385,"")</f>
        <v/>
      </c>
    </row>
    <row r="2386">
      <c r="DG2386" s="64">
        <f>($B2386-$B2387)*100</f>
        <v/>
      </c>
      <c r="DH2386" s="64">
        <f>($D2386-$D2387)*100</f>
        <v/>
      </c>
      <c r="DI2386" s="64">
        <f>($E2386-$E2387)*100</f>
        <v/>
      </c>
      <c r="DJ2386" s="64">
        <f>($H2386-$H2387)*100</f>
        <v/>
      </c>
      <c r="DK2386" s="65">
        <f>IFERROR($J2386/$J2387-1,"")</f>
        <v/>
      </c>
      <c r="DL2386" s="64">
        <f>$L2386-$L2387</f>
        <v/>
      </c>
      <c r="DM2386" s="64">
        <f>$K2386-$K2387</f>
        <v/>
      </c>
      <c r="DN2386" s="65">
        <f>IFERROR($N2386/$N2387-1,"")</f>
        <v/>
      </c>
      <c r="DO2386" s="65">
        <f>IFERROR($M2386/$M2387-1,"")</f>
        <v/>
      </c>
      <c r="DP2386" s="65">
        <f>IFERROR($AZ2386/$AZ2387-1,"")</f>
        <v/>
      </c>
      <c r="DQ2386" s="65">
        <f>IFERROR($BA2386/$BA2387-1,"")</f>
        <v/>
      </c>
      <c r="DR2386" s="64">
        <f>$O2386-$O2387</f>
        <v/>
      </c>
      <c r="DS2386" s="64">
        <f>$P2386-$P2387</f>
        <v/>
      </c>
      <c r="DT2386" s="64">
        <f>$Q2386-$Q2387</f>
        <v/>
      </c>
      <c r="DU2386" s="64">
        <f>$S2386-$S2387</f>
        <v/>
      </c>
      <c r="DV2386" s="65">
        <f>IFERROR(AVERAGE($AA2387/$AA2386-1,$AB2387/$AB2386-1,$AC2387/$AC2386-1,$AD2387/$AD2386-1,$AE2387/$AE2386-1,$AG2387/$AG2386-1,$AH2387/$AH2386-1,$AI2387/$AI2386-1,$AJ2387/$AJ2386-1,$AL2387/$AL2386-1,$AM2387/$AM2386-1,$AR2387/$AR2386-1,$AS2387/$AS2386-1,$AT2387/$AT2386-1,$AU2387/$AU2386-1,$AV2387/$AV2386-1,$AW2387/$AW2386-1,$AX2387/$AX2386-1,$AY2387/$AY2386-1),"")</f>
        <v/>
      </c>
      <c r="DW2386" s="66">
        <f>AVERAGE($CB2386,$CC2386,$CD2386,$CE2386,$CF2386,$CG2386,$CH2386,$CI2386,$CJ2386,$CL2386,$CM2386,$CN2386,$CO2386,$CP2386,$CQ2386,$CR2386,$CS2386,$CT2386)</f>
        <v/>
      </c>
      <c r="DX2386" s="66">
        <f>AVERAGE($CB2386,$CC2386,$CM2386,$CE2386,$CP2386)</f>
        <v/>
      </c>
      <c r="DY2386" s="64">
        <f>($DW2386-$DW2387)*100</f>
        <v/>
      </c>
      <c r="DZ2386" s="64">
        <f>($DX2386-$DX2387)*100</f>
        <v/>
      </c>
      <c r="EA2386" s="64">
        <f>($DW2386-$D2386)*100</f>
        <v/>
      </c>
      <c r="EB2386" s="64">
        <f>$Q2386-$O2386</f>
        <v/>
      </c>
      <c r="EC2386" s="67">
        <f>IFERROR($Q2386/$P2386,"")</f>
        <v/>
      </c>
    </row>
    <row r="2387">
      <c r="DG2387" s="64">
        <f>($B2387-$B2388)*100</f>
        <v/>
      </c>
      <c r="DH2387" s="64">
        <f>($D2387-$D2388)*100</f>
        <v/>
      </c>
      <c r="DI2387" s="64">
        <f>($E2387-$E2388)*100</f>
        <v/>
      </c>
      <c r="DJ2387" s="64">
        <f>($H2387-$H2388)*100</f>
        <v/>
      </c>
      <c r="DK2387" s="65">
        <f>IFERROR($J2387/$J2388-1,"")</f>
        <v/>
      </c>
      <c r="DL2387" s="64">
        <f>$L2387-$L2388</f>
        <v/>
      </c>
      <c r="DM2387" s="64">
        <f>$K2387-$K2388</f>
        <v/>
      </c>
      <c r="DN2387" s="65">
        <f>IFERROR($N2387/$N2388-1,"")</f>
        <v/>
      </c>
      <c r="DO2387" s="65">
        <f>IFERROR($M2387/$M2388-1,"")</f>
        <v/>
      </c>
      <c r="DP2387" s="65">
        <f>IFERROR($AZ2387/$AZ2388-1,"")</f>
        <v/>
      </c>
      <c r="DQ2387" s="65">
        <f>IFERROR($BA2387/$BA2388-1,"")</f>
        <v/>
      </c>
      <c r="DR2387" s="64">
        <f>$O2387-$O2388</f>
        <v/>
      </c>
      <c r="DS2387" s="64">
        <f>$P2387-$P2388</f>
        <v/>
      </c>
      <c r="DT2387" s="64">
        <f>$Q2387-$Q2388</f>
        <v/>
      </c>
      <c r="DU2387" s="64">
        <f>$S2387-$S2388</f>
        <v/>
      </c>
      <c r="DV2387" s="65">
        <f>IFERROR(AVERAGE($AA2388/$AA2387-1,$AB2388/$AB2387-1,$AC2388/$AC2387-1,$AD2388/$AD2387-1,$AE2388/$AE2387-1,$AG2388/$AG2387-1,$AH2388/$AH2387-1,$AI2388/$AI2387-1,$AJ2388/$AJ2387-1,$AL2388/$AL2387-1,$AM2388/$AM2387-1,$AR2388/$AR2387-1,$AS2388/$AS2387-1,$AT2388/$AT2387-1,$AU2388/$AU2387-1,$AV2388/$AV2387-1,$AW2388/$AW2387-1,$AX2388/$AX2387-1,$AY2388/$AY2387-1),"")</f>
        <v/>
      </c>
      <c r="DW2387" s="66">
        <f>AVERAGE($CB2387,$CC2387,$CD2387,$CE2387,$CF2387,$CG2387,$CH2387,$CI2387,$CJ2387,$CL2387,$CM2387,$CN2387,$CO2387,$CP2387,$CQ2387,$CR2387,$CS2387,$CT2387)</f>
        <v/>
      </c>
      <c r="DX2387" s="66">
        <f>AVERAGE($CB2387,$CC2387,$CM2387,$CE2387,$CP2387)</f>
        <v/>
      </c>
      <c r="DY2387" s="64">
        <f>($DW2387-$DW2388)*100</f>
        <v/>
      </c>
      <c r="DZ2387" s="64">
        <f>($DX2387-$DX2388)*100</f>
        <v/>
      </c>
      <c r="EA2387" s="64">
        <f>($DW2387-$D2387)*100</f>
        <v/>
      </c>
      <c r="EB2387" s="64">
        <f>$Q2387-$O2387</f>
        <v/>
      </c>
      <c r="EC2387" s="67">
        <f>IFERROR($Q2387/$P2387,"")</f>
        <v/>
      </c>
    </row>
    <row r="2388">
      <c r="DG2388" s="64">
        <f>($B2388-$B2389)*100</f>
        <v/>
      </c>
      <c r="DH2388" s="64">
        <f>($D2388-$D2389)*100</f>
        <v/>
      </c>
      <c r="DI2388" s="64">
        <f>($E2388-$E2389)*100</f>
        <v/>
      </c>
      <c r="DJ2388" s="64">
        <f>($H2388-$H2389)*100</f>
        <v/>
      </c>
      <c r="DK2388" s="65">
        <f>IFERROR($J2388/$J2389-1,"")</f>
        <v/>
      </c>
      <c r="DL2388" s="64">
        <f>$L2388-$L2389</f>
        <v/>
      </c>
      <c r="DM2388" s="64">
        <f>$K2388-$K2389</f>
        <v/>
      </c>
      <c r="DN2388" s="65">
        <f>IFERROR($N2388/$N2389-1,"")</f>
        <v/>
      </c>
      <c r="DO2388" s="65">
        <f>IFERROR($M2388/$M2389-1,"")</f>
        <v/>
      </c>
      <c r="DP2388" s="65">
        <f>IFERROR($AZ2388/$AZ2389-1,"")</f>
        <v/>
      </c>
      <c r="DQ2388" s="65">
        <f>IFERROR($BA2388/$BA2389-1,"")</f>
        <v/>
      </c>
      <c r="DR2388" s="64">
        <f>$O2388-$O2389</f>
        <v/>
      </c>
      <c r="DS2388" s="64">
        <f>$P2388-$P2389</f>
        <v/>
      </c>
      <c r="DT2388" s="64">
        <f>$Q2388-$Q2389</f>
        <v/>
      </c>
      <c r="DU2388" s="64">
        <f>$S2388-$S2389</f>
        <v/>
      </c>
      <c r="DV2388" s="65">
        <f>IFERROR(AVERAGE($AA2389/$AA2388-1,$AB2389/$AB2388-1,$AC2389/$AC2388-1,$AD2389/$AD2388-1,$AE2389/$AE2388-1,$AG2389/$AG2388-1,$AH2389/$AH2388-1,$AI2389/$AI2388-1,$AJ2389/$AJ2388-1,$AL2389/$AL2388-1,$AM2389/$AM2388-1,$AR2389/$AR2388-1,$AS2389/$AS2388-1,$AT2389/$AT2388-1,$AU2389/$AU2388-1,$AV2389/$AV2388-1,$AW2389/$AW2388-1,$AX2389/$AX2388-1,$AY2389/$AY2388-1),"")</f>
        <v/>
      </c>
      <c r="DW2388" s="66">
        <f>AVERAGE($CB2388,$CC2388,$CD2388,$CE2388,$CF2388,$CG2388,$CH2388,$CI2388,$CJ2388,$CL2388,$CM2388,$CN2388,$CO2388,$CP2388,$CQ2388,$CR2388,$CS2388,$CT2388)</f>
        <v/>
      </c>
      <c r="DX2388" s="66">
        <f>AVERAGE($CB2388,$CC2388,$CM2388,$CE2388,$CP2388)</f>
        <v/>
      </c>
      <c r="DY2388" s="64">
        <f>($DW2388-$DW2389)*100</f>
        <v/>
      </c>
      <c r="DZ2388" s="64">
        <f>($DX2388-$DX2389)*100</f>
        <v/>
      </c>
      <c r="EA2388" s="64">
        <f>($DW2388-$D2388)*100</f>
        <v/>
      </c>
      <c r="EB2388" s="64">
        <f>$Q2388-$O2388</f>
        <v/>
      </c>
      <c r="EC2388" s="67">
        <f>IFERROR($Q2388/$P2388,"")</f>
        <v/>
      </c>
    </row>
    <row r="2389">
      <c r="DG2389" s="64">
        <f>($B2389-$B2390)*100</f>
        <v/>
      </c>
      <c r="DH2389" s="64">
        <f>($D2389-$D2390)*100</f>
        <v/>
      </c>
      <c r="DI2389" s="64">
        <f>($E2389-$E2390)*100</f>
        <v/>
      </c>
      <c r="DJ2389" s="64">
        <f>($H2389-$H2390)*100</f>
        <v/>
      </c>
      <c r="DK2389" s="65">
        <f>IFERROR($J2389/$J2390-1,"")</f>
        <v/>
      </c>
      <c r="DL2389" s="64">
        <f>$L2389-$L2390</f>
        <v/>
      </c>
      <c r="DM2389" s="64">
        <f>$K2389-$K2390</f>
        <v/>
      </c>
      <c r="DN2389" s="65">
        <f>IFERROR($N2389/$N2390-1,"")</f>
        <v/>
      </c>
      <c r="DO2389" s="65">
        <f>IFERROR($M2389/$M2390-1,"")</f>
        <v/>
      </c>
      <c r="DP2389" s="65">
        <f>IFERROR($AZ2389/$AZ2390-1,"")</f>
        <v/>
      </c>
      <c r="DQ2389" s="65">
        <f>IFERROR($BA2389/$BA2390-1,"")</f>
        <v/>
      </c>
      <c r="DR2389" s="64">
        <f>$O2389-$O2390</f>
        <v/>
      </c>
      <c r="DS2389" s="64">
        <f>$P2389-$P2390</f>
        <v/>
      </c>
      <c r="DT2389" s="64">
        <f>$Q2389-$Q2390</f>
        <v/>
      </c>
      <c r="DU2389" s="64">
        <f>$S2389-$S2390</f>
        <v/>
      </c>
      <c r="DV2389" s="65">
        <f>IFERROR(AVERAGE($AA2390/$AA2389-1,$AB2390/$AB2389-1,$AC2390/$AC2389-1,$AD2390/$AD2389-1,$AE2390/$AE2389-1,$AG2390/$AG2389-1,$AH2390/$AH2389-1,$AI2390/$AI2389-1,$AJ2390/$AJ2389-1,$AL2390/$AL2389-1,$AM2390/$AM2389-1,$AR2390/$AR2389-1,$AS2390/$AS2389-1,$AT2390/$AT2389-1,$AU2390/$AU2389-1,$AV2390/$AV2389-1,$AW2390/$AW2389-1,$AX2390/$AX2389-1,$AY2390/$AY2389-1),"")</f>
        <v/>
      </c>
      <c r="DW2389" s="66">
        <f>AVERAGE($CB2389,$CC2389,$CD2389,$CE2389,$CF2389,$CG2389,$CH2389,$CI2389,$CJ2389,$CL2389,$CM2389,$CN2389,$CO2389,$CP2389,$CQ2389,$CR2389,$CS2389,$CT2389)</f>
        <v/>
      </c>
      <c r="DX2389" s="66">
        <f>AVERAGE($CB2389,$CC2389,$CM2389,$CE2389,$CP2389)</f>
        <v/>
      </c>
      <c r="DY2389" s="64">
        <f>($DW2389-$DW2390)*100</f>
        <v/>
      </c>
      <c r="DZ2389" s="64">
        <f>($DX2389-$DX2390)*100</f>
        <v/>
      </c>
      <c r="EA2389" s="64">
        <f>($DW2389-$D2389)*100</f>
        <v/>
      </c>
      <c r="EB2389" s="64">
        <f>$Q2389-$O2389</f>
        <v/>
      </c>
      <c r="EC2389" s="67">
        <f>IFERROR($Q2389/$P2389,"")</f>
        <v/>
      </c>
    </row>
    <row r="2390">
      <c r="DG2390" s="64">
        <f>($B2390-$B2391)*100</f>
        <v/>
      </c>
      <c r="DH2390" s="64">
        <f>($D2390-$D2391)*100</f>
        <v/>
      </c>
      <c r="DI2390" s="64">
        <f>($E2390-$E2391)*100</f>
        <v/>
      </c>
      <c r="DJ2390" s="64">
        <f>($H2390-$H2391)*100</f>
        <v/>
      </c>
      <c r="DK2390" s="65">
        <f>IFERROR($J2390/$J2391-1,"")</f>
        <v/>
      </c>
      <c r="DL2390" s="64">
        <f>$L2390-$L2391</f>
        <v/>
      </c>
      <c r="DM2390" s="64">
        <f>$K2390-$K2391</f>
        <v/>
      </c>
      <c r="DN2390" s="65">
        <f>IFERROR($N2390/$N2391-1,"")</f>
        <v/>
      </c>
      <c r="DO2390" s="65">
        <f>IFERROR($M2390/$M2391-1,"")</f>
        <v/>
      </c>
      <c r="DP2390" s="65">
        <f>IFERROR($AZ2390/$AZ2391-1,"")</f>
        <v/>
      </c>
      <c r="DQ2390" s="65">
        <f>IFERROR($BA2390/$BA2391-1,"")</f>
        <v/>
      </c>
      <c r="DR2390" s="64">
        <f>$O2390-$O2391</f>
        <v/>
      </c>
      <c r="DS2390" s="64">
        <f>$P2390-$P2391</f>
        <v/>
      </c>
      <c r="DT2390" s="64">
        <f>$Q2390-$Q2391</f>
        <v/>
      </c>
      <c r="DU2390" s="64">
        <f>$S2390-$S2391</f>
        <v/>
      </c>
      <c r="DV2390" s="65">
        <f>IFERROR(AVERAGE($AA2391/$AA2390-1,$AB2391/$AB2390-1,$AC2391/$AC2390-1,$AD2391/$AD2390-1,$AE2391/$AE2390-1,$AG2391/$AG2390-1,$AH2391/$AH2390-1,$AI2391/$AI2390-1,$AJ2391/$AJ2390-1,$AL2391/$AL2390-1,$AM2391/$AM2390-1,$AR2391/$AR2390-1,$AS2391/$AS2390-1,$AT2391/$AT2390-1,$AU2391/$AU2390-1,$AV2391/$AV2390-1,$AW2391/$AW2390-1,$AX2391/$AX2390-1,$AY2391/$AY2390-1),"")</f>
        <v/>
      </c>
      <c r="DW2390" s="66">
        <f>AVERAGE($CB2390,$CC2390,$CD2390,$CE2390,$CF2390,$CG2390,$CH2390,$CI2390,$CJ2390,$CL2390,$CM2390,$CN2390,$CO2390,$CP2390,$CQ2390,$CR2390,$CS2390,$CT2390)</f>
        <v/>
      </c>
      <c r="DX2390" s="66">
        <f>AVERAGE($CB2390,$CC2390,$CM2390,$CE2390,$CP2390)</f>
        <v/>
      </c>
      <c r="DY2390" s="64">
        <f>($DW2390-$DW2391)*100</f>
        <v/>
      </c>
      <c r="DZ2390" s="64">
        <f>($DX2390-$DX2391)*100</f>
        <v/>
      </c>
      <c r="EA2390" s="64">
        <f>($DW2390-$D2390)*100</f>
        <v/>
      </c>
      <c r="EB2390" s="64">
        <f>$Q2390-$O2390</f>
        <v/>
      </c>
      <c r="EC2390" s="67">
        <f>IFERROR($Q2390/$P2390,"")</f>
        <v/>
      </c>
    </row>
    <row r="2391">
      <c r="DG2391" s="64">
        <f>($B2391-$B2392)*100</f>
        <v/>
      </c>
      <c r="DH2391" s="64">
        <f>($D2391-$D2392)*100</f>
        <v/>
      </c>
      <c r="DI2391" s="64">
        <f>($E2391-$E2392)*100</f>
        <v/>
      </c>
      <c r="DJ2391" s="64">
        <f>($H2391-$H2392)*100</f>
        <v/>
      </c>
      <c r="DK2391" s="65">
        <f>IFERROR($J2391/$J2392-1,"")</f>
        <v/>
      </c>
      <c r="DL2391" s="64">
        <f>$L2391-$L2392</f>
        <v/>
      </c>
      <c r="DM2391" s="64">
        <f>$K2391-$K2392</f>
        <v/>
      </c>
      <c r="DN2391" s="65">
        <f>IFERROR($N2391/$N2392-1,"")</f>
        <v/>
      </c>
      <c r="DO2391" s="65">
        <f>IFERROR($M2391/$M2392-1,"")</f>
        <v/>
      </c>
      <c r="DP2391" s="65">
        <f>IFERROR($AZ2391/$AZ2392-1,"")</f>
        <v/>
      </c>
      <c r="DQ2391" s="65">
        <f>IFERROR($BA2391/$BA2392-1,"")</f>
        <v/>
      </c>
      <c r="DR2391" s="64">
        <f>$O2391-$O2392</f>
        <v/>
      </c>
      <c r="DS2391" s="64">
        <f>$P2391-$P2392</f>
        <v/>
      </c>
      <c r="DT2391" s="64">
        <f>$Q2391-$Q2392</f>
        <v/>
      </c>
      <c r="DU2391" s="64">
        <f>$S2391-$S2392</f>
        <v/>
      </c>
      <c r="DV2391" s="65">
        <f>IFERROR(AVERAGE($AA2392/$AA2391-1,$AB2392/$AB2391-1,$AC2392/$AC2391-1,$AD2392/$AD2391-1,$AE2392/$AE2391-1,$AG2392/$AG2391-1,$AH2392/$AH2391-1,$AI2392/$AI2391-1,$AJ2392/$AJ2391-1,$AL2392/$AL2391-1,$AM2392/$AM2391-1,$AR2392/$AR2391-1,$AS2392/$AS2391-1,$AT2392/$AT2391-1,$AU2392/$AU2391-1,$AV2392/$AV2391-1,$AW2392/$AW2391-1,$AX2392/$AX2391-1,$AY2392/$AY2391-1),"")</f>
        <v/>
      </c>
      <c r="DW2391" s="66">
        <f>AVERAGE($CB2391,$CC2391,$CD2391,$CE2391,$CF2391,$CG2391,$CH2391,$CI2391,$CJ2391,$CL2391,$CM2391,$CN2391,$CO2391,$CP2391,$CQ2391,$CR2391,$CS2391,$CT2391)</f>
        <v/>
      </c>
      <c r="DX2391" s="66">
        <f>AVERAGE($CB2391,$CC2391,$CM2391,$CE2391,$CP2391)</f>
        <v/>
      </c>
      <c r="DY2391" s="64">
        <f>($DW2391-$DW2392)*100</f>
        <v/>
      </c>
      <c r="DZ2391" s="64">
        <f>($DX2391-$DX2392)*100</f>
        <v/>
      </c>
      <c r="EA2391" s="64">
        <f>($DW2391-$D2391)*100</f>
        <v/>
      </c>
      <c r="EB2391" s="64">
        <f>$Q2391-$O2391</f>
        <v/>
      </c>
      <c r="EC2391" s="67">
        <f>IFERROR($Q2391/$P2391,"")</f>
        <v/>
      </c>
    </row>
    <row r="2392">
      <c r="DG2392" s="64">
        <f>($B2392-$B2393)*100</f>
        <v/>
      </c>
      <c r="DH2392" s="64">
        <f>($D2392-$D2393)*100</f>
        <v/>
      </c>
      <c r="DI2392" s="64">
        <f>($E2392-$E2393)*100</f>
        <v/>
      </c>
      <c r="DJ2392" s="64">
        <f>($H2392-$H2393)*100</f>
        <v/>
      </c>
      <c r="DK2392" s="65">
        <f>IFERROR($J2392/$J2393-1,"")</f>
        <v/>
      </c>
      <c r="DL2392" s="64">
        <f>$L2392-$L2393</f>
        <v/>
      </c>
      <c r="DM2392" s="64">
        <f>$K2392-$K2393</f>
        <v/>
      </c>
      <c r="DN2392" s="65">
        <f>IFERROR($N2392/$N2393-1,"")</f>
        <v/>
      </c>
      <c r="DO2392" s="65">
        <f>IFERROR($M2392/$M2393-1,"")</f>
        <v/>
      </c>
      <c r="DP2392" s="65">
        <f>IFERROR($AZ2392/$AZ2393-1,"")</f>
        <v/>
      </c>
      <c r="DQ2392" s="65">
        <f>IFERROR($BA2392/$BA2393-1,"")</f>
        <v/>
      </c>
      <c r="DR2392" s="64">
        <f>$O2392-$O2393</f>
        <v/>
      </c>
      <c r="DS2392" s="64">
        <f>$P2392-$P2393</f>
        <v/>
      </c>
      <c r="DT2392" s="64">
        <f>$Q2392-$Q2393</f>
        <v/>
      </c>
      <c r="DU2392" s="64">
        <f>$S2392-$S2393</f>
        <v/>
      </c>
      <c r="DV2392" s="65">
        <f>IFERROR(AVERAGE($AA2393/$AA2392-1,$AB2393/$AB2392-1,$AC2393/$AC2392-1,$AD2393/$AD2392-1,$AE2393/$AE2392-1,$AG2393/$AG2392-1,$AH2393/$AH2392-1,$AI2393/$AI2392-1,$AJ2393/$AJ2392-1,$AL2393/$AL2392-1,$AM2393/$AM2392-1,$AR2393/$AR2392-1,$AS2393/$AS2392-1,$AT2393/$AT2392-1,$AU2393/$AU2392-1,$AV2393/$AV2392-1,$AW2393/$AW2392-1,$AX2393/$AX2392-1,$AY2393/$AY2392-1),"")</f>
        <v/>
      </c>
      <c r="DW2392" s="66">
        <f>AVERAGE($CB2392,$CC2392,$CD2392,$CE2392,$CF2392,$CG2392,$CH2392,$CI2392,$CJ2392,$CL2392,$CM2392,$CN2392,$CO2392,$CP2392,$CQ2392,$CR2392,$CS2392,$CT2392)</f>
        <v/>
      </c>
      <c r="DX2392" s="66">
        <f>AVERAGE($CB2392,$CC2392,$CM2392,$CE2392,$CP2392)</f>
        <v/>
      </c>
      <c r="DY2392" s="64">
        <f>($DW2392-$DW2393)*100</f>
        <v/>
      </c>
      <c r="DZ2392" s="64">
        <f>($DX2392-$DX2393)*100</f>
        <v/>
      </c>
      <c r="EA2392" s="64">
        <f>($DW2392-$D2392)*100</f>
        <v/>
      </c>
      <c r="EB2392" s="64">
        <f>$Q2392-$O2392</f>
        <v/>
      </c>
      <c r="EC2392" s="67">
        <f>IFERROR($Q2392/$P2392,"")</f>
        <v/>
      </c>
    </row>
    <row r="2393">
      <c r="DG2393" s="64">
        <f>($B2393-$B2394)*100</f>
        <v/>
      </c>
      <c r="DH2393" s="64">
        <f>($D2393-$D2394)*100</f>
        <v/>
      </c>
      <c r="DI2393" s="64">
        <f>($E2393-$E2394)*100</f>
        <v/>
      </c>
      <c r="DJ2393" s="64">
        <f>($H2393-$H2394)*100</f>
        <v/>
      </c>
      <c r="DK2393" s="65">
        <f>IFERROR($J2393/$J2394-1,"")</f>
        <v/>
      </c>
      <c r="DL2393" s="64">
        <f>$L2393-$L2394</f>
        <v/>
      </c>
      <c r="DM2393" s="64">
        <f>$K2393-$K2394</f>
        <v/>
      </c>
      <c r="DN2393" s="65">
        <f>IFERROR($N2393/$N2394-1,"")</f>
        <v/>
      </c>
      <c r="DO2393" s="65">
        <f>IFERROR($M2393/$M2394-1,"")</f>
        <v/>
      </c>
      <c r="DP2393" s="65">
        <f>IFERROR($AZ2393/$AZ2394-1,"")</f>
        <v/>
      </c>
      <c r="DQ2393" s="65">
        <f>IFERROR($BA2393/$BA2394-1,"")</f>
        <v/>
      </c>
      <c r="DR2393" s="64">
        <f>$O2393-$O2394</f>
        <v/>
      </c>
      <c r="DS2393" s="64">
        <f>$P2393-$P2394</f>
        <v/>
      </c>
      <c r="DT2393" s="64">
        <f>$Q2393-$Q2394</f>
        <v/>
      </c>
      <c r="DU2393" s="64">
        <f>$S2393-$S2394</f>
        <v/>
      </c>
      <c r="DV2393" s="65">
        <f>IFERROR(AVERAGE($AA2394/$AA2393-1,$AB2394/$AB2393-1,$AC2394/$AC2393-1,$AD2394/$AD2393-1,$AE2394/$AE2393-1,$AG2394/$AG2393-1,$AH2394/$AH2393-1,$AI2394/$AI2393-1,$AJ2394/$AJ2393-1,$AL2394/$AL2393-1,$AM2394/$AM2393-1,$AR2394/$AR2393-1,$AS2394/$AS2393-1,$AT2394/$AT2393-1,$AU2394/$AU2393-1,$AV2394/$AV2393-1,$AW2394/$AW2393-1,$AX2394/$AX2393-1,$AY2394/$AY2393-1),"")</f>
        <v/>
      </c>
      <c r="DW2393" s="66">
        <f>AVERAGE($CB2393,$CC2393,$CD2393,$CE2393,$CF2393,$CG2393,$CH2393,$CI2393,$CJ2393,$CL2393,$CM2393,$CN2393,$CO2393,$CP2393,$CQ2393,$CR2393,$CS2393,$CT2393)</f>
        <v/>
      </c>
      <c r="DX2393" s="66">
        <f>AVERAGE($CB2393,$CC2393,$CM2393,$CE2393,$CP2393)</f>
        <v/>
      </c>
      <c r="DY2393" s="64">
        <f>($DW2393-$DW2394)*100</f>
        <v/>
      </c>
      <c r="DZ2393" s="64">
        <f>($DX2393-$DX2394)*100</f>
        <v/>
      </c>
      <c r="EA2393" s="64">
        <f>($DW2393-$D2393)*100</f>
        <v/>
      </c>
      <c r="EB2393" s="64">
        <f>$Q2393-$O2393</f>
        <v/>
      </c>
      <c r="EC2393" s="67">
        <f>IFERROR($Q2393/$P2393,"")</f>
        <v/>
      </c>
    </row>
    <row r="2394">
      <c r="DG2394" s="64">
        <f>($B2394-$B2395)*100</f>
        <v/>
      </c>
      <c r="DH2394" s="64">
        <f>($D2394-$D2395)*100</f>
        <v/>
      </c>
      <c r="DI2394" s="64">
        <f>($E2394-$E2395)*100</f>
        <v/>
      </c>
      <c r="DJ2394" s="64">
        <f>($H2394-$H2395)*100</f>
        <v/>
      </c>
      <c r="DK2394" s="65">
        <f>IFERROR($J2394/$J2395-1,"")</f>
        <v/>
      </c>
      <c r="DL2394" s="64">
        <f>$L2394-$L2395</f>
        <v/>
      </c>
      <c r="DM2394" s="64">
        <f>$K2394-$K2395</f>
        <v/>
      </c>
      <c r="DN2394" s="65">
        <f>IFERROR($N2394/$N2395-1,"")</f>
        <v/>
      </c>
      <c r="DO2394" s="65">
        <f>IFERROR($M2394/$M2395-1,"")</f>
        <v/>
      </c>
      <c r="DP2394" s="65">
        <f>IFERROR($AZ2394/$AZ2395-1,"")</f>
        <v/>
      </c>
      <c r="DQ2394" s="65">
        <f>IFERROR($BA2394/$BA2395-1,"")</f>
        <v/>
      </c>
      <c r="DR2394" s="64">
        <f>$O2394-$O2395</f>
        <v/>
      </c>
      <c r="DS2394" s="64">
        <f>$P2394-$P2395</f>
        <v/>
      </c>
      <c r="DT2394" s="64">
        <f>$Q2394-$Q2395</f>
        <v/>
      </c>
      <c r="DU2394" s="64">
        <f>$S2394-$S2395</f>
        <v/>
      </c>
      <c r="DV2394" s="65">
        <f>IFERROR(AVERAGE($AA2395/$AA2394-1,$AB2395/$AB2394-1,$AC2395/$AC2394-1,$AD2395/$AD2394-1,$AE2395/$AE2394-1,$AG2395/$AG2394-1,$AH2395/$AH2394-1,$AI2395/$AI2394-1,$AJ2395/$AJ2394-1,$AL2395/$AL2394-1,$AM2395/$AM2394-1,$AR2395/$AR2394-1,$AS2395/$AS2394-1,$AT2395/$AT2394-1,$AU2395/$AU2394-1,$AV2395/$AV2394-1,$AW2395/$AW2394-1,$AX2395/$AX2394-1,$AY2395/$AY2394-1),"")</f>
        <v/>
      </c>
      <c r="DW2394" s="66">
        <f>AVERAGE($CB2394,$CC2394,$CD2394,$CE2394,$CF2394,$CG2394,$CH2394,$CI2394,$CJ2394,$CL2394,$CM2394,$CN2394,$CO2394,$CP2394,$CQ2394,$CR2394,$CS2394,$CT2394)</f>
        <v/>
      </c>
      <c r="DX2394" s="66">
        <f>AVERAGE($CB2394,$CC2394,$CM2394,$CE2394,$CP2394)</f>
        <v/>
      </c>
      <c r="DY2394" s="64">
        <f>($DW2394-$DW2395)*100</f>
        <v/>
      </c>
      <c r="DZ2394" s="64">
        <f>($DX2394-$DX2395)*100</f>
        <v/>
      </c>
      <c r="EA2394" s="64">
        <f>($DW2394-$D2394)*100</f>
        <v/>
      </c>
      <c r="EB2394" s="64">
        <f>$Q2394-$O2394</f>
        <v/>
      </c>
      <c r="EC2394" s="67">
        <f>IFERROR($Q2394/$P2394,"")</f>
        <v/>
      </c>
    </row>
    <row r="2395">
      <c r="DG2395" s="64">
        <f>($B2395-$B2396)*100</f>
        <v/>
      </c>
      <c r="DH2395" s="64">
        <f>($D2395-$D2396)*100</f>
        <v/>
      </c>
      <c r="DI2395" s="64">
        <f>($E2395-$E2396)*100</f>
        <v/>
      </c>
      <c r="DJ2395" s="64">
        <f>($H2395-$H2396)*100</f>
        <v/>
      </c>
      <c r="DK2395" s="65">
        <f>IFERROR($J2395/$J2396-1,"")</f>
        <v/>
      </c>
      <c r="DL2395" s="64">
        <f>$L2395-$L2396</f>
        <v/>
      </c>
      <c r="DM2395" s="64">
        <f>$K2395-$K2396</f>
        <v/>
      </c>
      <c r="DN2395" s="65">
        <f>IFERROR($N2395/$N2396-1,"")</f>
        <v/>
      </c>
      <c r="DO2395" s="65">
        <f>IFERROR($M2395/$M2396-1,"")</f>
        <v/>
      </c>
      <c r="DP2395" s="65">
        <f>IFERROR($AZ2395/$AZ2396-1,"")</f>
        <v/>
      </c>
      <c r="DQ2395" s="65">
        <f>IFERROR($BA2395/$BA2396-1,"")</f>
        <v/>
      </c>
      <c r="DR2395" s="64">
        <f>$O2395-$O2396</f>
        <v/>
      </c>
      <c r="DS2395" s="64">
        <f>$P2395-$P2396</f>
        <v/>
      </c>
      <c r="DT2395" s="64">
        <f>$Q2395-$Q2396</f>
        <v/>
      </c>
      <c r="DU2395" s="64">
        <f>$S2395-$S2396</f>
        <v/>
      </c>
      <c r="DV2395" s="65">
        <f>IFERROR(AVERAGE($AA2396/$AA2395-1,$AB2396/$AB2395-1,$AC2396/$AC2395-1,$AD2396/$AD2395-1,$AE2396/$AE2395-1,$AG2396/$AG2395-1,$AH2396/$AH2395-1,$AI2396/$AI2395-1,$AJ2396/$AJ2395-1,$AL2396/$AL2395-1,$AM2396/$AM2395-1,$AR2396/$AR2395-1,$AS2396/$AS2395-1,$AT2396/$AT2395-1,$AU2396/$AU2395-1,$AV2396/$AV2395-1,$AW2396/$AW2395-1,$AX2396/$AX2395-1,$AY2396/$AY2395-1),"")</f>
        <v/>
      </c>
      <c r="DW2395" s="66">
        <f>AVERAGE($CB2395,$CC2395,$CD2395,$CE2395,$CF2395,$CG2395,$CH2395,$CI2395,$CJ2395,$CL2395,$CM2395,$CN2395,$CO2395,$CP2395,$CQ2395,$CR2395,$CS2395,$CT2395)</f>
        <v/>
      </c>
      <c r="DX2395" s="66">
        <f>AVERAGE($CB2395,$CC2395,$CM2395,$CE2395,$CP2395)</f>
        <v/>
      </c>
      <c r="DY2395" s="64">
        <f>($DW2395-$DW2396)*100</f>
        <v/>
      </c>
      <c r="DZ2395" s="64">
        <f>($DX2395-$DX2396)*100</f>
        <v/>
      </c>
      <c r="EA2395" s="64">
        <f>($DW2395-$D2395)*100</f>
        <v/>
      </c>
      <c r="EB2395" s="64">
        <f>$Q2395-$O2395</f>
        <v/>
      </c>
      <c r="EC2395" s="67">
        <f>IFERROR($Q2395/$P2395,"")</f>
        <v/>
      </c>
    </row>
    <row r="2396">
      <c r="DG2396" s="64">
        <f>($B2396-$B2397)*100</f>
        <v/>
      </c>
      <c r="DH2396" s="64">
        <f>($D2396-$D2397)*100</f>
        <v/>
      </c>
      <c r="DI2396" s="64">
        <f>($E2396-$E2397)*100</f>
        <v/>
      </c>
      <c r="DJ2396" s="64">
        <f>($H2396-$H2397)*100</f>
        <v/>
      </c>
      <c r="DK2396" s="65">
        <f>IFERROR($J2396/$J2397-1,"")</f>
        <v/>
      </c>
      <c r="DL2396" s="64">
        <f>$L2396-$L2397</f>
        <v/>
      </c>
      <c r="DM2396" s="64">
        <f>$K2396-$K2397</f>
        <v/>
      </c>
      <c r="DN2396" s="65">
        <f>IFERROR($N2396/$N2397-1,"")</f>
        <v/>
      </c>
      <c r="DO2396" s="65">
        <f>IFERROR($M2396/$M2397-1,"")</f>
        <v/>
      </c>
      <c r="DP2396" s="65">
        <f>IFERROR($AZ2396/$AZ2397-1,"")</f>
        <v/>
      </c>
      <c r="DQ2396" s="65">
        <f>IFERROR($BA2396/$BA2397-1,"")</f>
        <v/>
      </c>
      <c r="DR2396" s="64">
        <f>$O2396-$O2397</f>
        <v/>
      </c>
      <c r="DS2396" s="64">
        <f>$P2396-$P2397</f>
        <v/>
      </c>
      <c r="DT2396" s="64">
        <f>$Q2396-$Q2397</f>
        <v/>
      </c>
      <c r="DU2396" s="64">
        <f>$S2396-$S2397</f>
        <v/>
      </c>
      <c r="DV2396" s="65">
        <f>IFERROR(AVERAGE($AA2397/$AA2396-1,$AB2397/$AB2396-1,$AC2397/$AC2396-1,$AD2397/$AD2396-1,$AE2397/$AE2396-1,$AG2397/$AG2396-1,$AH2397/$AH2396-1,$AI2397/$AI2396-1,$AJ2397/$AJ2396-1,$AL2397/$AL2396-1,$AM2397/$AM2396-1,$AR2397/$AR2396-1,$AS2397/$AS2396-1,$AT2397/$AT2396-1,$AU2397/$AU2396-1,$AV2397/$AV2396-1,$AW2397/$AW2396-1,$AX2397/$AX2396-1,$AY2397/$AY2396-1),"")</f>
        <v/>
      </c>
      <c r="DW2396" s="66">
        <f>AVERAGE($CB2396,$CC2396,$CD2396,$CE2396,$CF2396,$CG2396,$CH2396,$CI2396,$CJ2396,$CL2396,$CM2396,$CN2396,$CO2396,$CP2396,$CQ2396,$CR2396,$CS2396,$CT2396)</f>
        <v/>
      </c>
      <c r="DX2396" s="66">
        <f>AVERAGE($CB2396,$CC2396,$CM2396,$CE2396,$CP2396)</f>
        <v/>
      </c>
      <c r="DY2396" s="64">
        <f>($DW2396-$DW2397)*100</f>
        <v/>
      </c>
      <c r="DZ2396" s="64">
        <f>($DX2396-$DX2397)*100</f>
        <v/>
      </c>
      <c r="EA2396" s="64">
        <f>($DW2396-$D2396)*100</f>
        <v/>
      </c>
      <c r="EB2396" s="64">
        <f>$Q2396-$O2396</f>
        <v/>
      </c>
      <c r="EC2396" s="67">
        <f>IFERROR($Q2396/$P2396,"")</f>
        <v/>
      </c>
    </row>
    <row r="2397">
      <c r="DG2397" s="64">
        <f>($B2397-$B2398)*100</f>
        <v/>
      </c>
      <c r="DH2397" s="64">
        <f>($D2397-$D2398)*100</f>
        <v/>
      </c>
      <c r="DI2397" s="64">
        <f>($E2397-$E2398)*100</f>
        <v/>
      </c>
      <c r="DJ2397" s="64">
        <f>($H2397-$H2398)*100</f>
        <v/>
      </c>
      <c r="DK2397" s="65">
        <f>IFERROR($J2397/$J2398-1,"")</f>
        <v/>
      </c>
      <c r="DL2397" s="64">
        <f>$L2397-$L2398</f>
        <v/>
      </c>
      <c r="DM2397" s="64">
        <f>$K2397-$K2398</f>
        <v/>
      </c>
      <c r="DN2397" s="65">
        <f>IFERROR($N2397/$N2398-1,"")</f>
        <v/>
      </c>
      <c r="DO2397" s="65">
        <f>IFERROR($M2397/$M2398-1,"")</f>
        <v/>
      </c>
      <c r="DP2397" s="65">
        <f>IFERROR($AZ2397/$AZ2398-1,"")</f>
        <v/>
      </c>
      <c r="DQ2397" s="65">
        <f>IFERROR($BA2397/$BA2398-1,"")</f>
        <v/>
      </c>
      <c r="DR2397" s="64">
        <f>$O2397-$O2398</f>
        <v/>
      </c>
      <c r="DS2397" s="64">
        <f>$P2397-$P2398</f>
        <v/>
      </c>
      <c r="DT2397" s="64">
        <f>$Q2397-$Q2398</f>
        <v/>
      </c>
      <c r="DU2397" s="64">
        <f>$S2397-$S2398</f>
        <v/>
      </c>
      <c r="DV2397" s="65">
        <f>IFERROR(AVERAGE($AA2398/$AA2397-1,$AB2398/$AB2397-1,$AC2398/$AC2397-1,$AD2398/$AD2397-1,$AE2398/$AE2397-1,$AG2398/$AG2397-1,$AH2398/$AH2397-1,$AI2398/$AI2397-1,$AJ2398/$AJ2397-1,$AL2398/$AL2397-1,$AM2398/$AM2397-1,$AR2398/$AR2397-1,$AS2398/$AS2397-1,$AT2398/$AT2397-1,$AU2398/$AU2397-1,$AV2398/$AV2397-1,$AW2398/$AW2397-1,$AX2398/$AX2397-1,$AY2398/$AY2397-1),"")</f>
        <v/>
      </c>
      <c r="DW2397" s="66">
        <f>AVERAGE($CB2397,$CC2397,$CD2397,$CE2397,$CF2397,$CG2397,$CH2397,$CI2397,$CJ2397,$CL2397,$CM2397,$CN2397,$CO2397,$CP2397,$CQ2397,$CR2397,$CS2397,$CT2397)</f>
        <v/>
      </c>
      <c r="DX2397" s="66">
        <f>AVERAGE($CB2397,$CC2397,$CM2397,$CE2397,$CP2397)</f>
        <v/>
      </c>
      <c r="DY2397" s="64">
        <f>($DW2397-$DW2398)*100</f>
        <v/>
      </c>
      <c r="DZ2397" s="64">
        <f>($DX2397-$DX2398)*100</f>
        <v/>
      </c>
      <c r="EA2397" s="64">
        <f>($DW2397-$D2397)*100</f>
        <v/>
      </c>
      <c r="EB2397" s="64">
        <f>$Q2397-$O2397</f>
        <v/>
      </c>
      <c r="EC2397" s="67">
        <f>IFERROR($Q2397/$P2397,"")</f>
        <v/>
      </c>
    </row>
    <row r="2398">
      <c r="DG2398" s="64">
        <f>($B2398-$B2399)*100</f>
        <v/>
      </c>
      <c r="DH2398" s="64">
        <f>($D2398-$D2399)*100</f>
        <v/>
      </c>
      <c r="DI2398" s="64">
        <f>($E2398-$E2399)*100</f>
        <v/>
      </c>
      <c r="DJ2398" s="64">
        <f>($H2398-$H2399)*100</f>
        <v/>
      </c>
      <c r="DK2398" s="65">
        <f>IFERROR($J2398/$J2399-1,"")</f>
        <v/>
      </c>
      <c r="DL2398" s="64">
        <f>$L2398-$L2399</f>
        <v/>
      </c>
      <c r="DM2398" s="64">
        <f>$K2398-$K2399</f>
        <v/>
      </c>
      <c r="DN2398" s="65">
        <f>IFERROR($N2398/$N2399-1,"")</f>
        <v/>
      </c>
      <c r="DO2398" s="65">
        <f>IFERROR($M2398/$M2399-1,"")</f>
        <v/>
      </c>
      <c r="DP2398" s="65">
        <f>IFERROR($AZ2398/$AZ2399-1,"")</f>
        <v/>
      </c>
      <c r="DQ2398" s="65">
        <f>IFERROR($BA2398/$BA2399-1,"")</f>
        <v/>
      </c>
      <c r="DR2398" s="64">
        <f>$O2398-$O2399</f>
        <v/>
      </c>
      <c r="DS2398" s="64">
        <f>$P2398-$P2399</f>
        <v/>
      </c>
      <c r="DT2398" s="64">
        <f>$Q2398-$Q2399</f>
        <v/>
      </c>
      <c r="DU2398" s="64">
        <f>$S2398-$S2399</f>
        <v/>
      </c>
      <c r="DV2398" s="65">
        <f>IFERROR(AVERAGE($AA2399/$AA2398-1,$AB2399/$AB2398-1,$AC2399/$AC2398-1,$AD2399/$AD2398-1,$AE2399/$AE2398-1,$AG2399/$AG2398-1,$AH2399/$AH2398-1,$AI2399/$AI2398-1,$AJ2399/$AJ2398-1,$AL2399/$AL2398-1,$AM2399/$AM2398-1,$AR2399/$AR2398-1,$AS2399/$AS2398-1,$AT2399/$AT2398-1,$AU2399/$AU2398-1,$AV2399/$AV2398-1,$AW2399/$AW2398-1,$AX2399/$AX2398-1,$AY2399/$AY2398-1),"")</f>
        <v/>
      </c>
      <c r="DW2398" s="66">
        <f>AVERAGE($CB2398,$CC2398,$CD2398,$CE2398,$CF2398,$CG2398,$CH2398,$CI2398,$CJ2398,$CL2398,$CM2398,$CN2398,$CO2398,$CP2398,$CQ2398,$CR2398,$CS2398,$CT2398)</f>
        <v/>
      </c>
      <c r="DX2398" s="66">
        <f>AVERAGE($CB2398,$CC2398,$CM2398,$CE2398,$CP2398)</f>
        <v/>
      </c>
      <c r="DY2398" s="64">
        <f>($DW2398-$DW2399)*100</f>
        <v/>
      </c>
      <c r="DZ2398" s="64">
        <f>($DX2398-$DX2399)*100</f>
        <v/>
      </c>
      <c r="EA2398" s="64">
        <f>($DW2398-$D2398)*100</f>
        <v/>
      </c>
      <c r="EB2398" s="64">
        <f>$Q2398-$O2398</f>
        <v/>
      </c>
      <c r="EC2398" s="67">
        <f>IFERROR($Q2398/$P2398,"")</f>
        <v/>
      </c>
    </row>
    <row r="2399">
      <c r="DG2399" s="64">
        <f>($B2399-$B2400)*100</f>
        <v/>
      </c>
      <c r="DH2399" s="64">
        <f>($D2399-$D2400)*100</f>
        <v/>
      </c>
      <c r="DI2399" s="64">
        <f>($E2399-$E2400)*100</f>
        <v/>
      </c>
      <c r="DJ2399" s="64">
        <f>($H2399-$H2400)*100</f>
        <v/>
      </c>
      <c r="DK2399" s="65">
        <f>IFERROR($J2399/$J2400-1,"")</f>
        <v/>
      </c>
      <c r="DL2399" s="64">
        <f>$L2399-$L2400</f>
        <v/>
      </c>
      <c r="DM2399" s="64">
        <f>$K2399-$K2400</f>
        <v/>
      </c>
      <c r="DN2399" s="65">
        <f>IFERROR($N2399/$N2400-1,"")</f>
        <v/>
      </c>
      <c r="DO2399" s="65">
        <f>IFERROR($M2399/$M2400-1,"")</f>
        <v/>
      </c>
      <c r="DP2399" s="65">
        <f>IFERROR($AZ2399/$AZ2400-1,"")</f>
        <v/>
      </c>
      <c r="DQ2399" s="65">
        <f>IFERROR($BA2399/$BA2400-1,"")</f>
        <v/>
      </c>
      <c r="DR2399" s="64">
        <f>$O2399-$O2400</f>
        <v/>
      </c>
      <c r="DS2399" s="64">
        <f>$P2399-$P2400</f>
        <v/>
      </c>
      <c r="DT2399" s="64">
        <f>$Q2399-$Q2400</f>
        <v/>
      </c>
      <c r="DU2399" s="64">
        <f>$S2399-$S2400</f>
        <v/>
      </c>
      <c r="DV2399" s="65">
        <f>IFERROR(AVERAGE($AA2400/$AA2399-1,$AB2400/$AB2399-1,$AC2400/$AC2399-1,$AD2400/$AD2399-1,$AE2400/$AE2399-1,$AG2400/$AG2399-1,$AH2400/$AH2399-1,$AI2400/$AI2399-1,$AJ2400/$AJ2399-1,$AL2400/$AL2399-1,$AM2400/$AM2399-1,$AR2400/$AR2399-1,$AS2400/$AS2399-1,$AT2400/$AT2399-1,$AU2400/$AU2399-1,$AV2400/$AV2399-1,$AW2400/$AW2399-1,$AX2400/$AX2399-1,$AY2400/$AY2399-1),"")</f>
        <v/>
      </c>
      <c r="DW2399" s="66">
        <f>AVERAGE($CB2399,$CC2399,$CD2399,$CE2399,$CF2399,$CG2399,$CH2399,$CI2399,$CJ2399,$CL2399,$CM2399,$CN2399,$CO2399,$CP2399,$CQ2399,$CR2399,$CS2399,$CT2399)</f>
        <v/>
      </c>
      <c r="DX2399" s="66">
        <f>AVERAGE($CB2399,$CC2399,$CM2399,$CE2399,$CP2399)</f>
        <v/>
      </c>
      <c r="DY2399" s="64">
        <f>($DW2399-$DW2400)*100</f>
        <v/>
      </c>
      <c r="DZ2399" s="64">
        <f>($DX2399-$DX2400)*100</f>
        <v/>
      </c>
      <c r="EA2399" s="64">
        <f>($DW2399-$D2399)*100</f>
        <v/>
      </c>
      <c r="EB2399" s="64">
        <f>$Q2399-$O2399</f>
        <v/>
      </c>
      <c r="EC2399" s="67">
        <f>IFERROR($Q2399/$P2399,"")</f>
        <v/>
      </c>
    </row>
    <row r="2400">
      <c r="DG2400" s="64">
        <f>($B2400-$B2401)*100</f>
        <v/>
      </c>
      <c r="DH2400" s="64">
        <f>($D2400-$D2401)*100</f>
        <v/>
      </c>
      <c r="DI2400" s="64">
        <f>($E2400-$E2401)*100</f>
        <v/>
      </c>
      <c r="DJ2400" s="64">
        <f>($H2400-$H2401)*100</f>
        <v/>
      </c>
      <c r="DK2400" s="65">
        <f>IFERROR($J2400/$J2401-1,"")</f>
        <v/>
      </c>
      <c r="DL2400" s="64">
        <f>$L2400-$L2401</f>
        <v/>
      </c>
      <c r="DM2400" s="64">
        <f>$K2400-$K2401</f>
        <v/>
      </c>
      <c r="DN2400" s="65">
        <f>IFERROR($N2400/$N2401-1,"")</f>
        <v/>
      </c>
      <c r="DO2400" s="65">
        <f>IFERROR($M2400/$M2401-1,"")</f>
        <v/>
      </c>
      <c r="DP2400" s="65">
        <f>IFERROR($AZ2400/$AZ2401-1,"")</f>
        <v/>
      </c>
      <c r="DQ2400" s="65">
        <f>IFERROR($BA2400/$BA2401-1,"")</f>
        <v/>
      </c>
      <c r="DR2400" s="64">
        <f>$O2400-$O2401</f>
        <v/>
      </c>
      <c r="DS2400" s="64">
        <f>$P2400-$P2401</f>
        <v/>
      </c>
      <c r="DT2400" s="64">
        <f>$Q2400-$Q2401</f>
        <v/>
      </c>
      <c r="DU2400" s="64">
        <f>$S2400-$S2401</f>
        <v/>
      </c>
      <c r="DV2400" s="65">
        <f>IFERROR(AVERAGE($AA2401/$AA2400-1,$AB2401/$AB2400-1,$AC2401/$AC2400-1,$AD2401/$AD2400-1,$AE2401/$AE2400-1,$AG2401/$AG2400-1,$AH2401/$AH2400-1,$AI2401/$AI2400-1,$AJ2401/$AJ2400-1,$AL2401/$AL2400-1,$AM2401/$AM2400-1,$AR2401/$AR2400-1,$AS2401/$AS2400-1,$AT2401/$AT2400-1,$AU2401/$AU2400-1,$AV2401/$AV2400-1,$AW2401/$AW2400-1,$AX2401/$AX2400-1,$AY2401/$AY2400-1),"")</f>
        <v/>
      </c>
      <c r="DW2400" s="66">
        <f>AVERAGE($CB2400,$CC2400,$CD2400,$CE2400,$CF2400,$CG2400,$CH2400,$CI2400,$CJ2400,$CL2400,$CM2400,$CN2400,$CO2400,$CP2400,$CQ2400,$CR2400,$CS2400,$CT2400)</f>
        <v/>
      </c>
      <c r="DX2400" s="66">
        <f>AVERAGE($CB2400,$CC2400,$CM2400,$CE2400,$CP2400)</f>
        <v/>
      </c>
      <c r="DY2400" s="64">
        <f>($DW2400-$DW2401)*100</f>
        <v/>
      </c>
      <c r="DZ2400" s="64">
        <f>($DX2400-$DX2401)*100</f>
        <v/>
      </c>
      <c r="EA2400" s="64">
        <f>($DW2400-$D2400)*100</f>
        <v/>
      </c>
      <c r="EB2400" s="64">
        <f>$Q2400-$O2400</f>
        <v/>
      </c>
      <c r="EC2400" s="67">
        <f>IFERROR($Q2400/$P2400,"")</f>
        <v/>
      </c>
    </row>
    <row r="2401">
      <c r="DG2401" s="64">
        <f>($B2401-$B2402)*100</f>
        <v/>
      </c>
      <c r="DH2401" s="64">
        <f>($D2401-$D2402)*100</f>
        <v/>
      </c>
      <c r="DI2401" s="64">
        <f>($E2401-$E2402)*100</f>
        <v/>
      </c>
      <c r="DJ2401" s="64">
        <f>($H2401-$H2402)*100</f>
        <v/>
      </c>
      <c r="DK2401" s="65">
        <f>IFERROR($J2401/$J2402-1,"")</f>
        <v/>
      </c>
      <c r="DL2401" s="64">
        <f>$L2401-$L2402</f>
        <v/>
      </c>
      <c r="DM2401" s="64">
        <f>$K2401-$K2402</f>
        <v/>
      </c>
      <c r="DN2401" s="65">
        <f>IFERROR($N2401/$N2402-1,"")</f>
        <v/>
      </c>
      <c r="DO2401" s="65">
        <f>IFERROR($M2401/$M2402-1,"")</f>
        <v/>
      </c>
      <c r="DP2401" s="65">
        <f>IFERROR($AZ2401/$AZ2402-1,"")</f>
        <v/>
      </c>
      <c r="DQ2401" s="65">
        <f>IFERROR($BA2401/$BA2402-1,"")</f>
        <v/>
      </c>
      <c r="DR2401" s="64">
        <f>$O2401-$O2402</f>
        <v/>
      </c>
      <c r="DS2401" s="64">
        <f>$P2401-$P2402</f>
        <v/>
      </c>
      <c r="DT2401" s="64">
        <f>$Q2401-$Q2402</f>
        <v/>
      </c>
      <c r="DU2401" s="64">
        <f>$S2401-$S2402</f>
        <v/>
      </c>
      <c r="DV2401" s="65">
        <f>IFERROR(AVERAGE($AA2402/$AA2401-1,$AB2402/$AB2401-1,$AC2402/$AC2401-1,$AD2402/$AD2401-1,$AE2402/$AE2401-1,$AG2402/$AG2401-1,$AH2402/$AH2401-1,$AI2402/$AI2401-1,$AJ2402/$AJ2401-1,$AL2402/$AL2401-1,$AM2402/$AM2401-1,$AR2402/$AR2401-1,$AS2402/$AS2401-1,$AT2402/$AT2401-1,$AU2402/$AU2401-1,$AV2402/$AV2401-1,$AW2402/$AW2401-1,$AX2402/$AX2401-1,$AY2402/$AY2401-1),"")</f>
        <v/>
      </c>
      <c r="DW2401" s="66">
        <f>AVERAGE($CB2401,$CC2401,$CD2401,$CE2401,$CF2401,$CG2401,$CH2401,$CI2401,$CJ2401,$CL2401,$CM2401,$CN2401,$CO2401,$CP2401,$CQ2401,$CR2401,$CS2401,$CT2401)</f>
        <v/>
      </c>
      <c r="DX2401" s="66">
        <f>AVERAGE($CB2401,$CC2401,$CM2401,$CE2401,$CP2401)</f>
        <v/>
      </c>
      <c r="DY2401" s="64">
        <f>($DW2401-$DW2402)*100</f>
        <v/>
      </c>
      <c r="DZ2401" s="64">
        <f>($DX2401-$DX2402)*100</f>
        <v/>
      </c>
      <c r="EA2401" s="64">
        <f>($DW2401-$D2401)*100</f>
        <v/>
      </c>
      <c r="EB2401" s="64">
        <f>$Q2401-$O2401</f>
        <v/>
      </c>
      <c r="EC2401" s="67">
        <f>IFERROR($Q2401/$P2401,"")</f>
        <v/>
      </c>
    </row>
    <row r="2402">
      <c r="DG2402" s="64">
        <f>($B2402-$B2403)*100</f>
        <v/>
      </c>
      <c r="DH2402" s="64">
        <f>($D2402-$D2403)*100</f>
        <v/>
      </c>
      <c r="DI2402" s="64">
        <f>($E2402-$E2403)*100</f>
        <v/>
      </c>
      <c r="DJ2402" s="64">
        <f>($H2402-$H2403)*100</f>
        <v/>
      </c>
      <c r="DK2402" s="65">
        <f>IFERROR($J2402/$J2403-1,"")</f>
        <v/>
      </c>
      <c r="DL2402" s="64">
        <f>$L2402-$L2403</f>
        <v/>
      </c>
      <c r="DM2402" s="64">
        <f>$K2402-$K2403</f>
        <v/>
      </c>
      <c r="DN2402" s="65">
        <f>IFERROR($N2402/$N2403-1,"")</f>
        <v/>
      </c>
      <c r="DO2402" s="65">
        <f>IFERROR($M2402/$M2403-1,"")</f>
        <v/>
      </c>
      <c r="DP2402" s="65">
        <f>IFERROR($AZ2402/$AZ2403-1,"")</f>
        <v/>
      </c>
      <c r="DQ2402" s="65">
        <f>IFERROR($BA2402/$BA2403-1,"")</f>
        <v/>
      </c>
      <c r="DR2402" s="64">
        <f>$O2402-$O2403</f>
        <v/>
      </c>
      <c r="DS2402" s="64">
        <f>$P2402-$P2403</f>
        <v/>
      </c>
      <c r="DT2402" s="64">
        <f>$Q2402-$Q2403</f>
        <v/>
      </c>
      <c r="DU2402" s="64">
        <f>$S2402-$S2403</f>
        <v/>
      </c>
      <c r="DV2402" s="65">
        <f>IFERROR(AVERAGE($AA2403/$AA2402-1,$AB2403/$AB2402-1,$AC2403/$AC2402-1,$AD2403/$AD2402-1,$AE2403/$AE2402-1,$AG2403/$AG2402-1,$AH2403/$AH2402-1,$AI2403/$AI2402-1,$AJ2403/$AJ2402-1,$AL2403/$AL2402-1,$AM2403/$AM2402-1,$AR2403/$AR2402-1,$AS2403/$AS2402-1,$AT2403/$AT2402-1,$AU2403/$AU2402-1,$AV2403/$AV2402-1,$AW2403/$AW2402-1,$AX2403/$AX2402-1,$AY2403/$AY2402-1),"")</f>
        <v/>
      </c>
      <c r="DW2402" s="66">
        <f>AVERAGE($CB2402,$CC2402,$CD2402,$CE2402,$CF2402,$CG2402,$CH2402,$CI2402,$CJ2402,$CL2402,$CM2402,$CN2402,$CO2402,$CP2402,$CQ2402,$CR2402,$CS2402,$CT2402)</f>
        <v/>
      </c>
      <c r="DX2402" s="66">
        <f>AVERAGE($CB2402,$CC2402,$CM2402,$CE2402,$CP2402)</f>
        <v/>
      </c>
      <c r="DY2402" s="64">
        <f>($DW2402-$DW2403)*100</f>
        <v/>
      </c>
      <c r="DZ2402" s="64">
        <f>($DX2402-$DX2403)*100</f>
        <v/>
      </c>
      <c r="EA2402" s="64">
        <f>($DW2402-$D2402)*100</f>
        <v/>
      </c>
      <c r="EB2402" s="64">
        <f>$Q2402-$O2402</f>
        <v/>
      </c>
      <c r="EC2402" s="67">
        <f>IFERROR($Q2402/$P2402,"")</f>
        <v/>
      </c>
    </row>
    <row r="2403">
      <c r="DG2403" s="64">
        <f>($B2403-$B2404)*100</f>
        <v/>
      </c>
      <c r="DH2403" s="64">
        <f>($D2403-$D2404)*100</f>
        <v/>
      </c>
      <c r="DI2403" s="64">
        <f>($E2403-$E2404)*100</f>
        <v/>
      </c>
      <c r="DJ2403" s="64">
        <f>($H2403-$H2404)*100</f>
        <v/>
      </c>
      <c r="DK2403" s="65">
        <f>IFERROR($J2403/$J2404-1,"")</f>
        <v/>
      </c>
      <c r="DL2403" s="64">
        <f>$L2403-$L2404</f>
        <v/>
      </c>
      <c r="DM2403" s="64">
        <f>$K2403-$K2404</f>
        <v/>
      </c>
      <c r="DN2403" s="65">
        <f>IFERROR($N2403/$N2404-1,"")</f>
        <v/>
      </c>
      <c r="DO2403" s="65">
        <f>IFERROR($M2403/$M2404-1,"")</f>
        <v/>
      </c>
      <c r="DP2403" s="65">
        <f>IFERROR($AZ2403/$AZ2404-1,"")</f>
        <v/>
      </c>
      <c r="DQ2403" s="65">
        <f>IFERROR($BA2403/$BA2404-1,"")</f>
        <v/>
      </c>
      <c r="DR2403" s="64">
        <f>$O2403-$O2404</f>
        <v/>
      </c>
      <c r="DS2403" s="64">
        <f>$P2403-$P2404</f>
        <v/>
      </c>
      <c r="DT2403" s="64">
        <f>$Q2403-$Q2404</f>
        <v/>
      </c>
      <c r="DU2403" s="64">
        <f>$S2403-$S2404</f>
        <v/>
      </c>
      <c r="DV2403" s="65">
        <f>IFERROR(AVERAGE($AA2404/$AA2403-1,$AB2404/$AB2403-1,$AC2404/$AC2403-1,$AD2404/$AD2403-1,$AE2404/$AE2403-1,$AG2404/$AG2403-1,$AH2404/$AH2403-1,$AI2404/$AI2403-1,$AJ2404/$AJ2403-1,$AL2404/$AL2403-1,$AM2404/$AM2403-1,$AR2404/$AR2403-1,$AS2404/$AS2403-1,$AT2404/$AT2403-1,$AU2404/$AU2403-1,$AV2404/$AV2403-1,$AW2404/$AW2403-1,$AX2404/$AX2403-1,$AY2404/$AY2403-1),"")</f>
        <v/>
      </c>
      <c r="DW2403" s="66">
        <f>AVERAGE($CB2403,$CC2403,$CD2403,$CE2403,$CF2403,$CG2403,$CH2403,$CI2403,$CJ2403,$CL2403,$CM2403,$CN2403,$CO2403,$CP2403,$CQ2403,$CR2403,$CS2403,$CT2403)</f>
        <v/>
      </c>
      <c r="DX2403" s="66">
        <f>AVERAGE($CB2403,$CC2403,$CM2403,$CE2403,$CP2403)</f>
        <v/>
      </c>
      <c r="DY2403" s="64">
        <f>($DW2403-$DW2404)*100</f>
        <v/>
      </c>
      <c r="DZ2403" s="64">
        <f>($DX2403-$DX2404)*100</f>
        <v/>
      </c>
      <c r="EA2403" s="64">
        <f>($DW2403-$D2403)*100</f>
        <v/>
      </c>
      <c r="EB2403" s="64">
        <f>$Q2403-$O2403</f>
        <v/>
      </c>
      <c r="EC2403" s="67">
        <f>IFERROR($Q2403/$P2403,"")</f>
        <v/>
      </c>
    </row>
    <row r="2404">
      <c r="DG2404" s="64">
        <f>($B2404-$B2405)*100</f>
        <v/>
      </c>
      <c r="DH2404" s="64">
        <f>($D2404-$D2405)*100</f>
        <v/>
      </c>
      <c r="DI2404" s="64">
        <f>($E2404-$E2405)*100</f>
        <v/>
      </c>
      <c r="DJ2404" s="64">
        <f>($H2404-$H2405)*100</f>
        <v/>
      </c>
      <c r="DK2404" s="65">
        <f>IFERROR($J2404/$J2405-1,"")</f>
        <v/>
      </c>
      <c r="DL2404" s="64">
        <f>$L2404-$L2405</f>
        <v/>
      </c>
      <c r="DM2404" s="64">
        <f>$K2404-$K2405</f>
        <v/>
      </c>
      <c r="DN2404" s="65">
        <f>IFERROR($N2404/$N2405-1,"")</f>
        <v/>
      </c>
      <c r="DO2404" s="65">
        <f>IFERROR($M2404/$M2405-1,"")</f>
        <v/>
      </c>
      <c r="DP2404" s="65">
        <f>IFERROR($AZ2404/$AZ2405-1,"")</f>
        <v/>
      </c>
      <c r="DQ2404" s="65">
        <f>IFERROR($BA2404/$BA2405-1,"")</f>
        <v/>
      </c>
      <c r="DR2404" s="64">
        <f>$O2404-$O2405</f>
        <v/>
      </c>
      <c r="DS2404" s="64">
        <f>$P2404-$P2405</f>
        <v/>
      </c>
      <c r="DT2404" s="64">
        <f>$Q2404-$Q2405</f>
        <v/>
      </c>
      <c r="DU2404" s="64">
        <f>$S2404-$S2405</f>
        <v/>
      </c>
      <c r="DV2404" s="65">
        <f>IFERROR(AVERAGE($AA2405/$AA2404-1,$AB2405/$AB2404-1,$AC2405/$AC2404-1,$AD2405/$AD2404-1,$AE2405/$AE2404-1,$AG2405/$AG2404-1,$AH2405/$AH2404-1,$AI2405/$AI2404-1,$AJ2405/$AJ2404-1,$AL2405/$AL2404-1,$AM2405/$AM2404-1,$AR2405/$AR2404-1,$AS2405/$AS2404-1,$AT2405/$AT2404-1,$AU2405/$AU2404-1,$AV2405/$AV2404-1,$AW2405/$AW2404-1,$AX2405/$AX2404-1,$AY2405/$AY2404-1),"")</f>
        <v/>
      </c>
      <c r="DW2404" s="66">
        <f>AVERAGE($CB2404,$CC2404,$CD2404,$CE2404,$CF2404,$CG2404,$CH2404,$CI2404,$CJ2404,$CL2404,$CM2404,$CN2404,$CO2404,$CP2404,$CQ2404,$CR2404,$CS2404,$CT2404)</f>
        <v/>
      </c>
      <c r="DX2404" s="66">
        <f>AVERAGE($CB2404,$CC2404,$CM2404,$CE2404,$CP2404)</f>
        <v/>
      </c>
      <c r="DY2404" s="64">
        <f>($DW2404-$DW2405)*100</f>
        <v/>
      </c>
      <c r="DZ2404" s="64">
        <f>($DX2404-$DX2405)*100</f>
        <v/>
      </c>
      <c r="EA2404" s="64">
        <f>($DW2404-$D2404)*100</f>
        <v/>
      </c>
      <c r="EB2404" s="64">
        <f>$Q2404-$O2404</f>
        <v/>
      </c>
      <c r="EC2404" s="67">
        <f>IFERROR($Q2404/$P2404,"")</f>
        <v/>
      </c>
    </row>
    <row r="2405">
      <c r="DG2405" s="64">
        <f>($B2405-$B2406)*100</f>
        <v/>
      </c>
      <c r="DH2405" s="64">
        <f>($D2405-$D2406)*100</f>
        <v/>
      </c>
      <c r="DI2405" s="64">
        <f>($E2405-$E2406)*100</f>
        <v/>
      </c>
      <c r="DJ2405" s="64">
        <f>($H2405-$H2406)*100</f>
        <v/>
      </c>
      <c r="DK2405" s="65">
        <f>IFERROR($J2405/$J2406-1,"")</f>
        <v/>
      </c>
      <c r="DL2405" s="64">
        <f>$L2405-$L2406</f>
        <v/>
      </c>
      <c r="DM2405" s="64">
        <f>$K2405-$K2406</f>
        <v/>
      </c>
      <c r="DN2405" s="65">
        <f>IFERROR($N2405/$N2406-1,"")</f>
        <v/>
      </c>
      <c r="DO2405" s="65">
        <f>IFERROR($M2405/$M2406-1,"")</f>
        <v/>
      </c>
      <c r="DP2405" s="65">
        <f>IFERROR($AZ2405/$AZ2406-1,"")</f>
        <v/>
      </c>
      <c r="DQ2405" s="65">
        <f>IFERROR($BA2405/$BA2406-1,"")</f>
        <v/>
      </c>
      <c r="DR2405" s="64">
        <f>$O2405-$O2406</f>
        <v/>
      </c>
      <c r="DS2405" s="64">
        <f>$P2405-$P2406</f>
        <v/>
      </c>
      <c r="DT2405" s="64">
        <f>$Q2405-$Q2406</f>
        <v/>
      </c>
      <c r="DU2405" s="64">
        <f>$S2405-$S2406</f>
        <v/>
      </c>
      <c r="DV2405" s="65">
        <f>IFERROR(AVERAGE($AA2406/$AA2405-1,$AB2406/$AB2405-1,$AC2406/$AC2405-1,$AD2406/$AD2405-1,$AE2406/$AE2405-1,$AG2406/$AG2405-1,$AH2406/$AH2405-1,$AI2406/$AI2405-1,$AJ2406/$AJ2405-1,$AL2406/$AL2405-1,$AM2406/$AM2405-1,$AR2406/$AR2405-1,$AS2406/$AS2405-1,$AT2406/$AT2405-1,$AU2406/$AU2405-1,$AV2406/$AV2405-1,$AW2406/$AW2405-1,$AX2406/$AX2405-1,$AY2406/$AY2405-1),"")</f>
        <v/>
      </c>
      <c r="DW2405" s="66">
        <f>AVERAGE($CB2405,$CC2405,$CD2405,$CE2405,$CF2405,$CG2405,$CH2405,$CI2405,$CJ2405,$CL2405,$CM2405,$CN2405,$CO2405,$CP2405,$CQ2405,$CR2405,$CS2405,$CT2405)</f>
        <v/>
      </c>
      <c r="DX2405" s="66">
        <f>AVERAGE($CB2405,$CC2405,$CM2405,$CE2405,$CP2405)</f>
        <v/>
      </c>
      <c r="DY2405" s="64">
        <f>($DW2405-$DW2406)*100</f>
        <v/>
      </c>
      <c r="DZ2405" s="64">
        <f>($DX2405-$DX2406)*100</f>
        <v/>
      </c>
      <c r="EA2405" s="64">
        <f>($DW2405-$D2405)*100</f>
        <v/>
      </c>
      <c r="EB2405" s="64">
        <f>$Q2405-$O2405</f>
        <v/>
      </c>
      <c r="EC2405" s="67">
        <f>IFERROR($Q2405/$P2405,"")</f>
        <v/>
      </c>
    </row>
    <row r="2406">
      <c r="DG2406" s="64">
        <f>($B2406-$B2407)*100</f>
        <v/>
      </c>
      <c r="DH2406" s="64">
        <f>($D2406-$D2407)*100</f>
        <v/>
      </c>
      <c r="DI2406" s="64">
        <f>($E2406-$E2407)*100</f>
        <v/>
      </c>
      <c r="DJ2406" s="64">
        <f>($H2406-$H2407)*100</f>
        <v/>
      </c>
      <c r="DK2406" s="65">
        <f>IFERROR($J2406/$J2407-1,"")</f>
        <v/>
      </c>
      <c r="DL2406" s="64">
        <f>$L2406-$L2407</f>
        <v/>
      </c>
      <c r="DM2406" s="64">
        <f>$K2406-$K2407</f>
        <v/>
      </c>
      <c r="DN2406" s="65">
        <f>IFERROR($N2406/$N2407-1,"")</f>
        <v/>
      </c>
      <c r="DO2406" s="65">
        <f>IFERROR($M2406/$M2407-1,"")</f>
        <v/>
      </c>
      <c r="DP2406" s="65">
        <f>IFERROR($AZ2406/$AZ2407-1,"")</f>
        <v/>
      </c>
      <c r="DQ2406" s="65">
        <f>IFERROR($BA2406/$BA2407-1,"")</f>
        <v/>
      </c>
      <c r="DR2406" s="64">
        <f>$O2406-$O2407</f>
        <v/>
      </c>
      <c r="DS2406" s="64">
        <f>$P2406-$P2407</f>
        <v/>
      </c>
      <c r="DT2406" s="64">
        <f>$Q2406-$Q2407</f>
        <v/>
      </c>
      <c r="DU2406" s="64">
        <f>$S2406-$S2407</f>
        <v/>
      </c>
      <c r="DV2406" s="65">
        <f>IFERROR(AVERAGE($AA2407/$AA2406-1,$AB2407/$AB2406-1,$AC2407/$AC2406-1,$AD2407/$AD2406-1,$AE2407/$AE2406-1,$AG2407/$AG2406-1,$AH2407/$AH2406-1,$AI2407/$AI2406-1,$AJ2407/$AJ2406-1,$AL2407/$AL2406-1,$AM2407/$AM2406-1,$AR2407/$AR2406-1,$AS2407/$AS2406-1,$AT2407/$AT2406-1,$AU2407/$AU2406-1,$AV2407/$AV2406-1,$AW2407/$AW2406-1,$AX2407/$AX2406-1,$AY2407/$AY2406-1),"")</f>
        <v/>
      </c>
      <c r="DW2406" s="66">
        <f>AVERAGE($CB2406,$CC2406,$CD2406,$CE2406,$CF2406,$CG2406,$CH2406,$CI2406,$CJ2406,$CL2406,$CM2406,$CN2406,$CO2406,$CP2406,$CQ2406,$CR2406,$CS2406,$CT2406)</f>
        <v/>
      </c>
      <c r="DX2406" s="66">
        <f>AVERAGE($CB2406,$CC2406,$CM2406,$CE2406,$CP2406)</f>
        <v/>
      </c>
      <c r="DY2406" s="64">
        <f>($DW2406-$DW2407)*100</f>
        <v/>
      </c>
      <c r="DZ2406" s="64">
        <f>($DX2406-$DX2407)*100</f>
        <v/>
      </c>
      <c r="EA2406" s="64">
        <f>($DW2406-$D2406)*100</f>
        <v/>
      </c>
      <c r="EB2406" s="64">
        <f>$Q2406-$O2406</f>
        <v/>
      </c>
      <c r="EC2406" s="67">
        <f>IFERROR($Q2406/$P2406,"")</f>
        <v/>
      </c>
    </row>
    <row r="2407">
      <c r="DG2407" s="64">
        <f>($B2407-$B2408)*100</f>
        <v/>
      </c>
      <c r="DH2407" s="64">
        <f>($D2407-$D2408)*100</f>
        <v/>
      </c>
      <c r="DI2407" s="64">
        <f>($E2407-$E2408)*100</f>
        <v/>
      </c>
      <c r="DJ2407" s="64">
        <f>($H2407-$H2408)*100</f>
        <v/>
      </c>
      <c r="DK2407" s="65">
        <f>IFERROR($J2407/$J2408-1,"")</f>
        <v/>
      </c>
      <c r="DL2407" s="64">
        <f>$L2407-$L2408</f>
        <v/>
      </c>
      <c r="DM2407" s="64">
        <f>$K2407-$K2408</f>
        <v/>
      </c>
      <c r="DN2407" s="65">
        <f>IFERROR($N2407/$N2408-1,"")</f>
        <v/>
      </c>
      <c r="DO2407" s="65">
        <f>IFERROR($M2407/$M2408-1,"")</f>
        <v/>
      </c>
      <c r="DP2407" s="65">
        <f>IFERROR($AZ2407/$AZ2408-1,"")</f>
        <v/>
      </c>
      <c r="DQ2407" s="65">
        <f>IFERROR($BA2407/$BA2408-1,"")</f>
        <v/>
      </c>
      <c r="DR2407" s="64">
        <f>$O2407-$O2408</f>
        <v/>
      </c>
      <c r="DS2407" s="64">
        <f>$P2407-$P2408</f>
        <v/>
      </c>
      <c r="DT2407" s="64">
        <f>$Q2407-$Q2408</f>
        <v/>
      </c>
      <c r="DU2407" s="64">
        <f>$S2407-$S2408</f>
        <v/>
      </c>
      <c r="DV2407" s="65">
        <f>IFERROR(AVERAGE($AA2408/$AA2407-1,$AB2408/$AB2407-1,$AC2408/$AC2407-1,$AD2408/$AD2407-1,$AE2408/$AE2407-1,$AG2408/$AG2407-1,$AH2408/$AH2407-1,$AI2408/$AI2407-1,$AJ2408/$AJ2407-1,$AL2408/$AL2407-1,$AM2408/$AM2407-1,$AR2408/$AR2407-1,$AS2408/$AS2407-1,$AT2408/$AT2407-1,$AU2408/$AU2407-1,$AV2408/$AV2407-1,$AW2408/$AW2407-1,$AX2408/$AX2407-1,$AY2408/$AY2407-1),"")</f>
        <v/>
      </c>
      <c r="DW2407" s="66">
        <f>AVERAGE($CB2407,$CC2407,$CD2407,$CE2407,$CF2407,$CG2407,$CH2407,$CI2407,$CJ2407,$CL2407,$CM2407,$CN2407,$CO2407,$CP2407,$CQ2407,$CR2407,$CS2407,$CT2407)</f>
        <v/>
      </c>
      <c r="DX2407" s="66">
        <f>AVERAGE($CB2407,$CC2407,$CM2407,$CE2407,$CP2407)</f>
        <v/>
      </c>
      <c r="DY2407" s="64">
        <f>($DW2407-$DW2408)*100</f>
        <v/>
      </c>
      <c r="DZ2407" s="64">
        <f>($DX2407-$DX2408)*100</f>
        <v/>
      </c>
      <c r="EA2407" s="64">
        <f>($DW2407-$D2407)*100</f>
        <v/>
      </c>
      <c r="EB2407" s="64">
        <f>$Q2407-$O2407</f>
        <v/>
      </c>
      <c r="EC2407" s="67">
        <f>IFERROR($Q2407/$P2407,"")</f>
        <v/>
      </c>
    </row>
    <row r="2408">
      <c r="DG2408" s="64">
        <f>($B2408-$B2409)*100</f>
        <v/>
      </c>
      <c r="DH2408" s="64">
        <f>($D2408-$D2409)*100</f>
        <v/>
      </c>
      <c r="DI2408" s="64">
        <f>($E2408-$E2409)*100</f>
        <v/>
      </c>
      <c r="DJ2408" s="64">
        <f>($H2408-$H2409)*100</f>
        <v/>
      </c>
      <c r="DK2408" s="65">
        <f>IFERROR($J2408/$J2409-1,"")</f>
        <v/>
      </c>
      <c r="DL2408" s="64">
        <f>$L2408-$L2409</f>
        <v/>
      </c>
      <c r="DM2408" s="64">
        <f>$K2408-$K2409</f>
        <v/>
      </c>
      <c r="DN2408" s="65">
        <f>IFERROR($N2408/$N2409-1,"")</f>
        <v/>
      </c>
      <c r="DO2408" s="65">
        <f>IFERROR($M2408/$M2409-1,"")</f>
        <v/>
      </c>
      <c r="DP2408" s="65">
        <f>IFERROR($AZ2408/$AZ2409-1,"")</f>
        <v/>
      </c>
      <c r="DQ2408" s="65">
        <f>IFERROR($BA2408/$BA2409-1,"")</f>
        <v/>
      </c>
      <c r="DR2408" s="64">
        <f>$O2408-$O2409</f>
        <v/>
      </c>
      <c r="DS2408" s="64">
        <f>$P2408-$P2409</f>
        <v/>
      </c>
      <c r="DT2408" s="64">
        <f>$Q2408-$Q2409</f>
        <v/>
      </c>
      <c r="DU2408" s="64">
        <f>$S2408-$S2409</f>
        <v/>
      </c>
      <c r="DV2408" s="65">
        <f>IFERROR(AVERAGE($AA2409/$AA2408-1,$AB2409/$AB2408-1,$AC2409/$AC2408-1,$AD2409/$AD2408-1,$AE2409/$AE2408-1,$AG2409/$AG2408-1,$AH2409/$AH2408-1,$AI2409/$AI2408-1,$AJ2409/$AJ2408-1,$AL2409/$AL2408-1,$AM2409/$AM2408-1,$AR2409/$AR2408-1,$AS2409/$AS2408-1,$AT2409/$AT2408-1,$AU2409/$AU2408-1,$AV2409/$AV2408-1,$AW2409/$AW2408-1,$AX2409/$AX2408-1,$AY2409/$AY2408-1),"")</f>
        <v/>
      </c>
      <c r="DW2408" s="66">
        <f>AVERAGE($CB2408,$CC2408,$CD2408,$CE2408,$CF2408,$CG2408,$CH2408,$CI2408,$CJ2408,$CL2408,$CM2408,$CN2408,$CO2408,$CP2408,$CQ2408,$CR2408,$CS2408,$CT2408)</f>
        <v/>
      </c>
      <c r="DX2408" s="66">
        <f>AVERAGE($CB2408,$CC2408,$CM2408,$CE2408,$CP2408)</f>
        <v/>
      </c>
      <c r="DY2408" s="64">
        <f>($DW2408-$DW2409)*100</f>
        <v/>
      </c>
      <c r="DZ2408" s="64">
        <f>($DX2408-$DX2409)*100</f>
        <v/>
      </c>
      <c r="EA2408" s="64">
        <f>($DW2408-$D2408)*100</f>
        <v/>
      </c>
      <c r="EB2408" s="64">
        <f>$Q2408-$O2408</f>
        <v/>
      </c>
      <c r="EC2408" s="67">
        <f>IFERROR($Q2408/$P2408,"")</f>
        <v/>
      </c>
    </row>
    <row r="2409">
      <c r="DG2409" s="64">
        <f>($B2409-$B2410)*100</f>
        <v/>
      </c>
      <c r="DH2409" s="64">
        <f>($D2409-$D2410)*100</f>
        <v/>
      </c>
      <c r="DI2409" s="64">
        <f>($E2409-$E2410)*100</f>
        <v/>
      </c>
      <c r="DJ2409" s="64">
        <f>($H2409-$H2410)*100</f>
        <v/>
      </c>
      <c r="DK2409" s="65">
        <f>IFERROR($J2409/$J2410-1,"")</f>
        <v/>
      </c>
      <c r="DL2409" s="64">
        <f>$L2409-$L2410</f>
        <v/>
      </c>
      <c r="DM2409" s="64">
        <f>$K2409-$K2410</f>
        <v/>
      </c>
      <c r="DN2409" s="65">
        <f>IFERROR($N2409/$N2410-1,"")</f>
        <v/>
      </c>
      <c r="DO2409" s="65">
        <f>IFERROR($M2409/$M2410-1,"")</f>
        <v/>
      </c>
      <c r="DP2409" s="65">
        <f>IFERROR($AZ2409/$AZ2410-1,"")</f>
        <v/>
      </c>
      <c r="DQ2409" s="65">
        <f>IFERROR($BA2409/$BA2410-1,"")</f>
        <v/>
      </c>
      <c r="DR2409" s="64">
        <f>$O2409-$O2410</f>
        <v/>
      </c>
      <c r="DS2409" s="64">
        <f>$P2409-$P2410</f>
        <v/>
      </c>
      <c r="DT2409" s="64">
        <f>$Q2409-$Q2410</f>
        <v/>
      </c>
      <c r="DU2409" s="64">
        <f>$S2409-$S2410</f>
        <v/>
      </c>
      <c r="DV2409" s="65">
        <f>IFERROR(AVERAGE($AA2410/$AA2409-1,$AB2410/$AB2409-1,$AC2410/$AC2409-1,$AD2410/$AD2409-1,$AE2410/$AE2409-1,$AG2410/$AG2409-1,$AH2410/$AH2409-1,$AI2410/$AI2409-1,$AJ2410/$AJ2409-1,$AL2410/$AL2409-1,$AM2410/$AM2409-1,$AR2410/$AR2409-1,$AS2410/$AS2409-1,$AT2410/$AT2409-1,$AU2410/$AU2409-1,$AV2410/$AV2409-1,$AW2410/$AW2409-1,$AX2410/$AX2409-1,$AY2410/$AY2409-1),"")</f>
        <v/>
      </c>
      <c r="DW2409" s="66">
        <f>AVERAGE($CB2409,$CC2409,$CD2409,$CE2409,$CF2409,$CG2409,$CH2409,$CI2409,$CJ2409,$CL2409,$CM2409,$CN2409,$CO2409,$CP2409,$CQ2409,$CR2409,$CS2409,$CT2409)</f>
        <v/>
      </c>
      <c r="DX2409" s="66">
        <f>AVERAGE($CB2409,$CC2409,$CM2409,$CE2409,$CP2409)</f>
        <v/>
      </c>
      <c r="DY2409" s="64">
        <f>($DW2409-$DW2410)*100</f>
        <v/>
      </c>
      <c r="DZ2409" s="64">
        <f>($DX2409-$DX2410)*100</f>
        <v/>
      </c>
      <c r="EA2409" s="64">
        <f>($DW2409-$D2409)*100</f>
        <v/>
      </c>
      <c r="EB2409" s="64">
        <f>$Q2409-$O2409</f>
        <v/>
      </c>
      <c r="EC2409" s="67">
        <f>IFERROR($Q2409/$P2409,"")</f>
        <v/>
      </c>
    </row>
    <row r="2410">
      <c r="DG2410" s="64">
        <f>($B2410-$B2411)*100</f>
        <v/>
      </c>
      <c r="DH2410" s="64">
        <f>($D2410-$D2411)*100</f>
        <v/>
      </c>
      <c r="DI2410" s="64">
        <f>($E2410-$E2411)*100</f>
        <v/>
      </c>
      <c r="DJ2410" s="64">
        <f>($H2410-$H2411)*100</f>
        <v/>
      </c>
      <c r="DK2410" s="65">
        <f>IFERROR($J2410/$J2411-1,"")</f>
        <v/>
      </c>
      <c r="DL2410" s="64">
        <f>$L2410-$L2411</f>
        <v/>
      </c>
      <c r="DM2410" s="64">
        <f>$K2410-$K2411</f>
        <v/>
      </c>
      <c r="DN2410" s="65">
        <f>IFERROR($N2410/$N2411-1,"")</f>
        <v/>
      </c>
      <c r="DO2410" s="65">
        <f>IFERROR($M2410/$M2411-1,"")</f>
        <v/>
      </c>
      <c r="DP2410" s="65">
        <f>IFERROR($AZ2410/$AZ2411-1,"")</f>
        <v/>
      </c>
      <c r="DQ2410" s="65">
        <f>IFERROR($BA2410/$BA2411-1,"")</f>
        <v/>
      </c>
      <c r="DR2410" s="64">
        <f>$O2410-$O2411</f>
        <v/>
      </c>
      <c r="DS2410" s="64">
        <f>$P2410-$P2411</f>
        <v/>
      </c>
      <c r="DT2410" s="64">
        <f>$Q2410-$Q2411</f>
        <v/>
      </c>
      <c r="DU2410" s="64">
        <f>$S2410-$S2411</f>
        <v/>
      </c>
      <c r="DV2410" s="65">
        <f>IFERROR(AVERAGE($AA2411/$AA2410-1,$AB2411/$AB2410-1,$AC2411/$AC2410-1,$AD2411/$AD2410-1,$AE2411/$AE2410-1,$AG2411/$AG2410-1,$AH2411/$AH2410-1,$AI2411/$AI2410-1,$AJ2411/$AJ2410-1,$AL2411/$AL2410-1,$AM2411/$AM2410-1,$AR2411/$AR2410-1,$AS2411/$AS2410-1,$AT2411/$AT2410-1,$AU2411/$AU2410-1,$AV2411/$AV2410-1,$AW2411/$AW2410-1,$AX2411/$AX2410-1,$AY2411/$AY2410-1),"")</f>
        <v/>
      </c>
      <c r="DW2410" s="66">
        <f>AVERAGE($CB2410,$CC2410,$CD2410,$CE2410,$CF2410,$CG2410,$CH2410,$CI2410,$CJ2410,$CL2410,$CM2410,$CN2410,$CO2410,$CP2410,$CQ2410,$CR2410,$CS2410,$CT2410)</f>
        <v/>
      </c>
      <c r="DX2410" s="66">
        <f>AVERAGE($CB2410,$CC2410,$CM2410,$CE2410,$CP2410)</f>
        <v/>
      </c>
      <c r="DY2410" s="64">
        <f>($DW2410-$DW2411)*100</f>
        <v/>
      </c>
      <c r="DZ2410" s="64">
        <f>($DX2410-$DX2411)*100</f>
        <v/>
      </c>
      <c r="EA2410" s="64">
        <f>($DW2410-$D2410)*100</f>
        <v/>
      </c>
      <c r="EB2410" s="64">
        <f>$Q2410-$O2410</f>
        <v/>
      </c>
      <c r="EC2410" s="67">
        <f>IFERROR($Q2410/$P2410,"")</f>
        <v/>
      </c>
    </row>
    <row r="2411">
      <c r="DG2411" s="64">
        <f>($B2411-$B2412)*100</f>
        <v/>
      </c>
      <c r="DH2411" s="64">
        <f>($D2411-$D2412)*100</f>
        <v/>
      </c>
      <c r="DI2411" s="64">
        <f>($E2411-$E2412)*100</f>
        <v/>
      </c>
      <c r="DJ2411" s="64">
        <f>($H2411-$H2412)*100</f>
        <v/>
      </c>
      <c r="DK2411" s="65">
        <f>IFERROR($J2411/$J2412-1,"")</f>
        <v/>
      </c>
      <c r="DL2411" s="64">
        <f>$L2411-$L2412</f>
        <v/>
      </c>
      <c r="DM2411" s="64">
        <f>$K2411-$K2412</f>
        <v/>
      </c>
      <c r="DN2411" s="65">
        <f>IFERROR($N2411/$N2412-1,"")</f>
        <v/>
      </c>
      <c r="DO2411" s="65">
        <f>IFERROR($M2411/$M2412-1,"")</f>
        <v/>
      </c>
      <c r="DP2411" s="65">
        <f>IFERROR($AZ2411/$AZ2412-1,"")</f>
        <v/>
      </c>
      <c r="DQ2411" s="65">
        <f>IFERROR($BA2411/$BA2412-1,"")</f>
        <v/>
      </c>
      <c r="DR2411" s="64">
        <f>$O2411-$O2412</f>
        <v/>
      </c>
      <c r="DS2411" s="64">
        <f>$P2411-$P2412</f>
        <v/>
      </c>
      <c r="DT2411" s="64">
        <f>$Q2411-$Q2412</f>
        <v/>
      </c>
      <c r="DU2411" s="64">
        <f>$S2411-$S2412</f>
        <v/>
      </c>
      <c r="DV2411" s="65">
        <f>IFERROR(AVERAGE($AA2412/$AA2411-1,$AB2412/$AB2411-1,$AC2412/$AC2411-1,$AD2412/$AD2411-1,$AE2412/$AE2411-1,$AG2412/$AG2411-1,$AH2412/$AH2411-1,$AI2412/$AI2411-1,$AJ2412/$AJ2411-1,$AL2412/$AL2411-1,$AM2412/$AM2411-1,$AR2412/$AR2411-1,$AS2412/$AS2411-1,$AT2412/$AT2411-1,$AU2412/$AU2411-1,$AV2412/$AV2411-1,$AW2412/$AW2411-1,$AX2412/$AX2411-1,$AY2412/$AY2411-1),"")</f>
        <v/>
      </c>
      <c r="DW2411" s="66">
        <f>AVERAGE($CB2411,$CC2411,$CD2411,$CE2411,$CF2411,$CG2411,$CH2411,$CI2411,$CJ2411,$CL2411,$CM2411,$CN2411,$CO2411,$CP2411,$CQ2411,$CR2411,$CS2411,$CT2411)</f>
        <v/>
      </c>
      <c r="DX2411" s="66">
        <f>AVERAGE($CB2411,$CC2411,$CM2411,$CE2411,$CP2411)</f>
        <v/>
      </c>
      <c r="DY2411" s="64">
        <f>($DW2411-$DW2412)*100</f>
        <v/>
      </c>
      <c r="DZ2411" s="64">
        <f>($DX2411-$DX2412)*100</f>
        <v/>
      </c>
      <c r="EA2411" s="64">
        <f>($DW2411-$D2411)*100</f>
        <v/>
      </c>
      <c r="EB2411" s="64">
        <f>$Q2411-$O2411</f>
        <v/>
      </c>
      <c r="EC2411" s="67">
        <f>IFERROR($Q2411/$P2411,"")</f>
        <v/>
      </c>
    </row>
    <row r="2412">
      <c r="DG2412" s="64">
        <f>($B2412-$B2413)*100</f>
        <v/>
      </c>
      <c r="DH2412" s="64">
        <f>($D2412-$D2413)*100</f>
        <v/>
      </c>
      <c r="DI2412" s="64">
        <f>($E2412-$E2413)*100</f>
        <v/>
      </c>
      <c r="DJ2412" s="64">
        <f>($H2412-$H2413)*100</f>
        <v/>
      </c>
      <c r="DK2412" s="65">
        <f>IFERROR($J2412/$J2413-1,"")</f>
        <v/>
      </c>
      <c r="DL2412" s="64">
        <f>$L2412-$L2413</f>
        <v/>
      </c>
      <c r="DM2412" s="64">
        <f>$K2412-$K2413</f>
        <v/>
      </c>
      <c r="DN2412" s="65">
        <f>IFERROR($N2412/$N2413-1,"")</f>
        <v/>
      </c>
      <c r="DO2412" s="65">
        <f>IFERROR($M2412/$M2413-1,"")</f>
        <v/>
      </c>
      <c r="DP2412" s="65">
        <f>IFERROR($AZ2412/$AZ2413-1,"")</f>
        <v/>
      </c>
      <c r="DQ2412" s="65">
        <f>IFERROR($BA2412/$BA2413-1,"")</f>
        <v/>
      </c>
      <c r="DR2412" s="64">
        <f>$O2412-$O2413</f>
        <v/>
      </c>
      <c r="DS2412" s="64">
        <f>$P2412-$P2413</f>
        <v/>
      </c>
      <c r="DT2412" s="64">
        <f>$Q2412-$Q2413</f>
        <v/>
      </c>
      <c r="DU2412" s="64">
        <f>$S2412-$S2413</f>
        <v/>
      </c>
      <c r="DV2412" s="65">
        <f>IFERROR(AVERAGE($AA2413/$AA2412-1,$AB2413/$AB2412-1,$AC2413/$AC2412-1,$AD2413/$AD2412-1,$AE2413/$AE2412-1,$AG2413/$AG2412-1,$AH2413/$AH2412-1,$AI2413/$AI2412-1,$AJ2413/$AJ2412-1,$AL2413/$AL2412-1,$AM2413/$AM2412-1,$AR2413/$AR2412-1,$AS2413/$AS2412-1,$AT2413/$AT2412-1,$AU2413/$AU2412-1,$AV2413/$AV2412-1,$AW2413/$AW2412-1,$AX2413/$AX2412-1,$AY2413/$AY2412-1),"")</f>
        <v/>
      </c>
      <c r="DW2412" s="66">
        <f>AVERAGE($CB2412,$CC2412,$CD2412,$CE2412,$CF2412,$CG2412,$CH2412,$CI2412,$CJ2412,$CL2412,$CM2412,$CN2412,$CO2412,$CP2412,$CQ2412,$CR2412,$CS2412,$CT2412)</f>
        <v/>
      </c>
      <c r="DX2412" s="66">
        <f>AVERAGE($CB2412,$CC2412,$CM2412,$CE2412,$CP2412)</f>
        <v/>
      </c>
      <c r="DY2412" s="64">
        <f>($DW2412-$DW2413)*100</f>
        <v/>
      </c>
      <c r="DZ2412" s="64">
        <f>($DX2412-$DX2413)*100</f>
        <v/>
      </c>
      <c r="EA2412" s="64">
        <f>($DW2412-$D2412)*100</f>
        <v/>
      </c>
      <c r="EB2412" s="64">
        <f>$Q2412-$O2412</f>
        <v/>
      </c>
      <c r="EC2412" s="67">
        <f>IFERROR($Q2412/$P2412,"")</f>
        <v/>
      </c>
    </row>
    <row r="2413">
      <c r="DG2413" s="64">
        <f>($B2413-$B2414)*100</f>
        <v/>
      </c>
      <c r="DH2413" s="64">
        <f>($D2413-$D2414)*100</f>
        <v/>
      </c>
      <c r="DI2413" s="64">
        <f>($E2413-$E2414)*100</f>
        <v/>
      </c>
      <c r="DJ2413" s="64">
        <f>($H2413-$H2414)*100</f>
        <v/>
      </c>
      <c r="DK2413" s="65">
        <f>IFERROR($J2413/$J2414-1,"")</f>
        <v/>
      </c>
      <c r="DL2413" s="64">
        <f>$L2413-$L2414</f>
        <v/>
      </c>
      <c r="DM2413" s="64">
        <f>$K2413-$K2414</f>
        <v/>
      </c>
      <c r="DN2413" s="65">
        <f>IFERROR($N2413/$N2414-1,"")</f>
        <v/>
      </c>
      <c r="DO2413" s="65">
        <f>IFERROR($M2413/$M2414-1,"")</f>
        <v/>
      </c>
      <c r="DP2413" s="65">
        <f>IFERROR($AZ2413/$AZ2414-1,"")</f>
        <v/>
      </c>
      <c r="DQ2413" s="65">
        <f>IFERROR($BA2413/$BA2414-1,"")</f>
        <v/>
      </c>
      <c r="DR2413" s="64">
        <f>$O2413-$O2414</f>
        <v/>
      </c>
      <c r="DS2413" s="64">
        <f>$P2413-$P2414</f>
        <v/>
      </c>
      <c r="DT2413" s="64">
        <f>$Q2413-$Q2414</f>
        <v/>
      </c>
      <c r="DU2413" s="64">
        <f>$S2413-$S2414</f>
        <v/>
      </c>
      <c r="DV2413" s="65">
        <f>IFERROR(AVERAGE($AA2414/$AA2413-1,$AB2414/$AB2413-1,$AC2414/$AC2413-1,$AD2414/$AD2413-1,$AE2414/$AE2413-1,$AG2414/$AG2413-1,$AH2414/$AH2413-1,$AI2414/$AI2413-1,$AJ2414/$AJ2413-1,$AL2414/$AL2413-1,$AM2414/$AM2413-1,$AR2414/$AR2413-1,$AS2414/$AS2413-1,$AT2414/$AT2413-1,$AU2414/$AU2413-1,$AV2414/$AV2413-1,$AW2414/$AW2413-1,$AX2414/$AX2413-1,$AY2414/$AY2413-1),"")</f>
        <v/>
      </c>
      <c r="DW2413" s="66">
        <f>AVERAGE($CB2413,$CC2413,$CD2413,$CE2413,$CF2413,$CG2413,$CH2413,$CI2413,$CJ2413,$CL2413,$CM2413,$CN2413,$CO2413,$CP2413,$CQ2413,$CR2413,$CS2413,$CT2413)</f>
        <v/>
      </c>
      <c r="DX2413" s="66">
        <f>AVERAGE($CB2413,$CC2413,$CM2413,$CE2413,$CP2413)</f>
        <v/>
      </c>
      <c r="DY2413" s="64">
        <f>($DW2413-$DW2414)*100</f>
        <v/>
      </c>
      <c r="DZ2413" s="64">
        <f>($DX2413-$DX2414)*100</f>
        <v/>
      </c>
      <c r="EA2413" s="64">
        <f>($DW2413-$D2413)*100</f>
        <v/>
      </c>
      <c r="EB2413" s="64">
        <f>$Q2413-$O2413</f>
        <v/>
      </c>
      <c r="EC2413" s="67">
        <f>IFERROR($Q2413/$P2413,"")</f>
        <v/>
      </c>
    </row>
    <row r="2414">
      <c r="DG2414" s="64">
        <f>($B2414-$B2415)*100</f>
        <v/>
      </c>
      <c r="DH2414" s="64">
        <f>($D2414-$D2415)*100</f>
        <v/>
      </c>
      <c r="DI2414" s="64">
        <f>($E2414-$E2415)*100</f>
        <v/>
      </c>
      <c r="DJ2414" s="64">
        <f>($H2414-$H2415)*100</f>
        <v/>
      </c>
      <c r="DK2414" s="65">
        <f>IFERROR($J2414/$J2415-1,"")</f>
        <v/>
      </c>
      <c r="DL2414" s="64">
        <f>$L2414-$L2415</f>
        <v/>
      </c>
      <c r="DM2414" s="64">
        <f>$K2414-$K2415</f>
        <v/>
      </c>
      <c r="DN2414" s="65">
        <f>IFERROR($N2414/$N2415-1,"")</f>
        <v/>
      </c>
      <c r="DO2414" s="65">
        <f>IFERROR($M2414/$M2415-1,"")</f>
        <v/>
      </c>
      <c r="DP2414" s="65">
        <f>IFERROR($AZ2414/$AZ2415-1,"")</f>
        <v/>
      </c>
      <c r="DQ2414" s="65">
        <f>IFERROR($BA2414/$BA2415-1,"")</f>
        <v/>
      </c>
      <c r="DR2414" s="64">
        <f>$O2414-$O2415</f>
        <v/>
      </c>
      <c r="DS2414" s="64">
        <f>$P2414-$P2415</f>
        <v/>
      </c>
      <c r="DT2414" s="64">
        <f>$Q2414-$Q2415</f>
        <v/>
      </c>
      <c r="DU2414" s="64">
        <f>$S2414-$S2415</f>
        <v/>
      </c>
      <c r="DV2414" s="65">
        <f>IFERROR(AVERAGE($AA2415/$AA2414-1,$AB2415/$AB2414-1,$AC2415/$AC2414-1,$AD2415/$AD2414-1,$AE2415/$AE2414-1,$AG2415/$AG2414-1,$AH2415/$AH2414-1,$AI2415/$AI2414-1,$AJ2415/$AJ2414-1,$AL2415/$AL2414-1,$AM2415/$AM2414-1,$AR2415/$AR2414-1,$AS2415/$AS2414-1,$AT2415/$AT2414-1,$AU2415/$AU2414-1,$AV2415/$AV2414-1,$AW2415/$AW2414-1,$AX2415/$AX2414-1,$AY2415/$AY2414-1),"")</f>
        <v/>
      </c>
      <c r="DW2414" s="66">
        <f>AVERAGE($CB2414,$CC2414,$CD2414,$CE2414,$CF2414,$CG2414,$CH2414,$CI2414,$CJ2414,$CL2414,$CM2414,$CN2414,$CO2414,$CP2414,$CQ2414,$CR2414,$CS2414,$CT2414)</f>
        <v/>
      </c>
      <c r="DX2414" s="66">
        <f>AVERAGE($CB2414,$CC2414,$CM2414,$CE2414,$CP2414)</f>
        <v/>
      </c>
      <c r="DY2414" s="64">
        <f>($DW2414-$DW2415)*100</f>
        <v/>
      </c>
      <c r="DZ2414" s="64">
        <f>($DX2414-$DX2415)*100</f>
        <v/>
      </c>
      <c r="EA2414" s="64">
        <f>($DW2414-$D2414)*100</f>
        <v/>
      </c>
      <c r="EB2414" s="64">
        <f>$Q2414-$O2414</f>
        <v/>
      </c>
      <c r="EC2414" s="67">
        <f>IFERROR($Q2414/$P2414,"")</f>
        <v/>
      </c>
    </row>
    <row r="2415">
      <c r="DG2415" s="64">
        <f>($B2415-$B2416)*100</f>
        <v/>
      </c>
      <c r="DH2415" s="64">
        <f>($D2415-$D2416)*100</f>
        <v/>
      </c>
      <c r="DI2415" s="64">
        <f>($E2415-$E2416)*100</f>
        <v/>
      </c>
      <c r="DJ2415" s="64">
        <f>($H2415-$H2416)*100</f>
        <v/>
      </c>
      <c r="DK2415" s="65">
        <f>IFERROR($J2415/$J2416-1,"")</f>
        <v/>
      </c>
      <c r="DL2415" s="64">
        <f>$L2415-$L2416</f>
        <v/>
      </c>
      <c r="DM2415" s="64">
        <f>$K2415-$K2416</f>
        <v/>
      </c>
      <c r="DN2415" s="65">
        <f>IFERROR($N2415/$N2416-1,"")</f>
        <v/>
      </c>
      <c r="DO2415" s="65">
        <f>IFERROR($M2415/$M2416-1,"")</f>
        <v/>
      </c>
      <c r="DP2415" s="65">
        <f>IFERROR($AZ2415/$AZ2416-1,"")</f>
        <v/>
      </c>
      <c r="DQ2415" s="65">
        <f>IFERROR($BA2415/$BA2416-1,"")</f>
        <v/>
      </c>
      <c r="DR2415" s="64">
        <f>$O2415-$O2416</f>
        <v/>
      </c>
      <c r="DS2415" s="64">
        <f>$P2415-$P2416</f>
        <v/>
      </c>
      <c r="DT2415" s="64">
        <f>$Q2415-$Q2416</f>
        <v/>
      </c>
      <c r="DU2415" s="64">
        <f>$S2415-$S2416</f>
        <v/>
      </c>
      <c r="DV2415" s="65">
        <f>IFERROR(AVERAGE($AA2416/$AA2415-1,$AB2416/$AB2415-1,$AC2416/$AC2415-1,$AD2416/$AD2415-1,$AE2416/$AE2415-1,$AG2416/$AG2415-1,$AH2416/$AH2415-1,$AI2416/$AI2415-1,$AJ2416/$AJ2415-1,$AL2416/$AL2415-1,$AM2416/$AM2415-1,$AR2416/$AR2415-1,$AS2416/$AS2415-1,$AT2416/$AT2415-1,$AU2416/$AU2415-1,$AV2416/$AV2415-1,$AW2416/$AW2415-1,$AX2416/$AX2415-1,$AY2416/$AY2415-1),"")</f>
        <v/>
      </c>
      <c r="DW2415" s="66">
        <f>AVERAGE($CB2415,$CC2415,$CD2415,$CE2415,$CF2415,$CG2415,$CH2415,$CI2415,$CJ2415,$CL2415,$CM2415,$CN2415,$CO2415,$CP2415,$CQ2415,$CR2415,$CS2415,$CT2415)</f>
        <v/>
      </c>
      <c r="DX2415" s="66">
        <f>AVERAGE($CB2415,$CC2415,$CM2415,$CE2415,$CP2415)</f>
        <v/>
      </c>
      <c r="DY2415" s="64">
        <f>($DW2415-$DW2416)*100</f>
        <v/>
      </c>
      <c r="DZ2415" s="64">
        <f>($DX2415-$DX2416)*100</f>
        <v/>
      </c>
      <c r="EA2415" s="64">
        <f>($DW2415-$D2415)*100</f>
        <v/>
      </c>
      <c r="EB2415" s="64">
        <f>$Q2415-$O2415</f>
        <v/>
      </c>
      <c r="EC2415" s="67">
        <f>IFERROR($Q2415/$P2415,"")</f>
        <v/>
      </c>
    </row>
    <row r="2416">
      <c r="DG2416" s="64">
        <f>($B2416-$B2417)*100</f>
        <v/>
      </c>
      <c r="DH2416" s="64">
        <f>($D2416-$D2417)*100</f>
        <v/>
      </c>
      <c r="DI2416" s="64">
        <f>($E2416-$E2417)*100</f>
        <v/>
      </c>
      <c r="DJ2416" s="64">
        <f>($H2416-$H2417)*100</f>
        <v/>
      </c>
      <c r="DK2416" s="65">
        <f>IFERROR($J2416/$J2417-1,"")</f>
        <v/>
      </c>
      <c r="DL2416" s="64">
        <f>$L2416-$L2417</f>
        <v/>
      </c>
      <c r="DM2416" s="64">
        <f>$K2416-$K2417</f>
        <v/>
      </c>
      <c r="DN2416" s="65">
        <f>IFERROR($N2416/$N2417-1,"")</f>
        <v/>
      </c>
      <c r="DO2416" s="65">
        <f>IFERROR($M2416/$M2417-1,"")</f>
        <v/>
      </c>
      <c r="DP2416" s="65">
        <f>IFERROR($AZ2416/$AZ2417-1,"")</f>
        <v/>
      </c>
      <c r="DQ2416" s="65">
        <f>IFERROR($BA2416/$BA2417-1,"")</f>
        <v/>
      </c>
      <c r="DR2416" s="64">
        <f>$O2416-$O2417</f>
        <v/>
      </c>
      <c r="DS2416" s="64">
        <f>$P2416-$P2417</f>
        <v/>
      </c>
      <c r="DT2416" s="64">
        <f>$Q2416-$Q2417</f>
        <v/>
      </c>
      <c r="DU2416" s="64">
        <f>$S2416-$S2417</f>
        <v/>
      </c>
      <c r="DV2416" s="65">
        <f>IFERROR(AVERAGE($AA2417/$AA2416-1,$AB2417/$AB2416-1,$AC2417/$AC2416-1,$AD2417/$AD2416-1,$AE2417/$AE2416-1,$AG2417/$AG2416-1,$AH2417/$AH2416-1,$AI2417/$AI2416-1,$AJ2417/$AJ2416-1,$AL2417/$AL2416-1,$AM2417/$AM2416-1,$AR2417/$AR2416-1,$AS2417/$AS2416-1,$AT2417/$AT2416-1,$AU2417/$AU2416-1,$AV2417/$AV2416-1,$AW2417/$AW2416-1,$AX2417/$AX2416-1,$AY2417/$AY2416-1),"")</f>
        <v/>
      </c>
      <c r="DW2416" s="66">
        <f>AVERAGE($CB2416,$CC2416,$CD2416,$CE2416,$CF2416,$CG2416,$CH2416,$CI2416,$CJ2416,$CL2416,$CM2416,$CN2416,$CO2416,$CP2416,$CQ2416,$CR2416,$CS2416,$CT2416)</f>
        <v/>
      </c>
      <c r="DX2416" s="66">
        <f>AVERAGE($CB2416,$CC2416,$CM2416,$CE2416,$CP2416)</f>
        <v/>
      </c>
      <c r="DY2416" s="64">
        <f>($DW2416-$DW2417)*100</f>
        <v/>
      </c>
      <c r="DZ2416" s="64">
        <f>($DX2416-$DX2417)*100</f>
        <v/>
      </c>
      <c r="EA2416" s="64">
        <f>($DW2416-$D2416)*100</f>
        <v/>
      </c>
      <c r="EB2416" s="64">
        <f>$Q2416-$O2416</f>
        <v/>
      </c>
      <c r="EC2416" s="67">
        <f>IFERROR($Q2416/$P2416,"")</f>
        <v/>
      </c>
    </row>
    <row r="2417">
      <c r="DG2417" s="64">
        <f>($B2417-$B2418)*100</f>
        <v/>
      </c>
      <c r="DH2417" s="64">
        <f>($D2417-$D2418)*100</f>
        <v/>
      </c>
      <c r="DI2417" s="64">
        <f>($E2417-$E2418)*100</f>
        <v/>
      </c>
      <c r="DJ2417" s="64">
        <f>($H2417-$H2418)*100</f>
        <v/>
      </c>
      <c r="DK2417" s="65">
        <f>IFERROR($J2417/$J2418-1,"")</f>
        <v/>
      </c>
      <c r="DL2417" s="64">
        <f>$L2417-$L2418</f>
        <v/>
      </c>
      <c r="DM2417" s="64">
        <f>$K2417-$K2418</f>
        <v/>
      </c>
      <c r="DN2417" s="65">
        <f>IFERROR($N2417/$N2418-1,"")</f>
        <v/>
      </c>
      <c r="DO2417" s="65">
        <f>IFERROR($M2417/$M2418-1,"")</f>
        <v/>
      </c>
      <c r="DP2417" s="65">
        <f>IFERROR($AZ2417/$AZ2418-1,"")</f>
        <v/>
      </c>
      <c r="DQ2417" s="65">
        <f>IFERROR($BA2417/$BA2418-1,"")</f>
        <v/>
      </c>
      <c r="DR2417" s="64">
        <f>$O2417-$O2418</f>
        <v/>
      </c>
      <c r="DS2417" s="64">
        <f>$P2417-$P2418</f>
        <v/>
      </c>
      <c r="DT2417" s="64">
        <f>$Q2417-$Q2418</f>
        <v/>
      </c>
      <c r="DU2417" s="64">
        <f>$S2417-$S2418</f>
        <v/>
      </c>
      <c r="DV2417" s="65">
        <f>IFERROR(AVERAGE($AA2418/$AA2417-1,$AB2418/$AB2417-1,$AC2418/$AC2417-1,$AD2418/$AD2417-1,$AE2418/$AE2417-1,$AG2418/$AG2417-1,$AH2418/$AH2417-1,$AI2418/$AI2417-1,$AJ2418/$AJ2417-1,$AL2418/$AL2417-1,$AM2418/$AM2417-1,$AR2418/$AR2417-1,$AS2418/$AS2417-1,$AT2418/$AT2417-1,$AU2418/$AU2417-1,$AV2418/$AV2417-1,$AW2418/$AW2417-1,$AX2418/$AX2417-1,$AY2418/$AY2417-1),"")</f>
        <v/>
      </c>
      <c r="DW2417" s="66">
        <f>AVERAGE($CB2417,$CC2417,$CD2417,$CE2417,$CF2417,$CG2417,$CH2417,$CI2417,$CJ2417,$CL2417,$CM2417,$CN2417,$CO2417,$CP2417,$CQ2417,$CR2417,$CS2417,$CT2417)</f>
        <v/>
      </c>
      <c r="DX2417" s="66">
        <f>AVERAGE($CB2417,$CC2417,$CM2417,$CE2417,$CP2417)</f>
        <v/>
      </c>
      <c r="DY2417" s="64">
        <f>($DW2417-$DW2418)*100</f>
        <v/>
      </c>
      <c r="DZ2417" s="64">
        <f>($DX2417-$DX2418)*100</f>
        <v/>
      </c>
      <c r="EA2417" s="64">
        <f>($DW2417-$D2417)*100</f>
        <v/>
      </c>
      <c r="EB2417" s="64">
        <f>$Q2417-$O2417</f>
        <v/>
      </c>
      <c r="EC2417" s="67">
        <f>IFERROR($Q2417/$P2417,"")</f>
        <v/>
      </c>
    </row>
    <row r="2418">
      <c r="DG2418" s="64">
        <f>($B2418-$B2419)*100</f>
        <v/>
      </c>
      <c r="DH2418" s="64">
        <f>($D2418-$D2419)*100</f>
        <v/>
      </c>
      <c r="DI2418" s="64">
        <f>($E2418-$E2419)*100</f>
        <v/>
      </c>
      <c r="DJ2418" s="64">
        <f>($H2418-$H2419)*100</f>
        <v/>
      </c>
      <c r="DK2418" s="65">
        <f>IFERROR($J2418/$J2419-1,"")</f>
        <v/>
      </c>
      <c r="DL2418" s="64">
        <f>$L2418-$L2419</f>
        <v/>
      </c>
      <c r="DM2418" s="64">
        <f>$K2418-$K2419</f>
        <v/>
      </c>
      <c r="DN2418" s="65">
        <f>IFERROR($N2418/$N2419-1,"")</f>
        <v/>
      </c>
      <c r="DO2418" s="65">
        <f>IFERROR($M2418/$M2419-1,"")</f>
        <v/>
      </c>
      <c r="DP2418" s="65">
        <f>IFERROR($AZ2418/$AZ2419-1,"")</f>
        <v/>
      </c>
      <c r="DQ2418" s="65">
        <f>IFERROR($BA2418/$BA2419-1,"")</f>
        <v/>
      </c>
      <c r="DR2418" s="64">
        <f>$O2418-$O2419</f>
        <v/>
      </c>
      <c r="DS2418" s="64">
        <f>$P2418-$P2419</f>
        <v/>
      </c>
      <c r="DT2418" s="64">
        <f>$Q2418-$Q2419</f>
        <v/>
      </c>
      <c r="DU2418" s="64">
        <f>$S2418-$S2419</f>
        <v/>
      </c>
      <c r="DV2418" s="65">
        <f>IFERROR(AVERAGE($AA2419/$AA2418-1,$AB2419/$AB2418-1,$AC2419/$AC2418-1,$AD2419/$AD2418-1,$AE2419/$AE2418-1,$AG2419/$AG2418-1,$AH2419/$AH2418-1,$AI2419/$AI2418-1,$AJ2419/$AJ2418-1,$AL2419/$AL2418-1,$AM2419/$AM2418-1,$AR2419/$AR2418-1,$AS2419/$AS2418-1,$AT2419/$AT2418-1,$AU2419/$AU2418-1,$AV2419/$AV2418-1,$AW2419/$AW2418-1,$AX2419/$AX2418-1,$AY2419/$AY2418-1),"")</f>
        <v/>
      </c>
      <c r="DW2418" s="66">
        <f>AVERAGE($CB2418,$CC2418,$CD2418,$CE2418,$CF2418,$CG2418,$CH2418,$CI2418,$CJ2418,$CL2418,$CM2418,$CN2418,$CO2418,$CP2418,$CQ2418,$CR2418,$CS2418,$CT2418)</f>
        <v/>
      </c>
      <c r="DX2418" s="66">
        <f>AVERAGE($CB2418,$CC2418,$CM2418,$CE2418,$CP2418)</f>
        <v/>
      </c>
      <c r="DY2418" s="64">
        <f>($DW2418-$DW2419)*100</f>
        <v/>
      </c>
      <c r="DZ2418" s="64">
        <f>($DX2418-$DX2419)*100</f>
        <v/>
      </c>
      <c r="EA2418" s="64">
        <f>($DW2418-$D2418)*100</f>
        <v/>
      </c>
      <c r="EB2418" s="64">
        <f>$Q2418-$O2418</f>
        <v/>
      </c>
      <c r="EC2418" s="67">
        <f>IFERROR($Q2418/$P2418,"")</f>
        <v/>
      </c>
    </row>
    <row r="2419">
      <c r="DG2419" s="64">
        <f>($B2419-$B2420)*100</f>
        <v/>
      </c>
      <c r="DH2419" s="64">
        <f>($D2419-$D2420)*100</f>
        <v/>
      </c>
      <c r="DI2419" s="64">
        <f>($E2419-$E2420)*100</f>
        <v/>
      </c>
      <c r="DJ2419" s="64">
        <f>($H2419-$H2420)*100</f>
        <v/>
      </c>
      <c r="DK2419" s="65">
        <f>IFERROR($J2419/$J2420-1,"")</f>
        <v/>
      </c>
      <c r="DL2419" s="64">
        <f>$L2419-$L2420</f>
        <v/>
      </c>
      <c r="DM2419" s="64">
        <f>$K2419-$K2420</f>
        <v/>
      </c>
      <c r="DN2419" s="65">
        <f>IFERROR($N2419/$N2420-1,"")</f>
        <v/>
      </c>
      <c r="DO2419" s="65">
        <f>IFERROR($M2419/$M2420-1,"")</f>
        <v/>
      </c>
      <c r="DP2419" s="65">
        <f>IFERROR($AZ2419/$AZ2420-1,"")</f>
        <v/>
      </c>
      <c r="DQ2419" s="65">
        <f>IFERROR($BA2419/$BA2420-1,"")</f>
        <v/>
      </c>
      <c r="DR2419" s="64">
        <f>$O2419-$O2420</f>
        <v/>
      </c>
      <c r="DS2419" s="64">
        <f>$P2419-$P2420</f>
        <v/>
      </c>
      <c r="DT2419" s="64">
        <f>$Q2419-$Q2420</f>
        <v/>
      </c>
      <c r="DU2419" s="64">
        <f>$S2419-$S2420</f>
        <v/>
      </c>
      <c r="DV2419" s="65">
        <f>IFERROR(AVERAGE($AA2420/$AA2419-1,$AB2420/$AB2419-1,$AC2420/$AC2419-1,$AD2420/$AD2419-1,$AE2420/$AE2419-1,$AG2420/$AG2419-1,$AH2420/$AH2419-1,$AI2420/$AI2419-1,$AJ2420/$AJ2419-1,$AL2420/$AL2419-1,$AM2420/$AM2419-1,$AR2420/$AR2419-1,$AS2420/$AS2419-1,$AT2420/$AT2419-1,$AU2420/$AU2419-1,$AV2420/$AV2419-1,$AW2420/$AW2419-1,$AX2420/$AX2419-1,$AY2420/$AY2419-1),"")</f>
        <v/>
      </c>
      <c r="DW2419" s="66">
        <f>AVERAGE($CB2419,$CC2419,$CD2419,$CE2419,$CF2419,$CG2419,$CH2419,$CI2419,$CJ2419,$CL2419,$CM2419,$CN2419,$CO2419,$CP2419,$CQ2419,$CR2419,$CS2419,$CT2419)</f>
        <v/>
      </c>
      <c r="DX2419" s="66">
        <f>AVERAGE($CB2419,$CC2419,$CM2419,$CE2419,$CP2419)</f>
        <v/>
      </c>
      <c r="DY2419" s="64">
        <f>($DW2419-$DW2420)*100</f>
        <v/>
      </c>
      <c r="DZ2419" s="64">
        <f>($DX2419-$DX2420)*100</f>
        <v/>
      </c>
      <c r="EA2419" s="64">
        <f>($DW2419-$D2419)*100</f>
        <v/>
      </c>
      <c r="EB2419" s="64">
        <f>$Q2419-$O2419</f>
        <v/>
      </c>
      <c r="EC2419" s="67">
        <f>IFERROR($Q2419/$P2419,"")</f>
        <v/>
      </c>
    </row>
    <row r="2420">
      <c r="DG2420" s="64">
        <f>($B2420-$B2421)*100</f>
        <v/>
      </c>
      <c r="DH2420" s="64">
        <f>($D2420-$D2421)*100</f>
        <v/>
      </c>
      <c r="DI2420" s="64">
        <f>($E2420-$E2421)*100</f>
        <v/>
      </c>
      <c r="DJ2420" s="64">
        <f>($H2420-$H2421)*100</f>
        <v/>
      </c>
      <c r="DK2420" s="65">
        <f>IFERROR($J2420/$J2421-1,"")</f>
        <v/>
      </c>
      <c r="DL2420" s="64">
        <f>$L2420-$L2421</f>
        <v/>
      </c>
      <c r="DM2420" s="64">
        <f>$K2420-$K2421</f>
        <v/>
      </c>
      <c r="DN2420" s="65">
        <f>IFERROR($N2420/$N2421-1,"")</f>
        <v/>
      </c>
      <c r="DO2420" s="65">
        <f>IFERROR($M2420/$M2421-1,"")</f>
        <v/>
      </c>
      <c r="DP2420" s="65">
        <f>IFERROR($AZ2420/$AZ2421-1,"")</f>
        <v/>
      </c>
      <c r="DQ2420" s="65">
        <f>IFERROR($BA2420/$BA2421-1,"")</f>
        <v/>
      </c>
      <c r="DR2420" s="64">
        <f>$O2420-$O2421</f>
        <v/>
      </c>
      <c r="DS2420" s="64">
        <f>$P2420-$P2421</f>
        <v/>
      </c>
      <c r="DT2420" s="64">
        <f>$Q2420-$Q2421</f>
        <v/>
      </c>
      <c r="DU2420" s="64">
        <f>$S2420-$S2421</f>
        <v/>
      </c>
      <c r="DV2420" s="65">
        <f>IFERROR(AVERAGE($AA2421/$AA2420-1,$AB2421/$AB2420-1,$AC2421/$AC2420-1,$AD2421/$AD2420-1,$AE2421/$AE2420-1,$AG2421/$AG2420-1,$AH2421/$AH2420-1,$AI2421/$AI2420-1,$AJ2421/$AJ2420-1,$AL2421/$AL2420-1,$AM2421/$AM2420-1,$AR2421/$AR2420-1,$AS2421/$AS2420-1,$AT2421/$AT2420-1,$AU2421/$AU2420-1,$AV2421/$AV2420-1,$AW2421/$AW2420-1,$AX2421/$AX2420-1,$AY2421/$AY2420-1),"")</f>
        <v/>
      </c>
      <c r="DW2420" s="66">
        <f>AVERAGE($CB2420,$CC2420,$CD2420,$CE2420,$CF2420,$CG2420,$CH2420,$CI2420,$CJ2420,$CL2420,$CM2420,$CN2420,$CO2420,$CP2420,$CQ2420,$CR2420,$CS2420,$CT2420)</f>
        <v/>
      </c>
      <c r="DX2420" s="66">
        <f>AVERAGE($CB2420,$CC2420,$CM2420,$CE2420,$CP2420)</f>
        <v/>
      </c>
      <c r="DY2420" s="64">
        <f>($DW2420-$DW2421)*100</f>
        <v/>
      </c>
      <c r="DZ2420" s="64">
        <f>($DX2420-$DX2421)*100</f>
        <v/>
      </c>
      <c r="EA2420" s="64">
        <f>($DW2420-$D2420)*100</f>
        <v/>
      </c>
      <c r="EB2420" s="64">
        <f>$Q2420-$O2420</f>
        <v/>
      </c>
      <c r="EC2420" s="67">
        <f>IFERROR($Q2420/$P2420,"")</f>
        <v/>
      </c>
    </row>
    <row r="2421">
      <c r="DG2421" s="64">
        <f>($B2421-$B2422)*100</f>
        <v/>
      </c>
      <c r="DH2421" s="64">
        <f>($D2421-$D2422)*100</f>
        <v/>
      </c>
      <c r="DI2421" s="64">
        <f>($E2421-$E2422)*100</f>
        <v/>
      </c>
      <c r="DJ2421" s="64">
        <f>($H2421-$H2422)*100</f>
        <v/>
      </c>
      <c r="DK2421" s="65">
        <f>IFERROR($J2421/$J2422-1,"")</f>
        <v/>
      </c>
      <c r="DL2421" s="64">
        <f>$L2421-$L2422</f>
        <v/>
      </c>
      <c r="DM2421" s="64">
        <f>$K2421-$K2422</f>
        <v/>
      </c>
      <c r="DN2421" s="65">
        <f>IFERROR($N2421/$N2422-1,"")</f>
        <v/>
      </c>
      <c r="DO2421" s="65">
        <f>IFERROR($M2421/$M2422-1,"")</f>
        <v/>
      </c>
      <c r="DP2421" s="65">
        <f>IFERROR($AZ2421/$AZ2422-1,"")</f>
        <v/>
      </c>
      <c r="DQ2421" s="65">
        <f>IFERROR($BA2421/$BA2422-1,"")</f>
        <v/>
      </c>
      <c r="DR2421" s="64">
        <f>$O2421-$O2422</f>
        <v/>
      </c>
      <c r="DS2421" s="64">
        <f>$P2421-$P2422</f>
        <v/>
      </c>
      <c r="DT2421" s="64">
        <f>$Q2421-$Q2422</f>
        <v/>
      </c>
      <c r="DU2421" s="64">
        <f>$S2421-$S2422</f>
        <v/>
      </c>
      <c r="DV2421" s="65">
        <f>IFERROR(AVERAGE($AA2422/$AA2421-1,$AB2422/$AB2421-1,$AC2422/$AC2421-1,$AD2422/$AD2421-1,$AE2422/$AE2421-1,$AG2422/$AG2421-1,$AH2422/$AH2421-1,$AI2422/$AI2421-1,$AJ2422/$AJ2421-1,$AL2422/$AL2421-1,$AM2422/$AM2421-1,$AR2422/$AR2421-1,$AS2422/$AS2421-1,$AT2422/$AT2421-1,$AU2422/$AU2421-1,$AV2422/$AV2421-1,$AW2422/$AW2421-1,$AX2422/$AX2421-1,$AY2422/$AY2421-1),"")</f>
        <v/>
      </c>
      <c r="DW2421" s="66">
        <f>AVERAGE($CB2421,$CC2421,$CD2421,$CE2421,$CF2421,$CG2421,$CH2421,$CI2421,$CJ2421,$CL2421,$CM2421,$CN2421,$CO2421,$CP2421,$CQ2421,$CR2421,$CS2421,$CT2421)</f>
        <v/>
      </c>
      <c r="DX2421" s="66">
        <f>AVERAGE($CB2421,$CC2421,$CM2421,$CE2421,$CP2421)</f>
        <v/>
      </c>
      <c r="DY2421" s="64">
        <f>($DW2421-$DW2422)*100</f>
        <v/>
      </c>
      <c r="DZ2421" s="64">
        <f>($DX2421-$DX2422)*100</f>
        <v/>
      </c>
      <c r="EA2421" s="64">
        <f>($DW2421-$D2421)*100</f>
        <v/>
      </c>
      <c r="EB2421" s="64">
        <f>$Q2421-$O2421</f>
        <v/>
      </c>
      <c r="EC2421" s="67">
        <f>IFERROR($Q2421/$P2421,"")</f>
        <v/>
      </c>
    </row>
    <row r="2422">
      <c r="DG2422" s="64">
        <f>($B2422-$B2423)*100</f>
        <v/>
      </c>
      <c r="DH2422" s="64">
        <f>($D2422-$D2423)*100</f>
        <v/>
      </c>
      <c r="DI2422" s="64">
        <f>($E2422-$E2423)*100</f>
        <v/>
      </c>
      <c r="DJ2422" s="64">
        <f>($H2422-$H2423)*100</f>
        <v/>
      </c>
      <c r="DK2422" s="65">
        <f>IFERROR($J2422/$J2423-1,"")</f>
        <v/>
      </c>
      <c r="DL2422" s="64">
        <f>$L2422-$L2423</f>
        <v/>
      </c>
      <c r="DM2422" s="64">
        <f>$K2422-$K2423</f>
        <v/>
      </c>
      <c r="DN2422" s="65">
        <f>IFERROR($N2422/$N2423-1,"")</f>
        <v/>
      </c>
      <c r="DO2422" s="65">
        <f>IFERROR($M2422/$M2423-1,"")</f>
        <v/>
      </c>
      <c r="DP2422" s="65">
        <f>IFERROR($AZ2422/$AZ2423-1,"")</f>
        <v/>
      </c>
      <c r="DQ2422" s="65">
        <f>IFERROR($BA2422/$BA2423-1,"")</f>
        <v/>
      </c>
      <c r="DR2422" s="64">
        <f>$O2422-$O2423</f>
        <v/>
      </c>
      <c r="DS2422" s="64">
        <f>$P2422-$P2423</f>
        <v/>
      </c>
      <c r="DT2422" s="64">
        <f>$Q2422-$Q2423</f>
        <v/>
      </c>
      <c r="DU2422" s="64">
        <f>$S2422-$S2423</f>
        <v/>
      </c>
      <c r="DV2422" s="65">
        <f>IFERROR(AVERAGE($AA2423/$AA2422-1,$AB2423/$AB2422-1,$AC2423/$AC2422-1,$AD2423/$AD2422-1,$AE2423/$AE2422-1,$AG2423/$AG2422-1,$AH2423/$AH2422-1,$AI2423/$AI2422-1,$AJ2423/$AJ2422-1,$AL2423/$AL2422-1,$AM2423/$AM2422-1,$AR2423/$AR2422-1,$AS2423/$AS2422-1,$AT2423/$AT2422-1,$AU2423/$AU2422-1,$AV2423/$AV2422-1,$AW2423/$AW2422-1,$AX2423/$AX2422-1,$AY2423/$AY2422-1),"")</f>
        <v/>
      </c>
      <c r="DW2422" s="66">
        <f>AVERAGE($CB2422,$CC2422,$CD2422,$CE2422,$CF2422,$CG2422,$CH2422,$CI2422,$CJ2422,$CL2422,$CM2422,$CN2422,$CO2422,$CP2422,$CQ2422,$CR2422,$CS2422,$CT2422)</f>
        <v/>
      </c>
      <c r="DX2422" s="66">
        <f>AVERAGE($CB2422,$CC2422,$CM2422,$CE2422,$CP2422)</f>
        <v/>
      </c>
      <c r="DY2422" s="64">
        <f>($DW2422-$DW2423)*100</f>
        <v/>
      </c>
      <c r="DZ2422" s="64">
        <f>($DX2422-$DX2423)*100</f>
        <v/>
      </c>
      <c r="EA2422" s="64">
        <f>($DW2422-$D2422)*100</f>
        <v/>
      </c>
      <c r="EB2422" s="64">
        <f>$Q2422-$O2422</f>
        <v/>
      </c>
      <c r="EC2422" s="67">
        <f>IFERROR($Q2422/$P2422,"")</f>
        <v/>
      </c>
    </row>
    <row r="2423">
      <c r="DG2423" s="64">
        <f>($B2423-$B2424)*100</f>
        <v/>
      </c>
      <c r="DH2423" s="64">
        <f>($D2423-$D2424)*100</f>
        <v/>
      </c>
      <c r="DI2423" s="64">
        <f>($E2423-$E2424)*100</f>
        <v/>
      </c>
      <c r="DJ2423" s="64">
        <f>($H2423-$H2424)*100</f>
        <v/>
      </c>
      <c r="DK2423" s="65">
        <f>IFERROR($J2423/$J2424-1,"")</f>
        <v/>
      </c>
      <c r="DL2423" s="64">
        <f>$L2423-$L2424</f>
        <v/>
      </c>
      <c r="DM2423" s="64">
        <f>$K2423-$K2424</f>
        <v/>
      </c>
      <c r="DN2423" s="65">
        <f>IFERROR($N2423/$N2424-1,"")</f>
        <v/>
      </c>
      <c r="DO2423" s="65">
        <f>IFERROR($M2423/$M2424-1,"")</f>
        <v/>
      </c>
      <c r="DP2423" s="65">
        <f>IFERROR($AZ2423/$AZ2424-1,"")</f>
        <v/>
      </c>
      <c r="DQ2423" s="65">
        <f>IFERROR($BA2423/$BA2424-1,"")</f>
        <v/>
      </c>
      <c r="DR2423" s="64">
        <f>$O2423-$O2424</f>
        <v/>
      </c>
      <c r="DS2423" s="64">
        <f>$P2423-$P2424</f>
        <v/>
      </c>
      <c r="DT2423" s="64">
        <f>$Q2423-$Q2424</f>
        <v/>
      </c>
      <c r="DU2423" s="64">
        <f>$S2423-$S2424</f>
        <v/>
      </c>
      <c r="DV2423" s="65">
        <f>IFERROR(AVERAGE($AA2424/$AA2423-1,$AB2424/$AB2423-1,$AC2424/$AC2423-1,$AD2424/$AD2423-1,$AE2424/$AE2423-1,$AG2424/$AG2423-1,$AH2424/$AH2423-1,$AI2424/$AI2423-1,$AJ2424/$AJ2423-1,$AL2424/$AL2423-1,$AM2424/$AM2423-1,$AR2424/$AR2423-1,$AS2424/$AS2423-1,$AT2424/$AT2423-1,$AU2424/$AU2423-1,$AV2424/$AV2423-1,$AW2424/$AW2423-1,$AX2424/$AX2423-1,$AY2424/$AY2423-1),"")</f>
        <v/>
      </c>
      <c r="DW2423" s="66">
        <f>AVERAGE($CB2423,$CC2423,$CD2423,$CE2423,$CF2423,$CG2423,$CH2423,$CI2423,$CJ2423,$CL2423,$CM2423,$CN2423,$CO2423,$CP2423,$CQ2423,$CR2423,$CS2423,$CT2423)</f>
        <v/>
      </c>
      <c r="DX2423" s="66">
        <f>AVERAGE($CB2423,$CC2423,$CM2423,$CE2423,$CP2423)</f>
        <v/>
      </c>
      <c r="DY2423" s="64">
        <f>($DW2423-$DW2424)*100</f>
        <v/>
      </c>
      <c r="DZ2423" s="64">
        <f>($DX2423-$DX2424)*100</f>
        <v/>
      </c>
      <c r="EA2423" s="64">
        <f>($DW2423-$D2423)*100</f>
        <v/>
      </c>
      <c r="EB2423" s="64">
        <f>$Q2423-$O2423</f>
        <v/>
      </c>
      <c r="EC2423" s="67">
        <f>IFERROR($Q2423/$P2423,"")</f>
        <v/>
      </c>
    </row>
    <row r="2424">
      <c r="DG2424" s="64">
        <f>($B2424-$B2425)*100</f>
        <v/>
      </c>
      <c r="DH2424" s="64">
        <f>($D2424-$D2425)*100</f>
        <v/>
      </c>
      <c r="DI2424" s="64">
        <f>($E2424-$E2425)*100</f>
        <v/>
      </c>
      <c r="DJ2424" s="64">
        <f>($H2424-$H2425)*100</f>
        <v/>
      </c>
      <c r="DK2424" s="65">
        <f>IFERROR($J2424/$J2425-1,"")</f>
        <v/>
      </c>
      <c r="DL2424" s="64">
        <f>$L2424-$L2425</f>
        <v/>
      </c>
      <c r="DM2424" s="64">
        <f>$K2424-$K2425</f>
        <v/>
      </c>
      <c r="DN2424" s="65">
        <f>IFERROR($N2424/$N2425-1,"")</f>
        <v/>
      </c>
      <c r="DO2424" s="65">
        <f>IFERROR($M2424/$M2425-1,"")</f>
        <v/>
      </c>
      <c r="DP2424" s="65">
        <f>IFERROR($AZ2424/$AZ2425-1,"")</f>
        <v/>
      </c>
      <c r="DQ2424" s="65">
        <f>IFERROR($BA2424/$BA2425-1,"")</f>
        <v/>
      </c>
      <c r="DR2424" s="64">
        <f>$O2424-$O2425</f>
        <v/>
      </c>
      <c r="DS2424" s="64">
        <f>$P2424-$P2425</f>
        <v/>
      </c>
      <c r="DT2424" s="64">
        <f>$Q2424-$Q2425</f>
        <v/>
      </c>
      <c r="DU2424" s="64">
        <f>$S2424-$S2425</f>
        <v/>
      </c>
      <c r="DV2424" s="65">
        <f>IFERROR(AVERAGE($AA2425/$AA2424-1,$AB2425/$AB2424-1,$AC2425/$AC2424-1,$AD2425/$AD2424-1,$AE2425/$AE2424-1,$AG2425/$AG2424-1,$AH2425/$AH2424-1,$AI2425/$AI2424-1,$AJ2425/$AJ2424-1,$AL2425/$AL2424-1,$AM2425/$AM2424-1,$AR2425/$AR2424-1,$AS2425/$AS2424-1,$AT2425/$AT2424-1,$AU2425/$AU2424-1,$AV2425/$AV2424-1,$AW2425/$AW2424-1,$AX2425/$AX2424-1,$AY2425/$AY2424-1),"")</f>
        <v/>
      </c>
      <c r="DW2424" s="66">
        <f>AVERAGE($CB2424,$CC2424,$CD2424,$CE2424,$CF2424,$CG2424,$CH2424,$CI2424,$CJ2424,$CL2424,$CM2424,$CN2424,$CO2424,$CP2424,$CQ2424,$CR2424,$CS2424,$CT2424)</f>
        <v/>
      </c>
      <c r="DX2424" s="66">
        <f>AVERAGE($CB2424,$CC2424,$CM2424,$CE2424,$CP2424)</f>
        <v/>
      </c>
      <c r="DY2424" s="64">
        <f>($DW2424-$DW2425)*100</f>
        <v/>
      </c>
      <c r="DZ2424" s="64">
        <f>($DX2424-$DX2425)*100</f>
        <v/>
      </c>
      <c r="EA2424" s="64">
        <f>($DW2424-$D2424)*100</f>
        <v/>
      </c>
      <c r="EB2424" s="64">
        <f>$Q2424-$O2424</f>
        <v/>
      </c>
      <c r="EC2424" s="67">
        <f>IFERROR($Q2424/$P2424,"")</f>
        <v/>
      </c>
    </row>
    <row r="2425">
      <c r="DG2425" s="64">
        <f>($B2425-$B2426)*100</f>
        <v/>
      </c>
      <c r="DH2425" s="64">
        <f>($D2425-$D2426)*100</f>
        <v/>
      </c>
      <c r="DI2425" s="64">
        <f>($E2425-$E2426)*100</f>
        <v/>
      </c>
      <c r="DJ2425" s="64">
        <f>($H2425-$H2426)*100</f>
        <v/>
      </c>
      <c r="DK2425" s="65">
        <f>IFERROR($J2425/$J2426-1,"")</f>
        <v/>
      </c>
      <c r="DL2425" s="64">
        <f>$L2425-$L2426</f>
        <v/>
      </c>
      <c r="DM2425" s="64">
        <f>$K2425-$K2426</f>
        <v/>
      </c>
      <c r="DN2425" s="65">
        <f>IFERROR($N2425/$N2426-1,"")</f>
        <v/>
      </c>
      <c r="DO2425" s="65">
        <f>IFERROR($M2425/$M2426-1,"")</f>
        <v/>
      </c>
      <c r="DP2425" s="65">
        <f>IFERROR($AZ2425/$AZ2426-1,"")</f>
        <v/>
      </c>
      <c r="DQ2425" s="65">
        <f>IFERROR($BA2425/$BA2426-1,"")</f>
        <v/>
      </c>
      <c r="DR2425" s="64">
        <f>$O2425-$O2426</f>
        <v/>
      </c>
      <c r="DS2425" s="64">
        <f>$P2425-$P2426</f>
        <v/>
      </c>
      <c r="DT2425" s="64">
        <f>$Q2425-$Q2426</f>
        <v/>
      </c>
      <c r="DU2425" s="64">
        <f>$S2425-$S2426</f>
        <v/>
      </c>
      <c r="DV2425" s="65">
        <f>IFERROR(AVERAGE($AA2426/$AA2425-1,$AB2426/$AB2425-1,$AC2426/$AC2425-1,$AD2426/$AD2425-1,$AE2426/$AE2425-1,$AG2426/$AG2425-1,$AH2426/$AH2425-1,$AI2426/$AI2425-1,$AJ2426/$AJ2425-1,$AL2426/$AL2425-1,$AM2426/$AM2425-1,$AR2426/$AR2425-1,$AS2426/$AS2425-1,$AT2426/$AT2425-1,$AU2426/$AU2425-1,$AV2426/$AV2425-1,$AW2426/$AW2425-1,$AX2426/$AX2425-1,$AY2426/$AY2425-1),"")</f>
        <v/>
      </c>
      <c r="DW2425" s="66">
        <f>AVERAGE($CB2425,$CC2425,$CD2425,$CE2425,$CF2425,$CG2425,$CH2425,$CI2425,$CJ2425,$CL2425,$CM2425,$CN2425,$CO2425,$CP2425,$CQ2425,$CR2425,$CS2425,$CT2425)</f>
        <v/>
      </c>
      <c r="DX2425" s="66">
        <f>AVERAGE($CB2425,$CC2425,$CM2425,$CE2425,$CP2425)</f>
        <v/>
      </c>
      <c r="DY2425" s="64">
        <f>($DW2425-$DW2426)*100</f>
        <v/>
      </c>
      <c r="DZ2425" s="64">
        <f>($DX2425-$DX2426)*100</f>
        <v/>
      </c>
      <c r="EA2425" s="64">
        <f>($DW2425-$D2425)*100</f>
        <v/>
      </c>
      <c r="EB2425" s="64">
        <f>$Q2425-$O2425</f>
        <v/>
      </c>
      <c r="EC2425" s="67">
        <f>IFERROR($Q2425/$P2425,"")</f>
        <v/>
      </c>
    </row>
    <row r="2426">
      <c r="DG2426" s="64">
        <f>($B2426-$B2427)*100</f>
        <v/>
      </c>
      <c r="DH2426" s="64">
        <f>($D2426-$D2427)*100</f>
        <v/>
      </c>
      <c r="DI2426" s="64">
        <f>($E2426-$E2427)*100</f>
        <v/>
      </c>
      <c r="DJ2426" s="64">
        <f>($H2426-$H2427)*100</f>
        <v/>
      </c>
      <c r="DK2426" s="65">
        <f>IFERROR($J2426/$J2427-1,"")</f>
        <v/>
      </c>
      <c r="DL2426" s="64">
        <f>$L2426-$L2427</f>
        <v/>
      </c>
      <c r="DM2426" s="64">
        <f>$K2426-$K2427</f>
        <v/>
      </c>
      <c r="DN2426" s="65">
        <f>IFERROR($N2426/$N2427-1,"")</f>
        <v/>
      </c>
      <c r="DO2426" s="65">
        <f>IFERROR($M2426/$M2427-1,"")</f>
        <v/>
      </c>
      <c r="DP2426" s="65">
        <f>IFERROR($AZ2426/$AZ2427-1,"")</f>
        <v/>
      </c>
      <c r="DQ2426" s="65">
        <f>IFERROR($BA2426/$BA2427-1,"")</f>
        <v/>
      </c>
      <c r="DR2426" s="64">
        <f>$O2426-$O2427</f>
        <v/>
      </c>
      <c r="DS2426" s="64">
        <f>$P2426-$P2427</f>
        <v/>
      </c>
      <c r="DT2426" s="64">
        <f>$Q2426-$Q2427</f>
        <v/>
      </c>
      <c r="DU2426" s="64">
        <f>$S2426-$S2427</f>
        <v/>
      </c>
      <c r="DV2426" s="65">
        <f>IFERROR(AVERAGE($AA2427/$AA2426-1,$AB2427/$AB2426-1,$AC2427/$AC2426-1,$AD2427/$AD2426-1,$AE2427/$AE2426-1,$AG2427/$AG2426-1,$AH2427/$AH2426-1,$AI2427/$AI2426-1,$AJ2427/$AJ2426-1,$AL2427/$AL2426-1,$AM2427/$AM2426-1,$AR2427/$AR2426-1,$AS2427/$AS2426-1,$AT2427/$AT2426-1,$AU2427/$AU2426-1,$AV2427/$AV2426-1,$AW2427/$AW2426-1,$AX2427/$AX2426-1,$AY2427/$AY2426-1),"")</f>
        <v/>
      </c>
      <c r="DW2426" s="66">
        <f>AVERAGE($CB2426,$CC2426,$CD2426,$CE2426,$CF2426,$CG2426,$CH2426,$CI2426,$CJ2426,$CL2426,$CM2426,$CN2426,$CO2426,$CP2426,$CQ2426,$CR2426,$CS2426,$CT2426)</f>
        <v/>
      </c>
      <c r="DX2426" s="66">
        <f>AVERAGE($CB2426,$CC2426,$CM2426,$CE2426,$CP2426)</f>
        <v/>
      </c>
      <c r="DY2426" s="64">
        <f>($DW2426-$DW2427)*100</f>
        <v/>
      </c>
      <c r="DZ2426" s="64">
        <f>($DX2426-$DX2427)*100</f>
        <v/>
      </c>
      <c r="EA2426" s="64">
        <f>($DW2426-$D2426)*100</f>
        <v/>
      </c>
      <c r="EB2426" s="64">
        <f>$Q2426-$O2426</f>
        <v/>
      </c>
      <c r="EC2426" s="67">
        <f>IFERROR($Q2426/$P2426,"")</f>
        <v/>
      </c>
    </row>
    <row r="2427">
      <c r="DG2427" s="64">
        <f>($B2427-$B2428)*100</f>
        <v/>
      </c>
      <c r="DH2427" s="64">
        <f>($D2427-$D2428)*100</f>
        <v/>
      </c>
      <c r="DI2427" s="64">
        <f>($E2427-$E2428)*100</f>
        <v/>
      </c>
      <c r="DJ2427" s="64">
        <f>($H2427-$H2428)*100</f>
        <v/>
      </c>
      <c r="DK2427" s="65">
        <f>IFERROR($J2427/$J2428-1,"")</f>
        <v/>
      </c>
      <c r="DL2427" s="64">
        <f>$L2427-$L2428</f>
        <v/>
      </c>
      <c r="DM2427" s="64">
        <f>$K2427-$K2428</f>
        <v/>
      </c>
      <c r="DN2427" s="65">
        <f>IFERROR($N2427/$N2428-1,"")</f>
        <v/>
      </c>
      <c r="DO2427" s="65">
        <f>IFERROR($M2427/$M2428-1,"")</f>
        <v/>
      </c>
      <c r="DP2427" s="65">
        <f>IFERROR($AZ2427/$AZ2428-1,"")</f>
        <v/>
      </c>
      <c r="DQ2427" s="65">
        <f>IFERROR($BA2427/$BA2428-1,"")</f>
        <v/>
      </c>
      <c r="DR2427" s="64">
        <f>$O2427-$O2428</f>
        <v/>
      </c>
      <c r="DS2427" s="64">
        <f>$P2427-$P2428</f>
        <v/>
      </c>
      <c r="DT2427" s="64">
        <f>$Q2427-$Q2428</f>
        <v/>
      </c>
      <c r="DU2427" s="64">
        <f>$S2427-$S2428</f>
        <v/>
      </c>
      <c r="DV2427" s="65">
        <f>IFERROR(AVERAGE($AA2428/$AA2427-1,$AB2428/$AB2427-1,$AC2428/$AC2427-1,$AD2428/$AD2427-1,$AE2428/$AE2427-1,$AG2428/$AG2427-1,$AH2428/$AH2427-1,$AI2428/$AI2427-1,$AJ2428/$AJ2427-1,$AL2428/$AL2427-1,$AM2428/$AM2427-1,$AR2428/$AR2427-1,$AS2428/$AS2427-1,$AT2428/$AT2427-1,$AU2428/$AU2427-1,$AV2428/$AV2427-1,$AW2428/$AW2427-1,$AX2428/$AX2427-1,$AY2428/$AY2427-1),"")</f>
        <v/>
      </c>
      <c r="DW2427" s="66">
        <f>AVERAGE($CB2427,$CC2427,$CD2427,$CE2427,$CF2427,$CG2427,$CH2427,$CI2427,$CJ2427,$CL2427,$CM2427,$CN2427,$CO2427,$CP2427,$CQ2427,$CR2427,$CS2427,$CT2427)</f>
        <v/>
      </c>
      <c r="DX2427" s="66">
        <f>AVERAGE($CB2427,$CC2427,$CM2427,$CE2427,$CP2427)</f>
        <v/>
      </c>
      <c r="DY2427" s="64">
        <f>($DW2427-$DW2428)*100</f>
        <v/>
      </c>
      <c r="DZ2427" s="64">
        <f>($DX2427-$DX2428)*100</f>
        <v/>
      </c>
      <c r="EA2427" s="64">
        <f>($DW2427-$D2427)*100</f>
        <v/>
      </c>
      <c r="EB2427" s="64">
        <f>$Q2427-$O2427</f>
        <v/>
      </c>
      <c r="EC2427" s="67">
        <f>IFERROR($Q2427/$P2427,"")</f>
        <v/>
      </c>
    </row>
    <row r="2428">
      <c r="DG2428" s="64">
        <f>($B2428-$B2429)*100</f>
        <v/>
      </c>
      <c r="DH2428" s="64">
        <f>($D2428-$D2429)*100</f>
        <v/>
      </c>
      <c r="DI2428" s="64">
        <f>($E2428-$E2429)*100</f>
        <v/>
      </c>
      <c r="DJ2428" s="64">
        <f>($H2428-$H2429)*100</f>
        <v/>
      </c>
      <c r="DK2428" s="65">
        <f>IFERROR($J2428/$J2429-1,"")</f>
        <v/>
      </c>
      <c r="DL2428" s="64">
        <f>$L2428-$L2429</f>
        <v/>
      </c>
      <c r="DM2428" s="64">
        <f>$K2428-$K2429</f>
        <v/>
      </c>
      <c r="DN2428" s="65">
        <f>IFERROR($N2428/$N2429-1,"")</f>
        <v/>
      </c>
      <c r="DO2428" s="65">
        <f>IFERROR($M2428/$M2429-1,"")</f>
        <v/>
      </c>
      <c r="DP2428" s="65">
        <f>IFERROR($AZ2428/$AZ2429-1,"")</f>
        <v/>
      </c>
      <c r="DQ2428" s="65">
        <f>IFERROR($BA2428/$BA2429-1,"")</f>
        <v/>
      </c>
      <c r="DR2428" s="64">
        <f>$O2428-$O2429</f>
        <v/>
      </c>
      <c r="DS2428" s="64">
        <f>$P2428-$P2429</f>
        <v/>
      </c>
      <c r="DT2428" s="64">
        <f>$Q2428-$Q2429</f>
        <v/>
      </c>
      <c r="DU2428" s="64">
        <f>$S2428-$S2429</f>
        <v/>
      </c>
      <c r="DV2428" s="65">
        <f>IFERROR(AVERAGE($AA2429/$AA2428-1,$AB2429/$AB2428-1,$AC2429/$AC2428-1,$AD2429/$AD2428-1,$AE2429/$AE2428-1,$AG2429/$AG2428-1,$AH2429/$AH2428-1,$AI2429/$AI2428-1,$AJ2429/$AJ2428-1,$AL2429/$AL2428-1,$AM2429/$AM2428-1,$AR2429/$AR2428-1,$AS2429/$AS2428-1,$AT2429/$AT2428-1,$AU2429/$AU2428-1,$AV2429/$AV2428-1,$AW2429/$AW2428-1,$AX2429/$AX2428-1,$AY2429/$AY2428-1),"")</f>
        <v/>
      </c>
      <c r="DW2428" s="66">
        <f>AVERAGE($CB2428,$CC2428,$CD2428,$CE2428,$CF2428,$CG2428,$CH2428,$CI2428,$CJ2428,$CL2428,$CM2428,$CN2428,$CO2428,$CP2428,$CQ2428,$CR2428,$CS2428,$CT2428)</f>
        <v/>
      </c>
      <c r="DX2428" s="66">
        <f>AVERAGE($CB2428,$CC2428,$CM2428,$CE2428,$CP2428)</f>
        <v/>
      </c>
      <c r="DY2428" s="64">
        <f>($DW2428-$DW2429)*100</f>
        <v/>
      </c>
      <c r="DZ2428" s="64">
        <f>($DX2428-$DX2429)*100</f>
        <v/>
      </c>
      <c r="EA2428" s="64">
        <f>($DW2428-$D2428)*100</f>
        <v/>
      </c>
      <c r="EB2428" s="64">
        <f>$Q2428-$O2428</f>
        <v/>
      </c>
      <c r="EC2428" s="67">
        <f>IFERROR($Q2428/$P2428,"")</f>
        <v/>
      </c>
    </row>
    <row r="2429">
      <c r="DG2429" s="64">
        <f>($B2429-$B2430)*100</f>
        <v/>
      </c>
      <c r="DH2429" s="64">
        <f>($D2429-$D2430)*100</f>
        <v/>
      </c>
      <c r="DI2429" s="64">
        <f>($E2429-$E2430)*100</f>
        <v/>
      </c>
      <c r="DJ2429" s="64">
        <f>($H2429-$H2430)*100</f>
        <v/>
      </c>
      <c r="DK2429" s="65">
        <f>IFERROR($J2429/$J2430-1,"")</f>
        <v/>
      </c>
      <c r="DL2429" s="64">
        <f>$L2429-$L2430</f>
        <v/>
      </c>
      <c r="DM2429" s="64">
        <f>$K2429-$K2430</f>
        <v/>
      </c>
      <c r="DN2429" s="65">
        <f>IFERROR($N2429/$N2430-1,"")</f>
        <v/>
      </c>
      <c r="DO2429" s="65">
        <f>IFERROR($M2429/$M2430-1,"")</f>
        <v/>
      </c>
      <c r="DP2429" s="65">
        <f>IFERROR($AZ2429/$AZ2430-1,"")</f>
        <v/>
      </c>
      <c r="DQ2429" s="65">
        <f>IFERROR($BA2429/$BA2430-1,"")</f>
        <v/>
      </c>
      <c r="DR2429" s="64">
        <f>$O2429-$O2430</f>
        <v/>
      </c>
      <c r="DS2429" s="64">
        <f>$P2429-$P2430</f>
        <v/>
      </c>
      <c r="DT2429" s="64">
        <f>$Q2429-$Q2430</f>
        <v/>
      </c>
      <c r="DU2429" s="64">
        <f>$S2429-$S2430</f>
        <v/>
      </c>
      <c r="DV2429" s="65">
        <f>IFERROR(AVERAGE($AA2430/$AA2429-1,$AB2430/$AB2429-1,$AC2430/$AC2429-1,$AD2430/$AD2429-1,$AE2430/$AE2429-1,$AG2430/$AG2429-1,$AH2430/$AH2429-1,$AI2430/$AI2429-1,$AJ2430/$AJ2429-1,$AL2430/$AL2429-1,$AM2430/$AM2429-1,$AR2430/$AR2429-1,$AS2430/$AS2429-1,$AT2430/$AT2429-1,$AU2430/$AU2429-1,$AV2430/$AV2429-1,$AW2430/$AW2429-1,$AX2430/$AX2429-1,$AY2430/$AY2429-1),"")</f>
        <v/>
      </c>
      <c r="DW2429" s="66">
        <f>AVERAGE($CB2429,$CC2429,$CD2429,$CE2429,$CF2429,$CG2429,$CH2429,$CI2429,$CJ2429,$CL2429,$CM2429,$CN2429,$CO2429,$CP2429,$CQ2429,$CR2429,$CS2429,$CT2429)</f>
        <v/>
      </c>
      <c r="DX2429" s="66">
        <f>AVERAGE($CB2429,$CC2429,$CM2429,$CE2429,$CP2429)</f>
        <v/>
      </c>
      <c r="DY2429" s="64">
        <f>($DW2429-$DW2430)*100</f>
        <v/>
      </c>
      <c r="DZ2429" s="64">
        <f>($DX2429-$DX2430)*100</f>
        <v/>
      </c>
      <c r="EA2429" s="64">
        <f>($DW2429-$D2429)*100</f>
        <v/>
      </c>
      <c r="EB2429" s="64">
        <f>$Q2429-$O2429</f>
        <v/>
      </c>
      <c r="EC2429" s="67">
        <f>IFERROR($Q2429/$P2429,"")</f>
        <v/>
      </c>
    </row>
    <row r="2430">
      <c r="DG2430" s="64">
        <f>($B2430-$B2431)*100</f>
        <v/>
      </c>
      <c r="DH2430" s="64">
        <f>($D2430-$D2431)*100</f>
        <v/>
      </c>
      <c r="DI2430" s="64">
        <f>($E2430-$E2431)*100</f>
        <v/>
      </c>
      <c r="DJ2430" s="64">
        <f>($H2430-$H2431)*100</f>
        <v/>
      </c>
      <c r="DK2430" s="65">
        <f>IFERROR($J2430/$J2431-1,"")</f>
        <v/>
      </c>
      <c r="DL2430" s="64">
        <f>$L2430-$L2431</f>
        <v/>
      </c>
      <c r="DM2430" s="64">
        <f>$K2430-$K2431</f>
        <v/>
      </c>
      <c r="DN2430" s="65">
        <f>IFERROR($N2430/$N2431-1,"")</f>
        <v/>
      </c>
      <c r="DO2430" s="65">
        <f>IFERROR($M2430/$M2431-1,"")</f>
        <v/>
      </c>
      <c r="DP2430" s="65">
        <f>IFERROR($AZ2430/$AZ2431-1,"")</f>
        <v/>
      </c>
      <c r="DQ2430" s="65">
        <f>IFERROR($BA2430/$BA2431-1,"")</f>
        <v/>
      </c>
      <c r="DR2430" s="64">
        <f>$O2430-$O2431</f>
        <v/>
      </c>
      <c r="DS2430" s="64">
        <f>$P2430-$P2431</f>
        <v/>
      </c>
      <c r="DT2430" s="64">
        <f>$Q2430-$Q2431</f>
        <v/>
      </c>
      <c r="DU2430" s="64">
        <f>$S2430-$S2431</f>
        <v/>
      </c>
      <c r="DV2430" s="65">
        <f>IFERROR(AVERAGE($AA2431/$AA2430-1,$AB2431/$AB2430-1,$AC2431/$AC2430-1,$AD2431/$AD2430-1,$AE2431/$AE2430-1,$AG2431/$AG2430-1,$AH2431/$AH2430-1,$AI2431/$AI2430-1,$AJ2431/$AJ2430-1,$AL2431/$AL2430-1,$AM2431/$AM2430-1,$AR2431/$AR2430-1,$AS2431/$AS2430-1,$AT2431/$AT2430-1,$AU2431/$AU2430-1,$AV2431/$AV2430-1,$AW2431/$AW2430-1,$AX2431/$AX2430-1,$AY2431/$AY2430-1),"")</f>
        <v/>
      </c>
      <c r="DW2430" s="66">
        <f>AVERAGE($CB2430,$CC2430,$CD2430,$CE2430,$CF2430,$CG2430,$CH2430,$CI2430,$CJ2430,$CL2430,$CM2430,$CN2430,$CO2430,$CP2430,$CQ2430,$CR2430,$CS2430,$CT2430)</f>
        <v/>
      </c>
      <c r="DX2430" s="66">
        <f>AVERAGE($CB2430,$CC2430,$CM2430,$CE2430,$CP2430)</f>
        <v/>
      </c>
      <c r="DY2430" s="64">
        <f>($DW2430-$DW2431)*100</f>
        <v/>
      </c>
      <c r="DZ2430" s="64">
        <f>($DX2430-$DX2431)*100</f>
        <v/>
      </c>
      <c r="EA2430" s="64">
        <f>($DW2430-$D2430)*100</f>
        <v/>
      </c>
      <c r="EB2430" s="64">
        <f>$Q2430-$O2430</f>
        <v/>
      </c>
      <c r="EC2430" s="67">
        <f>IFERROR($Q2430/$P2430,"")</f>
        <v/>
      </c>
    </row>
    <row r="2431">
      <c r="DG2431" s="64">
        <f>($B2431-$B2432)*100</f>
        <v/>
      </c>
      <c r="DH2431" s="64">
        <f>($D2431-$D2432)*100</f>
        <v/>
      </c>
      <c r="DI2431" s="64">
        <f>($E2431-$E2432)*100</f>
        <v/>
      </c>
      <c r="DJ2431" s="64">
        <f>($H2431-$H2432)*100</f>
        <v/>
      </c>
      <c r="DK2431" s="65">
        <f>IFERROR($J2431/$J2432-1,"")</f>
        <v/>
      </c>
      <c r="DL2431" s="64">
        <f>$L2431-$L2432</f>
        <v/>
      </c>
      <c r="DM2431" s="64">
        <f>$K2431-$K2432</f>
        <v/>
      </c>
      <c r="DN2431" s="65">
        <f>IFERROR($N2431/$N2432-1,"")</f>
        <v/>
      </c>
      <c r="DO2431" s="65">
        <f>IFERROR($M2431/$M2432-1,"")</f>
        <v/>
      </c>
      <c r="DP2431" s="65">
        <f>IFERROR($AZ2431/$AZ2432-1,"")</f>
        <v/>
      </c>
      <c r="DQ2431" s="65">
        <f>IFERROR($BA2431/$BA2432-1,"")</f>
        <v/>
      </c>
      <c r="DR2431" s="64">
        <f>$O2431-$O2432</f>
        <v/>
      </c>
      <c r="DS2431" s="64">
        <f>$P2431-$P2432</f>
        <v/>
      </c>
      <c r="DT2431" s="64">
        <f>$Q2431-$Q2432</f>
        <v/>
      </c>
      <c r="DU2431" s="64">
        <f>$S2431-$S2432</f>
        <v/>
      </c>
      <c r="DV2431" s="65">
        <f>IFERROR(AVERAGE($AA2432/$AA2431-1,$AB2432/$AB2431-1,$AC2432/$AC2431-1,$AD2432/$AD2431-1,$AE2432/$AE2431-1,$AG2432/$AG2431-1,$AH2432/$AH2431-1,$AI2432/$AI2431-1,$AJ2432/$AJ2431-1,$AL2432/$AL2431-1,$AM2432/$AM2431-1,$AR2432/$AR2431-1,$AS2432/$AS2431-1,$AT2432/$AT2431-1,$AU2432/$AU2431-1,$AV2432/$AV2431-1,$AW2432/$AW2431-1,$AX2432/$AX2431-1,$AY2432/$AY2431-1),"")</f>
        <v/>
      </c>
      <c r="DW2431" s="66">
        <f>AVERAGE($CB2431,$CC2431,$CD2431,$CE2431,$CF2431,$CG2431,$CH2431,$CI2431,$CJ2431,$CL2431,$CM2431,$CN2431,$CO2431,$CP2431,$CQ2431,$CR2431,$CS2431,$CT2431)</f>
        <v/>
      </c>
      <c r="DX2431" s="66">
        <f>AVERAGE($CB2431,$CC2431,$CM2431,$CE2431,$CP2431)</f>
        <v/>
      </c>
      <c r="DY2431" s="64">
        <f>($DW2431-$DW2432)*100</f>
        <v/>
      </c>
      <c r="DZ2431" s="64">
        <f>($DX2431-$DX2432)*100</f>
        <v/>
      </c>
      <c r="EA2431" s="64">
        <f>($DW2431-$D2431)*100</f>
        <v/>
      </c>
      <c r="EB2431" s="64">
        <f>$Q2431-$O2431</f>
        <v/>
      </c>
      <c r="EC2431" s="67">
        <f>IFERROR($Q2431/$P2431,"")</f>
        <v/>
      </c>
    </row>
    <row r="2432">
      <c r="DG2432" s="64">
        <f>($B2432-$B2433)*100</f>
        <v/>
      </c>
      <c r="DH2432" s="64">
        <f>($D2432-$D2433)*100</f>
        <v/>
      </c>
      <c r="DI2432" s="64">
        <f>($E2432-$E2433)*100</f>
        <v/>
      </c>
      <c r="DJ2432" s="64">
        <f>($H2432-$H2433)*100</f>
        <v/>
      </c>
      <c r="DK2432" s="65">
        <f>IFERROR($J2432/$J2433-1,"")</f>
        <v/>
      </c>
      <c r="DL2432" s="64">
        <f>$L2432-$L2433</f>
        <v/>
      </c>
      <c r="DM2432" s="64">
        <f>$K2432-$K2433</f>
        <v/>
      </c>
      <c r="DN2432" s="65">
        <f>IFERROR($N2432/$N2433-1,"")</f>
        <v/>
      </c>
      <c r="DO2432" s="65">
        <f>IFERROR($M2432/$M2433-1,"")</f>
        <v/>
      </c>
      <c r="DP2432" s="65">
        <f>IFERROR($AZ2432/$AZ2433-1,"")</f>
        <v/>
      </c>
      <c r="DQ2432" s="65">
        <f>IFERROR($BA2432/$BA2433-1,"")</f>
        <v/>
      </c>
      <c r="DR2432" s="64">
        <f>$O2432-$O2433</f>
        <v/>
      </c>
      <c r="DS2432" s="64">
        <f>$P2432-$P2433</f>
        <v/>
      </c>
      <c r="DT2432" s="64">
        <f>$Q2432-$Q2433</f>
        <v/>
      </c>
      <c r="DU2432" s="64">
        <f>$S2432-$S2433</f>
        <v/>
      </c>
      <c r="DV2432" s="65">
        <f>IFERROR(AVERAGE($AA2433/$AA2432-1,$AB2433/$AB2432-1,$AC2433/$AC2432-1,$AD2433/$AD2432-1,$AE2433/$AE2432-1,$AG2433/$AG2432-1,$AH2433/$AH2432-1,$AI2433/$AI2432-1,$AJ2433/$AJ2432-1,$AL2433/$AL2432-1,$AM2433/$AM2432-1,$AR2433/$AR2432-1,$AS2433/$AS2432-1,$AT2433/$AT2432-1,$AU2433/$AU2432-1,$AV2433/$AV2432-1,$AW2433/$AW2432-1,$AX2433/$AX2432-1,$AY2433/$AY2432-1),"")</f>
        <v/>
      </c>
      <c r="DW2432" s="66">
        <f>AVERAGE($CB2432,$CC2432,$CD2432,$CE2432,$CF2432,$CG2432,$CH2432,$CI2432,$CJ2432,$CL2432,$CM2432,$CN2432,$CO2432,$CP2432,$CQ2432,$CR2432,$CS2432,$CT2432)</f>
        <v/>
      </c>
      <c r="DX2432" s="66">
        <f>AVERAGE($CB2432,$CC2432,$CM2432,$CE2432,$CP2432)</f>
        <v/>
      </c>
      <c r="DY2432" s="64">
        <f>($DW2432-$DW2433)*100</f>
        <v/>
      </c>
      <c r="DZ2432" s="64">
        <f>($DX2432-$DX2433)*100</f>
        <v/>
      </c>
      <c r="EA2432" s="64">
        <f>($DW2432-$D2432)*100</f>
        <v/>
      </c>
      <c r="EB2432" s="64">
        <f>$Q2432-$O2432</f>
        <v/>
      </c>
      <c r="EC2432" s="67">
        <f>IFERROR($Q2432/$P2432,"")</f>
        <v/>
      </c>
    </row>
    <row r="2433">
      <c r="DG2433" s="64">
        <f>($B2433-$B2434)*100</f>
        <v/>
      </c>
      <c r="DH2433" s="64">
        <f>($D2433-$D2434)*100</f>
        <v/>
      </c>
      <c r="DI2433" s="64">
        <f>($E2433-$E2434)*100</f>
        <v/>
      </c>
      <c r="DJ2433" s="64">
        <f>($H2433-$H2434)*100</f>
        <v/>
      </c>
      <c r="DK2433" s="65">
        <f>IFERROR($J2433/$J2434-1,"")</f>
        <v/>
      </c>
      <c r="DL2433" s="64">
        <f>$L2433-$L2434</f>
        <v/>
      </c>
      <c r="DM2433" s="64">
        <f>$K2433-$K2434</f>
        <v/>
      </c>
      <c r="DN2433" s="65">
        <f>IFERROR($N2433/$N2434-1,"")</f>
        <v/>
      </c>
      <c r="DO2433" s="65">
        <f>IFERROR($M2433/$M2434-1,"")</f>
        <v/>
      </c>
      <c r="DP2433" s="65">
        <f>IFERROR($AZ2433/$AZ2434-1,"")</f>
        <v/>
      </c>
      <c r="DQ2433" s="65">
        <f>IFERROR($BA2433/$BA2434-1,"")</f>
        <v/>
      </c>
      <c r="DR2433" s="64">
        <f>$O2433-$O2434</f>
        <v/>
      </c>
      <c r="DS2433" s="64">
        <f>$P2433-$P2434</f>
        <v/>
      </c>
      <c r="DT2433" s="64">
        <f>$Q2433-$Q2434</f>
        <v/>
      </c>
      <c r="DU2433" s="64">
        <f>$S2433-$S2434</f>
        <v/>
      </c>
      <c r="DV2433" s="65">
        <f>IFERROR(AVERAGE($AA2434/$AA2433-1,$AB2434/$AB2433-1,$AC2434/$AC2433-1,$AD2434/$AD2433-1,$AE2434/$AE2433-1,$AG2434/$AG2433-1,$AH2434/$AH2433-1,$AI2434/$AI2433-1,$AJ2434/$AJ2433-1,$AL2434/$AL2433-1,$AM2434/$AM2433-1,$AR2434/$AR2433-1,$AS2434/$AS2433-1,$AT2434/$AT2433-1,$AU2434/$AU2433-1,$AV2434/$AV2433-1,$AW2434/$AW2433-1,$AX2434/$AX2433-1,$AY2434/$AY2433-1),"")</f>
        <v/>
      </c>
      <c r="DW2433" s="66">
        <f>AVERAGE($CB2433,$CC2433,$CD2433,$CE2433,$CF2433,$CG2433,$CH2433,$CI2433,$CJ2433,$CL2433,$CM2433,$CN2433,$CO2433,$CP2433,$CQ2433,$CR2433,$CS2433,$CT2433)</f>
        <v/>
      </c>
      <c r="DX2433" s="66">
        <f>AVERAGE($CB2433,$CC2433,$CM2433,$CE2433,$CP2433)</f>
        <v/>
      </c>
      <c r="DY2433" s="64">
        <f>($DW2433-$DW2434)*100</f>
        <v/>
      </c>
      <c r="DZ2433" s="64">
        <f>($DX2433-$DX2434)*100</f>
        <v/>
      </c>
      <c r="EA2433" s="64">
        <f>($DW2433-$D2433)*100</f>
        <v/>
      </c>
      <c r="EB2433" s="64">
        <f>$Q2433-$O2433</f>
        <v/>
      </c>
      <c r="EC2433" s="67">
        <f>IFERROR($Q2433/$P2433,"")</f>
        <v/>
      </c>
    </row>
    <row r="2434">
      <c r="DG2434" s="64">
        <f>($B2434-$B2435)*100</f>
        <v/>
      </c>
      <c r="DH2434" s="64">
        <f>($D2434-$D2435)*100</f>
        <v/>
      </c>
      <c r="DI2434" s="64">
        <f>($E2434-$E2435)*100</f>
        <v/>
      </c>
      <c r="DJ2434" s="64">
        <f>($H2434-$H2435)*100</f>
        <v/>
      </c>
      <c r="DK2434" s="65">
        <f>IFERROR($J2434/$J2435-1,"")</f>
        <v/>
      </c>
      <c r="DL2434" s="64">
        <f>$L2434-$L2435</f>
        <v/>
      </c>
      <c r="DM2434" s="64">
        <f>$K2434-$K2435</f>
        <v/>
      </c>
      <c r="DN2434" s="65">
        <f>IFERROR($N2434/$N2435-1,"")</f>
        <v/>
      </c>
      <c r="DO2434" s="65">
        <f>IFERROR($M2434/$M2435-1,"")</f>
        <v/>
      </c>
      <c r="DP2434" s="65">
        <f>IFERROR($AZ2434/$AZ2435-1,"")</f>
        <v/>
      </c>
      <c r="DQ2434" s="65">
        <f>IFERROR($BA2434/$BA2435-1,"")</f>
        <v/>
      </c>
      <c r="DR2434" s="64">
        <f>$O2434-$O2435</f>
        <v/>
      </c>
      <c r="DS2434" s="64">
        <f>$P2434-$P2435</f>
        <v/>
      </c>
      <c r="DT2434" s="64">
        <f>$Q2434-$Q2435</f>
        <v/>
      </c>
      <c r="DU2434" s="64">
        <f>$S2434-$S2435</f>
        <v/>
      </c>
      <c r="DV2434" s="65">
        <f>IFERROR(AVERAGE($AA2435/$AA2434-1,$AB2435/$AB2434-1,$AC2435/$AC2434-1,$AD2435/$AD2434-1,$AE2435/$AE2434-1,$AG2435/$AG2434-1,$AH2435/$AH2434-1,$AI2435/$AI2434-1,$AJ2435/$AJ2434-1,$AL2435/$AL2434-1,$AM2435/$AM2434-1,$AR2435/$AR2434-1,$AS2435/$AS2434-1,$AT2435/$AT2434-1,$AU2435/$AU2434-1,$AV2435/$AV2434-1,$AW2435/$AW2434-1,$AX2435/$AX2434-1,$AY2435/$AY2434-1),"")</f>
        <v/>
      </c>
      <c r="DW2434" s="66">
        <f>AVERAGE($CB2434,$CC2434,$CD2434,$CE2434,$CF2434,$CG2434,$CH2434,$CI2434,$CJ2434,$CL2434,$CM2434,$CN2434,$CO2434,$CP2434,$CQ2434,$CR2434,$CS2434,$CT2434)</f>
        <v/>
      </c>
      <c r="DX2434" s="66">
        <f>AVERAGE($CB2434,$CC2434,$CM2434,$CE2434,$CP2434)</f>
        <v/>
      </c>
      <c r="DY2434" s="64">
        <f>($DW2434-$DW2435)*100</f>
        <v/>
      </c>
      <c r="DZ2434" s="64">
        <f>($DX2434-$DX2435)*100</f>
        <v/>
      </c>
      <c r="EA2434" s="64">
        <f>($DW2434-$D2434)*100</f>
        <v/>
      </c>
      <c r="EB2434" s="64">
        <f>$Q2434-$O2434</f>
        <v/>
      </c>
      <c r="EC2434" s="67">
        <f>IFERROR($Q2434/$P2434,"")</f>
        <v/>
      </c>
    </row>
    <row r="2435">
      <c r="DG2435" s="64">
        <f>($B2435-$B2436)*100</f>
        <v/>
      </c>
      <c r="DH2435" s="64">
        <f>($D2435-$D2436)*100</f>
        <v/>
      </c>
      <c r="DI2435" s="64">
        <f>($E2435-$E2436)*100</f>
        <v/>
      </c>
      <c r="DJ2435" s="64">
        <f>($H2435-$H2436)*100</f>
        <v/>
      </c>
      <c r="DK2435" s="65">
        <f>IFERROR($J2435/$J2436-1,"")</f>
        <v/>
      </c>
      <c r="DL2435" s="64">
        <f>$L2435-$L2436</f>
        <v/>
      </c>
      <c r="DM2435" s="64">
        <f>$K2435-$K2436</f>
        <v/>
      </c>
      <c r="DN2435" s="65">
        <f>IFERROR($N2435/$N2436-1,"")</f>
        <v/>
      </c>
      <c r="DO2435" s="65">
        <f>IFERROR($M2435/$M2436-1,"")</f>
        <v/>
      </c>
      <c r="DP2435" s="65">
        <f>IFERROR($AZ2435/$AZ2436-1,"")</f>
        <v/>
      </c>
      <c r="DQ2435" s="65">
        <f>IFERROR($BA2435/$BA2436-1,"")</f>
        <v/>
      </c>
      <c r="DR2435" s="64">
        <f>$O2435-$O2436</f>
        <v/>
      </c>
      <c r="DS2435" s="64">
        <f>$P2435-$P2436</f>
        <v/>
      </c>
      <c r="DT2435" s="64">
        <f>$Q2435-$Q2436</f>
        <v/>
      </c>
      <c r="DU2435" s="64">
        <f>$S2435-$S2436</f>
        <v/>
      </c>
      <c r="DV2435" s="65">
        <f>IFERROR(AVERAGE($AA2436/$AA2435-1,$AB2436/$AB2435-1,$AC2436/$AC2435-1,$AD2436/$AD2435-1,$AE2436/$AE2435-1,$AG2436/$AG2435-1,$AH2436/$AH2435-1,$AI2436/$AI2435-1,$AJ2436/$AJ2435-1,$AL2436/$AL2435-1,$AM2436/$AM2435-1,$AR2436/$AR2435-1,$AS2436/$AS2435-1,$AT2436/$AT2435-1,$AU2436/$AU2435-1,$AV2436/$AV2435-1,$AW2436/$AW2435-1,$AX2436/$AX2435-1,$AY2436/$AY2435-1),"")</f>
        <v/>
      </c>
      <c r="DW2435" s="66">
        <f>AVERAGE($CB2435,$CC2435,$CD2435,$CE2435,$CF2435,$CG2435,$CH2435,$CI2435,$CJ2435,$CL2435,$CM2435,$CN2435,$CO2435,$CP2435,$CQ2435,$CR2435,$CS2435,$CT2435)</f>
        <v/>
      </c>
      <c r="DX2435" s="66">
        <f>AVERAGE($CB2435,$CC2435,$CM2435,$CE2435,$CP2435)</f>
        <v/>
      </c>
      <c r="DY2435" s="64">
        <f>($DW2435-$DW2436)*100</f>
        <v/>
      </c>
      <c r="DZ2435" s="64">
        <f>($DX2435-$DX2436)*100</f>
        <v/>
      </c>
      <c r="EA2435" s="64">
        <f>($DW2435-$D2435)*100</f>
        <v/>
      </c>
      <c r="EB2435" s="64">
        <f>$Q2435-$O2435</f>
        <v/>
      </c>
      <c r="EC2435" s="67">
        <f>IFERROR($Q2435/$P2435,"")</f>
        <v/>
      </c>
    </row>
    <row r="2436">
      <c r="DG2436" s="64">
        <f>($B2436-$B2437)*100</f>
        <v/>
      </c>
      <c r="DH2436" s="64">
        <f>($D2436-$D2437)*100</f>
        <v/>
      </c>
      <c r="DI2436" s="64">
        <f>($E2436-$E2437)*100</f>
        <v/>
      </c>
      <c r="DJ2436" s="64">
        <f>($H2436-$H2437)*100</f>
        <v/>
      </c>
      <c r="DK2436" s="65">
        <f>IFERROR($J2436/$J2437-1,"")</f>
        <v/>
      </c>
      <c r="DL2436" s="64">
        <f>$L2436-$L2437</f>
        <v/>
      </c>
      <c r="DM2436" s="64">
        <f>$K2436-$K2437</f>
        <v/>
      </c>
      <c r="DN2436" s="65">
        <f>IFERROR($N2436/$N2437-1,"")</f>
        <v/>
      </c>
      <c r="DO2436" s="65">
        <f>IFERROR($M2436/$M2437-1,"")</f>
        <v/>
      </c>
      <c r="DP2436" s="65">
        <f>IFERROR($AZ2436/$AZ2437-1,"")</f>
        <v/>
      </c>
      <c r="DQ2436" s="65">
        <f>IFERROR($BA2436/$BA2437-1,"")</f>
        <v/>
      </c>
      <c r="DR2436" s="64">
        <f>$O2436-$O2437</f>
        <v/>
      </c>
      <c r="DS2436" s="64">
        <f>$P2436-$P2437</f>
        <v/>
      </c>
      <c r="DT2436" s="64">
        <f>$Q2436-$Q2437</f>
        <v/>
      </c>
      <c r="DU2436" s="64">
        <f>$S2436-$S2437</f>
        <v/>
      </c>
      <c r="DV2436" s="65">
        <f>IFERROR(AVERAGE($AA2437/$AA2436-1,$AB2437/$AB2436-1,$AC2437/$AC2436-1,$AD2437/$AD2436-1,$AE2437/$AE2436-1,$AG2437/$AG2436-1,$AH2437/$AH2436-1,$AI2437/$AI2436-1,$AJ2437/$AJ2436-1,$AL2437/$AL2436-1,$AM2437/$AM2436-1,$AR2437/$AR2436-1,$AS2437/$AS2436-1,$AT2437/$AT2436-1,$AU2437/$AU2436-1,$AV2437/$AV2436-1,$AW2437/$AW2436-1,$AX2437/$AX2436-1,$AY2437/$AY2436-1),"")</f>
        <v/>
      </c>
      <c r="DW2436" s="66">
        <f>AVERAGE($CB2436,$CC2436,$CD2436,$CE2436,$CF2436,$CG2436,$CH2436,$CI2436,$CJ2436,$CL2436,$CM2436,$CN2436,$CO2436,$CP2436,$CQ2436,$CR2436,$CS2436,$CT2436)</f>
        <v/>
      </c>
      <c r="DX2436" s="66">
        <f>AVERAGE($CB2436,$CC2436,$CM2436,$CE2436,$CP2436)</f>
        <v/>
      </c>
      <c r="DY2436" s="64">
        <f>($DW2436-$DW2437)*100</f>
        <v/>
      </c>
      <c r="DZ2436" s="64">
        <f>($DX2436-$DX2437)*100</f>
        <v/>
      </c>
      <c r="EA2436" s="64">
        <f>($DW2436-$D2436)*100</f>
        <v/>
      </c>
      <c r="EB2436" s="64">
        <f>$Q2436-$O2436</f>
        <v/>
      </c>
      <c r="EC2436" s="67">
        <f>IFERROR($Q2436/$P2436,"")</f>
        <v/>
      </c>
    </row>
    <row r="2437">
      <c r="DG2437" s="64">
        <f>($B2437-$B2438)*100</f>
        <v/>
      </c>
      <c r="DH2437" s="64">
        <f>($D2437-$D2438)*100</f>
        <v/>
      </c>
      <c r="DI2437" s="64">
        <f>($E2437-$E2438)*100</f>
        <v/>
      </c>
      <c r="DJ2437" s="64">
        <f>($H2437-$H2438)*100</f>
        <v/>
      </c>
      <c r="DK2437" s="65">
        <f>IFERROR($J2437/$J2438-1,"")</f>
        <v/>
      </c>
      <c r="DL2437" s="64">
        <f>$L2437-$L2438</f>
        <v/>
      </c>
      <c r="DM2437" s="64">
        <f>$K2437-$K2438</f>
        <v/>
      </c>
      <c r="DN2437" s="65">
        <f>IFERROR($N2437/$N2438-1,"")</f>
        <v/>
      </c>
      <c r="DO2437" s="65">
        <f>IFERROR($M2437/$M2438-1,"")</f>
        <v/>
      </c>
      <c r="DP2437" s="65">
        <f>IFERROR($AZ2437/$AZ2438-1,"")</f>
        <v/>
      </c>
      <c r="DQ2437" s="65">
        <f>IFERROR($BA2437/$BA2438-1,"")</f>
        <v/>
      </c>
      <c r="DR2437" s="64">
        <f>$O2437-$O2438</f>
        <v/>
      </c>
      <c r="DS2437" s="64">
        <f>$P2437-$P2438</f>
        <v/>
      </c>
      <c r="DT2437" s="64">
        <f>$Q2437-$Q2438</f>
        <v/>
      </c>
      <c r="DU2437" s="64">
        <f>$S2437-$S2438</f>
        <v/>
      </c>
      <c r="DV2437" s="65">
        <f>IFERROR(AVERAGE($AA2438/$AA2437-1,$AB2438/$AB2437-1,$AC2438/$AC2437-1,$AD2438/$AD2437-1,$AE2438/$AE2437-1,$AG2438/$AG2437-1,$AH2438/$AH2437-1,$AI2438/$AI2437-1,$AJ2438/$AJ2437-1,$AL2438/$AL2437-1,$AM2438/$AM2437-1,$AR2438/$AR2437-1,$AS2438/$AS2437-1,$AT2438/$AT2437-1,$AU2438/$AU2437-1,$AV2438/$AV2437-1,$AW2438/$AW2437-1,$AX2438/$AX2437-1,$AY2438/$AY2437-1),"")</f>
        <v/>
      </c>
      <c r="DW2437" s="66">
        <f>AVERAGE($CB2437,$CC2437,$CD2437,$CE2437,$CF2437,$CG2437,$CH2437,$CI2437,$CJ2437,$CL2437,$CM2437,$CN2437,$CO2437,$CP2437,$CQ2437,$CR2437,$CS2437,$CT2437)</f>
        <v/>
      </c>
      <c r="DX2437" s="66">
        <f>AVERAGE($CB2437,$CC2437,$CM2437,$CE2437,$CP2437)</f>
        <v/>
      </c>
      <c r="DY2437" s="64">
        <f>($DW2437-$DW2438)*100</f>
        <v/>
      </c>
      <c r="DZ2437" s="64">
        <f>($DX2437-$DX2438)*100</f>
        <v/>
      </c>
      <c r="EA2437" s="64">
        <f>($DW2437-$D2437)*100</f>
        <v/>
      </c>
      <c r="EB2437" s="64">
        <f>$Q2437-$O2437</f>
        <v/>
      </c>
      <c r="EC2437" s="67">
        <f>IFERROR($Q2437/$P2437,"")</f>
        <v/>
      </c>
    </row>
    <row r="2438">
      <c r="DG2438" s="64">
        <f>($B2438-$B2439)*100</f>
        <v/>
      </c>
      <c r="DH2438" s="64">
        <f>($D2438-$D2439)*100</f>
        <v/>
      </c>
      <c r="DI2438" s="64">
        <f>($E2438-$E2439)*100</f>
        <v/>
      </c>
      <c r="DJ2438" s="64">
        <f>($H2438-$H2439)*100</f>
        <v/>
      </c>
      <c r="DK2438" s="65">
        <f>IFERROR($J2438/$J2439-1,"")</f>
        <v/>
      </c>
      <c r="DL2438" s="64">
        <f>$L2438-$L2439</f>
        <v/>
      </c>
      <c r="DM2438" s="64">
        <f>$K2438-$K2439</f>
        <v/>
      </c>
      <c r="DN2438" s="65">
        <f>IFERROR($N2438/$N2439-1,"")</f>
        <v/>
      </c>
      <c r="DO2438" s="65">
        <f>IFERROR($M2438/$M2439-1,"")</f>
        <v/>
      </c>
      <c r="DP2438" s="65">
        <f>IFERROR($AZ2438/$AZ2439-1,"")</f>
        <v/>
      </c>
      <c r="DQ2438" s="65">
        <f>IFERROR($BA2438/$BA2439-1,"")</f>
        <v/>
      </c>
      <c r="DR2438" s="64">
        <f>$O2438-$O2439</f>
        <v/>
      </c>
      <c r="DS2438" s="64">
        <f>$P2438-$P2439</f>
        <v/>
      </c>
      <c r="DT2438" s="64">
        <f>$Q2438-$Q2439</f>
        <v/>
      </c>
      <c r="DU2438" s="64">
        <f>$S2438-$S2439</f>
        <v/>
      </c>
      <c r="DV2438" s="65">
        <f>IFERROR(AVERAGE($AA2439/$AA2438-1,$AB2439/$AB2438-1,$AC2439/$AC2438-1,$AD2439/$AD2438-1,$AE2439/$AE2438-1,$AG2439/$AG2438-1,$AH2439/$AH2438-1,$AI2439/$AI2438-1,$AJ2439/$AJ2438-1,$AL2439/$AL2438-1,$AM2439/$AM2438-1,$AR2439/$AR2438-1,$AS2439/$AS2438-1,$AT2439/$AT2438-1,$AU2439/$AU2438-1,$AV2439/$AV2438-1,$AW2439/$AW2438-1,$AX2439/$AX2438-1,$AY2439/$AY2438-1),"")</f>
        <v/>
      </c>
      <c r="DW2438" s="66">
        <f>AVERAGE($CB2438,$CC2438,$CD2438,$CE2438,$CF2438,$CG2438,$CH2438,$CI2438,$CJ2438,$CL2438,$CM2438,$CN2438,$CO2438,$CP2438,$CQ2438,$CR2438,$CS2438,$CT2438)</f>
        <v/>
      </c>
      <c r="DX2438" s="66">
        <f>AVERAGE($CB2438,$CC2438,$CM2438,$CE2438,$CP2438)</f>
        <v/>
      </c>
      <c r="DY2438" s="64">
        <f>($DW2438-$DW2439)*100</f>
        <v/>
      </c>
      <c r="DZ2438" s="64">
        <f>($DX2438-$DX2439)*100</f>
        <v/>
      </c>
      <c r="EA2438" s="64">
        <f>($DW2438-$D2438)*100</f>
        <v/>
      </c>
      <c r="EB2438" s="64">
        <f>$Q2438-$O2438</f>
        <v/>
      </c>
      <c r="EC2438" s="67">
        <f>IFERROR($Q2438/$P2438,"")</f>
        <v/>
      </c>
    </row>
    <row r="2439">
      <c r="DG2439" s="64">
        <f>($B2439-$B2440)*100</f>
        <v/>
      </c>
      <c r="DH2439" s="64">
        <f>($D2439-$D2440)*100</f>
        <v/>
      </c>
      <c r="DI2439" s="64">
        <f>($E2439-$E2440)*100</f>
        <v/>
      </c>
      <c r="DJ2439" s="64">
        <f>($H2439-$H2440)*100</f>
        <v/>
      </c>
      <c r="DK2439" s="65">
        <f>IFERROR($J2439/$J2440-1,"")</f>
        <v/>
      </c>
      <c r="DL2439" s="64">
        <f>$L2439-$L2440</f>
        <v/>
      </c>
      <c r="DM2439" s="64">
        <f>$K2439-$K2440</f>
        <v/>
      </c>
      <c r="DN2439" s="65">
        <f>IFERROR($N2439/$N2440-1,"")</f>
        <v/>
      </c>
      <c r="DO2439" s="65">
        <f>IFERROR($M2439/$M2440-1,"")</f>
        <v/>
      </c>
      <c r="DP2439" s="65">
        <f>IFERROR($AZ2439/$AZ2440-1,"")</f>
        <v/>
      </c>
      <c r="DQ2439" s="65">
        <f>IFERROR($BA2439/$BA2440-1,"")</f>
        <v/>
      </c>
      <c r="DR2439" s="64">
        <f>$O2439-$O2440</f>
        <v/>
      </c>
      <c r="DS2439" s="64">
        <f>$P2439-$P2440</f>
        <v/>
      </c>
      <c r="DT2439" s="64">
        <f>$Q2439-$Q2440</f>
        <v/>
      </c>
      <c r="DU2439" s="64">
        <f>$S2439-$S2440</f>
        <v/>
      </c>
      <c r="DV2439" s="65">
        <f>IFERROR(AVERAGE($AA2440/$AA2439-1,$AB2440/$AB2439-1,$AC2440/$AC2439-1,$AD2440/$AD2439-1,$AE2440/$AE2439-1,$AG2440/$AG2439-1,$AH2440/$AH2439-1,$AI2440/$AI2439-1,$AJ2440/$AJ2439-1,$AL2440/$AL2439-1,$AM2440/$AM2439-1,$AR2440/$AR2439-1,$AS2440/$AS2439-1,$AT2440/$AT2439-1,$AU2440/$AU2439-1,$AV2440/$AV2439-1,$AW2440/$AW2439-1,$AX2440/$AX2439-1,$AY2440/$AY2439-1),"")</f>
        <v/>
      </c>
      <c r="DW2439" s="66">
        <f>AVERAGE($CB2439,$CC2439,$CD2439,$CE2439,$CF2439,$CG2439,$CH2439,$CI2439,$CJ2439,$CL2439,$CM2439,$CN2439,$CO2439,$CP2439,$CQ2439,$CR2439,$CS2439,$CT2439)</f>
        <v/>
      </c>
      <c r="DX2439" s="66">
        <f>AVERAGE($CB2439,$CC2439,$CM2439,$CE2439,$CP2439)</f>
        <v/>
      </c>
      <c r="DY2439" s="64">
        <f>($DW2439-$DW2440)*100</f>
        <v/>
      </c>
      <c r="DZ2439" s="64">
        <f>($DX2439-$DX2440)*100</f>
        <v/>
      </c>
      <c r="EA2439" s="64">
        <f>($DW2439-$D2439)*100</f>
        <v/>
      </c>
      <c r="EB2439" s="64">
        <f>$Q2439-$O2439</f>
        <v/>
      </c>
      <c r="EC2439" s="67">
        <f>IFERROR($Q2439/$P2439,"")</f>
        <v/>
      </c>
    </row>
    <row r="2440">
      <c r="DG2440" s="64">
        <f>($B2440-$B2441)*100</f>
        <v/>
      </c>
      <c r="DH2440" s="64">
        <f>($D2440-$D2441)*100</f>
        <v/>
      </c>
      <c r="DI2440" s="64">
        <f>($E2440-$E2441)*100</f>
        <v/>
      </c>
      <c r="DJ2440" s="64">
        <f>($H2440-$H2441)*100</f>
        <v/>
      </c>
      <c r="DK2440" s="65">
        <f>IFERROR($J2440/$J2441-1,"")</f>
        <v/>
      </c>
      <c r="DL2440" s="64">
        <f>$L2440-$L2441</f>
        <v/>
      </c>
      <c r="DM2440" s="64">
        <f>$K2440-$K2441</f>
        <v/>
      </c>
      <c r="DN2440" s="65">
        <f>IFERROR($N2440/$N2441-1,"")</f>
        <v/>
      </c>
      <c r="DO2440" s="65">
        <f>IFERROR($M2440/$M2441-1,"")</f>
        <v/>
      </c>
      <c r="DP2440" s="65">
        <f>IFERROR($AZ2440/$AZ2441-1,"")</f>
        <v/>
      </c>
      <c r="DQ2440" s="65">
        <f>IFERROR($BA2440/$BA2441-1,"")</f>
        <v/>
      </c>
      <c r="DR2440" s="64">
        <f>$O2440-$O2441</f>
        <v/>
      </c>
      <c r="DS2440" s="64">
        <f>$P2440-$P2441</f>
        <v/>
      </c>
      <c r="DT2440" s="64">
        <f>$Q2440-$Q2441</f>
        <v/>
      </c>
      <c r="DU2440" s="64">
        <f>$S2440-$S2441</f>
        <v/>
      </c>
      <c r="DV2440" s="65">
        <f>IFERROR(AVERAGE($AA2441/$AA2440-1,$AB2441/$AB2440-1,$AC2441/$AC2440-1,$AD2441/$AD2440-1,$AE2441/$AE2440-1,$AG2441/$AG2440-1,$AH2441/$AH2440-1,$AI2441/$AI2440-1,$AJ2441/$AJ2440-1,$AL2441/$AL2440-1,$AM2441/$AM2440-1,$AR2441/$AR2440-1,$AS2441/$AS2440-1,$AT2441/$AT2440-1,$AU2441/$AU2440-1,$AV2441/$AV2440-1,$AW2441/$AW2440-1,$AX2441/$AX2440-1,$AY2441/$AY2440-1),"")</f>
        <v/>
      </c>
      <c r="DW2440" s="66">
        <f>AVERAGE($CB2440,$CC2440,$CD2440,$CE2440,$CF2440,$CG2440,$CH2440,$CI2440,$CJ2440,$CL2440,$CM2440,$CN2440,$CO2440,$CP2440,$CQ2440,$CR2440,$CS2440,$CT2440)</f>
        <v/>
      </c>
      <c r="DX2440" s="66">
        <f>AVERAGE($CB2440,$CC2440,$CM2440,$CE2440,$CP2440)</f>
        <v/>
      </c>
      <c r="DY2440" s="64">
        <f>($DW2440-$DW2441)*100</f>
        <v/>
      </c>
      <c r="DZ2440" s="64">
        <f>($DX2440-$DX2441)*100</f>
        <v/>
      </c>
      <c r="EA2440" s="64">
        <f>($DW2440-$D2440)*100</f>
        <v/>
      </c>
      <c r="EB2440" s="64">
        <f>$Q2440-$O2440</f>
        <v/>
      </c>
      <c r="EC2440" s="67">
        <f>IFERROR($Q2440/$P2440,"")</f>
        <v/>
      </c>
    </row>
    <row r="2441">
      <c r="DG2441" s="64">
        <f>($B2441-$B2442)*100</f>
        <v/>
      </c>
      <c r="DH2441" s="64">
        <f>($D2441-$D2442)*100</f>
        <v/>
      </c>
      <c r="DI2441" s="64">
        <f>($E2441-$E2442)*100</f>
        <v/>
      </c>
      <c r="DJ2441" s="64">
        <f>($H2441-$H2442)*100</f>
        <v/>
      </c>
      <c r="DK2441" s="65">
        <f>IFERROR($J2441/$J2442-1,"")</f>
        <v/>
      </c>
      <c r="DL2441" s="64">
        <f>$L2441-$L2442</f>
        <v/>
      </c>
      <c r="DM2441" s="64">
        <f>$K2441-$K2442</f>
        <v/>
      </c>
      <c r="DN2441" s="65">
        <f>IFERROR($N2441/$N2442-1,"")</f>
        <v/>
      </c>
      <c r="DO2441" s="65">
        <f>IFERROR($M2441/$M2442-1,"")</f>
        <v/>
      </c>
      <c r="DP2441" s="65">
        <f>IFERROR($AZ2441/$AZ2442-1,"")</f>
        <v/>
      </c>
      <c r="DQ2441" s="65">
        <f>IFERROR($BA2441/$BA2442-1,"")</f>
        <v/>
      </c>
      <c r="DR2441" s="64">
        <f>$O2441-$O2442</f>
        <v/>
      </c>
      <c r="DS2441" s="64">
        <f>$P2441-$P2442</f>
        <v/>
      </c>
      <c r="DT2441" s="64">
        <f>$Q2441-$Q2442</f>
        <v/>
      </c>
      <c r="DU2441" s="64">
        <f>$S2441-$S2442</f>
        <v/>
      </c>
      <c r="DV2441" s="65">
        <f>IFERROR(AVERAGE($AA2442/$AA2441-1,$AB2442/$AB2441-1,$AC2442/$AC2441-1,$AD2442/$AD2441-1,$AE2442/$AE2441-1,$AG2442/$AG2441-1,$AH2442/$AH2441-1,$AI2442/$AI2441-1,$AJ2442/$AJ2441-1,$AL2442/$AL2441-1,$AM2442/$AM2441-1,$AR2442/$AR2441-1,$AS2442/$AS2441-1,$AT2442/$AT2441-1,$AU2442/$AU2441-1,$AV2442/$AV2441-1,$AW2442/$AW2441-1,$AX2442/$AX2441-1,$AY2442/$AY2441-1),"")</f>
        <v/>
      </c>
      <c r="DW2441" s="66">
        <f>AVERAGE($CB2441,$CC2441,$CD2441,$CE2441,$CF2441,$CG2441,$CH2441,$CI2441,$CJ2441,$CL2441,$CM2441,$CN2441,$CO2441,$CP2441,$CQ2441,$CR2441,$CS2441,$CT2441)</f>
        <v/>
      </c>
      <c r="DX2441" s="66">
        <f>AVERAGE($CB2441,$CC2441,$CM2441,$CE2441,$CP2441)</f>
        <v/>
      </c>
      <c r="DY2441" s="64">
        <f>($DW2441-$DW2442)*100</f>
        <v/>
      </c>
      <c r="DZ2441" s="64">
        <f>($DX2441-$DX2442)*100</f>
        <v/>
      </c>
      <c r="EA2441" s="64">
        <f>($DW2441-$D2441)*100</f>
        <v/>
      </c>
      <c r="EB2441" s="64">
        <f>$Q2441-$O2441</f>
        <v/>
      </c>
      <c r="EC2441" s="67">
        <f>IFERROR($Q2441/$P2441,"")</f>
        <v/>
      </c>
    </row>
    <row r="2442">
      <c r="DG2442" s="64">
        <f>($B2442-$B2443)*100</f>
        <v/>
      </c>
      <c r="DH2442" s="64">
        <f>($D2442-$D2443)*100</f>
        <v/>
      </c>
      <c r="DI2442" s="64">
        <f>($E2442-$E2443)*100</f>
        <v/>
      </c>
      <c r="DJ2442" s="64">
        <f>($H2442-$H2443)*100</f>
        <v/>
      </c>
      <c r="DK2442" s="65">
        <f>IFERROR($J2442/$J2443-1,"")</f>
        <v/>
      </c>
      <c r="DL2442" s="64">
        <f>$L2442-$L2443</f>
        <v/>
      </c>
      <c r="DM2442" s="64">
        <f>$K2442-$K2443</f>
        <v/>
      </c>
      <c r="DN2442" s="65">
        <f>IFERROR($N2442/$N2443-1,"")</f>
        <v/>
      </c>
      <c r="DO2442" s="65">
        <f>IFERROR($M2442/$M2443-1,"")</f>
        <v/>
      </c>
      <c r="DP2442" s="65">
        <f>IFERROR($AZ2442/$AZ2443-1,"")</f>
        <v/>
      </c>
      <c r="DQ2442" s="65">
        <f>IFERROR($BA2442/$BA2443-1,"")</f>
        <v/>
      </c>
      <c r="DR2442" s="64">
        <f>$O2442-$O2443</f>
        <v/>
      </c>
      <c r="DS2442" s="64">
        <f>$P2442-$P2443</f>
        <v/>
      </c>
      <c r="DT2442" s="64">
        <f>$Q2442-$Q2443</f>
        <v/>
      </c>
      <c r="DU2442" s="64">
        <f>$S2442-$S2443</f>
        <v/>
      </c>
      <c r="DV2442" s="65">
        <f>IFERROR(AVERAGE($AA2443/$AA2442-1,$AB2443/$AB2442-1,$AC2443/$AC2442-1,$AD2443/$AD2442-1,$AE2443/$AE2442-1,$AG2443/$AG2442-1,$AH2443/$AH2442-1,$AI2443/$AI2442-1,$AJ2443/$AJ2442-1,$AL2443/$AL2442-1,$AM2443/$AM2442-1,$AR2443/$AR2442-1,$AS2443/$AS2442-1,$AT2443/$AT2442-1,$AU2443/$AU2442-1,$AV2443/$AV2442-1,$AW2443/$AW2442-1,$AX2443/$AX2442-1,$AY2443/$AY2442-1),"")</f>
        <v/>
      </c>
      <c r="DW2442" s="66">
        <f>AVERAGE($CB2442,$CC2442,$CD2442,$CE2442,$CF2442,$CG2442,$CH2442,$CI2442,$CJ2442,$CL2442,$CM2442,$CN2442,$CO2442,$CP2442,$CQ2442,$CR2442,$CS2442,$CT2442)</f>
        <v/>
      </c>
      <c r="DX2442" s="66">
        <f>AVERAGE($CB2442,$CC2442,$CM2442,$CE2442,$CP2442)</f>
        <v/>
      </c>
      <c r="DY2442" s="64">
        <f>($DW2442-$DW2443)*100</f>
        <v/>
      </c>
      <c r="DZ2442" s="64">
        <f>($DX2442-$DX2443)*100</f>
        <v/>
      </c>
      <c r="EA2442" s="64">
        <f>($DW2442-$D2442)*100</f>
        <v/>
      </c>
      <c r="EB2442" s="64">
        <f>$Q2442-$O2442</f>
        <v/>
      </c>
      <c r="EC2442" s="67">
        <f>IFERROR($Q2442/$P2442,"")</f>
        <v/>
      </c>
    </row>
    <row r="2443">
      <c r="DG2443" s="64">
        <f>($B2443-$B2444)*100</f>
        <v/>
      </c>
      <c r="DH2443" s="64">
        <f>($D2443-$D2444)*100</f>
        <v/>
      </c>
      <c r="DI2443" s="64">
        <f>($E2443-$E2444)*100</f>
        <v/>
      </c>
      <c r="DJ2443" s="64">
        <f>($H2443-$H2444)*100</f>
        <v/>
      </c>
      <c r="DK2443" s="65">
        <f>IFERROR($J2443/$J2444-1,"")</f>
        <v/>
      </c>
      <c r="DL2443" s="64">
        <f>$L2443-$L2444</f>
        <v/>
      </c>
      <c r="DM2443" s="64">
        <f>$K2443-$K2444</f>
        <v/>
      </c>
      <c r="DN2443" s="65">
        <f>IFERROR($N2443/$N2444-1,"")</f>
        <v/>
      </c>
      <c r="DO2443" s="65">
        <f>IFERROR($M2443/$M2444-1,"")</f>
        <v/>
      </c>
      <c r="DP2443" s="65">
        <f>IFERROR($AZ2443/$AZ2444-1,"")</f>
        <v/>
      </c>
      <c r="DQ2443" s="65">
        <f>IFERROR($BA2443/$BA2444-1,"")</f>
        <v/>
      </c>
      <c r="DR2443" s="64">
        <f>$O2443-$O2444</f>
        <v/>
      </c>
      <c r="DS2443" s="64">
        <f>$P2443-$P2444</f>
        <v/>
      </c>
      <c r="DT2443" s="64">
        <f>$Q2443-$Q2444</f>
        <v/>
      </c>
      <c r="DU2443" s="64">
        <f>$S2443-$S2444</f>
        <v/>
      </c>
      <c r="DV2443" s="65">
        <f>IFERROR(AVERAGE($AA2444/$AA2443-1,$AB2444/$AB2443-1,$AC2444/$AC2443-1,$AD2444/$AD2443-1,$AE2444/$AE2443-1,$AG2444/$AG2443-1,$AH2444/$AH2443-1,$AI2444/$AI2443-1,$AJ2444/$AJ2443-1,$AL2444/$AL2443-1,$AM2444/$AM2443-1,$AR2444/$AR2443-1,$AS2444/$AS2443-1,$AT2444/$AT2443-1,$AU2444/$AU2443-1,$AV2444/$AV2443-1,$AW2444/$AW2443-1,$AX2444/$AX2443-1,$AY2444/$AY2443-1),"")</f>
        <v/>
      </c>
      <c r="DW2443" s="66">
        <f>AVERAGE($CB2443,$CC2443,$CD2443,$CE2443,$CF2443,$CG2443,$CH2443,$CI2443,$CJ2443,$CL2443,$CM2443,$CN2443,$CO2443,$CP2443,$CQ2443,$CR2443,$CS2443,$CT2443)</f>
        <v/>
      </c>
      <c r="DX2443" s="66">
        <f>AVERAGE($CB2443,$CC2443,$CM2443,$CE2443,$CP2443)</f>
        <v/>
      </c>
      <c r="DY2443" s="64">
        <f>($DW2443-$DW2444)*100</f>
        <v/>
      </c>
      <c r="DZ2443" s="64">
        <f>($DX2443-$DX2444)*100</f>
        <v/>
      </c>
      <c r="EA2443" s="64">
        <f>($DW2443-$D2443)*100</f>
        <v/>
      </c>
      <c r="EB2443" s="64">
        <f>$Q2443-$O2443</f>
        <v/>
      </c>
      <c r="EC2443" s="67">
        <f>IFERROR($Q2443/$P2443,"")</f>
        <v/>
      </c>
    </row>
    <row r="2444">
      <c r="DG2444" s="64">
        <f>($B2444-$B2445)*100</f>
        <v/>
      </c>
      <c r="DH2444" s="64">
        <f>($D2444-$D2445)*100</f>
        <v/>
      </c>
      <c r="DI2444" s="64">
        <f>($E2444-$E2445)*100</f>
        <v/>
      </c>
      <c r="DJ2444" s="64">
        <f>($H2444-$H2445)*100</f>
        <v/>
      </c>
      <c r="DK2444" s="65">
        <f>IFERROR($J2444/$J2445-1,"")</f>
        <v/>
      </c>
      <c r="DL2444" s="64">
        <f>$L2444-$L2445</f>
        <v/>
      </c>
      <c r="DM2444" s="64">
        <f>$K2444-$K2445</f>
        <v/>
      </c>
      <c r="DN2444" s="65">
        <f>IFERROR($N2444/$N2445-1,"")</f>
        <v/>
      </c>
      <c r="DO2444" s="65">
        <f>IFERROR($M2444/$M2445-1,"")</f>
        <v/>
      </c>
      <c r="DP2444" s="65">
        <f>IFERROR($AZ2444/$AZ2445-1,"")</f>
        <v/>
      </c>
      <c r="DQ2444" s="65">
        <f>IFERROR($BA2444/$BA2445-1,"")</f>
        <v/>
      </c>
      <c r="DR2444" s="64">
        <f>$O2444-$O2445</f>
        <v/>
      </c>
      <c r="DS2444" s="64">
        <f>$P2444-$P2445</f>
        <v/>
      </c>
      <c r="DT2444" s="64">
        <f>$Q2444-$Q2445</f>
        <v/>
      </c>
      <c r="DU2444" s="64">
        <f>$S2444-$S2445</f>
        <v/>
      </c>
      <c r="DV2444" s="65">
        <f>IFERROR(AVERAGE($AA2445/$AA2444-1,$AB2445/$AB2444-1,$AC2445/$AC2444-1,$AD2445/$AD2444-1,$AE2445/$AE2444-1,$AG2445/$AG2444-1,$AH2445/$AH2444-1,$AI2445/$AI2444-1,$AJ2445/$AJ2444-1,$AL2445/$AL2444-1,$AM2445/$AM2444-1,$AR2445/$AR2444-1,$AS2445/$AS2444-1,$AT2445/$AT2444-1,$AU2445/$AU2444-1,$AV2445/$AV2444-1,$AW2445/$AW2444-1,$AX2445/$AX2444-1,$AY2445/$AY2444-1),"")</f>
        <v/>
      </c>
      <c r="DW2444" s="66">
        <f>AVERAGE($CB2444,$CC2444,$CD2444,$CE2444,$CF2444,$CG2444,$CH2444,$CI2444,$CJ2444,$CL2444,$CM2444,$CN2444,$CO2444,$CP2444,$CQ2444,$CR2444,$CS2444,$CT2444)</f>
        <v/>
      </c>
      <c r="DX2444" s="66">
        <f>AVERAGE($CB2444,$CC2444,$CM2444,$CE2444,$CP2444)</f>
        <v/>
      </c>
      <c r="DY2444" s="64">
        <f>($DW2444-$DW2445)*100</f>
        <v/>
      </c>
      <c r="DZ2444" s="64">
        <f>($DX2444-$DX2445)*100</f>
        <v/>
      </c>
      <c r="EA2444" s="64">
        <f>($DW2444-$D2444)*100</f>
        <v/>
      </c>
      <c r="EB2444" s="64">
        <f>$Q2444-$O2444</f>
        <v/>
      </c>
      <c r="EC2444" s="67">
        <f>IFERROR($Q2444/$P2444,"")</f>
        <v/>
      </c>
    </row>
    <row r="2445">
      <c r="DG2445" s="64">
        <f>($B2445-$B2446)*100</f>
        <v/>
      </c>
      <c r="DH2445" s="64">
        <f>($D2445-$D2446)*100</f>
        <v/>
      </c>
      <c r="DI2445" s="64">
        <f>($E2445-$E2446)*100</f>
        <v/>
      </c>
      <c r="DJ2445" s="64">
        <f>($H2445-$H2446)*100</f>
        <v/>
      </c>
      <c r="DK2445" s="65">
        <f>IFERROR($J2445/$J2446-1,"")</f>
        <v/>
      </c>
      <c r="DL2445" s="64">
        <f>$L2445-$L2446</f>
        <v/>
      </c>
      <c r="DM2445" s="64">
        <f>$K2445-$K2446</f>
        <v/>
      </c>
      <c r="DN2445" s="65">
        <f>IFERROR($N2445/$N2446-1,"")</f>
        <v/>
      </c>
      <c r="DO2445" s="65">
        <f>IFERROR($M2445/$M2446-1,"")</f>
        <v/>
      </c>
      <c r="DP2445" s="65">
        <f>IFERROR($AZ2445/$AZ2446-1,"")</f>
        <v/>
      </c>
      <c r="DQ2445" s="65">
        <f>IFERROR($BA2445/$BA2446-1,"")</f>
        <v/>
      </c>
      <c r="DR2445" s="64">
        <f>$O2445-$O2446</f>
        <v/>
      </c>
      <c r="DS2445" s="64">
        <f>$P2445-$P2446</f>
        <v/>
      </c>
      <c r="DT2445" s="64">
        <f>$Q2445-$Q2446</f>
        <v/>
      </c>
      <c r="DU2445" s="64">
        <f>$S2445-$S2446</f>
        <v/>
      </c>
      <c r="DV2445" s="65">
        <f>IFERROR(AVERAGE($AA2446/$AA2445-1,$AB2446/$AB2445-1,$AC2446/$AC2445-1,$AD2446/$AD2445-1,$AE2446/$AE2445-1,$AG2446/$AG2445-1,$AH2446/$AH2445-1,$AI2446/$AI2445-1,$AJ2446/$AJ2445-1,$AL2446/$AL2445-1,$AM2446/$AM2445-1,$AR2446/$AR2445-1,$AS2446/$AS2445-1,$AT2446/$AT2445-1,$AU2446/$AU2445-1,$AV2446/$AV2445-1,$AW2446/$AW2445-1,$AX2446/$AX2445-1,$AY2446/$AY2445-1),"")</f>
        <v/>
      </c>
      <c r="DW2445" s="66">
        <f>AVERAGE($CB2445,$CC2445,$CD2445,$CE2445,$CF2445,$CG2445,$CH2445,$CI2445,$CJ2445,$CL2445,$CM2445,$CN2445,$CO2445,$CP2445,$CQ2445,$CR2445,$CS2445,$CT2445)</f>
        <v/>
      </c>
      <c r="DX2445" s="66">
        <f>AVERAGE($CB2445,$CC2445,$CM2445,$CE2445,$CP2445)</f>
        <v/>
      </c>
      <c r="DY2445" s="64">
        <f>($DW2445-$DW2446)*100</f>
        <v/>
      </c>
      <c r="DZ2445" s="64">
        <f>($DX2445-$DX2446)*100</f>
        <v/>
      </c>
      <c r="EA2445" s="64">
        <f>($DW2445-$D2445)*100</f>
        <v/>
      </c>
      <c r="EB2445" s="64">
        <f>$Q2445-$O2445</f>
        <v/>
      </c>
      <c r="EC2445" s="67">
        <f>IFERROR($Q2445/$P2445,"")</f>
        <v/>
      </c>
    </row>
    <row r="2446">
      <c r="DG2446" s="64">
        <f>($B2446-$B2447)*100</f>
        <v/>
      </c>
      <c r="DH2446" s="64">
        <f>($D2446-$D2447)*100</f>
        <v/>
      </c>
      <c r="DI2446" s="64">
        <f>($E2446-$E2447)*100</f>
        <v/>
      </c>
      <c r="DJ2446" s="64">
        <f>($H2446-$H2447)*100</f>
        <v/>
      </c>
      <c r="DK2446" s="65">
        <f>IFERROR($J2446/$J2447-1,"")</f>
        <v/>
      </c>
      <c r="DL2446" s="64">
        <f>$L2446-$L2447</f>
        <v/>
      </c>
      <c r="DM2446" s="64">
        <f>$K2446-$K2447</f>
        <v/>
      </c>
      <c r="DN2446" s="65">
        <f>IFERROR($N2446/$N2447-1,"")</f>
        <v/>
      </c>
      <c r="DO2446" s="65">
        <f>IFERROR($M2446/$M2447-1,"")</f>
        <v/>
      </c>
      <c r="DP2446" s="65">
        <f>IFERROR($AZ2446/$AZ2447-1,"")</f>
        <v/>
      </c>
      <c r="DQ2446" s="65">
        <f>IFERROR($BA2446/$BA2447-1,"")</f>
        <v/>
      </c>
      <c r="DR2446" s="64">
        <f>$O2446-$O2447</f>
        <v/>
      </c>
      <c r="DS2446" s="64">
        <f>$P2446-$P2447</f>
        <v/>
      </c>
      <c r="DT2446" s="64">
        <f>$Q2446-$Q2447</f>
        <v/>
      </c>
      <c r="DU2446" s="64">
        <f>$S2446-$S2447</f>
        <v/>
      </c>
      <c r="DV2446" s="65">
        <f>IFERROR(AVERAGE($AA2447/$AA2446-1,$AB2447/$AB2446-1,$AC2447/$AC2446-1,$AD2447/$AD2446-1,$AE2447/$AE2446-1,$AG2447/$AG2446-1,$AH2447/$AH2446-1,$AI2447/$AI2446-1,$AJ2447/$AJ2446-1,$AL2447/$AL2446-1,$AM2447/$AM2446-1,$AR2447/$AR2446-1,$AS2447/$AS2446-1,$AT2447/$AT2446-1,$AU2447/$AU2446-1,$AV2447/$AV2446-1,$AW2447/$AW2446-1,$AX2447/$AX2446-1,$AY2447/$AY2446-1),"")</f>
        <v/>
      </c>
      <c r="DW2446" s="66">
        <f>AVERAGE($CB2446,$CC2446,$CD2446,$CE2446,$CF2446,$CG2446,$CH2446,$CI2446,$CJ2446,$CL2446,$CM2446,$CN2446,$CO2446,$CP2446,$CQ2446,$CR2446,$CS2446,$CT2446)</f>
        <v/>
      </c>
      <c r="DX2446" s="66">
        <f>AVERAGE($CB2446,$CC2446,$CM2446,$CE2446,$CP2446)</f>
        <v/>
      </c>
      <c r="DY2446" s="64">
        <f>($DW2446-$DW2447)*100</f>
        <v/>
      </c>
      <c r="DZ2446" s="64">
        <f>($DX2446-$DX2447)*100</f>
        <v/>
      </c>
      <c r="EA2446" s="64">
        <f>($DW2446-$D2446)*100</f>
        <v/>
      </c>
      <c r="EB2446" s="64">
        <f>$Q2446-$O2446</f>
        <v/>
      </c>
      <c r="EC2446" s="67">
        <f>IFERROR($Q2446/$P2446,"")</f>
        <v/>
      </c>
    </row>
    <row r="2447">
      <c r="DG2447" s="64">
        <f>($B2447-$B2448)*100</f>
        <v/>
      </c>
      <c r="DH2447" s="64">
        <f>($D2447-$D2448)*100</f>
        <v/>
      </c>
      <c r="DI2447" s="64">
        <f>($E2447-$E2448)*100</f>
        <v/>
      </c>
      <c r="DJ2447" s="64">
        <f>($H2447-$H2448)*100</f>
        <v/>
      </c>
      <c r="DK2447" s="65">
        <f>IFERROR($J2447/$J2448-1,"")</f>
        <v/>
      </c>
      <c r="DL2447" s="64">
        <f>$L2447-$L2448</f>
        <v/>
      </c>
      <c r="DM2447" s="64">
        <f>$K2447-$K2448</f>
        <v/>
      </c>
      <c r="DN2447" s="65">
        <f>IFERROR($N2447/$N2448-1,"")</f>
        <v/>
      </c>
      <c r="DO2447" s="65">
        <f>IFERROR($M2447/$M2448-1,"")</f>
        <v/>
      </c>
      <c r="DP2447" s="65">
        <f>IFERROR($AZ2447/$AZ2448-1,"")</f>
        <v/>
      </c>
      <c r="DQ2447" s="65">
        <f>IFERROR($BA2447/$BA2448-1,"")</f>
        <v/>
      </c>
      <c r="DR2447" s="64">
        <f>$O2447-$O2448</f>
        <v/>
      </c>
      <c r="DS2447" s="64">
        <f>$P2447-$P2448</f>
        <v/>
      </c>
      <c r="DT2447" s="64">
        <f>$Q2447-$Q2448</f>
        <v/>
      </c>
      <c r="DU2447" s="64">
        <f>$S2447-$S2448</f>
        <v/>
      </c>
      <c r="DV2447" s="65">
        <f>IFERROR(AVERAGE($AA2448/$AA2447-1,$AB2448/$AB2447-1,$AC2448/$AC2447-1,$AD2448/$AD2447-1,$AE2448/$AE2447-1,$AG2448/$AG2447-1,$AH2448/$AH2447-1,$AI2448/$AI2447-1,$AJ2448/$AJ2447-1,$AL2448/$AL2447-1,$AM2448/$AM2447-1,$AR2448/$AR2447-1,$AS2448/$AS2447-1,$AT2448/$AT2447-1,$AU2448/$AU2447-1,$AV2448/$AV2447-1,$AW2448/$AW2447-1,$AX2448/$AX2447-1,$AY2448/$AY2447-1),"")</f>
        <v/>
      </c>
      <c r="DW2447" s="66">
        <f>AVERAGE($CB2447,$CC2447,$CD2447,$CE2447,$CF2447,$CG2447,$CH2447,$CI2447,$CJ2447,$CL2447,$CM2447,$CN2447,$CO2447,$CP2447,$CQ2447,$CR2447,$CS2447,$CT2447)</f>
        <v/>
      </c>
      <c r="DX2447" s="66">
        <f>AVERAGE($CB2447,$CC2447,$CM2447,$CE2447,$CP2447)</f>
        <v/>
      </c>
      <c r="DY2447" s="64">
        <f>($DW2447-$DW2448)*100</f>
        <v/>
      </c>
      <c r="DZ2447" s="64">
        <f>($DX2447-$DX2448)*100</f>
        <v/>
      </c>
      <c r="EA2447" s="64">
        <f>($DW2447-$D2447)*100</f>
        <v/>
      </c>
      <c r="EB2447" s="64">
        <f>$Q2447-$O2447</f>
        <v/>
      </c>
      <c r="EC2447" s="67">
        <f>IFERROR($Q2447/$P2447,"")</f>
        <v/>
      </c>
    </row>
    <row r="2448">
      <c r="DG2448" s="64">
        <f>($B2448-$B2449)*100</f>
        <v/>
      </c>
      <c r="DH2448" s="64">
        <f>($D2448-$D2449)*100</f>
        <v/>
      </c>
      <c r="DI2448" s="64">
        <f>($E2448-$E2449)*100</f>
        <v/>
      </c>
      <c r="DJ2448" s="64">
        <f>($H2448-$H2449)*100</f>
        <v/>
      </c>
      <c r="DK2448" s="65">
        <f>IFERROR($J2448/$J2449-1,"")</f>
        <v/>
      </c>
      <c r="DL2448" s="64">
        <f>$L2448-$L2449</f>
        <v/>
      </c>
      <c r="DM2448" s="64">
        <f>$K2448-$K2449</f>
        <v/>
      </c>
      <c r="DN2448" s="65">
        <f>IFERROR($N2448/$N2449-1,"")</f>
        <v/>
      </c>
      <c r="DO2448" s="65">
        <f>IFERROR($M2448/$M2449-1,"")</f>
        <v/>
      </c>
      <c r="DP2448" s="65">
        <f>IFERROR($AZ2448/$AZ2449-1,"")</f>
        <v/>
      </c>
      <c r="DQ2448" s="65">
        <f>IFERROR($BA2448/$BA2449-1,"")</f>
        <v/>
      </c>
      <c r="DR2448" s="64">
        <f>$O2448-$O2449</f>
        <v/>
      </c>
      <c r="DS2448" s="64">
        <f>$P2448-$P2449</f>
        <v/>
      </c>
      <c r="DT2448" s="64">
        <f>$Q2448-$Q2449</f>
        <v/>
      </c>
      <c r="DU2448" s="64">
        <f>$S2448-$S2449</f>
        <v/>
      </c>
      <c r="DV2448" s="65">
        <f>IFERROR(AVERAGE($AA2449/$AA2448-1,$AB2449/$AB2448-1,$AC2449/$AC2448-1,$AD2449/$AD2448-1,$AE2449/$AE2448-1,$AG2449/$AG2448-1,$AH2449/$AH2448-1,$AI2449/$AI2448-1,$AJ2449/$AJ2448-1,$AL2449/$AL2448-1,$AM2449/$AM2448-1,$AR2449/$AR2448-1,$AS2449/$AS2448-1,$AT2449/$AT2448-1,$AU2449/$AU2448-1,$AV2449/$AV2448-1,$AW2449/$AW2448-1,$AX2449/$AX2448-1,$AY2449/$AY2448-1),"")</f>
        <v/>
      </c>
      <c r="DW2448" s="66">
        <f>AVERAGE($CB2448,$CC2448,$CD2448,$CE2448,$CF2448,$CG2448,$CH2448,$CI2448,$CJ2448,$CL2448,$CM2448,$CN2448,$CO2448,$CP2448,$CQ2448,$CR2448,$CS2448,$CT2448)</f>
        <v/>
      </c>
      <c r="DX2448" s="66">
        <f>AVERAGE($CB2448,$CC2448,$CM2448,$CE2448,$CP2448)</f>
        <v/>
      </c>
      <c r="DY2448" s="64">
        <f>($DW2448-$DW2449)*100</f>
        <v/>
      </c>
      <c r="DZ2448" s="64">
        <f>($DX2448-$DX2449)*100</f>
        <v/>
      </c>
      <c r="EA2448" s="64">
        <f>($DW2448-$D2448)*100</f>
        <v/>
      </c>
      <c r="EB2448" s="64">
        <f>$Q2448-$O2448</f>
        <v/>
      </c>
      <c r="EC2448" s="67">
        <f>IFERROR($Q2448/$P2448,"")</f>
        <v/>
      </c>
    </row>
    <row r="2449">
      <c r="DG2449" s="64">
        <f>($B2449-$B2450)*100</f>
        <v/>
      </c>
      <c r="DH2449" s="64">
        <f>($D2449-$D2450)*100</f>
        <v/>
      </c>
      <c r="DI2449" s="64">
        <f>($E2449-$E2450)*100</f>
        <v/>
      </c>
      <c r="DJ2449" s="64">
        <f>($H2449-$H2450)*100</f>
        <v/>
      </c>
      <c r="DK2449" s="65">
        <f>IFERROR($J2449/$J2450-1,"")</f>
        <v/>
      </c>
      <c r="DL2449" s="64">
        <f>$L2449-$L2450</f>
        <v/>
      </c>
      <c r="DM2449" s="64">
        <f>$K2449-$K2450</f>
        <v/>
      </c>
      <c r="DN2449" s="65">
        <f>IFERROR($N2449/$N2450-1,"")</f>
        <v/>
      </c>
      <c r="DO2449" s="65">
        <f>IFERROR($M2449/$M2450-1,"")</f>
        <v/>
      </c>
      <c r="DP2449" s="65">
        <f>IFERROR($AZ2449/$AZ2450-1,"")</f>
        <v/>
      </c>
      <c r="DQ2449" s="65">
        <f>IFERROR($BA2449/$BA2450-1,"")</f>
        <v/>
      </c>
      <c r="DR2449" s="64">
        <f>$O2449-$O2450</f>
        <v/>
      </c>
      <c r="DS2449" s="64">
        <f>$P2449-$P2450</f>
        <v/>
      </c>
      <c r="DT2449" s="64">
        <f>$Q2449-$Q2450</f>
        <v/>
      </c>
      <c r="DU2449" s="64">
        <f>$S2449-$S2450</f>
        <v/>
      </c>
      <c r="DV2449" s="65">
        <f>IFERROR(AVERAGE($AA2450/$AA2449-1,$AB2450/$AB2449-1,$AC2450/$AC2449-1,$AD2450/$AD2449-1,$AE2450/$AE2449-1,$AG2450/$AG2449-1,$AH2450/$AH2449-1,$AI2450/$AI2449-1,$AJ2450/$AJ2449-1,$AL2450/$AL2449-1,$AM2450/$AM2449-1,$AR2450/$AR2449-1,$AS2450/$AS2449-1,$AT2450/$AT2449-1,$AU2450/$AU2449-1,$AV2450/$AV2449-1,$AW2450/$AW2449-1,$AX2450/$AX2449-1,$AY2450/$AY2449-1),"")</f>
        <v/>
      </c>
      <c r="DW2449" s="66">
        <f>AVERAGE($CB2449,$CC2449,$CD2449,$CE2449,$CF2449,$CG2449,$CH2449,$CI2449,$CJ2449,$CL2449,$CM2449,$CN2449,$CO2449,$CP2449,$CQ2449,$CR2449,$CS2449,$CT2449)</f>
        <v/>
      </c>
      <c r="DX2449" s="66">
        <f>AVERAGE($CB2449,$CC2449,$CM2449,$CE2449,$CP2449)</f>
        <v/>
      </c>
      <c r="DY2449" s="64">
        <f>($DW2449-$DW2450)*100</f>
        <v/>
      </c>
      <c r="DZ2449" s="64">
        <f>($DX2449-$DX2450)*100</f>
        <v/>
      </c>
      <c r="EA2449" s="64">
        <f>($DW2449-$D2449)*100</f>
        <v/>
      </c>
      <c r="EB2449" s="64">
        <f>$Q2449-$O2449</f>
        <v/>
      </c>
      <c r="EC2449" s="67">
        <f>IFERROR($Q2449/$P2449,"")</f>
        <v/>
      </c>
    </row>
    <row r="2450">
      <c r="DG2450" s="64">
        <f>($B2450-$B2451)*100</f>
        <v/>
      </c>
      <c r="DH2450" s="64">
        <f>($D2450-$D2451)*100</f>
        <v/>
      </c>
      <c r="DI2450" s="64">
        <f>($E2450-$E2451)*100</f>
        <v/>
      </c>
      <c r="DJ2450" s="64">
        <f>($H2450-$H2451)*100</f>
        <v/>
      </c>
      <c r="DK2450" s="65">
        <f>IFERROR($J2450/$J2451-1,"")</f>
        <v/>
      </c>
      <c r="DL2450" s="64">
        <f>$L2450-$L2451</f>
        <v/>
      </c>
      <c r="DM2450" s="64">
        <f>$K2450-$K2451</f>
        <v/>
      </c>
      <c r="DN2450" s="65">
        <f>IFERROR($N2450/$N2451-1,"")</f>
        <v/>
      </c>
      <c r="DO2450" s="65">
        <f>IFERROR($M2450/$M2451-1,"")</f>
        <v/>
      </c>
      <c r="DP2450" s="65">
        <f>IFERROR($AZ2450/$AZ2451-1,"")</f>
        <v/>
      </c>
      <c r="DQ2450" s="65">
        <f>IFERROR($BA2450/$BA2451-1,"")</f>
        <v/>
      </c>
      <c r="DR2450" s="64">
        <f>$O2450-$O2451</f>
        <v/>
      </c>
      <c r="DS2450" s="64">
        <f>$P2450-$P2451</f>
        <v/>
      </c>
      <c r="DT2450" s="64">
        <f>$Q2450-$Q2451</f>
        <v/>
      </c>
      <c r="DU2450" s="64">
        <f>$S2450-$S2451</f>
        <v/>
      </c>
      <c r="DV2450" s="65">
        <f>IFERROR(AVERAGE($AA2451/$AA2450-1,$AB2451/$AB2450-1,$AC2451/$AC2450-1,$AD2451/$AD2450-1,$AE2451/$AE2450-1,$AG2451/$AG2450-1,$AH2451/$AH2450-1,$AI2451/$AI2450-1,$AJ2451/$AJ2450-1,$AL2451/$AL2450-1,$AM2451/$AM2450-1,$AR2451/$AR2450-1,$AS2451/$AS2450-1,$AT2451/$AT2450-1,$AU2451/$AU2450-1,$AV2451/$AV2450-1,$AW2451/$AW2450-1,$AX2451/$AX2450-1,$AY2451/$AY2450-1),"")</f>
        <v/>
      </c>
      <c r="DW2450" s="66">
        <f>AVERAGE($CB2450,$CC2450,$CD2450,$CE2450,$CF2450,$CG2450,$CH2450,$CI2450,$CJ2450,$CL2450,$CM2450,$CN2450,$CO2450,$CP2450,$CQ2450,$CR2450,$CS2450,$CT2450)</f>
        <v/>
      </c>
      <c r="DX2450" s="66">
        <f>AVERAGE($CB2450,$CC2450,$CM2450,$CE2450,$CP2450)</f>
        <v/>
      </c>
      <c r="DY2450" s="64">
        <f>($DW2450-$DW2451)*100</f>
        <v/>
      </c>
      <c r="DZ2450" s="64">
        <f>($DX2450-$DX2451)*100</f>
        <v/>
      </c>
      <c r="EA2450" s="64">
        <f>($DW2450-$D2450)*100</f>
        <v/>
      </c>
      <c r="EB2450" s="64">
        <f>$Q2450-$O2450</f>
        <v/>
      </c>
      <c r="EC2450" s="67">
        <f>IFERROR($Q2450/$P2450,"")</f>
        <v/>
      </c>
    </row>
    <row r="2451">
      <c r="DG2451" s="64">
        <f>($B2451-$B2452)*100</f>
        <v/>
      </c>
      <c r="DH2451" s="64">
        <f>($D2451-$D2452)*100</f>
        <v/>
      </c>
      <c r="DI2451" s="64">
        <f>($E2451-$E2452)*100</f>
        <v/>
      </c>
      <c r="DJ2451" s="64">
        <f>($H2451-$H2452)*100</f>
        <v/>
      </c>
      <c r="DK2451" s="65">
        <f>IFERROR($J2451/$J2452-1,"")</f>
        <v/>
      </c>
      <c r="DL2451" s="64">
        <f>$L2451-$L2452</f>
        <v/>
      </c>
      <c r="DM2451" s="64">
        <f>$K2451-$K2452</f>
        <v/>
      </c>
      <c r="DN2451" s="65">
        <f>IFERROR($N2451/$N2452-1,"")</f>
        <v/>
      </c>
      <c r="DO2451" s="65">
        <f>IFERROR($M2451/$M2452-1,"")</f>
        <v/>
      </c>
      <c r="DP2451" s="65">
        <f>IFERROR($AZ2451/$AZ2452-1,"")</f>
        <v/>
      </c>
      <c r="DQ2451" s="65">
        <f>IFERROR($BA2451/$BA2452-1,"")</f>
        <v/>
      </c>
      <c r="DR2451" s="64">
        <f>$O2451-$O2452</f>
        <v/>
      </c>
      <c r="DS2451" s="64">
        <f>$P2451-$P2452</f>
        <v/>
      </c>
      <c r="DT2451" s="64">
        <f>$Q2451-$Q2452</f>
        <v/>
      </c>
      <c r="DU2451" s="64">
        <f>$S2451-$S2452</f>
        <v/>
      </c>
      <c r="DV2451" s="65">
        <f>IFERROR(AVERAGE($AA2452/$AA2451-1,$AB2452/$AB2451-1,$AC2452/$AC2451-1,$AD2452/$AD2451-1,$AE2452/$AE2451-1,$AG2452/$AG2451-1,$AH2452/$AH2451-1,$AI2452/$AI2451-1,$AJ2452/$AJ2451-1,$AL2452/$AL2451-1,$AM2452/$AM2451-1,$AR2452/$AR2451-1,$AS2452/$AS2451-1,$AT2452/$AT2451-1,$AU2452/$AU2451-1,$AV2452/$AV2451-1,$AW2452/$AW2451-1,$AX2452/$AX2451-1,$AY2452/$AY2451-1),"")</f>
        <v/>
      </c>
      <c r="DW2451" s="66">
        <f>AVERAGE($CB2451,$CC2451,$CD2451,$CE2451,$CF2451,$CG2451,$CH2451,$CI2451,$CJ2451,$CL2451,$CM2451,$CN2451,$CO2451,$CP2451,$CQ2451,$CR2451,$CS2451,$CT2451)</f>
        <v/>
      </c>
      <c r="DX2451" s="66">
        <f>AVERAGE($CB2451,$CC2451,$CM2451,$CE2451,$CP2451)</f>
        <v/>
      </c>
      <c r="DY2451" s="64">
        <f>($DW2451-$DW2452)*100</f>
        <v/>
      </c>
      <c r="DZ2451" s="64">
        <f>($DX2451-$DX2452)*100</f>
        <v/>
      </c>
      <c r="EA2451" s="64">
        <f>($DW2451-$D2451)*100</f>
        <v/>
      </c>
      <c r="EB2451" s="64">
        <f>$Q2451-$O2451</f>
        <v/>
      </c>
      <c r="EC2451" s="67">
        <f>IFERROR($Q2451/$P2451,"")</f>
        <v/>
      </c>
    </row>
    <row r="2452">
      <c r="DG2452" s="64">
        <f>($B2452-$B2453)*100</f>
        <v/>
      </c>
      <c r="DH2452" s="64">
        <f>($D2452-$D2453)*100</f>
        <v/>
      </c>
      <c r="DI2452" s="64">
        <f>($E2452-$E2453)*100</f>
        <v/>
      </c>
      <c r="DJ2452" s="64">
        <f>($H2452-$H2453)*100</f>
        <v/>
      </c>
      <c r="DK2452" s="65">
        <f>IFERROR($J2452/$J2453-1,"")</f>
        <v/>
      </c>
      <c r="DL2452" s="64">
        <f>$L2452-$L2453</f>
        <v/>
      </c>
      <c r="DM2452" s="64">
        <f>$K2452-$K2453</f>
        <v/>
      </c>
      <c r="DN2452" s="65">
        <f>IFERROR($N2452/$N2453-1,"")</f>
        <v/>
      </c>
      <c r="DO2452" s="65">
        <f>IFERROR($M2452/$M2453-1,"")</f>
        <v/>
      </c>
      <c r="DP2452" s="65">
        <f>IFERROR($AZ2452/$AZ2453-1,"")</f>
        <v/>
      </c>
      <c r="DQ2452" s="65">
        <f>IFERROR($BA2452/$BA2453-1,"")</f>
        <v/>
      </c>
      <c r="DR2452" s="64">
        <f>$O2452-$O2453</f>
        <v/>
      </c>
      <c r="DS2452" s="64">
        <f>$P2452-$P2453</f>
        <v/>
      </c>
      <c r="DT2452" s="64">
        <f>$Q2452-$Q2453</f>
        <v/>
      </c>
      <c r="DU2452" s="64">
        <f>$S2452-$S2453</f>
        <v/>
      </c>
      <c r="DV2452" s="65">
        <f>IFERROR(AVERAGE($AA2453/$AA2452-1,$AB2453/$AB2452-1,$AC2453/$AC2452-1,$AD2453/$AD2452-1,$AE2453/$AE2452-1,$AG2453/$AG2452-1,$AH2453/$AH2452-1,$AI2453/$AI2452-1,$AJ2453/$AJ2452-1,$AL2453/$AL2452-1,$AM2453/$AM2452-1,$AR2453/$AR2452-1,$AS2453/$AS2452-1,$AT2453/$AT2452-1,$AU2453/$AU2452-1,$AV2453/$AV2452-1,$AW2453/$AW2452-1,$AX2453/$AX2452-1,$AY2453/$AY2452-1),"")</f>
        <v/>
      </c>
      <c r="DW2452" s="66">
        <f>AVERAGE($CB2452,$CC2452,$CD2452,$CE2452,$CF2452,$CG2452,$CH2452,$CI2452,$CJ2452,$CL2452,$CM2452,$CN2452,$CO2452,$CP2452,$CQ2452,$CR2452,$CS2452,$CT2452)</f>
        <v/>
      </c>
      <c r="DX2452" s="66">
        <f>AVERAGE($CB2452,$CC2452,$CM2452,$CE2452,$CP2452)</f>
        <v/>
      </c>
      <c r="DY2452" s="64">
        <f>($DW2452-$DW2453)*100</f>
        <v/>
      </c>
      <c r="DZ2452" s="64">
        <f>($DX2452-$DX2453)*100</f>
        <v/>
      </c>
      <c r="EA2452" s="64">
        <f>($DW2452-$D2452)*100</f>
        <v/>
      </c>
      <c r="EB2452" s="64">
        <f>$Q2452-$O2452</f>
        <v/>
      </c>
      <c r="EC2452" s="67">
        <f>IFERROR($Q2452/$P2452,"")</f>
        <v/>
      </c>
    </row>
    <row r="2453">
      <c r="DG2453" s="64">
        <f>($B2453-$B2454)*100</f>
        <v/>
      </c>
      <c r="DH2453" s="64">
        <f>($D2453-$D2454)*100</f>
        <v/>
      </c>
      <c r="DI2453" s="64">
        <f>($E2453-$E2454)*100</f>
        <v/>
      </c>
      <c r="DJ2453" s="64">
        <f>($H2453-$H2454)*100</f>
        <v/>
      </c>
      <c r="DK2453" s="65">
        <f>IFERROR($J2453/$J2454-1,"")</f>
        <v/>
      </c>
      <c r="DL2453" s="64">
        <f>$L2453-$L2454</f>
        <v/>
      </c>
      <c r="DM2453" s="64">
        <f>$K2453-$K2454</f>
        <v/>
      </c>
      <c r="DN2453" s="65">
        <f>IFERROR($N2453/$N2454-1,"")</f>
        <v/>
      </c>
      <c r="DO2453" s="65">
        <f>IFERROR($M2453/$M2454-1,"")</f>
        <v/>
      </c>
      <c r="DP2453" s="65">
        <f>IFERROR($AZ2453/$AZ2454-1,"")</f>
        <v/>
      </c>
      <c r="DQ2453" s="65">
        <f>IFERROR($BA2453/$BA2454-1,"")</f>
        <v/>
      </c>
      <c r="DR2453" s="64">
        <f>$O2453-$O2454</f>
        <v/>
      </c>
      <c r="DS2453" s="64">
        <f>$P2453-$P2454</f>
        <v/>
      </c>
      <c r="DT2453" s="64">
        <f>$Q2453-$Q2454</f>
        <v/>
      </c>
      <c r="DU2453" s="64">
        <f>$S2453-$S2454</f>
        <v/>
      </c>
      <c r="DV2453" s="65">
        <f>IFERROR(AVERAGE($AA2454/$AA2453-1,$AB2454/$AB2453-1,$AC2454/$AC2453-1,$AD2454/$AD2453-1,$AE2454/$AE2453-1,$AG2454/$AG2453-1,$AH2454/$AH2453-1,$AI2454/$AI2453-1,$AJ2454/$AJ2453-1,$AL2454/$AL2453-1,$AM2454/$AM2453-1,$AR2454/$AR2453-1,$AS2454/$AS2453-1,$AT2454/$AT2453-1,$AU2454/$AU2453-1,$AV2454/$AV2453-1,$AW2454/$AW2453-1,$AX2454/$AX2453-1,$AY2454/$AY2453-1),"")</f>
        <v/>
      </c>
      <c r="DW2453" s="66">
        <f>AVERAGE($CB2453,$CC2453,$CD2453,$CE2453,$CF2453,$CG2453,$CH2453,$CI2453,$CJ2453,$CL2453,$CM2453,$CN2453,$CO2453,$CP2453,$CQ2453,$CR2453,$CS2453,$CT2453)</f>
        <v/>
      </c>
      <c r="DX2453" s="66">
        <f>AVERAGE($CB2453,$CC2453,$CM2453,$CE2453,$CP2453)</f>
        <v/>
      </c>
      <c r="DY2453" s="64">
        <f>($DW2453-$DW2454)*100</f>
        <v/>
      </c>
      <c r="DZ2453" s="64">
        <f>($DX2453-$DX2454)*100</f>
        <v/>
      </c>
      <c r="EA2453" s="64">
        <f>($DW2453-$D2453)*100</f>
        <v/>
      </c>
      <c r="EB2453" s="64">
        <f>$Q2453-$O2453</f>
        <v/>
      </c>
      <c r="EC2453" s="67">
        <f>IFERROR($Q2453/$P2453,"")</f>
        <v/>
      </c>
    </row>
    <row r="2454">
      <c r="DG2454" s="64">
        <f>($B2454-$B2455)*100</f>
        <v/>
      </c>
      <c r="DH2454" s="64">
        <f>($D2454-$D2455)*100</f>
        <v/>
      </c>
      <c r="DI2454" s="64">
        <f>($E2454-$E2455)*100</f>
        <v/>
      </c>
      <c r="DJ2454" s="64">
        <f>($H2454-$H2455)*100</f>
        <v/>
      </c>
      <c r="DK2454" s="65">
        <f>IFERROR($J2454/$J2455-1,"")</f>
        <v/>
      </c>
      <c r="DL2454" s="64">
        <f>$L2454-$L2455</f>
        <v/>
      </c>
      <c r="DM2454" s="64">
        <f>$K2454-$K2455</f>
        <v/>
      </c>
      <c r="DN2454" s="65">
        <f>IFERROR($N2454/$N2455-1,"")</f>
        <v/>
      </c>
      <c r="DO2454" s="65">
        <f>IFERROR($M2454/$M2455-1,"")</f>
        <v/>
      </c>
      <c r="DP2454" s="65">
        <f>IFERROR($AZ2454/$AZ2455-1,"")</f>
        <v/>
      </c>
      <c r="DQ2454" s="65">
        <f>IFERROR($BA2454/$BA2455-1,"")</f>
        <v/>
      </c>
      <c r="DR2454" s="64">
        <f>$O2454-$O2455</f>
        <v/>
      </c>
      <c r="DS2454" s="64">
        <f>$P2454-$P2455</f>
        <v/>
      </c>
      <c r="DT2454" s="64">
        <f>$Q2454-$Q2455</f>
        <v/>
      </c>
      <c r="DU2454" s="64">
        <f>$S2454-$S2455</f>
        <v/>
      </c>
      <c r="DV2454" s="65">
        <f>IFERROR(AVERAGE($AA2455/$AA2454-1,$AB2455/$AB2454-1,$AC2455/$AC2454-1,$AD2455/$AD2454-1,$AE2455/$AE2454-1,$AG2455/$AG2454-1,$AH2455/$AH2454-1,$AI2455/$AI2454-1,$AJ2455/$AJ2454-1,$AL2455/$AL2454-1,$AM2455/$AM2454-1,$AR2455/$AR2454-1,$AS2455/$AS2454-1,$AT2455/$AT2454-1,$AU2455/$AU2454-1,$AV2455/$AV2454-1,$AW2455/$AW2454-1,$AX2455/$AX2454-1,$AY2455/$AY2454-1),"")</f>
        <v/>
      </c>
      <c r="DW2454" s="66">
        <f>AVERAGE($CB2454,$CC2454,$CD2454,$CE2454,$CF2454,$CG2454,$CH2454,$CI2454,$CJ2454,$CL2454,$CM2454,$CN2454,$CO2454,$CP2454,$CQ2454,$CR2454,$CS2454,$CT2454)</f>
        <v/>
      </c>
      <c r="DX2454" s="66">
        <f>AVERAGE($CB2454,$CC2454,$CM2454,$CE2454,$CP2454)</f>
        <v/>
      </c>
      <c r="DY2454" s="64">
        <f>($DW2454-$DW2455)*100</f>
        <v/>
      </c>
      <c r="DZ2454" s="64">
        <f>($DX2454-$DX2455)*100</f>
        <v/>
      </c>
      <c r="EA2454" s="64">
        <f>($DW2454-$D2454)*100</f>
        <v/>
      </c>
      <c r="EB2454" s="64">
        <f>$Q2454-$O2454</f>
        <v/>
      </c>
      <c r="EC2454" s="67">
        <f>IFERROR($Q2454/$P2454,"")</f>
        <v/>
      </c>
    </row>
    <row r="2455">
      <c r="DG2455" s="64">
        <f>($B2455-$B2456)*100</f>
        <v/>
      </c>
      <c r="DH2455" s="64">
        <f>($D2455-$D2456)*100</f>
        <v/>
      </c>
      <c r="DI2455" s="64">
        <f>($E2455-$E2456)*100</f>
        <v/>
      </c>
      <c r="DJ2455" s="64">
        <f>($H2455-$H2456)*100</f>
        <v/>
      </c>
      <c r="DK2455" s="65">
        <f>IFERROR($J2455/$J2456-1,"")</f>
        <v/>
      </c>
      <c r="DL2455" s="64">
        <f>$L2455-$L2456</f>
        <v/>
      </c>
      <c r="DM2455" s="64">
        <f>$K2455-$K2456</f>
        <v/>
      </c>
      <c r="DN2455" s="65">
        <f>IFERROR($N2455/$N2456-1,"")</f>
        <v/>
      </c>
      <c r="DO2455" s="65">
        <f>IFERROR($M2455/$M2456-1,"")</f>
        <v/>
      </c>
      <c r="DP2455" s="65">
        <f>IFERROR($AZ2455/$AZ2456-1,"")</f>
        <v/>
      </c>
      <c r="DQ2455" s="65">
        <f>IFERROR($BA2455/$BA2456-1,"")</f>
        <v/>
      </c>
      <c r="DR2455" s="64">
        <f>$O2455-$O2456</f>
        <v/>
      </c>
      <c r="DS2455" s="64">
        <f>$P2455-$P2456</f>
        <v/>
      </c>
      <c r="DT2455" s="64">
        <f>$Q2455-$Q2456</f>
        <v/>
      </c>
      <c r="DU2455" s="64">
        <f>$S2455-$S2456</f>
        <v/>
      </c>
      <c r="DV2455" s="65">
        <f>IFERROR(AVERAGE($AA2456/$AA2455-1,$AB2456/$AB2455-1,$AC2456/$AC2455-1,$AD2456/$AD2455-1,$AE2456/$AE2455-1,$AG2456/$AG2455-1,$AH2456/$AH2455-1,$AI2456/$AI2455-1,$AJ2456/$AJ2455-1,$AL2456/$AL2455-1,$AM2456/$AM2455-1,$AR2456/$AR2455-1,$AS2456/$AS2455-1,$AT2456/$AT2455-1,$AU2456/$AU2455-1,$AV2456/$AV2455-1,$AW2456/$AW2455-1,$AX2456/$AX2455-1,$AY2456/$AY2455-1),"")</f>
        <v/>
      </c>
      <c r="DW2455" s="66">
        <f>AVERAGE($CB2455,$CC2455,$CD2455,$CE2455,$CF2455,$CG2455,$CH2455,$CI2455,$CJ2455,$CL2455,$CM2455,$CN2455,$CO2455,$CP2455,$CQ2455,$CR2455,$CS2455,$CT2455)</f>
        <v/>
      </c>
      <c r="DX2455" s="66">
        <f>AVERAGE($CB2455,$CC2455,$CM2455,$CE2455,$CP2455)</f>
        <v/>
      </c>
      <c r="DY2455" s="64">
        <f>($DW2455-$DW2456)*100</f>
        <v/>
      </c>
      <c r="DZ2455" s="64">
        <f>($DX2455-$DX2456)*100</f>
        <v/>
      </c>
      <c r="EA2455" s="64">
        <f>($DW2455-$D2455)*100</f>
        <v/>
      </c>
      <c r="EB2455" s="64">
        <f>$Q2455-$O2455</f>
        <v/>
      </c>
      <c r="EC2455" s="67">
        <f>IFERROR($Q2455/$P2455,"")</f>
        <v/>
      </c>
    </row>
    <row r="2456">
      <c r="DG2456" s="64">
        <f>($B2456-$B2457)*100</f>
        <v/>
      </c>
      <c r="DH2456" s="64">
        <f>($D2456-$D2457)*100</f>
        <v/>
      </c>
      <c r="DI2456" s="64">
        <f>($E2456-$E2457)*100</f>
        <v/>
      </c>
      <c r="DJ2456" s="64">
        <f>($H2456-$H2457)*100</f>
        <v/>
      </c>
      <c r="DK2456" s="65">
        <f>IFERROR($J2456/$J2457-1,"")</f>
        <v/>
      </c>
      <c r="DL2456" s="64">
        <f>$L2456-$L2457</f>
        <v/>
      </c>
      <c r="DM2456" s="64">
        <f>$K2456-$K2457</f>
        <v/>
      </c>
      <c r="DN2456" s="65">
        <f>IFERROR($N2456/$N2457-1,"")</f>
        <v/>
      </c>
      <c r="DO2456" s="65">
        <f>IFERROR($M2456/$M2457-1,"")</f>
        <v/>
      </c>
      <c r="DP2456" s="65">
        <f>IFERROR($AZ2456/$AZ2457-1,"")</f>
        <v/>
      </c>
      <c r="DQ2456" s="65">
        <f>IFERROR($BA2456/$BA2457-1,"")</f>
        <v/>
      </c>
      <c r="DR2456" s="64">
        <f>$O2456-$O2457</f>
        <v/>
      </c>
      <c r="DS2456" s="64">
        <f>$P2456-$P2457</f>
        <v/>
      </c>
      <c r="DT2456" s="64">
        <f>$Q2456-$Q2457</f>
        <v/>
      </c>
      <c r="DU2456" s="64">
        <f>$S2456-$S2457</f>
        <v/>
      </c>
      <c r="DV2456" s="65">
        <f>IFERROR(AVERAGE($AA2457/$AA2456-1,$AB2457/$AB2456-1,$AC2457/$AC2456-1,$AD2457/$AD2456-1,$AE2457/$AE2456-1,$AG2457/$AG2456-1,$AH2457/$AH2456-1,$AI2457/$AI2456-1,$AJ2457/$AJ2456-1,$AL2457/$AL2456-1,$AM2457/$AM2456-1,$AR2457/$AR2456-1,$AS2457/$AS2456-1,$AT2457/$AT2456-1,$AU2457/$AU2456-1,$AV2457/$AV2456-1,$AW2457/$AW2456-1,$AX2457/$AX2456-1,$AY2457/$AY2456-1),"")</f>
        <v/>
      </c>
      <c r="DW2456" s="66">
        <f>AVERAGE($CB2456,$CC2456,$CD2456,$CE2456,$CF2456,$CG2456,$CH2456,$CI2456,$CJ2456,$CL2456,$CM2456,$CN2456,$CO2456,$CP2456,$CQ2456,$CR2456,$CS2456,$CT2456)</f>
        <v/>
      </c>
      <c r="DX2456" s="66">
        <f>AVERAGE($CB2456,$CC2456,$CM2456,$CE2456,$CP2456)</f>
        <v/>
      </c>
      <c r="DY2456" s="64">
        <f>($DW2456-$DW2457)*100</f>
        <v/>
      </c>
      <c r="DZ2456" s="64">
        <f>($DX2456-$DX2457)*100</f>
        <v/>
      </c>
      <c r="EA2456" s="64">
        <f>($DW2456-$D2456)*100</f>
        <v/>
      </c>
      <c r="EB2456" s="64">
        <f>$Q2456-$O2456</f>
        <v/>
      </c>
      <c r="EC2456" s="67">
        <f>IFERROR($Q2456/$P2456,"")</f>
        <v/>
      </c>
    </row>
    <row r="2457">
      <c r="DG2457" s="64">
        <f>($B2457-$B2458)*100</f>
        <v/>
      </c>
      <c r="DH2457" s="64">
        <f>($D2457-$D2458)*100</f>
        <v/>
      </c>
      <c r="DI2457" s="64">
        <f>($E2457-$E2458)*100</f>
        <v/>
      </c>
      <c r="DJ2457" s="64">
        <f>($H2457-$H2458)*100</f>
        <v/>
      </c>
      <c r="DK2457" s="65">
        <f>IFERROR($J2457/$J2458-1,"")</f>
        <v/>
      </c>
      <c r="DL2457" s="64">
        <f>$L2457-$L2458</f>
        <v/>
      </c>
      <c r="DM2457" s="64">
        <f>$K2457-$K2458</f>
        <v/>
      </c>
      <c r="DN2457" s="65">
        <f>IFERROR($N2457/$N2458-1,"")</f>
        <v/>
      </c>
      <c r="DO2457" s="65">
        <f>IFERROR($M2457/$M2458-1,"")</f>
        <v/>
      </c>
      <c r="DP2457" s="65">
        <f>IFERROR($AZ2457/$AZ2458-1,"")</f>
        <v/>
      </c>
      <c r="DQ2457" s="65">
        <f>IFERROR($BA2457/$BA2458-1,"")</f>
        <v/>
      </c>
      <c r="DR2457" s="64">
        <f>$O2457-$O2458</f>
        <v/>
      </c>
      <c r="DS2457" s="64">
        <f>$P2457-$P2458</f>
        <v/>
      </c>
      <c r="DT2457" s="64">
        <f>$Q2457-$Q2458</f>
        <v/>
      </c>
      <c r="DU2457" s="64">
        <f>$S2457-$S2458</f>
        <v/>
      </c>
      <c r="DV2457" s="65">
        <f>IFERROR(AVERAGE($AA2458/$AA2457-1,$AB2458/$AB2457-1,$AC2458/$AC2457-1,$AD2458/$AD2457-1,$AE2458/$AE2457-1,$AG2458/$AG2457-1,$AH2458/$AH2457-1,$AI2458/$AI2457-1,$AJ2458/$AJ2457-1,$AL2458/$AL2457-1,$AM2458/$AM2457-1,$AR2458/$AR2457-1,$AS2458/$AS2457-1,$AT2458/$AT2457-1,$AU2458/$AU2457-1,$AV2458/$AV2457-1,$AW2458/$AW2457-1,$AX2458/$AX2457-1,$AY2458/$AY2457-1),"")</f>
        <v/>
      </c>
      <c r="DW2457" s="66">
        <f>AVERAGE($CB2457,$CC2457,$CD2457,$CE2457,$CF2457,$CG2457,$CH2457,$CI2457,$CJ2457,$CL2457,$CM2457,$CN2457,$CO2457,$CP2457,$CQ2457,$CR2457,$CS2457,$CT2457)</f>
        <v/>
      </c>
      <c r="DX2457" s="66">
        <f>AVERAGE($CB2457,$CC2457,$CM2457,$CE2457,$CP2457)</f>
        <v/>
      </c>
      <c r="DY2457" s="64">
        <f>($DW2457-$DW2458)*100</f>
        <v/>
      </c>
      <c r="DZ2457" s="64">
        <f>($DX2457-$DX2458)*100</f>
        <v/>
      </c>
      <c r="EA2457" s="64">
        <f>($DW2457-$D2457)*100</f>
        <v/>
      </c>
      <c r="EB2457" s="64">
        <f>$Q2457-$O2457</f>
        <v/>
      </c>
      <c r="EC2457" s="67">
        <f>IFERROR($Q2457/$P2457,"")</f>
        <v/>
      </c>
    </row>
    <row r="2458">
      <c r="DG2458" s="64">
        <f>($B2458-$B2459)*100</f>
        <v/>
      </c>
      <c r="DH2458" s="64">
        <f>($D2458-$D2459)*100</f>
        <v/>
      </c>
      <c r="DI2458" s="64">
        <f>($E2458-$E2459)*100</f>
        <v/>
      </c>
      <c r="DJ2458" s="64">
        <f>($H2458-$H2459)*100</f>
        <v/>
      </c>
      <c r="DK2458" s="65">
        <f>IFERROR($J2458/$J2459-1,"")</f>
        <v/>
      </c>
      <c r="DL2458" s="64">
        <f>$L2458-$L2459</f>
        <v/>
      </c>
      <c r="DM2458" s="64">
        <f>$K2458-$K2459</f>
        <v/>
      </c>
      <c r="DN2458" s="65">
        <f>IFERROR($N2458/$N2459-1,"")</f>
        <v/>
      </c>
      <c r="DO2458" s="65">
        <f>IFERROR($M2458/$M2459-1,"")</f>
        <v/>
      </c>
      <c r="DP2458" s="65">
        <f>IFERROR($AZ2458/$AZ2459-1,"")</f>
        <v/>
      </c>
      <c r="DQ2458" s="65">
        <f>IFERROR($BA2458/$BA2459-1,"")</f>
        <v/>
      </c>
      <c r="DR2458" s="64">
        <f>$O2458-$O2459</f>
        <v/>
      </c>
      <c r="DS2458" s="64">
        <f>$P2458-$P2459</f>
        <v/>
      </c>
      <c r="DT2458" s="64">
        <f>$Q2458-$Q2459</f>
        <v/>
      </c>
      <c r="DU2458" s="64">
        <f>$S2458-$S2459</f>
        <v/>
      </c>
      <c r="DV2458" s="65">
        <f>IFERROR(AVERAGE($AA2459/$AA2458-1,$AB2459/$AB2458-1,$AC2459/$AC2458-1,$AD2459/$AD2458-1,$AE2459/$AE2458-1,$AG2459/$AG2458-1,$AH2459/$AH2458-1,$AI2459/$AI2458-1,$AJ2459/$AJ2458-1,$AL2459/$AL2458-1,$AM2459/$AM2458-1,$AR2459/$AR2458-1,$AS2459/$AS2458-1,$AT2459/$AT2458-1,$AU2459/$AU2458-1,$AV2459/$AV2458-1,$AW2459/$AW2458-1,$AX2459/$AX2458-1,$AY2459/$AY2458-1),"")</f>
        <v/>
      </c>
      <c r="DW2458" s="66">
        <f>AVERAGE($CB2458,$CC2458,$CD2458,$CE2458,$CF2458,$CG2458,$CH2458,$CI2458,$CJ2458,$CL2458,$CM2458,$CN2458,$CO2458,$CP2458,$CQ2458,$CR2458,$CS2458,$CT2458)</f>
        <v/>
      </c>
      <c r="DX2458" s="66">
        <f>AVERAGE($CB2458,$CC2458,$CM2458,$CE2458,$CP2458)</f>
        <v/>
      </c>
      <c r="DY2458" s="64">
        <f>($DW2458-$DW2459)*100</f>
        <v/>
      </c>
      <c r="DZ2458" s="64">
        <f>($DX2458-$DX2459)*100</f>
        <v/>
      </c>
      <c r="EA2458" s="64">
        <f>($DW2458-$D2458)*100</f>
        <v/>
      </c>
      <c r="EB2458" s="64">
        <f>$Q2458-$O2458</f>
        <v/>
      </c>
      <c r="EC2458" s="67">
        <f>IFERROR($Q2458/$P2458,"")</f>
        <v/>
      </c>
    </row>
    <row r="2459">
      <c r="DG2459" s="64">
        <f>($B2459-$B2460)*100</f>
        <v/>
      </c>
      <c r="DH2459" s="64">
        <f>($D2459-$D2460)*100</f>
        <v/>
      </c>
      <c r="DI2459" s="64">
        <f>($E2459-$E2460)*100</f>
        <v/>
      </c>
      <c r="DJ2459" s="64">
        <f>($H2459-$H2460)*100</f>
        <v/>
      </c>
      <c r="DK2459" s="65">
        <f>IFERROR($J2459/$J2460-1,"")</f>
        <v/>
      </c>
      <c r="DL2459" s="64">
        <f>$L2459-$L2460</f>
        <v/>
      </c>
      <c r="DM2459" s="64">
        <f>$K2459-$K2460</f>
        <v/>
      </c>
      <c r="DN2459" s="65">
        <f>IFERROR($N2459/$N2460-1,"")</f>
        <v/>
      </c>
      <c r="DO2459" s="65">
        <f>IFERROR($M2459/$M2460-1,"")</f>
        <v/>
      </c>
      <c r="DP2459" s="65">
        <f>IFERROR($AZ2459/$AZ2460-1,"")</f>
        <v/>
      </c>
      <c r="DQ2459" s="65">
        <f>IFERROR($BA2459/$BA2460-1,"")</f>
        <v/>
      </c>
      <c r="DR2459" s="64">
        <f>$O2459-$O2460</f>
        <v/>
      </c>
      <c r="DS2459" s="64">
        <f>$P2459-$P2460</f>
        <v/>
      </c>
      <c r="DT2459" s="64">
        <f>$Q2459-$Q2460</f>
        <v/>
      </c>
      <c r="DU2459" s="64">
        <f>$S2459-$S2460</f>
        <v/>
      </c>
      <c r="DV2459" s="65">
        <f>IFERROR(AVERAGE($AA2460/$AA2459-1,$AB2460/$AB2459-1,$AC2460/$AC2459-1,$AD2460/$AD2459-1,$AE2460/$AE2459-1,$AG2460/$AG2459-1,$AH2460/$AH2459-1,$AI2460/$AI2459-1,$AJ2460/$AJ2459-1,$AL2460/$AL2459-1,$AM2460/$AM2459-1,$AR2460/$AR2459-1,$AS2460/$AS2459-1,$AT2460/$AT2459-1,$AU2460/$AU2459-1,$AV2460/$AV2459-1,$AW2460/$AW2459-1,$AX2460/$AX2459-1,$AY2460/$AY2459-1),"")</f>
        <v/>
      </c>
      <c r="DW2459" s="66">
        <f>AVERAGE($CB2459,$CC2459,$CD2459,$CE2459,$CF2459,$CG2459,$CH2459,$CI2459,$CJ2459,$CL2459,$CM2459,$CN2459,$CO2459,$CP2459,$CQ2459,$CR2459,$CS2459,$CT2459)</f>
        <v/>
      </c>
      <c r="DX2459" s="66">
        <f>AVERAGE($CB2459,$CC2459,$CM2459,$CE2459,$CP2459)</f>
        <v/>
      </c>
      <c r="DY2459" s="64">
        <f>($DW2459-$DW2460)*100</f>
        <v/>
      </c>
      <c r="DZ2459" s="64">
        <f>($DX2459-$DX2460)*100</f>
        <v/>
      </c>
      <c r="EA2459" s="64">
        <f>($DW2459-$D2459)*100</f>
        <v/>
      </c>
      <c r="EB2459" s="64">
        <f>$Q2459-$O2459</f>
        <v/>
      </c>
      <c r="EC2459" s="67">
        <f>IFERROR($Q2459/$P2459,"")</f>
        <v/>
      </c>
    </row>
    <row r="2460">
      <c r="DG2460" s="64">
        <f>($B2460-$B2461)*100</f>
        <v/>
      </c>
      <c r="DH2460" s="64">
        <f>($D2460-$D2461)*100</f>
        <v/>
      </c>
      <c r="DI2460" s="64">
        <f>($E2460-$E2461)*100</f>
        <v/>
      </c>
      <c r="DJ2460" s="64">
        <f>($H2460-$H2461)*100</f>
        <v/>
      </c>
      <c r="DK2460" s="65">
        <f>IFERROR($J2460/$J2461-1,"")</f>
        <v/>
      </c>
      <c r="DL2460" s="64">
        <f>$L2460-$L2461</f>
        <v/>
      </c>
      <c r="DM2460" s="64">
        <f>$K2460-$K2461</f>
        <v/>
      </c>
      <c r="DN2460" s="65">
        <f>IFERROR($N2460/$N2461-1,"")</f>
        <v/>
      </c>
      <c r="DO2460" s="65">
        <f>IFERROR($M2460/$M2461-1,"")</f>
        <v/>
      </c>
      <c r="DP2460" s="65">
        <f>IFERROR($AZ2460/$AZ2461-1,"")</f>
        <v/>
      </c>
      <c r="DQ2460" s="65">
        <f>IFERROR($BA2460/$BA2461-1,"")</f>
        <v/>
      </c>
      <c r="DR2460" s="64">
        <f>$O2460-$O2461</f>
        <v/>
      </c>
      <c r="DS2460" s="64">
        <f>$P2460-$P2461</f>
        <v/>
      </c>
      <c r="DT2460" s="64">
        <f>$Q2460-$Q2461</f>
        <v/>
      </c>
      <c r="DU2460" s="64">
        <f>$S2460-$S2461</f>
        <v/>
      </c>
      <c r="DV2460" s="65">
        <f>IFERROR(AVERAGE($AA2461/$AA2460-1,$AB2461/$AB2460-1,$AC2461/$AC2460-1,$AD2461/$AD2460-1,$AE2461/$AE2460-1,$AG2461/$AG2460-1,$AH2461/$AH2460-1,$AI2461/$AI2460-1,$AJ2461/$AJ2460-1,$AL2461/$AL2460-1,$AM2461/$AM2460-1,$AR2461/$AR2460-1,$AS2461/$AS2460-1,$AT2461/$AT2460-1,$AU2461/$AU2460-1,$AV2461/$AV2460-1,$AW2461/$AW2460-1,$AX2461/$AX2460-1,$AY2461/$AY2460-1),"")</f>
        <v/>
      </c>
      <c r="DW2460" s="66">
        <f>AVERAGE($CB2460,$CC2460,$CD2460,$CE2460,$CF2460,$CG2460,$CH2460,$CI2460,$CJ2460,$CL2460,$CM2460,$CN2460,$CO2460,$CP2460,$CQ2460,$CR2460,$CS2460,$CT2460)</f>
        <v/>
      </c>
      <c r="DX2460" s="66">
        <f>AVERAGE($CB2460,$CC2460,$CM2460,$CE2460,$CP2460)</f>
        <v/>
      </c>
      <c r="DY2460" s="64">
        <f>($DW2460-$DW2461)*100</f>
        <v/>
      </c>
      <c r="DZ2460" s="64">
        <f>($DX2460-$DX2461)*100</f>
        <v/>
      </c>
      <c r="EA2460" s="64">
        <f>($DW2460-$D2460)*100</f>
        <v/>
      </c>
      <c r="EB2460" s="64">
        <f>$Q2460-$O2460</f>
        <v/>
      </c>
      <c r="EC2460" s="67">
        <f>IFERROR($Q2460/$P2460,"")</f>
        <v/>
      </c>
    </row>
    <row r="2461">
      <c r="DG2461" s="64">
        <f>($B2461-$B2462)*100</f>
        <v/>
      </c>
      <c r="DH2461" s="64">
        <f>($D2461-$D2462)*100</f>
        <v/>
      </c>
      <c r="DI2461" s="64">
        <f>($E2461-$E2462)*100</f>
        <v/>
      </c>
      <c r="DJ2461" s="64">
        <f>($H2461-$H2462)*100</f>
        <v/>
      </c>
      <c r="DK2461" s="65">
        <f>IFERROR($J2461/$J2462-1,"")</f>
        <v/>
      </c>
      <c r="DL2461" s="64">
        <f>$L2461-$L2462</f>
        <v/>
      </c>
      <c r="DM2461" s="64">
        <f>$K2461-$K2462</f>
        <v/>
      </c>
      <c r="DN2461" s="65">
        <f>IFERROR($N2461/$N2462-1,"")</f>
        <v/>
      </c>
      <c r="DO2461" s="65">
        <f>IFERROR($M2461/$M2462-1,"")</f>
        <v/>
      </c>
      <c r="DP2461" s="65">
        <f>IFERROR($AZ2461/$AZ2462-1,"")</f>
        <v/>
      </c>
      <c r="DQ2461" s="65">
        <f>IFERROR($BA2461/$BA2462-1,"")</f>
        <v/>
      </c>
      <c r="DR2461" s="64">
        <f>$O2461-$O2462</f>
        <v/>
      </c>
      <c r="DS2461" s="64">
        <f>$P2461-$P2462</f>
        <v/>
      </c>
      <c r="DT2461" s="64">
        <f>$Q2461-$Q2462</f>
        <v/>
      </c>
      <c r="DU2461" s="64">
        <f>$S2461-$S2462</f>
        <v/>
      </c>
      <c r="DV2461" s="65">
        <f>IFERROR(AVERAGE($AA2462/$AA2461-1,$AB2462/$AB2461-1,$AC2462/$AC2461-1,$AD2462/$AD2461-1,$AE2462/$AE2461-1,$AG2462/$AG2461-1,$AH2462/$AH2461-1,$AI2462/$AI2461-1,$AJ2462/$AJ2461-1,$AL2462/$AL2461-1,$AM2462/$AM2461-1,$AR2462/$AR2461-1,$AS2462/$AS2461-1,$AT2462/$AT2461-1,$AU2462/$AU2461-1,$AV2462/$AV2461-1,$AW2462/$AW2461-1,$AX2462/$AX2461-1,$AY2462/$AY2461-1),"")</f>
        <v/>
      </c>
      <c r="DW2461" s="66">
        <f>AVERAGE($CB2461,$CC2461,$CD2461,$CE2461,$CF2461,$CG2461,$CH2461,$CI2461,$CJ2461,$CL2461,$CM2461,$CN2461,$CO2461,$CP2461,$CQ2461,$CR2461,$CS2461,$CT2461)</f>
        <v/>
      </c>
      <c r="DX2461" s="66">
        <f>AVERAGE($CB2461,$CC2461,$CM2461,$CE2461,$CP2461)</f>
        <v/>
      </c>
      <c r="DY2461" s="64">
        <f>($DW2461-$DW2462)*100</f>
        <v/>
      </c>
      <c r="DZ2461" s="64">
        <f>($DX2461-$DX2462)*100</f>
        <v/>
      </c>
      <c r="EA2461" s="64">
        <f>($DW2461-$D2461)*100</f>
        <v/>
      </c>
      <c r="EB2461" s="64">
        <f>$Q2461-$O2461</f>
        <v/>
      </c>
      <c r="EC2461" s="67">
        <f>IFERROR($Q2461/$P2461,"")</f>
        <v/>
      </c>
    </row>
    <row r="2462">
      <c r="DG2462" s="64">
        <f>($B2462-$B2463)*100</f>
        <v/>
      </c>
      <c r="DH2462" s="64">
        <f>($D2462-$D2463)*100</f>
        <v/>
      </c>
      <c r="DI2462" s="64">
        <f>($E2462-$E2463)*100</f>
        <v/>
      </c>
      <c r="DJ2462" s="64">
        <f>($H2462-$H2463)*100</f>
        <v/>
      </c>
      <c r="DK2462" s="65">
        <f>IFERROR($J2462/$J2463-1,"")</f>
        <v/>
      </c>
      <c r="DL2462" s="64">
        <f>$L2462-$L2463</f>
        <v/>
      </c>
      <c r="DM2462" s="64">
        <f>$K2462-$K2463</f>
        <v/>
      </c>
      <c r="DN2462" s="65">
        <f>IFERROR($N2462/$N2463-1,"")</f>
        <v/>
      </c>
      <c r="DO2462" s="65">
        <f>IFERROR($M2462/$M2463-1,"")</f>
        <v/>
      </c>
      <c r="DP2462" s="65">
        <f>IFERROR($AZ2462/$AZ2463-1,"")</f>
        <v/>
      </c>
      <c r="DQ2462" s="65">
        <f>IFERROR($BA2462/$BA2463-1,"")</f>
        <v/>
      </c>
      <c r="DR2462" s="64">
        <f>$O2462-$O2463</f>
        <v/>
      </c>
      <c r="DS2462" s="64">
        <f>$P2462-$P2463</f>
        <v/>
      </c>
      <c r="DT2462" s="64">
        <f>$Q2462-$Q2463</f>
        <v/>
      </c>
      <c r="DU2462" s="64">
        <f>$S2462-$S2463</f>
        <v/>
      </c>
      <c r="DV2462" s="65">
        <f>IFERROR(AVERAGE($AA2463/$AA2462-1,$AB2463/$AB2462-1,$AC2463/$AC2462-1,$AD2463/$AD2462-1,$AE2463/$AE2462-1,$AG2463/$AG2462-1,$AH2463/$AH2462-1,$AI2463/$AI2462-1,$AJ2463/$AJ2462-1,$AL2463/$AL2462-1,$AM2463/$AM2462-1,$AR2463/$AR2462-1,$AS2463/$AS2462-1,$AT2463/$AT2462-1,$AU2463/$AU2462-1,$AV2463/$AV2462-1,$AW2463/$AW2462-1,$AX2463/$AX2462-1,$AY2463/$AY2462-1),"")</f>
        <v/>
      </c>
      <c r="DW2462" s="66">
        <f>AVERAGE($CB2462,$CC2462,$CD2462,$CE2462,$CF2462,$CG2462,$CH2462,$CI2462,$CJ2462,$CL2462,$CM2462,$CN2462,$CO2462,$CP2462,$CQ2462,$CR2462,$CS2462,$CT2462)</f>
        <v/>
      </c>
      <c r="DX2462" s="66">
        <f>AVERAGE($CB2462,$CC2462,$CM2462,$CE2462,$CP2462)</f>
        <v/>
      </c>
      <c r="DY2462" s="64">
        <f>($DW2462-$DW2463)*100</f>
        <v/>
      </c>
      <c r="DZ2462" s="64">
        <f>($DX2462-$DX2463)*100</f>
        <v/>
      </c>
      <c r="EA2462" s="64">
        <f>($DW2462-$D2462)*100</f>
        <v/>
      </c>
      <c r="EB2462" s="64">
        <f>$Q2462-$O2462</f>
        <v/>
      </c>
      <c r="EC2462" s="67">
        <f>IFERROR($Q2462/$P2462,"")</f>
        <v/>
      </c>
    </row>
    <row r="2463">
      <c r="DG2463" s="64">
        <f>($B2463-$B2464)*100</f>
        <v/>
      </c>
      <c r="DH2463" s="64">
        <f>($D2463-$D2464)*100</f>
        <v/>
      </c>
      <c r="DI2463" s="64">
        <f>($E2463-$E2464)*100</f>
        <v/>
      </c>
      <c r="DJ2463" s="64">
        <f>($H2463-$H2464)*100</f>
        <v/>
      </c>
      <c r="DK2463" s="65">
        <f>IFERROR($J2463/$J2464-1,"")</f>
        <v/>
      </c>
      <c r="DL2463" s="64">
        <f>$L2463-$L2464</f>
        <v/>
      </c>
      <c r="DM2463" s="64">
        <f>$K2463-$K2464</f>
        <v/>
      </c>
      <c r="DN2463" s="65">
        <f>IFERROR($N2463/$N2464-1,"")</f>
        <v/>
      </c>
      <c r="DO2463" s="65">
        <f>IFERROR($M2463/$M2464-1,"")</f>
        <v/>
      </c>
      <c r="DP2463" s="65">
        <f>IFERROR($AZ2463/$AZ2464-1,"")</f>
        <v/>
      </c>
      <c r="DQ2463" s="65">
        <f>IFERROR($BA2463/$BA2464-1,"")</f>
        <v/>
      </c>
      <c r="DR2463" s="64">
        <f>$O2463-$O2464</f>
        <v/>
      </c>
      <c r="DS2463" s="64">
        <f>$P2463-$P2464</f>
        <v/>
      </c>
      <c r="DT2463" s="64">
        <f>$Q2463-$Q2464</f>
        <v/>
      </c>
      <c r="DU2463" s="64">
        <f>$S2463-$S2464</f>
        <v/>
      </c>
      <c r="DV2463" s="65">
        <f>IFERROR(AVERAGE($AA2464/$AA2463-1,$AB2464/$AB2463-1,$AC2464/$AC2463-1,$AD2464/$AD2463-1,$AE2464/$AE2463-1,$AG2464/$AG2463-1,$AH2464/$AH2463-1,$AI2464/$AI2463-1,$AJ2464/$AJ2463-1,$AL2464/$AL2463-1,$AM2464/$AM2463-1,$AR2464/$AR2463-1,$AS2464/$AS2463-1,$AT2464/$AT2463-1,$AU2464/$AU2463-1,$AV2464/$AV2463-1,$AW2464/$AW2463-1,$AX2464/$AX2463-1,$AY2464/$AY2463-1),"")</f>
        <v/>
      </c>
      <c r="DW2463" s="66">
        <f>AVERAGE($CB2463,$CC2463,$CD2463,$CE2463,$CF2463,$CG2463,$CH2463,$CI2463,$CJ2463,$CL2463,$CM2463,$CN2463,$CO2463,$CP2463,$CQ2463,$CR2463,$CS2463,$CT2463)</f>
        <v/>
      </c>
      <c r="DX2463" s="66">
        <f>AVERAGE($CB2463,$CC2463,$CM2463,$CE2463,$CP2463)</f>
        <v/>
      </c>
      <c r="DY2463" s="64">
        <f>($DW2463-$DW2464)*100</f>
        <v/>
      </c>
      <c r="DZ2463" s="64">
        <f>($DX2463-$DX2464)*100</f>
        <v/>
      </c>
      <c r="EA2463" s="64">
        <f>($DW2463-$D2463)*100</f>
        <v/>
      </c>
      <c r="EB2463" s="64">
        <f>$Q2463-$O2463</f>
        <v/>
      </c>
      <c r="EC2463" s="67">
        <f>IFERROR($Q2463/$P2463,"")</f>
        <v/>
      </c>
    </row>
    <row r="2464">
      <c r="DG2464" s="64">
        <f>($B2464-$B2465)*100</f>
        <v/>
      </c>
      <c r="DH2464" s="64">
        <f>($D2464-$D2465)*100</f>
        <v/>
      </c>
      <c r="DI2464" s="64">
        <f>($E2464-$E2465)*100</f>
        <v/>
      </c>
      <c r="DJ2464" s="64">
        <f>($H2464-$H2465)*100</f>
        <v/>
      </c>
      <c r="DK2464" s="65">
        <f>IFERROR($J2464/$J2465-1,"")</f>
        <v/>
      </c>
      <c r="DL2464" s="64">
        <f>$L2464-$L2465</f>
        <v/>
      </c>
      <c r="DM2464" s="64">
        <f>$K2464-$K2465</f>
        <v/>
      </c>
      <c r="DN2464" s="65">
        <f>IFERROR($N2464/$N2465-1,"")</f>
        <v/>
      </c>
      <c r="DO2464" s="65">
        <f>IFERROR($M2464/$M2465-1,"")</f>
        <v/>
      </c>
      <c r="DP2464" s="65">
        <f>IFERROR($AZ2464/$AZ2465-1,"")</f>
        <v/>
      </c>
      <c r="DQ2464" s="65">
        <f>IFERROR($BA2464/$BA2465-1,"")</f>
        <v/>
      </c>
      <c r="DR2464" s="64">
        <f>$O2464-$O2465</f>
        <v/>
      </c>
      <c r="DS2464" s="64">
        <f>$P2464-$P2465</f>
        <v/>
      </c>
      <c r="DT2464" s="64">
        <f>$Q2464-$Q2465</f>
        <v/>
      </c>
      <c r="DU2464" s="64">
        <f>$S2464-$S2465</f>
        <v/>
      </c>
      <c r="DV2464" s="65">
        <f>IFERROR(AVERAGE($AA2465/$AA2464-1,$AB2465/$AB2464-1,$AC2465/$AC2464-1,$AD2465/$AD2464-1,$AE2465/$AE2464-1,$AG2465/$AG2464-1,$AH2465/$AH2464-1,$AI2465/$AI2464-1,$AJ2465/$AJ2464-1,$AL2465/$AL2464-1,$AM2465/$AM2464-1,$AR2465/$AR2464-1,$AS2465/$AS2464-1,$AT2465/$AT2464-1,$AU2465/$AU2464-1,$AV2465/$AV2464-1,$AW2465/$AW2464-1,$AX2465/$AX2464-1,$AY2465/$AY2464-1),"")</f>
        <v/>
      </c>
      <c r="DW2464" s="66">
        <f>AVERAGE($CB2464,$CC2464,$CD2464,$CE2464,$CF2464,$CG2464,$CH2464,$CI2464,$CJ2464,$CL2464,$CM2464,$CN2464,$CO2464,$CP2464,$CQ2464,$CR2464,$CS2464,$CT2464)</f>
        <v/>
      </c>
      <c r="DX2464" s="66">
        <f>AVERAGE($CB2464,$CC2464,$CM2464,$CE2464,$CP2464)</f>
        <v/>
      </c>
      <c r="DY2464" s="64">
        <f>($DW2464-$DW2465)*100</f>
        <v/>
      </c>
      <c r="DZ2464" s="64">
        <f>($DX2464-$DX2465)*100</f>
        <v/>
      </c>
      <c r="EA2464" s="64">
        <f>($DW2464-$D2464)*100</f>
        <v/>
      </c>
      <c r="EB2464" s="64">
        <f>$Q2464-$O2464</f>
        <v/>
      </c>
      <c r="EC2464" s="67">
        <f>IFERROR($Q2464/$P2464,"")</f>
        <v/>
      </c>
    </row>
    <row r="2465">
      <c r="DG2465" s="64">
        <f>($B2465-$B2466)*100</f>
        <v/>
      </c>
      <c r="DH2465" s="64">
        <f>($D2465-$D2466)*100</f>
        <v/>
      </c>
      <c r="DI2465" s="64">
        <f>($E2465-$E2466)*100</f>
        <v/>
      </c>
      <c r="DJ2465" s="64">
        <f>($H2465-$H2466)*100</f>
        <v/>
      </c>
      <c r="DK2465" s="65">
        <f>IFERROR($J2465/$J2466-1,"")</f>
        <v/>
      </c>
      <c r="DL2465" s="64">
        <f>$L2465-$L2466</f>
        <v/>
      </c>
      <c r="DM2465" s="64">
        <f>$K2465-$K2466</f>
        <v/>
      </c>
      <c r="DN2465" s="65">
        <f>IFERROR($N2465/$N2466-1,"")</f>
        <v/>
      </c>
      <c r="DO2465" s="65">
        <f>IFERROR($M2465/$M2466-1,"")</f>
        <v/>
      </c>
      <c r="DP2465" s="65">
        <f>IFERROR($AZ2465/$AZ2466-1,"")</f>
        <v/>
      </c>
      <c r="DQ2465" s="65">
        <f>IFERROR($BA2465/$BA2466-1,"")</f>
        <v/>
      </c>
      <c r="DR2465" s="64">
        <f>$O2465-$O2466</f>
        <v/>
      </c>
      <c r="DS2465" s="64">
        <f>$P2465-$P2466</f>
        <v/>
      </c>
      <c r="DT2465" s="64">
        <f>$Q2465-$Q2466</f>
        <v/>
      </c>
      <c r="DU2465" s="64">
        <f>$S2465-$S2466</f>
        <v/>
      </c>
      <c r="DV2465" s="65">
        <f>IFERROR(AVERAGE($AA2466/$AA2465-1,$AB2466/$AB2465-1,$AC2466/$AC2465-1,$AD2466/$AD2465-1,$AE2466/$AE2465-1,$AG2466/$AG2465-1,$AH2466/$AH2465-1,$AI2466/$AI2465-1,$AJ2466/$AJ2465-1,$AL2466/$AL2465-1,$AM2466/$AM2465-1,$AR2466/$AR2465-1,$AS2466/$AS2465-1,$AT2466/$AT2465-1,$AU2466/$AU2465-1,$AV2466/$AV2465-1,$AW2466/$AW2465-1,$AX2466/$AX2465-1,$AY2466/$AY2465-1),"")</f>
        <v/>
      </c>
      <c r="DW2465" s="66">
        <f>AVERAGE($CB2465,$CC2465,$CD2465,$CE2465,$CF2465,$CG2465,$CH2465,$CI2465,$CJ2465,$CL2465,$CM2465,$CN2465,$CO2465,$CP2465,$CQ2465,$CR2465,$CS2465,$CT2465)</f>
        <v/>
      </c>
      <c r="DX2465" s="66">
        <f>AVERAGE($CB2465,$CC2465,$CM2465,$CE2465,$CP2465)</f>
        <v/>
      </c>
      <c r="DY2465" s="64">
        <f>($DW2465-$DW2466)*100</f>
        <v/>
      </c>
      <c r="DZ2465" s="64">
        <f>($DX2465-$DX2466)*100</f>
        <v/>
      </c>
      <c r="EA2465" s="64">
        <f>($DW2465-$D2465)*100</f>
        <v/>
      </c>
      <c r="EB2465" s="64">
        <f>$Q2465-$O2465</f>
        <v/>
      </c>
      <c r="EC2465" s="67">
        <f>IFERROR($Q2465/$P2465,"")</f>
        <v/>
      </c>
    </row>
    <row r="2466">
      <c r="DG2466" s="64">
        <f>($B2466-$B2467)*100</f>
        <v/>
      </c>
      <c r="DH2466" s="64">
        <f>($D2466-$D2467)*100</f>
        <v/>
      </c>
      <c r="DI2466" s="64">
        <f>($E2466-$E2467)*100</f>
        <v/>
      </c>
      <c r="DJ2466" s="64">
        <f>($H2466-$H2467)*100</f>
        <v/>
      </c>
      <c r="DK2466" s="65">
        <f>IFERROR($J2466/$J2467-1,"")</f>
        <v/>
      </c>
      <c r="DL2466" s="64">
        <f>$L2466-$L2467</f>
        <v/>
      </c>
      <c r="DM2466" s="64">
        <f>$K2466-$K2467</f>
        <v/>
      </c>
      <c r="DN2466" s="65">
        <f>IFERROR($N2466/$N2467-1,"")</f>
        <v/>
      </c>
      <c r="DO2466" s="65">
        <f>IFERROR($M2466/$M2467-1,"")</f>
        <v/>
      </c>
      <c r="DP2466" s="65">
        <f>IFERROR($AZ2466/$AZ2467-1,"")</f>
        <v/>
      </c>
      <c r="DQ2466" s="65">
        <f>IFERROR($BA2466/$BA2467-1,"")</f>
        <v/>
      </c>
      <c r="DR2466" s="64">
        <f>$O2466-$O2467</f>
        <v/>
      </c>
      <c r="DS2466" s="64">
        <f>$P2466-$P2467</f>
        <v/>
      </c>
      <c r="DT2466" s="64">
        <f>$Q2466-$Q2467</f>
        <v/>
      </c>
      <c r="DU2466" s="64">
        <f>$S2466-$S2467</f>
        <v/>
      </c>
      <c r="DV2466" s="65">
        <f>IFERROR(AVERAGE($AA2467/$AA2466-1,$AB2467/$AB2466-1,$AC2467/$AC2466-1,$AD2467/$AD2466-1,$AE2467/$AE2466-1,$AG2467/$AG2466-1,$AH2467/$AH2466-1,$AI2467/$AI2466-1,$AJ2467/$AJ2466-1,$AL2467/$AL2466-1,$AM2467/$AM2466-1,$AR2467/$AR2466-1,$AS2467/$AS2466-1,$AT2467/$AT2466-1,$AU2467/$AU2466-1,$AV2467/$AV2466-1,$AW2467/$AW2466-1,$AX2467/$AX2466-1,$AY2467/$AY2466-1),"")</f>
        <v/>
      </c>
      <c r="DW2466" s="66">
        <f>AVERAGE($CB2466,$CC2466,$CD2466,$CE2466,$CF2466,$CG2466,$CH2466,$CI2466,$CJ2466,$CL2466,$CM2466,$CN2466,$CO2466,$CP2466,$CQ2466,$CR2466,$CS2466,$CT2466)</f>
        <v/>
      </c>
      <c r="DX2466" s="66">
        <f>AVERAGE($CB2466,$CC2466,$CM2466,$CE2466,$CP2466)</f>
        <v/>
      </c>
      <c r="DY2466" s="64">
        <f>($DW2466-$DW2467)*100</f>
        <v/>
      </c>
      <c r="DZ2466" s="64">
        <f>($DX2466-$DX2467)*100</f>
        <v/>
      </c>
      <c r="EA2466" s="64">
        <f>($DW2466-$D2466)*100</f>
        <v/>
      </c>
      <c r="EB2466" s="64">
        <f>$Q2466-$O2466</f>
        <v/>
      </c>
      <c r="EC2466" s="67">
        <f>IFERROR($Q2466/$P2466,"")</f>
        <v/>
      </c>
    </row>
    <row r="2467">
      <c r="DG2467" s="64">
        <f>($B2467-$B2468)*100</f>
        <v/>
      </c>
      <c r="DH2467" s="64">
        <f>($D2467-$D2468)*100</f>
        <v/>
      </c>
      <c r="DI2467" s="64">
        <f>($E2467-$E2468)*100</f>
        <v/>
      </c>
      <c r="DJ2467" s="64">
        <f>($H2467-$H2468)*100</f>
        <v/>
      </c>
      <c r="DK2467" s="65">
        <f>IFERROR($J2467/$J2468-1,"")</f>
        <v/>
      </c>
      <c r="DL2467" s="64">
        <f>$L2467-$L2468</f>
        <v/>
      </c>
      <c r="DM2467" s="64">
        <f>$K2467-$K2468</f>
        <v/>
      </c>
      <c r="DN2467" s="65">
        <f>IFERROR($N2467/$N2468-1,"")</f>
        <v/>
      </c>
      <c r="DO2467" s="65">
        <f>IFERROR($M2467/$M2468-1,"")</f>
        <v/>
      </c>
      <c r="DP2467" s="65">
        <f>IFERROR($AZ2467/$AZ2468-1,"")</f>
        <v/>
      </c>
      <c r="DQ2467" s="65">
        <f>IFERROR($BA2467/$BA2468-1,"")</f>
        <v/>
      </c>
      <c r="DR2467" s="64">
        <f>$O2467-$O2468</f>
        <v/>
      </c>
      <c r="DS2467" s="64">
        <f>$P2467-$P2468</f>
        <v/>
      </c>
      <c r="DT2467" s="64">
        <f>$Q2467-$Q2468</f>
        <v/>
      </c>
      <c r="DU2467" s="64">
        <f>$S2467-$S2468</f>
        <v/>
      </c>
      <c r="DV2467" s="65">
        <f>IFERROR(AVERAGE($AA2468/$AA2467-1,$AB2468/$AB2467-1,$AC2468/$AC2467-1,$AD2468/$AD2467-1,$AE2468/$AE2467-1,$AG2468/$AG2467-1,$AH2468/$AH2467-1,$AI2468/$AI2467-1,$AJ2468/$AJ2467-1,$AL2468/$AL2467-1,$AM2468/$AM2467-1,$AR2468/$AR2467-1,$AS2468/$AS2467-1,$AT2468/$AT2467-1,$AU2468/$AU2467-1,$AV2468/$AV2467-1,$AW2468/$AW2467-1,$AX2468/$AX2467-1,$AY2468/$AY2467-1),"")</f>
        <v/>
      </c>
      <c r="DW2467" s="66">
        <f>AVERAGE($CB2467,$CC2467,$CD2467,$CE2467,$CF2467,$CG2467,$CH2467,$CI2467,$CJ2467,$CL2467,$CM2467,$CN2467,$CO2467,$CP2467,$CQ2467,$CR2467,$CS2467,$CT2467)</f>
        <v/>
      </c>
      <c r="DX2467" s="66">
        <f>AVERAGE($CB2467,$CC2467,$CM2467,$CE2467,$CP2467)</f>
        <v/>
      </c>
      <c r="DY2467" s="64">
        <f>($DW2467-$DW2468)*100</f>
        <v/>
      </c>
      <c r="DZ2467" s="64">
        <f>($DX2467-$DX2468)*100</f>
        <v/>
      </c>
      <c r="EA2467" s="64">
        <f>($DW2467-$D2467)*100</f>
        <v/>
      </c>
      <c r="EB2467" s="64">
        <f>$Q2467-$O2467</f>
        <v/>
      </c>
      <c r="EC2467" s="67">
        <f>IFERROR($Q2467/$P2467,"")</f>
        <v/>
      </c>
    </row>
    <row r="2468">
      <c r="DG2468" s="64">
        <f>($B2468-$B2469)*100</f>
        <v/>
      </c>
      <c r="DH2468" s="64">
        <f>($D2468-$D2469)*100</f>
        <v/>
      </c>
      <c r="DI2468" s="64">
        <f>($E2468-$E2469)*100</f>
        <v/>
      </c>
      <c r="DJ2468" s="64">
        <f>($H2468-$H2469)*100</f>
        <v/>
      </c>
      <c r="DK2468" s="65">
        <f>IFERROR($J2468/$J2469-1,"")</f>
        <v/>
      </c>
      <c r="DL2468" s="64">
        <f>$L2468-$L2469</f>
        <v/>
      </c>
      <c r="DM2468" s="64">
        <f>$K2468-$K2469</f>
        <v/>
      </c>
      <c r="DN2468" s="65">
        <f>IFERROR($N2468/$N2469-1,"")</f>
        <v/>
      </c>
      <c r="DO2468" s="65">
        <f>IFERROR($M2468/$M2469-1,"")</f>
        <v/>
      </c>
      <c r="DP2468" s="65">
        <f>IFERROR($AZ2468/$AZ2469-1,"")</f>
        <v/>
      </c>
      <c r="DQ2468" s="65">
        <f>IFERROR($BA2468/$BA2469-1,"")</f>
        <v/>
      </c>
      <c r="DR2468" s="64">
        <f>$O2468-$O2469</f>
        <v/>
      </c>
      <c r="DS2468" s="64">
        <f>$P2468-$P2469</f>
        <v/>
      </c>
      <c r="DT2468" s="64">
        <f>$Q2468-$Q2469</f>
        <v/>
      </c>
      <c r="DU2468" s="64">
        <f>$S2468-$S2469</f>
        <v/>
      </c>
      <c r="DV2468" s="65">
        <f>IFERROR(AVERAGE($AA2469/$AA2468-1,$AB2469/$AB2468-1,$AC2469/$AC2468-1,$AD2469/$AD2468-1,$AE2469/$AE2468-1,$AG2469/$AG2468-1,$AH2469/$AH2468-1,$AI2469/$AI2468-1,$AJ2469/$AJ2468-1,$AL2469/$AL2468-1,$AM2469/$AM2468-1,$AR2469/$AR2468-1,$AS2469/$AS2468-1,$AT2469/$AT2468-1,$AU2469/$AU2468-1,$AV2469/$AV2468-1,$AW2469/$AW2468-1,$AX2469/$AX2468-1,$AY2469/$AY2468-1),"")</f>
        <v/>
      </c>
      <c r="DW2468" s="66">
        <f>AVERAGE($CB2468,$CC2468,$CD2468,$CE2468,$CF2468,$CG2468,$CH2468,$CI2468,$CJ2468,$CL2468,$CM2468,$CN2468,$CO2468,$CP2468,$CQ2468,$CR2468,$CS2468,$CT2468)</f>
        <v/>
      </c>
      <c r="DX2468" s="66">
        <f>AVERAGE($CB2468,$CC2468,$CM2468,$CE2468,$CP2468)</f>
        <v/>
      </c>
      <c r="DY2468" s="64">
        <f>($DW2468-$DW2469)*100</f>
        <v/>
      </c>
      <c r="DZ2468" s="64">
        <f>($DX2468-$DX2469)*100</f>
        <v/>
      </c>
      <c r="EA2468" s="64">
        <f>($DW2468-$D2468)*100</f>
        <v/>
      </c>
      <c r="EB2468" s="64">
        <f>$Q2468-$O2468</f>
        <v/>
      </c>
      <c r="EC2468" s="67">
        <f>IFERROR($Q2468/$P2468,"")</f>
        <v/>
      </c>
    </row>
    <row r="2469">
      <c r="DG2469" s="64">
        <f>($B2469-$B2470)*100</f>
        <v/>
      </c>
      <c r="DH2469" s="64">
        <f>($D2469-$D2470)*100</f>
        <v/>
      </c>
      <c r="DI2469" s="64">
        <f>($E2469-$E2470)*100</f>
        <v/>
      </c>
      <c r="DJ2469" s="64">
        <f>($H2469-$H2470)*100</f>
        <v/>
      </c>
      <c r="DK2469" s="65">
        <f>IFERROR($J2469/$J2470-1,"")</f>
        <v/>
      </c>
      <c r="DL2469" s="64">
        <f>$L2469-$L2470</f>
        <v/>
      </c>
      <c r="DM2469" s="64">
        <f>$K2469-$K2470</f>
        <v/>
      </c>
      <c r="DN2469" s="65">
        <f>IFERROR($N2469/$N2470-1,"")</f>
        <v/>
      </c>
      <c r="DO2469" s="65">
        <f>IFERROR($M2469/$M2470-1,"")</f>
        <v/>
      </c>
      <c r="DP2469" s="65">
        <f>IFERROR($AZ2469/$AZ2470-1,"")</f>
        <v/>
      </c>
      <c r="DQ2469" s="65">
        <f>IFERROR($BA2469/$BA2470-1,"")</f>
        <v/>
      </c>
      <c r="DR2469" s="64">
        <f>$O2469-$O2470</f>
        <v/>
      </c>
      <c r="DS2469" s="64">
        <f>$P2469-$P2470</f>
        <v/>
      </c>
      <c r="DT2469" s="64">
        <f>$Q2469-$Q2470</f>
        <v/>
      </c>
      <c r="DU2469" s="64">
        <f>$S2469-$S2470</f>
        <v/>
      </c>
      <c r="DV2469" s="65">
        <f>IFERROR(AVERAGE($AA2470/$AA2469-1,$AB2470/$AB2469-1,$AC2470/$AC2469-1,$AD2470/$AD2469-1,$AE2470/$AE2469-1,$AG2470/$AG2469-1,$AH2470/$AH2469-1,$AI2470/$AI2469-1,$AJ2470/$AJ2469-1,$AL2470/$AL2469-1,$AM2470/$AM2469-1,$AR2470/$AR2469-1,$AS2470/$AS2469-1,$AT2470/$AT2469-1,$AU2470/$AU2469-1,$AV2470/$AV2469-1,$AW2470/$AW2469-1,$AX2470/$AX2469-1,$AY2470/$AY2469-1),"")</f>
        <v/>
      </c>
      <c r="DW2469" s="66">
        <f>AVERAGE($CB2469,$CC2469,$CD2469,$CE2469,$CF2469,$CG2469,$CH2469,$CI2469,$CJ2469,$CL2469,$CM2469,$CN2469,$CO2469,$CP2469,$CQ2469,$CR2469,$CS2469,$CT2469)</f>
        <v/>
      </c>
      <c r="DX2469" s="66">
        <f>AVERAGE($CB2469,$CC2469,$CM2469,$CE2469,$CP2469)</f>
        <v/>
      </c>
      <c r="DY2469" s="64">
        <f>($DW2469-$DW2470)*100</f>
        <v/>
      </c>
      <c r="DZ2469" s="64">
        <f>($DX2469-$DX2470)*100</f>
        <v/>
      </c>
      <c r="EA2469" s="64">
        <f>($DW2469-$D2469)*100</f>
        <v/>
      </c>
      <c r="EB2469" s="64">
        <f>$Q2469-$O2469</f>
        <v/>
      </c>
      <c r="EC2469" s="67">
        <f>IFERROR($Q2469/$P2469,"")</f>
        <v/>
      </c>
    </row>
    <row r="2470">
      <c r="DG2470" s="64">
        <f>($B2470-$B2471)*100</f>
        <v/>
      </c>
      <c r="DH2470" s="64">
        <f>($D2470-$D2471)*100</f>
        <v/>
      </c>
      <c r="DI2470" s="64">
        <f>($E2470-$E2471)*100</f>
        <v/>
      </c>
      <c r="DJ2470" s="64">
        <f>($H2470-$H2471)*100</f>
        <v/>
      </c>
      <c r="DK2470" s="65">
        <f>IFERROR($J2470/$J2471-1,"")</f>
        <v/>
      </c>
      <c r="DL2470" s="64">
        <f>$L2470-$L2471</f>
        <v/>
      </c>
      <c r="DM2470" s="64">
        <f>$K2470-$K2471</f>
        <v/>
      </c>
      <c r="DN2470" s="65">
        <f>IFERROR($N2470/$N2471-1,"")</f>
        <v/>
      </c>
      <c r="DO2470" s="65">
        <f>IFERROR($M2470/$M2471-1,"")</f>
        <v/>
      </c>
      <c r="DP2470" s="65">
        <f>IFERROR($AZ2470/$AZ2471-1,"")</f>
        <v/>
      </c>
      <c r="DQ2470" s="65">
        <f>IFERROR($BA2470/$BA2471-1,"")</f>
        <v/>
      </c>
      <c r="DR2470" s="64">
        <f>$O2470-$O2471</f>
        <v/>
      </c>
      <c r="DS2470" s="64">
        <f>$P2470-$P2471</f>
        <v/>
      </c>
      <c r="DT2470" s="64">
        <f>$Q2470-$Q2471</f>
        <v/>
      </c>
      <c r="DU2470" s="64">
        <f>$S2470-$S2471</f>
        <v/>
      </c>
      <c r="DV2470" s="65">
        <f>IFERROR(AVERAGE($AA2471/$AA2470-1,$AB2471/$AB2470-1,$AC2471/$AC2470-1,$AD2471/$AD2470-1,$AE2471/$AE2470-1,$AG2471/$AG2470-1,$AH2471/$AH2470-1,$AI2471/$AI2470-1,$AJ2471/$AJ2470-1,$AL2471/$AL2470-1,$AM2471/$AM2470-1,$AR2471/$AR2470-1,$AS2471/$AS2470-1,$AT2471/$AT2470-1,$AU2471/$AU2470-1,$AV2471/$AV2470-1,$AW2471/$AW2470-1,$AX2471/$AX2470-1,$AY2471/$AY2470-1),"")</f>
        <v/>
      </c>
      <c r="DW2470" s="66">
        <f>AVERAGE($CB2470,$CC2470,$CD2470,$CE2470,$CF2470,$CG2470,$CH2470,$CI2470,$CJ2470,$CL2470,$CM2470,$CN2470,$CO2470,$CP2470,$CQ2470,$CR2470,$CS2470,$CT2470)</f>
        <v/>
      </c>
      <c r="DX2470" s="66">
        <f>AVERAGE($CB2470,$CC2470,$CM2470,$CE2470,$CP2470)</f>
        <v/>
      </c>
      <c r="DY2470" s="64">
        <f>($DW2470-$DW2471)*100</f>
        <v/>
      </c>
      <c r="DZ2470" s="64">
        <f>($DX2470-$DX2471)*100</f>
        <v/>
      </c>
      <c r="EA2470" s="64">
        <f>($DW2470-$D2470)*100</f>
        <v/>
      </c>
      <c r="EB2470" s="64">
        <f>$Q2470-$O2470</f>
        <v/>
      </c>
      <c r="EC2470" s="67">
        <f>IFERROR($Q2470/$P2470,"")</f>
        <v/>
      </c>
    </row>
    <row r="2471">
      <c r="DG2471" s="64">
        <f>($B2471-$B2472)*100</f>
        <v/>
      </c>
      <c r="DH2471" s="64">
        <f>($D2471-$D2472)*100</f>
        <v/>
      </c>
      <c r="DI2471" s="64">
        <f>($E2471-$E2472)*100</f>
        <v/>
      </c>
      <c r="DJ2471" s="64">
        <f>($H2471-$H2472)*100</f>
        <v/>
      </c>
      <c r="DK2471" s="65">
        <f>IFERROR($J2471/$J2472-1,"")</f>
        <v/>
      </c>
      <c r="DL2471" s="64">
        <f>$L2471-$L2472</f>
        <v/>
      </c>
      <c r="DM2471" s="64">
        <f>$K2471-$K2472</f>
        <v/>
      </c>
      <c r="DN2471" s="65">
        <f>IFERROR($N2471/$N2472-1,"")</f>
        <v/>
      </c>
      <c r="DO2471" s="65">
        <f>IFERROR($M2471/$M2472-1,"")</f>
        <v/>
      </c>
      <c r="DP2471" s="65">
        <f>IFERROR($AZ2471/$AZ2472-1,"")</f>
        <v/>
      </c>
      <c r="DQ2471" s="65">
        <f>IFERROR($BA2471/$BA2472-1,"")</f>
        <v/>
      </c>
      <c r="DR2471" s="64">
        <f>$O2471-$O2472</f>
        <v/>
      </c>
      <c r="DS2471" s="64">
        <f>$P2471-$P2472</f>
        <v/>
      </c>
      <c r="DT2471" s="64">
        <f>$Q2471-$Q2472</f>
        <v/>
      </c>
      <c r="DU2471" s="64">
        <f>$S2471-$S2472</f>
        <v/>
      </c>
      <c r="DV2471" s="65">
        <f>IFERROR(AVERAGE($AA2472/$AA2471-1,$AB2472/$AB2471-1,$AC2472/$AC2471-1,$AD2472/$AD2471-1,$AE2472/$AE2471-1,$AG2472/$AG2471-1,$AH2472/$AH2471-1,$AI2472/$AI2471-1,$AJ2472/$AJ2471-1,$AL2472/$AL2471-1,$AM2472/$AM2471-1,$AR2472/$AR2471-1,$AS2472/$AS2471-1,$AT2472/$AT2471-1,$AU2472/$AU2471-1,$AV2472/$AV2471-1,$AW2472/$AW2471-1,$AX2472/$AX2471-1,$AY2472/$AY2471-1),"")</f>
        <v/>
      </c>
      <c r="DW2471" s="66">
        <f>AVERAGE($CB2471,$CC2471,$CD2471,$CE2471,$CF2471,$CG2471,$CH2471,$CI2471,$CJ2471,$CL2471,$CM2471,$CN2471,$CO2471,$CP2471,$CQ2471,$CR2471,$CS2471,$CT2471)</f>
        <v/>
      </c>
      <c r="DX2471" s="66">
        <f>AVERAGE($CB2471,$CC2471,$CM2471,$CE2471,$CP2471)</f>
        <v/>
      </c>
      <c r="DY2471" s="64">
        <f>($DW2471-$DW2472)*100</f>
        <v/>
      </c>
      <c r="DZ2471" s="64">
        <f>($DX2471-$DX2472)*100</f>
        <v/>
      </c>
      <c r="EA2471" s="64">
        <f>($DW2471-$D2471)*100</f>
        <v/>
      </c>
      <c r="EB2471" s="64">
        <f>$Q2471-$O2471</f>
        <v/>
      </c>
      <c r="EC2471" s="67">
        <f>IFERROR($Q2471/$P2471,"")</f>
        <v/>
      </c>
    </row>
    <row r="2472">
      <c r="DG2472" s="64">
        <f>($B2472-$B2473)*100</f>
        <v/>
      </c>
      <c r="DH2472" s="64">
        <f>($D2472-$D2473)*100</f>
        <v/>
      </c>
      <c r="DI2472" s="64">
        <f>($E2472-$E2473)*100</f>
        <v/>
      </c>
      <c r="DJ2472" s="64">
        <f>($H2472-$H2473)*100</f>
        <v/>
      </c>
      <c r="DK2472" s="65">
        <f>IFERROR($J2472/$J2473-1,"")</f>
        <v/>
      </c>
      <c r="DL2472" s="64">
        <f>$L2472-$L2473</f>
        <v/>
      </c>
      <c r="DM2472" s="64">
        <f>$K2472-$K2473</f>
        <v/>
      </c>
      <c r="DN2472" s="65">
        <f>IFERROR($N2472/$N2473-1,"")</f>
        <v/>
      </c>
      <c r="DO2472" s="65">
        <f>IFERROR($M2472/$M2473-1,"")</f>
        <v/>
      </c>
      <c r="DP2472" s="65">
        <f>IFERROR($AZ2472/$AZ2473-1,"")</f>
        <v/>
      </c>
      <c r="DQ2472" s="65">
        <f>IFERROR($BA2472/$BA2473-1,"")</f>
        <v/>
      </c>
      <c r="DR2472" s="64">
        <f>$O2472-$O2473</f>
        <v/>
      </c>
      <c r="DS2472" s="64">
        <f>$P2472-$P2473</f>
        <v/>
      </c>
      <c r="DT2472" s="64">
        <f>$Q2472-$Q2473</f>
        <v/>
      </c>
      <c r="DU2472" s="64">
        <f>$S2472-$S2473</f>
        <v/>
      </c>
      <c r="DV2472" s="65">
        <f>IFERROR(AVERAGE($AA2473/$AA2472-1,$AB2473/$AB2472-1,$AC2473/$AC2472-1,$AD2473/$AD2472-1,$AE2473/$AE2472-1,$AG2473/$AG2472-1,$AH2473/$AH2472-1,$AI2473/$AI2472-1,$AJ2473/$AJ2472-1,$AL2473/$AL2472-1,$AM2473/$AM2472-1,$AR2473/$AR2472-1,$AS2473/$AS2472-1,$AT2473/$AT2472-1,$AU2473/$AU2472-1,$AV2473/$AV2472-1,$AW2473/$AW2472-1,$AX2473/$AX2472-1,$AY2473/$AY2472-1),"")</f>
        <v/>
      </c>
      <c r="DW2472" s="66">
        <f>AVERAGE($CB2472,$CC2472,$CD2472,$CE2472,$CF2472,$CG2472,$CH2472,$CI2472,$CJ2472,$CL2472,$CM2472,$CN2472,$CO2472,$CP2472,$CQ2472,$CR2472,$CS2472,$CT2472)</f>
        <v/>
      </c>
      <c r="DX2472" s="66">
        <f>AVERAGE($CB2472,$CC2472,$CM2472,$CE2472,$CP2472)</f>
        <v/>
      </c>
      <c r="DY2472" s="64">
        <f>($DW2472-$DW2473)*100</f>
        <v/>
      </c>
      <c r="DZ2472" s="64">
        <f>($DX2472-$DX2473)*100</f>
        <v/>
      </c>
      <c r="EA2472" s="64">
        <f>($DW2472-$D2472)*100</f>
        <v/>
      </c>
      <c r="EB2472" s="64">
        <f>$Q2472-$O2472</f>
        <v/>
      </c>
      <c r="EC2472" s="67">
        <f>IFERROR($Q2472/$P2472,"")</f>
        <v/>
      </c>
    </row>
    <row r="2473">
      <c r="DG2473" s="64">
        <f>($B2473-$B2474)*100</f>
        <v/>
      </c>
      <c r="DH2473" s="64">
        <f>($D2473-$D2474)*100</f>
        <v/>
      </c>
      <c r="DI2473" s="64">
        <f>($E2473-$E2474)*100</f>
        <v/>
      </c>
      <c r="DJ2473" s="64">
        <f>($H2473-$H2474)*100</f>
        <v/>
      </c>
      <c r="DK2473" s="65">
        <f>IFERROR($J2473/$J2474-1,"")</f>
        <v/>
      </c>
      <c r="DL2473" s="64">
        <f>$L2473-$L2474</f>
        <v/>
      </c>
      <c r="DM2473" s="64">
        <f>$K2473-$K2474</f>
        <v/>
      </c>
      <c r="DN2473" s="65">
        <f>IFERROR($N2473/$N2474-1,"")</f>
        <v/>
      </c>
      <c r="DO2473" s="65">
        <f>IFERROR($M2473/$M2474-1,"")</f>
        <v/>
      </c>
      <c r="DP2473" s="65">
        <f>IFERROR($AZ2473/$AZ2474-1,"")</f>
        <v/>
      </c>
      <c r="DQ2473" s="65">
        <f>IFERROR($BA2473/$BA2474-1,"")</f>
        <v/>
      </c>
      <c r="DR2473" s="64">
        <f>$O2473-$O2474</f>
        <v/>
      </c>
      <c r="DS2473" s="64">
        <f>$P2473-$P2474</f>
        <v/>
      </c>
      <c r="DT2473" s="64">
        <f>$Q2473-$Q2474</f>
        <v/>
      </c>
      <c r="DU2473" s="64">
        <f>$S2473-$S2474</f>
        <v/>
      </c>
      <c r="DV2473" s="65">
        <f>IFERROR(AVERAGE($AA2474/$AA2473-1,$AB2474/$AB2473-1,$AC2474/$AC2473-1,$AD2474/$AD2473-1,$AE2474/$AE2473-1,$AG2474/$AG2473-1,$AH2474/$AH2473-1,$AI2474/$AI2473-1,$AJ2474/$AJ2473-1,$AL2474/$AL2473-1,$AM2474/$AM2473-1,$AR2474/$AR2473-1,$AS2474/$AS2473-1,$AT2474/$AT2473-1,$AU2474/$AU2473-1,$AV2474/$AV2473-1,$AW2474/$AW2473-1,$AX2474/$AX2473-1,$AY2474/$AY2473-1),"")</f>
        <v/>
      </c>
      <c r="DW2473" s="66">
        <f>AVERAGE($CB2473,$CC2473,$CD2473,$CE2473,$CF2473,$CG2473,$CH2473,$CI2473,$CJ2473,$CL2473,$CM2473,$CN2473,$CO2473,$CP2473,$CQ2473,$CR2473,$CS2473,$CT2473)</f>
        <v/>
      </c>
      <c r="DX2473" s="66">
        <f>AVERAGE($CB2473,$CC2473,$CM2473,$CE2473,$CP2473)</f>
        <v/>
      </c>
      <c r="DY2473" s="64">
        <f>($DW2473-$DW2474)*100</f>
        <v/>
      </c>
      <c r="DZ2473" s="64">
        <f>($DX2473-$DX2474)*100</f>
        <v/>
      </c>
      <c r="EA2473" s="64">
        <f>($DW2473-$D2473)*100</f>
        <v/>
      </c>
      <c r="EB2473" s="64">
        <f>$Q2473-$O2473</f>
        <v/>
      </c>
      <c r="EC2473" s="67">
        <f>IFERROR($Q2473/$P2473,"")</f>
        <v/>
      </c>
    </row>
    <row r="2474">
      <c r="DG2474" s="64">
        <f>($B2474-$B2475)*100</f>
        <v/>
      </c>
      <c r="DH2474" s="64">
        <f>($D2474-$D2475)*100</f>
        <v/>
      </c>
      <c r="DI2474" s="64">
        <f>($E2474-$E2475)*100</f>
        <v/>
      </c>
      <c r="DJ2474" s="64">
        <f>($H2474-$H2475)*100</f>
        <v/>
      </c>
      <c r="DK2474" s="65">
        <f>IFERROR($J2474/$J2475-1,"")</f>
        <v/>
      </c>
      <c r="DL2474" s="64">
        <f>$L2474-$L2475</f>
        <v/>
      </c>
      <c r="DM2474" s="64">
        <f>$K2474-$K2475</f>
        <v/>
      </c>
      <c r="DN2474" s="65">
        <f>IFERROR($N2474/$N2475-1,"")</f>
        <v/>
      </c>
      <c r="DO2474" s="65">
        <f>IFERROR($M2474/$M2475-1,"")</f>
        <v/>
      </c>
      <c r="DP2474" s="65">
        <f>IFERROR($AZ2474/$AZ2475-1,"")</f>
        <v/>
      </c>
      <c r="DQ2474" s="65">
        <f>IFERROR($BA2474/$BA2475-1,"")</f>
        <v/>
      </c>
      <c r="DR2474" s="64">
        <f>$O2474-$O2475</f>
        <v/>
      </c>
      <c r="DS2474" s="64">
        <f>$P2474-$P2475</f>
        <v/>
      </c>
      <c r="DT2474" s="64">
        <f>$Q2474-$Q2475</f>
        <v/>
      </c>
      <c r="DU2474" s="64">
        <f>$S2474-$S2475</f>
        <v/>
      </c>
      <c r="DV2474" s="65">
        <f>IFERROR(AVERAGE($AA2475/$AA2474-1,$AB2475/$AB2474-1,$AC2475/$AC2474-1,$AD2475/$AD2474-1,$AE2475/$AE2474-1,$AG2475/$AG2474-1,$AH2475/$AH2474-1,$AI2475/$AI2474-1,$AJ2475/$AJ2474-1,$AL2475/$AL2474-1,$AM2475/$AM2474-1,$AR2475/$AR2474-1,$AS2475/$AS2474-1,$AT2475/$AT2474-1,$AU2475/$AU2474-1,$AV2475/$AV2474-1,$AW2475/$AW2474-1,$AX2475/$AX2474-1,$AY2475/$AY2474-1),"")</f>
        <v/>
      </c>
      <c r="DW2474" s="66">
        <f>AVERAGE($CB2474,$CC2474,$CD2474,$CE2474,$CF2474,$CG2474,$CH2474,$CI2474,$CJ2474,$CL2474,$CM2474,$CN2474,$CO2474,$CP2474,$CQ2474,$CR2474,$CS2474,$CT2474)</f>
        <v/>
      </c>
      <c r="DX2474" s="66">
        <f>AVERAGE($CB2474,$CC2474,$CM2474,$CE2474,$CP2474)</f>
        <v/>
      </c>
      <c r="DY2474" s="64">
        <f>($DW2474-$DW2475)*100</f>
        <v/>
      </c>
      <c r="DZ2474" s="64">
        <f>($DX2474-$DX2475)*100</f>
        <v/>
      </c>
      <c r="EA2474" s="64">
        <f>($DW2474-$D2474)*100</f>
        <v/>
      </c>
      <c r="EB2474" s="64">
        <f>$Q2474-$O2474</f>
        <v/>
      </c>
      <c r="EC2474" s="67">
        <f>IFERROR($Q2474/$P2474,"")</f>
        <v/>
      </c>
    </row>
    <row r="2475">
      <c r="DG2475" s="64">
        <f>($B2475-$B2476)*100</f>
        <v/>
      </c>
      <c r="DH2475" s="64">
        <f>($D2475-$D2476)*100</f>
        <v/>
      </c>
      <c r="DI2475" s="64">
        <f>($E2475-$E2476)*100</f>
        <v/>
      </c>
      <c r="DJ2475" s="64">
        <f>($H2475-$H2476)*100</f>
        <v/>
      </c>
      <c r="DK2475" s="65">
        <f>IFERROR($J2475/$J2476-1,"")</f>
        <v/>
      </c>
      <c r="DL2475" s="64">
        <f>$L2475-$L2476</f>
        <v/>
      </c>
      <c r="DM2475" s="64">
        <f>$K2475-$K2476</f>
        <v/>
      </c>
      <c r="DN2475" s="65">
        <f>IFERROR($N2475/$N2476-1,"")</f>
        <v/>
      </c>
      <c r="DO2475" s="65">
        <f>IFERROR($M2475/$M2476-1,"")</f>
        <v/>
      </c>
      <c r="DP2475" s="65">
        <f>IFERROR($AZ2475/$AZ2476-1,"")</f>
        <v/>
      </c>
      <c r="DQ2475" s="65">
        <f>IFERROR($BA2475/$BA2476-1,"")</f>
        <v/>
      </c>
      <c r="DR2475" s="64">
        <f>$O2475-$O2476</f>
        <v/>
      </c>
      <c r="DS2475" s="64">
        <f>$P2475-$P2476</f>
        <v/>
      </c>
      <c r="DT2475" s="64">
        <f>$Q2475-$Q2476</f>
        <v/>
      </c>
      <c r="DU2475" s="64">
        <f>$S2475-$S2476</f>
        <v/>
      </c>
      <c r="DV2475" s="65">
        <f>IFERROR(AVERAGE($AA2476/$AA2475-1,$AB2476/$AB2475-1,$AC2476/$AC2475-1,$AD2476/$AD2475-1,$AE2476/$AE2475-1,$AG2476/$AG2475-1,$AH2476/$AH2475-1,$AI2476/$AI2475-1,$AJ2476/$AJ2475-1,$AL2476/$AL2475-1,$AM2476/$AM2475-1,$AR2476/$AR2475-1,$AS2476/$AS2475-1,$AT2476/$AT2475-1,$AU2476/$AU2475-1,$AV2476/$AV2475-1,$AW2476/$AW2475-1,$AX2476/$AX2475-1,$AY2476/$AY2475-1),"")</f>
        <v/>
      </c>
      <c r="DW2475" s="66">
        <f>AVERAGE($CB2475,$CC2475,$CD2475,$CE2475,$CF2475,$CG2475,$CH2475,$CI2475,$CJ2475,$CL2475,$CM2475,$CN2475,$CO2475,$CP2475,$CQ2475,$CR2475,$CS2475,$CT2475)</f>
        <v/>
      </c>
      <c r="DX2475" s="66">
        <f>AVERAGE($CB2475,$CC2475,$CM2475,$CE2475,$CP2475)</f>
        <v/>
      </c>
      <c r="DY2475" s="64">
        <f>($DW2475-$DW2476)*100</f>
        <v/>
      </c>
      <c r="DZ2475" s="64">
        <f>($DX2475-$DX2476)*100</f>
        <v/>
      </c>
      <c r="EA2475" s="64">
        <f>($DW2475-$D2475)*100</f>
        <v/>
      </c>
      <c r="EB2475" s="64">
        <f>$Q2475-$O2475</f>
        <v/>
      </c>
      <c r="EC2475" s="67">
        <f>IFERROR($Q2475/$P2475,"")</f>
        <v/>
      </c>
    </row>
    <row r="2476">
      <c r="DG2476" s="64">
        <f>($B2476-$B2477)*100</f>
        <v/>
      </c>
      <c r="DH2476" s="64">
        <f>($D2476-$D2477)*100</f>
        <v/>
      </c>
      <c r="DI2476" s="64">
        <f>($E2476-$E2477)*100</f>
        <v/>
      </c>
      <c r="DJ2476" s="64">
        <f>($H2476-$H2477)*100</f>
        <v/>
      </c>
      <c r="DK2476" s="65">
        <f>IFERROR($J2476/$J2477-1,"")</f>
        <v/>
      </c>
      <c r="DL2476" s="64">
        <f>$L2476-$L2477</f>
        <v/>
      </c>
      <c r="DM2476" s="64">
        <f>$K2476-$K2477</f>
        <v/>
      </c>
      <c r="DN2476" s="65">
        <f>IFERROR($N2476/$N2477-1,"")</f>
        <v/>
      </c>
      <c r="DO2476" s="65">
        <f>IFERROR($M2476/$M2477-1,"")</f>
        <v/>
      </c>
      <c r="DP2476" s="65">
        <f>IFERROR($AZ2476/$AZ2477-1,"")</f>
        <v/>
      </c>
      <c r="DQ2476" s="65">
        <f>IFERROR($BA2476/$BA2477-1,"")</f>
        <v/>
      </c>
      <c r="DR2476" s="64">
        <f>$O2476-$O2477</f>
        <v/>
      </c>
      <c r="DS2476" s="64">
        <f>$P2476-$P2477</f>
        <v/>
      </c>
      <c r="DT2476" s="64">
        <f>$Q2476-$Q2477</f>
        <v/>
      </c>
      <c r="DU2476" s="64">
        <f>$S2476-$S2477</f>
        <v/>
      </c>
      <c r="DV2476" s="65">
        <f>IFERROR(AVERAGE($AA2477/$AA2476-1,$AB2477/$AB2476-1,$AC2477/$AC2476-1,$AD2477/$AD2476-1,$AE2477/$AE2476-1,$AG2477/$AG2476-1,$AH2477/$AH2476-1,$AI2477/$AI2476-1,$AJ2477/$AJ2476-1,$AL2477/$AL2476-1,$AM2477/$AM2476-1,$AR2477/$AR2476-1,$AS2477/$AS2476-1,$AT2477/$AT2476-1,$AU2477/$AU2476-1,$AV2477/$AV2476-1,$AW2477/$AW2476-1,$AX2477/$AX2476-1,$AY2477/$AY2476-1),"")</f>
        <v/>
      </c>
      <c r="DW2476" s="66">
        <f>AVERAGE($CB2476,$CC2476,$CD2476,$CE2476,$CF2476,$CG2476,$CH2476,$CI2476,$CJ2476,$CL2476,$CM2476,$CN2476,$CO2476,$CP2476,$CQ2476,$CR2476,$CS2476,$CT2476)</f>
        <v/>
      </c>
      <c r="DX2476" s="66">
        <f>AVERAGE($CB2476,$CC2476,$CM2476,$CE2476,$CP2476)</f>
        <v/>
      </c>
      <c r="DY2476" s="64">
        <f>($DW2476-$DW2477)*100</f>
        <v/>
      </c>
      <c r="DZ2476" s="64">
        <f>($DX2476-$DX2477)*100</f>
        <v/>
      </c>
      <c r="EA2476" s="64">
        <f>($DW2476-$D2476)*100</f>
        <v/>
      </c>
      <c r="EB2476" s="64">
        <f>$Q2476-$O2476</f>
        <v/>
      </c>
      <c r="EC2476" s="67">
        <f>IFERROR($Q2476/$P2476,"")</f>
        <v/>
      </c>
    </row>
    <row r="2477">
      <c r="DG2477" s="64">
        <f>($B2477-$B2478)*100</f>
        <v/>
      </c>
      <c r="DH2477" s="64">
        <f>($D2477-$D2478)*100</f>
        <v/>
      </c>
      <c r="DI2477" s="64">
        <f>($E2477-$E2478)*100</f>
        <v/>
      </c>
      <c r="DJ2477" s="64">
        <f>($H2477-$H2478)*100</f>
        <v/>
      </c>
      <c r="DK2477" s="65">
        <f>IFERROR($J2477/$J2478-1,"")</f>
        <v/>
      </c>
      <c r="DL2477" s="64">
        <f>$L2477-$L2478</f>
        <v/>
      </c>
      <c r="DM2477" s="64">
        <f>$K2477-$K2478</f>
        <v/>
      </c>
      <c r="DN2477" s="65">
        <f>IFERROR($N2477/$N2478-1,"")</f>
        <v/>
      </c>
      <c r="DO2477" s="65">
        <f>IFERROR($M2477/$M2478-1,"")</f>
        <v/>
      </c>
      <c r="DP2477" s="65">
        <f>IFERROR($AZ2477/$AZ2478-1,"")</f>
        <v/>
      </c>
      <c r="DQ2477" s="65">
        <f>IFERROR($BA2477/$BA2478-1,"")</f>
        <v/>
      </c>
      <c r="DR2477" s="64">
        <f>$O2477-$O2478</f>
        <v/>
      </c>
      <c r="DS2477" s="64">
        <f>$P2477-$P2478</f>
        <v/>
      </c>
      <c r="DT2477" s="64">
        <f>$Q2477-$Q2478</f>
        <v/>
      </c>
      <c r="DU2477" s="64">
        <f>$S2477-$S2478</f>
        <v/>
      </c>
      <c r="DV2477" s="65">
        <f>IFERROR(AVERAGE($AA2478/$AA2477-1,$AB2478/$AB2477-1,$AC2478/$AC2477-1,$AD2478/$AD2477-1,$AE2478/$AE2477-1,$AG2478/$AG2477-1,$AH2478/$AH2477-1,$AI2478/$AI2477-1,$AJ2478/$AJ2477-1,$AL2478/$AL2477-1,$AM2478/$AM2477-1,$AR2478/$AR2477-1,$AS2478/$AS2477-1,$AT2478/$AT2477-1,$AU2478/$AU2477-1,$AV2478/$AV2477-1,$AW2478/$AW2477-1,$AX2478/$AX2477-1,$AY2478/$AY2477-1),"")</f>
        <v/>
      </c>
      <c r="DW2477" s="66">
        <f>AVERAGE($CB2477,$CC2477,$CD2477,$CE2477,$CF2477,$CG2477,$CH2477,$CI2477,$CJ2477,$CL2477,$CM2477,$CN2477,$CO2477,$CP2477,$CQ2477,$CR2477,$CS2477,$CT2477)</f>
        <v/>
      </c>
      <c r="DX2477" s="66">
        <f>AVERAGE($CB2477,$CC2477,$CM2477,$CE2477,$CP2477)</f>
        <v/>
      </c>
      <c r="DY2477" s="64">
        <f>($DW2477-$DW2478)*100</f>
        <v/>
      </c>
      <c r="DZ2477" s="64">
        <f>($DX2477-$DX2478)*100</f>
        <v/>
      </c>
      <c r="EA2477" s="64">
        <f>($DW2477-$D2477)*100</f>
        <v/>
      </c>
      <c r="EB2477" s="64">
        <f>$Q2477-$O2477</f>
        <v/>
      </c>
      <c r="EC2477" s="67">
        <f>IFERROR($Q2477/$P2477,"")</f>
        <v/>
      </c>
    </row>
    <row r="2478">
      <c r="DG2478" s="64">
        <f>($B2478-$B2479)*100</f>
        <v/>
      </c>
      <c r="DH2478" s="64">
        <f>($D2478-$D2479)*100</f>
        <v/>
      </c>
      <c r="DI2478" s="64">
        <f>($E2478-$E2479)*100</f>
        <v/>
      </c>
      <c r="DJ2478" s="64">
        <f>($H2478-$H2479)*100</f>
        <v/>
      </c>
      <c r="DK2478" s="65">
        <f>IFERROR($J2478/$J2479-1,"")</f>
        <v/>
      </c>
      <c r="DL2478" s="64">
        <f>$L2478-$L2479</f>
        <v/>
      </c>
      <c r="DM2478" s="64">
        <f>$K2478-$K2479</f>
        <v/>
      </c>
      <c r="DN2478" s="65">
        <f>IFERROR($N2478/$N2479-1,"")</f>
        <v/>
      </c>
      <c r="DO2478" s="65">
        <f>IFERROR($M2478/$M2479-1,"")</f>
        <v/>
      </c>
      <c r="DP2478" s="65">
        <f>IFERROR($AZ2478/$AZ2479-1,"")</f>
        <v/>
      </c>
      <c r="DQ2478" s="65">
        <f>IFERROR($BA2478/$BA2479-1,"")</f>
        <v/>
      </c>
      <c r="DR2478" s="64">
        <f>$O2478-$O2479</f>
        <v/>
      </c>
      <c r="DS2478" s="64">
        <f>$P2478-$P2479</f>
        <v/>
      </c>
      <c r="DT2478" s="64">
        <f>$Q2478-$Q2479</f>
        <v/>
      </c>
      <c r="DU2478" s="64">
        <f>$S2478-$S2479</f>
        <v/>
      </c>
      <c r="DV2478" s="65">
        <f>IFERROR(AVERAGE($AA2479/$AA2478-1,$AB2479/$AB2478-1,$AC2479/$AC2478-1,$AD2479/$AD2478-1,$AE2479/$AE2478-1,$AG2479/$AG2478-1,$AH2479/$AH2478-1,$AI2479/$AI2478-1,$AJ2479/$AJ2478-1,$AL2479/$AL2478-1,$AM2479/$AM2478-1,$AR2479/$AR2478-1,$AS2479/$AS2478-1,$AT2479/$AT2478-1,$AU2479/$AU2478-1,$AV2479/$AV2478-1,$AW2479/$AW2478-1,$AX2479/$AX2478-1,$AY2479/$AY2478-1),"")</f>
        <v/>
      </c>
      <c r="DW2478" s="66">
        <f>AVERAGE($CB2478,$CC2478,$CD2478,$CE2478,$CF2478,$CG2478,$CH2478,$CI2478,$CJ2478,$CL2478,$CM2478,$CN2478,$CO2478,$CP2478,$CQ2478,$CR2478,$CS2478,$CT2478)</f>
        <v/>
      </c>
      <c r="DX2478" s="66">
        <f>AVERAGE($CB2478,$CC2478,$CM2478,$CE2478,$CP2478)</f>
        <v/>
      </c>
      <c r="DY2478" s="64">
        <f>($DW2478-$DW2479)*100</f>
        <v/>
      </c>
      <c r="DZ2478" s="64">
        <f>($DX2478-$DX2479)*100</f>
        <v/>
      </c>
      <c r="EA2478" s="64">
        <f>($DW2478-$D2478)*100</f>
        <v/>
      </c>
      <c r="EB2478" s="64">
        <f>$Q2478-$O2478</f>
        <v/>
      </c>
      <c r="EC2478" s="67">
        <f>IFERROR($Q2478/$P2478,"")</f>
        <v/>
      </c>
    </row>
    <row r="2479">
      <c r="DG2479" s="64">
        <f>($B2479-$B2480)*100</f>
        <v/>
      </c>
      <c r="DH2479" s="64">
        <f>($D2479-$D2480)*100</f>
        <v/>
      </c>
      <c r="DI2479" s="64">
        <f>($E2479-$E2480)*100</f>
        <v/>
      </c>
      <c r="DJ2479" s="64">
        <f>($H2479-$H2480)*100</f>
        <v/>
      </c>
      <c r="DK2479" s="65">
        <f>IFERROR($J2479/$J2480-1,"")</f>
        <v/>
      </c>
      <c r="DL2479" s="64">
        <f>$L2479-$L2480</f>
        <v/>
      </c>
      <c r="DM2479" s="64">
        <f>$K2479-$K2480</f>
        <v/>
      </c>
      <c r="DN2479" s="65">
        <f>IFERROR($N2479/$N2480-1,"")</f>
        <v/>
      </c>
      <c r="DO2479" s="65">
        <f>IFERROR($M2479/$M2480-1,"")</f>
        <v/>
      </c>
      <c r="DP2479" s="65">
        <f>IFERROR($AZ2479/$AZ2480-1,"")</f>
        <v/>
      </c>
      <c r="DQ2479" s="65">
        <f>IFERROR($BA2479/$BA2480-1,"")</f>
        <v/>
      </c>
      <c r="DR2479" s="64">
        <f>$O2479-$O2480</f>
        <v/>
      </c>
      <c r="DS2479" s="64">
        <f>$P2479-$P2480</f>
        <v/>
      </c>
      <c r="DT2479" s="64">
        <f>$Q2479-$Q2480</f>
        <v/>
      </c>
      <c r="DU2479" s="64">
        <f>$S2479-$S2480</f>
        <v/>
      </c>
      <c r="DV2479" s="65">
        <f>IFERROR(AVERAGE($AA2480/$AA2479-1,$AB2480/$AB2479-1,$AC2480/$AC2479-1,$AD2480/$AD2479-1,$AE2480/$AE2479-1,$AG2480/$AG2479-1,$AH2480/$AH2479-1,$AI2480/$AI2479-1,$AJ2480/$AJ2479-1,$AL2480/$AL2479-1,$AM2480/$AM2479-1,$AR2480/$AR2479-1,$AS2480/$AS2479-1,$AT2480/$AT2479-1,$AU2480/$AU2479-1,$AV2480/$AV2479-1,$AW2480/$AW2479-1,$AX2480/$AX2479-1,$AY2480/$AY2479-1),"")</f>
        <v/>
      </c>
      <c r="DW2479" s="66">
        <f>AVERAGE($CB2479,$CC2479,$CD2479,$CE2479,$CF2479,$CG2479,$CH2479,$CI2479,$CJ2479,$CL2479,$CM2479,$CN2479,$CO2479,$CP2479,$CQ2479,$CR2479,$CS2479,$CT2479)</f>
        <v/>
      </c>
      <c r="DX2479" s="66">
        <f>AVERAGE($CB2479,$CC2479,$CM2479,$CE2479,$CP2479)</f>
        <v/>
      </c>
      <c r="DY2479" s="64">
        <f>($DW2479-$DW2480)*100</f>
        <v/>
      </c>
      <c r="DZ2479" s="64">
        <f>($DX2479-$DX2480)*100</f>
        <v/>
      </c>
      <c r="EA2479" s="64">
        <f>($DW2479-$D2479)*100</f>
        <v/>
      </c>
      <c r="EB2479" s="64">
        <f>$Q2479-$O2479</f>
        <v/>
      </c>
      <c r="EC2479" s="67">
        <f>IFERROR($Q2479/$P2479,"")</f>
        <v/>
      </c>
    </row>
    <row r="2480">
      <c r="DG2480" s="64">
        <f>($B2480-$B2481)*100</f>
        <v/>
      </c>
      <c r="DH2480" s="64">
        <f>($D2480-$D2481)*100</f>
        <v/>
      </c>
      <c r="DI2480" s="64">
        <f>($E2480-$E2481)*100</f>
        <v/>
      </c>
      <c r="DJ2480" s="64">
        <f>($H2480-$H2481)*100</f>
        <v/>
      </c>
      <c r="DK2480" s="65">
        <f>IFERROR($J2480/$J2481-1,"")</f>
        <v/>
      </c>
      <c r="DL2480" s="64">
        <f>$L2480-$L2481</f>
        <v/>
      </c>
      <c r="DM2480" s="64">
        <f>$K2480-$K2481</f>
        <v/>
      </c>
      <c r="DN2480" s="65">
        <f>IFERROR($N2480/$N2481-1,"")</f>
        <v/>
      </c>
      <c r="DO2480" s="65">
        <f>IFERROR($M2480/$M2481-1,"")</f>
        <v/>
      </c>
      <c r="DP2480" s="65">
        <f>IFERROR($AZ2480/$AZ2481-1,"")</f>
        <v/>
      </c>
      <c r="DQ2480" s="65">
        <f>IFERROR($BA2480/$BA2481-1,"")</f>
        <v/>
      </c>
      <c r="DR2480" s="64">
        <f>$O2480-$O2481</f>
        <v/>
      </c>
      <c r="DS2480" s="64">
        <f>$P2480-$P2481</f>
        <v/>
      </c>
      <c r="DT2480" s="64">
        <f>$Q2480-$Q2481</f>
        <v/>
      </c>
      <c r="DU2480" s="64">
        <f>$S2480-$S2481</f>
        <v/>
      </c>
      <c r="DV2480" s="65">
        <f>IFERROR(AVERAGE($AA2481/$AA2480-1,$AB2481/$AB2480-1,$AC2481/$AC2480-1,$AD2481/$AD2480-1,$AE2481/$AE2480-1,$AG2481/$AG2480-1,$AH2481/$AH2480-1,$AI2481/$AI2480-1,$AJ2481/$AJ2480-1,$AL2481/$AL2480-1,$AM2481/$AM2480-1,$AR2481/$AR2480-1,$AS2481/$AS2480-1,$AT2481/$AT2480-1,$AU2481/$AU2480-1,$AV2481/$AV2480-1,$AW2481/$AW2480-1,$AX2481/$AX2480-1,$AY2481/$AY2480-1),"")</f>
        <v/>
      </c>
      <c r="DW2480" s="66">
        <f>AVERAGE($CB2480,$CC2480,$CD2480,$CE2480,$CF2480,$CG2480,$CH2480,$CI2480,$CJ2480,$CL2480,$CM2480,$CN2480,$CO2480,$CP2480,$CQ2480,$CR2480,$CS2480,$CT2480)</f>
        <v/>
      </c>
      <c r="DX2480" s="66">
        <f>AVERAGE($CB2480,$CC2480,$CM2480,$CE2480,$CP2480)</f>
        <v/>
      </c>
      <c r="DY2480" s="64">
        <f>($DW2480-$DW2481)*100</f>
        <v/>
      </c>
      <c r="DZ2480" s="64">
        <f>($DX2480-$DX2481)*100</f>
        <v/>
      </c>
      <c r="EA2480" s="64">
        <f>($DW2480-$D2480)*100</f>
        <v/>
      </c>
      <c r="EB2480" s="64">
        <f>$Q2480-$O2480</f>
        <v/>
      </c>
      <c r="EC2480" s="67">
        <f>IFERROR($Q2480/$P2480,"")</f>
        <v/>
      </c>
    </row>
    <row r="2481">
      <c r="DG2481" s="64">
        <f>($B2481-$B2482)*100</f>
        <v/>
      </c>
      <c r="DH2481" s="64">
        <f>($D2481-$D2482)*100</f>
        <v/>
      </c>
      <c r="DI2481" s="64">
        <f>($E2481-$E2482)*100</f>
        <v/>
      </c>
      <c r="DJ2481" s="64">
        <f>($H2481-$H2482)*100</f>
        <v/>
      </c>
      <c r="DK2481" s="65">
        <f>IFERROR($J2481/$J2482-1,"")</f>
        <v/>
      </c>
      <c r="DL2481" s="64">
        <f>$L2481-$L2482</f>
        <v/>
      </c>
      <c r="DM2481" s="64">
        <f>$K2481-$K2482</f>
        <v/>
      </c>
      <c r="DN2481" s="65">
        <f>IFERROR($N2481/$N2482-1,"")</f>
        <v/>
      </c>
      <c r="DO2481" s="65">
        <f>IFERROR($M2481/$M2482-1,"")</f>
        <v/>
      </c>
      <c r="DP2481" s="65">
        <f>IFERROR($AZ2481/$AZ2482-1,"")</f>
        <v/>
      </c>
      <c r="DQ2481" s="65">
        <f>IFERROR($BA2481/$BA2482-1,"")</f>
        <v/>
      </c>
      <c r="DR2481" s="64">
        <f>$O2481-$O2482</f>
        <v/>
      </c>
      <c r="DS2481" s="64">
        <f>$P2481-$P2482</f>
        <v/>
      </c>
      <c r="DT2481" s="64">
        <f>$Q2481-$Q2482</f>
        <v/>
      </c>
      <c r="DU2481" s="64">
        <f>$S2481-$S2482</f>
        <v/>
      </c>
      <c r="DV2481" s="65">
        <f>IFERROR(AVERAGE($AA2482/$AA2481-1,$AB2482/$AB2481-1,$AC2482/$AC2481-1,$AD2482/$AD2481-1,$AE2482/$AE2481-1,$AG2482/$AG2481-1,$AH2482/$AH2481-1,$AI2482/$AI2481-1,$AJ2482/$AJ2481-1,$AL2482/$AL2481-1,$AM2482/$AM2481-1,$AR2482/$AR2481-1,$AS2482/$AS2481-1,$AT2482/$AT2481-1,$AU2482/$AU2481-1,$AV2482/$AV2481-1,$AW2482/$AW2481-1,$AX2482/$AX2481-1,$AY2482/$AY2481-1),"")</f>
        <v/>
      </c>
      <c r="DW2481" s="66">
        <f>AVERAGE($CB2481,$CC2481,$CD2481,$CE2481,$CF2481,$CG2481,$CH2481,$CI2481,$CJ2481,$CL2481,$CM2481,$CN2481,$CO2481,$CP2481,$CQ2481,$CR2481,$CS2481,$CT2481)</f>
        <v/>
      </c>
      <c r="DX2481" s="66">
        <f>AVERAGE($CB2481,$CC2481,$CM2481,$CE2481,$CP2481)</f>
        <v/>
      </c>
      <c r="DY2481" s="64">
        <f>($DW2481-$DW2482)*100</f>
        <v/>
      </c>
      <c r="DZ2481" s="64">
        <f>($DX2481-$DX2482)*100</f>
        <v/>
      </c>
      <c r="EA2481" s="64">
        <f>($DW2481-$D2481)*100</f>
        <v/>
      </c>
      <c r="EB2481" s="64">
        <f>$Q2481-$O2481</f>
        <v/>
      </c>
      <c r="EC2481" s="67">
        <f>IFERROR($Q2481/$P2481,"")</f>
        <v/>
      </c>
    </row>
    <row r="2482">
      <c r="DG2482" s="64">
        <f>($B2482-$B2483)*100</f>
        <v/>
      </c>
      <c r="DH2482" s="64">
        <f>($D2482-$D2483)*100</f>
        <v/>
      </c>
      <c r="DI2482" s="64">
        <f>($E2482-$E2483)*100</f>
        <v/>
      </c>
      <c r="DJ2482" s="64">
        <f>($H2482-$H2483)*100</f>
        <v/>
      </c>
      <c r="DK2482" s="65">
        <f>IFERROR($J2482/$J2483-1,"")</f>
        <v/>
      </c>
      <c r="DL2482" s="64">
        <f>$L2482-$L2483</f>
        <v/>
      </c>
      <c r="DM2482" s="64">
        <f>$K2482-$K2483</f>
        <v/>
      </c>
      <c r="DN2482" s="65">
        <f>IFERROR($N2482/$N2483-1,"")</f>
        <v/>
      </c>
      <c r="DO2482" s="65">
        <f>IFERROR($M2482/$M2483-1,"")</f>
        <v/>
      </c>
      <c r="DP2482" s="65">
        <f>IFERROR($AZ2482/$AZ2483-1,"")</f>
        <v/>
      </c>
      <c r="DQ2482" s="65">
        <f>IFERROR($BA2482/$BA2483-1,"")</f>
        <v/>
      </c>
      <c r="DR2482" s="64">
        <f>$O2482-$O2483</f>
        <v/>
      </c>
      <c r="DS2482" s="64">
        <f>$P2482-$P2483</f>
        <v/>
      </c>
      <c r="DT2482" s="64">
        <f>$Q2482-$Q2483</f>
        <v/>
      </c>
      <c r="DU2482" s="64">
        <f>$S2482-$S2483</f>
        <v/>
      </c>
      <c r="DV2482" s="65">
        <f>IFERROR(AVERAGE($AA2483/$AA2482-1,$AB2483/$AB2482-1,$AC2483/$AC2482-1,$AD2483/$AD2482-1,$AE2483/$AE2482-1,$AG2483/$AG2482-1,$AH2483/$AH2482-1,$AI2483/$AI2482-1,$AJ2483/$AJ2482-1,$AL2483/$AL2482-1,$AM2483/$AM2482-1,$AR2483/$AR2482-1,$AS2483/$AS2482-1,$AT2483/$AT2482-1,$AU2483/$AU2482-1,$AV2483/$AV2482-1,$AW2483/$AW2482-1,$AX2483/$AX2482-1,$AY2483/$AY2482-1),"")</f>
        <v/>
      </c>
      <c r="DW2482" s="66">
        <f>AVERAGE($CB2482,$CC2482,$CD2482,$CE2482,$CF2482,$CG2482,$CH2482,$CI2482,$CJ2482,$CL2482,$CM2482,$CN2482,$CO2482,$CP2482,$CQ2482,$CR2482,$CS2482,$CT2482)</f>
        <v/>
      </c>
      <c r="DX2482" s="66">
        <f>AVERAGE($CB2482,$CC2482,$CM2482,$CE2482,$CP2482)</f>
        <v/>
      </c>
      <c r="DY2482" s="64">
        <f>($DW2482-$DW2483)*100</f>
        <v/>
      </c>
      <c r="DZ2482" s="64">
        <f>($DX2482-$DX2483)*100</f>
        <v/>
      </c>
      <c r="EA2482" s="64">
        <f>($DW2482-$D2482)*100</f>
        <v/>
      </c>
      <c r="EB2482" s="64">
        <f>$Q2482-$O2482</f>
        <v/>
      </c>
      <c r="EC2482" s="67">
        <f>IFERROR($Q2482/$P2482,"")</f>
        <v/>
      </c>
    </row>
    <row r="2483">
      <c r="DG2483" s="64">
        <f>($B2483-$B2484)*100</f>
        <v/>
      </c>
      <c r="DH2483" s="64">
        <f>($D2483-$D2484)*100</f>
        <v/>
      </c>
      <c r="DI2483" s="64">
        <f>($E2483-$E2484)*100</f>
        <v/>
      </c>
      <c r="DJ2483" s="64">
        <f>($H2483-$H2484)*100</f>
        <v/>
      </c>
      <c r="DK2483" s="65">
        <f>IFERROR($J2483/$J2484-1,"")</f>
        <v/>
      </c>
      <c r="DL2483" s="64">
        <f>$L2483-$L2484</f>
        <v/>
      </c>
      <c r="DM2483" s="64">
        <f>$K2483-$K2484</f>
        <v/>
      </c>
      <c r="DN2483" s="65">
        <f>IFERROR($N2483/$N2484-1,"")</f>
        <v/>
      </c>
      <c r="DO2483" s="65">
        <f>IFERROR($M2483/$M2484-1,"")</f>
        <v/>
      </c>
      <c r="DP2483" s="65">
        <f>IFERROR($AZ2483/$AZ2484-1,"")</f>
        <v/>
      </c>
      <c r="DQ2483" s="65">
        <f>IFERROR($BA2483/$BA2484-1,"")</f>
        <v/>
      </c>
      <c r="DR2483" s="64">
        <f>$O2483-$O2484</f>
        <v/>
      </c>
      <c r="DS2483" s="64">
        <f>$P2483-$P2484</f>
        <v/>
      </c>
      <c r="DT2483" s="64">
        <f>$Q2483-$Q2484</f>
        <v/>
      </c>
      <c r="DU2483" s="64">
        <f>$S2483-$S2484</f>
        <v/>
      </c>
      <c r="DV2483" s="65">
        <f>IFERROR(AVERAGE($AA2484/$AA2483-1,$AB2484/$AB2483-1,$AC2484/$AC2483-1,$AD2484/$AD2483-1,$AE2484/$AE2483-1,$AG2484/$AG2483-1,$AH2484/$AH2483-1,$AI2484/$AI2483-1,$AJ2484/$AJ2483-1,$AL2484/$AL2483-1,$AM2484/$AM2483-1,$AR2484/$AR2483-1,$AS2484/$AS2483-1,$AT2484/$AT2483-1,$AU2484/$AU2483-1,$AV2484/$AV2483-1,$AW2484/$AW2483-1,$AX2484/$AX2483-1,$AY2484/$AY2483-1),"")</f>
        <v/>
      </c>
      <c r="DW2483" s="66">
        <f>AVERAGE($CB2483,$CC2483,$CD2483,$CE2483,$CF2483,$CG2483,$CH2483,$CI2483,$CJ2483,$CL2483,$CM2483,$CN2483,$CO2483,$CP2483,$CQ2483,$CR2483,$CS2483,$CT2483)</f>
        <v/>
      </c>
      <c r="DX2483" s="66">
        <f>AVERAGE($CB2483,$CC2483,$CM2483,$CE2483,$CP2483)</f>
        <v/>
      </c>
      <c r="DY2483" s="64">
        <f>($DW2483-$DW2484)*100</f>
        <v/>
      </c>
      <c r="DZ2483" s="64">
        <f>($DX2483-$DX2484)*100</f>
        <v/>
      </c>
      <c r="EA2483" s="64">
        <f>($DW2483-$D2483)*100</f>
        <v/>
      </c>
      <c r="EB2483" s="64">
        <f>$Q2483-$O2483</f>
        <v/>
      </c>
      <c r="EC2483" s="67">
        <f>IFERROR($Q2483/$P2483,"")</f>
        <v/>
      </c>
    </row>
    <row r="2484">
      <c r="DG2484" s="64">
        <f>($B2484-$B2485)*100</f>
        <v/>
      </c>
      <c r="DH2484" s="64">
        <f>($D2484-$D2485)*100</f>
        <v/>
      </c>
      <c r="DI2484" s="64">
        <f>($E2484-$E2485)*100</f>
        <v/>
      </c>
      <c r="DJ2484" s="64">
        <f>($H2484-$H2485)*100</f>
        <v/>
      </c>
      <c r="DK2484" s="65">
        <f>IFERROR($J2484/$J2485-1,"")</f>
        <v/>
      </c>
      <c r="DL2484" s="64">
        <f>$L2484-$L2485</f>
        <v/>
      </c>
      <c r="DM2484" s="64">
        <f>$K2484-$K2485</f>
        <v/>
      </c>
      <c r="DN2484" s="65">
        <f>IFERROR($N2484/$N2485-1,"")</f>
        <v/>
      </c>
      <c r="DO2484" s="65">
        <f>IFERROR($M2484/$M2485-1,"")</f>
        <v/>
      </c>
      <c r="DP2484" s="65">
        <f>IFERROR($AZ2484/$AZ2485-1,"")</f>
        <v/>
      </c>
      <c r="DQ2484" s="65">
        <f>IFERROR($BA2484/$BA2485-1,"")</f>
        <v/>
      </c>
      <c r="DR2484" s="64">
        <f>$O2484-$O2485</f>
        <v/>
      </c>
      <c r="DS2484" s="64">
        <f>$P2484-$P2485</f>
        <v/>
      </c>
      <c r="DT2484" s="64">
        <f>$Q2484-$Q2485</f>
        <v/>
      </c>
      <c r="DU2484" s="64">
        <f>$S2484-$S2485</f>
        <v/>
      </c>
      <c r="DV2484" s="65">
        <f>IFERROR(AVERAGE($AA2485/$AA2484-1,$AB2485/$AB2484-1,$AC2485/$AC2484-1,$AD2485/$AD2484-1,$AE2485/$AE2484-1,$AG2485/$AG2484-1,$AH2485/$AH2484-1,$AI2485/$AI2484-1,$AJ2485/$AJ2484-1,$AL2485/$AL2484-1,$AM2485/$AM2484-1,$AR2485/$AR2484-1,$AS2485/$AS2484-1,$AT2485/$AT2484-1,$AU2485/$AU2484-1,$AV2485/$AV2484-1,$AW2485/$AW2484-1,$AX2485/$AX2484-1,$AY2485/$AY2484-1),"")</f>
        <v/>
      </c>
      <c r="DW2484" s="66">
        <f>AVERAGE($CB2484,$CC2484,$CD2484,$CE2484,$CF2484,$CG2484,$CH2484,$CI2484,$CJ2484,$CL2484,$CM2484,$CN2484,$CO2484,$CP2484,$CQ2484,$CR2484,$CS2484,$CT2484)</f>
        <v/>
      </c>
      <c r="DX2484" s="66">
        <f>AVERAGE($CB2484,$CC2484,$CM2484,$CE2484,$CP2484)</f>
        <v/>
      </c>
      <c r="DY2484" s="64">
        <f>($DW2484-$DW2485)*100</f>
        <v/>
      </c>
      <c r="DZ2484" s="64">
        <f>($DX2484-$DX2485)*100</f>
        <v/>
      </c>
      <c r="EA2484" s="64">
        <f>($DW2484-$D2484)*100</f>
        <v/>
      </c>
      <c r="EB2484" s="64">
        <f>$Q2484-$O2484</f>
        <v/>
      </c>
      <c r="EC2484" s="67">
        <f>IFERROR($Q2484/$P2484,"")</f>
        <v/>
      </c>
    </row>
    <row r="2485">
      <c r="DG2485" s="64">
        <f>($B2485-$B2486)*100</f>
        <v/>
      </c>
      <c r="DH2485" s="64">
        <f>($D2485-$D2486)*100</f>
        <v/>
      </c>
      <c r="DI2485" s="64">
        <f>($E2485-$E2486)*100</f>
        <v/>
      </c>
      <c r="DJ2485" s="64">
        <f>($H2485-$H2486)*100</f>
        <v/>
      </c>
      <c r="DK2485" s="65">
        <f>IFERROR($J2485/$J2486-1,"")</f>
        <v/>
      </c>
      <c r="DL2485" s="64">
        <f>$L2485-$L2486</f>
        <v/>
      </c>
      <c r="DM2485" s="64">
        <f>$K2485-$K2486</f>
        <v/>
      </c>
      <c r="DN2485" s="65">
        <f>IFERROR($N2485/$N2486-1,"")</f>
        <v/>
      </c>
      <c r="DO2485" s="65">
        <f>IFERROR($M2485/$M2486-1,"")</f>
        <v/>
      </c>
      <c r="DP2485" s="65">
        <f>IFERROR($AZ2485/$AZ2486-1,"")</f>
        <v/>
      </c>
      <c r="DQ2485" s="65">
        <f>IFERROR($BA2485/$BA2486-1,"")</f>
        <v/>
      </c>
      <c r="DR2485" s="64">
        <f>$O2485-$O2486</f>
        <v/>
      </c>
      <c r="DS2485" s="64">
        <f>$P2485-$P2486</f>
        <v/>
      </c>
      <c r="DT2485" s="64">
        <f>$Q2485-$Q2486</f>
        <v/>
      </c>
      <c r="DU2485" s="64">
        <f>$S2485-$S2486</f>
        <v/>
      </c>
      <c r="DV2485" s="65">
        <f>IFERROR(AVERAGE($AA2486/$AA2485-1,$AB2486/$AB2485-1,$AC2486/$AC2485-1,$AD2486/$AD2485-1,$AE2486/$AE2485-1,$AG2486/$AG2485-1,$AH2486/$AH2485-1,$AI2486/$AI2485-1,$AJ2486/$AJ2485-1,$AL2486/$AL2485-1,$AM2486/$AM2485-1,$AR2486/$AR2485-1,$AS2486/$AS2485-1,$AT2486/$AT2485-1,$AU2486/$AU2485-1,$AV2486/$AV2485-1,$AW2486/$AW2485-1,$AX2486/$AX2485-1,$AY2486/$AY2485-1),"")</f>
        <v/>
      </c>
      <c r="DW2485" s="66">
        <f>AVERAGE($CB2485,$CC2485,$CD2485,$CE2485,$CF2485,$CG2485,$CH2485,$CI2485,$CJ2485,$CL2485,$CM2485,$CN2485,$CO2485,$CP2485,$CQ2485,$CR2485,$CS2485,$CT2485)</f>
        <v/>
      </c>
      <c r="DX2485" s="66">
        <f>AVERAGE($CB2485,$CC2485,$CM2485,$CE2485,$CP2485)</f>
        <v/>
      </c>
      <c r="DY2485" s="64">
        <f>($DW2485-$DW2486)*100</f>
        <v/>
      </c>
      <c r="DZ2485" s="64">
        <f>($DX2485-$DX2486)*100</f>
        <v/>
      </c>
      <c r="EA2485" s="64">
        <f>($DW2485-$D2485)*100</f>
        <v/>
      </c>
      <c r="EB2485" s="64">
        <f>$Q2485-$O2485</f>
        <v/>
      </c>
      <c r="EC2485" s="67">
        <f>IFERROR($Q2485/$P2485,"")</f>
        <v/>
      </c>
    </row>
    <row r="2486">
      <c r="DG2486" s="64">
        <f>($B2486-$B2487)*100</f>
        <v/>
      </c>
      <c r="DH2486" s="64">
        <f>($D2486-$D2487)*100</f>
        <v/>
      </c>
      <c r="DI2486" s="64">
        <f>($E2486-$E2487)*100</f>
        <v/>
      </c>
      <c r="DJ2486" s="64">
        <f>($H2486-$H2487)*100</f>
        <v/>
      </c>
      <c r="DK2486" s="65">
        <f>IFERROR($J2486/$J2487-1,"")</f>
        <v/>
      </c>
      <c r="DL2486" s="64">
        <f>$L2486-$L2487</f>
        <v/>
      </c>
      <c r="DM2486" s="64">
        <f>$K2486-$K2487</f>
        <v/>
      </c>
      <c r="DN2486" s="65">
        <f>IFERROR($N2486/$N2487-1,"")</f>
        <v/>
      </c>
      <c r="DO2486" s="65">
        <f>IFERROR($M2486/$M2487-1,"")</f>
        <v/>
      </c>
      <c r="DP2486" s="65">
        <f>IFERROR($AZ2486/$AZ2487-1,"")</f>
        <v/>
      </c>
      <c r="DQ2486" s="65">
        <f>IFERROR($BA2486/$BA2487-1,"")</f>
        <v/>
      </c>
      <c r="DR2486" s="64">
        <f>$O2486-$O2487</f>
        <v/>
      </c>
      <c r="DS2486" s="64">
        <f>$P2486-$P2487</f>
        <v/>
      </c>
      <c r="DT2486" s="64">
        <f>$Q2486-$Q2487</f>
        <v/>
      </c>
      <c r="DU2486" s="64">
        <f>$S2486-$S2487</f>
        <v/>
      </c>
      <c r="DV2486" s="65">
        <f>IFERROR(AVERAGE($AA2487/$AA2486-1,$AB2487/$AB2486-1,$AC2487/$AC2486-1,$AD2487/$AD2486-1,$AE2487/$AE2486-1,$AG2487/$AG2486-1,$AH2487/$AH2486-1,$AI2487/$AI2486-1,$AJ2487/$AJ2486-1,$AL2487/$AL2486-1,$AM2487/$AM2486-1,$AR2487/$AR2486-1,$AS2487/$AS2486-1,$AT2487/$AT2486-1,$AU2487/$AU2486-1,$AV2487/$AV2486-1,$AW2487/$AW2486-1,$AX2487/$AX2486-1,$AY2487/$AY2486-1),"")</f>
        <v/>
      </c>
      <c r="DW2486" s="66">
        <f>AVERAGE($CB2486,$CC2486,$CD2486,$CE2486,$CF2486,$CG2486,$CH2486,$CI2486,$CJ2486,$CL2486,$CM2486,$CN2486,$CO2486,$CP2486,$CQ2486,$CR2486,$CS2486,$CT2486)</f>
        <v/>
      </c>
      <c r="DX2486" s="66">
        <f>AVERAGE($CB2486,$CC2486,$CM2486,$CE2486,$CP2486)</f>
        <v/>
      </c>
      <c r="DY2486" s="64">
        <f>($DW2486-$DW2487)*100</f>
        <v/>
      </c>
      <c r="DZ2486" s="64">
        <f>($DX2486-$DX2487)*100</f>
        <v/>
      </c>
      <c r="EA2486" s="64">
        <f>($DW2486-$D2486)*100</f>
        <v/>
      </c>
      <c r="EB2486" s="64">
        <f>$Q2486-$O2486</f>
        <v/>
      </c>
      <c r="EC2486" s="67">
        <f>IFERROR($Q2486/$P2486,"")</f>
        <v/>
      </c>
    </row>
    <row r="2487">
      <c r="DG2487" s="64">
        <f>($B2487-$B2488)*100</f>
        <v/>
      </c>
      <c r="DH2487" s="64">
        <f>($D2487-$D2488)*100</f>
        <v/>
      </c>
      <c r="DI2487" s="64">
        <f>($E2487-$E2488)*100</f>
        <v/>
      </c>
      <c r="DJ2487" s="64">
        <f>($H2487-$H2488)*100</f>
        <v/>
      </c>
      <c r="DK2487" s="65">
        <f>IFERROR($J2487/$J2488-1,"")</f>
        <v/>
      </c>
      <c r="DL2487" s="64">
        <f>$L2487-$L2488</f>
        <v/>
      </c>
      <c r="DM2487" s="64">
        <f>$K2487-$K2488</f>
        <v/>
      </c>
      <c r="DN2487" s="65">
        <f>IFERROR($N2487/$N2488-1,"")</f>
        <v/>
      </c>
      <c r="DO2487" s="65">
        <f>IFERROR($M2487/$M2488-1,"")</f>
        <v/>
      </c>
      <c r="DP2487" s="65">
        <f>IFERROR($AZ2487/$AZ2488-1,"")</f>
        <v/>
      </c>
      <c r="DQ2487" s="65">
        <f>IFERROR($BA2487/$BA2488-1,"")</f>
        <v/>
      </c>
      <c r="DR2487" s="64">
        <f>$O2487-$O2488</f>
        <v/>
      </c>
      <c r="DS2487" s="64">
        <f>$P2487-$P2488</f>
        <v/>
      </c>
      <c r="DT2487" s="64">
        <f>$Q2487-$Q2488</f>
        <v/>
      </c>
      <c r="DU2487" s="64">
        <f>$S2487-$S2488</f>
        <v/>
      </c>
      <c r="DV2487" s="65">
        <f>IFERROR(AVERAGE($AA2488/$AA2487-1,$AB2488/$AB2487-1,$AC2488/$AC2487-1,$AD2488/$AD2487-1,$AE2488/$AE2487-1,$AG2488/$AG2487-1,$AH2488/$AH2487-1,$AI2488/$AI2487-1,$AJ2488/$AJ2487-1,$AL2488/$AL2487-1,$AM2488/$AM2487-1,$AR2488/$AR2487-1,$AS2488/$AS2487-1,$AT2488/$AT2487-1,$AU2488/$AU2487-1,$AV2488/$AV2487-1,$AW2488/$AW2487-1,$AX2488/$AX2487-1,$AY2488/$AY2487-1),"")</f>
        <v/>
      </c>
      <c r="DW2487" s="66">
        <f>AVERAGE($CB2487,$CC2487,$CD2487,$CE2487,$CF2487,$CG2487,$CH2487,$CI2487,$CJ2487,$CL2487,$CM2487,$CN2487,$CO2487,$CP2487,$CQ2487,$CR2487,$CS2487,$CT2487)</f>
        <v/>
      </c>
      <c r="DX2487" s="66">
        <f>AVERAGE($CB2487,$CC2487,$CM2487,$CE2487,$CP2487)</f>
        <v/>
      </c>
      <c r="DY2487" s="64">
        <f>($DW2487-$DW2488)*100</f>
        <v/>
      </c>
      <c r="DZ2487" s="64">
        <f>($DX2487-$DX2488)*100</f>
        <v/>
      </c>
      <c r="EA2487" s="64">
        <f>($DW2487-$D2487)*100</f>
        <v/>
      </c>
      <c r="EB2487" s="64">
        <f>$Q2487-$O2487</f>
        <v/>
      </c>
      <c r="EC2487" s="67">
        <f>IFERROR($Q2487/$P2487,"")</f>
        <v/>
      </c>
    </row>
    <row r="2488">
      <c r="DG2488" s="64">
        <f>($B2488-$B2489)*100</f>
        <v/>
      </c>
      <c r="DH2488" s="64">
        <f>($D2488-$D2489)*100</f>
        <v/>
      </c>
      <c r="DI2488" s="64">
        <f>($E2488-$E2489)*100</f>
        <v/>
      </c>
      <c r="DJ2488" s="64">
        <f>($H2488-$H2489)*100</f>
        <v/>
      </c>
      <c r="DK2488" s="65">
        <f>IFERROR($J2488/$J2489-1,"")</f>
        <v/>
      </c>
      <c r="DL2488" s="64">
        <f>$L2488-$L2489</f>
        <v/>
      </c>
      <c r="DM2488" s="64">
        <f>$K2488-$K2489</f>
        <v/>
      </c>
      <c r="DN2488" s="65">
        <f>IFERROR($N2488/$N2489-1,"")</f>
        <v/>
      </c>
      <c r="DO2488" s="65">
        <f>IFERROR($M2488/$M2489-1,"")</f>
        <v/>
      </c>
      <c r="DP2488" s="65">
        <f>IFERROR($AZ2488/$AZ2489-1,"")</f>
        <v/>
      </c>
      <c r="DQ2488" s="65">
        <f>IFERROR($BA2488/$BA2489-1,"")</f>
        <v/>
      </c>
      <c r="DR2488" s="64">
        <f>$O2488-$O2489</f>
        <v/>
      </c>
      <c r="DS2488" s="64">
        <f>$P2488-$P2489</f>
        <v/>
      </c>
      <c r="DT2488" s="64">
        <f>$Q2488-$Q2489</f>
        <v/>
      </c>
      <c r="DU2488" s="64">
        <f>$S2488-$S2489</f>
        <v/>
      </c>
      <c r="DV2488" s="65">
        <f>IFERROR(AVERAGE($AA2489/$AA2488-1,$AB2489/$AB2488-1,$AC2489/$AC2488-1,$AD2489/$AD2488-1,$AE2489/$AE2488-1,$AG2489/$AG2488-1,$AH2489/$AH2488-1,$AI2489/$AI2488-1,$AJ2489/$AJ2488-1,$AL2489/$AL2488-1,$AM2489/$AM2488-1,$AR2489/$AR2488-1,$AS2489/$AS2488-1,$AT2489/$AT2488-1,$AU2489/$AU2488-1,$AV2489/$AV2488-1,$AW2489/$AW2488-1,$AX2489/$AX2488-1,$AY2489/$AY2488-1),"")</f>
        <v/>
      </c>
      <c r="DW2488" s="66">
        <f>AVERAGE($CB2488,$CC2488,$CD2488,$CE2488,$CF2488,$CG2488,$CH2488,$CI2488,$CJ2488,$CL2488,$CM2488,$CN2488,$CO2488,$CP2488,$CQ2488,$CR2488,$CS2488,$CT2488)</f>
        <v/>
      </c>
      <c r="DX2488" s="66">
        <f>AVERAGE($CB2488,$CC2488,$CM2488,$CE2488,$CP2488)</f>
        <v/>
      </c>
      <c r="DY2488" s="64">
        <f>($DW2488-$DW2489)*100</f>
        <v/>
      </c>
      <c r="DZ2488" s="64">
        <f>($DX2488-$DX2489)*100</f>
        <v/>
      </c>
      <c r="EA2488" s="64">
        <f>($DW2488-$D2488)*100</f>
        <v/>
      </c>
      <c r="EB2488" s="64">
        <f>$Q2488-$O2488</f>
        <v/>
      </c>
      <c r="EC2488" s="67">
        <f>IFERROR($Q2488/$P2488,"")</f>
        <v/>
      </c>
    </row>
    <row r="2489">
      <c r="DG2489" s="64">
        <f>($B2489-$B2490)*100</f>
        <v/>
      </c>
      <c r="DH2489" s="64">
        <f>($D2489-$D2490)*100</f>
        <v/>
      </c>
      <c r="DI2489" s="64">
        <f>($E2489-$E2490)*100</f>
        <v/>
      </c>
      <c r="DJ2489" s="64">
        <f>($H2489-$H2490)*100</f>
        <v/>
      </c>
      <c r="DK2489" s="65">
        <f>IFERROR($J2489/$J2490-1,"")</f>
        <v/>
      </c>
      <c r="DL2489" s="64">
        <f>$L2489-$L2490</f>
        <v/>
      </c>
      <c r="DM2489" s="64">
        <f>$K2489-$K2490</f>
        <v/>
      </c>
      <c r="DN2489" s="65">
        <f>IFERROR($N2489/$N2490-1,"")</f>
        <v/>
      </c>
      <c r="DO2489" s="65">
        <f>IFERROR($M2489/$M2490-1,"")</f>
        <v/>
      </c>
      <c r="DP2489" s="65">
        <f>IFERROR($AZ2489/$AZ2490-1,"")</f>
        <v/>
      </c>
      <c r="DQ2489" s="65">
        <f>IFERROR($BA2489/$BA2490-1,"")</f>
        <v/>
      </c>
      <c r="DR2489" s="64">
        <f>$O2489-$O2490</f>
        <v/>
      </c>
      <c r="DS2489" s="64">
        <f>$P2489-$P2490</f>
        <v/>
      </c>
      <c r="DT2489" s="64">
        <f>$Q2489-$Q2490</f>
        <v/>
      </c>
      <c r="DU2489" s="64">
        <f>$S2489-$S2490</f>
        <v/>
      </c>
      <c r="DV2489" s="65">
        <f>IFERROR(AVERAGE($AA2490/$AA2489-1,$AB2490/$AB2489-1,$AC2490/$AC2489-1,$AD2490/$AD2489-1,$AE2490/$AE2489-1,$AG2490/$AG2489-1,$AH2490/$AH2489-1,$AI2490/$AI2489-1,$AJ2490/$AJ2489-1,$AL2490/$AL2489-1,$AM2490/$AM2489-1,$AR2490/$AR2489-1,$AS2490/$AS2489-1,$AT2490/$AT2489-1,$AU2490/$AU2489-1,$AV2490/$AV2489-1,$AW2490/$AW2489-1,$AX2490/$AX2489-1,$AY2490/$AY2489-1),"")</f>
        <v/>
      </c>
      <c r="DW2489" s="66">
        <f>AVERAGE($CB2489,$CC2489,$CD2489,$CE2489,$CF2489,$CG2489,$CH2489,$CI2489,$CJ2489,$CL2489,$CM2489,$CN2489,$CO2489,$CP2489,$CQ2489,$CR2489,$CS2489,$CT2489)</f>
        <v/>
      </c>
      <c r="DX2489" s="66">
        <f>AVERAGE($CB2489,$CC2489,$CM2489,$CE2489,$CP2489)</f>
        <v/>
      </c>
      <c r="DY2489" s="64">
        <f>($DW2489-$DW2490)*100</f>
        <v/>
      </c>
      <c r="DZ2489" s="64">
        <f>($DX2489-$DX2490)*100</f>
        <v/>
      </c>
      <c r="EA2489" s="64">
        <f>($DW2489-$D2489)*100</f>
        <v/>
      </c>
      <c r="EB2489" s="64">
        <f>$Q2489-$O2489</f>
        <v/>
      </c>
      <c r="EC2489" s="67">
        <f>IFERROR($Q2489/$P2489,"")</f>
        <v/>
      </c>
    </row>
    <row r="2490">
      <c r="DG2490" s="64">
        <f>($B2490-$B2491)*100</f>
        <v/>
      </c>
      <c r="DH2490" s="64">
        <f>($D2490-$D2491)*100</f>
        <v/>
      </c>
      <c r="DI2490" s="64">
        <f>($E2490-$E2491)*100</f>
        <v/>
      </c>
      <c r="DJ2490" s="64">
        <f>($H2490-$H2491)*100</f>
        <v/>
      </c>
      <c r="DK2490" s="65">
        <f>IFERROR($J2490/$J2491-1,"")</f>
        <v/>
      </c>
      <c r="DL2490" s="64">
        <f>$L2490-$L2491</f>
        <v/>
      </c>
      <c r="DM2490" s="64">
        <f>$K2490-$K2491</f>
        <v/>
      </c>
      <c r="DN2490" s="65">
        <f>IFERROR($N2490/$N2491-1,"")</f>
        <v/>
      </c>
      <c r="DO2490" s="65">
        <f>IFERROR($M2490/$M2491-1,"")</f>
        <v/>
      </c>
      <c r="DP2490" s="65">
        <f>IFERROR($AZ2490/$AZ2491-1,"")</f>
        <v/>
      </c>
      <c r="DQ2490" s="65">
        <f>IFERROR($BA2490/$BA2491-1,"")</f>
        <v/>
      </c>
      <c r="DR2490" s="64">
        <f>$O2490-$O2491</f>
        <v/>
      </c>
      <c r="DS2490" s="64">
        <f>$P2490-$P2491</f>
        <v/>
      </c>
      <c r="DT2490" s="64">
        <f>$Q2490-$Q2491</f>
        <v/>
      </c>
      <c r="DU2490" s="64">
        <f>$S2490-$S2491</f>
        <v/>
      </c>
      <c r="DV2490" s="65">
        <f>IFERROR(AVERAGE($AA2491/$AA2490-1,$AB2491/$AB2490-1,$AC2491/$AC2490-1,$AD2491/$AD2490-1,$AE2491/$AE2490-1,$AG2491/$AG2490-1,$AH2491/$AH2490-1,$AI2491/$AI2490-1,$AJ2491/$AJ2490-1,$AL2491/$AL2490-1,$AM2491/$AM2490-1,$AR2491/$AR2490-1,$AS2491/$AS2490-1,$AT2491/$AT2490-1,$AU2491/$AU2490-1,$AV2491/$AV2490-1,$AW2491/$AW2490-1,$AX2491/$AX2490-1,$AY2491/$AY2490-1),"")</f>
        <v/>
      </c>
      <c r="DW2490" s="66">
        <f>AVERAGE($CB2490,$CC2490,$CD2490,$CE2490,$CF2490,$CG2490,$CH2490,$CI2490,$CJ2490,$CL2490,$CM2490,$CN2490,$CO2490,$CP2490,$CQ2490,$CR2490,$CS2490,$CT2490)</f>
        <v/>
      </c>
      <c r="DX2490" s="66">
        <f>AVERAGE($CB2490,$CC2490,$CM2490,$CE2490,$CP2490)</f>
        <v/>
      </c>
      <c r="DY2490" s="64">
        <f>($DW2490-$DW2491)*100</f>
        <v/>
      </c>
      <c r="DZ2490" s="64">
        <f>($DX2490-$DX2491)*100</f>
        <v/>
      </c>
      <c r="EA2490" s="64">
        <f>($DW2490-$D2490)*100</f>
        <v/>
      </c>
      <c r="EB2490" s="64">
        <f>$Q2490-$O2490</f>
        <v/>
      </c>
      <c r="EC2490" s="67">
        <f>IFERROR($Q2490/$P2490,"")</f>
        <v/>
      </c>
    </row>
    <row r="2491">
      <c r="DG2491" s="64">
        <f>($B2491-$B2492)*100</f>
        <v/>
      </c>
      <c r="DH2491" s="64">
        <f>($D2491-$D2492)*100</f>
        <v/>
      </c>
      <c r="DI2491" s="64">
        <f>($E2491-$E2492)*100</f>
        <v/>
      </c>
      <c r="DJ2491" s="64">
        <f>($H2491-$H2492)*100</f>
        <v/>
      </c>
      <c r="DK2491" s="65">
        <f>IFERROR($J2491/$J2492-1,"")</f>
        <v/>
      </c>
      <c r="DL2491" s="64">
        <f>$L2491-$L2492</f>
        <v/>
      </c>
      <c r="DM2491" s="64">
        <f>$K2491-$K2492</f>
        <v/>
      </c>
      <c r="DN2491" s="65">
        <f>IFERROR($N2491/$N2492-1,"")</f>
        <v/>
      </c>
      <c r="DO2491" s="65">
        <f>IFERROR($M2491/$M2492-1,"")</f>
        <v/>
      </c>
      <c r="DP2491" s="65">
        <f>IFERROR($AZ2491/$AZ2492-1,"")</f>
        <v/>
      </c>
      <c r="DQ2491" s="65">
        <f>IFERROR($BA2491/$BA2492-1,"")</f>
        <v/>
      </c>
      <c r="DR2491" s="64">
        <f>$O2491-$O2492</f>
        <v/>
      </c>
      <c r="DS2491" s="64">
        <f>$P2491-$P2492</f>
        <v/>
      </c>
      <c r="DT2491" s="64">
        <f>$Q2491-$Q2492</f>
        <v/>
      </c>
      <c r="DU2491" s="64">
        <f>$S2491-$S2492</f>
        <v/>
      </c>
      <c r="DV2491" s="65">
        <f>IFERROR(AVERAGE($AA2492/$AA2491-1,$AB2492/$AB2491-1,$AC2492/$AC2491-1,$AD2492/$AD2491-1,$AE2492/$AE2491-1,$AG2492/$AG2491-1,$AH2492/$AH2491-1,$AI2492/$AI2491-1,$AJ2492/$AJ2491-1,$AL2492/$AL2491-1,$AM2492/$AM2491-1,$AR2492/$AR2491-1,$AS2492/$AS2491-1,$AT2492/$AT2491-1,$AU2492/$AU2491-1,$AV2492/$AV2491-1,$AW2492/$AW2491-1,$AX2492/$AX2491-1,$AY2492/$AY2491-1),"")</f>
        <v/>
      </c>
      <c r="DW2491" s="66">
        <f>AVERAGE($CB2491,$CC2491,$CD2491,$CE2491,$CF2491,$CG2491,$CH2491,$CI2491,$CJ2491,$CL2491,$CM2491,$CN2491,$CO2491,$CP2491,$CQ2491,$CR2491,$CS2491,$CT2491)</f>
        <v/>
      </c>
      <c r="DX2491" s="66">
        <f>AVERAGE($CB2491,$CC2491,$CM2491,$CE2491,$CP2491)</f>
        <v/>
      </c>
      <c r="DY2491" s="64">
        <f>($DW2491-$DW2492)*100</f>
        <v/>
      </c>
      <c r="DZ2491" s="64">
        <f>($DX2491-$DX2492)*100</f>
        <v/>
      </c>
      <c r="EA2491" s="64">
        <f>($DW2491-$D2491)*100</f>
        <v/>
      </c>
      <c r="EB2491" s="64">
        <f>$Q2491-$O2491</f>
        <v/>
      </c>
      <c r="EC2491" s="67">
        <f>IFERROR($Q2491/$P2491,"")</f>
        <v/>
      </c>
    </row>
    <row r="2492">
      <c r="DG2492" s="64">
        <f>($B2492-$B2493)*100</f>
        <v/>
      </c>
      <c r="DH2492" s="64">
        <f>($D2492-$D2493)*100</f>
        <v/>
      </c>
      <c r="DI2492" s="64">
        <f>($E2492-$E2493)*100</f>
        <v/>
      </c>
      <c r="DJ2492" s="64">
        <f>($H2492-$H2493)*100</f>
        <v/>
      </c>
      <c r="DK2492" s="65">
        <f>IFERROR($J2492/$J2493-1,"")</f>
        <v/>
      </c>
      <c r="DL2492" s="64">
        <f>$L2492-$L2493</f>
        <v/>
      </c>
      <c r="DM2492" s="64">
        <f>$K2492-$K2493</f>
        <v/>
      </c>
      <c r="DN2492" s="65">
        <f>IFERROR($N2492/$N2493-1,"")</f>
        <v/>
      </c>
      <c r="DO2492" s="65">
        <f>IFERROR($M2492/$M2493-1,"")</f>
        <v/>
      </c>
      <c r="DP2492" s="65">
        <f>IFERROR($AZ2492/$AZ2493-1,"")</f>
        <v/>
      </c>
      <c r="DQ2492" s="65">
        <f>IFERROR($BA2492/$BA2493-1,"")</f>
        <v/>
      </c>
      <c r="DR2492" s="64">
        <f>$O2492-$O2493</f>
        <v/>
      </c>
      <c r="DS2492" s="64">
        <f>$P2492-$P2493</f>
        <v/>
      </c>
      <c r="DT2492" s="64">
        <f>$Q2492-$Q2493</f>
        <v/>
      </c>
      <c r="DU2492" s="64">
        <f>$S2492-$S2493</f>
        <v/>
      </c>
      <c r="DV2492" s="65">
        <f>IFERROR(AVERAGE($AA2493/$AA2492-1,$AB2493/$AB2492-1,$AC2493/$AC2492-1,$AD2493/$AD2492-1,$AE2493/$AE2492-1,$AG2493/$AG2492-1,$AH2493/$AH2492-1,$AI2493/$AI2492-1,$AJ2493/$AJ2492-1,$AL2493/$AL2492-1,$AM2493/$AM2492-1,$AR2493/$AR2492-1,$AS2493/$AS2492-1,$AT2493/$AT2492-1,$AU2493/$AU2492-1,$AV2493/$AV2492-1,$AW2493/$AW2492-1,$AX2493/$AX2492-1,$AY2493/$AY2492-1),"")</f>
        <v/>
      </c>
      <c r="DW2492" s="66">
        <f>AVERAGE($CB2492,$CC2492,$CD2492,$CE2492,$CF2492,$CG2492,$CH2492,$CI2492,$CJ2492,$CL2492,$CM2492,$CN2492,$CO2492,$CP2492,$CQ2492,$CR2492,$CS2492,$CT2492)</f>
        <v/>
      </c>
      <c r="DX2492" s="66">
        <f>AVERAGE($CB2492,$CC2492,$CM2492,$CE2492,$CP2492)</f>
        <v/>
      </c>
      <c r="DY2492" s="64">
        <f>($DW2492-$DW2493)*100</f>
        <v/>
      </c>
      <c r="DZ2492" s="64">
        <f>($DX2492-$DX2493)*100</f>
        <v/>
      </c>
      <c r="EA2492" s="64">
        <f>($DW2492-$D2492)*100</f>
        <v/>
      </c>
      <c r="EB2492" s="64">
        <f>$Q2492-$O2492</f>
        <v/>
      </c>
      <c r="EC2492" s="67">
        <f>IFERROR($Q2492/$P2492,"")</f>
        <v/>
      </c>
    </row>
    <row r="2493">
      <c r="DG2493" s="64">
        <f>($B2493-$B2494)*100</f>
        <v/>
      </c>
      <c r="DH2493" s="64">
        <f>($D2493-$D2494)*100</f>
        <v/>
      </c>
      <c r="DI2493" s="64">
        <f>($E2493-$E2494)*100</f>
        <v/>
      </c>
      <c r="DJ2493" s="64">
        <f>($H2493-$H2494)*100</f>
        <v/>
      </c>
      <c r="DK2493" s="65">
        <f>IFERROR($J2493/$J2494-1,"")</f>
        <v/>
      </c>
      <c r="DL2493" s="64">
        <f>$L2493-$L2494</f>
        <v/>
      </c>
      <c r="DM2493" s="64">
        <f>$K2493-$K2494</f>
        <v/>
      </c>
      <c r="DN2493" s="65">
        <f>IFERROR($N2493/$N2494-1,"")</f>
        <v/>
      </c>
      <c r="DO2493" s="65">
        <f>IFERROR($M2493/$M2494-1,"")</f>
        <v/>
      </c>
      <c r="DP2493" s="65">
        <f>IFERROR($AZ2493/$AZ2494-1,"")</f>
        <v/>
      </c>
      <c r="DQ2493" s="65">
        <f>IFERROR($BA2493/$BA2494-1,"")</f>
        <v/>
      </c>
      <c r="DR2493" s="64">
        <f>$O2493-$O2494</f>
        <v/>
      </c>
      <c r="DS2493" s="64">
        <f>$P2493-$P2494</f>
        <v/>
      </c>
      <c r="DT2493" s="64">
        <f>$Q2493-$Q2494</f>
        <v/>
      </c>
      <c r="DU2493" s="64">
        <f>$S2493-$S2494</f>
        <v/>
      </c>
      <c r="DV2493" s="65">
        <f>IFERROR(AVERAGE($AA2494/$AA2493-1,$AB2494/$AB2493-1,$AC2494/$AC2493-1,$AD2494/$AD2493-1,$AE2494/$AE2493-1,$AG2494/$AG2493-1,$AH2494/$AH2493-1,$AI2494/$AI2493-1,$AJ2494/$AJ2493-1,$AL2494/$AL2493-1,$AM2494/$AM2493-1,$AR2494/$AR2493-1,$AS2494/$AS2493-1,$AT2494/$AT2493-1,$AU2494/$AU2493-1,$AV2494/$AV2493-1,$AW2494/$AW2493-1,$AX2494/$AX2493-1,$AY2494/$AY2493-1),"")</f>
        <v/>
      </c>
      <c r="DW2493" s="66">
        <f>AVERAGE($CB2493,$CC2493,$CD2493,$CE2493,$CF2493,$CG2493,$CH2493,$CI2493,$CJ2493,$CL2493,$CM2493,$CN2493,$CO2493,$CP2493,$CQ2493,$CR2493,$CS2493,$CT2493)</f>
        <v/>
      </c>
      <c r="DX2493" s="66">
        <f>AVERAGE($CB2493,$CC2493,$CM2493,$CE2493,$CP2493)</f>
        <v/>
      </c>
      <c r="DY2493" s="64">
        <f>($DW2493-$DW2494)*100</f>
        <v/>
      </c>
      <c r="DZ2493" s="64">
        <f>($DX2493-$DX2494)*100</f>
        <v/>
      </c>
      <c r="EA2493" s="64">
        <f>($DW2493-$D2493)*100</f>
        <v/>
      </c>
      <c r="EB2493" s="64">
        <f>$Q2493-$O2493</f>
        <v/>
      </c>
      <c r="EC2493" s="67">
        <f>IFERROR($Q2493/$P2493,"")</f>
        <v/>
      </c>
    </row>
    <row r="2494">
      <c r="DG2494" s="64">
        <f>($B2494-$B2495)*100</f>
        <v/>
      </c>
      <c r="DH2494" s="64">
        <f>($D2494-$D2495)*100</f>
        <v/>
      </c>
      <c r="DI2494" s="64">
        <f>($E2494-$E2495)*100</f>
        <v/>
      </c>
      <c r="DJ2494" s="64">
        <f>($H2494-$H2495)*100</f>
        <v/>
      </c>
      <c r="DK2494" s="65">
        <f>IFERROR($J2494/$J2495-1,"")</f>
        <v/>
      </c>
      <c r="DL2494" s="64">
        <f>$L2494-$L2495</f>
        <v/>
      </c>
      <c r="DM2494" s="64">
        <f>$K2494-$K2495</f>
        <v/>
      </c>
      <c r="DN2494" s="65">
        <f>IFERROR($N2494/$N2495-1,"")</f>
        <v/>
      </c>
      <c r="DO2494" s="65">
        <f>IFERROR($M2494/$M2495-1,"")</f>
        <v/>
      </c>
      <c r="DP2494" s="65">
        <f>IFERROR($AZ2494/$AZ2495-1,"")</f>
        <v/>
      </c>
      <c r="DQ2494" s="65">
        <f>IFERROR($BA2494/$BA2495-1,"")</f>
        <v/>
      </c>
      <c r="DR2494" s="64">
        <f>$O2494-$O2495</f>
        <v/>
      </c>
      <c r="DS2494" s="64">
        <f>$P2494-$P2495</f>
        <v/>
      </c>
      <c r="DT2494" s="64">
        <f>$Q2494-$Q2495</f>
        <v/>
      </c>
      <c r="DU2494" s="64">
        <f>$S2494-$S2495</f>
        <v/>
      </c>
      <c r="DV2494" s="65">
        <f>IFERROR(AVERAGE($AA2495/$AA2494-1,$AB2495/$AB2494-1,$AC2495/$AC2494-1,$AD2495/$AD2494-1,$AE2495/$AE2494-1,$AG2495/$AG2494-1,$AH2495/$AH2494-1,$AI2495/$AI2494-1,$AJ2495/$AJ2494-1,$AL2495/$AL2494-1,$AM2495/$AM2494-1,$AR2495/$AR2494-1,$AS2495/$AS2494-1,$AT2495/$AT2494-1,$AU2495/$AU2494-1,$AV2495/$AV2494-1,$AW2495/$AW2494-1,$AX2495/$AX2494-1,$AY2495/$AY2494-1),"")</f>
        <v/>
      </c>
      <c r="DW2494" s="66">
        <f>AVERAGE($CB2494,$CC2494,$CD2494,$CE2494,$CF2494,$CG2494,$CH2494,$CI2494,$CJ2494,$CL2494,$CM2494,$CN2494,$CO2494,$CP2494,$CQ2494,$CR2494,$CS2494,$CT2494)</f>
        <v/>
      </c>
      <c r="DX2494" s="66">
        <f>AVERAGE($CB2494,$CC2494,$CM2494,$CE2494,$CP2494)</f>
        <v/>
      </c>
      <c r="DY2494" s="64">
        <f>($DW2494-$DW2495)*100</f>
        <v/>
      </c>
      <c r="DZ2494" s="64">
        <f>($DX2494-$DX2495)*100</f>
        <v/>
      </c>
      <c r="EA2494" s="64">
        <f>($DW2494-$D2494)*100</f>
        <v/>
      </c>
      <c r="EB2494" s="64">
        <f>$Q2494-$O2494</f>
        <v/>
      </c>
      <c r="EC2494" s="67">
        <f>IFERROR($Q2494/$P2494,"")</f>
        <v/>
      </c>
    </row>
    <row r="2495">
      <c r="DG2495" s="64">
        <f>($B2495-$B2496)*100</f>
        <v/>
      </c>
      <c r="DH2495" s="64">
        <f>($D2495-$D2496)*100</f>
        <v/>
      </c>
      <c r="DI2495" s="64">
        <f>($E2495-$E2496)*100</f>
        <v/>
      </c>
      <c r="DJ2495" s="64">
        <f>($H2495-$H2496)*100</f>
        <v/>
      </c>
      <c r="DK2495" s="65">
        <f>IFERROR($J2495/$J2496-1,"")</f>
        <v/>
      </c>
      <c r="DL2495" s="64">
        <f>$L2495-$L2496</f>
        <v/>
      </c>
      <c r="DM2495" s="64">
        <f>$K2495-$K2496</f>
        <v/>
      </c>
      <c r="DN2495" s="65">
        <f>IFERROR($N2495/$N2496-1,"")</f>
        <v/>
      </c>
      <c r="DO2495" s="65">
        <f>IFERROR($M2495/$M2496-1,"")</f>
        <v/>
      </c>
      <c r="DP2495" s="65">
        <f>IFERROR($AZ2495/$AZ2496-1,"")</f>
        <v/>
      </c>
      <c r="DQ2495" s="65">
        <f>IFERROR($BA2495/$BA2496-1,"")</f>
        <v/>
      </c>
      <c r="DR2495" s="64">
        <f>$O2495-$O2496</f>
        <v/>
      </c>
      <c r="DS2495" s="64">
        <f>$P2495-$P2496</f>
        <v/>
      </c>
      <c r="DT2495" s="64">
        <f>$Q2495-$Q2496</f>
        <v/>
      </c>
      <c r="DU2495" s="64">
        <f>$S2495-$S2496</f>
        <v/>
      </c>
      <c r="DV2495" s="65">
        <f>IFERROR(AVERAGE($AA2496/$AA2495-1,$AB2496/$AB2495-1,$AC2496/$AC2495-1,$AD2496/$AD2495-1,$AE2496/$AE2495-1,$AG2496/$AG2495-1,$AH2496/$AH2495-1,$AI2496/$AI2495-1,$AJ2496/$AJ2495-1,$AL2496/$AL2495-1,$AM2496/$AM2495-1,$AR2496/$AR2495-1,$AS2496/$AS2495-1,$AT2496/$AT2495-1,$AU2496/$AU2495-1,$AV2496/$AV2495-1,$AW2496/$AW2495-1,$AX2496/$AX2495-1,$AY2496/$AY2495-1),"")</f>
        <v/>
      </c>
      <c r="DW2495" s="66">
        <f>AVERAGE($CB2495,$CC2495,$CD2495,$CE2495,$CF2495,$CG2495,$CH2495,$CI2495,$CJ2495,$CL2495,$CM2495,$CN2495,$CO2495,$CP2495,$CQ2495,$CR2495,$CS2495,$CT2495)</f>
        <v/>
      </c>
      <c r="DX2495" s="66">
        <f>AVERAGE($CB2495,$CC2495,$CM2495,$CE2495,$CP2495)</f>
        <v/>
      </c>
      <c r="DY2495" s="64">
        <f>($DW2495-$DW2496)*100</f>
        <v/>
      </c>
      <c r="DZ2495" s="64">
        <f>($DX2495-$DX2496)*100</f>
        <v/>
      </c>
      <c r="EA2495" s="64">
        <f>($DW2495-$D2495)*100</f>
        <v/>
      </c>
      <c r="EB2495" s="64">
        <f>$Q2495-$O2495</f>
        <v/>
      </c>
      <c r="EC2495" s="67">
        <f>IFERROR($Q2495/$P2495,"")</f>
        <v/>
      </c>
    </row>
    <row r="2496">
      <c r="DG2496" s="64">
        <f>($B2496-$B2497)*100</f>
        <v/>
      </c>
      <c r="DH2496" s="64">
        <f>($D2496-$D2497)*100</f>
        <v/>
      </c>
      <c r="DI2496" s="64">
        <f>($E2496-$E2497)*100</f>
        <v/>
      </c>
      <c r="DJ2496" s="64">
        <f>($H2496-$H2497)*100</f>
        <v/>
      </c>
      <c r="DK2496" s="65">
        <f>IFERROR($J2496/$J2497-1,"")</f>
        <v/>
      </c>
      <c r="DL2496" s="64">
        <f>$L2496-$L2497</f>
        <v/>
      </c>
      <c r="DM2496" s="64">
        <f>$K2496-$K2497</f>
        <v/>
      </c>
      <c r="DN2496" s="65">
        <f>IFERROR($N2496/$N2497-1,"")</f>
        <v/>
      </c>
      <c r="DO2496" s="65">
        <f>IFERROR($M2496/$M2497-1,"")</f>
        <v/>
      </c>
      <c r="DP2496" s="65">
        <f>IFERROR($AZ2496/$AZ2497-1,"")</f>
        <v/>
      </c>
      <c r="DQ2496" s="65">
        <f>IFERROR($BA2496/$BA2497-1,"")</f>
        <v/>
      </c>
      <c r="DR2496" s="64">
        <f>$O2496-$O2497</f>
        <v/>
      </c>
      <c r="DS2496" s="64">
        <f>$P2496-$P2497</f>
        <v/>
      </c>
      <c r="DT2496" s="64">
        <f>$Q2496-$Q2497</f>
        <v/>
      </c>
      <c r="DU2496" s="64">
        <f>$S2496-$S2497</f>
        <v/>
      </c>
      <c r="DV2496" s="65">
        <f>IFERROR(AVERAGE($AA2497/$AA2496-1,$AB2497/$AB2496-1,$AC2497/$AC2496-1,$AD2497/$AD2496-1,$AE2497/$AE2496-1,$AG2497/$AG2496-1,$AH2497/$AH2496-1,$AI2497/$AI2496-1,$AJ2497/$AJ2496-1,$AL2497/$AL2496-1,$AM2497/$AM2496-1,$AR2497/$AR2496-1,$AS2497/$AS2496-1,$AT2497/$AT2496-1,$AU2497/$AU2496-1,$AV2497/$AV2496-1,$AW2497/$AW2496-1,$AX2497/$AX2496-1,$AY2497/$AY2496-1),"")</f>
        <v/>
      </c>
      <c r="DW2496" s="66">
        <f>AVERAGE($CB2496,$CC2496,$CD2496,$CE2496,$CF2496,$CG2496,$CH2496,$CI2496,$CJ2496,$CL2496,$CM2496,$CN2496,$CO2496,$CP2496,$CQ2496,$CR2496,$CS2496,$CT2496)</f>
        <v/>
      </c>
      <c r="DX2496" s="66">
        <f>AVERAGE($CB2496,$CC2496,$CM2496,$CE2496,$CP2496)</f>
        <v/>
      </c>
      <c r="DY2496" s="64">
        <f>($DW2496-$DW2497)*100</f>
        <v/>
      </c>
      <c r="DZ2496" s="64">
        <f>($DX2496-$DX2497)*100</f>
        <v/>
      </c>
      <c r="EA2496" s="64">
        <f>($DW2496-$D2496)*100</f>
        <v/>
      </c>
      <c r="EB2496" s="64">
        <f>$Q2496-$O2496</f>
        <v/>
      </c>
      <c r="EC2496" s="67">
        <f>IFERROR($Q2496/$P2496,"")</f>
        <v/>
      </c>
    </row>
    <row r="2497">
      <c r="DG2497" s="64">
        <f>($B2497-$B2498)*100</f>
        <v/>
      </c>
      <c r="DH2497" s="64">
        <f>($D2497-$D2498)*100</f>
        <v/>
      </c>
      <c r="DI2497" s="64">
        <f>($E2497-$E2498)*100</f>
        <v/>
      </c>
      <c r="DJ2497" s="64">
        <f>($H2497-$H2498)*100</f>
        <v/>
      </c>
      <c r="DK2497" s="65">
        <f>IFERROR($J2497/$J2498-1,"")</f>
        <v/>
      </c>
      <c r="DL2497" s="64">
        <f>$L2497-$L2498</f>
        <v/>
      </c>
      <c r="DM2497" s="64">
        <f>$K2497-$K2498</f>
        <v/>
      </c>
      <c r="DN2497" s="65">
        <f>IFERROR($N2497/$N2498-1,"")</f>
        <v/>
      </c>
      <c r="DO2497" s="65">
        <f>IFERROR($M2497/$M2498-1,"")</f>
        <v/>
      </c>
      <c r="DP2497" s="65">
        <f>IFERROR($AZ2497/$AZ2498-1,"")</f>
        <v/>
      </c>
      <c r="DQ2497" s="65">
        <f>IFERROR($BA2497/$BA2498-1,"")</f>
        <v/>
      </c>
      <c r="DR2497" s="64">
        <f>$O2497-$O2498</f>
        <v/>
      </c>
      <c r="DS2497" s="64">
        <f>$P2497-$P2498</f>
        <v/>
      </c>
      <c r="DT2497" s="64">
        <f>$Q2497-$Q2498</f>
        <v/>
      </c>
      <c r="DU2497" s="64">
        <f>$S2497-$S2498</f>
        <v/>
      </c>
      <c r="DV2497" s="65">
        <f>IFERROR(AVERAGE($AA2498/$AA2497-1,$AB2498/$AB2497-1,$AC2498/$AC2497-1,$AD2498/$AD2497-1,$AE2498/$AE2497-1,$AG2498/$AG2497-1,$AH2498/$AH2497-1,$AI2498/$AI2497-1,$AJ2498/$AJ2497-1,$AL2498/$AL2497-1,$AM2498/$AM2497-1,$AR2498/$AR2497-1,$AS2498/$AS2497-1,$AT2498/$AT2497-1,$AU2498/$AU2497-1,$AV2498/$AV2497-1,$AW2498/$AW2497-1,$AX2498/$AX2497-1,$AY2498/$AY2497-1),"")</f>
        <v/>
      </c>
      <c r="DW2497" s="66">
        <f>AVERAGE($CB2497,$CC2497,$CD2497,$CE2497,$CF2497,$CG2497,$CH2497,$CI2497,$CJ2497,$CL2497,$CM2497,$CN2497,$CO2497,$CP2497,$CQ2497,$CR2497,$CS2497,$CT2497)</f>
        <v/>
      </c>
      <c r="DX2497" s="66">
        <f>AVERAGE($CB2497,$CC2497,$CM2497,$CE2497,$CP2497)</f>
        <v/>
      </c>
      <c r="DY2497" s="64">
        <f>($DW2497-$DW2498)*100</f>
        <v/>
      </c>
      <c r="DZ2497" s="64">
        <f>($DX2497-$DX2498)*100</f>
        <v/>
      </c>
      <c r="EA2497" s="64">
        <f>($DW2497-$D2497)*100</f>
        <v/>
      </c>
      <c r="EB2497" s="64">
        <f>$Q2497-$O2497</f>
        <v/>
      </c>
      <c r="EC2497" s="67">
        <f>IFERROR($Q2497/$P2497,"")</f>
        <v/>
      </c>
    </row>
    <row r="2498">
      <c r="DG2498" s="64">
        <f>($B2498-$B2499)*100</f>
        <v/>
      </c>
      <c r="DH2498" s="64">
        <f>($D2498-$D2499)*100</f>
        <v/>
      </c>
      <c r="DI2498" s="64">
        <f>($E2498-$E2499)*100</f>
        <v/>
      </c>
      <c r="DJ2498" s="64">
        <f>($H2498-$H2499)*100</f>
        <v/>
      </c>
      <c r="DK2498" s="65">
        <f>IFERROR($J2498/$J2499-1,"")</f>
        <v/>
      </c>
      <c r="DL2498" s="64">
        <f>$L2498-$L2499</f>
        <v/>
      </c>
      <c r="DM2498" s="64">
        <f>$K2498-$K2499</f>
        <v/>
      </c>
      <c r="DN2498" s="65">
        <f>IFERROR($N2498/$N2499-1,"")</f>
        <v/>
      </c>
      <c r="DO2498" s="65">
        <f>IFERROR($M2498/$M2499-1,"")</f>
        <v/>
      </c>
      <c r="DP2498" s="65">
        <f>IFERROR($AZ2498/$AZ2499-1,"")</f>
        <v/>
      </c>
      <c r="DQ2498" s="65">
        <f>IFERROR($BA2498/$BA2499-1,"")</f>
        <v/>
      </c>
      <c r="DR2498" s="64">
        <f>$O2498-$O2499</f>
        <v/>
      </c>
      <c r="DS2498" s="64">
        <f>$P2498-$P2499</f>
        <v/>
      </c>
      <c r="DT2498" s="64">
        <f>$Q2498-$Q2499</f>
        <v/>
      </c>
      <c r="DU2498" s="64">
        <f>$S2498-$S2499</f>
        <v/>
      </c>
      <c r="DV2498" s="65">
        <f>IFERROR(AVERAGE($AA2499/$AA2498-1,$AB2499/$AB2498-1,$AC2499/$AC2498-1,$AD2499/$AD2498-1,$AE2499/$AE2498-1,$AG2499/$AG2498-1,$AH2499/$AH2498-1,$AI2499/$AI2498-1,$AJ2499/$AJ2498-1,$AL2499/$AL2498-1,$AM2499/$AM2498-1,$AR2499/$AR2498-1,$AS2499/$AS2498-1,$AT2499/$AT2498-1,$AU2499/$AU2498-1,$AV2499/$AV2498-1,$AW2499/$AW2498-1,$AX2499/$AX2498-1,$AY2499/$AY2498-1),"")</f>
        <v/>
      </c>
      <c r="DW2498" s="66">
        <f>AVERAGE($CB2498,$CC2498,$CD2498,$CE2498,$CF2498,$CG2498,$CH2498,$CI2498,$CJ2498,$CL2498,$CM2498,$CN2498,$CO2498,$CP2498,$CQ2498,$CR2498,$CS2498,$CT2498)</f>
        <v/>
      </c>
      <c r="DX2498" s="66">
        <f>AVERAGE($CB2498,$CC2498,$CM2498,$CE2498,$CP2498)</f>
        <v/>
      </c>
      <c r="DY2498" s="64">
        <f>($DW2498-$DW2499)*100</f>
        <v/>
      </c>
      <c r="DZ2498" s="64">
        <f>($DX2498-$DX2499)*100</f>
        <v/>
      </c>
      <c r="EA2498" s="64">
        <f>($DW2498-$D2498)*100</f>
        <v/>
      </c>
      <c r="EB2498" s="64">
        <f>$Q2498-$O2498</f>
        <v/>
      </c>
      <c r="EC2498" s="67">
        <f>IFERROR($Q2498/$P2498,"")</f>
        <v/>
      </c>
    </row>
    <row r="2499">
      <c r="DG2499" s="64">
        <f>($B2499-$B2500)*100</f>
        <v/>
      </c>
      <c r="DH2499" s="64">
        <f>($D2499-$D2500)*100</f>
        <v/>
      </c>
      <c r="DI2499" s="64">
        <f>($E2499-$E2500)*100</f>
        <v/>
      </c>
      <c r="DJ2499" s="64">
        <f>($H2499-$H2500)*100</f>
        <v/>
      </c>
      <c r="DK2499" s="65">
        <f>IFERROR($J2499/$J2500-1,"")</f>
        <v/>
      </c>
      <c r="DL2499" s="64">
        <f>$L2499-$L2500</f>
        <v/>
      </c>
      <c r="DM2499" s="64">
        <f>$K2499-$K2500</f>
        <v/>
      </c>
      <c r="DN2499" s="65">
        <f>IFERROR($N2499/$N2500-1,"")</f>
        <v/>
      </c>
      <c r="DO2499" s="65">
        <f>IFERROR($M2499/$M2500-1,"")</f>
        <v/>
      </c>
      <c r="DP2499" s="65">
        <f>IFERROR($AZ2499/$AZ2500-1,"")</f>
        <v/>
      </c>
      <c r="DQ2499" s="65">
        <f>IFERROR($BA2499/$BA2500-1,"")</f>
        <v/>
      </c>
      <c r="DR2499" s="64">
        <f>$O2499-$O2500</f>
        <v/>
      </c>
      <c r="DS2499" s="64">
        <f>$P2499-$P2500</f>
        <v/>
      </c>
      <c r="DT2499" s="64">
        <f>$Q2499-$Q2500</f>
        <v/>
      </c>
      <c r="DU2499" s="64">
        <f>$S2499-$S2500</f>
        <v/>
      </c>
      <c r="DV2499" s="65">
        <f>IFERROR(AVERAGE($AA2500/$AA2499-1,$AB2500/$AB2499-1,$AC2500/$AC2499-1,$AD2500/$AD2499-1,$AE2500/$AE2499-1,$AG2500/$AG2499-1,$AH2500/$AH2499-1,$AI2500/$AI2499-1,$AJ2500/$AJ2499-1,$AL2500/$AL2499-1,$AM2500/$AM2499-1,$AR2500/$AR2499-1,$AS2500/$AS2499-1,$AT2500/$AT2499-1,$AU2500/$AU2499-1,$AV2500/$AV2499-1,$AW2500/$AW2499-1,$AX2500/$AX2499-1,$AY2500/$AY2499-1),"")</f>
        <v/>
      </c>
      <c r="DW2499" s="66">
        <f>AVERAGE($CB2499,$CC2499,$CD2499,$CE2499,$CF2499,$CG2499,$CH2499,$CI2499,$CJ2499,$CL2499,$CM2499,$CN2499,$CO2499,$CP2499,$CQ2499,$CR2499,$CS2499,$CT2499)</f>
        <v/>
      </c>
      <c r="DX2499" s="66">
        <f>AVERAGE($CB2499,$CC2499,$CM2499,$CE2499,$CP2499)</f>
        <v/>
      </c>
      <c r="DY2499" s="64">
        <f>($DW2499-$DW2500)*100</f>
        <v/>
      </c>
      <c r="DZ2499" s="64">
        <f>($DX2499-$DX2500)*100</f>
        <v/>
      </c>
      <c r="EA2499" s="64">
        <f>($DW2499-$D2499)*100</f>
        <v/>
      </c>
      <c r="EB2499" s="64">
        <f>$Q2499-$O2499</f>
        <v/>
      </c>
      <c r="EC2499" s="67">
        <f>IFERROR($Q2499/$P2499,"")</f>
        <v/>
      </c>
    </row>
    <row r="2500">
      <c r="DG2500" s="64">
        <f>($B2500-$B2501)*100</f>
        <v/>
      </c>
      <c r="DH2500" s="64">
        <f>($D2500-$D2501)*100</f>
        <v/>
      </c>
      <c r="DI2500" s="64">
        <f>($E2500-$E2501)*100</f>
        <v/>
      </c>
      <c r="DJ2500" s="64">
        <f>($H2500-$H2501)*100</f>
        <v/>
      </c>
      <c r="DK2500" s="65">
        <f>IFERROR($J2500/$J2501-1,"")</f>
        <v/>
      </c>
      <c r="DL2500" s="64">
        <f>$L2500-$L2501</f>
        <v/>
      </c>
      <c r="DM2500" s="64">
        <f>$K2500-$K2501</f>
        <v/>
      </c>
      <c r="DN2500" s="65">
        <f>IFERROR($N2500/$N2501-1,"")</f>
        <v/>
      </c>
      <c r="DO2500" s="65">
        <f>IFERROR($M2500/$M2501-1,"")</f>
        <v/>
      </c>
      <c r="DP2500" s="65">
        <f>IFERROR($AZ2500/$AZ2501-1,"")</f>
        <v/>
      </c>
      <c r="DQ2500" s="65">
        <f>IFERROR($BA2500/$BA2501-1,"")</f>
        <v/>
      </c>
      <c r="DR2500" s="64">
        <f>$O2500-$O2501</f>
        <v/>
      </c>
      <c r="DS2500" s="64">
        <f>$P2500-$P2501</f>
        <v/>
      </c>
      <c r="DT2500" s="64">
        <f>$Q2500-$Q2501</f>
        <v/>
      </c>
      <c r="DU2500" s="64">
        <f>$S2500-$S2501</f>
        <v/>
      </c>
      <c r="DV2500" s="65">
        <f>IFERROR(AVERAGE($AA2501/$AA2500-1,$AB2501/$AB2500-1,$AC2501/$AC2500-1,$AD2501/$AD2500-1,$AE2501/$AE2500-1,$AG2501/$AG2500-1,$AH2501/$AH2500-1,$AI2501/$AI2500-1,$AJ2501/$AJ2500-1,$AL2501/$AL2500-1,$AM2501/$AM2500-1,$AR2501/$AR2500-1,$AS2501/$AS2500-1,$AT2501/$AT2500-1,$AU2501/$AU2500-1,$AV2501/$AV2500-1,$AW2501/$AW2500-1,$AX2501/$AX2500-1,$AY2501/$AY2500-1),"")</f>
        <v/>
      </c>
      <c r="DW2500" s="66">
        <f>AVERAGE($CB2500,$CC2500,$CD2500,$CE2500,$CF2500,$CG2500,$CH2500,$CI2500,$CJ2500,$CL2500,$CM2500,$CN2500,$CO2500,$CP2500,$CQ2500,$CR2500,$CS2500,$CT2500)</f>
        <v/>
      </c>
      <c r="DX2500" s="66">
        <f>AVERAGE($CB2500,$CC2500,$CM2500,$CE2500,$CP2500)</f>
        <v/>
      </c>
      <c r="DY2500" s="64">
        <f>($DW2500-$DW2501)*100</f>
        <v/>
      </c>
      <c r="DZ2500" s="64">
        <f>($DX2500-$DX2501)*100</f>
        <v/>
      </c>
      <c r="EA2500" s="64">
        <f>($DW2500-$D2500)*100</f>
        <v/>
      </c>
      <c r="EB2500" s="64">
        <f>$Q2500-$O2500</f>
        <v/>
      </c>
      <c r="EC2500" s="67">
        <f>IFERROR($Q2500/$P2500,"")</f>
        <v/>
      </c>
    </row>
    <row r="2501">
      <c r="DG2501" s="64">
        <f>($B2501-$B2502)*100</f>
        <v/>
      </c>
      <c r="DH2501" s="64">
        <f>($D2501-$D2502)*100</f>
        <v/>
      </c>
      <c r="DI2501" s="64">
        <f>($E2501-$E2502)*100</f>
        <v/>
      </c>
      <c r="DJ2501" s="64">
        <f>($H2501-$H2502)*100</f>
        <v/>
      </c>
      <c r="DK2501" s="65">
        <f>IFERROR($J2501/$J2502-1,"")</f>
        <v/>
      </c>
      <c r="DL2501" s="64">
        <f>$L2501-$L2502</f>
        <v/>
      </c>
      <c r="DM2501" s="64">
        <f>$K2501-$K2502</f>
        <v/>
      </c>
      <c r="DN2501" s="65">
        <f>IFERROR($N2501/$N2502-1,"")</f>
        <v/>
      </c>
      <c r="DO2501" s="65">
        <f>IFERROR($M2501/$M2502-1,"")</f>
        <v/>
      </c>
      <c r="DP2501" s="65">
        <f>IFERROR($AZ2501/$AZ2502-1,"")</f>
        <v/>
      </c>
      <c r="DQ2501" s="65">
        <f>IFERROR($BA2501/$BA2502-1,"")</f>
        <v/>
      </c>
      <c r="DR2501" s="64">
        <f>$O2501-$O2502</f>
        <v/>
      </c>
      <c r="DS2501" s="64">
        <f>$P2501-$P2502</f>
        <v/>
      </c>
      <c r="DT2501" s="64">
        <f>$Q2501-$Q2502</f>
        <v/>
      </c>
      <c r="DU2501" s="64">
        <f>$S2501-$S2502</f>
        <v/>
      </c>
      <c r="DV2501" s="65">
        <f>IFERROR(AVERAGE($AA2502/$AA2501-1,$AB2502/$AB2501-1,$AC2502/$AC2501-1,$AD2502/$AD2501-1,$AE2502/$AE2501-1,$AG2502/$AG2501-1,$AH2502/$AH2501-1,$AI2502/$AI2501-1,$AJ2502/$AJ2501-1,$AL2502/$AL2501-1,$AM2502/$AM2501-1,$AR2502/$AR2501-1,$AS2502/$AS2501-1,$AT2502/$AT2501-1,$AU2502/$AU2501-1,$AV2502/$AV2501-1,$AW2502/$AW2501-1,$AX2502/$AX2501-1,$AY2502/$AY2501-1),"")</f>
        <v/>
      </c>
      <c r="DW2501" s="66">
        <f>AVERAGE($CB2501,$CC2501,$CD2501,$CE2501,$CF2501,$CG2501,$CH2501,$CI2501,$CJ2501,$CL2501,$CM2501,$CN2501,$CO2501,$CP2501,$CQ2501,$CR2501,$CS2501,$CT2501)</f>
        <v/>
      </c>
      <c r="DX2501" s="66">
        <f>AVERAGE($CB2501,$CC2501,$CM2501,$CE2501,$CP2501)</f>
        <v/>
      </c>
      <c r="DY2501" s="64">
        <f>($DW2501-$DW2502)*100</f>
        <v/>
      </c>
      <c r="DZ2501" s="64">
        <f>($DX2501-$DX2502)*100</f>
        <v/>
      </c>
      <c r="EA2501" s="64">
        <f>($DW2501-$D2501)*100</f>
        <v/>
      </c>
      <c r="EB2501" s="64">
        <f>$Q2501-$O2501</f>
        <v/>
      </c>
      <c r="EC2501" s="67">
        <f>IFERROR($Q2501/$P2501,"")</f>
        <v/>
      </c>
    </row>
    <row r="2502">
      <c r="DG2502" s="64">
        <f>($B2502-$B2503)*100</f>
        <v/>
      </c>
      <c r="DH2502" s="64">
        <f>($D2502-$D2503)*100</f>
        <v/>
      </c>
      <c r="DI2502" s="64">
        <f>($E2502-$E2503)*100</f>
        <v/>
      </c>
      <c r="DJ2502" s="64">
        <f>($H2502-$H2503)*100</f>
        <v/>
      </c>
      <c r="DK2502" s="65">
        <f>IFERROR($J2502/$J2503-1,"")</f>
        <v/>
      </c>
      <c r="DL2502" s="64">
        <f>$L2502-$L2503</f>
        <v/>
      </c>
      <c r="DM2502" s="64">
        <f>$K2502-$K2503</f>
        <v/>
      </c>
      <c r="DN2502" s="65">
        <f>IFERROR($N2502/$N2503-1,"")</f>
        <v/>
      </c>
      <c r="DO2502" s="65">
        <f>IFERROR($M2502/$M2503-1,"")</f>
        <v/>
      </c>
      <c r="DP2502" s="65">
        <f>IFERROR($AZ2502/$AZ2503-1,"")</f>
        <v/>
      </c>
      <c r="DQ2502" s="65">
        <f>IFERROR($BA2502/$BA2503-1,"")</f>
        <v/>
      </c>
      <c r="DR2502" s="64">
        <f>$O2502-$O2503</f>
        <v/>
      </c>
      <c r="DS2502" s="64">
        <f>$P2502-$P2503</f>
        <v/>
      </c>
      <c r="DT2502" s="64">
        <f>$Q2502-$Q2503</f>
        <v/>
      </c>
      <c r="DU2502" s="64">
        <f>$S2502-$S2503</f>
        <v/>
      </c>
      <c r="DV2502" s="65">
        <f>IFERROR(AVERAGE($AA2503/$AA2502-1,$AB2503/$AB2502-1,$AC2503/$AC2502-1,$AD2503/$AD2502-1,$AE2503/$AE2502-1,$AG2503/$AG2502-1,$AH2503/$AH2502-1,$AI2503/$AI2502-1,$AJ2503/$AJ2502-1,$AL2503/$AL2502-1,$AM2503/$AM2502-1,$AR2503/$AR2502-1,$AS2503/$AS2502-1,$AT2503/$AT2502-1,$AU2503/$AU2502-1,$AV2503/$AV2502-1,$AW2503/$AW2502-1,$AX2503/$AX2502-1,$AY2503/$AY2502-1),"")</f>
        <v/>
      </c>
      <c r="DW2502" s="66">
        <f>AVERAGE($CB2502,$CC2502,$CD2502,$CE2502,$CF2502,$CG2502,$CH2502,$CI2502,$CJ2502,$CL2502,$CM2502,$CN2502,$CO2502,$CP2502,$CQ2502,$CR2502,$CS2502,$CT2502)</f>
        <v/>
      </c>
      <c r="DX2502" s="66">
        <f>AVERAGE($CB2502,$CC2502,$CM2502,$CE2502,$CP2502)</f>
        <v/>
      </c>
      <c r="DY2502" s="64">
        <f>($DW2502-$DW2503)*100</f>
        <v/>
      </c>
      <c r="DZ2502" s="64">
        <f>($DX2502-$DX2503)*100</f>
        <v/>
      </c>
      <c r="EA2502" s="64">
        <f>($DW2502-$D2502)*100</f>
        <v/>
      </c>
      <c r="EB2502" s="64">
        <f>$Q2502-$O2502</f>
        <v/>
      </c>
      <c r="EC2502" s="67">
        <f>IFERROR($Q2502/$P2502,"")</f>
        <v/>
      </c>
    </row>
    <row r="2503">
      <c r="DG2503" s="64">
        <f>($B2503-$B2504)*100</f>
        <v/>
      </c>
      <c r="DH2503" s="64">
        <f>($D2503-$D2504)*100</f>
        <v/>
      </c>
      <c r="DI2503" s="64">
        <f>($E2503-$E2504)*100</f>
        <v/>
      </c>
      <c r="DJ2503" s="64">
        <f>($H2503-$H2504)*100</f>
        <v/>
      </c>
      <c r="DK2503" s="65">
        <f>IFERROR($J2503/$J2504-1,"")</f>
        <v/>
      </c>
      <c r="DL2503" s="64">
        <f>$L2503-$L2504</f>
        <v/>
      </c>
      <c r="DM2503" s="64">
        <f>$K2503-$K2504</f>
        <v/>
      </c>
      <c r="DN2503" s="65">
        <f>IFERROR($N2503/$N2504-1,"")</f>
        <v/>
      </c>
      <c r="DO2503" s="65">
        <f>IFERROR($M2503/$M2504-1,"")</f>
        <v/>
      </c>
      <c r="DP2503" s="65">
        <f>IFERROR($AZ2503/$AZ2504-1,"")</f>
        <v/>
      </c>
      <c r="DQ2503" s="65">
        <f>IFERROR($BA2503/$BA2504-1,"")</f>
        <v/>
      </c>
      <c r="DR2503" s="64">
        <f>$O2503-$O2504</f>
        <v/>
      </c>
      <c r="DS2503" s="64">
        <f>$P2503-$P2504</f>
        <v/>
      </c>
      <c r="DT2503" s="64">
        <f>$Q2503-$Q2504</f>
        <v/>
      </c>
      <c r="DU2503" s="64">
        <f>$S2503-$S2504</f>
        <v/>
      </c>
      <c r="DV2503" s="65">
        <f>IFERROR(AVERAGE($AA2504/$AA2503-1,$AB2504/$AB2503-1,$AC2504/$AC2503-1,$AD2504/$AD2503-1,$AE2504/$AE2503-1,$AG2504/$AG2503-1,$AH2504/$AH2503-1,$AI2504/$AI2503-1,$AJ2504/$AJ2503-1,$AL2504/$AL2503-1,$AM2504/$AM2503-1,$AR2504/$AR2503-1,$AS2504/$AS2503-1,$AT2504/$AT2503-1,$AU2504/$AU2503-1,$AV2504/$AV2503-1,$AW2504/$AW2503-1,$AX2504/$AX2503-1,$AY2504/$AY2503-1),"")</f>
        <v/>
      </c>
      <c r="DW2503" s="66">
        <f>AVERAGE($CB2503,$CC2503,$CD2503,$CE2503,$CF2503,$CG2503,$CH2503,$CI2503,$CJ2503,$CL2503,$CM2503,$CN2503,$CO2503,$CP2503,$CQ2503,$CR2503,$CS2503,$CT2503)</f>
        <v/>
      </c>
      <c r="DX2503" s="66">
        <f>AVERAGE($CB2503,$CC2503,$CM2503,$CE2503,$CP2503)</f>
        <v/>
      </c>
      <c r="DY2503" s="64">
        <f>($DW2503-$DW2504)*100</f>
        <v/>
      </c>
      <c r="DZ2503" s="64">
        <f>($DX2503-$DX2504)*100</f>
        <v/>
      </c>
      <c r="EA2503" s="64">
        <f>($DW2503-$D2503)*100</f>
        <v/>
      </c>
      <c r="EB2503" s="64">
        <f>$Q2503-$O2503</f>
        <v/>
      </c>
      <c r="EC2503" s="67">
        <f>IFERROR($Q2503/$P2503,"")</f>
        <v/>
      </c>
    </row>
    <row r="2504">
      <c r="DG2504" s="64">
        <f>($B2504-$B2505)*100</f>
        <v/>
      </c>
      <c r="DH2504" s="64">
        <f>($D2504-$D2505)*100</f>
        <v/>
      </c>
      <c r="DI2504" s="64">
        <f>($E2504-$E2505)*100</f>
        <v/>
      </c>
      <c r="DJ2504" s="64">
        <f>($H2504-$H2505)*100</f>
        <v/>
      </c>
      <c r="DK2504" s="65">
        <f>IFERROR($J2504/$J2505-1,"")</f>
        <v/>
      </c>
      <c r="DL2504" s="64">
        <f>$L2504-$L2505</f>
        <v/>
      </c>
      <c r="DM2504" s="64">
        <f>$K2504-$K2505</f>
        <v/>
      </c>
      <c r="DN2504" s="65">
        <f>IFERROR($N2504/$N2505-1,"")</f>
        <v/>
      </c>
      <c r="DO2504" s="65">
        <f>IFERROR($M2504/$M2505-1,"")</f>
        <v/>
      </c>
      <c r="DP2504" s="65">
        <f>IFERROR($AZ2504/$AZ2505-1,"")</f>
        <v/>
      </c>
      <c r="DQ2504" s="65">
        <f>IFERROR($BA2504/$BA2505-1,"")</f>
        <v/>
      </c>
      <c r="DR2504" s="64">
        <f>$O2504-$O2505</f>
        <v/>
      </c>
      <c r="DS2504" s="64">
        <f>$P2504-$P2505</f>
        <v/>
      </c>
      <c r="DT2504" s="64">
        <f>$Q2504-$Q2505</f>
        <v/>
      </c>
      <c r="DU2504" s="64">
        <f>$S2504-$S2505</f>
        <v/>
      </c>
      <c r="DV2504" s="65">
        <f>IFERROR(AVERAGE($AA2505/$AA2504-1,$AB2505/$AB2504-1,$AC2505/$AC2504-1,$AD2505/$AD2504-1,$AE2505/$AE2504-1,$AG2505/$AG2504-1,$AH2505/$AH2504-1,$AI2505/$AI2504-1,$AJ2505/$AJ2504-1,$AL2505/$AL2504-1,$AM2505/$AM2504-1,$AR2505/$AR2504-1,$AS2505/$AS2504-1,$AT2505/$AT2504-1,$AU2505/$AU2504-1,$AV2505/$AV2504-1,$AW2505/$AW2504-1,$AX2505/$AX2504-1,$AY2505/$AY2504-1),"")</f>
        <v/>
      </c>
      <c r="DW2504" s="66">
        <f>AVERAGE($CB2504,$CC2504,$CD2504,$CE2504,$CF2504,$CG2504,$CH2504,$CI2504,$CJ2504,$CL2504,$CM2504,$CN2504,$CO2504,$CP2504,$CQ2504,$CR2504,$CS2504,$CT2504)</f>
        <v/>
      </c>
      <c r="DX2504" s="66">
        <f>AVERAGE($CB2504,$CC2504,$CM2504,$CE2504,$CP2504)</f>
        <v/>
      </c>
      <c r="DY2504" s="64">
        <f>($DW2504-$DW2505)*100</f>
        <v/>
      </c>
      <c r="DZ2504" s="64">
        <f>($DX2504-$DX2505)*100</f>
        <v/>
      </c>
      <c r="EA2504" s="64">
        <f>($DW2504-$D2504)*100</f>
        <v/>
      </c>
      <c r="EB2504" s="64">
        <f>$Q2504-$O2504</f>
        <v/>
      </c>
      <c r="EC2504" s="67">
        <f>IFERROR($Q2504/$P2504,"")</f>
        <v/>
      </c>
    </row>
    <row r="2505">
      <c r="DG2505" s="64">
        <f>($B2505-$B2506)*100</f>
        <v/>
      </c>
      <c r="DH2505" s="64">
        <f>($D2505-$D2506)*100</f>
        <v/>
      </c>
      <c r="DI2505" s="64">
        <f>($E2505-$E2506)*100</f>
        <v/>
      </c>
      <c r="DJ2505" s="64">
        <f>($H2505-$H2506)*100</f>
        <v/>
      </c>
      <c r="DK2505" s="65">
        <f>IFERROR($J2505/$J2506-1,"")</f>
        <v/>
      </c>
      <c r="DL2505" s="64">
        <f>$L2505-$L2506</f>
        <v/>
      </c>
      <c r="DM2505" s="64">
        <f>$K2505-$K2506</f>
        <v/>
      </c>
      <c r="DN2505" s="65">
        <f>IFERROR($N2505/$N2506-1,"")</f>
        <v/>
      </c>
      <c r="DO2505" s="65">
        <f>IFERROR($M2505/$M2506-1,"")</f>
        <v/>
      </c>
      <c r="DP2505" s="65">
        <f>IFERROR($AZ2505/$AZ2506-1,"")</f>
        <v/>
      </c>
      <c r="DQ2505" s="65">
        <f>IFERROR($BA2505/$BA2506-1,"")</f>
        <v/>
      </c>
      <c r="DR2505" s="64">
        <f>$O2505-$O2506</f>
        <v/>
      </c>
      <c r="DS2505" s="64">
        <f>$P2505-$P2506</f>
        <v/>
      </c>
      <c r="DT2505" s="64">
        <f>$Q2505-$Q2506</f>
        <v/>
      </c>
      <c r="DU2505" s="64">
        <f>$S2505-$S2506</f>
        <v/>
      </c>
      <c r="DV2505" s="65">
        <f>IFERROR(AVERAGE($AA2506/$AA2505-1,$AB2506/$AB2505-1,$AC2506/$AC2505-1,$AD2506/$AD2505-1,$AE2506/$AE2505-1,$AG2506/$AG2505-1,$AH2506/$AH2505-1,$AI2506/$AI2505-1,$AJ2506/$AJ2505-1,$AL2506/$AL2505-1,$AM2506/$AM2505-1,$AR2506/$AR2505-1,$AS2506/$AS2505-1,$AT2506/$AT2505-1,$AU2506/$AU2505-1,$AV2506/$AV2505-1,$AW2506/$AW2505-1,$AX2506/$AX2505-1,$AY2506/$AY2505-1),"")</f>
        <v/>
      </c>
      <c r="DW2505" s="66">
        <f>AVERAGE($CB2505,$CC2505,$CD2505,$CE2505,$CF2505,$CG2505,$CH2505,$CI2505,$CJ2505,$CL2505,$CM2505,$CN2505,$CO2505,$CP2505,$CQ2505,$CR2505,$CS2505,$CT2505)</f>
        <v/>
      </c>
      <c r="DX2505" s="66">
        <f>AVERAGE($CB2505,$CC2505,$CM2505,$CE2505,$CP2505)</f>
        <v/>
      </c>
      <c r="DY2505" s="64">
        <f>($DW2505-$DW2506)*100</f>
        <v/>
      </c>
      <c r="DZ2505" s="64">
        <f>($DX2505-$DX2506)*100</f>
        <v/>
      </c>
      <c r="EA2505" s="64">
        <f>($DW2505-$D2505)*100</f>
        <v/>
      </c>
      <c r="EB2505" s="64">
        <f>$Q2505-$O2505</f>
        <v/>
      </c>
      <c r="EC2505" s="67">
        <f>IFERROR($Q2505/$P2505,"")</f>
        <v/>
      </c>
    </row>
    <row r="2506">
      <c r="DG2506" s="64">
        <f>($B2506-$B2507)*100</f>
        <v/>
      </c>
      <c r="DH2506" s="64">
        <f>($D2506-$D2507)*100</f>
        <v/>
      </c>
      <c r="DI2506" s="64">
        <f>($E2506-$E2507)*100</f>
        <v/>
      </c>
      <c r="DJ2506" s="64">
        <f>($H2506-$H2507)*100</f>
        <v/>
      </c>
      <c r="DK2506" s="65">
        <f>IFERROR($J2506/$J2507-1,"")</f>
        <v/>
      </c>
      <c r="DL2506" s="64">
        <f>$L2506-$L2507</f>
        <v/>
      </c>
      <c r="DM2506" s="64">
        <f>$K2506-$K2507</f>
        <v/>
      </c>
      <c r="DN2506" s="65">
        <f>IFERROR($N2506/$N2507-1,"")</f>
        <v/>
      </c>
      <c r="DO2506" s="65">
        <f>IFERROR($M2506/$M2507-1,"")</f>
        <v/>
      </c>
      <c r="DP2506" s="65">
        <f>IFERROR($AZ2506/$AZ2507-1,"")</f>
        <v/>
      </c>
      <c r="DQ2506" s="65">
        <f>IFERROR($BA2506/$BA2507-1,"")</f>
        <v/>
      </c>
      <c r="DR2506" s="64">
        <f>$O2506-$O2507</f>
        <v/>
      </c>
      <c r="DS2506" s="64">
        <f>$P2506-$P2507</f>
        <v/>
      </c>
      <c r="DT2506" s="64">
        <f>$Q2506-$Q2507</f>
        <v/>
      </c>
      <c r="DU2506" s="64">
        <f>$S2506-$S2507</f>
        <v/>
      </c>
      <c r="DV2506" s="65">
        <f>IFERROR(AVERAGE($AA2507/$AA2506-1,$AB2507/$AB2506-1,$AC2507/$AC2506-1,$AD2507/$AD2506-1,$AE2507/$AE2506-1,$AG2507/$AG2506-1,$AH2507/$AH2506-1,$AI2507/$AI2506-1,$AJ2507/$AJ2506-1,$AL2507/$AL2506-1,$AM2507/$AM2506-1,$AR2507/$AR2506-1,$AS2507/$AS2506-1,$AT2507/$AT2506-1,$AU2507/$AU2506-1,$AV2507/$AV2506-1,$AW2507/$AW2506-1,$AX2507/$AX2506-1,$AY2507/$AY2506-1),"")</f>
        <v/>
      </c>
      <c r="DW2506" s="66">
        <f>AVERAGE($CB2506,$CC2506,$CD2506,$CE2506,$CF2506,$CG2506,$CH2506,$CI2506,$CJ2506,$CL2506,$CM2506,$CN2506,$CO2506,$CP2506,$CQ2506,$CR2506,$CS2506,$CT2506)</f>
        <v/>
      </c>
      <c r="DX2506" s="66">
        <f>AVERAGE($CB2506,$CC2506,$CM2506,$CE2506,$CP2506)</f>
        <v/>
      </c>
      <c r="DY2506" s="64">
        <f>($DW2506-$DW2507)*100</f>
        <v/>
      </c>
      <c r="DZ2506" s="64">
        <f>($DX2506-$DX2507)*100</f>
        <v/>
      </c>
      <c r="EA2506" s="64">
        <f>($DW2506-$D2506)*100</f>
        <v/>
      </c>
      <c r="EB2506" s="64">
        <f>$Q2506-$O2506</f>
        <v/>
      </c>
      <c r="EC2506" s="67">
        <f>IFERROR($Q2506/$P2506,"")</f>
        <v/>
      </c>
    </row>
    <row r="2507">
      <c r="DG2507" s="64">
        <f>($B2507-$B2508)*100</f>
        <v/>
      </c>
      <c r="DH2507" s="64">
        <f>($D2507-$D2508)*100</f>
        <v/>
      </c>
      <c r="DI2507" s="64">
        <f>($E2507-$E2508)*100</f>
        <v/>
      </c>
      <c r="DJ2507" s="64">
        <f>($H2507-$H2508)*100</f>
        <v/>
      </c>
      <c r="DK2507" s="65">
        <f>IFERROR($J2507/$J2508-1,"")</f>
        <v/>
      </c>
      <c r="DL2507" s="64">
        <f>$L2507-$L2508</f>
        <v/>
      </c>
      <c r="DM2507" s="64">
        <f>$K2507-$K2508</f>
        <v/>
      </c>
      <c r="DN2507" s="65">
        <f>IFERROR($N2507/$N2508-1,"")</f>
        <v/>
      </c>
      <c r="DO2507" s="65">
        <f>IFERROR($M2507/$M2508-1,"")</f>
        <v/>
      </c>
      <c r="DP2507" s="65">
        <f>IFERROR($AZ2507/$AZ2508-1,"")</f>
        <v/>
      </c>
      <c r="DQ2507" s="65">
        <f>IFERROR($BA2507/$BA2508-1,"")</f>
        <v/>
      </c>
      <c r="DR2507" s="64">
        <f>$O2507-$O2508</f>
        <v/>
      </c>
      <c r="DS2507" s="64">
        <f>$P2507-$P2508</f>
        <v/>
      </c>
      <c r="DT2507" s="64">
        <f>$Q2507-$Q2508</f>
        <v/>
      </c>
      <c r="DU2507" s="64">
        <f>$S2507-$S2508</f>
        <v/>
      </c>
      <c r="DV2507" s="65">
        <f>IFERROR(AVERAGE($AA2508/$AA2507-1,$AB2508/$AB2507-1,$AC2508/$AC2507-1,$AD2508/$AD2507-1,$AE2508/$AE2507-1,$AG2508/$AG2507-1,$AH2508/$AH2507-1,$AI2508/$AI2507-1,$AJ2508/$AJ2507-1,$AL2508/$AL2507-1,$AM2508/$AM2507-1,$AR2508/$AR2507-1,$AS2508/$AS2507-1,$AT2508/$AT2507-1,$AU2508/$AU2507-1,$AV2508/$AV2507-1,$AW2508/$AW2507-1,$AX2508/$AX2507-1,$AY2508/$AY2507-1),"")</f>
        <v/>
      </c>
      <c r="DW2507" s="66">
        <f>AVERAGE($CB2507,$CC2507,$CD2507,$CE2507,$CF2507,$CG2507,$CH2507,$CI2507,$CJ2507,$CL2507,$CM2507,$CN2507,$CO2507,$CP2507,$CQ2507,$CR2507,$CS2507,$CT2507)</f>
        <v/>
      </c>
      <c r="DX2507" s="66">
        <f>AVERAGE($CB2507,$CC2507,$CM2507,$CE2507,$CP2507)</f>
        <v/>
      </c>
      <c r="DY2507" s="64">
        <f>($DW2507-$DW2508)*100</f>
        <v/>
      </c>
      <c r="DZ2507" s="64">
        <f>($DX2507-$DX2508)*100</f>
        <v/>
      </c>
      <c r="EA2507" s="64">
        <f>($DW2507-$D2507)*100</f>
        <v/>
      </c>
      <c r="EB2507" s="64">
        <f>$Q2507-$O2507</f>
        <v/>
      </c>
      <c r="EC2507" s="67">
        <f>IFERROR($Q2507/$P2507,"")</f>
        <v/>
      </c>
    </row>
    <row r="2508">
      <c r="DG2508" s="64">
        <f>($B2508-$B2509)*100</f>
        <v/>
      </c>
      <c r="DH2508" s="64">
        <f>($D2508-$D2509)*100</f>
        <v/>
      </c>
      <c r="DI2508" s="64">
        <f>($E2508-$E2509)*100</f>
        <v/>
      </c>
      <c r="DJ2508" s="64">
        <f>($H2508-$H2509)*100</f>
        <v/>
      </c>
      <c r="DK2508" s="65">
        <f>IFERROR($J2508/$J2509-1,"")</f>
        <v/>
      </c>
      <c r="DL2508" s="64">
        <f>$L2508-$L2509</f>
        <v/>
      </c>
      <c r="DM2508" s="64">
        <f>$K2508-$K2509</f>
        <v/>
      </c>
      <c r="DN2508" s="65">
        <f>IFERROR($N2508/$N2509-1,"")</f>
        <v/>
      </c>
      <c r="DO2508" s="65">
        <f>IFERROR($M2508/$M2509-1,"")</f>
        <v/>
      </c>
      <c r="DP2508" s="65">
        <f>IFERROR($AZ2508/$AZ2509-1,"")</f>
        <v/>
      </c>
      <c r="DQ2508" s="65">
        <f>IFERROR($BA2508/$BA2509-1,"")</f>
        <v/>
      </c>
      <c r="DR2508" s="64">
        <f>$O2508-$O2509</f>
        <v/>
      </c>
      <c r="DS2508" s="64">
        <f>$P2508-$P2509</f>
        <v/>
      </c>
      <c r="DT2508" s="64">
        <f>$Q2508-$Q2509</f>
        <v/>
      </c>
      <c r="DU2508" s="64">
        <f>$S2508-$S2509</f>
        <v/>
      </c>
      <c r="DV2508" s="65">
        <f>IFERROR(AVERAGE($AA2509/$AA2508-1,$AB2509/$AB2508-1,$AC2509/$AC2508-1,$AD2509/$AD2508-1,$AE2509/$AE2508-1,$AG2509/$AG2508-1,$AH2509/$AH2508-1,$AI2509/$AI2508-1,$AJ2509/$AJ2508-1,$AL2509/$AL2508-1,$AM2509/$AM2508-1,$AR2509/$AR2508-1,$AS2509/$AS2508-1,$AT2509/$AT2508-1,$AU2509/$AU2508-1,$AV2509/$AV2508-1,$AW2509/$AW2508-1,$AX2509/$AX2508-1,$AY2509/$AY2508-1),"")</f>
        <v/>
      </c>
      <c r="DW2508" s="66">
        <f>AVERAGE($CB2508,$CC2508,$CD2508,$CE2508,$CF2508,$CG2508,$CH2508,$CI2508,$CJ2508,$CL2508,$CM2508,$CN2508,$CO2508,$CP2508,$CQ2508,$CR2508,$CS2508,$CT2508)</f>
        <v/>
      </c>
      <c r="DX2508" s="66">
        <f>AVERAGE($CB2508,$CC2508,$CM2508,$CE2508,$CP2508)</f>
        <v/>
      </c>
      <c r="DY2508" s="64">
        <f>($DW2508-$DW2509)*100</f>
        <v/>
      </c>
      <c r="DZ2508" s="64">
        <f>($DX2508-$DX2509)*100</f>
        <v/>
      </c>
      <c r="EA2508" s="64">
        <f>($DW2508-$D2508)*100</f>
        <v/>
      </c>
      <c r="EB2508" s="64">
        <f>$Q2508-$O2508</f>
        <v/>
      </c>
      <c r="EC2508" s="67">
        <f>IFERROR($Q2508/$P2508,"")</f>
        <v/>
      </c>
    </row>
    <row r="2509">
      <c r="DG2509" s="64">
        <f>($B2509-$B2510)*100</f>
        <v/>
      </c>
      <c r="DH2509" s="64">
        <f>($D2509-$D2510)*100</f>
        <v/>
      </c>
      <c r="DI2509" s="64">
        <f>($E2509-$E2510)*100</f>
        <v/>
      </c>
      <c r="DJ2509" s="64">
        <f>($H2509-$H2510)*100</f>
        <v/>
      </c>
      <c r="DK2509" s="65">
        <f>IFERROR($J2509/$J2510-1,"")</f>
        <v/>
      </c>
      <c r="DL2509" s="64">
        <f>$L2509-$L2510</f>
        <v/>
      </c>
      <c r="DM2509" s="64">
        <f>$K2509-$K2510</f>
        <v/>
      </c>
      <c r="DN2509" s="65">
        <f>IFERROR($N2509/$N2510-1,"")</f>
        <v/>
      </c>
      <c r="DO2509" s="65">
        <f>IFERROR($M2509/$M2510-1,"")</f>
        <v/>
      </c>
      <c r="DP2509" s="65">
        <f>IFERROR($AZ2509/$AZ2510-1,"")</f>
        <v/>
      </c>
      <c r="DQ2509" s="65">
        <f>IFERROR($BA2509/$BA2510-1,"")</f>
        <v/>
      </c>
      <c r="DR2509" s="64">
        <f>$O2509-$O2510</f>
        <v/>
      </c>
      <c r="DS2509" s="64">
        <f>$P2509-$P2510</f>
        <v/>
      </c>
      <c r="DT2509" s="64">
        <f>$Q2509-$Q2510</f>
        <v/>
      </c>
      <c r="DU2509" s="64">
        <f>$S2509-$S2510</f>
        <v/>
      </c>
      <c r="DV2509" s="65">
        <f>IFERROR(AVERAGE($AA2510/$AA2509-1,$AB2510/$AB2509-1,$AC2510/$AC2509-1,$AD2510/$AD2509-1,$AE2510/$AE2509-1,$AG2510/$AG2509-1,$AH2510/$AH2509-1,$AI2510/$AI2509-1,$AJ2510/$AJ2509-1,$AL2510/$AL2509-1,$AM2510/$AM2509-1,$AR2510/$AR2509-1,$AS2510/$AS2509-1,$AT2510/$AT2509-1,$AU2510/$AU2509-1,$AV2510/$AV2509-1,$AW2510/$AW2509-1,$AX2510/$AX2509-1,$AY2510/$AY2509-1),"")</f>
        <v/>
      </c>
      <c r="DW2509" s="66">
        <f>AVERAGE($CB2509,$CC2509,$CD2509,$CE2509,$CF2509,$CG2509,$CH2509,$CI2509,$CJ2509,$CL2509,$CM2509,$CN2509,$CO2509,$CP2509,$CQ2509,$CR2509,$CS2509,$CT2509)</f>
        <v/>
      </c>
      <c r="DX2509" s="66">
        <f>AVERAGE($CB2509,$CC2509,$CM2509,$CE2509,$CP2509)</f>
        <v/>
      </c>
      <c r="DY2509" s="64">
        <f>($DW2509-$DW2510)*100</f>
        <v/>
      </c>
      <c r="DZ2509" s="64">
        <f>($DX2509-$DX2510)*100</f>
        <v/>
      </c>
      <c r="EA2509" s="64">
        <f>($DW2509-$D2509)*100</f>
        <v/>
      </c>
      <c r="EB2509" s="64">
        <f>$Q2509-$O2509</f>
        <v/>
      </c>
      <c r="EC2509" s="67">
        <f>IFERROR($Q2509/$P2509,"")</f>
        <v/>
      </c>
    </row>
    <row r="2510">
      <c r="DG2510" s="64">
        <f>($B2510-$B2511)*100</f>
        <v/>
      </c>
      <c r="DH2510" s="64">
        <f>($D2510-$D2511)*100</f>
        <v/>
      </c>
      <c r="DI2510" s="64">
        <f>($E2510-$E2511)*100</f>
        <v/>
      </c>
      <c r="DJ2510" s="64">
        <f>($H2510-$H2511)*100</f>
        <v/>
      </c>
      <c r="DK2510" s="65">
        <f>IFERROR($J2510/$J2511-1,"")</f>
        <v/>
      </c>
      <c r="DL2510" s="64">
        <f>$L2510-$L2511</f>
        <v/>
      </c>
      <c r="DM2510" s="64">
        <f>$K2510-$K2511</f>
        <v/>
      </c>
      <c r="DN2510" s="65">
        <f>IFERROR($N2510/$N2511-1,"")</f>
        <v/>
      </c>
      <c r="DO2510" s="65">
        <f>IFERROR($M2510/$M2511-1,"")</f>
        <v/>
      </c>
      <c r="DP2510" s="65">
        <f>IFERROR($AZ2510/$AZ2511-1,"")</f>
        <v/>
      </c>
      <c r="DQ2510" s="65">
        <f>IFERROR($BA2510/$BA2511-1,"")</f>
        <v/>
      </c>
      <c r="DR2510" s="64">
        <f>$O2510-$O2511</f>
        <v/>
      </c>
      <c r="DS2510" s="64">
        <f>$P2510-$P2511</f>
        <v/>
      </c>
      <c r="DT2510" s="64">
        <f>$Q2510-$Q2511</f>
        <v/>
      </c>
      <c r="DU2510" s="64">
        <f>$S2510-$S2511</f>
        <v/>
      </c>
      <c r="DV2510" s="65">
        <f>IFERROR(AVERAGE($AA2511/$AA2510-1,$AB2511/$AB2510-1,$AC2511/$AC2510-1,$AD2511/$AD2510-1,$AE2511/$AE2510-1,$AG2511/$AG2510-1,$AH2511/$AH2510-1,$AI2511/$AI2510-1,$AJ2511/$AJ2510-1,$AL2511/$AL2510-1,$AM2511/$AM2510-1,$AR2511/$AR2510-1,$AS2511/$AS2510-1,$AT2511/$AT2510-1,$AU2511/$AU2510-1,$AV2511/$AV2510-1,$AW2511/$AW2510-1,$AX2511/$AX2510-1,$AY2511/$AY2510-1),"")</f>
        <v/>
      </c>
      <c r="DW2510" s="66">
        <f>AVERAGE($CB2510,$CC2510,$CD2510,$CE2510,$CF2510,$CG2510,$CH2510,$CI2510,$CJ2510,$CL2510,$CM2510,$CN2510,$CO2510,$CP2510,$CQ2510,$CR2510,$CS2510,$CT2510)</f>
        <v/>
      </c>
      <c r="DX2510" s="66">
        <f>AVERAGE($CB2510,$CC2510,$CM2510,$CE2510,$CP2510)</f>
        <v/>
      </c>
      <c r="DY2510" s="64">
        <f>($DW2510-$DW2511)*100</f>
        <v/>
      </c>
      <c r="DZ2510" s="64">
        <f>($DX2510-$DX2511)*100</f>
        <v/>
      </c>
      <c r="EA2510" s="64">
        <f>($DW2510-$D2510)*100</f>
        <v/>
      </c>
      <c r="EB2510" s="64">
        <f>$Q2510-$O2510</f>
        <v/>
      </c>
      <c r="EC2510" s="67">
        <f>IFERROR($Q2510/$P2510,"")</f>
        <v/>
      </c>
    </row>
    <row r="2511">
      <c r="DG2511" s="64">
        <f>($B2511-$B2512)*100</f>
        <v/>
      </c>
      <c r="DH2511" s="64">
        <f>($D2511-$D2512)*100</f>
        <v/>
      </c>
      <c r="DI2511" s="64">
        <f>($E2511-$E2512)*100</f>
        <v/>
      </c>
      <c r="DJ2511" s="64">
        <f>($H2511-$H2512)*100</f>
        <v/>
      </c>
      <c r="DK2511" s="65">
        <f>IFERROR($J2511/$J2512-1,"")</f>
        <v/>
      </c>
      <c r="DL2511" s="64">
        <f>$L2511-$L2512</f>
        <v/>
      </c>
      <c r="DM2511" s="64">
        <f>$K2511-$K2512</f>
        <v/>
      </c>
      <c r="DN2511" s="65">
        <f>IFERROR($N2511/$N2512-1,"")</f>
        <v/>
      </c>
      <c r="DO2511" s="65">
        <f>IFERROR($M2511/$M2512-1,"")</f>
        <v/>
      </c>
      <c r="DP2511" s="65">
        <f>IFERROR($AZ2511/$AZ2512-1,"")</f>
        <v/>
      </c>
      <c r="DQ2511" s="65">
        <f>IFERROR($BA2511/$BA2512-1,"")</f>
        <v/>
      </c>
      <c r="DR2511" s="64">
        <f>$O2511-$O2512</f>
        <v/>
      </c>
      <c r="DS2511" s="64">
        <f>$P2511-$P2512</f>
        <v/>
      </c>
      <c r="DT2511" s="64">
        <f>$Q2511-$Q2512</f>
        <v/>
      </c>
      <c r="DU2511" s="64">
        <f>$S2511-$S2512</f>
        <v/>
      </c>
      <c r="DV2511" s="65">
        <f>IFERROR(AVERAGE($AA2512/$AA2511-1,$AB2512/$AB2511-1,$AC2512/$AC2511-1,$AD2512/$AD2511-1,$AE2512/$AE2511-1,$AG2512/$AG2511-1,$AH2512/$AH2511-1,$AI2512/$AI2511-1,$AJ2512/$AJ2511-1,$AL2512/$AL2511-1,$AM2512/$AM2511-1,$AR2512/$AR2511-1,$AS2512/$AS2511-1,$AT2512/$AT2511-1,$AU2512/$AU2511-1,$AV2512/$AV2511-1,$AW2512/$AW2511-1,$AX2512/$AX2511-1,$AY2512/$AY2511-1),"")</f>
        <v/>
      </c>
      <c r="DW2511" s="66">
        <f>AVERAGE($CB2511,$CC2511,$CD2511,$CE2511,$CF2511,$CG2511,$CH2511,$CI2511,$CJ2511,$CL2511,$CM2511,$CN2511,$CO2511,$CP2511,$CQ2511,$CR2511,$CS2511,$CT2511)</f>
        <v/>
      </c>
      <c r="DX2511" s="66">
        <f>AVERAGE($CB2511,$CC2511,$CM2511,$CE2511,$CP2511)</f>
        <v/>
      </c>
      <c r="DY2511" s="64">
        <f>($DW2511-$DW2512)*100</f>
        <v/>
      </c>
      <c r="DZ2511" s="64">
        <f>($DX2511-$DX2512)*100</f>
        <v/>
      </c>
      <c r="EA2511" s="64">
        <f>($DW2511-$D2511)*100</f>
        <v/>
      </c>
      <c r="EB2511" s="64">
        <f>$Q2511-$O2511</f>
        <v/>
      </c>
      <c r="EC2511" s="67">
        <f>IFERROR($Q2511/$P2511,"")</f>
        <v/>
      </c>
    </row>
    <row r="2512">
      <c r="DG2512" s="64">
        <f>($B2512-$B2513)*100</f>
        <v/>
      </c>
      <c r="DH2512" s="64">
        <f>($D2512-$D2513)*100</f>
        <v/>
      </c>
      <c r="DI2512" s="64">
        <f>($E2512-$E2513)*100</f>
        <v/>
      </c>
      <c r="DJ2512" s="64">
        <f>($H2512-$H2513)*100</f>
        <v/>
      </c>
      <c r="DK2512" s="65">
        <f>IFERROR($J2512/$J2513-1,"")</f>
        <v/>
      </c>
      <c r="DL2512" s="64">
        <f>$L2512-$L2513</f>
        <v/>
      </c>
      <c r="DM2512" s="64">
        <f>$K2512-$K2513</f>
        <v/>
      </c>
      <c r="DN2512" s="65">
        <f>IFERROR($N2512/$N2513-1,"")</f>
        <v/>
      </c>
      <c r="DO2512" s="65">
        <f>IFERROR($M2512/$M2513-1,"")</f>
        <v/>
      </c>
      <c r="DP2512" s="65">
        <f>IFERROR($AZ2512/$AZ2513-1,"")</f>
        <v/>
      </c>
      <c r="DQ2512" s="65">
        <f>IFERROR($BA2512/$BA2513-1,"")</f>
        <v/>
      </c>
      <c r="DR2512" s="64">
        <f>$O2512-$O2513</f>
        <v/>
      </c>
      <c r="DS2512" s="64">
        <f>$P2512-$P2513</f>
        <v/>
      </c>
      <c r="DT2512" s="64">
        <f>$Q2512-$Q2513</f>
        <v/>
      </c>
      <c r="DU2512" s="64">
        <f>$S2512-$S2513</f>
        <v/>
      </c>
      <c r="DV2512" s="65">
        <f>IFERROR(AVERAGE($AA2513/$AA2512-1,$AB2513/$AB2512-1,$AC2513/$AC2512-1,$AD2513/$AD2512-1,$AE2513/$AE2512-1,$AG2513/$AG2512-1,$AH2513/$AH2512-1,$AI2513/$AI2512-1,$AJ2513/$AJ2512-1,$AL2513/$AL2512-1,$AM2513/$AM2512-1,$AR2513/$AR2512-1,$AS2513/$AS2512-1,$AT2513/$AT2512-1,$AU2513/$AU2512-1,$AV2513/$AV2512-1,$AW2513/$AW2512-1,$AX2513/$AX2512-1,$AY2513/$AY2512-1),"")</f>
        <v/>
      </c>
      <c r="DW2512" s="66">
        <f>AVERAGE($CB2512,$CC2512,$CD2512,$CE2512,$CF2512,$CG2512,$CH2512,$CI2512,$CJ2512,$CL2512,$CM2512,$CN2512,$CO2512,$CP2512,$CQ2512,$CR2512,$CS2512,$CT2512)</f>
        <v/>
      </c>
      <c r="DX2512" s="66">
        <f>AVERAGE($CB2512,$CC2512,$CM2512,$CE2512,$CP2512)</f>
        <v/>
      </c>
      <c r="DY2512" s="64">
        <f>($DW2512-$DW2513)*100</f>
        <v/>
      </c>
      <c r="DZ2512" s="64">
        <f>($DX2512-$DX2513)*100</f>
        <v/>
      </c>
      <c r="EA2512" s="64">
        <f>($DW2512-$D2512)*100</f>
        <v/>
      </c>
      <c r="EB2512" s="64">
        <f>$Q2512-$O2512</f>
        <v/>
      </c>
      <c r="EC2512" s="67">
        <f>IFERROR($Q2512/$P2512,"")</f>
        <v/>
      </c>
    </row>
    <row r="2513">
      <c r="DG2513" s="64">
        <f>($B2513-$B2514)*100</f>
        <v/>
      </c>
      <c r="DH2513" s="64">
        <f>($D2513-$D2514)*100</f>
        <v/>
      </c>
      <c r="DI2513" s="64">
        <f>($E2513-$E2514)*100</f>
        <v/>
      </c>
      <c r="DJ2513" s="64">
        <f>($H2513-$H2514)*100</f>
        <v/>
      </c>
      <c r="DK2513" s="65">
        <f>IFERROR($J2513/$J2514-1,"")</f>
        <v/>
      </c>
      <c r="DL2513" s="64">
        <f>$L2513-$L2514</f>
        <v/>
      </c>
      <c r="DM2513" s="64">
        <f>$K2513-$K2514</f>
        <v/>
      </c>
      <c r="DN2513" s="65">
        <f>IFERROR($N2513/$N2514-1,"")</f>
        <v/>
      </c>
      <c r="DO2513" s="65">
        <f>IFERROR($M2513/$M2514-1,"")</f>
        <v/>
      </c>
      <c r="DP2513" s="65">
        <f>IFERROR($AZ2513/$AZ2514-1,"")</f>
        <v/>
      </c>
      <c r="DQ2513" s="65">
        <f>IFERROR($BA2513/$BA2514-1,"")</f>
        <v/>
      </c>
      <c r="DR2513" s="64">
        <f>$O2513-$O2514</f>
        <v/>
      </c>
      <c r="DS2513" s="64">
        <f>$P2513-$P2514</f>
        <v/>
      </c>
      <c r="DT2513" s="64">
        <f>$Q2513-$Q2514</f>
        <v/>
      </c>
      <c r="DU2513" s="64">
        <f>$S2513-$S2514</f>
        <v/>
      </c>
      <c r="DV2513" s="65">
        <f>IFERROR(AVERAGE($AA2514/$AA2513-1,$AB2514/$AB2513-1,$AC2514/$AC2513-1,$AD2514/$AD2513-1,$AE2514/$AE2513-1,$AG2514/$AG2513-1,$AH2514/$AH2513-1,$AI2514/$AI2513-1,$AJ2514/$AJ2513-1,$AL2514/$AL2513-1,$AM2514/$AM2513-1,$AR2514/$AR2513-1,$AS2514/$AS2513-1,$AT2514/$AT2513-1,$AU2514/$AU2513-1,$AV2514/$AV2513-1,$AW2514/$AW2513-1,$AX2514/$AX2513-1,$AY2514/$AY2513-1),"")</f>
        <v/>
      </c>
      <c r="DW2513" s="66">
        <f>AVERAGE($CB2513,$CC2513,$CD2513,$CE2513,$CF2513,$CG2513,$CH2513,$CI2513,$CJ2513,$CL2513,$CM2513,$CN2513,$CO2513,$CP2513,$CQ2513,$CR2513,$CS2513,$CT2513)</f>
        <v/>
      </c>
      <c r="DX2513" s="66">
        <f>AVERAGE($CB2513,$CC2513,$CM2513,$CE2513,$CP2513)</f>
        <v/>
      </c>
      <c r="DY2513" s="64">
        <f>($DW2513-$DW2514)*100</f>
        <v/>
      </c>
      <c r="DZ2513" s="64">
        <f>($DX2513-$DX2514)*100</f>
        <v/>
      </c>
      <c r="EA2513" s="64">
        <f>($DW2513-$D2513)*100</f>
        <v/>
      </c>
      <c r="EB2513" s="64">
        <f>$Q2513-$O2513</f>
        <v/>
      </c>
      <c r="EC2513" s="67">
        <f>IFERROR($Q2513/$P2513,"")</f>
        <v/>
      </c>
    </row>
    <row r="2514">
      <c r="DG2514" s="64">
        <f>($B2514-$B2515)*100</f>
        <v/>
      </c>
      <c r="DH2514" s="64">
        <f>($D2514-$D2515)*100</f>
        <v/>
      </c>
      <c r="DI2514" s="64">
        <f>($E2514-$E2515)*100</f>
        <v/>
      </c>
      <c r="DJ2514" s="64">
        <f>($H2514-$H2515)*100</f>
        <v/>
      </c>
      <c r="DK2514" s="65">
        <f>IFERROR($J2514/$J2515-1,"")</f>
        <v/>
      </c>
      <c r="DL2514" s="64">
        <f>$L2514-$L2515</f>
        <v/>
      </c>
      <c r="DM2514" s="64">
        <f>$K2514-$K2515</f>
        <v/>
      </c>
      <c r="DN2514" s="65">
        <f>IFERROR($N2514/$N2515-1,"")</f>
        <v/>
      </c>
      <c r="DO2514" s="65">
        <f>IFERROR($M2514/$M2515-1,"")</f>
        <v/>
      </c>
      <c r="DP2514" s="65">
        <f>IFERROR($AZ2514/$AZ2515-1,"")</f>
        <v/>
      </c>
      <c r="DQ2514" s="65">
        <f>IFERROR($BA2514/$BA2515-1,"")</f>
        <v/>
      </c>
      <c r="DR2514" s="64">
        <f>$O2514-$O2515</f>
        <v/>
      </c>
      <c r="DS2514" s="64">
        <f>$P2514-$P2515</f>
        <v/>
      </c>
      <c r="DT2514" s="64">
        <f>$Q2514-$Q2515</f>
        <v/>
      </c>
      <c r="DU2514" s="64">
        <f>$S2514-$S2515</f>
        <v/>
      </c>
      <c r="DV2514" s="65">
        <f>IFERROR(AVERAGE($AA2515/$AA2514-1,$AB2515/$AB2514-1,$AC2515/$AC2514-1,$AD2515/$AD2514-1,$AE2515/$AE2514-1,$AG2515/$AG2514-1,$AH2515/$AH2514-1,$AI2515/$AI2514-1,$AJ2515/$AJ2514-1,$AL2515/$AL2514-1,$AM2515/$AM2514-1,$AR2515/$AR2514-1,$AS2515/$AS2514-1,$AT2515/$AT2514-1,$AU2515/$AU2514-1,$AV2515/$AV2514-1,$AW2515/$AW2514-1,$AX2515/$AX2514-1,$AY2515/$AY2514-1),"")</f>
        <v/>
      </c>
      <c r="DW2514" s="66">
        <f>AVERAGE($CB2514,$CC2514,$CD2514,$CE2514,$CF2514,$CG2514,$CH2514,$CI2514,$CJ2514,$CL2514,$CM2514,$CN2514,$CO2514,$CP2514,$CQ2514,$CR2514,$CS2514,$CT2514)</f>
        <v/>
      </c>
      <c r="DX2514" s="66">
        <f>AVERAGE($CB2514,$CC2514,$CM2514,$CE2514,$CP2514)</f>
        <v/>
      </c>
      <c r="DY2514" s="64">
        <f>($DW2514-$DW2515)*100</f>
        <v/>
      </c>
      <c r="DZ2514" s="64">
        <f>($DX2514-$DX2515)*100</f>
        <v/>
      </c>
      <c r="EA2514" s="64">
        <f>($DW2514-$D2514)*100</f>
        <v/>
      </c>
      <c r="EB2514" s="64">
        <f>$Q2514-$O2514</f>
        <v/>
      </c>
      <c r="EC2514" s="67">
        <f>IFERROR($Q2514/$P2514,"")</f>
        <v/>
      </c>
    </row>
    <row r="2515">
      <c r="DG2515" s="64">
        <f>($B2515-$B2516)*100</f>
        <v/>
      </c>
      <c r="DH2515" s="64">
        <f>($D2515-$D2516)*100</f>
        <v/>
      </c>
      <c r="DI2515" s="64">
        <f>($E2515-$E2516)*100</f>
        <v/>
      </c>
      <c r="DJ2515" s="64">
        <f>($H2515-$H2516)*100</f>
        <v/>
      </c>
      <c r="DK2515" s="65">
        <f>IFERROR($J2515/$J2516-1,"")</f>
        <v/>
      </c>
      <c r="DL2515" s="64">
        <f>$L2515-$L2516</f>
        <v/>
      </c>
      <c r="DM2515" s="64">
        <f>$K2515-$K2516</f>
        <v/>
      </c>
      <c r="DN2515" s="65">
        <f>IFERROR($N2515/$N2516-1,"")</f>
        <v/>
      </c>
      <c r="DO2515" s="65">
        <f>IFERROR($M2515/$M2516-1,"")</f>
        <v/>
      </c>
      <c r="DP2515" s="65">
        <f>IFERROR($AZ2515/$AZ2516-1,"")</f>
        <v/>
      </c>
      <c r="DQ2515" s="65">
        <f>IFERROR($BA2515/$BA2516-1,"")</f>
        <v/>
      </c>
      <c r="DR2515" s="64">
        <f>$O2515-$O2516</f>
        <v/>
      </c>
      <c r="DS2515" s="64">
        <f>$P2515-$P2516</f>
        <v/>
      </c>
      <c r="DT2515" s="64">
        <f>$Q2515-$Q2516</f>
        <v/>
      </c>
      <c r="DU2515" s="64">
        <f>$S2515-$S2516</f>
        <v/>
      </c>
      <c r="DV2515" s="65">
        <f>IFERROR(AVERAGE($AA2516/$AA2515-1,$AB2516/$AB2515-1,$AC2516/$AC2515-1,$AD2516/$AD2515-1,$AE2516/$AE2515-1,$AG2516/$AG2515-1,$AH2516/$AH2515-1,$AI2516/$AI2515-1,$AJ2516/$AJ2515-1,$AL2516/$AL2515-1,$AM2516/$AM2515-1,$AR2516/$AR2515-1,$AS2516/$AS2515-1,$AT2516/$AT2515-1,$AU2516/$AU2515-1,$AV2516/$AV2515-1,$AW2516/$AW2515-1,$AX2516/$AX2515-1,$AY2516/$AY2515-1),"")</f>
        <v/>
      </c>
      <c r="DW2515" s="66">
        <f>AVERAGE($CB2515,$CC2515,$CD2515,$CE2515,$CF2515,$CG2515,$CH2515,$CI2515,$CJ2515,$CL2515,$CM2515,$CN2515,$CO2515,$CP2515,$CQ2515,$CR2515,$CS2515,$CT2515)</f>
        <v/>
      </c>
      <c r="DX2515" s="66">
        <f>AVERAGE($CB2515,$CC2515,$CM2515,$CE2515,$CP2515)</f>
        <v/>
      </c>
      <c r="DY2515" s="64">
        <f>($DW2515-$DW2516)*100</f>
        <v/>
      </c>
      <c r="DZ2515" s="64">
        <f>($DX2515-$DX2516)*100</f>
        <v/>
      </c>
      <c r="EA2515" s="64">
        <f>($DW2515-$D2515)*100</f>
        <v/>
      </c>
      <c r="EB2515" s="64">
        <f>$Q2515-$O2515</f>
        <v/>
      </c>
      <c r="EC2515" s="67">
        <f>IFERROR($Q2515/$P2515,"")</f>
        <v/>
      </c>
    </row>
    <row r="2516">
      <c r="DG2516" s="64">
        <f>($B2516-$B2517)*100</f>
        <v/>
      </c>
      <c r="DH2516" s="64">
        <f>($D2516-$D2517)*100</f>
        <v/>
      </c>
      <c r="DI2516" s="64">
        <f>($E2516-$E2517)*100</f>
        <v/>
      </c>
      <c r="DJ2516" s="64">
        <f>($H2516-$H2517)*100</f>
        <v/>
      </c>
      <c r="DK2516" s="65">
        <f>IFERROR($J2516/$J2517-1,"")</f>
        <v/>
      </c>
      <c r="DL2516" s="64">
        <f>$L2516-$L2517</f>
        <v/>
      </c>
      <c r="DM2516" s="64">
        <f>$K2516-$K2517</f>
        <v/>
      </c>
      <c r="DN2516" s="65">
        <f>IFERROR($N2516/$N2517-1,"")</f>
        <v/>
      </c>
      <c r="DO2516" s="65">
        <f>IFERROR($M2516/$M2517-1,"")</f>
        <v/>
      </c>
      <c r="DP2516" s="65">
        <f>IFERROR($AZ2516/$AZ2517-1,"")</f>
        <v/>
      </c>
      <c r="DQ2516" s="65">
        <f>IFERROR($BA2516/$BA2517-1,"")</f>
        <v/>
      </c>
      <c r="DR2516" s="64">
        <f>$O2516-$O2517</f>
        <v/>
      </c>
      <c r="DS2516" s="64">
        <f>$P2516-$P2517</f>
        <v/>
      </c>
      <c r="DT2516" s="64">
        <f>$Q2516-$Q2517</f>
        <v/>
      </c>
      <c r="DU2516" s="64">
        <f>$S2516-$S2517</f>
        <v/>
      </c>
      <c r="DV2516" s="65">
        <f>IFERROR(AVERAGE($AA2517/$AA2516-1,$AB2517/$AB2516-1,$AC2517/$AC2516-1,$AD2517/$AD2516-1,$AE2517/$AE2516-1,$AG2517/$AG2516-1,$AH2517/$AH2516-1,$AI2517/$AI2516-1,$AJ2517/$AJ2516-1,$AL2517/$AL2516-1,$AM2517/$AM2516-1,$AR2517/$AR2516-1,$AS2517/$AS2516-1,$AT2517/$AT2516-1,$AU2517/$AU2516-1,$AV2517/$AV2516-1,$AW2517/$AW2516-1,$AX2517/$AX2516-1,$AY2517/$AY2516-1),"")</f>
        <v/>
      </c>
      <c r="DW2516" s="66">
        <f>AVERAGE($CB2516,$CC2516,$CD2516,$CE2516,$CF2516,$CG2516,$CH2516,$CI2516,$CJ2516,$CL2516,$CM2516,$CN2516,$CO2516,$CP2516,$CQ2516,$CR2516,$CS2516,$CT2516)</f>
        <v/>
      </c>
      <c r="DX2516" s="66">
        <f>AVERAGE($CB2516,$CC2516,$CM2516,$CE2516,$CP2516)</f>
        <v/>
      </c>
      <c r="DY2516" s="64">
        <f>($DW2516-$DW2517)*100</f>
        <v/>
      </c>
      <c r="DZ2516" s="64">
        <f>($DX2516-$DX2517)*100</f>
        <v/>
      </c>
      <c r="EA2516" s="64">
        <f>($DW2516-$D2516)*100</f>
        <v/>
      </c>
      <c r="EB2516" s="64">
        <f>$Q2516-$O2516</f>
        <v/>
      </c>
      <c r="EC2516" s="67">
        <f>IFERROR($Q2516/$P2516,"")</f>
        <v/>
      </c>
    </row>
    <row r="2517">
      <c r="DG2517" s="64">
        <f>($B2517-$B2518)*100</f>
        <v/>
      </c>
      <c r="DH2517" s="64">
        <f>($D2517-$D2518)*100</f>
        <v/>
      </c>
      <c r="DI2517" s="64">
        <f>($E2517-$E2518)*100</f>
        <v/>
      </c>
      <c r="DJ2517" s="64">
        <f>($H2517-$H2518)*100</f>
        <v/>
      </c>
      <c r="DK2517" s="65">
        <f>IFERROR($J2517/$J2518-1,"")</f>
        <v/>
      </c>
      <c r="DL2517" s="64">
        <f>$L2517-$L2518</f>
        <v/>
      </c>
      <c r="DM2517" s="64">
        <f>$K2517-$K2518</f>
        <v/>
      </c>
      <c r="DN2517" s="65">
        <f>IFERROR($N2517/$N2518-1,"")</f>
        <v/>
      </c>
      <c r="DO2517" s="65">
        <f>IFERROR($M2517/$M2518-1,"")</f>
        <v/>
      </c>
      <c r="DP2517" s="65">
        <f>IFERROR($AZ2517/$AZ2518-1,"")</f>
        <v/>
      </c>
      <c r="DQ2517" s="65">
        <f>IFERROR($BA2517/$BA2518-1,"")</f>
        <v/>
      </c>
      <c r="DR2517" s="64">
        <f>$O2517-$O2518</f>
        <v/>
      </c>
      <c r="DS2517" s="64">
        <f>$P2517-$P2518</f>
        <v/>
      </c>
      <c r="DT2517" s="64">
        <f>$Q2517-$Q2518</f>
        <v/>
      </c>
      <c r="DU2517" s="64">
        <f>$S2517-$S2518</f>
        <v/>
      </c>
      <c r="DV2517" s="65">
        <f>IFERROR(AVERAGE($AA2518/$AA2517-1,$AB2518/$AB2517-1,$AC2518/$AC2517-1,$AD2518/$AD2517-1,$AE2518/$AE2517-1,$AG2518/$AG2517-1,$AH2518/$AH2517-1,$AI2518/$AI2517-1,$AJ2518/$AJ2517-1,$AL2518/$AL2517-1,$AM2518/$AM2517-1,$AR2518/$AR2517-1,$AS2518/$AS2517-1,$AT2518/$AT2517-1,$AU2518/$AU2517-1,$AV2518/$AV2517-1,$AW2518/$AW2517-1,$AX2518/$AX2517-1,$AY2518/$AY2517-1),"")</f>
        <v/>
      </c>
      <c r="DW2517" s="66">
        <f>AVERAGE($CB2517,$CC2517,$CD2517,$CE2517,$CF2517,$CG2517,$CH2517,$CI2517,$CJ2517,$CL2517,$CM2517,$CN2517,$CO2517,$CP2517,$CQ2517,$CR2517,$CS2517,$CT2517)</f>
        <v/>
      </c>
      <c r="DX2517" s="66">
        <f>AVERAGE($CB2517,$CC2517,$CM2517,$CE2517,$CP2517)</f>
        <v/>
      </c>
      <c r="DY2517" s="64">
        <f>($DW2517-$DW2518)*100</f>
        <v/>
      </c>
      <c r="DZ2517" s="64">
        <f>($DX2517-$DX2518)*100</f>
        <v/>
      </c>
      <c r="EA2517" s="64">
        <f>($DW2517-$D2517)*100</f>
        <v/>
      </c>
      <c r="EB2517" s="64">
        <f>$Q2517-$O2517</f>
        <v/>
      </c>
      <c r="EC2517" s="67">
        <f>IFERROR($Q2517/$P2517,"")</f>
        <v/>
      </c>
    </row>
    <row r="2518">
      <c r="DG2518" s="64">
        <f>($B2518-$B2519)*100</f>
        <v/>
      </c>
      <c r="DH2518" s="64">
        <f>($D2518-$D2519)*100</f>
        <v/>
      </c>
      <c r="DI2518" s="64">
        <f>($E2518-$E2519)*100</f>
        <v/>
      </c>
      <c r="DJ2518" s="64">
        <f>($H2518-$H2519)*100</f>
        <v/>
      </c>
      <c r="DK2518" s="65">
        <f>IFERROR($J2518/$J2519-1,"")</f>
        <v/>
      </c>
      <c r="DL2518" s="64">
        <f>$L2518-$L2519</f>
        <v/>
      </c>
      <c r="DM2518" s="64">
        <f>$K2518-$K2519</f>
        <v/>
      </c>
      <c r="DN2518" s="65">
        <f>IFERROR($N2518/$N2519-1,"")</f>
        <v/>
      </c>
      <c r="DO2518" s="65">
        <f>IFERROR($M2518/$M2519-1,"")</f>
        <v/>
      </c>
      <c r="DP2518" s="65">
        <f>IFERROR($AZ2518/$AZ2519-1,"")</f>
        <v/>
      </c>
      <c r="DQ2518" s="65">
        <f>IFERROR($BA2518/$BA2519-1,"")</f>
        <v/>
      </c>
      <c r="DR2518" s="64">
        <f>$O2518-$O2519</f>
        <v/>
      </c>
      <c r="DS2518" s="64">
        <f>$P2518-$P2519</f>
        <v/>
      </c>
      <c r="DT2518" s="64">
        <f>$Q2518-$Q2519</f>
        <v/>
      </c>
      <c r="DU2518" s="64">
        <f>$S2518-$S2519</f>
        <v/>
      </c>
      <c r="DV2518" s="65">
        <f>IFERROR(AVERAGE($AA2519/$AA2518-1,$AB2519/$AB2518-1,$AC2519/$AC2518-1,$AD2519/$AD2518-1,$AE2519/$AE2518-1,$AG2519/$AG2518-1,$AH2519/$AH2518-1,$AI2519/$AI2518-1,$AJ2519/$AJ2518-1,$AL2519/$AL2518-1,$AM2519/$AM2518-1,$AR2519/$AR2518-1,$AS2519/$AS2518-1,$AT2519/$AT2518-1,$AU2519/$AU2518-1,$AV2519/$AV2518-1,$AW2519/$AW2518-1,$AX2519/$AX2518-1,$AY2519/$AY2518-1),"")</f>
        <v/>
      </c>
      <c r="DW2518" s="66">
        <f>AVERAGE($CB2518,$CC2518,$CD2518,$CE2518,$CF2518,$CG2518,$CH2518,$CI2518,$CJ2518,$CL2518,$CM2518,$CN2518,$CO2518,$CP2518,$CQ2518,$CR2518,$CS2518,$CT2518)</f>
        <v/>
      </c>
      <c r="DX2518" s="66">
        <f>AVERAGE($CB2518,$CC2518,$CM2518,$CE2518,$CP2518)</f>
        <v/>
      </c>
      <c r="DY2518" s="64">
        <f>($DW2518-$DW2519)*100</f>
        <v/>
      </c>
      <c r="DZ2518" s="64">
        <f>($DX2518-$DX2519)*100</f>
        <v/>
      </c>
      <c r="EA2518" s="64">
        <f>($DW2518-$D2518)*100</f>
        <v/>
      </c>
      <c r="EB2518" s="64">
        <f>$Q2518-$O2518</f>
        <v/>
      </c>
      <c r="EC2518" s="67">
        <f>IFERROR($Q2518/$P2518,"")</f>
        <v/>
      </c>
    </row>
    <row r="2519">
      <c r="DG2519" s="64">
        <f>($B2519-$B2520)*100</f>
        <v/>
      </c>
      <c r="DH2519" s="64">
        <f>($D2519-$D2520)*100</f>
        <v/>
      </c>
      <c r="DI2519" s="64">
        <f>($E2519-$E2520)*100</f>
        <v/>
      </c>
      <c r="DJ2519" s="64">
        <f>($H2519-$H2520)*100</f>
        <v/>
      </c>
      <c r="DK2519" s="65">
        <f>IFERROR($J2519/$J2520-1,"")</f>
        <v/>
      </c>
      <c r="DL2519" s="64">
        <f>$L2519-$L2520</f>
        <v/>
      </c>
      <c r="DM2519" s="64">
        <f>$K2519-$K2520</f>
        <v/>
      </c>
      <c r="DN2519" s="65">
        <f>IFERROR($N2519/$N2520-1,"")</f>
        <v/>
      </c>
      <c r="DO2519" s="65">
        <f>IFERROR($M2519/$M2520-1,"")</f>
        <v/>
      </c>
      <c r="DP2519" s="65">
        <f>IFERROR($AZ2519/$AZ2520-1,"")</f>
        <v/>
      </c>
      <c r="DQ2519" s="65">
        <f>IFERROR($BA2519/$BA2520-1,"")</f>
        <v/>
      </c>
      <c r="DR2519" s="64">
        <f>$O2519-$O2520</f>
        <v/>
      </c>
      <c r="DS2519" s="64">
        <f>$P2519-$P2520</f>
        <v/>
      </c>
      <c r="DT2519" s="64">
        <f>$Q2519-$Q2520</f>
        <v/>
      </c>
      <c r="DU2519" s="64">
        <f>$S2519-$S2520</f>
        <v/>
      </c>
      <c r="DV2519" s="65">
        <f>IFERROR(AVERAGE($AA2520/$AA2519-1,$AB2520/$AB2519-1,$AC2520/$AC2519-1,$AD2520/$AD2519-1,$AE2520/$AE2519-1,$AG2520/$AG2519-1,$AH2520/$AH2519-1,$AI2520/$AI2519-1,$AJ2520/$AJ2519-1,$AL2520/$AL2519-1,$AM2520/$AM2519-1,$AR2520/$AR2519-1,$AS2520/$AS2519-1,$AT2520/$AT2519-1,$AU2520/$AU2519-1,$AV2520/$AV2519-1,$AW2520/$AW2519-1,$AX2520/$AX2519-1,$AY2520/$AY2519-1),"")</f>
        <v/>
      </c>
      <c r="DW2519" s="66">
        <f>AVERAGE($CB2519,$CC2519,$CD2519,$CE2519,$CF2519,$CG2519,$CH2519,$CI2519,$CJ2519,$CL2519,$CM2519,$CN2519,$CO2519,$CP2519,$CQ2519,$CR2519,$CS2519,$CT2519)</f>
        <v/>
      </c>
      <c r="DX2519" s="66">
        <f>AVERAGE($CB2519,$CC2519,$CM2519,$CE2519,$CP2519)</f>
        <v/>
      </c>
      <c r="DY2519" s="64">
        <f>($DW2519-$DW2520)*100</f>
        <v/>
      </c>
      <c r="DZ2519" s="64">
        <f>($DX2519-$DX2520)*100</f>
        <v/>
      </c>
      <c r="EA2519" s="64">
        <f>($DW2519-$D2519)*100</f>
        <v/>
      </c>
      <c r="EB2519" s="64">
        <f>$Q2519-$O2519</f>
        <v/>
      </c>
      <c r="EC2519" s="67">
        <f>IFERROR($Q2519/$P2519,"")</f>
        <v/>
      </c>
    </row>
    <row r="2520">
      <c r="DG2520" s="64">
        <f>($B2520-$B2521)*100</f>
        <v/>
      </c>
      <c r="DH2520" s="64">
        <f>($D2520-$D2521)*100</f>
        <v/>
      </c>
      <c r="DI2520" s="64">
        <f>($E2520-$E2521)*100</f>
        <v/>
      </c>
      <c r="DJ2520" s="64">
        <f>($H2520-$H2521)*100</f>
        <v/>
      </c>
      <c r="DK2520" s="65">
        <f>IFERROR($J2520/$J2521-1,"")</f>
        <v/>
      </c>
      <c r="DL2520" s="64">
        <f>$L2520-$L2521</f>
        <v/>
      </c>
      <c r="DM2520" s="64">
        <f>$K2520-$K2521</f>
        <v/>
      </c>
      <c r="DN2520" s="65">
        <f>IFERROR($N2520/$N2521-1,"")</f>
        <v/>
      </c>
      <c r="DO2520" s="65">
        <f>IFERROR($M2520/$M2521-1,"")</f>
        <v/>
      </c>
      <c r="DP2520" s="65">
        <f>IFERROR($AZ2520/$AZ2521-1,"")</f>
        <v/>
      </c>
      <c r="DQ2520" s="65">
        <f>IFERROR($BA2520/$BA2521-1,"")</f>
        <v/>
      </c>
      <c r="DR2520" s="64">
        <f>$O2520-$O2521</f>
        <v/>
      </c>
      <c r="DS2520" s="64">
        <f>$P2520-$P2521</f>
        <v/>
      </c>
      <c r="DT2520" s="64">
        <f>$Q2520-$Q2521</f>
        <v/>
      </c>
      <c r="DU2520" s="64">
        <f>$S2520-$S2521</f>
        <v/>
      </c>
      <c r="DV2520" s="65">
        <f>IFERROR(AVERAGE($AA2521/$AA2520-1,$AB2521/$AB2520-1,$AC2521/$AC2520-1,$AD2521/$AD2520-1,$AE2521/$AE2520-1,$AG2521/$AG2520-1,$AH2521/$AH2520-1,$AI2521/$AI2520-1,$AJ2521/$AJ2520-1,$AL2521/$AL2520-1,$AM2521/$AM2520-1,$AR2521/$AR2520-1,$AS2521/$AS2520-1,$AT2521/$AT2520-1,$AU2521/$AU2520-1,$AV2521/$AV2520-1,$AW2521/$AW2520-1,$AX2521/$AX2520-1,$AY2521/$AY2520-1),"")</f>
        <v/>
      </c>
      <c r="DW2520" s="66">
        <f>AVERAGE($CB2520,$CC2520,$CD2520,$CE2520,$CF2520,$CG2520,$CH2520,$CI2520,$CJ2520,$CL2520,$CM2520,$CN2520,$CO2520,$CP2520,$CQ2520,$CR2520,$CS2520,$CT2520)</f>
        <v/>
      </c>
      <c r="DX2520" s="66">
        <f>AVERAGE($CB2520,$CC2520,$CM2520,$CE2520,$CP2520)</f>
        <v/>
      </c>
      <c r="DY2520" s="64">
        <f>($DW2520-$DW2521)*100</f>
        <v/>
      </c>
      <c r="DZ2520" s="64">
        <f>($DX2520-$DX2521)*100</f>
        <v/>
      </c>
      <c r="EA2520" s="64">
        <f>($DW2520-$D2520)*100</f>
        <v/>
      </c>
      <c r="EB2520" s="64">
        <f>$Q2520-$O2520</f>
        <v/>
      </c>
      <c r="EC2520" s="67">
        <f>IFERROR($Q2520/$P2520,"")</f>
        <v/>
      </c>
    </row>
    <row r="2521">
      <c r="DG2521" s="64">
        <f>($B2521-$B2522)*100</f>
        <v/>
      </c>
      <c r="DH2521" s="64">
        <f>($D2521-$D2522)*100</f>
        <v/>
      </c>
      <c r="DI2521" s="64">
        <f>($E2521-$E2522)*100</f>
        <v/>
      </c>
      <c r="DJ2521" s="64">
        <f>($H2521-$H2522)*100</f>
        <v/>
      </c>
      <c r="DK2521" s="65">
        <f>IFERROR($J2521/$J2522-1,"")</f>
        <v/>
      </c>
      <c r="DL2521" s="64">
        <f>$L2521-$L2522</f>
        <v/>
      </c>
      <c r="DM2521" s="64">
        <f>$K2521-$K2522</f>
        <v/>
      </c>
      <c r="DN2521" s="65">
        <f>IFERROR($N2521/$N2522-1,"")</f>
        <v/>
      </c>
      <c r="DO2521" s="65">
        <f>IFERROR($M2521/$M2522-1,"")</f>
        <v/>
      </c>
      <c r="DP2521" s="65">
        <f>IFERROR($AZ2521/$AZ2522-1,"")</f>
        <v/>
      </c>
      <c r="DQ2521" s="65">
        <f>IFERROR($BA2521/$BA2522-1,"")</f>
        <v/>
      </c>
      <c r="DR2521" s="64">
        <f>$O2521-$O2522</f>
        <v/>
      </c>
      <c r="DS2521" s="64">
        <f>$P2521-$P2522</f>
        <v/>
      </c>
      <c r="DT2521" s="64">
        <f>$Q2521-$Q2522</f>
        <v/>
      </c>
      <c r="DU2521" s="64">
        <f>$S2521-$S2522</f>
        <v/>
      </c>
      <c r="DV2521" s="65">
        <f>IFERROR(AVERAGE($AA2522/$AA2521-1,$AB2522/$AB2521-1,$AC2522/$AC2521-1,$AD2522/$AD2521-1,$AE2522/$AE2521-1,$AG2522/$AG2521-1,$AH2522/$AH2521-1,$AI2522/$AI2521-1,$AJ2522/$AJ2521-1,$AL2522/$AL2521-1,$AM2522/$AM2521-1,$AR2522/$AR2521-1,$AS2522/$AS2521-1,$AT2522/$AT2521-1,$AU2522/$AU2521-1,$AV2522/$AV2521-1,$AW2522/$AW2521-1,$AX2522/$AX2521-1,$AY2522/$AY2521-1),"")</f>
        <v/>
      </c>
      <c r="DW2521" s="66">
        <f>AVERAGE($CB2521,$CC2521,$CD2521,$CE2521,$CF2521,$CG2521,$CH2521,$CI2521,$CJ2521,$CL2521,$CM2521,$CN2521,$CO2521,$CP2521,$CQ2521,$CR2521,$CS2521,$CT2521)</f>
        <v/>
      </c>
      <c r="DX2521" s="66">
        <f>AVERAGE($CB2521,$CC2521,$CM2521,$CE2521,$CP2521)</f>
        <v/>
      </c>
      <c r="DY2521" s="64">
        <f>($DW2521-$DW2522)*100</f>
        <v/>
      </c>
      <c r="DZ2521" s="64">
        <f>($DX2521-$DX2522)*100</f>
        <v/>
      </c>
      <c r="EA2521" s="64">
        <f>($DW2521-$D2521)*100</f>
        <v/>
      </c>
      <c r="EB2521" s="64">
        <f>$Q2521-$O2521</f>
        <v/>
      </c>
      <c r="EC2521" s="67">
        <f>IFERROR($Q2521/$P2521,"")</f>
        <v/>
      </c>
    </row>
    <row r="2522">
      <c r="DG2522" s="64">
        <f>($B2522-$B2523)*100</f>
        <v/>
      </c>
      <c r="DH2522" s="64">
        <f>($D2522-$D2523)*100</f>
        <v/>
      </c>
      <c r="DI2522" s="64">
        <f>($E2522-$E2523)*100</f>
        <v/>
      </c>
      <c r="DJ2522" s="64">
        <f>($H2522-$H2523)*100</f>
        <v/>
      </c>
      <c r="DK2522" s="65">
        <f>IFERROR($J2522/$J2523-1,"")</f>
        <v/>
      </c>
      <c r="DL2522" s="64">
        <f>$L2522-$L2523</f>
        <v/>
      </c>
      <c r="DM2522" s="64">
        <f>$K2522-$K2523</f>
        <v/>
      </c>
      <c r="DN2522" s="65">
        <f>IFERROR($N2522/$N2523-1,"")</f>
        <v/>
      </c>
      <c r="DO2522" s="65">
        <f>IFERROR($M2522/$M2523-1,"")</f>
        <v/>
      </c>
      <c r="DP2522" s="65">
        <f>IFERROR($AZ2522/$AZ2523-1,"")</f>
        <v/>
      </c>
      <c r="DQ2522" s="65">
        <f>IFERROR($BA2522/$BA2523-1,"")</f>
        <v/>
      </c>
      <c r="DR2522" s="64">
        <f>$O2522-$O2523</f>
        <v/>
      </c>
      <c r="DS2522" s="64">
        <f>$P2522-$P2523</f>
        <v/>
      </c>
      <c r="DT2522" s="64">
        <f>$Q2522-$Q2523</f>
        <v/>
      </c>
      <c r="DU2522" s="64">
        <f>$S2522-$S2523</f>
        <v/>
      </c>
      <c r="DV2522" s="65">
        <f>IFERROR(AVERAGE($AA2523/$AA2522-1,$AB2523/$AB2522-1,$AC2523/$AC2522-1,$AD2523/$AD2522-1,$AE2523/$AE2522-1,$AG2523/$AG2522-1,$AH2523/$AH2522-1,$AI2523/$AI2522-1,$AJ2523/$AJ2522-1,$AL2523/$AL2522-1,$AM2523/$AM2522-1,$AR2523/$AR2522-1,$AS2523/$AS2522-1,$AT2523/$AT2522-1,$AU2523/$AU2522-1,$AV2523/$AV2522-1,$AW2523/$AW2522-1,$AX2523/$AX2522-1,$AY2523/$AY2522-1),"")</f>
        <v/>
      </c>
      <c r="DW2522" s="66">
        <f>AVERAGE($CB2522,$CC2522,$CD2522,$CE2522,$CF2522,$CG2522,$CH2522,$CI2522,$CJ2522,$CL2522,$CM2522,$CN2522,$CO2522,$CP2522,$CQ2522,$CR2522,$CS2522,$CT2522)</f>
        <v/>
      </c>
      <c r="DX2522" s="66">
        <f>AVERAGE($CB2522,$CC2522,$CM2522,$CE2522,$CP2522)</f>
        <v/>
      </c>
      <c r="DY2522" s="64">
        <f>($DW2522-$DW2523)*100</f>
        <v/>
      </c>
      <c r="DZ2522" s="64">
        <f>($DX2522-$DX2523)*100</f>
        <v/>
      </c>
      <c r="EA2522" s="64">
        <f>($DW2522-$D2522)*100</f>
        <v/>
      </c>
      <c r="EB2522" s="64">
        <f>$Q2522-$O2522</f>
        <v/>
      </c>
      <c r="EC2522" s="67">
        <f>IFERROR($Q2522/$P2522,"")</f>
        <v/>
      </c>
    </row>
    <row r="2523">
      <c r="DG2523" s="64">
        <f>($B2523-$B2524)*100</f>
        <v/>
      </c>
      <c r="DH2523" s="64">
        <f>($D2523-$D2524)*100</f>
        <v/>
      </c>
      <c r="DI2523" s="64">
        <f>($E2523-$E2524)*100</f>
        <v/>
      </c>
      <c r="DJ2523" s="64">
        <f>($H2523-$H2524)*100</f>
        <v/>
      </c>
      <c r="DK2523" s="65">
        <f>IFERROR($J2523/$J2524-1,"")</f>
        <v/>
      </c>
      <c r="DL2523" s="64">
        <f>$L2523-$L2524</f>
        <v/>
      </c>
      <c r="DM2523" s="64">
        <f>$K2523-$K2524</f>
        <v/>
      </c>
      <c r="DN2523" s="65">
        <f>IFERROR($N2523/$N2524-1,"")</f>
        <v/>
      </c>
      <c r="DO2523" s="65">
        <f>IFERROR($M2523/$M2524-1,"")</f>
        <v/>
      </c>
      <c r="DP2523" s="65">
        <f>IFERROR($AZ2523/$AZ2524-1,"")</f>
        <v/>
      </c>
      <c r="DQ2523" s="65">
        <f>IFERROR($BA2523/$BA2524-1,"")</f>
        <v/>
      </c>
      <c r="DR2523" s="64">
        <f>$O2523-$O2524</f>
        <v/>
      </c>
      <c r="DS2523" s="64">
        <f>$P2523-$P2524</f>
        <v/>
      </c>
      <c r="DT2523" s="64">
        <f>$Q2523-$Q2524</f>
        <v/>
      </c>
      <c r="DU2523" s="64">
        <f>$S2523-$S2524</f>
        <v/>
      </c>
      <c r="DV2523" s="65">
        <f>IFERROR(AVERAGE($AA2524/$AA2523-1,$AB2524/$AB2523-1,$AC2524/$AC2523-1,$AD2524/$AD2523-1,$AE2524/$AE2523-1,$AG2524/$AG2523-1,$AH2524/$AH2523-1,$AI2524/$AI2523-1,$AJ2524/$AJ2523-1,$AL2524/$AL2523-1,$AM2524/$AM2523-1,$AR2524/$AR2523-1,$AS2524/$AS2523-1,$AT2524/$AT2523-1,$AU2524/$AU2523-1,$AV2524/$AV2523-1,$AW2524/$AW2523-1,$AX2524/$AX2523-1,$AY2524/$AY2523-1),"")</f>
        <v/>
      </c>
      <c r="DW2523" s="66">
        <f>AVERAGE($CB2523,$CC2523,$CD2523,$CE2523,$CF2523,$CG2523,$CH2523,$CI2523,$CJ2523,$CL2523,$CM2523,$CN2523,$CO2523,$CP2523,$CQ2523,$CR2523,$CS2523,$CT2523)</f>
        <v/>
      </c>
      <c r="DX2523" s="66">
        <f>AVERAGE($CB2523,$CC2523,$CM2523,$CE2523,$CP2523)</f>
        <v/>
      </c>
      <c r="DY2523" s="64">
        <f>($DW2523-$DW2524)*100</f>
        <v/>
      </c>
      <c r="DZ2523" s="64">
        <f>($DX2523-$DX2524)*100</f>
        <v/>
      </c>
      <c r="EA2523" s="64">
        <f>($DW2523-$D2523)*100</f>
        <v/>
      </c>
      <c r="EB2523" s="64">
        <f>$Q2523-$O2523</f>
        <v/>
      </c>
      <c r="EC2523" s="67">
        <f>IFERROR($Q2523/$P2523,"")</f>
        <v/>
      </c>
    </row>
    <row r="2524">
      <c r="DG2524" s="64">
        <f>($B2524-$B2525)*100</f>
        <v/>
      </c>
      <c r="DH2524" s="64">
        <f>($D2524-$D2525)*100</f>
        <v/>
      </c>
      <c r="DI2524" s="64">
        <f>($E2524-$E2525)*100</f>
        <v/>
      </c>
      <c r="DJ2524" s="64">
        <f>($H2524-$H2525)*100</f>
        <v/>
      </c>
      <c r="DK2524" s="65">
        <f>IFERROR($J2524/$J2525-1,"")</f>
        <v/>
      </c>
      <c r="DL2524" s="64">
        <f>$L2524-$L2525</f>
        <v/>
      </c>
      <c r="DM2524" s="64">
        <f>$K2524-$K2525</f>
        <v/>
      </c>
      <c r="DN2524" s="65">
        <f>IFERROR($N2524/$N2525-1,"")</f>
        <v/>
      </c>
      <c r="DO2524" s="65">
        <f>IFERROR($M2524/$M2525-1,"")</f>
        <v/>
      </c>
      <c r="DP2524" s="65">
        <f>IFERROR($AZ2524/$AZ2525-1,"")</f>
        <v/>
      </c>
      <c r="DQ2524" s="65">
        <f>IFERROR($BA2524/$BA2525-1,"")</f>
        <v/>
      </c>
      <c r="DR2524" s="64">
        <f>$O2524-$O2525</f>
        <v/>
      </c>
      <c r="DS2524" s="64">
        <f>$P2524-$P2525</f>
        <v/>
      </c>
      <c r="DT2524" s="64">
        <f>$Q2524-$Q2525</f>
        <v/>
      </c>
      <c r="DU2524" s="64">
        <f>$S2524-$S2525</f>
        <v/>
      </c>
      <c r="DV2524" s="65">
        <f>IFERROR(AVERAGE($AA2525/$AA2524-1,$AB2525/$AB2524-1,$AC2525/$AC2524-1,$AD2525/$AD2524-1,$AE2525/$AE2524-1,$AG2525/$AG2524-1,$AH2525/$AH2524-1,$AI2525/$AI2524-1,$AJ2525/$AJ2524-1,$AL2525/$AL2524-1,$AM2525/$AM2524-1,$AR2525/$AR2524-1,$AS2525/$AS2524-1,$AT2525/$AT2524-1,$AU2525/$AU2524-1,$AV2525/$AV2524-1,$AW2525/$AW2524-1,$AX2525/$AX2524-1,$AY2525/$AY2524-1),"")</f>
        <v/>
      </c>
      <c r="DW2524" s="66">
        <f>AVERAGE($CB2524,$CC2524,$CD2524,$CE2524,$CF2524,$CG2524,$CH2524,$CI2524,$CJ2524,$CL2524,$CM2524,$CN2524,$CO2524,$CP2524,$CQ2524,$CR2524,$CS2524,$CT2524)</f>
        <v/>
      </c>
      <c r="DX2524" s="66">
        <f>AVERAGE($CB2524,$CC2524,$CM2524,$CE2524,$CP2524)</f>
        <v/>
      </c>
      <c r="DY2524" s="64">
        <f>($DW2524-$DW2525)*100</f>
        <v/>
      </c>
      <c r="DZ2524" s="64">
        <f>($DX2524-$DX2525)*100</f>
        <v/>
      </c>
      <c r="EA2524" s="64">
        <f>($DW2524-$D2524)*100</f>
        <v/>
      </c>
      <c r="EB2524" s="64">
        <f>$Q2524-$O2524</f>
        <v/>
      </c>
      <c r="EC2524" s="67">
        <f>IFERROR($Q2524/$P2524,"")</f>
        <v/>
      </c>
    </row>
    <row r="2525">
      <c r="DG2525" s="64">
        <f>($B2525-$B2526)*100</f>
        <v/>
      </c>
      <c r="DH2525" s="64">
        <f>($D2525-$D2526)*100</f>
        <v/>
      </c>
      <c r="DI2525" s="64">
        <f>($E2525-$E2526)*100</f>
        <v/>
      </c>
      <c r="DJ2525" s="64">
        <f>($H2525-$H2526)*100</f>
        <v/>
      </c>
      <c r="DK2525" s="65">
        <f>IFERROR($J2525/$J2526-1,"")</f>
        <v/>
      </c>
      <c r="DL2525" s="64">
        <f>$L2525-$L2526</f>
        <v/>
      </c>
      <c r="DM2525" s="64">
        <f>$K2525-$K2526</f>
        <v/>
      </c>
      <c r="DN2525" s="65">
        <f>IFERROR($N2525/$N2526-1,"")</f>
        <v/>
      </c>
      <c r="DO2525" s="65">
        <f>IFERROR($M2525/$M2526-1,"")</f>
        <v/>
      </c>
      <c r="DP2525" s="65">
        <f>IFERROR($AZ2525/$AZ2526-1,"")</f>
        <v/>
      </c>
      <c r="DQ2525" s="65">
        <f>IFERROR($BA2525/$BA2526-1,"")</f>
        <v/>
      </c>
      <c r="DR2525" s="64">
        <f>$O2525-$O2526</f>
        <v/>
      </c>
      <c r="DS2525" s="64">
        <f>$P2525-$P2526</f>
        <v/>
      </c>
      <c r="DT2525" s="64">
        <f>$Q2525-$Q2526</f>
        <v/>
      </c>
      <c r="DU2525" s="64">
        <f>$S2525-$S2526</f>
        <v/>
      </c>
      <c r="DV2525" s="65">
        <f>IFERROR(AVERAGE($AA2526/$AA2525-1,$AB2526/$AB2525-1,$AC2526/$AC2525-1,$AD2526/$AD2525-1,$AE2526/$AE2525-1,$AG2526/$AG2525-1,$AH2526/$AH2525-1,$AI2526/$AI2525-1,$AJ2526/$AJ2525-1,$AL2526/$AL2525-1,$AM2526/$AM2525-1,$AR2526/$AR2525-1,$AS2526/$AS2525-1,$AT2526/$AT2525-1,$AU2526/$AU2525-1,$AV2526/$AV2525-1,$AW2526/$AW2525-1,$AX2526/$AX2525-1,$AY2526/$AY2525-1),"")</f>
        <v/>
      </c>
      <c r="DW2525" s="66">
        <f>AVERAGE($CB2525,$CC2525,$CD2525,$CE2525,$CF2525,$CG2525,$CH2525,$CI2525,$CJ2525,$CL2525,$CM2525,$CN2525,$CO2525,$CP2525,$CQ2525,$CR2525,$CS2525,$CT2525)</f>
        <v/>
      </c>
      <c r="DX2525" s="66">
        <f>AVERAGE($CB2525,$CC2525,$CM2525,$CE2525,$CP2525)</f>
        <v/>
      </c>
      <c r="DY2525" s="64">
        <f>($DW2525-$DW2526)*100</f>
        <v/>
      </c>
      <c r="DZ2525" s="64">
        <f>($DX2525-$DX2526)*100</f>
        <v/>
      </c>
      <c r="EA2525" s="64">
        <f>($DW2525-$D2525)*100</f>
        <v/>
      </c>
      <c r="EB2525" s="64">
        <f>$Q2525-$O2525</f>
        <v/>
      </c>
      <c r="EC2525" s="67">
        <f>IFERROR($Q2525/$P2525,"")</f>
        <v/>
      </c>
    </row>
    <row r="2526">
      <c r="DG2526" s="64">
        <f>($B2526-$B2527)*100</f>
        <v/>
      </c>
      <c r="DH2526" s="64">
        <f>($D2526-$D2527)*100</f>
        <v/>
      </c>
      <c r="DI2526" s="64">
        <f>($E2526-$E2527)*100</f>
        <v/>
      </c>
      <c r="DJ2526" s="64">
        <f>($H2526-$H2527)*100</f>
        <v/>
      </c>
      <c r="DK2526" s="65">
        <f>IFERROR($J2526/$J2527-1,"")</f>
        <v/>
      </c>
      <c r="DL2526" s="64">
        <f>$L2526-$L2527</f>
        <v/>
      </c>
      <c r="DM2526" s="64">
        <f>$K2526-$K2527</f>
        <v/>
      </c>
      <c r="DN2526" s="65">
        <f>IFERROR($N2526/$N2527-1,"")</f>
        <v/>
      </c>
      <c r="DO2526" s="65">
        <f>IFERROR($M2526/$M2527-1,"")</f>
        <v/>
      </c>
      <c r="DP2526" s="65">
        <f>IFERROR($AZ2526/$AZ2527-1,"")</f>
        <v/>
      </c>
      <c r="DQ2526" s="65">
        <f>IFERROR($BA2526/$BA2527-1,"")</f>
        <v/>
      </c>
      <c r="DR2526" s="64">
        <f>$O2526-$O2527</f>
        <v/>
      </c>
      <c r="DS2526" s="64">
        <f>$P2526-$P2527</f>
        <v/>
      </c>
      <c r="DT2526" s="64">
        <f>$Q2526-$Q2527</f>
        <v/>
      </c>
      <c r="DU2526" s="64">
        <f>$S2526-$S2527</f>
        <v/>
      </c>
      <c r="DV2526" s="65">
        <f>IFERROR(AVERAGE($AA2527/$AA2526-1,$AB2527/$AB2526-1,$AC2527/$AC2526-1,$AD2527/$AD2526-1,$AE2527/$AE2526-1,$AG2527/$AG2526-1,$AH2527/$AH2526-1,$AI2527/$AI2526-1,$AJ2527/$AJ2526-1,$AL2527/$AL2526-1,$AM2527/$AM2526-1,$AR2527/$AR2526-1,$AS2527/$AS2526-1,$AT2527/$AT2526-1,$AU2527/$AU2526-1,$AV2527/$AV2526-1,$AW2527/$AW2526-1,$AX2527/$AX2526-1,$AY2527/$AY2526-1),"")</f>
        <v/>
      </c>
      <c r="DW2526" s="66">
        <f>AVERAGE($CB2526,$CC2526,$CD2526,$CE2526,$CF2526,$CG2526,$CH2526,$CI2526,$CJ2526,$CL2526,$CM2526,$CN2526,$CO2526,$CP2526,$CQ2526,$CR2526,$CS2526,$CT2526)</f>
        <v/>
      </c>
      <c r="DX2526" s="66">
        <f>AVERAGE($CB2526,$CC2526,$CM2526,$CE2526,$CP2526)</f>
        <v/>
      </c>
      <c r="DY2526" s="64">
        <f>($DW2526-$DW2527)*100</f>
        <v/>
      </c>
      <c r="DZ2526" s="64">
        <f>($DX2526-$DX2527)*100</f>
        <v/>
      </c>
      <c r="EA2526" s="64">
        <f>($DW2526-$D2526)*100</f>
        <v/>
      </c>
      <c r="EB2526" s="64">
        <f>$Q2526-$O2526</f>
        <v/>
      </c>
      <c r="EC2526" s="67">
        <f>IFERROR($Q2526/$P2526,"")</f>
        <v/>
      </c>
    </row>
    <row r="2527">
      <c r="DG2527" s="64">
        <f>($B2527-$B2528)*100</f>
        <v/>
      </c>
      <c r="DH2527" s="64">
        <f>($D2527-$D2528)*100</f>
        <v/>
      </c>
      <c r="DI2527" s="64">
        <f>($E2527-$E2528)*100</f>
        <v/>
      </c>
      <c r="DJ2527" s="64">
        <f>($H2527-$H2528)*100</f>
        <v/>
      </c>
      <c r="DK2527" s="65">
        <f>IFERROR($J2527/$J2528-1,"")</f>
        <v/>
      </c>
      <c r="DL2527" s="64">
        <f>$L2527-$L2528</f>
        <v/>
      </c>
      <c r="DM2527" s="64">
        <f>$K2527-$K2528</f>
        <v/>
      </c>
      <c r="DN2527" s="65">
        <f>IFERROR($N2527/$N2528-1,"")</f>
        <v/>
      </c>
      <c r="DO2527" s="65">
        <f>IFERROR($M2527/$M2528-1,"")</f>
        <v/>
      </c>
      <c r="DP2527" s="65">
        <f>IFERROR($AZ2527/$AZ2528-1,"")</f>
        <v/>
      </c>
      <c r="DQ2527" s="65">
        <f>IFERROR($BA2527/$BA2528-1,"")</f>
        <v/>
      </c>
      <c r="DR2527" s="64">
        <f>$O2527-$O2528</f>
        <v/>
      </c>
      <c r="DS2527" s="64">
        <f>$P2527-$P2528</f>
        <v/>
      </c>
      <c r="DT2527" s="64">
        <f>$Q2527-$Q2528</f>
        <v/>
      </c>
      <c r="DU2527" s="64">
        <f>$S2527-$S2528</f>
        <v/>
      </c>
      <c r="DV2527" s="65">
        <f>IFERROR(AVERAGE($AA2528/$AA2527-1,$AB2528/$AB2527-1,$AC2528/$AC2527-1,$AD2528/$AD2527-1,$AE2528/$AE2527-1,$AG2528/$AG2527-1,$AH2528/$AH2527-1,$AI2528/$AI2527-1,$AJ2528/$AJ2527-1,$AL2528/$AL2527-1,$AM2528/$AM2527-1,$AR2528/$AR2527-1,$AS2528/$AS2527-1,$AT2528/$AT2527-1,$AU2528/$AU2527-1,$AV2528/$AV2527-1,$AW2528/$AW2527-1,$AX2528/$AX2527-1,$AY2528/$AY2527-1),"")</f>
        <v/>
      </c>
      <c r="DW2527" s="66">
        <f>AVERAGE($CB2527,$CC2527,$CD2527,$CE2527,$CF2527,$CG2527,$CH2527,$CI2527,$CJ2527,$CL2527,$CM2527,$CN2527,$CO2527,$CP2527,$CQ2527,$CR2527,$CS2527,$CT2527)</f>
        <v/>
      </c>
      <c r="DX2527" s="66">
        <f>AVERAGE($CB2527,$CC2527,$CM2527,$CE2527,$CP2527)</f>
        <v/>
      </c>
      <c r="DY2527" s="64">
        <f>($DW2527-$DW2528)*100</f>
        <v/>
      </c>
      <c r="DZ2527" s="64">
        <f>($DX2527-$DX2528)*100</f>
        <v/>
      </c>
      <c r="EA2527" s="64">
        <f>($DW2527-$D2527)*100</f>
        <v/>
      </c>
      <c r="EB2527" s="64">
        <f>$Q2527-$O2527</f>
        <v/>
      </c>
      <c r="EC2527" s="67">
        <f>IFERROR($Q2527/$P2527,"")</f>
        <v/>
      </c>
    </row>
    <row r="2528">
      <c r="DG2528" s="64">
        <f>($B2528-$B2529)*100</f>
        <v/>
      </c>
      <c r="DH2528" s="64">
        <f>($D2528-$D2529)*100</f>
        <v/>
      </c>
      <c r="DI2528" s="64">
        <f>($E2528-$E2529)*100</f>
        <v/>
      </c>
      <c r="DJ2528" s="64">
        <f>($H2528-$H2529)*100</f>
        <v/>
      </c>
      <c r="DK2528" s="65">
        <f>IFERROR($J2528/$J2529-1,"")</f>
        <v/>
      </c>
      <c r="DL2528" s="64">
        <f>$L2528-$L2529</f>
        <v/>
      </c>
      <c r="DM2528" s="64">
        <f>$K2528-$K2529</f>
        <v/>
      </c>
      <c r="DN2528" s="65">
        <f>IFERROR($N2528/$N2529-1,"")</f>
        <v/>
      </c>
      <c r="DO2528" s="65">
        <f>IFERROR($M2528/$M2529-1,"")</f>
        <v/>
      </c>
      <c r="DP2528" s="65">
        <f>IFERROR($AZ2528/$AZ2529-1,"")</f>
        <v/>
      </c>
      <c r="DQ2528" s="65">
        <f>IFERROR($BA2528/$BA2529-1,"")</f>
        <v/>
      </c>
      <c r="DR2528" s="64">
        <f>$O2528-$O2529</f>
        <v/>
      </c>
      <c r="DS2528" s="64">
        <f>$P2528-$P2529</f>
        <v/>
      </c>
      <c r="DT2528" s="64">
        <f>$Q2528-$Q2529</f>
        <v/>
      </c>
      <c r="DU2528" s="64">
        <f>$S2528-$S2529</f>
        <v/>
      </c>
      <c r="DV2528" s="65">
        <f>IFERROR(AVERAGE($AA2529/$AA2528-1,$AB2529/$AB2528-1,$AC2529/$AC2528-1,$AD2529/$AD2528-1,$AE2529/$AE2528-1,$AG2529/$AG2528-1,$AH2529/$AH2528-1,$AI2529/$AI2528-1,$AJ2529/$AJ2528-1,$AL2529/$AL2528-1,$AM2529/$AM2528-1,$AR2529/$AR2528-1,$AS2529/$AS2528-1,$AT2529/$AT2528-1,$AU2529/$AU2528-1,$AV2529/$AV2528-1,$AW2529/$AW2528-1,$AX2529/$AX2528-1,$AY2529/$AY2528-1),"")</f>
        <v/>
      </c>
      <c r="DW2528" s="66">
        <f>AVERAGE($CB2528,$CC2528,$CD2528,$CE2528,$CF2528,$CG2528,$CH2528,$CI2528,$CJ2528,$CL2528,$CM2528,$CN2528,$CO2528,$CP2528,$CQ2528,$CR2528,$CS2528,$CT2528)</f>
        <v/>
      </c>
      <c r="DX2528" s="66">
        <f>AVERAGE($CB2528,$CC2528,$CM2528,$CE2528,$CP2528)</f>
        <v/>
      </c>
      <c r="DY2528" s="64">
        <f>($DW2528-$DW2529)*100</f>
        <v/>
      </c>
      <c r="DZ2528" s="64">
        <f>($DX2528-$DX2529)*100</f>
        <v/>
      </c>
      <c r="EA2528" s="64">
        <f>($DW2528-$D2528)*100</f>
        <v/>
      </c>
      <c r="EB2528" s="64">
        <f>$Q2528-$O2528</f>
        <v/>
      </c>
      <c r="EC2528" s="67">
        <f>IFERROR($Q2528/$P2528,"")</f>
        <v/>
      </c>
    </row>
    <row r="2529">
      <c r="DG2529" s="64">
        <f>($B2529-$B2530)*100</f>
        <v/>
      </c>
      <c r="DH2529" s="64">
        <f>($D2529-$D2530)*100</f>
        <v/>
      </c>
      <c r="DI2529" s="64">
        <f>($E2529-$E2530)*100</f>
        <v/>
      </c>
      <c r="DJ2529" s="64">
        <f>($H2529-$H2530)*100</f>
        <v/>
      </c>
      <c r="DK2529" s="65">
        <f>IFERROR($J2529/$J2530-1,"")</f>
        <v/>
      </c>
      <c r="DL2529" s="64">
        <f>$L2529-$L2530</f>
        <v/>
      </c>
      <c r="DM2529" s="64">
        <f>$K2529-$K2530</f>
        <v/>
      </c>
      <c r="DN2529" s="65">
        <f>IFERROR($N2529/$N2530-1,"")</f>
        <v/>
      </c>
      <c r="DO2529" s="65">
        <f>IFERROR($M2529/$M2530-1,"")</f>
        <v/>
      </c>
      <c r="DP2529" s="65">
        <f>IFERROR($AZ2529/$AZ2530-1,"")</f>
        <v/>
      </c>
      <c r="DQ2529" s="65">
        <f>IFERROR($BA2529/$BA2530-1,"")</f>
        <v/>
      </c>
      <c r="DR2529" s="64">
        <f>$O2529-$O2530</f>
        <v/>
      </c>
      <c r="DS2529" s="64">
        <f>$P2529-$P2530</f>
        <v/>
      </c>
      <c r="DT2529" s="64">
        <f>$Q2529-$Q2530</f>
        <v/>
      </c>
      <c r="DU2529" s="64">
        <f>$S2529-$S2530</f>
        <v/>
      </c>
      <c r="DV2529" s="65">
        <f>IFERROR(AVERAGE($AA2530/$AA2529-1,$AB2530/$AB2529-1,$AC2530/$AC2529-1,$AD2530/$AD2529-1,$AE2530/$AE2529-1,$AG2530/$AG2529-1,$AH2530/$AH2529-1,$AI2530/$AI2529-1,$AJ2530/$AJ2529-1,$AL2530/$AL2529-1,$AM2530/$AM2529-1,$AR2530/$AR2529-1,$AS2530/$AS2529-1,$AT2530/$AT2529-1,$AU2530/$AU2529-1,$AV2530/$AV2529-1,$AW2530/$AW2529-1,$AX2530/$AX2529-1,$AY2530/$AY2529-1),"")</f>
        <v/>
      </c>
      <c r="DW2529" s="66">
        <f>AVERAGE($CB2529,$CC2529,$CD2529,$CE2529,$CF2529,$CG2529,$CH2529,$CI2529,$CJ2529,$CL2529,$CM2529,$CN2529,$CO2529,$CP2529,$CQ2529,$CR2529,$CS2529,$CT2529)</f>
        <v/>
      </c>
      <c r="DX2529" s="66">
        <f>AVERAGE($CB2529,$CC2529,$CM2529,$CE2529,$CP2529)</f>
        <v/>
      </c>
      <c r="DY2529" s="64">
        <f>($DW2529-$DW2530)*100</f>
        <v/>
      </c>
      <c r="DZ2529" s="64">
        <f>($DX2529-$DX2530)*100</f>
        <v/>
      </c>
      <c r="EA2529" s="64">
        <f>($DW2529-$D2529)*100</f>
        <v/>
      </c>
      <c r="EB2529" s="64">
        <f>$Q2529-$O2529</f>
        <v/>
      </c>
      <c r="EC2529" s="67">
        <f>IFERROR($Q2529/$P2529,"")</f>
        <v/>
      </c>
    </row>
    <row r="2530">
      <c r="DG2530" s="64">
        <f>($B2530-$B2531)*100</f>
        <v/>
      </c>
      <c r="DH2530" s="64">
        <f>($D2530-$D2531)*100</f>
        <v/>
      </c>
      <c r="DI2530" s="64">
        <f>($E2530-$E2531)*100</f>
        <v/>
      </c>
      <c r="DJ2530" s="64">
        <f>($H2530-$H2531)*100</f>
        <v/>
      </c>
      <c r="DK2530" s="65">
        <f>IFERROR($J2530/$J2531-1,"")</f>
        <v/>
      </c>
      <c r="DL2530" s="64">
        <f>$L2530-$L2531</f>
        <v/>
      </c>
      <c r="DM2530" s="64">
        <f>$K2530-$K2531</f>
        <v/>
      </c>
      <c r="DN2530" s="65">
        <f>IFERROR($N2530/$N2531-1,"")</f>
        <v/>
      </c>
      <c r="DO2530" s="65">
        <f>IFERROR($M2530/$M2531-1,"")</f>
        <v/>
      </c>
      <c r="DP2530" s="65">
        <f>IFERROR($AZ2530/$AZ2531-1,"")</f>
        <v/>
      </c>
      <c r="DQ2530" s="65">
        <f>IFERROR($BA2530/$BA2531-1,"")</f>
        <v/>
      </c>
      <c r="DR2530" s="64">
        <f>$O2530-$O2531</f>
        <v/>
      </c>
      <c r="DS2530" s="64">
        <f>$P2530-$P2531</f>
        <v/>
      </c>
      <c r="DT2530" s="64">
        <f>$Q2530-$Q2531</f>
        <v/>
      </c>
      <c r="DU2530" s="64">
        <f>$S2530-$S2531</f>
        <v/>
      </c>
      <c r="DV2530" s="65">
        <f>IFERROR(AVERAGE($AA2531/$AA2530-1,$AB2531/$AB2530-1,$AC2531/$AC2530-1,$AD2531/$AD2530-1,$AE2531/$AE2530-1,$AG2531/$AG2530-1,$AH2531/$AH2530-1,$AI2531/$AI2530-1,$AJ2531/$AJ2530-1,$AL2531/$AL2530-1,$AM2531/$AM2530-1,$AR2531/$AR2530-1,$AS2531/$AS2530-1,$AT2531/$AT2530-1,$AU2531/$AU2530-1,$AV2531/$AV2530-1,$AW2531/$AW2530-1,$AX2531/$AX2530-1,$AY2531/$AY2530-1),"")</f>
        <v/>
      </c>
      <c r="DW2530" s="66">
        <f>AVERAGE($CB2530,$CC2530,$CD2530,$CE2530,$CF2530,$CG2530,$CH2530,$CI2530,$CJ2530,$CL2530,$CM2530,$CN2530,$CO2530,$CP2530,$CQ2530,$CR2530,$CS2530,$CT2530)</f>
        <v/>
      </c>
      <c r="DX2530" s="66">
        <f>AVERAGE($CB2530,$CC2530,$CM2530,$CE2530,$CP2530)</f>
        <v/>
      </c>
      <c r="DY2530" s="64">
        <f>($DW2530-$DW2531)*100</f>
        <v/>
      </c>
      <c r="DZ2530" s="64">
        <f>($DX2530-$DX2531)*100</f>
        <v/>
      </c>
      <c r="EA2530" s="64">
        <f>($DW2530-$D2530)*100</f>
        <v/>
      </c>
      <c r="EB2530" s="64">
        <f>$Q2530-$O2530</f>
        <v/>
      </c>
      <c r="EC2530" s="67">
        <f>IFERROR($Q2530/$P2530,"")</f>
        <v/>
      </c>
    </row>
    <row r="2531">
      <c r="DG2531" s="64">
        <f>($B2531-$B2532)*100</f>
        <v/>
      </c>
      <c r="DH2531" s="64">
        <f>($D2531-$D2532)*100</f>
        <v/>
      </c>
      <c r="DI2531" s="64">
        <f>($E2531-$E2532)*100</f>
        <v/>
      </c>
      <c r="DJ2531" s="64">
        <f>($H2531-$H2532)*100</f>
        <v/>
      </c>
      <c r="DK2531" s="65">
        <f>IFERROR($J2531/$J2532-1,"")</f>
        <v/>
      </c>
      <c r="DL2531" s="64">
        <f>$L2531-$L2532</f>
        <v/>
      </c>
      <c r="DM2531" s="64">
        <f>$K2531-$K2532</f>
        <v/>
      </c>
      <c r="DN2531" s="65">
        <f>IFERROR($N2531/$N2532-1,"")</f>
        <v/>
      </c>
      <c r="DO2531" s="65">
        <f>IFERROR($M2531/$M2532-1,"")</f>
        <v/>
      </c>
      <c r="DP2531" s="65">
        <f>IFERROR($AZ2531/$AZ2532-1,"")</f>
        <v/>
      </c>
      <c r="DQ2531" s="65">
        <f>IFERROR($BA2531/$BA2532-1,"")</f>
        <v/>
      </c>
      <c r="DR2531" s="64">
        <f>$O2531-$O2532</f>
        <v/>
      </c>
      <c r="DS2531" s="64">
        <f>$P2531-$P2532</f>
        <v/>
      </c>
      <c r="DT2531" s="64">
        <f>$Q2531-$Q2532</f>
        <v/>
      </c>
      <c r="DU2531" s="64">
        <f>$S2531-$S2532</f>
        <v/>
      </c>
      <c r="DV2531" s="65">
        <f>IFERROR(AVERAGE($AA2532/$AA2531-1,$AB2532/$AB2531-1,$AC2532/$AC2531-1,$AD2532/$AD2531-1,$AE2532/$AE2531-1,$AG2532/$AG2531-1,$AH2532/$AH2531-1,$AI2532/$AI2531-1,$AJ2532/$AJ2531-1,$AL2532/$AL2531-1,$AM2532/$AM2531-1,$AR2532/$AR2531-1,$AS2532/$AS2531-1,$AT2532/$AT2531-1,$AU2532/$AU2531-1,$AV2532/$AV2531-1,$AW2532/$AW2531-1,$AX2532/$AX2531-1,$AY2532/$AY2531-1),"")</f>
        <v/>
      </c>
      <c r="DW2531" s="66">
        <f>AVERAGE($CB2531,$CC2531,$CD2531,$CE2531,$CF2531,$CG2531,$CH2531,$CI2531,$CJ2531,$CL2531,$CM2531,$CN2531,$CO2531,$CP2531,$CQ2531,$CR2531,$CS2531,$CT2531)</f>
        <v/>
      </c>
      <c r="DX2531" s="66">
        <f>AVERAGE($CB2531,$CC2531,$CM2531,$CE2531,$CP2531)</f>
        <v/>
      </c>
      <c r="DY2531" s="64">
        <f>($DW2531-$DW2532)*100</f>
        <v/>
      </c>
      <c r="DZ2531" s="64">
        <f>($DX2531-$DX2532)*100</f>
        <v/>
      </c>
      <c r="EA2531" s="64">
        <f>($DW2531-$D2531)*100</f>
        <v/>
      </c>
      <c r="EB2531" s="64">
        <f>$Q2531-$O2531</f>
        <v/>
      </c>
      <c r="EC2531" s="67">
        <f>IFERROR($Q2531/$P2531,"")</f>
        <v/>
      </c>
    </row>
    <row r="2532">
      <c r="DG2532" s="64">
        <f>($B2532-$B2533)*100</f>
        <v/>
      </c>
      <c r="DH2532" s="64">
        <f>($D2532-$D2533)*100</f>
        <v/>
      </c>
      <c r="DI2532" s="64">
        <f>($E2532-$E2533)*100</f>
        <v/>
      </c>
      <c r="DJ2532" s="64">
        <f>($H2532-$H2533)*100</f>
        <v/>
      </c>
      <c r="DK2532" s="65">
        <f>IFERROR($J2532/$J2533-1,"")</f>
        <v/>
      </c>
      <c r="DL2532" s="64">
        <f>$L2532-$L2533</f>
        <v/>
      </c>
      <c r="DM2532" s="64">
        <f>$K2532-$K2533</f>
        <v/>
      </c>
      <c r="DN2532" s="65">
        <f>IFERROR($N2532/$N2533-1,"")</f>
        <v/>
      </c>
      <c r="DO2532" s="65">
        <f>IFERROR($M2532/$M2533-1,"")</f>
        <v/>
      </c>
      <c r="DP2532" s="65">
        <f>IFERROR($AZ2532/$AZ2533-1,"")</f>
        <v/>
      </c>
      <c r="DQ2532" s="65">
        <f>IFERROR($BA2532/$BA2533-1,"")</f>
        <v/>
      </c>
      <c r="DR2532" s="64">
        <f>$O2532-$O2533</f>
        <v/>
      </c>
      <c r="DS2532" s="64">
        <f>$P2532-$P2533</f>
        <v/>
      </c>
      <c r="DT2532" s="64">
        <f>$Q2532-$Q2533</f>
        <v/>
      </c>
      <c r="DU2532" s="64">
        <f>$S2532-$S2533</f>
        <v/>
      </c>
      <c r="DV2532" s="65">
        <f>IFERROR(AVERAGE($AA2533/$AA2532-1,$AB2533/$AB2532-1,$AC2533/$AC2532-1,$AD2533/$AD2532-1,$AE2533/$AE2532-1,$AG2533/$AG2532-1,$AH2533/$AH2532-1,$AI2533/$AI2532-1,$AJ2533/$AJ2532-1,$AL2533/$AL2532-1,$AM2533/$AM2532-1,$AR2533/$AR2532-1,$AS2533/$AS2532-1,$AT2533/$AT2532-1,$AU2533/$AU2532-1,$AV2533/$AV2532-1,$AW2533/$AW2532-1,$AX2533/$AX2532-1,$AY2533/$AY2532-1),"")</f>
        <v/>
      </c>
      <c r="DW2532" s="66">
        <f>AVERAGE($CB2532,$CC2532,$CD2532,$CE2532,$CF2532,$CG2532,$CH2532,$CI2532,$CJ2532,$CL2532,$CM2532,$CN2532,$CO2532,$CP2532,$CQ2532,$CR2532,$CS2532,$CT2532)</f>
        <v/>
      </c>
      <c r="DX2532" s="66">
        <f>AVERAGE($CB2532,$CC2532,$CM2532,$CE2532,$CP2532)</f>
        <v/>
      </c>
      <c r="DY2532" s="64">
        <f>($DW2532-$DW2533)*100</f>
        <v/>
      </c>
      <c r="DZ2532" s="64">
        <f>($DX2532-$DX2533)*100</f>
        <v/>
      </c>
      <c r="EA2532" s="64">
        <f>($DW2532-$D2532)*100</f>
        <v/>
      </c>
      <c r="EB2532" s="64">
        <f>$Q2532-$O2532</f>
        <v/>
      </c>
      <c r="EC2532" s="67">
        <f>IFERROR($Q2532/$P2532,"")</f>
        <v/>
      </c>
    </row>
    <row r="2533">
      <c r="DG2533" s="64">
        <f>($B2533-$B2534)*100</f>
        <v/>
      </c>
      <c r="DH2533" s="64">
        <f>($D2533-$D2534)*100</f>
        <v/>
      </c>
      <c r="DI2533" s="64">
        <f>($E2533-$E2534)*100</f>
        <v/>
      </c>
      <c r="DJ2533" s="64">
        <f>($H2533-$H2534)*100</f>
        <v/>
      </c>
      <c r="DK2533" s="65">
        <f>IFERROR($J2533/$J2534-1,"")</f>
        <v/>
      </c>
      <c r="DL2533" s="64">
        <f>$L2533-$L2534</f>
        <v/>
      </c>
      <c r="DM2533" s="64">
        <f>$K2533-$K2534</f>
        <v/>
      </c>
      <c r="DN2533" s="65">
        <f>IFERROR($N2533/$N2534-1,"")</f>
        <v/>
      </c>
      <c r="DO2533" s="65">
        <f>IFERROR($M2533/$M2534-1,"")</f>
        <v/>
      </c>
      <c r="DP2533" s="65">
        <f>IFERROR($AZ2533/$AZ2534-1,"")</f>
        <v/>
      </c>
      <c r="DQ2533" s="65">
        <f>IFERROR($BA2533/$BA2534-1,"")</f>
        <v/>
      </c>
      <c r="DR2533" s="64">
        <f>$O2533-$O2534</f>
        <v/>
      </c>
      <c r="DS2533" s="64">
        <f>$P2533-$P2534</f>
        <v/>
      </c>
      <c r="DT2533" s="64">
        <f>$Q2533-$Q2534</f>
        <v/>
      </c>
      <c r="DU2533" s="64">
        <f>$S2533-$S2534</f>
        <v/>
      </c>
      <c r="DV2533" s="65">
        <f>IFERROR(AVERAGE($AA2534/$AA2533-1,$AB2534/$AB2533-1,$AC2534/$AC2533-1,$AD2534/$AD2533-1,$AE2534/$AE2533-1,$AG2534/$AG2533-1,$AH2534/$AH2533-1,$AI2534/$AI2533-1,$AJ2534/$AJ2533-1,$AL2534/$AL2533-1,$AM2534/$AM2533-1,$AR2534/$AR2533-1,$AS2534/$AS2533-1,$AT2534/$AT2533-1,$AU2534/$AU2533-1,$AV2534/$AV2533-1,$AW2534/$AW2533-1,$AX2534/$AX2533-1,$AY2534/$AY2533-1),"")</f>
        <v/>
      </c>
      <c r="DW2533" s="66">
        <f>AVERAGE($CB2533,$CC2533,$CD2533,$CE2533,$CF2533,$CG2533,$CH2533,$CI2533,$CJ2533,$CL2533,$CM2533,$CN2533,$CO2533,$CP2533,$CQ2533,$CR2533,$CS2533,$CT2533)</f>
        <v/>
      </c>
      <c r="DX2533" s="66">
        <f>AVERAGE($CB2533,$CC2533,$CM2533,$CE2533,$CP2533)</f>
        <v/>
      </c>
      <c r="DY2533" s="64">
        <f>($DW2533-$DW2534)*100</f>
        <v/>
      </c>
      <c r="DZ2533" s="64">
        <f>($DX2533-$DX2534)*100</f>
        <v/>
      </c>
      <c r="EA2533" s="64">
        <f>($DW2533-$D2533)*100</f>
        <v/>
      </c>
      <c r="EB2533" s="64">
        <f>$Q2533-$O2533</f>
        <v/>
      </c>
      <c r="EC2533" s="67">
        <f>IFERROR($Q2533/$P2533,"")</f>
        <v/>
      </c>
    </row>
    <row r="2534">
      <c r="DG2534" s="64">
        <f>($B2534-$B2535)*100</f>
        <v/>
      </c>
      <c r="DH2534" s="64">
        <f>($D2534-$D2535)*100</f>
        <v/>
      </c>
      <c r="DI2534" s="64">
        <f>($E2534-$E2535)*100</f>
        <v/>
      </c>
      <c r="DJ2534" s="64">
        <f>($H2534-$H2535)*100</f>
        <v/>
      </c>
      <c r="DK2534" s="65">
        <f>IFERROR($J2534/$J2535-1,"")</f>
        <v/>
      </c>
      <c r="DL2534" s="64">
        <f>$L2534-$L2535</f>
        <v/>
      </c>
      <c r="DM2534" s="64">
        <f>$K2534-$K2535</f>
        <v/>
      </c>
      <c r="DN2534" s="65">
        <f>IFERROR($N2534/$N2535-1,"")</f>
        <v/>
      </c>
      <c r="DO2534" s="65">
        <f>IFERROR($M2534/$M2535-1,"")</f>
        <v/>
      </c>
      <c r="DP2534" s="65">
        <f>IFERROR($AZ2534/$AZ2535-1,"")</f>
        <v/>
      </c>
      <c r="DQ2534" s="65">
        <f>IFERROR($BA2534/$BA2535-1,"")</f>
        <v/>
      </c>
      <c r="DR2534" s="64">
        <f>$O2534-$O2535</f>
        <v/>
      </c>
      <c r="DS2534" s="64">
        <f>$P2534-$P2535</f>
        <v/>
      </c>
      <c r="DT2534" s="64">
        <f>$Q2534-$Q2535</f>
        <v/>
      </c>
      <c r="DU2534" s="64">
        <f>$S2534-$S2535</f>
        <v/>
      </c>
      <c r="DV2534" s="65">
        <f>IFERROR(AVERAGE($AA2535/$AA2534-1,$AB2535/$AB2534-1,$AC2535/$AC2534-1,$AD2535/$AD2534-1,$AE2535/$AE2534-1,$AG2535/$AG2534-1,$AH2535/$AH2534-1,$AI2535/$AI2534-1,$AJ2535/$AJ2534-1,$AL2535/$AL2534-1,$AM2535/$AM2534-1,$AR2535/$AR2534-1,$AS2535/$AS2534-1,$AT2535/$AT2534-1,$AU2535/$AU2534-1,$AV2535/$AV2534-1,$AW2535/$AW2534-1,$AX2535/$AX2534-1,$AY2535/$AY2534-1),"")</f>
        <v/>
      </c>
      <c r="DW2534" s="66">
        <f>AVERAGE($CB2534,$CC2534,$CD2534,$CE2534,$CF2534,$CG2534,$CH2534,$CI2534,$CJ2534,$CL2534,$CM2534,$CN2534,$CO2534,$CP2534,$CQ2534,$CR2534,$CS2534,$CT2534)</f>
        <v/>
      </c>
      <c r="DX2534" s="66">
        <f>AVERAGE($CB2534,$CC2534,$CM2534,$CE2534,$CP2534)</f>
        <v/>
      </c>
      <c r="DY2534" s="64">
        <f>($DW2534-$DW2535)*100</f>
        <v/>
      </c>
      <c r="DZ2534" s="64">
        <f>($DX2534-$DX2535)*100</f>
        <v/>
      </c>
      <c r="EA2534" s="64">
        <f>($DW2534-$D2534)*100</f>
        <v/>
      </c>
      <c r="EB2534" s="64">
        <f>$Q2534-$O2534</f>
        <v/>
      </c>
      <c r="EC2534" s="67">
        <f>IFERROR($Q2534/$P2534,"")</f>
        <v/>
      </c>
    </row>
    <row r="2535">
      <c r="DG2535" s="64">
        <f>($B2535-$B2536)*100</f>
        <v/>
      </c>
      <c r="DH2535" s="64">
        <f>($D2535-$D2536)*100</f>
        <v/>
      </c>
      <c r="DI2535" s="64">
        <f>($E2535-$E2536)*100</f>
        <v/>
      </c>
      <c r="DJ2535" s="64">
        <f>($H2535-$H2536)*100</f>
        <v/>
      </c>
      <c r="DK2535" s="65">
        <f>IFERROR($J2535/$J2536-1,"")</f>
        <v/>
      </c>
      <c r="DL2535" s="64">
        <f>$L2535-$L2536</f>
        <v/>
      </c>
      <c r="DM2535" s="64">
        <f>$K2535-$K2536</f>
        <v/>
      </c>
      <c r="DN2535" s="65">
        <f>IFERROR($N2535/$N2536-1,"")</f>
        <v/>
      </c>
      <c r="DO2535" s="65">
        <f>IFERROR($M2535/$M2536-1,"")</f>
        <v/>
      </c>
      <c r="DP2535" s="65">
        <f>IFERROR($AZ2535/$AZ2536-1,"")</f>
        <v/>
      </c>
      <c r="DQ2535" s="65">
        <f>IFERROR($BA2535/$BA2536-1,"")</f>
        <v/>
      </c>
      <c r="DR2535" s="64">
        <f>$O2535-$O2536</f>
        <v/>
      </c>
      <c r="DS2535" s="64">
        <f>$P2535-$P2536</f>
        <v/>
      </c>
      <c r="DT2535" s="64">
        <f>$Q2535-$Q2536</f>
        <v/>
      </c>
      <c r="DU2535" s="64">
        <f>$S2535-$S2536</f>
        <v/>
      </c>
      <c r="DV2535" s="65">
        <f>IFERROR(AVERAGE($AA2536/$AA2535-1,$AB2536/$AB2535-1,$AC2536/$AC2535-1,$AD2536/$AD2535-1,$AE2536/$AE2535-1,$AG2536/$AG2535-1,$AH2536/$AH2535-1,$AI2536/$AI2535-1,$AJ2536/$AJ2535-1,$AL2536/$AL2535-1,$AM2536/$AM2535-1,$AR2536/$AR2535-1,$AS2536/$AS2535-1,$AT2536/$AT2535-1,$AU2536/$AU2535-1,$AV2536/$AV2535-1,$AW2536/$AW2535-1,$AX2536/$AX2535-1,$AY2536/$AY2535-1),"")</f>
        <v/>
      </c>
      <c r="DW2535" s="66">
        <f>AVERAGE($CB2535,$CC2535,$CD2535,$CE2535,$CF2535,$CG2535,$CH2535,$CI2535,$CJ2535,$CL2535,$CM2535,$CN2535,$CO2535,$CP2535,$CQ2535,$CR2535,$CS2535,$CT2535)</f>
        <v/>
      </c>
      <c r="DX2535" s="66">
        <f>AVERAGE($CB2535,$CC2535,$CM2535,$CE2535,$CP2535)</f>
        <v/>
      </c>
      <c r="DY2535" s="64">
        <f>($DW2535-$DW2536)*100</f>
        <v/>
      </c>
      <c r="DZ2535" s="64">
        <f>($DX2535-$DX2536)*100</f>
        <v/>
      </c>
      <c r="EA2535" s="64">
        <f>($DW2535-$D2535)*100</f>
        <v/>
      </c>
      <c r="EB2535" s="64">
        <f>$Q2535-$O2535</f>
        <v/>
      </c>
      <c r="EC2535" s="67">
        <f>IFERROR($Q2535/$P2535,"")</f>
        <v/>
      </c>
    </row>
    <row r="2536">
      <c r="DG2536" s="64">
        <f>($B2536-$B2537)*100</f>
        <v/>
      </c>
      <c r="DH2536" s="64">
        <f>($D2536-$D2537)*100</f>
        <v/>
      </c>
      <c r="DI2536" s="64">
        <f>($E2536-$E2537)*100</f>
        <v/>
      </c>
      <c r="DJ2536" s="64">
        <f>($H2536-$H2537)*100</f>
        <v/>
      </c>
      <c r="DK2536" s="65">
        <f>IFERROR($J2536/$J2537-1,"")</f>
        <v/>
      </c>
      <c r="DL2536" s="64">
        <f>$L2536-$L2537</f>
        <v/>
      </c>
      <c r="DM2536" s="64">
        <f>$K2536-$K2537</f>
        <v/>
      </c>
      <c r="DN2536" s="65">
        <f>IFERROR($N2536/$N2537-1,"")</f>
        <v/>
      </c>
      <c r="DO2536" s="65">
        <f>IFERROR($M2536/$M2537-1,"")</f>
        <v/>
      </c>
      <c r="DP2536" s="65">
        <f>IFERROR($AZ2536/$AZ2537-1,"")</f>
        <v/>
      </c>
      <c r="DQ2536" s="65">
        <f>IFERROR($BA2536/$BA2537-1,"")</f>
        <v/>
      </c>
      <c r="DR2536" s="64">
        <f>$O2536-$O2537</f>
        <v/>
      </c>
      <c r="DS2536" s="64">
        <f>$P2536-$P2537</f>
        <v/>
      </c>
      <c r="DT2536" s="64">
        <f>$Q2536-$Q2537</f>
        <v/>
      </c>
      <c r="DU2536" s="64">
        <f>$S2536-$S2537</f>
        <v/>
      </c>
      <c r="DV2536" s="65">
        <f>IFERROR(AVERAGE($AA2537/$AA2536-1,$AB2537/$AB2536-1,$AC2537/$AC2536-1,$AD2537/$AD2536-1,$AE2537/$AE2536-1,$AG2537/$AG2536-1,$AH2537/$AH2536-1,$AI2537/$AI2536-1,$AJ2537/$AJ2536-1,$AL2537/$AL2536-1,$AM2537/$AM2536-1,$AR2537/$AR2536-1,$AS2537/$AS2536-1,$AT2537/$AT2536-1,$AU2537/$AU2536-1,$AV2537/$AV2536-1,$AW2537/$AW2536-1,$AX2537/$AX2536-1,$AY2537/$AY2536-1),"")</f>
        <v/>
      </c>
      <c r="DW2536" s="66">
        <f>AVERAGE($CB2536,$CC2536,$CD2536,$CE2536,$CF2536,$CG2536,$CH2536,$CI2536,$CJ2536,$CL2536,$CM2536,$CN2536,$CO2536,$CP2536,$CQ2536,$CR2536,$CS2536,$CT2536)</f>
        <v/>
      </c>
      <c r="DX2536" s="66">
        <f>AVERAGE($CB2536,$CC2536,$CM2536,$CE2536,$CP2536)</f>
        <v/>
      </c>
      <c r="DY2536" s="64">
        <f>($DW2536-$DW2537)*100</f>
        <v/>
      </c>
      <c r="DZ2536" s="64">
        <f>($DX2536-$DX2537)*100</f>
        <v/>
      </c>
      <c r="EA2536" s="64">
        <f>($DW2536-$D2536)*100</f>
        <v/>
      </c>
      <c r="EB2536" s="64">
        <f>$Q2536-$O2536</f>
        <v/>
      </c>
      <c r="EC2536" s="67">
        <f>IFERROR($Q2536/$P2536,"")</f>
        <v/>
      </c>
    </row>
    <row r="2537">
      <c r="DG2537" s="64">
        <f>($B2537-$B2538)*100</f>
        <v/>
      </c>
      <c r="DH2537" s="64">
        <f>($D2537-$D2538)*100</f>
        <v/>
      </c>
      <c r="DI2537" s="64">
        <f>($E2537-$E2538)*100</f>
        <v/>
      </c>
      <c r="DJ2537" s="64">
        <f>($H2537-$H2538)*100</f>
        <v/>
      </c>
      <c r="DK2537" s="65">
        <f>IFERROR($J2537/$J2538-1,"")</f>
        <v/>
      </c>
      <c r="DL2537" s="64">
        <f>$L2537-$L2538</f>
        <v/>
      </c>
      <c r="DM2537" s="64">
        <f>$K2537-$K2538</f>
        <v/>
      </c>
      <c r="DN2537" s="65">
        <f>IFERROR($N2537/$N2538-1,"")</f>
        <v/>
      </c>
      <c r="DO2537" s="65">
        <f>IFERROR($M2537/$M2538-1,"")</f>
        <v/>
      </c>
      <c r="DP2537" s="65">
        <f>IFERROR($AZ2537/$AZ2538-1,"")</f>
        <v/>
      </c>
      <c r="DQ2537" s="65">
        <f>IFERROR($BA2537/$BA2538-1,"")</f>
        <v/>
      </c>
      <c r="DR2537" s="64">
        <f>$O2537-$O2538</f>
        <v/>
      </c>
      <c r="DS2537" s="64">
        <f>$P2537-$P2538</f>
        <v/>
      </c>
      <c r="DT2537" s="64">
        <f>$Q2537-$Q2538</f>
        <v/>
      </c>
      <c r="DU2537" s="64">
        <f>$S2537-$S2538</f>
        <v/>
      </c>
      <c r="DV2537" s="65">
        <f>IFERROR(AVERAGE($AA2538/$AA2537-1,$AB2538/$AB2537-1,$AC2538/$AC2537-1,$AD2538/$AD2537-1,$AE2538/$AE2537-1,$AG2538/$AG2537-1,$AH2538/$AH2537-1,$AI2538/$AI2537-1,$AJ2538/$AJ2537-1,$AL2538/$AL2537-1,$AM2538/$AM2537-1,$AR2538/$AR2537-1,$AS2538/$AS2537-1,$AT2538/$AT2537-1,$AU2538/$AU2537-1,$AV2538/$AV2537-1,$AW2538/$AW2537-1,$AX2538/$AX2537-1,$AY2538/$AY2537-1),"")</f>
        <v/>
      </c>
      <c r="DW2537" s="66">
        <f>AVERAGE($CB2537,$CC2537,$CD2537,$CE2537,$CF2537,$CG2537,$CH2537,$CI2537,$CJ2537,$CL2537,$CM2537,$CN2537,$CO2537,$CP2537,$CQ2537,$CR2537,$CS2537,$CT2537)</f>
        <v/>
      </c>
      <c r="DX2537" s="66">
        <f>AVERAGE($CB2537,$CC2537,$CM2537,$CE2537,$CP2537)</f>
        <v/>
      </c>
      <c r="DY2537" s="64">
        <f>($DW2537-$DW2538)*100</f>
        <v/>
      </c>
      <c r="DZ2537" s="64">
        <f>($DX2537-$DX2538)*100</f>
        <v/>
      </c>
      <c r="EA2537" s="64">
        <f>($DW2537-$D2537)*100</f>
        <v/>
      </c>
      <c r="EB2537" s="64">
        <f>$Q2537-$O2537</f>
        <v/>
      </c>
      <c r="EC2537" s="67">
        <f>IFERROR($Q2537/$P2537,"")</f>
        <v/>
      </c>
    </row>
    <row r="2538">
      <c r="DG2538" s="64">
        <f>($B2538-$B2539)*100</f>
        <v/>
      </c>
      <c r="DH2538" s="64">
        <f>($D2538-$D2539)*100</f>
        <v/>
      </c>
      <c r="DI2538" s="64">
        <f>($E2538-$E2539)*100</f>
        <v/>
      </c>
      <c r="DJ2538" s="64">
        <f>($H2538-$H2539)*100</f>
        <v/>
      </c>
      <c r="DK2538" s="65">
        <f>IFERROR($J2538/$J2539-1,"")</f>
        <v/>
      </c>
      <c r="DL2538" s="64">
        <f>$L2538-$L2539</f>
        <v/>
      </c>
      <c r="DM2538" s="64">
        <f>$K2538-$K2539</f>
        <v/>
      </c>
      <c r="DN2538" s="65">
        <f>IFERROR($N2538/$N2539-1,"")</f>
        <v/>
      </c>
      <c r="DO2538" s="65">
        <f>IFERROR($M2538/$M2539-1,"")</f>
        <v/>
      </c>
      <c r="DP2538" s="65">
        <f>IFERROR($AZ2538/$AZ2539-1,"")</f>
        <v/>
      </c>
      <c r="DQ2538" s="65">
        <f>IFERROR($BA2538/$BA2539-1,"")</f>
        <v/>
      </c>
      <c r="DR2538" s="64">
        <f>$O2538-$O2539</f>
        <v/>
      </c>
      <c r="DS2538" s="64">
        <f>$P2538-$P2539</f>
        <v/>
      </c>
      <c r="DT2538" s="64">
        <f>$Q2538-$Q2539</f>
        <v/>
      </c>
      <c r="DU2538" s="64">
        <f>$S2538-$S2539</f>
        <v/>
      </c>
      <c r="DV2538" s="65">
        <f>IFERROR(AVERAGE($AA2539/$AA2538-1,$AB2539/$AB2538-1,$AC2539/$AC2538-1,$AD2539/$AD2538-1,$AE2539/$AE2538-1,$AG2539/$AG2538-1,$AH2539/$AH2538-1,$AI2539/$AI2538-1,$AJ2539/$AJ2538-1,$AL2539/$AL2538-1,$AM2539/$AM2538-1,$AR2539/$AR2538-1,$AS2539/$AS2538-1,$AT2539/$AT2538-1,$AU2539/$AU2538-1,$AV2539/$AV2538-1,$AW2539/$AW2538-1,$AX2539/$AX2538-1,$AY2539/$AY2538-1),"")</f>
        <v/>
      </c>
      <c r="DW2538" s="66">
        <f>AVERAGE($CB2538,$CC2538,$CD2538,$CE2538,$CF2538,$CG2538,$CH2538,$CI2538,$CJ2538,$CL2538,$CM2538,$CN2538,$CO2538,$CP2538,$CQ2538,$CR2538,$CS2538,$CT2538)</f>
        <v/>
      </c>
      <c r="DX2538" s="66">
        <f>AVERAGE($CB2538,$CC2538,$CM2538,$CE2538,$CP2538)</f>
        <v/>
      </c>
      <c r="DY2538" s="64">
        <f>($DW2538-$DW2539)*100</f>
        <v/>
      </c>
      <c r="DZ2538" s="64">
        <f>($DX2538-$DX2539)*100</f>
        <v/>
      </c>
      <c r="EA2538" s="64">
        <f>($DW2538-$D2538)*100</f>
        <v/>
      </c>
      <c r="EB2538" s="64">
        <f>$Q2538-$O2538</f>
        <v/>
      </c>
      <c r="EC2538" s="67">
        <f>IFERROR($Q2538/$P2538,"")</f>
        <v/>
      </c>
    </row>
    <row r="2539">
      <c r="DG2539" s="64">
        <f>($B2539-$B2540)*100</f>
        <v/>
      </c>
      <c r="DH2539" s="64">
        <f>($D2539-$D2540)*100</f>
        <v/>
      </c>
      <c r="DI2539" s="64">
        <f>($E2539-$E2540)*100</f>
        <v/>
      </c>
      <c r="DJ2539" s="64">
        <f>($H2539-$H2540)*100</f>
        <v/>
      </c>
      <c r="DK2539" s="65">
        <f>IFERROR($J2539/$J2540-1,"")</f>
        <v/>
      </c>
      <c r="DL2539" s="64">
        <f>$L2539-$L2540</f>
        <v/>
      </c>
      <c r="DM2539" s="64">
        <f>$K2539-$K2540</f>
        <v/>
      </c>
      <c r="DN2539" s="65">
        <f>IFERROR($N2539/$N2540-1,"")</f>
        <v/>
      </c>
      <c r="DO2539" s="65">
        <f>IFERROR($M2539/$M2540-1,"")</f>
        <v/>
      </c>
      <c r="DP2539" s="65">
        <f>IFERROR($AZ2539/$AZ2540-1,"")</f>
        <v/>
      </c>
      <c r="DQ2539" s="65">
        <f>IFERROR($BA2539/$BA2540-1,"")</f>
        <v/>
      </c>
      <c r="DR2539" s="64">
        <f>$O2539-$O2540</f>
        <v/>
      </c>
      <c r="DS2539" s="64">
        <f>$P2539-$P2540</f>
        <v/>
      </c>
      <c r="DT2539" s="64">
        <f>$Q2539-$Q2540</f>
        <v/>
      </c>
      <c r="DU2539" s="64">
        <f>$S2539-$S2540</f>
        <v/>
      </c>
      <c r="DV2539" s="65">
        <f>IFERROR(AVERAGE($AA2540/$AA2539-1,$AB2540/$AB2539-1,$AC2540/$AC2539-1,$AD2540/$AD2539-1,$AE2540/$AE2539-1,$AG2540/$AG2539-1,$AH2540/$AH2539-1,$AI2540/$AI2539-1,$AJ2540/$AJ2539-1,$AL2540/$AL2539-1,$AM2540/$AM2539-1,$AR2540/$AR2539-1,$AS2540/$AS2539-1,$AT2540/$AT2539-1,$AU2540/$AU2539-1,$AV2540/$AV2539-1,$AW2540/$AW2539-1,$AX2540/$AX2539-1,$AY2540/$AY2539-1),"")</f>
        <v/>
      </c>
      <c r="DW2539" s="66">
        <f>AVERAGE($CB2539,$CC2539,$CD2539,$CE2539,$CF2539,$CG2539,$CH2539,$CI2539,$CJ2539,$CL2539,$CM2539,$CN2539,$CO2539,$CP2539,$CQ2539,$CR2539,$CS2539,$CT2539)</f>
        <v/>
      </c>
      <c r="DX2539" s="66">
        <f>AVERAGE($CB2539,$CC2539,$CM2539,$CE2539,$CP2539)</f>
        <v/>
      </c>
      <c r="DY2539" s="64">
        <f>($DW2539-$DW2540)*100</f>
        <v/>
      </c>
      <c r="DZ2539" s="64">
        <f>($DX2539-$DX2540)*100</f>
        <v/>
      </c>
      <c r="EA2539" s="64">
        <f>($DW2539-$D2539)*100</f>
        <v/>
      </c>
      <c r="EB2539" s="64">
        <f>$Q2539-$O2539</f>
        <v/>
      </c>
      <c r="EC2539" s="67">
        <f>IFERROR($Q2539/$P2539,"")</f>
        <v/>
      </c>
    </row>
    <row r="2540">
      <c r="DG2540" s="64">
        <f>($B2540-$B2541)*100</f>
        <v/>
      </c>
      <c r="DH2540" s="64">
        <f>($D2540-$D2541)*100</f>
        <v/>
      </c>
      <c r="DI2540" s="64">
        <f>($E2540-$E2541)*100</f>
        <v/>
      </c>
      <c r="DJ2540" s="64">
        <f>($H2540-$H2541)*100</f>
        <v/>
      </c>
      <c r="DK2540" s="65">
        <f>IFERROR($J2540/$J2541-1,"")</f>
        <v/>
      </c>
      <c r="DL2540" s="64">
        <f>$L2540-$L2541</f>
        <v/>
      </c>
      <c r="DM2540" s="64">
        <f>$K2540-$K2541</f>
        <v/>
      </c>
      <c r="DN2540" s="65">
        <f>IFERROR($N2540/$N2541-1,"")</f>
        <v/>
      </c>
      <c r="DO2540" s="65">
        <f>IFERROR($M2540/$M2541-1,"")</f>
        <v/>
      </c>
      <c r="DP2540" s="65">
        <f>IFERROR($AZ2540/$AZ2541-1,"")</f>
        <v/>
      </c>
      <c r="DQ2540" s="65">
        <f>IFERROR($BA2540/$BA2541-1,"")</f>
        <v/>
      </c>
      <c r="DR2540" s="64">
        <f>$O2540-$O2541</f>
        <v/>
      </c>
      <c r="DS2540" s="64">
        <f>$P2540-$P2541</f>
        <v/>
      </c>
      <c r="DT2540" s="64">
        <f>$Q2540-$Q2541</f>
        <v/>
      </c>
      <c r="DU2540" s="64">
        <f>$S2540-$S2541</f>
        <v/>
      </c>
      <c r="DV2540" s="65">
        <f>IFERROR(AVERAGE($AA2541/$AA2540-1,$AB2541/$AB2540-1,$AC2541/$AC2540-1,$AD2541/$AD2540-1,$AE2541/$AE2540-1,$AG2541/$AG2540-1,$AH2541/$AH2540-1,$AI2541/$AI2540-1,$AJ2541/$AJ2540-1,$AL2541/$AL2540-1,$AM2541/$AM2540-1,$AR2541/$AR2540-1,$AS2541/$AS2540-1,$AT2541/$AT2540-1,$AU2541/$AU2540-1,$AV2541/$AV2540-1,$AW2541/$AW2540-1,$AX2541/$AX2540-1,$AY2541/$AY2540-1),"")</f>
        <v/>
      </c>
      <c r="DW2540" s="66">
        <f>AVERAGE($CB2540,$CC2540,$CD2540,$CE2540,$CF2540,$CG2540,$CH2540,$CI2540,$CJ2540,$CL2540,$CM2540,$CN2540,$CO2540,$CP2540,$CQ2540,$CR2540,$CS2540,$CT2540)</f>
        <v/>
      </c>
      <c r="DX2540" s="66">
        <f>AVERAGE($CB2540,$CC2540,$CM2540,$CE2540,$CP2540)</f>
        <v/>
      </c>
      <c r="DY2540" s="64">
        <f>($DW2540-$DW2541)*100</f>
        <v/>
      </c>
      <c r="DZ2540" s="64">
        <f>($DX2540-$DX2541)*100</f>
        <v/>
      </c>
      <c r="EA2540" s="64">
        <f>($DW2540-$D2540)*100</f>
        <v/>
      </c>
      <c r="EB2540" s="64">
        <f>$Q2540-$O2540</f>
        <v/>
      </c>
      <c r="EC2540" s="67">
        <f>IFERROR($Q2540/$P2540,"")</f>
        <v/>
      </c>
    </row>
    <row r="2541">
      <c r="DG2541" s="64">
        <f>($B2541-$B2542)*100</f>
        <v/>
      </c>
      <c r="DH2541" s="64">
        <f>($D2541-$D2542)*100</f>
        <v/>
      </c>
      <c r="DI2541" s="64">
        <f>($E2541-$E2542)*100</f>
        <v/>
      </c>
      <c r="DJ2541" s="64">
        <f>($H2541-$H2542)*100</f>
        <v/>
      </c>
      <c r="DK2541" s="65">
        <f>IFERROR($J2541/$J2542-1,"")</f>
        <v/>
      </c>
      <c r="DL2541" s="64">
        <f>$L2541-$L2542</f>
        <v/>
      </c>
      <c r="DM2541" s="64">
        <f>$K2541-$K2542</f>
        <v/>
      </c>
      <c r="DN2541" s="65">
        <f>IFERROR($N2541/$N2542-1,"")</f>
        <v/>
      </c>
      <c r="DO2541" s="65">
        <f>IFERROR($M2541/$M2542-1,"")</f>
        <v/>
      </c>
      <c r="DP2541" s="65">
        <f>IFERROR($AZ2541/$AZ2542-1,"")</f>
        <v/>
      </c>
      <c r="DQ2541" s="65">
        <f>IFERROR($BA2541/$BA2542-1,"")</f>
        <v/>
      </c>
      <c r="DR2541" s="64">
        <f>$O2541-$O2542</f>
        <v/>
      </c>
      <c r="DS2541" s="64">
        <f>$P2541-$P2542</f>
        <v/>
      </c>
      <c r="DT2541" s="64">
        <f>$Q2541-$Q2542</f>
        <v/>
      </c>
      <c r="DU2541" s="64">
        <f>$S2541-$S2542</f>
        <v/>
      </c>
      <c r="DV2541" s="65">
        <f>IFERROR(AVERAGE($AA2542/$AA2541-1,$AB2542/$AB2541-1,$AC2542/$AC2541-1,$AD2542/$AD2541-1,$AE2542/$AE2541-1,$AG2542/$AG2541-1,$AH2542/$AH2541-1,$AI2542/$AI2541-1,$AJ2542/$AJ2541-1,$AL2542/$AL2541-1,$AM2542/$AM2541-1,$AR2542/$AR2541-1,$AS2542/$AS2541-1,$AT2542/$AT2541-1,$AU2542/$AU2541-1,$AV2542/$AV2541-1,$AW2542/$AW2541-1,$AX2542/$AX2541-1,$AY2542/$AY2541-1),"")</f>
        <v/>
      </c>
      <c r="DW2541" s="66">
        <f>AVERAGE($CB2541,$CC2541,$CD2541,$CE2541,$CF2541,$CG2541,$CH2541,$CI2541,$CJ2541,$CL2541,$CM2541,$CN2541,$CO2541,$CP2541,$CQ2541,$CR2541,$CS2541,$CT2541)</f>
        <v/>
      </c>
      <c r="DX2541" s="66">
        <f>AVERAGE($CB2541,$CC2541,$CM2541,$CE2541,$CP2541)</f>
        <v/>
      </c>
      <c r="DY2541" s="64">
        <f>($DW2541-$DW2542)*100</f>
        <v/>
      </c>
      <c r="DZ2541" s="64">
        <f>($DX2541-$DX2542)*100</f>
        <v/>
      </c>
      <c r="EA2541" s="64">
        <f>($DW2541-$D2541)*100</f>
        <v/>
      </c>
      <c r="EB2541" s="64">
        <f>$Q2541-$O2541</f>
        <v/>
      </c>
      <c r="EC2541" s="67">
        <f>IFERROR($Q2541/$P2541,"")</f>
        <v/>
      </c>
    </row>
    <row r="2542">
      <c r="DG2542" s="64">
        <f>($B2542-$B2543)*100</f>
        <v/>
      </c>
      <c r="DH2542" s="64">
        <f>($D2542-$D2543)*100</f>
        <v/>
      </c>
      <c r="DI2542" s="64">
        <f>($E2542-$E2543)*100</f>
        <v/>
      </c>
      <c r="DJ2542" s="64">
        <f>($H2542-$H2543)*100</f>
        <v/>
      </c>
      <c r="DK2542" s="65">
        <f>IFERROR($J2542/$J2543-1,"")</f>
        <v/>
      </c>
      <c r="DL2542" s="64">
        <f>$L2542-$L2543</f>
        <v/>
      </c>
      <c r="DM2542" s="64">
        <f>$K2542-$K2543</f>
        <v/>
      </c>
      <c r="DN2542" s="65">
        <f>IFERROR($N2542/$N2543-1,"")</f>
        <v/>
      </c>
      <c r="DO2542" s="65">
        <f>IFERROR($M2542/$M2543-1,"")</f>
        <v/>
      </c>
      <c r="DP2542" s="65">
        <f>IFERROR($AZ2542/$AZ2543-1,"")</f>
        <v/>
      </c>
      <c r="DQ2542" s="65">
        <f>IFERROR($BA2542/$BA2543-1,"")</f>
        <v/>
      </c>
      <c r="DR2542" s="64">
        <f>$O2542-$O2543</f>
        <v/>
      </c>
      <c r="DS2542" s="64">
        <f>$P2542-$P2543</f>
        <v/>
      </c>
      <c r="DT2542" s="64">
        <f>$Q2542-$Q2543</f>
        <v/>
      </c>
      <c r="DU2542" s="64">
        <f>$S2542-$S2543</f>
        <v/>
      </c>
      <c r="DV2542" s="65">
        <f>IFERROR(AVERAGE($AA2543/$AA2542-1,$AB2543/$AB2542-1,$AC2543/$AC2542-1,$AD2543/$AD2542-1,$AE2543/$AE2542-1,$AG2543/$AG2542-1,$AH2543/$AH2542-1,$AI2543/$AI2542-1,$AJ2543/$AJ2542-1,$AL2543/$AL2542-1,$AM2543/$AM2542-1,$AR2543/$AR2542-1,$AS2543/$AS2542-1,$AT2543/$AT2542-1,$AU2543/$AU2542-1,$AV2543/$AV2542-1,$AW2543/$AW2542-1,$AX2543/$AX2542-1,$AY2543/$AY2542-1),"")</f>
        <v/>
      </c>
      <c r="DW2542" s="66">
        <f>AVERAGE($CB2542,$CC2542,$CD2542,$CE2542,$CF2542,$CG2542,$CH2542,$CI2542,$CJ2542,$CL2542,$CM2542,$CN2542,$CO2542,$CP2542,$CQ2542,$CR2542,$CS2542,$CT2542)</f>
        <v/>
      </c>
      <c r="DX2542" s="66">
        <f>AVERAGE($CB2542,$CC2542,$CM2542,$CE2542,$CP2542)</f>
        <v/>
      </c>
      <c r="DY2542" s="64">
        <f>($DW2542-$DW2543)*100</f>
        <v/>
      </c>
      <c r="DZ2542" s="64">
        <f>($DX2542-$DX2543)*100</f>
        <v/>
      </c>
      <c r="EA2542" s="64">
        <f>($DW2542-$D2542)*100</f>
        <v/>
      </c>
      <c r="EB2542" s="64">
        <f>$Q2542-$O2542</f>
        <v/>
      </c>
      <c r="EC2542" s="67">
        <f>IFERROR($Q2542/$P2542,"")</f>
        <v/>
      </c>
    </row>
    <row r="2543">
      <c r="DG2543" s="64">
        <f>($B2543-$B2544)*100</f>
        <v/>
      </c>
      <c r="DH2543" s="64">
        <f>($D2543-$D2544)*100</f>
        <v/>
      </c>
      <c r="DI2543" s="64">
        <f>($E2543-$E2544)*100</f>
        <v/>
      </c>
      <c r="DJ2543" s="64">
        <f>($H2543-$H2544)*100</f>
        <v/>
      </c>
      <c r="DK2543" s="65">
        <f>IFERROR($J2543/$J2544-1,"")</f>
        <v/>
      </c>
      <c r="DL2543" s="64">
        <f>$L2543-$L2544</f>
        <v/>
      </c>
      <c r="DM2543" s="64">
        <f>$K2543-$K2544</f>
        <v/>
      </c>
      <c r="DN2543" s="65">
        <f>IFERROR($N2543/$N2544-1,"")</f>
        <v/>
      </c>
      <c r="DO2543" s="65">
        <f>IFERROR($M2543/$M2544-1,"")</f>
        <v/>
      </c>
      <c r="DP2543" s="65">
        <f>IFERROR($AZ2543/$AZ2544-1,"")</f>
        <v/>
      </c>
      <c r="DQ2543" s="65">
        <f>IFERROR($BA2543/$BA2544-1,"")</f>
        <v/>
      </c>
      <c r="DR2543" s="64">
        <f>$O2543-$O2544</f>
        <v/>
      </c>
      <c r="DS2543" s="64">
        <f>$P2543-$P2544</f>
        <v/>
      </c>
      <c r="DT2543" s="64">
        <f>$Q2543-$Q2544</f>
        <v/>
      </c>
      <c r="DU2543" s="64">
        <f>$S2543-$S2544</f>
        <v/>
      </c>
      <c r="DV2543" s="65">
        <f>IFERROR(AVERAGE($AA2544/$AA2543-1,$AB2544/$AB2543-1,$AC2544/$AC2543-1,$AD2544/$AD2543-1,$AE2544/$AE2543-1,$AG2544/$AG2543-1,$AH2544/$AH2543-1,$AI2544/$AI2543-1,$AJ2544/$AJ2543-1,$AL2544/$AL2543-1,$AM2544/$AM2543-1,$AR2544/$AR2543-1,$AS2544/$AS2543-1,$AT2544/$AT2543-1,$AU2544/$AU2543-1,$AV2544/$AV2543-1,$AW2544/$AW2543-1,$AX2544/$AX2543-1,$AY2544/$AY2543-1),"")</f>
        <v/>
      </c>
      <c r="DW2543" s="66">
        <f>AVERAGE($CB2543,$CC2543,$CD2543,$CE2543,$CF2543,$CG2543,$CH2543,$CI2543,$CJ2543,$CL2543,$CM2543,$CN2543,$CO2543,$CP2543,$CQ2543,$CR2543,$CS2543,$CT2543)</f>
        <v/>
      </c>
      <c r="DX2543" s="66">
        <f>AVERAGE($CB2543,$CC2543,$CM2543,$CE2543,$CP2543)</f>
        <v/>
      </c>
      <c r="DY2543" s="64">
        <f>($DW2543-$DW2544)*100</f>
        <v/>
      </c>
      <c r="DZ2543" s="64">
        <f>($DX2543-$DX2544)*100</f>
        <v/>
      </c>
      <c r="EA2543" s="64">
        <f>($DW2543-$D2543)*100</f>
        <v/>
      </c>
      <c r="EB2543" s="64">
        <f>$Q2543-$O2543</f>
        <v/>
      </c>
      <c r="EC2543" s="67">
        <f>IFERROR($Q2543/$P2543,"")</f>
        <v/>
      </c>
    </row>
    <row r="2544">
      <c r="DG2544" s="64">
        <f>($B2544-$B2545)*100</f>
        <v/>
      </c>
      <c r="DH2544" s="64">
        <f>($D2544-$D2545)*100</f>
        <v/>
      </c>
      <c r="DI2544" s="64">
        <f>($E2544-$E2545)*100</f>
        <v/>
      </c>
      <c r="DJ2544" s="64">
        <f>($H2544-$H2545)*100</f>
        <v/>
      </c>
      <c r="DK2544" s="65">
        <f>IFERROR($J2544/$J2545-1,"")</f>
        <v/>
      </c>
      <c r="DL2544" s="64">
        <f>$L2544-$L2545</f>
        <v/>
      </c>
      <c r="DM2544" s="64">
        <f>$K2544-$K2545</f>
        <v/>
      </c>
      <c r="DN2544" s="65">
        <f>IFERROR($N2544/$N2545-1,"")</f>
        <v/>
      </c>
      <c r="DO2544" s="65">
        <f>IFERROR($M2544/$M2545-1,"")</f>
        <v/>
      </c>
      <c r="DP2544" s="65">
        <f>IFERROR($AZ2544/$AZ2545-1,"")</f>
        <v/>
      </c>
      <c r="DQ2544" s="65">
        <f>IFERROR($BA2544/$BA2545-1,"")</f>
        <v/>
      </c>
      <c r="DR2544" s="64">
        <f>$O2544-$O2545</f>
        <v/>
      </c>
      <c r="DS2544" s="64">
        <f>$P2544-$P2545</f>
        <v/>
      </c>
      <c r="DT2544" s="64">
        <f>$Q2544-$Q2545</f>
        <v/>
      </c>
      <c r="DU2544" s="64">
        <f>$S2544-$S2545</f>
        <v/>
      </c>
      <c r="DV2544" s="65">
        <f>IFERROR(AVERAGE($AA2545/$AA2544-1,$AB2545/$AB2544-1,$AC2545/$AC2544-1,$AD2545/$AD2544-1,$AE2545/$AE2544-1,$AG2545/$AG2544-1,$AH2545/$AH2544-1,$AI2545/$AI2544-1,$AJ2545/$AJ2544-1,$AL2545/$AL2544-1,$AM2545/$AM2544-1,$AR2545/$AR2544-1,$AS2545/$AS2544-1,$AT2545/$AT2544-1,$AU2545/$AU2544-1,$AV2545/$AV2544-1,$AW2545/$AW2544-1,$AX2545/$AX2544-1,$AY2545/$AY2544-1),"")</f>
        <v/>
      </c>
      <c r="DW2544" s="66">
        <f>AVERAGE($CB2544,$CC2544,$CD2544,$CE2544,$CF2544,$CG2544,$CH2544,$CI2544,$CJ2544,$CL2544,$CM2544,$CN2544,$CO2544,$CP2544,$CQ2544,$CR2544,$CS2544,$CT2544)</f>
        <v/>
      </c>
      <c r="DX2544" s="66">
        <f>AVERAGE($CB2544,$CC2544,$CM2544,$CE2544,$CP2544)</f>
        <v/>
      </c>
      <c r="DY2544" s="64">
        <f>($DW2544-$DW2545)*100</f>
        <v/>
      </c>
      <c r="DZ2544" s="64">
        <f>($DX2544-$DX2545)*100</f>
        <v/>
      </c>
      <c r="EA2544" s="64">
        <f>($DW2544-$D2544)*100</f>
        <v/>
      </c>
      <c r="EB2544" s="64">
        <f>$Q2544-$O2544</f>
        <v/>
      </c>
      <c r="EC2544" s="67">
        <f>IFERROR($Q2544/$P2544,"")</f>
        <v/>
      </c>
    </row>
    <row r="2545">
      <c r="DG2545" s="64">
        <f>($B2545-$B2546)*100</f>
        <v/>
      </c>
      <c r="DH2545" s="64">
        <f>($D2545-$D2546)*100</f>
        <v/>
      </c>
      <c r="DI2545" s="64">
        <f>($E2545-$E2546)*100</f>
        <v/>
      </c>
      <c r="DJ2545" s="64">
        <f>($H2545-$H2546)*100</f>
        <v/>
      </c>
      <c r="DK2545" s="65">
        <f>IFERROR($J2545/$J2546-1,"")</f>
        <v/>
      </c>
      <c r="DL2545" s="64">
        <f>$L2545-$L2546</f>
        <v/>
      </c>
      <c r="DM2545" s="64">
        <f>$K2545-$K2546</f>
        <v/>
      </c>
      <c r="DN2545" s="65">
        <f>IFERROR($N2545/$N2546-1,"")</f>
        <v/>
      </c>
      <c r="DO2545" s="65">
        <f>IFERROR($M2545/$M2546-1,"")</f>
        <v/>
      </c>
      <c r="DP2545" s="65">
        <f>IFERROR($AZ2545/$AZ2546-1,"")</f>
        <v/>
      </c>
      <c r="DQ2545" s="65">
        <f>IFERROR($BA2545/$BA2546-1,"")</f>
        <v/>
      </c>
      <c r="DR2545" s="64">
        <f>$O2545-$O2546</f>
        <v/>
      </c>
      <c r="DS2545" s="64">
        <f>$P2545-$P2546</f>
        <v/>
      </c>
      <c r="DT2545" s="64">
        <f>$Q2545-$Q2546</f>
        <v/>
      </c>
      <c r="DU2545" s="64">
        <f>$S2545-$S2546</f>
        <v/>
      </c>
      <c r="DV2545" s="65">
        <f>IFERROR(AVERAGE($AA2546/$AA2545-1,$AB2546/$AB2545-1,$AC2546/$AC2545-1,$AD2546/$AD2545-1,$AE2546/$AE2545-1,$AG2546/$AG2545-1,$AH2546/$AH2545-1,$AI2546/$AI2545-1,$AJ2546/$AJ2545-1,$AL2546/$AL2545-1,$AM2546/$AM2545-1,$AR2546/$AR2545-1,$AS2546/$AS2545-1,$AT2546/$AT2545-1,$AU2546/$AU2545-1,$AV2546/$AV2545-1,$AW2546/$AW2545-1,$AX2546/$AX2545-1,$AY2546/$AY2545-1),"")</f>
        <v/>
      </c>
      <c r="DW2545" s="66">
        <f>AVERAGE($CB2545,$CC2545,$CD2545,$CE2545,$CF2545,$CG2545,$CH2545,$CI2545,$CJ2545,$CL2545,$CM2545,$CN2545,$CO2545,$CP2545,$CQ2545,$CR2545,$CS2545,$CT2545)</f>
        <v/>
      </c>
      <c r="DX2545" s="66">
        <f>AVERAGE($CB2545,$CC2545,$CM2545,$CE2545,$CP2545)</f>
        <v/>
      </c>
      <c r="DY2545" s="64">
        <f>($DW2545-$DW2546)*100</f>
        <v/>
      </c>
      <c r="DZ2545" s="64">
        <f>($DX2545-$DX2546)*100</f>
        <v/>
      </c>
      <c r="EA2545" s="64">
        <f>($DW2545-$D2545)*100</f>
        <v/>
      </c>
      <c r="EB2545" s="64">
        <f>$Q2545-$O2545</f>
        <v/>
      </c>
      <c r="EC2545" s="67">
        <f>IFERROR($Q2545/$P2545,"")</f>
        <v/>
      </c>
    </row>
    <row r="2546">
      <c r="DG2546" s="64">
        <f>($B2546-$B2547)*100</f>
        <v/>
      </c>
      <c r="DH2546" s="64">
        <f>($D2546-$D2547)*100</f>
        <v/>
      </c>
      <c r="DI2546" s="64">
        <f>($E2546-$E2547)*100</f>
        <v/>
      </c>
      <c r="DJ2546" s="64">
        <f>($H2546-$H2547)*100</f>
        <v/>
      </c>
      <c r="DK2546" s="65">
        <f>IFERROR($J2546/$J2547-1,"")</f>
        <v/>
      </c>
      <c r="DL2546" s="64">
        <f>$L2546-$L2547</f>
        <v/>
      </c>
      <c r="DM2546" s="64">
        <f>$K2546-$K2547</f>
        <v/>
      </c>
      <c r="DN2546" s="65">
        <f>IFERROR($N2546/$N2547-1,"")</f>
        <v/>
      </c>
      <c r="DO2546" s="65">
        <f>IFERROR($M2546/$M2547-1,"")</f>
        <v/>
      </c>
      <c r="DP2546" s="65">
        <f>IFERROR($AZ2546/$AZ2547-1,"")</f>
        <v/>
      </c>
      <c r="DQ2546" s="65">
        <f>IFERROR($BA2546/$BA2547-1,"")</f>
        <v/>
      </c>
      <c r="DR2546" s="64">
        <f>$O2546-$O2547</f>
        <v/>
      </c>
      <c r="DS2546" s="64">
        <f>$P2546-$P2547</f>
        <v/>
      </c>
      <c r="DT2546" s="64">
        <f>$Q2546-$Q2547</f>
        <v/>
      </c>
      <c r="DU2546" s="64">
        <f>$S2546-$S2547</f>
        <v/>
      </c>
      <c r="DV2546" s="65">
        <f>IFERROR(AVERAGE($AA2547/$AA2546-1,$AB2547/$AB2546-1,$AC2547/$AC2546-1,$AD2547/$AD2546-1,$AE2547/$AE2546-1,$AG2547/$AG2546-1,$AH2547/$AH2546-1,$AI2547/$AI2546-1,$AJ2547/$AJ2546-1,$AL2547/$AL2546-1,$AM2547/$AM2546-1,$AR2547/$AR2546-1,$AS2547/$AS2546-1,$AT2547/$AT2546-1,$AU2547/$AU2546-1,$AV2547/$AV2546-1,$AW2547/$AW2546-1,$AX2547/$AX2546-1,$AY2547/$AY2546-1),"")</f>
        <v/>
      </c>
      <c r="DW2546" s="66">
        <f>AVERAGE($CB2546,$CC2546,$CD2546,$CE2546,$CF2546,$CG2546,$CH2546,$CI2546,$CJ2546,$CL2546,$CM2546,$CN2546,$CO2546,$CP2546,$CQ2546,$CR2546,$CS2546,$CT2546)</f>
        <v/>
      </c>
      <c r="DX2546" s="66">
        <f>AVERAGE($CB2546,$CC2546,$CM2546,$CE2546,$CP2546)</f>
        <v/>
      </c>
      <c r="DY2546" s="64">
        <f>($DW2546-$DW2547)*100</f>
        <v/>
      </c>
      <c r="DZ2546" s="64">
        <f>($DX2546-$DX2547)*100</f>
        <v/>
      </c>
      <c r="EA2546" s="64">
        <f>($DW2546-$D2546)*100</f>
        <v/>
      </c>
      <c r="EB2546" s="64">
        <f>$Q2546-$O2546</f>
        <v/>
      </c>
      <c r="EC2546" s="67">
        <f>IFERROR($Q2546/$P2546,"")</f>
        <v/>
      </c>
    </row>
    <row r="2547">
      <c r="DG2547" s="64">
        <f>($B2547-$B2548)*100</f>
        <v/>
      </c>
      <c r="DH2547" s="64">
        <f>($D2547-$D2548)*100</f>
        <v/>
      </c>
      <c r="DI2547" s="64">
        <f>($E2547-$E2548)*100</f>
        <v/>
      </c>
      <c r="DJ2547" s="64">
        <f>($H2547-$H2548)*100</f>
        <v/>
      </c>
      <c r="DK2547" s="65">
        <f>IFERROR($J2547/$J2548-1,"")</f>
        <v/>
      </c>
      <c r="DL2547" s="64">
        <f>$L2547-$L2548</f>
        <v/>
      </c>
      <c r="DM2547" s="64">
        <f>$K2547-$K2548</f>
        <v/>
      </c>
      <c r="DN2547" s="65">
        <f>IFERROR($N2547/$N2548-1,"")</f>
        <v/>
      </c>
      <c r="DO2547" s="65">
        <f>IFERROR($M2547/$M2548-1,"")</f>
        <v/>
      </c>
      <c r="DP2547" s="65">
        <f>IFERROR($AZ2547/$AZ2548-1,"")</f>
        <v/>
      </c>
      <c r="DQ2547" s="65">
        <f>IFERROR($BA2547/$BA2548-1,"")</f>
        <v/>
      </c>
      <c r="DR2547" s="64">
        <f>$O2547-$O2548</f>
        <v/>
      </c>
      <c r="DS2547" s="64">
        <f>$P2547-$P2548</f>
        <v/>
      </c>
      <c r="DT2547" s="64">
        <f>$Q2547-$Q2548</f>
        <v/>
      </c>
      <c r="DU2547" s="64">
        <f>$S2547-$S2548</f>
        <v/>
      </c>
      <c r="DV2547" s="65">
        <f>IFERROR(AVERAGE($AA2548/$AA2547-1,$AB2548/$AB2547-1,$AC2548/$AC2547-1,$AD2548/$AD2547-1,$AE2548/$AE2547-1,$AG2548/$AG2547-1,$AH2548/$AH2547-1,$AI2548/$AI2547-1,$AJ2548/$AJ2547-1,$AL2548/$AL2547-1,$AM2548/$AM2547-1,$AR2548/$AR2547-1,$AS2548/$AS2547-1,$AT2548/$AT2547-1,$AU2548/$AU2547-1,$AV2548/$AV2547-1,$AW2548/$AW2547-1,$AX2548/$AX2547-1,$AY2548/$AY2547-1),"")</f>
        <v/>
      </c>
      <c r="DW2547" s="66">
        <f>AVERAGE($CB2547,$CC2547,$CD2547,$CE2547,$CF2547,$CG2547,$CH2547,$CI2547,$CJ2547,$CL2547,$CM2547,$CN2547,$CO2547,$CP2547,$CQ2547,$CR2547,$CS2547,$CT2547)</f>
        <v/>
      </c>
      <c r="DX2547" s="66">
        <f>AVERAGE($CB2547,$CC2547,$CM2547,$CE2547,$CP2547)</f>
        <v/>
      </c>
      <c r="DY2547" s="64">
        <f>($DW2547-$DW2548)*100</f>
        <v/>
      </c>
      <c r="DZ2547" s="64">
        <f>($DX2547-$DX2548)*100</f>
        <v/>
      </c>
      <c r="EA2547" s="64">
        <f>($DW2547-$D2547)*100</f>
        <v/>
      </c>
      <c r="EB2547" s="64">
        <f>$Q2547-$O2547</f>
        <v/>
      </c>
      <c r="EC2547" s="67">
        <f>IFERROR($Q2547/$P2547,"")</f>
        <v/>
      </c>
    </row>
    <row r="2548">
      <c r="DG2548" s="64">
        <f>($B2548-$B2549)*100</f>
        <v/>
      </c>
      <c r="DH2548" s="64">
        <f>($D2548-$D2549)*100</f>
        <v/>
      </c>
      <c r="DI2548" s="64">
        <f>($E2548-$E2549)*100</f>
        <v/>
      </c>
      <c r="DJ2548" s="64">
        <f>($H2548-$H2549)*100</f>
        <v/>
      </c>
      <c r="DK2548" s="65">
        <f>IFERROR($J2548/$J2549-1,"")</f>
        <v/>
      </c>
      <c r="DL2548" s="64">
        <f>$L2548-$L2549</f>
        <v/>
      </c>
      <c r="DM2548" s="64">
        <f>$K2548-$K2549</f>
        <v/>
      </c>
      <c r="DN2548" s="65">
        <f>IFERROR($N2548/$N2549-1,"")</f>
        <v/>
      </c>
      <c r="DO2548" s="65">
        <f>IFERROR($M2548/$M2549-1,"")</f>
        <v/>
      </c>
      <c r="DP2548" s="65">
        <f>IFERROR($AZ2548/$AZ2549-1,"")</f>
        <v/>
      </c>
      <c r="DQ2548" s="65">
        <f>IFERROR($BA2548/$BA2549-1,"")</f>
        <v/>
      </c>
      <c r="DR2548" s="64">
        <f>$O2548-$O2549</f>
        <v/>
      </c>
      <c r="DS2548" s="64">
        <f>$P2548-$P2549</f>
        <v/>
      </c>
      <c r="DT2548" s="64">
        <f>$Q2548-$Q2549</f>
        <v/>
      </c>
      <c r="DU2548" s="64">
        <f>$S2548-$S2549</f>
        <v/>
      </c>
      <c r="DV2548" s="65">
        <f>IFERROR(AVERAGE($AA2549/$AA2548-1,$AB2549/$AB2548-1,$AC2549/$AC2548-1,$AD2549/$AD2548-1,$AE2549/$AE2548-1,$AG2549/$AG2548-1,$AH2549/$AH2548-1,$AI2549/$AI2548-1,$AJ2549/$AJ2548-1,$AL2549/$AL2548-1,$AM2549/$AM2548-1,$AR2549/$AR2548-1,$AS2549/$AS2548-1,$AT2549/$AT2548-1,$AU2549/$AU2548-1,$AV2549/$AV2548-1,$AW2549/$AW2548-1,$AX2549/$AX2548-1,$AY2549/$AY2548-1),"")</f>
        <v/>
      </c>
      <c r="DW2548" s="66">
        <f>AVERAGE($CB2548,$CC2548,$CD2548,$CE2548,$CF2548,$CG2548,$CH2548,$CI2548,$CJ2548,$CL2548,$CM2548,$CN2548,$CO2548,$CP2548,$CQ2548,$CR2548,$CS2548,$CT2548)</f>
        <v/>
      </c>
      <c r="DX2548" s="66">
        <f>AVERAGE($CB2548,$CC2548,$CM2548,$CE2548,$CP2548)</f>
        <v/>
      </c>
      <c r="DY2548" s="64">
        <f>($DW2548-$DW2549)*100</f>
        <v/>
      </c>
      <c r="DZ2548" s="64">
        <f>($DX2548-$DX2549)*100</f>
        <v/>
      </c>
      <c r="EA2548" s="64">
        <f>($DW2548-$D2548)*100</f>
        <v/>
      </c>
      <c r="EB2548" s="64">
        <f>$Q2548-$O2548</f>
        <v/>
      </c>
      <c r="EC2548" s="67">
        <f>IFERROR($Q2548/$P2548,"")</f>
        <v/>
      </c>
    </row>
    <row r="2549">
      <c r="DG2549" s="64">
        <f>($B2549-$B2550)*100</f>
        <v/>
      </c>
      <c r="DH2549" s="64">
        <f>($D2549-$D2550)*100</f>
        <v/>
      </c>
      <c r="DI2549" s="64">
        <f>($E2549-$E2550)*100</f>
        <v/>
      </c>
      <c r="DJ2549" s="64">
        <f>($H2549-$H2550)*100</f>
        <v/>
      </c>
      <c r="DK2549" s="65">
        <f>IFERROR($J2549/$J2550-1,"")</f>
        <v/>
      </c>
      <c r="DL2549" s="64">
        <f>$L2549-$L2550</f>
        <v/>
      </c>
      <c r="DM2549" s="64">
        <f>$K2549-$K2550</f>
        <v/>
      </c>
      <c r="DN2549" s="65">
        <f>IFERROR($N2549/$N2550-1,"")</f>
        <v/>
      </c>
      <c r="DO2549" s="65">
        <f>IFERROR($M2549/$M2550-1,"")</f>
        <v/>
      </c>
      <c r="DP2549" s="65">
        <f>IFERROR($AZ2549/$AZ2550-1,"")</f>
        <v/>
      </c>
      <c r="DQ2549" s="65">
        <f>IFERROR($BA2549/$BA2550-1,"")</f>
        <v/>
      </c>
      <c r="DR2549" s="64">
        <f>$O2549-$O2550</f>
        <v/>
      </c>
      <c r="DS2549" s="64">
        <f>$P2549-$P2550</f>
        <v/>
      </c>
      <c r="DT2549" s="64">
        <f>$Q2549-$Q2550</f>
        <v/>
      </c>
      <c r="DU2549" s="64">
        <f>$S2549-$S2550</f>
        <v/>
      </c>
      <c r="DV2549" s="65">
        <f>IFERROR(AVERAGE($AA2550/$AA2549-1,$AB2550/$AB2549-1,$AC2550/$AC2549-1,$AD2550/$AD2549-1,$AE2550/$AE2549-1,$AG2550/$AG2549-1,$AH2550/$AH2549-1,$AI2550/$AI2549-1,$AJ2550/$AJ2549-1,$AL2550/$AL2549-1,$AM2550/$AM2549-1,$AR2550/$AR2549-1,$AS2550/$AS2549-1,$AT2550/$AT2549-1,$AU2550/$AU2549-1,$AV2550/$AV2549-1,$AW2550/$AW2549-1,$AX2550/$AX2549-1,$AY2550/$AY2549-1),"")</f>
        <v/>
      </c>
      <c r="DW2549" s="66">
        <f>AVERAGE($CB2549,$CC2549,$CD2549,$CE2549,$CF2549,$CG2549,$CH2549,$CI2549,$CJ2549,$CL2549,$CM2549,$CN2549,$CO2549,$CP2549,$CQ2549,$CR2549,$CS2549,$CT2549)</f>
        <v/>
      </c>
      <c r="DX2549" s="66">
        <f>AVERAGE($CB2549,$CC2549,$CM2549,$CE2549,$CP2549)</f>
        <v/>
      </c>
      <c r="DY2549" s="64">
        <f>($DW2549-$DW2550)*100</f>
        <v/>
      </c>
      <c r="DZ2549" s="64">
        <f>($DX2549-$DX2550)*100</f>
        <v/>
      </c>
      <c r="EA2549" s="64">
        <f>($DW2549-$D2549)*100</f>
        <v/>
      </c>
      <c r="EB2549" s="64">
        <f>$Q2549-$O2549</f>
        <v/>
      </c>
      <c r="EC2549" s="67">
        <f>IFERROR($Q2549/$P2549,"")</f>
        <v/>
      </c>
    </row>
    <row r="2550">
      <c r="DG2550" s="64">
        <f>($B2550-$B2551)*100</f>
        <v/>
      </c>
      <c r="DH2550" s="64">
        <f>($D2550-$D2551)*100</f>
        <v/>
      </c>
      <c r="DI2550" s="64">
        <f>($E2550-$E2551)*100</f>
        <v/>
      </c>
      <c r="DJ2550" s="64">
        <f>($H2550-$H2551)*100</f>
        <v/>
      </c>
      <c r="DK2550" s="65">
        <f>IFERROR($J2550/$J2551-1,"")</f>
        <v/>
      </c>
      <c r="DL2550" s="64">
        <f>$L2550-$L2551</f>
        <v/>
      </c>
      <c r="DM2550" s="64">
        <f>$K2550-$K2551</f>
        <v/>
      </c>
      <c r="DN2550" s="65">
        <f>IFERROR($N2550/$N2551-1,"")</f>
        <v/>
      </c>
      <c r="DO2550" s="65">
        <f>IFERROR($M2550/$M2551-1,"")</f>
        <v/>
      </c>
      <c r="DP2550" s="65">
        <f>IFERROR($AZ2550/$AZ2551-1,"")</f>
        <v/>
      </c>
      <c r="DQ2550" s="65">
        <f>IFERROR($BA2550/$BA2551-1,"")</f>
        <v/>
      </c>
      <c r="DR2550" s="64">
        <f>$O2550-$O2551</f>
        <v/>
      </c>
      <c r="DS2550" s="64">
        <f>$P2550-$P2551</f>
        <v/>
      </c>
      <c r="DT2550" s="64">
        <f>$Q2550-$Q2551</f>
        <v/>
      </c>
      <c r="DU2550" s="64">
        <f>$S2550-$S2551</f>
        <v/>
      </c>
      <c r="DV2550" s="65">
        <f>IFERROR(AVERAGE($AA2551/$AA2550-1,$AB2551/$AB2550-1,$AC2551/$AC2550-1,$AD2551/$AD2550-1,$AE2551/$AE2550-1,$AG2551/$AG2550-1,$AH2551/$AH2550-1,$AI2551/$AI2550-1,$AJ2551/$AJ2550-1,$AL2551/$AL2550-1,$AM2551/$AM2550-1,$AR2551/$AR2550-1,$AS2551/$AS2550-1,$AT2551/$AT2550-1,$AU2551/$AU2550-1,$AV2551/$AV2550-1,$AW2551/$AW2550-1,$AX2551/$AX2550-1,$AY2551/$AY2550-1),"")</f>
        <v/>
      </c>
      <c r="DW2550" s="66">
        <f>AVERAGE($CB2550,$CC2550,$CD2550,$CE2550,$CF2550,$CG2550,$CH2550,$CI2550,$CJ2550,$CL2550,$CM2550,$CN2550,$CO2550,$CP2550,$CQ2550,$CR2550,$CS2550,$CT2550)</f>
        <v/>
      </c>
      <c r="DX2550" s="66">
        <f>AVERAGE($CB2550,$CC2550,$CM2550,$CE2550,$CP2550)</f>
        <v/>
      </c>
      <c r="DY2550" s="64">
        <f>($DW2550-$DW2551)*100</f>
        <v/>
      </c>
      <c r="DZ2550" s="64">
        <f>($DX2550-$DX2551)*100</f>
        <v/>
      </c>
      <c r="EA2550" s="64">
        <f>($DW2550-$D2550)*100</f>
        <v/>
      </c>
      <c r="EB2550" s="64">
        <f>$Q2550-$O2550</f>
        <v/>
      </c>
      <c r="EC2550" s="67">
        <f>IFERROR($Q2550/$P2550,"")</f>
        <v/>
      </c>
    </row>
    <row r="2551">
      <c r="DG2551" s="64">
        <f>($B2551-$B2552)*100</f>
        <v/>
      </c>
      <c r="DH2551" s="64">
        <f>($D2551-$D2552)*100</f>
        <v/>
      </c>
      <c r="DI2551" s="64">
        <f>($E2551-$E2552)*100</f>
        <v/>
      </c>
      <c r="DJ2551" s="64">
        <f>($H2551-$H2552)*100</f>
        <v/>
      </c>
      <c r="DK2551" s="65">
        <f>IFERROR($J2551/$J2552-1,"")</f>
        <v/>
      </c>
      <c r="DL2551" s="64">
        <f>$L2551-$L2552</f>
        <v/>
      </c>
      <c r="DM2551" s="64">
        <f>$K2551-$K2552</f>
        <v/>
      </c>
      <c r="DN2551" s="65">
        <f>IFERROR($N2551/$N2552-1,"")</f>
        <v/>
      </c>
      <c r="DO2551" s="65">
        <f>IFERROR($M2551/$M2552-1,"")</f>
        <v/>
      </c>
      <c r="DP2551" s="65">
        <f>IFERROR($AZ2551/$AZ2552-1,"")</f>
        <v/>
      </c>
      <c r="DQ2551" s="65">
        <f>IFERROR($BA2551/$BA2552-1,"")</f>
        <v/>
      </c>
      <c r="DR2551" s="64">
        <f>$O2551-$O2552</f>
        <v/>
      </c>
      <c r="DS2551" s="64">
        <f>$P2551-$P2552</f>
        <v/>
      </c>
      <c r="DT2551" s="64">
        <f>$Q2551-$Q2552</f>
        <v/>
      </c>
      <c r="DU2551" s="64">
        <f>$S2551-$S2552</f>
        <v/>
      </c>
      <c r="DV2551" s="65">
        <f>IFERROR(AVERAGE($AA2552/$AA2551-1,$AB2552/$AB2551-1,$AC2552/$AC2551-1,$AD2552/$AD2551-1,$AE2552/$AE2551-1,$AG2552/$AG2551-1,$AH2552/$AH2551-1,$AI2552/$AI2551-1,$AJ2552/$AJ2551-1,$AL2552/$AL2551-1,$AM2552/$AM2551-1,$AR2552/$AR2551-1,$AS2552/$AS2551-1,$AT2552/$AT2551-1,$AU2552/$AU2551-1,$AV2552/$AV2551-1,$AW2552/$AW2551-1,$AX2552/$AX2551-1,$AY2552/$AY2551-1),"")</f>
        <v/>
      </c>
      <c r="DW2551" s="66">
        <f>AVERAGE($CB2551,$CC2551,$CD2551,$CE2551,$CF2551,$CG2551,$CH2551,$CI2551,$CJ2551,$CL2551,$CM2551,$CN2551,$CO2551,$CP2551,$CQ2551,$CR2551,$CS2551,$CT2551)</f>
        <v/>
      </c>
      <c r="DX2551" s="66">
        <f>AVERAGE($CB2551,$CC2551,$CM2551,$CE2551,$CP2551)</f>
        <v/>
      </c>
      <c r="DY2551" s="64">
        <f>($DW2551-$DW2552)*100</f>
        <v/>
      </c>
      <c r="DZ2551" s="64">
        <f>($DX2551-$DX2552)*100</f>
        <v/>
      </c>
      <c r="EA2551" s="64">
        <f>($DW2551-$D2551)*100</f>
        <v/>
      </c>
      <c r="EB2551" s="64">
        <f>$Q2551-$O2551</f>
        <v/>
      </c>
      <c r="EC2551" s="67">
        <f>IFERROR($Q2551/$P2551,"")</f>
        <v/>
      </c>
    </row>
    <row r="2552">
      <c r="DG2552" s="64">
        <f>($B2552-$B2553)*100</f>
        <v/>
      </c>
      <c r="DH2552" s="64">
        <f>($D2552-$D2553)*100</f>
        <v/>
      </c>
      <c r="DI2552" s="64">
        <f>($E2552-$E2553)*100</f>
        <v/>
      </c>
      <c r="DJ2552" s="64">
        <f>($H2552-$H2553)*100</f>
        <v/>
      </c>
      <c r="DK2552" s="65">
        <f>IFERROR($J2552/$J2553-1,"")</f>
        <v/>
      </c>
      <c r="DL2552" s="64">
        <f>$L2552-$L2553</f>
        <v/>
      </c>
      <c r="DM2552" s="64">
        <f>$K2552-$K2553</f>
        <v/>
      </c>
      <c r="DN2552" s="65">
        <f>IFERROR($N2552/$N2553-1,"")</f>
        <v/>
      </c>
      <c r="DO2552" s="65">
        <f>IFERROR($M2552/$M2553-1,"")</f>
        <v/>
      </c>
      <c r="DP2552" s="65">
        <f>IFERROR($AZ2552/$AZ2553-1,"")</f>
        <v/>
      </c>
      <c r="DQ2552" s="65">
        <f>IFERROR($BA2552/$BA2553-1,"")</f>
        <v/>
      </c>
      <c r="DR2552" s="64">
        <f>$O2552-$O2553</f>
        <v/>
      </c>
      <c r="DS2552" s="64">
        <f>$P2552-$P2553</f>
        <v/>
      </c>
      <c r="DT2552" s="64">
        <f>$Q2552-$Q2553</f>
        <v/>
      </c>
      <c r="DU2552" s="64">
        <f>$S2552-$S2553</f>
        <v/>
      </c>
      <c r="DV2552" s="65">
        <f>IFERROR(AVERAGE($AA2553/$AA2552-1,$AB2553/$AB2552-1,$AC2553/$AC2552-1,$AD2553/$AD2552-1,$AE2553/$AE2552-1,$AG2553/$AG2552-1,$AH2553/$AH2552-1,$AI2553/$AI2552-1,$AJ2553/$AJ2552-1,$AL2553/$AL2552-1,$AM2553/$AM2552-1,$AR2553/$AR2552-1,$AS2553/$AS2552-1,$AT2553/$AT2552-1,$AU2553/$AU2552-1,$AV2553/$AV2552-1,$AW2553/$AW2552-1,$AX2553/$AX2552-1,$AY2553/$AY2552-1),"")</f>
        <v/>
      </c>
      <c r="DW2552" s="66">
        <f>AVERAGE($CB2552,$CC2552,$CD2552,$CE2552,$CF2552,$CG2552,$CH2552,$CI2552,$CJ2552,$CL2552,$CM2552,$CN2552,$CO2552,$CP2552,$CQ2552,$CR2552,$CS2552,$CT2552)</f>
        <v/>
      </c>
      <c r="DX2552" s="66">
        <f>AVERAGE($CB2552,$CC2552,$CM2552,$CE2552,$CP2552)</f>
        <v/>
      </c>
      <c r="DY2552" s="64">
        <f>($DW2552-$DW2553)*100</f>
        <v/>
      </c>
      <c r="DZ2552" s="64">
        <f>($DX2552-$DX2553)*100</f>
        <v/>
      </c>
      <c r="EA2552" s="64">
        <f>($DW2552-$D2552)*100</f>
        <v/>
      </c>
      <c r="EB2552" s="64">
        <f>$Q2552-$O2552</f>
        <v/>
      </c>
      <c r="EC2552" s="67">
        <f>IFERROR($Q2552/$P2552,"")</f>
        <v/>
      </c>
    </row>
    <row r="2553">
      <c r="DG2553" s="64">
        <f>($B2553-$B2554)*100</f>
        <v/>
      </c>
      <c r="DH2553" s="64">
        <f>($D2553-$D2554)*100</f>
        <v/>
      </c>
      <c r="DI2553" s="64">
        <f>($E2553-$E2554)*100</f>
        <v/>
      </c>
      <c r="DJ2553" s="64">
        <f>($H2553-$H2554)*100</f>
        <v/>
      </c>
      <c r="DK2553" s="65">
        <f>IFERROR($J2553/$J2554-1,"")</f>
        <v/>
      </c>
      <c r="DL2553" s="64">
        <f>$L2553-$L2554</f>
        <v/>
      </c>
      <c r="DM2553" s="64">
        <f>$K2553-$K2554</f>
        <v/>
      </c>
      <c r="DN2553" s="65">
        <f>IFERROR($N2553/$N2554-1,"")</f>
        <v/>
      </c>
      <c r="DO2553" s="65">
        <f>IFERROR($M2553/$M2554-1,"")</f>
        <v/>
      </c>
      <c r="DP2553" s="65">
        <f>IFERROR($AZ2553/$AZ2554-1,"")</f>
        <v/>
      </c>
      <c r="DQ2553" s="65">
        <f>IFERROR($BA2553/$BA2554-1,"")</f>
        <v/>
      </c>
      <c r="DR2553" s="64">
        <f>$O2553-$O2554</f>
        <v/>
      </c>
      <c r="DS2553" s="64">
        <f>$P2553-$P2554</f>
        <v/>
      </c>
      <c r="DT2553" s="64">
        <f>$Q2553-$Q2554</f>
        <v/>
      </c>
      <c r="DU2553" s="64">
        <f>$S2553-$S2554</f>
        <v/>
      </c>
      <c r="DV2553" s="65">
        <f>IFERROR(AVERAGE($AA2554/$AA2553-1,$AB2554/$AB2553-1,$AC2554/$AC2553-1,$AD2554/$AD2553-1,$AE2554/$AE2553-1,$AG2554/$AG2553-1,$AH2554/$AH2553-1,$AI2554/$AI2553-1,$AJ2554/$AJ2553-1,$AL2554/$AL2553-1,$AM2554/$AM2553-1,$AR2554/$AR2553-1,$AS2554/$AS2553-1,$AT2554/$AT2553-1,$AU2554/$AU2553-1,$AV2554/$AV2553-1,$AW2554/$AW2553-1,$AX2554/$AX2553-1,$AY2554/$AY2553-1),"")</f>
        <v/>
      </c>
      <c r="DW2553" s="66">
        <f>AVERAGE($CB2553,$CC2553,$CD2553,$CE2553,$CF2553,$CG2553,$CH2553,$CI2553,$CJ2553,$CL2553,$CM2553,$CN2553,$CO2553,$CP2553,$CQ2553,$CR2553,$CS2553,$CT2553)</f>
        <v/>
      </c>
      <c r="DX2553" s="66">
        <f>AVERAGE($CB2553,$CC2553,$CM2553,$CE2553,$CP2553)</f>
        <v/>
      </c>
      <c r="DY2553" s="64">
        <f>($DW2553-$DW2554)*100</f>
        <v/>
      </c>
      <c r="DZ2553" s="64">
        <f>($DX2553-$DX2554)*100</f>
        <v/>
      </c>
      <c r="EA2553" s="64">
        <f>($DW2553-$D2553)*100</f>
        <v/>
      </c>
      <c r="EB2553" s="64">
        <f>$Q2553-$O2553</f>
        <v/>
      </c>
      <c r="EC2553" s="67">
        <f>IFERROR($Q2553/$P2553,"")</f>
        <v/>
      </c>
    </row>
    <row r="2554">
      <c r="DG2554" s="64">
        <f>($B2554-$B2555)*100</f>
        <v/>
      </c>
      <c r="DH2554" s="64">
        <f>($D2554-$D2555)*100</f>
        <v/>
      </c>
      <c r="DI2554" s="64">
        <f>($E2554-$E2555)*100</f>
        <v/>
      </c>
      <c r="DJ2554" s="64">
        <f>($H2554-$H2555)*100</f>
        <v/>
      </c>
      <c r="DK2554" s="65">
        <f>IFERROR($J2554/$J2555-1,"")</f>
        <v/>
      </c>
      <c r="DL2554" s="64">
        <f>$L2554-$L2555</f>
        <v/>
      </c>
      <c r="DM2554" s="64">
        <f>$K2554-$K2555</f>
        <v/>
      </c>
      <c r="DN2554" s="65">
        <f>IFERROR($N2554/$N2555-1,"")</f>
        <v/>
      </c>
      <c r="DO2554" s="65">
        <f>IFERROR($M2554/$M2555-1,"")</f>
        <v/>
      </c>
      <c r="DP2554" s="65">
        <f>IFERROR($AZ2554/$AZ2555-1,"")</f>
        <v/>
      </c>
      <c r="DQ2554" s="65">
        <f>IFERROR($BA2554/$BA2555-1,"")</f>
        <v/>
      </c>
      <c r="DR2554" s="64">
        <f>$O2554-$O2555</f>
        <v/>
      </c>
      <c r="DS2554" s="64">
        <f>$P2554-$P2555</f>
        <v/>
      </c>
      <c r="DT2554" s="64">
        <f>$Q2554-$Q2555</f>
        <v/>
      </c>
      <c r="DU2554" s="64">
        <f>$S2554-$S2555</f>
        <v/>
      </c>
      <c r="DV2554" s="65">
        <f>IFERROR(AVERAGE($AA2555/$AA2554-1,$AB2555/$AB2554-1,$AC2555/$AC2554-1,$AD2555/$AD2554-1,$AE2555/$AE2554-1,$AG2555/$AG2554-1,$AH2555/$AH2554-1,$AI2555/$AI2554-1,$AJ2555/$AJ2554-1,$AL2555/$AL2554-1,$AM2555/$AM2554-1,$AR2555/$AR2554-1,$AS2555/$AS2554-1,$AT2555/$AT2554-1,$AU2555/$AU2554-1,$AV2555/$AV2554-1,$AW2555/$AW2554-1,$AX2555/$AX2554-1,$AY2555/$AY2554-1),"")</f>
        <v/>
      </c>
      <c r="DW2554" s="66">
        <f>AVERAGE($CB2554,$CC2554,$CD2554,$CE2554,$CF2554,$CG2554,$CH2554,$CI2554,$CJ2554,$CL2554,$CM2554,$CN2554,$CO2554,$CP2554,$CQ2554,$CR2554,$CS2554,$CT2554)</f>
        <v/>
      </c>
      <c r="DX2554" s="66">
        <f>AVERAGE($CB2554,$CC2554,$CM2554,$CE2554,$CP2554)</f>
        <v/>
      </c>
      <c r="DY2554" s="64">
        <f>($DW2554-$DW2555)*100</f>
        <v/>
      </c>
      <c r="DZ2554" s="64">
        <f>($DX2554-$DX2555)*100</f>
        <v/>
      </c>
      <c r="EA2554" s="64">
        <f>($DW2554-$D2554)*100</f>
        <v/>
      </c>
      <c r="EB2554" s="64">
        <f>$Q2554-$O2554</f>
        <v/>
      </c>
      <c r="EC2554" s="67">
        <f>IFERROR($Q2554/$P2554,"")</f>
        <v/>
      </c>
    </row>
    <row r="2555">
      <c r="DG2555" s="64">
        <f>($B2555-$B2556)*100</f>
        <v/>
      </c>
      <c r="DH2555" s="64">
        <f>($D2555-$D2556)*100</f>
        <v/>
      </c>
      <c r="DI2555" s="64">
        <f>($E2555-$E2556)*100</f>
        <v/>
      </c>
      <c r="DJ2555" s="64">
        <f>($H2555-$H2556)*100</f>
        <v/>
      </c>
      <c r="DK2555" s="65">
        <f>IFERROR($J2555/$J2556-1,"")</f>
        <v/>
      </c>
      <c r="DL2555" s="64">
        <f>$L2555-$L2556</f>
        <v/>
      </c>
      <c r="DM2555" s="64">
        <f>$K2555-$K2556</f>
        <v/>
      </c>
      <c r="DN2555" s="65">
        <f>IFERROR($N2555/$N2556-1,"")</f>
        <v/>
      </c>
      <c r="DO2555" s="65">
        <f>IFERROR($M2555/$M2556-1,"")</f>
        <v/>
      </c>
      <c r="DP2555" s="65">
        <f>IFERROR($AZ2555/$AZ2556-1,"")</f>
        <v/>
      </c>
      <c r="DQ2555" s="65">
        <f>IFERROR($BA2555/$BA2556-1,"")</f>
        <v/>
      </c>
      <c r="DR2555" s="64">
        <f>$O2555-$O2556</f>
        <v/>
      </c>
      <c r="DS2555" s="64">
        <f>$P2555-$P2556</f>
        <v/>
      </c>
      <c r="DT2555" s="64">
        <f>$Q2555-$Q2556</f>
        <v/>
      </c>
      <c r="DU2555" s="64">
        <f>$S2555-$S2556</f>
        <v/>
      </c>
      <c r="DV2555" s="65">
        <f>IFERROR(AVERAGE($AA2556/$AA2555-1,$AB2556/$AB2555-1,$AC2556/$AC2555-1,$AD2556/$AD2555-1,$AE2556/$AE2555-1,$AG2556/$AG2555-1,$AH2556/$AH2555-1,$AI2556/$AI2555-1,$AJ2556/$AJ2555-1,$AL2556/$AL2555-1,$AM2556/$AM2555-1,$AR2556/$AR2555-1,$AS2556/$AS2555-1,$AT2556/$AT2555-1,$AU2556/$AU2555-1,$AV2556/$AV2555-1,$AW2556/$AW2555-1,$AX2556/$AX2555-1,$AY2556/$AY2555-1),"")</f>
        <v/>
      </c>
      <c r="DW2555" s="66">
        <f>AVERAGE($CB2555,$CC2555,$CD2555,$CE2555,$CF2555,$CG2555,$CH2555,$CI2555,$CJ2555,$CL2555,$CM2555,$CN2555,$CO2555,$CP2555,$CQ2555,$CR2555,$CS2555,$CT2555)</f>
        <v/>
      </c>
      <c r="DX2555" s="66">
        <f>AVERAGE($CB2555,$CC2555,$CM2555,$CE2555,$CP2555)</f>
        <v/>
      </c>
      <c r="DY2555" s="64">
        <f>($DW2555-$DW2556)*100</f>
        <v/>
      </c>
      <c r="DZ2555" s="64">
        <f>($DX2555-$DX2556)*100</f>
        <v/>
      </c>
      <c r="EA2555" s="64">
        <f>($DW2555-$D2555)*100</f>
        <v/>
      </c>
      <c r="EB2555" s="64">
        <f>$Q2555-$O2555</f>
        <v/>
      </c>
      <c r="EC2555" s="67">
        <f>IFERROR($Q2555/$P2555,"")</f>
        <v/>
      </c>
    </row>
    <row r="2556">
      <c r="DG2556" s="64">
        <f>($B2556-$B2557)*100</f>
        <v/>
      </c>
      <c r="DH2556" s="64">
        <f>($D2556-$D2557)*100</f>
        <v/>
      </c>
      <c r="DI2556" s="64">
        <f>($E2556-$E2557)*100</f>
        <v/>
      </c>
      <c r="DJ2556" s="64">
        <f>($H2556-$H2557)*100</f>
        <v/>
      </c>
      <c r="DK2556" s="65">
        <f>IFERROR($J2556/$J2557-1,"")</f>
        <v/>
      </c>
      <c r="DL2556" s="64">
        <f>$L2556-$L2557</f>
        <v/>
      </c>
      <c r="DM2556" s="64">
        <f>$K2556-$K2557</f>
        <v/>
      </c>
      <c r="DN2556" s="65">
        <f>IFERROR($N2556/$N2557-1,"")</f>
        <v/>
      </c>
      <c r="DO2556" s="65">
        <f>IFERROR($M2556/$M2557-1,"")</f>
        <v/>
      </c>
      <c r="DP2556" s="65">
        <f>IFERROR($AZ2556/$AZ2557-1,"")</f>
        <v/>
      </c>
      <c r="DQ2556" s="65">
        <f>IFERROR($BA2556/$BA2557-1,"")</f>
        <v/>
      </c>
      <c r="DR2556" s="64">
        <f>$O2556-$O2557</f>
        <v/>
      </c>
      <c r="DS2556" s="64">
        <f>$P2556-$P2557</f>
        <v/>
      </c>
      <c r="DT2556" s="64">
        <f>$Q2556-$Q2557</f>
        <v/>
      </c>
      <c r="DU2556" s="64">
        <f>$S2556-$S2557</f>
        <v/>
      </c>
      <c r="DV2556" s="65">
        <f>IFERROR(AVERAGE($AA2557/$AA2556-1,$AB2557/$AB2556-1,$AC2557/$AC2556-1,$AD2557/$AD2556-1,$AE2557/$AE2556-1,$AG2557/$AG2556-1,$AH2557/$AH2556-1,$AI2557/$AI2556-1,$AJ2557/$AJ2556-1,$AL2557/$AL2556-1,$AM2557/$AM2556-1,$AR2557/$AR2556-1,$AS2557/$AS2556-1,$AT2557/$AT2556-1,$AU2557/$AU2556-1,$AV2557/$AV2556-1,$AW2557/$AW2556-1,$AX2557/$AX2556-1,$AY2557/$AY2556-1),"")</f>
        <v/>
      </c>
      <c r="DW2556" s="66">
        <f>AVERAGE($CB2556,$CC2556,$CD2556,$CE2556,$CF2556,$CG2556,$CH2556,$CI2556,$CJ2556,$CL2556,$CM2556,$CN2556,$CO2556,$CP2556,$CQ2556,$CR2556,$CS2556,$CT2556)</f>
        <v/>
      </c>
      <c r="DX2556" s="66">
        <f>AVERAGE($CB2556,$CC2556,$CM2556,$CE2556,$CP2556)</f>
        <v/>
      </c>
      <c r="DY2556" s="64">
        <f>($DW2556-$DW2557)*100</f>
        <v/>
      </c>
      <c r="DZ2556" s="64">
        <f>($DX2556-$DX2557)*100</f>
        <v/>
      </c>
      <c r="EA2556" s="64">
        <f>($DW2556-$D2556)*100</f>
        <v/>
      </c>
      <c r="EB2556" s="64">
        <f>$Q2556-$O2556</f>
        <v/>
      </c>
      <c r="EC2556" s="67">
        <f>IFERROR($Q2556/$P2556,"")</f>
        <v/>
      </c>
    </row>
    <row r="2557">
      <c r="DG2557" s="64">
        <f>($B2557-$B2558)*100</f>
        <v/>
      </c>
      <c r="DH2557" s="64">
        <f>($D2557-$D2558)*100</f>
        <v/>
      </c>
      <c r="DI2557" s="64">
        <f>($E2557-$E2558)*100</f>
        <v/>
      </c>
      <c r="DJ2557" s="64">
        <f>($H2557-$H2558)*100</f>
        <v/>
      </c>
      <c r="DK2557" s="65">
        <f>IFERROR($J2557/$J2558-1,"")</f>
        <v/>
      </c>
      <c r="DL2557" s="64">
        <f>$L2557-$L2558</f>
        <v/>
      </c>
      <c r="DM2557" s="64">
        <f>$K2557-$K2558</f>
        <v/>
      </c>
      <c r="DN2557" s="65">
        <f>IFERROR($N2557/$N2558-1,"")</f>
        <v/>
      </c>
      <c r="DO2557" s="65">
        <f>IFERROR($M2557/$M2558-1,"")</f>
        <v/>
      </c>
      <c r="DP2557" s="65">
        <f>IFERROR($AZ2557/$AZ2558-1,"")</f>
        <v/>
      </c>
      <c r="DQ2557" s="65">
        <f>IFERROR($BA2557/$BA2558-1,"")</f>
        <v/>
      </c>
      <c r="DR2557" s="64">
        <f>$O2557-$O2558</f>
        <v/>
      </c>
      <c r="DS2557" s="64">
        <f>$P2557-$P2558</f>
        <v/>
      </c>
      <c r="DT2557" s="64">
        <f>$Q2557-$Q2558</f>
        <v/>
      </c>
      <c r="DU2557" s="64">
        <f>$S2557-$S2558</f>
        <v/>
      </c>
      <c r="DV2557" s="65">
        <f>IFERROR(AVERAGE($AA2558/$AA2557-1,$AB2558/$AB2557-1,$AC2558/$AC2557-1,$AD2558/$AD2557-1,$AE2558/$AE2557-1,$AG2558/$AG2557-1,$AH2558/$AH2557-1,$AI2558/$AI2557-1,$AJ2558/$AJ2557-1,$AL2558/$AL2557-1,$AM2558/$AM2557-1,$AR2558/$AR2557-1,$AS2558/$AS2557-1,$AT2558/$AT2557-1,$AU2558/$AU2557-1,$AV2558/$AV2557-1,$AW2558/$AW2557-1,$AX2558/$AX2557-1,$AY2558/$AY2557-1),"")</f>
        <v/>
      </c>
      <c r="DW2557" s="66">
        <f>AVERAGE($CB2557,$CC2557,$CD2557,$CE2557,$CF2557,$CG2557,$CH2557,$CI2557,$CJ2557,$CL2557,$CM2557,$CN2557,$CO2557,$CP2557,$CQ2557,$CR2557,$CS2557,$CT2557)</f>
        <v/>
      </c>
      <c r="DX2557" s="66">
        <f>AVERAGE($CB2557,$CC2557,$CM2557,$CE2557,$CP2557)</f>
        <v/>
      </c>
      <c r="DY2557" s="64">
        <f>($DW2557-$DW2558)*100</f>
        <v/>
      </c>
      <c r="DZ2557" s="64">
        <f>($DX2557-$DX2558)*100</f>
        <v/>
      </c>
      <c r="EA2557" s="64">
        <f>($DW2557-$D2557)*100</f>
        <v/>
      </c>
      <c r="EB2557" s="64">
        <f>$Q2557-$O2557</f>
        <v/>
      </c>
      <c r="EC2557" s="67">
        <f>IFERROR($Q2557/$P2557,"")</f>
        <v/>
      </c>
    </row>
    <row r="2558">
      <c r="DG2558" s="64">
        <f>($B2558-$B2559)*100</f>
        <v/>
      </c>
      <c r="DH2558" s="64">
        <f>($D2558-$D2559)*100</f>
        <v/>
      </c>
      <c r="DI2558" s="64">
        <f>($E2558-$E2559)*100</f>
        <v/>
      </c>
      <c r="DJ2558" s="64">
        <f>($H2558-$H2559)*100</f>
        <v/>
      </c>
      <c r="DK2558" s="65">
        <f>IFERROR($J2558/$J2559-1,"")</f>
        <v/>
      </c>
      <c r="DL2558" s="64">
        <f>$L2558-$L2559</f>
        <v/>
      </c>
      <c r="DM2558" s="64">
        <f>$K2558-$K2559</f>
        <v/>
      </c>
      <c r="DN2558" s="65">
        <f>IFERROR($N2558/$N2559-1,"")</f>
        <v/>
      </c>
      <c r="DO2558" s="65">
        <f>IFERROR($M2558/$M2559-1,"")</f>
        <v/>
      </c>
      <c r="DP2558" s="65">
        <f>IFERROR($AZ2558/$AZ2559-1,"")</f>
        <v/>
      </c>
      <c r="DQ2558" s="65">
        <f>IFERROR($BA2558/$BA2559-1,"")</f>
        <v/>
      </c>
      <c r="DR2558" s="64">
        <f>$O2558-$O2559</f>
        <v/>
      </c>
      <c r="DS2558" s="64">
        <f>$P2558-$P2559</f>
        <v/>
      </c>
      <c r="DT2558" s="64">
        <f>$Q2558-$Q2559</f>
        <v/>
      </c>
      <c r="DU2558" s="64">
        <f>$S2558-$S2559</f>
        <v/>
      </c>
      <c r="DV2558" s="65">
        <f>IFERROR(AVERAGE($AA2559/$AA2558-1,$AB2559/$AB2558-1,$AC2559/$AC2558-1,$AD2559/$AD2558-1,$AE2559/$AE2558-1,$AG2559/$AG2558-1,$AH2559/$AH2558-1,$AI2559/$AI2558-1,$AJ2559/$AJ2558-1,$AL2559/$AL2558-1,$AM2559/$AM2558-1,$AR2559/$AR2558-1,$AS2559/$AS2558-1,$AT2559/$AT2558-1,$AU2559/$AU2558-1,$AV2559/$AV2558-1,$AW2559/$AW2558-1,$AX2559/$AX2558-1,$AY2559/$AY2558-1),"")</f>
        <v/>
      </c>
      <c r="DW2558" s="66">
        <f>AVERAGE($CB2558,$CC2558,$CD2558,$CE2558,$CF2558,$CG2558,$CH2558,$CI2558,$CJ2558,$CL2558,$CM2558,$CN2558,$CO2558,$CP2558,$CQ2558,$CR2558,$CS2558,$CT2558)</f>
        <v/>
      </c>
      <c r="DX2558" s="66">
        <f>AVERAGE($CB2558,$CC2558,$CM2558,$CE2558,$CP2558)</f>
        <v/>
      </c>
      <c r="DY2558" s="64">
        <f>($DW2558-$DW2559)*100</f>
        <v/>
      </c>
      <c r="DZ2558" s="64">
        <f>($DX2558-$DX2559)*100</f>
        <v/>
      </c>
      <c r="EA2558" s="64">
        <f>($DW2558-$D2558)*100</f>
        <v/>
      </c>
      <c r="EB2558" s="64">
        <f>$Q2558-$O2558</f>
        <v/>
      </c>
      <c r="EC2558" s="67">
        <f>IFERROR($Q2558/$P2558,"")</f>
        <v/>
      </c>
    </row>
    <row r="2559">
      <c r="DG2559" s="64">
        <f>($B2559-$B2560)*100</f>
        <v/>
      </c>
      <c r="DH2559" s="64">
        <f>($D2559-$D2560)*100</f>
        <v/>
      </c>
      <c r="DI2559" s="64">
        <f>($E2559-$E2560)*100</f>
        <v/>
      </c>
      <c r="DJ2559" s="64">
        <f>($H2559-$H2560)*100</f>
        <v/>
      </c>
      <c r="DK2559" s="65">
        <f>IFERROR($J2559/$J2560-1,"")</f>
        <v/>
      </c>
      <c r="DL2559" s="64">
        <f>$L2559-$L2560</f>
        <v/>
      </c>
      <c r="DM2559" s="64">
        <f>$K2559-$K2560</f>
        <v/>
      </c>
      <c r="DN2559" s="65">
        <f>IFERROR($N2559/$N2560-1,"")</f>
        <v/>
      </c>
      <c r="DO2559" s="65">
        <f>IFERROR($M2559/$M2560-1,"")</f>
        <v/>
      </c>
      <c r="DP2559" s="65">
        <f>IFERROR($AZ2559/$AZ2560-1,"")</f>
        <v/>
      </c>
      <c r="DQ2559" s="65">
        <f>IFERROR($BA2559/$BA2560-1,"")</f>
        <v/>
      </c>
      <c r="DR2559" s="64">
        <f>$O2559-$O2560</f>
        <v/>
      </c>
      <c r="DS2559" s="64">
        <f>$P2559-$P2560</f>
        <v/>
      </c>
      <c r="DT2559" s="64">
        <f>$Q2559-$Q2560</f>
        <v/>
      </c>
      <c r="DU2559" s="64">
        <f>$S2559-$S2560</f>
        <v/>
      </c>
      <c r="DV2559" s="65">
        <f>IFERROR(AVERAGE($AA2560/$AA2559-1,$AB2560/$AB2559-1,$AC2560/$AC2559-1,$AD2560/$AD2559-1,$AE2560/$AE2559-1,$AG2560/$AG2559-1,$AH2560/$AH2559-1,$AI2560/$AI2559-1,$AJ2560/$AJ2559-1,$AL2560/$AL2559-1,$AM2560/$AM2559-1,$AR2560/$AR2559-1,$AS2560/$AS2559-1,$AT2560/$AT2559-1,$AU2560/$AU2559-1,$AV2560/$AV2559-1,$AW2560/$AW2559-1,$AX2560/$AX2559-1,$AY2560/$AY2559-1),"")</f>
        <v/>
      </c>
      <c r="DW2559" s="66">
        <f>AVERAGE($CB2559,$CC2559,$CD2559,$CE2559,$CF2559,$CG2559,$CH2559,$CI2559,$CJ2559,$CL2559,$CM2559,$CN2559,$CO2559,$CP2559,$CQ2559,$CR2559,$CS2559,$CT2559)</f>
        <v/>
      </c>
      <c r="DX2559" s="66">
        <f>AVERAGE($CB2559,$CC2559,$CM2559,$CE2559,$CP2559)</f>
        <v/>
      </c>
      <c r="DY2559" s="64">
        <f>($DW2559-$DW2560)*100</f>
        <v/>
      </c>
      <c r="DZ2559" s="64">
        <f>($DX2559-$DX2560)*100</f>
        <v/>
      </c>
      <c r="EA2559" s="64">
        <f>($DW2559-$D2559)*100</f>
        <v/>
      </c>
      <c r="EB2559" s="64">
        <f>$Q2559-$O2559</f>
        <v/>
      </c>
      <c r="EC2559" s="67">
        <f>IFERROR($Q2559/$P2559,"")</f>
        <v/>
      </c>
    </row>
    <row r="2560">
      <c r="DG2560" s="64">
        <f>($B2560-$B2561)*100</f>
        <v/>
      </c>
      <c r="DH2560" s="64">
        <f>($D2560-$D2561)*100</f>
        <v/>
      </c>
      <c r="DI2560" s="64">
        <f>($E2560-$E2561)*100</f>
        <v/>
      </c>
      <c r="DJ2560" s="64">
        <f>($H2560-$H2561)*100</f>
        <v/>
      </c>
      <c r="DK2560" s="65">
        <f>IFERROR($J2560/$J2561-1,"")</f>
        <v/>
      </c>
      <c r="DL2560" s="64">
        <f>$L2560-$L2561</f>
        <v/>
      </c>
      <c r="DM2560" s="64">
        <f>$K2560-$K2561</f>
        <v/>
      </c>
      <c r="DN2560" s="65">
        <f>IFERROR($N2560/$N2561-1,"")</f>
        <v/>
      </c>
      <c r="DO2560" s="65">
        <f>IFERROR($M2560/$M2561-1,"")</f>
        <v/>
      </c>
      <c r="DP2560" s="65">
        <f>IFERROR($AZ2560/$AZ2561-1,"")</f>
        <v/>
      </c>
      <c r="DQ2560" s="65">
        <f>IFERROR($BA2560/$BA2561-1,"")</f>
        <v/>
      </c>
      <c r="DR2560" s="64">
        <f>$O2560-$O2561</f>
        <v/>
      </c>
      <c r="DS2560" s="64">
        <f>$P2560-$P2561</f>
        <v/>
      </c>
      <c r="DT2560" s="64">
        <f>$Q2560-$Q2561</f>
        <v/>
      </c>
      <c r="DU2560" s="64">
        <f>$S2560-$S2561</f>
        <v/>
      </c>
      <c r="DV2560" s="65">
        <f>IFERROR(AVERAGE($AA2561/$AA2560-1,$AB2561/$AB2560-1,$AC2561/$AC2560-1,$AD2561/$AD2560-1,$AE2561/$AE2560-1,$AG2561/$AG2560-1,$AH2561/$AH2560-1,$AI2561/$AI2560-1,$AJ2561/$AJ2560-1,$AL2561/$AL2560-1,$AM2561/$AM2560-1,$AR2561/$AR2560-1,$AS2561/$AS2560-1,$AT2561/$AT2560-1,$AU2561/$AU2560-1,$AV2561/$AV2560-1,$AW2561/$AW2560-1,$AX2561/$AX2560-1,$AY2561/$AY2560-1),"")</f>
        <v/>
      </c>
      <c r="DW2560" s="66">
        <f>AVERAGE($CB2560,$CC2560,$CD2560,$CE2560,$CF2560,$CG2560,$CH2560,$CI2560,$CJ2560,$CL2560,$CM2560,$CN2560,$CO2560,$CP2560,$CQ2560,$CR2560,$CS2560,$CT2560)</f>
        <v/>
      </c>
      <c r="DX2560" s="66">
        <f>AVERAGE($CB2560,$CC2560,$CM2560,$CE2560,$CP2560)</f>
        <v/>
      </c>
      <c r="DY2560" s="64">
        <f>($DW2560-$DW2561)*100</f>
        <v/>
      </c>
      <c r="DZ2560" s="64">
        <f>($DX2560-$DX2561)*100</f>
        <v/>
      </c>
      <c r="EA2560" s="64">
        <f>($DW2560-$D2560)*100</f>
        <v/>
      </c>
      <c r="EB2560" s="64">
        <f>$Q2560-$O2560</f>
        <v/>
      </c>
      <c r="EC2560" s="67">
        <f>IFERROR($Q2560/$P2560,"")</f>
        <v/>
      </c>
    </row>
    <row r="2561">
      <c r="DG2561" s="64">
        <f>($B2561-$B2562)*100</f>
        <v/>
      </c>
      <c r="DH2561" s="64">
        <f>($D2561-$D2562)*100</f>
        <v/>
      </c>
      <c r="DI2561" s="64">
        <f>($E2561-$E2562)*100</f>
        <v/>
      </c>
      <c r="DJ2561" s="64">
        <f>($H2561-$H2562)*100</f>
        <v/>
      </c>
      <c r="DK2561" s="65">
        <f>IFERROR($J2561/$J2562-1,"")</f>
        <v/>
      </c>
      <c r="DL2561" s="64">
        <f>$L2561-$L2562</f>
        <v/>
      </c>
      <c r="DM2561" s="64">
        <f>$K2561-$K2562</f>
        <v/>
      </c>
      <c r="DN2561" s="65">
        <f>IFERROR($N2561/$N2562-1,"")</f>
        <v/>
      </c>
      <c r="DO2561" s="65">
        <f>IFERROR($M2561/$M2562-1,"")</f>
        <v/>
      </c>
      <c r="DP2561" s="65">
        <f>IFERROR($AZ2561/$AZ2562-1,"")</f>
        <v/>
      </c>
      <c r="DQ2561" s="65">
        <f>IFERROR($BA2561/$BA2562-1,"")</f>
        <v/>
      </c>
      <c r="DR2561" s="64">
        <f>$O2561-$O2562</f>
        <v/>
      </c>
      <c r="DS2561" s="64">
        <f>$P2561-$P2562</f>
        <v/>
      </c>
      <c r="DT2561" s="64">
        <f>$Q2561-$Q2562</f>
        <v/>
      </c>
      <c r="DU2561" s="64">
        <f>$S2561-$S2562</f>
        <v/>
      </c>
      <c r="DV2561" s="65">
        <f>IFERROR(AVERAGE($AA2562/$AA2561-1,$AB2562/$AB2561-1,$AC2562/$AC2561-1,$AD2562/$AD2561-1,$AE2562/$AE2561-1,$AG2562/$AG2561-1,$AH2562/$AH2561-1,$AI2562/$AI2561-1,$AJ2562/$AJ2561-1,$AL2562/$AL2561-1,$AM2562/$AM2561-1,$AR2562/$AR2561-1,$AS2562/$AS2561-1,$AT2562/$AT2561-1,$AU2562/$AU2561-1,$AV2562/$AV2561-1,$AW2562/$AW2561-1,$AX2562/$AX2561-1,$AY2562/$AY2561-1),"")</f>
        <v/>
      </c>
      <c r="DW2561" s="66">
        <f>AVERAGE($CB2561,$CC2561,$CD2561,$CE2561,$CF2561,$CG2561,$CH2561,$CI2561,$CJ2561,$CL2561,$CM2561,$CN2561,$CO2561,$CP2561,$CQ2561,$CR2561,$CS2561,$CT2561)</f>
        <v/>
      </c>
      <c r="DX2561" s="66">
        <f>AVERAGE($CB2561,$CC2561,$CM2561,$CE2561,$CP2561)</f>
        <v/>
      </c>
      <c r="DY2561" s="64">
        <f>($DW2561-$DW2562)*100</f>
        <v/>
      </c>
      <c r="DZ2561" s="64">
        <f>($DX2561-$DX2562)*100</f>
        <v/>
      </c>
      <c r="EA2561" s="64">
        <f>($DW2561-$D2561)*100</f>
        <v/>
      </c>
      <c r="EB2561" s="64">
        <f>$Q2561-$O2561</f>
        <v/>
      </c>
      <c r="EC2561" s="67">
        <f>IFERROR($Q2561/$P2561,"")</f>
        <v/>
      </c>
    </row>
    <row r="2562">
      <c r="DG2562" s="64">
        <f>($B2562-$B2563)*100</f>
        <v/>
      </c>
      <c r="DH2562" s="64">
        <f>($D2562-$D2563)*100</f>
        <v/>
      </c>
      <c r="DI2562" s="64">
        <f>($E2562-$E2563)*100</f>
        <v/>
      </c>
      <c r="DJ2562" s="64">
        <f>($H2562-$H2563)*100</f>
        <v/>
      </c>
      <c r="DK2562" s="65">
        <f>IFERROR($J2562/$J2563-1,"")</f>
        <v/>
      </c>
      <c r="DL2562" s="64">
        <f>$L2562-$L2563</f>
        <v/>
      </c>
      <c r="DM2562" s="64">
        <f>$K2562-$K2563</f>
        <v/>
      </c>
      <c r="DN2562" s="65">
        <f>IFERROR($N2562/$N2563-1,"")</f>
        <v/>
      </c>
      <c r="DO2562" s="65">
        <f>IFERROR($M2562/$M2563-1,"")</f>
        <v/>
      </c>
      <c r="DP2562" s="65">
        <f>IFERROR($AZ2562/$AZ2563-1,"")</f>
        <v/>
      </c>
      <c r="DQ2562" s="65">
        <f>IFERROR($BA2562/$BA2563-1,"")</f>
        <v/>
      </c>
      <c r="DR2562" s="64">
        <f>$O2562-$O2563</f>
        <v/>
      </c>
      <c r="DS2562" s="64">
        <f>$P2562-$P2563</f>
        <v/>
      </c>
      <c r="DT2562" s="64">
        <f>$Q2562-$Q2563</f>
        <v/>
      </c>
      <c r="DU2562" s="64">
        <f>$S2562-$S2563</f>
        <v/>
      </c>
      <c r="DV2562" s="65">
        <f>IFERROR(AVERAGE($AA2563/$AA2562-1,$AB2563/$AB2562-1,$AC2563/$AC2562-1,$AD2563/$AD2562-1,$AE2563/$AE2562-1,$AG2563/$AG2562-1,$AH2563/$AH2562-1,$AI2563/$AI2562-1,$AJ2563/$AJ2562-1,$AL2563/$AL2562-1,$AM2563/$AM2562-1,$AR2563/$AR2562-1,$AS2563/$AS2562-1,$AT2563/$AT2562-1,$AU2563/$AU2562-1,$AV2563/$AV2562-1,$AW2563/$AW2562-1,$AX2563/$AX2562-1,$AY2563/$AY2562-1),"")</f>
        <v/>
      </c>
      <c r="DW2562" s="66">
        <f>AVERAGE($CB2562,$CC2562,$CD2562,$CE2562,$CF2562,$CG2562,$CH2562,$CI2562,$CJ2562,$CL2562,$CM2562,$CN2562,$CO2562,$CP2562,$CQ2562,$CR2562,$CS2562,$CT2562)</f>
        <v/>
      </c>
      <c r="DX2562" s="66">
        <f>AVERAGE($CB2562,$CC2562,$CM2562,$CE2562,$CP2562)</f>
        <v/>
      </c>
      <c r="DY2562" s="64">
        <f>($DW2562-$DW2563)*100</f>
        <v/>
      </c>
      <c r="DZ2562" s="64">
        <f>($DX2562-$DX2563)*100</f>
        <v/>
      </c>
      <c r="EA2562" s="64">
        <f>($DW2562-$D2562)*100</f>
        <v/>
      </c>
      <c r="EB2562" s="64">
        <f>$Q2562-$O2562</f>
        <v/>
      </c>
      <c r="EC2562" s="67">
        <f>IFERROR($Q2562/$P2562,"")</f>
        <v/>
      </c>
    </row>
    <row r="2563">
      <c r="DG2563" s="64">
        <f>($B2563-$B2564)*100</f>
        <v/>
      </c>
      <c r="DH2563" s="64">
        <f>($D2563-$D2564)*100</f>
        <v/>
      </c>
      <c r="DI2563" s="64">
        <f>($E2563-$E2564)*100</f>
        <v/>
      </c>
      <c r="DJ2563" s="64">
        <f>($H2563-$H2564)*100</f>
        <v/>
      </c>
      <c r="DK2563" s="65">
        <f>IFERROR($J2563/$J2564-1,"")</f>
        <v/>
      </c>
      <c r="DL2563" s="64">
        <f>$L2563-$L2564</f>
        <v/>
      </c>
      <c r="DM2563" s="64">
        <f>$K2563-$K2564</f>
        <v/>
      </c>
      <c r="DN2563" s="65">
        <f>IFERROR($N2563/$N2564-1,"")</f>
        <v/>
      </c>
      <c r="DO2563" s="65">
        <f>IFERROR($M2563/$M2564-1,"")</f>
        <v/>
      </c>
      <c r="DP2563" s="65">
        <f>IFERROR($AZ2563/$AZ2564-1,"")</f>
        <v/>
      </c>
      <c r="DQ2563" s="65">
        <f>IFERROR($BA2563/$BA2564-1,"")</f>
        <v/>
      </c>
      <c r="DR2563" s="64">
        <f>$O2563-$O2564</f>
        <v/>
      </c>
      <c r="DS2563" s="64">
        <f>$P2563-$P2564</f>
        <v/>
      </c>
      <c r="DT2563" s="64">
        <f>$Q2563-$Q2564</f>
        <v/>
      </c>
      <c r="DU2563" s="64">
        <f>$S2563-$S2564</f>
        <v/>
      </c>
      <c r="DV2563" s="65">
        <f>IFERROR(AVERAGE($AA2564/$AA2563-1,$AB2564/$AB2563-1,$AC2564/$AC2563-1,$AD2564/$AD2563-1,$AE2564/$AE2563-1,$AG2564/$AG2563-1,$AH2564/$AH2563-1,$AI2564/$AI2563-1,$AJ2564/$AJ2563-1,$AL2564/$AL2563-1,$AM2564/$AM2563-1,$AR2564/$AR2563-1,$AS2564/$AS2563-1,$AT2564/$AT2563-1,$AU2564/$AU2563-1,$AV2564/$AV2563-1,$AW2564/$AW2563-1,$AX2564/$AX2563-1,$AY2564/$AY2563-1),"")</f>
        <v/>
      </c>
      <c r="DW2563" s="66">
        <f>AVERAGE($CB2563,$CC2563,$CD2563,$CE2563,$CF2563,$CG2563,$CH2563,$CI2563,$CJ2563,$CL2563,$CM2563,$CN2563,$CO2563,$CP2563,$CQ2563,$CR2563,$CS2563,$CT2563)</f>
        <v/>
      </c>
      <c r="DX2563" s="66">
        <f>AVERAGE($CB2563,$CC2563,$CM2563,$CE2563,$CP2563)</f>
        <v/>
      </c>
      <c r="DY2563" s="64">
        <f>($DW2563-$DW2564)*100</f>
        <v/>
      </c>
      <c r="DZ2563" s="64">
        <f>($DX2563-$DX2564)*100</f>
        <v/>
      </c>
      <c r="EA2563" s="64">
        <f>($DW2563-$D2563)*100</f>
        <v/>
      </c>
      <c r="EB2563" s="64">
        <f>$Q2563-$O2563</f>
        <v/>
      </c>
      <c r="EC2563" s="67">
        <f>IFERROR($Q2563/$P2563,"")</f>
        <v/>
      </c>
    </row>
    <row r="2564">
      <c r="DG2564" s="64">
        <f>($B2564-$B2565)*100</f>
        <v/>
      </c>
      <c r="DH2564" s="64">
        <f>($D2564-$D2565)*100</f>
        <v/>
      </c>
      <c r="DI2564" s="64">
        <f>($E2564-$E2565)*100</f>
        <v/>
      </c>
      <c r="DJ2564" s="64">
        <f>($H2564-$H2565)*100</f>
        <v/>
      </c>
      <c r="DK2564" s="65">
        <f>IFERROR($J2564/$J2565-1,"")</f>
        <v/>
      </c>
      <c r="DL2564" s="64">
        <f>$L2564-$L2565</f>
        <v/>
      </c>
      <c r="DM2564" s="64">
        <f>$K2564-$K2565</f>
        <v/>
      </c>
      <c r="DN2564" s="65">
        <f>IFERROR($N2564/$N2565-1,"")</f>
        <v/>
      </c>
      <c r="DO2564" s="65">
        <f>IFERROR($M2564/$M2565-1,"")</f>
        <v/>
      </c>
      <c r="DP2564" s="65">
        <f>IFERROR($AZ2564/$AZ2565-1,"")</f>
        <v/>
      </c>
      <c r="DQ2564" s="65">
        <f>IFERROR($BA2564/$BA2565-1,"")</f>
        <v/>
      </c>
      <c r="DR2564" s="64">
        <f>$O2564-$O2565</f>
        <v/>
      </c>
      <c r="DS2564" s="64">
        <f>$P2564-$P2565</f>
        <v/>
      </c>
      <c r="DT2564" s="64">
        <f>$Q2564-$Q2565</f>
        <v/>
      </c>
      <c r="DU2564" s="64">
        <f>$S2564-$S2565</f>
        <v/>
      </c>
      <c r="DV2564" s="65">
        <f>IFERROR(AVERAGE($AA2565/$AA2564-1,$AB2565/$AB2564-1,$AC2565/$AC2564-1,$AD2565/$AD2564-1,$AE2565/$AE2564-1,$AG2565/$AG2564-1,$AH2565/$AH2564-1,$AI2565/$AI2564-1,$AJ2565/$AJ2564-1,$AL2565/$AL2564-1,$AM2565/$AM2564-1,$AR2565/$AR2564-1,$AS2565/$AS2564-1,$AT2565/$AT2564-1,$AU2565/$AU2564-1,$AV2565/$AV2564-1,$AW2565/$AW2564-1,$AX2565/$AX2564-1,$AY2565/$AY2564-1),"")</f>
        <v/>
      </c>
      <c r="DW2564" s="66">
        <f>AVERAGE($CB2564,$CC2564,$CD2564,$CE2564,$CF2564,$CG2564,$CH2564,$CI2564,$CJ2564,$CL2564,$CM2564,$CN2564,$CO2564,$CP2564,$CQ2564,$CR2564,$CS2564,$CT2564)</f>
        <v/>
      </c>
      <c r="DX2564" s="66">
        <f>AVERAGE($CB2564,$CC2564,$CM2564,$CE2564,$CP2564)</f>
        <v/>
      </c>
      <c r="DY2564" s="64">
        <f>($DW2564-$DW2565)*100</f>
        <v/>
      </c>
      <c r="DZ2564" s="64">
        <f>($DX2564-$DX2565)*100</f>
        <v/>
      </c>
      <c r="EA2564" s="64">
        <f>($DW2564-$D2564)*100</f>
        <v/>
      </c>
      <c r="EB2564" s="64">
        <f>$Q2564-$O2564</f>
        <v/>
      </c>
      <c r="EC2564" s="67">
        <f>IFERROR($Q2564/$P2564,"")</f>
        <v/>
      </c>
    </row>
    <row r="2565">
      <c r="DG2565" s="64">
        <f>($B2565-$B2566)*100</f>
        <v/>
      </c>
      <c r="DH2565" s="64">
        <f>($D2565-$D2566)*100</f>
        <v/>
      </c>
      <c r="DI2565" s="64">
        <f>($E2565-$E2566)*100</f>
        <v/>
      </c>
      <c r="DJ2565" s="64">
        <f>($H2565-$H2566)*100</f>
        <v/>
      </c>
      <c r="DK2565" s="65">
        <f>IFERROR($J2565/$J2566-1,"")</f>
        <v/>
      </c>
      <c r="DL2565" s="64">
        <f>$L2565-$L2566</f>
        <v/>
      </c>
      <c r="DM2565" s="64">
        <f>$K2565-$K2566</f>
        <v/>
      </c>
      <c r="DN2565" s="65">
        <f>IFERROR($N2565/$N2566-1,"")</f>
        <v/>
      </c>
      <c r="DO2565" s="65">
        <f>IFERROR($M2565/$M2566-1,"")</f>
        <v/>
      </c>
      <c r="DP2565" s="65">
        <f>IFERROR($AZ2565/$AZ2566-1,"")</f>
        <v/>
      </c>
      <c r="DQ2565" s="65">
        <f>IFERROR($BA2565/$BA2566-1,"")</f>
        <v/>
      </c>
      <c r="DR2565" s="64">
        <f>$O2565-$O2566</f>
        <v/>
      </c>
      <c r="DS2565" s="64">
        <f>$P2565-$P2566</f>
        <v/>
      </c>
      <c r="DT2565" s="64">
        <f>$Q2565-$Q2566</f>
        <v/>
      </c>
      <c r="DU2565" s="64">
        <f>$S2565-$S2566</f>
        <v/>
      </c>
      <c r="DV2565" s="65">
        <f>IFERROR(AVERAGE($AA2566/$AA2565-1,$AB2566/$AB2565-1,$AC2566/$AC2565-1,$AD2566/$AD2565-1,$AE2566/$AE2565-1,$AG2566/$AG2565-1,$AH2566/$AH2565-1,$AI2566/$AI2565-1,$AJ2566/$AJ2565-1,$AL2566/$AL2565-1,$AM2566/$AM2565-1,$AR2566/$AR2565-1,$AS2566/$AS2565-1,$AT2566/$AT2565-1,$AU2566/$AU2565-1,$AV2566/$AV2565-1,$AW2566/$AW2565-1,$AX2566/$AX2565-1,$AY2566/$AY2565-1),"")</f>
        <v/>
      </c>
      <c r="DW2565" s="66">
        <f>AVERAGE($CB2565,$CC2565,$CD2565,$CE2565,$CF2565,$CG2565,$CH2565,$CI2565,$CJ2565,$CL2565,$CM2565,$CN2565,$CO2565,$CP2565,$CQ2565,$CR2565,$CS2565,$CT2565)</f>
        <v/>
      </c>
      <c r="DX2565" s="66">
        <f>AVERAGE($CB2565,$CC2565,$CM2565,$CE2565,$CP2565)</f>
        <v/>
      </c>
      <c r="DY2565" s="64">
        <f>($DW2565-$DW2566)*100</f>
        <v/>
      </c>
      <c r="DZ2565" s="64">
        <f>($DX2565-$DX2566)*100</f>
        <v/>
      </c>
      <c r="EA2565" s="64">
        <f>($DW2565-$D2565)*100</f>
        <v/>
      </c>
      <c r="EB2565" s="64">
        <f>$Q2565-$O2565</f>
        <v/>
      </c>
      <c r="EC2565" s="67">
        <f>IFERROR($Q2565/$P2565,"")</f>
        <v/>
      </c>
    </row>
    <row r="2566">
      <c r="DG2566" s="64">
        <f>($B2566-$B2567)*100</f>
        <v/>
      </c>
      <c r="DH2566" s="64">
        <f>($D2566-$D2567)*100</f>
        <v/>
      </c>
      <c r="DI2566" s="64">
        <f>($E2566-$E2567)*100</f>
        <v/>
      </c>
      <c r="DJ2566" s="64">
        <f>($H2566-$H2567)*100</f>
        <v/>
      </c>
      <c r="DK2566" s="65">
        <f>IFERROR($J2566/$J2567-1,"")</f>
        <v/>
      </c>
      <c r="DL2566" s="64">
        <f>$L2566-$L2567</f>
        <v/>
      </c>
      <c r="DM2566" s="64">
        <f>$K2566-$K2567</f>
        <v/>
      </c>
      <c r="DN2566" s="65">
        <f>IFERROR($N2566/$N2567-1,"")</f>
        <v/>
      </c>
      <c r="DO2566" s="65">
        <f>IFERROR($M2566/$M2567-1,"")</f>
        <v/>
      </c>
      <c r="DP2566" s="65">
        <f>IFERROR($AZ2566/$AZ2567-1,"")</f>
        <v/>
      </c>
      <c r="DQ2566" s="65">
        <f>IFERROR($BA2566/$BA2567-1,"")</f>
        <v/>
      </c>
      <c r="DR2566" s="64">
        <f>$O2566-$O2567</f>
        <v/>
      </c>
      <c r="DS2566" s="64">
        <f>$P2566-$P2567</f>
        <v/>
      </c>
      <c r="DT2566" s="64">
        <f>$Q2566-$Q2567</f>
        <v/>
      </c>
      <c r="DU2566" s="64">
        <f>$S2566-$S2567</f>
        <v/>
      </c>
      <c r="DV2566" s="65">
        <f>IFERROR(AVERAGE($AA2567/$AA2566-1,$AB2567/$AB2566-1,$AC2567/$AC2566-1,$AD2567/$AD2566-1,$AE2567/$AE2566-1,$AG2567/$AG2566-1,$AH2567/$AH2566-1,$AI2567/$AI2566-1,$AJ2567/$AJ2566-1,$AL2567/$AL2566-1,$AM2567/$AM2566-1,$AR2567/$AR2566-1,$AS2567/$AS2566-1,$AT2567/$AT2566-1,$AU2567/$AU2566-1,$AV2567/$AV2566-1,$AW2567/$AW2566-1,$AX2567/$AX2566-1,$AY2567/$AY2566-1),"")</f>
        <v/>
      </c>
      <c r="DW2566" s="66">
        <f>AVERAGE($CB2566,$CC2566,$CD2566,$CE2566,$CF2566,$CG2566,$CH2566,$CI2566,$CJ2566,$CL2566,$CM2566,$CN2566,$CO2566,$CP2566,$CQ2566,$CR2566,$CS2566,$CT2566)</f>
        <v/>
      </c>
      <c r="DX2566" s="66">
        <f>AVERAGE($CB2566,$CC2566,$CM2566,$CE2566,$CP2566)</f>
        <v/>
      </c>
      <c r="DY2566" s="64">
        <f>($DW2566-$DW2567)*100</f>
        <v/>
      </c>
      <c r="DZ2566" s="64">
        <f>($DX2566-$DX2567)*100</f>
        <v/>
      </c>
      <c r="EA2566" s="64">
        <f>($DW2566-$D2566)*100</f>
        <v/>
      </c>
      <c r="EB2566" s="64">
        <f>$Q2566-$O2566</f>
        <v/>
      </c>
      <c r="EC2566" s="67">
        <f>IFERROR($Q2566/$P2566,"")</f>
        <v/>
      </c>
    </row>
    <row r="2567">
      <c r="DG2567" s="64">
        <f>($B2567-$B2568)*100</f>
        <v/>
      </c>
      <c r="DH2567" s="64">
        <f>($D2567-$D2568)*100</f>
        <v/>
      </c>
      <c r="DI2567" s="64">
        <f>($E2567-$E2568)*100</f>
        <v/>
      </c>
      <c r="DJ2567" s="64">
        <f>($H2567-$H2568)*100</f>
        <v/>
      </c>
      <c r="DK2567" s="65">
        <f>IFERROR($J2567/$J2568-1,"")</f>
        <v/>
      </c>
      <c r="DL2567" s="64">
        <f>$L2567-$L2568</f>
        <v/>
      </c>
      <c r="DM2567" s="64">
        <f>$K2567-$K2568</f>
        <v/>
      </c>
      <c r="DN2567" s="65">
        <f>IFERROR($N2567/$N2568-1,"")</f>
        <v/>
      </c>
      <c r="DO2567" s="65">
        <f>IFERROR($M2567/$M2568-1,"")</f>
        <v/>
      </c>
      <c r="DP2567" s="65">
        <f>IFERROR($AZ2567/$AZ2568-1,"")</f>
        <v/>
      </c>
      <c r="DQ2567" s="65">
        <f>IFERROR($BA2567/$BA2568-1,"")</f>
        <v/>
      </c>
      <c r="DR2567" s="64">
        <f>$O2567-$O2568</f>
        <v/>
      </c>
      <c r="DS2567" s="64">
        <f>$P2567-$P2568</f>
        <v/>
      </c>
      <c r="DT2567" s="64">
        <f>$Q2567-$Q2568</f>
        <v/>
      </c>
      <c r="DU2567" s="64">
        <f>$S2567-$S2568</f>
        <v/>
      </c>
      <c r="DV2567" s="65">
        <f>IFERROR(AVERAGE($AA2568/$AA2567-1,$AB2568/$AB2567-1,$AC2568/$AC2567-1,$AD2568/$AD2567-1,$AE2568/$AE2567-1,$AG2568/$AG2567-1,$AH2568/$AH2567-1,$AI2568/$AI2567-1,$AJ2568/$AJ2567-1,$AL2568/$AL2567-1,$AM2568/$AM2567-1,$AR2568/$AR2567-1,$AS2568/$AS2567-1,$AT2568/$AT2567-1,$AU2568/$AU2567-1,$AV2568/$AV2567-1,$AW2568/$AW2567-1,$AX2568/$AX2567-1,$AY2568/$AY2567-1),"")</f>
        <v/>
      </c>
      <c r="DW2567" s="66">
        <f>AVERAGE($CB2567,$CC2567,$CD2567,$CE2567,$CF2567,$CG2567,$CH2567,$CI2567,$CJ2567,$CL2567,$CM2567,$CN2567,$CO2567,$CP2567,$CQ2567,$CR2567,$CS2567,$CT2567)</f>
        <v/>
      </c>
      <c r="DX2567" s="66">
        <f>AVERAGE($CB2567,$CC2567,$CM2567,$CE2567,$CP2567)</f>
        <v/>
      </c>
      <c r="DY2567" s="64">
        <f>($DW2567-$DW2568)*100</f>
        <v/>
      </c>
      <c r="DZ2567" s="64">
        <f>($DX2567-$DX2568)*100</f>
        <v/>
      </c>
      <c r="EA2567" s="64">
        <f>($DW2567-$D2567)*100</f>
        <v/>
      </c>
      <c r="EB2567" s="64">
        <f>$Q2567-$O2567</f>
        <v/>
      </c>
      <c r="EC2567" s="67">
        <f>IFERROR($Q2567/$P2567,"")</f>
        <v/>
      </c>
    </row>
    <row r="2568">
      <c r="DG2568" s="64">
        <f>($B2568-$B2569)*100</f>
        <v/>
      </c>
      <c r="DH2568" s="64">
        <f>($D2568-$D2569)*100</f>
        <v/>
      </c>
      <c r="DI2568" s="64">
        <f>($E2568-$E2569)*100</f>
        <v/>
      </c>
      <c r="DJ2568" s="64">
        <f>($H2568-$H2569)*100</f>
        <v/>
      </c>
      <c r="DK2568" s="65">
        <f>IFERROR($J2568/$J2569-1,"")</f>
        <v/>
      </c>
      <c r="DL2568" s="64">
        <f>$L2568-$L2569</f>
        <v/>
      </c>
      <c r="DM2568" s="64">
        <f>$K2568-$K2569</f>
        <v/>
      </c>
      <c r="DN2568" s="65">
        <f>IFERROR($N2568/$N2569-1,"")</f>
        <v/>
      </c>
      <c r="DO2568" s="65">
        <f>IFERROR($M2568/$M2569-1,"")</f>
        <v/>
      </c>
      <c r="DP2568" s="65">
        <f>IFERROR($AZ2568/$AZ2569-1,"")</f>
        <v/>
      </c>
      <c r="DQ2568" s="65">
        <f>IFERROR($BA2568/$BA2569-1,"")</f>
        <v/>
      </c>
      <c r="DR2568" s="64">
        <f>$O2568-$O2569</f>
        <v/>
      </c>
      <c r="DS2568" s="64">
        <f>$P2568-$P2569</f>
        <v/>
      </c>
      <c r="DT2568" s="64">
        <f>$Q2568-$Q2569</f>
        <v/>
      </c>
      <c r="DU2568" s="64">
        <f>$S2568-$S2569</f>
        <v/>
      </c>
      <c r="DV2568" s="65">
        <f>IFERROR(AVERAGE($AA2569/$AA2568-1,$AB2569/$AB2568-1,$AC2569/$AC2568-1,$AD2569/$AD2568-1,$AE2569/$AE2568-1,$AG2569/$AG2568-1,$AH2569/$AH2568-1,$AI2569/$AI2568-1,$AJ2569/$AJ2568-1,$AL2569/$AL2568-1,$AM2569/$AM2568-1,$AR2569/$AR2568-1,$AS2569/$AS2568-1,$AT2569/$AT2568-1,$AU2569/$AU2568-1,$AV2569/$AV2568-1,$AW2569/$AW2568-1,$AX2569/$AX2568-1,$AY2569/$AY2568-1),"")</f>
        <v/>
      </c>
      <c r="DW2568" s="66">
        <f>AVERAGE($CB2568,$CC2568,$CD2568,$CE2568,$CF2568,$CG2568,$CH2568,$CI2568,$CJ2568,$CL2568,$CM2568,$CN2568,$CO2568,$CP2568,$CQ2568,$CR2568,$CS2568,$CT2568)</f>
        <v/>
      </c>
      <c r="DX2568" s="66">
        <f>AVERAGE($CB2568,$CC2568,$CM2568,$CE2568,$CP2568)</f>
        <v/>
      </c>
      <c r="DY2568" s="64">
        <f>($DW2568-$DW2569)*100</f>
        <v/>
      </c>
      <c r="DZ2568" s="64">
        <f>($DX2568-$DX2569)*100</f>
        <v/>
      </c>
      <c r="EA2568" s="64">
        <f>($DW2568-$D2568)*100</f>
        <v/>
      </c>
      <c r="EB2568" s="64">
        <f>$Q2568-$O2568</f>
        <v/>
      </c>
      <c r="EC2568" s="67">
        <f>IFERROR($Q2568/$P2568,"")</f>
        <v/>
      </c>
    </row>
    <row r="2569">
      <c r="DG2569" s="64">
        <f>($B2569-$B2570)*100</f>
        <v/>
      </c>
      <c r="DH2569" s="64">
        <f>($D2569-$D2570)*100</f>
        <v/>
      </c>
      <c r="DI2569" s="64">
        <f>($E2569-$E2570)*100</f>
        <v/>
      </c>
      <c r="DJ2569" s="64">
        <f>($H2569-$H2570)*100</f>
        <v/>
      </c>
      <c r="DK2569" s="65">
        <f>IFERROR($J2569/$J2570-1,"")</f>
        <v/>
      </c>
      <c r="DL2569" s="64">
        <f>$L2569-$L2570</f>
        <v/>
      </c>
      <c r="DM2569" s="64">
        <f>$K2569-$K2570</f>
        <v/>
      </c>
      <c r="DN2569" s="65">
        <f>IFERROR($N2569/$N2570-1,"")</f>
        <v/>
      </c>
      <c r="DO2569" s="65">
        <f>IFERROR($M2569/$M2570-1,"")</f>
        <v/>
      </c>
      <c r="DP2569" s="65">
        <f>IFERROR($AZ2569/$AZ2570-1,"")</f>
        <v/>
      </c>
      <c r="DQ2569" s="65">
        <f>IFERROR($BA2569/$BA2570-1,"")</f>
        <v/>
      </c>
      <c r="DR2569" s="64">
        <f>$O2569-$O2570</f>
        <v/>
      </c>
      <c r="DS2569" s="64">
        <f>$P2569-$P2570</f>
        <v/>
      </c>
      <c r="DT2569" s="64">
        <f>$Q2569-$Q2570</f>
        <v/>
      </c>
      <c r="DU2569" s="64">
        <f>$S2569-$S2570</f>
        <v/>
      </c>
      <c r="DV2569" s="65">
        <f>IFERROR(AVERAGE($AA2570/$AA2569-1,$AB2570/$AB2569-1,$AC2570/$AC2569-1,$AD2570/$AD2569-1,$AE2570/$AE2569-1,$AG2570/$AG2569-1,$AH2570/$AH2569-1,$AI2570/$AI2569-1,$AJ2570/$AJ2569-1,$AL2570/$AL2569-1,$AM2570/$AM2569-1,$AR2570/$AR2569-1,$AS2570/$AS2569-1,$AT2570/$AT2569-1,$AU2570/$AU2569-1,$AV2570/$AV2569-1,$AW2570/$AW2569-1,$AX2570/$AX2569-1,$AY2570/$AY2569-1),"")</f>
        <v/>
      </c>
      <c r="DW2569" s="66">
        <f>AVERAGE($CB2569,$CC2569,$CD2569,$CE2569,$CF2569,$CG2569,$CH2569,$CI2569,$CJ2569,$CL2569,$CM2569,$CN2569,$CO2569,$CP2569,$CQ2569,$CR2569,$CS2569,$CT2569)</f>
        <v/>
      </c>
      <c r="DX2569" s="66">
        <f>AVERAGE($CB2569,$CC2569,$CM2569,$CE2569,$CP2569)</f>
        <v/>
      </c>
      <c r="DY2569" s="64">
        <f>($DW2569-$DW2570)*100</f>
        <v/>
      </c>
      <c r="DZ2569" s="64">
        <f>($DX2569-$DX2570)*100</f>
        <v/>
      </c>
      <c r="EA2569" s="64">
        <f>($DW2569-$D2569)*100</f>
        <v/>
      </c>
      <c r="EB2569" s="64">
        <f>$Q2569-$O2569</f>
        <v/>
      </c>
      <c r="EC2569" s="67">
        <f>IFERROR($Q2569/$P2569,"")</f>
        <v/>
      </c>
    </row>
    <row r="2570">
      <c r="DG2570" s="64">
        <f>($B2570-$B2571)*100</f>
        <v/>
      </c>
      <c r="DH2570" s="64">
        <f>($D2570-$D2571)*100</f>
        <v/>
      </c>
      <c r="DI2570" s="64">
        <f>($E2570-$E2571)*100</f>
        <v/>
      </c>
      <c r="DJ2570" s="64">
        <f>($H2570-$H2571)*100</f>
        <v/>
      </c>
      <c r="DK2570" s="65">
        <f>IFERROR($J2570/$J2571-1,"")</f>
        <v/>
      </c>
      <c r="DL2570" s="64">
        <f>$L2570-$L2571</f>
        <v/>
      </c>
      <c r="DM2570" s="64">
        <f>$K2570-$K2571</f>
        <v/>
      </c>
      <c r="DN2570" s="65">
        <f>IFERROR($N2570/$N2571-1,"")</f>
        <v/>
      </c>
      <c r="DO2570" s="65">
        <f>IFERROR($M2570/$M2571-1,"")</f>
        <v/>
      </c>
      <c r="DP2570" s="65">
        <f>IFERROR($AZ2570/$AZ2571-1,"")</f>
        <v/>
      </c>
      <c r="DQ2570" s="65">
        <f>IFERROR($BA2570/$BA2571-1,"")</f>
        <v/>
      </c>
      <c r="DR2570" s="64">
        <f>$O2570-$O2571</f>
        <v/>
      </c>
      <c r="DS2570" s="64">
        <f>$P2570-$P2571</f>
        <v/>
      </c>
      <c r="DT2570" s="64">
        <f>$Q2570-$Q2571</f>
        <v/>
      </c>
      <c r="DU2570" s="64">
        <f>$S2570-$S2571</f>
        <v/>
      </c>
      <c r="DV2570" s="65">
        <f>IFERROR(AVERAGE($AA2571/$AA2570-1,$AB2571/$AB2570-1,$AC2571/$AC2570-1,$AD2571/$AD2570-1,$AE2571/$AE2570-1,$AG2571/$AG2570-1,$AH2571/$AH2570-1,$AI2571/$AI2570-1,$AJ2571/$AJ2570-1,$AL2571/$AL2570-1,$AM2571/$AM2570-1,$AR2571/$AR2570-1,$AS2571/$AS2570-1,$AT2571/$AT2570-1,$AU2571/$AU2570-1,$AV2571/$AV2570-1,$AW2571/$AW2570-1,$AX2571/$AX2570-1,$AY2571/$AY2570-1),"")</f>
        <v/>
      </c>
      <c r="DW2570" s="66">
        <f>AVERAGE($CB2570,$CC2570,$CD2570,$CE2570,$CF2570,$CG2570,$CH2570,$CI2570,$CJ2570,$CL2570,$CM2570,$CN2570,$CO2570,$CP2570,$CQ2570,$CR2570,$CS2570,$CT2570)</f>
        <v/>
      </c>
      <c r="DX2570" s="66">
        <f>AVERAGE($CB2570,$CC2570,$CM2570,$CE2570,$CP2570)</f>
        <v/>
      </c>
      <c r="DY2570" s="64">
        <f>($DW2570-$DW2571)*100</f>
        <v/>
      </c>
      <c r="DZ2570" s="64">
        <f>($DX2570-$DX2571)*100</f>
        <v/>
      </c>
      <c r="EA2570" s="64">
        <f>($DW2570-$D2570)*100</f>
        <v/>
      </c>
      <c r="EB2570" s="64">
        <f>$Q2570-$O2570</f>
        <v/>
      </c>
      <c r="EC2570" s="67">
        <f>IFERROR($Q2570/$P2570,"")</f>
        <v/>
      </c>
    </row>
    <row r="2571">
      <c r="DG2571" s="64">
        <f>($B2571-$B2572)*100</f>
        <v/>
      </c>
      <c r="DH2571" s="64">
        <f>($D2571-$D2572)*100</f>
        <v/>
      </c>
      <c r="DI2571" s="64">
        <f>($E2571-$E2572)*100</f>
        <v/>
      </c>
      <c r="DJ2571" s="64">
        <f>($H2571-$H2572)*100</f>
        <v/>
      </c>
      <c r="DK2571" s="65">
        <f>IFERROR($J2571/$J2572-1,"")</f>
        <v/>
      </c>
      <c r="DL2571" s="64">
        <f>$L2571-$L2572</f>
        <v/>
      </c>
      <c r="DM2571" s="64">
        <f>$K2571-$K2572</f>
        <v/>
      </c>
      <c r="DN2571" s="65">
        <f>IFERROR($N2571/$N2572-1,"")</f>
        <v/>
      </c>
      <c r="DO2571" s="65">
        <f>IFERROR($M2571/$M2572-1,"")</f>
        <v/>
      </c>
      <c r="DP2571" s="65">
        <f>IFERROR($AZ2571/$AZ2572-1,"")</f>
        <v/>
      </c>
      <c r="DQ2571" s="65">
        <f>IFERROR($BA2571/$BA2572-1,"")</f>
        <v/>
      </c>
      <c r="DR2571" s="64">
        <f>$O2571-$O2572</f>
        <v/>
      </c>
      <c r="DS2571" s="64">
        <f>$P2571-$P2572</f>
        <v/>
      </c>
      <c r="DT2571" s="64">
        <f>$Q2571-$Q2572</f>
        <v/>
      </c>
      <c r="DU2571" s="64">
        <f>$S2571-$S2572</f>
        <v/>
      </c>
      <c r="DV2571" s="65">
        <f>IFERROR(AVERAGE($AA2572/$AA2571-1,$AB2572/$AB2571-1,$AC2572/$AC2571-1,$AD2572/$AD2571-1,$AE2572/$AE2571-1,$AG2572/$AG2571-1,$AH2572/$AH2571-1,$AI2572/$AI2571-1,$AJ2572/$AJ2571-1,$AL2572/$AL2571-1,$AM2572/$AM2571-1,$AR2572/$AR2571-1,$AS2572/$AS2571-1,$AT2572/$AT2571-1,$AU2572/$AU2571-1,$AV2572/$AV2571-1,$AW2572/$AW2571-1,$AX2572/$AX2571-1,$AY2572/$AY2571-1),"")</f>
        <v/>
      </c>
      <c r="DW2571" s="66">
        <f>AVERAGE($CB2571,$CC2571,$CD2571,$CE2571,$CF2571,$CG2571,$CH2571,$CI2571,$CJ2571,$CL2571,$CM2571,$CN2571,$CO2571,$CP2571,$CQ2571,$CR2571,$CS2571,$CT2571)</f>
        <v/>
      </c>
      <c r="DX2571" s="66">
        <f>AVERAGE($CB2571,$CC2571,$CM2571,$CE2571,$CP2571)</f>
        <v/>
      </c>
      <c r="DY2571" s="64">
        <f>($DW2571-$DW2572)*100</f>
        <v/>
      </c>
      <c r="DZ2571" s="64">
        <f>($DX2571-$DX2572)*100</f>
        <v/>
      </c>
      <c r="EA2571" s="64">
        <f>($DW2571-$D2571)*100</f>
        <v/>
      </c>
      <c r="EB2571" s="64">
        <f>$Q2571-$O2571</f>
        <v/>
      </c>
      <c r="EC2571" s="67">
        <f>IFERROR($Q2571/$P2571,"")</f>
        <v/>
      </c>
    </row>
    <row r="2572">
      <c r="DG2572" s="64">
        <f>($B2572-$B2573)*100</f>
        <v/>
      </c>
      <c r="DH2572" s="64">
        <f>($D2572-$D2573)*100</f>
        <v/>
      </c>
      <c r="DI2572" s="64">
        <f>($E2572-$E2573)*100</f>
        <v/>
      </c>
      <c r="DJ2572" s="64">
        <f>($H2572-$H2573)*100</f>
        <v/>
      </c>
      <c r="DK2572" s="65">
        <f>IFERROR($J2572/$J2573-1,"")</f>
        <v/>
      </c>
      <c r="DL2572" s="64">
        <f>$L2572-$L2573</f>
        <v/>
      </c>
      <c r="DM2572" s="64">
        <f>$K2572-$K2573</f>
        <v/>
      </c>
      <c r="DN2572" s="65">
        <f>IFERROR($N2572/$N2573-1,"")</f>
        <v/>
      </c>
      <c r="DO2572" s="65">
        <f>IFERROR($M2572/$M2573-1,"")</f>
        <v/>
      </c>
      <c r="DP2572" s="65">
        <f>IFERROR($AZ2572/$AZ2573-1,"")</f>
        <v/>
      </c>
      <c r="DQ2572" s="65">
        <f>IFERROR($BA2572/$BA2573-1,"")</f>
        <v/>
      </c>
      <c r="DR2572" s="64">
        <f>$O2572-$O2573</f>
        <v/>
      </c>
      <c r="DS2572" s="64">
        <f>$P2572-$P2573</f>
        <v/>
      </c>
      <c r="DT2572" s="64">
        <f>$Q2572-$Q2573</f>
        <v/>
      </c>
      <c r="DU2572" s="64">
        <f>$S2572-$S2573</f>
        <v/>
      </c>
      <c r="DV2572" s="65">
        <f>IFERROR(AVERAGE($AA2573/$AA2572-1,$AB2573/$AB2572-1,$AC2573/$AC2572-1,$AD2573/$AD2572-1,$AE2573/$AE2572-1,$AG2573/$AG2572-1,$AH2573/$AH2572-1,$AI2573/$AI2572-1,$AJ2573/$AJ2572-1,$AL2573/$AL2572-1,$AM2573/$AM2572-1,$AR2573/$AR2572-1,$AS2573/$AS2572-1,$AT2573/$AT2572-1,$AU2573/$AU2572-1,$AV2573/$AV2572-1,$AW2573/$AW2572-1,$AX2573/$AX2572-1,$AY2573/$AY2572-1),"")</f>
        <v/>
      </c>
      <c r="DW2572" s="66">
        <f>AVERAGE($CB2572,$CC2572,$CD2572,$CE2572,$CF2572,$CG2572,$CH2572,$CI2572,$CJ2572,$CL2572,$CM2572,$CN2572,$CO2572,$CP2572,$CQ2572,$CR2572,$CS2572,$CT2572)</f>
        <v/>
      </c>
      <c r="DX2572" s="66">
        <f>AVERAGE($CB2572,$CC2572,$CM2572,$CE2572,$CP2572)</f>
        <v/>
      </c>
      <c r="DY2572" s="64">
        <f>($DW2572-$DW2573)*100</f>
        <v/>
      </c>
      <c r="DZ2572" s="64">
        <f>($DX2572-$DX2573)*100</f>
        <v/>
      </c>
      <c r="EA2572" s="64">
        <f>($DW2572-$D2572)*100</f>
        <v/>
      </c>
      <c r="EB2572" s="64">
        <f>$Q2572-$O2572</f>
        <v/>
      </c>
      <c r="EC2572" s="67">
        <f>IFERROR($Q2572/$P2572,"")</f>
        <v/>
      </c>
    </row>
    <row r="2573">
      <c r="DG2573" s="64">
        <f>($B2573-$B2574)*100</f>
        <v/>
      </c>
      <c r="DH2573" s="64">
        <f>($D2573-$D2574)*100</f>
        <v/>
      </c>
      <c r="DI2573" s="64">
        <f>($E2573-$E2574)*100</f>
        <v/>
      </c>
      <c r="DJ2573" s="64">
        <f>($H2573-$H2574)*100</f>
        <v/>
      </c>
      <c r="DK2573" s="65">
        <f>IFERROR($J2573/$J2574-1,"")</f>
        <v/>
      </c>
      <c r="DL2573" s="64">
        <f>$L2573-$L2574</f>
        <v/>
      </c>
      <c r="DM2573" s="64">
        <f>$K2573-$K2574</f>
        <v/>
      </c>
      <c r="DN2573" s="65">
        <f>IFERROR($N2573/$N2574-1,"")</f>
        <v/>
      </c>
      <c r="DO2573" s="65">
        <f>IFERROR($M2573/$M2574-1,"")</f>
        <v/>
      </c>
      <c r="DP2573" s="65">
        <f>IFERROR($AZ2573/$AZ2574-1,"")</f>
        <v/>
      </c>
      <c r="DQ2573" s="65">
        <f>IFERROR($BA2573/$BA2574-1,"")</f>
        <v/>
      </c>
      <c r="DR2573" s="64">
        <f>$O2573-$O2574</f>
        <v/>
      </c>
      <c r="DS2573" s="64">
        <f>$P2573-$P2574</f>
        <v/>
      </c>
      <c r="DT2573" s="64">
        <f>$Q2573-$Q2574</f>
        <v/>
      </c>
      <c r="DU2573" s="64">
        <f>$S2573-$S2574</f>
        <v/>
      </c>
      <c r="DV2573" s="65">
        <f>IFERROR(AVERAGE($AA2574/$AA2573-1,$AB2574/$AB2573-1,$AC2574/$AC2573-1,$AD2574/$AD2573-1,$AE2574/$AE2573-1,$AG2574/$AG2573-1,$AH2574/$AH2573-1,$AI2574/$AI2573-1,$AJ2574/$AJ2573-1,$AL2574/$AL2573-1,$AM2574/$AM2573-1,$AR2574/$AR2573-1,$AS2574/$AS2573-1,$AT2574/$AT2573-1,$AU2574/$AU2573-1,$AV2574/$AV2573-1,$AW2574/$AW2573-1,$AX2574/$AX2573-1,$AY2574/$AY2573-1),"")</f>
        <v/>
      </c>
      <c r="DW2573" s="66">
        <f>AVERAGE($CB2573,$CC2573,$CD2573,$CE2573,$CF2573,$CG2573,$CH2573,$CI2573,$CJ2573,$CL2573,$CM2573,$CN2573,$CO2573,$CP2573,$CQ2573,$CR2573,$CS2573,$CT2573)</f>
        <v/>
      </c>
      <c r="DX2573" s="66">
        <f>AVERAGE($CB2573,$CC2573,$CM2573,$CE2573,$CP2573)</f>
        <v/>
      </c>
      <c r="DY2573" s="64">
        <f>($DW2573-$DW2574)*100</f>
        <v/>
      </c>
      <c r="DZ2573" s="64">
        <f>($DX2573-$DX2574)*100</f>
        <v/>
      </c>
      <c r="EA2573" s="64">
        <f>($DW2573-$D2573)*100</f>
        <v/>
      </c>
      <c r="EB2573" s="64">
        <f>$Q2573-$O2573</f>
        <v/>
      </c>
      <c r="EC2573" s="67">
        <f>IFERROR($Q2573/$P2573,"")</f>
        <v/>
      </c>
    </row>
    <row r="2574">
      <c r="DG2574" s="64">
        <f>($B2574-$B2575)*100</f>
        <v/>
      </c>
      <c r="DH2574" s="64">
        <f>($D2574-$D2575)*100</f>
        <v/>
      </c>
      <c r="DI2574" s="64">
        <f>($E2574-$E2575)*100</f>
        <v/>
      </c>
      <c r="DJ2574" s="64">
        <f>($H2574-$H2575)*100</f>
        <v/>
      </c>
      <c r="DK2574" s="65">
        <f>IFERROR($J2574/$J2575-1,"")</f>
        <v/>
      </c>
      <c r="DL2574" s="64">
        <f>$L2574-$L2575</f>
        <v/>
      </c>
      <c r="DM2574" s="64">
        <f>$K2574-$K2575</f>
        <v/>
      </c>
      <c r="DN2574" s="65">
        <f>IFERROR($N2574/$N2575-1,"")</f>
        <v/>
      </c>
      <c r="DO2574" s="65">
        <f>IFERROR($M2574/$M2575-1,"")</f>
        <v/>
      </c>
      <c r="DP2574" s="65">
        <f>IFERROR($AZ2574/$AZ2575-1,"")</f>
        <v/>
      </c>
      <c r="DQ2574" s="65">
        <f>IFERROR($BA2574/$BA2575-1,"")</f>
        <v/>
      </c>
      <c r="DR2574" s="64">
        <f>$O2574-$O2575</f>
        <v/>
      </c>
      <c r="DS2574" s="64">
        <f>$P2574-$P2575</f>
        <v/>
      </c>
      <c r="DT2574" s="64">
        <f>$Q2574-$Q2575</f>
        <v/>
      </c>
      <c r="DU2574" s="64">
        <f>$S2574-$S2575</f>
        <v/>
      </c>
      <c r="DV2574" s="65">
        <f>IFERROR(AVERAGE($AA2575/$AA2574-1,$AB2575/$AB2574-1,$AC2575/$AC2574-1,$AD2575/$AD2574-1,$AE2575/$AE2574-1,$AG2575/$AG2574-1,$AH2575/$AH2574-1,$AI2575/$AI2574-1,$AJ2575/$AJ2574-1,$AL2575/$AL2574-1,$AM2575/$AM2574-1,$AR2575/$AR2574-1,$AS2575/$AS2574-1,$AT2575/$AT2574-1,$AU2575/$AU2574-1,$AV2575/$AV2574-1,$AW2575/$AW2574-1,$AX2575/$AX2574-1,$AY2575/$AY2574-1),"")</f>
        <v/>
      </c>
      <c r="DW2574" s="66">
        <f>AVERAGE($CB2574,$CC2574,$CD2574,$CE2574,$CF2574,$CG2574,$CH2574,$CI2574,$CJ2574,$CL2574,$CM2574,$CN2574,$CO2574,$CP2574,$CQ2574,$CR2574,$CS2574,$CT2574)</f>
        <v/>
      </c>
      <c r="DX2574" s="66">
        <f>AVERAGE($CB2574,$CC2574,$CM2574,$CE2574,$CP2574)</f>
        <v/>
      </c>
      <c r="DY2574" s="64">
        <f>($DW2574-$DW2575)*100</f>
        <v/>
      </c>
      <c r="DZ2574" s="64">
        <f>($DX2574-$DX2575)*100</f>
        <v/>
      </c>
      <c r="EA2574" s="64">
        <f>($DW2574-$D2574)*100</f>
        <v/>
      </c>
      <c r="EB2574" s="64">
        <f>$Q2574-$O2574</f>
        <v/>
      </c>
      <c r="EC2574" s="67">
        <f>IFERROR($Q2574/$P2574,"")</f>
        <v/>
      </c>
    </row>
    <row r="2575">
      <c r="DG2575" s="64">
        <f>($B2575-$B2576)*100</f>
        <v/>
      </c>
      <c r="DH2575" s="64">
        <f>($D2575-$D2576)*100</f>
        <v/>
      </c>
      <c r="DI2575" s="64">
        <f>($E2575-$E2576)*100</f>
        <v/>
      </c>
      <c r="DJ2575" s="64">
        <f>($H2575-$H2576)*100</f>
        <v/>
      </c>
      <c r="DK2575" s="65">
        <f>IFERROR($J2575/$J2576-1,"")</f>
        <v/>
      </c>
      <c r="DL2575" s="64">
        <f>$L2575-$L2576</f>
        <v/>
      </c>
      <c r="DM2575" s="64">
        <f>$K2575-$K2576</f>
        <v/>
      </c>
      <c r="DN2575" s="65">
        <f>IFERROR($N2575/$N2576-1,"")</f>
        <v/>
      </c>
      <c r="DO2575" s="65">
        <f>IFERROR($M2575/$M2576-1,"")</f>
        <v/>
      </c>
      <c r="DP2575" s="65">
        <f>IFERROR($AZ2575/$AZ2576-1,"")</f>
        <v/>
      </c>
      <c r="DQ2575" s="65">
        <f>IFERROR($BA2575/$BA2576-1,"")</f>
        <v/>
      </c>
      <c r="DR2575" s="64">
        <f>$O2575-$O2576</f>
        <v/>
      </c>
      <c r="DS2575" s="64">
        <f>$P2575-$P2576</f>
        <v/>
      </c>
      <c r="DT2575" s="64">
        <f>$Q2575-$Q2576</f>
        <v/>
      </c>
      <c r="DU2575" s="64">
        <f>$S2575-$S2576</f>
        <v/>
      </c>
      <c r="DV2575" s="65">
        <f>IFERROR(AVERAGE($AA2576/$AA2575-1,$AB2576/$AB2575-1,$AC2576/$AC2575-1,$AD2576/$AD2575-1,$AE2576/$AE2575-1,$AG2576/$AG2575-1,$AH2576/$AH2575-1,$AI2576/$AI2575-1,$AJ2576/$AJ2575-1,$AL2576/$AL2575-1,$AM2576/$AM2575-1,$AR2576/$AR2575-1,$AS2576/$AS2575-1,$AT2576/$AT2575-1,$AU2576/$AU2575-1,$AV2576/$AV2575-1,$AW2576/$AW2575-1,$AX2576/$AX2575-1,$AY2576/$AY2575-1),"")</f>
        <v/>
      </c>
      <c r="DW2575" s="66">
        <f>AVERAGE($CB2575,$CC2575,$CD2575,$CE2575,$CF2575,$CG2575,$CH2575,$CI2575,$CJ2575,$CL2575,$CM2575,$CN2575,$CO2575,$CP2575,$CQ2575,$CR2575,$CS2575,$CT2575)</f>
        <v/>
      </c>
      <c r="DX2575" s="66">
        <f>AVERAGE($CB2575,$CC2575,$CM2575,$CE2575,$CP2575)</f>
        <v/>
      </c>
      <c r="DY2575" s="64">
        <f>($DW2575-$DW2576)*100</f>
        <v/>
      </c>
      <c r="DZ2575" s="64">
        <f>($DX2575-$DX2576)*100</f>
        <v/>
      </c>
      <c r="EA2575" s="64">
        <f>($DW2575-$D2575)*100</f>
        <v/>
      </c>
      <c r="EB2575" s="64">
        <f>$Q2575-$O2575</f>
        <v/>
      </c>
      <c r="EC2575" s="67">
        <f>IFERROR($Q2575/$P2575,"")</f>
        <v/>
      </c>
    </row>
    <row r="2576">
      <c r="DG2576" s="64">
        <f>($B2576-$B2577)*100</f>
        <v/>
      </c>
      <c r="DH2576" s="64">
        <f>($D2576-$D2577)*100</f>
        <v/>
      </c>
      <c r="DI2576" s="64">
        <f>($E2576-$E2577)*100</f>
        <v/>
      </c>
      <c r="DJ2576" s="64">
        <f>($H2576-$H2577)*100</f>
        <v/>
      </c>
      <c r="DK2576" s="65">
        <f>IFERROR($J2576/$J2577-1,"")</f>
        <v/>
      </c>
      <c r="DL2576" s="64">
        <f>$L2576-$L2577</f>
        <v/>
      </c>
      <c r="DM2576" s="64">
        <f>$K2576-$K2577</f>
        <v/>
      </c>
      <c r="DN2576" s="65">
        <f>IFERROR($N2576/$N2577-1,"")</f>
        <v/>
      </c>
      <c r="DO2576" s="65">
        <f>IFERROR($M2576/$M2577-1,"")</f>
        <v/>
      </c>
      <c r="DP2576" s="65">
        <f>IFERROR($AZ2576/$AZ2577-1,"")</f>
        <v/>
      </c>
      <c r="DQ2576" s="65">
        <f>IFERROR($BA2576/$BA2577-1,"")</f>
        <v/>
      </c>
      <c r="DR2576" s="64">
        <f>$O2576-$O2577</f>
        <v/>
      </c>
      <c r="DS2576" s="64">
        <f>$P2576-$P2577</f>
        <v/>
      </c>
      <c r="DT2576" s="64">
        <f>$Q2576-$Q2577</f>
        <v/>
      </c>
      <c r="DU2576" s="64">
        <f>$S2576-$S2577</f>
        <v/>
      </c>
      <c r="DV2576" s="65">
        <f>IFERROR(AVERAGE($AA2577/$AA2576-1,$AB2577/$AB2576-1,$AC2577/$AC2576-1,$AD2577/$AD2576-1,$AE2577/$AE2576-1,$AG2577/$AG2576-1,$AH2577/$AH2576-1,$AI2577/$AI2576-1,$AJ2577/$AJ2576-1,$AL2577/$AL2576-1,$AM2577/$AM2576-1,$AR2577/$AR2576-1,$AS2577/$AS2576-1,$AT2577/$AT2576-1,$AU2577/$AU2576-1,$AV2577/$AV2576-1,$AW2577/$AW2576-1,$AX2577/$AX2576-1,$AY2577/$AY2576-1),"")</f>
        <v/>
      </c>
      <c r="DW2576" s="66">
        <f>AVERAGE($CB2576,$CC2576,$CD2576,$CE2576,$CF2576,$CG2576,$CH2576,$CI2576,$CJ2576,$CL2576,$CM2576,$CN2576,$CO2576,$CP2576,$CQ2576,$CR2576,$CS2576,$CT2576)</f>
        <v/>
      </c>
      <c r="DX2576" s="66">
        <f>AVERAGE($CB2576,$CC2576,$CM2576,$CE2576,$CP2576)</f>
        <v/>
      </c>
      <c r="DY2576" s="64">
        <f>($DW2576-$DW2577)*100</f>
        <v/>
      </c>
      <c r="DZ2576" s="64">
        <f>($DX2576-$DX2577)*100</f>
        <v/>
      </c>
      <c r="EA2576" s="64">
        <f>($DW2576-$D2576)*100</f>
        <v/>
      </c>
      <c r="EB2576" s="64">
        <f>$Q2576-$O2576</f>
        <v/>
      </c>
      <c r="EC2576" s="67">
        <f>IFERROR($Q2576/$P2576,"")</f>
        <v/>
      </c>
    </row>
    <row r="2577">
      <c r="DG2577" s="64">
        <f>($B2577-$B2578)*100</f>
        <v/>
      </c>
      <c r="DH2577" s="64">
        <f>($D2577-$D2578)*100</f>
        <v/>
      </c>
      <c r="DI2577" s="64">
        <f>($E2577-$E2578)*100</f>
        <v/>
      </c>
      <c r="DJ2577" s="64">
        <f>($H2577-$H2578)*100</f>
        <v/>
      </c>
      <c r="DK2577" s="65">
        <f>IFERROR($J2577/$J2578-1,"")</f>
        <v/>
      </c>
      <c r="DL2577" s="64">
        <f>$L2577-$L2578</f>
        <v/>
      </c>
      <c r="DM2577" s="64">
        <f>$K2577-$K2578</f>
        <v/>
      </c>
      <c r="DN2577" s="65">
        <f>IFERROR($N2577/$N2578-1,"")</f>
        <v/>
      </c>
      <c r="DO2577" s="65">
        <f>IFERROR($M2577/$M2578-1,"")</f>
        <v/>
      </c>
      <c r="DP2577" s="65">
        <f>IFERROR($AZ2577/$AZ2578-1,"")</f>
        <v/>
      </c>
      <c r="DQ2577" s="65">
        <f>IFERROR($BA2577/$BA2578-1,"")</f>
        <v/>
      </c>
      <c r="DR2577" s="64">
        <f>$O2577-$O2578</f>
        <v/>
      </c>
      <c r="DS2577" s="64">
        <f>$P2577-$P2578</f>
        <v/>
      </c>
      <c r="DT2577" s="64">
        <f>$Q2577-$Q2578</f>
        <v/>
      </c>
      <c r="DU2577" s="64">
        <f>$S2577-$S2578</f>
        <v/>
      </c>
      <c r="DV2577" s="65">
        <f>IFERROR(AVERAGE($AA2578/$AA2577-1,$AB2578/$AB2577-1,$AC2578/$AC2577-1,$AD2578/$AD2577-1,$AE2578/$AE2577-1,$AG2578/$AG2577-1,$AH2578/$AH2577-1,$AI2578/$AI2577-1,$AJ2578/$AJ2577-1,$AL2578/$AL2577-1,$AM2578/$AM2577-1,$AR2578/$AR2577-1,$AS2578/$AS2577-1,$AT2578/$AT2577-1,$AU2578/$AU2577-1,$AV2578/$AV2577-1,$AW2578/$AW2577-1,$AX2578/$AX2577-1,$AY2578/$AY2577-1),"")</f>
        <v/>
      </c>
      <c r="DW2577" s="66">
        <f>AVERAGE($CB2577,$CC2577,$CD2577,$CE2577,$CF2577,$CG2577,$CH2577,$CI2577,$CJ2577,$CL2577,$CM2577,$CN2577,$CO2577,$CP2577,$CQ2577,$CR2577,$CS2577,$CT2577)</f>
        <v/>
      </c>
      <c r="DX2577" s="66">
        <f>AVERAGE($CB2577,$CC2577,$CM2577,$CE2577,$CP2577)</f>
        <v/>
      </c>
      <c r="DY2577" s="64">
        <f>($DW2577-$DW2578)*100</f>
        <v/>
      </c>
      <c r="DZ2577" s="64">
        <f>($DX2577-$DX2578)*100</f>
        <v/>
      </c>
      <c r="EA2577" s="64">
        <f>($DW2577-$D2577)*100</f>
        <v/>
      </c>
      <c r="EB2577" s="64">
        <f>$Q2577-$O2577</f>
        <v/>
      </c>
      <c r="EC2577" s="67">
        <f>IFERROR($Q2577/$P2577,"")</f>
        <v/>
      </c>
    </row>
    <row r="2578">
      <c r="DG2578" s="64">
        <f>($B2578-$B2579)*100</f>
        <v/>
      </c>
      <c r="DH2578" s="64">
        <f>($D2578-$D2579)*100</f>
        <v/>
      </c>
      <c r="DI2578" s="64">
        <f>($E2578-$E2579)*100</f>
        <v/>
      </c>
      <c r="DJ2578" s="64">
        <f>($H2578-$H2579)*100</f>
        <v/>
      </c>
      <c r="DK2578" s="65">
        <f>IFERROR($J2578/$J2579-1,"")</f>
        <v/>
      </c>
      <c r="DL2578" s="64">
        <f>$L2578-$L2579</f>
        <v/>
      </c>
      <c r="DM2578" s="64">
        <f>$K2578-$K2579</f>
        <v/>
      </c>
      <c r="DN2578" s="65">
        <f>IFERROR($N2578/$N2579-1,"")</f>
        <v/>
      </c>
      <c r="DO2578" s="65">
        <f>IFERROR($M2578/$M2579-1,"")</f>
        <v/>
      </c>
      <c r="DP2578" s="65">
        <f>IFERROR($AZ2578/$AZ2579-1,"")</f>
        <v/>
      </c>
      <c r="DQ2578" s="65">
        <f>IFERROR($BA2578/$BA2579-1,"")</f>
        <v/>
      </c>
      <c r="DR2578" s="64">
        <f>$O2578-$O2579</f>
        <v/>
      </c>
      <c r="DS2578" s="64">
        <f>$P2578-$P2579</f>
        <v/>
      </c>
      <c r="DT2578" s="64">
        <f>$Q2578-$Q2579</f>
        <v/>
      </c>
      <c r="DU2578" s="64">
        <f>$S2578-$S2579</f>
        <v/>
      </c>
      <c r="DV2578" s="65">
        <f>IFERROR(AVERAGE($AA2579/$AA2578-1,$AB2579/$AB2578-1,$AC2579/$AC2578-1,$AD2579/$AD2578-1,$AE2579/$AE2578-1,$AG2579/$AG2578-1,$AH2579/$AH2578-1,$AI2579/$AI2578-1,$AJ2579/$AJ2578-1,$AL2579/$AL2578-1,$AM2579/$AM2578-1,$AR2579/$AR2578-1,$AS2579/$AS2578-1,$AT2579/$AT2578-1,$AU2579/$AU2578-1,$AV2579/$AV2578-1,$AW2579/$AW2578-1,$AX2579/$AX2578-1,$AY2579/$AY2578-1),"")</f>
        <v/>
      </c>
      <c r="DW2578" s="66">
        <f>AVERAGE($CB2578,$CC2578,$CD2578,$CE2578,$CF2578,$CG2578,$CH2578,$CI2578,$CJ2578,$CL2578,$CM2578,$CN2578,$CO2578,$CP2578,$CQ2578,$CR2578,$CS2578,$CT2578)</f>
        <v/>
      </c>
      <c r="DX2578" s="66">
        <f>AVERAGE($CB2578,$CC2578,$CM2578,$CE2578,$CP2578)</f>
        <v/>
      </c>
      <c r="DY2578" s="64">
        <f>($DW2578-$DW2579)*100</f>
        <v/>
      </c>
      <c r="DZ2578" s="64">
        <f>($DX2578-$DX2579)*100</f>
        <v/>
      </c>
      <c r="EA2578" s="64">
        <f>($DW2578-$D2578)*100</f>
        <v/>
      </c>
      <c r="EB2578" s="64">
        <f>$Q2578-$O2578</f>
        <v/>
      </c>
      <c r="EC2578" s="67">
        <f>IFERROR($Q2578/$P2578,"")</f>
        <v/>
      </c>
    </row>
    <row r="2579">
      <c r="DG2579" s="64">
        <f>($B2579-$B2580)*100</f>
        <v/>
      </c>
      <c r="DH2579" s="64">
        <f>($D2579-$D2580)*100</f>
        <v/>
      </c>
      <c r="DI2579" s="64">
        <f>($E2579-$E2580)*100</f>
        <v/>
      </c>
      <c r="DJ2579" s="64">
        <f>($H2579-$H2580)*100</f>
        <v/>
      </c>
      <c r="DK2579" s="65">
        <f>IFERROR($J2579/$J2580-1,"")</f>
        <v/>
      </c>
      <c r="DL2579" s="64">
        <f>$L2579-$L2580</f>
        <v/>
      </c>
      <c r="DM2579" s="64">
        <f>$K2579-$K2580</f>
        <v/>
      </c>
      <c r="DN2579" s="65">
        <f>IFERROR($N2579/$N2580-1,"")</f>
        <v/>
      </c>
      <c r="DO2579" s="65">
        <f>IFERROR($M2579/$M2580-1,"")</f>
        <v/>
      </c>
      <c r="DP2579" s="65">
        <f>IFERROR($AZ2579/$AZ2580-1,"")</f>
        <v/>
      </c>
      <c r="DQ2579" s="65">
        <f>IFERROR($BA2579/$BA2580-1,"")</f>
        <v/>
      </c>
      <c r="DR2579" s="64">
        <f>$O2579-$O2580</f>
        <v/>
      </c>
      <c r="DS2579" s="64">
        <f>$P2579-$P2580</f>
        <v/>
      </c>
      <c r="DT2579" s="64">
        <f>$Q2579-$Q2580</f>
        <v/>
      </c>
      <c r="DU2579" s="64">
        <f>$S2579-$S2580</f>
        <v/>
      </c>
      <c r="DV2579" s="65">
        <f>IFERROR(AVERAGE($AA2580/$AA2579-1,$AB2580/$AB2579-1,$AC2580/$AC2579-1,$AD2580/$AD2579-1,$AE2580/$AE2579-1,$AG2580/$AG2579-1,$AH2580/$AH2579-1,$AI2580/$AI2579-1,$AJ2580/$AJ2579-1,$AL2580/$AL2579-1,$AM2580/$AM2579-1,$AR2580/$AR2579-1,$AS2580/$AS2579-1,$AT2580/$AT2579-1,$AU2580/$AU2579-1,$AV2580/$AV2579-1,$AW2580/$AW2579-1,$AX2580/$AX2579-1,$AY2580/$AY2579-1),"")</f>
        <v/>
      </c>
      <c r="DW2579" s="66">
        <f>AVERAGE($CB2579,$CC2579,$CD2579,$CE2579,$CF2579,$CG2579,$CH2579,$CI2579,$CJ2579,$CL2579,$CM2579,$CN2579,$CO2579,$CP2579,$CQ2579,$CR2579,$CS2579,$CT2579)</f>
        <v/>
      </c>
      <c r="DX2579" s="66">
        <f>AVERAGE($CB2579,$CC2579,$CM2579,$CE2579,$CP2579)</f>
        <v/>
      </c>
      <c r="DY2579" s="64">
        <f>($DW2579-$DW2580)*100</f>
        <v/>
      </c>
      <c r="DZ2579" s="64">
        <f>($DX2579-$DX2580)*100</f>
        <v/>
      </c>
      <c r="EA2579" s="64">
        <f>($DW2579-$D2579)*100</f>
        <v/>
      </c>
      <c r="EB2579" s="64">
        <f>$Q2579-$O2579</f>
        <v/>
      </c>
      <c r="EC2579" s="67">
        <f>IFERROR($Q2579/$P2579,"")</f>
        <v/>
      </c>
    </row>
    <row r="2580">
      <c r="DG2580" s="64">
        <f>($B2580-$B2581)*100</f>
        <v/>
      </c>
      <c r="DH2580" s="64">
        <f>($D2580-$D2581)*100</f>
        <v/>
      </c>
      <c r="DI2580" s="64">
        <f>($E2580-$E2581)*100</f>
        <v/>
      </c>
      <c r="DJ2580" s="64">
        <f>($H2580-$H2581)*100</f>
        <v/>
      </c>
      <c r="DK2580" s="65">
        <f>IFERROR($J2580/$J2581-1,"")</f>
        <v/>
      </c>
      <c r="DL2580" s="64">
        <f>$L2580-$L2581</f>
        <v/>
      </c>
      <c r="DM2580" s="64">
        <f>$K2580-$K2581</f>
        <v/>
      </c>
      <c r="DN2580" s="65">
        <f>IFERROR($N2580/$N2581-1,"")</f>
        <v/>
      </c>
      <c r="DO2580" s="65">
        <f>IFERROR($M2580/$M2581-1,"")</f>
        <v/>
      </c>
      <c r="DP2580" s="65">
        <f>IFERROR($AZ2580/$AZ2581-1,"")</f>
        <v/>
      </c>
      <c r="DQ2580" s="65">
        <f>IFERROR($BA2580/$BA2581-1,"")</f>
        <v/>
      </c>
      <c r="DR2580" s="64">
        <f>$O2580-$O2581</f>
        <v/>
      </c>
      <c r="DS2580" s="64">
        <f>$P2580-$P2581</f>
        <v/>
      </c>
      <c r="DT2580" s="64">
        <f>$Q2580-$Q2581</f>
        <v/>
      </c>
      <c r="DU2580" s="64">
        <f>$S2580-$S2581</f>
        <v/>
      </c>
      <c r="DV2580" s="65">
        <f>IFERROR(AVERAGE($AA2581/$AA2580-1,$AB2581/$AB2580-1,$AC2581/$AC2580-1,$AD2581/$AD2580-1,$AE2581/$AE2580-1,$AG2581/$AG2580-1,$AH2581/$AH2580-1,$AI2581/$AI2580-1,$AJ2581/$AJ2580-1,$AL2581/$AL2580-1,$AM2581/$AM2580-1,$AR2581/$AR2580-1,$AS2581/$AS2580-1,$AT2581/$AT2580-1,$AU2581/$AU2580-1,$AV2581/$AV2580-1,$AW2581/$AW2580-1,$AX2581/$AX2580-1,$AY2581/$AY2580-1),"")</f>
        <v/>
      </c>
      <c r="DW2580" s="66">
        <f>AVERAGE($CB2580,$CC2580,$CD2580,$CE2580,$CF2580,$CG2580,$CH2580,$CI2580,$CJ2580,$CL2580,$CM2580,$CN2580,$CO2580,$CP2580,$CQ2580,$CR2580,$CS2580,$CT2580)</f>
        <v/>
      </c>
      <c r="DX2580" s="66">
        <f>AVERAGE($CB2580,$CC2580,$CM2580,$CE2580,$CP2580)</f>
        <v/>
      </c>
      <c r="DY2580" s="64">
        <f>($DW2580-$DW2581)*100</f>
        <v/>
      </c>
      <c r="DZ2580" s="64">
        <f>($DX2580-$DX2581)*100</f>
        <v/>
      </c>
      <c r="EA2580" s="64">
        <f>($DW2580-$D2580)*100</f>
        <v/>
      </c>
      <c r="EB2580" s="64">
        <f>$Q2580-$O2580</f>
        <v/>
      </c>
      <c r="EC2580" s="67">
        <f>IFERROR($Q2580/$P2580,"")</f>
        <v/>
      </c>
    </row>
    <row r="2581">
      <c r="DG2581" s="64">
        <f>($B2581-$B2582)*100</f>
        <v/>
      </c>
      <c r="DH2581" s="64">
        <f>($D2581-$D2582)*100</f>
        <v/>
      </c>
      <c r="DI2581" s="64">
        <f>($E2581-$E2582)*100</f>
        <v/>
      </c>
      <c r="DJ2581" s="64">
        <f>($H2581-$H2582)*100</f>
        <v/>
      </c>
      <c r="DK2581" s="65">
        <f>IFERROR($J2581/$J2582-1,"")</f>
        <v/>
      </c>
      <c r="DL2581" s="64">
        <f>$L2581-$L2582</f>
        <v/>
      </c>
      <c r="DM2581" s="64">
        <f>$K2581-$K2582</f>
        <v/>
      </c>
      <c r="DN2581" s="65">
        <f>IFERROR($N2581/$N2582-1,"")</f>
        <v/>
      </c>
      <c r="DO2581" s="65">
        <f>IFERROR($M2581/$M2582-1,"")</f>
        <v/>
      </c>
      <c r="DP2581" s="65">
        <f>IFERROR($AZ2581/$AZ2582-1,"")</f>
        <v/>
      </c>
      <c r="DQ2581" s="65">
        <f>IFERROR($BA2581/$BA2582-1,"")</f>
        <v/>
      </c>
      <c r="DR2581" s="64">
        <f>$O2581-$O2582</f>
        <v/>
      </c>
      <c r="DS2581" s="64">
        <f>$P2581-$P2582</f>
        <v/>
      </c>
      <c r="DT2581" s="64">
        <f>$Q2581-$Q2582</f>
        <v/>
      </c>
      <c r="DU2581" s="64">
        <f>$S2581-$S2582</f>
        <v/>
      </c>
      <c r="DV2581" s="65">
        <f>IFERROR(AVERAGE($AA2582/$AA2581-1,$AB2582/$AB2581-1,$AC2582/$AC2581-1,$AD2582/$AD2581-1,$AE2582/$AE2581-1,$AG2582/$AG2581-1,$AH2582/$AH2581-1,$AI2582/$AI2581-1,$AJ2582/$AJ2581-1,$AL2582/$AL2581-1,$AM2582/$AM2581-1,$AR2582/$AR2581-1,$AS2582/$AS2581-1,$AT2582/$AT2581-1,$AU2582/$AU2581-1,$AV2582/$AV2581-1,$AW2582/$AW2581-1,$AX2582/$AX2581-1,$AY2582/$AY2581-1),"")</f>
        <v/>
      </c>
      <c r="DW2581" s="66">
        <f>AVERAGE($CB2581,$CC2581,$CD2581,$CE2581,$CF2581,$CG2581,$CH2581,$CI2581,$CJ2581,$CL2581,$CM2581,$CN2581,$CO2581,$CP2581,$CQ2581,$CR2581,$CS2581,$CT2581)</f>
        <v/>
      </c>
      <c r="DX2581" s="66">
        <f>AVERAGE($CB2581,$CC2581,$CM2581,$CE2581,$CP2581)</f>
        <v/>
      </c>
      <c r="DY2581" s="64">
        <f>($DW2581-$DW2582)*100</f>
        <v/>
      </c>
      <c r="DZ2581" s="64">
        <f>($DX2581-$DX2582)*100</f>
        <v/>
      </c>
      <c r="EA2581" s="64">
        <f>($DW2581-$D2581)*100</f>
        <v/>
      </c>
      <c r="EB2581" s="64">
        <f>$Q2581-$O2581</f>
        <v/>
      </c>
      <c r="EC2581" s="67">
        <f>IFERROR($Q2581/$P2581,"")</f>
        <v/>
      </c>
    </row>
    <row r="2582">
      <c r="DG2582" s="64">
        <f>($B2582-$B2583)*100</f>
        <v/>
      </c>
      <c r="DH2582" s="64">
        <f>($D2582-$D2583)*100</f>
        <v/>
      </c>
      <c r="DI2582" s="64">
        <f>($E2582-$E2583)*100</f>
        <v/>
      </c>
      <c r="DJ2582" s="64">
        <f>($H2582-$H2583)*100</f>
        <v/>
      </c>
      <c r="DK2582" s="65">
        <f>IFERROR($J2582/$J2583-1,"")</f>
        <v/>
      </c>
      <c r="DL2582" s="64">
        <f>$L2582-$L2583</f>
        <v/>
      </c>
      <c r="DM2582" s="64">
        <f>$K2582-$K2583</f>
        <v/>
      </c>
      <c r="DN2582" s="65">
        <f>IFERROR($N2582/$N2583-1,"")</f>
        <v/>
      </c>
      <c r="DO2582" s="65">
        <f>IFERROR($M2582/$M2583-1,"")</f>
        <v/>
      </c>
      <c r="DP2582" s="65">
        <f>IFERROR($AZ2582/$AZ2583-1,"")</f>
        <v/>
      </c>
      <c r="DQ2582" s="65">
        <f>IFERROR($BA2582/$BA2583-1,"")</f>
        <v/>
      </c>
      <c r="DR2582" s="64">
        <f>$O2582-$O2583</f>
        <v/>
      </c>
      <c r="DS2582" s="64">
        <f>$P2582-$P2583</f>
        <v/>
      </c>
      <c r="DT2582" s="64">
        <f>$Q2582-$Q2583</f>
        <v/>
      </c>
      <c r="DU2582" s="64">
        <f>$S2582-$S2583</f>
        <v/>
      </c>
      <c r="DV2582" s="65">
        <f>IFERROR(AVERAGE($AA2583/$AA2582-1,$AB2583/$AB2582-1,$AC2583/$AC2582-1,$AD2583/$AD2582-1,$AE2583/$AE2582-1,$AG2583/$AG2582-1,$AH2583/$AH2582-1,$AI2583/$AI2582-1,$AJ2583/$AJ2582-1,$AL2583/$AL2582-1,$AM2583/$AM2582-1,$AR2583/$AR2582-1,$AS2583/$AS2582-1,$AT2583/$AT2582-1,$AU2583/$AU2582-1,$AV2583/$AV2582-1,$AW2583/$AW2582-1,$AX2583/$AX2582-1,$AY2583/$AY2582-1),"")</f>
        <v/>
      </c>
      <c r="DW2582" s="66">
        <f>AVERAGE($CB2582,$CC2582,$CD2582,$CE2582,$CF2582,$CG2582,$CH2582,$CI2582,$CJ2582,$CL2582,$CM2582,$CN2582,$CO2582,$CP2582,$CQ2582,$CR2582,$CS2582,$CT2582)</f>
        <v/>
      </c>
      <c r="DX2582" s="66">
        <f>AVERAGE($CB2582,$CC2582,$CM2582,$CE2582,$CP2582)</f>
        <v/>
      </c>
      <c r="DY2582" s="64">
        <f>($DW2582-$DW2583)*100</f>
        <v/>
      </c>
      <c r="DZ2582" s="64">
        <f>($DX2582-$DX2583)*100</f>
        <v/>
      </c>
      <c r="EA2582" s="64">
        <f>($DW2582-$D2582)*100</f>
        <v/>
      </c>
      <c r="EB2582" s="64">
        <f>$Q2582-$O2582</f>
        <v/>
      </c>
      <c r="EC2582" s="67">
        <f>IFERROR($Q2582/$P2582,"")</f>
        <v/>
      </c>
    </row>
    <row r="2583">
      <c r="DG2583" s="64">
        <f>($B2583-$B2584)*100</f>
        <v/>
      </c>
      <c r="DH2583" s="64">
        <f>($D2583-$D2584)*100</f>
        <v/>
      </c>
      <c r="DI2583" s="64">
        <f>($E2583-$E2584)*100</f>
        <v/>
      </c>
      <c r="DJ2583" s="64">
        <f>($H2583-$H2584)*100</f>
        <v/>
      </c>
      <c r="DK2583" s="65">
        <f>IFERROR($J2583/$J2584-1,"")</f>
        <v/>
      </c>
      <c r="DL2583" s="64">
        <f>$L2583-$L2584</f>
        <v/>
      </c>
      <c r="DM2583" s="64">
        <f>$K2583-$K2584</f>
        <v/>
      </c>
      <c r="DN2583" s="65">
        <f>IFERROR($N2583/$N2584-1,"")</f>
        <v/>
      </c>
      <c r="DO2583" s="65">
        <f>IFERROR($M2583/$M2584-1,"")</f>
        <v/>
      </c>
      <c r="DP2583" s="65">
        <f>IFERROR($AZ2583/$AZ2584-1,"")</f>
        <v/>
      </c>
      <c r="DQ2583" s="65">
        <f>IFERROR($BA2583/$BA2584-1,"")</f>
        <v/>
      </c>
      <c r="DR2583" s="64">
        <f>$O2583-$O2584</f>
        <v/>
      </c>
      <c r="DS2583" s="64">
        <f>$P2583-$P2584</f>
        <v/>
      </c>
      <c r="DT2583" s="64">
        <f>$Q2583-$Q2584</f>
        <v/>
      </c>
      <c r="DU2583" s="64">
        <f>$S2583-$S2584</f>
        <v/>
      </c>
      <c r="DV2583" s="65">
        <f>IFERROR(AVERAGE($AA2584/$AA2583-1,$AB2584/$AB2583-1,$AC2584/$AC2583-1,$AD2584/$AD2583-1,$AE2584/$AE2583-1,$AG2584/$AG2583-1,$AH2584/$AH2583-1,$AI2584/$AI2583-1,$AJ2584/$AJ2583-1,$AL2584/$AL2583-1,$AM2584/$AM2583-1,$AR2584/$AR2583-1,$AS2584/$AS2583-1,$AT2584/$AT2583-1,$AU2584/$AU2583-1,$AV2584/$AV2583-1,$AW2584/$AW2583-1,$AX2584/$AX2583-1,$AY2584/$AY2583-1),"")</f>
        <v/>
      </c>
      <c r="DW2583" s="66">
        <f>AVERAGE($CB2583,$CC2583,$CD2583,$CE2583,$CF2583,$CG2583,$CH2583,$CI2583,$CJ2583,$CL2583,$CM2583,$CN2583,$CO2583,$CP2583,$CQ2583,$CR2583,$CS2583,$CT2583)</f>
        <v/>
      </c>
      <c r="DX2583" s="66">
        <f>AVERAGE($CB2583,$CC2583,$CM2583,$CE2583,$CP2583)</f>
        <v/>
      </c>
      <c r="DY2583" s="64">
        <f>($DW2583-$DW2584)*100</f>
        <v/>
      </c>
      <c r="DZ2583" s="64">
        <f>($DX2583-$DX2584)*100</f>
        <v/>
      </c>
      <c r="EA2583" s="64">
        <f>($DW2583-$D2583)*100</f>
        <v/>
      </c>
      <c r="EB2583" s="64">
        <f>$Q2583-$O2583</f>
        <v/>
      </c>
      <c r="EC2583" s="67">
        <f>IFERROR($Q2583/$P2583,"")</f>
        <v/>
      </c>
    </row>
    <row r="2584">
      <c r="DG2584" s="64">
        <f>($B2584-$B2585)*100</f>
        <v/>
      </c>
      <c r="DH2584" s="64">
        <f>($D2584-$D2585)*100</f>
        <v/>
      </c>
      <c r="DI2584" s="64">
        <f>($E2584-$E2585)*100</f>
        <v/>
      </c>
      <c r="DJ2584" s="64">
        <f>($H2584-$H2585)*100</f>
        <v/>
      </c>
      <c r="DK2584" s="65">
        <f>IFERROR($J2584/$J2585-1,"")</f>
        <v/>
      </c>
      <c r="DL2584" s="64">
        <f>$L2584-$L2585</f>
        <v/>
      </c>
      <c r="DM2584" s="64">
        <f>$K2584-$K2585</f>
        <v/>
      </c>
      <c r="DN2584" s="65">
        <f>IFERROR($N2584/$N2585-1,"")</f>
        <v/>
      </c>
      <c r="DO2584" s="65">
        <f>IFERROR($M2584/$M2585-1,"")</f>
        <v/>
      </c>
      <c r="DP2584" s="65">
        <f>IFERROR($AZ2584/$AZ2585-1,"")</f>
        <v/>
      </c>
      <c r="DQ2584" s="65">
        <f>IFERROR($BA2584/$BA2585-1,"")</f>
        <v/>
      </c>
      <c r="DR2584" s="64">
        <f>$O2584-$O2585</f>
        <v/>
      </c>
      <c r="DS2584" s="64">
        <f>$P2584-$P2585</f>
        <v/>
      </c>
      <c r="DT2584" s="64">
        <f>$Q2584-$Q2585</f>
        <v/>
      </c>
      <c r="DU2584" s="64">
        <f>$S2584-$S2585</f>
        <v/>
      </c>
      <c r="DV2584" s="65">
        <f>IFERROR(AVERAGE($AA2585/$AA2584-1,$AB2585/$AB2584-1,$AC2585/$AC2584-1,$AD2585/$AD2584-1,$AE2585/$AE2584-1,$AG2585/$AG2584-1,$AH2585/$AH2584-1,$AI2585/$AI2584-1,$AJ2585/$AJ2584-1,$AL2585/$AL2584-1,$AM2585/$AM2584-1,$AR2585/$AR2584-1,$AS2585/$AS2584-1,$AT2585/$AT2584-1,$AU2585/$AU2584-1,$AV2585/$AV2584-1,$AW2585/$AW2584-1,$AX2585/$AX2584-1,$AY2585/$AY2584-1),"")</f>
        <v/>
      </c>
      <c r="DW2584" s="66">
        <f>AVERAGE($CB2584,$CC2584,$CD2584,$CE2584,$CF2584,$CG2584,$CH2584,$CI2584,$CJ2584,$CL2584,$CM2584,$CN2584,$CO2584,$CP2584,$CQ2584,$CR2584,$CS2584,$CT2584)</f>
        <v/>
      </c>
      <c r="DX2584" s="66">
        <f>AVERAGE($CB2584,$CC2584,$CM2584,$CE2584,$CP2584)</f>
        <v/>
      </c>
      <c r="DY2584" s="64">
        <f>($DW2584-$DW2585)*100</f>
        <v/>
      </c>
      <c r="DZ2584" s="64">
        <f>($DX2584-$DX2585)*100</f>
        <v/>
      </c>
      <c r="EA2584" s="64">
        <f>($DW2584-$D2584)*100</f>
        <v/>
      </c>
      <c r="EB2584" s="64">
        <f>$Q2584-$O2584</f>
        <v/>
      </c>
      <c r="EC2584" s="67">
        <f>IFERROR($Q2584/$P2584,"")</f>
        <v/>
      </c>
    </row>
    <row r="2585">
      <c r="DG2585" s="64">
        <f>($B2585-$B2586)*100</f>
        <v/>
      </c>
      <c r="DH2585" s="64">
        <f>($D2585-$D2586)*100</f>
        <v/>
      </c>
      <c r="DI2585" s="64">
        <f>($E2585-$E2586)*100</f>
        <v/>
      </c>
      <c r="DJ2585" s="64">
        <f>($H2585-$H2586)*100</f>
        <v/>
      </c>
      <c r="DK2585" s="65">
        <f>IFERROR($J2585/$J2586-1,"")</f>
        <v/>
      </c>
      <c r="DL2585" s="64">
        <f>$L2585-$L2586</f>
        <v/>
      </c>
      <c r="DM2585" s="64">
        <f>$K2585-$K2586</f>
        <v/>
      </c>
      <c r="DN2585" s="65">
        <f>IFERROR($N2585/$N2586-1,"")</f>
        <v/>
      </c>
      <c r="DO2585" s="65">
        <f>IFERROR($M2585/$M2586-1,"")</f>
        <v/>
      </c>
      <c r="DP2585" s="65">
        <f>IFERROR($AZ2585/$AZ2586-1,"")</f>
        <v/>
      </c>
      <c r="DQ2585" s="65">
        <f>IFERROR($BA2585/$BA2586-1,"")</f>
        <v/>
      </c>
      <c r="DR2585" s="64">
        <f>$O2585-$O2586</f>
        <v/>
      </c>
      <c r="DS2585" s="64">
        <f>$P2585-$P2586</f>
        <v/>
      </c>
      <c r="DT2585" s="64">
        <f>$Q2585-$Q2586</f>
        <v/>
      </c>
      <c r="DU2585" s="64">
        <f>$S2585-$S2586</f>
        <v/>
      </c>
      <c r="DV2585" s="65">
        <f>IFERROR(AVERAGE($AA2586/$AA2585-1,$AB2586/$AB2585-1,$AC2586/$AC2585-1,$AD2586/$AD2585-1,$AE2586/$AE2585-1,$AG2586/$AG2585-1,$AH2586/$AH2585-1,$AI2586/$AI2585-1,$AJ2586/$AJ2585-1,$AL2586/$AL2585-1,$AM2586/$AM2585-1,$AR2586/$AR2585-1,$AS2586/$AS2585-1,$AT2586/$AT2585-1,$AU2586/$AU2585-1,$AV2586/$AV2585-1,$AW2586/$AW2585-1,$AX2586/$AX2585-1,$AY2586/$AY2585-1),"")</f>
        <v/>
      </c>
      <c r="DW2585" s="66">
        <f>AVERAGE($CB2585,$CC2585,$CD2585,$CE2585,$CF2585,$CG2585,$CH2585,$CI2585,$CJ2585,$CL2585,$CM2585,$CN2585,$CO2585,$CP2585,$CQ2585,$CR2585,$CS2585,$CT2585)</f>
        <v/>
      </c>
      <c r="DX2585" s="66">
        <f>AVERAGE($CB2585,$CC2585,$CM2585,$CE2585,$CP2585)</f>
        <v/>
      </c>
      <c r="DY2585" s="64">
        <f>($DW2585-$DW2586)*100</f>
        <v/>
      </c>
      <c r="DZ2585" s="64">
        <f>($DX2585-$DX2586)*100</f>
        <v/>
      </c>
      <c r="EA2585" s="64">
        <f>($DW2585-$D2585)*100</f>
        <v/>
      </c>
      <c r="EB2585" s="64">
        <f>$Q2585-$O2585</f>
        <v/>
      </c>
      <c r="EC2585" s="67">
        <f>IFERROR($Q2585/$P2585,"")</f>
        <v/>
      </c>
    </row>
    <row r="2586">
      <c r="DG2586" s="64">
        <f>($B2586-$B2587)*100</f>
        <v/>
      </c>
      <c r="DH2586" s="64">
        <f>($D2586-$D2587)*100</f>
        <v/>
      </c>
      <c r="DI2586" s="64">
        <f>($E2586-$E2587)*100</f>
        <v/>
      </c>
      <c r="DJ2586" s="64">
        <f>($H2586-$H2587)*100</f>
        <v/>
      </c>
      <c r="DK2586" s="65">
        <f>IFERROR($J2586/$J2587-1,"")</f>
        <v/>
      </c>
      <c r="DL2586" s="64">
        <f>$L2586-$L2587</f>
        <v/>
      </c>
      <c r="DM2586" s="64">
        <f>$K2586-$K2587</f>
        <v/>
      </c>
      <c r="DN2586" s="65">
        <f>IFERROR($N2586/$N2587-1,"")</f>
        <v/>
      </c>
      <c r="DO2586" s="65">
        <f>IFERROR($M2586/$M2587-1,"")</f>
        <v/>
      </c>
      <c r="DP2586" s="65">
        <f>IFERROR($AZ2586/$AZ2587-1,"")</f>
        <v/>
      </c>
      <c r="DQ2586" s="65">
        <f>IFERROR($BA2586/$BA2587-1,"")</f>
        <v/>
      </c>
      <c r="DR2586" s="64">
        <f>$O2586-$O2587</f>
        <v/>
      </c>
      <c r="DS2586" s="64">
        <f>$P2586-$P2587</f>
        <v/>
      </c>
      <c r="DT2586" s="64">
        <f>$Q2586-$Q2587</f>
        <v/>
      </c>
      <c r="DU2586" s="64">
        <f>$S2586-$S2587</f>
        <v/>
      </c>
      <c r="DV2586" s="65">
        <f>IFERROR(AVERAGE($AA2587/$AA2586-1,$AB2587/$AB2586-1,$AC2587/$AC2586-1,$AD2587/$AD2586-1,$AE2587/$AE2586-1,$AG2587/$AG2586-1,$AH2587/$AH2586-1,$AI2587/$AI2586-1,$AJ2587/$AJ2586-1,$AL2587/$AL2586-1,$AM2587/$AM2586-1,$AR2587/$AR2586-1,$AS2587/$AS2586-1,$AT2587/$AT2586-1,$AU2587/$AU2586-1,$AV2587/$AV2586-1,$AW2587/$AW2586-1,$AX2587/$AX2586-1,$AY2587/$AY2586-1),"")</f>
        <v/>
      </c>
      <c r="DW2586" s="66">
        <f>AVERAGE($CB2586,$CC2586,$CD2586,$CE2586,$CF2586,$CG2586,$CH2586,$CI2586,$CJ2586,$CL2586,$CM2586,$CN2586,$CO2586,$CP2586,$CQ2586,$CR2586,$CS2586,$CT2586)</f>
        <v/>
      </c>
      <c r="DX2586" s="66">
        <f>AVERAGE($CB2586,$CC2586,$CM2586,$CE2586,$CP2586)</f>
        <v/>
      </c>
      <c r="DY2586" s="64">
        <f>($DW2586-$DW2587)*100</f>
        <v/>
      </c>
      <c r="DZ2586" s="64">
        <f>($DX2586-$DX2587)*100</f>
        <v/>
      </c>
      <c r="EA2586" s="64">
        <f>($DW2586-$D2586)*100</f>
        <v/>
      </c>
      <c r="EB2586" s="64">
        <f>$Q2586-$O2586</f>
        <v/>
      </c>
      <c r="EC2586" s="67">
        <f>IFERROR($Q2586/$P2586,"")</f>
        <v/>
      </c>
    </row>
    <row r="2587">
      <c r="DG2587" s="64">
        <f>($B2587-$B2588)*100</f>
        <v/>
      </c>
      <c r="DH2587" s="64">
        <f>($D2587-$D2588)*100</f>
        <v/>
      </c>
      <c r="DI2587" s="64">
        <f>($E2587-$E2588)*100</f>
        <v/>
      </c>
      <c r="DJ2587" s="64">
        <f>($H2587-$H2588)*100</f>
        <v/>
      </c>
      <c r="DK2587" s="65">
        <f>IFERROR($J2587/$J2588-1,"")</f>
        <v/>
      </c>
      <c r="DL2587" s="64">
        <f>$L2587-$L2588</f>
        <v/>
      </c>
      <c r="DM2587" s="64">
        <f>$K2587-$K2588</f>
        <v/>
      </c>
      <c r="DN2587" s="65">
        <f>IFERROR($N2587/$N2588-1,"")</f>
        <v/>
      </c>
      <c r="DO2587" s="65">
        <f>IFERROR($M2587/$M2588-1,"")</f>
        <v/>
      </c>
      <c r="DP2587" s="65">
        <f>IFERROR($AZ2587/$AZ2588-1,"")</f>
        <v/>
      </c>
      <c r="DQ2587" s="65">
        <f>IFERROR($BA2587/$BA2588-1,"")</f>
        <v/>
      </c>
      <c r="DR2587" s="64">
        <f>$O2587-$O2588</f>
        <v/>
      </c>
      <c r="DS2587" s="64">
        <f>$P2587-$P2588</f>
        <v/>
      </c>
      <c r="DT2587" s="64">
        <f>$Q2587-$Q2588</f>
        <v/>
      </c>
      <c r="DU2587" s="64">
        <f>$S2587-$S2588</f>
        <v/>
      </c>
      <c r="DV2587" s="65">
        <f>IFERROR(AVERAGE($AA2588/$AA2587-1,$AB2588/$AB2587-1,$AC2588/$AC2587-1,$AD2588/$AD2587-1,$AE2588/$AE2587-1,$AG2588/$AG2587-1,$AH2588/$AH2587-1,$AI2588/$AI2587-1,$AJ2588/$AJ2587-1,$AL2588/$AL2587-1,$AM2588/$AM2587-1,$AR2588/$AR2587-1,$AS2588/$AS2587-1,$AT2588/$AT2587-1,$AU2588/$AU2587-1,$AV2588/$AV2587-1,$AW2588/$AW2587-1,$AX2588/$AX2587-1,$AY2588/$AY2587-1),"")</f>
        <v/>
      </c>
      <c r="DW2587" s="66">
        <f>AVERAGE($CB2587,$CC2587,$CD2587,$CE2587,$CF2587,$CG2587,$CH2587,$CI2587,$CJ2587,$CL2587,$CM2587,$CN2587,$CO2587,$CP2587,$CQ2587,$CR2587,$CS2587,$CT2587)</f>
        <v/>
      </c>
      <c r="DX2587" s="66">
        <f>AVERAGE($CB2587,$CC2587,$CM2587,$CE2587,$CP2587)</f>
        <v/>
      </c>
      <c r="DY2587" s="64">
        <f>($DW2587-$DW2588)*100</f>
        <v/>
      </c>
      <c r="DZ2587" s="64">
        <f>($DX2587-$DX2588)*100</f>
        <v/>
      </c>
      <c r="EA2587" s="64">
        <f>($DW2587-$D2587)*100</f>
        <v/>
      </c>
      <c r="EB2587" s="64">
        <f>$Q2587-$O2587</f>
        <v/>
      </c>
      <c r="EC2587" s="67">
        <f>IFERROR($Q2587/$P2587,"")</f>
        <v/>
      </c>
    </row>
    <row r="2588">
      <c r="DG2588" s="64">
        <f>($B2588-$B2589)*100</f>
        <v/>
      </c>
      <c r="DH2588" s="64">
        <f>($D2588-$D2589)*100</f>
        <v/>
      </c>
      <c r="DI2588" s="64">
        <f>($E2588-$E2589)*100</f>
        <v/>
      </c>
      <c r="DJ2588" s="64">
        <f>($H2588-$H2589)*100</f>
        <v/>
      </c>
      <c r="DK2588" s="65">
        <f>IFERROR($J2588/$J2589-1,"")</f>
        <v/>
      </c>
      <c r="DL2588" s="64">
        <f>$L2588-$L2589</f>
        <v/>
      </c>
      <c r="DM2588" s="64">
        <f>$K2588-$K2589</f>
        <v/>
      </c>
      <c r="DN2588" s="65">
        <f>IFERROR($N2588/$N2589-1,"")</f>
        <v/>
      </c>
      <c r="DO2588" s="65">
        <f>IFERROR($M2588/$M2589-1,"")</f>
        <v/>
      </c>
      <c r="DP2588" s="65">
        <f>IFERROR($AZ2588/$AZ2589-1,"")</f>
        <v/>
      </c>
      <c r="DQ2588" s="65">
        <f>IFERROR($BA2588/$BA2589-1,"")</f>
        <v/>
      </c>
      <c r="DR2588" s="64">
        <f>$O2588-$O2589</f>
        <v/>
      </c>
      <c r="DS2588" s="64">
        <f>$P2588-$P2589</f>
        <v/>
      </c>
      <c r="DT2588" s="64">
        <f>$Q2588-$Q2589</f>
        <v/>
      </c>
      <c r="DU2588" s="64">
        <f>$S2588-$S2589</f>
        <v/>
      </c>
      <c r="DV2588" s="65">
        <f>IFERROR(AVERAGE($AA2589/$AA2588-1,$AB2589/$AB2588-1,$AC2589/$AC2588-1,$AD2589/$AD2588-1,$AE2589/$AE2588-1,$AG2589/$AG2588-1,$AH2589/$AH2588-1,$AI2589/$AI2588-1,$AJ2589/$AJ2588-1,$AL2589/$AL2588-1,$AM2589/$AM2588-1,$AR2589/$AR2588-1,$AS2589/$AS2588-1,$AT2589/$AT2588-1,$AU2589/$AU2588-1,$AV2589/$AV2588-1,$AW2589/$AW2588-1,$AX2589/$AX2588-1,$AY2589/$AY2588-1),"")</f>
        <v/>
      </c>
      <c r="DW2588" s="66">
        <f>AVERAGE($CB2588,$CC2588,$CD2588,$CE2588,$CF2588,$CG2588,$CH2588,$CI2588,$CJ2588,$CL2588,$CM2588,$CN2588,$CO2588,$CP2588,$CQ2588,$CR2588,$CS2588,$CT2588)</f>
        <v/>
      </c>
      <c r="DX2588" s="66">
        <f>AVERAGE($CB2588,$CC2588,$CM2588,$CE2588,$CP2588)</f>
        <v/>
      </c>
      <c r="DY2588" s="64">
        <f>($DW2588-$DW2589)*100</f>
        <v/>
      </c>
      <c r="DZ2588" s="64">
        <f>($DX2588-$DX2589)*100</f>
        <v/>
      </c>
      <c r="EA2588" s="64">
        <f>($DW2588-$D2588)*100</f>
        <v/>
      </c>
      <c r="EB2588" s="64">
        <f>$Q2588-$O2588</f>
        <v/>
      </c>
      <c r="EC2588" s="67">
        <f>IFERROR($Q2588/$P2588,"")</f>
        <v/>
      </c>
    </row>
    <row r="2589">
      <c r="DG2589" s="64">
        <f>($B2589-$B2590)*100</f>
        <v/>
      </c>
      <c r="DH2589" s="64">
        <f>($D2589-$D2590)*100</f>
        <v/>
      </c>
      <c r="DI2589" s="64">
        <f>($E2589-$E2590)*100</f>
        <v/>
      </c>
      <c r="DJ2589" s="64">
        <f>($H2589-$H2590)*100</f>
        <v/>
      </c>
      <c r="DK2589" s="65">
        <f>IFERROR($J2589/$J2590-1,"")</f>
        <v/>
      </c>
      <c r="DL2589" s="64">
        <f>$L2589-$L2590</f>
        <v/>
      </c>
      <c r="DM2589" s="64">
        <f>$K2589-$K2590</f>
        <v/>
      </c>
      <c r="DN2589" s="65">
        <f>IFERROR($N2589/$N2590-1,"")</f>
        <v/>
      </c>
      <c r="DO2589" s="65">
        <f>IFERROR($M2589/$M2590-1,"")</f>
        <v/>
      </c>
      <c r="DP2589" s="65">
        <f>IFERROR($AZ2589/$AZ2590-1,"")</f>
        <v/>
      </c>
      <c r="DQ2589" s="65">
        <f>IFERROR($BA2589/$BA2590-1,"")</f>
        <v/>
      </c>
      <c r="DR2589" s="64">
        <f>$O2589-$O2590</f>
        <v/>
      </c>
      <c r="DS2589" s="64">
        <f>$P2589-$P2590</f>
        <v/>
      </c>
      <c r="DT2589" s="64">
        <f>$Q2589-$Q2590</f>
        <v/>
      </c>
      <c r="DU2589" s="64">
        <f>$S2589-$S2590</f>
        <v/>
      </c>
      <c r="DV2589" s="65">
        <f>IFERROR(AVERAGE($AA2590/$AA2589-1,$AB2590/$AB2589-1,$AC2590/$AC2589-1,$AD2590/$AD2589-1,$AE2590/$AE2589-1,$AG2590/$AG2589-1,$AH2590/$AH2589-1,$AI2590/$AI2589-1,$AJ2590/$AJ2589-1,$AL2590/$AL2589-1,$AM2590/$AM2589-1,$AR2590/$AR2589-1,$AS2590/$AS2589-1,$AT2590/$AT2589-1,$AU2590/$AU2589-1,$AV2590/$AV2589-1,$AW2590/$AW2589-1,$AX2590/$AX2589-1,$AY2590/$AY2589-1),"")</f>
        <v/>
      </c>
      <c r="DW2589" s="66">
        <f>AVERAGE($CB2589,$CC2589,$CD2589,$CE2589,$CF2589,$CG2589,$CH2589,$CI2589,$CJ2589,$CL2589,$CM2589,$CN2589,$CO2589,$CP2589,$CQ2589,$CR2589,$CS2589,$CT2589)</f>
        <v/>
      </c>
      <c r="DX2589" s="66">
        <f>AVERAGE($CB2589,$CC2589,$CM2589,$CE2589,$CP2589)</f>
        <v/>
      </c>
      <c r="DY2589" s="64">
        <f>($DW2589-$DW2590)*100</f>
        <v/>
      </c>
      <c r="DZ2589" s="64">
        <f>($DX2589-$DX2590)*100</f>
        <v/>
      </c>
      <c r="EA2589" s="64">
        <f>($DW2589-$D2589)*100</f>
        <v/>
      </c>
      <c r="EB2589" s="64">
        <f>$Q2589-$O2589</f>
        <v/>
      </c>
      <c r="EC2589" s="67">
        <f>IFERROR($Q2589/$P2589,"")</f>
        <v/>
      </c>
    </row>
    <row r="2590">
      <c r="DG2590" s="64">
        <f>($B2590-$B2591)*100</f>
        <v/>
      </c>
      <c r="DH2590" s="64">
        <f>($D2590-$D2591)*100</f>
        <v/>
      </c>
      <c r="DI2590" s="64">
        <f>($E2590-$E2591)*100</f>
        <v/>
      </c>
      <c r="DJ2590" s="64">
        <f>($H2590-$H2591)*100</f>
        <v/>
      </c>
      <c r="DK2590" s="65">
        <f>IFERROR($J2590/$J2591-1,"")</f>
        <v/>
      </c>
      <c r="DL2590" s="64">
        <f>$L2590-$L2591</f>
        <v/>
      </c>
      <c r="DM2590" s="64">
        <f>$K2590-$K2591</f>
        <v/>
      </c>
      <c r="DN2590" s="65">
        <f>IFERROR($N2590/$N2591-1,"")</f>
        <v/>
      </c>
      <c r="DO2590" s="65">
        <f>IFERROR($M2590/$M2591-1,"")</f>
        <v/>
      </c>
      <c r="DP2590" s="65">
        <f>IFERROR($AZ2590/$AZ2591-1,"")</f>
        <v/>
      </c>
      <c r="DQ2590" s="65">
        <f>IFERROR($BA2590/$BA2591-1,"")</f>
        <v/>
      </c>
      <c r="DR2590" s="64">
        <f>$O2590-$O2591</f>
        <v/>
      </c>
      <c r="DS2590" s="64">
        <f>$P2590-$P2591</f>
        <v/>
      </c>
      <c r="DT2590" s="64">
        <f>$Q2590-$Q2591</f>
        <v/>
      </c>
      <c r="DU2590" s="64">
        <f>$S2590-$S2591</f>
        <v/>
      </c>
      <c r="DV2590" s="65">
        <f>IFERROR(AVERAGE($AA2591/$AA2590-1,$AB2591/$AB2590-1,$AC2591/$AC2590-1,$AD2591/$AD2590-1,$AE2591/$AE2590-1,$AG2591/$AG2590-1,$AH2591/$AH2590-1,$AI2591/$AI2590-1,$AJ2591/$AJ2590-1,$AL2591/$AL2590-1,$AM2591/$AM2590-1,$AR2591/$AR2590-1,$AS2591/$AS2590-1,$AT2591/$AT2590-1,$AU2591/$AU2590-1,$AV2591/$AV2590-1,$AW2591/$AW2590-1,$AX2591/$AX2590-1,$AY2591/$AY2590-1),"")</f>
        <v/>
      </c>
      <c r="DW2590" s="66">
        <f>AVERAGE($CB2590,$CC2590,$CD2590,$CE2590,$CF2590,$CG2590,$CH2590,$CI2590,$CJ2590,$CL2590,$CM2590,$CN2590,$CO2590,$CP2590,$CQ2590,$CR2590,$CS2590,$CT2590)</f>
        <v/>
      </c>
      <c r="DX2590" s="66">
        <f>AVERAGE($CB2590,$CC2590,$CM2590,$CE2590,$CP2590)</f>
        <v/>
      </c>
      <c r="DY2590" s="64">
        <f>($DW2590-$DW2591)*100</f>
        <v/>
      </c>
      <c r="DZ2590" s="64">
        <f>($DX2590-$DX2591)*100</f>
        <v/>
      </c>
      <c r="EA2590" s="64">
        <f>($DW2590-$D2590)*100</f>
        <v/>
      </c>
      <c r="EB2590" s="64">
        <f>$Q2590-$O2590</f>
        <v/>
      </c>
      <c r="EC2590" s="67">
        <f>IFERROR($Q2590/$P2590,"")</f>
        <v/>
      </c>
    </row>
    <row r="2591">
      <c r="DG2591" s="64">
        <f>($B2591-$B2592)*100</f>
        <v/>
      </c>
      <c r="DH2591" s="64">
        <f>($D2591-$D2592)*100</f>
        <v/>
      </c>
      <c r="DI2591" s="64">
        <f>($E2591-$E2592)*100</f>
        <v/>
      </c>
      <c r="DJ2591" s="64">
        <f>($H2591-$H2592)*100</f>
        <v/>
      </c>
      <c r="DK2591" s="65">
        <f>IFERROR($J2591/$J2592-1,"")</f>
        <v/>
      </c>
      <c r="DL2591" s="64">
        <f>$L2591-$L2592</f>
        <v/>
      </c>
      <c r="DM2591" s="64">
        <f>$K2591-$K2592</f>
        <v/>
      </c>
      <c r="DN2591" s="65">
        <f>IFERROR($N2591/$N2592-1,"")</f>
        <v/>
      </c>
      <c r="DO2591" s="65">
        <f>IFERROR($M2591/$M2592-1,"")</f>
        <v/>
      </c>
      <c r="DP2591" s="65">
        <f>IFERROR($AZ2591/$AZ2592-1,"")</f>
        <v/>
      </c>
      <c r="DQ2591" s="65">
        <f>IFERROR($BA2591/$BA2592-1,"")</f>
        <v/>
      </c>
      <c r="DR2591" s="64">
        <f>$O2591-$O2592</f>
        <v/>
      </c>
      <c r="DS2591" s="64">
        <f>$P2591-$P2592</f>
        <v/>
      </c>
      <c r="DT2591" s="64">
        <f>$Q2591-$Q2592</f>
        <v/>
      </c>
      <c r="DU2591" s="64">
        <f>$S2591-$S2592</f>
        <v/>
      </c>
      <c r="DV2591" s="65">
        <f>IFERROR(AVERAGE($AA2592/$AA2591-1,$AB2592/$AB2591-1,$AC2592/$AC2591-1,$AD2592/$AD2591-1,$AE2592/$AE2591-1,$AG2592/$AG2591-1,$AH2592/$AH2591-1,$AI2592/$AI2591-1,$AJ2592/$AJ2591-1,$AL2592/$AL2591-1,$AM2592/$AM2591-1,$AR2592/$AR2591-1,$AS2592/$AS2591-1,$AT2592/$AT2591-1,$AU2592/$AU2591-1,$AV2592/$AV2591-1,$AW2592/$AW2591-1,$AX2592/$AX2591-1,$AY2592/$AY2591-1),"")</f>
        <v/>
      </c>
      <c r="DW2591" s="66">
        <f>AVERAGE($CB2591,$CC2591,$CD2591,$CE2591,$CF2591,$CG2591,$CH2591,$CI2591,$CJ2591,$CL2591,$CM2591,$CN2591,$CO2591,$CP2591,$CQ2591,$CR2591,$CS2591,$CT2591)</f>
        <v/>
      </c>
      <c r="DX2591" s="66">
        <f>AVERAGE($CB2591,$CC2591,$CM2591,$CE2591,$CP2591)</f>
        <v/>
      </c>
      <c r="DY2591" s="64">
        <f>($DW2591-$DW2592)*100</f>
        <v/>
      </c>
      <c r="DZ2591" s="64">
        <f>($DX2591-$DX2592)*100</f>
        <v/>
      </c>
      <c r="EA2591" s="64">
        <f>($DW2591-$D2591)*100</f>
        <v/>
      </c>
      <c r="EB2591" s="64">
        <f>$Q2591-$O2591</f>
        <v/>
      </c>
      <c r="EC2591" s="67">
        <f>IFERROR($Q2591/$P2591,"")</f>
        <v/>
      </c>
    </row>
    <row r="2592">
      <c r="DG2592" s="64">
        <f>($B2592-$B2593)*100</f>
        <v/>
      </c>
      <c r="DH2592" s="64">
        <f>($D2592-$D2593)*100</f>
        <v/>
      </c>
      <c r="DI2592" s="64">
        <f>($E2592-$E2593)*100</f>
        <v/>
      </c>
      <c r="DJ2592" s="64">
        <f>($H2592-$H2593)*100</f>
        <v/>
      </c>
      <c r="DK2592" s="65">
        <f>IFERROR($J2592/$J2593-1,"")</f>
        <v/>
      </c>
      <c r="DL2592" s="64">
        <f>$L2592-$L2593</f>
        <v/>
      </c>
      <c r="DM2592" s="64">
        <f>$K2592-$K2593</f>
        <v/>
      </c>
      <c r="DN2592" s="65">
        <f>IFERROR($N2592/$N2593-1,"")</f>
        <v/>
      </c>
      <c r="DO2592" s="65">
        <f>IFERROR($M2592/$M2593-1,"")</f>
        <v/>
      </c>
      <c r="DP2592" s="65">
        <f>IFERROR($AZ2592/$AZ2593-1,"")</f>
        <v/>
      </c>
      <c r="DQ2592" s="65">
        <f>IFERROR($BA2592/$BA2593-1,"")</f>
        <v/>
      </c>
      <c r="DR2592" s="64">
        <f>$O2592-$O2593</f>
        <v/>
      </c>
      <c r="DS2592" s="64">
        <f>$P2592-$P2593</f>
        <v/>
      </c>
      <c r="DT2592" s="64">
        <f>$Q2592-$Q2593</f>
        <v/>
      </c>
      <c r="DU2592" s="64">
        <f>$S2592-$S2593</f>
        <v/>
      </c>
      <c r="DV2592" s="65">
        <f>IFERROR(AVERAGE($AA2593/$AA2592-1,$AB2593/$AB2592-1,$AC2593/$AC2592-1,$AD2593/$AD2592-1,$AE2593/$AE2592-1,$AG2593/$AG2592-1,$AH2593/$AH2592-1,$AI2593/$AI2592-1,$AJ2593/$AJ2592-1,$AL2593/$AL2592-1,$AM2593/$AM2592-1,$AR2593/$AR2592-1,$AS2593/$AS2592-1,$AT2593/$AT2592-1,$AU2593/$AU2592-1,$AV2593/$AV2592-1,$AW2593/$AW2592-1,$AX2593/$AX2592-1,$AY2593/$AY2592-1),"")</f>
        <v/>
      </c>
      <c r="DW2592" s="66">
        <f>AVERAGE($CB2592,$CC2592,$CD2592,$CE2592,$CF2592,$CG2592,$CH2592,$CI2592,$CJ2592,$CL2592,$CM2592,$CN2592,$CO2592,$CP2592,$CQ2592,$CR2592,$CS2592,$CT2592)</f>
        <v/>
      </c>
      <c r="DX2592" s="66">
        <f>AVERAGE($CB2592,$CC2592,$CM2592,$CE2592,$CP2592)</f>
        <v/>
      </c>
      <c r="DY2592" s="64">
        <f>($DW2592-$DW2593)*100</f>
        <v/>
      </c>
      <c r="DZ2592" s="64">
        <f>($DX2592-$DX2593)*100</f>
        <v/>
      </c>
      <c r="EA2592" s="64">
        <f>($DW2592-$D2592)*100</f>
        <v/>
      </c>
      <c r="EB2592" s="64">
        <f>$Q2592-$O2592</f>
        <v/>
      </c>
      <c r="EC2592" s="67">
        <f>IFERROR($Q2592/$P2592,"")</f>
        <v/>
      </c>
    </row>
    <row r="2593">
      <c r="DG2593" s="64">
        <f>($B2593-$B2594)*100</f>
        <v/>
      </c>
      <c r="DH2593" s="64">
        <f>($D2593-$D2594)*100</f>
        <v/>
      </c>
      <c r="DI2593" s="64">
        <f>($E2593-$E2594)*100</f>
        <v/>
      </c>
      <c r="DJ2593" s="64">
        <f>($H2593-$H2594)*100</f>
        <v/>
      </c>
      <c r="DK2593" s="65">
        <f>IFERROR($J2593/$J2594-1,"")</f>
        <v/>
      </c>
      <c r="DL2593" s="64">
        <f>$L2593-$L2594</f>
        <v/>
      </c>
      <c r="DM2593" s="64">
        <f>$K2593-$K2594</f>
        <v/>
      </c>
      <c r="DN2593" s="65">
        <f>IFERROR($N2593/$N2594-1,"")</f>
        <v/>
      </c>
      <c r="DO2593" s="65">
        <f>IFERROR($M2593/$M2594-1,"")</f>
        <v/>
      </c>
      <c r="DP2593" s="65">
        <f>IFERROR($AZ2593/$AZ2594-1,"")</f>
        <v/>
      </c>
      <c r="DQ2593" s="65">
        <f>IFERROR($BA2593/$BA2594-1,"")</f>
        <v/>
      </c>
      <c r="DR2593" s="64">
        <f>$O2593-$O2594</f>
        <v/>
      </c>
      <c r="DS2593" s="64">
        <f>$P2593-$P2594</f>
        <v/>
      </c>
      <c r="DT2593" s="64">
        <f>$Q2593-$Q2594</f>
        <v/>
      </c>
      <c r="DU2593" s="64">
        <f>$S2593-$S2594</f>
        <v/>
      </c>
      <c r="DV2593" s="65">
        <f>IFERROR(AVERAGE($AA2594/$AA2593-1,$AB2594/$AB2593-1,$AC2594/$AC2593-1,$AD2594/$AD2593-1,$AE2594/$AE2593-1,$AG2594/$AG2593-1,$AH2594/$AH2593-1,$AI2594/$AI2593-1,$AJ2594/$AJ2593-1,$AL2594/$AL2593-1,$AM2594/$AM2593-1,$AR2594/$AR2593-1,$AS2594/$AS2593-1,$AT2594/$AT2593-1,$AU2594/$AU2593-1,$AV2594/$AV2593-1,$AW2594/$AW2593-1,$AX2594/$AX2593-1,$AY2594/$AY2593-1),"")</f>
        <v/>
      </c>
      <c r="DW2593" s="66">
        <f>AVERAGE($CB2593,$CC2593,$CD2593,$CE2593,$CF2593,$CG2593,$CH2593,$CI2593,$CJ2593,$CL2593,$CM2593,$CN2593,$CO2593,$CP2593,$CQ2593,$CR2593,$CS2593,$CT2593)</f>
        <v/>
      </c>
      <c r="DX2593" s="66">
        <f>AVERAGE($CB2593,$CC2593,$CM2593,$CE2593,$CP2593)</f>
        <v/>
      </c>
      <c r="DY2593" s="64">
        <f>($DW2593-$DW2594)*100</f>
        <v/>
      </c>
      <c r="DZ2593" s="64">
        <f>($DX2593-$DX2594)*100</f>
        <v/>
      </c>
      <c r="EA2593" s="64">
        <f>($DW2593-$D2593)*100</f>
        <v/>
      </c>
      <c r="EB2593" s="64">
        <f>$Q2593-$O2593</f>
        <v/>
      </c>
      <c r="EC2593" s="67">
        <f>IFERROR($Q2593/$P2593,"")</f>
        <v/>
      </c>
    </row>
    <row r="2594">
      <c r="DG2594" s="64">
        <f>($B2594-$B2595)*100</f>
        <v/>
      </c>
      <c r="DH2594" s="64">
        <f>($D2594-$D2595)*100</f>
        <v/>
      </c>
      <c r="DI2594" s="64">
        <f>($E2594-$E2595)*100</f>
        <v/>
      </c>
      <c r="DJ2594" s="64">
        <f>($H2594-$H2595)*100</f>
        <v/>
      </c>
      <c r="DK2594" s="65">
        <f>IFERROR($J2594/$J2595-1,"")</f>
        <v/>
      </c>
      <c r="DL2594" s="64">
        <f>$L2594-$L2595</f>
        <v/>
      </c>
      <c r="DM2594" s="64">
        <f>$K2594-$K2595</f>
        <v/>
      </c>
      <c r="DN2594" s="65">
        <f>IFERROR($N2594/$N2595-1,"")</f>
        <v/>
      </c>
      <c r="DO2594" s="65">
        <f>IFERROR($M2594/$M2595-1,"")</f>
        <v/>
      </c>
      <c r="DP2594" s="65">
        <f>IFERROR($AZ2594/$AZ2595-1,"")</f>
        <v/>
      </c>
      <c r="DQ2594" s="65">
        <f>IFERROR($BA2594/$BA2595-1,"")</f>
        <v/>
      </c>
      <c r="DR2594" s="64">
        <f>$O2594-$O2595</f>
        <v/>
      </c>
      <c r="DS2594" s="64">
        <f>$P2594-$P2595</f>
        <v/>
      </c>
      <c r="DT2594" s="64">
        <f>$Q2594-$Q2595</f>
        <v/>
      </c>
      <c r="DU2594" s="64">
        <f>$S2594-$S2595</f>
        <v/>
      </c>
      <c r="DV2594" s="65">
        <f>IFERROR(AVERAGE($AA2595/$AA2594-1,$AB2595/$AB2594-1,$AC2595/$AC2594-1,$AD2595/$AD2594-1,$AE2595/$AE2594-1,$AG2595/$AG2594-1,$AH2595/$AH2594-1,$AI2595/$AI2594-1,$AJ2595/$AJ2594-1,$AL2595/$AL2594-1,$AM2595/$AM2594-1,$AR2595/$AR2594-1,$AS2595/$AS2594-1,$AT2595/$AT2594-1,$AU2595/$AU2594-1,$AV2595/$AV2594-1,$AW2595/$AW2594-1,$AX2595/$AX2594-1,$AY2595/$AY2594-1),"")</f>
        <v/>
      </c>
      <c r="DW2594" s="66">
        <f>AVERAGE($CB2594,$CC2594,$CD2594,$CE2594,$CF2594,$CG2594,$CH2594,$CI2594,$CJ2594,$CL2594,$CM2594,$CN2594,$CO2594,$CP2594,$CQ2594,$CR2594,$CS2594,$CT2594)</f>
        <v/>
      </c>
      <c r="DX2594" s="66">
        <f>AVERAGE($CB2594,$CC2594,$CM2594,$CE2594,$CP2594)</f>
        <v/>
      </c>
      <c r="DY2594" s="64">
        <f>($DW2594-$DW2595)*100</f>
        <v/>
      </c>
      <c r="DZ2594" s="64">
        <f>($DX2594-$DX2595)*100</f>
        <v/>
      </c>
      <c r="EA2594" s="64">
        <f>($DW2594-$D2594)*100</f>
        <v/>
      </c>
      <c r="EB2594" s="64">
        <f>$Q2594-$O2594</f>
        <v/>
      </c>
      <c r="EC2594" s="67">
        <f>IFERROR($Q2594/$P2594,"")</f>
        <v/>
      </c>
    </row>
    <row r="2595">
      <c r="DG2595" s="64">
        <f>($B2595-$B2596)*100</f>
        <v/>
      </c>
      <c r="DH2595" s="64">
        <f>($D2595-$D2596)*100</f>
        <v/>
      </c>
      <c r="DI2595" s="64">
        <f>($E2595-$E2596)*100</f>
        <v/>
      </c>
      <c r="DJ2595" s="64">
        <f>($H2595-$H2596)*100</f>
        <v/>
      </c>
      <c r="DK2595" s="65">
        <f>IFERROR($J2595/$J2596-1,"")</f>
        <v/>
      </c>
      <c r="DL2595" s="64">
        <f>$L2595-$L2596</f>
        <v/>
      </c>
      <c r="DM2595" s="64">
        <f>$K2595-$K2596</f>
        <v/>
      </c>
      <c r="DN2595" s="65">
        <f>IFERROR($N2595/$N2596-1,"")</f>
        <v/>
      </c>
      <c r="DO2595" s="65">
        <f>IFERROR($M2595/$M2596-1,"")</f>
        <v/>
      </c>
      <c r="DP2595" s="65">
        <f>IFERROR($AZ2595/$AZ2596-1,"")</f>
        <v/>
      </c>
      <c r="DQ2595" s="65">
        <f>IFERROR($BA2595/$BA2596-1,"")</f>
        <v/>
      </c>
      <c r="DR2595" s="64">
        <f>$O2595-$O2596</f>
        <v/>
      </c>
      <c r="DS2595" s="64">
        <f>$P2595-$P2596</f>
        <v/>
      </c>
      <c r="DT2595" s="64">
        <f>$Q2595-$Q2596</f>
        <v/>
      </c>
      <c r="DU2595" s="64">
        <f>$S2595-$S2596</f>
        <v/>
      </c>
      <c r="DV2595" s="65">
        <f>IFERROR(AVERAGE($AA2596/$AA2595-1,$AB2596/$AB2595-1,$AC2596/$AC2595-1,$AD2596/$AD2595-1,$AE2596/$AE2595-1,$AG2596/$AG2595-1,$AH2596/$AH2595-1,$AI2596/$AI2595-1,$AJ2596/$AJ2595-1,$AL2596/$AL2595-1,$AM2596/$AM2595-1,$AR2596/$AR2595-1,$AS2596/$AS2595-1,$AT2596/$AT2595-1,$AU2596/$AU2595-1,$AV2596/$AV2595-1,$AW2596/$AW2595-1,$AX2596/$AX2595-1,$AY2596/$AY2595-1),"")</f>
        <v/>
      </c>
      <c r="DW2595" s="66">
        <f>AVERAGE($CB2595,$CC2595,$CD2595,$CE2595,$CF2595,$CG2595,$CH2595,$CI2595,$CJ2595,$CL2595,$CM2595,$CN2595,$CO2595,$CP2595,$CQ2595,$CR2595,$CS2595,$CT2595)</f>
        <v/>
      </c>
      <c r="DX2595" s="66">
        <f>AVERAGE($CB2595,$CC2595,$CM2595,$CE2595,$CP2595)</f>
        <v/>
      </c>
      <c r="DY2595" s="64">
        <f>($DW2595-$DW2596)*100</f>
        <v/>
      </c>
      <c r="DZ2595" s="64">
        <f>($DX2595-$DX2596)*100</f>
        <v/>
      </c>
      <c r="EA2595" s="64">
        <f>($DW2595-$D2595)*100</f>
        <v/>
      </c>
      <c r="EB2595" s="64">
        <f>$Q2595-$O2595</f>
        <v/>
      </c>
      <c r="EC2595" s="67">
        <f>IFERROR($Q2595/$P2595,"")</f>
        <v/>
      </c>
    </row>
    <row r="2596">
      <c r="DG2596" s="64">
        <f>($B2596-$B2597)*100</f>
        <v/>
      </c>
      <c r="DH2596" s="64">
        <f>($D2596-$D2597)*100</f>
        <v/>
      </c>
      <c r="DI2596" s="64">
        <f>($E2596-$E2597)*100</f>
        <v/>
      </c>
      <c r="DJ2596" s="64">
        <f>($H2596-$H2597)*100</f>
        <v/>
      </c>
      <c r="DK2596" s="65">
        <f>IFERROR($J2596/$J2597-1,"")</f>
        <v/>
      </c>
      <c r="DL2596" s="64">
        <f>$L2596-$L2597</f>
        <v/>
      </c>
      <c r="DM2596" s="64">
        <f>$K2596-$K2597</f>
        <v/>
      </c>
      <c r="DN2596" s="65">
        <f>IFERROR($N2596/$N2597-1,"")</f>
        <v/>
      </c>
      <c r="DO2596" s="65">
        <f>IFERROR($M2596/$M2597-1,"")</f>
        <v/>
      </c>
      <c r="DP2596" s="65">
        <f>IFERROR($AZ2596/$AZ2597-1,"")</f>
        <v/>
      </c>
      <c r="DQ2596" s="65">
        <f>IFERROR($BA2596/$BA2597-1,"")</f>
        <v/>
      </c>
      <c r="DR2596" s="64">
        <f>$O2596-$O2597</f>
        <v/>
      </c>
      <c r="DS2596" s="64">
        <f>$P2596-$P2597</f>
        <v/>
      </c>
      <c r="DT2596" s="64">
        <f>$Q2596-$Q2597</f>
        <v/>
      </c>
      <c r="DU2596" s="64">
        <f>$S2596-$S2597</f>
        <v/>
      </c>
      <c r="DV2596" s="65">
        <f>IFERROR(AVERAGE($AA2597/$AA2596-1,$AB2597/$AB2596-1,$AC2597/$AC2596-1,$AD2597/$AD2596-1,$AE2597/$AE2596-1,$AG2597/$AG2596-1,$AH2597/$AH2596-1,$AI2597/$AI2596-1,$AJ2597/$AJ2596-1,$AL2597/$AL2596-1,$AM2597/$AM2596-1,$AR2597/$AR2596-1,$AS2597/$AS2596-1,$AT2597/$AT2596-1,$AU2597/$AU2596-1,$AV2597/$AV2596-1,$AW2597/$AW2596-1,$AX2597/$AX2596-1,$AY2597/$AY2596-1),"")</f>
        <v/>
      </c>
      <c r="DW2596" s="66">
        <f>AVERAGE($CB2596,$CC2596,$CD2596,$CE2596,$CF2596,$CG2596,$CH2596,$CI2596,$CJ2596,$CL2596,$CM2596,$CN2596,$CO2596,$CP2596,$CQ2596,$CR2596,$CS2596,$CT2596)</f>
        <v/>
      </c>
      <c r="DX2596" s="66">
        <f>AVERAGE($CB2596,$CC2596,$CM2596,$CE2596,$CP2596)</f>
        <v/>
      </c>
      <c r="DY2596" s="64">
        <f>($DW2596-$DW2597)*100</f>
        <v/>
      </c>
      <c r="DZ2596" s="64">
        <f>($DX2596-$DX2597)*100</f>
        <v/>
      </c>
      <c r="EA2596" s="64">
        <f>($DW2596-$D2596)*100</f>
        <v/>
      </c>
      <c r="EB2596" s="64">
        <f>$Q2596-$O2596</f>
        <v/>
      </c>
      <c r="EC2596" s="67">
        <f>IFERROR($Q2596/$P2596,"")</f>
        <v/>
      </c>
    </row>
    <row r="2597">
      <c r="DG2597" s="64">
        <f>($B2597-$B2598)*100</f>
        <v/>
      </c>
      <c r="DH2597" s="64">
        <f>($D2597-$D2598)*100</f>
        <v/>
      </c>
      <c r="DI2597" s="64">
        <f>($E2597-$E2598)*100</f>
        <v/>
      </c>
      <c r="DJ2597" s="64">
        <f>($H2597-$H2598)*100</f>
        <v/>
      </c>
      <c r="DK2597" s="65">
        <f>IFERROR($J2597/$J2598-1,"")</f>
        <v/>
      </c>
      <c r="DL2597" s="64">
        <f>$L2597-$L2598</f>
        <v/>
      </c>
      <c r="DM2597" s="64">
        <f>$K2597-$K2598</f>
        <v/>
      </c>
      <c r="DN2597" s="65">
        <f>IFERROR($N2597/$N2598-1,"")</f>
        <v/>
      </c>
      <c r="DO2597" s="65">
        <f>IFERROR($M2597/$M2598-1,"")</f>
        <v/>
      </c>
      <c r="DP2597" s="65">
        <f>IFERROR($AZ2597/$AZ2598-1,"")</f>
        <v/>
      </c>
      <c r="DQ2597" s="65">
        <f>IFERROR($BA2597/$BA2598-1,"")</f>
        <v/>
      </c>
      <c r="DR2597" s="64">
        <f>$O2597-$O2598</f>
        <v/>
      </c>
      <c r="DS2597" s="64">
        <f>$P2597-$P2598</f>
        <v/>
      </c>
      <c r="DT2597" s="64">
        <f>$Q2597-$Q2598</f>
        <v/>
      </c>
      <c r="DU2597" s="64">
        <f>$S2597-$S2598</f>
        <v/>
      </c>
      <c r="DV2597" s="65">
        <f>IFERROR(AVERAGE($AA2598/$AA2597-1,$AB2598/$AB2597-1,$AC2598/$AC2597-1,$AD2598/$AD2597-1,$AE2598/$AE2597-1,$AG2598/$AG2597-1,$AH2598/$AH2597-1,$AI2598/$AI2597-1,$AJ2598/$AJ2597-1,$AL2598/$AL2597-1,$AM2598/$AM2597-1,$AR2598/$AR2597-1,$AS2598/$AS2597-1,$AT2598/$AT2597-1,$AU2598/$AU2597-1,$AV2598/$AV2597-1,$AW2598/$AW2597-1,$AX2598/$AX2597-1,$AY2598/$AY2597-1),"")</f>
        <v/>
      </c>
      <c r="DW2597" s="66">
        <f>AVERAGE($CB2597,$CC2597,$CD2597,$CE2597,$CF2597,$CG2597,$CH2597,$CI2597,$CJ2597,$CL2597,$CM2597,$CN2597,$CO2597,$CP2597,$CQ2597,$CR2597,$CS2597,$CT2597)</f>
        <v/>
      </c>
      <c r="DX2597" s="66">
        <f>AVERAGE($CB2597,$CC2597,$CM2597,$CE2597,$CP2597)</f>
        <v/>
      </c>
      <c r="DY2597" s="64">
        <f>($DW2597-$DW2598)*100</f>
        <v/>
      </c>
      <c r="DZ2597" s="64">
        <f>($DX2597-$DX2598)*100</f>
        <v/>
      </c>
      <c r="EA2597" s="64">
        <f>($DW2597-$D2597)*100</f>
        <v/>
      </c>
      <c r="EB2597" s="64">
        <f>$Q2597-$O2597</f>
        <v/>
      </c>
      <c r="EC2597" s="67">
        <f>IFERROR($Q2597/$P2597,"")</f>
        <v/>
      </c>
    </row>
    <row r="2598">
      <c r="DG2598" s="64">
        <f>($B2598-$B2599)*100</f>
        <v/>
      </c>
      <c r="DH2598" s="64">
        <f>($D2598-$D2599)*100</f>
        <v/>
      </c>
      <c r="DI2598" s="64">
        <f>($E2598-$E2599)*100</f>
        <v/>
      </c>
      <c r="DJ2598" s="64">
        <f>($H2598-$H2599)*100</f>
        <v/>
      </c>
      <c r="DK2598" s="65">
        <f>IFERROR($J2598/$J2599-1,"")</f>
        <v/>
      </c>
      <c r="DL2598" s="64">
        <f>$L2598-$L2599</f>
        <v/>
      </c>
      <c r="DM2598" s="64">
        <f>$K2598-$K2599</f>
        <v/>
      </c>
      <c r="DN2598" s="65">
        <f>IFERROR($N2598/$N2599-1,"")</f>
        <v/>
      </c>
      <c r="DO2598" s="65">
        <f>IFERROR($M2598/$M2599-1,"")</f>
        <v/>
      </c>
      <c r="DP2598" s="65">
        <f>IFERROR($AZ2598/$AZ2599-1,"")</f>
        <v/>
      </c>
      <c r="DQ2598" s="65">
        <f>IFERROR($BA2598/$BA2599-1,"")</f>
        <v/>
      </c>
      <c r="DR2598" s="64">
        <f>$O2598-$O2599</f>
        <v/>
      </c>
      <c r="DS2598" s="64">
        <f>$P2598-$P2599</f>
        <v/>
      </c>
      <c r="DT2598" s="64">
        <f>$Q2598-$Q2599</f>
        <v/>
      </c>
      <c r="DU2598" s="64">
        <f>$S2598-$S2599</f>
        <v/>
      </c>
      <c r="DV2598" s="65">
        <f>IFERROR(AVERAGE($AA2599/$AA2598-1,$AB2599/$AB2598-1,$AC2599/$AC2598-1,$AD2599/$AD2598-1,$AE2599/$AE2598-1,$AG2599/$AG2598-1,$AH2599/$AH2598-1,$AI2599/$AI2598-1,$AJ2599/$AJ2598-1,$AL2599/$AL2598-1,$AM2599/$AM2598-1,$AR2599/$AR2598-1,$AS2599/$AS2598-1,$AT2599/$AT2598-1,$AU2599/$AU2598-1,$AV2599/$AV2598-1,$AW2599/$AW2598-1,$AX2599/$AX2598-1,$AY2599/$AY2598-1),"")</f>
        <v/>
      </c>
      <c r="DW2598" s="66">
        <f>AVERAGE($CB2598,$CC2598,$CD2598,$CE2598,$CF2598,$CG2598,$CH2598,$CI2598,$CJ2598,$CL2598,$CM2598,$CN2598,$CO2598,$CP2598,$CQ2598,$CR2598,$CS2598,$CT2598)</f>
        <v/>
      </c>
      <c r="DX2598" s="66">
        <f>AVERAGE($CB2598,$CC2598,$CM2598,$CE2598,$CP2598)</f>
        <v/>
      </c>
      <c r="DY2598" s="64">
        <f>($DW2598-$DW2599)*100</f>
        <v/>
      </c>
      <c r="DZ2598" s="64">
        <f>($DX2598-$DX2599)*100</f>
        <v/>
      </c>
      <c r="EA2598" s="64">
        <f>($DW2598-$D2598)*100</f>
        <v/>
      </c>
      <c r="EB2598" s="64">
        <f>$Q2598-$O2598</f>
        <v/>
      </c>
      <c r="EC2598" s="67">
        <f>IFERROR($Q2598/$P2598,"")</f>
        <v/>
      </c>
    </row>
    <row r="2599">
      <c r="DG2599" s="64">
        <f>($B2599-$B2600)*100</f>
        <v/>
      </c>
      <c r="DH2599" s="64">
        <f>($D2599-$D2600)*100</f>
        <v/>
      </c>
      <c r="DI2599" s="64">
        <f>($E2599-$E2600)*100</f>
        <v/>
      </c>
      <c r="DJ2599" s="64">
        <f>($H2599-$H2600)*100</f>
        <v/>
      </c>
      <c r="DK2599" s="65">
        <f>IFERROR($J2599/$J2600-1,"")</f>
        <v/>
      </c>
      <c r="DL2599" s="64">
        <f>$L2599-$L2600</f>
        <v/>
      </c>
      <c r="DM2599" s="64">
        <f>$K2599-$K2600</f>
        <v/>
      </c>
      <c r="DN2599" s="65">
        <f>IFERROR($N2599/$N2600-1,"")</f>
        <v/>
      </c>
      <c r="DO2599" s="65">
        <f>IFERROR($M2599/$M2600-1,"")</f>
        <v/>
      </c>
      <c r="DP2599" s="65">
        <f>IFERROR($AZ2599/$AZ2600-1,"")</f>
        <v/>
      </c>
      <c r="DQ2599" s="65">
        <f>IFERROR($BA2599/$BA2600-1,"")</f>
        <v/>
      </c>
      <c r="DR2599" s="64">
        <f>$O2599-$O2600</f>
        <v/>
      </c>
      <c r="DS2599" s="64">
        <f>$P2599-$P2600</f>
        <v/>
      </c>
      <c r="DT2599" s="64">
        <f>$Q2599-$Q2600</f>
        <v/>
      </c>
      <c r="DU2599" s="64">
        <f>$S2599-$S2600</f>
        <v/>
      </c>
      <c r="DV2599" s="65">
        <f>IFERROR(AVERAGE($AA2600/$AA2599-1,$AB2600/$AB2599-1,$AC2600/$AC2599-1,$AD2600/$AD2599-1,$AE2600/$AE2599-1,$AG2600/$AG2599-1,$AH2600/$AH2599-1,$AI2600/$AI2599-1,$AJ2600/$AJ2599-1,$AL2600/$AL2599-1,$AM2600/$AM2599-1,$AR2600/$AR2599-1,$AS2600/$AS2599-1,$AT2600/$AT2599-1,$AU2600/$AU2599-1,$AV2600/$AV2599-1,$AW2600/$AW2599-1,$AX2600/$AX2599-1,$AY2600/$AY2599-1),"")</f>
        <v/>
      </c>
      <c r="DW2599" s="66">
        <f>AVERAGE($CB2599,$CC2599,$CD2599,$CE2599,$CF2599,$CG2599,$CH2599,$CI2599,$CJ2599,$CL2599,$CM2599,$CN2599,$CO2599,$CP2599,$CQ2599,$CR2599,$CS2599,$CT2599)</f>
        <v/>
      </c>
      <c r="DX2599" s="66">
        <f>AVERAGE($CB2599,$CC2599,$CM2599,$CE2599,$CP2599)</f>
        <v/>
      </c>
      <c r="DY2599" s="64">
        <f>($DW2599-$DW2600)*100</f>
        <v/>
      </c>
      <c r="DZ2599" s="64">
        <f>($DX2599-$DX2600)*100</f>
        <v/>
      </c>
      <c r="EA2599" s="64">
        <f>($DW2599-$D2599)*100</f>
        <v/>
      </c>
      <c r="EB2599" s="64">
        <f>$Q2599-$O2599</f>
        <v/>
      </c>
      <c r="EC2599" s="67">
        <f>IFERROR($Q2599/$P2599,"")</f>
        <v/>
      </c>
    </row>
    <row r="2600">
      <c r="DG2600" s="64">
        <f>($B2600-$B2601)*100</f>
        <v/>
      </c>
      <c r="DH2600" s="64">
        <f>($D2600-$D2601)*100</f>
        <v/>
      </c>
      <c r="DI2600" s="64">
        <f>($E2600-$E2601)*100</f>
        <v/>
      </c>
      <c r="DJ2600" s="64">
        <f>($H2600-$H2601)*100</f>
        <v/>
      </c>
      <c r="DK2600" s="65">
        <f>IFERROR($J2600/$J2601-1,"")</f>
        <v/>
      </c>
      <c r="DL2600" s="64">
        <f>$L2600-$L2601</f>
        <v/>
      </c>
      <c r="DM2600" s="64">
        <f>$K2600-$K2601</f>
        <v/>
      </c>
      <c r="DN2600" s="65">
        <f>IFERROR($N2600/$N2601-1,"")</f>
        <v/>
      </c>
      <c r="DO2600" s="65">
        <f>IFERROR($M2600/$M2601-1,"")</f>
        <v/>
      </c>
      <c r="DP2600" s="65">
        <f>IFERROR($AZ2600/$AZ2601-1,"")</f>
        <v/>
      </c>
      <c r="DQ2600" s="65">
        <f>IFERROR($BA2600/$BA2601-1,"")</f>
        <v/>
      </c>
      <c r="DR2600" s="64">
        <f>$O2600-$O2601</f>
        <v/>
      </c>
      <c r="DS2600" s="64">
        <f>$P2600-$P2601</f>
        <v/>
      </c>
      <c r="DT2600" s="64">
        <f>$Q2600-$Q2601</f>
        <v/>
      </c>
      <c r="DU2600" s="64">
        <f>$S2600-$S2601</f>
        <v/>
      </c>
      <c r="DV2600" s="65">
        <f>IFERROR(AVERAGE($AA2601/$AA2600-1,$AB2601/$AB2600-1,$AC2601/$AC2600-1,$AD2601/$AD2600-1,$AE2601/$AE2600-1,$AG2601/$AG2600-1,$AH2601/$AH2600-1,$AI2601/$AI2600-1,$AJ2601/$AJ2600-1,$AL2601/$AL2600-1,$AM2601/$AM2600-1,$AR2601/$AR2600-1,$AS2601/$AS2600-1,$AT2601/$AT2600-1,$AU2601/$AU2600-1,$AV2601/$AV2600-1,$AW2601/$AW2600-1,$AX2601/$AX2600-1,$AY2601/$AY2600-1),"")</f>
        <v/>
      </c>
      <c r="DW2600" s="66">
        <f>AVERAGE($CB2600,$CC2600,$CD2600,$CE2600,$CF2600,$CG2600,$CH2600,$CI2600,$CJ2600,$CL2600,$CM2600,$CN2600,$CO2600,$CP2600,$CQ2600,$CR2600,$CS2600,$CT2600)</f>
        <v/>
      </c>
      <c r="DX2600" s="66">
        <f>AVERAGE($CB2600,$CC2600,$CM2600,$CE2600,$CP2600)</f>
        <v/>
      </c>
      <c r="DY2600" s="64">
        <f>($DW2600-$DW2601)*100</f>
        <v/>
      </c>
      <c r="DZ2600" s="64">
        <f>($DX2600-$DX2601)*100</f>
        <v/>
      </c>
      <c r="EA2600" s="64">
        <f>($DW2600-$D2600)*100</f>
        <v/>
      </c>
      <c r="EB2600" s="64">
        <f>$Q2600-$O2600</f>
        <v/>
      </c>
      <c r="EC2600" s="67">
        <f>IFERROR($Q2600/$P2600,"")</f>
        <v/>
      </c>
    </row>
    <row r="2601">
      <c r="DG2601" s="64">
        <f>($B2601-$B2602)*100</f>
        <v/>
      </c>
      <c r="DH2601" s="64">
        <f>($D2601-$D2602)*100</f>
        <v/>
      </c>
      <c r="DI2601" s="64">
        <f>($E2601-$E2602)*100</f>
        <v/>
      </c>
      <c r="DJ2601" s="64">
        <f>($H2601-$H2602)*100</f>
        <v/>
      </c>
      <c r="DK2601" s="65">
        <f>IFERROR($J2601/$J2602-1,"")</f>
        <v/>
      </c>
      <c r="DL2601" s="64">
        <f>$L2601-$L2602</f>
        <v/>
      </c>
      <c r="DM2601" s="64">
        <f>$K2601-$K2602</f>
        <v/>
      </c>
      <c r="DN2601" s="65">
        <f>IFERROR($N2601/$N2602-1,"")</f>
        <v/>
      </c>
      <c r="DO2601" s="65">
        <f>IFERROR($M2601/$M2602-1,"")</f>
        <v/>
      </c>
      <c r="DP2601" s="65">
        <f>IFERROR($AZ2601/$AZ2602-1,"")</f>
        <v/>
      </c>
      <c r="DQ2601" s="65">
        <f>IFERROR($BA2601/$BA2602-1,"")</f>
        <v/>
      </c>
      <c r="DR2601" s="64">
        <f>$O2601-$O2602</f>
        <v/>
      </c>
      <c r="DS2601" s="64">
        <f>$P2601-$P2602</f>
        <v/>
      </c>
      <c r="DT2601" s="64">
        <f>$Q2601-$Q2602</f>
        <v/>
      </c>
      <c r="DU2601" s="64">
        <f>$S2601-$S2602</f>
        <v/>
      </c>
      <c r="DV2601" s="65">
        <f>IFERROR(AVERAGE($AA2602/$AA2601-1,$AB2602/$AB2601-1,$AC2602/$AC2601-1,$AD2602/$AD2601-1,$AE2602/$AE2601-1,$AG2602/$AG2601-1,$AH2602/$AH2601-1,$AI2602/$AI2601-1,$AJ2602/$AJ2601-1,$AL2602/$AL2601-1,$AM2602/$AM2601-1,$AR2602/$AR2601-1,$AS2602/$AS2601-1,$AT2602/$AT2601-1,$AU2602/$AU2601-1,$AV2602/$AV2601-1,$AW2602/$AW2601-1,$AX2602/$AX2601-1,$AY2602/$AY2601-1),"")</f>
        <v/>
      </c>
      <c r="DW2601" s="66">
        <f>AVERAGE($CB2601,$CC2601,$CD2601,$CE2601,$CF2601,$CG2601,$CH2601,$CI2601,$CJ2601,$CL2601,$CM2601,$CN2601,$CO2601,$CP2601,$CQ2601,$CR2601,$CS2601,$CT2601)</f>
        <v/>
      </c>
      <c r="DX2601" s="66">
        <f>AVERAGE($CB2601,$CC2601,$CM2601,$CE2601,$CP2601)</f>
        <v/>
      </c>
      <c r="DY2601" s="64">
        <f>($DW2601-$DW2602)*100</f>
        <v/>
      </c>
      <c r="DZ2601" s="64">
        <f>($DX2601-$DX2602)*100</f>
        <v/>
      </c>
      <c r="EA2601" s="64">
        <f>($DW2601-$D2601)*100</f>
        <v/>
      </c>
      <c r="EB2601" s="64">
        <f>$Q2601-$O2601</f>
        <v/>
      </c>
      <c r="EC2601" s="67">
        <f>IFERROR($Q2601/$P2601,"")</f>
        <v/>
      </c>
    </row>
    <row r="2602">
      <c r="DG2602" s="64">
        <f>($B2602-$B2603)*100</f>
        <v/>
      </c>
      <c r="DH2602" s="64">
        <f>($D2602-$D2603)*100</f>
        <v/>
      </c>
      <c r="DI2602" s="64">
        <f>($E2602-$E2603)*100</f>
        <v/>
      </c>
      <c r="DJ2602" s="64">
        <f>($H2602-$H2603)*100</f>
        <v/>
      </c>
      <c r="DK2602" s="65">
        <f>IFERROR($J2602/$J2603-1,"")</f>
        <v/>
      </c>
      <c r="DL2602" s="64">
        <f>$L2602-$L2603</f>
        <v/>
      </c>
      <c r="DM2602" s="64">
        <f>$K2602-$K2603</f>
        <v/>
      </c>
      <c r="DN2602" s="65">
        <f>IFERROR($N2602/$N2603-1,"")</f>
        <v/>
      </c>
      <c r="DO2602" s="65">
        <f>IFERROR($M2602/$M2603-1,"")</f>
        <v/>
      </c>
      <c r="DP2602" s="65">
        <f>IFERROR($AZ2602/$AZ2603-1,"")</f>
        <v/>
      </c>
      <c r="DQ2602" s="65">
        <f>IFERROR($BA2602/$BA2603-1,"")</f>
        <v/>
      </c>
      <c r="DR2602" s="64">
        <f>$O2602-$O2603</f>
        <v/>
      </c>
      <c r="DS2602" s="64">
        <f>$P2602-$P2603</f>
        <v/>
      </c>
      <c r="DT2602" s="64">
        <f>$Q2602-$Q2603</f>
        <v/>
      </c>
      <c r="DU2602" s="64">
        <f>$S2602-$S2603</f>
        <v/>
      </c>
      <c r="DV2602" s="65">
        <f>IFERROR(AVERAGE($AA2603/$AA2602-1,$AB2603/$AB2602-1,$AC2603/$AC2602-1,$AD2603/$AD2602-1,$AE2603/$AE2602-1,$AG2603/$AG2602-1,$AH2603/$AH2602-1,$AI2603/$AI2602-1,$AJ2603/$AJ2602-1,$AL2603/$AL2602-1,$AM2603/$AM2602-1,$AR2603/$AR2602-1,$AS2603/$AS2602-1,$AT2603/$AT2602-1,$AU2603/$AU2602-1,$AV2603/$AV2602-1,$AW2603/$AW2602-1,$AX2603/$AX2602-1,$AY2603/$AY2602-1),"")</f>
        <v/>
      </c>
      <c r="DW2602" s="66">
        <f>AVERAGE($CB2602,$CC2602,$CD2602,$CE2602,$CF2602,$CG2602,$CH2602,$CI2602,$CJ2602,$CL2602,$CM2602,$CN2602,$CO2602,$CP2602,$CQ2602,$CR2602,$CS2602,$CT2602)</f>
        <v/>
      </c>
      <c r="DX2602" s="66">
        <f>AVERAGE($CB2602,$CC2602,$CM2602,$CE2602,$CP2602)</f>
        <v/>
      </c>
      <c r="DY2602" s="64">
        <f>($DW2602-$DW2603)*100</f>
        <v/>
      </c>
      <c r="DZ2602" s="64">
        <f>($DX2602-$DX2603)*100</f>
        <v/>
      </c>
      <c r="EA2602" s="64">
        <f>($DW2602-$D2602)*100</f>
        <v/>
      </c>
      <c r="EB2602" s="64">
        <f>$Q2602-$O2602</f>
        <v/>
      </c>
      <c r="EC2602" s="67">
        <f>IFERROR($Q2602/$P2602,"")</f>
        <v/>
      </c>
    </row>
    <row r="2603">
      <c r="DG2603" s="64">
        <f>($B2603-$B2604)*100</f>
        <v/>
      </c>
      <c r="DH2603" s="64">
        <f>($D2603-$D2604)*100</f>
        <v/>
      </c>
      <c r="DI2603" s="64">
        <f>($E2603-$E2604)*100</f>
        <v/>
      </c>
      <c r="DJ2603" s="64">
        <f>($H2603-$H2604)*100</f>
        <v/>
      </c>
      <c r="DK2603" s="65">
        <f>IFERROR($J2603/$J2604-1,"")</f>
        <v/>
      </c>
      <c r="DL2603" s="64">
        <f>$L2603-$L2604</f>
        <v/>
      </c>
      <c r="DM2603" s="64">
        <f>$K2603-$K2604</f>
        <v/>
      </c>
      <c r="DN2603" s="65">
        <f>IFERROR($N2603/$N2604-1,"")</f>
        <v/>
      </c>
      <c r="DO2603" s="65">
        <f>IFERROR($M2603/$M2604-1,"")</f>
        <v/>
      </c>
      <c r="DP2603" s="65">
        <f>IFERROR($AZ2603/$AZ2604-1,"")</f>
        <v/>
      </c>
      <c r="DQ2603" s="65">
        <f>IFERROR($BA2603/$BA2604-1,"")</f>
        <v/>
      </c>
      <c r="DR2603" s="64">
        <f>$O2603-$O2604</f>
        <v/>
      </c>
      <c r="DS2603" s="64">
        <f>$P2603-$P2604</f>
        <v/>
      </c>
      <c r="DT2603" s="64">
        <f>$Q2603-$Q2604</f>
        <v/>
      </c>
      <c r="DU2603" s="64">
        <f>$S2603-$S2604</f>
        <v/>
      </c>
      <c r="DV2603" s="65">
        <f>IFERROR(AVERAGE($AA2604/$AA2603-1,$AB2604/$AB2603-1,$AC2604/$AC2603-1,$AD2604/$AD2603-1,$AE2604/$AE2603-1,$AG2604/$AG2603-1,$AH2604/$AH2603-1,$AI2604/$AI2603-1,$AJ2604/$AJ2603-1,$AL2604/$AL2603-1,$AM2604/$AM2603-1,$AR2604/$AR2603-1,$AS2604/$AS2603-1,$AT2604/$AT2603-1,$AU2604/$AU2603-1,$AV2604/$AV2603-1,$AW2604/$AW2603-1,$AX2604/$AX2603-1,$AY2604/$AY2603-1),"")</f>
        <v/>
      </c>
      <c r="DW2603" s="66">
        <f>AVERAGE($CB2603,$CC2603,$CD2603,$CE2603,$CF2603,$CG2603,$CH2603,$CI2603,$CJ2603,$CL2603,$CM2603,$CN2603,$CO2603,$CP2603,$CQ2603,$CR2603,$CS2603,$CT2603)</f>
        <v/>
      </c>
      <c r="DX2603" s="66">
        <f>AVERAGE($CB2603,$CC2603,$CM2603,$CE2603,$CP2603)</f>
        <v/>
      </c>
      <c r="DY2603" s="64">
        <f>($DW2603-$DW2604)*100</f>
        <v/>
      </c>
      <c r="DZ2603" s="64">
        <f>($DX2603-$DX2604)*100</f>
        <v/>
      </c>
      <c r="EA2603" s="64">
        <f>($DW2603-$D2603)*100</f>
        <v/>
      </c>
      <c r="EB2603" s="64">
        <f>$Q2603-$O2603</f>
        <v/>
      </c>
      <c r="EC2603" s="67">
        <f>IFERROR($Q2603/$P2603,"")</f>
        <v/>
      </c>
    </row>
    <row r="2604">
      <c r="DG2604" s="64">
        <f>($B2604-$B2605)*100</f>
        <v/>
      </c>
      <c r="DH2604" s="64">
        <f>($D2604-$D2605)*100</f>
        <v/>
      </c>
      <c r="DI2604" s="64">
        <f>($E2604-$E2605)*100</f>
        <v/>
      </c>
      <c r="DJ2604" s="64">
        <f>($H2604-$H2605)*100</f>
        <v/>
      </c>
      <c r="DK2604" s="65">
        <f>IFERROR($J2604/$J2605-1,"")</f>
        <v/>
      </c>
      <c r="DL2604" s="64">
        <f>$L2604-$L2605</f>
        <v/>
      </c>
      <c r="DM2604" s="64">
        <f>$K2604-$K2605</f>
        <v/>
      </c>
      <c r="DN2604" s="65">
        <f>IFERROR($N2604/$N2605-1,"")</f>
        <v/>
      </c>
      <c r="DO2604" s="65">
        <f>IFERROR($M2604/$M2605-1,"")</f>
        <v/>
      </c>
      <c r="DP2604" s="65">
        <f>IFERROR($AZ2604/$AZ2605-1,"")</f>
        <v/>
      </c>
      <c r="DQ2604" s="65">
        <f>IFERROR($BA2604/$BA2605-1,"")</f>
        <v/>
      </c>
      <c r="DR2604" s="64">
        <f>$O2604-$O2605</f>
        <v/>
      </c>
      <c r="DS2604" s="64">
        <f>$P2604-$P2605</f>
        <v/>
      </c>
      <c r="DT2604" s="64">
        <f>$Q2604-$Q2605</f>
        <v/>
      </c>
      <c r="DU2604" s="64">
        <f>$S2604-$S2605</f>
        <v/>
      </c>
      <c r="DV2604" s="65">
        <f>IFERROR(AVERAGE($AA2605/$AA2604-1,$AB2605/$AB2604-1,$AC2605/$AC2604-1,$AD2605/$AD2604-1,$AE2605/$AE2604-1,$AG2605/$AG2604-1,$AH2605/$AH2604-1,$AI2605/$AI2604-1,$AJ2605/$AJ2604-1,$AL2605/$AL2604-1,$AM2605/$AM2604-1,$AR2605/$AR2604-1,$AS2605/$AS2604-1,$AT2605/$AT2604-1,$AU2605/$AU2604-1,$AV2605/$AV2604-1,$AW2605/$AW2604-1,$AX2605/$AX2604-1,$AY2605/$AY2604-1),"")</f>
        <v/>
      </c>
      <c r="DW2604" s="66">
        <f>AVERAGE($CB2604,$CC2604,$CD2604,$CE2604,$CF2604,$CG2604,$CH2604,$CI2604,$CJ2604,$CL2604,$CM2604,$CN2604,$CO2604,$CP2604,$CQ2604,$CR2604,$CS2604,$CT2604)</f>
        <v/>
      </c>
      <c r="DX2604" s="66">
        <f>AVERAGE($CB2604,$CC2604,$CM2604,$CE2604,$CP2604)</f>
        <v/>
      </c>
      <c r="DY2604" s="64">
        <f>($DW2604-$DW2605)*100</f>
        <v/>
      </c>
      <c r="DZ2604" s="64">
        <f>($DX2604-$DX2605)*100</f>
        <v/>
      </c>
      <c r="EA2604" s="64">
        <f>($DW2604-$D2604)*100</f>
        <v/>
      </c>
      <c r="EB2604" s="64">
        <f>$Q2604-$O2604</f>
        <v/>
      </c>
      <c r="EC2604" s="67">
        <f>IFERROR($Q2604/$P2604,"")</f>
        <v/>
      </c>
    </row>
    <row r="2605">
      <c r="DG2605" s="64">
        <f>($B2605-$B2606)*100</f>
        <v/>
      </c>
      <c r="DH2605" s="64">
        <f>($D2605-$D2606)*100</f>
        <v/>
      </c>
      <c r="DI2605" s="64">
        <f>($E2605-$E2606)*100</f>
        <v/>
      </c>
      <c r="DJ2605" s="64">
        <f>($H2605-$H2606)*100</f>
        <v/>
      </c>
      <c r="DK2605" s="65">
        <f>IFERROR($J2605/$J2606-1,"")</f>
        <v/>
      </c>
      <c r="DL2605" s="64">
        <f>$L2605-$L2606</f>
        <v/>
      </c>
      <c r="DM2605" s="64">
        <f>$K2605-$K2606</f>
        <v/>
      </c>
      <c r="DN2605" s="65">
        <f>IFERROR($N2605/$N2606-1,"")</f>
        <v/>
      </c>
      <c r="DO2605" s="65">
        <f>IFERROR($M2605/$M2606-1,"")</f>
        <v/>
      </c>
      <c r="DP2605" s="65">
        <f>IFERROR($AZ2605/$AZ2606-1,"")</f>
        <v/>
      </c>
      <c r="DQ2605" s="65">
        <f>IFERROR($BA2605/$BA2606-1,"")</f>
        <v/>
      </c>
      <c r="DR2605" s="64">
        <f>$O2605-$O2606</f>
        <v/>
      </c>
      <c r="DS2605" s="64">
        <f>$P2605-$P2606</f>
        <v/>
      </c>
      <c r="DT2605" s="64">
        <f>$Q2605-$Q2606</f>
        <v/>
      </c>
      <c r="DU2605" s="64">
        <f>$S2605-$S2606</f>
        <v/>
      </c>
      <c r="DV2605" s="65">
        <f>IFERROR(AVERAGE($AA2606/$AA2605-1,$AB2606/$AB2605-1,$AC2606/$AC2605-1,$AD2606/$AD2605-1,$AE2606/$AE2605-1,$AG2606/$AG2605-1,$AH2606/$AH2605-1,$AI2606/$AI2605-1,$AJ2606/$AJ2605-1,$AL2606/$AL2605-1,$AM2606/$AM2605-1,$AR2606/$AR2605-1,$AS2606/$AS2605-1,$AT2606/$AT2605-1,$AU2606/$AU2605-1,$AV2606/$AV2605-1,$AW2606/$AW2605-1,$AX2606/$AX2605-1,$AY2606/$AY2605-1),"")</f>
        <v/>
      </c>
      <c r="DW2605" s="66">
        <f>AVERAGE($CB2605,$CC2605,$CD2605,$CE2605,$CF2605,$CG2605,$CH2605,$CI2605,$CJ2605,$CL2605,$CM2605,$CN2605,$CO2605,$CP2605,$CQ2605,$CR2605,$CS2605,$CT2605)</f>
        <v/>
      </c>
      <c r="DX2605" s="66">
        <f>AVERAGE($CB2605,$CC2605,$CM2605,$CE2605,$CP2605)</f>
        <v/>
      </c>
      <c r="DY2605" s="64">
        <f>($DW2605-$DW2606)*100</f>
        <v/>
      </c>
      <c r="DZ2605" s="64">
        <f>($DX2605-$DX2606)*100</f>
        <v/>
      </c>
      <c r="EA2605" s="64">
        <f>($DW2605-$D2605)*100</f>
        <v/>
      </c>
      <c r="EB2605" s="64">
        <f>$Q2605-$O2605</f>
        <v/>
      </c>
      <c r="EC2605" s="67">
        <f>IFERROR($Q2605/$P2605,"")</f>
        <v/>
      </c>
    </row>
    <row r="2606">
      <c r="DG2606" s="64">
        <f>($B2606-$B2607)*100</f>
        <v/>
      </c>
      <c r="DH2606" s="64">
        <f>($D2606-$D2607)*100</f>
        <v/>
      </c>
      <c r="DI2606" s="64">
        <f>($E2606-$E2607)*100</f>
        <v/>
      </c>
      <c r="DJ2606" s="64">
        <f>($H2606-$H2607)*100</f>
        <v/>
      </c>
      <c r="DK2606" s="65">
        <f>IFERROR($J2606/$J2607-1,"")</f>
        <v/>
      </c>
      <c r="DL2606" s="64">
        <f>$L2606-$L2607</f>
        <v/>
      </c>
      <c r="DM2606" s="64">
        <f>$K2606-$K2607</f>
        <v/>
      </c>
      <c r="DN2606" s="65">
        <f>IFERROR($N2606/$N2607-1,"")</f>
        <v/>
      </c>
      <c r="DO2606" s="65">
        <f>IFERROR($M2606/$M2607-1,"")</f>
        <v/>
      </c>
      <c r="DP2606" s="65">
        <f>IFERROR($AZ2606/$AZ2607-1,"")</f>
        <v/>
      </c>
      <c r="DQ2606" s="65">
        <f>IFERROR($BA2606/$BA2607-1,"")</f>
        <v/>
      </c>
      <c r="DR2606" s="64">
        <f>$O2606-$O2607</f>
        <v/>
      </c>
      <c r="DS2606" s="64">
        <f>$P2606-$P2607</f>
        <v/>
      </c>
      <c r="DT2606" s="64">
        <f>$Q2606-$Q2607</f>
        <v/>
      </c>
      <c r="DU2606" s="64">
        <f>$S2606-$S2607</f>
        <v/>
      </c>
      <c r="DV2606" s="65">
        <f>IFERROR(AVERAGE($AA2607/$AA2606-1,$AB2607/$AB2606-1,$AC2607/$AC2606-1,$AD2607/$AD2606-1,$AE2607/$AE2606-1,$AG2607/$AG2606-1,$AH2607/$AH2606-1,$AI2607/$AI2606-1,$AJ2607/$AJ2606-1,$AL2607/$AL2606-1,$AM2607/$AM2606-1,$AR2607/$AR2606-1,$AS2607/$AS2606-1,$AT2607/$AT2606-1,$AU2607/$AU2606-1,$AV2607/$AV2606-1,$AW2607/$AW2606-1,$AX2607/$AX2606-1,$AY2607/$AY2606-1),"")</f>
        <v/>
      </c>
      <c r="DW2606" s="66">
        <f>AVERAGE($CB2606,$CC2606,$CD2606,$CE2606,$CF2606,$CG2606,$CH2606,$CI2606,$CJ2606,$CL2606,$CM2606,$CN2606,$CO2606,$CP2606,$CQ2606,$CR2606,$CS2606,$CT2606)</f>
        <v/>
      </c>
      <c r="DX2606" s="66">
        <f>AVERAGE($CB2606,$CC2606,$CM2606,$CE2606,$CP2606)</f>
        <v/>
      </c>
      <c r="DY2606" s="64">
        <f>($DW2606-$DW2607)*100</f>
        <v/>
      </c>
      <c r="DZ2606" s="64">
        <f>($DX2606-$DX2607)*100</f>
        <v/>
      </c>
      <c r="EA2606" s="64">
        <f>($DW2606-$D2606)*100</f>
        <v/>
      </c>
      <c r="EB2606" s="64">
        <f>$Q2606-$O2606</f>
        <v/>
      </c>
      <c r="EC2606" s="67">
        <f>IFERROR($Q2606/$P2606,"")</f>
        <v/>
      </c>
    </row>
    <row r="2607">
      <c r="DG2607" s="64">
        <f>($B2607-$B2608)*100</f>
        <v/>
      </c>
      <c r="DH2607" s="64">
        <f>($D2607-$D2608)*100</f>
        <v/>
      </c>
      <c r="DI2607" s="64">
        <f>($E2607-$E2608)*100</f>
        <v/>
      </c>
      <c r="DJ2607" s="64">
        <f>($H2607-$H2608)*100</f>
        <v/>
      </c>
      <c r="DK2607" s="65">
        <f>IFERROR($J2607/$J2608-1,"")</f>
        <v/>
      </c>
      <c r="DL2607" s="64">
        <f>$L2607-$L2608</f>
        <v/>
      </c>
      <c r="DM2607" s="64">
        <f>$K2607-$K2608</f>
        <v/>
      </c>
      <c r="DN2607" s="65">
        <f>IFERROR($N2607/$N2608-1,"")</f>
        <v/>
      </c>
      <c r="DO2607" s="65">
        <f>IFERROR($M2607/$M2608-1,"")</f>
        <v/>
      </c>
      <c r="DP2607" s="65">
        <f>IFERROR($AZ2607/$AZ2608-1,"")</f>
        <v/>
      </c>
      <c r="DQ2607" s="65">
        <f>IFERROR($BA2607/$BA2608-1,"")</f>
        <v/>
      </c>
      <c r="DR2607" s="64">
        <f>$O2607-$O2608</f>
        <v/>
      </c>
      <c r="DS2607" s="64">
        <f>$P2607-$P2608</f>
        <v/>
      </c>
      <c r="DT2607" s="64">
        <f>$Q2607-$Q2608</f>
        <v/>
      </c>
      <c r="DU2607" s="64">
        <f>$S2607-$S2608</f>
        <v/>
      </c>
      <c r="DV2607" s="65">
        <f>IFERROR(AVERAGE($AA2608/$AA2607-1,$AB2608/$AB2607-1,$AC2608/$AC2607-1,$AD2608/$AD2607-1,$AE2608/$AE2607-1,$AG2608/$AG2607-1,$AH2608/$AH2607-1,$AI2608/$AI2607-1,$AJ2608/$AJ2607-1,$AL2608/$AL2607-1,$AM2608/$AM2607-1,$AR2608/$AR2607-1,$AS2608/$AS2607-1,$AT2608/$AT2607-1,$AU2608/$AU2607-1,$AV2608/$AV2607-1,$AW2608/$AW2607-1,$AX2608/$AX2607-1,$AY2608/$AY2607-1),"")</f>
        <v/>
      </c>
      <c r="DW2607" s="66">
        <f>AVERAGE($CB2607,$CC2607,$CD2607,$CE2607,$CF2607,$CG2607,$CH2607,$CI2607,$CJ2607,$CL2607,$CM2607,$CN2607,$CO2607,$CP2607,$CQ2607,$CR2607,$CS2607,$CT2607)</f>
        <v/>
      </c>
      <c r="DX2607" s="66">
        <f>AVERAGE($CB2607,$CC2607,$CM2607,$CE2607,$CP2607)</f>
        <v/>
      </c>
      <c r="DY2607" s="64">
        <f>($DW2607-$DW2608)*100</f>
        <v/>
      </c>
      <c r="DZ2607" s="64">
        <f>($DX2607-$DX2608)*100</f>
        <v/>
      </c>
      <c r="EA2607" s="64">
        <f>($DW2607-$D2607)*100</f>
        <v/>
      </c>
      <c r="EB2607" s="64">
        <f>$Q2607-$O2607</f>
        <v/>
      </c>
      <c r="EC2607" s="67">
        <f>IFERROR($Q2607/$P2607,"")</f>
        <v/>
      </c>
    </row>
    <row r="2608">
      <c r="DG2608" s="64">
        <f>($B2608-$B2609)*100</f>
        <v/>
      </c>
      <c r="DH2608" s="64">
        <f>($D2608-$D2609)*100</f>
        <v/>
      </c>
      <c r="DI2608" s="64">
        <f>($E2608-$E2609)*100</f>
        <v/>
      </c>
      <c r="DJ2608" s="64">
        <f>($H2608-$H2609)*100</f>
        <v/>
      </c>
      <c r="DK2608" s="65">
        <f>IFERROR($J2608/$J2609-1,"")</f>
        <v/>
      </c>
      <c r="DL2608" s="64">
        <f>$L2608-$L2609</f>
        <v/>
      </c>
      <c r="DM2608" s="64">
        <f>$K2608-$K2609</f>
        <v/>
      </c>
      <c r="DN2608" s="65">
        <f>IFERROR($N2608/$N2609-1,"")</f>
        <v/>
      </c>
      <c r="DO2608" s="65">
        <f>IFERROR($M2608/$M2609-1,"")</f>
        <v/>
      </c>
      <c r="DP2608" s="65">
        <f>IFERROR($AZ2608/$AZ2609-1,"")</f>
        <v/>
      </c>
      <c r="DQ2608" s="65">
        <f>IFERROR($BA2608/$BA2609-1,"")</f>
        <v/>
      </c>
      <c r="DR2608" s="64">
        <f>$O2608-$O2609</f>
        <v/>
      </c>
      <c r="DS2608" s="64">
        <f>$P2608-$P2609</f>
        <v/>
      </c>
      <c r="DT2608" s="64">
        <f>$Q2608-$Q2609</f>
        <v/>
      </c>
      <c r="DU2608" s="64">
        <f>$S2608-$S2609</f>
        <v/>
      </c>
      <c r="DV2608" s="65">
        <f>IFERROR(AVERAGE($AA2609/$AA2608-1,$AB2609/$AB2608-1,$AC2609/$AC2608-1,$AD2609/$AD2608-1,$AE2609/$AE2608-1,$AG2609/$AG2608-1,$AH2609/$AH2608-1,$AI2609/$AI2608-1,$AJ2609/$AJ2608-1,$AL2609/$AL2608-1,$AM2609/$AM2608-1,$AR2609/$AR2608-1,$AS2609/$AS2608-1,$AT2609/$AT2608-1,$AU2609/$AU2608-1,$AV2609/$AV2608-1,$AW2609/$AW2608-1,$AX2609/$AX2608-1,$AY2609/$AY2608-1),"")</f>
        <v/>
      </c>
      <c r="DW2608" s="66">
        <f>AVERAGE($CB2608,$CC2608,$CD2608,$CE2608,$CF2608,$CG2608,$CH2608,$CI2608,$CJ2608,$CL2608,$CM2608,$CN2608,$CO2608,$CP2608,$CQ2608,$CR2608,$CS2608,$CT2608)</f>
        <v/>
      </c>
      <c r="DX2608" s="66">
        <f>AVERAGE($CB2608,$CC2608,$CM2608,$CE2608,$CP2608)</f>
        <v/>
      </c>
      <c r="DY2608" s="64">
        <f>($DW2608-$DW2609)*100</f>
        <v/>
      </c>
      <c r="DZ2608" s="64">
        <f>($DX2608-$DX2609)*100</f>
        <v/>
      </c>
      <c r="EA2608" s="64">
        <f>($DW2608-$D2608)*100</f>
        <v/>
      </c>
      <c r="EB2608" s="64">
        <f>$Q2608-$O2608</f>
        <v/>
      </c>
      <c r="EC2608" s="67">
        <f>IFERROR($Q2608/$P2608,"")</f>
        <v/>
      </c>
    </row>
    <row r="2609">
      <c r="DG2609" s="64">
        <f>($B2609-$B2610)*100</f>
        <v/>
      </c>
      <c r="DH2609" s="64">
        <f>($D2609-$D2610)*100</f>
        <v/>
      </c>
      <c r="DI2609" s="64">
        <f>($E2609-$E2610)*100</f>
        <v/>
      </c>
      <c r="DJ2609" s="64">
        <f>($H2609-$H2610)*100</f>
        <v/>
      </c>
      <c r="DK2609" s="65">
        <f>IFERROR($J2609/$J2610-1,"")</f>
        <v/>
      </c>
      <c r="DL2609" s="64">
        <f>$L2609-$L2610</f>
        <v/>
      </c>
      <c r="DM2609" s="64">
        <f>$K2609-$K2610</f>
        <v/>
      </c>
      <c r="DN2609" s="65">
        <f>IFERROR($N2609/$N2610-1,"")</f>
        <v/>
      </c>
      <c r="DO2609" s="65">
        <f>IFERROR($M2609/$M2610-1,"")</f>
        <v/>
      </c>
      <c r="DP2609" s="65">
        <f>IFERROR($AZ2609/$AZ2610-1,"")</f>
        <v/>
      </c>
      <c r="DQ2609" s="65">
        <f>IFERROR($BA2609/$BA2610-1,"")</f>
        <v/>
      </c>
      <c r="DR2609" s="64">
        <f>$O2609-$O2610</f>
        <v/>
      </c>
      <c r="DS2609" s="64">
        <f>$P2609-$P2610</f>
        <v/>
      </c>
      <c r="DT2609" s="64">
        <f>$Q2609-$Q2610</f>
        <v/>
      </c>
      <c r="DU2609" s="64">
        <f>$S2609-$S2610</f>
        <v/>
      </c>
      <c r="DV2609" s="65">
        <f>IFERROR(AVERAGE($AA2610/$AA2609-1,$AB2610/$AB2609-1,$AC2610/$AC2609-1,$AD2610/$AD2609-1,$AE2610/$AE2609-1,$AG2610/$AG2609-1,$AH2610/$AH2609-1,$AI2610/$AI2609-1,$AJ2610/$AJ2609-1,$AL2610/$AL2609-1,$AM2610/$AM2609-1,$AR2610/$AR2609-1,$AS2610/$AS2609-1,$AT2610/$AT2609-1,$AU2610/$AU2609-1,$AV2610/$AV2609-1,$AW2610/$AW2609-1,$AX2610/$AX2609-1,$AY2610/$AY2609-1),"")</f>
        <v/>
      </c>
      <c r="DW2609" s="66">
        <f>AVERAGE($CB2609,$CC2609,$CD2609,$CE2609,$CF2609,$CG2609,$CH2609,$CI2609,$CJ2609,$CL2609,$CM2609,$CN2609,$CO2609,$CP2609,$CQ2609,$CR2609,$CS2609,$CT2609)</f>
        <v/>
      </c>
      <c r="DX2609" s="66">
        <f>AVERAGE($CB2609,$CC2609,$CM2609,$CE2609,$CP2609)</f>
        <v/>
      </c>
      <c r="DY2609" s="64">
        <f>($DW2609-$DW2610)*100</f>
        <v/>
      </c>
      <c r="DZ2609" s="64">
        <f>($DX2609-$DX2610)*100</f>
        <v/>
      </c>
      <c r="EA2609" s="64">
        <f>($DW2609-$D2609)*100</f>
        <v/>
      </c>
      <c r="EB2609" s="64">
        <f>$Q2609-$O2609</f>
        <v/>
      </c>
      <c r="EC2609" s="67">
        <f>IFERROR($Q2609/$P2609,"")</f>
        <v/>
      </c>
    </row>
    <row r="2610">
      <c r="DG2610" s="64">
        <f>($B2610-$B2611)*100</f>
        <v/>
      </c>
      <c r="DH2610" s="64">
        <f>($D2610-$D2611)*100</f>
        <v/>
      </c>
      <c r="DI2610" s="64">
        <f>($E2610-$E2611)*100</f>
        <v/>
      </c>
      <c r="DJ2610" s="64">
        <f>($H2610-$H2611)*100</f>
        <v/>
      </c>
      <c r="DK2610" s="65">
        <f>IFERROR($J2610/$J2611-1,"")</f>
        <v/>
      </c>
      <c r="DL2610" s="64">
        <f>$L2610-$L2611</f>
        <v/>
      </c>
      <c r="DM2610" s="64">
        <f>$K2610-$K2611</f>
        <v/>
      </c>
      <c r="DN2610" s="65">
        <f>IFERROR($N2610/$N2611-1,"")</f>
        <v/>
      </c>
      <c r="DO2610" s="65">
        <f>IFERROR($M2610/$M2611-1,"")</f>
        <v/>
      </c>
      <c r="DP2610" s="65">
        <f>IFERROR($AZ2610/$AZ2611-1,"")</f>
        <v/>
      </c>
      <c r="DQ2610" s="65">
        <f>IFERROR($BA2610/$BA2611-1,"")</f>
        <v/>
      </c>
      <c r="DR2610" s="64">
        <f>$O2610-$O2611</f>
        <v/>
      </c>
      <c r="DS2610" s="64">
        <f>$P2610-$P2611</f>
        <v/>
      </c>
      <c r="DT2610" s="64">
        <f>$Q2610-$Q2611</f>
        <v/>
      </c>
      <c r="DU2610" s="64">
        <f>$S2610-$S2611</f>
        <v/>
      </c>
      <c r="DV2610" s="65">
        <f>IFERROR(AVERAGE($AA2611/$AA2610-1,$AB2611/$AB2610-1,$AC2611/$AC2610-1,$AD2611/$AD2610-1,$AE2611/$AE2610-1,$AG2611/$AG2610-1,$AH2611/$AH2610-1,$AI2611/$AI2610-1,$AJ2611/$AJ2610-1,$AL2611/$AL2610-1,$AM2611/$AM2610-1,$AR2611/$AR2610-1,$AS2611/$AS2610-1,$AT2611/$AT2610-1,$AU2611/$AU2610-1,$AV2611/$AV2610-1,$AW2611/$AW2610-1,$AX2611/$AX2610-1,$AY2611/$AY2610-1),"")</f>
        <v/>
      </c>
      <c r="DW2610" s="66">
        <f>AVERAGE($CB2610,$CC2610,$CD2610,$CE2610,$CF2610,$CG2610,$CH2610,$CI2610,$CJ2610,$CL2610,$CM2610,$CN2610,$CO2610,$CP2610,$CQ2610,$CR2610,$CS2610,$CT2610)</f>
        <v/>
      </c>
      <c r="DX2610" s="66">
        <f>AVERAGE($CB2610,$CC2610,$CM2610,$CE2610,$CP2610)</f>
        <v/>
      </c>
      <c r="DY2610" s="64">
        <f>($DW2610-$DW2611)*100</f>
        <v/>
      </c>
      <c r="DZ2610" s="64">
        <f>($DX2610-$DX2611)*100</f>
        <v/>
      </c>
      <c r="EA2610" s="64">
        <f>($DW2610-$D2610)*100</f>
        <v/>
      </c>
      <c r="EB2610" s="64">
        <f>$Q2610-$O2610</f>
        <v/>
      </c>
      <c r="EC2610" s="67">
        <f>IFERROR($Q2610/$P2610,"")</f>
        <v/>
      </c>
    </row>
    <row r="2611">
      <c r="DG2611" s="64">
        <f>($B2611-$B2612)*100</f>
        <v/>
      </c>
      <c r="DH2611" s="64">
        <f>($D2611-$D2612)*100</f>
        <v/>
      </c>
      <c r="DI2611" s="64">
        <f>($E2611-$E2612)*100</f>
        <v/>
      </c>
      <c r="DJ2611" s="64">
        <f>($H2611-$H2612)*100</f>
        <v/>
      </c>
      <c r="DK2611" s="65">
        <f>IFERROR($J2611/$J2612-1,"")</f>
        <v/>
      </c>
      <c r="DL2611" s="64">
        <f>$L2611-$L2612</f>
        <v/>
      </c>
      <c r="DM2611" s="64">
        <f>$K2611-$K2612</f>
        <v/>
      </c>
      <c r="DN2611" s="65">
        <f>IFERROR($N2611/$N2612-1,"")</f>
        <v/>
      </c>
      <c r="DO2611" s="65">
        <f>IFERROR($M2611/$M2612-1,"")</f>
        <v/>
      </c>
      <c r="DP2611" s="65">
        <f>IFERROR($AZ2611/$AZ2612-1,"")</f>
        <v/>
      </c>
      <c r="DQ2611" s="65">
        <f>IFERROR($BA2611/$BA2612-1,"")</f>
        <v/>
      </c>
      <c r="DR2611" s="64">
        <f>$O2611-$O2612</f>
        <v/>
      </c>
      <c r="DS2611" s="64">
        <f>$P2611-$P2612</f>
        <v/>
      </c>
      <c r="DT2611" s="64">
        <f>$Q2611-$Q2612</f>
        <v/>
      </c>
      <c r="DU2611" s="64">
        <f>$S2611-$S2612</f>
        <v/>
      </c>
      <c r="DV2611" s="65">
        <f>IFERROR(AVERAGE($AA2612/$AA2611-1,$AB2612/$AB2611-1,$AC2612/$AC2611-1,$AD2612/$AD2611-1,$AE2612/$AE2611-1,$AG2612/$AG2611-1,$AH2612/$AH2611-1,$AI2612/$AI2611-1,$AJ2612/$AJ2611-1,$AL2612/$AL2611-1,$AM2612/$AM2611-1,$AR2612/$AR2611-1,$AS2612/$AS2611-1,$AT2612/$AT2611-1,$AU2612/$AU2611-1,$AV2612/$AV2611-1,$AW2612/$AW2611-1,$AX2612/$AX2611-1,$AY2612/$AY2611-1),"")</f>
        <v/>
      </c>
      <c r="DW2611" s="66">
        <f>AVERAGE($CB2611,$CC2611,$CD2611,$CE2611,$CF2611,$CG2611,$CH2611,$CI2611,$CJ2611,$CL2611,$CM2611,$CN2611,$CO2611,$CP2611,$CQ2611,$CR2611,$CS2611,$CT2611)</f>
        <v/>
      </c>
      <c r="DX2611" s="66">
        <f>AVERAGE($CB2611,$CC2611,$CM2611,$CE2611,$CP2611)</f>
        <v/>
      </c>
      <c r="DY2611" s="64">
        <f>($DW2611-$DW2612)*100</f>
        <v/>
      </c>
      <c r="DZ2611" s="64">
        <f>($DX2611-$DX2612)*100</f>
        <v/>
      </c>
      <c r="EA2611" s="64">
        <f>($DW2611-$D2611)*100</f>
        <v/>
      </c>
      <c r="EB2611" s="64">
        <f>$Q2611-$O2611</f>
        <v/>
      </c>
      <c r="EC2611" s="67">
        <f>IFERROR($Q2611/$P2611,"")</f>
        <v/>
      </c>
    </row>
    <row r="2612">
      <c r="DG2612" s="64">
        <f>($B2612-$B2613)*100</f>
        <v/>
      </c>
      <c r="DH2612" s="64">
        <f>($D2612-$D2613)*100</f>
        <v/>
      </c>
      <c r="DI2612" s="64">
        <f>($E2612-$E2613)*100</f>
        <v/>
      </c>
      <c r="DJ2612" s="64">
        <f>($H2612-$H2613)*100</f>
        <v/>
      </c>
      <c r="DK2612" s="65">
        <f>IFERROR($J2612/$J2613-1,"")</f>
        <v/>
      </c>
      <c r="DL2612" s="64">
        <f>$L2612-$L2613</f>
        <v/>
      </c>
      <c r="DM2612" s="64">
        <f>$K2612-$K2613</f>
        <v/>
      </c>
      <c r="DN2612" s="65">
        <f>IFERROR($N2612/$N2613-1,"")</f>
        <v/>
      </c>
      <c r="DO2612" s="65">
        <f>IFERROR($M2612/$M2613-1,"")</f>
        <v/>
      </c>
      <c r="DP2612" s="65">
        <f>IFERROR($AZ2612/$AZ2613-1,"")</f>
        <v/>
      </c>
      <c r="DQ2612" s="65">
        <f>IFERROR($BA2612/$BA2613-1,"")</f>
        <v/>
      </c>
      <c r="DR2612" s="64">
        <f>$O2612-$O2613</f>
        <v/>
      </c>
      <c r="DS2612" s="64">
        <f>$P2612-$P2613</f>
        <v/>
      </c>
      <c r="DT2612" s="64">
        <f>$Q2612-$Q2613</f>
        <v/>
      </c>
      <c r="DU2612" s="64">
        <f>$S2612-$S2613</f>
        <v/>
      </c>
      <c r="DV2612" s="65">
        <f>IFERROR(AVERAGE($AA2613/$AA2612-1,$AB2613/$AB2612-1,$AC2613/$AC2612-1,$AD2613/$AD2612-1,$AE2613/$AE2612-1,$AG2613/$AG2612-1,$AH2613/$AH2612-1,$AI2613/$AI2612-1,$AJ2613/$AJ2612-1,$AL2613/$AL2612-1,$AM2613/$AM2612-1,$AR2613/$AR2612-1,$AS2613/$AS2612-1,$AT2613/$AT2612-1,$AU2613/$AU2612-1,$AV2613/$AV2612-1,$AW2613/$AW2612-1,$AX2613/$AX2612-1,$AY2613/$AY2612-1),"")</f>
        <v/>
      </c>
      <c r="DW2612" s="66">
        <f>AVERAGE($CB2612,$CC2612,$CD2612,$CE2612,$CF2612,$CG2612,$CH2612,$CI2612,$CJ2612,$CL2612,$CM2612,$CN2612,$CO2612,$CP2612,$CQ2612,$CR2612,$CS2612,$CT2612)</f>
        <v/>
      </c>
      <c r="DX2612" s="66">
        <f>AVERAGE($CB2612,$CC2612,$CM2612,$CE2612,$CP2612)</f>
        <v/>
      </c>
      <c r="DY2612" s="64">
        <f>($DW2612-$DW2613)*100</f>
        <v/>
      </c>
      <c r="DZ2612" s="64">
        <f>($DX2612-$DX2613)*100</f>
        <v/>
      </c>
      <c r="EA2612" s="64">
        <f>($DW2612-$D2612)*100</f>
        <v/>
      </c>
      <c r="EB2612" s="64">
        <f>$Q2612-$O2612</f>
        <v/>
      </c>
      <c r="EC2612" s="67">
        <f>IFERROR($Q2612/$P2612,"")</f>
        <v/>
      </c>
    </row>
    <row r="2613">
      <c r="DG2613" s="64">
        <f>($B2613-$B2614)*100</f>
        <v/>
      </c>
      <c r="DH2613" s="64">
        <f>($D2613-$D2614)*100</f>
        <v/>
      </c>
      <c r="DI2613" s="64">
        <f>($E2613-$E2614)*100</f>
        <v/>
      </c>
      <c r="DJ2613" s="64">
        <f>($H2613-$H2614)*100</f>
        <v/>
      </c>
      <c r="DK2613" s="65">
        <f>IFERROR($J2613/$J2614-1,"")</f>
        <v/>
      </c>
      <c r="DL2613" s="64">
        <f>$L2613-$L2614</f>
        <v/>
      </c>
      <c r="DM2613" s="64">
        <f>$K2613-$K2614</f>
        <v/>
      </c>
      <c r="DN2613" s="65">
        <f>IFERROR($N2613/$N2614-1,"")</f>
        <v/>
      </c>
      <c r="DO2613" s="65">
        <f>IFERROR($M2613/$M2614-1,"")</f>
        <v/>
      </c>
      <c r="DP2613" s="65">
        <f>IFERROR($AZ2613/$AZ2614-1,"")</f>
        <v/>
      </c>
      <c r="DQ2613" s="65">
        <f>IFERROR($BA2613/$BA2614-1,"")</f>
        <v/>
      </c>
      <c r="DR2613" s="64">
        <f>$O2613-$O2614</f>
        <v/>
      </c>
      <c r="DS2613" s="64">
        <f>$P2613-$P2614</f>
        <v/>
      </c>
      <c r="DT2613" s="64">
        <f>$Q2613-$Q2614</f>
        <v/>
      </c>
      <c r="DU2613" s="64">
        <f>$S2613-$S2614</f>
        <v/>
      </c>
      <c r="DV2613" s="65">
        <f>IFERROR(AVERAGE($AA2614/$AA2613-1,$AB2614/$AB2613-1,$AC2614/$AC2613-1,$AD2614/$AD2613-1,$AE2614/$AE2613-1,$AG2614/$AG2613-1,$AH2614/$AH2613-1,$AI2614/$AI2613-1,$AJ2614/$AJ2613-1,$AL2614/$AL2613-1,$AM2614/$AM2613-1,$AR2614/$AR2613-1,$AS2614/$AS2613-1,$AT2614/$AT2613-1,$AU2614/$AU2613-1,$AV2614/$AV2613-1,$AW2614/$AW2613-1,$AX2614/$AX2613-1,$AY2614/$AY2613-1),"")</f>
        <v/>
      </c>
      <c r="DW2613" s="66">
        <f>AVERAGE($CB2613,$CC2613,$CD2613,$CE2613,$CF2613,$CG2613,$CH2613,$CI2613,$CJ2613,$CL2613,$CM2613,$CN2613,$CO2613,$CP2613,$CQ2613,$CR2613,$CS2613,$CT2613)</f>
        <v/>
      </c>
      <c r="DX2613" s="66">
        <f>AVERAGE($CB2613,$CC2613,$CM2613,$CE2613,$CP2613)</f>
        <v/>
      </c>
      <c r="DY2613" s="64">
        <f>($DW2613-$DW2614)*100</f>
        <v/>
      </c>
      <c r="DZ2613" s="64">
        <f>($DX2613-$DX2614)*100</f>
        <v/>
      </c>
      <c r="EA2613" s="64">
        <f>($DW2613-$D2613)*100</f>
        <v/>
      </c>
      <c r="EB2613" s="64">
        <f>$Q2613-$O2613</f>
        <v/>
      </c>
      <c r="EC2613" s="67">
        <f>IFERROR($Q2613/$P2613,"")</f>
        <v/>
      </c>
    </row>
    <row r="2614">
      <c r="DG2614" s="64">
        <f>($B2614-$B2615)*100</f>
        <v/>
      </c>
      <c r="DH2614" s="64">
        <f>($D2614-$D2615)*100</f>
        <v/>
      </c>
      <c r="DI2614" s="64">
        <f>($E2614-$E2615)*100</f>
        <v/>
      </c>
      <c r="DJ2614" s="64">
        <f>($H2614-$H2615)*100</f>
        <v/>
      </c>
      <c r="DK2614" s="65">
        <f>IFERROR($J2614/$J2615-1,"")</f>
        <v/>
      </c>
      <c r="DL2614" s="64">
        <f>$L2614-$L2615</f>
        <v/>
      </c>
      <c r="DM2614" s="64">
        <f>$K2614-$K2615</f>
        <v/>
      </c>
      <c r="DN2614" s="65">
        <f>IFERROR($N2614/$N2615-1,"")</f>
        <v/>
      </c>
      <c r="DO2614" s="65">
        <f>IFERROR($M2614/$M2615-1,"")</f>
        <v/>
      </c>
      <c r="DP2614" s="65">
        <f>IFERROR($AZ2614/$AZ2615-1,"")</f>
        <v/>
      </c>
      <c r="DQ2614" s="65">
        <f>IFERROR($BA2614/$BA2615-1,"")</f>
        <v/>
      </c>
      <c r="DR2614" s="64">
        <f>$O2614-$O2615</f>
        <v/>
      </c>
      <c r="DS2614" s="64">
        <f>$P2614-$P2615</f>
        <v/>
      </c>
      <c r="DT2614" s="64">
        <f>$Q2614-$Q2615</f>
        <v/>
      </c>
      <c r="DU2614" s="64">
        <f>$S2614-$S2615</f>
        <v/>
      </c>
      <c r="DV2614" s="65">
        <f>IFERROR(AVERAGE($AA2615/$AA2614-1,$AB2615/$AB2614-1,$AC2615/$AC2614-1,$AD2615/$AD2614-1,$AE2615/$AE2614-1,$AG2615/$AG2614-1,$AH2615/$AH2614-1,$AI2615/$AI2614-1,$AJ2615/$AJ2614-1,$AL2615/$AL2614-1,$AM2615/$AM2614-1,$AR2615/$AR2614-1,$AS2615/$AS2614-1,$AT2615/$AT2614-1,$AU2615/$AU2614-1,$AV2615/$AV2614-1,$AW2615/$AW2614-1,$AX2615/$AX2614-1,$AY2615/$AY2614-1),"")</f>
        <v/>
      </c>
      <c r="DW2614" s="66">
        <f>AVERAGE($CB2614,$CC2614,$CD2614,$CE2614,$CF2614,$CG2614,$CH2614,$CI2614,$CJ2614,$CL2614,$CM2614,$CN2614,$CO2614,$CP2614,$CQ2614,$CR2614,$CS2614,$CT2614)</f>
        <v/>
      </c>
      <c r="DX2614" s="66">
        <f>AVERAGE($CB2614,$CC2614,$CM2614,$CE2614,$CP2614)</f>
        <v/>
      </c>
      <c r="DY2614" s="64">
        <f>($DW2614-$DW2615)*100</f>
        <v/>
      </c>
      <c r="DZ2614" s="64">
        <f>($DX2614-$DX2615)*100</f>
        <v/>
      </c>
      <c r="EA2614" s="64">
        <f>($DW2614-$D2614)*100</f>
        <v/>
      </c>
      <c r="EB2614" s="64">
        <f>$Q2614-$O2614</f>
        <v/>
      </c>
      <c r="EC2614" s="67">
        <f>IFERROR($Q2614/$P2614,"")</f>
        <v/>
      </c>
    </row>
    <row r="2615">
      <c r="DG2615" s="64">
        <f>($B2615-$B2616)*100</f>
        <v/>
      </c>
      <c r="DH2615" s="64">
        <f>($D2615-$D2616)*100</f>
        <v/>
      </c>
      <c r="DI2615" s="64">
        <f>($E2615-$E2616)*100</f>
        <v/>
      </c>
      <c r="DJ2615" s="64">
        <f>($H2615-$H2616)*100</f>
        <v/>
      </c>
      <c r="DK2615" s="65">
        <f>IFERROR($J2615/$J2616-1,"")</f>
        <v/>
      </c>
      <c r="DL2615" s="64">
        <f>$L2615-$L2616</f>
        <v/>
      </c>
      <c r="DM2615" s="64">
        <f>$K2615-$K2616</f>
        <v/>
      </c>
      <c r="DN2615" s="65">
        <f>IFERROR($N2615/$N2616-1,"")</f>
        <v/>
      </c>
      <c r="DO2615" s="65">
        <f>IFERROR($M2615/$M2616-1,"")</f>
        <v/>
      </c>
      <c r="DP2615" s="65">
        <f>IFERROR($AZ2615/$AZ2616-1,"")</f>
        <v/>
      </c>
      <c r="DQ2615" s="65">
        <f>IFERROR($BA2615/$BA2616-1,"")</f>
        <v/>
      </c>
      <c r="DR2615" s="64">
        <f>$O2615-$O2616</f>
        <v/>
      </c>
      <c r="DS2615" s="64">
        <f>$P2615-$P2616</f>
        <v/>
      </c>
      <c r="DT2615" s="64">
        <f>$Q2615-$Q2616</f>
        <v/>
      </c>
      <c r="DU2615" s="64">
        <f>$S2615-$S2616</f>
        <v/>
      </c>
      <c r="DV2615" s="65">
        <f>IFERROR(AVERAGE($AA2616/$AA2615-1,$AB2616/$AB2615-1,$AC2616/$AC2615-1,$AD2616/$AD2615-1,$AE2616/$AE2615-1,$AG2616/$AG2615-1,$AH2616/$AH2615-1,$AI2616/$AI2615-1,$AJ2616/$AJ2615-1,$AL2616/$AL2615-1,$AM2616/$AM2615-1,$AR2616/$AR2615-1,$AS2616/$AS2615-1,$AT2616/$AT2615-1,$AU2616/$AU2615-1,$AV2616/$AV2615-1,$AW2616/$AW2615-1,$AX2616/$AX2615-1,$AY2616/$AY2615-1),"")</f>
        <v/>
      </c>
      <c r="DW2615" s="66">
        <f>AVERAGE($CB2615,$CC2615,$CD2615,$CE2615,$CF2615,$CG2615,$CH2615,$CI2615,$CJ2615,$CL2615,$CM2615,$CN2615,$CO2615,$CP2615,$CQ2615,$CR2615,$CS2615,$CT2615)</f>
        <v/>
      </c>
      <c r="DX2615" s="66">
        <f>AVERAGE($CB2615,$CC2615,$CM2615,$CE2615,$CP2615)</f>
        <v/>
      </c>
      <c r="DY2615" s="64">
        <f>($DW2615-$DW2616)*100</f>
        <v/>
      </c>
      <c r="DZ2615" s="64">
        <f>($DX2615-$DX2616)*100</f>
        <v/>
      </c>
      <c r="EA2615" s="64">
        <f>($DW2615-$D2615)*100</f>
        <v/>
      </c>
      <c r="EB2615" s="64">
        <f>$Q2615-$O2615</f>
        <v/>
      </c>
      <c r="EC2615" s="67">
        <f>IFERROR($Q2615/$P2615,"")</f>
        <v/>
      </c>
    </row>
    <row r="2616">
      <c r="DG2616" s="64">
        <f>($B2616-$B2617)*100</f>
        <v/>
      </c>
      <c r="DH2616" s="64">
        <f>($D2616-$D2617)*100</f>
        <v/>
      </c>
      <c r="DI2616" s="64">
        <f>($E2616-$E2617)*100</f>
        <v/>
      </c>
      <c r="DJ2616" s="64">
        <f>($H2616-$H2617)*100</f>
        <v/>
      </c>
      <c r="DK2616" s="65">
        <f>IFERROR($J2616/$J2617-1,"")</f>
        <v/>
      </c>
      <c r="DL2616" s="64">
        <f>$L2616-$L2617</f>
        <v/>
      </c>
      <c r="DM2616" s="64">
        <f>$K2616-$K2617</f>
        <v/>
      </c>
      <c r="DN2616" s="65">
        <f>IFERROR($N2616/$N2617-1,"")</f>
        <v/>
      </c>
      <c r="DO2616" s="65">
        <f>IFERROR($M2616/$M2617-1,"")</f>
        <v/>
      </c>
      <c r="DP2616" s="65">
        <f>IFERROR($AZ2616/$AZ2617-1,"")</f>
        <v/>
      </c>
      <c r="DQ2616" s="65">
        <f>IFERROR($BA2616/$BA2617-1,"")</f>
        <v/>
      </c>
      <c r="DR2616" s="64">
        <f>$O2616-$O2617</f>
        <v/>
      </c>
      <c r="DS2616" s="64">
        <f>$P2616-$P2617</f>
        <v/>
      </c>
      <c r="DT2616" s="64">
        <f>$Q2616-$Q2617</f>
        <v/>
      </c>
      <c r="DU2616" s="64">
        <f>$S2616-$S2617</f>
        <v/>
      </c>
      <c r="DV2616" s="65">
        <f>IFERROR(AVERAGE($AA2617/$AA2616-1,$AB2617/$AB2616-1,$AC2617/$AC2616-1,$AD2617/$AD2616-1,$AE2617/$AE2616-1,$AG2617/$AG2616-1,$AH2617/$AH2616-1,$AI2617/$AI2616-1,$AJ2617/$AJ2616-1,$AL2617/$AL2616-1,$AM2617/$AM2616-1,$AR2617/$AR2616-1,$AS2617/$AS2616-1,$AT2617/$AT2616-1,$AU2617/$AU2616-1,$AV2617/$AV2616-1,$AW2617/$AW2616-1,$AX2617/$AX2616-1,$AY2617/$AY2616-1),"")</f>
        <v/>
      </c>
      <c r="DW2616" s="66">
        <f>AVERAGE($CB2616,$CC2616,$CD2616,$CE2616,$CF2616,$CG2616,$CH2616,$CI2616,$CJ2616,$CL2616,$CM2616,$CN2616,$CO2616,$CP2616,$CQ2616,$CR2616,$CS2616,$CT2616)</f>
        <v/>
      </c>
      <c r="DX2616" s="66">
        <f>AVERAGE($CB2616,$CC2616,$CM2616,$CE2616,$CP2616)</f>
        <v/>
      </c>
      <c r="DY2616" s="64">
        <f>($DW2616-$DW2617)*100</f>
        <v/>
      </c>
      <c r="DZ2616" s="64">
        <f>($DX2616-$DX2617)*100</f>
        <v/>
      </c>
      <c r="EA2616" s="64">
        <f>($DW2616-$D2616)*100</f>
        <v/>
      </c>
      <c r="EB2616" s="64">
        <f>$Q2616-$O2616</f>
        <v/>
      </c>
      <c r="EC2616" s="67">
        <f>IFERROR($Q2616/$P2616,"")</f>
        <v/>
      </c>
    </row>
    <row r="2617">
      <c r="DG2617" s="64" t="inlineStr"/>
      <c r="DH2617" s="64" t="inlineStr"/>
      <c r="DI2617" s="64" t="inlineStr"/>
      <c r="DJ2617" s="64" t="inlineStr"/>
      <c r="DK2617" s="65" t="inlineStr"/>
      <c r="DL2617" s="64" t="inlineStr"/>
      <c r="DM2617" s="64" t="inlineStr"/>
      <c r="DN2617" s="65" t="inlineStr"/>
      <c r="DO2617" s="65" t="inlineStr"/>
      <c r="DP2617" s="65" t="inlineStr"/>
      <c r="DQ2617" s="65" t="inlineStr"/>
      <c r="DR2617" s="64" t="inlineStr"/>
      <c r="DS2617" s="64" t="inlineStr"/>
      <c r="DT2617" s="64" t="inlineStr"/>
      <c r="DU2617" s="64" t="inlineStr"/>
      <c r="DV2617" s="65" t="inlineStr"/>
      <c r="DW2617" s="66">
        <f>AVERAGE($CB2617,$CC2617,$CD2617,$CE2617,$CF2617,$CG2617,$CH2617,$CI2617,$CJ2617,$CL2617,$CM2617,$CN2617,$CO2617,$CP2617,$CQ2617,$CR2617,$CS2617,$CT2617)</f>
        <v/>
      </c>
      <c r="DX2617" s="66">
        <f>AVERAGE($CB2617,$CC2617,$CM2617,$CE2617,$CP2617)</f>
        <v/>
      </c>
      <c r="DY2617" s="64" t="inlineStr"/>
      <c r="DZ2617" s="64" t="inlineStr"/>
      <c r="EA2617" s="64">
        <f>($DW2617-$D2617)*100</f>
        <v/>
      </c>
      <c r="EB2617" s="64">
        <f>$Q2617-$O2617</f>
        <v/>
      </c>
      <c r="EC2617" s="67">
        <f>IFERROR($Q2617/$P2617,"")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2026-09-14T18:27:45Z</dcterms:created>
  <dcterms:modified xmlns:dcterms="http://purl.org/dc/terms/" xmlns:xsi="http://www.w3.org/2001/XMLSchema-instance" xsi:type="dcterms:W3CDTF">2026-09-14T18:27:48Z</dcterms:modified>
</cp:coreProperties>
</file>