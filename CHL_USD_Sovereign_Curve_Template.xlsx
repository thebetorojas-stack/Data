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Bonds_Static" sheetId="3" state="visible" r:id="rId3"/>
    <sheet xmlns:r="http://schemas.openxmlformats.org/officeDocument/2006/relationships" name="Bonds_Live" sheetId="4" state="visible" r:id="rId4"/>
    <sheet xmlns:r="http://schemas.openxmlformats.org/officeDocument/2006/relationships" name="UST_Curve" sheetId="5" state="visible" r:id="rId5"/>
    <sheet xmlns:r="http://schemas.openxmlformats.org/officeDocument/2006/relationships" name="Curve_Fit" sheetId="6" state="visible" r:id="rId6"/>
    <sheet xmlns:r="http://schemas.openxmlformats.org/officeDocument/2006/relationships" name="Liquidity_Gate" sheetId="7" state="visible" r:id="rId7"/>
    <sheet xmlns:r="http://schemas.openxmlformats.org/officeDocument/2006/relationships" name="Carry_Roll" sheetId="8" state="visible" r:id="rId8"/>
    <sheet xmlns:r="http://schemas.openxmlformats.org/officeDocument/2006/relationships" name="DTS_Carry" sheetId="9" state="visible" r:id="rId9"/>
    <sheet xmlns:r="http://schemas.openxmlformats.org/officeDocument/2006/relationships" name="Spread_History" sheetId="10" state="visible" r:id="rId10"/>
    <sheet xmlns:r="http://schemas.openxmlformats.org/officeDocument/2006/relationships" name="Implied_PD" sheetId="11" state="visible" r:id="rId11"/>
    <sheet xmlns:r="http://schemas.openxmlformats.org/officeDocument/2006/relationships" name="TR_Scenarios" sheetId="12" state="visible" r:id="rId12"/>
    <sheet xmlns:r="http://schemas.openxmlformats.org/officeDocument/2006/relationships" name="TR_Matrix" sheetId="13" state="visible" r:id="rId13"/>
    <sheet xmlns:r="http://schemas.openxmlformats.org/officeDocument/2006/relationships" name="Peer_EMBI_Bench" sheetId="14" state="visible" r:id="rId14"/>
    <sheet xmlns:r="http://schemas.openxmlformats.org/officeDocument/2006/relationships" name="Greenium" sheetId="15" state="visible" r:id="rId15"/>
    <sheet xmlns:r="http://schemas.openxmlformats.org/officeDocument/2006/relationships" name="Rich_Cheap_Rank" sheetId="16" state="visible" r:id="rId16"/>
    <sheet xmlns:r="http://schemas.openxmlformats.org/officeDocument/2006/relationships" name="Trade_Reco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.00;(#,##0.00);-"/>
    <numFmt numFmtId="166" formatCode="0.0%"/>
    <numFmt numFmtId="167" formatCode="0.00&quot; y&quot;"/>
    <numFmt numFmtId="168" formatCode="#,##0;(#,##0);-"/>
    <numFmt numFmtId="169" formatCode="0.000"/>
    <numFmt numFmtId="170" formatCode="0&quot; bp&quot;"/>
  </numFmts>
  <fonts count="18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b val="1"/>
      <color rgb="001F4E78"/>
      <sz val="12"/>
    </font>
    <font>
      <name val="Arial"/>
      <sz val="10"/>
    </font>
    <font>
      <name val="Arial"/>
      <b val="1"/>
      <color rgb="001F4E78"/>
      <sz val="14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i val="1"/>
    </font>
    <font>
      <name val="Arial"/>
      <b val="1"/>
      <color rgb="00FFFFFF"/>
      <sz val="10"/>
    </font>
    <font>
      <name val="Arial"/>
      <b val="1"/>
    </font>
    <font>
      <name val="Arial"/>
      <i val="1"/>
      <sz val="10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12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00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left" vertical="top" wrapText="1"/>
    </xf>
    <xf numFmtId="0" fontId="9" fillId="0" borderId="0" pivotButton="0" quotePrefix="0" xfId="0"/>
    <xf numFmtId="1" fontId="6" fillId="3" borderId="1" applyAlignment="1" pivotButton="0" quotePrefix="0" xfId="0">
      <alignment horizontal="center"/>
    </xf>
    <xf numFmtId="0" fontId="3" fillId="0" borderId="0" pivotButton="0" quotePrefix="0" xfId="0"/>
    <xf numFmtId="165" fontId="6" fillId="3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/>
    </xf>
    <xf numFmtId="0" fontId="10" fillId="0" borderId="0" pivotButton="0" quotePrefix="0" xfId="0"/>
    <xf numFmtId="166" fontId="7" fillId="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/>
    </xf>
    <xf numFmtId="167" fontId="7" fillId="0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9" fontId="7" fillId="0" borderId="1" applyAlignment="1" pivotButton="0" quotePrefix="0" xfId="0">
      <alignment horizontal="center"/>
    </xf>
    <xf numFmtId="0" fontId="12" fillId="0" borderId="0" pivotButton="0" quotePrefix="0" xfId="0"/>
    <xf numFmtId="170" fontId="7" fillId="0" borderId="1" applyAlignment="1" pivotButton="0" quotePrefix="0" xfId="0">
      <alignment horizontal="center"/>
    </xf>
    <xf numFmtId="10" fontId="8" fillId="0" borderId="1" applyAlignment="1" pivotButton="0" quotePrefix="0" xfId="0">
      <alignment horizontal="center"/>
    </xf>
    <xf numFmtId="10" fontId="7" fillId="0" borderId="1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168" fontId="8" fillId="0" borderId="1" applyAlignment="1" pivotButton="0" quotePrefix="0" xfId="0">
      <alignment horizontal="center"/>
    </xf>
    <xf numFmtId="169" fontId="8" fillId="0" borderId="1" applyAlignment="1" pivotButton="0" quotePrefix="0" xfId="0">
      <alignment horizontal="center"/>
    </xf>
    <xf numFmtId="0" fontId="1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166" fontId="8" fillId="0" borderId="1" applyAlignment="1" pivotButton="0" quotePrefix="0" xfId="0">
      <alignment horizontal="center"/>
    </xf>
    <xf numFmtId="0" fontId="17" fillId="0" borderId="0" pivotButton="0" quotePrefix="0" xfId="0"/>
    <xf numFmtId="2" fontId="7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2">
      <c r="B2" s="1" t="inlineStr">
        <is>
          <t>CHL USD Sovereign Curve — Credit Analyst Toolkit</t>
        </is>
      </c>
    </row>
    <row r="4">
      <c r="B4" s="2" t="inlineStr">
        <is>
          <t>How to use</t>
        </is>
      </c>
    </row>
    <row r="5" ht="30" customHeight="1">
      <c r="B5" s="3" t="inlineStr">
        <is>
          <t>1. Paste your ISINs into the Bonds_Static sheet (column A, rows 2 onward). Everything else auto-pulls via Bloomberg BDP.</t>
        </is>
      </c>
    </row>
    <row r="6" ht="30" customHeight="1">
      <c r="B6" s="3" t="inlineStr">
        <is>
          <t>2. Open this file on a machine with Bloomberg Excel Add-in enabled. Hit F9 to refresh.</t>
        </is>
      </c>
    </row>
    <row r="7" ht="30" customHeight="1">
      <c r="B7" s="3" t="inlineStr">
        <is>
          <t>3. Bonds_Static fields are static (description, coupon, maturity, ratings, amount outstanding). Bonds_Live is live (prices, YTM, spreads, duration, convexity, DV01).</t>
        </is>
      </c>
    </row>
    <row r="8" ht="30" customHeight="1">
      <c r="B8" s="3" t="inlineStr">
        <is>
          <t>4. UST_Curve is the risk-free benchmark — used for spreads and as the anchor for the ΔUST scenarios.</t>
        </is>
      </c>
    </row>
    <row r="9" ht="30" customHeight="1">
      <c r="B9" s="3" t="inlineStr">
        <is>
          <t>5. Curve_Fit fits a model curve to your bonds. Residual (Actual YTM − Modeled YTM) is the rich/cheap signal: positive = cheap.</t>
        </is>
      </c>
    </row>
    <row r="10" ht="30" customHeight="1">
      <c r="B10" s="3" t="inlineStr">
        <is>
          <t>6. Liquidity_Gate scores every bond; only bonds that pass the gate feed into Rich_Cheap_Rank and Trade_Recos.</t>
        </is>
      </c>
    </row>
    <row r="11" ht="30" customHeight="1">
      <c r="B11" s="3" t="inlineStr">
        <is>
          <t>7. Carry_Roll computes 3M/6M/12M carry + roll-down assuming the fitted curve doesn't shift.</t>
        </is>
      </c>
    </row>
    <row r="12" ht="30" customHeight="1">
      <c r="B12" s="3" t="inlineStr">
        <is>
          <t>8. DTS_Carry — risk-adjusted carry per unit of DTS (Z-spread × Spread Duration), plus breakeven widening (bp of spread widening that offsets your 12M carry). Use this to size positions.</t>
        </is>
      </c>
    </row>
    <row r="13" ht="30" customHeight="1">
      <c r="B13" s="3" t="inlineStr">
        <is>
          <t>9. Spread_History — BDH-driven 1Y distribution stats: min/max/avg/stdev, current percentile, z-score, and a CHEAP/FAIR/RICH tag. Mean-reversion signal — independent of the curve-residual signal.</t>
        </is>
      </c>
    </row>
    <row r="14" ht="30" customHeight="1">
      <c r="B14" s="3" t="inlineStr">
        <is>
          <t>10. Implied_PD — back out the cumulative default probability priced in (given the recovery assumption on Settings!C53), plus the 'breakeven recovery' that would make each bond fair vs the cross-sectional average hazard. ARG-relevant; CHL acts as sanity check.</t>
        </is>
      </c>
    </row>
    <row r="15" ht="30" customHeight="1">
      <c r="B15" s="3" t="inlineStr">
        <is>
          <t>11. TR_Scenarios — full grid: 3 horizons × 9+ (ΔUST, Δspread) shock cells. TR_Matrix lets you pick one bond and see a 5×7 heatmap at 3M/6M/12M.</t>
        </is>
      </c>
    </row>
    <row r="16" ht="30" customHeight="1">
      <c r="B16" s="3" t="inlineStr">
        <is>
          <t>12. Peer_EMBI_Bench — paste peer ISINs (col A). Computes spread vs peer basket avg and vs EMBI rating bucket; implied 12M outperformance if spread converges.</t>
        </is>
      </c>
    </row>
    <row r="17" ht="30" customHeight="1">
      <c r="B17" s="3" t="inlineStr">
        <is>
          <t>13a. (ARG only) Bonares_Globales — paste pairs of Bonar/Globale ISINs (cols A+B). Computes jurisdictional basis (local-law minus NY-law Z-spread), 1Y avg, z-score, and a directional trade tag. Seed pairs included for AL29/30/35, AE38, AL41.</t>
        </is>
      </c>
    </row>
    <row r="18" ht="30" customHeight="1">
      <c r="B18" s="3" t="inlineStr">
        <is>
          <t>13b. (ARG only) CDS_Basis — 5 tenors of ARG sovereign CDS (pre-loaded CARG1U… tickers) vs the fitted NSS bond spread at each tenor. Basis = Bond − CDS; positive = cash cheap to synthetic.</t>
        </is>
      </c>
    </row>
    <row r="19" ht="30" customHeight="1">
      <c r="B19" s="3" t="inlineStr">
        <is>
          <t>13c. (CHL only) Greenium — paste pairs of (green ISIN, conventional twin ISIN). Computes greenium (green − conv Z-spread), 1Y average, and a directional tag.</t>
        </is>
      </c>
    </row>
    <row r="20" ht="30" customHeight="1">
      <c r="B20" s="3" t="inlineStr">
        <is>
          <t>14. Rich_Cheap_Rank ranks bonds on an 8-signal composite z-score: curve residual + 12M C+R + DTS-adj carry + YTM + spread vs peer + spread vs EMBI + 1Y percentile + liquidity. Weights live in Settings!C42:C49.</t>
        </is>
      </c>
    </row>
    <row r="21" ht="30" customHeight="1">
      <c r="B21" s="3" t="inlineStr">
        <is>
          <t>15. Trade_Recos surfaces top 3 longs / shorts / RV pairs with quantified 12M expected TR, plus Sized TR (= central-view TR × MOVE regime scalar from UST_Curve!C27). When MOVE is in the top decile of its 1Y history, sized positions are automatically scaled down to 25% notional.</t>
        </is>
      </c>
    </row>
    <row r="22" ht="30" customHeight="1">
      <c r="B22" s="3" t="inlineStr"/>
    </row>
    <row r="23">
      <c r="B23" s="2" t="inlineStr">
        <is>
          <t>Bloomberg BDP primer</t>
        </is>
      </c>
    </row>
    <row r="24" ht="30" customHeight="1">
      <c r="B24" s="3" t="inlineStr">
        <is>
          <t>Static fields used: TICKER, SECURITY_DES, CPN, MATURITY, ISSUE_DT, AMT_OUTSTANDING, CRNCY, CNTRY_OF_RISK, RTG_SP_LT_FC, RTG_MDY_LONG_TERM, RTG_FITCH_LT_LC_DEBT, BB_COMPOSITE, DAY_CNT_DES, CPN_FREQ, CALLABLE, MIN_PIECE.</t>
        </is>
      </c>
    </row>
    <row r="25" ht="30" customHeight="1">
      <c r="B25" s="3" t="inlineStr">
        <is>
          <t>Market fields used: PX_BID, PX_ASK, PX_MID, PX_LAST, YLD_YTM_BID, YLD_YTM_ASK, YLD_YTM_MID, YAS_ZSPREAD, YAS_BOND_SPRD (G-spread), YAS_ISPREAD (I-spread), YAS_OAS, YAS_ASW_SPREAD, DUR_ADJ_MID, DUR_SPRD_MID, CONVEXITY_MID, RISK_MID (DV01/$mm), PX_CHG_PCT_1D / _5D / _1MO.</t>
        </is>
      </c>
    </row>
    <row r="26" ht="30" customHeight="1">
      <c r="B26" s="3" t="inlineStr">
        <is>
          <t>Liquidity fields: AMT_OUTSTANDING, BID_ASK_SPREAD, TRACE_AVG_DAILY_VOL, NUM_DEALERS_AT_BID, LIQUIDITY_SCORE_BB (LQA).</t>
        </is>
      </c>
    </row>
    <row r="27" ht="30" customHeight="1">
      <c r="B27" s="3" t="inlineStr">
        <is>
          <t>All BDP calls are wrapped: =IFERROR(BDP("/isin/"&amp;$A2,"FIELD"),""). If a field is empty, the bond may be off-the-run or BBG may use a different field name — try the alias listed in Settings.</t>
        </is>
      </c>
    </row>
    <row r="28" ht="30" customHeight="1">
      <c r="B28" s="3" t="inlineStr"/>
    </row>
    <row r="29">
      <c r="B29" s="2" t="inlineStr">
        <is>
          <t>Curve-fit (Cubic Polynomial) — fully automatic</t>
        </is>
      </c>
    </row>
    <row r="30" ht="30" customHeight="1">
      <c r="B30" s="3" t="inlineStr">
        <is>
          <t>CHL uses a cubic-polynomial fit on YTM vs years-to-maturity, computed via LINEST. No Solver needed — the curve refits live as YTMs change.</t>
        </is>
      </c>
    </row>
    <row r="31" ht="30" customHeight="1">
      <c r="B31" s="3" t="inlineStr">
        <is>
          <t>Coefficients live on Curve_Fit!H2:H5 (a0..a3) and update automatically every time Bloomberg pushes new yields.</t>
        </is>
      </c>
    </row>
    <row r="32" ht="30" customHeight="1">
      <c r="B32" s="3" t="inlineStr"/>
    </row>
    <row r="33">
      <c r="B33" s="2" t="inlineStr">
        <is>
          <t>Output: how to read Trade_Recos</t>
        </is>
      </c>
    </row>
    <row r="34" ht="30" customHeight="1">
      <c r="B34" s="3" t="inlineStr">
        <is>
          <t>Top Long / Top Short / RV Pair columns show:</t>
        </is>
      </c>
    </row>
    <row r="35" ht="30" customHeight="1">
      <c r="B35" s="3" t="inlineStr">
        <is>
          <t xml:space="preserve">  • Composite z-score (positive = long signal, negative = short signal)</t>
        </is>
      </c>
    </row>
    <row r="36" ht="30" customHeight="1">
      <c r="B36" s="3" t="inlineStr">
        <is>
          <t xml:space="preserve">  • Residual on curve (bp) — positive = cheap</t>
        </is>
      </c>
    </row>
    <row r="37" ht="30" customHeight="1">
      <c r="B37" s="3" t="inlineStr">
        <is>
          <t xml:space="preserve">  • Liquidity gate status (PASS / FAIL)</t>
        </is>
      </c>
    </row>
    <row r="38" ht="30" customHeight="1">
      <c r="B38" s="3" t="inlineStr">
        <is>
          <t xml:space="preserve">  • Expected 12M TR (base case = no shift)</t>
        </is>
      </c>
    </row>
    <row r="39" ht="30" customHeight="1">
      <c r="B39" s="3" t="inlineStr">
        <is>
          <t xml:space="preserve">  • Expected 12M TR under your central-view scenario (Settings!B30 / B31 for ΔUST and Δspread)</t>
        </is>
      </c>
    </row>
    <row r="40" ht="30" customHeight="1">
      <c r="B40" s="3" t="inlineStr">
        <is>
          <t xml:space="preserve">  • Expected outperformance vs EMBI bucket (bp of spread tightening implied × spread duration)</t>
        </is>
      </c>
    </row>
    <row r="41" ht="30" customHeight="1">
      <c r="B41" s="3" t="inlineStr"/>
    </row>
    <row r="42">
      <c r="B42" s="2" t="inlineStr">
        <is>
          <t>Color conventions</t>
        </is>
      </c>
    </row>
    <row r="43" ht="30" customHeight="1">
      <c r="B43" s="3" t="inlineStr">
        <is>
          <t>Blue text on yellow background: hardcoded user input. Black text: formulas. Green text: cross-sheet link.</t>
        </is>
      </c>
    </row>
    <row r="44" ht="30" customHeight="1">
      <c r="B44" s="3" t="inlineStr">
        <is>
          <t>Yellow fill anywhere = needs your attention / input.</t>
        </is>
      </c>
    </row>
    <row r="45" ht="30" customHeight="1">
      <c r="B45" s="3" t="inlineStr"/>
    </row>
    <row r="46">
      <c r="B46" s="2" t="inlineStr">
        <is>
          <t>Caveats</t>
        </is>
      </c>
    </row>
    <row r="47" ht="30" customHeight="1">
      <c r="B47" s="3" t="inlineStr">
        <is>
          <t>Total return is a first-order approximation: TR = Carry + Roll - MDur·Δy + ½·Conv·Δy². It does not model cashflow timing or FX (bonds are USD).</t>
        </is>
      </c>
    </row>
    <row r="48" ht="30" customHeight="1">
      <c r="B48" s="3" t="inlineStr">
        <is>
          <t>Convexity for kinked / amortising / step-up bonds may be unreliable — flag these manually in Bonds_Static column R ('Manual flag').</t>
        </is>
      </c>
    </row>
    <row r="49" ht="30" customHeight="1">
      <c r="B49" s="3" t="inlineStr">
        <is>
          <t>EMBI bucket ticker default is JPEIDIVR Index; if Bloomberg doesn't return INDEX_AVG_SPREAD, the formula falls back to YAS_BOND_SPRD. Adjust Settings!B27 if your firm uses a different benchmark.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60" customWidth="1" min="5" max="5"/>
  </cols>
  <sheetData>
    <row r="2">
      <c r="B2" s="4" t="inlineStr">
        <is>
          <t>Settings &amp; Assumptions</t>
        </is>
      </c>
    </row>
    <row r="4">
      <c r="B4" s="5" t="inlineStr">
        <is>
          <t>Workbook</t>
        </is>
      </c>
      <c r="C4" s="6" t="n"/>
      <c r="D4" s="6" t="n"/>
      <c r="E4" s="7" t="n"/>
    </row>
    <row r="5">
      <c r="B5" t="inlineStr">
        <is>
          <t>Country</t>
        </is>
      </c>
      <c r="C5" s="8" t="inlineStr">
        <is>
          <t>CHL</t>
        </is>
      </c>
    </row>
    <row r="6">
      <c r="B6" t="inlineStr">
        <is>
          <t>As-of date</t>
        </is>
      </c>
      <c r="C6" s="9">
        <f>TODAY()</f>
        <v/>
      </c>
    </row>
    <row r="7">
      <c r="B7" t="inlineStr">
        <is>
          <t>Curve-fit method</t>
        </is>
      </c>
      <c r="C7" s="10" t="inlineStr">
        <is>
          <t>POLY</t>
        </is>
      </c>
    </row>
    <row r="8">
      <c r="B8" t="inlineStr">
        <is>
          <t>Number of bond slots</t>
        </is>
      </c>
      <c r="C8" s="8" t="n">
        <v>25</v>
      </c>
    </row>
    <row r="9">
      <c r="B9" t="inlineStr">
        <is>
          <t>Number of peer slots</t>
        </is>
      </c>
      <c r="C9" s="8" t="n">
        <v>15</v>
      </c>
    </row>
    <row r="11">
      <c r="B11" s="5" t="inlineStr">
        <is>
          <t>Curve-Fit Parameters — Cubic Polynomial (LINEST-driven)</t>
        </is>
      </c>
      <c r="C11" s="6" t="n"/>
      <c r="D11" s="6" t="n"/>
      <c r="E11" s="7" t="n"/>
    </row>
    <row r="12">
      <c r="B12" t="inlineStr">
        <is>
          <t>a0  (intercept)</t>
        </is>
      </c>
      <c r="C12" s="11">
        <f>Curve_Fit!H5</f>
        <v/>
      </c>
      <c r="E12" s="12" t="inlineStr">
        <is>
          <t>Coefficients come from LINEST. Read-only — they refit automatically when yields change.</t>
        </is>
      </c>
    </row>
    <row r="13">
      <c r="B13" t="inlineStr">
        <is>
          <t>a1  (linear term)</t>
        </is>
      </c>
      <c r="C13" s="11">
        <f>Curve_Fit!H4</f>
        <v/>
      </c>
    </row>
    <row r="14">
      <c r="B14" t="inlineStr">
        <is>
          <t>a2  (quadratic term)</t>
        </is>
      </c>
      <c r="C14" s="11">
        <f>Curve_Fit!H3</f>
        <v/>
      </c>
    </row>
    <row r="15">
      <c r="B15" t="inlineStr">
        <is>
          <t>a3  (cubic term)</t>
        </is>
      </c>
      <c r="C15" s="11">
        <f>Curve_Fit!H2</f>
        <v/>
      </c>
    </row>
    <row r="16">
      <c r="B16" t="inlineStr">
        <is>
          <t>R² of fit</t>
        </is>
      </c>
      <c r="C16" s="11">
        <f>Curve_Fit!H7</f>
        <v/>
      </c>
    </row>
    <row r="22">
      <c r="B22" s="5" t="inlineStr">
        <is>
          <t>Scenario Grid — ΔUST and Δspread shocks (bp)</t>
        </is>
      </c>
      <c r="C22" s="6" t="n"/>
      <c r="D22" s="6" t="n"/>
      <c r="E22" s="7" t="n"/>
    </row>
    <row r="23">
      <c r="B23" s="13" t="inlineStr">
        <is>
          <t>ΔUST shocks (bp)</t>
        </is>
      </c>
      <c r="C23" s="14" t="n">
        <v>-100</v>
      </c>
      <c r="D23" s="14" t="n">
        <v>-50</v>
      </c>
      <c r="E23" s="14" t="n">
        <v>-25</v>
      </c>
      <c r="F23" s="14" t="n">
        <v>0</v>
      </c>
      <c r="G23" s="14" t="n">
        <v>25</v>
      </c>
      <c r="H23" s="14" t="n">
        <v>50</v>
      </c>
      <c r="I23" s="14" t="n">
        <v>100</v>
      </c>
    </row>
    <row r="24">
      <c r="B24" s="13" t="inlineStr">
        <is>
          <t>Δspread shocks (bp)</t>
        </is>
      </c>
      <c r="C24" s="14" t="n">
        <v>-100</v>
      </c>
      <c r="D24" s="14" t="n">
        <v>-50</v>
      </c>
      <c r="E24" s="14" t="n">
        <v>0</v>
      </c>
      <c r="F24" s="14" t="n">
        <v>50</v>
      </c>
      <c r="G24" s="14" t="n">
        <v>100</v>
      </c>
    </row>
    <row r="25">
      <c r="B25" s="13" t="inlineStr">
        <is>
          <t>Horizons (months)</t>
        </is>
      </c>
      <c r="C25" s="8" t="n">
        <v>3</v>
      </c>
      <c r="D25" s="8" t="n">
        <v>6</v>
      </c>
      <c r="E25" s="8" t="n">
        <v>12</v>
      </c>
    </row>
    <row r="27">
      <c r="B27" s="5" t="inlineStr">
        <is>
          <t>Central View (drives Trade_Recos quantified TR)</t>
        </is>
      </c>
      <c r="C27" s="6" t="n"/>
      <c r="D27" s="6" t="n"/>
      <c r="E27" s="7" t="n"/>
    </row>
    <row r="28">
      <c r="B28" t="inlineStr">
        <is>
          <t>EMBI benchmark ticker</t>
        </is>
      </c>
      <c r="C28" s="8" t="inlineStr">
        <is>
          <t>JPEIDIVR Index</t>
        </is>
      </c>
      <c r="E28" s="12" t="inlineStr">
        <is>
          <t>These two cells drive the 'Central-view 12M TR' column on Trade_Recos. Update with your house view.</t>
        </is>
      </c>
    </row>
    <row r="29">
      <c r="B29" t="inlineStr">
        <is>
          <t>EMBI rating bucket ticker (override)</t>
        </is>
      </c>
      <c r="C29" s="8" t="inlineStr">
        <is>
          <t>JBCDCOMP Index</t>
        </is>
      </c>
    </row>
    <row r="30">
      <c r="B30" t="inlineStr">
        <is>
          <t>Central-view ΔUST 12M (bp)</t>
        </is>
      </c>
      <c r="C30" s="14" t="n">
        <v>0</v>
      </c>
    </row>
    <row r="31">
      <c r="B31" t="inlineStr">
        <is>
          <t>Central-view Δspread 12M (bp)</t>
        </is>
      </c>
      <c r="C31" s="14" t="n">
        <v>-10</v>
      </c>
    </row>
    <row r="33">
      <c r="B33" s="5" t="inlineStr">
        <is>
          <t>Liquidity Gate Thresholds</t>
        </is>
      </c>
      <c r="C33" s="6" t="n"/>
      <c r="D33" s="6" t="n"/>
      <c r="E33" s="7" t="n"/>
    </row>
    <row r="34">
      <c r="B34" s="15" t="inlineStr">
        <is>
          <t>Min amount outstanding ($mm)</t>
        </is>
      </c>
      <c r="C34" s="14" t="n">
        <v>750</v>
      </c>
    </row>
    <row r="35">
      <c r="B35" s="15" t="inlineStr">
        <is>
          <t>Max bid-ask spread (pts)</t>
        </is>
      </c>
      <c r="C35" s="16" t="n">
        <v>0.4</v>
      </c>
    </row>
    <row r="36">
      <c r="B36" s="15" t="inlineStr">
        <is>
          <t>Min TRACE avg daily volume ($mm)</t>
        </is>
      </c>
      <c r="C36" s="14" t="n">
        <v>3</v>
      </c>
    </row>
    <row r="37">
      <c r="B37" s="15" t="inlineStr">
        <is>
          <t>Min Bloomberg LQA score (0-100)</t>
        </is>
      </c>
      <c r="C37" s="14" t="n">
        <v>60</v>
      </c>
    </row>
    <row r="38">
      <c r="B38" s="15" t="inlineStr">
        <is>
          <t>Min years to maturity</t>
        </is>
      </c>
      <c r="C38" s="16" t="n">
        <v>0.5</v>
      </c>
    </row>
    <row r="39">
      <c r="B39" s="15" t="inlineStr">
        <is>
          <t>Bonds must pass at least N criteria</t>
        </is>
      </c>
      <c r="C39" s="14" t="n">
        <v>3</v>
      </c>
    </row>
    <row r="41">
      <c r="B41" s="5" t="inlineStr">
        <is>
          <t>Rich/Cheap Composite — Z-Score Weights (sum to 1)</t>
        </is>
      </c>
      <c r="C41" s="6" t="n"/>
      <c r="D41" s="6" t="n"/>
      <c r="E41" s="7" t="n"/>
    </row>
    <row r="42">
      <c r="B42" s="15" t="inlineStr">
        <is>
          <t>Curve residual (cheap = +)</t>
        </is>
      </c>
      <c r="C42" s="17" t="n">
        <v>0.3</v>
      </c>
    </row>
    <row r="43">
      <c r="B43" s="15" t="inlineStr">
        <is>
          <t>12M carry+roll</t>
        </is>
      </c>
      <c r="C43" s="17" t="n">
        <v>0.15</v>
      </c>
    </row>
    <row r="44">
      <c r="B44" s="15" t="inlineStr">
        <is>
          <t>DTS-adjusted carry</t>
        </is>
      </c>
      <c r="C44" s="17" t="n">
        <v>0.15</v>
      </c>
    </row>
    <row r="45">
      <c r="B45" s="15" t="inlineStr">
        <is>
          <t>YTM (absolute level)</t>
        </is>
      </c>
      <c r="C45" s="17" t="n">
        <v>0.05</v>
      </c>
    </row>
    <row r="46">
      <c r="B46" s="15" t="inlineStr">
        <is>
          <t>Spread vs peer basket</t>
        </is>
      </c>
      <c r="C46" s="17" t="n">
        <v>0.15</v>
      </c>
    </row>
    <row r="47">
      <c r="B47" s="15" t="inlineStr">
        <is>
          <t>Spread vs EMBI bucket</t>
        </is>
      </c>
      <c r="C47" s="17" t="n">
        <v>0.1</v>
      </c>
    </row>
    <row r="48">
      <c r="B48" s="15" t="inlineStr">
        <is>
          <t>1Y spread percentile (high = +)</t>
        </is>
      </c>
      <c r="C48" s="17" t="n">
        <v>0.05</v>
      </c>
    </row>
    <row r="49">
      <c r="B49" s="15" t="inlineStr">
        <is>
          <t>Liquidity score (boost)</t>
        </is>
      </c>
      <c r="C49" s="17" t="n">
        <v>0.05</v>
      </c>
    </row>
    <row r="50">
      <c r="B50" s="18" t="inlineStr">
        <is>
          <t>Sum (should = 100%)</t>
        </is>
      </c>
      <c r="C50" s="19">
        <f>SUM(C42:C49)</f>
        <v/>
      </c>
    </row>
    <row r="52">
      <c r="B52" s="5" t="inlineStr">
        <is>
          <t>Risk Overlays</t>
        </is>
      </c>
      <c r="C52" s="6" t="n"/>
      <c r="D52" s="6" t="n"/>
      <c r="E52" s="7" t="n"/>
    </row>
    <row r="53">
      <c r="B53" s="15" t="inlineStr">
        <is>
          <t>Recovery assumption (sov)</t>
        </is>
      </c>
      <c r="C53" s="17" t="n">
        <v>0.4</v>
      </c>
      <c r="E53" s="12" t="inlineStr">
        <is>
          <t>Recovery feeds Implied_PD. MOVE thresholds drive position sizing on Trade_Recos: when rates vol is high, the same TR deserves a smaller position.</t>
        </is>
      </c>
    </row>
    <row r="54">
      <c r="B54" s="15" t="inlineStr">
        <is>
          <t>MOVE: percentile threshold for half-sizing</t>
        </is>
      </c>
      <c r="C54" s="14" t="n">
        <v>75</v>
      </c>
    </row>
    <row r="55">
      <c r="B55" s="15" t="inlineStr">
        <is>
          <t>MOVE: percentile threshold for quarter-sizing</t>
        </is>
      </c>
      <c r="C55" s="14" t="n">
        <v>90</v>
      </c>
    </row>
    <row r="56">
      <c r="B56" s="15" t="inlineStr">
        <is>
          <t>MOVE size scalar at 'high' regime</t>
        </is>
      </c>
      <c r="C56" s="17" t="n">
        <v>0.5</v>
      </c>
    </row>
    <row r="57">
      <c r="B57" s="15" t="inlineStr">
        <is>
          <t>MOVE size scalar at 'extreme' regime</t>
        </is>
      </c>
      <c r="C57" s="17" t="n">
        <v>0.25</v>
      </c>
    </row>
  </sheetData>
  <mergeCells count="10">
    <mergeCell ref="B27:E27"/>
    <mergeCell ref="B41:E41"/>
    <mergeCell ref="B4:E4"/>
    <mergeCell ref="B52:E52"/>
    <mergeCell ref="E28:E31"/>
    <mergeCell ref="B33:E33"/>
    <mergeCell ref="E12:E16"/>
    <mergeCell ref="B11:E11"/>
    <mergeCell ref="B22:E22"/>
    <mergeCell ref="E53:E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11" customWidth="1" min="4" max="4"/>
    <col width="13" customWidth="1" min="5" max="5"/>
    <col width="13" customWidth="1" min="6" max="6"/>
    <col width="12" customWidth="1" min="7" max="7"/>
    <col width="17" customWidth="1" min="8" max="8"/>
    <col width="10" customWidth="1" min="9" max="9"/>
    <col width="11" customWidth="1" min="10" max="10"/>
    <col width="9" customWidth="1" min="11" max="11"/>
    <col width="10" customWidth="1" min="12" max="12"/>
    <col width="9" customWidth="1" min="13" max="13"/>
    <col width="11" customWidth="1" min="14" max="14"/>
    <col width="12" customWidth="1" min="15" max="15"/>
    <col width="10" customWidth="1" min="16" max="16"/>
    <col width="10" customWidth="1" min="17" max="17"/>
    <col width="14" customWidth="1" min="18" max="18"/>
  </cols>
  <sheetData>
    <row r="1" ht="30" customHeight="1">
      <c r="A1" s="20" t="inlineStr">
        <is>
          <t>ISIN</t>
        </is>
      </c>
      <c r="B1" s="20" t="inlineStr">
        <is>
          <t>Ticker</t>
        </is>
      </c>
      <c r="C1" s="20" t="inlineStr">
        <is>
          <t>Description</t>
        </is>
      </c>
      <c r="D1" s="20" t="inlineStr">
        <is>
          <t>Coupon (%)</t>
        </is>
      </c>
      <c r="E1" s="20" t="inlineStr">
        <is>
          <t>Maturity</t>
        </is>
      </c>
      <c r="F1" s="20" t="inlineStr">
        <is>
          <t>Issue Date</t>
        </is>
      </c>
      <c r="G1" s="20" t="inlineStr">
        <is>
          <t>Yrs to Maty</t>
        </is>
      </c>
      <c r="H1" s="20" t="inlineStr">
        <is>
          <t>Amt Outstanding ($mm)</t>
        </is>
      </c>
      <c r="I1" s="20" t="inlineStr">
        <is>
          <t>Currency</t>
        </is>
      </c>
      <c r="J1" s="20" t="inlineStr">
        <is>
          <t>Country</t>
        </is>
      </c>
      <c r="K1" s="20" t="inlineStr">
        <is>
          <t>S&amp;P</t>
        </is>
      </c>
      <c r="L1" s="20" t="inlineStr">
        <is>
          <t>Moody's</t>
        </is>
      </c>
      <c r="M1" s="20" t="inlineStr">
        <is>
          <t>Fitch</t>
        </is>
      </c>
      <c r="N1" s="20" t="inlineStr">
        <is>
          <t>Composite</t>
        </is>
      </c>
      <c r="O1" s="20" t="inlineStr">
        <is>
          <t>Day Count</t>
        </is>
      </c>
      <c r="P1" s="20" t="inlineStr">
        <is>
          <t>Cpn Freq</t>
        </is>
      </c>
      <c r="Q1" s="20" t="inlineStr">
        <is>
          <t>Callable</t>
        </is>
      </c>
      <c r="R1" s="20" t="inlineStr">
        <is>
          <t>Manual flag</t>
        </is>
      </c>
    </row>
    <row r="2">
      <c r="A2" s="8" t="n"/>
      <c r="B2" s="10">
        <f>IFERROR(BDP("/isin/"&amp;$A2,"TICKER"),"")</f>
        <v/>
      </c>
      <c r="C2" s="10">
        <f>IFERROR(BDP("/isin/"&amp;$A2,"SECURITY_DES"),"")</f>
        <v/>
      </c>
      <c r="D2" s="21">
        <f>IFERROR(BDP("/isin/"&amp;$A2,"CPN"),"")</f>
        <v/>
      </c>
      <c r="E2" s="9">
        <f>IFERROR(BDP("/isin/"&amp;$A2,"MATURITY"),"")</f>
        <v/>
      </c>
      <c r="F2" s="9">
        <f>IFERROR(BDP("/isin/"&amp;$A2,"ISSUE_DT"),"")</f>
        <v/>
      </c>
      <c r="G2" s="22">
        <f>IFERROR(IF(E2="","",(E2-TODAY())/365.25),"")</f>
        <v/>
      </c>
      <c r="H2" s="23">
        <f>IFERROR(BDP("/isin/"&amp;$A2,"AMT_OUTSTANDING")/1000000,"")</f>
        <v/>
      </c>
      <c r="I2" s="10">
        <f>IFERROR(BDP("/isin/"&amp;$A2,"CRNCY"),"")</f>
        <v/>
      </c>
      <c r="J2" s="10">
        <f>IFERROR(BDP("/isin/"&amp;$A2,"CNTRY_OF_RISK"),"")</f>
        <v/>
      </c>
      <c r="K2" s="10">
        <f>IFERROR(BDP("/isin/"&amp;$A2,"RTG_SP_LT_FC"),"")</f>
        <v/>
      </c>
      <c r="L2" s="10">
        <f>IFERROR(BDP("/isin/"&amp;$A2,"RTG_MDY_LONG_TERM"),"")</f>
        <v/>
      </c>
      <c r="M2" s="10">
        <f>IFERROR(BDP("/isin/"&amp;$A2,"RTG_FITCH_LT_LC_DEBT"),"")</f>
        <v/>
      </c>
      <c r="N2" s="10">
        <f>IFERROR(BDP("/isin/"&amp;$A2,"BB_COMPOSITE"),"")</f>
        <v/>
      </c>
      <c r="O2" s="10">
        <f>IFERROR(BDP("/isin/"&amp;$A2,"DAY_CNT_DES"),"")</f>
        <v/>
      </c>
      <c r="P2" s="21">
        <f>IFERROR(BDP("/isin/"&amp;$A2,"CPN_FREQ"),"")</f>
        <v/>
      </c>
      <c r="Q2" s="10">
        <f>IFERROR(BDP("/isin/"&amp;$A2,"CALLABLE"),"")</f>
        <v/>
      </c>
      <c r="R2" s="8" t="n"/>
    </row>
    <row r="3">
      <c r="A3" s="8" t="n"/>
      <c r="B3" s="10">
        <f>IFERROR(BDP("/isin/"&amp;$A3,"TICKER"),"")</f>
        <v/>
      </c>
      <c r="C3" s="10">
        <f>IFERROR(BDP("/isin/"&amp;$A3,"SECURITY_DES"),"")</f>
        <v/>
      </c>
      <c r="D3" s="21">
        <f>IFERROR(BDP("/isin/"&amp;$A3,"CPN"),"")</f>
        <v/>
      </c>
      <c r="E3" s="9">
        <f>IFERROR(BDP("/isin/"&amp;$A3,"MATURITY"),"")</f>
        <v/>
      </c>
      <c r="F3" s="9">
        <f>IFERROR(BDP("/isin/"&amp;$A3,"ISSUE_DT"),"")</f>
        <v/>
      </c>
      <c r="G3" s="22">
        <f>IFERROR(IF(E3="","",(E3-TODAY())/365.25),"")</f>
        <v/>
      </c>
      <c r="H3" s="23">
        <f>IFERROR(BDP("/isin/"&amp;$A3,"AMT_OUTSTANDING")/1000000,"")</f>
        <v/>
      </c>
      <c r="I3" s="10">
        <f>IFERROR(BDP("/isin/"&amp;$A3,"CRNCY"),"")</f>
        <v/>
      </c>
      <c r="J3" s="10">
        <f>IFERROR(BDP("/isin/"&amp;$A3,"CNTRY_OF_RISK"),"")</f>
        <v/>
      </c>
      <c r="K3" s="10">
        <f>IFERROR(BDP("/isin/"&amp;$A3,"RTG_SP_LT_FC"),"")</f>
        <v/>
      </c>
      <c r="L3" s="10">
        <f>IFERROR(BDP("/isin/"&amp;$A3,"RTG_MDY_LONG_TERM"),"")</f>
        <v/>
      </c>
      <c r="M3" s="10">
        <f>IFERROR(BDP("/isin/"&amp;$A3,"RTG_FITCH_LT_LC_DEBT"),"")</f>
        <v/>
      </c>
      <c r="N3" s="10">
        <f>IFERROR(BDP("/isin/"&amp;$A3,"BB_COMPOSITE"),"")</f>
        <v/>
      </c>
      <c r="O3" s="10">
        <f>IFERROR(BDP("/isin/"&amp;$A3,"DAY_CNT_DES"),"")</f>
        <v/>
      </c>
      <c r="P3" s="21">
        <f>IFERROR(BDP("/isin/"&amp;$A3,"CPN_FREQ"),"")</f>
        <v/>
      </c>
      <c r="Q3" s="10">
        <f>IFERROR(BDP("/isin/"&amp;$A3,"CALLABLE"),"")</f>
        <v/>
      </c>
      <c r="R3" s="8" t="n"/>
    </row>
    <row r="4">
      <c r="A4" s="8" t="n"/>
      <c r="B4" s="10">
        <f>IFERROR(BDP("/isin/"&amp;$A4,"TICKER"),"")</f>
        <v/>
      </c>
      <c r="C4" s="10">
        <f>IFERROR(BDP("/isin/"&amp;$A4,"SECURITY_DES"),"")</f>
        <v/>
      </c>
      <c r="D4" s="21">
        <f>IFERROR(BDP("/isin/"&amp;$A4,"CPN"),"")</f>
        <v/>
      </c>
      <c r="E4" s="9">
        <f>IFERROR(BDP("/isin/"&amp;$A4,"MATURITY"),"")</f>
        <v/>
      </c>
      <c r="F4" s="9">
        <f>IFERROR(BDP("/isin/"&amp;$A4,"ISSUE_DT"),"")</f>
        <v/>
      </c>
      <c r="G4" s="22">
        <f>IFERROR(IF(E4="","",(E4-TODAY())/365.25),"")</f>
        <v/>
      </c>
      <c r="H4" s="23">
        <f>IFERROR(BDP("/isin/"&amp;$A4,"AMT_OUTSTANDING")/1000000,"")</f>
        <v/>
      </c>
      <c r="I4" s="10">
        <f>IFERROR(BDP("/isin/"&amp;$A4,"CRNCY"),"")</f>
        <v/>
      </c>
      <c r="J4" s="10">
        <f>IFERROR(BDP("/isin/"&amp;$A4,"CNTRY_OF_RISK"),"")</f>
        <v/>
      </c>
      <c r="K4" s="10">
        <f>IFERROR(BDP("/isin/"&amp;$A4,"RTG_SP_LT_FC"),"")</f>
        <v/>
      </c>
      <c r="L4" s="10">
        <f>IFERROR(BDP("/isin/"&amp;$A4,"RTG_MDY_LONG_TERM"),"")</f>
        <v/>
      </c>
      <c r="M4" s="10">
        <f>IFERROR(BDP("/isin/"&amp;$A4,"RTG_FITCH_LT_LC_DEBT"),"")</f>
        <v/>
      </c>
      <c r="N4" s="10">
        <f>IFERROR(BDP("/isin/"&amp;$A4,"BB_COMPOSITE"),"")</f>
        <v/>
      </c>
      <c r="O4" s="10">
        <f>IFERROR(BDP("/isin/"&amp;$A4,"DAY_CNT_DES"),"")</f>
        <v/>
      </c>
      <c r="P4" s="21">
        <f>IFERROR(BDP("/isin/"&amp;$A4,"CPN_FREQ"),"")</f>
        <v/>
      </c>
      <c r="Q4" s="10">
        <f>IFERROR(BDP("/isin/"&amp;$A4,"CALLABLE"),"")</f>
        <v/>
      </c>
      <c r="R4" s="8" t="n"/>
    </row>
    <row r="5">
      <c r="A5" s="8" t="n"/>
      <c r="B5" s="10">
        <f>IFERROR(BDP("/isin/"&amp;$A5,"TICKER"),"")</f>
        <v/>
      </c>
      <c r="C5" s="10">
        <f>IFERROR(BDP("/isin/"&amp;$A5,"SECURITY_DES"),"")</f>
        <v/>
      </c>
      <c r="D5" s="21">
        <f>IFERROR(BDP("/isin/"&amp;$A5,"CPN"),"")</f>
        <v/>
      </c>
      <c r="E5" s="9">
        <f>IFERROR(BDP("/isin/"&amp;$A5,"MATURITY"),"")</f>
        <v/>
      </c>
      <c r="F5" s="9">
        <f>IFERROR(BDP("/isin/"&amp;$A5,"ISSUE_DT"),"")</f>
        <v/>
      </c>
      <c r="G5" s="22">
        <f>IFERROR(IF(E5="","",(E5-TODAY())/365.25),"")</f>
        <v/>
      </c>
      <c r="H5" s="23">
        <f>IFERROR(BDP("/isin/"&amp;$A5,"AMT_OUTSTANDING")/1000000,"")</f>
        <v/>
      </c>
      <c r="I5" s="10">
        <f>IFERROR(BDP("/isin/"&amp;$A5,"CRNCY"),"")</f>
        <v/>
      </c>
      <c r="J5" s="10">
        <f>IFERROR(BDP("/isin/"&amp;$A5,"CNTRY_OF_RISK"),"")</f>
        <v/>
      </c>
      <c r="K5" s="10">
        <f>IFERROR(BDP("/isin/"&amp;$A5,"RTG_SP_LT_FC"),"")</f>
        <v/>
      </c>
      <c r="L5" s="10">
        <f>IFERROR(BDP("/isin/"&amp;$A5,"RTG_MDY_LONG_TERM"),"")</f>
        <v/>
      </c>
      <c r="M5" s="10">
        <f>IFERROR(BDP("/isin/"&amp;$A5,"RTG_FITCH_LT_LC_DEBT"),"")</f>
        <v/>
      </c>
      <c r="N5" s="10">
        <f>IFERROR(BDP("/isin/"&amp;$A5,"BB_COMPOSITE"),"")</f>
        <v/>
      </c>
      <c r="O5" s="10">
        <f>IFERROR(BDP("/isin/"&amp;$A5,"DAY_CNT_DES"),"")</f>
        <v/>
      </c>
      <c r="P5" s="21">
        <f>IFERROR(BDP("/isin/"&amp;$A5,"CPN_FREQ"),"")</f>
        <v/>
      </c>
      <c r="Q5" s="10">
        <f>IFERROR(BDP("/isin/"&amp;$A5,"CALLABLE"),"")</f>
        <v/>
      </c>
      <c r="R5" s="8" t="n"/>
    </row>
    <row r="6">
      <c r="A6" s="8" t="n"/>
      <c r="B6" s="10">
        <f>IFERROR(BDP("/isin/"&amp;$A6,"TICKER"),"")</f>
        <v/>
      </c>
      <c r="C6" s="10">
        <f>IFERROR(BDP("/isin/"&amp;$A6,"SECURITY_DES"),"")</f>
        <v/>
      </c>
      <c r="D6" s="21">
        <f>IFERROR(BDP("/isin/"&amp;$A6,"CPN"),"")</f>
        <v/>
      </c>
      <c r="E6" s="9">
        <f>IFERROR(BDP("/isin/"&amp;$A6,"MATURITY"),"")</f>
        <v/>
      </c>
      <c r="F6" s="9">
        <f>IFERROR(BDP("/isin/"&amp;$A6,"ISSUE_DT"),"")</f>
        <v/>
      </c>
      <c r="G6" s="22">
        <f>IFERROR(IF(E6="","",(E6-TODAY())/365.25),"")</f>
        <v/>
      </c>
      <c r="H6" s="23">
        <f>IFERROR(BDP("/isin/"&amp;$A6,"AMT_OUTSTANDING")/1000000,"")</f>
        <v/>
      </c>
      <c r="I6" s="10">
        <f>IFERROR(BDP("/isin/"&amp;$A6,"CRNCY"),"")</f>
        <v/>
      </c>
      <c r="J6" s="10">
        <f>IFERROR(BDP("/isin/"&amp;$A6,"CNTRY_OF_RISK"),"")</f>
        <v/>
      </c>
      <c r="K6" s="10">
        <f>IFERROR(BDP("/isin/"&amp;$A6,"RTG_SP_LT_FC"),"")</f>
        <v/>
      </c>
      <c r="L6" s="10">
        <f>IFERROR(BDP("/isin/"&amp;$A6,"RTG_MDY_LONG_TERM"),"")</f>
        <v/>
      </c>
      <c r="M6" s="10">
        <f>IFERROR(BDP("/isin/"&amp;$A6,"RTG_FITCH_LT_LC_DEBT"),"")</f>
        <v/>
      </c>
      <c r="N6" s="10">
        <f>IFERROR(BDP("/isin/"&amp;$A6,"BB_COMPOSITE"),"")</f>
        <v/>
      </c>
      <c r="O6" s="10">
        <f>IFERROR(BDP("/isin/"&amp;$A6,"DAY_CNT_DES"),"")</f>
        <v/>
      </c>
      <c r="P6" s="21">
        <f>IFERROR(BDP("/isin/"&amp;$A6,"CPN_FREQ"),"")</f>
        <v/>
      </c>
      <c r="Q6" s="10">
        <f>IFERROR(BDP("/isin/"&amp;$A6,"CALLABLE"),"")</f>
        <v/>
      </c>
      <c r="R6" s="8" t="n"/>
    </row>
    <row r="7">
      <c r="A7" s="8" t="n"/>
      <c r="B7" s="10">
        <f>IFERROR(BDP("/isin/"&amp;$A7,"TICKER"),"")</f>
        <v/>
      </c>
      <c r="C7" s="10">
        <f>IFERROR(BDP("/isin/"&amp;$A7,"SECURITY_DES"),"")</f>
        <v/>
      </c>
      <c r="D7" s="21">
        <f>IFERROR(BDP("/isin/"&amp;$A7,"CPN"),"")</f>
        <v/>
      </c>
      <c r="E7" s="9">
        <f>IFERROR(BDP("/isin/"&amp;$A7,"MATURITY"),"")</f>
        <v/>
      </c>
      <c r="F7" s="9">
        <f>IFERROR(BDP("/isin/"&amp;$A7,"ISSUE_DT"),"")</f>
        <v/>
      </c>
      <c r="G7" s="22">
        <f>IFERROR(IF(E7="","",(E7-TODAY())/365.25),"")</f>
        <v/>
      </c>
      <c r="H7" s="23">
        <f>IFERROR(BDP("/isin/"&amp;$A7,"AMT_OUTSTANDING")/1000000,"")</f>
        <v/>
      </c>
      <c r="I7" s="10">
        <f>IFERROR(BDP("/isin/"&amp;$A7,"CRNCY"),"")</f>
        <v/>
      </c>
      <c r="J7" s="10">
        <f>IFERROR(BDP("/isin/"&amp;$A7,"CNTRY_OF_RISK"),"")</f>
        <v/>
      </c>
      <c r="K7" s="10">
        <f>IFERROR(BDP("/isin/"&amp;$A7,"RTG_SP_LT_FC"),"")</f>
        <v/>
      </c>
      <c r="L7" s="10">
        <f>IFERROR(BDP("/isin/"&amp;$A7,"RTG_MDY_LONG_TERM"),"")</f>
        <v/>
      </c>
      <c r="M7" s="10">
        <f>IFERROR(BDP("/isin/"&amp;$A7,"RTG_FITCH_LT_LC_DEBT"),"")</f>
        <v/>
      </c>
      <c r="N7" s="10">
        <f>IFERROR(BDP("/isin/"&amp;$A7,"BB_COMPOSITE"),"")</f>
        <v/>
      </c>
      <c r="O7" s="10">
        <f>IFERROR(BDP("/isin/"&amp;$A7,"DAY_CNT_DES"),"")</f>
        <v/>
      </c>
      <c r="P7" s="21">
        <f>IFERROR(BDP("/isin/"&amp;$A7,"CPN_FREQ"),"")</f>
        <v/>
      </c>
      <c r="Q7" s="10">
        <f>IFERROR(BDP("/isin/"&amp;$A7,"CALLABLE"),"")</f>
        <v/>
      </c>
      <c r="R7" s="8" t="n"/>
    </row>
    <row r="8">
      <c r="A8" s="8" t="n"/>
      <c r="B8" s="10">
        <f>IFERROR(BDP("/isin/"&amp;$A8,"TICKER"),"")</f>
        <v/>
      </c>
      <c r="C8" s="10">
        <f>IFERROR(BDP("/isin/"&amp;$A8,"SECURITY_DES"),"")</f>
        <v/>
      </c>
      <c r="D8" s="21">
        <f>IFERROR(BDP("/isin/"&amp;$A8,"CPN"),"")</f>
        <v/>
      </c>
      <c r="E8" s="9">
        <f>IFERROR(BDP("/isin/"&amp;$A8,"MATURITY"),"")</f>
        <v/>
      </c>
      <c r="F8" s="9">
        <f>IFERROR(BDP("/isin/"&amp;$A8,"ISSUE_DT"),"")</f>
        <v/>
      </c>
      <c r="G8" s="22">
        <f>IFERROR(IF(E8="","",(E8-TODAY())/365.25),"")</f>
        <v/>
      </c>
      <c r="H8" s="23">
        <f>IFERROR(BDP("/isin/"&amp;$A8,"AMT_OUTSTANDING")/1000000,"")</f>
        <v/>
      </c>
      <c r="I8" s="10">
        <f>IFERROR(BDP("/isin/"&amp;$A8,"CRNCY"),"")</f>
        <v/>
      </c>
      <c r="J8" s="10">
        <f>IFERROR(BDP("/isin/"&amp;$A8,"CNTRY_OF_RISK"),"")</f>
        <v/>
      </c>
      <c r="K8" s="10">
        <f>IFERROR(BDP("/isin/"&amp;$A8,"RTG_SP_LT_FC"),"")</f>
        <v/>
      </c>
      <c r="L8" s="10">
        <f>IFERROR(BDP("/isin/"&amp;$A8,"RTG_MDY_LONG_TERM"),"")</f>
        <v/>
      </c>
      <c r="M8" s="10">
        <f>IFERROR(BDP("/isin/"&amp;$A8,"RTG_FITCH_LT_LC_DEBT"),"")</f>
        <v/>
      </c>
      <c r="N8" s="10">
        <f>IFERROR(BDP("/isin/"&amp;$A8,"BB_COMPOSITE"),"")</f>
        <v/>
      </c>
      <c r="O8" s="10">
        <f>IFERROR(BDP("/isin/"&amp;$A8,"DAY_CNT_DES"),"")</f>
        <v/>
      </c>
      <c r="P8" s="21">
        <f>IFERROR(BDP("/isin/"&amp;$A8,"CPN_FREQ"),"")</f>
        <v/>
      </c>
      <c r="Q8" s="10">
        <f>IFERROR(BDP("/isin/"&amp;$A8,"CALLABLE"),"")</f>
        <v/>
      </c>
      <c r="R8" s="8" t="n"/>
    </row>
    <row r="9">
      <c r="A9" s="8" t="n"/>
      <c r="B9" s="10">
        <f>IFERROR(BDP("/isin/"&amp;$A9,"TICKER"),"")</f>
        <v/>
      </c>
      <c r="C9" s="10">
        <f>IFERROR(BDP("/isin/"&amp;$A9,"SECURITY_DES"),"")</f>
        <v/>
      </c>
      <c r="D9" s="21">
        <f>IFERROR(BDP("/isin/"&amp;$A9,"CPN"),"")</f>
        <v/>
      </c>
      <c r="E9" s="9">
        <f>IFERROR(BDP("/isin/"&amp;$A9,"MATURITY"),"")</f>
        <v/>
      </c>
      <c r="F9" s="9">
        <f>IFERROR(BDP("/isin/"&amp;$A9,"ISSUE_DT"),"")</f>
        <v/>
      </c>
      <c r="G9" s="22">
        <f>IFERROR(IF(E9="","",(E9-TODAY())/365.25),"")</f>
        <v/>
      </c>
      <c r="H9" s="23">
        <f>IFERROR(BDP("/isin/"&amp;$A9,"AMT_OUTSTANDING")/1000000,"")</f>
        <v/>
      </c>
      <c r="I9" s="10">
        <f>IFERROR(BDP("/isin/"&amp;$A9,"CRNCY"),"")</f>
        <v/>
      </c>
      <c r="J9" s="10">
        <f>IFERROR(BDP("/isin/"&amp;$A9,"CNTRY_OF_RISK"),"")</f>
        <v/>
      </c>
      <c r="K9" s="10">
        <f>IFERROR(BDP("/isin/"&amp;$A9,"RTG_SP_LT_FC"),"")</f>
        <v/>
      </c>
      <c r="L9" s="10">
        <f>IFERROR(BDP("/isin/"&amp;$A9,"RTG_MDY_LONG_TERM"),"")</f>
        <v/>
      </c>
      <c r="M9" s="10">
        <f>IFERROR(BDP("/isin/"&amp;$A9,"RTG_FITCH_LT_LC_DEBT"),"")</f>
        <v/>
      </c>
      <c r="N9" s="10">
        <f>IFERROR(BDP("/isin/"&amp;$A9,"BB_COMPOSITE"),"")</f>
        <v/>
      </c>
      <c r="O9" s="10">
        <f>IFERROR(BDP("/isin/"&amp;$A9,"DAY_CNT_DES"),"")</f>
        <v/>
      </c>
      <c r="P9" s="21">
        <f>IFERROR(BDP("/isin/"&amp;$A9,"CPN_FREQ"),"")</f>
        <v/>
      </c>
      <c r="Q9" s="10">
        <f>IFERROR(BDP("/isin/"&amp;$A9,"CALLABLE"),"")</f>
        <v/>
      </c>
      <c r="R9" s="8" t="n"/>
    </row>
    <row r="10">
      <c r="A10" s="8" t="n"/>
      <c r="B10" s="10">
        <f>IFERROR(BDP("/isin/"&amp;$A10,"TICKER"),"")</f>
        <v/>
      </c>
      <c r="C10" s="10">
        <f>IFERROR(BDP("/isin/"&amp;$A10,"SECURITY_DES"),"")</f>
        <v/>
      </c>
      <c r="D10" s="21">
        <f>IFERROR(BDP("/isin/"&amp;$A10,"CPN"),"")</f>
        <v/>
      </c>
      <c r="E10" s="9">
        <f>IFERROR(BDP("/isin/"&amp;$A10,"MATURITY"),"")</f>
        <v/>
      </c>
      <c r="F10" s="9">
        <f>IFERROR(BDP("/isin/"&amp;$A10,"ISSUE_DT"),"")</f>
        <v/>
      </c>
      <c r="G10" s="22">
        <f>IFERROR(IF(E10="","",(E10-TODAY())/365.25),"")</f>
        <v/>
      </c>
      <c r="H10" s="23">
        <f>IFERROR(BDP("/isin/"&amp;$A10,"AMT_OUTSTANDING")/1000000,"")</f>
        <v/>
      </c>
      <c r="I10" s="10">
        <f>IFERROR(BDP("/isin/"&amp;$A10,"CRNCY"),"")</f>
        <v/>
      </c>
      <c r="J10" s="10">
        <f>IFERROR(BDP("/isin/"&amp;$A10,"CNTRY_OF_RISK"),"")</f>
        <v/>
      </c>
      <c r="K10" s="10">
        <f>IFERROR(BDP("/isin/"&amp;$A10,"RTG_SP_LT_FC"),"")</f>
        <v/>
      </c>
      <c r="L10" s="10">
        <f>IFERROR(BDP("/isin/"&amp;$A10,"RTG_MDY_LONG_TERM"),"")</f>
        <v/>
      </c>
      <c r="M10" s="10">
        <f>IFERROR(BDP("/isin/"&amp;$A10,"RTG_FITCH_LT_LC_DEBT"),"")</f>
        <v/>
      </c>
      <c r="N10" s="10">
        <f>IFERROR(BDP("/isin/"&amp;$A10,"BB_COMPOSITE"),"")</f>
        <v/>
      </c>
      <c r="O10" s="10">
        <f>IFERROR(BDP("/isin/"&amp;$A10,"DAY_CNT_DES"),"")</f>
        <v/>
      </c>
      <c r="P10" s="21">
        <f>IFERROR(BDP("/isin/"&amp;$A10,"CPN_FREQ"),"")</f>
        <v/>
      </c>
      <c r="Q10" s="10">
        <f>IFERROR(BDP("/isin/"&amp;$A10,"CALLABLE"),"")</f>
        <v/>
      </c>
      <c r="R10" s="8" t="n"/>
    </row>
    <row r="11">
      <c r="A11" s="8" t="n"/>
      <c r="B11" s="10">
        <f>IFERROR(BDP("/isin/"&amp;$A11,"TICKER"),"")</f>
        <v/>
      </c>
      <c r="C11" s="10">
        <f>IFERROR(BDP("/isin/"&amp;$A11,"SECURITY_DES"),"")</f>
        <v/>
      </c>
      <c r="D11" s="21">
        <f>IFERROR(BDP("/isin/"&amp;$A11,"CPN"),"")</f>
        <v/>
      </c>
      <c r="E11" s="9">
        <f>IFERROR(BDP("/isin/"&amp;$A11,"MATURITY"),"")</f>
        <v/>
      </c>
      <c r="F11" s="9">
        <f>IFERROR(BDP("/isin/"&amp;$A11,"ISSUE_DT"),"")</f>
        <v/>
      </c>
      <c r="G11" s="22">
        <f>IFERROR(IF(E11="","",(E11-TODAY())/365.25),"")</f>
        <v/>
      </c>
      <c r="H11" s="23">
        <f>IFERROR(BDP("/isin/"&amp;$A11,"AMT_OUTSTANDING")/1000000,"")</f>
        <v/>
      </c>
      <c r="I11" s="10">
        <f>IFERROR(BDP("/isin/"&amp;$A11,"CRNCY"),"")</f>
        <v/>
      </c>
      <c r="J11" s="10">
        <f>IFERROR(BDP("/isin/"&amp;$A11,"CNTRY_OF_RISK"),"")</f>
        <v/>
      </c>
      <c r="K11" s="10">
        <f>IFERROR(BDP("/isin/"&amp;$A11,"RTG_SP_LT_FC"),"")</f>
        <v/>
      </c>
      <c r="L11" s="10">
        <f>IFERROR(BDP("/isin/"&amp;$A11,"RTG_MDY_LONG_TERM"),"")</f>
        <v/>
      </c>
      <c r="M11" s="10">
        <f>IFERROR(BDP("/isin/"&amp;$A11,"RTG_FITCH_LT_LC_DEBT"),"")</f>
        <v/>
      </c>
      <c r="N11" s="10">
        <f>IFERROR(BDP("/isin/"&amp;$A11,"BB_COMPOSITE"),"")</f>
        <v/>
      </c>
      <c r="O11" s="10">
        <f>IFERROR(BDP("/isin/"&amp;$A11,"DAY_CNT_DES"),"")</f>
        <v/>
      </c>
      <c r="P11" s="21">
        <f>IFERROR(BDP("/isin/"&amp;$A11,"CPN_FREQ"),"")</f>
        <v/>
      </c>
      <c r="Q11" s="10">
        <f>IFERROR(BDP("/isin/"&amp;$A11,"CALLABLE"),"")</f>
        <v/>
      </c>
      <c r="R11" s="8" t="n"/>
    </row>
    <row r="12">
      <c r="A12" s="8" t="n"/>
      <c r="B12" s="10">
        <f>IFERROR(BDP("/isin/"&amp;$A12,"TICKER"),"")</f>
        <v/>
      </c>
      <c r="C12" s="10">
        <f>IFERROR(BDP("/isin/"&amp;$A12,"SECURITY_DES"),"")</f>
        <v/>
      </c>
      <c r="D12" s="21">
        <f>IFERROR(BDP("/isin/"&amp;$A12,"CPN"),"")</f>
        <v/>
      </c>
      <c r="E12" s="9">
        <f>IFERROR(BDP("/isin/"&amp;$A12,"MATURITY"),"")</f>
        <v/>
      </c>
      <c r="F12" s="9">
        <f>IFERROR(BDP("/isin/"&amp;$A12,"ISSUE_DT"),"")</f>
        <v/>
      </c>
      <c r="G12" s="22">
        <f>IFERROR(IF(E12="","",(E12-TODAY())/365.25),"")</f>
        <v/>
      </c>
      <c r="H12" s="23">
        <f>IFERROR(BDP("/isin/"&amp;$A12,"AMT_OUTSTANDING")/1000000,"")</f>
        <v/>
      </c>
      <c r="I12" s="10">
        <f>IFERROR(BDP("/isin/"&amp;$A12,"CRNCY"),"")</f>
        <v/>
      </c>
      <c r="J12" s="10">
        <f>IFERROR(BDP("/isin/"&amp;$A12,"CNTRY_OF_RISK"),"")</f>
        <v/>
      </c>
      <c r="K12" s="10">
        <f>IFERROR(BDP("/isin/"&amp;$A12,"RTG_SP_LT_FC"),"")</f>
        <v/>
      </c>
      <c r="L12" s="10">
        <f>IFERROR(BDP("/isin/"&amp;$A12,"RTG_MDY_LONG_TERM"),"")</f>
        <v/>
      </c>
      <c r="M12" s="10">
        <f>IFERROR(BDP("/isin/"&amp;$A12,"RTG_FITCH_LT_LC_DEBT"),"")</f>
        <v/>
      </c>
      <c r="N12" s="10">
        <f>IFERROR(BDP("/isin/"&amp;$A12,"BB_COMPOSITE"),"")</f>
        <v/>
      </c>
      <c r="O12" s="10">
        <f>IFERROR(BDP("/isin/"&amp;$A12,"DAY_CNT_DES"),"")</f>
        <v/>
      </c>
      <c r="P12" s="21">
        <f>IFERROR(BDP("/isin/"&amp;$A12,"CPN_FREQ"),"")</f>
        <v/>
      </c>
      <c r="Q12" s="10">
        <f>IFERROR(BDP("/isin/"&amp;$A12,"CALLABLE"),"")</f>
        <v/>
      </c>
      <c r="R12" s="8" t="n"/>
    </row>
    <row r="13">
      <c r="A13" s="8" t="n"/>
      <c r="B13" s="10">
        <f>IFERROR(BDP("/isin/"&amp;$A13,"TICKER"),"")</f>
        <v/>
      </c>
      <c r="C13" s="10">
        <f>IFERROR(BDP("/isin/"&amp;$A13,"SECURITY_DES"),"")</f>
        <v/>
      </c>
      <c r="D13" s="21">
        <f>IFERROR(BDP("/isin/"&amp;$A13,"CPN"),"")</f>
        <v/>
      </c>
      <c r="E13" s="9">
        <f>IFERROR(BDP("/isin/"&amp;$A13,"MATURITY"),"")</f>
        <v/>
      </c>
      <c r="F13" s="9">
        <f>IFERROR(BDP("/isin/"&amp;$A13,"ISSUE_DT"),"")</f>
        <v/>
      </c>
      <c r="G13" s="22">
        <f>IFERROR(IF(E13="","",(E13-TODAY())/365.25),"")</f>
        <v/>
      </c>
      <c r="H13" s="23">
        <f>IFERROR(BDP("/isin/"&amp;$A13,"AMT_OUTSTANDING")/1000000,"")</f>
        <v/>
      </c>
      <c r="I13" s="10">
        <f>IFERROR(BDP("/isin/"&amp;$A13,"CRNCY"),"")</f>
        <v/>
      </c>
      <c r="J13" s="10">
        <f>IFERROR(BDP("/isin/"&amp;$A13,"CNTRY_OF_RISK"),"")</f>
        <v/>
      </c>
      <c r="K13" s="10">
        <f>IFERROR(BDP("/isin/"&amp;$A13,"RTG_SP_LT_FC"),"")</f>
        <v/>
      </c>
      <c r="L13" s="10">
        <f>IFERROR(BDP("/isin/"&amp;$A13,"RTG_MDY_LONG_TERM"),"")</f>
        <v/>
      </c>
      <c r="M13" s="10">
        <f>IFERROR(BDP("/isin/"&amp;$A13,"RTG_FITCH_LT_LC_DEBT"),"")</f>
        <v/>
      </c>
      <c r="N13" s="10">
        <f>IFERROR(BDP("/isin/"&amp;$A13,"BB_COMPOSITE"),"")</f>
        <v/>
      </c>
      <c r="O13" s="10">
        <f>IFERROR(BDP("/isin/"&amp;$A13,"DAY_CNT_DES"),"")</f>
        <v/>
      </c>
      <c r="P13" s="21">
        <f>IFERROR(BDP("/isin/"&amp;$A13,"CPN_FREQ"),"")</f>
        <v/>
      </c>
      <c r="Q13" s="10">
        <f>IFERROR(BDP("/isin/"&amp;$A13,"CALLABLE"),"")</f>
        <v/>
      </c>
      <c r="R13" s="8" t="n"/>
    </row>
    <row r="14">
      <c r="A14" s="8" t="n"/>
      <c r="B14" s="10">
        <f>IFERROR(BDP("/isin/"&amp;$A14,"TICKER"),"")</f>
        <v/>
      </c>
      <c r="C14" s="10">
        <f>IFERROR(BDP("/isin/"&amp;$A14,"SECURITY_DES"),"")</f>
        <v/>
      </c>
      <c r="D14" s="21">
        <f>IFERROR(BDP("/isin/"&amp;$A14,"CPN"),"")</f>
        <v/>
      </c>
      <c r="E14" s="9">
        <f>IFERROR(BDP("/isin/"&amp;$A14,"MATURITY"),"")</f>
        <v/>
      </c>
      <c r="F14" s="9">
        <f>IFERROR(BDP("/isin/"&amp;$A14,"ISSUE_DT"),"")</f>
        <v/>
      </c>
      <c r="G14" s="22">
        <f>IFERROR(IF(E14="","",(E14-TODAY())/365.25),"")</f>
        <v/>
      </c>
      <c r="H14" s="23">
        <f>IFERROR(BDP("/isin/"&amp;$A14,"AMT_OUTSTANDING")/1000000,"")</f>
        <v/>
      </c>
      <c r="I14" s="10">
        <f>IFERROR(BDP("/isin/"&amp;$A14,"CRNCY"),"")</f>
        <v/>
      </c>
      <c r="J14" s="10">
        <f>IFERROR(BDP("/isin/"&amp;$A14,"CNTRY_OF_RISK"),"")</f>
        <v/>
      </c>
      <c r="K14" s="10">
        <f>IFERROR(BDP("/isin/"&amp;$A14,"RTG_SP_LT_FC"),"")</f>
        <v/>
      </c>
      <c r="L14" s="10">
        <f>IFERROR(BDP("/isin/"&amp;$A14,"RTG_MDY_LONG_TERM"),"")</f>
        <v/>
      </c>
      <c r="M14" s="10">
        <f>IFERROR(BDP("/isin/"&amp;$A14,"RTG_FITCH_LT_LC_DEBT"),"")</f>
        <v/>
      </c>
      <c r="N14" s="10">
        <f>IFERROR(BDP("/isin/"&amp;$A14,"BB_COMPOSITE"),"")</f>
        <v/>
      </c>
      <c r="O14" s="10">
        <f>IFERROR(BDP("/isin/"&amp;$A14,"DAY_CNT_DES"),"")</f>
        <v/>
      </c>
      <c r="P14" s="21">
        <f>IFERROR(BDP("/isin/"&amp;$A14,"CPN_FREQ"),"")</f>
        <v/>
      </c>
      <c r="Q14" s="10">
        <f>IFERROR(BDP("/isin/"&amp;$A14,"CALLABLE"),"")</f>
        <v/>
      </c>
      <c r="R14" s="8" t="n"/>
    </row>
    <row r="15">
      <c r="A15" s="8" t="n"/>
      <c r="B15" s="10">
        <f>IFERROR(BDP("/isin/"&amp;$A15,"TICKER"),"")</f>
        <v/>
      </c>
      <c r="C15" s="10">
        <f>IFERROR(BDP("/isin/"&amp;$A15,"SECURITY_DES"),"")</f>
        <v/>
      </c>
      <c r="D15" s="21">
        <f>IFERROR(BDP("/isin/"&amp;$A15,"CPN"),"")</f>
        <v/>
      </c>
      <c r="E15" s="9">
        <f>IFERROR(BDP("/isin/"&amp;$A15,"MATURITY"),"")</f>
        <v/>
      </c>
      <c r="F15" s="9">
        <f>IFERROR(BDP("/isin/"&amp;$A15,"ISSUE_DT"),"")</f>
        <v/>
      </c>
      <c r="G15" s="22">
        <f>IFERROR(IF(E15="","",(E15-TODAY())/365.25),"")</f>
        <v/>
      </c>
      <c r="H15" s="23">
        <f>IFERROR(BDP("/isin/"&amp;$A15,"AMT_OUTSTANDING")/1000000,"")</f>
        <v/>
      </c>
      <c r="I15" s="10">
        <f>IFERROR(BDP("/isin/"&amp;$A15,"CRNCY"),"")</f>
        <v/>
      </c>
      <c r="J15" s="10">
        <f>IFERROR(BDP("/isin/"&amp;$A15,"CNTRY_OF_RISK"),"")</f>
        <v/>
      </c>
      <c r="K15" s="10">
        <f>IFERROR(BDP("/isin/"&amp;$A15,"RTG_SP_LT_FC"),"")</f>
        <v/>
      </c>
      <c r="L15" s="10">
        <f>IFERROR(BDP("/isin/"&amp;$A15,"RTG_MDY_LONG_TERM"),"")</f>
        <v/>
      </c>
      <c r="M15" s="10">
        <f>IFERROR(BDP("/isin/"&amp;$A15,"RTG_FITCH_LT_LC_DEBT"),"")</f>
        <v/>
      </c>
      <c r="N15" s="10">
        <f>IFERROR(BDP("/isin/"&amp;$A15,"BB_COMPOSITE"),"")</f>
        <v/>
      </c>
      <c r="O15" s="10">
        <f>IFERROR(BDP("/isin/"&amp;$A15,"DAY_CNT_DES"),"")</f>
        <v/>
      </c>
      <c r="P15" s="21">
        <f>IFERROR(BDP("/isin/"&amp;$A15,"CPN_FREQ"),"")</f>
        <v/>
      </c>
      <c r="Q15" s="10">
        <f>IFERROR(BDP("/isin/"&amp;$A15,"CALLABLE"),"")</f>
        <v/>
      </c>
      <c r="R15" s="8" t="n"/>
    </row>
    <row r="16">
      <c r="A16" s="8" t="n"/>
      <c r="B16" s="10">
        <f>IFERROR(BDP("/isin/"&amp;$A16,"TICKER"),"")</f>
        <v/>
      </c>
      <c r="C16" s="10">
        <f>IFERROR(BDP("/isin/"&amp;$A16,"SECURITY_DES"),"")</f>
        <v/>
      </c>
      <c r="D16" s="21">
        <f>IFERROR(BDP("/isin/"&amp;$A16,"CPN"),"")</f>
        <v/>
      </c>
      <c r="E16" s="9">
        <f>IFERROR(BDP("/isin/"&amp;$A16,"MATURITY"),"")</f>
        <v/>
      </c>
      <c r="F16" s="9">
        <f>IFERROR(BDP("/isin/"&amp;$A16,"ISSUE_DT"),"")</f>
        <v/>
      </c>
      <c r="G16" s="22">
        <f>IFERROR(IF(E16="","",(E16-TODAY())/365.25),"")</f>
        <v/>
      </c>
      <c r="H16" s="23">
        <f>IFERROR(BDP("/isin/"&amp;$A16,"AMT_OUTSTANDING")/1000000,"")</f>
        <v/>
      </c>
      <c r="I16" s="10">
        <f>IFERROR(BDP("/isin/"&amp;$A16,"CRNCY"),"")</f>
        <v/>
      </c>
      <c r="J16" s="10">
        <f>IFERROR(BDP("/isin/"&amp;$A16,"CNTRY_OF_RISK"),"")</f>
        <v/>
      </c>
      <c r="K16" s="10">
        <f>IFERROR(BDP("/isin/"&amp;$A16,"RTG_SP_LT_FC"),"")</f>
        <v/>
      </c>
      <c r="L16" s="10">
        <f>IFERROR(BDP("/isin/"&amp;$A16,"RTG_MDY_LONG_TERM"),"")</f>
        <v/>
      </c>
      <c r="M16" s="10">
        <f>IFERROR(BDP("/isin/"&amp;$A16,"RTG_FITCH_LT_LC_DEBT"),"")</f>
        <v/>
      </c>
      <c r="N16" s="10">
        <f>IFERROR(BDP("/isin/"&amp;$A16,"BB_COMPOSITE"),"")</f>
        <v/>
      </c>
      <c r="O16" s="10">
        <f>IFERROR(BDP("/isin/"&amp;$A16,"DAY_CNT_DES"),"")</f>
        <v/>
      </c>
      <c r="P16" s="21">
        <f>IFERROR(BDP("/isin/"&amp;$A16,"CPN_FREQ"),"")</f>
        <v/>
      </c>
      <c r="Q16" s="10">
        <f>IFERROR(BDP("/isin/"&amp;$A16,"CALLABLE"),"")</f>
        <v/>
      </c>
      <c r="R16" s="8" t="n"/>
    </row>
    <row r="17">
      <c r="A17" s="8" t="n"/>
      <c r="B17" s="10">
        <f>IFERROR(BDP("/isin/"&amp;$A17,"TICKER"),"")</f>
        <v/>
      </c>
      <c r="C17" s="10">
        <f>IFERROR(BDP("/isin/"&amp;$A17,"SECURITY_DES"),"")</f>
        <v/>
      </c>
      <c r="D17" s="21">
        <f>IFERROR(BDP("/isin/"&amp;$A17,"CPN"),"")</f>
        <v/>
      </c>
      <c r="E17" s="9">
        <f>IFERROR(BDP("/isin/"&amp;$A17,"MATURITY"),"")</f>
        <v/>
      </c>
      <c r="F17" s="9">
        <f>IFERROR(BDP("/isin/"&amp;$A17,"ISSUE_DT"),"")</f>
        <v/>
      </c>
      <c r="G17" s="22">
        <f>IFERROR(IF(E17="","",(E17-TODAY())/365.25),"")</f>
        <v/>
      </c>
      <c r="H17" s="23">
        <f>IFERROR(BDP("/isin/"&amp;$A17,"AMT_OUTSTANDING")/1000000,"")</f>
        <v/>
      </c>
      <c r="I17" s="10">
        <f>IFERROR(BDP("/isin/"&amp;$A17,"CRNCY"),"")</f>
        <v/>
      </c>
      <c r="J17" s="10">
        <f>IFERROR(BDP("/isin/"&amp;$A17,"CNTRY_OF_RISK"),"")</f>
        <v/>
      </c>
      <c r="K17" s="10">
        <f>IFERROR(BDP("/isin/"&amp;$A17,"RTG_SP_LT_FC"),"")</f>
        <v/>
      </c>
      <c r="L17" s="10">
        <f>IFERROR(BDP("/isin/"&amp;$A17,"RTG_MDY_LONG_TERM"),"")</f>
        <v/>
      </c>
      <c r="M17" s="10">
        <f>IFERROR(BDP("/isin/"&amp;$A17,"RTG_FITCH_LT_LC_DEBT"),"")</f>
        <v/>
      </c>
      <c r="N17" s="10">
        <f>IFERROR(BDP("/isin/"&amp;$A17,"BB_COMPOSITE"),"")</f>
        <v/>
      </c>
      <c r="O17" s="10">
        <f>IFERROR(BDP("/isin/"&amp;$A17,"DAY_CNT_DES"),"")</f>
        <v/>
      </c>
      <c r="P17" s="21">
        <f>IFERROR(BDP("/isin/"&amp;$A17,"CPN_FREQ"),"")</f>
        <v/>
      </c>
      <c r="Q17" s="10">
        <f>IFERROR(BDP("/isin/"&amp;$A17,"CALLABLE"),"")</f>
        <v/>
      </c>
      <c r="R17" s="8" t="n"/>
    </row>
    <row r="18">
      <c r="A18" s="8" t="n"/>
      <c r="B18" s="10">
        <f>IFERROR(BDP("/isin/"&amp;$A18,"TICKER"),"")</f>
        <v/>
      </c>
      <c r="C18" s="10">
        <f>IFERROR(BDP("/isin/"&amp;$A18,"SECURITY_DES"),"")</f>
        <v/>
      </c>
      <c r="D18" s="21">
        <f>IFERROR(BDP("/isin/"&amp;$A18,"CPN"),"")</f>
        <v/>
      </c>
      <c r="E18" s="9">
        <f>IFERROR(BDP("/isin/"&amp;$A18,"MATURITY"),"")</f>
        <v/>
      </c>
      <c r="F18" s="9">
        <f>IFERROR(BDP("/isin/"&amp;$A18,"ISSUE_DT"),"")</f>
        <v/>
      </c>
      <c r="G18" s="22">
        <f>IFERROR(IF(E18="","",(E18-TODAY())/365.25),"")</f>
        <v/>
      </c>
      <c r="H18" s="23">
        <f>IFERROR(BDP("/isin/"&amp;$A18,"AMT_OUTSTANDING")/1000000,"")</f>
        <v/>
      </c>
      <c r="I18" s="10">
        <f>IFERROR(BDP("/isin/"&amp;$A18,"CRNCY"),"")</f>
        <v/>
      </c>
      <c r="J18" s="10">
        <f>IFERROR(BDP("/isin/"&amp;$A18,"CNTRY_OF_RISK"),"")</f>
        <v/>
      </c>
      <c r="K18" s="10">
        <f>IFERROR(BDP("/isin/"&amp;$A18,"RTG_SP_LT_FC"),"")</f>
        <v/>
      </c>
      <c r="L18" s="10">
        <f>IFERROR(BDP("/isin/"&amp;$A18,"RTG_MDY_LONG_TERM"),"")</f>
        <v/>
      </c>
      <c r="M18" s="10">
        <f>IFERROR(BDP("/isin/"&amp;$A18,"RTG_FITCH_LT_LC_DEBT"),"")</f>
        <v/>
      </c>
      <c r="N18" s="10">
        <f>IFERROR(BDP("/isin/"&amp;$A18,"BB_COMPOSITE"),"")</f>
        <v/>
      </c>
      <c r="O18" s="10">
        <f>IFERROR(BDP("/isin/"&amp;$A18,"DAY_CNT_DES"),"")</f>
        <v/>
      </c>
      <c r="P18" s="21">
        <f>IFERROR(BDP("/isin/"&amp;$A18,"CPN_FREQ"),"")</f>
        <v/>
      </c>
      <c r="Q18" s="10">
        <f>IFERROR(BDP("/isin/"&amp;$A18,"CALLABLE"),"")</f>
        <v/>
      </c>
      <c r="R18" s="8" t="n"/>
    </row>
    <row r="19">
      <c r="A19" s="8" t="n"/>
      <c r="B19" s="10">
        <f>IFERROR(BDP("/isin/"&amp;$A19,"TICKER"),"")</f>
        <v/>
      </c>
      <c r="C19" s="10">
        <f>IFERROR(BDP("/isin/"&amp;$A19,"SECURITY_DES"),"")</f>
        <v/>
      </c>
      <c r="D19" s="21">
        <f>IFERROR(BDP("/isin/"&amp;$A19,"CPN"),"")</f>
        <v/>
      </c>
      <c r="E19" s="9">
        <f>IFERROR(BDP("/isin/"&amp;$A19,"MATURITY"),"")</f>
        <v/>
      </c>
      <c r="F19" s="9">
        <f>IFERROR(BDP("/isin/"&amp;$A19,"ISSUE_DT"),"")</f>
        <v/>
      </c>
      <c r="G19" s="22">
        <f>IFERROR(IF(E19="","",(E19-TODAY())/365.25),"")</f>
        <v/>
      </c>
      <c r="H19" s="23">
        <f>IFERROR(BDP("/isin/"&amp;$A19,"AMT_OUTSTANDING")/1000000,"")</f>
        <v/>
      </c>
      <c r="I19" s="10">
        <f>IFERROR(BDP("/isin/"&amp;$A19,"CRNCY"),"")</f>
        <v/>
      </c>
      <c r="J19" s="10">
        <f>IFERROR(BDP("/isin/"&amp;$A19,"CNTRY_OF_RISK"),"")</f>
        <v/>
      </c>
      <c r="K19" s="10">
        <f>IFERROR(BDP("/isin/"&amp;$A19,"RTG_SP_LT_FC"),"")</f>
        <v/>
      </c>
      <c r="L19" s="10">
        <f>IFERROR(BDP("/isin/"&amp;$A19,"RTG_MDY_LONG_TERM"),"")</f>
        <v/>
      </c>
      <c r="M19" s="10">
        <f>IFERROR(BDP("/isin/"&amp;$A19,"RTG_FITCH_LT_LC_DEBT"),"")</f>
        <v/>
      </c>
      <c r="N19" s="10">
        <f>IFERROR(BDP("/isin/"&amp;$A19,"BB_COMPOSITE"),"")</f>
        <v/>
      </c>
      <c r="O19" s="10">
        <f>IFERROR(BDP("/isin/"&amp;$A19,"DAY_CNT_DES"),"")</f>
        <v/>
      </c>
      <c r="P19" s="21">
        <f>IFERROR(BDP("/isin/"&amp;$A19,"CPN_FREQ"),"")</f>
        <v/>
      </c>
      <c r="Q19" s="10">
        <f>IFERROR(BDP("/isin/"&amp;$A19,"CALLABLE"),"")</f>
        <v/>
      </c>
      <c r="R19" s="8" t="n"/>
    </row>
    <row r="20">
      <c r="A20" s="8" t="n"/>
      <c r="B20" s="10">
        <f>IFERROR(BDP("/isin/"&amp;$A20,"TICKER"),"")</f>
        <v/>
      </c>
      <c r="C20" s="10">
        <f>IFERROR(BDP("/isin/"&amp;$A20,"SECURITY_DES"),"")</f>
        <v/>
      </c>
      <c r="D20" s="21">
        <f>IFERROR(BDP("/isin/"&amp;$A20,"CPN"),"")</f>
        <v/>
      </c>
      <c r="E20" s="9">
        <f>IFERROR(BDP("/isin/"&amp;$A20,"MATURITY"),"")</f>
        <v/>
      </c>
      <c r="F20" s="9">
        <f>IFERROR(BDP("/isin/"&amp;$A20,"ISSUE_DT"),"")</f>
        <v/>
      </c>
      <c r="G20" s="22">
        <f>IFERROR(IF(E20="","",(E20-TODAY())/365.25),"")</f>
        <v/>
      </c>
      <c r="H20" s="23">
        <f>IFERROR(BDP("/isin/"&amp;$A20,"AMT_OUTSTANDING")/1000000,"")</f>
        <v/>
      </c>
      <c r="I20" s="10">
        <f>IFERROR(BDP("/isin/"&amp;$A20,"CRNCY"),"")</f>
        <v/>
      </c>
      <c r="J20" s="10">
        <f>IFERROR(BDP("/isin/"&amp;$A20,"CNTRY_OF_RISK"),"")</f>
        <v/>
      </c>
      <c r="K20" s="10">
        <f>IFERROR(BDP("/isin/"&amp;$A20,"RTG_SP_LT_FC"),"")</f>
        <v/>
      </c>
      <c r="L20" s="10">
        <f>IFERROR(BDP("/isin/"&amp;$A20,"RTG_MDY_LONG_TERM"),"")</f>
        <v/>
      </c>
      <c r="M20" s="10">
        <f>IFERROR(BDP("/isin/"&amp;$A20,"RTG_FITCH_LT_LC_DEBT"),"")</f>
        <v/>
      </c>
      <c r="N20" s="10">
        <f>IFERROR(BDP("/isin/"&amp;$A20,"BB_COMPOSITE"),"")</f>
        <v/>
      </c>
      <c r="O20" s="10">
        <f>IFERROR(BDP("/isin/"&amp;$A20,"DAY_CNT_DES"),"")</f>
        <v/>
      </c>
      <c r="P20" s="21">
        <f>IFERROR(BDP("/isin/"&amp;$A20,"CPN_FREQ"),"")</f>
        <v/>
      </c>
      <c r="Q20" s="10">
        <f>IFERROR(BDP("/isin/"&amp;$A20,"CALLABLE"),"")</f>
        <v/>
      </c>
      <c r="R20" s="8" t="n"/>
    </row>
    <row r="21">
      <c r="A21" s="8" t="n"/>
      <c r="B21" s="10">
        <f>IFERROR(BDP("/isin/"&amp;$A21,"TICKER"),"")</f>
        <v/>
      </c>
      <c r="C21" s="10">
        <f>IFERROR(BDP("/isin/"&amp;$A21,"SECURITY_DES"),"")</f>
        <v/>
      </c>
      <c r="D21" s="21">
        <f>IFERROR(BDP("/isin/"&amp;$A21,"CPN"),"")</f>
        <v/>
      </c>
      <c r="E21" s="9">
        <f>IFERROR(BDP("/isin/"&amp;$A21,"MATURITY"),"")</f>
        <v/>
      </c>
      <c r="F21" s="9">
        <f>IFERROR(BDP("/isin/"&amp;$A21,"ISSUE_DT"),"")</f>
        <v/>
      </c>
      <c r="G21" s="22">
        <f>IFERROR(IF(E21="","",(E21-TODAY())/365.25),"")</f>
        <v/>
      </c>
      <c r="H21" s="23">
        <f>IFERROR(BDP("/isin/"&amp;$A21,"AMT_OUTSTANDING")/1000000,"")</f>
        <v/>
      </c>
      <c r="I21" s="10">
        <f>IFERROR(BDP("/isin/"&amp;$A21,"CRNCY"),"")</f>
        <v/>
      </c>
      <c r="J21" s="10">
        <f>IFERROR(BDP("/isin/"&amp;$A21,"CNTRY_OF_RISK"),"")</f>
        <v/>
      </c>
      <c r="K21" s="10">
        <f>IFERROR(BDP("/isin/"&amp;$A21,"RTG_SP_LT_FC"),"")</f>
        <v/>
      </c>
      <c r="L21" s="10">
        <f>IFERROR(BDP("/isin/"&amp;$A21,"RTG_MDY_LONG_TERM"),"")</f>
        <v/>
      </c>
      <c r="M21" s="10">
        <f>IFERROR(BDP("/isin/"&amp;$A21,"RTG_FITCH_LT_LC_DEBT"),"")</f>
        <v/>
      </c>
      <c r="N21" s="10">
        <f>IFERROR(BDP("/isin/"&amp;$A21,"BB_COMPOSITE"),"")</f>
        <v/>
      </c>
      <c r="O21" s="10">
        <f>IFERROR(BDP("/isin/"&amp;$A21,"DAY_CNT_DES"),"")</f>
        <v/>
      </c>
      <c r="P21" s="21">
        <f>IFERROR(BDP("/isin/"&amp;$A21,"CPN_FREQ"),"")</f>
        <v/>
      </c>
      <c r="Q21" s="10">
        <f>IFERROR(BDP("/isin/"&amp;$A21,"CALLABLE"),"")</f>
        <v/>
      </c>
      <c r="R21" s="8" t="n"/>
    </row>
    <row r="22">
      <c r="A22" s="8" t="n"/>
      <c r="B22" s="10">
        <f>IFERROR(BDP("/isin/"&amp;$A22,"TICKER"),"")</f>
        <v/>
      </c>
      <c r="C22" s="10">
        <f>IFERROR(BDP("/isin/"&amp;$A22,"SECURITY_DES"),"")</f>
        <v/>
      </c>
      <c r="D22" s="21">
        <f>IFERROR(BDP("/isin/"&amp;$A22,"CPN"),"")</f>
        <v/>
      </c>
      <c r="E22" s="9">
        <f>IFERROR(BDP("/isin/"&amp;$A22,"MATURITY"),"")</f>
        <v/>
      </c>
      <c r="F22" s="9">
        <f>IFERROR(BDP("/isin/"&amp;$A22,"ISSUE_DT"),"")</f>
        <v/>
      </c>
      <c r="G22" s="22">
        <f>IFERROR(IF(E22="","",(E22-TODAY())/365.25),"")</f>
        <v/>
      </c>
      <c r="H22" s="23">
        <f>IFERROR(BDP("/isin/"&amp;$A22,"AMT_OUTSTANDING")/1000000,"")</f>
        <v/>
      </c>
      <c r="I22" s="10">
        <f>IFERROR(BDP("/isin/"&amp;$A22,"CRNCY"),"")</f>
        <v/>
      </c>
      <c r="J22" s="10">
        <f>IFERROR(BDP("/isin/"&amp;$A22,"CNTRY_OF_RISK"),"")</f>
        <v/>
      </c>
      <c r="K22" s="10">
        <f>IFERROR(BDP("/isin/"&amp;$A22,"RTG_SP_LT_FC"),"")</f>
        <v/>
      </c>
      <c r="L22" s="10">
        <f>IFERROR(BDP("/isin/"&amp;$A22,"RTG_MDY_LONG_TERM"),"")</f>
        <v/>
      </c>
      <c r="M22" s="10">
        <f>IFERROR(BDP("/isin/"&amp;$A22,"RTG_FITCH_LT_LC_DEBT"),"")</f>
        <v/>
      </c>
      <c r="N22" s="10">
        <f>IFERROR(BDP("/isin/"&amp;$A22,"BB_COMPOSITE"),"")</f>
        <v/>
      </c>
      <c r="O22" s="10">
        <f>IFERROR(BDP("/isin/"&amp;$A22,"DAY_CNT_DES"),"")</f>
        <v/>
      </c>
      <c r="P22" s="21">
        <f>IFERROR(BDP("/isin/"&amp;$A22,"CPN_FREQ"),"")</f>
        <v/>
      </c>
      <c r="Q22" s="10">
        <f>IFERROR(BDP("/isin/"&amp;$A22,"CALLABLE"),"")</f>
        <v/>
      </c>
      <c r="R22" s="8" t="n"/>
    </row>
    <row r="23">
      <c r="A23" s="8" t="n"/>
      <c r="B23" s="10">
        <f>IFERROR(BDP("/isin/"&amp;$A23,"TICKER"),"")</f>
        <v/>
      </c>
      <c r="C23" s="10">
        <f>IFERROR(BDP("/isin/"&amp;$A23,"SECURITY_DES"),"")</f>
        <v/>
      </c>
      <c r="D23" s="21">
        <f>IFERROR(BDP("/isin/"&amp;$A23,"CPN"),"")</f>
        <v/>
      </c>
      <c r="E23" s="9">
        <f>IFERROR(BDP("/isin/"&amp;$A23,"MATURITY"),"")</f>
        <v/>
      </c>
      <c r="F23" s="9">
        <f>IFERROR(BDP("/isin/"&amp;$A23,"ISSUE_DT"),"")</f>
        <v/>
      </c>
      <c r="G23" s="22">
        <f>IFERROR(IF(E23="","",(E23-TODAY())/365.25),"")</f>
        <v/>
      </c>
      <c r="H23" s="23">
        <f>IFERROR(BDP("/isin/"&amp;$A23,"AMT_OUTSTANDING")/1000000,"")</f>
        <v/>
      </c>
      <c r="I23" s="10">
        <f>IFERROR(BDP("/isin/"&amp;$A23,"CRNCY"),"")</f>
        <v/>
      </c>
      <c r="J23" s="10">
        <f>IFERROR(BDP("/isin/"&amp;$A23,"CNTRY_OF_RISK"),"")</f>
        <v/>
      </c>
      <c r="K23" s="10">
        <f>IFERROR(BDP("/isin/"&amp;$A23,"RTG_SP_LT_FC"),"")</f>
        <v/>
      </c>
      <c r="L23" s="10">
        <f>IFERROR(BDP("/isin/"&amp;$A23,"RTG_MDY_LONG_TERM"),"")</f>
        <v/>
      </c>
      <c r="M23" s="10">
        <f>IFERROR(BDP("/isin/"&amp;$A23,"RTG_FITCH_LT_LC_DEBT"),"")</f>
        <v/>
      </c>
      <c r="N23" s="10">
        <f>IFERROR(BDP("/isin/"&amp;$A23,"BB_COMPOSITE"),"")</f>
        <v/>
      </c>
      <c r="O23" s="10">
        <f>IFERROR(BDP("/isin/"&amp;$A23,"DAY_CNT_DES"),"")</f>
        <v/>
      </c>
      <c r="P23" s="21">
        <f>IFERROR(BDP("/isin/"&amp;$A23,"CPN_FREQ"),"")</f>
        <v/>
      </c>
      <c r="Q23" s="10">
        <f>IFERROR(BDP("/isin/"&amp;$A23,"CALLABLE"),"")</f>
        <v/>
      </c>
      <c r="R23" s="8" t="n"/>
    </row>
    <row r="24">
      <c r="A24" s="8" t="n"/>
      <c r="B24" s="10">
        <f>IFERROR(BDP("/isin/"&amp;$A24,"TICKER"),"")</f>
        <v/>
      </c>
      <c r="C24" s="10">
        <f>IFERROR(BDP("/isin/"&amp;$A24,"SECURITY_DES"),"")</f>
        <v/>
      </c>
      <c r="D24" s="21">
        <f>IFERROR(BDP("/isin/"&amp;$A24,"CPN"),"")</f>
        <v/>
      </c>
      <c r="E24" s="9">
        <f>IFERROR(BDP("/isin/"&amp;$A24,"MATURITY"),"")</f>
        <v/>
      </c>
      <c r="F24" s="9">
        <f>IFERROR(BDP("/isin/"&amp;$A24,"ISSUE_DT"),"")</f>
        <v/>
      </c>
      <c r="G24" s="22">
        <f>IFERROR(IF(E24="","",(E24-TODAY())/365.25),"")</f>
        <v/>
      </c>
      <c r="H24" s="23">
        <f>IFERROR(BDP("/isin/"&amp;$A24,"AMT_OUTSTANDING")/1000000,"")</f>
        <v/>
      </c>
      <c r="I24" s="10">
        <f>IFERROR(BDP("/isin/"&amp;$A24,"CRNCY"),"")</f>
        <v/>
      </c>
      <c r="J24" s="10">
        <f>IFERROR(BDP("/isin/"&amp;$A24,"CNTRY_OF_RISK"),"")</f>
        <v/>
      </c>
      <c r="K24" s="10">
        <f>IFERROR(BDP("/isin/"&amp;$A24,"RTG_SP_LT_FC"),"")</f>
        <v/>
      </c>
      <c r="L24" s="10">
        <f>IFERROR(BDP("/isin/"&amp;$A24,"RTG_MDY_LONG_TERM"),"")</f>
        <v/>
      </c>
      <c r="M24" s="10">
        <f>IFERROR(BDP("/isin/"&amp;$A24,"RTG_FITCH_LT_LC_DEBT"),"")</f>
        <v/>
      </c>
      <c r="N24" s="10">
        <f>IFERROR(BDP("/isin/"&amp;$A24,"BB_COMPOSITE"),"")</f>
        <v/>
      </c>
      <c r="O24" s="10">
        <f>IFERROR(BDP("/isin/"&amp;$A24,"DAY_CNT_DES"),"")</f>
        <v/>
      </c>
      <c r="P24" s="21">
        <f>IFERROR(BDP("/isin/"&amp;$A24,"CPN_FREQ"),"")</f>
        <v/>
      </c>
      <c r="Q24" s="10">
        <f>IFERROR(BDP("/isin/"&amp;$A24,"CALLABLE"),"")</f>
        <v/>
      </c>
      <c r="R24" s="8" t="n"/>
    </row>
    <row r="25">
      <c r="A25" s="8" t="n"/>
      <c r="B25" s="10">
        <f>IFERROR(BDP("/isin/"&amp;$A25,"TICKER"),"")</f>
        <v/>
      </c>
      <c r="C25" s="10">
        <f>IFERROR(BDP("/isin/"&amp;$A25,"SECURITY_DES"),"")</f>
        <v/>
      </c>
      <c r="D25" s="21">
        <f>IFERROR(BDP("/isin/"&amp;$A25,"CPN"),"")</f>
        <v/>
      </c>
      <c r="E25" s="9">
        <f>IFERROR(BDP("/isin/"&amp;$A25,"MATURITY"),"")</f>
        <v/>
      </c>
      <c r="F25" s="9">
        <f>IFERROR(BDP("/isin/"&amp;$A25,"ISSUE_DT"),"")</f>
        <v/>
      </c>
      <c r="G25" s="22">
        <f>IFERROR(IF(E25="","",(E25-TODAY())/365.25),"")</f>
        <v/>
      </c>
      <c r="H25" s="23">
        <f>IFERROR(BDP("/isin/"&amp;$A25,"AMT_OUTSTANDING")/1000000,"")</f>
        <v/>
      </c>
      <c r="I25" s="10">
        <f>IFERROR(BDP("/isin/"&amp;$A25,"CRNCY"),"")</f>
        <v/>
      </c>
      <c r="J25" s="10">
        <f>IFERROR(BDP("/isin/"&amp;$A25,"CNTRY_OF_RISK"),"")</f>
        <v/>
      </c>
      <c r="K25" s="10">
        <f>IFERROR(BDP("/isin/"&amp;$A25,"RTG_SP_LT_FC"),"")</f>
        <v/>
      </c>
      <c r="L25" s="10">
        <f>IFERROR(BDP("/isin/"&amp;$A25,"RTG_MDY_LONG_TERM"),"")</f>
        <v/>
      </c>
      <c r="M25" s="10">
        <f>IFERROR(BDP("/isin/"&amp;$A25,"RTG_FITCH_LT_LC_DEBT"),"")</f>
        <v/>
      </c>
      <c r="N25" s="10">
        <f>IFERROR(BDP("/isin/"&amp;$A25,"BB_COMPOSITE"),"")</f>
        <v/>
      </c>
      <c r="O25" s="10">
        <f>IFERROR(BDP("/isin/"&amp;$A25,"DAY_CNT_DES"),"")</f>
        <v/>
      </c>
      <c r="P25" s="21">
        <f>IFERROR(BDP("/isin/"&amp;$A25,"CPN_FREQ"),"")</f>
        <v/>
      </c>
      <c r="Q25" s="10">
        <f>IFERROR(BDP("/isin/"&amp;$A25,"CALLABLE"),"")</f>
        <v/>
      </c>
      <c r="R25" s="8" t="n"/>
    </row>
    <row r="26">
      <c r="A26" s="8" t="n"/>
      <c r="B26" s="10">
        <f>IFERROR(BDP("/isin/"&amp;$A26,"TICKER"),"")</f>
        <v/>
      </c>
      <c r="C26" s="10">
        <f>IFERROR(BDP("/isin/"&amp;$A26,"SECURITY_DES"),"")</f>
        <v/>
      </c>
      <c r="D26" s="21">
        <f>IFERROR(BDP("/isin/"&amp;$A26,"CPN"),"")</f>
        <v/>
      </c>
      <c r="E26" s="9">
        <f>IFERROR(BDP("/isin/"&amp;$A26,"MATURITY"),"")</f>
        <v/>
      </c>
      <c r="F26" s="9">
        <f>IFERROR(BDP("/isin/"&amp;$A26,"ISSUE_DT"),"")</f>
        <v/>
      </c>
      <c r="G26" s="22">
        <f>IFERROR(IF(E26="","",(E26-TODAY())/365.25),"")</f>
        <v/>
      </c>
      <c r="H26" s="23">
        <f>IFERROR(BDP("/isin/"&amp;$A26,"AMT_OUTSTANDING")/1000000,"")</f>
        <v/>
      </c>
      <c r="I26" s="10">
        <f>IFERROR(BDP("/isin/"&amp;$A26,"CRNCY"),"")</f>
        <v/>
      </c>
      <c r="J26" s="10">
        <f>IFERROR(BDP("/isin/"&amp;$A26,"CNTRY_OF_RISK"),"")</f>
        <v/>
      </c>
      <c r="K26" s="10">
        <f>IFERROR(BDP("/isin/"&amp;$A26,"RTG_SP_LT_FC"),"")</f>
        <v/>
      </c>
      <c r="L26" s="10">
        <f>IFERROR(BDP("/isin/"&amp;$A26,"RTG_MDY_LONG_TERM"),"")</f>
        <v/>
      </c>
      <c r="M26" s="10">
        <f>IFERROR(BDP("/isin/"&amp;$A26,"RTG_FITCH_LT_LC_DEBT"),"")</f>
        <v/>
      </c>
      <c r="N26" s="10">
        <f>IFERROR(BDP("/isin/"&amp;$A26,"BB_COMPOSITE"),"")</f>
        <v/>
      </c>
      <c r="O26" s="10">
        <f>IFERROR(BDP("/isin/"&amp;$A26,"DAY_CNT_DES"),"")</f>
        <v/>
      </c>
      <c r="P26" s="21">
        <f>IFERROR(BDP("/isin/"&amp;$A26,"CPN_FREQ"),"")</f>
        <v/>
      </c>
      <c r="Q26" s="10">
        <f>IFERROR(BDP("/isin/"&amp;$A26,"CALLABLE"),"")</f>
        <v/>
      </c>
      <c r="R26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3" customWidth="1" min="18" max="18"/>
    <col width="11" customWidth="1" min="19" max="19"/>
    <col width="12" customWidth="1" min="20" max="20"/>
    <col width="9" customWidth="1" min="21" max="21"/>
    <col width="9" customWidth="1" min="22" max="22"/>
    <col width="9" customWidth="1" min="23" max="23"/>
  </cols>
  <sheetData>
    <row r="1" ht="30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Yrs to Maty</t>
        </is>
      </c>
      <c r="D1" s="20" t="inlineStr">
        <is>
          <t>Px Bid</t>
        </is>
      </c>
      <c r="E1" s="20" t="inlineStr">
        <is>
          <t>Px Ask</t>
        </is>
      </c>
      <c r="F1" s="20" t="inlineStr">
        <is>
          <t>Px Mid</t>
        </is>
      </c>
      <c r="G1" s="20" t="inlineStr">
        <is>
          <t>Px Last</t>
        </is>
      </c>
      <c r="H1" s="20" t="inlineStr">
        <is>
          <t>Bid-Ask (pts)</t>
        </is>
      </c>
      <c r="I1" s="20" t="inlineStr">
        <is>
          <t>YTM Bid (%)</t>
        </is>
      </c>
      <c r="J1" s="20" t="inlineStr">
        <is>
          <t>YTM Ask (%)</t>
        </is>
      </c>
      <c r="K1" s="20" t="inlineStr">
        <is>
          <t>YTM Mid (%)</t>
        </is>
      </c>
      <c r="L1" s="20" t="inlineStr">
        <is>
          <t>Z-Spread (bp)</t>
        </is>
      </c>
      <c r="M1" s="20" t="inlineStr">
        <is>
          <t>G-Spread (bp)</t>
        </is>
      </c>
      <c r="N1" s="20" t="inlineStr">
        <is>
          <t>I-Spread (bp)</t>
        </is>
      </c>
      <c r="O1" s="20" t="inlineStr">
        <is>
          <t>OAS (bp)</t>
        </is>
      </c>
      <c r="P1" s="20" t="inlineStr">
        <is>
          <t>ASW (bp)</t>
        </is>
      </c>
      <c r="Q1" s="20" t="inlineStr">
        <is>
          <t>Mod Duration</t>
        </is>
      </c>
      <c r="R1" s="20" t="inlineStr">
        <is>
          <t>Spread Duration</t>
        </is>
      </c>
      <c r="S1" s="20" t="inlineStr">
        <is>
          <t>Convexity</t>
        </is>
      </c>
      <c r="T1" s="20" t="inlineStr">
        <is>
          <t>DV01 ($/mm)</t>
        </is>
      </c>
      <c r="U1" s="20" t="inlineStr">
        <is>
          <t>1D %</t>
        </is>
      </c>
      <c r="V1" s="20" t="inlineStr">
        <is>
          <t>5D %</t>
        </is>
      </c>
      <c r="W1" s="20" t="inlineStr">
        <is>
          <t>1M %</t>
        </is>
      </c>
    </row>
    <row r="2">
      <c r="A2" s="24">
        <f>IFERROR(IF(Bonds_Static!A2="","",Bonds_Static!A2),"")</f>
        <v/>
      </c>
      <c r="B2" s="24">
        <f>IFERROR(IF(Bonds_Static!C2="","",Bonds_Static!C2),"")</f>
        <v/>
      </c>
      <c r="C2" s="25">
        <f>IFERROR(IF(Bonds_Static!G2="","",Bonds_Static!G2),"")</f>
        <v/>
      </c>
      <c r="D2" s="21">
        <f>IFERROR(BDP("/isin/"&amp;$A2,"PX_BID"),"")</f>
        <v/>
      </c>
      <c r="E2" s="21">
        <f>IFERROR(BDP("/isin/"&amp;$A2,"PX_ASK"),"")</f>
        <v/>
      </c>
      <c r="F2" s="21">
        <f>IFERROR(BDP("/isin/"&amp;$A2,"PX_MID"),"")</f>
        <v/>
      </c>
      <c r="G2" s="21">
        <f>IFERROR(BDP("/isin/"&amp;$A2,"PX_LAST"),"")</f>
        <v/>
      </c>
      <c r="H2" s="26">
        <f>IFERROR(IF(OR(E2="",D2=""),"",E2-D2),"")</f>
        <v/>
      </c>
      <c r="I2" s="21">
        <f>IFERROR(BDP("/isin/"&amp;$A2,"YLD_YTM_BID"),"")</f>
        <v/>
      </c>
      <c r="J2" s="21">
        <f>IFERROR(BDP("/isin/"&amp;$A2,"YLD_YTM_ASK"),"")</f>
        <v/>
      </c>
      <c r="K2" s="21">
        <f>IFERROR(BDP("/isin/"&amp;$A2,"YLD_YTM_MID"),"")</f>
        <v/>
      </c>
      <c r="L2" s="21">
        <f>IFERROR(BDP("/isin/"&amp;$A2,"YAS_ZSPREAD"),"")</f>
        <v/>
      </c>
      <c r="M2" s="21">
        <f>IFERROR(BDP("/isin/"&amp;$A2,"YAS_BOND_SPRD"),"")</f>
        <v/>
      </c>
      <c r="N2" s="21">
        <f>IFERROR(BDP("/isin/"&amp;$A2,"YAS_ISPREAD"),"")</f>
        <v/>
      </c>
      <c r="O2" s="21">
        <f>IFERROR(BDP("/isin/"&amp;$A2,"YAS_OAS"),"")</f>
        <v/>
      </c>
      <c r="P2" s="21">
        <f>IFERROR(BDP("/isin/"&amp;$A2,"YAS_ASW_SPREAD"),"")</f>
        <v/>
      </c>
      <c r="Q2" s="21">
        <f>IFERROR(BDP("/isin/"&amp;$A2,"DUR_ADJ_MID"),"")</f>
        <v/>
      </c>
      <c r="R2" s="21">
        <f>IFERROR(BDP("/isin/"&amp;$A2,"DUR_SPRD_MID"),"")</f>
        <v/>
      </c>
      <c r="S2" s="21">
        <f>IFERROR(BDP("/isin/"&amp;$A2,"CONVEXITY_MID"),"")</f>
        <v/>
      </c>
      <c r="T2" s="21">
        <f>IFERROR(BDP("/isin/"&amp;$A2,"RISK_MID"),"")</f>
        <v/>
      </c>
      <c r="U2" s="21">
        <f>IFERROR(BDP("/isin/"&amp;$A2,"PX_CHG_PCT_1D"),"")</f>
        <v/>
      </c>
      <c r="V2" s="21">
        <f>IFERROR(BDP("/isin/"&amp;$A2,"PX_CHG_PCT_5D"),"")</f>
        <v/>
      </c>
      <c r="W2" s="21">
        <f>IFERROR(BDP("/isin/"&amp;$A2,"PX_CHG_PCT_1MO"),"")</f>
        <v/>
      </c>
    </row>
    <row r="3">
      <c r="A3" s="24">
        <f>IFERROR(IF(Bonds_Static!A3="","",Bonds_Static!A3),"")</f>
        <v/>
      </c>
      <c r="B3" s="24">
        <f>IFERROR(IF(Bonds_Static!C3="","",Bonds_Static!C3),"")</f>
        <v/>
      </c>
      <c r="C3" s="25">
        <f>IFERROR(IF(Bonds_Static!G3="","",Bonds_Static!G3),"")</f>
        <v/>
      </c>
      <c r="D3" s="21">
        <f>IFERROR(BDP("/isin/"&amp;$A3,"PX_BID"),"")</f>
        <v/>
      </c>
      <c r="E3" s="21">
        <f>IFERROR(BDP("/isin/"&amp;$A3,"PX_ASK"),"")</f>
        <v/>
      </c>
      <c r="F3" s="21">
        <f>IFERROR(BDP("/isin/"&amp;$A3,"PX_MID"),"")</f>
        <v/>
      </c>
      <c r="G3" s="21">
        <f>IFERROR(BDP("/isin/"&amp;$A3,"PX_LAST"),"")</f>
        <v/>
      </c>
      <c r="H3" s="26">
        <f>IFERROR(IF(OR(E3="",D3=""),"",E3-D3),"")</f>
        <v/>
      </c>
      <c r="I3" s="21">
        <f>IFERROR(BDP("/isin/"&amp;$A3,"YLD_YTM_BID"),"")</f>
        <v/>
      </c>
      <c r="J3" s="21">
        <f>IFERROR(BDP("/isin/"&amp;$A3,"YLD_YTM_ASK"),"")</f>
        <v/>
      </c>
      <c r="K3" s="21">
        <f>IFERROR(BDP("/isin/"&amp;$A3,"YLD_YTM_MID"),"")</f>
        <v/>
      </c>
      <c r="L3" s="21">
        <f>IFERROR(BDP("/isin/"&amp;$A3,"YAS_ZSPREAD"),"")</f>
        <v/>
      </c>
      <c r="M3" s="21">
        <f>IFERROR(BDP("/isin/"&amp;$A3,"YAS_BOND_SPRD"),"")</f>
        <v/>
      </c>
      <c r="N3" s="21">
        <f>IFERROR(BDP("/isin/"&amp;$A3,"YAS_ISPREAD"),"")</f>
        <v/>
      </c>
      <c r="O3" s="21">
        <f>IFERROR(BDP("/isin/"&amp;$A3,"YAS_OAS"),"")</f>
        <v/>
      </c>
      <c r="P3" s="21">
        <f>IFERROR(BDP("/isin/"&amp;$A3,"YAS_ASW_SPREAD"),"")</f>
        <v/>
      </c>
      <c r="Q3" s="21">
        <f>IFERROR(BDP("/isin/"&amp;$A3,"DUR_ADJ_MID"),"")</f>
        <v/>
      </c>
      <c r="R3" s="21">
        <f>IFERROR(BDP("/isin/"&amp;$A3,"DUR_SPRD_MID"),"")</f>
        <v/>
      </c>
      <c r="S3" s="21">
        <f>IFERROR(BDP("/isin/"&amp;$A3,"CONVEXITY_MID"),"")</f>
        <v/>
      </c>
      <c r="T3" s="21">
        <f>IFERROR(BDP("/isin/"&amp;$A3,"RISK_MID"),"")</f>
        <v/>
      </c>
      <c r="U3" s="21">
        <f>IFERROR(BDP("/isin/"&amp;$A3,"PX_CHG_PCT_1D"),"")</f>
        <v/>
      </c>
      <c r="V3" s="21">
        <f>IFERROR(BDP("/isin/"&amp;$A3,"PX_CHG_PCT_5D"),"")</f>
        <v/>
      </c>
      <c r="W3" s="21">
        <f>IFERROR(BDP("/isin/"&amp;$A3,"PX_CHG_PCT_1MO"),"")</f>
        <v/>
      </c>
    </row>
    <row r="4">
      <c r="A4" s="24">
        <f>IFERROR(IF(Bonds_Static!A4="","",Bonds_Static!A4),"")</f>
        <v/>
      </c>
      <c r="B4" s="24">
        <f>IFERROR(IF(Bonds_Static!C4="","",Bonds_Static!C4),"")</f>
        <v/>
      </c>
      <c r="C4" s="25">
        <f>IFERROR(IF(Bonds_Static!G4="","",Bonds_Static!G4),"")</f>
        <v/>
      </c>
      <c r="D4" s="21">
        <f>IFERROR(BDP("/isin/"&amp;$A4,"PX_BID"),"")</f>
        <v/>
      </c>
      <c r="E4" s="21">
        <f>IFERROR(BDP("/isin/"&amp;$A4,"PX_ASK"),"")</f>
        <v/>
      </c>
      <c r="F4" s="21">
        <f>IFERROR(BDP("/isin/"&amp;$A4,"PX_MID"),"")</f>
        <v/>
      </c>
      <c r="G4" s="21">
        <f>IFERROR(BDP("/isin/"&amp;$A4,"PX_LAST"),"")</f>
        <v/>
      </c>
      <c r="H4" s="26">
        <f>IFERROR(IF(OR(E4="",D4=""),"",E4-D4),"")</f>
        <v/>
      </c>
      <c r="I4" s="21">
        <f>IFERROR(BDP("/isin/"&amp;$A4,"YLD_YTM_BID"),"")</f>
        <v/>
      </c>
      <c r="J4" s="21">
        <f>IFERROR(BDP("/isin/"&amp;$A4,"YLD_YTM_ASK"),"")</f>
        <v/>
      </c>
      <c r="K4" s="21">
        <f>IFERROR(BDP("/isin/"&amp;$A4,"YLD_YTM_MID"),"")</f>
        <v/>
      </c>
      <c r="L4" s="21">
        <f>IFERROR(BDP("/isin/"&amp;$A4,"YAS_ZSPREAD"),"")</f>
        <v/>
      </c>
      <c r="M4" s="21">
        <f>IFERROR(BDP("/isin/"&amp;$A4,"YAS_BOND_SPRD"),"")</f>
        <v/>
      </c>
      <c r="N4" s="21">
        <f>IFERROR(BDP("/isin/"&amp;$A4,"YAS_ISPREAD"),"")</f>
        <v/>
      </c>
      <c r="O4" s="21">
        <f>IFERROR(BDP("/isin/"&amp;$A4,"YAS_OAS"),"")</f>
        <v/>
      </c>
      <c r="P4" s="21">
        <f>IFERROR(BDP("/isin/"&amp;$A4,"YAS_ASW_SPREAD"),"")</f>
        <v/>
      </c>
      <c r="Q4" s="21">
        <f>IFERROR(BDP("/isin/"&amp;$A4,"DUR_ADJ_MID"),"")</f>
        <v/>
      </c>
      <c r="R4" s="21">
        <f>IFERROR(BDP("/isin/"&amp;$A4,"DUR_SPRD_MID"),"")</f>
        <v/>
      </c>
      <c r="S4" s="21">
        <f>IFERROR(BDP("/isin/"&amp;$A4,"CONVEXITY_MID"),"")</f>
        <v/>
      </c>
      <c r="T4" s="21">
        <f>IFERROR(BDP("/isin/"&amp;$A4,"RISK_MID"),"")</f>
        <v/>
      </c>
      <c r="U4" s="21">
        <f>IFERROR(BDP("/isin/"&amp;$A4,"PX_CHG_PCT_1D"),"")</f>
        <v/>
      </c>
      <c r="V4" s="21">
        <f>IFERROR(BDP("/isin/"&amp;$A4,"PX_CHG_PCT_5D"),"")</f>
        <v/>
      </c>
      <c r="W4" s="21">
        <f>IFERROR(BDP("/isin/"&amp;$A4,"PX_CHG_PCT_1MO"),"")</f>
        <v/>
      </c>
    </row>
    <row r="5">
      <c r="A5" s="24">
        <f>IFERROR(IF(Bonds_Static!A5="","",Bonds_Static!A5),"")</f>
        <v/>
      </c>
      <c r="B5" s="24">
        <f>IFERROR(IF(Bonds_Static!C5="","",Bonds_Static!C5),"")</f>
        <v/>
      </c>
      <c r="C5" s="25">
        <f>IFERROR(IF(Bonds_Static!G5="","",Bonds_Static!G5),"")</f>
        <v/>
      </c>
      <c r="D5" s="21">
        <f>IFERROR(BDP("/isin/"&amp;$A5,"PX_BID"),"")</f>
        <v/>
      </c>
      <c r="E5" s="21">
        <f>IFERROR(BDP("/isin/"&amp;$A5,"PX_ASK"),"")</f>
        <v/>
      </c>
      <c r="F5" s="21">
        <f>IFERROR(BDP("/isin/"&amp;$A5,"PX_MID"),"")</f>
        <v/>
      </c>
      <c r="G5" s="21">
        <f>IFERROR(BDP("/isin/"&amp;$A5,"PX_LAST"),"")</f>
        <v/>
      </c>
      <c r="H5" s="26">
        <f>IFERROR(IF(OR(E5="",D5=""),"",E5-D5),"")</f>
        <v/>
      </c>
      <c r="I5" s="21">
        <f>IFERROR(BDP("/isin/"&amp;$A5,"YLD_YTM_BID"),"")</f>
        <v/>
      </c>
      <c r="J5" s="21">
        <f>IFERROR(BDP("/isin/"&amp;$A5,"YLD_YTM_ASK"),"")</f>
        <v/>
      </c>
      <c r="K5" s="21">
        <f>IFERROR(BDP("/isin/"&amp;$A5,"YLD_YTM_MID"),"")</f>
        <v/>
      </c>
      <c r="L5" s="21">
        <f>IFERROR(BDP("/isin/"&amp;$A5,"YAS_ZSPREAD"),"")</f>
        <v/>
      </c>
      <c r="M5" s="21">
        <f>IFERROR(BDP("/isin/"&amp;$A5,"YAS_BOND_SPRD"),"")</f>
        <v/>
      </c>
      <c r="N5" s="21">
        <f>IFERROR(BDP("/isin/"&amp;$A5,"YAS_ISPREAD"),"")</f>
        <v/>
      </c>
      <c r="O5" s="21">
        <f>IFERROR(BDP("/isin/"&amp;$A5,"YAS_OAS"),"")</f>
        <v/>
      </c>
      <c r="P5" s="21">
        <f>IFERROR(BDP("/isin/"&amp;$A5,"YAS_ASW_SPREAD"),"")</f>
        <v/>
      </c>
      <c r="Q5" s="21">
        <f>IFERROR(BDP("/isin/"&amp;$A5,"DUR_ADJ_MID"),"")</f>
        <v/>
      </c>
      <c r="R5" s="21">
        <f>IFERROR(BDP("/isin/"&amp;$A5,"DUR_SPRD_MID"),"")</f>
        <v/>
      </c>
      <c r="S5" s="21">
        <f>IFERROR(BDP("/isin/"&amp;$A5,"CONVEXITY_MID"),"")</f>
        <v/>
      </c>
      <c r="T5" s="21">
        <f>IFERROR(BDP("/isin/"&amp;$A5,"RISK_MID"),"")</f>
        <v/>
      </c>
      <c r="U5" s="21">
        <f>IFERROR(BDP("/isin/"&amp;$A5,"PX_CHG_PCT_1D"),"")</f>
        <v/>
      </c>
      <c r="V5" s="21">
        <f>IFERROR(BDP("/isin/"&amp;$A5,"PX_CHG_PCT_5D"),"")</f>
        <v/>
      </c>
      <c r="W5" s="21">
        <f>IFERROR(BDP("/isin/"&amp;$A5,"PX_CHG_PCT_1MO"),"")</f>
        <v/>
      </c>
    </row>
    <row r="6">
      <c r="A6" s="24">
        <f>IFERROR(IF(Bonds_Static!A6="","",Bonds_Static!A6),"")</f>
        <v/>
      </c>
      <c r="B6" s="24">
        <f>IFERROR(IF(Bonds_Static!C6="","",Bonds_Static!C6),"")</f>
        <v/>
      </c>
      <c r="C6" s="25">
        <f>IFERROR(IF(Bonds_Static!G6="","",Bonds_Static!G6),"")</f>
        <v/>
      </c>
      <c r="D6" s="21">
        <f>IFERROR(BDP("/isin/"&amp;$A6,"PX_BID"),"")</f>
        <v/>
      </c>
      <c r="E6" s="21">
        <f>IFERROR(BDP("/isin/"&amp;$A6,"PX_ASK"),"")</f>
        <v/>
      </c>
      <c r="F6" s="21">
        <f>IFERROR(BDP("/isin/"&amp;$A6,"PX_MID"),"")</f>
        <v/>
      </c>
      <c r="G6" s="21">
        <f>IFERROR(BDP("/isin/"&amp;$A6,"PX_LAST"),"")</f>
        <v/>
      </c>
      <c r="H6" s="26">
        <f>IFERROR(IF(OR(E6="",D6=""),"",E6-D6),"")</f>
        <v/>
      </c>
      <c r="I6" s="21">
        <f>IFERROR(BDP("/isin/"&amp;$A6,"YLD_YTM_BID"),"")</f>
        <v/>
      </c>
      <c r="J6" s="21">
        <f>IFERROR(BDP("/isin/"&amp;$A6,"YLD_YTM_ASK"),"")</f>
        <v/>
      </c>
      <c r="K6" s="21">
        <f>IFERROR(BDP("/isin/"&amp;$A6,"YLD_YTM_MID"),"")</f>
        <v/>
      </c>
      <c r="L6" s="21">
        <f>IFERROR(BDP("/isin/"&amp;$A6,"YAS_ZSPREAD"),"")</f>
        <v/>
      </c>
      <c r="M6" s="21">
        <f>IFERROR(BDP("/isin/"&amp;$A6,"YAS_BOND_SPRD"),"")</f>
        <v/>
      </c>
      <c r="N6" s="21">
        <f>IFERROR(BDP("/isin/"&amp;$A6,"YAS_ISPREAD"),"")</f>
        <v/>
      </c>
      <c r="O6" s="21">
        <f>IFERROR(BDP("/isin/"&amp;$A6,"YAS_OAS"),"")</f>
        <v/>
      </c>
      <c r="P6" s="21">
        <f>IFERROR(BDP("/isin/"&amp;$A6,"YAS_ASW_SPREAD"),"")</f>
        <v/>
      </c>
      <c r="Q6" s="21">
        <f>IFERROR(BDP("/isin/"&amp;$A6,"DUR_ADJ_MID"),"")</f>
        <v/>
      </c>
      <c r="R6" s="21">
        <f>IFERROR(BDP("/isin/"&amp;$A6,"DUR_SPRD_MID"),"")</f>
        <v/>
      </c>
      <c r="S6" s="21">
        <f>IFERROR(BDP("/isin/"&amp;$A6,"CONVEXITY_MID"),"")</f>
        <v/>
      </c>
      <c r="T6" s="21">
        <f>IFERROR(BDP("/isin/"&amp;$A6,"RISK_MID"),"")</f>
        <v/>
      </c>
      <c r="U6" s="21">
        <f>IFERROR(BDP("/isin/"&amp;$A6,"PX_CHG_PCT_1D"),"")</f>
        <v/>
      </c>
      <c r="V6" s="21">
        <f>IFERROR(BDP("/isin/"&amp;$A6,"PX_CHG_PCT_5D"),"")</f>
        <v/>
      </c>
      <c r="W6" s="21">
        <f>IFERROR(BDP("/isin/"&amp;$A6,"PX_CHG_PCT_1MO"),"")</f>
        <v/>
      </c>
    </row>
    <row r="7">
      <c r="A7" s="24">
        <f>IFERROR(IF(Bonds_Static!A7="","",Bonds_Static!A7),"")</f>
        <v/>
      </c>
      <c r="B7" s="24">
        <f>IFERROR(IF(Bonds_Static!C7="","",Bonds_Static!C7),"")</f>
        <v/>
      </c>
      <c r="C7" s="25">
        <f>IFERROR(IF(Bonds_Static!G7="","",Bonds_Static!G7),"")</f>
        <v/>
      </c>
      <c r="D7" s="21">
        <f>IFERROR(BDP("/isin/"&amp;$A7,"PX_BID"),"")</f>
        <v/>
      </c>
      <c r="E7" s="21">
        <f>IFERROR(BDP("/isin/"&amp;$A7,"PX_ASK"),"")</f>
        <v/>
      </c>
      <c r="F7" s="21">
        <f>IFERROR(BDP("/isin/"&amp;$A7,"PX_MID"),"")</f>
        <v/>
      </c>
      <c r="G7" s="21">
        <f>IFERROR(BDP("/isin/"&amp;$A7,"PX_LAST"),"")</f>
        <v/>
      </c>
      <c r="H7" s="26">
        <f>IFERROR(IF(OR(E7="",D7=""),"",E7-D7),"")</f>
        <v/>
      </c>
      <c r="I7" s="21">
        <f>IFERROR(BDP("/isin/"&amp;$A7,"YLD_YTM_BID"),"")</f>
        <v/>
      </c>
      <c r="J7" s="21">
        <f>IFERROR(BDP("/isin/"&amp;$A7,"YLD_YTM_ASK"),"")</f>
        <v/>
      </c>
      <c r="K7" s="21">
        <f>IFERROR(BDP("/isin/"&amp;$A7,"YLD_YTM_MID"),"")</f>
        <v/>
      </c>
      <c r="L7" s="21">
        <f>IFERROR(BDP("/isin/"&amp;$A7,"YAS_ZSPREAD"),"")</f>
        <v/>
      </c>
      <c r="M7" s="21">
        <f>IFERROR(BDP("/isin/"&amp;$A7,"YAS_BOND_SPRD"),"")</f>
        <v/>
      </c>
      <c r="N7" s="21">
        <f>IFERROR(BDP("/isin/"&amp;$A7,"YAS_ISPREAD"),"")</f>
        <v/>
      </c>
      <c r="O7" s="21">
        <f>IFERROR(BDP("/isin/"&amp;$A7,"YAS_OAS"),"")</f>
        <v/>
      </c>
      <c r="P7" s="21">
        <f>IFERROR(BDP("/isin/"&amp;$A7,"YAS_ASW_SPREAD"),"")</f>
        <v/>
      </c>
      <c r="Q7" s="21">
        <f>IFERROR(BDP("/isin/"&amp;$A7,"DUR_ADJ_MID"),"")</f>
        <v/>
      </c>
      <c r="R7" s="21">
        <f>IFERROR(BDP("/isin/"&amp;$A7,"DUR_SPRD_MID"),"")</f>
        <v/>
      </c>
      <c r="S7" s="21">
        <f>IFERROR(BDP("/isin/"&amp;$A7,"CONVEXITY_MID"),"")</f>
        <v/>
      </c>
      <c r="T7" s="21">
        <f>IFERROR(BDP("/isin/"&amp;$A7,"RISK_MID"),"")</f>
        <v/>
      </c>
      <c r="U7" s="21">
        <f>IFERROR(BDP("/isin/"&amp;$A7,"PX_CHG_PCT_1D"),"")</f>
        <v/>
      </c>
      <c r="V7" s="21">
        <f>IFERROR(BDP("/isin/"&amp;$A7,"PX_CHG_PCT_5D"),"")</f>
        <v/>
      </c>
      <c r="W7" s="21">
        <f>IFERROR(BDP("/isin/"&amp;$A7,"PX_CHG_PCT_1MO"),"")</f>
        <v/>
      </c>
    </row>
    <row r="8">
      <c r="A8" s="24">
        <f>IFERROR(IF(Bonds_Static!A8="","",Bonds_Static!A8),"")</f>
        <v/>
      </c>
      <c r="B8" s="24">
        <f>IFERROR(IF(Bonds_Static!C8="","",Bonds_Static!C8),"")</f>
        <v/>
      </c>
      <c r="C8" s="25">
        <f>IFERROR(IF(Bonds_Static!G8="","",Bonds_Static!G8),"")</f>
        <v/>
      </c>
      <c r="D8" s="21">
        <f>IFERROR(BDP("/isin/"&amp;$A8,"PX_BID"),"")</f>
        <v/>
      </c>
      <c r="E8" s="21">
        <f>IFERROR(BDP("/isin/"&amp;$A8,"PX_ASK"),"")</f>
        <v/>
      </c>
      <c r="F8" s="21">
        <f>IFERROR(BDP("/isin/"&amp;$A8,"PX_MID"),"")</f>
        <v/>
      </c>
      <c r="G8" s="21">
        <f>IFERROR(BDP("/isin/"&amp;$A8,"PX_LAST"),"")</f>
        <v/>
      </c>
      <c r="H8" s="26">
        <f>IFERROR(IF(OR(E8="",D8=""),"",E8-D8),"")</f>
        <v/>
      </c>
      <c r="I8" s="21">
        <f>IFERROR(BDP("/isin/"&amp;$A8,"YLD_YTM_BID"),"")</f>
        <v/>
      </c>
      <c r="J8" s="21">
        <f>IFERROR(BDP("/isin/"&amp;$A8,"YLD_YTM_ASK"),"")</f>
        <v/>
      </c>
      <c r="K8" s="21">
        <f>IFERROR(BDP("/isin/"&amp;$A8,"YLD_YTM_MID"),"")</f>
        <v/>
      </c>
      <c r="L8" s="21">
        <f>IFERROR(BDP("/isin/"&amp;$A8,"YAS_ZSPREAD"),"")</f>
        <v/>
      </c>
      <c r="M8" s="21">
        <f>IFERROR(BDP("/isin/"&amp;$A8,"YAS_BOND_SPRD"),"")</f>
        <v/>
      </c>
      <c r="N8" s="21">
        <f>IFERROR(BDP("/isin/"&amp;$A8,"YAS_ISPREAD"),"")</f>
        <v/>
      </c>
      <c r="O8" s="21">
        <f>IFERROR(BDP("/isin/"&amp;$A8,"YAS_OAS"),"")</f>
        <v/>
      </c>
      <c r="P8" s="21">
        <f>IFERROR(BDP("/isin/"&amp;$A8,"YAS_ASW_SPREAD"),"")</f>
        <v/>
      </c>
      <c r="Q8" s="21">
        <f>IFERROR(BDP("/isin/"&amp;$A8,"DUR_ADJ_MID"),"")</f>
        <v/>
      </c>
      <c r="R8" s="21">
        <f>IFERROR(BDP("/isin/"&amp;$A8,"DUR_SPRD_MID"),"")</f>
        <v/>
      </c>
      <c r="S8" s="21">
        <f>IFERROR(BDP("/isin/"&amp;$A8,"CONVEXITY_MID"),"")</f>
        <v/>
      </c>
      <c r="T8" s="21">
        <f>IFERROR(BDP("/isin/"&amp;$A8,"RISK_MID"),"")</f>
        <v/>
      </c>
      <c r="U8" s="21">
        <f>IFERROR(BDP("/isin/"&amp;$A8,"PX_CHG_PCT_1D"),"")</f>
        <v/>
      </c>
      <c r="V8" s="21">
        <f>IFERROR(BDP("/isin/"&amp;$A8,"PX_CHG_PCT_5D"),"")</f>
        <v/>
      </c>
      <c r="W8" s="21">
        <f>IFERROR(BDP("/isin/"&amp;$A8,"PX_CHG_PCT_1MO"),"")</f>
        <v/>
      </c>
    </row>
    <row r="9">
      <c r="A9" s="24">
        <f>IFERROR(IF(Bonds_Static!A9="","",Bonds_Static!A9),"")</f>
        <v/>
      </c>
      <c r="B9" s="24">
        <f>IFERROR(IF(Bonds_Static!C9="","",Bonds_Static!C9),"")</f>
        <v/>
      </c>
      <c r="C9" s="25">
        <f>IFERROR(IF(Bonds_Static!G9="","",Bonds_Static!G9),"")</f>
        <v/>
      </c>
      <c r="D9" s="21">
        <f>IFERROR(BDP("/isin/"&amp;$A9,"PX_BID"),"")</f>
        <v/>
      </c>
      <c r="E9" s="21">
        <f>IFERROR(BDP("/isin/"&amp;$A9,"PX_ASK"),"")</f>
        <v/>
      </c>
      <c r="F9" s="21">
        <f>IFERROR(BDP("/isin/"&amp;$A9,"PX_MID"),"")</f>
        <v/>
      </c>
      <c r="G9" s="21">
        <f>IFERROR(BDP("/isin/"&amp;$A9,"PX_LAST"),"")</f>
        <v/>
      </c>
      <c r="H9" s="26">
        <f>IFERROR(IF(OR(E9="",D9=""),"",E9-D9),"")</f>
        <v/>
      </c>
      <c r="I9" s="21">
        <f>IFERROR(BDP("/isin/"&amp;$A9,"YLD_YTM_BID"),"")</f>
        <v/>
      </c>
      <c r="J9" s="21">
        <f>IFERROR(BDP("/isin/"&amp;$A9,"YLD_YTM_ASK"),"")</f>
        <v/>
      </c>
      <c r="K9" s="21">
        <f>IFERROR(BDP("/isin/"&amp;$A9,"YLD_YTM_MID"),"")</f>
        <v/>
      </c>
      <c r="L9" s="21">
        <f>IFERROR(BDP("/isin/"&amp;$A9,"YAS_ZSPREAD"),"")</f>
        <v/>
      </c>
      <c r="M9" s="21">
        <f>IFERROR(BDP("/isin/"&amp;$A9,"YAS_BOND_SPRD"),"")</f>
        <v/>
      </c>
      <c r="N9" s="21">
        <f>IFERROR(BDP("/isin/"&amp;$A9,"YAS_ISPREAD"),"")</f>
        <v/>
      </c>
      <c r="O9" s="21">
        <f>IFERROR(BDP("/isin/"&amp;$A9,"YAS_OAS"),"")</f>
        <v/>
      </c>
      <c r="P9" s="21">
        <f>IFERROR(BDP("/isin/"&amp;$A9,"YAS_ASW_SPREAD"),"")</f>
        <v/>
      </c>
      <c r="Q9" s="21">
        <f>IFERROR(BDP("/isin/"&amp;$A9,"DUR_ADJ_MID"),"")</f>
        <v/>
      </c>
      <c r="R9" s="21">
        <f>IFERROR(BDP("/isin/"&amp;$A9,"DUR_SPRD_MID"),"")</f>
        <v/>
      </c>
      <c r="S9" s="21">
        <f>IFERROR(BDP("/isin/"&amp;$A9,"CONVEXITY_MID"),"")</f>
        <v/>
      </c>
      <c r="T9" s="21">
        <f>IFERROR(BDP("/isin/"&amp;$A9,"RISK_MID"),"")</f>
        <v/>
      </c>
      <c r="U9" s="21">
        <f>IFERROR(BDP("/isin/"&amp;$A9,"PX_CHG_PCT_1D"),"")</f>
        <v/>
      </c>
      <c r="V9" s="21">
        <f>IFERROR(BDP("/isin/"&amp;$A9,"PX_CHG_PCT_5D"),"")</f>
        <v/>
      </c>
      <c r="W9" s="21">
        <f>IFERROR(BDP("/isin/"&amp;$A9,"PX_CHG_PCT_1MO"),"")</f>
        <v/>
      </c>
    </row>
    <row r="10">
      <c r="A10" s="24">
        <f>IFERROR(IF(Bonds_Static!A10="","",Bonds_Static!A10),"")</f>
        <v/>
      </c>
      <c r="B10" s="24">
        <f>IFERROR(IF(Bonds_Static!C10="","",Bonds_Static!C10),"")</f>
        <v/>
      </c>
      <c r="C10" s="25">
        <f>IFERROR(IF(Bonds_Static!G10="","",Bonds_Static!G10),"")</f>
        <v/>
      </c>
      <c r="D10" s="21">
        <f>IFERROR(BDP("/isin/"&amp;$A10,"PX_BID"),"")</f>
        <v/>
      </c>
      <c r="E10" s="21">
        <f>IFERROR(BDP("/isin/"&amp;$A10,"PX_ASK"),"")</f>
        <v/>
      </c>
      <c r="F10" s="21">
        <f>IFERROR(BDP("/isin/"&amp;$A10,"PX_MID"),"")</f>
        <v/>
      </c>
      <c r="G10" s="21">
        <f>IFERROR(BDP("/isin/"&amp;$A10,"PX_LAST"),"")</f>
        <v/>
      </c>
      <c r="H10" s="26">
        <f>IFERROR(IF(OR(E10="",D10=""),"",E10-D10),"")</f>
        <v/>
      </c>
      <c r="I10" s="21">
        <f>IFERROR(BDP("/isin/"&amp;$A10,"YLD_YTM_BID"),"")</f>
        <v/>
      </c>
      <c r="J10" s="21">
        <f>IFERROR(BDP("/isin/"&amp;$A10,"YLD_YTM_ASK"),"")</f>
        <v/>
      </c>
      <c r="K10" s="21">
        <f>IFERROR(BDP("/isin/"&amp;$A10,"YLD_YTM_MID"),"")</f>
        <v/>
      </c>
      <c r="L10" s="21">
        <f>IFERROR(BDP("/isin/"&amp;$A10,"YAS_ZSPREAD"),"")</f>
        <v/>
      </c>
      <c r="M10" s="21">
        <f>IFERROR(BDP("/isin/"&amp;$A10,"YAS_BOND_SPRD"),"")</f>
        <v/>
      </c>
      <c r="N10" s="21">
        <f>IFERROR(BDP("/isin/"&amp;$A10,"YAS_ISPREAD"),"")</f>
        <v/>
      </c>
      <c r="O10" s="21">
        <f>IFERROR(BDP("/isin/"&amp;$A10,"YAS_OAS"),"")</f>
        <v/>
      </c>
      <c r="P10" s="21">
        <f>IFERROR(BDP("/isin/"&amp;$A10,"YAS_ASW_SPREAD"),"")</f>
        <v/>
      </c>
      <c r="Q10" s="21">
        <f>IFERROR(BDP("/isin/"&amp;$A10,"DUR_ADJ_MID"),"")</f>
        <v/>
      </c>
      <c r="R10" s="21">
        <f>IFERROR(BDP("/isin/"&amp;$A10,"DUR_SPRD_MID"),"")</f>
        <v/>
      </c>
      <c r="S10" s="21">
        <f>IFERROR(BDP("/isin/"&amp;$A10,"CONVEXITY_MID"),"")</f>
        <v/>
      </c>
      <c r="T10" s="21">
        <f>IFERROR(BDP("/isin/"&amp;$A10,"RISK_MID"),"")</f>
        <v/>
      </c>
      <c r="U10" s="21">
        <f>IFERROR(BDP("/isin/"&amp;$A10,"PX_CHG_PCT_1D"),"")</f>
        <v/>
      </c>
      <c r="V10" s="21">
        <f>IFERROR(BDP("/isin/"&amp;$A10,"PX_CHG_PCT_5D"),"")</f>
        <v/>
      </c>
      <c r="W10" s="21">
        <f>IFERROR(BDP("/isin/"&amp;$A10,"PX_CHG_PCT_1MO"),"")</f>
        <v/>
      </c>
    </row>
    <row r="11">
      <c r="A11" s="24">
        <f>IFERROR(IF(Bonds_Static!A11="","",Bonds_Static!A11),"")</f>
        <v/>
      </c>
      <c r="B11" s="24">
        <f>IFERROR(IF(Bonds_Static!C11="","",Bonds_Static!C11),"")</f>
        <v/>
      </c>
      <c r="C11" s="25">
        <f>IFERROR(IF(Bonds_Static!G11="","",Bonds_Static!G11),"")</f>
        <v/>
      </c>
      <c r="D11" s="21">
        <f>IFERROR(BDP("/isin/"&amp;$A11,"PX_BID"),"")</f>
        <v/>
      </c>
      <c r="E11" s="21">
        <f>IFERROR(BDP("/isin/"&amp;$A11,"PX_ASK"),"")</f>
        <v/>
      </c>
      <c r="F11" s="21">
        <f>IFERROR(BDP("/isin/"&amp;$A11,"PX_MID"),"")</f>
        <v/>
      </c>
      <c r="G11" s="21">
        <f>IFERROR(BDP("/isin/"&amp;$A11,"PX_LAST"),"")</f>
        <v/>
      </c>
      <c r="H11" s="26">
        <f>IFERROR(IF(OR(E11="",D11=""),"",E11-D11),"")</f>
        <v/>
      </c>
      <c r="I11" s="21">
        <f>IFERROR(BDP("/isin/"&amp;$A11,"YLD_YTM_BID"),"")</f>
        <v/>
      </c>
      <c r="J11" s="21">
        <f>IFERROR(BDP("/isin/"&amp;$A11,"YLD_YTM_ASK"),"")</f>
        <v/>
      </c>
      <c r="K11" s="21">
        <f>IFERROR(BDP("/isin/"&amp;$A11,"YLD_YTM_MID"),"")</f>
        <v/>
      </c>
      <c r="L11" s="21">
        <f>IFERROR(BDP("/isin/"&amp;$A11,"YAS_ZSPREAD"),"")</f>
        <v/>
      </c>
      <c r="M11" s="21">
        <f>IFERROR(BDP("/isin/"&amp;$A11,"YAS_BOND_SPRD"),"")</f>
        <v/>
      </c>
      <c r="N11" s="21">
        <f>IFERROR(BDP("/isin/"&amp;$A11,"YAS_ISPREAD"),"")</f>
        <v/>
      </c>
      <c r="O11" s="21">
        <f>IFERROR(BDP("/isin/"&amp;$A11,"YAS_OAS"),"")</f>
        <v/>
      </c>
      <c r="P11" s="21">
        <f>IFERROR(BDP("/isin/"&amp;$A11,"YAS_ASW_SPREAD"),"")</f>
        <v/>
      </c>
      <c r="Q11" s="21">
        <f>IFERROR(BDP("/isin/"&amp;$A11,"DUR_ADJ_MID"),"")</f>
        <v/>
      </c>
      <c r="R11" s="21">
        <f>IFERROR(BDP("/isin/"&amp;$A11,"DUR_SPRD_MID"),"")</f>
        <v/>
      </c>
      <c r="S11" s="21">
        <f>IFERROR(BDP("/isin/"&amp;$A11,"CONVEXITY_MID"),"")</f>
        <v/>
      </c>
      <c r="T11" s="21">
        <f>IFERROR(BDP("/isin/"&amp;$A11,"RISK_MID"),"")</f>
        <v/>
      </c>
      <c r="U11" s="21">
        <f>IFERROR(BDP("/isin/"&amp;$A11,"PX_CHG_PCT_1D"),"")</f>
        <v/>
      </c>
      <c r="V11" s="21">
        <f>IFERROR(BDP("/isin/"&amp;$A11,"PX_CHG_PCT_5D"),"")</f>
        <v/>
      </c>
      <c r="W11" s="21">
        <f>IFERROR(BDP("/isin/"&amp;$A11,"PX_CHG_PCT_1MO"),"")</f>
        <v/>
      </c>
    </row>
    <row r="12">
      <c r="A12" s="24">
        <f>IFERROR(IF(Bonds_Static!A12="","",Bonds_Static!A12),"")</f>
        <v/>
      </c>
      <c r="B12" s="24">
        <f>IFERROR(IF(Bonds_Static!C12="","",Bonds_Static!C12),"")</f>
        <v/>
      </c>
      <c r="C12" s="25">
        <f>IFERROR(IF(Bonds_Static!G12="","",Bonds_Static!G12),"")</f>
        <v/>
      </c>
      <c r="D12" s="21">
        <f>IFERROR(BDP("/isin/"&amp;$A12,"PX_BID"),"")</f>
        <v/>
      </c>
      <c r="E12" s="21">
        <f>IFERROR(BDP("/isin/"&amp;$A12,"PX_ASK"),"")</f>
        <v/>
      </c>
      <c r="F12" s="21">
        <f>IFERROR(BDP("/isin/"&amp;$A12,"PX_MID"),"")</f>
        <v/>
      </c>
      <c r="G12" s="21">
        <f>IFERROR(BDP("/isin/"&amp;$A12,"PX_LAST"),"")</f>
        <v/>
      </c>
      <c r="H12" s="26">
        <f>IFERROR(IF(OR(E12="",D12=""),"",E12-D12),"")</f>
        <v/>
      </c>
      <c r="I12" s="21">
        <f>IFERROR(BDP("/isin/"&amp;$A12,"YLD_YTM_BID"),"")</f>
        <v/>
      </c>
      <c r="J12" s="21">
        <f>IFERROR(BDP("/isin/"&amp;$A12,"YLD_YTM_ASK"),"")</f>
        <v/>
      </c>
      <c r="K12" s="21">
        <f>IFERROR(BDP("/isin/"&amp;$A12,"YLD_YTM_MID"),"")</f>
        <v/>
      </c>
      <c r="L12" s="21">
        <f>IFERROR(BDP("/isin/"&amp;$A12,"YAS_ZSPREAD"),"")</f>
        <v/>
      </c>
      <c r="M12" s="21">
        <f>IFERROR(BDP("/isin/"&amp;$A12,"YAS_BOND_SPRD"),"")</f>
        <v/>
      </c>
      <c r="N12" s="21">
        <f>IFERROR(BDP("/isin/"&amp;$A12,"YAS_ISPREAD"),"")</f>
        <v/>
      </c>
      <c r="O12" s="21">
        <f>IFERROR(BDP("/isin/"&amp;$A12,"YAS_OAS"),"")</f>
        <v/>
      </c>
      <c r="P12" s="21">
        <f>IFERROR(BDP("/isin/"&amp;$A12,"YAS_ASW_SPREAD"),"")</f>
        <v/>
      </c>
      <c r="Q12" s="21">
        <f>IFERROR(BDP("/isin/"&amp;$A12,"DUR_ADJ_MID"),"")</f>
        <v/>
      </c>
      <c r="R12" s="21">
        <f>IFERROR(BDP("/isin/"&amp;$A12,"DUR_SPRD_MID"),"")</f>
        <v/>
      </c>
      <c r="S12" s="21">
        <f>IFERROR(BDP("/isin/"&amp;$A12,"CONVEXITY_MID"),"")</f>
        <v/>
      </c>
      <c r="T12" s="21">
        <f>IFERROR(BDP("/isin/"&amp;$A12,"RISK_MID"),"")</f>
        <v/>
      </c>
      <c r="U12" s="21">
        <f>IFERROR(BDP("/isin/"&amp;$A12,"PX_CHG_PCT_1D"),"")</f>
        <v/>
      </c>
      <c r="V12" s="21">
        <f>IFERROR(BDP("/isin/"&amp;$A12,"PX_CHG_PCT_5D"),"")</f>
        <v/>
      </c>
      <c r="W12" s="21">
        <f>IFERROR(BDP("/isin/"&amp;$A12,"PX_CHG_PCT_1MO"),"")</f>
        <v/>
      </c>
    </row>
    <row r="13">
      <c r="A13" s="24">
        <f>IFERROR(IF(Bonds_Static!A13="","",Bonds_Static!A13),"")</f>
        <v/>
      </c>
      <c r="B13" s="24">
        <f>IFERROR(IF(Bonds_Static!C13="","",Bonds_Static!C13),"")</f>
        <v/>
      </c>
      <c r="C13" s="25">
        <f>IFERROR(IF(Bonds_Static!G13="","",Bonds_Static!G13),"")</f>
        <v/>
      </c>
      <c r="D13" s="21">
        <f>IFERROR(BDP("/isin/"&amp;$A13,"PX_BID"),"")</f>
        <v/>
      </c>
      <c r="E13" s="21">
        <f>IFERROR(BDP("/isin/"&amp;$A13,"PX_ASK"),"")</f>
        <v/>
      </c>
      <c r="F13" s="21">
        <f>IFERROR(BDP("/isin/"&amp;$A13,"PX_MID"),"")</f>
        <v/>
      </c>
      <c r="G13" s="21">
        <f>IFERROR(BDP("/isin/"&amp;$A13,"PX_LAST"),"")</f>
        <v/>
      </c>
      <c r="H13" s="26">
        <f>IFERROR(IF(OR(E13="",D13=""),"",E13-D13),"")</f>
        <v/>
      </c>
      <c r="I13" s="21">
        <f>IFERROR(BDP("/isin/"&amp;$A13,"YLD_YTM_BID"),"")</f>
        <v/>
      </c>
      <c r="J13" s="21">
        <f>IFERROR(BDP("/isin/"&amp;$A13,"YLD_YTM_ASK"),"")</f>
        <v/>
      </c>
      <c r="K13" s="21">
        <f>IFERROR(BDP("/isin/"&amp;$A13,"YLD_YTM_MID"),"")</f>
        <v/>
      </c>
      <c r="L13" s="21">
        <f>IFERROR(BDP("/isin/"&amp;$A13,"YAS_ZSPREAD"),"")</f>
        <v/>
      </c>
      <c r="M13" s="21">
        <f>IFERROR(BDP("/isin/"&amp;$A13,"YAS_BOND_SPRD"),"")</f>
        <v/>
      </c>
      <c r="N13" s="21">
        <f>IFERROR(BDP("/isin/"&amp;$A13,"YAS_ISPREAD"),"")</f>
        <v/>
      </c>
      <c r="O13" s="21">
        <f>IFERROR(BDP("/isin/"&amp;$A13,"YAS_OAS"),"")</f>
        <v/>
      </c>
      <c r="P13" s="21">
        <f>IFERROR(BDP("/isin/"&amp;$A13,"YAS_ASW_SPREAD"),"")</f>
        <v/>
      </c>
      <c r="Q13" s="21">
        <f>IFERROR(BDP("/isin/"&amp;$A13,"DUR_ADJ_MID"),"")</f>
        <v/>
      </c>
      <c r="R13" s="21">
        <f>IFERROR(BDP("/isin/"&amp;$A13,"DUR_SPRD_MID"),"")</f>
        <v/>
      </c>
      <c r="S13" s="21">
        <f>IFERROR(BDP("/isin/"&amp;$A13,"CONVEXITY_MID"),"")</f>
        <v/>
      </c>
      <c r="T13" s="21">
        <f>IFERROR(BDP("/isin/"&amp;$A13,"RISK_MID"),"")</f>
        <v/>
      </c>
      <c r="U13" s="21">
        <f>IFERROR(BDP("/isin/"&amp;$A13,"PX_CHG_PCT_1D"),"")</f>
        <v/>
      </c>
      <c r="V13" s="21">
        <f>IFERROR(BDP("/isin/"&amp;$A13,"PX_CHG_PCT_5D"),"")</f>
        <v/>
      </c>
      <c r="W13" s="21">
        <f>IFERROR(BDP("/isin/"&amp;$A13,"PX_CHG_PCT_1MO"),"")</f>
        <v/>
      </c>
    </row>
    <row r="14">
      <c r="A14" s="24">
        <f>IFERROR(IF(Bonds_Static!A14="","",Bonds_Static!A14),"")</f>
        <v/>
      </c>
      <c r="B14" s="24">
        <f>IFERROR(IF(Bonds_Static!C14="","",Bonds_Static!C14),"")</f>
        <v/>
      </c>
      <c r="C14" s="25">
        <f>IFERROR(IF(Bonds_Static!G14="","",Bonds_Static!G14),"")</f>
        <v/>
      </c>
      <c r="D14" s="21">
        <f>IFERROR(BDP("/isin/"&amp;$A14,"PX_BID"),"")</f>
        <v/>
      </c>
      <c r="E14" s="21">
        <f>IFERROR(BDP("/isin/"&amp;$A14,"PX_ASK"),"")</f>
        <v/>
      </c>
      <c r="F14" s="21">
        <f>IFERROR(BDP("/isin/"&amp;$A14,"PX_MID"),"")</f>
        <v/>
      </c>
      <c r="G14" s="21">
        <f>IFERROR(BDP("/isin/"&amp;$A14,"PX_LAST"),"")</f>
        <v/>
      </c>
      <c r="H14" s="26">
        <f>IFERROR(IF(OR(E14="",D14=""),"",E14-D14),"")</f>
        <v/>
      </c>
      <c r="I14" s="21">
        <f>IFERROR(BDP("/isin/"&amp;$A14,"YLD_YTM_BID"),"")</f>
        <v/>
      </c>
      <c r="J14" s="21">
        <f>IFERROR(BDP("/isin/"&amp;$A14,"YLD_YTM_ASK"),"")</f>
        <v/>
      </c>
      <c r="K14" s="21">
        <f>IFERROR(BDP("/isin/"&amp;$A14,"YLD_YTM_MID"),"")</f>
        <v/>
      </c>
      <c r="L14" s="21">
        <f>IFERROR(BDP("/isin/"&amp;$A14,"YAS_ZSPREAD"),"")</f>
        <v/>
      </c>
      <c r="M14" s="21">
        <f>IFERROR(BDP("/isin/"&amp;$A14,"YAS_BOND_SPRD"),"")</f>
        <v/>
      </c>
      <c r="N14" s="21">
        <f>IFERROR(BDP("/isin/"&amp;$A14,"YAS_ISPREAD"),"")</f>
        <v/>
      </c>
      <c r="O14" s="21">
        <f>IFERROR(BDP("/isin/"&amp;$A14,"YAS_OAS"),"")</f>
        <v/>
      </c>
      <c r="P14" s="21">
        <f>IFERROR(BDP("/isin/"&amp;$A14,"YAS_ASW_SPREAD"),"")</f>
        <v/>
      </c>
      <c r="Q14" s="21">
        <f>IFERROR(BDP("/isin/"&amp;$A14,"DUR_ADJ_MID"),"")</f>
        <v/>
      </c>
      <c r="R14" s="21">
        <f>IFERROR(BDP("/isin/"&amp;$A14,"DUR_SPRD_MID"),"")</f>
        <v/>
      </c>
      <c r="S14" s="21">
        <f>IFERROR(BDP("/isin/"&amp;$A14,"CONVEXITY_MID"),"")</f>
        <v/>
      </c>
      <c r="T14" s="21">
        <f>IFERROR(BDP("/isin/"&amp;$A14,"RISK_MID"),"")</f>
        <v/>
      </c>
      <c r="U14" s="21">
        <f>IFERROR(BDP("/isin/"&amp;$A14,"PX_CHG_PCT_1D"),"")</f>
        <v/>
      </c>
      <c r="V14" s="21">
        <f>IFERROR(BDP("/isin/"&amp;$A14,"PX_CHG_PCT_5D"),"")</f>
        <v/>
      </c>
      <c r="W14" s="21">
        <f>IFERROR(BDP("/isin/"&amp;$A14,"PX_CHG_PCT_1MO"),"")</f>
        <v/>
      </c>
    </row>
    <row r="15">
      <c r="A15" s="24">
        <f>IFERROR(IF(Bonds_Static!A15="","",Bonds_Static!A15),"")</f>
        <v/>
      </c>
      <c r="B15" s="24">
        <f>IFERROR(IF(Bonds_Static!C15="","",Bonds_Static!C15),"")</f>
        <v/>
      </c>
      <c r="C15" s="25">
        <f>IFERROR(IF(Bonds_Static!G15="","",Bonds_Static!G15),"")</f>
        <v/>
      </c>
      <c r="D15" s="21">
        <f>IFERROR(BDP("/isin/"&amp;$A15,"PX_BID"),"")</f>
        <v/>
      </c>
      <c r="E15" s="21">
        <f>IFERROR(BDP("/isin/"&amp;$A15,"PX_ASK"),"")</f>
        <v/>
      </c>
      <c r="F15" s="21">
        <f>IFERROR(BDP("/isin/"&amp;$A15,"PX_MID"),"")</f>
        <v/>
      </c>
      <c r="G15" s="21">
        <f>IFERROR(BDP("/isin/"&amp;$A15,"PX_LAST"),"")</f>
        <v/>
      </c>
      <c r="H15" s="26">
        <f>IFERROR(IF(OR(E15="",D15=""),"",E15-D15),"")</f>
        <v/>
      </c>
      <c r="I15" s="21">
        <f>IFERROR(BDP("/isin/"&amp;$A15,"YLD_YTM_BID"),"")</f>
        <v/>
      </c>
      <c r="J15" s="21">
        <f>IFERROR(BDP("/isin/"&amp;$A15,"YLD_YTM_ASK"),"")</f>
        <v/>
      </c>
      <c r="K15" s="21">
        <f>IFERROR(BDP("/isin/"&amp;$A15,"YLD_YTM_MID"),"")</f>
        <v/>
      </c>
      <c r="L15" s="21">
        <f>IFERROR(BDP("/isin/"&amp;$A15,"YAS_ZSPREAD"),"")</f>
        <v/>
      </c>
      <c r="M15" s="21">
        <f>IFERROR(BDP("/isin/"&amp;$A15,"YAS_BOND_SPRD"),"")</f>
        <v/>
      </c>
      <c r="N15" s="21">
        <f>IFERROR(BDP("/isin/"&amp;$A15,"YAS_ISPREAD"),"")</f>
        <v/>
      </c>
      <c r="O15" s="21">
        <f>IFERROR(BDP("/isin/"&amp;$A15,"YAS_OAS"),"")</f>
        <v/>
      </c>
      <c r="P15" s="21">
        <f>IFERROR(BDP("/isin/"&amp;$A15,"YAS_ASW_SPREAD"),"")</f>
        <v/>
      </c>
      <c r="Q15" s="21">
        <f>IFERROR(BDP("/isin/"&amp;$A15,"DUR_ADJ_MID"),"")</f>
        <v/>
      </c>
      <c r="R15" s="21">
        <f>IFERROR(BDP("/isin/"&amp;$A15,"DUR_SPRD_MID"),"")</f>
        <v/>
      </c>
      <c r="S15" s="21">
        <f>IFERROR(BDP("/isin/"&amp;$A15,"CONVEXITY_MID"),"")</f>
        <v/>
      </c>
      <c r="T15" s="21">
        <f>IFERROR(BDP("/isin/"&amp;$A15,"RISK_MID"),"")</f>
        <v/>
      </c>
      <c r="U15" s="21">
        <f>IFERROR(BDP("/isin/"&amp;$A15,"PX_CHG_PCT_1D"),"")</f>
        <v/>
      </c>
      <c r="V15" s="21">
        <f>IFERROR(BDP("/isin/"&amp;$A15,"PX_CHG_PCT_5D"),"")</f>
        <v/>
      </c>
      <c r="W15" s="21">
        <f>IFERROR(BDP("/isin/"&amp;$A15,"PX_CHG_PCT_1MO"),"")</f>
        <v/>
      </c>
    </row>
    <row r="16">
      <c r="A16" s="24">
        <f>IFERROR(IF(Bonds_Static!A16="","",Bonds_Static!A16),"")</f>
        <v/>
      </c>
      <c r="B16" s="24">
        <f>IFERROR(IF(Bonds_Static!C16="","",Bonds_Static!C16),"")</f>
        <v/>
      </c>
      <c r="C16" s="25">
        <f>IFERROR(IF(Bonds_Static!G16="","",Bonds_Static!G16),"")</f>
        <v/>
      </c>
      <c r="D16" s="21">
        <f>IFERROR(BDP("/isin/"&amp;$A16,"PX_BID"),"")</f>
        <v/>
      </c>
      <c r="E16" s="21">
        <f>IFERROR(BDP("/isin/"&amp;$A16,"PX_ASK"),"")</f>
        <v/>
      </c>
      <c r="F16" s="21">
        <f>IFERROR(BDP("/isin/"&amp;$A16,"PX_MID"),"")</f>
        <v/>
      </c>
      <c r="G16" s="21">
        <f>IFERROR(BDP("/isin/"&amp;$A16,"PX_LAST"),"")</f>
        <v/>
      </c>
      <c r="H16" s="26">
        <f>IFERROR(IF(OR(E16="",D16=""),"",E16-D16),"")</f>
        <v/>
      </c>
      <c r="I16" s="21">
        <f>IFERROR(BDP("/isin/"&amp;$A16,"YLD_YTM_BID"),"")</f>
        <v/>
      </c>
      <c r="J16" s="21">
        <f>IFERROR(BDP("/isin/"&amp;$A16,"YLD_YTM_ASK"),"")</f>
        <v/>
      </c>
      <c r="K16" s="21">
        <f>IFERROR(BDP("/isin/"&amp;$A16,"YLD_YTM_MID"),"")</f>
        <v/>
      </c>
      <c r="L16" s="21">
        <f>IFERROR(BDP("/isin/"&amp;$A16,"YAS_ZSPREAD"),"")</f>
        <v/>
      </c>
      <c r="M16" s="21">
        <f>IFERROR(BDP("/isin/"&amp;$A16,"YAS_BOND_SPRD"),"")</f>
        <v/>
      </c>
      <c r="N16" s="21">
        <f>IFERROR(BDP("/isin/"&amp;$A16,"YAS_ISPREAD"),"")</f>
        <v/>
      </c>
      <c r="O16" s="21">
        <f>IFERROR(BDP("/isin/"&amp;$A16,"YAS_OAS"),"")</f>
        <v/>
      </c>
      <c r="P16" s="21">
        <f>IFERROR(BDP("/isin/"&amp;$A16,"YAS_ASW_SPREAD"),"")</f>
        <v/>
      </c>
      <c r="Q16" s="21">
        <f>IFERROR(BDP("/isin/"&amp;$A16,"DUR_ADJ_MID"),"")</f>
        <v/>
      </c>
      <c r="R16" s="21">
        <f>IFERROR(BDP("/isin/"&amp;$A16,"DUR_SPRD_MID"),"")</f>
        <v/>
      </c>
      <c r="S16" s="21">
        <f>IFERROR(BDP("/isin/"&amp;$A16,"CONVEXITY_MID"),"")</f>
        <v/>
      </c>
      <c r="T16" s="21">
        <f>IFERROR(BDP("/isin/"&amp;$A16,"RISK_MID"),"")</f>
        <v/>
      </c>
      <c r="U16" s="21">
        <f>IFERROR(BDP("/isin/"&amp;$A16,"PX_CHG_PCT_1D"),"")</f>
        <v/>
      </c>
      <c r="V16" s="21">
        <f>IFERROR(BDP("/isin/"&amp;$A16,"PX_CHG_PCT_5D"),"")</f>
        <v/>
      </c>
      <c r="W16" s="21">
        <f>IFERROR(BDP("/isin/"&amp;$A16,"PX_CHG_PCT_1MO"),"")</f>
        <v/>
      </c>
    </row>
    <row r="17">
      <c r="A17" s="24">
        <f>IFERROR(IF(Bonds_Static!A17="","",Bonds_Static!A17),"")</f>
        <v/>
      </c>
      <c r="B17" s="24">
        <f>IFERROR(IF(Bonds_Static!C17="","",Bonds_Static!C17),"")</f>
        <v/>
      </c>
      <c r="C17" s="25">
        <f>IFERROR(IF(Bonds_Static!G17="","",Bonds_Static!G17),"")</f>
        <v/>
      </c>
      <c r="D17" s="21">
        <f>IFERROR(BDP("/isin/"&amp;$A17,"PX_BID"),"")</f>
        <v/>
      </c>
      <c r="E17" s="21">
        <f>IFERROR(BDP("/isin/"&amp;$A17,"PX_ASK"),"")</f>
        <v/>
      </c>
      <c r="F17" s="21">
        <f>IFERROR(BDP("/isin/"&amp;$A17,"PX_MID"),"")</f>
        <v/>
      </c>
      <c r="G17" s="21">
        <f>IFERROR(BDP("/isin/"&amp;$A17,"PX_LAST"),"")</f>
        <v/>
      </c>
      <c r="H17" s="26">
        <f>IFERROR(IF(OR(E17="",D17=""),"",E17-D17),"")</f>
        <v/>
      </c>
      <c r="I17" s="21">
        <f>IFERROR(BDP("/isin/"&amp;$A17,"YLD_YTM_BID"),"")</f>
        <v/>
      </c>
      <c r="J17" s="21">
        <f>IFERROR(BDP("/isin/"&amp;$A17,"YLD_YTM_ASK"),"")</f>
        <v/>
      </c>
      <c r="K17" s="21">
        <f>IFERROR(BDP("/isin/"&amp;$A17,"YLD_YTM_MID"),"")</f>
        <v/>
      </c>
      <c r="L17" s="21">
        <f>IFERROR(BDP("/isin/"&amp;$A17,"YAS_ZSPREAD"),"")</f>
        <v/>
      </c>
      <c r="M17" s="21">
        <f>IFERROR(BDP("/isin/"&amp;$A17,"YAS_BOND_SPRD"),"")</f>
        <v/>
      </c>
      <c r="N17" s="21">
        <f>IFERROR(BDP("/isin/"&amp;$A17,"YAS_ISPREAD"),"")</f>
        <v/>
      </c>
      <c r="O17" s="21">
        <f>IFERROR(BDP("/isin/"&amp;$A17,"YAS_OAS"),"")</f>
        <v/>
      </c>
      <c r="P17" s="21">
        <f>IFERROR(BDP("/isin/"&amp;$A17,"YAS_ASW_SPREAD"),"")</f>
        <v/>
      </c>
      <c r="Q17" s="21">
        <f>IFERROR(BDP("/isin/"&amp;$A17,"DUR_ADJ_MID"),"")</f>
        <v/>
      </c>
      <c r="R17" s="21">
        <f>IFERROR(BDP("/isin/"&amp;$A17,"DUR_SPRD_MID"),"")</f>
        <v/>
      </c>
      <c r="S17" s="21">
        <f>IFERROR(BDP("/isin/"&amp;$A17,"CONVEXITY_MID"),"")</f>
        <v/>
      </c>
      <c r="T17" s="21">
        <f>IFERROR(BDP("/isin/"&amp;$A17,"RISK_MID"),"")</f>
        <v/>
      </c>
      <c r="U17" s="21">
        <f>IFERROR(BDP("/isin/"&amp;$A17,"PX_CHG_PCT_1D"),"")</f>
        <v/>
      </c>
      <c r="V17" s="21">
        <f>IFERROR(BDP("/isin/"&amp;$A17,"PX_CHG_PCT_5D"),"")</f>
        <v/>
      </c>
      <c r="W17" s="21">
        <f>IFERROR(BDP("/isin/"&amp;$A17,"PX_CHG_PCT_1MO"),"")</f>
        <v/>
      </c>
    </row>
    <row r="18">
      <c r="A18" s="24">
        <f>IFERROR(IF(Bonds_Static!A18="","",Bonds_Static!A18),"")</f>
        <v/>
      </c>
      <c r="B18" s="24">
        <f>IFERROR(IF(Bonds_Static!C18="","",Bonds_Static!C18),"")</f>
        <v/>
      </c>
      <c r="C18" s="25">
        <f>IFERROR(IF(Bonds_Static!G18="","",Bonds_Static!G18),"")</f>
        <v/>
      </c>
      <c r="D18" s="21">
        <f>IFERROR(BDP("/isin/"&amp;$A18,"PX_BID"),"")</f>
        <v/>
      </c>
      <c r="E18" s="21">
        <f>IFERROR(BDP("/isin/"&amp;$A18,"PX_ASK"),"")</f>
        <v/>
      </c>
      <c r="F18" s="21">
        <f>IFERROR(BDP("/isin/"&amp;$A18,"PX_MID"),"")</f>
        <v/>
      </c>
      <c r="G18" s="21">
        <f>IFERROR(BDP("/isin/"&amp;$A18,"PX_LAST"),"")</f>
        <v/>
      </c>
      <c r="H18" s="26">
        <f>IFERROR(IF(OR(E18="",D18=""),"",E18-D18),"")</f>
        <v/>
      </c>
      <c r="I18" s="21">
        <f>IFERROR(BDP("/isin/"&amp;$A18,"YLD_YTM_BID"),"")</f>
        <v/>
      </c>
      <c r="J18" s="21">
        <f>IFERROR(BDP("/isin/"&amp;$A18,"YLD_YTM_ASK"),"")</f>
        <v/>
      </c>
      <c r="K18" s="21">
        <f>IFERROR(BDP("/isin/"&amp;$A18,"YLD_YTM_MID"),"")</f>
        <v/>
      </c>
      <c r="L18" s="21">
        <f>IFERROR(BDP("/isin/"&amp;$A18,"YAS_ZSPREAD"),"")</f>
        <v/>
      </c>
      <c r="M18" s="21">
        <f>IFERROR(BDP("/isin/"&amp;$A18,"YAS_BOND_SPRD"),"")</f>
        <v/>
      </c>
      <c r="N18" s="21">
        <f>IFERROR(BDP("/isin/"&amp;$A18,"YAS_ISPREAD"),"")</f>
        <v/>
      </c>
      <c r="O18" s="21">
        <f>IFERROR(BDP("/isin/"&amp;$A18,"YAS_OAS"),"")</f>
        <v/>
      </c>
      <c r="P18" s="21">
        <f>IFERROR(BDP("/isin/"&amp;$A18,"YAS_ASW_SPREAD"),"")</f>
        <v/>
      </c>
      <c r="Q18" s="21">
        <f>IFERROR(BDP("/isin/"&amp;$A18,"DUR_ADJ_MID"),"")</f>
        <v/>
      </c>
      <c r="R18" s="21">
        <f>IFERROR(BDP("/isin/"&amp;$A18,"DUR_SPRD_MID"),"")</f>
        <v/>
      </c>
      <c r="S18" s="21">
        <f>IFERROR(BDP("/isin/"&amp;$A18,"CONVEXITY_MID"),"")</f>
        <v/>
      </c>
      <c r="T18" s="21">
        <f>IFERROR(BDP("/isin/"&amp;$A18,"RISK_MID"),"")</f>
        <v/>
      </c>
      <c r="U18" s="21">
        <f>IFERROR(BDP("/isin/"&amp;$A18,"PX_CHG_PCT_1D"),"")</f>
        <v/>
      </c>
      <c r="V18" s="21">
        <f>IFERROR(BDP("/isin/"&amp;$A18,"PX_CHG_PCT_5D"),"")</f>
        <v/>
      </c>
      <c r="W18" s="21">
        <f>IFERROR(BDP("/isin/"&amp;$A18,"PX_CHG_PCT_1MO"),"")</f>
        <v/>
      </c>
    </row>
    <row r="19">
      <c r="A19" s="24">
        <f>IFERROR(IF(Bonds_Static!A19="","",Bonds_Static!A19),"")</f>
        <v/>
      </c>
      <c r="B19" s="24">
        <f>IFERROR(IF(Bonds_Static!C19="","",Bonds_Static!C19),"")</f>
        <v/>
      </c>
      <c r="C19" s="25">
        <f>IFERROR(IF(Bonds_Static!G19="","",Bonds_Static!G19),"")</f>
        <v/>
      </c>
      <c r="D19" s="21">
        <f>IFERROR(BDP("/isin/"&amp;$A19,"PX_BID"),"")</f>
        <v/>
      </c>
      <c r="E19" s="21">
        <f>IFERROR(BDP("/isin/"&amp;$A19,"PX_ASK"),"")</f>
        <v/>
      </c>
      <c r="F19" s="21">
        <f>IFERROR(BDP("/isin/"&amp;$A19,"PX_MID"),"")</f>
        <v/>
      </c>
      <c r="G19" s="21">
        <f>IFERROR(BDP("/isin/"&amp;$A19,"PX_LAST"),"")</f>
        <v/>
      </c>
      <c r="H19" s="26">
        <f>IFERROR(IF(OR(E19="",D19=""),"",E19-D19),"")</f>
        <v/>
      </c>
      <c r="I19" s="21">
        <f>IFERROR(BDP("/isin/"&amp;$A19,"YLD_YTM_BID"),"")</f>
        <v/>
      </c>
      <c r="J19" s="21">
        <f>IFERROR(BDP("/isin/"&amp;$A19,"YLD_YTM_ASK"),"")</f>
        <v/>
      </c>
      <c r="K19" s="21">
        <f>IFERROR(BDP("/isin/"&amp;$A19,"YLD_YTM_MID"),"")</f>
        <v/>
      </c>
      <c r="L19" s="21">
        <f>IFERROR(BDP("/isin/"&amp;$A19,"YAS_ZSPREAD"),"")</f>
        <v/>
      </c>
      <c r="M19" s="21">
        <f>IFERROR(BDP("/isin/"&amp;$A19,"YAS_BOND_SPRD"),"")</f>
        <v/>
      </c>
      <c r="N19" s="21">
        <f>IFERROR(BDP("/isin/"&amp;$A19,"YAS_ISPREAD"),"")</f>
        <v/>
      </c>
      <c r="O19" s="21">
        <f>IFERROR(BDP("/isin/"&amp;$A19,"YAS_OAS"),"")</f>
        <v/>
      </c>
      <c r="P19" s="21">
        <f>IFERROR(BDP("/isin/"&amp;$A19,"YAS_ASW_SPREAD"),"")</f>
        <v/>
      </c>
      <c r="Q19" s="21">
        <f>IFERROR(BDP("/isin/"&amp;$A19,"DUR_ADJ_MID"),"")</f>
        <v/>
      </c>
      <c r="R19" s="21">
        <f>IFERROR(BDP("/isin/"&amp;$A19,"DUR_SPRD_MID"),"")</f>
        <v/>
      </c>
      <c r="S19" s="21">
        <f>IFERROR(BDP("/isin/"&amp;$A19,"CONVEXITY_MID"),"")</f>
        <v/>
      </c>
      <c r="T19" s="21">
        <f>IFERROR(BDP("/isin/"&amp;$A19,"RISK_MID"),"")</f>
        <v/>
      </c>
      <c r="U19" s="21">
        <f>IFERROR(BDP("/isin/"&amp;$A19,"PX_CHG_PCT_1D"),"")</f>
        <v/>
      </c>
      <c r="V19" s="21">
        <f>IFERROR(BDP("/isin/"&amp;$A19,"PX_CHG_PCT_5D"),"")</f>
        <v/>
      </c>
      <c r="W19" s="21">
        <f>IFERROR(BDP("/isin/"&amp;$A19,"PX_CHG_PCT_1MO"),"")</f>
        <v/>
      </c>
    </row>
    <row r="20">
      <c r="A20" s="24">
        <f>IFERROR(IF(Bonds_Static!A20="","",Bonds_Static!A20),"")</f>
        <v/>
      </c>
      <c r="B20" s="24">
        <f>IFERROR(IF(Bonds_Static!C20="","",Bonds_Static!C20),"")</f>
        <v/>
      </c>
      <c r="C20" s="25">
        <f>IFERROR(IF(Bonds_Static!G20="","",Bonds_Static!G20),"")</f>
        <v/>
      </c>
      <c r="D20" s="21">
        <f>IFERROR(BDP("/isin/"&amp;$A20,"PX_BID"),"")</f>
        <v/>
      </c>
      <c r="E20" s="21">
        <f>IFERROR(BDP("/isin/"&amp;$A20,"PX_ASK"),"")</f>
        <v/>
      </c>
      <c r="F20" s="21">
        <f>IFERROR(BDP("/isin/"&amp;$A20,"PX_MID"),"")</f>
        <v/>
      </c>
      <c r="G20" s="21">
        <f>IFERROR(BDP("/isin/"&amp;$A20,"PX_LAST"),"")</f>
        <v/>
      </c>
      <c r="H20" s="26">
        <f>IFERROR(IF(OR(E20="",D20=""),"",E20-D20),"")</f>
        <v/>
      </c>
      <c r="I20" s="21">
        <f>IFERROR(BDP("/isin/"&amp;$A20,"YLD_YTM_BID"),"")</f>
        <v/>
      </c>
      <c r="J20" s="21">
        <f>IFERROR(BDP("/isin/"&amp;$A20,"YLD_YTM_ASK"),"")</f>
        <v/>
      </c>
      <c r="K20" s="21">
        <f>IFERROR(BDP("/isin/"&amp;$A20,"YLD_YTM_MID"),"")</f>
        <v/>
      </c>
      <c r="L20" s="21">
        <f>IFERROR(BDP("/isin/"&amp;$A20,"YAS_ZSPREAD"),"")</f>
        <v/>
      </c>
      <c r="M20" s="21">
        <f>IFERROR(BDP("/isin/"&amp;$A20,"YAS_BOND_SPRD"),"")</f>
        <v/>
      </c>
      <c r="N20" s="21">
        <f>IFERROR(BDP("/isin/"&amp;$A20,"YAS_ISPREAD"),"")</f>
        <v/>
      </c>
      <c r="O20" s="21">
        <f>IFERROR(BDP("/isin/"&amp;$A20,"YAS_OAS"),"")</f>
        <v/>
      </c>
      <c r="P20" s="21">
        <f>IFERROR(BDP("/isin/"&amp;$A20,"YAS_ASW_SPREAD"),"")</f>
        <v/>
      </c>
      <c r="Q20" s="21">
        <f>IFERROR(BDP("/isin/"&amp;$A20,"DUR_ADJ_MID"),"")</f>
        <v/>
      </c>
      <c r="R20" s="21">
        <f>IFERROR(BDP("/isin/"&amp;$A20,"DUR_SPRD_MID"),"")</f>
        <v/>
      </c>
      <c r="S20" s="21">
        <f>IFERROR(BDP("/isin/"&amp;$A20,"CONVEXITY_MID"),"")</f>
        <v/>
      </c>
      <c r="T20" s="21">
        <f>IFERROR(BDP("/isin/"&amp;$A20,"RISK_MID"),"")</f>
        <v/>
      </c>
      <c r="U20" s="21">
        <f>IFERROR(BDP("/isin/"&amp;$A20,"PX_CHG_PCT_1D"),"")</f>
        <v/>
      </c>
      <c r="V20" s="21">
        <f>IFERROR(BDP("/isin/"&amp;$A20,"PX_CHG_PCT_5D"),"")</f>
        <v/>
      </c>
      <c r="W20" s="21">
        <f>IFERROR(BDP("/isin/"&amp;$A20,"PX_CHG_PCT_1MO"),"")</f>
        <v/>
      </c>
    </row>
    <row r="21">
      <c r="A21" s="24">
        <f>IFERROR(IF(Bonds_Static!A21="","",Bonds_Static!A21),"")</f>
        <v/>
      </c>
      <c r="B21" s="24">
        <f>IFERROR(IF(Bonds_Static!C21="","",Bonds_Static!C21),"")</f>
        <v/>
      </c>
      <c r="C21" s="25">
        <f>IFERROR(IF(Bonds_Static!G21="","",Bonds_Static!G21),"")</f>
        <v/>
      </c>
      <c r="D21" s="21">
        <f>IFERROR(BDP("/isin/"&amp;$A21,"PX_BID"),"")</f>
        <v/>
      </c>
      <c r="E21" s="21">
        <f>IFERROR(BDP("/isin/"&amp;$A21,"PX_ASK"),"")</f>
        <v/>
      </c>
      <c r="F21" s="21">
        <f>IFERROR(BDP("/isin/"&amp;$A21,"PX_MID"),"")</f>
        <v/>
      </c>
      <c r="G21" s="21">
        <f>IFERROR(BDP("/isin/"&amp;$A21,"PX_LAST"),"")</f>
        <v/>
      </c>
      <c r="H21" s="26">
        <f>IFERROR(IF(OR(E21="",D21=""),"",E21-D21),"")</f>
        <v/>
      </c>
      <c r="I21" s="21">
        <f>IFERROR(BDP("/isin/"&amp;$A21,"YLD_YTM_BID"),"")</f>
        <v/>
      </c>
      <c r="J21" s="21">
        <f>IFERROR(BDP("/isin/"&amp;$A21,"YLD_YTM_ASK"),"")</f>
        <v/>
      </c>
      <c r="K21" s="21">
        <f>IFERROR(BDP("/isin/"&amp;$A21,"YLD_YTM_MID"),"")</f>
        <v/>
      </c>
      <c r="L21" s="21">
        <f>IFERROR(BDP("/isin/"&amp;$A21,"YAS_ZSPREAD"),"")</f>
        <v/>
      </c>
      <c r="M21" s="21">
        <f>IFERROR(BDP("/isin/"&amp;$A21,"YAS_BOND_SPRD"),"")</f>
        <v/>
      </c>
      <c r="N21" s="21">
        <f>IFERROR(BDP("/isin/"&amp;$A21,"YAS_ISPREAD"),"")</f>
        <v/>
      </c>
      <c r="O21" s="21">
        <f>IFERROR(BDP("/isin/"&amp;$A21,"YAS_OAS"),"")</f>
        <v/>
      </c>
      <c r="P21" s="21">
        <f>IFERROR(BDP("/isin/"&amp;$A21,"YAS_ASW_SPREAD"),"")</f>
        <v/>
      </c>
      <c r="Q21" s="21">
        <f>IFERROR(BDP("/isin/"&amp;$A21,"DUR_ADJ_MID"),"")</f>
        <v/>
      </c>
      <c r="R21" s="21">
        <f>IFERROR(BDP("/isin/"&amp;$A21,"DUR_SPRD_MID"),"")</f>
        <v/>
      </c>
      <c r="S21" s="21">
        <f>IFERROR(BDP("/isin/"&amp;$A21,"CONVEXITY_MID"),"")</f>
        <v/>
      </c>
      <c r="T21" s="21">
        <f>IFERROR(BDP("/isin/"&amp;$A21,"RISK_MID"),"")</f>
        <v/>
      </c>
      <c r="U21" s="21">
        <f>IFERROR(BDP("/isin/"&amp;$A21,"PX_CHG_PCT_1D"),"")</f>
        <v/>
      </c>
      <c r="V21" s="21">
        <f>IFERROR(BDP("/isin/"&amp;$A21,"PX_CHG_PCT_5D"),"")</f>
        <v/>
      </c>
      <c r="W21" s="21">
        <f>IFERROR(BDP("/isin/"&amp;$A21,"PX_CHG_PCT_1MO"),"")</f>
        <v/>
      </c>
    </row>
    <row r="22">
      <c r="A22" s="24">
        <f>IFERROR(IF(Bonds_Static!A22="","",Bonds_Static!A22),"")</f>
        <v/>
      </c>
      <c r="B22" s="24">
        <f>IFERROR(IF(Bonds_Static!C22="","",Bonds_Static!C22),"")</f>
        <v/>
      </c>
      <c r="C22" s="25">
        <f>IFERROR(IF(Bonds_Static!G22="","",Bonds_Static!G22),"")</f>
        <v/>
      </c>
      <c r="D22" s="21">
        <f>IFERROR(BDP("/isin/"&amp;$A22,"PX_BID"),"")</f>
        <v/>
      </c>
      <c r="E22" s="21">
        <f>IFERROR(BDP("/isin/"&amp;$A22,"PX_ASK"),"")</f>
        <v/>
      </c>
      <c r="F22" s="21">
        <f>IFERROR(BDP("/isin/"&amp;$A22,"PX_MID"),"")</f>
        <v/>
      </c>
      <c r="G22" s="21">
        <f>IFERROR(BDP("/isin/"&amp;$A22,"PX_LAST"),"")</f>
        <v/>
      </c>
      <c r="H22" s="26">
        <f>IFERROR(IF(OR(E22="",D22=""),"",E22-D22),"")</f>
        <v/>
      </c>
      <c r="I22" s="21">
        <f>IFERROR(BDP("/isin/"&amp;$A22,"YLD_YTM_BID"),"")</f>
        <v/>
      </c>
      <c r="J22" s="21">
        <f>IFERROR(BDP("/isin/"&amp;$A22,"YLD_YTM_ASK"),"")</f>
        <v/>
      </c>
      <c r="K22" s="21">
        <f>IFERROR(BDP("/isin/"&amp;$A22,"YLD_YTM_MID"),"")</f>
        <v/>
      </c>
      <c r="L22" s="21">
        <f>IFERROR(BDP("/isin/"&amp;$A22,"YAS_ZSPREAD"),"")</f>
        <v/>
      </c>
      <c r="M22" s="21">
        <f>IFERROR(BDP("/isin/"&amp;$A22,"YAS_BOND_SPRD"),"")</f>
        <v/>
      </c>
      <c r="N22" s="21">
        <f>IFERROR(BDP("/isin/"&amp;$A22,"YAS_ISPREAD"),"")</f>
        <v/>
      </c>
      <c r="O22" s="21">
        <f>IFERROR(BDP("/isin/"&amp;$A22,"YAS_OAS"),"")</f>
        <v/>
      </c>
      <c r="P22" s="21">
        <f>IFERROR(BDP("/isin/"&amp;$A22,"YAS_ASW_SPREAD"),"")</f>
        <v/>
      </c>
      <c r="Q22" s="21">
        <f>IFERROR(BDP("/isin/"&amp;$A22,"DUR_ADJ_MID"),"")</f>
        <v/>
      </c>
      <c r="R22" s="21">
        <f>IFERROR(BDP("/isin/"&amp;$A22,"DUR_SPRD_MID"),"")</f>
        <v/>
      </c>
      <c r="S22" s="21">
        <f>IFERROR(BDP("/isin/"&amp;$A22,"CONVEXITY_MID"),"")</f>
        <v/>
      </c>
      <c r="T22" s="21">
        <f>IFERROR(BDP("/isin/"&amp;$A22,"RISK_MID"),"")</f>
        <v/>
      </c>
      <c r="U22" s="21">
        <f>IFERROR(BDP("/isin/"&amp;$A22,"PX_CHG_PCT_1D"),"")</f>
        <v/>
      </c>
      <c r="V22" s="21">
        <f>IFERROR(BDP("/isin/"&amp;$A22,"PX_CHG_PCT_5D"),"")</f>
        <v/>
      </c>
      <c r="W22" s="21">
        <f>IFERROR(BDP("/isin/"&amp;$A22,"PX_CHG_PCT_1MO"),"")</f>
        <v/>
      </c>
    </row>
    <row r="23">
      <c r="A23" s="24">
        <f>IFERROR(IF(Bonds_Static!A23="","",Bonds_Static!A23),"")</f>
        <v/>
      </c>
      <c r="B23" s="24">
        <f>IFERROR(IF(Bonds_Static!C23="","",Bonds_Static!C23),"")</f>
        <v/>
      </c>
      <c r="C23" s="25">
        <f>IFERROR(IF(Bonds_Static!G23="","",Bonds_Static!G23),"")</f>
        <v/>
      </c>
      <c r="D23" s="21">
        <f>IFERROR(BDP("/isin/"&amp;$A23,"PX_BID"),"")</f>
        <v/>
      </c>
      <c r="E23" s="21">
        <f>IFERROR(BDP("/isin/"&amp;$A23,"PX_ASK"),"")</f>
        <v/>
      </c>
      <c r="F23" s="21">
        <f>IFERROR(BDP("/isin/"&amp;$A23,"PX_MID"),"")</f>
        <v/>
      </c>
      <c r="G23" s="21">
        <f>IFERROR(BDP("/isin/"&amp;$A23,"PX_LAST"),"")</f>
        <v/>
      </c>
      <c r="H23" s="26">
        <f>IFERROR(IF(OR(E23="",D23=""),"",E23-D23),"")</f>
        <v/>
      </c>
      <c r="I23" s="21">
        <f>IFERROR(BDP("/isin/"&amp;$A23,"YLD_YTM_BID"),"")</f>
        <v/>
      </c>
      <c r="J23" s="21">
        <f>IFERROR(BDP("/isin/"&amp;$A23,"YLD_YTM_ASK"),"")</f>
        <v/>
      </c>
      <c r="K23" s="21">
        <f>IFERROR(BDP("/isin/"&amp;$A23,"YLD_YTM_MID"),"")</f>
        <v/>
      </c>
      <c r="L23" s="21">
        <f>IFERROR(BDP("/isin/"&amp;$A23,"YAS_ZSPREAD"),"")</f>
        <v/>
      </c>
      <c r="M23" s="21">
        <f>IFERROR(BDP("/isin/"&amp;$A23,"YAS_BOND_SPRD"),"")</f>
        <v/>
      </c>
      <c r="N23" s="21">
        <f>IFERROR(BDP("/isin/"&amp;$A23,"YAS_ISPREAD"),"")</f>
        <v/>
      </c>
      <c r="O23" s="21">
        <f>IFERROR(BDP("/isin/"&amp;$A23,"YAS_OAS"),"")</f>
        <v/>
      </c>
      <c r="P23" s="21">
        <f>IFERROR(BDP("/isin/"&amp;$A23,"YAS_ASW_SPREAD"),"")</f>
        <v/>
      </c>
      <c r="Q23" s="21">
        <f>IFERROR(BDP("/isin/"&amp;$A23,"DUR_ADJ_MID"),"")</f>
        <v/>
      </c>
      <c r="R23" s="21">
        <f>IFERROR(BDP("/isin/"&amp;$A23,"DUR_SPRD_MID"),"")</f>
        <v/>
      </c>
      <c r="S23" s="21">
        <f>IFERROR(BDP("/isin/"&amp;$A23,"CONVEXITY_MID"),"")</f>
        <v/>
      </c>
      <c r="T23" s="21">
        <f>IFERROR(BDP("/isin/"&amp;$A23,"RISK_MID"),"")</f>
        <v/>
      </c>
      <c r="U23" s="21">
        <f>IFERROR(BDP("/isin/"&amp;$A23,"PX_CHG_PCT_1D"),"")</f>
        <v/>
      </c>
      <c r="V23" s="21">
        <f>IFERROR(BDP("/isin/"&amp;$A23,"PX_CHG_PCT_5D"),"")</f>
        <v/>
      </c>
      <c r="W23" s="21">
        <f>IFERROR(BDP("/isin/"&amp;$A23,"PX_CHG_PCT_1MO"),"")</f>
        <v/>
      </c>
    </row>
    <row r="24">
      <c r="A24" s="24">
        <f>IFERROR(IF(Bonds_Static!A24="","",Bonds_Static!A24),"")</f>
        <v/>
      </c>
      <c r="B24" s="24">
        <f>IFERROR(IF(Bonds_Static!C24="","",Bonds_Static!C24),"")</f>
        <v/>
      </c>
      <c r="C24" s="25">
        <f>IFERROR(IF(Bonds_Static!G24="","",Bonds_Static!G24),"")</f>
        <v/>
      </c>
      <c r="D24" s="21">
        <f>IFERROR(BDP("/isin/"&amp;$A24,"PX_BID"),"")</f>
        <v/>
      </c>
      <c r="E24" s="21">
        <f>IFERROR(BDP("/isin/"&amp;$A24,"PX_ASK"),"")</f>
        <v/>
      </c>
      <c r="F24" s="21">
        <f>IFERROR(BDP("/isin/"&amp;$A24,"PX_MID"),"")</f>
        <v/>
      </c>
      <c r="G24" s="21">
        <f>IFERROR(BDP("/isin/"&amp;$A24,"PX_LAST"),"")</f>
        <v/>
      </c>
      <c r="H24" s="26">
        <f>IFERROR(IF(OR(E24="",D24=""),"",E24-D24),"")</f>
        <v/>
      </c>
      <c r="I24" s="21">
        <f>IFERROR(BDP("/isin/"&amp;$A24,"YLD_YTM_BID"),"")</f>
        <v/>
      </c>
      <c r="J24" s="21">
        <f>IFERROR(BDP("/isin/"&amp;$A24,"YLD_YTM_ASK"),"")</f>
        <v/>
      </c>
      <c r="K24" s="21">
        <f>IFERROR(BDP("/isin/"&amp;$A24,"YLD_YTM_MID"),"")</f>
        <v/>
      </c>
      <c r="L24" s="21">
        <f>IFERROR(BDP("/isin/"&amp;$A24,"YAS_ZSPREAD"),"")</f>
        <v/>
      </c>
      <c r="M24" s="21">
        <f>IFERROR(BDP("/isin/"&amp;$A24,"YAS_BOND_SPRD"),"")</f>
        <v/>
      </c>
      <c r="N24" s="21">
        <f>IFERROR(BDP("/isin/"&amp;$A24,"YAS_ISPREAD"),"")</f>
        <v/>
      </c>
      <c r="O24" s="21">
        <f>IFERROR(BDP("/isin/"&amp;$A24,"YAS_OAS"),"")</f>
        <v/>
      </c>
      <c r="P24" s="21">
        <f>IFERROR(BDP("/isin/"&amp;$A24,"YAS_ASW_SPREAD"),"")</f>
        <v/>
      </c>
      <c r="Q24" s="21">
        <f>IFERROR(BDP("/isin/"&amp;$A24,"DUR_ADJ_MID"),"")</f>
        <v/>
      </c>
      <c r="R24" s="21">
        <f>IFERROR(BDP("/isin/"&amp;$A24,"DUR_SPRD_MID"),"")</f>
        <v/>
      </c>
      <c r="S24" s="21">
        <f>IFERROR(BDP("/isin/"&amp;$A24,"CONVEXITY_MID"),"")</f>
        <v/>
      </c>
      <c r="T24" s="21">
        <f>IFERROR(BDP("/isin/"&amp;$A24,"RISK_MID"),"")</f>
        <v/>
      </c>
      <c r="U24" s="21">
        <f>IFERROR(BDP("/isin/"&amp;$A24,"PX_CHG_PCT_1D"),"")</f>
        <v/>
      </c>
      <c r="V24" s="21">
        <f>IFERROR(BDP("/isin/"&amp;$A24,"PX_CHG_PCT_5D"),"")</f>
        <v/>
      </c>
      <c r="W24" s="21">
        <f>IFERROR(BDP("/isin/"&amp;$A24,"PX_CHG_PCT_1MO"),"")</f>
        <v/>
      </c>
    </row>
    <row r="25">
      <c r="A25" s="24">
        <f>IFERROR(IF(Bonds_Static!A25="","",Bonds_Static!A25),"")</f>
        <v/>
      </c>
      <c r="B25" s="24">
        <f>IFERROR(IF(Bonds_Static!C25="","",Bonds_Static!C25),"")</f>
        <v/>
      </c>
      <c r="C25" s="25">
        <f>IFERROR(IF(Bonds_Static!G25="","",Bonds_Static!G25),"")</f>
        <v/>
      </c>
      <c r="D25" s="21">
        <f>IFERROR(BDP("/isin/"&amp;$A25,"PX_BID"),"")</f>
        <v/>
      </c>
      <c r="E25" s="21">
        <f>IFERROR(BDP("/isin/"&amp;$A25,"PX_ASK"),"")</f>
        <v/>
      </c>
      <c r="F25" s="21">
        <f>IFERROR(BDP("/isin/"&amp;$A25,"PX_MID"),"")</f>
        <v/>
      </c>
      <c r="G25" s="21">
        <f>IFERROR(BDP("/isin/"&amp;$A25,"PX_LAST"),"")</f>
        <v/>
      </c>
      <c r="H25" s="26">
        <f>IFERROR(IF(OR(E25="",D25=""),"",E25-D25),"")</f>
        <v/>
      </c>
      <c r="I25" s="21">
        <f>IFERROR(BDP("/isin/"&amp;$A25,"YLD_YTM_BID"),"")</f>
        <v/>
      </c>
      <c r="J25" s="21">
        <f>IFERROR(BDP("/isin/"&amp;$A25,"YLD_YTM_ASK"),"")</f>
        <v/>
      </c>
      <c r="K25" s="21">
        <f>IFERROR(BDP("/isin/"&amp;$A25,"YLD_YTM_MID"),"")</f>
        <v/>
      </c>
      <c r="L25" s="21">
        <f>IFERROR(BDP("/isin/"&amp;$A25,"YAS_ZSPREAD"),"")</f>
        <v/>
      </c>
      <c r="M25" s="21">
        <f>IFERROR(BDP("/isin/"&amp;$A25,"YAS_BOND_SPRD"),"")</f>
        <v/>
      </c>
      <c r="N25" s="21">
        <f>IFERROR(BDP("/isin/"&amp;$A25,"YAS_ISPREAD"),"")</f>
        <v/>
      </c>
      <c r="O25" s="21">
        <f>IFERROR(BDP("/isin/"&amp;$A25,"YAS_OAS"),"")</f>
        <v/>
      </c>
      <c r="P25" s="21">
        <f>IFERROR(BDP("/isin/"&amp;$A25,"YAS_ASW_SPREAD"),"")</f>
        <v/>
      </c>
      <c r="Q25" s="21">
        <f>IFERROR(BDP("/isin/"&amp;$A25,"DUR_ADJ_MID"),"")</f>
        <v/>
      </c>
      <c r="R25" s="21">
        <f>IFERROR(BDP("/isin/"&amp;$A25,"DUR_SPRD_MID"),"")</f>
        <v/>
      </c>
      <c r="S25" s="21">
        <f>IFERROR(BDP("/isin/"&amp;$A25,"CONVEXITY_MID"),"")</f>
        <v/>
      </c>
      <c r="T25" s="21">
        <f>IFERROR(BDP("/isin/"&amp;$A25,"RISK_MID"),"")</f>
        <v/>
      </c>
      <c r="U25" s="21">
        <f>IFERROR(BDP("/isin/"&amp;$A25,"PX_CHG_PCT_1D"),"")</f>
        <v/>
      </c>
      <c r="V25" s="21">
        <f>IFERROR(BDP("/isin/"&amp;$A25,"PX_CHG_PCT_5D"),"")</f>
        <v/>
      </c>
      <c r="W25" s="21">
        <f>IFERROR(BDP("/isin/"&amp;$A25,"PX_CHG_PCT_1MO"),"")</f>
        <v/>
      </c>
    </row>
    <row r="26">
      <c r="A26" s="24">
        <f>IFERROR(IF(Bonds_Static!A26="","",Bonds_Static!A26),"")</f>
        <v/>
      </c>
      <c r="B26" s="24">
        <f>IFERROR(IF(Bonds_Static!C26="","",Bonds_Static!C26),"")</f>
        <v/>
      </c>
      <c r="C26" s="25">
        <f>IFERROR(IF(Bonds_Static!G26="","",Bonds_Static!G26),"")</f>
        <v/>
      </c>
      <c r="D26" s="21">
        <f>IFERROR(BDP("/isin/"&amp;$A26,"PX_BID"),"")</f>
        <v/>
      </c>
      <c r="E26" s="21">
        <f>IFERROR(BDP("/isin/"&amp;$A26,"PX_ASK"),"")</f>
        <v/>
      </c>
      <c r="F26" s="21">
        <f>IFERROR(BDP("/isin/"&amp;$A26,"PX_MID"),"")</f>
        <v/>
      </c>
      <c r="G26" s="21">
        <f>IFERROR(BDP("/isin/"&amp;$A26,"PX_LAST"),"")</f>
        <v/>
      </c>
      <c r="H26" s="26">
        <f>IFERROR(IF(OR(E26="",D26=""),"",E26-D26),"")</f>
        <v/>
      </c>
      <c r="I26" s="21">
        <f>IFERROR(BDP("/isin/"&amp;$A26,"YLD_YTM_BID"),"")</f>
        <v/>
      </c>
      <c r="J26" s="21">
        <f>IFERROR(BDP("/isin/"&amp;$A26,"YLD_YTM_ASK"),"")</f>
        <v/>
      </c>
      <c r="K26" s="21">
        <f>IFERROR(BDP("/isin/"&amp;$A26,"YLD_YTM_MID"),"")</f>
        <v/>
      </c>
      <c r="L26" s="21">
        <f>IFERROR(BDP("/isin/"&amp;$A26,"YAS_ZSPREAD"),"")</f>
        <v/>
      </c>
      <c r="M26" s="21">
        <f>IFERROR(BDP("/isin/"&amp;$A26,"YAS_BOND_SPRD"),"")</f>
        <v/>
      </c>
      <c r="N26" s="21">
        <f>IFERROR(BDP("/isin/"&amp;$A26,"YAS_ISPREAD"),"")</f>
        <v/>
      </c>
      <c r="O26" s="21">
        <f>IFERROR(BDP("/isin/"&amp;$A26,"YAS_OAS"),"")</f>
        <v/>
      </c>
      <c r="P26" s="21">
        <f>IFERROR(BDP("/isin/"&amp;$A26,"YAS_ASW_SPREAD"),"")</f>
        <v/>
      </c>
      <c r="Q26" s="21">
        <f>IFERROR(BDP("/isin/"&amp;$A26,"DUR_ADJ_MID"),"")</f>
        <v/>
      </c>
      <c r="R26" s="21">
        <f>IFERROR(BDP("/isin/"&amp;$A26,"DUR_SPRD_MID"),"")</f>
        <v/>
      </c>
      <c r="S26" s="21">
        <f>IFERROR(BDP("/isin/"&amp;$A26,"CONVEXITY_MID"),"")</f>
        <v/>
      </c>
      <c r="T26" s="21">
        <f>IFERROR(BDP("/isin/"&amp;$A26,"RISK_MID"),"")</f>
        <v/>
      </c>
      <c r="U26" s="21">
        <f>IFERROR(BDP("/isin/"&amp;$A26,"PX_CHG_PCT_1D"),"")</f>
        <v/>
      </c>
      <c r="V26" s="21">
        <f>IFERROR(BDP("/isin/"&amp;$A26,"PX_CHG_PCT_5D"),"")</f>
        <v/>
      </c>
      <c r="W26" s="21">
        <f>IFERROR(BDP("/isin/"&amp;$A26,"PX_CHG_PCT_1MO"),"")</f>
        <v/>
      </c>
    </row>
  </sheetData>
  <conditionalFormatting sqref="L2:L2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20" t="inlineStr">
        <is>
          <t>Tenor</t>
        </is>
      </c>
      <c r="B1" s="20" t="inlineStr">
        <is>
          <t>BBG Ticker</t>
        </is>
      </c>
      <c r="C1" s="20" t="inlineStr">
        <is>
          <t>Yield (%)</t>
        </is>
      </c>
      <c r="D1" s="20" t="inlineStr">
        <is>
          <t>1D Δ (bp)</t>
        </is>
      </c>
      <c r="E1" s="20" t="inlineStr">
        <is>
          <t>5D Δ (bp)</t>
        </is>
      </c>
      <c r="F1" s="20" t="inlineStr">
        <is>
          <t>1M Δ (bp)</t>
        </is>
      </c>
    </row>
    <row r="2">
      <c r="A2" s="27" t="inlineStr">
        <is>
          <t>3M</t>
        </is>
      </c>
      <c r="B2" s="8" t="inlineStr">
        <is>
          <t>USGG3M Index</t>
        </is>
      </c>
      <c r="C2" s="21">
        <f>IFERROR(BDP("USGG3M Index","PX_LAST"),"")</f>
        <v/>
      </c>
      <c r="D2" s="21">
        <f>IFERROR(BDP("USGG3M Index","CHG_PCT_1D")*100,"")</f>
        <v/>
      </c>
      <c r="E2" s="21">
        <f>IFERROR(BDP("USGG3M Index","CHG_PCT_5D")*100,"")</f>
        <v/>
      </c>
      <c r="F2" s="21">
        <f>IFERROR(BDP("USGG3M Index","CHG_PCT_1M")*100,"")</f>
        <v/>
      </c>
    </row>
    <row r="3">
      <c r="A3" s="27" t="inlineStr">
        <is>
          <t>6M</t>
        </is>
      </c>
      <c r="B3" s="8" t="inlineStr">
        <is>
          <t>USGG6M Index</t>
        </is>
      </c>
      <c r="C3" s="21">
        <f>IFERROR(BDP("USGG6M Index","PX_LAST"),"")</f>
        <v/>
      </c>
      <c r="D3" s="21">
        <f>IFERROR(BDP("USGG6M Index","CHG_PCT_1D")*100,"")</f>
        <v/>
      </c>
      <c r="E3" s="21">
        <f>IFERROR(BDP("USGG6M Index","CHG_PCT_5D")*100,"")</f>
        <v/>
      </c>
      <c r="F3" s="21">
        <f>IFERROR(BDP("USGG6M Index","CHG_PCT_1M")*100,"")</f>
        <v/>
      </c>
    </row>
    <row r="4">
      <c r="A4" s="27" t="inlineStr">
        <is>
          <t>1Y</t>
        </is>
      </c>
      <c r="B4" s="8" t="inlineStr">
        <is>
          <t>USGG12M Index</t>
        </is>
      </c>
      <c r="C4" s="21">
        <f>IFERROR(BDP("USGG12M Index","PX_LAST"),"")</f>
        <v/>
      </c>
      <c r="D4" s="21">
        <f>IFERROR(BDP("USGG12M Index","CHG_PCT_1D")*100,"")</f>
        <v/>
      </c>
      <c r="E4" s="21">
        <f>IFERROR(BDP("USGG12M Index","CHG_PCT_5D")*100,"")</f>
        <v/>
      </c>
      <c r="F4" s="21">
        <f>IFERROR(BDP("USGG12M Index","CHG_PCT_1M")*100,"")</f>
        <v/>
      </c>
    </row>
    <row r="5">
      <c r="A5" s="27" t="inlineStr">
        <is>
          <t>2Y</t>
        </is>
      </c>
      <c r="B5" s="8" t="inlineStr">
        <is>
          <t>USGG2YR Index</t>
        </is>
      </c>
      <c r="C5" s="21">
        <f>IFERROR(BDP("USGG2YR Index","PX_LAST"),"")</f>
        <v/>
      </c>
      <c r="D5" s="21">
        <f>IFERROR(BDP("USGG2YR Index","CHG_PCT_1D")*100,"")</f>
        <v/>
      </c>
      <c r="E5" s="21">
        <f>IFERROR(BDP("USGG2YR Index","CHG_PCT_5D")*100,"")</f>
        <v/>
      </c>
      <c r="F5" s="21">
        <f>IFERROR(BDP("USGG2YR Index","CHG_PCT_1M")*100,"")</f>
        <v/>
      </c>
    </row>
    <row r="6">
      <c r="A6" s="27" t="inlineStr">
        <is>
          <t>3Y</t>
        </is>
      </c>
      <c r="B6" s="8" t="inlineStr">
        <is>
          <t>USGG3YR Index</t>
        </is>
      </c>
      <c r="C6" s="21">
        <f>IFERROR(BDP("USGG3YR Index","PX_LAST"),"")</f>
        <v/>
      </c>
      <c r="D6" s="21">
        <f>IFERROR(BDP("USGG3YR Index","CHG_PCT_1D")*100,"")</f>
        <v/>
      </c>
      <c r="E6" s="21">
        <f>IFERROR(BDP("USGG3YR Index","CHG_PCT_5D")*100,"")</f>
        <v/>
      </c>
      <c r="F6" s="21">
        <f>IFERROR(BDP("USGG3YR Index","CHG_PCT_1M")*100,"")</f>
        <v/>
      </c>
    </row>
    <row r="7">
      <c r="A7" s="27" t="inlineStr">
        <is>
          <t>5Y</t>
        </is>
      </c>
      <c r="B7" s="8" t="inlineStr">
        <is>
          <t>USGG5YR Index</t>
        </is>
      </c>
      <c r="C7" s="21">
        <f>IFERROR(BDP("USGG5YR Index","PX_LAST"),"")</f>
        <v/>
      </c>
      <c r="D7" s="21">
        <f>IFERROR(BDP("USGG5YR Index","CHG_PCT_1D")*100,"")</f>
        <v/>
      </c>
      <c r="E7" s="21">
        <f>IFERROR(BDP("USGG5YR Index","CHG_PCT_5D")*100,"")</f>
        <v/>
      </c>
      <c r="F7" s="21">
        <f>IFERROR(BDP("USGG5YR Index","CHG_PCT_1M")*100,"")</f>
        <v/>
      </c>
    </row>
    <row r="8">
      <c r="A8" s="27" t="inlineStr">
        <is>
          <t>7Y</t>
        </is>
      </c>
      <c r="B8" s="8" t="inlineStr">
        <is>
          <t>USGG7YR Index</t>
        </is>
      </c>
      <c r="C8" s="21">
        <f>IFERROR(BDP("USGG7YR Index","PX_LAST"),"")</f>
        <v/>
      </c>
      <c r="D8" s="21">
        <f>IFERROR(BDP("USGG7YR Index","CHG_PCT_1D")*100,"")</f>
        <v/>
      </c>
      <c r="E8" s="21">
        <f>IFERROR(BDP("USGG7YR Index","CHG_PCT_5D")*100,"")</f>
        <v/>
      </c>
      <c r="F8" s="21">
        <f>IFERROR(BDP("USGG7YR Index","CHG_PCT_1M")*100,"")</f>
        <v/>
      </c>
    </row>
    <row r="9">
      <c r="A9" s="27" t="inlineStr">
        <is>
          <t>10Y</t>
        </is>
      </c>
      <c r="B9" s="8" t="inlineStr">
        <is>
          <t>USGG10YR Index</t>
        </is>
      </c>
      <c r="C9" s="21">
        <f>IFERROR(BDP("USGG10YR Index","PX_LAST"),"")</f>
        <v/>
      </c>
      <c r="D9" s="21">
        <f>IFERROR(BDP("USGG10YR Index","CHG_PCT_1D")*100,"")</f>
        <v/>
      </c>
      <c r="E9" s="21">
        <f>IFERROR(BDP("USGG10YR Index","CHG_PCT_5D")*100,"")</f>
        <v/>
      </c>
      <c r="F9" s="21">
        <f>IFERROR(BDP("USGG10YR Index","CHG_PCT_1M")*100,"")</f>
        <v/>
      </c>
    </row>
    <row r="10">
      <c r="A10" s="27" t="inlineStr">
        <is>
          <t>20Y</t>
        </is>
      </c>
      <c r="B10" s="8" t="inlineStr">
        <is>
          <t>USGG20YR Index</t>
        </is>
      </c>
      <c r="C10" s="21">
        <f>IFERROR(BDP("USGG20YR Index","PX_LAST"),"")</f>
        <v/>
      </c>
      <c r="D10" s="21">
        <f>IFERROR(BDP("USGG20YR Index","CHG_PCT_1D")*100,"")</f>
        <v/>
      </c>
      <c r="E10" s="21">
        <f>IFERROR(BDP("USGG20YR Index","CHG_PCT_5D")*100,"")</f>
        <v/>
      </c>
      <c r="F10" s="21">
        <f>IFERROR(BDP("USGG20YR Index","CHG_PCT_1M")*100,"")</f>
        <v/>
      </c>
    </row>
    <row r="11">
      <c r="A11" s="27" t="inlineStr">
        <is>
          <t>30Y</t>
        </is>
      </c>
      <c r="B11" s="8" t="inlineStr">
        <is>
          <t>USGG30YR Index</t>
        </is>
      </c>
      <c r="C11" s="21">
        <f>IFERROR(BDP("USGG30YR Index","PX_LAST"),"")</f>
        <v/>
      </c>
      <c r="D11" s="21">
        <f>IFERROR(BDP("USGG30YR Index","CHG_PCT_1D")*100,"")</f>
        <v/>
      </c>
      <c r="E11" s="21">
        <f>IFERROR(BDP("USGG30YR Index","CHG_PCT_5D")*100,"")</f>
        <v/>
      </c>
      <c r="F11" s="21">
        <f>IFERROR(BDP("USGG30YR Index","CHG_PCT_1M")*100,"")</f>
        <v/>
      </c>
    </row>
    <row r="14">
      <c r="A14" s="5" t="inlineStr">
        <is>
          <t>Curve slopes (bp)</t>
        </is>
      </c>
      <c r="B14" s="6" t="n"/>
      <c r="C14" s="6" t="n"/>
      <c r="D14" s="6" t="n"/>
      <c r="E14" s="6" t="n"/>
      <c r="F14" s="7" t="n"/>
    </row>
    <row r="15">
      <c r="A15" s="27" t="inlineStr">
        <is>
          <t>2s10s</t>
        </is>
      </c>
      <c r="C15" s="28">
        <f>IFERROR((C8-C5)*100,"")</f>
        <v/>
      </c>
    </row>
    <row r="16">
      <c r="A16" s="27" t="inlineStr">
        <is>
          <t>5s30s</t>
        </is>
      </c>
      <c r="C16" s="28">
        <f>IFERROR((C11-C7)*100,"")</f>
        <v/>
      </c>
    </row>
    <row r="17">
      <c r="A17" s="27" t="inlineStr">
        <is>
          <t>2s30s</t>
        </is>
      </c>
      <c r="C17" s="28">
        <f>IFERROR((C11-C5)*100,"")</f>
        <v/>
      </c>
    </row>
    <row r="18">
      <c r="A18" s="27" t="inlineStr">
        <is>
          <t>10s30s</t>
        </is>
      </c>
      <c r="C18" s="28">
        <f>IFERROR((C11-C8)*100,"")</f>
        <v/>
      </c>
    </row>
    <row r="21">
      <c r="A21" s="5" t="inlineStr">
        <is>
          <t>Rates Volatility Regime (MOVE Index)</t>
        </is>
      </c>
      <c r="B21" s="6" t="n"/>
      <c r="C21" s="6" t="n"/>
      <c r="D21" s="6" t="n"/>
      <c r="E21" s="6" t="n"/>
      <c r="F21" s="7" t="n"/>
    </row>
    <row r="22">
      <c r="A22" s="27" t="inlineStr">
        <is>
          <t>MOVE level</t>
        </is>
      </c>
      <c r="B22" s="8" t="inlineStr">
        <is>
          <t>MOVE Index</t>
        </is>
      </c>
      <c r="C22" s="21">
        <f>IFERROR(BDP("MOVE Index","PX_LAST"),"")</f>
        <v/>
      </c>
    </row>
    <row r="23">
      <c r="A23" s="27" t="inlineStr">
        <is>
          <t>1Y avg</t>
        </is>
      </c>
      <c r="C23" s="21">
        <f>IFERROR(AVERAGE(INDEX(BDH("MOVE Index","PX_LAST","-1Y","0D"),0,2)),"")</f>
        <v/>
      </c>
    </row>
    <row r="24">
      <c r="A24" s="27" t="inlineStr">
        <is>
          <t>1Y stdev</t>
        </is>
      </c>
      <c r="C24" s="21">
        <f>IFERROR(STDEV(INDEX(BDH("MOVE Index","PX_LAST","-1Y","0D"),0,2)),"")</f>
        <v/>
      </c>
    </row>
    <row r="25">
      <c r="A25" s="27" t="inlineStr">
        <is>
          <t>1Y percentile (current)</t>
        </is>
      </c>
      <c r="C25" s="21">
        <f>IFERROR(PERCENTRANK.INC(INDEX(BDH("MOVE Index","PX_LAST","-1Y","0D"),0,2),C22)*100,"")</f>
        <v/>
      </c>
    </row>
    <row r="26">
      <c r="A26" s="27" t="inlineStr">
        <is>
          <t>Regime</t>
        </is>
      </c>
      <c r="C26" s="10">
        <f>IFERROR(IF(C25="","",IF(C25&gt;=Settings!$C$55,"EXTREME",IF(C25&gt;=Settings!$C$54,"HIGH","NORMAL"))),"")</f>
        <v/>
      </c>
    </row>
    <row r="27">
      <c r="A27" s="27" t="inlineStr">
        <is>
          <t>Position size scalar</t>
        </is>
      </c>
      <c r="C27" s="19">
        <f>IFERROR(IF(C26="","",IF(C26="EXTREME",Settings!$C$57,IF(C26="HIGH",Settings!$C$56,1))),"")</f>
        <v/>
      </c>
    </row>
  </sheetData>
  <mergeCells count="2">
    <mergeCell ref="A14:F14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8" customWidth="1" min="8" max="8"/>
    <col width="14" customWidth="1" min="9" max="9"/>
    <col width="30" customWidth="1" min="10" max="10"/>
  </cols>
  <sheetData>
    <row r="1" ht="30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τ (yrs)</t>
        </is>
      </c>
      <c r="D1" s="20" t="inlineStr">
        <is>
          <t>Actual YTM</t>
        </is>
      </c>
      <c r="E1" s="20" t="inlineStr">
        <is>
          <t>Modeled YTM</t>
        </is>
      </c>
      <c r="F1" s="20" t="inlineStr">
        <is>
          <t>Residual (bp)</t>
        </is>
      </c>
      <c r="G1" t="inlineStr"/>
      <c r="H1" s="20" t="inlineStr">
        <is>
          <t>LINEST coefficient block</t>
        </is>
      </c>
      <c r="I1" s="6" t="n"/>
      <c r="J1" s="7" t="n"/>
    </row>
    <row r="2">
      <c r="A2" s="24">
        <f>Bonds_Static!A2</f>
        <v/>
      </c>
      <c r="B2" s="24">
        <f>Bonds_Static!C2</f>
        <v/>
      </c>
      <c r="C2" s="25">
        <f>IFERROR(Bonds_Static!G2,"")</f>
        <v/>
      </c>
      <c r="D2" s="29">
        <f>IFERROR(Bonds_Live!K2/100,"")</f>
        <v/>
      </c>
      <c r="E2" s="30">
        <f>IFERROR(IF(C2="","",$H$5 + $H$4*C2 + $H$3*C2^2 + $H$2*C2^3),"")</f>
        <v/>
      </c>
      <c r="F2" s="28">
        <f>IFERROR(IF(OR(D2="",E2=""),"",(D2-E2)*10000),"")</f>
        <v/>
      </c>
      <c r="H2" s="21">
        <f>IFERROR(INDEX(LINEST(D2:D26,C2:C26^{1,2,3},TRUE,TRUE),1,1),"")</f>
        <v/>
      </c>
      <c r="I2" s="31" t="inlineStr">
        <is>
          <t>a3 (τ³ coeff)</t>
        </is>
      </c>
    </row>
    <row r="3">
      <c r="A3" s="24">
        <f>Bonds_Static!A3</f>
        <v/>
      </c>
      <c r="B3" s="24">
        <f>Bonds_Static!C3</f>
        <v/>
      </c>
      <c r="C3" s="25">
        <f>IFERROR(Bonds_Static!G3,"")</f>
        <v/>
      </c>
      <c r="D3" s="29">
        <f>IFERROR(Bonds_Live!K3/100,"")</f>
        <v/>
      </c>
      <c r="E3" s="30">
        <f>IFERROR(IF(C3="","",$H$5 + $H$4*C3 + $H$3*C3^2 + $H$2*C3^3),"")</f>
        <v/>
      </c>
      <c r="F3" s="28">
        <f>IFERROR(IF(OR(D3="",E3=""),"",(D3-E3)*10000),"")</f>
        <v/>
      </c>
      <c r="H3" s="21">
        <f>IFERROR(INDEX(LINEST(D2:D26,C2:C26^{1,2,3},TRUE,TRUE),1,2),"")</f>
        <v/>
      </c>
      <c r="I3" s="31" t="inlineStr">
        <is>
          <t>a2 (τ² coeff)</t>
        </is>
      </c>
    </row>
    <row r="4">
      <c r="A4" s="24">
        <f>Bonds_Static!A4</f>
        <v/>
      </c>
      <c r="B4" s="24">
        <f>Bonds_Static!C4</f>
        <v/>
      </c>
      <c r="C4" s="25">
        <f>IFERROR(Bonds_Static!G4,"")</f>
        <v/>
      </c>
      <c r="D4" s="29">
        <f>IFERROR(Bonds_Live!K4/100,"")</f>
        <v/>
      </c>
      <c r="E4" s="30">
        <f>IFERROR(IF(C4="","",$H$5 + $H$4*C4 + $H$3*C4^2 + $H$2*C4^3),"")</f>
        <v/>
      </c>
      <c r="F4" s="28">
        <f>IFERROR(IF(OR(D4="",E4=""),"",(D4-E4)*10000),"")</f>
        <v/>
      </c>
      <c r="H4" s="21">
        <f>IFERROR(INDEX(LINEST(D2:D26,C2:C26^{1,2,3},TRUE,TRUE),1,3),"")</f>
        <v/>
      </c>
      <c r="I4" s="31" t="inlineStr">
        <is>
          <t>a1 (τ coeff)</t>
        </is>
      </c>
    </row>
    <row r="5">
      <c r="A5" s="24">
        <f>Bonds_Static!A5</f>
        <v/>
      </c>
      <c r="B5" s="24">
        <f>Bonds_Static!C5</f>
        <v/>
      </c>
      <c r="C5" s="25">
        <f>IFERROR(Bonds_Static!G5,"")</f>
        <v/>
      </c>
      <c r="D5" s="29">
        <f>IFERROR(Bonds_Live!K5/100,"")</f>
        <v/>
      </c>
      <c r="E5" s="30">
        <f>IFERROR(IF(C5="","",$H$5 + $H$4*C5 + $H$3*C5^2 + $H$2*C5^3),"")</f>
        <v/>
      </c>
      <c r="F5" s="28">
        <f>IFERROR(IF(OR(D5="",E5=""),"",(D5-E5)*10000),"")</f>
        <v/>
      </c>
      <c r="H5" s="21">
        <f>IFERROR(INDEX(LINEST(D2:D26,C2:C26^{1,2,3},TRUE,TRUE),1,4),"")</f>
        <v/>
      </c>
      <c r="I5" s="31" t="inlineStr">
        <is>
          <t>a0 (intercept)</t>
        </is>
      </c>
    </row>
    <row r="6">
      <c r="A6" s="24">
        <f>Bonds_Static!A6</f>
        <v/>
      </c>
      <c r="B6" s="24">
        <f>Bonds_Static!C6</f>
        <v/>
      </c>
      <c r="C6" s="25">
        <f>IFERROR(Bonds_Static!G6,"")</f>
        <v/>
      </c>
      <c r="D6" s="29">
        <f>IFERROR(Bonds_Live!K6/100,"")</f>
        <v/>
      </c>
      <c r="E6" s="30">
        <f>IFERROR(IF(C6="","",$H$5 + $H$4*C6 + $H$3*C6^2 + $H$2*C6^3),"")</f>
        <v/>
      </c>
      <c r="F6" s="28">
        <f>IFERROR(IF(OR(D6="",E6=""),"",(D6-E6)*10000),"")</f>
        <v/>
      </c>
    </row>
    <row r="7">
      <c r="A7" s="24">
        <f>Bonds_Static!A7</f>
        <v/>
      </c>
      <c r="B7" s="24">
        <f>Bonds_Static!C7</f>
        <v/>
      </c>
      <c r="C7" s="25">
        <f>IFERROR(Bonds_Static!G7,"")</f>
        <v/>
      </c>
      <c r="D7" s="29">
        <f>IFERROR(Bonds_Live!K7/100,"")</f>
        <v/>
      </c>
      <c r="E7" s="30">
        <f>IFERROR(IF(C7="","",$H$5 + $H$4*C7 + $H$3*C7^2 + $H$2*C7^3),"")</f>
        <v/>
      </c>
      <c r="F7" s="28">
        <f>IFERROR(IF(OR(D7="",E7=""),"",(D7-E7)*10000),"")</f>
        <v/>
      </c>
      <c r="H7" s="21">
        <f>IFERROR(INDEX(LINEST(D2:D26,C2:C26^{1,2,3},TRUE,TRUE),3,1),"")</f>
        <v/>
      </c>
      <c r="I7" s="32" t="inlineStr">
        <is>
          <t>R²</t>
        </is>
      </c>
    </row>
    <row r="8">
      <c r="A8" s="24">
        <f>Bonds_Static!A8</f>
        <v/>
      </c>
      <c r="B8" s="24">
        <f>Bonds_Static!C8</f>
        <v/>
      </c>
      <c r="C8" s="25">
        <f>IFERROR(Bonds_Static!G8,"")</f>
        <v/>
      </c>
      <c r="D8" s="29">
        <f>IFERROR(Bonds_Live!K8/100,"")</f>
        <v/>
      </c>
      <c r="E8" s="30">
        <f>IFERROR(IF(C8="","",$H$5 + $H$4*C8 + $H$3*C8^2 + $H$2*C8^3),"")</f>
        <v/>
      </c>
      <c r="F8" s="28">
        <f>IFERROR(IF(OR(D8="",E8=""),"",(D8-E8)*10000),"")</f>
        <v/>
      </c>
    </row>
    <row r="9">
      <c r="A9" s="24">
        <f>Bonds_Static!A9</f>
        <v/>
      </c>
      <c r="B9" s="24">
        <f>Bonds_Static!C9</f>
        <v/>
      </c>
      <c r="C9" s="25">
        <f>IFERROR(Bonds_Static!G9,"")</f>
        <v/>
      </c>
      <c r="D9" s="29">
        <f>IFERROR(Bonds_Live!K9/100,"")</f>
        <v/>
      </c>
      <c r="E9" s="30">
        <f>IFERROR(IF(C9="","",$H$5 + $H$4*C9 + $H$3*C9^2 + $H$2*C9^3),"")</f>
        <v/>
      </c>
      <c r="F9" s="28">
        <f>IFERROR(IF(OR(D9="",E9=""),"",(D9-E9)*10000),"")</f>
        <v/>
      </c>
      <c r="H9" s="33" t="inlineStr">
        <is>
          <t>Coefficients refit automatically each time yields refresh — no Solver needed.</t>
        </is>
      </c>
    </row>
    <row r="10">
      <c r="A10" s="24">
        <f>Bonds_Static!A10</f>
        <v/>
      </c>
      <c r="B10" s="24">
        <f>Bonds_Static!C10</f>
        <v/>
      </c>
      <c r="C10" s="25">
        <f>IFERROR(Bonds_Static!G10,"")</f>
        <v/>
      </c>
      <c r="D10" s="29">
        <f>IFERROR(Bonds_Live!K10/100,"")</f>
        <v/>
      </c>
      <c r="E10" s="30">
        <f>IFERROR(IF(C10="","",$H$5 + $H$4*C10 + $H$3*C10^2 + $H$2*C10^3),"")</f>
        <v/>
      </c>
      <c r="F10" s="28">
        <f>IFERROR(IF(OR(D10="",E10=""),"",(D10-E10)*10000),"")</f>
        <v/>
      </c>
    </row>
    <row r="11">
      <c r="A11" s="24">
        <f>Bonds_Static!A11</f>
        <v/>
      </c>
      <c r="B11" s="24">
        <f>Bonds_Static!C11</f>
        <v/>
      </c>
      <c r="C11" s="25">
        <f>IFERROR(Bonds_Static!G11,"")</f>
        <v/>
      </c>
      <c r="D11" s="29">
        <f>IFERROR(Bonds_Live!K11/100,"")</f>
        <v/>
      </c>
      <c r="E11" s="30">
        <f>IFERROR(IF(C11="","",$H$5 + $H$4*C11 + $H$3*C11^2 + $H$2*C11^3),"")</f>
        <v/>
      </c>
      <c r="F11" s="28">
        <f>IFERROR(IF(OR(D11="",E11=""),"",(D11-E11)*10000),"")</f>
        <v/>
      </c>
    </row>
    <row r="12">
      <c r="A12" s="24">
        <f>Bonds_Static!A12</f>
        <v/>
      </c>
      <c r="B12" s="24">
        <f>Bonds_Static!C12</f>
        <v/>
      </c>
      <c r="C12" s="25">
        <f>IFERROR(Bonds_Static!G12,"")</f>
        <v/>
      </c>
      <c r="D12" s="29">
        <f>IFERROR(Bonds_Live!K12/100,"")</f>
        <v/>
      </c>
      <c r="E12" s="30">
        <f>IFERROR(IF(C12="","",$H$5 + $H$4*C12 + $H$3*C12^2 + $H$2*C12^3),"")</f>
        <v/>
      </c>
      <c r="F12" s="28">
        <f>IFERROR(IF(OR(D12="",E12=""),"",(D12-E12)*10000),"")</f>
        <v/>
      </c>
    </row>
    <row r="13">
      <c r="A13" s="24">
        <f>Bonds_Static!A13</f>
        <v/>
      </c>
      <c r="B13" s="24">
        <f>Bonds_Static!C13</f>
        <v/>
      </c>
      <c r="C13" s="25">
        <f>IFERROR(Bonds_Static!G13,"")</f>
        <v/>
      </c>
      <c r="D13" s="29">
        <f>IFERROR(Bonds_Live!K13/100,"")</f>
        <v/>
      </c>
      <c r="E13" s="30">
        <f>IFERROR(IF(C13="","",$H$5 + $H$4*C13 + $H$3*C13^2 + $H$2*C13^3),"")</f>
        <v/>
      </c>
      <c r="F13" s="28">
        <f>IFERROR(IF(OR(D13="",E13=""),"",(D13-E13)*10000),"")</f>
        <v/>
      </c>
    </row>
    <row r="14">
      <c r="A14" s="24">
        <f>Bonds_Static!A14</f>
        <v/>
      </c>
      <c r="B14" s="24">
        <f>Bonds_Static!C14</f>
        <v/>
      </c>
      <c r="C14" s="25">
        <f>IFERROR(Bonds_Static!G14,"")</f>
        <v/>
      </c>
      <c r="D14" s="29">
        <f>IFERROR(Bonds_Live!K14/100,"")</f>
        <v/>
      </c>
      <c r="E14" s="30">
        <f>IFERROR(IF(C14="","",$H$5 + $H$4*C14 + $H$3*C14^2 + $H$2*C14^3),"")</f>
        <v/>
      </c>
      <c r="F14" s="28">
        <f>IFERROR(IF(OR(D14="",E14=""),"",(D14-E14)*10000),"")</f>
        <v/>
      </c>
    </row>
    <row r="15">
      <c r="A15" s="24">
        <f>Bonds_Static!A15</f>
        <v/>
      </c>
      <c r="B15" s="24">
        <f>Bonds_Static!C15</f>
        <v/>
      </c>
      <c r="C15" s="25">
        <f>IFERROR(Bonds_Static!G15,"")</f>
        <v/>
      </c>
      <c r="D15" s="29">
        <f>IFERROR(Bonds_Live!K15/100,"")</f>
        <v/>
      </c>
      <c r="E15" s="30">
        <f>IFERROR(IF(C15="","",$H$5 + $H$4*C15 + $H$3*C15^2 + $H$2*C15^3),"")</f>
        <v/>
      </c>
      <c r="F15" s="28">
        <f>IFERROR(IF(OR(D15="",E15=""),"",(D15-E15)*10000),"")</f>
        <v/>
      </c>
    </row>
    <row r="16">
      <c r="A16" s="24">
        <f>Bonds_Static!A16</f>
        <v/>
      </c>
      <c r="B16" s="24">
        <f>Bonds_Static!C16</f>
        <v/>
      </c>
      <c r="C16" s="25">
        <f>IFERROR(Bonds_Static!G16,"")</f>
        <v/>
      </c>
      <c r="D16" s="29">
        <f>IFERROR(Bonds_Live!K16/100,"")</f>
        <v/>
      </c>
      <c r="E16" s="30">
        <f>IFERROR(IF(C16="","",$H$5 + $H$4*C16 + $H$3*C16^2 + $H$2*C16^3),"")</f>
        <v/>
      </c>
      <c r="F16" s="28">
        <f>IFERROR(IF(OR(D16="",E16=""),"",(D16-E16)*10000),"")</f>
        <v/>
      </c>
    </row>
    <row r="17">
      <c r="A17" s="24">
        <f>Bonds_Static!A17</f>
        <v/>
      </c>
      <c r="B17" s="24">
        <f>Bonds_Static!C17</f>
        <v/>
      </c>
      <c r="C17" s="25">
        <f>IFERROR(Bonds_Static!G17,"")</f>
        <v/>
      </c>
      <c r="D17" s="29">
        <f>IFERROR(Bonds_Live!K17/100,"")</f>
        <v/>
      </c>
      <c r="E17" s="30">
        <f>IFERROR(IF(C17="","",$H$5 + $H$4*C17 + $H$3*C17^2 + $H$2*C17^3),"")</f>
        <v/>
      </c>
      <c r="F17" s="28">
        <f>IFERROR(IF(OR(D17="",E17=""),"",(D17-E17)*10000),"")</f>
        <v/>
      </c>
    </row>
    <row r="18">
      <c r="A18" s="24">
        <f>Bonds_Static!A18</f>
        <v/>
      </c>
      <c r="B18" s="24">
        <f>Bonds_Static!C18</f>
        <v/>
      </c>
      <c r="C18" s="25">
        <f>IFERROR(Bonds_Static!G18,"")</f>
        <v/>
      </c>
      <c r="D18" s="29">
        <f>IFERROR(Bonds_Live!K18/100,"")</f>
        <v/>
      </c>
      <c r="E18" s="30">
        <f>IFERROR(IF(C18="","",$H$5 + $H$4*C18 + $H$3*C18^2 + $H$2*C18^3),"")</f>
        <v/>
      </c>
      <c r="F18" s="28">
        <f>IFERROR(IF(OR(D18="",E18=""),"",(D18-E18)*10000),"")</f>
        <v/>
      </c>
    </row>
    <row r="19">
      <c r="A19" s="24">
        <f>Bonds_Static!A19</f>
        <v/>
      </c>
      <c r="B19" s="24">
        <f>Bonds_Static!C19</f>
        <v/>
      </c>
      <c r="C19" s="25">
        <f>IFERROR(Bonds_Static!G19,"")</f>
        <v/>
      </c>
      <c r="D19" s="29">
        <f>IFERROR(Bonds_Live!K19/100,"")</f>
        <v/>
      </c>
      <c r="E19" s="30">
        <f>IFERROR(IF(C19="","",$H$5 + $H$4*C19 + $H$3*C19^2 + $H$2*C19^3),"")</f>
        <v/>
      </c>
      <c r="F19" s="28">
        <f>IFERROR(IF(OR(D19="",E19=""),"",(D19-E19)*10000),"")</f>
        <v/>
      </c>
    </row>
    <row r="20">
      <c r="A20" s="24">
        <f>Bonds_Static!A20</f>
        <v/>
      </c>
      <c r="B20" s="24">
        <f>Bonds_Static!C20</f>
        <v/>
      </c>
      <c r="C20" s="25">
        <f>IFERROR(Bonds_Static!G20,"")</f>
        <v/>
      </c>
      <c r="D20" s="29">
        <f>IFERROR(Bonds_Live!K20/100,"")</f>
        <v/>
      </c>
      <c r="E20" s="30">
        <f>IFERROR(IF(C20="","",$H$5 + $H$4*C20 + $H$3*C20^2 + $H$2*C20^3),"")</f>
        <v/>
      </c>
      <c r="F20" s="28">
        <f>IFERROR(IF(OR(D20="",E20=""),"",(D20-E20)*10000),"")</f>
        <v/>
      </c>
    </row>
    <row r="21">
      <c r="A21" s="24">
        <f>Bonds_Static!A21</f>
        <v/>
      </c>
      <c r="B21" s="24">
        <f>Bonds_Static!C21</f>
        <v/>
      </c>
      <c r="C21" s="25">
        <f>IFERROR(Bonds_Static!G21,"")</f>
        <v/>
      </c>
      <c r="D21" s="29">
        <f>IFERROR(Bonds_Live!K21/100,"")</f>
        <v/>
      </c>
      <c r="E21" s="30">
        <f>IFERROR(IF(C21="","",$H$5 + $H$4*C21 + $H$3*C21^2 + $H$2*C21^3),"")</f>
        <v/>
      </c>
      <c r="F21" s="28">
        <f>IFERROR(IF(OR(D21="",E21=""),"",(D21-E21)*10000),"")</f>
        <v/>
      </c>
    </row>
    <row r="22">
      <c r="A22" s="24">
        <f>Bonds_Static!A22</f>
        <v/>
      </c>
      <c r="B22" s="24">
        <f>Bonds_Static!C22</f>
        <v/>
      </c>
      <c r="C22" s="25">
        <f>IFERROR(Bonds_Static!G22,"")</f>
        <v/>
      </c>
      <c r="D22" s="29">
        <f>IFERROR(Bonds_Live!K22/100,"")</f>
        <v/>
      </c>
      <c r="E22" s="30">
        <f>IFERROR(IF(C22="","",$H$5 + $H$4*C22 + $H$3*C22^2 + $H$2*C22^3),"")</f>
        <v/>
      </c>
      <c r="F22" s="28">
        <f>IFERROR(IF(OR(D22="",E22=""),"",(D22-E22)*10000),"")</f>
        <v/>
      </c>
    </row>
    <row r="23">
      <c r="A23" s="24">
        <f>Bonds_Static!A23</f>
        <v/>
      </c>
      <c r="B23" s="24">
        <f>Bonds_Static!C23</f>
        <v/>
      </c>
      <c r="C23" s="25">
        <f>IFERROR(Bonds_Static!G23,"")</f>
        <v/>
      </c>
      <c r="D23" s="29">
        <f>IFERROR(Bonds_Live!K23/100,"")</f>
        <v/>
      </c>
      <c r="E23" s="30">
        <f>IFERROR(IF(C23="","",$H$5 + $H$4*C23 + $H$3*C23^2 + $H$2*C23^3),"")</f>
        <v/>
      </c>
      <c r="F23" s="28">
        <f>IFERROR(IF(OR(D23="",E23=""),"",(D23-E23)*10000),"")</f>
        <v/>
      </c>
    </row>
    <row r="24">
      <c r="A24" s="24">
        <f>Bonds_Static!A24</f>
        <v/>
      </c>
      <c r="B24" s="24">
        <f>Bonds_Static!C24</f>
        <v/>
      </c>
      <c r="C24" s="25">
        <f>IFERROR(Bonds_Static!G24,"")</f>
        <v/>
      </c>
      <c r="D24" s="29">
        <f>IFERROR(Bonds_Live!K24/100,"")</f>
        <v/>
      </c>
      <c r="E24" s="30">
        <f>IFERROR(IF(C24="","",$H$5 + $H$4*C24 + $H$3*C24^2 + $H$2*C24^3),"")</f>
        <v/>
      </c>
      <c r="F24" s="28">
        <f>IFERROR(IF(OR(D24="",E24=""),"",(D24-E24)*10000),"")</f>
        <v/>
      </c>
    </row>
    <row r="25">
      <c r="A25" s="24">
        <f>Bonds_Static!A25</f>
        <v/>
      </c>
      <c r="B25" s="24">
        <f>Bonds_Static!C25</f>
        <v/>
      </c>
      <c r="C25" s="25">
        <f>IFERROR(Bonds_Static!G25,"")</f>
        <v/>
      </c>
      <c r="D25" s="29">
        <f>IFERROR(Bonds_Live!K25/100,"")</f>
        <v/>
      </c>
      <c r="E25" s="30">
        <f>IFERROR(IF(C25="","",$H$5 + $H$4*C25 + $H$3*C25^2 + $H$2*C25^3),"")</f>
        <v/>
      </c>
      <c r="F25" s="28">
        <f>IFERROR(IF(OR(D25="",E25=""),"",(D25-E25)*10000),"")</f>
        <v/>
      </c>
    </row>
    <row r="26">
      <c r="A26" s="24">
        <f>Bonds_Static!A26</f>
        <v/>
      </c>
      <c r="B26" s="24">
        <f>Bonds_Static!C26</f>
        <v/>
      </c>
      <c r="C26" s="25">
        <f>IFERROR(Bonds_Static!G26,"")</f>
        <v/>
      </c>
      <c r="D26" s="29">
        <f>IFERROR(Bonds_Live!K26/100,"")</f>
        <v/>
      </c>
      <c r="E26" s="30">
        <f>IFERROR(IF(C26="","",$H$5 + $H$4*C26 + $H$3*C26^2 + $H$2*C26^3),"")</f>
        <v/>
      </c>
      <c r="F26" s="28">
        <f>IFERROR(IF(OR(D26="",E26=""),"",(D26-E26)*10000),"")</f>
        <v/>
      </c>
    </row>
  </sheetData>
  <mergeCells count="2">
    <mergeCell ref="H1:J1"/>
    <mergeCell ref="H9:J10"/>
  </mergeCells>
  <conditionalFormatting sqref="F2:F26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3" customWidth="1" min="4" max="4"/>
    <col width="16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Amt Out ($mm)</t>
        </is>
      </c>
      <c r="D1" s="20" t="inlineStr">
        <is>
          <t>Bid-Ask (pts)</t>
        </is>
      </c>
      <c r="E1" s="20" t="inlineStr">
        <is>
          <t>TRACE Avg Vol ($mm)</t>
        </is>
      </c>
      <c r="F1" s="20" t="inlineStr">
        <is>
          <t>LQA Score</t>
        </is>
      </c>
      <c r="G1" s="20" t="inlineStr">
        <is>
          <t>Yrs to Maty</t>
        </is>
      </c>
      <c r="H1" s="20" t="inlineStr">
        <is>
          <t>Criteria Passed</t>
        </is>
      </c>
      <c r="I1" s="20" t="inlineStr">
        <is>
          <t>Liquidity Score</t>
        </is>
      </c>
      <c r="J1" s="20" t="inlineStr">
        <is>
          <t>Liquid?</t>
        </is>
      </c>
    </row>
    <row r="2">
      <c r="A2" s="24">
        <f>Bonds_Static!A2</f>
        <v/>
      </c>
      <c r="B2" s="24">
        <f>Bonds_Static!C2</f>
        <v/>
      </c>
      <c r="C2" s="34">
        <f>IFERROR(Bonds_Static!H2,"")</f>
        <v/>
      </c>
      <c r="D2" s="35">
        <f>IFERROR(Bonds_Live!H2,"")</f>
        <v/>
      </c>
      <c r="E2" s="21">
        <f>IFERROR(BDP("/isin/"&amp;$A2,"TRACE_AVG_DAILY_VOL")/1000000,"")</f>
        <v/>
      </c>
      <c r="F2" s="23">
        <f>IFERROR(BDP("/isin/"&amp;$A2,"LIQUIDITY_SCORE_BB"),"")</f>
        <v/>
      </c>
      <c r="G2" s="25">
        <f>IFERROR(Bonds_Static!G2,"")</f>
        <v/>
      </c>
      <c r="H2" s="10">
        <f>IFERROR((IF(ISNUMBER(C2),IF(C2&gt;=Settings!$C$34,1,0),0))+(IF(ISNUMBER(D2),IF(D2&lt;=Settings!$C$35,1,0),0))+(IF(ISNUMBER(E2),IF(E2&gt;=Settings!$C$36,1,0),0))+(IF(ISNUMBER(F2),IF(F2&gt;=Settings!$C$37,1,0),0))+(IF(ISNUMBER(G2),IF(G2&gt;=Settings!$C$38,1,0),0)),"")</f>
        <v/>
      </c>
      <c r="I2" s="23">
        <f>IFERROR(100*(0.40*MIN(IF(ISNUMBER(C2),C2/2000,0),1)+0.20*MAX(IF(ISNUMBER(D2),1-D2/1.5,0),0)+0.20*MIN(IF(ISNUMBER(E2),E2/20,0),1)+0.20*IF(ISNUMBER(F2),F2/100,0)),"")</f>
        <v/>
      </c>
      <c r="J2" s="10">
        <f>IFERROR(IF(H2="","",IF(H2&gt;=Settings!$C$39,"PASS","FAIL")),"")</f>
        <v/>
      </c>
    </row>
    <row r="3">
      <c r="A3" s="24">
        <f>Bonds_Static!A3</f>
        <v/>
      </c>
      <c r="B3" s="24">
        <f>Bonds_Static!C3</f>
        <v/>
      </c>
      <c r="C3" s="34">
        <f>IFERROR(Bonds_Static!H3,"")</f>
        <v/>
      </c>
      <c r="D3" s="35">
        <f>IFERROR(Bonds_Live!H3,"")</f>
        <v/>
      </c>
      <c r="E3" s="21">
        <f>IFERROR(BDP("/isin/"&amp;$A3,"TRACE_AVG_DAILY_VOL")/1000000,"")</f>
        <v/>
      </c>
      <c r="F3" s="23">
        <f>IFERROR(BDP("/isin/"&amp;$A3,"LIQUIDITY_SCORE_BB"),"")</f>
        <v/>
      </c>
      <c r="G3" s="25">
        <f>IFERROR(Bonds_Static!G3,"")</f>
        <v/>
      </c>
      <c r="H3" s="10">
        <f>IFERROR((IF(ISNUMBER(C3),IF(C3&gt;=Settings!$C$34,1,0),0))+(IF(ISNUMBER(D3),IF(D3&lt;=Settings!$C$35,1,0),0))+(IF(ISNUMBER(E3),IF(E3&gt;=Settings!$C$36,1,0),0))+(IF(ISNUMBER(F3),IF(F3&gt;=Settings!$C$37,1,0),0))+(IF(ISNUMBER(G3),IF(G3&gt;=Settings!$C$38,1,0),0)),"")</f>
        <v/>
      </c>
      <c r="I3" s="23">
        <f>IFERROR(100*(0.40*MIN(IF(ISNUMBER(C3),C3/2000,0),1)+0.20*MAX(IF(ISNUMBER(D3),1-D3/1.5,0),0)+0.20*MIN(IF(ISNUMBER(E3),E3/20,0),1)+0.20*IF(ISNUMBER(F3),F3/100,0)),"")</f>
        <v/>
      </c>
      <c r="J3" s="10">
        <f>IFERROR(IF(H3="","",IF(H3&gt;=Settings!$C$39,"PASS","FAIL")),"")</f>
        <v/>
      </c>
    </row>
    <row r="4">
      <c r="A4" s="24">
        <f>Bonds_Static!A4</f>
        <v/>
      </c>
      <c r="B4" s="24">
        <f>Bonds_Static!C4</f>
        <v/>
      </c>
      <c r="C4" s="34">
        <f>IFERROR(Bonds_Static!H4,"")</f>
        <v/>
      </c>
      <c r="D4" s="35">
        <f>IFERROR(Bonds_Live!H4,"")</f>
        <v/>
      </c>
      <c r="E4" s="21">
        <f>IFERROR(BDP("/isin/"&amp;$A4,"TRACE_AVG_DAILY_VOL")/1000000,"")</f>
        <v/>
      </c>
      <c r="F4" s="23">
        <f>IFERROR(BDP("/isin/"&amp;$A4,"LIQUIDITY_SCORE_BB"),"")</f>
        <v/>
      </c>
      <c r="G4" s="25">
        <f>IFERROR(Bonds_Static!G4,"")</f>
        <v/>
      </c>
      <c r="H4" s="10">
        <f>IFERROR((IF(ISNUMBER(C4),IF(C4&gt;=Settings!$C$34,1,0),0))+(IF(ISNUMBER(D4),IF(D4&lt;=Settings!$C$35,1,0),0))+(IF(ISNUMBER(E4),IF(E4&gt;=Settings!$C$36,1,0),0))+(IF(ISNUMBER(F4),IF(F4&gt;=Settings!$C$37,1,0),0))+(IF(ISNUMBER(G4),IF(G4&gt;=Settings!$C$38,1,0),0)),"")</f>
        <v/>
      </c>
      <c r="I4" s="23">
        <f>IFERROR(100*(0.40*MIN(IF(ISNUMBER(C4),C4/2000,0),1)+0.20*MAX(IF(ISNUMBER(D4),1-D4/1.5,0),0)+0.20*MIN(IF(ISNUMBER(E4),E4/20,0),1)+0.20*IF(ISNUMBER(F4),F4/100,0)),"")</f>
        <v/>
      </c>
      <c r="J4" s="10">
        <f>IFERROR(IF(H4="","",IF(H4&gt;=Settings!$C$39,"PASS","FAIL")),"")</f>
        <v/>
      </c>
    </row>
    <row r="5">
      <c r="A5" s="24">
        <f>Bonds_Static!A5</f>
        <v/>
      </c>
      <c r="B5" s="24">
        <f>Bonds_Static!C5</f>
        <v/>
      </c>
      <c r="C5" s="34">
        <f>IFERROR(Bonds_Static!H5,"")</f>
        <v/>
      </c>
      <c r="D5" s="35">
        <f>IFERROR(Bonds_Live!H5,"")</f>
        <v/>
      </c>
      <c r="E5" s="21">
        <f>IFERROR(BDP("/isin/"&amp;$A5,"TRACE_AVG_DAILY_VOL")/1000000,"")</f>
        <v/>
      </c>
      <c r="F5" s="23">
        <f>IFERROR(BDP("/isin/"&amp;$A5,"LIQUIDITY_SCORE_BB"),"")</f>
        <v/>
      </c>
      <c r="G5" s="25">
        <f>IFERROR(Bonds_Static!G5,"")</f>
        <v/>
      </c>
      <c r="H5" s="10">
        <f>IFERROR((IF(ISNUMBER(C5),IF(C5&gt;=Settings!$C$34,1,0),0))+(IF(ISNUMBER(D5),IF(D5&lt;=Settings!$C$35,1,0),0))+(IF(ISNUMBER(E5),IF(E5&gt;=Settings!$C$36,1,0),0))+(IF(ISNUMBER(F5),IF(F5&gt;=Settings!$C$37,1,0),0))+(IF(ISNUMBER(G5),IF(G5&gt;=Settings!$C$38,1,0),0)),"")</f>
        <v/>
      </c>
      <c r="I5" s="23">
        <f>IFERROR(100*(0.40*MIN(IF(ISNUMBER(C5),C5/2000,0),1)+0.20*MAX(IF(ISNUMBER(D5),1-D5/1.5,0),0)+0.20*MIN(IF(ISNUMBER(E5),E5/20,0),1)+0.20*IF(ISNUMBER(F5),F5/100,0)),"")</f>
        <v/>
      </c>
      <c r="J5" s="10">
        <f>IFERROR(IF(H5="","",IF(H5&gt;=Settings!$C$39,"PASS","FAIL")),"")</f>
        <v/>
      </c>
    </row>
    <row r="6">
      <c r="A6" s="24">
        <f>Bonds_Static!A6</f>
        <v/>
      </c>
      <c r="B6" s="24">
        <f>Bonds_Static!C6</f>
        <v/>
      </c>
      <c r="C6" s="34">
        <f>IFERROR(Bonds_Static!H6,"")</f>
        <v/>
      </c>
      <c r="D6" s="35">
        <f>IFERROR(Bonds_Live!H6,"")</f>
        <v/>
      </c>
      <c r="E6" s="21">
        <f>IFERROR(BDP("/isin/"&amp;$A6,"TRACE_AVG_DAILY_VOL")/1000000,"")</f>
        <v/>
      </c>
      <c r="F6" s="23">
        <f>IFERROR(BDP("/isin/"&amp;$A6,"LIQUIDITY_SCORE_BB"),"")</f>
        <v/>
      </c>
      <c r="G6" s="25">
        <f>IFERROR(Bonds_Static!G6,"")</f>
        <v/>
      </c>
      <c r="H6" s="10">
        <f>IFERROR((IF(ISNUMBER(C6),IF(C6&gt;=Settings!$C$34,1,0),0))+(IF(ISNUMBER(D6),IF(D6&lt;=Settings!$C$35,1,0),0))+(IF(ISNUMBER(E6),IF(E6&gt;=Settings!$C$36,1,0),0))+(IF(ISNUMBER(F6),IF(F6&gt;=Settings!$C$37,1,0),0))+(IF(ISNUMBER(G6),IF(G6&gt;=Settings!$C$38,1,0),0)),"")</f>
        <v/>
      </c>
      <c r="I6" s="23">
        <f>IFERROR(100*(0.40*MIN(IF(ISNUMBER(C6),C6/2000,0),1)+0.20*MAX(IF(ISNUMBER(D6),1-D6/1.5,0),0)+0.20*MIN(IF(ISNUMBER(E6),E6/20,0),1)+0.20*IF(ISNUMBER(F6),F6/100,0)),"")</f>
        <v/>
      </c>
      <c r="J6" s="10">
        <f>IFERROR(IF(H6="","",IF(H6&gt;=Settings!$C$39,"PASS","FAIL")),"")</f>
        <v/>
      </c>
    </row>
    <row r="7">
      <c r="A7" s="24">
        <f>Bonds_Static!A7</f>
        <v/>
      </c>
      <c r="B7" s="24">
        <f>Bonds_Static!C7</f>
        <v/>
      </c>
      <c r="C7" s="34">
        <f>IFERROR(Bonds_Static!H7,"")</f>
        <v/>
      </c>
      <c r="D7" s="35">
        <f>IFERROR(Bonds_Live!H7,"")</f>
        <v/>
      </c>
      <c r="E7" s="21">
        <f>IFERROR(BDP("/isin/"&amp;$A7,"TRACE_AVG_DAILY_VOL")/1000000,"")</f>
        <v/>
      </c>
      <c r="F7" s="23">
        <f>IFERROR(BDP("/isin/"&amp;$A7,"LIQUIDITY_SCORE_BB"),"")</f>
        <v/>
      </c>
      <c r="G7" s="25">
        <f>IFERROR(Bonds_Static!G7,"")</f>
        <v/>
      </c>
      <c r="H7" s="10">
        <f>IFERROR((IF(ISNUMBER(C7),IF(C7&gt;=Settings!$C$34,1,0),0))+(IF(ISNUMBER(D7),IF(D7&lt;=Settings!$C$35,1,0),0))+(IF(ISNUMBER(E7),IF(E7&gt;=Settings!$C$36,1,0),0))+(IF(ISNUMBER(F7),IF(F7&gt;=Settings!$C$37,1,0),0))+(IF(ISNUMBER(G7),IF(G7&gt;=Settings!$C$38,1,0),0)),"")</f>
        <v/>
      </c>
      <c r="I7" s="23">
        <f>IFERROR(100*(0.40*MIN(IF(ISNUMBER(C7),C7/2000,0),1)+0.20*MAX(IF(ISNUMBER(D7),1-D7/1.5,0),0)+0.20*MIN(IF(ISNUMBER(E7),E7/20,0),1)+0.20*IF(ISNUMBER(F7),F7/100,0)),"")</f>
        <v/>
      </c>
      <c r="J7" s="10">
        <f>IFERROR(IF(H7="","",IF(H7&gt;=Settings!$C$39,"PASS","FAIL")),"")</f>
        <v/>
      </c>
    </row>
    <row r="8">
      <c r="A8" s="24">
        <f>Bonds_Static!A8</f>
        <v/>
      </c>
      <c r="B8" s="24">
        <f>Bonds_Static!C8</f>
        <v/>
      </c>
      <c r="C8" s="34">
        <f>IFERROR(Bonds_Static!H8,"")</f>
        <v/>
      </c>
      <c r="D8" s="35">
        <f>IFERROR(Bonds_Live!H8,"")</f>
        <v/>
      </c>
      <c r="E8" s="21">
        <f>IFERROR(BDP("/isin/"&amp;$A8,"TRACE_AVG_DAILY_VOL")/1000000,"")</f>
        <v/>
      </c>
      <c r="F8" s="23">
        <f>IFERROR(BDP("/isin/"&amp;$A8,"LIQUIDITY_SCORE_BB"),"")</f>
        <v/>
      </c>
      <c r="G8" s="25">
        <f>IFERROR(Bonds_Static!G8,"")</f>
        <v/>
      </c>
      <c r="H8" s="10">
        <f>IFERROR((IF(ISNUMBER(C8),IF(C8&gt;=Settings!$C$34,1,0),0))+(IF(ISNUMBER(D8),IF(D8&lt;=Settings!$C$35,1,0),0))+(IF(ISNUMBER(E8),IF(E8&gt;=Settings!$C$36,1,0),0))+(IF(ISNUMBER(F8),IF(F8&gt;=Settings!$C$37,1,0),0))+(IF(ISNUMBER(G8),IF(G8&gt;=Settings!$C$38,1,0),0)),"")</f>
        <v/>
      </c>
      <c r="I8" s="23">
        <f>IFERROR(100*(0.40*MIN(IF(ISNUMBER(C8),C8/2000,0),1)+0.20*MAX(IF(ISNUMBER(D8),1-D8/1.5,0),0)+0.20*MIN(IF(ISNUMBER(E8),E8/20,0),1)+0.20*IF(ISNUMBER(F8),F8/100,0)),"")</f>
        <v/>
      </c>
      <c r="J8" s="10">
        <f>IFERROR(IF(H8="","",IF(H8&gt;=Settings!$C$39,"PASS","FAIL")),"")</f>
        <v/>
      </c>
    </row>
    <row r="9">
      <c r="A9" s="24">
        <f>Bonds_Static!A9</f>
        <v/>
      </c>
      <c r="B9" s="24">
        <f>Bonds_Static!C9</f>
        <v/>
      </c>
      <c r="C9" s="34">
        <f>IFERROR(Bonds_Static!H9,"")</f>
        <v/>
      </c>
      <c r="D9" s="35">
        <f>IFERROR(Bonds_Live!H9,"")</f>
        <v/>
      </c>
      <c r="E9" s="21">
        <f>IFERROR(BDP("/isin/"&amp;$A9,"TRACE_AVG_DAILY_VOL")/1000000,"")</f>
        <v/>
      </c>
      <c r="F9" s="23">
        <f>IFERROR(BDP("/isin/"&amp;$A9,"LIQUIDITY_SCORE_BB"),"")</f>
        <v/>
      </c>
      <c r="G9" s="25">
        <f>IFERROR(Bonds_Static!G9,"")</f>
        <v/>
      </c>
      <c r="H9" s="10">
        <f>IFERROR((IF(ISNUMBER(C9),IF(C9&gt;=Settings!$C$34,1,0),0))+(IF(ISNUMBER(D9),IF(D9&lt;=Settings!$C$35,1,0),0))+(IF(ISNUMBER(E9),IF(E9&gt;=Settings!$C$36,1,0),0))+(IF(ISNUMBER(F9),IF(F9&gt;=Settings!$C$37,1,0),0))+(IF(ISNUMBER(G9),IF(G9&gt;=Settings!$C$38,1,0),0)),"")</f>
        <v/>
      </c>
      <c r="I9" s="23">
        <f>IFERROR(100*(0.40*MIN(IF(ISNUMBER(C9),C9/2000,0),1)+0.20*MAX(IF(ISNUMBER(D9),1-D9/1.5,0),0)+0.20*MIN(IF(ISNUMBER(E9),E9/20,0),1)+0.20*IF(ISNUMBER(F9),F9/100,0)),"")</f>
        <v/>
      </c>
      <c r="J9" s="10">
        <f>IFERROR(IF(H9="","",IF(H9&gt;=Settings!$C$39,"PASS","FAIL")),"")</f>
        <v/>
      </c>
    </row>
    <row r="10">
      <c r="A10" s="24">
        <f>Bonds_Static!A10</f>
        <v/>
      </c>
      <c r="B10" s="24">
        <f>Bonds_Static!C10</f>
        <v/>
      </c>
      <c r="C10" s="34">
        <f>IFERROR(Bonds_Static!H10,"")</f>
        <v/>
      </c>
      <c r="D10" s="35">
        <f>IFERROR(Bonds_Live!H10,"")</f>
        <v/>
      </c>
      <c r="E10" s="21">
        <f>IFERROR(BDP("/isin/"&amp;$A10,"TRACE_AVG_DAILY_VOL")/1000000,"")</f>
        <v/>
      </c>
      <c r="F10" s="23">
        <f>IFERROR(BDP("/isin/"&amp;$A10,"LIQUIDITY_SCORE_BB"),"")</f>
        <v/>
      </c>
      <c r="G10" s="25">
        <f>IFERROR(Bonds_Static!G10,"")</f>
        <v/>
      </c>
      <c r="H10" s="10">
        <f>IFERROR((IF(ISNUMBER(C10),IF(C10&gt;=Settings!$C$34,1,0),0))+(IF(ISNUMBER(D10),IF(D10&lt;=Settings!$C$35,1,0),0))+(IF(ISNUMBER(E10),IF(E10&gt;=Settings!$C$36,1,0),0))+(IF(ISNUMBER(F10),IF(F10&gt;=Settings!$C$37,1,0),0))+(IF(ISNUMBER(G10),IF(G10&gt;=Settings!$C$38,1,0),0)),"")</f>
        <v/>
      </c>
      <c r="I10" s="23">
        <f>IFERROR(100*(0.40*MIN(IF(ISNUMBER(C10),C10/2000,0),1)+0.20*MAX(IF(ISNUMBER(D10),1-D10/1.5,0),0)+0.20*MIN(IF(ISNUMBER(E10),E10/20,0),1)+0.20*IF(ISNUMBER(F10),F10/100,0)),"")</f>
        <v/>
      </c>
      <c r="J10" s="10">
        <f>IFERROR(IF(H10="","",IF(H10&gt;=Settings!$C$39,"PASS","FAIL")),"")</f>
        <v/>
      </c>
    </row>
    <row r="11">
      <c r="A11" s="24">
        <f>Bonds_Static!A11</f>
        <v/>
      </c>
      <c r="B11" s="24">
        <f>Bonds_Static!C11</f>
        <v/>
      </c>
      <c r="C11" s="34">
        <f>IFERROR(Bonds_Static!H11,"")</f>
        <v/>
      </c>
      <c r="D11" s="35">
        <f>IFERROR(Bonds_Live!H11,"")</f>
        <v/>
      </c>
      <c r="E11" s="21">
        <f>IFERROR(BDP("/isin/"&amp;$A11,"TRACE_AVG_DAILY_VOL")/1000000,"")</f>
        <v/>
      </c>
      <c r="F11" s="23">
        <f>IFERROR(BDP("/isin/"&amp;$A11,"LIQUIDITY_SCORE_BB"),"")</f>
        <v/>
      </c>
      <c r="G11" s="25">
        <f>IFERROR(Bonds_Static!G11,"")</f>
        <v/>
      </c>
      <c r="H11" s="10">
        <f>IFERROR((IF(ISNUMBER(C11),IF(C11&gt;=Settings!$C$34,1,0),0))+(IF(ISNUMBER(D11),IF(D11&lt;=Settings!$C$35,1,0),0))+(IF(ISNUMBER(E11),IF(E11&gt;=Settings!$C$36,1,0),0))+(IF(ISNUMBER(F11),IF(F11&gt;=Settings!$C$37,1,0),0))+(IF(ISNUMBER(G11),IF(G11&gt;=Settings!$C$38,1,0),0)),"")</f>
        <v/>
      </c>
      <c r="I11" s="23">
        <f>IFERROR(100*(0.40*MIN(IF(ISNUMBER(C11),C11/2000,0),1)+0.20*MAX(IF(ISNUMBER(D11),1-D11/1.5,0),0)+0.20*MIN(IF(ISNUMBER(E11),E11/20,0),1)+0.20*IF(ISNUMBER(F11),F11/100,0)),"")</f>
        <v/>
      </c>
      <c r="J11" s="10">
        <f>IFERROR(IF(H11="","",IF(H11&gt;=Settings!$C$39,"PASS","FAIL")),"")</f>
        <v/>
      </c>
    </row>
    <row r="12">
      <c r="A12" s="24">
        <f>Bonds_Static!A12</f>
        <v/>
      </c>
      <c r="B12" s="24">
        <f>Bonds_Static!C12</f>
        <v/>
      </c>
      <c r="C12" s="34">
        <f>IFERROR(Bonds_Static!H12,"")</f>
        <v/>
      </c>
      <c r="D12" s="35">
        <f>IFERROR(Bonds_Live!H12,"")</f>
        <v/>
      </c>
      <c r="E12" s="21">
        <f>IFERROR(BDP("/isin/"&amp;$A12,"TRACE_AVG_DAILY_VOL")/1000000,"")</f>
        <v/>
      </c>
      <c r="F12" s="23">
        <f>IFERROR(BDP("/isin/"&amp;$A12,"LIQUIDITY_SCORE_BB"),"")</f>
        <v/>
      </c>
      <c r="G12" s="25">
        <f>IFERROR(Bonds_Static!G12,"")</f>
        <v/>
      </c>
      <c r="H12" s="10">
        <f>IFERROR((IF(ISNUMBER(C12),IF(C12&gt;=Settings!$C$34,1,0),0))+(IF(ISNUMBER(D12),IF(D12&lt;=Settings!$C$35,1,0),0))+(IF(ISNUMBER(E12),IF(E12&gt;=Settings!$C$36,1,0),0))+(IF(ISNUMBER(F12),IF(F12&gt;=Settings!$C$37,1,0),0))+(IF(ISNUMBER(G12),IF(G12&gt;=Settings!$C$38,1,0),0)),"")</f>
        <v/>
      </c>
      <c r="I12" s="23">
        <f>IFERROR(100*(0.40*MIN(IF(ISNUMBER(C12),C12/2000,0),1)+0.20*MAX(IF(ISNUMBER(D12),1-D12/1.5,0),0)+0.20*MIN(IF(ISNUMBER(E12),E12/20,0),1)+0.20*IF(ISNUMBER(F12),F12/100,0)),"")</f>
        <v/>
      </c>
      <c r="J12" s="10">
        <f>IFERROR(IF(H12="","",IF(H12&gt;=Settings!$C$39,"PASS","FAIL")),"")</f>
        <v/>
      </c>
    </row>
    <row r="13">
      <c r="A13" s="24">
        <f>Bonds_Static!A13</f>
        <v/>
      </c>
      <c r="B13" s="24">
        <f>Bonds_Static!C13</f>
        <v/>
      </c>
      <c r="C13" s="34">
        <f>IFERROR(Bonds_Static!H13,"")</f>
        <v/>
      </c>
      <c r="D13" s="35">
        <f>IFERROR(Bonds_Live!H13,"")</f>
        <v/>
      </c>
      <c r="E13" s="21">
        <f>IFERROR(BDP("/isin/"&amp;$A13,"TRACE_AVG_DAILY_VOL")/1000000,"")</f>
        <v/>
      </c>
      <c r="F13" s="23">
        <f>IFERROR(BDP("/isin/"&amp;$A13,"LIQUIDITY_SCORE_BB"),"")</f>
        <v/>
      </c>
      <c r="G13" s="25">
        <f>IFERROR(Bonds_Static!G13,"")</f>
        <v/>
      </c>
      <c r="H13" s="10">
        <f>IFERROR((IF(ISNUMBER(C13),IF(C13&gt;=Settings!$C$34,1,0),0))+(IF(ISNUMBER(D13),IF(D13&lt;=Settings!$C$35,1,0),0))+(IF(ISNUMBER(E13),IF(E13&gt;=Settings!$C$36,1,0),0))+(IF(ISNUMBER(F13),IF(F13&gt;=Settings!$C$37,1,0),0))+(IF(ISNUMBER(G13),IF(G13&gt;=Settings!$C$38,1,0),0)),"")</f>
        <v/>
      </c>
      <c r="I13" s="23">
        <f>IFERROR(100*(0.40*MIN(IF(ISNUMBER(C13),C13/2000,0),1)+0.20*MAX(IF(ISNUMBER(D13),1-D13/1.5,0),0)+0.20*MIN(IF(ISNUMBER(E13),E13/20,0),1)+0.20*IF(ISNUMBER(F13),F13/100,0)),"")</f>
        <v/>
      </c>
      <c r="J13" s="10">
        <f>IFERROR(IF(H13="","",IF(H13&gt;=Settings!$C$39,"PASS","FAIL")),"")</f>
        <v/>
      </c>
    </row>
    <row r="14">
      <c r="A14" s="24">
        <f>Bonds_Static!A14</f>
        <v/>
      </c>
      <c r="B14" s="24">
        <f>Bonds_Static!C14</f>
        <v/>
      </c>
      <c r="C14" s="34">
        <f>IFERROR(Bonds_Static!H14,"")</f>
        <v/>
      </c>
      <c r="D14" s="35">
        <f>IFERROR(Bonds_Live!H14,"")</f>
        <v/>
      </c>
      <c r="E14" s="21">
        <f>IFERROR(BDP("/isin/"&amp;$A14,"TRACE_AVG_DAILY_VOL")/1000000,"")</f>
        <v/>
      </c>
      <c r="F14" s="23">
        <f>IFERROR(BDP("/isin/"&amp;$A14,"LIQUIDITY_SCORE_BB"),"")</f>
        <v/>
      </c>
      <c r="G14" s="25">
        <f>IFERROR(Bonds_Static!G14,"")</f>
        <v/>
      </c>
      <c r="H14" s="10">
        <f>IFERROR((IF(ISNUMBER(C14),IF(C14&gt;=Settings!$C$34,1,0),0))+(IF(ISNUMBER(D14),IF(D14&lt;=Settings!$C$35,1,0),0))+(IF(ISNUMBER(E14),IF(E14&gt;=Settings!$C$36,1,0),0))+(IF(ISNUMBER(F14),IF(F14&gt;=Settings!$C$37,1,0),0))+(IF(ISNUMBER(G14),IF(G14&gt;=Settings!$C$38,1,0),0)),"")</f>
        <v/>
      </c>
      <c r="I14" s="23">
        <f>IFERROR(100*(0.40*MIN(IF(ISNUMBER(C14),C14/2000,0),1)+0.20*MAX(IF(ISNUMBER(D14),1-D14/1.5,0),0)+0.20*MIN(IF(ISNUMBER(E14),E14/20,0),1)+0.20*IF(ISNUMBER(F14),F14/100,0)),"")</f>
        <v/>
      </c>
      <c r="J14" s="10">
        <f>IFERROR(IF(H14="","",IF(H14&gt;=Settings!$C$39,"PASS","FAIL")),"")</f>
        <v/>
      </c>
    </row>
    <row r="15">
      <c r="A15" s="24">
        <f>Bonds_Static!A15</f>
        <v/>
      </c>
      <c r="B15" s="24">
        <f>Bonds_Static!C15</f>
        <v/>
      </c>
      <c r="C15" s="34">
        <f>IFERROR(Bonds_Static!H15,"")</f>
        <v/>
      </c>
      <c r="D15" s="35">
        <f>IFERROR(Bonds_Live!H15,"")</f>
        <v/>
      </c>
      <c r="E15" s="21">
        <f>IFERROR(BDP("/isin/"&amp;$A15,"TRACE_AVG_DAILY_VOL")/1000000,"")</f>
        <v/>
      </c>
      <c r="F15" s="23">
        <f>IFERROR(BDP("/isin/"&amp;$A15,"LIQUIDITY_SCORE_BB"),"")</f>
        <v/>
      </c>
      <c r="G15" s="25">
        <f>IFERROR(Bonds_Static!G15,"")</f>
        <v/>
      </c>
      <c r="H15" s="10">
        <f>IFERROR((IF(ISNUMBER(C15),IF(C15&gt;=Settings!$C$34,1,0),0))+(IF(ISNUMBER(D15),IF(D15&lt;=Settings!$C$35,1,0),0))+(IF(ISNUMBER(E15),IF(E15&gt;=Settings!$C$36,1,0),0))+(IF(ISNUMBER(F15),IF(F15&gt;=Settings!$C$37,1,0),0))+(IF(ISNUMBER(G15),IF(G15&gt;=Settings!$C$38,1,0),0)),"")</f>
        <v/>
      </c>
      <c r="I15" s="23">
        <f>IFERROR(100*(0.40*MIN(IF(ISNUMBER(C15),C15/2000,0),1)+0.20*MAX(IF(ISNUMBER(D15),1-D15/1.5,0),0)+0.20*MIN(IF(ISNUMBER(E15),E15/20,0),1)+0.20*IF(ISNUMBER(F15),F15/100,0)),"")</f>
        <v/>
      </c>
      <c r="J15" s="10">
        <f>IFERROR(IF(H15="","",IF(H15&gt;=Settings!$C$39,"PASS","FAIL")),"")</f>
        <v/>
      </c>
    </row>
    <row r="16">
      <c r="A16" s="24">
        <f>Bonds_Static!A16</f>
        <v/>
      </c>
      <c r="B16" s="24">
        <f>Bonds_Static!C16</f>
        <v/>
      </c>
      <c r="C16" s="34">
        <f>IFERROR(Bonds_Static!H16,"")</f>
        <v/>
      </c>
      <c r="D16" s="35">
        <f>IFERROR(Bonds_Live!H16,"")</f>
        <v/>
      </c>
      <c r="E16" s="21">
        <f>IFERROR(BDP("/isin/"&amp;$A16,"TRACE_AVG_DAILY_VOL")/1000000,"")</f>
        <v/>
      </c>
      <c r="F16" s="23">
        <f>IFERROR(BDP("/isin/"&amp;$A16,"LIQUIDITY_SCORE_BB"),"")</f>
        <v/>
      </c>
      <c r="G16" s="25">
        <f>IFERROR(Bonds_Static!G16,"")</f>
        <v/>
      </c>
      <c r="H16" s="10">
        <f>IFERROR((IF(ISNUMBER(C16),IF(C16&gt;=Settings!$C$34,1,0),0))+(IF(ISNUMBER(D16),IF(D16&lt;=Settings!$C$35,1,0),0))+(IF(ISNUMBER(E16),IF(E16&gt;=Settings!$C$36,1,0),0))+(IF(ISNUMBER(F16),IF(F16&gt;=Settings!$C$37,1,0),0))+(IF(ISNUMBER(G16),IF(G16&gt;=Settings!$C$38,1,0),0)),"")</f>
        <v/>
      </c>
      <c r="I16" s="23">
        <f>IFERROR(100*(0.40*MIN(IF(ISNUMBER(C16),C16/2000,0),1)+0.20*MAX(IF(ISNUMBER(D16),1-D16/1.5,0),0)+0.20*MIN(IF(ISNUMBER(E16),E16/20,0),1)+0.20*IF(ISNUMBER(F16),F16/100,0)),"")</f>
        <v/>
      </c>
      <c r="J16" s="10">
        <f>IFERROR(IF(H16="","",IF(H16&gt;=Settings!$C$39,"PASS","FAIL")),"")</f>
        <v/>
      </c>
    </row>
    <row r="17">
      <c r="A17" s="24">
        <f>Bonds_Static!A17</f>
        <v/>
      </c>
      <c r="B17" s="24">
        <f>Bonds_Static!C17</f>
        <v/>
      </c>
      <c r="C17" s="34">
        <f>IFERROR(Bonds_Static!H17,"")</f>
        <v/>
      </c>
      <c r="D17" s="35">
        <f>IFERROR(Bonds_Live!H17,"")</f>
        <v/>
      </c>
      <c r="E17" s="21">
        <f>IFERROR(BDP("/isin/"&amp;$A17,"TRACE_AVG_DAILY_VOL")/1000000,"")</f>
        <v/>
      </c>
      <c r="F17" s="23">
        <f>IFERROR(BDP("/isin/"&amp;$A17,"LIQUIDITY_SCORE_BB"),"")</f>
        <v/>
      </c>
      <c r="G17" s="25">
        <f>IFERROR(Bonds_Static!G17,"")</f>
        <v/>
      </c>
      <c r="H17" s="10">
        <f>IFERROR((IF(ISNUMBER(C17),IF(C17&gt;=Settings!$C$34,1,0),0))+(IF(ISNUMBER(D17),IF(D17&lt;=Settings!$C$35,1,0),0))+(IF(ISNUMBER(E17),IF(E17&gt;=Settings!$C$36,1,0),0))+(IF(ISNUMBER(F17),IF(F17&gt;=Settings!$C$37,1,0),0))+(IF(ISNUMBER(G17),IF(G17&gt;=Settings!$C$38,1,0),0)),"")</f>
        <v/>
      </c>
      <c r="I17" s="23">
        <f>IFERROR(100*(0.40*MIN(IF(ISNUMBER(C17),C17/2000,0),1)+0.20*MAX(IF(ISNUMBER(D17),1-D17/1.5,0),0)+0.20*MIN(IF(ISNUMBER(E17),E17/20,0),1)+0.20*IF(ISNUMBER(F17),F17/100,0)),"")</f>
        <v/>
      </c>
      <c r="J17" s="10">
        <f>IFERROR(IF(H17="","",IF(H17&gt;=Settings!$C$39,"PASS","FAIL")),"")</f>
        <v/>
      </c>
    </row>
    <row r="18">
      <c r="A18" s="24">
        <f>Bonds_Static!A18</f>
        <v/>
      </c>
      <c r="B18" s="24">
        <f>Bonds_Static!C18</f>
        <v/>
      </c>
      <c r="C18" s="34">
        <f>IFERROR(Bonds_Static!H18,"")</f>
        <v/>
      </c>
      <c r="D18" s="35">
        <f>IFERROR(Bonds_Live!H18,"")</f>
        <v/>
      </c>
      <c r="E18" s="21">
        <f>IFERROR(BDP("/isin/"&amp;$A18,"TRACE_AVG_DAILY_VOL")/1000000,"")</f>
        <v/>
      </c>
      <c r="F18" s="23">
        <f>IFERROR(BDP("/isin/"&amp;$A18,"LIQUIDITY_SCORE_BB"),"")</f>
        <v/>
      </c>
      <c r="G18" s="25">
        <f>IFERROR(Bonds_Static!G18,"")</f>
        <v/>
      </c>
      <c r="H18" s="10">
        <f>IFERROR((IF(ISNUMBER(C18),IF(C18&gt;=Settings!$C$34,1,0),0))+(IF(ISNUMBER(D18),IF(D18&lt;=Settings!$C$35,1,0),0))+(IF(ISNUMBER(E18),IF(E18&gt;=Settings!$C$36,1,0),0))+(IF(ISNUMBER(F18),IF(F18&gt;=Settings!$C$37,1,0),0))+(IF(ISNUMBER(G18),IF(G18&gt;=Settings!$C$38,1,0),0)),"")</f>
        <v/>
      </c>
      <c r="I18" s="23">
        <f>IFERROR(100*(0.40*MIN(IF(ISNUMBER(C18),C18/2000,0),1)+0.20*MAX(IF(ISNUMBER(D18),1-D18/1.5,0),0)+0.20*MIN(IF(ISNUMBER(E18),E18/20,0),1)+0.20*IF(ISNUMBER(F18),F18/100,0)),"")</f>
        <v/>
      </c>
      <c r="J18" s="10">
        <f>IFERROR(IF(H18="","",IF(H18&gt;=Settings!$C$39,"PASS","FAIL")),"")</f>
        <v/>
      </c>
    </row>
    <row r="19">
      <c r="A19" s="24">
        <f>Bonds_Static!A19</f>
        <v/>
      </c>
      <c r="B19" s="24">
        <f>Bonds_Static!C19</f>
        <v/>
      </c>
      <c r="C19" s="34">
        <f>IFERROR(Bonds_Static!H19,"")</f>
        <v/>
      </c>
      <c r="D19" s="35">
        <f>IFERROR(Bonds_Live!H19,"")</f>
        <v/>
      </c>
      <c r="E19" s="21">
        <f>IFERROR(BDP("/isin/"&amp;$A19,"TRACE_AVG_DAILY_VOL")/1000000,"")</f>
        <v/>
      </c>
      <c r="F19" s="23">
        <f>IFERROR(BDP("/isin/"&amp;$A19,"LIQUIDITY_SCORE_BB"),"")</f>
        <v/>
      </c>
      <c r="G19" s="25">
        <f>IFERROR(Bonds_Static!G19,"")</f>
        <v/>
      </c>
      <c r="H19" s="10">
        <f>IFERROR((IF(ISNUMBER(C19),IF(C19&gt;=Settings!$C$34,1,0),0))+(IF(ISNUMBER(D19),IF(D19&lt;=Settings!$C$35,1,0),0))+(IF(ISNUMBER(E19),IF(E19&gt;=Settings!$C$36,1,0),0))+(IF(ISNUMBER(F19),IF(F19&gt;=Settings!$C$37,1,0),0))+(IF(ISNUMBER(G19),IF(G19&gt;=Settings!$C$38,1,0),0)),"")</f>
        <v/>
      </c>
      <c r="I19" s="23">
        <f>IFERROR(100*(0.40*MIN(IF(ISNUMBER(C19),C19/2000,0),1)+0.20*MAX(IF(ISNUMBER(D19),1-D19/1.5,0),0)+0.20*MIN(IF(ISNUMBER(E19),E19/20,0),1)+0.20*IF(ISNUMBER(F19),F19/100,0)),"")</f>
        <v/>
      </c>
      <c r="J19" s="10">
        <f>IFERROR(IF(H19="","",IF(H19&gt;=Settings!$C$39,"PASS","FAIL")),"")</f>
        <v/>
      </c>
    </row>
    <row r="20">
      <c r="A20" s="24">
        <f>Bonds_Static!A20</f>
        <v/>
      </c>
      <c r="B20" s="24">
        <f>Bonds_Static!C20</f>
        <v/>
      </c>
      <c r="C20" s="34">
        <f>IFERROR(Bonds_Static!H20,"")</f>
        <v/>
      </c>
      <c r="D20" s="35">
        <f>IFERROR(Bonds_Live!H20,"")</f>
        <v/>
      </c>
      <c r="E20" s="21">
        <f>IFERROR(BDP("/isin/"&amp;$A20,"TRACE_AVG_DAILY_VOL")/1000000,"")</f>
        <v/>
      </c>
      <c r="F20" s="23">
        <f>IFERROR(BDP("/isin/"&amp;$A20,"LIQUIDITY_SCORE_BB"),"")</f>
        <v/>
      </c>
      <c r="G20" s="25">
        <f>IFERROR(Bonds_Static!G20,"")</f>
        <v/>
      </c>
      <c r="H20" s="10">
        <f>IFERROR((IF(ISNUMBER(C20),IF(C20&gt;=Settings!$C$34,1,0),0))+(IF(ISNUMBER(D20),IF(D20&lt;=Settings!$C$35,1,0),0))+(IF(ISNUMBER(E20),IF(E20&gt;=Settings!$C$36,1,0),0))+(IF(ISNUMBER(F20),IF(F20&gt;=Settings!$C$37,1,0),0))+(IF(ISNUMBER(G20),IF(G20&gt;=Settings!$C$38,1,0),0)),"")</f>
        <v/>
      </c>
      <c r="I20" s="23">
        <f>IFERROR(100*(0.40*MIN(IF(ISNUMBER(C20),C20/2000,0),1)+0.20*MAX(IF(ISNUMBER(D20),1-D20/1.5,0),0)+0.20*MIN(IF(ISNUMBER(E20),E20/20,0),1)+0.20*IF(ISNUMBER(F20),F20/100,0)),"")</f>
        <v/>
      </c>
      <c r="J20" s="10">
        <f>IFERROR(IF(H20="","",IF(H20&gt;=Settings!$C$39,"PASS","FAIL")),"")</f>
        <v/>
      </c>
    </row>
    <row r="21">
      <c r="A21" s="24">
        <f>Bonds_Static!A21</f>
        <v/>
      </c>
      <c r="B21" s="24">
        <f>Bonds_Static!C21</f>
        <v/>
      </c>
      <c r="C21" s="34">
        <f>IFERROR(Bonds_Static!H21,"")</f>
        <v/>
      </c>
      <c r="D21" s="35">
        <f>IFERROR(Bonds_Live!H21,"")</f>
        <v/>
      </c>
      <c r="E21" s="21">
        <f>IFERROR(BDP("/isin/"&amp;$A21,"TRACE_AVG_DAILY_VOL")/1000000,"")</f>
        <v/>
      </c>
      <c r="F21" s="23">
        <f>IFERROR(BDP("/isin/"&amp;$A21,"LIQUIDITY_SCORE_BB"),"")</f>
        <v/>
      </c>
      <c r="G21" s="25">
        <f>IFERROR(Bonds_Static!G21,"")</f>
        <v/>
      </c>
      <c r="H21" s="10">
        <f>IFERROR((IF(ISNUMBER(C21),IF(C21&gt;=Settings!$C$34,1,0),0))+(IF(ISNUMBER(D21),IF(D21&lt;=Settings!$C$35,1,0),0))+(IF(ISNUMBER(E21),IF(E21&gt;=Settings!$C$36,1,0),0))+(IF(ISNUMBER(F21),IF(F21&gt;=Settings!$C$37,1,0),0))+(IF(ISNUMBER(G21),IF(G21&gt;=Settings!$C$38,1,0),0)),"")</f>
        <v/>
      </c>
      <c r="I21" s="23">
        <f>IFERROR(100*(0.40*MIN(IF(ISNUMBER(C21),C21/2000,0),1)+0.20*MAX(IF(ISNUMBER(D21),1-D21/1.5,0),0)+0.20*MIN(IF(ISNUMBER(E21),E21/20,0),1)+0.20*IF(ISNUMBER(F21),F21/100,0)),"")</f>
        <v/>
      </c>
      <c r="J21" s="10">
        <f>IFERROR(IF(H21="","",IF(H21&gt;=Settings!$C$39,"PASS","FAIL")),"")</f>
        <v/>
      </c>
    </row>
    <row r="22">
      <c r="A22" s="24">
        <f>Bonds_Static!A22</f>
        <v/>
      </c>
      <c r="B22" s="24">
        <f>Bonds_Static!C22</f>
        <v/>
      </c>
      <c r="C22" s="34">
        <f>IFERROR(Bonds_Static!H22,"")</f>
        <v/>
      </c>
      <c r="D22" s="35">
        <f>IFERROR(Bonds_Live!H22,"")</f>
        <v/>
      </c>
      <c r="E22" s="21">
        <f>IFERROR(BDP("/isin/"&amp;$A22,"TRACE_AVG_DAILY_VOL")/1000000,"")</f>
        <v/>
      </c>
      <c r="F22" s="23">
        <f>IFERROR(BDP("/isin/"&amp;$A22,"LIQUIDITY_SCORE_BB"),"")</f>
        <v/>
      </c>
      <c r="G22" s="25">
        <f>IFERROR(Bonds_Static!G22,"")</f>
        <v/>
      </c>
      <c r="H22" s="10">
        <f>IFERROR((IF(ISNUMBER(C22),IF(C22&gt;=Settings!$C$34,1,0),0))+(IF(ISNUMBER(D22),IF(D22&lt;=Settings!$C$35,1,0),0))+(IF(ISNUMBER(E22),IF(E22&gt;=Settings!$C$36,1,0),0))+(IF(ISNUMBER(F22),IF(F22&gt;=Settings!$C$37,1,0),0))+(IF(ISNUMBER(G22),IF(G22&gt;=Settings!$C$38,1,0),0)),"")</f>
        <v/>
      </c>
      <c r="I22" s="23">
        <f>IFERROR(100*(0.40*MIN(IF(ISNUMBER(C22),C22/2000,0),1)+0.20*MAX(IF(ISNUMBER(D22),1-D22/1.5,0),0)+0.20*MIN(IF(ISNUMBER(E22),E22/20,0),1)+0.20*IF(ISNUMBER(F22),F22/100,0)),"")</f>
        <v/>
      </c>
      <c r="J22" s="10">
        <f>IFERROR(IF(H22="","",IF(H22&gt;=Settings!$C$39,"PASS","FAIL")),"")</f>
        <v/>
      </c>
    </row>
    <row r="23">
      <c r="A23" s="24">
        <f>Bonds_Static!A23</f>
        <v/>
      </c>
      <c r="B23" s="24">
        <f>Bonds_Static!C23</f>
        <v/>
      </c>
      <c r="C23" s="34">
        <f>IFERROR(Bonds_Static!H23,"")</f>
        <v/>
      </c>
      <c r="D23" s="35">
        <f>IFERROR(Bonds_Live!H23,"")</f>
        <v/>
      </c>
      <c r="E23" s="21">
        <f>IFERROR(BDP("/isin/"&amp;$A23,"TRACE_AVG_DAILY_VOL")/1000000,"")</f>
        <v/>
      </c>
      <c r="F23" s="23">
        <f>IFERROR(BDP("/isin/"&amp;$A23,"LIQUIDITY_SCORE_BB"),"")</f>
        <v/>
      </c>
      <c r="G23" s="25">
        <f>IFERROR(Bonds_Static!G23,"")</f>
        <v/>
      </c>
      <c r="H23" s="10">
        <f>IFERROR((IF(ISNUMBER(C23),IF(C23&gt;=Settings!$C$34,1,0),0))+(IF(ISNUMBER(D23),IF(D23&lt;=Settings!$C$35,1,0),0))+(IF(ISNUMBER(E23),IF(E23&gt;=Settings!$C$36,1,0),0))+(IF(ISNUMBER(F23),IF(F23&gt;=Settings!$C$37,1,0),0))+(IF(ISNUMBER(G23),IF(G23&gt;=Settings!$C$38,1,0),0)),"")</f>
        <v/>
      </c>
      <c r="I23" s="23">
        <f>IFERROR(100*(0.40*MIN(IF(ISNUMBER(C23),C23/2000,0),1)+0.20*MAX(IF(ISNUMBER(D23),1-D23/1.5,0),0)+0.20*MIN(IF(ISNUMBER(E23),E23/20,0),1)+0.20*IF(ISNUMBER(F23),F23/100,0)),"")</f>
        <v/>
      </c>
      <c r="J23" s="10">
        <f>IFERROR(IF(H23="","",IF(H23&gt;=Settings!$C$39,"PASS","FAIL")),"")</f>
        <v/>
      </c>
    </row>
    <row r="24">
      <c r="A24" s="24">
        <f>Bonds_Static!A24</f>
        <v/>
      </c>
      <c r="B24" s="24">
        <f>Bonds_Static!C24</f>
        <v/>
      </c>
      <c r="C24" s="34">
        <f>IFERROR(Bonds_Static!H24,"")</f>
        <v/>
      </c>
      <c r="D24" s="35">
        <f>IFERROR(Bonds_Live!H24,"")</f>
        <v/>
      </c>
      <c r="E24" s="21">
        <f>IFERROR(BDP("/isin/"&amp;$A24,"TRACE_AVG_DAILY_VOL")/1000000,"")</f>
        <v/>
      </c>
      <c r="F24" s="23">
        <f>IFERROR(BDP("/isin/"&amp;$A24,"LIQUIDITY_SCORE_BB"),"")</f>
        <v/>
      </c>
      <c r="G24" s="25">
        <f>IFERROR(Bonds_Static!G24,"")</f>
        <v/>
      </c>
      <c r="H24" s="10">
        <f>IFERROR((IF(ISNUMBER(C24),IF(C24&gt;=Settings!$C$34,1,0),0))+(IF(ISNUMBER(D24),IF(D24&lt;=Settings!$C$35,1,0),0))+(IF(ISNUMBER(E24),IF(E24&gt;=Settings!$C$36,1,0),0))+(IF(ISNUMBER(F24),IF(F24&gt;=Settings!$C$37,1,0),0))+(IF(ISNUMBER(G24),IF(G24&gt;=Settings!$C$38,1,0),0)),"")</f>
        <v/>
      </c>
      <c r="I24" s="23">
        <f>IFERROR(100*(0.40*MIN(IF(ISNUMBER(C24),C24/2000,0),1)+0.20*MAX(IF(ISNUMBER(D24),1-D24/1.5,0),0)+0.20*MIN(IF(ISNUMBER(E24),E24/20,0),1)+0.20*IF(ISNUMBER(F24),F24/100,0)),"")</f>
        <v/>
      </c>
      <c r="J24" s="10">
        <f>IFERROR(IF(H24="","",IF(H24&gt;=Settings!$C$39,"PASS","FAIL")),"")</f>
        <v/>
      </c>
    </row>
    <row r="25">
      <c r="A25" s="24">
        <f>Bonds_Static!A25</f>
        <v/>
      </c>
      <c r="B25" s="24">
        <f>Bonds_Static!C25</f>
        <v/>
      </c>
      <c r="C25" s="34">
        <f>IFERROR(Bonds_Static!H25,"")</f>
        <v/>
      </c>
      <c r="D25" s="35">
        <f>IFERROR(Bonds_Live!H25,"")</f>
        <v/>
      </c>
      <c r="E25" s="21">
        <f>IFERROR(BDP("/isin/"&amp;$A25,"TRACE_AVG_DAILY_VOL")/1000000,"")</f>
        <v/>
      </c>
      <c r="F25" s="23">
        <f>IFERROR(BDP("/isin/"&amp;$A25,"LIQUIDITY_SCORE_BB"),"")</f>
        <v/>
      </c>
      <c r="G25" s="25">
        <f>IFERROR(Bonds_Static!G25,"")</f>
        <v/>
      </c>
      <c r="H25" s="10">
        <f>IFERROR((IF(ISNUMBER(C25),IF(C25&gt;=Settings!$C$34,1,0),0))+(IF(ISNUMBER(D25),IF(D25&lt;=Settings!$C$35,1,0),0))+(IF(ISNUMBER(E25),IF(E25&gt;=Settings!$C$36,1,0),0))+(IF(ISNUMBER(F25),IF(F25&gt;=Settings!$C$37,1,0),0))+(IF(ISNUMBER(G25),IF(G25&gt;=Settings!$C$38,1,0),0)),"")</f>
        <v/>
      </c>
      <c r="I25" s="23">
        <f>IFERROR(100*(0.40*MIN(IF(ISNUMBER(C25),C25/2000,0),1)+0.20*MAX(IF(ISNUMBER(D25),1-D25/1.5,0),0)+0.20*MIN(IF(ISNUMBER(E25),E25/20,0),1)+0.20*IF(ISNUMBER(F25),F25/100,0)),"")</f>
        <v/>
      </c>
      <c r="J25" s="10">
        <f>IFERROR(IF(H25="","",IF(H25&gt;=Settings!$C$39,"PASS","FAIL")),"")</f>
        <v/>
      </c>
    </row>
    <row r="26">
      <c r="A26" s="24">
        <f>Bonds_Static!A26</f>
        <v/>
      </c>
      <c r="B26" s="24">
        <f>Bonds_Static!C26</f>
        <v/>
      </c>
      <c r="C26" s="34">
        <f>IFERROR(Bonds_Static!H26,"")</f>
        <v/>
      </c>
      <c r="D26" s="35">
        <f>IFERROR(Bonds_Live!H26,"")</f>
        <v/>
      </c>
      <c r="E26" s="21">
        <f>IFERROR(BDP("/isin/"&amp;$A26,"TRACE_AVG_DAILY_VOL")/1000000,"")</f>
        <v/>
      </c>
      <c r="F26" s="23">
        <f>IFERROR(BDP("/isin/"&amp;$A26,"LIQUIDITY_SCORE_BB"),"")</f>
        <v/>
      </c>
      <c r="G26" s="25">
        <f>IFERROR(Bonds_Static!G26,"")</f>
        <v/>
      </c>
      <c r="H26" s="10">
        <f>IFERROR((IF(ISNUMBER(C26),IF(C26&gt;=Settings!$C$34,1,0),0))+(IF(ISNUMBER(D26),IF(D26&lt;=Settings!$C$35,1,0),0))+(IF(ISNUMBER(E26),IF(E26&gt;=Settings!$C$36,1,0),0))+(IF(ISNUMBER(F26),IF(F26&gt;=Settings!$C$37,1,0),0))+(IF(ISNUMBER(G26),IF(G26&gt;=Settings!$C$38,1,0),0)),"")</f>
        <v/>
      </c>
      <c r="I26" s="23">
        <f>IFERROR(100*(0.40*MIN(IF(ISNUMBER(C26),C26/2000,0),1)+0.20*MAX(IF(ISNUMBER(D26),1-D26/1.5,0),0)+0.20*MIN(IF(ISNUMBER(E26),E26/20,0),1)+0.20*IF(ISNUMBER(F26),F26/100,0)),"")</f>
        <v/>
      </c>
      <c r="J26" s="10">
        <f>IFERROR(IF(H26="","",IF(H26&gt;=Settings!$C$39,"PASS","FAIL")),"")</f>
        <v/>
      </c>
    </row>
  </sheetData>
  <conditionalFormatting sqref="J2:J26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0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τ (yrs)</t>
        </is>
      </c>
      <c r="D1" s="20" t="inlineStr">
        <is>
          <t>Mod Dur</t>
        </is>
      </c>
      <c r="E1" s="20" t="inlineStr">
        <is>
          <t>Coupon (%)</t>
        </is>
      </c>
      <c r="F1" s="20" t="inlineStr">
        <is>
          <t>YTM (%)</t>
        </is>
      </c>
      <c r="G1" s="20" t="inlineStr">
        <is>
          <t>Cpn Carry 3M</t>
        </is>
      </c>
      <c r="H1" s="20" t="inlineStr">
        <is>
          <t>Cpn Carry 6M</t>
        </is>
      </c>
      <c r="I1" s="20" t="inlineStr">
        <is>
          <t>Cpn Carry 12M</t>
        </is>
      </c>
      <c r="J1" s="20" t="inlineStr">
        <is>
          <t>Roll 3M</t>
        </is>
      </c>
      <c r="K1" s="20" t="inlineStr">
        <is>
          <t>Roll 6M</t>
        </is>
      </c>
      <c r="L1" s="20" t="inlineStr">
        <is>
          <t>Roll 12M</t>
        </is>
      </c>
      <c r="M1" s="20" t="inlineStr">
        <is>
          <t>C+R 12M</t>
        </is>
      </c>
    </row>
    <row r="2">
      <c r="A2" s="24">
        <f>Bonds_Static!A2</f>
        <v/>
      </c>
      <c r="B2" s="24">
        <f>Bonds_Static!C2</f>
        <v/>
      </c>
      <c r="C2" s="25">
        <f>IFERROR(Bonds_Static!G2,"")</f>
        <v/>
      </c>
      <c r="D2" s="11">
        <f>IFERROR(Bonds_Live!Q2,"")</f>
        <v/>
      </c>
      <c r="E2" s="11">
        <f>IFERROR(Bonds_Static!D2,"")</f>
        <v/>
      </c>
      <c r="F2" s="11">
        <f>IFERROR(Bonds_Live!K2,"")</f>
        <v/>
      </c>
      <c r="G2" s="21">
        <f>IFERROR(IF(E2="","",E2*100/Bonds_Live!F2*3/12),"")</f>
        <v/>
      </c>
      <c r="H2" s="21">
        <f>IFERROR(IF(E2="","",E2*100/Bonds_Live!F2*6/12),"")</f>
        <v/>
      </c>
      <c r="I2" s="21">
        <f>IFERROR(IF(E2="","",E2*100/Bonds_Live!F2*12/12),"")</f>
        <v/>
      </c>
      <c r="J2" s="21">
        <f>IFERROR(IF(OR(C2="",D2=""),"",-D2*((Curve_Fit!$H$5 + Curve_Fit!$H$4*MAX(C2-3/12,0.01) + Curve_Fit!$H$3*MAX(C2-3/12,0.01)^2 + Curve_Fit!$H$2*MAX(C2-3/12,0.01)^3) - (Curve_Fit!$H$5 + Curve_Fit!$H$4*C2 + Curve_Fit!$H$3*C2^2 + Curve_Fit!$H$2*C2^3))*100),"")</f>
        <v/>
      </c>
      <c r="K2" s="21">
        <f>IFERROR(IF(OR(C2="",D2=""),"",-D2*((Curve_Fit!$H$5 + Curve_Fit!$H$4*MAX(C2-6/12,0.01) + Curve_Fit!$H$3*MAX(C2-6/12,0.01)^2 + Curve_Fit!$H$2*MAX(C2-6/12,0.01)^3) - (Curve_Fit!$H$5 + Curve_Fit!$H$4*C2 + Curve_Fit!$H$3*C2^2 + Curve_Fit!$H$2*C2^3))*100),"")</f>
        <v/>
      </c>
      <c r="L2" s="21">
        <f>IFERROR(IF(OR(C2="",D2=""),"",-D2*((Curve_Fit!$H$5 + Curve_Fit!$H$4*MAX(C2-12/12,0.01) + Curve_Fit!$H$3*MAX(C2-12/12,0.01)^2 + Curve_Fit!$H$2*MAX(C2-12/12,0.01)^3) - (Curve_Fit!$H$5 + Curve_Fit!$H$4*C2 + Curve_Fit!$H$3*C2^2 + Curve_Fit!$H$2*C2^3))*100),"")</f>
        <v/>
      </c>
      <c r="M2" s="21">
        <f>IFERROR(IF(OR(I2="",L2=""),"",I2+L2),"")</f>
        <v/>
      </c>
    </row>
    <row r="3">
      <c r="A3" s="24">
        <f>Bonds_Static!A3</f>
        <v/>
      </c>
      <c r="B3" s="24">
        <f>Bonds_Static!C3</f>
        <v/>
      </c>
      <c r="C3" s="25">
        <f>IFERROR(Bonds_Static!G3,"")</f>
        <v/>
      </c>
      <c r="D3" s="11">
        <f>IFERROR(Bonds_Live!Q3,"")</f>
        <v/>
      </c>
      <c r="E3" s="11">
        <f>IFERROR(Bonds_Static!D3,"")</f>
        <v/>
      </c>
      <c r="F3" s="11">
        <f>IFERROR(Bonds_Live!K3,"")</f>
        <v/>
      </c>
      <c r="G3" s="21">
        <f>IFERROR(IF(E3="","",E3*100/Bonds_Live!F3*3/12),"")</f>
        <v/>
      </c>
      <c r="H3" s="21">
        <f>IFERROR(IF(E3="","",E3*100/Bonds_Live!F3*6/12),"")</f>
        <v/>
      </c>
      <c r="I3" s="21">
        <f>IFERROR(IF(E3="","",E3*100/Bonds_Live!F3*12/12),"")</f>
        <v/>
      </c>
      <c r="J3" s="21">
        <f>IFERROR(IF(OR(C3="",D3=""),"",-D3*((Curve_Fit!$H$5 + Curve_Fit!$H$4*MAX(C3-3/12,0.01) + Curve_Fit!$H$3*MAX(C3-3/12,0.01)^2 + Curve_Fit!$H$2*MAX(C3-3/12,0.01)^3) - (Curve_Fit!$H$5 + Curve_Fit!$H$4*C3 + Curve_Fit!$H$3*C3^2 + Curve_Fit!$H$2*C3^3))*100),"")</f>
        <v/>
      </c>
      <c r="K3" s="21">
        <f>IFERROR(IF(OR(C3="",D3=""),"",-D3*((Curve_Fit!$H$5 + Curve_Fit!$H$4*MAX(C3-6/12,0.01) + Curve_Fit!$H$3*MAX(C3-6/12,0.01)^2 + Curve_Fit!$H$2*MAX(C3-6/12,0.01)^3) - (Curve_Fit!$H$5 + Curve_Fit!$H$4*C3 + Curve_Fit!$H$3*C3^2 + Curve_Fit!$H$2*C3^3))*100),"")</f>
        <v/>
      </c>
      <c r="L3" s="21">
        <f>IFERROR(IF(OR(C3="",D3=""),"",-D3*((Curve_Fit!$H$5 + Curve_Fit!$H$4*MAX(C3-12/12,0.01) + Curve_Fit!$H$3*MAX(C3-12/12,0.01)^2 + Curve_Fit!$H$2*MAX(C3-12/12,0.01)^3) - (Curve_Fit!$H$5 + Curve_Fit!$H$4*C3 + Curve_Fit!$H$3*C3^2 + Curve_Fit!$H$2*C3^3))*100),"")</f>
        <v/>
      </c>
      <c r="M3" s="21">
        <f>IFERROR(IF(OR(I3="",L3=""),"",I3+L3),"")</f>
        <v/>
      </c>
    </row>
    <row r="4">
      <c r="A4" s="24">
        <f>Bonds_Static!A4</f>
        <v/>
      </c>
      <c r="B4" s="24">
        <f>Bonds_Static!C4</f>
        <v/>
      </c>
      <c r="C4" s="25">
        <f>IFERROR(Bonds_Static!G4,"")</f>
        <v/>
      </c>
      <c r="D4" s="11">
        <f>IFERROR(Bonds_Live!Q4,"")</f>
        <v/>
      </c>
      <c r="E4" s="11">
        <f>IFERROR(Bonds_Static!D4,"")</f>
        <v/>
      </c>
      <c r="F4" s="11">
        <f>IFERROR(Bonds_Live!K4,"")</f>
        <v/>
      </c>
      <c r="G4" s="21">
        <f>IFERROR(IF(E4="","",E4*100/Bonds_Live!F4*3/12),"")</f>
        <v/>
      </c>
      <c r="H4" s="21">
        <f>IFERROR(IF(E4="","",E4*100/Bonds_Live!F4*6/12),"")</f>
        <v/>
      </c>
      <c r="I4" s="21">
        <f>IFERROR(IF(E4="","",E4*100/Bonds_Live!F4*12/12),"")</f>
        <v/>
      </c>
      <c r="J4" s="21">
        <f>IFERROR(IF(OR(C4="",D4=""),"",-D4*((Curve_Fit!$H$5 + Curve_Fit!$H$4*MAX(C4-3/12,0.01) + Curve_Fit!$H$3*MAX(C4-3/12,0.01)^2 + Curve_Fit!$H$2*MAX(C4-3/12,0.01)^3) - (Curve_Fit!$H$5 + Curve_Fit!$H$4*C4 + Curve_Fit!$H$3*C4^2 + Curve_Fit!$H$2*C4^3))*100),"")</f>
        <v/>
      </c>
      <c r="K4" s="21">
        <f>IFERROR(IF(OR(C4="",D4=""),"",-D4*((Curve_Fit!$H$5 + Curve_Fit!$H$4*MAX(C4-6/12,0.01) + Curve_Fit!$H$3*MAX(C4-6/12,0.01)^2 + Curve_Fit!$H$2*MAX(C4-6/12,0.01)^3) - (Curve_Fit!$H$5 + Curve_Fit!$H$4*C4 + Curve_Fit!$H$3*C4^2 + Curve_Fit!$H$2*C4^3))*100),"")</f>
        <v/>
      </c>
      <c r="L4" s="21">
        <f>IFERROR(IF(OR(C4="",D4=""),"",-D4*((Curve_Fit!$H$5 + Curve_Fit!$H$4*MAX(C4-12/12,0.01) + Curve_Fit!$H$3*MAX(C4-12/12,0.01)^2 + Curve_Fit!$H$2*MAX(C4-12/12,0.01)^3) - (Curve_Fit!$H$5 + Curve_Fit!$H$4*C4 + Curve_Fit!$H$3*C4^2 + Curve_Fit!$H$2*C4^3))*100),"")</f>
        <v/>
      </c>
      <c r="M4" s="21">
        <f>IFERROR(IF(OR(I4="",L4=""),"",I4+L4),"")</f>
        <v/>
      </c>
    </row>
    <row r="5">
      <c r="A5" s="24">
        <f>Bonds_Static!A5</f>
        <v/>
      </c>
      <c r="B5" s="24">
        <f>Bonds_Static!C5</f>
        <v/>
      </c>
      <c r="C5" s="25">
        <f>IFERROR(Bonds_Static!G5,"")</f>
        <v/>
      </c>
      <c r="D5" s="11">
        <f>IFERROR(Bonds_Live!Q5,"")</f>
        <v/>
      </c>
      <c r="E5" s="11">
        <f>IFERROR(Bonds_Static!D5,"")</f>
        <v/>
      </c>
      <c r="F5" s="11">
        <f>IFERROR(Bonds_Live!K5,"")</f>
        <v/>
      </c>
      <c r="G5" s="21">
        <f>IFERROR(IF(E5="","",E5*100/Bonds_Live!F5*3/12),"")</f>
        <v/>
      </c>
      <c r="H5" s="21">
        <f>IFERROR(IF(E5="","",E5*100/Bonds_Live!F5*6/12),"")</f>
        <v/>
      </c>
      <c r="I5" s="21">
        <f>IFERROR(IF(E5="","",E5*100/Bonds_Live!F5*12/12),"")</f>
        <v/>
      </c>
      <c r="J5" s="21">
        <f>IFERROR(IF(OR(C5="",D5=""),"",-D5*((Curve_Fit!$H$5 + Curve_Fit!$H$4*MAX(C5-3/12,0.01) + Curve_Fit!$H$3*MAX(C5-3/12,0.01)^2 + Curve_Fit!$H$2*MAX(C5-3/12,0.01)^3) - (Curve_Fit!$H$5 + Curve_Fit!$H$4*C5 + Curve_Fit!$H$3*C5^2 + Curve_Fit!$H$2*C5^3))*100),"")</f>
        <v/>
      </c>
      <c r="K5" s="21">
        <f>IFERROR(IF(OR(C5="",D5=""),"",-D5*((Curve_Fit!$H$5 + Curve_Fit!$H$4*MAX(C5-6/12,0.01) + Curve_Fit!$H$3*MAX(C5-6/12,0.01)^2 + Curve_Fit!$H$2*MAX(C5-6/12,0.01)^3) - (Curve_Fit!$H$5 + Curve_Fit!$H$4*C5 + Curve_Fit!$H$3*C5^2 + Curve_Fit!$H$2*C5^3))*100),"")</f>
        <v/>
      </c>
      <c r="L5" s="21">
        <f>IFERROR(IF(OR(C5="",D5=""),"",-D5*((Curve_Fit!$H$5 + Curve_Fit!$H$4*MAX(C5-12/12,0.01) + Curve_Fit!$H$3*MAX(C5-12/12,0.01)^2 + Curve_Fit!$H$2*MAX(C5-12/12,0.01)^3) - (Curve_Fit!$H$5 + Curve_Fit!$H$4*C5 + Curve_Fit!$H$3*C5^2 + Curve_Fit!$H$2*C5^3))*100),"")</f>
        <v/>
      </c>
      <c r="M5" s="21">
        <f>IFERROR(IF(OR(I5="",L5=""),"",I5+L5),"")</f>
        <v/>
      </c>
    </row>
    <row r="6">
      <c r="A6" s="24">
        <f>Bonds_Static!A6</f>
        <v/>
      </c>
      <c r="B6" s="24">
        <f>Bonds_Static!C6</f>
        <v/>
      </c>
      <c r="C6" s="25">
        <f>IFERROR(Bonds_Static!G6,"")</f>
        <v/>
      </c>
      <c r="D6" s="11">
        <f>IFERROR(Bonds_Live!Q6,"")</f>
        <v/>
      </c>
      <c r="E6" s="11">
        <f>IFERROR(Bonds_Static!D6,"")</f>
        <v/>
      </c>
      <c r="F6" s="11">
        <f>IFERROR(Bonds_Live!K6,"")</f>
        <v/>
      </c>
      <c r="G6" s="21">
        <f>IFERROR(IF(E6="","",E6*100/Bonds_Live!F6*3/12),"")</f>
        <v/>
      </c>
      <c r="H6" s="21">
        <f>IFERROR(IF(E6="","",E6*100/Bonds_Live!F6*6/12),"")</f>
        <v/>
      </c>
      <c r="I6" s="21">
        <f>IFERROR(IF(E6="","",E6*100/Bonds_Live!F6*12/12),"")</f>
        <v/>
      </c>
      <c r="J6" s="21">
        <f>IFERROR(IF(OR(C6="",D6=""),"",-D6*((Curve_Fit!$H$5 + Curve_Fit!$H$4*MAX(C6-3/12,0.01) + Curve_Fit!$H$3*MAX(C6-3/12,0.01)^2 + Curve_Fit!$H$2*MAX(C6-3/12,0.01)^3) - (Curve_Fit!$H$5 + Curve_Fit!$H$4*C6 + Curve_Fit!$H$3*C6^2 + Curve_Fit!$H$2*C6^3))*100),"")</f>
        <v/>
      </c>
      <c r="K6" s="21">
        <f>IFERROR(IF(OR(C6="",D6=""),"",-D6*((Curve_Fit!$H$5 + Curve_Fit!$H$4*MAX(C6-6/12,0.01) + Curve_Fit!$H$3*MAX(C6-6/12,0.01)^2 + Curve_Fit!$H$2*MAX(C6-6/12,0.01)^3) - (Curve_Fit!$H$5 + Curve_Fit!$H$4*C6 + Curve_Fit!$H$3*C6^2 + Curve_Fit!$H$2*C6^3))*100),"")</f>
        <v/>
      </c>
      <c r="L6" s="21">
        <f>IFERROR(IF(OR(C6="",D6=""),"",-D6*((Curve_Fit!$H$5 + Curve_Fit!$H$4*MAX(C6-12/12,0.01) + Curve_Fit!$H$3*MAX(C6-12/12,0.01)^2 + Curve_Fit!$H$2*MAX(C6-12/12,0.01)^3) - (Curve_Fit!$H$5 + Curve_Fit!$H$4*C6 + Curve_Fit!$H$3*C6^2 + Curve_Fit!$H$2*C6^3))*100),"")</f>
        <v/>
      </c>
      <c r="M6" s="21">
        <f>IFERROR(IF(OR(I6="",L6=""),"",I6+L6),"")</f>
        <v/>
      </c>
    </row>
    <row r="7">
      <c r="A7" s="24">
        <f>Bonds_Static!A7</f>
        <v/>
      </c>
      <c r="B7" s="24">
        <f>Bonds_Static!C7</f>
        <v/>
      </c>
      <c r="C7" s="25">
        <f>IFERROR(Bonds_Static!G7,"")</f>
        <v/>
      </c>
      <c r="D7" s="11">
        <f>IFERROR(Bonds_Live!Q7,"")</f>
        <v/>
      </c>
      <c r="E7" s="11">
        <f>IFERROR(Bonds_Static!D7,"")</f>
        <v/>
      </c>
      <c r="F7" s="11">
        <f>IFERROR(Bonds_Live!K7,"")</f>
        <v/>
      </c>
      <c r="G7" s="21">
        <f>IFERROR(IF(E7="","",E7*100/Bonds_Live!F7*3/12),"")</f>
        <v/>
      </c>
      <c r="H7" s="21">
        <f>IFERROR(IF(E7="","",E7*100/Bonds_Live!F7*6/12),"")</f>
        <v/>
      </c>
      <c r="I7" s="21">
        <f>IFERROR(IF(E7="","",E7*100/Bonds_Live!F7*12/12),"")</f>
        <v/>
      </c>
      <c r="J7" s="21">
        <f>IFERROR(IF(OR(C7="",D7=""),"",-D7*((Curve_Fit!$H$5 + Curve_Fit!$H$4*MAX(C7-3/12,0.01) + Curve_Fit!$H$3*MAX(C7-3/12,0.01)^2 + Curve_Fit!$H$2*MAX(C7-3/12,0.01)^3) - (Curve_Fit!$H$5 + Curve_Fit!$H$4*C7 + Curve_Fit!$H$3*C7^2 + Curve_Fit!$H$2*C7^3))*100),"")</f>
        <v/>
      </c>
      <c r="K7" s="21">
        <f>IFERROR(IF(OR(C7="",D7=""),"",-D7*((Curve_Fit!$H$5 + Curve_Fit!$H$4*MAX(C7-6/12,0.01) + Curve_Fit!$H$3*MAX(C7-6/12,0.01)^2 + Curve_Fit!$H$2*MAX(C7-6/12,0.01)^3) - (Curve_Fit!$H$5 + Curve_Fit!$H$4*C7 + Curve_Fit!$H$3*C7^2 + Curve_Fit!$H$2*C7^3))*100),"")</f>
        <v/>
      </c>
      <c r="L7" s="21">
        <f>IFERROR(IF(OR(C7="",D7=""),"",-D7*((Curve_Fit!$H$5 + Curve_Fit!$H$4*MAX(C7-12/12,0.01) + Curve_Fit!$H$3*MAX(C7-12/12,0.01)^2 + Curve_Fit!$H$2*MAX(C7-12/12,0.01)^3) - (Curve_Fit!$H$5 + Curve_Fit!$H$4*C7 + Curve_Fit!$H$3*C7^2 + Curve_Fit!$H$2*C7^3))*100),"")</f>
        <v/>
      </c>
      <c r="M7" s="21">
        <f>IFERROR(IF(OR(I7="",L7=""),"",I7+L7),"")</f>
        <v/>
      </c>
    </row>
    <row r="8">
      <c r="A8" s="24">
        <f>Bonds_Static!A8</f>
        <v/>
      </c>
      <c r="B8" s="24">
        <f>Bonds_Static!C8</f>
        <v/>
      </c>
      <c r="C8" s="25">
        <f>IFERROR(Bonds_Static!G8,"")</f>
        <v/>
      </c>
      <c r="D8" s="11">
        <f>IFERROR(Bonds_Live!Q8,"")</f>
        <v/>
      </c>
      <c r="E8" s="11">
        <f>IFERROR(Bonds_Static!D8,"")</f>
        <v/>
      </c>
      <c r="F8" s="11">
        <f>IFERROR(Bonds_Live!K8,"")</f>
        <v/>
      </c>
      <c r="G8" s="21">
        <f>IFERROR(IF(E8="","",E8*100/Bonds_Live!F8*3/12),"")</f>
        <v/>
      </c>
      <c r="H8" s="21">
        <f>IFERROR(IF(E8="","",E8*100/Bonds_Live!F8*6/12),"")</f>
        <v/>
      </c>
      <c r="I8" s="21">
        <f>IFERROR(IF(E8="","",E8*100/Bonds_Live!F8*12/12),"")</f>
        <v/>
      </c>
      <c r="J8" s="21">
        <f>IFERROR(IF(OR(C8="",D8=""),"",-D8*((Curve_Fit!$H$5 + Curve_Fit!$H$4*MAX(C8-3/12,0.01) + Curve_Fit!$H$3*MAX(C8-3/12,0.01)^2 + Curve_Fit!$H$2*MAX(C8-3/12,0.01)^3) - (Curve_Fit!$H$5 + Curve_Fit!$H$4*C8 + Curve_Fit!$H$3*C8^2 + Curve_Fit!$H$2*C8^3))*100),"")</f>
        <v/>
      </c>
      <c r="K8" s="21">
        <f>IFERROR(IF(OR(C8="",D8=""),"",-D8*((Curve_Fit!$H$5 + Curve_Fit!$H$4*MAX(C8-6/12,0.01) + Curve_Fit!$H$3*MAX(C8-6/12,0.01)^2 + Curve_Fit!$H$2*MAX(C8-6/12,0.01)^3) - (Curve_Fit!$H$5 + Curve_Fit!$H$4*C8 + Curve_Fit!$H$3*C8^2 + Curve_Fit!$H$2*C8^3))*100),"")</f>
        <v/>
      </c>
      <c r="L8" s="21">
        <f>IFERROR(IF(OR(C8="",D8=""),"",-D8*((Curve_Fit!$H$5 + Curve_Fit!$H$4*MAX(C8-12/12,0.01) + Curve_Fit!$H$3*MAX(C8-12/12,0.01)^2 + Curve_Fit!$H$2*MAX(C8-12/12,0.01)^3) - (Curve_Fit!$H$5 + Curve_Fit!$H$4*C8 + Curve_Fit!$H$3*C8^2 + Curve_Fit!$H$2*C8^3))*100),"")</f>
        <v/>
      </c>
      <c r="M8" s="21">
        <f>IFERROR(IF(OR(I8="",L8=""),"",I8+L8),"")</f>
        <v/>
      </c>
    </row>
    <row r="9">
      <c r="A9" s="24">
        <f>Bonds_Static!A9</f>
        <v/>
      </c>
      <c r="B9" s="24">
        <f>Bonds_Static!C9</f>
        <v/>
      </c>
      <c r="C9" s="25">
        <f>IFERROR(Bonds_Static!G9,"")</f>
        <v/>
      </c>
      <c r="D9" s="11">
        <f>IFERROR(Bonds_Live!Q9,"")</f>
        <v/>
      </c>
      <c r="E9" s="11">
        <f>IFERROR(Bonds_Static!D9,"")</f>
        <v/>
      </c>
      <c r="F9" s="11">
        <f>IFERROR(Bonds_Live!K9,"")</f>
        <v/>
      </c>
      <c r="G9" s="21">
        <f>IFERROR(IF(E9="","",E9*100/Bonds_Live!F9*3/12),"")</f>
        <v/>
      </c>
      <c r="H9" s="21">
        <f>IFERROR(IF(E9="","",E9*100/Bonds_Live!F9*6/12),"")</f>
        <v/>
      </c>
      <c r="I9" s="21">
        <f>IFERROR(IF(E9="","",E9*100/Bonds_Live!F9*12/12),"")</f>
        <v/>
      </c>
      <c r="J9" s="21">
        <f>IFERROR(IF(OR(C9="",D9=""),"",-D9*((Curve_Fit!$H$5 + Curve_Fit!$H$4*MAX(C9-3/12,0.01) + Curve_Fit!$H$3*MAX(C9-3/12,0.01)^2 + Curve_Fit!$H$2*MAX(C9-3/12,0.01)^3) - (Curve_Fit!$H$5 + Curve_Fit!$H$4*C9 + Curve_Fit!$H$3*C9^2 + Curve_Fit!$H$2*C9^3))*100),"")</f>
        <v/>
      </c>
      <c r="K9" s="21">
        <f>IFERROR(IF(OR(C9="",D9=""),"",-D9*((Curve_Fit!$H$5 + Curve_Fit!$H$4*MAX(C9-6/12,0.01) + Curve_Fit!$H$3*MAX(C9-6/12,0.01)^2 + Curve_Fit!$H$2*MAX(C9-6/12,0.01)^3) - (Curve_Fit!$H$5 + Curve_Fit!$H$4*C9 + Curve_Fit!$H$3*C9^2 + Curve_Fit!$H$2*C9^3))*100),"")</f>
        <v/>
      </c>
      <c r="L9" s="21">
        <f>IFERROR(IF(OR(C9="",D9=""),"",-D9*((Curve_Fit!$H$5 + Curve_Fit!$H$4*MAX(C9-12/12,0.01) + Curve_Fit!$H$3*MAX(C9-12/12,0.01)^2 + Curve_Fit!$H$2*MAX(C9-12/12,0.01)^3) - (Curve_Fit!$H$5 + Curve_Fit!$H$4*C9 + Curve_Fit!$H$3*C9^2 + Curve_Fit!$H$2*C9^3))*100),"")</f>
        <v/>
      </c>
      <c r="M9" s="21">
        <f>IFERROR(IF(OR(I9="",L9=""),"",I9+L9),"")</f>
        <v/>
      </c>
    </row>
    <row r="10">
      <c r="A10" s="24">
        <f>Bonds_Static!A10</f>
        <v/>
      </c>
      <c r="B10" s="24">
        <f>Bonds_Static!C10</f>
        <v/>
      </c>
      <c r="C10" s="25">
        <f>IFERROR(Bonds_Static!G10,"")</f>
        <v/>
      </c>
      <c r="D10" s="11">
        <f>IFERROR(Bonds_Live!Q10,"")</f>
        <v/>
      </c>
      <c r="E10" s="11">
        <f>IFERROR(Bonds_Static!D10,"")</f>
        <v/>
      </c>
      <c r="F10" s="11">
        <f>IFERROR(Bonds_Live!K10,"")</f>
        <v/>
      </c>
      <c r="G10" s="21">
        <f>IFERROR(IF(E10="","",E10*100/Bonds_Live!F10*3/12),"")</f>
        <v/>
      </c>
      <c r="H10" s="21">
        <f>IFERROR(IF(E10="","",E10*100/Bonds_Live!F10*6/12),"")</f>
        <v/>
      </c>
      <c r="I10" s="21">
        <f>IFERROR(IF(E10="","",E10*100/Bonds_Live!F10*12/12),"")</f>
        <v/>
      </c>
      <c r="J10" s="21">
        <f>IFERROR(IF(OR(C10="",D10=""),"",-D10*((Curve_Fit!$H$5 + Curve_Fit!$H$4*MAX(C10-3/12,0.01) + Curve_Fit!$H$3*MAX(C10-3/12,0.01)^2 + Curve_Fit!$H$2*MAX(C10-3/12,0.01)^3) - (Curve_Fit!$H$5 + Curve_Fit!$H$4*C10 + Curve_Fit!$H$3*C10^2 + Curve_Fit!$H$2*C10^3))*100),"")</f>
        <v/>
      </c>
      <c r="K10" s="21">
        <f>IFERROR(IF(OR(C10="",D10=""),"",-D10*((Curve_Fit!$H$5 + Curve_Fit!$H$4*MAX(C10-6/12,0.01) + Curve_Fit!$H$3*MAX(C10-6/12,0.01)^2 + Curve_Fit!$H$2*MAX(C10-6/12,0.01)^3) - (Curve_Fit!$H$5 + Curve_Fit!$H$4*C10 + Curve_Fit!$H$3*C10^2 + Curve_Fit!$H$2*C10^3))*100),"")</f>
        <v/>
      </c>
      <c r="L10" s="21">
        <f>IFERROR(IF(OR(C10="",D10=""),"",-D10*((Curve_Fit!$H$5 + Curve_Fit!$H$4*MAX(C10-12/12,0.01) + Curve_Fit!$H$3*MAX(C10-12/12,0.01)^2 + Curve_Fit!$H$2*MAX(C10-12/12,0.01)^3) - (Curve_Fit!$H$5 + Curve_Fit!$H$4*C10 + Curve_Fit!$H$3*C10^2 + Curve_Fit!$H$2*C10^3))*100),"")</f>
        <v/>
      </c>
      <c r="M10" s="21">
        <f>IFERROR(IF(OR(I10="",L10=""),"",I10+L10),"")</f>
        <v/>
      </c>
    </row>
    <row r="11">
      <c r="A11" s="24">
        <f>Bonds_Static!A11</f>
        <v/>
      </c>
      <c r="B11" s="24">
        <f>Bonds_Static!C11</f>
        <v/>
      </c>
      <c r="C11" s="25">
        <f>IFERROR(Bonds_Static!G11,"")</f>
        <v/>
      </c>
      <c r="D11" s="11">
        <f>IFERROR(Bonds_Live!Q11,"")</f>
        <v/>
      </c>
      <c r="E11" s="11">
        <f>IFERROR(Bonds_Static!D11,"")</f>
        <v/>
      </c>
      <c r="F11" s="11">
        <f>IFERROR(Bonds_Live!K11,"")</f>
        <v/>
      </c>
      <c r="G11" s="21">
        <f>IFERROR(IF(E11="","",E11*100/Bonds_Live!F11*3/12),"")</f>
        <v/>
      </c>
      <c r="H11" s="21">
        <f>IFERROR(IF(E11="","",E11*100/Bonds_Live!F11*6/12),"")</f>
        <v/>
      </c>
      <c r="I11" s="21">
        <f>IFERROR(IF(E11="","",E11*100/Bonds_Live!F11*12/12),"")</f>
        <v/>
      </c>
      <c r="J11" s="21">
        <f>IFERROR(IF(OR(C11="",D11=""),"",-D11*((Curve_Fit!$H$5 + Curve_Fit!$H$4*MAX(C11-3/12,0.01) + Curve_Fit!$H$3*MAX(C11-3/12,0.01)^2 + Curve_Fit!$H$2*MAX(C11-3/12,0.01)^3) - (Curve_Fit!$H$5 + Curve_Fit!$H$4*C11 + Curve_Fit!$H$3*C11^2 + Curve_Fit!$H$2*C11^3))*100),"")</f>
        <v/>
      </c>
      <c r="K11" s="21">
        <f>IFERROR(IF(OR(C11="",D11=""),"",-D11*((Curve_Fit!$H$5 + Curve_Fit!$H$4*MAX(C11-6/12,0.01) + Curve_Fit!$H$3*MAX(C11-6/12,0.01)^2 + Curve_Fit!$H$2*MAX(C11-6/12,0.01)^3) - (Curve_Fit!$H$5 + Curve_Fit!$H$4*C11 + Curve_Fit!$H$3*C11^2 + Curve_Fit!$H$2*C11^3))*100),"")</f>
        <v/>
      </c>
      <c r="L11" s="21">
        <f>IFERROR(IF(OR(C11="",D11=""),"",-D11*((Curve_Fit!$H$5 + Curve_Fit!$H$4*MAX(C11-12/12,0.01) + Curve_Fit!$H$3*MAX(C11-12/12,0.01)^2 + Curve_Fit!$H$2*MAX(C11-12/12,0.01)^3) - (Curve_Fit!$H$5 + Curve_Fit!$H$4*C11 + Curve_Fit!$H$3*C11^2 + Curve_Fit!$H$2*C11^3))*100),"")</f>
        <v/>
      </c>
      <c r="M11" s="21">
        <f>IFERROR(IF(OR(I11="",L11=""),"",I11+L11),"")</f>
        <v/>
      </c>
    </row>
    <row r="12">
      <c r="A12" s="24">
        <f>Bonds_Static!A12</f>
        <v/>
      </c>
      <c r="B12" s="24">
        <f>Bonds_Static!C12</f>
        <v/>
      </c>
      <c r="C12" s="25">
        <f>IFERROR(Bonds_Static!G12,"")</f>
        <v/>
      </c>
      <c r="D12" s="11">
        <f>IFERROR(Bonds_Live!Q12,"")</f>
        <v/>
      </c>
      <c r="E12" s="11">
        <f>IFERROR(Bonds_Static!D12,"")</f>
        <v/>
      </c>
      <c r="F12" s="11">
        <f>IFERROR(Bonds_Live!K12,"")</f>
        <v/>
      </c>
      <c r="G12" s="21">
        <f>IFERROR(IF(E12="","",E12*100/Bonds_Live!F12*3/12),"")</f>
        <v/>
      </c>
      <c r="H12" s="21">
        <f>IFERROR(IF(E12="","",E12*100/Bonds_Live!F12*6/12),"")</f>
        <v/>
      </c>
      <c r="I12" s="21">
        <f>IFERROR(IF(E12="","",E12*100/Bonds_Live!F12*12/12),"")</f>
        <v/>
      </c>
      <c r="J12" s="21">
        <f>IFERROR(IF(OR(C12="",D12=""),"",-D12*((Curve_Fit!$H$5 + Curve_Fit!$H$4*MAX(C12-3/12,0.01) + Curve_Fit!$H$3*MAX(C12-3/12,0.01)^2 + Curve_Fit!$H$2*MAX(C12-3/12,0.01)^3) - (Curve_Fit!$H$5 + Curve_Fit!$H$4*C12 + Curve_Fit!$H$3*C12^2 + Curve_Fit!$H$2*C12^3))*100),"")</f>
        <v/>
      </c>
      <c r="K12" s="21">
        <f>IFERROR(IF(OR(C12="",D12=""),"",-D12*((Curve_Fit!$H$5 + Curve_Fit!$H$4*MAX(C12-6/12,0.01) + Curve_Fit!$H$3*MAX(C12-6/12,0.01)^2 + Curve_Fit!$H$2*MAX(C12-6/12,0.01)^3) - (Curve_Fit!$H$5 + Curve_Fit!$H$4*C12 + Curve_Fit!$H$3*C12^2 + Curve_Fit!$H$2*C12^3))*100),"")</f>
        <v/>
      </c>
      <c r="L12" s="21">
        <f>IFERROR(IF(OR(C12="",D12=""),"",-D12*((Curve_Fit!$H$5 + Curve_Fit!$H$4*MAX(C12-12/12,0.01) + Curve_Fit!$H$3*MAX(C12-12/12,0.01)^2 + Curve_Fit!$H$2*MAX(C12-12/12,0.01)^3) - (Curve_Fit!$H$5 + Curve_Fit!$H$4*C12 + Curve_Fit!$H$3*C12^2 + Curve_Fit!$H$2*C12^3))*100),"")</f>
        <v/>
      </c>
      <c r="M12" s="21">
        <f>IFERROR(IF(OR(I12="",L12=""),"",I12+L12),"")</f>
        <v/>
      </c>
    </row>
    <row r="13">
      <c r="A13" s="24">
        <f>Bonds_Static!A13</f>
        <v/>
      </c>
      <c r="B13" s="24">
        <f>Bonds_Static!C13</f>
        <v/>
      </c>
      <c r="C13" s="25">
        <f>IFERROR(Bonds_Static!G13,"")</f>
        <v/>
      </c>
      <c r="D13" s="11">
        <f>IFERROR(Bonds_Live!Q13,"")</f>
        <v/>
      </c>
      <c r="E13" s="11">
        <f>IFERROR(Bonds_Static!D13,"")</f>
        <v/>
      </c>
      <c r="F13" s="11">
        <f>IFERROR(Bonds_Live!K13,"")</f>
        <v/>
      </c>
      <c r="G13" s="21">
        <f>IFERROR(IF(E13="","",E13*100/Bonds_Live!F13*3/12),"")</f>
        <v/>
      </c>
      <c r="H13" s="21">
        <f>IFERROR(IF(E13="","",E13*100/Bonds_Live!F13*6/12),"")</f>
        <v/>
      </c>
      <c r="I13" s="21">
        <f>IFERROR(IF(E13="","",E13*100/Bonds_Live!F13*12/12),"")</f>
        <v/>
      </c>
      <c r="J13" s="21">
        <f>IFERROR(IF(OR(C13="",D13=""),"",-D13*((Curve_Fit!$H$5 + Curve_Fit!$H$4*MAX(C13-3/12,0.01) + Curve_Fit!$H$3*MAX(C13-3/12,0.01)^2 + Curve_Fit!$H$2*MAX(C13-3/12,0.01)^3) - (Curve_Fit!$H$5 + Curve_Fit!$H$4*C13 + Curve_Fit!$H$3*C13^2 + Curve_Fit!$H$2*C13^3))*100),"")</f>
        <v/>
      </c>
      <c r="K13" s="21">
        <f>IFERROR(IF(OR(C13="",D13=""),"",-D13*((Curve_Fit!$H$5 + Curve_Fit!$H$4*MAX(C13-6/12,0.01) + Curve_Fit!$H$3*MAX(C13-6/12,0.01)^2 + Curve_Fit!$H$2*MAX(C13-6/12,0.01)^3) - (Curve_Fit!$H$5 + Curve_Fit!$H$4*C13 + Curve_Fit!$H$3*C13^2 + Curve_Fit!$H$2*C13^3))*100),"")</f>
        <v/>
      </c>
      <c r="L13" s="21">
        <f>IFERROR(IF(OR(C13="",D13=""),"",-D13*((Curve_Fit!$H$5 + Curve_Fit!$H$4*MAX(C13-12/12,0.01) + Curve_Fit!$H$3*MAX(C13-12/12,0.01)^2 + Curve_Fit!$H$2*MAX(C13-12/12,0.01)^3) - (Curve_Fit!$H$5 + Curve_Fit!$H$4*C13 + Curve_Fit!$H$3*C13^2 + Curve_Fit!$H$2*C13^3))*100),"")</f>
        <v/>
      </c>
      <c r="M13" s="21">
        <f>IFERROR(IF(OR(I13="",L13=""),"",I13+L13),"")</f>
        <v/>
      </c>
    </row>
    <row r="14">
      <c r="A14" s="24">
        <f>Bonds_Static!A14</f>
        <v/>
      </c>
      <c r="B14" s="24">
        <f>Bonds_Static!C14</f>
        <v/>
      </c>
      <c r="C14" s="25">
        <f>IFERROR(Bonds_Static!G14,"")</f>
        <v/>
      </c>
      <c r="D14" s="11">
        <f>IFERROR(Bonds_Live!Q14,"")</f>
        <v/>
      </c>
      <c r="E14" s="11">
        <f>IFERROR(Bonds_Static!D14,"")</f>
        <v/>
      </c>
      <c r="F14" s="11">
        <f>IFERROR(Bonds_Live!K14,"")</f>
        <v/>
      </c>
      <c r="G14" s="21">
        <f>IFERROR(IF(E14="","",E14*100/Bonds_Live!F14*3/12),"")</f>
        <v/>
      </c>
      <c r="H14" s="21">
        <f>IFERROR(IF(E14="","",E14*100/Bonds_Live!F14*6/12),"")</f>
        <v/>
      </c>
      <c r="I14" s="21">
        <f>IFERROR(IF(E14="","",E14*100/Bonds_Live!F14*12/12),"")</f>
        <v/>
      </c>
      <c r="J14" s="21">
        <f>IFERROR(IF(OR(C14="",D14=""),"",-D14*((Curve_Fit!$H$5 + Curve_Fit!$H$4*MAX(C14-3/12,0.01) + Curve_Fit!$H$3*MAX(C14-3/12,0.01)^2 + Curve_Fit!$H$2*MAX(C14-3/12,0.01)^3) - (Curve_Fit!$H$5 + Curve_Fit!$H$4*C14 + Curve_Fit!$H$3*C14^2 + Curve_Fit!$H$2*C14^3))*100),"")</f>
        <v/>
      </c>
      <c r="K14" s="21">
        <f>IFERROR(IF(OR(C14="",D14=""),"",-D14*((Curve_Fit!$H$5 + Curve_Fit!$H$4*MAX(C14-6/12,0.01) + Curve_Fit!$H$3*MAX(C14-6/12,0.01)^2 + Curve_Fit!$H$2*MAX(C14-6/12,0.01)^3) - (Curve_Fit!$H$5 + Curve_Fit!$H$4*C14 + Curve_Fit!$H$3*C14^2 + Curve_Fit!$H$2*C14^3))*100),"")</f>
        <v/>
      </c>
      <c r="L14" s="21">
        <f>IFERROR(IF(OR(C14="",D14=""),"",-D14*((Curve_Fit!$H$5 + Curve_Fit!$H$4*MAX(C14-12/12,0.01) + Curve_Fit!$H$3*MAX(C14-12/12,0.01)^2 + Curve_Fit!$H$2*MAX(C14-12/12,0.01)^3) - (Curve_Fit!$H$5 + Curve_Fit!$H$4*C14 + Curve_Fit!$H$3*C14^2 + Curve_Fit!$H$2*C14^3))*100),"")</f>
        <v/>
      </c>
      <c r="M14" s="21">
        <f>IFERROR(IF(OR(I14="",L14=""),"",I14+L14),"")</f>
        <v/>
      </c>
    </row>
    <row r="15">
      <c r="A15" s="24">
        <f>Bonds_Static!A15</f>
        <v/>
      </c>
      <c r="B15" s="24">
        <f>Bonds_Static!C15</f>
        <v/>
      </c>
      <c r="C15" s="25">
        <f>IFERROR(Bonds_Static!G15,"")</f>
        <v/>
      </c>
      <c r="D15" s="11">
        <f>IFERROR(Bonds_Live!Q15,"")</f>
        <v/>
      </c>
      <c r="E15" s="11">
        <f>IFERROR(Bonds_Static!D15,"")</f>
        <v/>
      </c>
      <c r="F15" s="11">
        <f>IFERROR(Bonds_Live!K15,"")</f>
        <v/>
      </c>
      <c r="G15" s="21">
        <f>IFERROR(IF(E15="","",E15*100/Bonds_Live!F15*3/12),"")</f>
        <v/>
      </c>
      <c r="H15" s="21">
        <f>IFERROR(IF(E15="","",E15*100/Bonds_Live!F15*6/12),"")</f>
        <v/>
      </c>
      <c r="I15" s="21">
        <f>IFERROR(IF(E15="","",E15*100/Bonds_Live!F15*12/12),"")</f>
        <v/>
      </c>
      <c r="J15" s="21">
        <f>IFERROR(IF(OR(C15="",D15=""),"",-D15*((Curve_Fit!$H$5 + Curve_Fit!$H$4*MAX(C15-3/12,0.01) + Curve_Fit!$H$3*MAX(C15-3/12,0.01)^2 + Curve_Fit!$H$2*MAX(C15-3/12,0.01)^3) - (Curve_Fit!$H$5 + Curve_Fit!$H$4*C15 + Curve_Fit!$H$3*C15^2 + Curve_Fit!$H$2*C15^3))*100),"")</f>
        <v/>
      </c>
      <c r="K15" s="21">
        <f>IFERROR(IF(OR(C15="",D15=""),"",-D15*((Curve_Fit!$H$5 + Curve_Fit!$H$4*MAX(C15-6/12,0.01) + Curve_Fit!$H$3*MAX(C15-6/12,0.01)^2 + Curve_Fit!$H$2*MAX(C15-6/12,0.01)^3) - (Curve_Fit!$H$5 + Curve_Fit!$H$4*C15 + Curve_Fit!$H$3*C15^2 + Curve_Fit!$H$2*C15^3))*100),"")</f>
        <v/>
      </c>
      <c r="L15" s="21">
        <f>IFERROR(IF(OR(C15="",D15=""),"",-D15*((Curve_Fit!$H$5 + Curve_Fit!$H$4*MAX(C15-12/12,0.01) + Curve_Fit!$H$3*MAX(C15-12/12,0.01)^2 + Curve_Fit!$H$2*MAX(C15-12/12,0.01)^3) - (Curve_Fit!$H$5 + Curve_Fit!$H$4*C15 + Curve_Fit!$H$3*C15^2 + Curve_Fit!$H$2*C15^3))*100),"")</f>
        <v/>
      </c>
      <c r="M15" s="21">
        <f>IFERROR(IF(OR(I15="",L15=""),"",I15+L15),"")</f>
        <v/>
      </c>
    </row>
    <row r="16">
      <c r="A16" s="24">
        <f>Bonds_Static!A16</f>
        <v/>
      </c>
      <c r="B16" s="24">
        <f>Bonds_Static!C16</f>
        <v/>
      </c>
      <c r="C16" s="25">
        <f>IFERROR(Bonds_Static!G16,"")</f>
        <v/>
      </c>
      <c r="D16" s="11">
        <f>IFERROR(Bonds_Live!Q16,"")</f>
        <v/>
      </c>
      <c r="E16" s="11">
        <f>IFERROR(Bonds_Static!D16,"")</f>
        <v/>
      </c>
      <c r="F16" s="11">
        <f>IFERROR(Bonds_Live!K16,"")</f>
        <v/>
      </c>
      <c r="G16" s="21">
        <f>IFERROR(IF(E16="","",E16*100/Bonds_Live!F16*3/12),"")</f>
        <v/>
      </c>
      <c r="H16" s="21">
        <f>IFERROR(IF(E16="","",E16*100/Bonds_Live!F16*6/12),"")</f>
        <v/>
      </c>
      <c r="I16" s="21">
        <f>IFERROR(IF(E16="","",E16*100/Bonds_Live!F16*12/12),"")</f>
        <v/>
      </c>
      <c r="J16" s="21">
        <f>IFERROR(IF(OR(C16="",D16=""),"",-D16*((Curve_Fit!$H$5 + Curve_Fit!$H$4*MAX(C16-3/12,0.01) + Curve_Fit!$H$3*MAX(C16-3/12,0.01)^2 + Curve_Fit!$H$2*MAX(C16-3/12,0.01)^3) - (Curve_Fit!$H$5 + Curve_Fit!$H$4*C16 + Curve_Fit!$H$3*C16^2 + Curve_Fit!$H$2*C16^3))*100),"")</f>
        <v/>
      </c>
      <c r="K16" s="21">
        <f>IFERROR(IF(OR(C16="",D16=""),"",-D16*((Curve_Fit!$H$5 + Curve_Fit!$H$4*MAX(C16-6/12,0.01) + Curve_Fit!$H$3*MAX(C16-6/12,0.01)^2 + Curve_Fit!$H$2*MAX(C16-6/12,0.01)^3) - (Curve_Fit!$H$5 + Curve_Fit!$H$4*C16 + Curve_Fit!$H$3*C16^2 + Curve_Fit!$H$2*C16^3))*100),"")</f>
        <v/>
      </c>
      <c r="L16" s="21">
        <f>IFERROR(IF(OR(C16="",D16=""),"",-D16*((Curve_Fit!$H$5 + Curve_Fit!$H$4*MAX(C16-12/12,0.01) + Curve_Fit!$H$3*MAX(C16-12/12,0.01)^2 + Curve_Fit!$H$2*MAX(C16-12/12,0.01)^3) - (Curve_Fit!$H$5 + Curve_Fit!$H$4*C16 + Curve_Fit!$H$3*C16^2 + Curve_Fit!$H$2*C16^3))*100),"")</f>
        <v/>
      </c>
      <c r="M16" s="21">
        <f>IFERROR(IF(OR(I16="",L16=""),"",I16+L16),"")</f>
        <v/>
      </c>
    </row>
    <row r="17">
      <c r="A17" s="24">
        <f>Bonds_Static!A17</f>
        <v/>
      </c>
      <c r="B17" s="24">
        <f>Bonds_Static!C17</f>
        <v/>
      </c>
      <c r="C17" s="25">
        <f>IFERROR(Bonds_Static!G17,"")</f>
        <v/>
      </c>
      <c r="D17" s="11">
        <f>IFERROR(Bonds_Live!Q17,"")</f>
        <v/>
      </c>
      <c r="E17" s="11">
        <f>IFERROR(Bonds_Static!D17,"")</f>
        <v/>
      </c>
      <c r="F17" s="11">
        <f>IFERROR(Bonds_Live!K17,"")</f>
        <v/>
      </c>
      <c r="G17" s="21">
        <f>IFERROR(IF(E17="","",E17*100/Bonds_Live!F17*3/12),"")</f>
        <v/>
      </c>
      <c r="H17" s="21">
        <f>IFERROR(IF(E17="","",E17*100/Bonds_Live!F17*6/12),"")</f>
        <v/>
      </c>
      <c r="I17" s="21">
        <f>IFERROR(IF(E17="","",E17*100/Bonds_Live!F17*12/12),"")</f>
        <v/>
      </c>
      <c r="J17" s="21">
        <f>IFERROR(IF(OR(C17="",D17=""),"",-D17*((Curve_Fit!$H$5 + Curve_Fit!$H$4*MAX(C17-3/12,0.01) + Curve_Fit!$H$3*MAX(C17-3/12,0.01)^2 + Curve_Fit!$H$2*MAX(C17-3/12,0.01)^3) - (Curve_Fit!$H$5 + Curve_Fit!$H$4*C17 + Curve_Fit!$H$3*C17^2 + Curve_Fit!$H$2*C17^3))*100),"")</f>
        <v/>
      </c>
      <c r="K17" s="21">
        <f>IFERROR(IF(OR(C17="",D17=""),"",-D17*((Curve_Fit!$H$5 + Curve_Fit!$H$4*MAX(C17-6/12,0.01) + Curve_Fit!$H$3*MAX(C17-6/12,0.01)^2 + Curve_Fit!$H$2*MAX(C17-6/12,0.01)^3) - (Curve_Fit!$H$5 + Curve_Fit!$H$4*C17 + Curve_Fit!$H$3*C17^2 + Curve_Fit!$H$2*C17^3))*100),"")</f>
        <v/>
      </c>
      <c r="L17" s="21">
        <f>IFERROR(IF(OR(C17="",D17=""),"",-D17*((Curve_Fit!$H$5 + Curve_Fit!$H$4*MAX(C17-12/12,0.01) + Curve_Fit!$H$3*MAX(C17-12/12,0.01)^2 + Curve_Fit!$H$2*MAX(C17-12/12,0.01)^3) - (Curve_Fit!$H$5 + Curve_Fit!$H$4*C17 + Curve_Fit!$H$3*C17^2 + Curve_Fit!$H$2*C17^3))*100),"")</f>
        <v/>
      </c>
      <c r="M17" s="21">
        <f>IFERROR(IF(OR(I17="",L17=""),"",I17+L17),"")</f>
        <v/>
      </c>
    </row>
    <row r="18">
      <c r="A18" s="24">
        <f>Bonds_Static!A18</f>
        <v/>
      </c>
      <c r="B18" s="24">
        <f>Bonds_Static!C18</f>
        <v/>
      </c>
      <c r="C18" s="25">
        <f>IFERROR(Bonds_Static!G18,"")</f>
        <v/>
      </c>
      <c r="D18" s="11">
        <f>IFERROR(Bonds_Live!Q18,"")</f>
        <v/>
      </c>
      <c r="E18" s="11">
        <f>IFERROR(Bonds_Static!D18,"")</f>
        <v/>
      </c>
      <c r="F18" s="11">
        <f>IFERROR(Bonds_Live!K18,"")</f>
        <v/>
      </c>
      <c r="G18" s="21">
        <f>IFERROR(IF(E18="","",E18*100/Bonds_Live!F18*3/12),"")</f>
        <v/>
      </c>
      <c r="H18" s="21">
        <f>IFERROR(IF(E18="","",E18*100/Bonds_Live!F18*6/12),"")</f>
        <v/>
      </c>
      <c r="I18" s="21">
        <f>IFERROR(IF(E18="","",E18*100/Bonds_Live!F18*12/12),"")</f>
        <v/>
      </c>
      <c r="J18" s="21">
        <f>IFERROR(IF(OR(C18="",D18=""),"",-D18*((Curve_Fit!$H$5 + Curve_Fit!$H$4*MAX(C18-3/12,0.01) + Curve_Fit!$H$3*MAX(C18-3/12,0.01)^2 + Curve_Fit!$H$2*MAX(C18-3/12,0.01)^3) - (Curve_Fit!$H$5 + Curve_Fit!$H$4*C18 + Curve_Fit!$H$3*C18^2 + Curve_Fit!$H$2*C18^3))*100),"")</f>
        <v/>
      </c>
      <c r="K18" s="21">
        <f>IFERROR(IF(OR(C18="",D18=""),"",-D18*((Curve_Fit!$H$5 + Curve_Fit!$H$4*MAX(C18-6/12,0.01) + Curve_Fit!$H$3*MAX(C18-6/12,0.01)^2 + Curve_Fit!$H$2*MAX(C18-6/12,0.01)^3) - (Curve_Fit!$H$5 + Curve_Fit!$H$4*C18 + Curve_Fit!$H$3*C18^2 + Curve_Fit!$H$2*C18^3))*100),"")</f>
        <v/>
      </c>
      <c r="L18" s="21">
        <f>IFERROR(IF(OR(C18="",D18=""),"",-D18*((Curve_Fit!$H$5 + Curve_Fit!$H$4*MAX(C18-12/12,0.01) + Curve_Fit!$H$3*MAX(C18-12/12,0.01)^2 + Curve_Fit!$H$2*MAX(C18-12/12,0.01)^3) - (Curve_Fit!$H$5 + Curve_Fit!$H$4*C18 + Curve_Fit!$H$3*C18^2 + Curve_Fit!$H$2*C18^3))*100),"")</f>
        <v/>
      </c>
      <c r="M18" s="21">
        <f>IFERROR(IF(OR(I18="",L18=""),"",I18+L18),"")</f>
        <v/>
      </c>
    </row>
    <row r="19">
      <c r="A19" s="24">
        <f>Bonds_Static!A19</f>
        <v/>
      </c>
      <c r="B19" s="24">
        <f>Bonds_Static!C19</f>
        <v/>
      </c>
      <c r="C19" s="25">
        <f>IFERROR(Bonds_Static!G19,"")</f>
        <v/>
      </c>
      <c r="D19" s="11">
        <f>IFERROR(Bonds_Live!Q19,"")</f>
        <v/>
      </c>
      <c r="E19" s="11">
        <f>IFERROR(Bonds_Static!D19,"")</f>
        <v/>
      </c>
      <c r="F19" s="11">
        <f>IFERROR(Bonds_Live!K19,"")</f>
        <v/>
      </c>
      <c r="G19" s="21">
        <f>IFERROR(IF(E19="","",E19*100/Bonds_Live!F19*3/12),"")</f>
        <v/>
      </c>
      <c r="H19" s="21">
        <f>IFERROR(IF(E19="","",E19*100/Bonds_Live!F19*6/12),"")</f>
        <v/>
      </c>
      <c r="I19" s="21">
        <f>IFERROR(IF(E19="","",E19*100/Bonds_Live!F19*12/12),"")</f>
        <v/>
      </c>
      <c r="J19" s="21">
        <f>IFERROR(IF(OR(C19="",D19=""),"",-D19*((Curve_Fit!$H$5 + Curve_Fit!$H$4*MAX(C19-3/12,0.01) + Curve_Fit!$H$3*MAX(C19-3/12,0.01)^2 + Curve_Fit!$H$2*MAX(C19-3/12,0.01)^3) - (Curve_Fit!$H$5 + Curve_Fit!$H$4*C19 + Curve_Fit!$H$3*C19^2 + Curve_Fit!$H$2*C19^3))*100),"")</f>
        <v/>
      </c>
      <c r="K19" s="21">
        <f>IFERROR(IF(OR(C19="",D19=""),"",-D19*((Curve_Fit!$H$5 + Curve_Fit!$H$4*MAX(C19-6/12,0.01) + Curve_Fit!$H$3*MAX(C19-6/12,0.01)^2 + Curve_Fit!$H$2*MAX(C19-6/12,0.01)^3) - (Curve_Fit!$H$5 + Curve_Fit!$H$4*C19 + Curve_Fit!$H$3*C19^2 + Curve_Fit!$H$2*C19^3))*100),"")</f>
        <v/>
      </c>
      <c r="L19" s="21">
        <f>IFERROR(IF(OR(C19="",D19=""),"",-D19*((Curve_Fit!$H$5 + Curve_Fit!$H$4*MAX(C19-12/12,0.01) + Curve_Fit!$H$3*MAX(C19-12/12,0.01)^2 + Curve_Fit!$H$2*MAX(C19-12/12,0.01)^3) - (Curve_Fit!$H$5 + Curve_Fit!$H$4*C19 + Curve_Fit!$H$3*C19^2 + Curve_Fit!$H$2*C19^3))*100),"")</f>
        <v/>
      </c>
      <c r="M19" s="21">
        <f>IFERROR(IF(OR(I19="",L19=""),"",I19+L19),"")</f>
        <v/>
      </c>
    </row>
    <row r="20">
      <c r="A20" s="24">
        <f>Bonds_Static!A20</f>
        <v/>
      </c>
      <c r="B20" s="24">
        <f>Bonds_Static!C20</f>
        <v/>
      </c>
      <c r="C20" s="25">
        <f>IFERROR(Bonds_Static!G20,"")</f>
        <v/>
      </c>
      <c r="D20" s="11">
        <f>IFERROR(Bonds_Live!Q20,"")</f>
        <v/>
      </c>
      <c r="E20" s="11">
        <f>IFERROR(Bonds_Static!D20,"")</f>
        <v/>
      </c>
      <c r="F20" s="11">
        <f>IFERROR(Bonds_Live!K20,"")</f>
        <v/>
      </c>
      <c r="G20" s="21">
        <f>IFERROR(IF(E20="","",E20*100/Bonds_Live!F20*3/12),"")</f>
        <v/>
      </c>
      <c r="H20" s="21">
        <f>IFERROR(IF(E20="","",E20*100/Bonds_Live!F20*6/12),"")</f>
        <v/>
      </c>
      <c r="I20" s="21">
        <f>IFERROR(IF(E20="","",E20*100/Bonds_Live!F20*12/12),"")</f>
        <v/>
      </c>
      <c r="J20" s="21">
        <f>IFERROR(IF(OR(C20="",D20=""),"",-D20*((Curve_Fit!$H$5 + Curve_Fit!$H$4*MAX(C20-3/12,0.01) + Curve_Fit!$H$3*MAX(C20-3/12,0.01)^2 + Curve_Fit!$H$2*MAX(C20-3/12,0.01)^3) - (Curve_Fit!$H$5 + Curve_Fit!$H$4*C20 + Curve_Fit!$H$3*C20^2 + Curve_Fit!$H$2*C20^3))*100),"")</f>
        <v/>
      </c>
      <c r="K20" s="21">
        <f>IFERROR(IF(OR(C20="",D20=""),"",-D20*((Curve_Fit!$H$5 + Curve_Fit!$H$4*MAX(C20-6/12,0.01) + Curve_Fit!$H$3*MAX(C20-6/12,0.01)^2 + Curve_Fit!$H$2*MAX(C20-6/12,0.01)^3) - (Curve_Fit!$H$5 + Curve_Fit!$H$4*C20 + Curve_Fit!$H$3*C20^2 + Curve_Fit!$H$2*C20^3))*100),"")</f>
        <v/>
      </c>
      <c r="L20" s="21">
        <f>IFERROR(IF(OR(C20="",D20=""),"",-D20*((Curve_Fit!$H$5 + Curve_Fit!$H$4*MAX(C20-12/12,0.01) + Curve_Fit!$H$3*MAX(C20-12/12,0.01)^2 + Curve_Fit!$H$2*MAX(C20-12/12,0.01)^3) - (Curve_Fit!$H$5 + Curve_Fit!$H$4*C20 + Curve_Fit!$H$3*C20^2 + Curve_Fit!$H$2*C20^3))*100),"")</f>
        <v/>
      </c>
      <c r="M20" s="21">
        <f>IFERROR(IF(OR(I20="",L20=""),"",I20+L20),"")</f>
        <v/>
      </c>
    </row>
    <row r="21">
      <c r="A21" s="24">
        <f>Bonds_Static!A21</f>
        <v/>
      </c>
      <c r="B21" s="24">
        <f>Bonds_Static!C21</f>
        <v/>
      </c>
      <c r="C21" s="25">
        <f>IFERROR(Bonds_Static!G21,"")</f>
        <v/>
      </c>
      <c r="D21" s="11">
        <f>IFERROR(Bonds_Live!Q21,"")</f>
        <v/>
      </c>
      <c r="E21" s="11">
        <f>IFERROR(Bonds_Static!D21,"")</f>
        <v/>
      </c>
      <c r="F21" s="11">
        <f>IFERROR(Bonds_Live!K21,"")</f>
        <v/>
      </c>
      <c r="G21" s="21">
        <f>IFERROR(IF(E21="","",E21*100/Bonds_Live!F21*3/12),"")</f>
        <v/>
      </c>
      <c r="H21" s="21">
        <f>IFERROR(IF(E21="","",E21*100/Bonds_Live!F21*6/12),"")</f>
        <v/>
      </c>
      <c r="I21" s="21">
        <f>IFERROR(IF(E21="","",E21*100/Bonds_Live!F21*12/12),"")</f>
        <v/>
      </c>
      <c r="J21" s="21">
        <f>IFERROR(IF(OR(C21="",D21=""),"",-D21*((Curve_Fit!$H$5 + Curve_Fit!$H$4*MAX(C21-3/12,0.01) + Curve_Fit!$H$3*MAX(C21-3/12,0.01)^2 + Curve_Fit!$H$2*MAX(C21-3/12,0.01)^3) - (Curve_Fit!$H$5 + Curve_Fit!$H$4*C21 + Curve_Fit!$H$3*C21^2 + Curve_Fit!$H$2*C21^3))*100),"")</f>
        <v/>
      </c>
      <c r="K21" s="21">
        <f>IFERROR(IF(OR(C21="",D21=""),"",-D21*((Curve_Fit!$H$5 + Curve_Fit!$H$4*MAX(C21-6/12,0.01) + Curve_Fit!$H$3*MAX(C21-6/12,0.01)^2 + Curve_Fit!$H$2*MAX(C21-6/12,0.01)^3) - (Curve_Fit!$H$5 + Curve_Fit!$H$4*C21 + Curve_Fit!$H$3*C21^2 + Curve_Fit!$H$2*C21^3))*100),"")</f>
        <v/>
      </c>
      <c r="L21" s="21">
        <f>IFERROR(IF(OR(C21="",D21=""),"",-D21*((Curve_Fit!$H$5 + Curve_Fit!$H$4*MAX(C21-12/12,0.01) + Curve_Fit!$H$3*MAX(C21-12/12,0.01)^2 + Curve_Fit!$H$2*MAX(C21-12/12,0.01)^3) - (Curve_Fit!$H$5 + Curve_Fit!$H$4*C21 + Curve_Fit!$H$3*C21^2 + Curve_Fit!$H$2*C21^3))*100),"")</f>
        <v/>
      </c>
      <c r="M21" s="21">
        <f>IFERROR(IF(OR(I21="",L21=""),"",I21+L21),"")</f>
        <v/>
      </c>
    </row>
    <row r="22">
      <c r="A22" s="24">
        <f>Bonds_Static!A22</f>
        <v/>
      </c>
      <c r="B22" s="24">
        <f>Bonds_Static!C22</f>
        <v/>
      </c>
      <c r="C22" s="25">
        <f>IFERROR(Bonds_Static!G22,"")</f>
        <v/>
      </c>
      <c r="D22" s="11">
        <f>IFERROR(Bonds_Live!Q22,"")</f>
        <v/>
      </c>
      <c r="E22" s="11">
        <f>IFERROR(Bonds_Static!D22,"")</f>
        <v/>
      </c>
      <c r="F22" s="11">
        <f>IFERROR(Bonds_Live!K22,"")</f>
        <v/>
      </c>
      <c r="G22" s="21">
        <f>IFERROR(IF(E22="","",E22*100/Bonds_Live!F22*3/12),"")</f>
        <v/>
      </c>
      <c r="H22" s="21">
        <f>IFERROR(IF(E22="","",E22*100/Bonds_Live!F22*6/12),"")</f>
        <v/>
      </c>
      <c r="I22" s="21">
        <f>IFERROR(IF(E22="","",E22*100/Bonds_Live!F22*12/12),"")</f>
        <v/>
      </c>
      <c r="J22" s="21">
        <f>IFERROR(IF(OR(C22="",D22=""),"",-D22*((Curve_Fit!$H$5 + Curve_Fit!$H$4*MAX(C22-3/12,0.01) + Curve_Fit!$H$3*MAX(C22-3/12,0.01)^2 + Curve_Fit!$H$2*MAX(C22-3/12,0.01)^3) - (Curve_Fit!$H$5 + Curve_Fit!$H$4*C22 + Curve_Fit!$H$3*C22^2 + Curve_Fit!$H$2*C22^3))*100),"")</f>
        <v/>
      </c>
      <c r="K22" s="21">
        <f>IFERROR(IF(OR(C22="",D22=""),"",-D22*((Curve_Fit!$H$5 + Curve_Fit!$H$4*MAX(C22-6/12,0.01) + Curve_Fit!$H$3*MAX(C22-6/12,0.01)^2 + Curve_Fit!$H$2*MAX(C22-6/12,0.01)^3) - (Curve_Fit!$H$5 + Curve_Fit!$H$4*C22 + Curve_Fit!$H$3*C22^2 + Curve_Fit!$H$2*C22^3))*100),"")</f>
        <v/>
      </c>
      <c r="L22" s="21">
        <f>IFERROR(IF(OR(C22="",D22=""),"",-D22*((Curve_Fit!$H$5 + Curve_Fit!$H$4*MAX(C22-12/12,0.01) + Curve_Fit!$H$3*MAX(C22-12/12,0.01)^2 + Curve_Fit!$H$2*MAX(C22-12/12,0.01)^3) - (Curve_Fit!$H$5 + Curve_Fit!$H$4*C22 + Curve_Fit!$H$3*C22^2 + Curve_Fit!$H$2*C22^3))*100),"")</f>
        <v/>
      </c>
      <c r="M22" s="21">
        <f>IFERROR(IF(OR(I22="",L22=""),"",I22+L22),"")</f>
        <v/>
      </c>
    </row>
    <row r="23">
      <c r="A23" s="24">
        <f>Bonds_Static!A23</f>
        <v/>
      </c>
      <c r="B23" s="24">
        <f>Bonds_Static!C23</f>
        <v/>
      </c>
      <c r="C23" s="25">
        <f>IFERROR(Bonds_Static!G23,"")</f>
        <v/>
      </c>
      <c r="D23" s="11">
        <f>IFERROR(Bonds_Live!Q23,"")</f>
        <v/>
      </c>
      <c r="E23" s="11">
        <f>IFERROR(Bonds_Static!D23,"")</f>
        <v/>
      </c>
      <c r="F23" s="11">
        <f>IFERROR(Bonds_Live!K23,"")</f>
        <v/>
      </c>
      <c r="G23" s="21">
        <f>IFERROR(IF(E23="","",E23*100/Bonds_Live!F23*3/12),"")</f>
        <v/>
      </c>
      <c r="H23" s="21">
        <f>IFERROR(IF(E23="","",E23*100/Bonds_Live!F23*6/12),"")</f>
        <v/>
      </c>
      <c r="I23" s="21">
        <f>IFERROR(IF(E23="","",E23*100/Bonds_Live!F23*12/12),"")</f>
        <v/>
      </c>
      <c r="J23" s="21">
        <f>IFERROR(IF(OR(C23="",D23=""),"",-D23*((Curve_Fit!$H$5 + Curve_Fit!$H$4*MAX(C23-3/12,0.01) + Curve_Fit!$H$3*MAX(C23-3/12,0.01)^2 + Curve_Fit!$H$2*MAX(C23-3/12,0.01)^3) - (Curve_Fit!$H$5 + Curve_Fit!$H$4*C23 + Curve_Fit!$H$3*C23^2 + Curve_Fit!$H$2*C23^3))*100),"")</f>
        <v/>
      </c>
      <c r="K23" s="21">
        <f>IFERROR(IF(OR(C23="",D23=""),"",-D23*((Curve_Fit!$H$5 + Curve_Fit!$H$4*MAX(C23-6/12,0.01) + Curve_Fit!$H$3*MAX(C23-6/12,0.01)^2 + Curve_Fit!$H$2*MAX(C23-6/12,0.01)^3) - (Curve_Fit!$H$5 + Curve_Fit!$H$4*C23 + Curve_Fit!$H$3*C23^2 + Curve_Fit!$H$2*C23^3))*100),"")</f>
        <v/>
      </c>
      <c r="L23" s="21">
        <f>IFERROR(IF(OR(C23="",D23=""),"",-D23*((Curve_Fit!$H$5 + Curve_Fit!$H$4*MAX(C23-12/12,0.01) + Curve_Fit!$H$3*MAX(C23-12/12,0.01)^2 + Curve_Fit!$H$2*MAX(C23-12/12,0.01)^3) - (Curve_Fit!$H$5 + Curve_Fit!$H$4*C23 + Curve_Fit!$H$3*C23^2 + Curve_Fit!$H$2*C23^3))*100),"")</f>
        <v/>
      </c>
      <c r="M23" s="21">
        <f>IFERROR(IF(OR(I23="",L23=""),"",I23+L23),"")</f>
        <v/>
      </c>
    </row>
    <row r="24">
      <c r="A24" s="24">
        <f>Bonds_Static!A24</f>
        <v/>
      </c>
      <c r="B24" s="24">
        <f>Bonds_Static!C24</f>
        <v/>
      </c>
      <c r="C24" s="25">
        <f>IFERROR(Bonds_Static!G24,"")</f>
        <v/>
      </c>
      <c r="D24" s="11">
        <f>IFERROR(Bonds_Live!Q24,"")</f>
        <v/>
      </c>
      <c r="E24" s="11">
        <f>IFERROR(Bonds_Static!D24,"")</f>
        <v/>
      </c>
      <c r="F24" s="11">
        <f>IFERROR(Bonds_Live!K24,"")</f>
        <v/>
      </c>
      <c r="G24" s="21">
        <f>IFERROR(IF(E24="","",E24*100/Bonds_Live!F24*3/12),"")</f>
        <v/>
      </c>
      <c r="H24" s="21">
        <f>IFERROR(IF(E24="","",E24*100/Bonds_Live!F24*6/12),"")</f>
        <v/>
      </c>
      <c r="I24" s="21">
        <f>IFERROR(IF(E24="","",E24*100/Bonds_Live!F24*12/12),"")</f>
        <v/>
      </c>
      <c r="J24" s="21">
        <f>IFERROR(IF(OR(C24="",D24=""),"",-D24*((Curve_Fit!$H$5 + Curve_Fit!$H$4*MAX(C24-3/12,0.01) + Curve_Fit!$H$3*MAX(C24-3/12,0.01)^2 + Curve_Fit!$H$2*MAX(C24-3/12,0.01)^3) - (Curve_Fit!$H$5 + Curve_Fit!$H$4*C24 + Curve_Fit!$H$3*C24^2 + Curve_Fit!$H$2*C24^3))*100),"")</f>
        <v/>
      </c>
      <c r="K24" s="21">
        <f>IFERROR(IF(OR(C24="",D24=""),"",-D24*((Curve_Fit!$H$5 + Curve_Fit!$H$4*MAX(C24-6/12,0.01) + Curve_Fit!$H$3*MAX(C24-6/12,0.01)^2 + Curve_Fit!$H$2*MAX(C24-6/12,0.01)^3) - (Curve_Fit!$H$5 + Curve_Fit!$H$4*C24 + Curve_Fit!$H$3*C24^2 + Curve_Fit!$H$2*C24^3))*100),"")</f>
        <v/>
      </c>
      <c r="L24" s="21">
        <f>IFERROR(IF(OR(C24="",D24=""),"",-D24*((Curve_Fit!$H$5 + Curve_Fit!$H$4*MAX(C24-12/12,0.01) + Curve_Fit!$H$3*MAX(C24-12/12,0.01)^2 + Curve_Fit!$H$2*MAX(C24-12/12,0.01)^3) - (Curve_Fit!$H$5 + Curve_Fit!$H$4*C24 + Curve_Fit!$H$3*C24^2 + Curve_Fit!$H$2*C24^3))*100),"")</f>
        <v/>
      </c>
      <c r="M24" s="21">
        <f>IFERROR(IF(OR(I24="",L24=""),"",I24+L24),"")</f>
        <v/>
      </c>
    </row>
    <row r="25">
      <c r="A25" s="24">
        <f>Bonds_Static!A25</f>
        <v/>
      </c>
      <c r="B25" s="24">
        <f>Bonds_Static!C25</f>
        <v/>
      </c>
      <c r="C25" s="25">
        <f>IFERROR(Bonds_Static!G25,"")</f>
        <v/>
      </c>
      <c r="D25" s="11">
        <f>IFERROR(Bonds_Live!Q25,"")</f>
        <v/>
      </c>
      <c r="E25" s="11">
        <f>IFERROR(Bonds_Static!D25,"")</f>
        <v/>
      </c>
      <c r="F25" s="11">
        <f>IFERROR(Bonds_Live!K25,"")</f>
        <v/>
      </c>
      <c r="G25" s="21">
        <f>IFERROR(IF(E25="","",E25*100/Bonds_Live!F25*3/12),"")</f>
        <v/>
      </c>
      <c r="H25" s="21">
        <f>IFERROR(IF(E25="","",E25*100/Bonds_Live!F25*6/12),"")</f>
        <v/>
      </c>
      <c r="I25" s="21">
        <f>IFERROR(IF(E25="","",E25*100/Bonds_Live!F25*12/12),"")</f>
        <v/>
      </c>
      <c r="J25" s="21">
        <f>IFERROR(IF(OR(C25="",D25=""),"",-D25*((Curve_Fit!$H$5 + Curve_Fit!$H$4*MAX(C25-3/12,0.01) + Curve_Fit!$H$3*MAX(C25-3/12,0.01)^2 + Curve_Fit!$H$2*MAX(C25-3/12,0.01)^3) - (Curve_Fit!$H$5 + Curve_Fit!$H$4*C25 + Curve_Fit!$H$3*C25^2 + Curve_Fit!$H$2*C25^3))*100),"")</f>
        <v/>
      </c>
      <c r="K25" s="21">
        <f>IFERROR(IF(OR(C25="",D25=""),"",-D25*((Curve_Fit!$H$5 + Curve_Fit!$H$4*MAX(C25-6/12,0.01) + Curve_Fit!$H$3*MAX(C25-6/12,0.01)^2 + Curve_Fit!$H$2*MAX(C25-6/12,0.01)^3) - (Curve_Fit!$H$5 + Curve_Fit!$H$4*C25 + Curve_Fit!$H$3*C25^2 + Curve_Fit!$H$2*C25^3))*100),"")</f>
        <v/>
      </c>
      <c r="L25" s="21">
        <f>IFERROR(IF(OR(C25="",D25=""),"",-D25*((Curve_Fit!$H$5 + Curve_Fit!$H$4*MAX(C25-12/12,0.01) + Curve_Fit!$H$3*MAX(C25-12/12,0.01)^2 + Curve_Fit!$H$2*MAX(C25-12/12,0.01)^3) - (Curve_Fit!$H$5 + Curve_Fit!$H$4*C25 + Curve_Fit!$H$3*C25^2 + Curve_Fit!$H$2*C25^3))*100),"")</f>
        <v/>
      </c>
      <c r="M25" s="21">
        <f>IFERROR(IF(OR(I25="",L25=""),"",I25+L25),"")</f>
        <v/>
      </c>
    </row>
    <row r="26">
      <c r="A26" s="24">
        <f>Bonds_Static!A26</f>
        <v/>
      </c>
      <c r="B26" s="24">
        <f>Bonds_Static!C26</f>
        <v/>
      </c>
      <c r="C26" s="25">
        <f>IFERROR(Bonds_Static!G26,"")</f>
        <v/>
      </c>
      <c r="D26" s="11">
        <f>IFERROR(Bonds_Live!Q26,"")</f>
        <v/>
      </c>
      <c r="E26" s="11">
        <f>IFERROR(Bonds_Static!D26,"")</f>
        <v/>
      </c>
      <c r="F26" s="11">
        <f>IFERROR(Bonds_Live!K26,"")</f>
        <v/>
      </c>
      <c r="G26" s="21">
        <f>IFERROR(IF(E26="","",E26*100/Bonds_Live!F26*3/12),"")</f>
        <v/>
      </c>
      <c r="H26" s="21">
        <f>IFERROR(IF(E26="","",E26*100/Bonds_Live!F26*6/12),"")</f>
        <v/>
      </c>
      <c r="I26" s="21">
        <f>IFERROR(IF(E26="","",E26*100/Bonds_Live!F26*12/12),"")</f>
        <v/>
      </c>
      <c r="J26" s="21">
        <f>IFERROR(IF(OR(C26="",D26=""),"",-D26*((Curve_Fit!$H$5 + Curve_Fit!$H$4*MAX(C26-3/12,0.01) + Curve_Fit!$H$3*MAX(C26-3/12,0.01)^2 + Curve_Fit!$H$2*MAX(C26-3/12,0.01)^3) - (Curve_Fit!$H$5 + Curve_Fit!$H$4*C26 + Curve_Fit!$H$3*C26^2 + Curve_Fit!$H$2*C26^3))*100),"")</f>
        <v/>
      </c>
      <c r="K26" s="21">
        <f>IFERROR(IF(OR(C26="",D26=""),"",-D26*((Curve_Fit!$H$5 + Curve_Fit!$H$4*MAX(C26-6/12,0.01) + Curve_Fit!$H$3*MAX(C26-6/12,0.01)^2 + Curve_Fit!$H$2*MAX(C26-6/12,0.01)^3) - (Curve_Fit!$H$5 + Curve_Fit!$H$4*C26 + Curve_Fit!$H$3*C26^2 + Curve_Fit!$H$2*C26^3))*100),"")</f>
        <v/>
      </c>
      <c r="L26" s="21">
        <f>IFERROR(IF(OR(C26="",D26=""),"",-D26*((Curve_Fit!$H$5 + Curve_Fit!$H$4*MAX(C26-12/12,0.01) + Curve_Fit!$H$3*MAX(C26-12/12,0.01)^2 + Curve_Fit!$H$2*MAX(C26-12/12,0.01)^3) - (Curve_Fit!$H$5 + Curve_Fit!$H$4*C26 + Curve_Fit!$H$3*C26^2 + Curve_Fit!$H$2*C26^3))*100),"")</f>
        <v/>
      </c>
      <c r="M26" s="21">
        <f>IFERROR(IF(OR(I26="",L26=""),"",I26+L26),"")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</cols>
  <sheetData>
    <row r="1" ht="32" customHeight="1">
      <c r="A1" s="20" t="inlineStr">
        <is>
          <t>ISIN</t>
        </is>
      </c>
      <c r="B1" s="20" t="inlineStr">
        <is>
          <t>Description</t>
        </is>
      </c>
      <c r="C1" s="20" t="inlineStr">
        <is>
          <t>Z-Spr (bp)</t>
        </is>
      </c>
      <c r="D1" s="20" t="inlineStr">
        <is>
          <t>Spr Dur</t>
        </is>
      </c>
      <c r="E1" s="20" t="inlineStr">
        <is>
          <t>DTS (bp·yr)</t>
        </is>
      </c>
      <c r="F1" s="20" t="inlineStr">
        <is>
          <t>12M C+R (%)</t>
        </is>
      </c>
      <c r="G1" s="20" t="inlineStr">
        <is>
          <t>DTS-adj Carry (bp / DTS)</t>
        </is>
      </c>
      <c r="H1" s="20" t="inlineStr">
        <is>
          <t>Breakeven Widening (bp)</t>
        </is>
      </c>
      <c r="I1" s="20" t="inlineStr">
        <is>
          <t>Z-Spr Breakeven (bp)</t>
        </is>
      </c>
      <c r="J1" s="20" t="inlineStr">
        <is>
          <t>Risk/Reward Tag</t>
        </is>
      </c>
    </row>
    <row r="2">
      <c r="A2" s="24">
        <f>Bonds_Static!A2</f>
        <v/>
      </c>
      <c r="B2" s="24">
        <f>Bonds_Static!C2</f>
        <v/>
      </c>
      <c r="C2" s="11">
        <f>IFERROR(Bonds_Live!L2,"")</f>
        <v/>
      </c>
      <c r="D2" s="11">
        <f>IFERROR(Bonds_Live!R2,"")</f>
        <v/>
      </c>
      <c r="E2" s="23">
        <f>IFERROR(C2*D2,"")</f>
        <v/>
      </c>
      <c r="F2" s="11">
        <f>IFERROR(Carry_Roll!M2,"")</f>
        <v/>
      </c>
      <c r="G2" s="21">
        <f>IFERROR(IF(E2=0,"",F2*100/E2),"")</f>
        <v/>
      </c>
      <c r="H2" s="23">
        <f>IFERROR(IF(D2=0,"",F2*100/D2),"")</f>
        <v/>
      </c>
      <c r="I2" s="23">
        <f>IFERROR(C2+H2,"")</f>
        <v/>
      </c>
      <c r="J2" s="10">
        <f>IFERROR(IF(G2="","",IF(G2&gt;5,"STRONG",IF(G2&gt;2,"ATTRACTIVE",IF(G2&gt;0,"OK","WEAK")))),"")</f>
        <v/>
      </c>
    </row>
    <row r="3">
      <c r="A3" s="24">
        <f>Bonds_Static!A3</f>
        <v/>
      </c>
      <c r="B3" s="24">
        <f>Bonds_Static!C3</f>
        <v/>
      </c>
      <c r="C3" s="11">
        <f>IFERROR(Bonds_Live!L3,"")</f>
        <v/>
      </c>
      <c r="D3" s="11">
        <f>IFERROR(Bonds_Live!R3,"")</f>
        <v/>
      </c>
      <c r="E3" s="23">
        <f>IFERROR(C3*D3,"")</f>
        <v/>
      </c>
      <c r="F3" s="11">
        <f>IFERROR(Carry_Roll!M3,"")</f>
        <v/>
      </c>
      <c r="G3" s="21">
        <f>IFERROR(IF(E3=0,"",F3*100/E3),"")</f>
        <v/>
      </c>
      <c r="H3" s="23">
        <f>IFERROR(IF(D3=0,"",F3*100/D3),"")</f>
        <v/>
      </c>
      <c r="I3" s="23">
        <f>IFERROR(C3+H3,"")</f>
        <v/>
      </c>
      <c r="J3" s="10">
        <f>IFERROR(IF(G3="","",IF(G3&gt;5,"STRONG",IF(G3&gt;2,"ATTRACTIVE",IF(G3&gt;0,"OK","WEAK")))),"")</f>
        <v/>
      </c>
    </row>
    <row r="4">
      <c r="A4" s="24">
        <f>Bonds_Static!A4</f>
        <v/>
      </c>
      <c r="B4" s="24">
        <f>Bonds_Static!C4</f>
        <v/>
      </c>
      <c r="C4" s="11">
        <f>IFERROR(Bonds_Live!L4,"")</f>
        <v/>
      </c>
      <c r="D4" s="11">
        <f>IFERROR(Bonds_Live!R4,"")</f>
        <v/>
      </c>
      <c r="E4" s="23">
        <f>IFERROR(C4*D4,"")</f>
        <v/>
      </c>
      <c r="F4" s="11">
        <f>IFERROR(Carry_Roll!M4,"")</f>
        <v/>
      </c>
      <c r="G4" s="21">
        <f>IFERROR(IF(E4=0,"",F4*100/E4),"")</f>
        <v/>
      </c>
      <c r="H4" s="23">
        <f>IFERROR(IF(D4=0,"",F4*100/D4),"")</f>
        <v/>
      </c>
      <c r="I4" s="23">
        <f>IFERROR(C4+H4,"")</f>
        <v/>
      </c>
      <c r="J4" s="10">
        <f>IFERROR(IF(G4="","",IF(G4&gt;5,"STRONG",IF(G4&gt;2,"ATTRACTIVE",IF(G4&gt;0,"OK","WEAK")))),"")</f>
        <v/>
      </c>
    </row>
    <row r="5">
      <c r="A5" s="24">
        <f>Bonds_Static!A5</f>
        <v/>
      </c>
      <c r="B5" s="24">
        <f>Bonds_Static!C5</f>
        <v/>
      </c>
      <c r="C5" s="11">
        <f>IFERROR(Bonds_Live!L5,"")</f>
        <v/>
      </c>
      <c r="D5" s="11">
        <f>IFERROR(Bonds_Live!R5,"")</f>
        <v/>
      </c>
      <c r="E5" s="23">
        <f>IFERROR(C5*D5,"")</f>
        <v/>
      </c>
      <c r="F5" s="11">
        <f>IFERROR(Carry_Roll!M5,"")</f>
        <v/>
      </c>
      <c r="G5" s="21">
        <f>IFERROR(IF(E5=0,"",F5*100/E5),"")</f>
        <v/>
      </c>
      <c r="H5" s="23">
        <f>IFERROR(IF(D5=0,"",F5*100/D5),"")</f>
        <v/>
      </c>
      <c r="I5" s="23">
        <f>IFERROR(C5+H5,"")</f>
        <v/>
      </c>
      <c r="J5" s="10">
        <f>IFERROR(IF(G5="","",IF(G5&gt;5,"STRONG",IF(G5&gt;2,"ATTRACTIVE",IF(G5&gt;0,"OK","WEAK")))),"")</f>
        <v/>
      </c>
    </row>
    <row r="6">
      <c r="A6" s="24">
        <f>Bonds_Static!A6</f>
        <v/>
      </c>
      <c r="B6" s="24">
        <f>Bonds_Static!C6</f>
        <v/>
      </c>
      <c r="C6" s="11">
        <f>IFERROR(Bonds_Live!L6,"")</f>
        <v/>
      </c>
      <c r="D6" s="11">
        <f>IFERROR(Bonds_Live!R6,"")</f>
        <v/>
      </c>
      <c r="E6" s="23">
        <f>IFERROR(C6*D6,"")</f>
        <v/>
      </c>
      <c r="F6" s="11">
        <f>IFERROR(Carry_Roll!M6,"")</f>
        <v/>
      </c>
      <c r="G6" s="21">
        <f>IFERROR(IF(E6=0,"",F6*100/E6),"")</f>
        <v/>
      </c>
      <c r="H6" s="23">
        <f>IFERROR(IF(D6=0,"",F6*100/D6),"")</f>
        <v/>
      </c>
      <c r="I6" s="23">
        <f>IFERROR(C6+H6,"")</f>
        <v/>
      </c>
      <c r="J6" s="10">
        <f>IFERROR(IF(G6="","",IF(G6&gt;5,"STRONG",IF(G6&gt;2,"ATTRACTIVE",IF(G6&gt;0,"OK","WEAK")))),"")</f>
        <v/>
      </c>
    </row>
    <row r="7">
      <c r="A7" s="24">
        <f>Bonds_Static!A7</f>
        <v/>
      </c>
      <c r="B7" s="24">
        <f>Bonds_Static!C7</f>
        <v/>
      </c>
      <c r="C7" s="11">
        <f>IFERROR(Bonds_Live!L7,"")</f>
        <v/>
      </c>
      <c r="D7" s="11">
        <f>IFERROR(Bonds_Live!R7,"")</f>
        <v/>
      </c>
      <c r="E7" s="23">
        <f>IFERROR(C7*D7,"")</f>
        <v/>
      </c>
      <c r="F7" s="11">
        <f>IFERROR(Carry_Roll!M7,"")</f>
        <v/>
      </c>
      <c r="G7" s="21">
        <f>IFERROR(IF(E7=0,"",F7*100/E7),"")</f>
        <v/>
      </c>
      <c r="H7" s="23">
        <f>IFERROR(IF(D7=0,"",F7*100/D7),"")</f>
        <v/>
      </c>
      <c r="I7" s="23">
        <f>IFERROR(C7+H7,"")</f>
        <v/>
      </c>
      <c r="J7" s="10">
        <f>IFERROR(IF(G7="","",IF(G7&gt;5,"STRONG",IF(G7&gt;2,"ATTRACTIVE",IF(G7&gt;0,"OK","WEAK")))),"")</f>
        <v/>
      </c>
    </row>
    <row r="8">
      <c r="A8" s="24">
        <f>Bonds_Static!A8</f>
        <v/>
      </c>
      <c r="B8" s="24">
        <f>Bonds_Static!C8</f>
        <v/>
      </c>
      <c r="C8" s="11">
        <f>IFERROR(Bonds_Live!L8,"")</f>
        <v/>
      </c>
      <c r="D8" s="11">
        <f>IFERROR(Bonds_Live!R8,"")</f>
        <v/>
      </c>
      <c r="E8" s="23">
        <f>IFERROR(C8*D8,"")</f>
        <v/>
      </c>
      <c r="F8" s="11">
        <f>IFERROR(Carry_Roll!M8,"")</f>
        <v/>
      </c>
      <c r="G8" s="21">
        <f>IFERROR(IF(E8=0,"",F8*100/E8),"")</f>
        <v/>
      </c>
      <c r="H8" s="23">
        <f>IFERROR(IF(D8=0,"",F8*100/D8),"")</f>
        <v/>
      </c>
      <c r="I8" s="23">
        <f>IFERROR(C8+H8,"")</f>
        <v/>
      </c>
      <c r="J8" s="10">
        <f>IFERROR(IF(G8="","",IF(G8&gt;5,"STRONG",IF(G8&gt;2,"ATTRACTIVE",IF(G8&gt;0,"OK","WEAK")))),"")</f>
        <v/>
      </c>
    </row>
    <row r="9">
      <c r="A9" s="24">
        <f>Bonds_Static!A9</f>
        <v/>
      </c>
      <c r="B9" s="24">
        <f>Bonds_Static!C9</f>
        <v/>
      </c>
      <c r="C9" s="11">
        <f>IFERROR(Bonds_Live!L9,"")</f>
        <v/>
      </c>
      <c r="D9" s="11">
        <f>IFERROR(Bonds_Live!R9,"")</f>
        <v/>
      </c>
      <c r="E9" s="23">
        <f>IFERROR(C9*D9,"")</f>
        <v/>
      </c>
      <c r="F9" s="11">
        <f>IFERROR(Carry_Roll!M9,"")</f>
        <v/>
      </c>
      <c r="G9" s="21">
        <f>IFERROR(IF(E9=0,"",F9*100/E9),"")</f>
        <v/>
      </c>
      <c r="H9" s="23">
        <f>IFERROR(IF(D9=0,"",F9*100/D9),"")</f>
        <v/>
      </c>
      <c r="I9" s="23">
        <f>IFERROR(C9+H9,"")</f>
        <v/>
      </c>
      <c r="J9" s="10">
        <f>IFERROR(IF(G9="","",IF(G9&gt;5,"STRONG",IF(G9&gt;2,"ATTRACTIVE",IF(G9&gt;0,"OK","WEAK")))),"")</f>
        <v/>
      </c>
    </row>
    <row r="10">
      <c r="A10" s="24">
        <f>Bonds_Static!A10</f>
        <v/>
      </c>
      <c r="B10" s="24">
        <f>Bonds_Static!C10</f>
        <v/>
      </c>
      <c r="C10" s="11">
        <f>IFERROR(Bonds_Live!L10,"")</f>
        <v/>
      </c>
      <c r="D10" s="11">
        <f>IFERROR(Bonds_Live!R10,"")</f>
        <v/>
      </c>
      <c r="E10" s="23">
        <f>IFERROR(C10*D10,"")</f>
        <v/>
      </c>
      <c r="F10" s="11">
        <f>IFERROR(Carry_Roll!M10,"")</f>
        <v/>
      </c>
      <c r="G10" s="21">
        <f>IFERROR(IF(E10=0,"",F10*100/E10),"")</f>
        <v/>
      </c>
      <c r="H10" s="23">
        <f>IFERROR(IF(D10=0,"",F10*100/D10),"")</f>
        <v/>
      </c>
      <c r="I10" s="23">
        <f>IFERROR(C10+H10,"")</f>
        <v/>
      </c>
      <c r="J10" s="10">
        <f>IFERROR(IF(G10="","",IF(G10&gt;5,"STRONG",IF(G10&gt;2,"ATTRACTIVE",IF(G10&gt;0,"OK","WEAK")))),"")</f>
        <v/>
      </c>
    </row>
    <row r="11">
      <c r="A11" s="24">
        <f>Bonds_Static!A11</f>
        <v/>
      </c>
      <c r="B11" s="24">
        <f>Bonds_Static!C11</f>
        <v/>
      </c>
      <c r="C11" s="11">
        <f>IFERROR(Bonds_Live!L11,"")</f>
        <v/>
      </c>
      <c r="D11" s="11">
        <f>IFERROR(Bonds_Live!R11,"")</f>
        <v/>
      </c>
      <c r="E11" s="23">
        <f>IFERROR(C11*D11,"")</f>
        <v/>
      </c>
      <c r="F11" s="11">
        <f>IFERROR(Carry_Roll!M11,"")</f>
        <v/>
      </c>
      <c r="G11" s="21">
        <f>IFERROR(IF(E11=0,"",F11*100/E11),"")</f>
        <v/>
      </c>
      <c r="H11" s="23">
        <f>IFERROR(IF(D11=0,"",F11*100/D11),"")</f>
        <v/>
      </c>
      <c r="I11" s="23">
        <f>IFERROR(C11+H11,"")</f>
        <v/>
      </c>
      <c r="J11" s="10">
        <f>IFERROR(IF(G11="","",IF(G11&gt;5,"STRONG",IF(G11&gt;2,"ATTRACTIVE",IF(G11&gt;0,"OK","WEAK")))),"")</f>
        <v/>
      </c>
    </row>
    <row r="12">
      <c r="A12" s="24">
        <f>Bonds_Static!A12</f>
        <v/>
      </c>
      <c r="B12" s="24">
        <f>Bonds_Static!C12</f>
        <v/>
      </c>
      <c r="C12" s="11">
        <f>IFERROR(Bonds_Live!L12,"")</f>
        <v/>
      </c>
      <c r="D12" s="11">
        <f>IFERROR(Bonds_Live!R12,"")</f>
        <v/>
      </c>
      <c r="E12" s="23">
        <f>IFERROR(C12*D12,"")</f>
        <v/>
      </c>
      <c r="F12" s="11">
        <f>IFERROR(Carry_Roll!M12,"")</f>
        <v/>
      </c>
      <c r="G12" s="21">
        <f>IFERROR(IF(E12=0,"",F12*100/E12),"")</f>
        <v/>
      </c>
      <c r="H12" s="23">
        <f>IFERROR(IF(D12=0,"",F12*100/D12),"")</f>
        <v/>
      </c>
      <c r="I12" s="23">
        <f>IFERROR(C12+H12,"")</f>
        <v/>
      </c>
      <c r="J12" s="10">
        <f>IFERROR(IF(G12="","",IF(G12&gt;5,"STRONG",IF(G12&gt;2,"ATTRACTIVE",IF(G12&gt;0,"OK","WEAK")))),"")</f>
        <v/>
      </c>
    </row>
    <row r="13">
      <c r="A13" s="24">
        <f>Bonds_Static!A13</f>
        <v/>
      </c>
      <c r="B13" s="24">
        <f>Bonds_Static!C13</f>
        <v/>
      </c>
      <c r="C13" s="11">
        <f>IFERROR(Bonds_Live!L13,"")</f>
        <v/>
      </c>
      <c r="D13" s="11">
        <f>IFERROR(Bonds_Live!R13,"")</f>
        <v/>
      </c>
      <c r="E13" s="23">
        <f>IFERROR(C13*D13,"")</f>
        <v/>
      </c>
      <c r="F13" s="11">
        <f>IFERROR(Carry_Roll!M13,"")</f>
        <v/>
      </c>
      <c r="G13" s="21">
        <f>IFERROR(IF(E13=0,"",F13*100/E13),"")</f>
        <v/>
      </c>
      <c r="H13" s="23">
        <f>IFERROR(IF(D13=0,"",F13*100/D13),"")</f>
        <v/>
      </c>
      <c r="I13" s="23">
        <f>IFERROR(C13+H13,"")</f>
        <v/>
      </c>
      <c r="J13" s="10">
        <f>IFERROR(IF(G13="","",IF(G13&gt;5,"STRONG",IF(G13&gt;2,"ATTRACTIVE",IF(G13&gt;0,"OK","WEAK")))),"")</f>
        <v/>
      </c>
    </row>
    <row r="14">
      <c r="A14" s="24">
        <f>Bonds_Static!A14</f>
        <v/>
      </c>
      <c r="B14" s="24">
        <f>Bonds_Static!C14</f>
        <v/>
      </c>
      <c r="C14" s="11">
        <f>IFERROR(Bonds_Live!L14,"")</f>
        <v/>
      </c>
      <c r="D14" s="11">
        <f>IFERROR(Bonds_Live!R14,"")</f>
        <v/>
      </c>
      <c r="E14" s="23">
        <f>IFERROR(C14*D14,"")</f>
        <v/>
      </c>
      <c r="F14" s="11">
        <f>IFERROR(Carry_Roll!M14,"")</f>
        <v/>
      </c>
      <c r="G14" s="21">
        <f>IFERROR(IF(E14=0,"",F14*100/E14),"")</f>
        <v/>
      </c>
      <c r="H14" s="23">
        <f>IFERROR(IF(D14=0,"",F14*100/D14),"")</f>
        <v/>
      </c>
      <c r="I14" s="23">
        <f>IFERROR(C14+H14,"")</f>
        <v/>
      </c>
      <c r="J14" s="10">
        <f>IFERROR(IF(G14="","",IF(G14&gt;5,"STRONG",IF(G14&gt;2,"ATTRACTIVE",IF(G14&gt;0,"OK","WEAK")))),"")</f>
        <v/>
      </c>
    </row>
    <row r="15">
      <c r="A15" s="24">
        <f>Bonds_Static!A15</f>
        <v/>
      </c>
      <c r="B15" s="24">
        <f>Bonds_Static!C15</f>
        <v/>
      </c>
      <c r="C15" s="11">
        <f>IFERROR(Bonds_Live!L15,"")</f>
        <v/>
      </c>
      <c r="D15" s="11">
        <f>IFERROR(Bonds_Live!R15,"")</f>
        <v/>
      </c>
      <c r="E15" s="23">
        <f>IFERROR(C15*D15,"")</f>
        <v/>
      </c>
      <c r="F15" s="11">
        <f>IFERROR(Carry_Roll!M15,"")</f>
        <v/>
      </c>
      <c r="G15" s="21">
        <f>IFERROR(IF(E15=0,"",F15*100/E15),"")</f>
        <v/>
      </c>
      <c r="H15" s="23">
        <f>IFERROR(IF(D15=0,"",F15*100/D15),"")</f>
        <v/>
      </c>
      <c r="I15" s="23">
        <f>IFERROR(C15+H15,"")</f>
        <v/>
      </c>
      <c r="J15" s="10">
        <f>IFERROR(IF(G15="","",IF(G15&gt;5,"STRONG",IF(G15&gt;2,"ATTRACTIVE",IF(G15&gt;0,"OK","WEAK")))),"")</f>
        <v/>
      </c>
    </row>
    <row r="16">
      <c r="A16" s="24">
        <f>Bonds_Static!A16</f>
        <v/>
      </c>
      <c r="B16" s="24">
        <f>Bonds_Static!C16</f>
        <v/>
      </c>
      <c r="C16" s="11">
        <f>IFERROR(Bonds_Live!L16,"")</f>
        <v/>
      </c>
      <c r="D16" s="11">
        <f>IFERROR(Bonds_Live!R16,"")</f>
        <v/>
      </c>
      <c r="E16" s="23">
        <f>IFERROR(C16*D16,"")</f>
        <v/>
      </c>
      <c r="F16" s="11">
        <f>IFERROR(Carry_Roll!M16,"")</f>
        <v/>
      </c>
      <c r="G16" s="21">
        <f>IFERROR(IF(E16=0,"",F16*100/E16),"")</f>
        <v/>
      </c>
      <c r="H16" s="23">
        <f>IFERROR(IF(D16=0,"",F16*100/D16),"")</f>
        <v/>
      </c>
      <c r="I16" s="23">
        <f>IFERROR(C16+H16,"")</f>
        <v/>
      </c>
      <c r="J16" s="10">
        <f>IFERROR(IF(G16="","",IF(G16&gt;5,"STRONG",IF(G16&gt;2,"ATTRACTIVE",IF(G16&gt;0,"OK","WEAK")))),"")</f>
        <v/>
      </c>
    </row>
    <row r="17">
      <c r="A17" s="24">
        <f>Bonds_Static!A17</f>
        <v/>
      </c>
      <c r="B17" s="24">
        <f>Bonds_Static!C17</f>
        <v/>
      </c>
      <c r="C17" s="11">
        <f>IFERROR(Bonds_Live!L17,"")</f>
        <v/>
      </c>
      <c r="D17" s="11">
        <f>IFERROR(Bonds_Live!R17,"")</f>
        <v/>
      </c>
      <c r="E17" s="23">
        <f>IFERROR(C17*D17,"")</f>
        <v/>
      </c>
      <c r="F17" s="11">
        <f>IFERROR(Carry_Roll!M17,"")</f>
        <v/>
      </c>
      <c r="G17" s="21">
        <f>IFERROR(IF(E17=0,"",F17*100/E17),"")</f>
        <v/>
      </c>
      <c r="H17" s="23">
        <f>IFERROR(IF(D17=0,"",F17*100/D17),"")</f>
        <v/>
      </c>
      <c r="I17" s="23">
        <f>IFERROR(C17+H17,"")</f>
        <v/>
      </c>
      <c r="J17" s="10">
        <f>IFERROR(IF(G17="","",IF(G17&gt;5,"STRONG",IF(G17&gt;2,"ATTRACTIVE",IF(G17&gt;0,"OK","WEAK")))),"")</f>
        <v/>
      </c>
    </row>
    <row r="18">
      <c r="A18" s="24">
        <f>Bonds_Static!A18</f>
        <v/>
      </c>
      <c r="B18" s="24">
        <f>Bonds_Static!C18</f>
        <v/>
      </c>
      <c r="C18" s="11">
        <f>IFERROR(Bonds_Live!L18,"")</f>
        <v/>
      </c>
      <c r="D18" s="11">
        <f>IFERROR(Bonds_Live!R18,"")</f>
        <v/>
      </c>
      <c r="E18" s="23">
        <f>IFERROR(C18*D18,"")</f>
        <v/>
      </c>
      <c r="F18" s="11">
        <f>IFERROR(Carry_Roll!M18,"")</f>
        <v/>
      </c>
      <c r="G18" s="21">
        <f>IFERROR(IF(E18=0,"",F18*100/E18),"")</f>
        <v/>
      </c>
      <c r="H18" s="23">
        <f>IFERROR(IF(D18=0,"",F18*100/D18),"")</f>
        <v/>
      </c>
      <c r="I18" s="23">
        <f>IFERROR(C18+H18,"")</f>
        <v/>
      </c>
      <c r="J18" s="10">
        <f>IFERROR(IF(G18="","",IF(G18&gt;5,"STRONG",IF(G18&gt;2,"ATTRACTIVE",IF(G18&gt;0,"OK","WEAK")))),"")</f>
        <v/>
      </c>
    </row>
    <row r="19">
      <c r="A19" s="24">
        <f>Bonds_Static!A19</f>
        <v/>
      </c>
      <c r="B19" s="24">
        <f>Bonds_Static!C19</f>
        <v/>
      </c>
      <c r="C19" s="11">
        <f>IFERROR(Bonds_Live!L19,"")</f>
        <v/>
      </c>
      <c r="D19" s="11">
        <f>IFERROR(Bonds_Live!R19,"")</f>
        <v/>
      </c>
      <c r="E19" s="23">
        <f>IFERROR(C19*D19,"")</f>
        <v/>
      </c>
      <c r="F19" s="11">
        <f>IFERROR(Carry_Roll!M19,"")</f>
        <v/>
      </c>
      <c r="G19" s="21">
        <f>IFERROR(IF(E19=0,"",F19*100/E19),"")</f>
        <v/>
      </c>
      <c r="H19" s="23">
        <f>IFERROR(IF(D19=0,"",F19*100/D19),"")</f>
        <v/>
      </c>
      <c r="I19" s="23">
        <f>IFERROR(C19+H19,"")</f>
        <v/>
      </c>
      <c r="J19" s="10">
        <f>IFERROR(IF(G19="","",IF(G19&gt;5,"STRONG",IF(G19&gt;2,"ATTRACTIVE",IF(G19&gt;0,"OK","WEAK")))),"")</f>
        <v/>
      </c>
    </row>
    <row r="20">
      <c r="A20" s="24">
        <f>Bonds_Static!A20</f>
        <v/>
      </c>
      <c r="B20" s="24">
        <f>Bonds_Static!C20</f>
        <v/>
      </c>
      <c r="C20" s="11">
        <f>IFERROR(Bonds_Live!L20,"")</f>
        <v/>
      </c>
      <c r="D20" s="11">
        <f>IFERROR(Bonds_Live!R20,"")</f>
        <v/>
      </c>
      <c r="E20" s="23">
        <f>IFERROR(C20*D20,"")</f>
        <v/>
      </c>
      <c r="F20" s="11">
        <f>IFERROR(Carry_Roll!M20,"")</f>
        <v/>
      </c>
      <c r="G20" s="21">
        <f>IFERROR(IF(E20=0,"",F20*100/E20),"")</f>
        <v/>
      </c>
      <c r="H20" s="23">
        <f>IFERROR(IF(D20=0,"",F20*100/D20),"")</f>
        <v/>
      </c>
      <c r="I20" s="23">
        <f>IFERROR(C20+H20,"")</f>
        <v/>
      </c>
      <c r="J20" s="10">
        <f>IFERROR(IF(G20="","",IF(G20&gt;5,"STRONG",IF(G20&gt;2,"ATTRACTIVE",IF(G20&gt;0,"OK","WEAK")))),"")</f>
        <v/>
      </c>
    </row>
    <row r="21">
      <c r="A21" s="24">
        <f>Bonds_Static!A21</f>
        <v/>
      </c>
      <c r="B21" s="24">
        <f>Bonds_Static!C21</f>
        <v/>
      </c>
      <c r="C21" s="11">
        <f>IFERROR(Bonds_Live!L21,"")</f>
        <v/>
      </c>
      <c r="D21" s="11">
        <f>IFERROR(Bonds_Live!R21,"")</f>
        <v/>
      </c>
      <c r="E21" s="23">
        <f>IFERROR(C21*D21,"")</f>
        <v/>
      </c>
      <c r="F21" s="11">
        <f>IFERROR(Carry_Roll!M21,"")</f>
        <v/>
      </c>
      <c r="G21" s="21">
        <f>IFERROR(IF(E21=0,"",F21*100/E21),"")</f>
        <v/>
      </c>
      <c r="H21" s="23">
        <f>IFERROR(IF(D21=0,"",F21*100/D21),"")</f>
        <v/>
      </c>
      <c r="I21" s="23">
        <f>IFERROR(C21+H21,"")</f>
        <v/>
      </c>
      <c r="J21" s="10">
        <f>IFERROR(IF(G21="","",IF(G21&gt;5,"STRONG",IF(G21&gt;2,"ATTRACTIVE",IF(G21&gt;0,"OK","WEAK")))),"")</f>
        <v/>
      </c>
    </row>
    <row r="22">
      <c r="A22" s="24">
        <f>Bonds_Static!A22</f>
        <v/>
      </c>
      <c r="B22" s="24">
        <f>Bonds_Static!C22</f>
        <v/>
      </c>
      <c r="C22" s="11">
        <f>IFERROR(Bonds_Live!L22,"")</f>
        <v/>
      </c>
      <c r="D22" s="11">
        <f>IFERROR(Bonds_Live!R22,"")</f>
        <v/>
      </c>
      <c r="E22" s="23">
        <f>IFERROR(C22*D22,"")</f>
        <v/>
      </c>
      <c r="F22" s="11">
        <f>IFERROR(Carry_Roll!M22,"")</f>
        <v/>
      </c>
      <c r="G22" s="21">
        <f>IFERROR(IF(E22=0,"",F22*100/E22),"")</f>
        <v/>
      </c>
      <c r="H22" s="23">
        <f>IFERROR(IF(D22=0,"",F22*100/D22),"")</f>
        <v/>
      </c>
      <c r="I22" s="23">
        <f>IFERROR(C22+H22,"")</f>
        <v/>
      </c>
      <c r="J22" s="10">
        <f>IFERROR(IF(G22="","",IF(G22&gt;5,"STRONG",IF(G22&gt;2,"ATTRACTIVE",IF(G22&gt;0,"OK","WEAK")))),"")</f>
        <v/>
      </c>
    </row>
    <row r="23">
      <c r="A23" s="24">
        <f>Bonds_Static!A23</f>
        <v/>
      </c>
      <c r="B23" s="24">
        <f>Bonds_Static!C23</f>
        <v/>
      </c>
      <c r="C23" s="11">
        <f>IFERROR(Bonds_Live!L23,"")</f>
        <v/>
      </c>
      <c r="D23" s="11">
        <f>IFERROR(Bonds_Live!R23,"")</f>
        <v/>
      </c>
      <c r="E23" s="23">
        <f>IFERROR(C23*D23,"")</f>
        <v/>
      </c>
      <c r="F23" s="11">
        <f>IFERROR(Carry_Roll!M23,"")</f>
        <v/>
      </c>
      <c r="G23" s="21">
        <f>IFERROR(IF(E23=0,"",F23*100/E23),"")</f>
        <v/>
      </c>
      <c r="H23" s="23">
        <f>IFERROR(IF(D23=0,"",F23*100/D23),"")</f>
        <v/>
      </c>
      <c r="I23" s="23">
        <f>IFERROR(C23+H23,"")</f>
        <v/>
      </c>
      <c r="J23" s="10">
        <f>IFERROR(IF(G23="","",IF(G23&gt;5,"STRONG",IF(G23&gt;2,"ATTRACTIVE",IF(G23&gt;0,"OK","WEAK")))),"")</f>
        <v/>
      </c>
    </row>
    <row r="24">
      <c r="A24" s="24">
        <f>Bonds_Static!A24</f>
        <v/>
      </c>
      <c r="B24" s="24">
        <f>Bonds_Static!C24</f>
        <v/>
      </c>
      <c r="C24" s="11">
        <f>IFERROR(Bonds_Live!L24,"")</f>
        <v/>
      </c>
      <c r="D24" s="11">
        <f>IFERROR(Bonds_Live!R24,"")</f>
        <v/>
      </c>
      <c r="E24" s="23">
        <f>IFERROR(C24*D24,"")</f>
        <v/>
      </c>
      <c r="F24" s="11">
        <f>IFERROR(Carry_Roll!M24,"")</f>
        <v/>
      </c>
      <c r="G24" s="21">
        <f>IFERROR(IF(E24=0,"",F24*100/E24),"")</f>
        <v/>
      </c>
      <c r="H24" s="23">
        <f>IFERROR(IF(D24=0,"",F24*100/D24),"")</f>
        <v/>
      </c>
      <c r="I24" s="23">
        <f>IFERROR(C24+H24,"")</f>
        <v/>
      </c>
      <c r="J24" s="10">
        <f>IFERROR(IF(G24="","",IF(G24&gt;5,"STRONG",IF(G24&gt;2,"ATTRACTIVE",IF(G24&gt;0,"OK","WEAK")))),"")</f>
        <v/>
      </c>
    </row>
    <row r="25">
      <c r="A25" s="24">
        <f>Bonds_Static!A25</f>
        <v/>
      </c>
      <c r="B25" s="24">
        <f>Bonds_Static!C25</f>
        <v/>
      </c>
      <c r="C25" s="11">
        <f>IFERROR(Bonds_Live!L25,"")</f>
        <v/>
      </c>
      <c r="D25" s="11">
        <f>IFERROR(Bonds_Live!R25,"")</f>
        <v/>
      </c>
      <c r="E25" s="23">
        <f>IFERROR(C25*D25,"")</f>
        <v/>
      </c>
      <c r="F25" s="11">
        <f>IFERROR(Carry_Roll!M25,"")</f>
        <v/>
      </c>
      <c r="G25" s="21">
        <f>IFERROR(IF(E25=0,"",F25*100/E25),"")</f>
        <v/>
      </c>
      <c r="H25" s="23">
        <f>IFERROR(IF(D25=0,"",F25*100/D25),"")</f>
        <v/>
      </c>
      <c r="I25" s="23">
        <f>IFERROR(C25+H25,"")</f>
        <v/>
      </c>
      <c r="J25" s="10">
        <f>IFERROR(IF(G25="","",IF(G25&gt;5,"STRONG",IF(G25&gt;2,"ATTRACTIVE",IF(G25&gt;0,"OK","WEAK")))),"")</f>
        <v/>
      </c>
    </row>
    <row r="26">
      <c r="A26" s="24">
        <f>Bonds_Static!A26</f>
        <v/>
      </c>
      <c r="B26" s="24">
        <f>Bonds_Static!C26</f>
        <v/>
      </c>
      <c r="C26" s="11">
        <f>IFERROR(Bonds_Live!L26,"")</f>
        <v/>
      </c>
      <c r="D26" s="11">
        <f>IFERROR(Bonds_Live!R26,"")</f>
        <v/>
      </c>
      <c r="E26" s="23">
        <f>IFERROR(C26*D26,"")</f>
        <v/>
      </c>
      <c r="F26" s="11">
        <f>IFERROR(Carry_Roll!M26,"")</f>
        <v/>
      </c>
      <c r="G26" s="21">
        <f>IFERROR(IF(E26=0,"",F26*100/E26),"")</f>
        <v/>
      </c>
      <c r="H26" s="23">
        <f>IFERROR(IF(D26=0,"",F26*100/D26),"")</f>
        <v/>
      </c>
      <c r="I26" s="23">
        <f>IFERROR(C26+H26,"")</f>
        <v/>
      </c>
      <c r="J26" s="10">
        <f>IFERROR(IF(G26="","",IF(G26&gt;5,"STRONG",IF(G26&gt;2,"ATTRACTIVE",IF(G26&gt;0,"OK","WEAK")))),"")</f>
        <v/>
      </c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6" t="inlineStr">
        <is>
          <t>Spread_History — 1Y BDH-driven distribution stats (refresh may take a few seconds)</t>
        </is>
      </c>
    </row>
    <row r="2" ht="32" customHeight="1">
      <c r="A2" s="20" t="inlineStr">
        <is>
          <t>ISIN</t>
        </is>
      </c>
      <c r="B2" s="20" t="inlineStr">
        <is>
          <t>Description</t>
        </is>
      </c>
      <c r="C2" s="20" t="inlineStr">
        <is>
          <t>Z-Spr Now (bp)</t>
        </is>
      </c>
      <c r="D2" s="20" t="inlineStr">
        <is>
          <t>1Y Min</t>
        </is>
      </c>
      <c r="E2" s="20" t="inlineStr">
        <is>
          <t>1Y Max</t>
        </is>
      </c>
      <c r="F2" s="20" t="inlineStr">
        <is>
          <t>1Y Avg</t>
        </is>
      </c>
      <c r="G2" s="20" t="inlineStr">
        <is>
          <t>1Y Stdev</t>
        </is>
      </c>
      <c r="H2" s="20" t="inlineStr">
        <is>
          <t>1Y Percentile</t>
        </is>
      </c>
      <c r="I2" s="20" t="inlineStr">
        <is>
          <t>1Y Z-Score</t>
        </is>
      </c>
      <c r="J2" s="20" t="inlineStr">
        <is>
          <t>30D Avg</t>
        </is>
      </c>
      <c r="K2" s="20" t="inlineStr">
        <is>
          <t>Signal</t>
        </is>
      </c>
    </row>
    <row r="3">
      <c r="A3" s="24">
        <f>Bonds_Static!A2</f>
        <v/>
      </c>
      <c r="B3" s="24">
        <f>Bonds_Static!C2</f>
        <v/>
      </c>
      <c r="C3" s="11">
        <f>IFERROR(Bonds_Live!L2,"")</f>
        <v/>
      </c>
      <c r="D3" s="21">
        <f>IFERROR(MIN(INDEX(BDH("/isin/"&amp;$A3,"YAS_ZSPREAD","-1Y","0D"),0,2)),"")</f>
        <v/>
      </c>
      <c r="E3" s="21">
        <f>IFERROR(MAX(INDEX(BDH("/isin/"&amp;$A3,"YAS_ZSPREAD","-1Y","0D"),0,2)),"")</f>
        <v/>
      </c>
      <c r="F3" s="21">
        <f>IFERROR(AVERAGE(INDEX(BDH("/isin/"&amp;$A3,"YAS_ZSPREAD","-1Y","0D"),0,2)),"")</f>
        <v/>
      </c>
      <c r="G3" s="21">
        <f>IFERROR(STDEV(INDEX(BDH("/isin/"&amp;$A3,"YAS_ZSPREAD","-1Y","0D"),0,2)),"")</f>
        <v/>
      </c>
      <c r="H3" s="21">
        <f>IFERROR(PERCENTRANK.INC(INDEX(BDH("/isin/"&amp;$A3,"YAS_ZSPREAD","-1Y","0D"),0,2),C3)*100,"")</f>
        <v/>
      </c>
      <c r="I3" s="21">
        <f>IFERROR(IF(G3=0,"",(C3-F3)/G3),"")</f>
        <v/>
      </c>
      <c r="J3" s="21">
        <f>IFERROR(AVERAGE(INDEX(BDH("/isin/"&amp;$A3,"YAS_ZSPREAD","-1M","0D"),0,2)),"")</f>
        <v/>
      </c>
      <c r="K3" s="10">
        <f>IFERROR(IF(H3="","",IF(H3&gt;=80,"CHEAP — buy",IF(H3&gt;=60,"slightly cheap",IF(H3&gt;=40,"FAIR",IF(H3&gt;=20,"slightly rich","RICH — sell"))))),"")</f>
        <v/>
      </c>
    </row>
    <row r="4">
      <c r="A4" s="24">
        <f>Bonds_Static!A3</f>
        <v/>
      </c>
      <c r="B4" s="24">
        <f>Bonds_Static!C3</f>
        <v/>
      </c>
      <c r="C4" s="11">
        <f>IFERROR(Bonds_Live!L3,"")</f>
        <v/>
      </c>
      <c r="D4" s="21">
        <f>IFERROR(MIN(INDEX(BDH("/isin/"&amp;$A4,"YAS_ZSPREAD","-1Y","0D"),0,2)),"")</f>
        <v/>
      </c>
      <c r="E4" s="21">
        <f>IFERROR(MAX(INDEX(BDH("/isin/"&amp;$A4,"YAS_ZSPREAD","-1Y","0D"),0,2)),"")</f>
        <v/>
      </c>
      <c r="F4" s="21">
        <f>IFERROR(AVERAGE(INDEX(BDH("/isin/"&amp;$A4,"YAS_ZSPREAD","-1Y","0D"),0,2)),"")</f>
        <v/>
      </c>
      <c r="G4" s="21">
        <f>IFERROR(STDEV(INDEX(BDH("/isin/"&amp;$A4,"YAS_ZSPREAD","-1Y","0D"),0,2)),"")</f>
        <v/>
      </c>
      <c r="H4" s="21">
        <f>IFERROR(PERCENTRANK.INC(INDEX(BDH("/isin/"&amp;$A4,"YAS_ZSPREAD","-1Y","0D"),0,2),C4)*100,"")</f>
        <v/>
      </c>
      <c r="I4" s="21">
        <f>IFERROR(IF(G4=0,"",(C4-F4)/G4),"")</f>
        <v/>
      </c>
      <c r="J4" s="21">
        <f>IFERROR(AVERAGE(INDEX(BDH("/isin/"&amp;$A4,"YAS_ZSPREAD","-1M","0D"),0,2)),"")</f>
        <v/>
      </c>
      <c r="K4" s="10">
        <f>IFERROR(IF(H4="","",IF(H4&gt;=80,"CHEAP — buy",IF(H4&gt;=60,"slightly cheap",IF(H4&gt;=40,"FAIR",IF(H4&gt;=20,"slightly rich","RICH — sell"))))),"")</f>
        <v/>
      </c>
    </row>
    <row r="5">
      <c r="A5" s="24">
        <f>Bonds_Static!A4</f>
        <v/>
      </c>
      <c r="B5" s="24">
        <f>Bonds_Static!C4</f>
        <v/>
      </c>
      <c r="C5" s="11">
        <f>IFERROR(Bonds_Live!L4,"")</f>
        <v/>
      </c>
      <c r="D5" s="21">
        <f>IFERROR(MIN(INDEX(BDH("/isin/"&amp;$A5,"YAS_ZSPREAD","-1Y","0D"),0,2)),"")</f>
        <v/>
      </c>
      <c r="E5" s="21">
        <f>IFERROR(MAX(INDEX(BDH("/isin/"&amp;$A5,"YAS_ZSPREAD","-1Y","0D"),0,2)),"")</f>
        <v/>
      </c>
      <c r="F5" s="21">
        <f>IFERROR(AVERAGE(INDEX(BDH("/isin/"&amp;$A5,"YAS_ZSPREAD","-1Y","0D"),0,2)),"")</f>
        <v/>
      </c>
      <c r="G5" s="21">
        <f>IFERROR(STDEV(INDEX(BDH("/isin/"&amp;$A5,"YAS_ZSPREAD","-1Y","0D"),0,2)),"")</f>
        <v/>
      </c>
      <c r="H5" s="21">
        <f>IFERROR(PERCENTRANK.INC(INDEX(BDH("/isin/"&amp;$A5,"YAS_ZSPREAD","-1Y","0D"),0,2),C5)*100,"")</f>
        <v/>
      </c>
      <c r="I5" s="21">
        <f>IFERROR(IF(G5=0,"",(C5-F5)/G5),"")</f>
        <v/>
      </c>
      <c r="J5" s="21">
        <f>IFERROR(AVERAGE(INDEX(BDH("/isin/"&amp;$A5,"YAS_ZSPREAD","-1M","0D"),0,2)),"")</f>
        <v/>
      </c>
      <c r="K5" s="10">
        <f>IFERROR(IF(H5="","",IF(H5&gt;=80,"CHEAP — buy",IF(H5&gt;=60,"slightly cheap",IF(H5&gt;=40,"FAIR",IF(H5&gt;=20,"slightly rich","RICH — sell"))))),"")</f>
        <v/>
      </c>
    </row>
    <row r="6">
      <c r="A6" s="24">
        <f>Bonds_Static!A5</f>
        <v/>
      </c>
      <c r="B6" s="24">
        <f>Bonds_Static!C5</f>
        <v/>
      </c>
      <c r="C6" s="11">
        <f>IFERROR(Bonds_Live!L5,"")</f>
        <v/>
      </c>
      <c r="D6" s="21">
        <f>IFERROR(MIN(INDEX(BDH("/isin/"&amp;$A6,"YAS_ZSPREAD","-1Y","0D"),0,2)),"")</f>
        <v/>
      </c>
      <c r="E6" s="21">
        <f>IFERROR(MAX(INDEX(BDH("/isin/"&amp;$A6,"YAS_ZSPREAD","-1Y","0D"),0,2)),"")</f>
        <v/>
      </c>
      <c r="F6" s="21">
        <f>IFERROR(AVERAGE(INDEX(BDH("/isin/"&amp;$A6,"YAS_ZSPREAD","-1Y","0D"),0,2)),"")</f>
        <v/>
      </c>
      <c r="G6" s="21">
        <f>IFERROR(STDEV(INDEX(BDH("/isin/"&amp;$A6,"YAS_ZSPREAD","-1Y","0D"),0,2)),"")</f>
        <v/>
      </c>
      <c r="H6" s="21">
        <f>IFERROR(PERCENTRANK.INC(INDEX(BDH("/isin/"&amp;$A6,"YAS_ZSPREAD","-1Y","0D"),0,2),C6)*100,"")</f>
        <v/>
      </c>
      <c r="I6" s="21">
        <f>IFERROR(IF(G6=0,"",(C6-F6)/G6),"")</f>
        <v/>
      </c>
      <c r="J6" s="21">
        <f>IFERROR(AVERAGE(INDEX(BDH("/isin/"&amp;$A6,"YAS_ZSPREAD","-1M","0D"),0,2)),"")</f>
        <v/>
      </c>
      <c r="K6" s="10">
        <f>IFERROR(IF(H6="","",IF(H6&gt;=80,"CHEAP — buy",IF(H6&gt;=60,"slightly cheap",IF(H6&gt;=40,"FAIR",IF(H6&gt;=20,"slightly rich","RICH — sell"))))),"")</f>
        <v/>
      </c>
    </row>
    <row r="7">
      <c r="A7" s="24">
        <f>Bonds_Static!A6</f>
        <v/>
      </c>
      <c r="B7" s="24">
        <f>Bonds_Static!C6</f>
        <v/>
      </c>
      <c r="C7" s="11">
        <f>IFERROR(Bonds_Live!L6,"")</f>
        <v/>
      </c>
      <c r="D7" s="21">
        <f>IFERROR(MIN(INDEX(BDH("/isin/"&amp;$A7,"YAS_ZSPREAD","-1Y","0D"),0,2)),"")</f>
        <v/>
      </c>
      <c r="E7" s="21">
        <f>IFERROR(MAX(INDEX(BDH("/isin/"&amp;$A7,"YAS_ZSPREAD","-1Y","0D"),0,2)),"")</f>
        <v/>
      </c>
      <c r="F7" s="21">
        <f>IFERROR(AVERAGE(INDEX(BDH("/isin/"&amp;$A7,"YAS_ZSPREAD","-1Y","0D"),0,2)),"")</f>
        <v/>
      </c>
      <c r="G7" s="21">
        <f>IFERROR(STDEV(INDEX(BDH("/isin/"&amp;$A7,"YAS_ZSPREAD","-1Y","0D"),0,2)),"")</f>
        <v/>
      </c>
      <c r="H7" s="21">
        <f>IFERROR(PERCENTRANK.INC(INDEX(BDH("/isin/"&amp;$A7,"YAS_ZSPREAD","-1Y","0D"),0,2),C7)*100,"")</f>
        <v/>
      </c>
      <c r="I7" s="21">
        <f>IFERROR(IF(G7=0,"",(C7-F7)/G7),"")</f>
        <v/>
      </c>
      <c r="J7" s="21">
        <f>IFERROR(AVERAGE(INDEX(BDH("/isin/"&amp;$A7,"YAS_ZSPREAD","-1M","0D"),0,2)),"")</f>
        <v/>
      </c>
      <c r="K7" s="10">
        <f>IFERROR(IF(H7="","",IF(H7&gt;=80,"CHEAP — buy",IF(H7&gt;=60,"slightly cheap",IF(H7&gt;=40,"FAIR",IF(H7&gt;=20,"slightly rich","RICH — sell"))))),"")</f>
        <v/>
      </c>
    </row>
    <row r="8">
      <c r="A8" s="24">
        <f>Bonds_Static!A7</f>
        <v/>
      </c>
      <c r="B8" s="24">
        <f>Bonds_Static!C7</f>
        <v/>
      </c>
      <c r="C8" s="11">
        <f>IFERROR(Bonds_Live!L7,"")</f>
        <v/>
      </c>
      <c r="D8" s="21">
        <f>IFERROR(MIN(INDEX(BDH("/isin/"&amp;$A8,"YAS_ZSPREAD","-1Y","0D"),0,2)),"")</f>
        <v/>
      </c>
      <c r="E8" s="21">
        <f>IFERROR(MAX(INDEX(BDH("/isin/"&amp;$A8,"YAS_ZSPREAD","-1Y","0D"),0,2)),"")</f>
        <v/>
      </c>
      <c r="F8" s="21">
        <f>IFERROR(AVERAGE(INDEX(BDH("/isin/"&amp;$A8,"YAS_ZSPREAD","-1Y","0D"),0,2)),"")</f>
        <v/>
      </c>
      <c r="G8" s="21">
        <f>IFERROR(STDEV(INDEX(BDH("/isin/"&amp;$A8,"YAS_ZSPREAD","-1Y","0D"),0,2)),"")</f>
        <v/>
      </c>
      <c r="H8" s="21">
        <f>IFERROR(PERCENTRANK.INC(INDEX(BDH("/isin/"&amp;$A8,"YAS_ZSPREAD","-1Y","0D"),0,2),C8)*100,"")</f>
        <v/>
      </c>
      <c r="I8" s="21">
        <f>IFERROR(IF(G8=0,"",(C8-F8)/G8),"")</f>
        <v/>
      </c>
      <c r="J8" s="21">
        <f>IFERROR(AVERAGE(INDEX(BDH("/isin/"&amp;$A8,"YAS_ZSPREAD","-1M","0D"),0,2)),"")</f>
        <v/>
      </c>
      <c r="K8" s="10">
        <f>IFERROR(IF(H8="","",IF(H8&gt;=80,"CHEAP — buy",IF(H8&gt;=60,"slightly cheap",IF(H8&gt;=40,"FAIR",IF(H8&gt;=20,"slightly rich","RICH — sell"))))),"")</f>
        <v/>
      </c>
    </row>
    <row r="9">
      <c r="A9" s="24">
        <f>Bonds_Static!A8</f>
        <v/>
      </c>
      <c r="B9" s="24">
        <f>Bonds_Static!C8</f>
        <v/>
      </c>
      <c r="C9" s="11">
        <f>IFERROR(Bonds_Live!L8,"")</f>
        <v/>
      </c>
      <c r="D9" s="21">
        <f>IFERROR(MIN(INDEX(BDH("/isin/"&amp;$A9,"YAS_ZSPREAD","-1Y","0D"),0,2)),"")</f>
        <v/>
      </c>
      <c r="E9" s="21">
        <f>IFERROR(MAX(INDEX(BDH("/isin/"&amp;$A9,"YAS_ZSPREAD","-1Y","0D"),0,2)),"")</f>
        <v/>
      </c>
      <c r="F9" s="21">
        <f>IFERROR(AVERAGE(INDEX(BDH("/isin/"&amp;$A9,"YAS_ZSPREAD","-1Y","0D"),0,2)),"")</f>
        <v/>
      </c>
      <c r="G9" s="21">
        <f>IFERROR(STDEV(INDEX(BDH("/isin/"&amp;$A9,"YAS_ZSPREAD","-1Y","0D"),0,2)),"")</f>
        <v/>
      </c>
      <c r="H9" s="21">
        <f>IFERROR(PERCENTRANK.INC(INDEX(BDH("/isin/"&amp;$A9,"YAS_ZSPREAD","-1Y","0D"),0,2),C9)*100,"")</f>
        <v/>
      </c>
      <c r="I9" s="21">
        <f>IFERROR(IF(G9=0,"",(C9-F9)/G9),"")</f>
        <v/>
      </c>
      <c r="J9" s="21">
        <f>IFERROR(AVERAGE(INDEX(BDH("/isin/"&amp;$A9,"YAS_ZSPREAD","-1M","0D"),0,2)),"")</f>
        <v/>
      </c>
      <c r="K9" s="10">
        <f>IFERROR(IF(H9="","",IF(H9&gt;=80,"CHEAP — buy",IF(H9&gt;=60,"slightly cheap",IF(H9&gt;=40,"FAIR",IF(H9&gt;=20,"slightly rich","RICH — sell"))))),"")</f>
        <v/>
      </c>
    </row>
    <row r="10">
      <c r="A10" s="24">
        <f>Bonds_Static!A9</f>
        <v/>
      </c>
      <c r="B10" s="24">
        <f>Bonds_Static!C9</f>
        <v/>
      </c>
      <c r="C10" s="11">
        <f>IFERROR(Bonds_Live!L9,"")</f>
        <v/>
      </c>
      <c r="D10" s="21">
        <f>IFERROR(MIN(INDEX(BDH("/isin/"&amp;$A10,"YAS_ZSPREAD","-1Y","0D"),0,2)),"")</f>
        <v/>
      </c>
      <c r="E10" s="21">
        <f>IFERROR(MAX(INDEX(BDH("/isin/"&amp;$A10,"YAS_ZSPREAD","-1Y","0D"),0,2)),"")</f>
        <v/>
      </c>
      <c r="F10" s="21">
        <f>IFERROR(AVERAGE(INDEX(BDH("/isin/"&amp;$A10,"YAS_ZSPREAD","-1Y","0D"),0,2)),"")</f>
        <v/>
      </c>
      <c r="G10" s="21">
        <f>IFERROR(STDEV(INDEX(BDH("/isin/"&amp;$A10,"YAS_ZSPREAD","-1Y","0D"),0,2)),"")</f>
        <v/>
      </c>
      <c r="H10" s="21">
        <f>IFERROR(PERCENTRANK.INC(INDEX(BDH("/isin/"&amp;$A10,"YAS_ZSPREAD","-1Y","0D"),0,2),C10)*100,"")</f>
        <v/>
      </c>
      <c r="I10" s="21">
        <f>IFERROR(IF(G10=0,"",(C10-F10)/G10),"")</f>
        <v/>
      </c>
      <c r="J10" s="21">
        <f>IFERROR(AVERAGE(INDEX(BDH("/isin/"&amp;$A10,"YAS_ZSPREAD","-1M","0D"),0,2)),"")</f>
        <v/>
      </c>
      <c r="K10" s="10">
        <f>IFERROR(IF(H10="","",IF(H10&gt;=80,"CHEAP — buy",IF(H10&gt;=60,"slightly cheap",IF(H10&gt;=40,"FAIR",IF(H10&gt;=20,"slightly rich","RICH — sell"))))),"")</f>
        <v/>
      </c>
    </row>
    <row r="11">
      <c r="A11" s="24">
        <f>Bonds_Static!A10</f>
        <v/>
      </c>
      <c r="B11" s="24">
        <f>Bonds_Static!C10</f>
        <v/>
      </c>
      <c r="C11" s="11">
        <f>IFERROR(Bonds_Live!L10,"")</f>
        <v/>
      </c>
      <c r="D11" s="21">
        <f>IFERROR(MIN(INDEX(BDH("/isin/"&amp;$A11,"YAS_ZSPREAD","-1Y","0D"),0,2)),"")</f>
        <v/>
      </c>
      <c r="E11" s="21">
        <f>IFERROR(MAX(INDEX(BDH("/isin/"&amp;$A11,"YAS_ZSPREAD","-1Y","0D"),0,2)),"")</f>
        <v/>
      </c>
      <c r="F11" s="21">
        <f>IFERROR(AVERAGE(INDEX(BDH("/isin/"&amp;$A11,"YAS_ZSPREAD","-1Y","0D"),0,2)),"")</f>
        <v/>
      </c>
      <c r="G11" s="21">
        <f>IFERROR(STDEV(INDEX(BDH("/isin/"&amp;$A11,"YAS_ZSPREAD","-1Y","0D"),0,2)),"")</f>
        <v/>
      </c>
      <c r="H11" s="21">
        <f>IFERROR(PERCENTRANK.INC(INDEX(BDH("/isin/"&amp;$A11,"YAS_ZSPREAD","-1Y","0D"),0,2),C11)*100,"")</f>
        <v/>
      </c>
      <c r="I11" s="21">
        <f>IFERROR(IF(G11=0,"",(C11-F11)/G11),"")</f>
        <v/>
      </c>
      <c r="J11" s="21">
        <f>IFERROR(AVERAGE(INDEX(BDH("/isin/"&amp;$A11,"YAS_ZSPREAD","-1M","0D"),0,2)),"")</f>
        <v/>
      </c>
      <c r="K11" s="10">
        <f>IFERROR(IF(H11="","",IF(H11&gt;=80,"CHEAP — buy",IF(H11&gt;=60,"slightly cheap",IF(H11&gt;=40,"FAIR",IF(H11&gt;=20,"slightly rich","RICH — sell"))))),"")</f>
        <v/>
      </c>
    </row>
    <row r="12">
      <c r="A12" s="24">
        <f>Bonds_Static!A11</f>
        <v/>
      </c>
      <c r="B12" s="24">
        <f>Bonds_Static!C11</f>
        <v/>
      </c>
      <c r="C12" s="11">
        <f>IFERROR(Bonds_Live!L11,"")</f>
        <v/>
      </c>
      <c r="D12" s="21">
        <f>IFERROR(MIN(INDEX(BDH("/isin/"&amp;$A12,"YAS_ZSPREAD","-1Y","0D"),0,2)),"")</f>
        <v/>
      </c>
      <c r="E12" s="21">
        <f>IFERROR(MAX(INDEX(BDH("/isin/"&amp;$A12,"YAS_ZSPREAD","-1Y","0D"),0,2)),"")</f>
        <v/>
      </c>
      <c r="F12" s="21">
        <f>IFERROR(AVERAGE(INDEX(BDH("/isin/"&amp;$A12,"YAS_ZSPREAD","-1Y","0D"),0,2)),"")</f>
        <v/>
      </c>
      <c r="G12" s="21">
        <f>IFERROR(STDEV(INDEX(BDH("/isin/"&amp;$A12,"YAS_ZSPREAD","-1Y","0D"),0,2)),"")</f>
        <v/>
      </c>
      <c r="H12" s="21">
        <f>IFERROR(PERCENTRANK.INC(INDEX(BDH("/isin/"&amp;$A12,"YAS_ZSPREAD","-1Y","0D"),0,2),C12)*100,"")</f>
        <v/>
      </c>
      <c r="I12" s="21">
        <f>IFERROR(IF(G12=0,"",(C12-F12)/G12),"")</f>
        <v/>
      </c>
      <c r="J12" s="21">
        <f>IFERROR(AVERAGE(INDEX(BDH("/isin/"&amp;$A12,"YAS_ZSPREAD","-1M","0D"),0,2)),"")</f>
        <v/>
      </c>
      <c r="K12" s="10">
        <f>IFERROR(IF(H12="","",IF(H12&gt;=80,"CHEAP — buy",IF(H12&gt;=60,"slightly cheap",IF(H12&gt;=40,"FAIR",IF(H12&gt;=20,"slightly rich","RICH — sell"))))),"")</f>
        <v/>
      </c>
    </row>
    <row r="13">
      <c r="A13" s="24">
        <f>Bonds_Static!A12</f>
        <v/>
      </c>
      <c r="B13" s="24">
        <f>Bonds_Static!C12</f>
        <v/>
      </c>
      <c r="C13" s="11">
        <f>IFERROR(Bonds_Live!L12,"")</f>
        <v/>
      </c>
      <c r="D13" s="21">
        <f>IFERROR(MIN(INDEX(BDH("/isin/"&amp;$A13,"YAS_ZSPREAD","-1Y","0D"),0,2)),"")</f>
        <v/>
      </c>
      <c r="E13" s="21">
        <f>IFERROR(MAX(INDEX(BDH("/isin/"&amp;$A13,"YAS_ZSPREAD","-1Y","0D"),0,2)),"")</f>
        <v/>
      </c>
      <c r="F13" s="21">
        <f>IFERROR(AVERAGE(INDEX(BDH("/isin/"&amp;$A13,"YAS_ZSPREAD","-1Y","0D"),0,2)),"")</f>
        <v/>
      </c>
      <c r="G13" s="21">
        <f>IFERROR(STDEV(INDEX(BDH("/isin/"&amp;$A13,"YAS_ZSPREAD","-1Y","0D"),0,2)),"")</f>
        <v/>
      </c>
      <c r="H13" s="21">
        <f>IFERROR(PERCENTRANK.INC(INDEX(BDH("/isin/"&amp;$A13,"YAS_ZSPREAD","-1Y","0D"),0,2),C13)*100,"")</f>
        <v/>
      </c>
      <c r="I13" s="21">
        <f>IFERROR(IF(G13=0,"",(C13-F13)/G13),"")</f>
        <v/>
      </c>
      <c r="J13" s="21">
        <f>IFERROR(AVERAGE(INDEX(BDH("/isin/"&amp;$A13,"YAS_ZSPREAD","-1M","0D"),0,2)),"")</f>
        <v/>
      </c>
      <c r="K13" s="10">
        <f>IFERROR(IF(H13="","",IF(H13&gt;=80,"CHEAP — buy",IF(H13&gt;=60,"slightly cheap",IF(H13&gt;=40,"FAIR",IF(H13&gt;=20,"slightly rich","RICH — sell"))))),"")</f>
        <v/>
      </c>
    </row>
    <row r="14">
      <c r="A14" s="24">
        <f>Bonds_Static!A13</f>
        <v/>
      </c>
      <c r="B14" s="24">
        <f>Bonds_Static!C13</f>
        <v/>
      </c>
      <c r="C14" s="11">
        <f>IFERROR(Bonds_Live!L13,"")</f>
        <v/>
      </c>
      <c r="D14" s="21">
        <f>IFERROR(MIN(INDEX(BDH("/isin/"&amp;$A14,"YAS_ZSPREAD","-1Y","0D"),0,2)),"")</f>
        <v/>
      </c>
      <c r="E14" s="21">
        <f>IFERROR(MAX(INDEX(BDH("/isin/"&amp;$A14,"YAS_ZSPREAD","-1Y","0D"),0,2)),"")</f>
        <v/>
      </c>
      <c r="F14" s="21">
        <f>IFERROR(AVERAGE(INDEX(BDH("/isin/"&amp;$A14,"YAS_ZSPREAD","-1Y","0D"),0,2)),"")</f>
        <v/>
      </c>
      <c r="G14" s="21">
        <f>IFERROR(STDEV(INDEX(BDH("/isin/"&amp;$A14,"YAS_ZSPREAD","-1Y","0D"),0,2)),"")</f>
        <v/>
      </c>
      <c r="H14" s="21">
        <f>IFERROR(PERCENTRANK.INC(INDEX(BDH("/isin/"&amp;$A14,"YAS_ZSPREAD","-1Y","0D"),0,2),C14)*100,"")</f>
        <v/>
      </c>
      <c r="I14" s="21">
        <f>IFERROR(IF(G14=0,"",(C14-F14)/G14),"")</f>
        <v/>
      </c>
      <c r="J14" s="21">
        <f>IFERROR(AVERAGE(INDEX(BDH("/isin/"&amp;$A14,"YAS_ZSPREAD","-1M","0D"),0,2)),"")</f>
        <v/>
      </c>
      <c r="K14" s="10">
        <f>IFERROR(IF(H14="","",IF(H14&gt;=80,"CHEAP — buy",IF(H14&gt;=60,"slightly cheap",IF(H14&gt;=40,"FAIR",IF(H14&gt;=20,"slightly rich","RICH — sell"))))),"")</f>
        <v/>
      </c>
    </row>
    <row r="15">
      <c r="A15" s="24">
        <f>Bonds_Static!A14</f>
        <v/>
      </c>
      <c r="B15" s="24">
        <f>Bonds_Static!C14</f>
        <v/>
      </c>
      <c r="C15" s="11">
        <f>IFERROR(Bonds_Live!L14,"")</f>
        <v/>
      </c>
      <c r="D15" s="21">
        <f>IFERROR(MIN(INDEX(BDH("/isin/"&amp;$A15,"YAS_ZSPREAD","-1Y","0D"),0,2)),"")</f>
        <v/>
      </c>
      <c r="E15" s="21">
        <f>IFERROR(MAX(INDEX(BDH("/isin/"&amp;$A15,"YAS_ZSPREAD","-1Y","0D"),0,2)),"")</f>
        <v/>
      </c>
      <c r="F15" s="21">
        <f>IFERROR(AVERAGE(INDEX(BDH("/isin/"&amp;$A15,"YAS_ZSPREAD","-1Y","0D"),0,2)),"")</f>
        <v/>
      </c>
      <c r="G15" s="21">
        <f>IFERROR(STDEV(INDEX(BDH("/isin/"&amp;$A15,"YAS_ZSPREAD","-1Y","0D"),0,2)),"")</f>
        <v/>
      </c>
      <c r="H15" s="21">
        <f>IFERROR(PERCENTRANK.INC(INDEX(BDH("/isin/"&amp;$A15,"YAS_ZSPREAD","-1Y","0D"),0,2),C15)*100,"")</f>
        <v/>
      </c>
      <c r="I15" s="21">
        <f>IFERROR(IF(G15=0,"",(C15-F15)/G15),"")</f>
        <v/>
      </c>
      <c r="J15" s="21">
        <f>IFERROR(AVERAGE(INDEX(BDH("/isin/"&amp;$A15,"YAS_ZSPREAD","-1M","0D"),0,2)),"")</f>
        <v/>
      </c>
      <c r="K15" s="10">
        <f>IFERROR(IF(H15="","",IF(H15&gt;=80,"CHEAP — buy",IF(H15&gt;=60,"slightly cheap",IF(H15&gt;=40,"FAIR",IF(H15&gt;=20,"slightly rich","RICH — sell"))))),"")</f>
        <v/>
      </c>
    </row>
    <row r="16">
      <c r="A16" s="24">
        <f>Bonds_Static!A15</f>
        <v/>
      </c>
      <c r="B16" s="24">
        <f>Bonds_Static!C15</f>
        <v/>
      </c>
      <c r="C16" s="11">
        <f>IFERROR(Bonds_Live!L15,"")</f>
        <v/>
      </c>
      <c r="D16" s="21">
        <f>IFERROR(MIN(INDEX(BDH("/isin/"&amp;$A16,"YAS_ZSPREAD","-1Y","0D"),0,2)),"")</f>
        <v/>
      </c>
      <c r="E16" s="21">
        <f>IFERROR(MAX(INDEX(BDH("/isin/"&amp;$A16,"YAS_ZSPREAD","-1Y","0D"),0,2)),"")</f>
        <v/>
      </c>
      <c r="F16" s="21">
        <f>IFERROR(AVERAGE(INDEX(BDH("/isin/"&amp;$A16,"YAS_ZSPREAD","-1Y","0D"),0,2)),"")</f>
        <v/>
      </c>
      <c r="G16" s="21">
        <f>IFERROR(STDEV(INDEX(BDH("/isin/"&amp;$A16,"YAS_ZSPREAD","-1Y","0D"),0,2)),"")</f>
        <v/>
      </c>
      <c r="H16" s="21">
        <f>IFERROR(PERCENTRANK.INC(INDEX(BDH("/isin/"&amp;$A16,"YAS_ZSPREAD","-1Y","0D"),0,2),C16)*100,"")</f>
        <v/>
      </c>
      <c r="I16" s="21">
        <f>IFERROR(IF(G16=0,"",(C16-F16)/G16),"")</f>
        <v/>
      </c>
      <c r="J16" s="21">
        <f>IFERROR(AVERAGE(INDEX(BDH("/isin/"&amp;$A16,"YAS_ZSPREAD","-1M","0D"),0,2)),"")</f>
        <v/>
      </c>
      <c r="K16" s="10">
        <f>IFERROR(IF(H16="","",IF(H16&gt;=80,"CHEAP — buy",IF(H16&gt;=60,"slightly cheap",IF(H16&gt;=40,"FAIR",IF(H16&gt;=20,"slightly rich","RICH — sell"))))),"")</f>
        <v/>
      </c>
    </row>
    <row r="17">
      <c r="A17" s="24">
        <f>Bonds_Static!A16</f>
        <v/>
      </c>
      <c r="B17" s="24">
        <f>Bonds_Static!C16</f>
        <v/>
      </c>
      <c r="C17" s="11">
        <f>IFERROR(Bonds_Live!L16,"")</f>
        <v/>
      </c>
      <c r="D17" s="21">
        <f>IFERROR(MIN(INDEX(BDH("/isin/"&amp;$A17,"YAS_ZSPREAD","-1Y","0D"),0,2)),"")</f>
        <v/>
      </c>
      <c r="E17" s="21">
        <f>IFERROR(MAX(INDEX(BDH("/isin/"&amp;$A17,"YAS_ZSPREAD","-1Y","0D"),0,2)),"")</f>
        <v/>
      </c>
      <c r="F17" s="21">
        <f>IFERROR(AVERAGE(INDEX(BDH("/isin/"&amp;$A17,"YAS_ZSPREAD","-1Y","0D"),0,2)),"")</f>
        <v/>
      </c>
      <c r="G17" s="21">
        <f>IFERROR(STDEV(INDEX(BDH("/isin/"&amp;$A17,"YAS_ZSPREAD","-1Y","0D"),0,2)),"")</f>
        <v/>
      </c>
      <c r="H17" s="21">
        <f>IFERROR(PERCENTRANK.INC(INDEX(BDH("/isin/"&amp;$A17,"YAS_ZSPREAD","-1Y","0D"),0,2),C17)*100,"")</f>
        <v/>
      </c>
      <c r="I17" s="21">
        <f>IFERROR(IF(G17=0,"",(C17-F17)/G17),"")</f>
        <v/>
      </c>
      <c r="J17" s="21">
        <f>IFERROR(AVERAGE(INDEX(BDH("/isin/"&amp;$A17,"YAS_ZSPREAD","-1M","0D"),0,2)),"")</f>
        <v/>
      </c>
      <c r="K17" s="10">
        <f>IFERROR(IF(H17="","",IF(H17&gt;=80,"CHEAP — buy",IF(H17&gt;=60,"slightly cheap",IF(H17&gt;=40,"FAIR",IF(H17&gt;=20,"slightly rich","RICH — sell"))))),"")</f>
        <v/>
      </c>
    </row>
    <row r="18">
      <c r="A18" s="24">
        <f>Bonds_Static!A17</f>
        <v/>
      </c>
      <c r="B18" s="24">
        <f>Bonds_Static!C17</f>
        <v/>
      </c>
      <c r="C18" s="11">
        <f>IFERROR(Bonds_Live!L17,"")</f>
        <v/>
      </c>
      <c r="D18" s="21">
        <f>IFERROR(MIN(INDEX(BDH("/isin/"&amp;$A18,"YAS_ZSPREAD","-1Y","0D"),0,2)),"")</f>
        <v/>
      </c>
      <c r="E18" s="21">
        <f>IFERROR(MAX(INDEX(BDH("/isin/"&amp;$A18,"YAS_ZSPREAD","-1Y","0D"),0,2)),"")</f>
        <v/>
      </c>
      <c r="F18" s="21">
        <f>IFERROR(AVERAGE(INDEX(BDH("/isin/"&amp;$A18,"YAS_ZSPREAD","-1Y","0D"),0,2)),"")</f>
        <v/>
      </c>
      <c r="G18" s="21">
        <f>IFERROR(STDEV(INDEX(BDH("/isin/"&amp;$A18,"YAS_ZSPREAD","-1Y","0D"),0,2)),"")</f>
        <v/>
      </c>
      <c r="H18" s="21">
        <f>IFERROR(PERCENTRANK.INC(INDEX(BDH("/isin/"&amp;$A18,"YAS_ZSPREAD","-1Y","0D"),0,2),C18)*100,"")</f>
        <v/>
      </c>
      <c r="I18" s="21">
        <f>IFERROR(IF(G18=0,"",(C18-F18)/G18),"")</f>
        <v/>
      </c>
      <c r="J18" s="21">
        <f>IFERROR(AVERAGE(INDEX(BDH("/isin/"&amp;$A18,"YAS_ZSPREAD","-1M","0D"),0,2)),"")</f>
        <v/>
      </c>
      <c r="K18" s="10">
        <f>IFERROR(IF(H18="","",IF(H18&gt;=80,"CHEAP — buy",IF(H18&gt;=60,"slightly cheap",IF(H18&gt;=40,"FAIR",IF(H18&gt;=20,"slightly rich","RICH — sell"))))),"")</f>
        <v/>
      </c>
    </row>
    <row r="19">
      <c r="A19" s="24">
        <f>Bonds_Static!A18</f>
        <v/>
      </c>
      <c r="B19" s="24">
        <f>Bonds_Static!C18</f>
        <v/>
      </c>
      <c r="C19" s="11">
        <f>IFERROR(Bonds_Live!L18,"")</f>
        <v/>
      </c>
      <c r="D19" s="21">
        <f>IFERROR(MIN(INDEX(BDH("/isin/"&amp;$A19,"YAS_ZSPREAD","-1Y","0D"),0,2)),"")</f>
        <v/>
      </c>
      <c r="E19" s="21">
        <f>IFERROR(MAX(INDEX(BDH("/isin/"&amp;$A19,"YAS_ZSPREAD","-1Y","0D"),0,2)),"")</f>
        <v/>
      </c>
      <c r="F19" s="21">
        <f>IFERROR(AVERAGE(INDEX(BDH("/isin/"&amp;$A19,"YAS_ZSPREAD","-1Y","0D"),0,2)),"")</f>
        <v/>
      </c>
      <c r="G19" s="21">
        <f>IFERROR(STDEV(INDEX(BDH("/isin/"&amp;$A19,"YAS_ZSPREAD","-1Y","0D"),0,2)),"")</f>
        <v/>
      </c>
      <c r="H19" s="21">
        <f>IFERROR(PERCENTRANK.INC(INDEX(BDH("/isin/"&amp;$A19,"YAS_ZSPREAD","-1Y","0D"),0,2),C19)*100,"")</f>
        <v/>
      </c>
      <c r="I19" s="21">
        <f>IFERROR(IF(G19=0,"",(C19-F19)/G19),"")</f>
        <v/>
      </c>
      <c r="J19" s="21">
        <f>IFERROR(AVERAGE(INDEX(BDH("/isin/"&amp;$A19,"YAS_ZSPREAD","-1M","0D"),0,2)),"")</f>
        <v/>
      </c>
      <c r="K19" s="10">
        <f>IFERROR(IF(H19="","",IF(H19&gt;=80,"CHEAP — buy",IF(H19&gt;=60,"slightly cheap",IF(H19&gt;=40,"FAIR",IF(H19&gt;=20,"slightly rich","RICH — sell"))))),"")</f>
        <v/>
      </c>
    </row>
    <row r="20">
      <c r="A20" s="24">
        <f>Bonds_Static!A19</f>
        <v/>
      </c>
      <c r="B20" s="24">
        <f>Bonds_Static!C19</f>
        <v/>
      </c>
      <c r="C20" s="11">
        <f>IFERROR(Bonds_Live!L19,"")</f>
        <v/>
      </c>
      <c r="D20" s="21">
        <f>IFERROR(MIN(INDEX(BDH("/isin/"&amp;$A20,"YAS_ZSPREAD","-1Y","0D"),0,2)),"")</f>
        <v/>
      </c>
      <c r="E20" s="21">
        <f>IFERROR(MAX(INDEX(BDH("/isin/"&amp;$A20,"YAS_ZSPREAD","-1Y","0D"),0,2)),"")</f>
        <v/>
      </c>
      <c r="F20" s="21">
        <f>IFERROR(AVERAGE(INDEX(BDH("/isin/"&amp;$A20,"YAS_ZSPREAD","-1Y","0D"),0,2)),"")</f>
        <v/>
      </c>
      <c r="G20" s="21">
        <f>IFERROR(STDEV(INDEX(BDH("/isin/"&amp;$A20,"YAS_ZSPREAD","-1Y","0D"),0,2)),"")</f>
        <v/>
      </c>
      <c r="H20" s="21">
        <f>IFERROR(PERCENTRANK.INC(INDEX(BDH("/isin/"&amp;$A20,"YAS_ZSPREAD","-1Y","0D"),0,2),C20)*100,"")</f>
        <v/>
      </c>
      <c r="I20" s="21">
        <f>IFERROR(IF(G20=0,"",(C20-F20)/G20),"")</f>
        <v/>
      </c>
      <c r="J20" s="21">
        <f>IFERROR(AVERAGE(INDEX(BDH("/isin/"&amp;$A20,"YAS_ZSPREAD","-1M","0D"),0,2)),"")</f>
        <v/>
      </c>
      <c r="K20" s="10">
        <f>IFERROR(IF(H20="","",IF(H20&gt;=80,"CHEAP — buy",IF(H20&gt;=60,"slightly cheap",IF(H20&gt;=40,"FAIR",IF(H20&gt;=20,"slightly rich","RICH — sell"))))),"")</f>
        <v/>
      </c>
    </row>
    <row r="21">
      <c r="A21" s="24">
        <f>Bonds_Static!A20</f>
        <v/>
      </c>
      <c r="B21" s="24">
        <f>Bonds_Static!C20</f>
        <v/>
      </c>
      <c r="C21" s="11">
        <f>IFERROR(Bonds_Live!L20,"")</f>
        <v/>
      </c>
      <c r="D21" s="21">
        <f>IFERROR(MIN(INDEX(BDH("/isin/"&amp;$A21,"YAS_ZSPREAD","-1Y","0D"),0,2)),"")</f>
        <v/>
      </c>
      <c r="E21" s="21">
        <f>IFERROR(MAX(INDEX(BDH("/isin/"&amp;$A21,"YAS_ZSPREAD","-1Y","0D"),0,2)),"")</f>
        <v/>
      </c>
      <c r="F21" s="21">
        <f>IFERROR(AVERAGE(INDEX(BDH("/isin/"&amp;$A21,"YAS_ZSPREAD","-1Y","0D"),0,2)),"")</f>
        <v/>
      </c>
      <c r="G21" s="21">
        <f>IFERROR(STDEV(INDEX(BDH("/isin/"&amp;$A21,"YAS_ZSPREAD","-1Y","0D"),0,2)),"")</f>
        <v/>
      </c>
      <c r="H21" s="21">
        <f>IFERROR(PERCENTRANK.INC(INDEX(BDH("/isin/"&amp;$A21,"YAS_ZSPREAD","-1Y","0D"),0,2),C21)*100,"")</f>
        <v/>
      </c>
      <c r="I21" s="21">
        <f>IFERROR(IF(G21=0,"",(C21-F21)/G21),"")</f>
        <v/>
      </c>
      <c r="J21" s="21">
        <f>IFERROR(AVERAGE(INDEX(BDH("/isin/"&amp;$A21,"YAS_ZSPREAD","-1M","0D"),0,2)),"")</f>
        <v/>
      </c>
      <c r="K21" s="10">
        <f>IFERROR(IF(H21="","",IF(H21&gt;=80,"CHEAP — buy",IF(H21&gt;=60,"slightly cheap",IF(H21&gt;=40,"FAIR",IF(H21&gt;=20,"slightly rich","RICH — sell"))))),"")</f>
        <v/>
      </c>
    </row>
    <row r="22">
      <c r="A22" s="24">
        <f>Bonds_Static!A21</f>
        <v/>
      </c>
      <c r="B22" s="24">
        <f>Bonds_Static!C21</f>
        <v/>
      </c>
      <c r="C22" s="11">
        <f>IFERROR(Bonds_Live!L21,"")</f>
        <v/>
      </c>
      <c r="D22" s="21">
        <f>IFERROR(MIN(INDEX(BDH("/isin/"&amp;$A22,"YAS_ZSPREAD","-1Y","0D"),0,2)),"")</f>
        <v/>
      </c>
      <c r="E22" s="21">
        <f>IFERROR(MAX(INDEX(BDH("/isin/"&amp;$A22,"YAS_ZSPREAD","-1Y","0D"),0,2)),"")</f>
        <v/>
      </c>
      <c r="F22" s="21">
        <f>IFERROR(AVERAGE(INDEX(BDH("/isin/"&amp;$A22,"YAS_ZSPREAD","-1Y","0D"),0,2)),"")</f>
        <v/>
      </c>
      <c r="G22" s="21">
        <f>IFERROR(STDEV(INDEX(BDH("/isin/"&amp;$A22,"YAS_ZSPREAD","-1Y","0D"),0,2)),"")</f>
        <v/>
      </c>
      <c r="H22" s="21">
        <f>IFERROR(PERCENTRANK.INC(INDEX(BDH("/isin/"&amp;$A22,"YAS_ZSPREAD","-1Y","0D"),0,2),C22)*100,"")</f>
        <v/>
      </c>
      <c r="I22" s="21">
        <f>IFERROR(IF(G22=0,"",(C22-F22)/G22),"")</f>
        <v/>
      </c>
      <c r="J22" s="21">
        <f>IFERROR(AVERAGE(INDEX(BDH("/isin/"&amp;$A22,"YAS_ZSPREAD","-1M","0D"),0,2)),"")</f>
        <v/>
      </c>
      <c r="K22" s="10">
        <f>IFERROR(IF(H22="","",IF(H22&gt;=80,"CHEAP — buy",IF(H22&gt;=60,"slightly cheap",IF(H22&gt;=40,"FAIR",IF(H22&gt;=20,"slightly rich","RICH — sell"))))),"")</f>
        <v/>
      </c>
    </row>
    <row r="23">
      <c r="A23" s="24">
        <f>Bonds_Static!A22</f>
        <v/>
      </c>
      <c r="B23" s="24">
        <f>Bonds_Static!C22</f>
        <v/>
      </c>
      <c r="C23" s="11">
        <f>IFERROR(Bonds_Live!L22,"")</f>
        <v/>
      </c>
      <c r="D23" s="21">
        <f>IFERROR(MIN(INDEX(BDH("/isin/"&amp;$A23,"YAS_ZSPREAD","-1Y","0D"),0,2)),"")</f>
        <v/>
      </c>
      <c r="E23" s="21">
        <f>IFERROR(MAX(INDEX(BDH("/isin/"&amp;$A23,"YAS_ZSPREAD","-1Y","0D"),0,2)),"")</f>
        <v/>
      </c>
      <c r="F23" s="21">
        <f>IFERROR(AVERAGE(INDEX(BDH("/isin/"&amp;$A23,"YAS_ZSPREAD","-1Y","0D"),0,2)),"")</f>
        <v/>
      </c>
      <c r="G23" s="21">
        <f>IFERROR(STDEV(INDEX(BDH("/isin/"&amp;$A23,"YAS_ZSPREAD","-1Y","0D"),0,2)),"")</f>
        <v/>
      </c>
      <c r="H23" s="21">
        <f>IFERROR(PERCENTRANK.INC(INDEX(BDH("/isin/"&amp;$A23,"YAS_ZSPREAD","-1Y","0D"),0,2),C23)*100,"")</f>
        <v/>
      </c>
      <c r="I23" s="21">
        <f>IFERROR(IF(G23=0,"",(C23-F23)/G23),"")</f>
        <v/>
      </c>
      <c r="J23" s="21">
        <f>IFERROR(AVERAGE(INDEX(BDH("/isin/"&amp;$A23,"YAS_ZSPREAD","-1M","0D"),0,2)),"")</f>
        <v/>
      </c>
      <c r="K23" s="10">
        <f>IFERROR(IF(H23="","",IF(H23&gt;=80,"CHEAP — buy",IF(H23&gt;=60,"slightly cheap",IF(H23&gt;=40,"FAIR",IF(H23&gt;=20,"slightly rich","RICH — sell"))))),"")</f>
        <v/>
      </c>
    </row>
    <row r="24">
      <c r="A24" s="24">
        <f>Bonds_Static!A23</f>
        <v/>
      </c>
      <c r="B24" s="24">
        <f>Bonds_Static!C23</f>
        <v/>
      </c>
      <c r="C24" s="11">
        <f>IFERROR(Bonds_Live!L23,"")</f>
        <v/>
      </c>
      <c r="D24" s="21">
        <f>IFERROR(MIN(INDEX(BDH("/isin/"&amp;$A24,"YAS_ZSPREAD","-1Y","0D"),0,2)),"")</f>
        <v/>
      </c>
      <c r="E24" s="21">
        <f>IFERROR(MAX(INDEX(BDH("/isin/"&amp;$A24,"YAS_ZSPREAD","-1Y","0D"),0,2)),"")</f>
        <v/>
      </c>
      <c r="F24" s="21">
        <f>IFERROR(AVERAGE(INDEX(BDH("/isin/"&amp;$A24,"YAS_ZSPREAD","-1Y","0D"),0,2)),"")</f>
        <v/>
      </c>
      <c r="G24" s="21">
        <f>IFERROR(STDEV(INDEX(BDH("/isin/"&amp;$A24,"YAS_ZSPREAD","-1Y","0D"),0,2)),"")</f>
        <v/>
      </c>
      <c r="H24" s="21">
        <f>IFERROR(PERCENTRANK.INC(INDEX(BDH("/isin/"&amp;$A24,"YAS_ZSPREAD","-1Y","0D"),0,2),C24)*100,"")</f>
        <v/>
      </c>
      <c r="I24" s="21">
        <f>IFERROR(IF(G24=0,"",(C24-F24)/G24),"")</f>
        <v/>
      </c>
      <c r="J24" s="21">
        <f>IFERROR(AVERAGE(INDEX(BDH("/isin/"&amp;$A24,"YAS_ZSPREAD","-1M","0D"),0,2)),"")</f>
        <v/>
      </c>
      <c r="K24" s="10">
        <f>IFERROR(IF(H24="","",IF(H24&gt;=80,"CHEAP — buy",IF(H24&gt;=60,"slightly cheap",IF(H24&gt;=40,"FAIR",IF(H24&gt;=20,"slightly rich","RICH — sell"))))),"")</f>
        <v/>
      </c>
    </row>
    <row r="25">
      <c r="A25" s="24">
        <f>Bonds_Static!A24</f>
        <v/>
      </c>
      <c r="B25" s="24">
        <f>Bonds_Static!C24</f>
        <v/>
      </c>
      <c r="C25" s="11">
        <f>IFERROR(Bonds_Live!L24,"")</f>
        <v/>
      </c>
      <c r="D25" s="21">
        <f>IFERROR(MIN(INDEX(BDH("/isin/"&amp;$A25,"YAS_ZSPREAD","-1Y","0D"),0,2)),"")</f>
        <v/>
      </c>
      <c r="E25" s="21">
        <f>IFERROR(MAX(INDEX(BDH("/isin/"&amp;$A25,"YAS_ZSPREAD","-1Y","0D"),0,2)),"")</f>
        <v/>
      </c>
      <c r="F25" s="21">
        <f>IFERROR(AVERAGE(INDEX(BDH("/isin/"&amp;$A25,"YAS_ZSPREAD","-1Y","0D"),0,2)),"")</f>
        <v/>
      </c>
      <c r="G25" s="21">
        <f>IFERROR(STDEV(INDEX(BDH("/isin/"&amp;$A25,"YAS_ZSPREAD","-1Y","0D"),0,2)),"")</f>
        <v/>
      </c>
      <c r="H25" s="21">
        <f>IFERROR(PERCENTRANK.INC(INDEX(BDH("/isin/"&amp;$A25,"YAS_ZSPREAD","-1Y","0D"),0,2),C25)*100,"")</f>
        <v/>
      </c>
      <c r="I25" s="21">
        <f>IFERROR(IF(G25=0,"",(C25-F25)/G25),"")</f>
        <v/>
      </c>
      <c r="J25" s="21">
        <f>IFERROR(AVERAGE(INDEX(BDH("/isin/"&amp;$A25,"YAS_ZSPREAD","-1M","0D"),0,2)),"")</f>
        <v/>
      </c>
      <c r="K25" s="10">
        <f>IFERROR(IF(H25="","",IF(H25&gt;=80,"CHEAP — buy",IF(H25&gt;=60,"slightly cheap",IF(H25&gt;=40,"FAIR",IF(H25&gt;=20,"slightly rich","RICH — sell"))))),"")</f>
        <v/>
      </c>
    </row>
    <row r="26">
      <c r="A26" s="24">
        <f>Bonds_Static!A25</f>
        <v/>
      </c>
      <c r="B26" s="24">
        <f>Bonds_Static!C25</f>
        <v/>
      </c>
      <c r="C26" s="11">
        <f>IFERROR(Bonds_Live!L25,"")</f>
        <v/>
      </c>
      <c r="D26" s="21">
        <f>IFERROR(MIN(INDEX(BDH("/isin/"&amp;$A26,"YAS_ZSPREAD","-1Y","0D"),0,2)),"")</f>
        <v/>
      </c>
      <c r="E26" s="21">
        <f>IFERROR(MAX(INDEX(BDH("/isin/"&amp;$A26,"YAS_ZSPREAD","-1Y","0D"),0,2)),"")</f>
        <v/>
      </c>
      <c r="F26" s="21">
        <f>IFERROR(AVERAGE(INDEX(BDH("/isin/"&amp;$A26,"YAS_ZSPREAD","-1Y","0D"),0,2)),"")</f>
        <v/>
      </c>
      <c r="G26" s="21">
        <f>IFERROR(STDEV(INDEX(BDH("/isin/"&amp;$A26,"YAS_ZSPREAD","-1Y","0D"),0,2)),"")</f>
        <v/>
      </c>
      <c r="H26" s="21">
        <f>IFERROR(PERCENTRANK.INC(INDEX(BDH("/isin/"&amp;$A26,"YAS_ZSPREAD","-1Y","0D"),0,2),C26)*100,"")</f>
        <v/>
      </c>
      <c r="I26" s="21">
        <f>IFERROR(IF(G26=0,"",(C26-F26)/G26),"")</f>
        <v/>
      </c>
      <c r="J26" s="21">
        <f>IFERROR(AVERAGE(INDEX(BDH("/isin/"&amp;$A26,"YAS_ZSPREAD","-1M","0D"),0,2)),"")</f>
        <v/>
      </c>
      <c r="K26" s="10">
        <f>IFERROR(IF(H26="","",IF(H26&gt;=80,"CHEAP — buy",IF(H26&gt;=60,"slightly cheap",IF(H26&gt;=40,"FAIR",IF(H26&gt;=20,"slightly rich","RICH — sell"))))),"")</f>
        <v/>
      </c>
    </row>
    <row r="27">
      <c r="A27" s="24">
        <f>Bonds_Static!A26</f>
        <v/>
      </c>
      <c r="B27" s="24">
        <f>Bonds_Static!C26</f>
        <v/>
      </c>
      <c r="C27" s="11">
        <f>IFERROR(Bonds_Live!L26,"")</f>
        <v/>
      </c>
      <c r="D27" s="21">
        <f>IFERROR(MIN(INDEX(BDH("/isin/"&amp;$A27,"YAS_ZSPREAD","-1Y","0D"),0,2)),"")</f>
        <v/>
      </c>
      <c r="E27" s="21">
        <f>IFERROR(MAX(INDEX(BDH("/isin/"&amp;$A27,"YAS_ZSPREAD","-1Y","0D"),0,2)),"")</f>
        <v/>
      </c>
      <c r="F27" s="21">
        <f>IFERROR(AVERAGE(INDEX(BDH("/isin/"&amp;$A27,"YAS_ZSPREAD","-1Y","0D"),0,2)),"")</f>
        <v/>
      </c>
      <c r="G27" s="21">
        <f>IFERROR(STDEV(INDEX(BDH("/isin/"&amp;$A27,"YAS_ZSPREAD","-1Y","0D"),0,2)),"")</f>
        <v/>
      </c>
      <c r="H27" s="21">
        <f>IFERROR(PERCENTRANK.INC(INDEX(BDH("/isin/"&amp;$A27,"YAS_ZSPREAD","-1Y","0D"),0,2),C27)*100,"")</f>
        <v/>
      </c>
      <c r="I27" s="21">
        <f>IFERROR(IF(G27=0,"",(C27-F27)/G27),"")</f>
        <v/>
      </c>
      <c r="J27" s="21">
        <f>IFERROR(AVERAGE(INDEX(BDH("/isin/"&amp;$A27,"YAS_ZSPREAD","-1M","0D"),0,2)),"")</f>
        <v/>
      </c>
      <c r="K27" s="10">
        <f>IFERROR(IF(H27="","",IF(H27&gt;=80,"CHEAP — buy",IF(H27&gt;=60,"slightly cheap",IF(H27&gt;=40,"FAIR",IF(H27&gt;=20,"slightly rich","RICH — sell"))))),"")</f>
        <v/>
      </c>
    </row>
  </sheetData>
  <mergeCells count="1">
    <mergeCell ref="A1:K1"/>
  </mergeCells>
  <conditionalFormatting sqref="H3:H2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3:I27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5" customWidth="1" min="7" max="7"/>
    <col width="13" customWidth="1" min="8" max="8"/>
    <col width="14" customWidth="1" min="9" max="9"/>
  </cols>
  <sheetData>
    <row r="1">
      <c r="A1" s="37" t="inlineStr">
        <is>
          <t>Implied_PD — credit-risk decomposition</t>
        </is>
      </c>
    </row>
    <row r="2">
      <c r="A2" t="inlineStr">
        <is>
          <t>Recovery assumption (input on Settings!C53) →</t>
        </is>
      </c>
      <c r="C2" s="38">
        <f>Settings!C53</f>
        <v/>
      </c>
      <c r="D2" s="32" t="inlineStr">
        <is>
          <t xml:space="preserve">  LGD = 1 − Recovery →</t>
        </is>
      </c>
      <c r="G2" s="19">
        <f>1-C2</f>
        <v/>
      </c>
    </row>
    <row r="3" ht="32" customHeight="1">
      <c r="A3" s="20" t="inlineStr">
        <is>
          <t>ISIN</t>
        </is>
      </c>
      <c r="B3" s="20" t="inlineStr">
        <is>
          <t>Description</t>
        </is>
      </c>
      <c r="C3" s="20" t="inlineStr">
        <is>
          <t>Z-Spr (bp)</t>
        </is>
      </c>
      <c r="D3" s="20" t="inlineStr">
        <is>
          <t>Yrs to Maty</t>
        </is>
      </c>
      <c r="E3" s="20" t="inlineStr">
        <is>
          <t>Hazard rate (annual)</t>
        </is>
      </c>
      <c r="F3" s="20" t="inlineStr">
        <is>
          <t>Cum. PD over life</t>
        </is>
      </c>
      <c r="G3" s="20" t="inlineStr">
        <is>
          <t>Breakeven recovery (vs peers)</t>
        </is>
      </c>
      <c r="H3" s="20" t="inlineStr">
        <is>
          <t>Implied 5Y PD</t>
        </is>
      </c>
      <c r="I3" s="20" t="inlineStr">
        <is>
          <t>Tag</t>
        </is>
      </c>
    </row>
    <row r="4">
      <c r="A4" s="24">
        <f>Bonds_Static!A2</f>
        <v/>
      </c>
      <c r="B4" s="24">
        <f>Bonds_Static!C2</f>
        <v/>
      </c>
      <c r="C4" s="11">
        <f>IFERROR(Bonds_Live!L2,"")</f>
        <v/>
      </c>
      <c r="D4" s="25">
        <f>IFERROR(Bonds_Static!G2,"")</f>
        <v/>
      </c>
      <c r="E4" s="30">
        <f>IFERROR(IF(OR(C4="",$G$2=0),"",(C4/10000)/$G$2),"")</f>
        <v/>
      </c>
      <c r="F4" s="19">
        <f>IFERROR(IF(OR(E4="",D4=""),"",1-EXP(-E4*D4)),"")</f>
        <v/>
      </c>
      <c r="G4" s="19">
        <f>IFERROR(IF(C4="","",1-(C4/10000)/AVERAGE($E$4:$E$28)),"")</f>
        <v/>
      </c>
      <c r="H4" s="19">
        <f>IFERROR(IF(E4="","",1-EXP(-E4*5)),"")</f>
        <v/>
      </c>
      <c r="I4" s="10">
        <f>IFERROR(IF(G4="","",IF(G4&gt;$C$2+0.05,"RICHER than peers",IF(G4&lt;$C$2-0.05,"CHEAPER than peers","in line"))),"")</f>
        <v/>
      </c>
    </row>
    <row r="5">
      <c r="A5" s="24">
        <f>Bonds_Static!A3</f>
        <v/>
      </c>
      <c r="B5" s="24">
        <f>Bonds_Static!C3</f>
        <v/>
      </c>
      <c r="C5" s="11">
        <f>IFERROR(Bonds_Live!L3,"")</f>
        <v/>
      </c>
      <c r="D5" s="25">
        <f>IFERROR(Bonds_Static!G3,"")</f>
        <v/>
      </c>
      <c r="E5" s="30">
        <f>IFERROR(IF(OR(C5="",$G$2=0),"",(C5/10000)/$G$2),"")</f>
        <v/>
      </c>
      <c r="F5" s="19">
        <f>IFERROR(IF(OR(E5="",D5=""),"",1-EXP(-E5*D5)),"")</f>
        <v/>
      </c>
      <c r="G5" s="19">
        <f>IFERROR(IF(C5="","",1-(C5/10000)/AVERAGE($E$4:$E$28)),"")</f>
        <v/>
      </c>
      <c r="H5" s="19">
        <f>IFERROR(IF(E5="","",1-EXP(-E5*5)),"")</f>
        <v/>
      </c>
      <c r="I5" s="10">
        <f>IFERROR(IF(G5="","",IF(G5&gt;$C$2+0.05,"RICHER than peers",IF(G5&lt;$C$2-0.05,"CHEAPER than peers","in line"))),"")</f>
        <v/>
      </c>
    </row>
    <row r="6">
      <c r="A6" s="24">
        <f>Bonds_Static!A4</f>
        <v/>
      </c>
      <c r="B6" s="24">
        <f>Bonds_Static!C4</f>
        <v/>
      </c>
      <c r="C6" s="11">
        <f>IFERROR(Bonds_Live!L4,"")</f>
        <v/>
      </c>
      <c r="D6" s="25">
        <f>IFERROR(Bonds_Static!G4,"")</f>
        <v/>
      </c>
      <c r="E6" s="30">
        <f>IFERROR(IF(OR(C6="",$G$2=0),"",(C6/10000)/$G$2),"")</f>
        <v/>
      </c>
      <c r="F6" s="19">
        <f>IFERROR(IF(OR(E6="",D6=""),"",1-EXP(-E6*D6)),"")</f>
        <v/>
      </c>
      <c r="G6" s="19">
        <f>IFERROR(IF(C6="","",1-(C6/10000)/AVERAGE($E$4:$E$28)),"")</f>
        <v/>
      </c>
      <c r="H6" s="19">
        <f>IFERROR(IF(E6="","",1-EXP(-E6*5)),"")</f>
        <v/>
      </c>
      <c r="I6" s="10">
        <f>IFERROR(IF(G6="","",IF(G6&gt;$C$2+0.05,"RICHER than peers",IF(G6&lt;$C$2-0.05,"CHEAPER than peers","in line"))),"")</f>
        <v/>
      </c>
    </row>
    <row r="7">
      <c r="A7" s="24">
        <f>Bonds_Static!A5</f>
        <v/>
      </c>
      <c r="B7" s="24">
        <f>Bonds_Static!C5</f>
        <v/>
      </c>
      <c r="C7" s="11">
        <f>IFERROR(Bonds_Live!L5,"")</f>
        <v/>
      </c>
      <c r="D7" s="25">
        <f>IFERROR(Bonds_Static!G5,"")</f>
        <v/>
      </c>
      <c r="E7" s="30">
        <f>IFERROR(IF(OR(C7="",$G$2=0),"",(C7/10000)/$G$2),"")</f>
        <v/>
      </c>
      <c r="F7" s="19">
        <f>IFERROR(IF(OR(E7="",D7=""),"",1-EXP(-E7*D7)),"")</f>
        <v/>
      </c>
      <c r="G7" s="19">
        <f>IFERROR(IF(C7="","",1-(C7/10000)/AVERAGE($E$4:$E$28)),"")</f>
        <v/>
      </c>
      <c r="H7" s="19">
        <f>IFERROR(IF(E7="","",1-EXP(-E7*5)),"")</f>
        <v/>
      </c>
      <c r="I7" s="10">
        <f>IFERROR(IF(G7="","",IF(G7&gt;$C$2+0.05,"RICHER than peers",IF(G7&lt;$C$2-0.05,"CHEAPER than peers","in line"))),"")</f>
        <v/>
      </c>
    </row>
    <row r="8">
      <c r="A8" s="24">
        <f>Bonds_Static!A6</f>
        <v/>
      </c>
      <c r="B8" s="24">
        <f>Bonds_Static!C6</f>
        <v/>
      </c>
      <c r="C8" s="11">
        <f>IFERROR(Bonds_Live!L6,"")</f>
        <v/>
      </c>
      <c r="D8" s="25">
        <f>IFERROR(Bonds_Static!G6,"")</f>
        <v/>
      </c>
      <c r="E8" s="30">
        <f>IFERROR(IF(OR(C8="",$G$2=0),"",(C8/10000)/$G$2),"")</f>
        <v/>
      </c>
      <c r="F8" s="19">
        <f>IFERROR(IF(OR(E8="",D8=""),"",1-EXP(-E8*D8)),"")</f>
        <v/>
      </c>
      <c r="G8" s="19">
        <f>IFERROR(IF(C8="","",1-(C8/10000)/AVERAGE($E$4:$E$28)),"")</f>
        <v/>
      </c>
      <c r="H8" s="19">
        <f>IFERROR(IF(E8="","",1-EXP(-E8*5)),"")</f>
        <v/>
      </c>
      <c r="I8" s="10">
        <f>IFERROR(IF(G8="","",IF(G8&gt;$C$2+0.05,"RICHER than peers",IF(G8&lt;$C$2-0.05,"CHEAPER than peers","in line"))),"")</f>
        <v/>
      </c>
    </row>
    <row r="9">
      <c r="A9" s="24">
        <f>Bonds_Static!A7</f>
        <v/>
      </c>
      <c r="B9" s="24">
        <f>Bonds_Static!C7</f>
        <v/>
      </c>
      <c r="C9" s="11">
        <f>IFERROR(Bonds_Live!L7,"")</f>
        <v/>
      </c>
      <c r="D9" s="25">
        <f>IFERROR(Bonds_Static!G7,"")</f>
        <v/>
      </c>
      <c r="E9" s="30">
        <f>IFERROR(IF(OR(C9="",$G$2=0),"",(C9/10000)/$G$2),"")</f>
        <v/>
      </c>
      <c r="F9" s="19">
        <f>IFERROR(IF(OR(E9="",D9=""),"",1-EXP(-E9*D9)),"")</f>
        <v/>
      </c>
      <c r="G9" s="19">
        <f>IFERROR(IF(C9="","",1-(C9/10000)/AVERAGE($E$4:$E$28)),"")</f>
        <v/>
      </c>
      <c r="H9" s="19">
        <f>IFERROR(IF(E9="","",1-EXP(-E9*5)),"")</f>
        <v/>
      </c>
      <c r="I9" s="10">
        <f>IFERROR(IF(G9="","",IF(G9&gt;$C$2+0.05,"RICHER than peers",IF(G9&lt;$C$2-0.05,"CHEAPER than peers","in line"))),"")</f>
        <v/>
      </c>
    </row>
    <row r="10">
      <c r="A10" s="24">
        <f>Bonds_Static!A8</f>
        <v/>
      </c>
      <c r="B10" s="24">
        <f>Bonds_Static!C8</f>
        <v/>
      </c>
      <c r="C10" s="11">
        <f>IFERROR(Bonds_Live!L8,"")</f>
        <v/>
      </c>
      <c r="D10" s="25">
        <f>IFERROR(Bonds_Static!G8,"")</f>
        <v/>
      </c>
      <c r="E10" s="30">
        <f>IFERROR(IF(OR(C10="",$G$2=0),"",(C10/10000)/$G$2),"")</f>
        <v/>
      </c>
      <c r="F10" s="19">
        <f>IFERROR(IF(OR(E10="",D10=""),"",1-EXP(-E10*D10)),"")</f>
        <v/>
      </c>
      <c r="G10" s="19">
        <f>IFERROR(IF(C10="","",1-(C10/10000)/AVERAGE($E$4:$E$28)),"")</f>
        <v/>
      </c>
      <c r="H10" s="19">
        <f>IFERROR(IF(E10="","",1-EXP(-E10*5)),"")</f>
        <v/>
      </c>
      <c r="I10" s="10">
        <f>IFERROR(IF(G10="","",IF(G10&gt;$C$2+0.05,"RICHER than peers",IF(G10&lt;$C$2-0.05,"CHEAPER than peers","in line"))),"")</f>
        <v/>
      </c>
    </row>
    <row r="11">
      <c r="A11" s="24">
        <f>Bonds_Static!A9</f>
        <v/>
      </c>
      <c r="B11" s="24">
        <f>Bonds_Static!C9</f>
        <v/>
      </c>
      <c r="C11" s="11">
        <f>IFERROR(Bonds_Live!L9,"")</f>
        <v/>
      </c>
      <c r="D11" s="25">
        <f>IFERROR(Bonds_Static!G9,"")</f>
        <v/>
      </c>
      <c r="E11" s="30">
        <f>IFERROR(IF(OR(C11="",$G$2=0),"",(C11/10000)/$G$2),"")</f>
        <v/>
      </c>
      <c r="F11" s="19">
        <f>IFERROR(IF(OR(E11="",D11=""),"",1-EXP(-E11*D11)),"")</f>
        <v/>
      </c>
      <c r="G11" s="19">
        <f>IFERROR(IF(C11="","",1-(C11/10000)/AVERAGE($E$4:$E$28)),"")</f>
        <v/>
      </c>
      <c r="H11" s="19">
        <f>IFERROR(IF(E11="","",1-EXP(-E11*5)),"")</f>
        <v/>
      </c>
      <c r="I11" s="10">
        <f>IFERROR(IF(G11="","",IF(G11&gt;$C$2+0.05,"RICHER than peers",IF(G11&lt;$C$2-0.05,"CHEAPER than peers","in line"))),"")</f>
        <v/>
      </c>
    </row>
    <row r="12">
      <c r="A12" s="24">
        <f>Bonds_Static!A10</f>
        <v/>
      </c>
      <c r="B12" s="24">
        <f>Bonds_Static!C10</f>
        <v/>
      </c>
      <c r="C12" s="11">
        <f>IFERROR(Bonds_Live!L10,"")</f>
        <v/>
      </c>
      <c r="D12" s="25">
        <f>IFERROR(Bonds_Static!G10,"")</f>
        <v/>
      </c>
      <c r="E12" s="30">
        <f>IFERROR(IF(OR(C12="",$G$2=0),"",(C12/10000)/$G$2),"")</f>
        <v/>
      </c>
      <c r="F12" s="19">
        <f>IFERROR(IF(OR(E12="",D12=""),"",1-EXP(-E12*D12)),"")</f>
        <v/>
      </c>
      <c r="G12" s="19">
        <f>IFERROR(IF(C12="","",1-(C12/10000)/AVERAGE($E$4:$E$28)),"")</f>
        <v/>
      </c>
      <c r="H12" s="19">
        <f>IFERROR(IF(E12="","",1-EXP(-E12*5)),"")</f>
        <v/>
      </c>
      <c r="I12" s="10">
        <f>IFERROR(IF(G12="","",IF(G12&gt;$C$2+0.05,"RICHER than peers",IF(G12&lt;$C$2-0.05,"CHEAPER than peers","in line"))),"")</f>
        <v/>
      </c>
    </row>
    <row r="13">
      <c r="A13" s="24">
        <f>Bonds_Static!A11</f>
        <v/>
      </c>
      <c r="B13" s="24">
        <f>Bonds_Static!C11</f>
        <v/>
      </c>
      <c r="C13" s="11">
        <f>IFERROR(Bonds_Live!L11,"")</f>
        <v/>
      </c>
      <c r="D13" s="25">
        <f>IFERROR(Bonds_Static!G11,"")</f>
        <v/>
      </c>
      <c r="E13" s="30">
        <f>IFERROR(IF(OR(C13="",$G$2=0),"",(C13/10000)/$G$2),"")</f>
        <v/>
      </c>
      <c r="F13" s="19">
        <f>IFERROR(IF(OR(E13="",D13=""),"",1-EXP(-E13*D13)),"")</f>
        <v/>
      </c>
      <c r="G13" s="19">
        <f>IFERROR(IF(C13="","",1-(C13/10000)/AVERAGE($E$4:$E$28)),"")</f>
        <v/>
      </c>
      <c r="H13" s="19">
        <f>IFERROR(IF(E13="","",1-EXP(-E13*5)),"")</f>
        <v/>
      </c>
      <c r="I13" s="10">
        <f>IFERROR(IF(G13="","",IF(G13&gt;$C$2+0.05,"RICHER than peers",IF(G13&lt;$C$2-0.05,"CHEAPER than peers","in line"))),"")</f>
        <v/>
      </c>
    </row>
    <row r="14">
      <c r="A14" s="24">
        <f>Bonds_Static!A12</f>
        <v/>
      </c>
      <c r="B14" s="24">
        <f>Bonds_Static!C12</f>
        <v/>
      </c>
      <c r="C14" s="11">
        <f>IFERROR(Bonds_Live!L12,"")</f>
        <v/>
      </c>
      <c r="D14" s="25">
        <f>IFERROR(Bonds_Static!G12,"")</f>
        <v/>
      </c>
      <c r="E14" s="30">
        <f>IFERROR(IF(OR(C14="",$G$2=0),"",(C14/10000)/$G$2),"")</f>
        <v/>
      </c>
      <c r="F14" s="19">
        <f>IFERROR(IF(OR(E14="",D14=""),"",1-EXP(-E14*D14)),"")</f>
        <v/>
      </c>
      <c r="G14" s="19">
        <f>IFERROR(IF(C14="","",1-(C14/10000)/AVERAGE($E$4:$E$28)),"")</f>
        <v/>
      </c>
      <c r="H14" s="19">
        <f>IFERROR(IF(E14="","",1-EXP(-E14*5)),"")</f>
        <v/>
      </c>
      <c r="I14" s="10">
        <f>IFERROR(IF(G14="","",IF(G14&gt;$C$2+0.05,"RICHER than peers",IF(G14&lt;$C$2-0.05,"CHEAPER than peers","in line"))),"")</f>
        <v/>
      </c>
    </row>
    <row r="15">
      <c r="A15" s="24">
        <f>Bonds_Static!A13</f>
        <v/>
      </c>
      <c r="B15" s="24">
        <f>Bonds_Static!C13</f>
        <v/>
      </c>
      <c r="C15" s="11">
        <f>IFERROR(Bonds_Live!L13,"")</f>
        <v/>
      </c>
      <c r="D15" s="25">
        <f>IFERROR(Bonds_Static!G13,"")</f>
        <v/>
      </c>
      <c r="E15" s="30">
        <f>IFERROR(IF(OR(C15="",$G$2=0),"",(C15/10000)/$G$2),"")</f>
        <v/>
      </c>
      <c r="F15" s="19">
        <f>IFERROR(IF(OR(E15="",D15=""),"",1-EXP(-E15*D15)),"")</f>
        <v/>
      </c>
      <c r="G15" s="19">
        <f>IFERROR(IF(C15="","",1-(C15/10000)/AVERAGE($E$4:$E$28)),"")</f>
        <v/>
      </c>
      <c r="H15" s="19">
        <f>IFERROR(IF(E15="","",1-EXP(-E15*5)),"")</f>
        <v/>
      </c>
      <c r="I15" s="10">
        <f>IFERROR(IF(G15="","",IF(G15&gt;$C$2+0.05,"RICHER than peers",IF(G15&lt;$C$2-0.05,"CHEAPER than peers","in line"))),"")</f>
        <v/>
      </c>
    </row>
    <row r="16">
      <c r="A16" s="24">
        <f>Bonds_Static!A14</f>
        <v/>
      </c>
      <c r="B16" s="24">
        <f>Bonds_Static!C14</f>
        <v/>
      </c>
      <c r="C16" s="11">
        <f>IFERROR(Bonds_Live!L14,"")</f>
        <v/>
      </c>
      <c r="D16" s="25">
        <f>IFERROR(Bonds_Static!G14,"")</f>
        <v/>
      </c>
      <c r="E16" s="30">
        <f>IFERROR(IF(OR(C16="",$G$2=0),"",(C16/10000)/$G$2),"")</f>
        <v/>
      </c>
      <c r="F16" s="19">
        <f>IFERROR(IF(OR(E16="",D16=""),"",1-EXP(-E16*D16)),"")</f>
        <v/>
      </c>
      <c r="G16" s="19">
        <f>IFERROR(IF(C16="","",1-(C16/10000)/AVERAGE($E$4:$E$28)),"")</f>
        <v/>
      </c>
      <c r="H16" s="19">
        <f>IFERROR(IF(E16="","",1-EXP(-E16*5)),"")</f>
        <v/>
      </c>
      <c r="I16" s="10">
        <f>IFERROR(IF(G16="","",IF(G16&gt;$C$2+0.05,"RICHER than peers",IF(G16&lt;$C$2-0.05,"CHEAPER than peers","in line"))),"")</f>
        <v/>
      </c>
    </row>
    <row r="17">
      <c r="A17" s="24">
        <f>Bonds_Static!A15</f>
        <v/>
      </c>
      <c r="B17" s="24">
        <f>Bonds_Static!C15</f>
        <v/>
      </c>
      <c r="C17" s="11">
        <f>IFERROR(Bonds_Live!L15,"")</f>
        <v/>
      </c>
      <c r="D17" s="25">
        <f>IFERROR(Bonds_Static!G15,"")</f>
        <v/>
      </c>
      <c r="E17" s="30">
        <f>IFERROR(IF(OR(C17="",$G$2=0),"",(C17/10000)/$G$2),"")</f>
        <v/>
      </c>
      <c r="F17" s="19">
        <f>IFERROR(IF(OR(E17="",D17=""),"",1-EXP(-E17*D17)),"")</f>
        <v/>
      </c>
      <c r="G17" s="19">
        <f>IFERROR(IF(C17="","",1-(C17/10000)/AVERAGE($E$4:$E$28)),"")</f>
        <v/>
      </c>
      <c r="H17" s="19">
        <f>IFERROR(IF(E17="","",1-EXP(-E17*5)),"")</f>
        <v/>
      </c>
      <c r="I17" s="10">
        <f>IFERROR(IF(G17="","",IF(G17&gt;$C$2+0.05,"RICHER than peers",IF(G17&lt;$C$2-0.05,"CHEAPER than peers","in line"))),"")</f>
        <v/>
      </c>
    </row>
    <row r="18">
      <c r="A18" s="24">
        <f>Bonds_Static!A16</f>
        <v/>
      </c>
      <c r="B18" s="24">
        <f>Bonds_Static!C16</f>
        <v/>
      </c>
      <c r="C18" s="11">
        <f>IFERROR(Bonds_Live!L16,"")</f>
        <v/>
      </c>
      <c r="D18" s="25">
        <f>IFERROR(Bonds_Static!G16,"")</f>
        <v/>
      </c>
      <c r="E18" s="30">
        <f>IFERROR(IF(OR(C18="",$G$2=0),"",(C18/10000)/$G$2),"")</f>
        <v/>
      </c>
      <c r="F18" s="19">
        <f>IFERROR(IF(OR(E18="",D18=""),"",1-EXP(-E18*D18)),"")</f>
        <v/>
      </c>
      <c r="G18" s="19">
        <f>IFERROR(IF(C18="","",1-(C18/10000)/AVERAGE($E$4:$E$28)),"")</f>
        <v/>
      </c>
      <c r="H18" s="19">
        <f>IFERROR(IF(E18="","",1-EXP(-E18*5)),"")</f>
        <v/>
      </c>
      <c r="I18" s="10">
        <f>IFERROR(IF(G18="","",IF(G18&gt;$C$2+0.05,"RICHER than peers",IF(G18&lt;$C$2-0.05,"CHEAPER than peers","in line"))),"")</f>
        <v/>
      </c>
    </row>
    <row r="19">
      <c r="A19" s="24">
        <f>Bonds_Static!A17</f>
        <v/>
      </c>
      <c r="B19" s="24">
        <f>Bonds_Static!C17</f>
        <v/>
      </c>
      <c r="C19" s="11">
        <f>IFERROR(Bonds_Live!L17,"")</f>
        <v/>
      </c>
      <c r="D19" s="25">
        <f>IFERROR(Bonds_Static!G17,"")</f>
        <v/>
      </c>
      <c r="E19" s="30">
        <f>IFERROR(IF(OR(C19="",$G$2=0),"",(C19/10000)/$G$2),"")</f>
        <v/>
      </c>
      <c r="F19" s="19">
        <f>IFERROR(IF(OR(E19="",D19=""),"",1-EXP(-E19*D19)),"")</f>
        <v/>
      </c>
      <c r="G19" s="19">
        <f>IFERROR(IF(C19="","",1-(C19/10000)/AVERAGE($E$4:$E$28)),"")</f>
        <v/>
      </c>
      <c r="H19" s="19">
        <f>IFERROR(IF(E19="","",1-EXP(-E19*5)),"")</f>
        <v/>
      </c>
      <c r="I19" s="10">
        <f>IFERROR(IF(G19="","",IF(G19&gt;$C$2+0.05,"RICHER than peers",IF(G19&lt;$C$2-0.05,"CHEAPER than peers","in line"))),"")</f>
        <v/>
      </c>
    </row>
    <row r="20">
      <c r="A20" s="24">
        <f>Bonds_Static!A18</f>
        <v/>
      </c>
      <c r="B20" s="24">
        <f>Bonds_Static!C18</f>
        <v/>
      </c>
      <c r="C20" s="11">
        <f>IFERROR(Bonds_Live!L18,"")</f>
        <v/>
      </c>
      <c r="D20" s="25">
        <f>IFERROR(Bonds_Static!G18,"")</f>
        <v/>
      </c>
      <c r="E20" s="30">
        <f>IFERROR(IF(OR(C20="",$G$2=0),"",(C20/10000)/$G$2),"")</f>
        <v/>
      </c>
      <c r="F20" s="19">
        <f>IFERROR(IF(OR(E20="",D20=""),"",1-EXP(-E20*D20)),"")</f>
        <v/>
      </c>
      <c r="G20" s="19">
        <f>IFERROR(IF(C20="","",1-(C20/10000)/AVERAGE($E$4:$E$28)),"")</f>
        <v/>
      </c>
      <c r="H20" s="19">
        <f>IFERROR(IF(E20="","",1-EXP(-E20*5)),"")</f>
        <v/>
      </c>
      <c r="I20" s="10">
        <f>IFERROR(IF(G20="","",IF(G20&gt;$C$2+0.05,"RICHER than peers",IF(G20&lt;$C$2-0.05,"CHEAPER than peers","in line"))),"")</f>
        <v/>
      </c>
    </row>
    <row r="21">
      <c r="A21" s="24">
        <f>Bonds_Static!A19</f>
        <v/>
      </c>
      <c r="B21" s="24">
        <f>Bonds_Static!C19</f>
        <v/>
      </c>
      <c r="C21" s="11">
        <f>IFERROR(Bonds_Live!L19,"")</f>
        <v/>
      </c>
      <c r="D21" s="25">
        <f>IFERROR(Bonds_Static!G19,"")</f>
        <v/>
      </c>
      <c r="E21" s="30">
        <f>IFERROR(IF(OR(C21="",$G$2=0),"",(C21/10000)/$G$2),"")</f>
        <v/>
      </c>
      <c r="F21" s="19">
        <f>IFERROR(IF(OR(E21="",D21=""),"",1-EXP(-E21*D21)),"")</f>
        <v/>
      </c>
      <c r="G21" s="19">
        <f>IFERROR(IF(C21="","",1-(C21/10000)/AVERAGE($E$4:$E$28)),"")</f>
        <v/>
      </c>
      <c r="H21" s="19">
        <f>IFERROR(IF(E21="","",1-EXP(-E21*5)),"")</f>
        <v/>
      </c>
      <c r="I21" s="10">
        <f>IFERROR(IF(G21="","",IF(G21&gt;$C$2+0.05,"RICHER than peers",IF(G21&lt;$C$2-0.05,"CHEAPER than peers","in line"))),"")</f>
        <v/>
      </c>
    </row>
    <row r="22">
      <c r="A22" s="24">
        <f>Bonds_Static!A20</f>
        <v/>
      </c>
      <c r="B22" s="24">
        <f>Bonds_Static!C20</f>
        <v/>
      </c>
      <c r="C22" s="11">
        <f>IFERROR(Bonds_Live!L20,"")</f>
        <v/>
      </c>
      <c r="D22" s="25">
        <f>IFERROR(Bonds_Static!G20,"")</f>
        <v/>
      </c>
      <c r="E22" s="30">
        <f>IFERROR(IF(OR(C22="",$G$2=0),"",(C22/10000)/$G$2),"")</f>
        <v/>
      </c>
      <c r="F22" s="19">
        <f>IFERROR(IF(OR(E22="",D22=""),"",1-EXP(-E22*D22)),"")</f>
        <v/>
      </c>
      <c r="G22" s="19">
        <f>IFERROR(IF(C22="","",1-(C22/10000)/AVERAGE($E$4:$E$28)),"")</f>
        <v/>
      </c>
      <c r="H22" s="19">
        <f>IFERROR(IF(E22="","",1-EXP(-E22*5)),"")</f>
        <v/>
      </c>
      <c r="I22" s="10">
        <f>IFERROR(IF(G22="","",IF(G22&gt;$C$2+0.05,"RICHER than peers",IF(G22&lt;$C$2-0.05,"CHEAPER than peers","in line"))),"")</f>
        <v/>
      </c>
    </row>
    <row r="23">
      <c r="A23" s="24">
        <f>Bonds_Static!A21</f>
        <v/>
      </c>
      <c r="B23" s="24">
        <f>Bonds_Static!C21</f>
        <v/>
      </c>
      <c r="C23" s="11">
        <f>IFERROR(Bonds_Live!L21,"")</f>
        <v/>
      </c>
      <c r="D23" s="25">
        <f>IFERROR(Bonds_Static!G21,"")</f>
        <v/>
      </c>
      <c r="E23" s="30">
        <f>IFERROR(IF(OR(C23="",$G$2=0),"",(C23/10000)/$G$2),"")</f>
        <v/>
      </c>
      <c r="F23" s="19">
        <f>IFERROR(IF(OR(E23="",D23=""),"",1-EXP(-E23*D23)),"")</f>
        <v/>
      </c>
      <c r="G23" s="19">
        <f>IFERROR(IF(C23="","",1-(C23/10000)/AVERAGE($E$4:$E$28)),"")</f>
        <v/>
      </c>
      <c r="H23" s="19">
        <f>IFERROR(IF(E23="","",1-EXP(-E23*5)),"")</f>
        <v/>
      </c>
      <c r="I23" s="10">
        <f>IFERROR(IF(G23="","",IF(G23&gt;$C$2+0.05,"RICHER than peers",IF(G23&lt;$C$2-0.05,"CHEAPER than peers","in line"))),"")</f>
        <v/>
      </c>
    </row>
    <row r="24">
      <c r="A24" s="24">
        <f>Bonds_Static!A22</f>
        <v/>
      </c>
      <c r="B24" s="24">
        <f>Bonds_Static!C22</f>
        <v/>
      </c>
      <c r="C24" s="11">
        <f>IFERROR(Bonds_Live!L22,"")</f>
        <v/>
      </c>
      <c r="D24" s="25">
        <f>IFERROR(Bonds_Static!G22,"")</f>
        <v/>
      </c>
      <c r="E24" s="30">
        <f>IFERROR(IF(OR(C24="",$G$2=0),"",(C24/10000)/$G$2),"")</f>
        <v/>
      </c>
      <c r="F24" s="19">
        <f>IFERROR(IF(OR(E24="",D24=""),"",1-EXP(-E24*D24)),"")</f>
        <v/>
      </c>
      <c r="G24" s="19">
        <f>IFERROR(IF(C24="","",1-(C24/10000)/AVERAGE($E$4:$E$28)),"")</f>
        <v/>
      </c>
      <c r="H24" s="19">
        <f>IFERROR(IF(E24="","",1-EXP(-E24*5)),"")</f>
        <v/>
      </c>
      <c r="I24" s="10">
        <f>IFERROR(IF(G24="","",IF(G24&gt;$C$2+0.05,"RICHER than peers",IF(G24&lt;$C$2-0.05,"CHEAPER than peers","in line"))),"")</f>
        <v/>
      </c>
    </row>
    <row r="25">
      <c r="A25" s="24">
        <f>Bonds_Static!A23</f>
        <v/>
      </c>
      <c r="B25" s="24">
        <f>Bonds_Static!C23</f>
        <v/>
      </c>
      <c r="C25" s="11">
        <f>IFERROR(Bonds_Live!L23,"")</f>
        <v/>
      </c>
      <c r="D25" s="25">
        <f>IFERROR(Bonds_Static!G23,"")</f>
        <v/>
      </c>
      <c r="E25" s="30">
        <f>IFERROR(IF(OR(C25="",$G$2=0),"",(C25/10000)/$G$2),"")</f>
        <v/>
      </c>
      <c r="F25" s="19">
        <f>IFERROR(IF(OR(E25="",D25=""),"",1-EXP(-E25*D25)),"")</f>
        <v/>
      </c>
      <c r="G25" s="19">
        <f>IFERROR(IF(C25="","",1-(C25/10000)/AVERAGE($E$4:$E$28)),"")</f>
        <v/>
      </c>
      <c r="H25" s="19">
        <f>IFERROR(IF(E25="","",1-EXP(-E25*5)),"")</f>
        <v/>
      </c>
      <c r="I25" s="10">
        <f>IFERROR(IF(G25="","",IF(G25&gt;$C$2+0.05,"RICHER than peers",IF(G25&lt;$C$2-0.05,"CHEAPER than peers","in line"))),"")</f>
        <v/>
      </c>
    </row>
    <row r="26">
      <c r="A26" s="24">
        <f>Bonds_Static!A24</f>
        <v/>
      </c>
      <c r="B26" s="24">
        <f>Bonds_Static!C24</f>
        <v/>
      </c>
      <c r="C26" s="11">
        <f>IFERROR(Bonds_Live!L24,"")</f>
        <v/>
      </c>
      <c r="D26" s="25">
        <f>IFERROR(Bonds_Static!G24,"")</f>
        <v/>
      </c>
      <c r="E26" s="30">
        <f>IFERROR(IF(OR(C26="",$G$2=0),"",(C26/10000)/$G$2),"")</f>
        <v/>
      </c>
      <c r="F26" s="19">
        <f>IFERROR(IF(OR(E26="",D26=""),"",1-EXP(-E26*D26)),"")</f>
        <v/>
      </c>
      <c r="G26" s="19">
        <f>IFERROR(IF(C26="","",1-(C26/10000)/AVERAGE($E$4:$E$28)),"")</f>
        <v/>
      </c>
      <c r="H26" s="19">
        <f>IFERROR(IF(E26="","",1-EXP(-E26*5)),"")</f>
        <v/>
      </c>
      <c r="I26" s="10">
        <f>IFERROR(IF(G26="","",IF(G26&gt;$C$2+0.05,"RICHER than peers",IF(G26&lt;$C$2-0.05,"CHEAPER than peers","in line"))),"")</f>
        <v/>
      </c>
    </row>
    <row r="27">
      <c r="A27" s="24">
        <f>Bonds_Static!A25</f>
        <v/>
      </c>
      <c r="B27" s="24">
        <f>Bonds_Static!C25</f>
        <v/>
      </c>
      <c r="C27" s="11">
        <f>IFERROR(Bonds_Live!L25,"")</f>
        <v/>
      </c>
      <c r="D27" s="25">
        <f>IFERROR(Bonds_Static!G25,"")</f>
        <v/>
      </c>
      <c r="E27" s="30">
        <f>IFERROR(IF(OR(C27="",$G$2=0),"",(C27/10000)/$G$2),"")</f>
        <v/>
      </c>
      <c r="F27" s="19">
        <f>IFERROR(IF(OR(E27="",D27=""),"",1-EXP(-E27*D27)),"")</f>
        <v/>
      </c>
      <c r="G27" s="19">
        <f>IFERROR(IF(C27="","",1-(C27/10000)/AVERAGE($E$4:$E$28)),"")</f>
        <v/>
      </c>
      <c r="H27" s="19">
        <f>IFERROR(IF(E27="","",1-EXP(-E27*5)),"")</f>
        <v/>
      </c>
      <c r="I27" s="10">
        <f>IFERROR(IF(G27="","",IF(G27&gt;$C$2+0.05,"RICHER than peers",IF(G27&lt;$C$2-0.05,"CHEAPER than peers","in line"))),"")</f>
        <v/>
      </c>
    </row>
    <row r="28">
      <c r="A28" s="24">
        <f>Bonds_Static!A26</f>
        <v/>
      </c>
      <c r="B28" s="24">
        <f>Bonds_Static!C26</f>
        <v/>
      </c>
      <c r="C28" s="11">
        <f>IFERROR(Bonds_Live!L26,"")</f>
        <v/>
      </c>
      <c r="D28" s="25">
        <f>IFERROR(Bonds_Static!G26,"")</f>
        <v/>
      </c>
      <c r="E28" s="30">
        <f>IFERROR(IF(OR(C28="",$G$2=0),"",(C28/10000)/$G$2),"")</f>
        <v/>
      </c>
      <c r="F28" s="19">
        <f>IFERROR(IF(OR(E28="",D28=""),"",1-EXP(-E28*D28)),"")</f>
        <v/>
      </c>
      <c r="G28" s="19">
        <f>IFERROR(IF(C28="","",1-(C28/10000)/AVERAGE($E$4:$E$28)),"")</f>
        <v/>
      </c>
      <c r="H28" s="19">
        <f>IFERROR(IF(E28="","",1-EXP(-E28*5)),"")</f>
        <v/>
      </c>
      <c r="I28" s="10">
        <f>IFERROR(IF(G28="","",IF(G28&gt;$C$2+0.05,"RICHER than peers",IF(G28&lt;$C$2-0.05,"CHEAPER than peers","in line"))),"")</f>
        <v/>
      </c>
    </row>
    <row r="30">
      <c r="A30" s="33" t="inlineStr">
        <is>
          <t>Hazard rate is a simple decomposition: λ = (Z-spread / LGD). Breakeven recovery is the recovery that would make this bond fair to the cross-sectional avg hazard — compare to your assumed recovery; a higher breakeven recovery implies the bond looks rich vs peers.</t>
        </is>
      </c>
    </row>
    <row r="31"/>
  </sheetData>
  <mergeCells count="4">
    <mergeCell ref="A1:I1"/>
    <mergeCell ref="D2:F2"/>
    <mergeCell ref="A2:B2"/>
    <mergeCell ref="A30:I31"/>
  </mergeCells>
  <conditionalFormatting sqref="G4:G28">
    <cfRule type="colorScale" priority="1">
      <colorScale>
        <cfvo type="min"/>
        <cfvo type="num" val="0.5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5" t="inlineStr">
        <is>
          <t>Total-Return Scenarios — 12M horizon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7" t="n"/>
    </row>
    <row r="2" ht="36" customHeight="1">
      <c r="A2" s="20" t="inlineStr">
        <is>
          <t>ISIN</t>
        </is>
      </c>
      <c r="B2" s="20" t="inlineStr">
        <is>
          <t>Description</t>
        </is>
      </c>
      <c r="C2" s="20" t="inlineStr">
        <is>
          <t>τ (yrs)</t>
        </is>
      </c>
      <c r="D2" s="20" t="inlineStr">
        <is>
          <t>C+R 12M (%)</t>
        </is>
      </c>
      <c r="E2" s="20" t="inlineStr">
        <is>
          <t>ΔUST -100|Δspr -100</t>
        </is>
      </c>
      <c r="F2" s="20" t="inlineStr">
        <is>
          <t>ΔUST -100|Δspr -50</t>
        </is>
      </c>
      <c r="G2" s="20" t="inlineStr">
        <is>
          <t>ΔUST -100|Δspr +0</t>
        </is>
      </c>
      <c r="H2" s="20" t="inlineStr">
        <is>
          <t>ΔUST -100|Δspr +50</t>
        </is>
      </c>
      <c r="I2" s="20" t="inlineStr">
        <is>
          <t>ΔUST -100|Δspr +100</t>
        </is>
      </c>
      <c r="J2" s="20" t="inlineStr">
        <is>
          <t>ΔUST -50|Δspr -100</t>
        </is>
      </c>
      <c r="K2" s="20" t="inlineStr">
        <is>
          <t>ΔUST -50|Δspr -50</t>
        </is>
      </c>
      <c r="L2" s="20" t="inlineStr">
        <is>
          <t>ΔUST -50|Δspr +0</t>
        </is>
      </c>
      <c r="M2" s="20" t="inlineStr">
        <is>
          <t>ΔUST -50|Δspr +50</t>
        </is>
      </c>
      <c r="N2" s="20" t="inlineStr">
        <is>
          <t>ΔUST -50|Δspr +100</t>
        </is>
      </c>
      <c r="O2" s="20" t="inlineStr">
        <is>
          <t>ΔUST +0|Δspr -100</t>
        </is>
      </c>
      <c r="P2" s="20" t="inlineStr">
        <is>
          <t>ΔUST +0|Δspr -50</t>
        </is>
      </c>
      <c r="Q2" s="20" t="inlineStr">
        <is>
          <t>ΔUST +0|Δspr +0</t>
        </is>
      </c>
      <c r="R2" s="20" t="inlineStr">
        <is>
          <t>ΔUST +0|Δspr +50</t>
        </is>
      </c>
      <c r="S2" s="20" t="inlineStr">
        <is>
          <t>ΔUST +0|Δspr +100</t>
        </is>
      </c>
      <c r="T2" s="20" t="inlineStr">
        <is>
          <t>ΔUST +50|Δspr -100</t>
        </is>
      </c>
      <c r="U2" s="20" t="inlineStr">
        <is>
          <t>ΔUST +50|Δspr -50</t>
        </is>
      </c>
      <c r="V2" s="20" t="inlineStr">
        <is>
          <t>ΔUST +50|Δspr +0</t>
        </is>
      </c>
      <c r="W2" s="20" t="inlineStr">
        <is>
          <t>ΔUST +50|Δspr +50</t>
        </is>
      </c>
      <c r="X2" s="20" t="inlineStr">
        <is>
          <t>ΔUST +50|Δspr +100</t>
        </is>
      </c>
      <c r="Y2" s="20" t="inlineStr">
        <is>
          <t>ΔUST +100|Δspr -100</t>
        </is>
      </c>
      <c r="Z2" s="20" t="inlineStr">
        <is>
          <t>ΔUST +100|Δspr -50</t>
        </is>
      </c>
      <c r="AA2" s="20" t="inlineStr">
        <is>
          <t>ΔUST +100|Δspr +0</t>
        </is>
      </c>
      <c r="AB2" s="20" t="inlineStr">
        <is>
          <t>ΔUST +100|Δspr +50</t>
        </is>
      </c>
      <c r="AC2" s="20" t="inlineStr">
        <is>
          <t>ΔUST +100|Δspr +100</t>
        </is>
      </c>
    </row>
    <row r="3">
      <c r="A3" s="24">
        <f>Bonds_Static!A2</f>
        <v/>
      </c>
      <c r="B3" s="24">
        <f>Bonds_Static!C2</f>
        <v/>
      </c>
      <c r="C3" s="25">
        <f>IFERROR(Bonds_Static!G2,"")</f>
        <v/>
      </c>
      <c r="D3" s="11">
        <f>IFERROR(Carry_Roll!M2,"")</f>
        <v/>
      </c>
      <c r="E3" s="21">
        <f>IFERROR(IF(OR(D3="",Bonds_Live!Q2="",Bonds_Live!S2=""),"",D3 + (-Bonds_Live!Q2*(-200)/100 + Bonds_Live!S2*POWER(-200,2)/2000000)),"")</f>
        <v/>
      </c>
      <c r="F3" s="21">
        <f>IFERROR(IF(OR(D3="",Bonds_Live!Q2="",Bonds_Live!S2=""),"",D3 + (-Bonds_Live!Q2*(-150)/100 + Bonds_Live!S2*POWER(-150,2)/2000000)),"")</f>
        <v/>
      </c>
      <c r="G3" s="21">
        <f>IFERROR(IF(OR(D3="",Bonds_Live!Q2="",Bonds_Live!S2=""),"",D3 + (-Bonds_Live!Q2*(-100)/100 + Bonds_Live!S2*POWER(-100,2)/2000000)),"")</f>
        <v/>
      </c>
      <c r="H3" s="21">
        <f>IFERROR(IF(OR(D3="",Bonds_Live!Q2="",Bonds_Live!S2=""),"",D3 + (-Bonds_Live!Q2*(-50)/100 + Bonds_Live!S2*POWER(-50,2)/2000000)),"")</f>
        <v/>
      </c>
      <c r="I3" s="21">
        <f>IFERROR(IF(OR(D3="",Bonds_Live!Q2="",Bonds_Live!S2=""),"",D3 + (-Bonds_Live!Q2*(0)/100 + Bonds_Live!S2*POWER(0,2)/2000000)),"")</f>
        <v/>
      </c>
      <c r="J3" s="21">
        <f>IFERROR(IF(OR(D3="",Bonds_Live!Q2="",Bonds_Live!S2=""),"",D3 + (-Bonds_Live!Q2*(-150)/100 + Bonds_Live!S2*POWER(-150,2)/2000000)),"")</f>
        <v/>
      </c>
      <c r="K3" s="21">
        <f>IFERROR(IF(OR(D3="",Bonds_Live!Q2="",Bonds_Live!S2=""),"",D3 + (-Bonds_Live!Q2*(-100)/100 + Bonds_Live!S2*POWER(-100,2)/2000000)),"")</f>
        <v/>
      </c>
      <c r="L3" s="21">
        <f>IFERROR(IF(OR(D3="",Bonds_Live!Q2="",Bonds_Live!S2=""),"",D3 + (-Bonds_Live!Q2*(-50)/100 + Bonds_Live!S2*POWER(-50,2)/2000000)),"")</f>
        <v/>
      </c>
      <c r="M3" s="21">
        <f>IFERROR(IF(OR(D3="",Bonds_Live!Q2="",Bonds_Live!S2=""),"",D3 + (-Bonds_Live!Q2*(0)/100 + Bonds_Live!S2*POWER(0,2)/2000000)),"")</f>
        <v/>
      </c>
      <c r="N3" s="21">
        <f>IFERROR(IF(OR(D3="",Bonds_Live!Q2="",Bonds_Live!S2=""),"",D3 + (-Bonds_Live!Q2*(50)/100 + Bonds_Live!S2*POWER(50,2)/2000000)),"")</f>
        <v/>
      </c>
      <c r="O3" s="21">
        <f>IFERROR(IF(OR(D3="",Bonds_Live!Q2="",Bonds_Live!S2=""),"",D3 + (-Bonds_Live!Q2*(-100)/100 + Bonds_Live!S2*POWER(-100,2)/2000000)),"")</f>
        <v/>
      </c>
      <c r="P3" s="21">
        <f>IFERROR(IF(OR(D3="",Bonds_Live!Q2="",Bonds_Live!S2=""),"",D3 + (-Bonds_Live!Q2*(-50)/100 + Bonds_Live!S2*POWER(-50,2)/2000000)),"")</f>
        <v/>
      </c>
      <c r="Q3" s="21">
        <f>IFERROR(IF(OR(D3="",Bonds_Live!Q2="",Bonds_Live!S2=""),"",D3 + (-Bonds_Live!Q2*(0)/100 + Bonds_Live!S2*POWER(0,2)/2000000)),"")</f>
        <v/>
      </c>
      <c r="R3" s="21">
        <f>IFERROR(IF(OR(D3="",Bonds_Live!Q2="",Bonds_Live!S2=""),"",D3 + (-Bonds_Live!Q2*(50)/100 + Bonds_Live!S2*POWER(50,2)/2000000)),"")</f>
        <v/>
      </c>
      <c r="S3" s="21">
        <f>IFERROR(IF(OR(D3="",Bonds_Live!Q2="",Bonds_Live!S2=""),"",D3 + (-Bonds_Live!Q2*(100)/100 + Bonds_Live!S2*POWER(100,2)/2000000)),"")</f>
        <v/>
      </c>
      <c r="T3" s="21">
        <f>IFERROR(IF(OR(D3="",Bonds_Live!Q2="",Bonds_Live!S2=""),"",D3 + (-Bonds_Live!Q2*(-50)/100 + Bonds_Live!S2*POWER(-50,2)/2000000)),"")</f>
        <v/>
      </c>
      <c r="U3" s="21">
        <f>IFERROR(IF(OR(D3="",Bonds_Live!Q2="",Bonds_Live!S2=""),"",D3 + (-Bonds_Live!Q2*(0)/100 + Bonds_Live!S2*POWER(0,2)/2000000)),"")</f>
        <v/>
      </c>
      <c r="V3" s="21">
        <f>IFERROR(IF(OR(D3="",Bonds_Live!Q2="",Bonds_Live!S2=""),"",D3 + (-Bonds_Live!Q2*(50)/100 + Bonds_Live!S2*POWER(50,2)/2000000)),"")</f>
        <v/>
      </c>
      <c r="W3" s="21">
        <f>IFERROR(IF(OR(D3="",Bonds_Live!Q2="",Bonds_Live!S2=""),"",D3 + (-Bonds_Live!Q2*(100)/100 + Bonds_Live!S2*POWER(100,2)/2000000)),"")</f>
        <v/>
      </c>
      <c r="X3" s="21">
        <f>IFERROR(IF(OR(D3="",Bonds_Live!Q2="",Bonds_Live!S2=""),"",D3 + (-Bonds_Live!Q2*(150)/100 + Bonds_Live!S2*POWER(150,2)/2000000)),"")</f>
        <v/>
      </c>
      <c r="Y3" s="21">
        <f>IFERROR(IF(OR(D3="",Bonds_Live!Q2="",Bonds_Live!S2=""),"",D3 + (-Bonds_Live!Q2*(0)/100 + Bonds_Live!S2*POWER(0,2)/2000000)),"")</f>
        <v/>
      </c>
      <c r="Z3" s="21">
        <f>IFERROR(IF(OR(D3="",Bonds_Live!Q2="",Bonds_Live!S2=""),"",D3 + (-Bonds_Live!Q2*(50)/100 + Bonds_Live!S2*POWER(50,2)/2000000)),"")</f>
        <v/>
      </c>
      <c r="AA3" s="21">
        <f>IFERROR(IF(OR(D3="",Bonds_Live!Q2="",Bonds_Live!S2=""),"",D3 + (-Bonds_Live!Q2*(100)/100 + Bonds_Live!S2*POWER(100,2)/2000000)),"")</f>
        <v/>
      </c>
      <c r="AB3" s="21">
        <f>IFERROR(IF(OR(D3="",Bonds_Live!Q2="",Bonds_Live!S2=""),"",D3 + (-Bonds_Live!Q2*(150)/100 + Bonds_Live!S2*POWER(150,2)/2000000)),"")</f>
        <v/>
      </c>
      <c r="AC3" s="21">
        <f>IFERROR(IF(OR(D3="",Bonds_Live!Q2="",Bonds_Live!S2=""),"",D3 + (-Bonds_Live!Q2*(200)/100 + Bonds_Live!S2*POWER(200,2)/2000000)),"")</f>
        <v/>
      </c>
    </row>
    <row r="4">
      <c r="A4" s="24">
        <f>Bonds_Static!A3</f>
        <v/>
      </c>
      <c r="B4" s="24">
        <f>Bonds_Static!C3</f>
        <v/>
      </c>
      <c r="C4" s="25">
        <f>IFERROR(Bonds_Static!G3,"")</f>
        <v/>
      </c>
      <c r="D4" s="11">
        <f>IFERROR(Carry_Roll!M3,"")</f>
        <v/>
      </c>
      <c r="E4" s="21">
        <f>IFERROR(IF(OR(D4="",Bonds_Live!Q3="",Bonds_Live!S3=""),"",D4 + (-Bonds_Live!Q3*(-200)/100 + Bonds_Live!S3*POWER(-200,2)/2000000)),"")</f>
        <v/>
      </c>
      <c r="F4" s="21">
        <f>IFERROR(IF(OR(D4="",Bonds_Live!Q3="",Bonds_Live!S3=""),"",D4 + (-Bonds_Live!Q3*(-150)/100 + Bonds_Live!S3*POWER(-150,2)/2000000)),"")</f>
        <v/>
      </c>
      <c r="G4" s="21">
        <f>IFERROR(IF(OR(D4="",Bonds_Live!Q3="",Bonds_Live!S3=""),"",D4 + (-Bonds_Live!Q3*(-100)/100 + Bonds_Live!S3*POWER(-100,2)/2000000)),"")</f>
        <v/>
      </c>
      <c r="H4" s="21">
        <f>IFERROR(IF(OR(D4="",Bonds_Live!Q3="",Bonds_Live!S3=""),"",D4 + (-Bonds_Live!Q3*(-50)/100 + Bonds_Live!S3*POWER(-50,2)/2000000)),"")</f>
        <v/>
      </c>
      <c r="I4" s="21">
        <f>IFERROR(IF(OR(D4="",Bonds_Live!Q3="",Bonds_Live!S3=""),"",D4 + (-Bonds_Live!Q3*(0)/100 + Bonds_Live!S3*POWER(0,2)/2000000)),"")</f>
        <v/>
      </c>
      <c r="J4" s="21">
        <f>IFERROR(IF(OR(D4="",Bonds_Live!Q3="",Bonds_Live!S3=""),"",D4 + (-Bonds_Live!Q3*(-150)/100 + Bonds_Live!S3*POWER(-150,2)/2000000)),"")</f>
        <v/>
      </c>
      <c r="K4" s="21">
        <f>IFERROR(IF(OR(D4="",Bonds_Live!Q3="",Bonds_Live!S3=""),"",D4 + (-Bonds_Live!Q3*(-100)/100 + Bonds_Live!S3*POWER(-100,2)/2000000)),"")</f>
        <v/>
      </c>
      <c r="L4" s="21">
        <f>IFERROR(IF(OR(D4="",Bonds_Live!Q3="",Bonds_Live!S3=""),"",D4 + (-Bonds_Live!Q3*(-50)/100 + Bonds_Live!S3*POWER(-50,2)/2000000)),"")</f>
        <v/>
      </c>
      <c r="M4" s="21">
        <f>IFERROR(IF(OR(D4="",Bonds_Live!Q3="",Bonds_Live!S3=""),"",D4 + (-Bonds_Live!Q3*(0)/100 + Bonds_Live!S3*POWER(0,2)/2000000)),"")</f>
        <v/>
      </c>
      <c r="N4" s="21">
        <f>IFERROR(IF(OR(D4="",Bonds_Live!Q3="",Bonds_Live!S3=""),"",D4 + (-Bonds_Live!Q3*(50)/100 + Bonds_Live!S3*POWER(50,2)/2000000)),"")</f>
        <v/>
      </c>
      <c r="O4" s="21">
        <f>IFERROR(IF(OR(D4="",Bonds_Live!Q3="",Bonds_Live!S3=""),"",D4 + (-Bonds_Live!Q3*(-100)/100 + Bonds_Live!S3*POWER(-100,2)/2000000)),"")</f>
        <v/>
      </c>
      <c r="P4" s="21">
        <f>IFERROR(IF(OR(D4="",Bonds_Live!Q3="",Bonds_Live!S3=""),"",D4 + (-Bonds_Live!Q3*(-50)/100 + Bonds_Live!S3*POWER(-50,2)/2000000)),"")</f>
        <v/>
      </c>
      <c r="Q4" s="21">
        <f>IFERROR(IF(OR(D4="",Bonds_Live!Q3="",Bonds_Live!S3=""),"",D4 + (-Bonds_Live!Q3*(0)/100 + Bonds_Live!S3*POWER(0,2)/2000000)),"")</f>
        <v/>
      </c>
      <c r="R4" s="21">
        <f>IFERROR(IF(OR(D4="",Bonds_Live!Q3="",Bonds_Live!S3=""),"",D4 + (-Bonds_Live!Q3*(50)/100 + Bonds_Live!S3*POWER(50,2)/2000000)),"")</f>
        <v/>
      </c>
      <c r="S4" s="21">
        <f>IFERROR(IF(OR(D4="",Bonds_Live!Q3="",Bonds_Live!S3=""),"",D4 + (-Bonds_Live!Q3*(100)/100 + Bonds_Live!S3*POWER(100,2)/2000000)),"")</f>
        <v/>
      </c>
      <c r="T4" s="21">
        <f>IFERROR(IF(OR(D4="",Bonds_Live!Q3="",Bonds_Live!S3=""),"",D4 + (-Bonds_Live!Q3*(-50)/100 + Bonds_Live!S3*POWER(-50,2)/2000000)),"")</f>
        <v/>
      </c>
      <c r="U4" s="21">
        <f>IFERROR(IF(OR(D4="",Bonds_Live!Q3="",Bonds_Live!S3=""),"",D4 + (-Bonds_Live!Q3*(0)/100 + Bonds_Live!S3*POWER(0,2)/2000000)),"")</f>
        <v/>
      </c>
      <c r="V4" s="21">
        <f>IFERROR(IF(OR(D4="",Bonds_Live!Q3="",Bonds_Live!S3=""),"",D4 + (-Bonds_Live!Q3*(50)/100 + Bonds_Live!S3*POWER(50,2)/2000000)),"")</f>
        <v/>
      </c>
      <c r="W4" s="21">
        <f>IFERROR(IF(OR(D4="",Bonds_Live!Q3="",Bonds_Live!S3=""),"",D4 + (-Bonds_Live!Q3*(100)/100 + Bonds_Live!S3*POWER(100,2)/2000000)),"")</f>
        <v/>
      </c>
      <c r="X4" s="21">
        <f>IFERROR(IF(OR(D4="",Bonds_Live!Q3="",Bonds_Live!S3=""),"",D4 + (-Bonds_Live!Q3*(150)/100 + Bonds_Live!S3*POWER(150,2)/2000000)),"")</f>
        <v/>
      </c>
      <c r="Y4" s="21">
        <f>IFERROR(IF(OR(D4="",Bonds_Live!Q3="",Bonds_Live!S3=""),"",D4 + (-Bonds_Live!Q3*(0)/100 + Bonds_Live!S3*POWER(0,2)/2000000)),"")</f>
        <v/>
      </c>
      <c r="Z4" s="21">
        <f>IFERROR(IF(OR(D4="",Bonds_Live!Q3="",Bonds_Live!S3=""),"",D4 + (-Bonds_Live!Q3*(50)/100 + Bonds_Live!S3*POWER(50,2)/2000000)),"")</f>
        <v/>
      </c>
      <c r="AA4" s="21">
        <f>IFERROR(IF(OR(D4="",Bonds_Live!Q3="",Bonds_Live!S3=""),"",D4 + (-Bonds_Live!Q3*(100)/100 + Bonds_Live!S3*POWER(100,2)/2000000)),"")</f>
        <v/>
      </c>
      <c r="AB4" s="21">
        <f>IFERROR(IF(OR(D4="",Bonds_Live!Q3="",Bonds_Live!S3=""),"",D4 + (-Bonds_Live!Q3*(150)/100 + Bonds_Live!S3*POWER(150,2)/2000000)),"")</f>
        <v/>
      </c>
      <c r="AC4" s="21">
        <f>IFERROR(IF(OR(D4="",Bonds_Live!Q3="",Bonds_Live!S3=""),"",D4 + (-Bonds_Live!Q3*(200)/100 + Bonds_Live!S3*POWER(200,2)/2000000)),"")</f>
        <v/>
      </c>
    </row>
    <row r="5">
      <c r="A5" s="24">
        <f>Bonds_Static!A4</f>
        <v/>
      </c>
      <c r="B5" s="24">
        <f>Bonds_Static!C4</f>
        <v/>
      </c>
      <c r="C5" s="25">
        <f>IFERROR(Bonds_Static!G4,"")</f>
        <v/>
      </c>
      <c r="D5" s="11">
        <f>IFERROR(Carry_Roll!M4,"")</f>
        <v/>
      </c>
      <c r="E5" s="21">
        <f>IFERROR(IF(OR(D5="",Bonds_Live!Q4="",Bonds_Live!S4=""),"",D5 + (-Bonds_Live!Q4*(-200)/100 + Bonds_Live!S4*POWER(-200,2)/2000000)),"")</f>
        <v/>
      </c>
      <c r="F5" s="21">
        <f>IFERROR(IF(OR(D5="",Bonds_Live!Q4="",Bonds_Live!S4=""),"",D5 + (-Bonds_Live!Q4*(-150)/100 + Bonds_Live!S4*POWER(-150,2)/2000000)),"")</f>
        <v/>
      </c>
      <c r="G5" s="21">
        <f>IFERROR(IF(OR(D5="",Bonds_Live!Q4="",Bonds_Live!S4=""),"",D5 + (-Bonds_Live!Q4*(-100)/100 + Bonds_Live!S4*POWER(-100,2)/2000000)),"")</f>
        <v/>
      </c>
      <c r="H5" s="21">
        <f>IFERROR(IF(OR(D5="",Bonds_Live!Q4="",Bonds_Live!S4=""),"",D5 + (-Bonds_Live!Q4*(-50)/100 + Bonds_Live!S4*POWER(-50,2)/2000000)),"")</f>
        <v/>
      </c>
      <c r="I5" s="21">
        <f>IFERROR(IF(OR(D5="",Bonds_Live!Q4="",Bonds_Live!S4=""),"",D5 + (-Bonds_Live!Q4*(0)/100 + Bonds_Live!S4*POWER(0,2)/2000000)),"")</f>
        <v/>
      </c>
      <c r="J5" s="21">
        <f>IFERROR(IF(OR(D5="",Bonds_Live!Q4="",Bonds_Live!S4=""),"",D5 + (-Bonds_Live!Q4*(-150)/100 + Bonds_Live!S4*POWER(-150,2)/2000000)),"")</f>
        <v/>
      </c>
      <c r="K5" s="21">
        <f>IFERROR(IF(OR(D5="",Bonds_Live!Q4="",Bonds_Live!S4=""),"",D5 + (-Bonds_Live!Q4*(-100)/100 + Bonds_Live!S4*POWER(-100,2)/2000000)),"")</f>
        <v/>
      </c>
      <c r="L5" s="21">
        <f>IFERROR(IF(OR(D5="",Bonds_Live!Q4="",Bonds_Live!S4=""),"",D5 + (-Bonds_Live!Q4*(-50)/100 + Bonds_Live!S4*POWER(-50,2)/2000000)),"")</f>
        <v/>
      </c>
      <c r="M5" s="21">
        <f>IFERROR(IF(OR(D5="",Bonds_Live!Q4="",Bonds_Live!S4=""),"",D5 + (-Bonds_Live!Q4*(0)/100 + Bonds_Live!S4*POWER(0,2)/2000000)),"")</f>
        <v/>
      </c>
      <c r="N5" s="21">
        <f>IFERROR(IF(OR(D5="",Bonds_Live!Q4="",Bonds_Live!S4=""),"",D5 + (-Bonds_Live!Q4*(50)/100 + Bonds_Live!S4*POWER(50,2)/2000000)),"")</f>
        <v/>
      </c>
      <c r="O5" s="21">
        <f>IFERROR(IF(OR(D5="",Bonds_Live!Q4="",Bonds_Live!S4=""),"",D5 + (-Bonds_Live!Q4*(-100)/100 + Bonds_Live!S4*POWER(-100,2)/2000000)),"")</f>
        <v/>
      </c>
      <c r="P5" s="21">
        <f>IFERROR(IF(OR(D5="",Bonds_Live!Q4="",Bonds_Live!S4=""),"",D5 + (-Bonds_Live!Q4*(-50)/100 + Bonds_Live!S4*POWER(-50,2)/2000000)),"")</f>
        <v/>
      </c>
      <c r="Q5" s="21">
        <f>IFERROR(IF(OR(D5="",Bonds_Live!Q4="",Bonds_Live!S4=""),"",D5 + (-Bonds_Live!Q4*(0)/100 + Bonds_Live!S4*POWER(0,2)/2000000)),"")</f>
        <v/>
      </c>
      <c r="R5" s="21">
        <f>IFERROR(IF(OR(D5="",Bonds_Live!Q4="",Bonds_Live!S4=""),"",D5 + (-Bonds_Live!Q4*(50)/100 + Bonds_Live!S4*POWER(50,2)/2000000)),"")</f>
        <v/>
      </c>
      <c r="S5" s="21">
        <f>IFERROR(IF(OR(D5="",Bonds_Live!Q4="",Bonds_Live!S4=""),"",D5 + (-Bonds_Live!Q4*(100)/100 + Bonds_Live!S4*POWER(100,2)/2000000)),"")</f>
        <v/>
      </c>
      <c r="T5" s="21">
        <f>IFERROR(IF(OR(D5="",Bonds_Live!Q4="",Bonds_Live!S4=""),"",D5 + (-Bonds_Live!Q4*(-50)/100 + Bonds_Live!S4*POWER(-50,2)/2000000)),"")</f>
        <v/>
      </c>
      <c r="U5" s="21">
        <f>IFERROR(IF(OR(D5="",Bonds_Live!Q4="",Bonds_Live!S4=""),"",D5 + (-Bonds_Live!Q4*(0)/100 + Bonds_Live!S4*POWER(0,2)/2000000)),"")</f>
        <v/>
      </c>
      <c r="V5" s="21">
        <f>IFERROR(IF(OR(D5="",Bonds_Live!Q4="",Bonds_Live!S4=""),"",D5 + (-Bonds_Live!Q4*(50)/100 + Bonds_Live!S4*POWER(50,2)/2000000)),"")</f>
        <v/>
      </c>
      <c r="W5" s="21">
        <f>IFERROR(IF(OR(D5="",Bonds_Live!Q4="",Bonds_Live!S4=""),"",D5 + (-Bonds_Live!Q4*(100)/100 + Bonds_Live!S4*POWER(100,2)/2000000)),"")</f>
        <v/>
      </c>
      <c r="X5" s="21">
        <f>IFERROR(IF(OR(D5="",Bonds_Live!Q4="",Bonds_Live!S4=""),"",D5 + (-Bonds_Live!Q4*(150)/100 + Bonds_Live!S4*POWER(150,2)/2000000)),"")</f>
        <v/>
      </c>
      <c r="Y5" s="21">
        <f>IFERROR(IF(OR(D5="",Bonds_Live!Q4="",Bonds_Live!S4=""),"",D5 + (-Bonds_Live!Q4*(0)/100 + Bonds_Live!S4*POWER(0,2)/2000000)),"")</f>
        <v/>
      </c>
      <c r="Z5" s="21">
        <f>IFERROR(IF(OR(D5="",Bonds_Live!Q4="",Bonds_Live!S4=""),"",D5 + (-Bonds_Live!Q4*(50)/100 + Bonds_Live!S4*POWER(50,2)/2000000)),"")</f>
        <v/>
      </c>
      <c r="AA5" s="21">
        <f>IFERROR(IF(OR(D5="",Bonds_Live!Q4="",Bonds_Live!S4=""),"",D5 + (-Bonds_Live!Q4*(100)/100 + Bonds_Live!S4*POWER(100,2)/2000000)),"")</f>
        <v/>
      </c>
      <c r="AB5" s="21">
        <f>IFERROR(IF(OR(D5="",Bonds_Live!Q4="",Bonds_Live!S4=""),"",D5 + (-Bonds_Live!Q4*(150)/100 + Bonds_Live!S4*POWER(150,2)/2000000)),"")</f>
        <v/>
      </c>
      <c r="AC5" s="21">
        <f>IFERROR(IF(OR(D5="",Bonds_Live!Q4="",Bonds_Live!S4=""),"",D5 + (-Bonds_Live!Q4*(200)/100 + Bonds_Live!S4*POWER(200,2)/2000000)),"")</f>
        <v/>
      </c>
    </row>
    <row r="6">
      <c r="A6" s="24">
        <f>Bonds_Static!A5</f>
        <v/>
      </c>
      <c r="B6" s="24">
        <f>Bonds_Static!C5</f>
        <v/>
      </c>
      <c r="C6" s="25">
        <f>IFERROR(Bonds_Static!G5,"")</f>
        <v/>
      </c>
      <c r="D6" s="11">
        <f>IFERROR(Carry_Roll!M5,"")</f>
        <v/>
      </c>
      <c r="E6" s="21">
        <f>IFERROR(IF(OR(D6="",Bonds_Live!Q5="",Bonds_Live!S5=""),"",D6 + (-Bonds_Live!Q5*(-200)/100 + Bonds_Live!S5*POWER(-200,2)/2000000)),"")</f>
        <v/>
      </c>
      <c r="F6" s="21">
        <f>IFERROR(IF(OR(D6="",Bonds_Live!Q5="",Bonds_Live!S5=""),"",D6 + (-Bonds_Live!Q5*(-150)/100 + Bonds_Live!S5*POWER(-150,2)/2000000)),"")</f>
        <v/>
      </c>
      <c r="G6" s="21">
        <f>IFERROR(IF(OR(D6="",Bonds_Live!Q5="",Bonds_Live!S5=""),"",D6 + (-Bonds_Live!Q5*(-100)/100 + Bonds_Live!S5*POWER(-100,2)/2000000)),"")</f>
        <v/>
      </c>
      <c r="H6" s="21">
        <f>IFERROR(IF(OR(D6="",Bonds_Live!Q5="",Bonds_Live!S5=""),"",D6 + (-Bonds_Live!Q5*(-50)/100 + Bonds_Live!S5*POWER(-50,2)/2000000)),"")</f>
        <v/>
      </c>
      <c r="I6" s="21">
        <f>IFERROR(IF(OR(D6="",Bonds_Live!Q5="",Bonds_Live!S5=""),"",D6 + (-Bonds_Live!Q5*(0)/100 + Bonds_Live!S5*POWER(0,2)/2000000)),"")</f>
        <v/>
      </c>
      <c r="J6" s="21">
        <f>IFERROR(IF(OR(D6="",Bonds_Live!Q5="",Bonds_Live!S5=""),"",D6 + (-Bonds_Live!Q5*(-150)/100 + Bonds_Live!S5*POWER(-150,2)/2000000)),"")</f>
        <v/>
      </c>
      <c r="K6" s="21">
        <f>IFERROR(IF(OR(D6="",Bonds_Live!Q5="",Bonds_Live!S5=""),"",D6 + (-Bonds_Live!Q5*(-100)/100 + Bonds_Live!S5*POWER(-100,2)/2000000)),"")</f>
        <v/>
      </c>
      <c r="L6" s="21">
        <f>IFERROR(IF(OR(D6="",Bonds_Live!Q5="",Bonds_Live!S5=""),"",D6 + (-Bonds_Live!Q5*(-50)/100 + Bonds_Live!S5*POWER(-50,2)/2000000)),"")</f>
        <v/>
      </c>
      <c r="M6" s="21">
        <f>IFERROR(IF(OR(D6="",Bonds_Live!Q5="",Bonds_Live!S5=""),"",D6 + (-Bonds_Live!Q5*(0)/100 + Bonds_Live!S5*POWER(0,2)/2000000)),"")</f>
        <v/>
      </c>
      <c r="N6" s="21">
        <f>IFERROR(IF(OR(D6="",Bonds_Live!Q5="",Bonds_Live!S5=""),"",D6 + (-Bonds_Live!Q5*(50)/100 + Bonds_Live!S5*POWER(50,2)/2000000)),"")</f>
        <v/>
      </c>
      <c r="O6" s="21">
        <f>IFERROR(IF(OR(D6="",Bonds_Live!Q5="",Bonds_Live!S5=""),"",D6 + (-Bonds_Live!Q5*(-100)/100 + Bonds_Live!S5*POWER(-100,2)/2000000)),"")</f>
        <v/>
      </c>
      <c r="P6" s="21">
        <f>IFERROR(IF(OR(D6="",Bonds_Live!Q5="",Bonds_Live!S5=""),"",D6 + (-Bonds_Live!Q5*(-50)/100 + Bonds_Live!S5*POWER(-50,2)/2000000)),"")</f>
        <v/>
      </c>
      <c r="Q6" s="21">
        <f>IFERROR(IF(OR(D6="",Bonds_Live!Q5="",Bonds_Live!S5=""),"",D6 + (-Bonds_Live!Q5*(0)/100 + Bonds_Live!S5*POWER(0,2)/2000000)),"")</f>
        <v/>
      </c>
      <c r="R6" s="21">
        <f>IFERROR(IF(OR(D6="",Bonds_Live!Q5="",Bonds_Live!S5=""),"",D6 + (-Bonds_Live!Q5*(50)/100 + Bonds_Live!S5*POWER(50,2)/2000000)),"")</f>
        <v/>
      </c>
      <c r="S6" s="21">
        <f>IFERROR(IF(OR(D6="",Bonds_Live!Q5="",Bonds_Live!S5=""),"",D6 + (-Bonds_Live!Q5*(100)/100 + Bonds_Live!S5*POWER(100,2)/2000000)),"")</f>
        <v/>
      </c>
      <c r="T6" s="21">
        <f>IFERROR(IF(OR(D6="",Bonds_Live!Q5="",Bonds_Live!S5=""),"",D6 + (-Bonds_Live!Q5*(-50)/100 + Bonds_Live!S5*POWER(-50,2)/2000000)),"")</f>
        <v/>
      </c>
      <c r="U6" s="21">
        <f>IFERROR(IF(OR(D6="",Bonds_Live!Q5="",Bonds_Live!S5=""),"",D6 + (-Bonds_Live!Q5*(0)/100 + Bonds_Live!S5*POWER(0,2)/2000000)),"")</f>
        <v/>
      </c>
      <c r="V6" s="21">
        <f>IFERROR(IF(OR(D6="",Bonds_Live!Q5="",Bonds_Live!S5=""),"",D6 + (-Bonds_Live!Q5*(50)/100 + Bonds_Live!S5*POWER(50,2)/2000000)),"")</f>
        <v/>
      </c>
      <c r="W6" s="21">
        <f>IFERROR(IF(OR(D6="",Bonds_Live!Q5="",Bonds_Live!S5=""),"",D6 + (-Bonds_Live!Q5*(100)/100 + Bonds_Live!S5*POWER(100,2)/2000000)),"")</f>
        <v/>
      </c>
      <c r="X6" s="21">
        <f>IFERROR(IF(OR(D6="",Bonds_Live!Q5="",Bonds_Live!S5=""),"",D6 + (-Bonds_Live!Q5*(150)/100 + Bonds_Live!S5*POWER(150,2)/2000000)),"")</f>
        <v/>
      </c>
      <c r="Y6" s="21">
        <f>IFERROR(IF(OR(D6="",Bonds_Live!Q5="",Bonds_Live!S5=""),"",D6 + (-Bonds_Live!Q5*(0)/100 + Bonds_Live!S5*POWER(0,2)/2000000)),"")</f>
        <v/>
      </c>
      <c r="Z6" s="21">
        <f>IFERROR(IF(OR(D6="",Bonds_Live!Q5="",Bonds_Live!S5=""),"",D6 + (-Bonds_Live!Q5*(50)/100 + Bonds_Live!S5*POWER(50,2)/2000000)),"")</f>
        <v/>
      </c>
      <c r="AA6" s="21">
        <f>IFERROR(IF(OR(D6="",Bonds_Live!Q5="",Bonds_Live!S5=""),"",D6 + (-Bonds_Live!Q5*(100)/100 + Bonds_Live!S5*POWER(100,2)/2000000)),"")</f>
        <v/>
      </c>
      <c r="AB6" s="21">
        <f>IFERROR(IF(OR(D6="",Bonds_Live!Q5="",Bonds_Live!S5=""),"",D6 + (-Bonds_Live!Q5*(150)/100 + Bonds_Live!S5*POWER(150,2)/2000000)),"")</f>
        <v/>
      </c>
      <c r="AC6" s="21">
        <f>IFERROR(IF(OR(D6="",Bonds_Live!Q5="",Bonds_Live!S5=""),"",D6 + (-Bonds_Live!Q5*(200)/100 + Bonds_Live!S5*POWER(200,2)/2000000)),"")</f>
        <v/>
      </c>
    </row>
    <row r="7">
      <c r="A7" s="24">
        <f>Bonds_Static!A6</f>
        <v/>
      </c>
      <c r="B7" s="24">
        <f>Bonds_Static!C6</f>
        <v/>
      </c>
      <c r="C7" s="25">
        <f>IFERROR(Bonds_Static!G6,"")</f>
        <v/>
      </c>
      <c r="D7" s="11">
        <f>IFERROR(Carry_Roll!M6,"")</f>
        <v/>
      </c>
      <c r="E7" s="21">
        <f>IFERROR(IF(OR(D7="",Bonds_Live!Q6="",Bonds_Live!S6=""),"",D7 + (-Bonds_Live!Q6*(-200)/100 + Bonds_Live!S6*POWER(-200,2)/2000000)),"")</f>
        <v/>
      </c>
      <c r="F7" s="21">
        <f>IFERROR(IF(OR(D7="",Bonds_Live!Q6="",Bonds_Live!S6=""),"",D7 + (-Bonds_Live!Q6*(-150)/100 + Bonds_Live!S6*POWER(-150,2)/2000000)),"")</f>
        <v/>
      </c>
      <c r="G7" s="21">
        <f>IFERROR(IF(OR(D7="",Bonds_Live!Q6="",Bonds_Live!S6=""),"",D7 + (-Bonds_Live!Q6*(-100)/100 + Bonds_Live!S6*POWER(-100,2)/2000000)),"")</f>
        <v/>
      </c>
      <c r="H7" s="21">
        <f>IFERROR(IF(OR(D7="",Bonds_Live!Q6="",Bonds_Live!S6=""),"",D7 + (-Bonds_Live!Q6*(-50)/100 + Bonds_Live!S6*POWER(-50,2)/2000000)),"")</f>
        <v/>
      </c>
      <c r="I7" s="21">
        <f>IFERROR(IF(OR(D7="",Bonds_Live!Q6="",Bonds_Live!S6=""),"",D7 + (-Bonds_Live!Q6*(0)/100 + Bonds_Live!S6*POWER(0,2)/2000000)),"")</f>
        <v/>
      </c>
      <c r="J7" s="21">
        <f>IFERROR(IF(OR(D7="",Bonds_Live!Q6="",Bonds_Live!S6=""),"",D7 + (-Bonds_Live!Q6*(-150)/100 + Bonds_Live!S6*POWER(-150,2)/2000000)),"")</f>
        <v/>
      </c>
      <c r="K7" s="21">
        <f>IFERROR(IF(OR(D7="",Bonds_Live!Q6="",Bonds_Live!S6=""),"",D7 + (-Bonds_Live!Q6*(-100)/100 + Bonds_Live!S6*POWER(-100,2)/2000000)),"")</f>
        <v/>
      </c>
      <c r="L7" s="21">
        <f>IFERROR(IF(OR(D7="",Bonds_Live!Q6="",Bonds_Live!S6=""),"",D7 + (-Bonds_Live!Q6*(-50)/100 + Bonds_Live!S6*POWER(-50,2)/2000000)),"")</f>
        <v/>
      </c>
      <c r="M7" s="21">
        <f>IFERROR(IF(OR(D7="",Bonds_Live!Q6="",Bonds_Live!S6=""),"",D7 + (-Bonds_Live!Q6*(0)/100 + Bonds_Live!S6*POWER(0,2)/2000000)),"")</f>
        <v/>
      </c>
      <c r="N7" s="21">
        <f>IFERROR(IF(OR(D7="",Bonds_Live!Q6="",Bonds_Live!S6=""),"",D7 + (-Bonds_Live!Q6*(50)/100 + Bonds_Live!S6*POWER(50,2)/2000000)),"")</f>
        <v/>
      </c>
      <c r="O7" s="21">
        <f>IFERROR(IF(OR(D7="",Bonds_Live!Q6="",Bonds_Live!S6=""),"",D7 + (-Bonds_Live!Q6*(-100)/100 + Bonds_Live!S6*POWER(-100,2)/2000000)),"")</f>
        <v/>
      </c>
      <c r="P7" s="21">
        <f>IFERROR(IF(OR(D7="",Bonds_Live!Q6="",Bonds_Live!S6=""),"",D7 + (-Bonds_Live!Q6*(-50)/100 + Bonds_Live!S6*POWER(-50,2)/2000000)),"")</f>
        <v/>
      </c>
      <c r="Q7" s="21">
        <f>IFERROR(IF(OR(D7="",Bonds_Live!Q6="",Bonds_Live!S6=""),"",D7 + (-Bonds_Live!Q6*(0)/100 + Bonds_Live!S6*POWER(0,2)/2000000)),"")</f>
        <v/>
      </c>
      <c r="R7" s="21">
        <f>IFERROR(IF(OR(D7="",Bonds_Live!Q6="",Bonds_Live!S6=""),"",D7 + (-Bonds_Live!Q6*(50)/100 + Bonds_Live!S6*POWER(50,2)/2000000)),"")</f>
        <v/>
      </c>
      <c r="S7" s="21">
        <f>IFERROR(IF(OR(D7="",Bonds_Live!Q6="",Bonds_Live!S6=""),"",D7 + (-Bonds_Live!Q6*(100)/100 + Bonds_Live!S6*POWER(100,2)/2000000)),"")</f>
        <v/>
      </c>
      <c r="T7" s="21">
        <f>IFERROR(IF(OR(D7="",Bonds_Live!Q6="",Bonds_Live!S6=""),"",D7 + (-Bonds_Live!Q6*(-50)/100 + Bonds_Live!S6*POWER(-50,2)/2000000)),"")</f>
        <v/>
      </c>
      <c r="U7" s="21">
        <f>IFERROR(IF(OR(D7="",Bonds_Live!Q6="",Bonds_Live!S6=""),"",D7 + (-Bonds_Live!Q6*(0)/100 + Bonds_Live!S6*POWER(0,2)/2000000)),"")</f>
        <v/>
      </c>
      <c r="V7" s="21">
        <f>IFERROR(IF(OR(D7="",Bonds_Live!Q6="",Bonds_Live!S6=""),"",D7 + (-Bonds_Live!Q6*(50)/100 + Bonds_Live!S6*POWER(50,2)/2000000)),"")</f>
        <v/>
      </c>
      <c r="W7" s="21">
        <f>IFERROR(IF(OR(D7="",Bonds_Live!Q6="",Bonds_Live!S6=""),"",D7 + (-Bonds_Live!Q6*(100)/100 + Bonds_Live!S6*POWER(100,2)/2000000)),"")</f>
        <v/>
      </c>
      <c r="X7" s="21">
        <f>IFERROR(IF(OR(D7="",Bonds_Live!Q6="",Bonds_Live!S6=""),"",D7 + (-Bonds_Live!Q6*(150)/100 + Bonds_Live!S6*POWER(150,2)/2000000)),"")</f>
        <v/>
      </c>
      <c r="Y7" s="21">
        <f>IFERROR(IF(OR(D7="",Bonds_Live!Q6="",Bonds_Live!S6=""),"",D7 + (-Bonds_Live!Q6*(0)/100 + Bonds_Live!S6*POWER(0,2)/2000000)),"")</f>
        <v/>
      </c>
      <c r="Z7" s="21">
        <f>IFERROR(IF(OR(D7="",Bonds_Live!Q6="",Bonds_Live!S6=""),"",D7 + (-Bonds_Live!Q6*(50)/100 + Bonds_Live!S6*POWER(50,2)/2000000)),"")</f>
        <v/>
      </c>
      <c r="AA7" s="21">
        <f>IFERROR(IF(OR(D7="",Bonds_Live!Q6="",Bonds_Live!S6=""),"",D7 + (-Bonds_Live!Q6*(100)/100 + Bonds_Live!S6*POWER(100,2)/2000000)),"")</f>
        <v/>
      </c>
      <c r="AB7" s="21">
        <f>IFERROR(IF(OR(D7="",Bonds_Live!Q6="",Bonds_Live!S6=""),"",D7 + (-Bonds_Live!Q6*(150)/100 + Bonds_Live!S6*POWER(150,2)/2000000)),"")</f>
        <v/>
      </c>
      <c r="AC7" s="21">
        <f>IFERROR(IF(OR(D7="",Bonds_Live!Q6="",Bonds_Live!S6=""),"",D7 + (-Bonds_Live!Q6*(200)/100 + Bonds_Live!S6*POWER(200,2)/2000000)),"")</f>
        <v/>
      </c>
    </row>
    <row r="8">
      <c r="A8" s="24">
        <f>Bonds_Static!A7</f>
        <v/>
      </c>
      <c r="B8" s="24">
        <f>Bonds_Static!C7</f>
        <v/>
      </c>
      <c r="C8" s="25">
        <f>IFERROR(Bonds_Static!G7,"")</f>
        <v/>
      </c>
      <c r="D8" s="11">
        <f>IFERROR(Carry_Roll!M7,"")</f>
        <v/>
      </c>
      <c r="E8" s="21">
        <f>IFERROR(IF(OR(D8="",Bonds_Live!Q7="",Bonds_Live!S7=""),"",D8 + (-Bonds_Live!Q7*(-200)/100 + Bonds_Live!S7*POWER(-200,2)/2000000)),"")</f>
        <v/>
      </c>
      <c r="F8" s="21">
        <f>IFERROR(IF(OR(D8="",Bonds_Live!Q7="",Bonds_Live!S7=""),"",D8 + (-Bonds_Live!Q7*(-150)/100 + Bonds_Live!S7*POWER(-150,2)/2000000)),"")</f>
        <v/>
      </c>
      <c r="G8" s="21">
        <f>IFERROR(IF(OR(D8="",Bonds_Live!Q7="",Bonds_Live!S7=""),"",D8 + (-Bonds_Live!Q7*(-100)/100 + Bonds_Live!S7*POWER(-100,2)/2000000)),"")</f>
        <v/>
      </c>
      <c r="H8" s="21">
        <f>IFERROR(IF(OR(D8="",Bonds_Live!Q7="",Bonds_Live!S7=""),"",D8 + (-Bonds_Live!Q7*(-50)/100 + Bonds_Live!S7*POWER(-50,2)/2000000)),"")</f>
        <v/>
      </c>
      <c r="I8" s="21">
        <f>IFERROR(IF(OR(D8="",Bonds_Live!Q7="",Bonds_Live!S7=""),"",D8 + (-Bonds_Live!Q7*(0)/100 + Bonds_Live!S7*POWER(0,2)/2000000)),"")</f>
        <v/>
      </c>
      <c r="J8" s="21">
        <f>IFERROR(IF(OR(D8="",Bonds_Live!Q7="",Bonds_Live!S7=""),"",D8 + (-Bonds_Live!Q7*(-150)/100 + Bonds_Live!S7*POWER(-150,2)/2000000)),"")</f>
        <v/>
      </c>
      <c r="K8" s="21">
        <f>IFERROR(IF(OR(D8="",Bonds_Live!Q7="",Bonds_Live!S7=""),"",D8 + (-Bonds_Live!Q7*(-100)/100 + Bonds_Live!S7*POWER(-100,2)/2000000)),"")</f>
        <v/>
      </c>
      <c r="L8" s="21">
        <f>IFERROR(IF(OR(D8="",Bonds_Live!Q7="",Bonds_Live!S7=""),"",D8 + (-Bonds_Live!Q7*(-50)/100 + Bonds_Live!S7*POWER(-50,2)/2000000)),"")</f>
        <v/>
      </c>
      <c r="M8" s="21">
        <f>IFERROR(IF(OR(D8="",Bonds_Live!Q7="",Bonds_Live!S7=""),"",D8 + (-Bonds_Live!Q7*(0)/100 + Bonds_Live!S7*POWER(0,2)/2000000)),"")</f>
        <v/>
      </c>
      <c r="N8" s="21">
        <f>IFERROR(IF(OR(D8="",Bonds_Live!Q7="",Bonds_Live!S7=""),"",D8 + (-Bonds_Live!Q7*(50)/100 + Bonds_Live!S7*POWER(50,2)/2000000)),"")</f>
        <v/>
      </c>
      <c r="O8" s="21">
        <f>IFERROR(IF(OR(D8="",Bonds_Live!Q7="",Bonds_Live!S7=""),"",D8 + (-Bonds_Live!Q7*(-100)/100 + Bonds_Live!S7*POWER(-100,2)/2000000)),"")</f>
        <v/>
      </c>
      <c r="P8" s="21">
        <f>IFERROR(IF(OR(D8="",Bonds_Live!Q7="",Bonds_Live!S7=""),"",D8 + (-Bonds_Live!Q7*(-50)/100 + Bonds_Live!S7*POWER(-50,2)/2000000)),"")</f>
        <v/>
      </c>
      <c r="Q8" s="21">
        <f>IFERROR(IF(OR(D8="",Bonds_Live!Q7="",Bonds_Live!S7=""),"",D8 + (-Bonds_Live!Q7*(0)/100 + Bonds_Live!S7*POWER(0,2)/2000000)),"")</f>
        <v/>
      </c>
      <c r="R8" s="21">
        <f>IFERROR(IF(OR(D8="",Bonds_Live!Q7="",Bonds_Live!S7=""),"",D8 + (-Bonds_Live!Q7*(50)/100 + Bonds_Live!S7*POWER(50,2)/2000000)),"")</f>
        <v/>
      </c>
      <c r="S8" s="21">
        <f>IFERROR(IF(OR(D8="",Bonds_Live!Q7="",Bonds_Live!S7=""),"",D8 + (-Bonds_Live!Q7*(100)/100 + Bonds_Live!S7*POWER(100,2)/2000000)),"")</f>
        <v/>
      </c>
      <c r="T8" s="21">
        <f>IFERROR(IF(OR(D8="",Bonds_Live!Q7="",Bonds_Live!S7=""),"",D8 + (-Bonds_Live!Q7*(-50)/100 + Bonds_Live!S7*POWER(-50,2)/2000000)),"")</f>
        <v/>
      </c>
      <c r="U8" s="21">
        <f>IFERROR(IF(OR(D8="",Bonds_Live!Q7="",Bonds_Live!S7=""),"",D8 + (-Bonds_Live!Q7*(0)/100 + Bonds_Live!S7*POWER(0,2)/2000000)),"")</f>
        <v/>
      </c>
      <c r="V8" s="21">
        <f>IFERROR(IF(OR(D8="",Bonds_Live!Q7="",Bonds_Live!S7=""),"",D8 + (-Bonds_Live!Q7*(50)/100 + Bonds_Live!S7*POWER(50,2)/2000000)),"")</f>
        <v/>
      </c>
      <c r="W8" s="21">
        <f>IFERROR(IF(OR(D8="",Bonds_Live!Q7="",Bonds_Live!S7=""),"",D8 + (-Bonds_Live!Q7*(100)/100 + Bonds_Live!S7*POWER(100,2)/2000000)),"")</f>
        <v/>
      </c>
      <c r="X8" s="21">
        <f>IFERROR(IF(OR(D8="",Bonds_Live!Q7="",Bonds_Live!S7=""),"",D8 + (-Bonds_Live!Q7*(150)/100 + Bonds_Live!S7*POWER(150,2)/2000000)),"")</f>
        <v/>
      </c>
      <c r="Y8" s="21">
        <f>IFERROR(IF(OR(D8="",Bonds_Live!Q7="",Bonds_Live!S7=""),"",D8 + (-Bonds_Live!Q7*(0)/100 + Bonds_Live!S7*POWER(0,2)/2000000)),"")</f>
        <v/>
      </c>
      <c r="Z8" s="21">
        <f>IFERROR(IF(OR(D8="",Bonds_Live!Q7="",Bonds_Live!S7=""),"",D8 + (-Bonds_Live!Q7*(50)/100 + Bonds_Live!S7*POWER(50,2)/2000000)),"")</f>
        <v/>
      </c>
      <c r="AA8" s="21">
        <f>IFERROR(IF(OR(D8="",Bonds_Live!Q7="",Bonds_Live!S7=""),"",D8 + (-Bonds_Live!Q7*(100)/100 + Bonds_Live!S7*POWER(100,2)/2000000)),"")</f>
        <v/>
      </c>
      <c r="AB8" s="21">
        <f>IFERROR(IF(OR(D8="",Bonds_Live!Q7="",Bonds_Live!S7=""),"",D8 + (-Bonds_Live!Q7*(150)/100 + Bonds_Live!S7*POWER(150,2)/2000000)),"")</f>
        <v/>
      </c>
      <c r="AC8" s="21">
        <f>IFERROR(IF(OR(D8="",Bonds_Live!Q7="",Bonds_Live!S7=""),"",D8 + (-Bonds_Live!Q7*(200)/100 + Bonds_Live!S7*POWER(200,2)/2000000)),"")</f>
        <v/>
      </c>
    </row>
    <row r="9">
      <c r="A9" s="24">
        <f>Bonds_Static!A8</f>
        <v/>
      </c>
      <c r="B9" s="24">
        <f>Bonds_Static!C8</f>
        <v/>
      </c>
      <c r="C9" s="25">
        <f>IFERROR(Bonds_Static!G8,"")</f>
        <v/>
      </c>
      <c r="D9" s="11">
        <f>IFERROR(Carry_Roll!M8,"")</f>
        <v/>
      </c>
      <c r="E9" s="21">
        <f>IFERROR(IF(OR(D9="",Bonds_Live!Q8="",Bonds_Live!S8=""),"",D9 + (-Bonds_Live!Q8*(-200)/100 + Bonds_Live!S8*POWER(-200,2)/2000000)),"")</f>
        <v/>
      </c>
      <c r="F9" s="21">
        <f>IFERROR(IF(OR(D9="",Bonds_Live!Q8="",Bonds_Live!S8=""),"",D9 + (-Bonds_Live!Q8*(-150)/100 + Bonds_Live!S8*POWER(-150,2)/2000000)),"")</f>
        <v/>
      </c>
      <c r="G9" s="21">
        <f>IFERROR(IF(OR(D9="",Bonds_Live!Q8="",Bonds_Live!S8=""),"",D9 + (-Bonds_Live!Q8*(-100)/100 + Bonds_Live!S8*POWER(-100,2)/2000000)),"")</f>
        <v/>
      </c>
      <c r="H9" s="21">
        <f>IFERROR(IF(OR(D9="",Bonds_Live!Q8="",Bonds_Live!S8=""),"",D9 + (-Bonds_Live!Q8*(-50)/100 + Bonds_Live!S8*POWER(-50,2)/2000000)),"")</f>
        <v/>
      </c>
      <c r="I9" s="21">
        <f>IFERROR(IF(OR(D9="",Bonds_Live!Q8="",Bonds_Live!S8=""),"",D9 + (-Bonds_Live!Q8*(0)/100 + Bonds_Live!S8*POWER(0,2)/2000000)),"")</f>
        <v/>
      </c>
      <c r="J9" s="21">
        <f>IFERROR(IF(OR(D9="",Bonds_Live!Q8="",Bonds_Live!S8=""),"",D9 + (-Bonds_Live!Q8*(-150)/100 + Bonds_Live!S8*POWER(-150,2)/2000000)),"")</f>
        <v/>
      </c>
      <c r="K9" s="21">
        <f>IFERROR(IF(OR(D9="",Bonds_Live!Q8="",Bonds_Live!S8=""),"",D9 + (-Bonds_Live!Q8*(-100)/100 + Bonds_Live!S8*POWER(-100,2)/2000000)),"")</f>
        <v/>
      </c>
      <c r="L9" s="21">
        <f>IFERROR(IF(OR(D9="",Bonds_Live!Q8="",Bonds_Live!S8=""),"",D9 + (-Bonds_Live!Q8*(-50)/100 + Bonds_Live!S8*POWER(-50,2)/2000000)),"")</f>
        <v/>
      </c>
      <c r="M9" s="21">
        <f>IFERROR(IF(OR(D9="",Bonds_Live!Q8="",Bonds_Live!S8=""),"",D9 + (-Bonds_Live!Q8*(0)/100 + Bonds_Live!S8*POWER(0,2)/2000000)),"")</f>
        <v/>
      </c>
      <c r="N9" s="21">
        <f>IFERROR(IF(OR(D9="",Bonds_Live!Q8="",Bonds_Live!S8=""),"",D9 + (-Bonds_Live!Q8*(50)/100 + Bonds_Live!S8*POWER(50,2)/2000000)),"")</f>
        <v/>
      </c>
      <c r="O9" s="21">
        <f>IFERROR(IF(OR(D9="",Bonds_Live!Q8="",Bonds_Live!S8=""),"",D9 + (-Bonds_Live!Q8*(-100)/100 + Bonds_Live!S8*POWER(-100,2)/2000000)),"")</f>
        <v/>
      </c>
      <c r="P9" s="21">
        <f>IFERROR(IF(OR(D9="",Bonds_Live!Q8="",Bonds_Live!S8=""),"",D9 + (-Bonds_Live!Q8*(-50)/100 + Bonds_Live!S8*POWER(-50,2)/2000000)),"")</f>
        <v/>
      </c>
      <c r="Q9" s="21">
        <f>IFERROR(IF(OR(D9="",Bonds_Live!Q8="",Bonds_Live!S8=""),"",D9 + (-Bonds_Live!Q8*(0)/100 + Bonds_Live!S8*POWER(0,2)/2000000)),"")</f>
        <v/>
      </c>
      <c r="R9" s="21">
        <f>IFERROR(IF(OR(D9="",Bonds_Live!Q8="",Bonds_Live!S8=""),"",D9 + (-Bonds_Live!Q8*(50)/100 + Bonds_Live!S8*POWER(50,2)/2000000)),"")</f>
        <v/>
      </c>
      <c r="S9" s="21">
        <f>IFERROR(IF(OR(D9="",Bonds_Live!Q8="",Bonds_Live!S8=""),"",D9 + (-Bonds_Live!Q8*(100)/100 + Bonds_Live!S8*POWER(100,2)/2000000)),"")</f>
        <v/>
      </c>
      <c r="T9" s="21">
        <f>IFERROR(IF(OR(D9="",Bonds_Live!Q8="",Bonds_Live!S8=""),"",D9 + (-Bonds_Live!Q8*(-50)/100 + Bonds_Live!S8*POWER(-50,2)/2000000)),"")</f>
        <v/>
      </c>
      <c r="U9" s="21">
        <f>IFERROR(IF(OR(D9="",Bonds_Live!Q8="",Bonds_Live!S8=""),"",D9 + (-Bonds_Live!Q8*(0)/100 + Bonds_Live!S8*POWER(0,2)/2000000)),"")</f>
        <v/>
      </c>
      <c r="V9" s="21">
        <f>IFERROR(IF(OR(D9="",Bonds_Live!Q8="",Bonds_Live!S8=""),"",D9 + (-Bonds_Live!Q8*(50)/100 + Bonds_Live!S8*POWER(50,2)/2000000)),"")</f>
        <v/>
      </c>
      <c r="W9" s="21">
        <f>IFERROR(IF(OR(D9="",Bonds_Live!Q8="",Bonds_Live!S8=""),"",D9 + (-Bonds_Live!Q8*(100)/100 + Bonds_Live!S8*POWER(100,2)/2000000)),"")</f>
        <v/>
      </c>
      <c r="X9" s="21">
        <f>IFERROR(IF(OR(D9="",Bonds_Live!Q8="",Bonds_Live!S8=""),"",D9 + (-Bonds_Live!Q8*(150)/100 + Bonds_Live!S8*POWER(150,2)/2000000)),"")</f>
        <v/>
      </c>
      <c r="Y9" s="21">
        <f>IFERROR(IF(OR(D9="",Bonds_Live!Q8="",Bonds_Live!S8=""),"",D9 + (-Bonds_Live!Q8*(0)/100 + Bonds_Live!S8*POWER(0,2)/2000000)),"")</f>
        <v/>
      </c>
      <c r="Z9" s="21">
        <f>IFERROR(IF(OR(D9="",Bonds_Live!Q8="",Bonds_Live!S8=""),"",D9 + (-Bonds_Live!Q8*(50)/100 + Bonds_Live!S8*POWER(50,2)/2000000)),"")</f>
        <v/>
      </c>
      <c r="AA9" s="21">
        <f>IFERROR(IF(OR(D9="",Bonds_Live!Q8="",Bonds_Live!S8=""),"",D9 + (-Bonds_Live!Q8*(100)/100 + Bonds_Live!S8*POWER(100,2)/2000000)),"")</f>
        <v/>
      </c>
      <c r="AB9" s="21">
        <f>IFERROR(IF(OR(D9="",Bonds_Live!Q8="",Bonds_Live!S8=""),"",D9 + (-Bonds_Live!Q8*(150)/100 + Bonds_Live!S8*POWER(150,2)/2000000)),"")</f>
        <v/>
      </c>
      <c r="AC9" s="21">
        <f>IFERROR(IF(OR(D9="",Bonds_Live!Q8="",Bonds_Live!S8=""),"",D9 + (-Bonds_Live!Q8*(200)/100 + Bonds_Live!S8*POWER(200,2)/2000000)),"")</f>
        <v/>
      </c>
    </row>
    <row r="10">
      <c r="A10" s="24">
        <f>Bonds_Static!A9</f>
        <v/>
      </c>
      <c r="B10" s="24">
        <f>Bonds_Static!C9</f>
        <v/>
      </c>
      <c r="C10" s="25">
        <f>IFERROR(Bonds_Static!G9,"")</f>
        <v/>
      </c>
      <c r="D10" s="11">
        <f>IFERROR(Carry_Roll!M9,"")</f>
        <v/>
      </c>
      <c r="E10" s="21">
        <f>IFERROR(IF(OR(D10="",Bonds_Live!Q9="",Bonds_Live!S9=""),"",D10 + (-Bonds_Live!Q9*(-200)/100 + Bonds_Live!S9*POWER(-200,2)/2000000)),"")</f>
        <v/>
      </c>
      <c r="F10" s="21">
        <f>IFERROR(IF(OR(D10="",Bonds_Live!Q9="",Bonds_Live!S9=""),"",D10 + (-Bonds_Live!Q9*(-150)/100 + Bonds_Live!S9*POWER(-150,2)/2000000)),"")</f>
        <v/>
      </c>
      <c r="G10" s="21">
        <f>IFERROR(IF(OR(D10="",Bonds_Live!Q9="",Bonds_Live!S9=""),"",D10 + (-Bonds_Live!Q9*(-100)/100 + Bonds_Live!S9*POWER(-100,2)/2000000)),"")</f>
        <v/>
      </c>
      <c r="H10" s="21">
        <f>IFERROR(IF(OR(D10="",Bonds_Live!Q9="",Bonds_Live!S9=""),"",D10 + (-Bonds_Live!Q9*(-50)/100 + Bonds_Live!S9*POWER(-50,2)/2000000)),"")</f>
        <v/>
      </c>
      <c r="I10" s="21">
        <f>IFERROR(IF(OR(D10="",Bonds_Live!Q9="",Bonds_Live!S9=""),"",D10 + (-Bonds_Live!Q9*(0)/100 + Bonds_Live!S9*POWER(0,2)/2000000)),"")</f>
        <v/>
      </c>
      <c r="J10" s="21">
        <f>IFERROR(IF(OR(D10="",Bonds_Live!Q9="",Bonds_Live!S9=""),"",D10 + (-Bonds_Live!Q9*(-150)/100 + Bonds_Live!S9*POWER(-150,2)/2000000)),"")</f>
        <v/>
      </c>
      <c r="K10" s="21">
        <f>IFERROR(IF(OR(D10="",Bonds_Live!Q9="",Bonds_Live!S9=""),"",D10 + (-Bonds_Live!Q9*(-100)/100 + Bonds_Live!S9*POWER(-100,2)/2000000)),"")</f>
        <v/>
      </c>
      <c r="L10" s="21">
        <f>IFERROR(IF(OR(D10="",Bonds_Live!Q9="",Bonds_Live!S9=""),"",D10 + (-Bonds_Live!Q9*(-50)/100 + Bonds_Live!S9*POWER(-50,2)/2000000)),"")</f>
        <v/>
      </c>
      <c r="M10" s="21">
        <f>IFERROR(IF(OR(D10="",Bonds_Live!Q9="",Bonds_Live!S9=""),"",D10 + (-Bonds_Live!Q9*(0)/100 + Bonds_Live!S9*POWER(0,2)/2000000)),"")</f>
        <v/>
      </c>
      <c r="N10" s="21">
        <f>IFERROR(IF(OR(D10="",Bonds_Live!Q9="",Bonds_Live!S9=""),"",D10 + (-Bonds_Live!Q9*(50)/100 + Bonds_Live!S9*POWER(50,2)/2000000)),"")</f>
        <v/>
      </c>
      <c r="O10" s="21">
        <f>IFERROR(IF(OR(D10="",Bonds_Live!Q9="",Bonds_Live!S9=""),"",D10 + (-Bonds_Live!Q9*(-100)/100 + Bonds_Live!S9*POWER(-100,2)/2000000)),"")</f>
        <v/>
      </c>
      <c r="P10" s="21">
        <f>IFERROR(IF(OR(D10="",Bonds_Live!Q9="",Bonds_Live!S9=""),"",D10 + (-Bonds_Live!Q9*(-50)/100 + Bonds_Live!S9*POWER(-50,2)/2000000)),"")</f>
        <v/>
      </c>
      <c r="Q10" s="21">
        <f>IFERROR(IF(OR(D10="",Bonds_Live!Q9="",Bonds_Live!S9=""),"",D10 + (-Bonds_Live!Q9*(0)/100 + Bonds_Live!S9*POWER(0,2)/2000000)),"")</f>
        <v/>
      </c>
      <c r="R10" s="21">
        <f>IFERROR(IF(OR(D10="",Bonds_Live!Q9="",Bonds_Live!S9=""),"",D10 + (-Bonds_Live!Q9*(50)/100 + Bonds_Live!S9*POWER(50,2)/2000000)),"")</f>
        <v/>
      </c>
      <c r="S10" s="21">
        <f>IFERROR(IF(OR(D10="",Bonds_Live!Q9="",Bonds_Live!S9=""),"",D10 + (-Bonds_Live!Q9*(100)/100 + Bonds_Live!S9*POWER(100,2)/2000000)),"")</f>
        <v/>
      </c>
      <c r="T10" s="21">
        <f>IFERROR(IF(OR(D10="",Bonds_Live!Q9="",Bonds_Live!S9=""),"",D10 + (-Bonds_Live!Q9*(-50)/100 + Bonds_Live!S9*POWER(-50,2)/2000000)),"")</f>
        <v/>
      </c>
      <c r="U10" s="21">
        <f>IFERROR(IF(OR(D10="",Bonds_Live!Q9="",Bonds_Live!S9=""),"",D10 + (-Bonds_Live!Q9*(0)/100 + Bonds_Live!S9*POWER(0,2)/2000000)),"")</f>
        <v/>
      </c>
      <c r="V10" s="21">
        <f>IFERROR(IF(OR(D10="",Bonds_Live!Q9="",Bonds_Live!S9=""),"",D10 + (-Bonds_Live!Q9*(50)/100 + Bonds_Live!S9*POWER(50,2)/2000000)),"")</f>
        <v/>
      </c>
      <c r="W10" s="21">
        <f>IFERROR(IF(OR(D10="",Bonds_Live!Q9="",Bonds_Live!S9=""),"",D10 + (-Bonds_Live!Q9*(100)/100 + Bonds_Live!S9*POWER(100,2)/2000000)),"")</f>
        <v/>
      </c>
      <c r="X10" s="21">
        <f>IFERROR(IF(OR(D10="",Bonds_Live!Q9="",Bonds_Live!S9=""),"",D10 + (-Bonds_Live!Q9*(150)/100 + Bonds_Live!S9*POWER(150,2)/2000000)),"")</f>
        <v/>
      </c>
      <c r="Y10" s="21">
        <f>IFERROR(IF(OR(D10="",Bonds_Live!Q9="",Bonds_Live!S9=""),"",D10 + (-Bonds_Live!Q9*(0)/100 + Bonds_Live!S9*POWER(0,2)/2000000)),"")</f>
        <v/>
      </c>
      <c r="Z10" s="21">
        <f>IFERROR(IF(OR(D10="",Bonds_Live!Q9="",Bonds_Live!S9=""),"",D10 + (-Bonds_Live!Q9*(50)/100 + Bonds_Live!S9*POWER(50,2)/2000000)),"")</f>
        <v/>
      </c>
      <c r="AA10" s="21">
        <f>IFERROR(IF(OR(D10="",Bonds_Live!Q9="",Bonds_Live!S9=""),"",D10 + (-Bonds_Live!Q9*(100)/100 + Bonds_Live!S9*POWER(100,2)/2000000)),"")</f>
        <v/>
      </c>
      <c r="AB10" s="21">
        <f>IFERROR(IF(OR(D10="",Bonds_Live!Q9="",Bonds_Live!S9=""),"",D10 + (-Bonds_Live!Q9*(150)/100 + Bonds_Live!S9*POWER(150,2)/2000000)),"")</f>
        <v/>
      </c>
      <c r="AC10" s="21">
        <f>IFERROR(IF(OR(D10="",Bonds_Live!Q9="",Bonds_Live!S9=""),"",D10 + (-Bonds_Live!Q9*(200)/100 + Bonds_Live!S9*POWER(200,2)/2000000)),"")</f>
        <v/>
      </c>
    </row>
    <row r="11">
      <c r="A11" s="24">
        <f>Bonds_Static!A10</f>
        <v/>
      </c>
      <c r="B11" s="24">
        <f>Bonds_Static!C10</f>
        <v/>
      </c>
      <c r="C11" s="25">
        <f>IFERROR(Bonds_Static!G10,"")</f>
        <v/>
      </c>
      <c r="D11" s="11">
        <f>IFERROR(Carry_Roll!M10,"")</f>
        <v/>
      </c>
      <c r="E11" s="21">
        <f>IFERROR(IF(OR(D11="",Bonds_Live!Q10="",Bonds_Live!S10=""),"",D11 + (-Bonds_Live!Q10*(-200)/100 + Bonds_Live!S10*POWER(-200,2)/2000000)),"")</f>
        <v/>
      </c>
      <c r="F11" s="21">
        <f>IFERROR(IF(OR(D11="",Bonds_Live!Q10="",Bonds_Live!S10=""),"",D11 + (-Bonds_Live!Q10*(-150)/100 + Bonds_Live!S10*POWER(-150,2)/2000000)),"")</f>
        <v/>
      </c>
      <c r="G11" s="21">
        <f>IFERROR(IF(OR(D11="",Bonds_Live!Q10="",Bonds_Live!S10=""),"",D11 + (-Bonds_Live!Q10*(-100)/100 + Bonds_Live!S10*POWER(-100,2)/2000000)),"")</f>
        <v/>
      </c>
      <c r="H11" s="21">
        <f>IFERROR(IF(OR(D11="",Bonds_Live!Q10="",Bonds_Live!S10=""),"",D11 + (-Bonds_Live!Q10*(-50)/100 + Bonds_Live!S10*POWER(-50,2)/2000000)),"")</f>
        <v/>
      </c>
      <c r="I11" s="21">
        <f>IFERROR(IF(OR(D11="",Bonds_Live!Q10="",Bonds_Live!S10=""),"",D11 + (-Bonds_Live!Q10*(0)/100 + Bonds_Live!S10*POWER(0,2)/2000000)),"")</f>
        <v/>
      </c>
      <c r="J11" s="21">
        <f>IFERROR(IF(OR(D11="",Bonds_Live!Q10="",Bonds_Live!S10=""),"",D11 + (-Bonds_Live!Q10*(-150)/100 + Bonds_Live!S10*POWER(-150,2)/2000000)),"")</f>
        <v/>
      </c>
      <c r="K11" s="21">
        <f>IFERROR(IF(OR(D11="",Bonds_Live!Q10="",Bonds_Live!S10=""),"",D11 + (-Bonds_Live!Q10*(-100)/100 + Bonds_Live!S10*POWER(-100,2)/2000000)),"")</f>
        <v/>
      </c>
      <c r="L11" s="21">
        <f>IFERROR(IF(OR(D11="",Bonds_Live!Q10="",Bonds_Live!S10=""),"",D11 + (-Bonds_Live!Q10*(-50)/100 + Bonds_Live!S10*POWER(-50,2)/2000000)),"")</f>
        <v/>
      </c>
      <c r="M11" s="21">
        <f>IFERROR(IF(OR(D11="",Bonds_Live!Q10="",Bonds_Live!S10=""),"",D11 + (-Bonds_Live!Q10*(0)/100 + Bonds_Live!S10*POWER(0,2)/2000000)),"")</f>
        <v/>
      </c>
      <c r="N11" s="21">
        <f>IFERROR(IF(OR(D11="",Bonds_Live!Q10="",Bonds_Live!S10=""),"",D11 + (-Bonds_Live!Q10*(50)/100 + Bonds_Live!S10*POWER(50,2)/2000000)),"")</f>
        <v/>
      </c>
      <c r="O11" s="21">
        <f>IFERROR(IF(OR(D11="",Bonds_Live!Q10="",Bonds_Live!S10=""),"",D11 + (-Bonds_Live!Q10*(-100)/100 + Bonds_Live!S10*POWER(-100,2)/2000000)),"")</f>
        <v/>
      </c>
      <c r="P11" s="21">
        <f>IFERROR(IF(OR(D11="",Bonds_Live!Q10="",Bonds_Live!S10=""),"",D11 + (-Bonds_Live!Q10*(-50)/100 + Bonds_Live!S10*POWER(-50,2)/2000000)),"")</f>
        <v/>
      </c>
      <c r="Q11" s="21">
        <f>IFERROR(IF(OR(D11="",Bonds_Live!Q10="",Bonds_Live!S10=""),"",D11 + (-Bonds_Live!Q10*(0)/100 + Bonds_Live!S10*POWER(0,2)/2000000)),"")</f>
        <v/>
      </c>
      <c r="R11" s="21">
        <f>IFERROR(IF(OR(D11="",Bonds_Live!Q10="",Bonds_Live!S10=""),"",D11 + (-Bonds_Live!Q10*(50)/100 + Bonds_Live!S10*POWER(50,2)/2000000)),"")</f>
        <v/>
      </c>
      <c r="S11" s="21">
        <f>IFERROR(IF(OR(D11="",Bonds_Live!Q10="",Bonds_Live!S10=""),"",D11 + (-Bonds_Live!Q10*(100)/100 + Bonds_Live!S10*POWER(100,2)/2000000)),"")</f>
        <v/>
      </c>
      <c r="T11" s="21">
        <f>IFERROR(IF(OR(D11="",Bonds_Live!Q10="",Bonds_Live!S10=""),"",D11 + (-Bonds_Live!Q10*(-50)/100 + Bonds_Live!S10*POWER(-50,2)/2000000)),"")</f>
        <v/>
      </c>
      <c r="U11" s="21">
        <f>IFERROR(IF(OR(D11="",Bonds_Live!Q10="",Bonds_Live!S10=""),"",D11 + (-Bonds_Live!Q10*(0)/100 + Bonds_Live!S10*POWER(0,2)/2000000)),"")</f>
        <v/>
      </c>
      <c r="V11" s="21">
        <f>IFERROR(IF(OR(D11="",Bonds_Live!Q10="",Bonds_Live!S10=""),"",D11 + (-Bonds_Live!Q10*(50)/100 + Bonds_Live!S10*POWER(50,2)/2000000)),"")</f>
        <v/>
      </c>
      <c r="W11" s="21">
        <f>IFERROR(IF(OR(D11="",Bonds_Live!Q10="",Bonds_Live!S10=""),"",D11 + (-Bonds_Live!Q10*(100)/100 + Bonds_Live!S10*POWER(100,2)/2000000)),"")</f>
        <v/>
      </c>
      <c r="X11" s="21">
        <f>IFERROR(IF(OR(D11="",Bonds_Live!Q10="",Bonds_Live!S10=""),"",D11 + (-Bonds_Live!Q10*(150)/100 + Bonds_Live!S10*POWER(150,2)/2000000)),"")</f>
        <v/>
      </c>
      <c r="Y11" s="21">
        <f>IFERROR(IF(OR(D11="",Bonds_Live!Q10="",Bonds_Live!S10=""),"",D11 + (-Bonds_Live!Q10*(0)/100 + Bonds_Live!S10*POWER(0,2)/2000000)),"")</f>
        <v/>
      </c>
      <c r="Z11" s="21">
        <f>IFERROR(IF(OR(D11="",Bonds_Live!Q10="",Bonds_Live!S10=""),"",D11 + (-Bonds_Live!Q10*(50)/100 + Bonds_Live!S10*POWER(50,2)/2000000)),"")</f>
        <v/>
      </c>
      <c r="AA11" s="21">
        <f>IFERROR(IF(OR(D11="",Bonds_Live!Q10="",Bonds_Live!S10=""),"",D11 + (-Bonds_Live!Q10*(100)/100 + Bonds_Live!S10*POWER(100,2)/2000000)),"")</f>
        <v/>
      </c>
      <c r="AB11" s="21">
        <f>IFERROR(IF(OR(D11="",Bonds_Live!Q10="",Bonds_Live!S10=""),"",D11 + (-Bonds_Live!Q10*(150)/100 + Bonds_Live!S10*POWER(150,2)/2000000)),"")</f>
        <v/>
      </c>
      <c r="AC11" s="21">
        <f>IFERROR(IF(OR(D11="",Bonds_Live!Q10="",Bonds_Live!S10=""),"",D11 + (-Bonds_Live!Q10*(200)/100 + Bonds_Live!S10*POWER(200,2)/2000000)),"")</f>
        <v/>
      </c>
    </row>
    <row r="12">
      <c r="A12" s="24">
        <f>Bonds_Static!A11</f>
        <v/>
      </c>
      <c r="B12" s="24">
        <f>Bonds_Static!C11</f>
        <v/>
      </c>
      <c r="C12" s="25">
        <f>IFERROR(Bonds_Static!G11,"")</f>
        <v/>
      </c>
      <c r="D12" s="11">
        <f>IFERROR(Carry_Roll!M11,"")</f>
        <v/>
      </c>
      <c r="E12" s="21">
        <f>IFERROR(IF(OR(D12="",Bonds_Live!Q11="",Bonds_Live!S11=""),"",D12 + (-Bonds_Live!Q11*(-200)/100 + Bonds_Live!S11*POWER(-200,2)/2000000)),"")</f>
        <v/>
      </c>
      <c r="F12" s="21">
        <f>IFERROR(IF(OR(D12="",Bonds_Live!Q11="",Bonds_Live!S11=""),"",D12 + (-Bonds_Live!Q11*(-150)/100 + Bonds_Live!S11*POWER(-150,2)/2000000)),"")</f>
        <v/>
      </c>
      <c r="G12" s="21">
        <f>IFERROR(IF(OR(D12="",Bonds_Live!Q11="",Bonds_Live!S11=""),"",D12 + (-Bonds_Live!Q11*(-100)/100 + Bonds_Live!S11*POWER(-100,2)/2000000)),"")</f>
        <v/>
      </c>
      <c r="H12" s="21">
        <f>IFERROR(IF(OR(D12="",Bonds_Live!Q11="",Bonds_Live!S11=""),"",D12 + (-Bonds_Live!Q11*(-50)/100 + Bonds_Live!S11*POWER(-50,2)/2000000)),"")</f>
        <v/>
      </c>
      <c r="I12" s="21">
        <f>IFERROR(IF(OR(D12="",Bonds_Live!Q11="",Bonds_Live!S11=""),"",D12 + (-Bonds_Live!Q11*(0)/100 + Bonds_Live!S11*POWER(0,2)/2000000)),"")</f>
        <v/>
      </c>
      <c r="J12" s="21">
        <f>IFERROR(IF(OR(D12="",Bonds_Live!Q11="",Bonds_Live!S11=""),"",D12 + (-Bonds_Live!Q11*(-150)/100 + Bonds_Live!S11*POWER(-150,2)/2000000)),"")</f>
        <v/>
      </c>
      <c r="K12" s="21">
        <f>IFERROR(IF(OR(D12="",Bonds_Live!Q11="",Bonds_Live!S11=""),"",D12 + (-Bonds_Live!Q11*(-100)/100 + Bonds_Live!S11*POWER(-100,2)/2000000)),"")</f>
        <v/>
      </c>
      <c r="L12" s="21">
        <f>IFERROR(IF(OR(D12="",Bonds_Live!Q11="",Bonds_Live!S11=""),"",D12 + (-Bonds_Live!Q11*(-50)/100 + Bonds_Live!S11*POWER(-50,2)/2000000)),"")</f>
        <v/>
      </c>
      <c r="M12" s="21">
        <f>IFERROR(IF(OR(D12="",Bonds_Live!Q11="",Bonds_Live!S11=""),"",D12 + (-Bonds_Live!Q11*(0)/100 + Bonds_Live!S11*POWER(0,2)/2000000)),"")</f>
        <v/>
      </c>
      <c r="N12" s="21">
        <f>IFERROR(IF(OR(D12="",Bonds_Live!Q11="",Bonds_Live!S11=""),"",D12 + (-Bonds_Live!Q11*(50)/100 + Bonds_Live!S11*POWER(50,2)/2000000)),"")</f>
        <v/>
      </c>
      <c r="O12" s="21">
        <f>IFERROR(IF(OR(D12="",Bonds_Live!Q11="",Bonds_Live!S11=""),"",D12 + (-Bonds_Live!Q11*(-100)/100 + Bonds_Live!S11*POWER(-100,2)/2000000)),"")</f>
        <v/>
      </c>
      <c r="P12" s="21">
        <f>IFERROR(IF(OR(D12="",Bonds_Live!Q11="",Bonds_Live!S11=""),"",D12 + (-Bonds_Live!Q11*(-50)/100 + Bonds_Live!S11*POWER(-50,2)/2000000)),"")</f>
        <v/>
      </c>
      <c r="Q12" s="21">
        <f>IFERROR(IF(OR(D12="",Bonds_Live!Q11="",Bonds_Live!S11=""),"",D12 + (-Bonds_Live!Q11*(0)/100 + Bonds_Live!S11*POWER(0,2)/2000000)),"")</f>
        <v/>
      </c>
      <c r="R12" s="21">
        <f>IFERROR(IF(OR(D12="",Bonds_Live!Q11="",Bonds_Live!S11=""),"",D12 + (-Bonds_Live!Q11*(50)/100 + Bonds_Live!S11*POWER(50,2)/2000000)),"")</f>
        <v/>
      </c>
      <c r="S12" s="21">
        <f>IFERROR(IF(OR(D12="",Bonds_Live!Q11="",Bonds_Live!S11=""),"",D12 + (-Bonds_Live!Q11*(100)/100 + Bonds_Live!S11*POWER(100,2)/2000000)),"")</f>
        <v/>
      </c>
      <c r="T12" s="21">
        <f>IFERROR(IF(OR(D12="",Bonds_Live!Q11="",Bonds_Live!S11=""),"",D12 + (-Bonds_Live!Q11*(-50)/100 + Bonds_Live!S11*POWER(-50,2)/2000000)),"")</f>
        <v/>
      </c>
      <c r="U12" s="21">
        <f>IFERROR(IF(OR(D12="",Bonds_Live!Q11="",Bonds_Live!S11=""),"",D12 + (-Bonds_Live!Q11*(0)/100 + Bonds_Live!S11*POWER(0,2)/2000000)),"")</f>
        <v/>
      </c>
      <c r="V12" s="21">
        <f>IFERROR(IF(OR(D12="",Bonds_Live!Q11="",Bonds_Live!S11=""),"",D12 + (-Bonds_Live!Q11*(50)/100 + Bonds_Live!S11*POWER(50,2)/2000000)),"")</f>
        <v/>
      </c>
      <c r="W12" s="21">
        <f>IFERROR(IF(OR(D12="",Bonds_Live!Q11="",Bonds_Live!S11=""),"",D12 + (-Bonds_Live!Q11*(100)/100 + Bonds_Live!S11*POWER(100,2)/2000000)),"")</f>
        <v/>
      </c>
      <c r="X12" s="21">
        <f>IFERROR(IF(OR(D12="",Bonds_Live!Q11="",Bonds_Live!S11=""),"",D12 + (-Bonds_Live!Q11*(150)/100 + Bonds_Live!S11*POWER(150,2)/2000000)),"")</f>
        <v/>
      </c>
      <c r="Y12" s="21">
        <f>IFERROR(IF(OR(D12="",Bonds_Live!Q11="",Bonds_Live!S11=""),"",D12 + (-Bonds_Live!Q11*(0)/100 + Bonds_Live!S11*POWER(0,2)/2000000)),"")</f>
        <v/>
      </c>
      <c r="Z12" s="21">
        <f>IFERROR(IF(OR(D12="",Bonds_Live!Q11="",Bonds_Live!S11=""),"",D12 + (-Bonds_Live!Q11*(50)/100 + Bonds_Live!S11*POWER(50,2)/2000000)),"")</f>
        <v/>
      </c>
      <c r="AA12" s="21">
        <f>IFERROR(IF(OR(D12="",Bonds_Live!Q11="",Bonds_Live!S11=""),"",D12 + (-Bonds_Live!Q11*(100)/100 + Bonds_Live!S11*POWER(100,2)/2000000)),"")</f>
        <v/>
      </c>
      <c r="AB12" s="21">
        <f>IFERROR(IF(OR(D12="",Bonds_Live!Q11="",Bonds_Live!S11=""),"",D12 + (-Bonds_Live!Q11*(150)/100 + Bonds_Live!S11*POWER(150,2)/2000000)),"")</f>
        <v/>
      </c>
      <c r="AC12" s="21">
        <f>IFERROR(IF(OR(D12="",Bonds_Live!Q11="",Bonds_Live!S11=""),"",D12 + (-Bonds_Live!Q11*(200)/100 + Bonds_Live!S11*POWER(200,2)/2000000)),"")</f>
        <v/>
      </c>
    </row>
    <row r="13">
      <c r="A13" s="24">
        <f>Bonds_Static!A12</f>
        <v/>
      </c>
      <c r="B13" s="24">
        <f>Bonds_Static!C12</f>
        <v/>
      </c>
      <c r="C13" s="25">
        <f>IFERROR(Bonds_Static!G12,"")</f>
        <v/>
      </c>
      <c r="D13" s="11">
        <f>IFERROR(Carry_Roll!M12,"")</f>
        <v/>
      </c>
      <c r="E13" s="21">
        <f>IFERROR(IF(OR(D13="",Bonds_Live!Q12="",Bonds_Live!S12=""),"",D13 + (-Bonds_Live!Q12*(-200)/100 + Bonds_Live!S12*POWER(-200,2)/2000000)),"")</f>
        <v/>
      </c>
      <c r="F13" s="21">
        <f>IFERROR(IF(OR(D13="",Bonds_Live!Q12="",Bonds_Live!S12=""),"",D13 + (-Bonds_Live!Q12*(-150)/100 + Bonds_Live!S12*POWER(-150,2)/2000000)),"")</f>
        <v/>
      </c>
      <c r="G13" s="21">
        <f>IFERROR(IF(OR(D13="",Bonds_Live!Q12="",Bonds_Live!S12=""),"",D13 + (-Bonds_Live!Q12*(-100)/100 + Bonds_Live!S12*POWER(-100,2)/2000000)),"")</f>
        <v/>
      </c>
      <c r="H13" s="21">
        <f>IFERROR(IF(OR(D13="",Bonds_Live!Q12="",Bonds_Live!S12=""),"",D13 + (-Bonds_Live!Q12*(-50)/100 + Bonds_Live!S12*POWER(-50,2)/2000000)),"")</f>
        <v/>
      </c>
      <c r="I13" s="21">
        <f>IFERROR(IF(OR(D13="",Bonds_Live!Q12="",Bonds_Live!S12=""),"",D13 + (-Bonds_Live!Q12*(0)/100 + Bonds_Live!S12*POWER(0,2)/2000000)),"")</f>
        <v/>
      </c>
      <c r="J13" s="21">
        <f>IFERROR(IF(OR(D13="",Bonds_Live!Q12="",Bonds_Live!S12=""),"",D13 + (-Bonds_Live!Q12*(-150)/100 + Bonds_Live!S12*POWER(-150,2)/2000000)),"")</f>
        <v/>
      </c>
      <c r="K13" s="21">
        <f>IFERROR(IF(OR(D13="",Bonds_Live!Q12="",Bonds_Live!S12=""),"",D13 + (-Bonds_Live!Q12*(-100)/100 + Bonds_Live!S12*POWER(-100,2)/2000000)),"")</f>
        <v/>
      </c>
      <c r="L13" s="21">
        <f>IFERROR(IF(OR(D13="",Bonds_Live!Q12="",Bonds_Live!S12=""),"",D13 + (-Bonds_Live!Q12*(-50)/100 + Bonds_Live!S12*POWER(-50,2)/2000000)),"")</f>
        <v/>
      </c>
      <c r="M13" s="21">
        <f>IFERROR(IF(OR(D13="",Bonds_Live!Q12="",Bonds_Live!S12=""),"",D13 + (-Bonds_Live!Q12*(0)/100 + Bonds_Live!S12*POWER(0,2)/2000000)),"")</f>
        <v/>
      </c>
      <c r="N13" s="21">
        <f>IFERROR(IF(OR(D13="",Bonds_Live!Q12="",Bonds_Live!S12=""),"",D13 + (-Bonds_Live!Q12*(50)/100 + Bonds_Live!S12*POWER(50,2)/2000000)),"")</f>
        <v/>
      </c>
      <c r="O13" s="21">
        <f>IFERROR(IF(OR(D13="",Bonds_Live!Q12="",Bonds_Live!S12=""),"",D13 + (-Bonds_Live!Q12*(-100)/100 + Bonds_Live!S12*POWER(-100,2)/2000000)),"")</f>
        <v/>
      </c>
      <c r="P13" s="21">
        <f>IFERROR(IF(OR(D13="",Bonds_Live!Q12="",Bonds_Live!S12=""),"",D13 + (-Bonds_Live!Q12*(-50)/100 + Bonds_Live!S12*POWER(-50,2)/2000000)),"")</f>
        <v/>
      </c>
      <c r="Q13" s="21">
        <f>IFERROR(IF(OR(D13="",Bonds_Live!Q12="",Bonds_Live!S12=""),"",D13 + (-Bonds_Live!Q12*(0)/100 + Bonds_Live!S12*POWER(0,2)/2000000)),"")</f>
        <v/>
      </c>
      <c r="R13" s="21">
        <f>IFERROR(IF(OR(D13="",Bonds_Live!Q12="",Bonds_Live!S12=""),"",D13 + (-Bonds_Live!Q12*(50)/100 + Bonds_Live!S12*POWER(50,2)/2000000)),"")</f>
        <v/>
      </c>
      <c r="S13" s="21">
        <f>IFERROR(IF(OR(D13="",Bonds_Live!Q12="",Bonds_Live!S12=""),"",D13 + (-Bonds_Live!Q12*(100)/100 + Bonds_Live!S12*POWER(100,2)/2000000)),"")</f>
        <v/>
      </c>
      <c r="T13" s="21">
        <f>IFERROR(IF(OR(D13="",Bonds_Live!Q12="",Bonds_Live!S12=""),"",D13 + (-Bonds_Live!Q12*(-50)/100 + Bonds_Live!S12*POWER(-50,2)/2000000)),"")</f>
        <v/>
      </c>
      <c r="U13" s="21">
        <f>IFERROR(IF(OR(D13="",Bonds_Live!Q12="",Bonds_Live!S12=""),"",D13 + (-Bonds_Live!Q12*(0)/100 + Bonds_Live!S12*POWER(0,2)/2000000)),"")</f>
        <v/>
      </c>
      <c r="V13" s="21">
        <f>IFERROR(IF(OR(D13="",Bonds_Live!Q12="",Bonds_Live!S12=""),"",D13 + (-Bonds_Live!Q12*(50)/100 + Bonds_Live!S12*POWER(50,2)/2000000)),"")</f>
        <v/>
      </c>
      <c r="W13" s="21">
        <f>IFERROR(IF(OR(D13="",Bonds_Live!Q12="",Bonds_Live!S12=""),"",D13 + (-Bonds_Live!Q12*(100)/100 + Bonds_Live!S12*POWER(100,2)/2000000)),"")</f>
        <v/>
      </c>
      <c r="X13" s="21">
        <f>IFERROR(IF(OR(D13="",Bonds_Live!Q12="",Bonds_Live!S12=""),"",D13 + (-Bonds_Live!Q12*(150)/100 + Bonds_Live!S12*POWER(150,2)/2000000)),"")</f>
        <v/>
      </c>
      <c r="Y13" s="21">
        <f>IFERROR(IF(OR(D13="",Bonds_Live!Q12="",Bonds_Live!S12=""),"",D13 + (-Bonds_Live!Q12*(0)/100 + Bonds_Live!S12*POWER(0,2)/2000000)),"")</f>
        <v/>
      </c>
      <c r="Z13" s="21">
        <f>IFERROR(IF(OR(D13="",Bonds_Live!Q12="",Bonds_Live!S12=""),"",D13 + (-Bonds_Live!Q12*(50)/100 + Bonds_Live!S12*POWER(50,2)/2000000)),"")</f>
        <v/>
      </c>
      <c r="AA13" s="21">
        <f>IFERROR(IF(OR(D13="",Bonds_Live!Q12="",Bonds_Live!S12=""),"",D13 + (-Bonds_Live!Q12*(100)/100 + Bonds_Live!S12*POWER(100,2)/2000000)),"")</f>
        <v/>
      </c>
      <c r="AB13" s="21">
        <f>IFERROR(IF(OR(D13="",Bonds_Live!Q12="",Bonds_Live!S12=""),"",D13 + (-Bonds_Live!Q12*(150)/100 + Bonds_Live!S12*POWER(150,2)/2000000)),"")</f>
        <v/>
      </c>
      <c r="AC13" s="21">
        <f>IFERROR(IF(OR(D13="",Bonds_Live!Q12="",Bonds_Live!S12=""),"",D13 + (-Bonds_Live!Q12*(200)/100 + Bonds_Live!S12*POWER(200,2)/2000000)),"")</f>
        <v/>
      </c>
    </row>
    <row r="14">
      <c r="A14" s="24">
        <f>Bonds_Static!A13</f>
        <v/>
      </c>
      <c r="B14" s="24">
        <f>Bonds_Static!C13</f>
        <v/>
      </c>
      <c r="C14" s="25">
        <f>IFERROR(Bonds_Static!G13,"")</f>
        <v/>
      </c>
      <c r="D14" s="11">
        <f>IFERROR(Carry_Roll!M13,"")</f>
        <v/>
      </c>
      <c r="E14" s="21">
        <f>IFERROR(IF(OR(D14="",Bonds_Live!Q13="",Bonds_Live!S13=""),"",D14 + (-Bonds_Live!Q13*(-200)/100 + Bonds_Live!S13*POWER(-200,2)/2000000)),"")</f>
        <v/>
      </c>
      <c r="F14" s="21">
        <f>IFERROR(IF(OR(D14="",Bonds_Live!Q13="",Bonds_Live!S13=""),"",D14 + (-Bonds_Live!Q13*(-150)/100 + Bonds_Live!S13*POWER(-150,2)/2000000)),"")</f>
        <v/>
      </c>
      <c r="G14" s="21">
        <f>IFERROR(IF(OR(D14="",Bonds_Live!Q13="",Bonds_Live!S13=""),"",D14 + (-Bonds_Live!Q13*(-100)/100 + Bonds_Live!S13*POWER(-100,2)/2000000)),"")</f>
        <v/>
      </c>
      <c r="H14" s="21">
        <f>IFERROR(IF(OR(D14="",Bonds_Live!Q13="",Bonds_Live!S13=""),"",D14 + (-Bonds_Live!Q13*(-50)/100 + Bonds_Live!S13*POWER(-50,2)/2000000)),"")</f>
        <v/>
      </c>
      <c r="I14" s="21">
        <f>IFERROR(IF(OR(D14="",Bonds_Live!Q13="",Bonds_Live!S13=""),"",D14 + (-Bonds_Live!Q13*(0)/100 + Bonds_Live!S13*POWER(0,2)/2000000)),"")</f>
        <v/>
      </c>
      <c r="J14" s="21">
        <f>IFERROR(IF(OR(D14="",Bonds_Live!Q13="",Bonds_Live!S13=""),"",D14 + (-Bonds_Live!Q13*(-150)/100 + Bonds_Live!S13*POWER(-150,2)/2000000)),"")</f>
        <v/>
      </c>
      <c r="K14" s="21">
        <f>IFERROR(IF(OR(D14="",Bonds_Live!Q13="",Bonds_Live!S13=""),"",D14 + (-Bonds_Live!Q13*(-100)/100 + Bonds_Live!S13*POWER(-100,2)/2000000)),"")</f>
        <v/>
      </c>
      <c r="L14" s="21">
        <f>IFERROR(IF(OR(D14="",Bonds_Live!Q13="",Bonds_Live!S13=""),"",D14 + (-Bonds_Live!Q13*(-50)/100 + Bonds_Live!S13*POWER(-50,2)/2000000)),"")</f>
        <v/>
      </c>
      <c r="M14" s="21">
        <f>IFERROR(IF(OR(D14="",Bonds_Live!Q13="",Bonds_Live!S13=""),"",D14 + (-Bonds_Live!Q13*(0)/100 + Bonds_Live!S13*POWER(0,2)/2000000)),"")</f>
        <v/>
      </c>
      <c r="N14" s="21">
        <f>IFERROR(IF(OR(D14="",Bonds_Live!Q13="",Bonds_Live!S13=""),"",D14 + (-Bonds_Live!Q13*(50)/100 + Bonds_Live!S13*POWER(50,2)/2000000)),"")</f>
        <v/>
      </c>
      <c r="O14" s="21">
        <f>IFERROR(IF(OR(D14="",Bonds_Live!Q13="",Bonds_Live!S13=""),"",D14 + (-Bonds_Live!Q13*(-100)/100 + Bonds_Live!S13*POWER(-100,2)/2000000)),"")</f>
        <v/>
      </c>
      <c r="P14" s="21">
        <f>IFERROR(IF(OR(D14="",Bonds_Live!Q13="",Bonds_Live!S13=""),"",D14 + (-Bonds_Live!Q13*(-50)/100 + Bonds_Live!S13*POWER(-50,2)/2000000)),"")</f>
        <v/>
      </c>
      <c r="Q14" s="21">
        <f>IFERROR(IF(OR(D14="",Bonds_Live!Q13="",Bonds_Live!S13=""),"",D14 + (-Bonds_Live!Q13*(0)/100 + Bonds_Live!S13*POWER(0,2)/2000000)),"")</f>
        <v/>
      </c>
      <c r="R14" s="21">
        <f>IFERROR(IF(OR(D14="",Bonds_Live!Q13="",Bonds_Live!S13=""),"",D14 + (-Bonds_Live!Q13*(50)/100 + Bonds_Live!S13*POWER(50,2)/2000000)),"")</f>
        <v/>
      </c>
      <c r="S14" s="21">
        <f>IFERROR(IF(OR(D14="",Bonds_Live!Q13="",Bonds_Live!S13=""),"",D14 + (-Bonds_Live!Q13*(100)/100 + Bonds_Live!S13*POWER(100,2)/2000000)),"")</f>
        <v/>
      </c>
      <c r="T14" s="21">
        <f>IFERROR(IF(OR(D14="",Bonds_Live!Q13="",Bonds_Live!S13=""),"",D14 + (-Bonds_Live!Q13*(-50)/100 + Bonds_Live!S13*POWER(-50,2)/2000000)),"")</f>
        <v/>
      </c>
      <c r="U14" s="21">
        <f>IFERROR(IF(OR(D14="",Bonds_Live!Q13="",Bonds_Live!S13=""),"",D14 + (-Bonds_Live!Q13*(0)/100 + Bonds_Live!S13*POWER(0,2)/2000000)),"")</f>
        <v/>
      </c>
      <c r="V14" s="21">
        <f>IFERROR(IF(OR(D14="",Bonds_Live!Q13="",Bonds_Live!S13=""),"",D14 + (-Bonds_Live!Q13*(50)/100 + Bonds_Live!S13*POWER(50,2)/2000000)),"")</f>
        <v/>
      </c>
      <c r="W14" s="21">
        <f>IFERROR(IF(OR(D14="",Bonds_Live!Q13="",Bonds_Live!S13=""),"",D14 + (-Bonds_Live!Q13*(100)/100 + Bonds_Live!S13*POWER(100,2)/2000000)),"")</f>
        <v/>
      </c>
      <c r="X14" s="21">
        <f>IFERROR(IF(OR(D14="",Bonds_Live!Q13="",Bonds_Live!S13=""),"",D14 + (-Bonds_Live!Q13*(150)/100 + Bonds_Live!S13*POWER(150,2)/2000000)),"")</f>
        <v/>
      </c>
      <c r="Y14" s="21">
        <f>IFERROR(IF(OR(D14="",Bonds_Live!Q13="",Bonds_Live!S13=""),"",D14 + (-Bonds_Live!Q13*(0)/100 + Bonds_Live!S13*POWER(0,2)/2000000)),"")</f>
        <v/>
      </c>
      <c r="Z14" s="21">
        <f>IFERROR(IF(OR(D14="",Bonds_Live!Q13="",Bonds_Live!S13=""),"",D14 + (-Bonds_Live!Q13*(50)/100 + Bonds_Live!S13*POWER(50,2)/2000000)),"")</f>
        <v/>
      </c>
      <c r="AA14" s="21">
        <f>IFERROR(IF(OR(D14="",Bonds_Live!Q13="",Bonds_Live!S13=""),"",D14 + (-Bonds_Live!Q13*(100)/100 + Bonds_Live!S13*POWER(100,2)/2000000)),"")</f>
        <v/>
      </c>
      <c r="AB14" s="21">
        <f>IFERROR(IF(OR(D14="",Bonds_Live!Q13="",Bonds_Live!S13=""),"",D14 + (-Bonds_Live!Q13*(150)/100 + Bonds_Live!S13*POWER(150,2)/2000000)),"")</f>
        <v/>
      </c>
      <c r="AC14" s="21">
        <f>IFERROR(IF(OR(D14="",Bonds_Live!Q13="",Bonds_Live!S13=""),"",D14 + (-Bonds_Live!Q13*(200)/100 + Bonds_Live!S13*POWER(200,2)/2000000)),"")</f>
        <v/>
      </c>
    </row>
    <row r="15">
      <c r="A15" s="24">
        <f>Bonds_Static!A14</f>
        <v/>
      </c>
      <c r="B15" s="24">
        <f>Bonds_Static!C14</f>
        <v/>
      </c>
      <c r="C15" s="25">
        <f>IFERROR(Bonds_Static!G14,"")</f>
        <v/>
      </c>
      <c r="D15" s="11">
        <f>IFERROR(Carry_Roll!M14,"")</f>
        <v/>
      </c>
      <c r="E15" s="21">
        <f>IFERROR(IF(OR(D15="",Bonds_Live!Q14="",Bonds_Live!S14=""),"",D15 + (-Bonds_Live!Q14*(-200)/100 + Bonds_Live!S14*POWER(-200,2)/2000000)),"")</f>
        <v/>
      </c>
      <c r="F15" s="21">
        <f>IFERROR(IF(OR(D15="",Bonds_Live!Q14="",Bonds_Live!S14=""),"",D15 + (-Bonds_Live!Q14*(-150)/100 + Bonds_Live!S14*POWER(-150,2)/2000000)),"")</f>
        <v/>
      </c>
      <c r="G15" s="21">
        <f>IFERROR(IF(OR(D15="",Bonds_Live!Q14="",Bonds_Live!S14=""),"",D15 + (-Bonds_Live!Q14*(-100)/100 + Bonds_Live!S14*POWER(-100,2)/2000000)),"")</f>
        <v/>
      </c>
      <c r="H15" s="21">
        <f>IFERROR(IF(OR(D15="",Bonds_Live!Q14="",Bonds_Live!S14=""),"",D15 + (-Bonds_Live!Q14*(-50)/100 + Bonds_Live!S14*POWER(-50,2)/2000000)),"")</f>
        <v/>
      </c>
      <c r="I15" s="21">
        <f>IFERROR(IF(OR(D15="",Bonds_Live!Q14="",Bonds_Live!S14=""),"",D15 + (-Bonds_Live!Q14*(0)/100 + Bonds_Live!S14*POWER(0,2)/2000000)),"")</f>
        <v/>
      </c>
      <c r="J15" s="21">
        <f>IFERROR(IF(OR(D15="",Bonds_Live!Q14="",Bonds_Live!S14=""),"",D15 + (-Bonds_Live!Q14*(-150)/100 + Bonds_Live!S14*POWER(-150,2)/2000000)),"")</f>
        <v/>
      </c>
      <c r="K15" s="21">
        <f>IFERROR(IF(OR(D15="",Bonds_Live!Q14="",Bonds_Live!S14=""),"",D15 + (-Bonds_Live!Q14*(-100)/100 + Bonds_Live!S14*POWER(-100,2)/2000000)),"")</f>
        <v/>
      </c>
      <c r="L15" s="21">
        <f>IFERROR(IF(OR(D15="",Bonds_Live!Q14="",Bonds_Live!S14=""),"",D15 + (-Bonds_Live!Q14*(-50)/100 + Bonds_Live!S14*POWER(-50,2)/2000000)),"")</f>
        <v/>
      </c>
      <c r="M15" s="21">
        <f>IFERROR(IF(OR(D15="",Bonds_Live!Q14="",Bonds_Live!S14=""),"",D15 + (-Bonds_Live!Q14*(0)/100 + Bonds_Live!S14*POWER(0,2)/2000000)),"")</f>
        <v/>
      </c>
      <c r="N15" s="21">
        <f>IFERROR(IF(OR(D15="",Bonds_Live!Q14="",Bonds_Live!S14=""),"",D15 + (-Bonds_Live!Q14*(50)/100 + Bonds_Live!S14*POWER(50,2)/2000000)),"")</f>
        <v/>
      </c>
      <c r="O15" s="21">
        <f>IFERROR(IF(OR(D15="",Bonds_Live!Q14="",Bonds_Live!S14=""),"",D15 + (-Bonds_Live!Q14*(-100)/100 + Bonds_Live!S14*POWER(-100,2)/2000000)),"")</f>
        <v/>
      </c>
      <c r="P15" s="21">
        <f>IFERROR(IF(OR(D15="",Bonds_Live!Q14="",Bonds_Live!S14=""),"",D15 + (-Bonds_Live!Q14*(-50)/100 + Bonds_Live!S14*POWER(-50,2)/2000000)),"")</f>
        <v/>
      </c>
      <c r="Q15" s="21">
        <f>IFERROR(IF(OR(D15="",Bonds_Live!Q14="",Bonds_Live!S14=""),"",D15 + (-Bonds_Live!Q14*(0)/100 + Bonds_Live!S14*POWER(0,2)/2000000)),"")</f>
        <v/>
      </c>
      <c r="R15" s="21">
        <f>IFERROR(IF(OR(D15="",Bonds_Live!Q14="",Bonds_Live!S14=""),"",D15 + (-Bonds_Live!Q14*(50)/100 + Bonds_Live!S14*POWER(50,2)/2000000)),"")</f>
        <v/>
      </c>
      <c r="S15" s="21">
        <f>IFERROR(IF(OR(D15="",Bonds_Live!Q14="",Bonds_Live!S14=""),"",D15 + (-Bonds_Live!Q14*(100)/100 + Bonds_Live!S14*POWER(100,2)/2000000)),"")</f>
        <v/>
      </c>
      <c r="T15" s="21">
        <f>IFERROR(IF(OR(D15="",Bonds_Live!Q14="",Bonds_Live!S14=""),"",D15 + (-Bonds_Live!Q14*(-50)/100 + Bonds_Live!S14*POWER(-50,2)/2000000)),"")</f>
        <v/>
      </c>
      <c r="U15" s="21">
        <f>IFERROR(IF(OR(D15="",Bonds_Live!Q14="",Bonds_Live!S14=""),"",D15 + (-Bonds_Live!Q14*(0)/100 + Bonds_Live!S14*POWER(0,2)/2000000)),"")</f>
        <v/>
      </c>
      <c r="V15" s="21">
        <f>IFERROR(IF(OR(D15="",Bonds_Live!Q14="",Bonds_Live!S14=""),"",D15 + (-Bonds_Live!Q14*(50)/100 + Bonds_Live!S14*POWER(50,2)/2000000)),"")</f>
        <v/>
      </c>
      <c r="W15" s="21">
        <f>IFERROR(IF(OR(D15="",Bonds_Live!Q14="",Bonds_Live!S14=""),"",D15 + (-Bonds_Live!Q14*(100)/100 + Bonds_Live!S14*POWER(100,2)/2000000)),"")</f>
        <v/>
      </c>
      <c r="X15" s="21">
        <f>IFERROR(IF(OR(D15="",Bonds_Live!Q14="",Bonds_Live!S14=""),"",D15 + (-Bonds_Live!Q14*(150)/100 + Bonds_Live!S14*POWER(150,2)/2000000)),"")</f>
        <v/>
      </c>
      <c r="Y15" s="21">
        <f>IFERROR(IF(OR(D15="",Bonds_Live!Q14="",Bonds_Live!S14=""),"",D15 + (-Bonds_Live!Q14*(0)/100 + Bonds_Live!S14*POWER(0,2)/2000000)),"")</f>
        <v/>
      </c>
      <c r="Z15" s="21">
        <f>IFERROR(IF(OR(D15="",Bonds_Live!Q14="",Bonds_Live!S14=""),"",D15 + (-Bonds_Live!Q14*(50)/100 + Bonds_Live!S14*POWER(50,2)/2000000)),"")</f>
        <v/>
      </c>
      <c r="AA15" s="21">
        <f>IFERROR(IF(OR(D15="",Bonds_Live!Q14="",Bonds_Live!S14=""),"",D15 + (-Bonds_Live!Q14*(100)/100 + Bonds_Live!S14*POWER(100,2)/2000000)),"")</f>
        <v/>
      </c>
      <c r="AB15" s="21">
        <f>IFERROR(IF(OR(D15="",Bonds_Live!Q14="",Bonds_Live!S14=""),"",D15 + (-Bonds_Live!Q14*(150)/100 + Bonds_Live!S14*POWER(150,2)/2000000)),"")</f>
        <v/>
      </c>
      <c r="AC15" s="21">
        <f>IFERROR(IF(OR(D15="",Bonds_Live!Q14="",Bonds_Live!S14=""),"",D15 + (-Bonds_Live!Q14*(200)/100 + Bonds_Live!S14*POWER(200,2)/2000000)),"")</f>
        <v/>
      </c>
    </row>
    <row r="16">
      <c r="A16" s="24">
        <f>Bonds_Static!A15</f>
        <v/>
      </c>
      <c r="B16" s="24">
        <f>Bonds_Static!C15</f>
        <v/>
      </c>
      <c r="C16" s="25">
        <f>IFERROR(Bonds_Static!G15,"")</f>
        <v/>
      </c>
      <c r="D16" s="11">
        <f>IFERROR(Carry_Roll!M15,"")</f>
        <v/>
      </c>
      <c r="E16" s="21">
        <f>IFERROR(IF(OR(D16="",Bonds_Live!Q15="",Bonds_Live!S15=""),"",D16 + (-Bonds_Live!Q15*(-200)/100 + Bonds_Live!S15*POWER(-200,2)/2000000)),"")</f>
        <v/>
      </c>
      <c r="F16" s="21">
        <f>IFERROR(IF(OR(D16="",Bonds_Live!Q15="",Bonds_Live!S15=""),"",D16 + (-Bonds_Live!Q15*(-150)/100 + Bonds_Live!S15*POWER(-150,2)/2000000)),"")</f>
        <v/>
      </c>
      <c r="G16" s="21">
        <f>IFERROR(IF(OR(D16="",Bonds_Live!Q15="",Bonds_Live!S15=""),"",D16 + (-Bonds_Live!Q15*(-100)/100 + Bonds_Live!S15*POWER(-100,2)/2000000)),"")</f>
        <v/>
      </c>
      <c r="H16" s="21">
        <f>IFERROR(IF(OR(D16="",Bonds_Live!Q15="",Bonds_Live!S15=""),"",D16 + (-Bonds_Live!Q15*(-50)/100 + Bonds_Live!S15*POWER(-50,2)/2000000)),"")</f>
        <v/>
      </c>
      <c r="I16" s="21">
        <f>IFERROR(IF(OR(D16="",Bonds_Live!Q15="",Bonds_Live!S15=""),"",D16 + (-Bonds_Live!Q15*(0)/100 + Bonds_Live!S15*POWER(0,2)/2000000)),"")</f>
        <v/>
      </c>
      <c r="J16" s="21">
        <f>IFERROR(IF(OR(D16="",Bonds_Live!Q15="",Bonds_Live!S15=""),"",D16 + (-Bonds_Live!Q15*(-150)/100 + Bonds_Live!S15*POWER(-150,2)/2000000)),"")</f>
        <v/>
      </c>
      <c r="K16" s="21">
        <f>IFERROR(IF(OR(D16="",Bonds_Live!Q15="",Bonds_Live!S15=""),"",D16 + (-Bonds_Live!Q15*(-100)/100 + Bonds_Live!S15*POWER(-100,2)/2000000)),"")</f>
        <v/>
      </c>
      <c r="L16" s="21">
        <f>IFERROR(IF(OR(D16="",Bonds_Live!Q15="",Bonds_Live!S15=""),"",D16 + (-Bonds_Live!Q15*(-50)/100 + Bonds_Live!S15*POWER(-50,2)/2000000)),"")</f>
        <v/>
      </c>
      <c r="M16" s="21">
        <f>IFERROR(IF(OR(D16="",Bonds_Live!Q15="",Bonds_Live!S15=""),"",D16 + (-Bonds_Live!Q15*(0)/100 + Bonds_Live!S15*POWER(0,2)/2000000)),"")</f>
        <v/>
      </c>
      <c r="N16" s="21">
        <f>IFERROR(IF(OR(D16="",Bonds_Live!Q15="",Bonds_Live!S15=""),"",D16 + (-Bonds_Live!Q15*(50)/100 + Bonds_Live!S15*POWER(50,2)/2000000)),"")</f>
        <v/>
      </c>
      <c r="O16" s="21">
        <f>IFERROR(IF(OR(D16="",Bonds_Live!Q15="",Bonds_Live!S15=""),"",D16 + (-Bonds_Live!Q15*(-100)/100 + Bonds_Live!S15*POWER(-100,2)/2000000)),"")</f>
        <v/>
      </c>
      <c r="P16" s="21">
        <f>IFERROR(IF(OR(D16="",Bonds_Live!Q15="",Bonds_Live!S15=""),"",D16 + (-Bonds_Live!Q15*(-50)/100 + Bonds_Live!S15*POWER(-50,2)/2000000)),"")</f>
        <v/>
      </c>
      <c r="Q16" s="21">
        <f>IFERROR(IF(OR(D16="",Bonds_Live!Q15="",Bonds_Live!S15=""),"",D16 + (-Bonds_Live!Q15*(0)/100 + Bonds_Live!S15*POWER(0,2)/2000000)),"")</f>
        <v/>
      </c>
      <c r="R16" s="21">
        <f>IFERROR(IF(OR(D16="",Bonds_Live!Q15="",Bonds_Live!S15=""),"",D16 + (-Bonds_Live!Q15*(50)/100 + Bonds_Live!S15*POWER(50,2)/2000000)),"")</f>
        <v/>
      </c>
      <c r="S16" s="21">
        <f>IFERROR(IF(OR(D16="",Bonds_Live!Q15="",Bonds_Live!S15=""),"",D16 + (-Bonds_Live!Q15*(100)/100 + Bonds_Live!S15*POWER(100,2)/2000000)),"")</f>
        <v/>
      </c>
      <c r="T16" s="21">
        <f>IFERROR(IF(OR(D16="",Bonds_Live!Q15="",Bonds_Live!S15=""),"",D16 + (-Bonds_Live!Q15*(-50)/100 + Bonds_Live!S15*POWER(-50,2)/2000000)),"")</f>
        <v/>
      </c>
      <c r="U16" s="21">
        <f>IFERROR(IF(OR(D16="",Bonds_Live!Q15="",Bonds_Live!S15=""),"",D16 + (-Bonds_Live!Q15*(0)/100 + Bonds_Live!S15*POWER(0,2)/2000000)),"")</f>
        <v/>
      </c>
      <c r="V16" s="21">
        <f>IFERROR(IF(OR(D16="",Bonds_Live!Q15="",Bonds_Live!S15=""),"",D16 + (-Bonds_Live!Q15*(50)/100 + Bonds_Live!S15*POWER(50,2)/2000000)),"")</f>
        <v/>
      </c>
      <c r="W16" s="21">
        <f>IFERROR(IF(OR(D16="",Bonds_Live!Q15="",Bonds_Live!S15=""),"",D16 + (-Bonds_Live!Q15*(100)/100 + Bonds_Live!S15*POWER(100,2)/2000000)),"")</f>
        <v/>
      </c>
      <c r="X16" s="21">
        <f>IFERROR(IF(OR(D16="",Bonds_Live!Q15="",Bonds_Live!S15=""),"",D16 + (-Bonds_Live!Q15*(150)/100 + Bonds_Live!S15*POWER(150,2)/2000000)),"")</f>
        <v/>
      </c>
      <c r="Y16" s="21">
        <f>IFERROR(IF(OR(D16="",Bonds_Live!Q15="",Bonds_Live!S15=""),"",D16 + (-Bonds_Live!Q15*(0)/100 + Bonds_Live!S15*POWER(0,2)/2000000)),"")</f>
        <v/>
      </c>
      <c r="Z16" s="21">
        <f>IFERROR(IF(OR(D16="",Bonds_Live!Q15="",Bonds_Live!S15=""),"",D16 + (-Bonds_Live!Q15*(50)/100 + Bonds_Live!S15*POWER(50,2)/2000000)),"")</f>
        <v/>
      </c>
      <c r="AA16" s="21">
        <f>IFERROR(IF(OR(D16="",Bonds_Live!Q15="",Bonds_Live!S15=""),"",D16 + (-Bonds_Live!Q15*(100)/100 + Bonds_Live!S15*POWER(100,2)/2000000)),"")</f>
        <v/>
      </c>
      <c r="AB16" s="21">
        <f>IFERROR(IF(OR(D16="",Bonds_Live!Q15="",Bonds_Live!S15=""),"",D16 + (-Bonds_Live!Q15*(150)/100 + Bonds_Live!S15*POWER(150,2)/2000000)),"")</f>
        <v/>
      </c>
      <c r="AC16" s="21">
        <f>IFERROR(IF(OR(D16="",Bonds_Live!Q15="",Bonds_Live!S15=""),"",D16 + (-Bonds_Live!Q15*(200)/100 + Bonds_Live!S15*POWER(200,2)/2000000)),"")</f>
        <v/>
      </c>
    </row>
    <row r="17">
      <c r="A17" s="24">
        <f>Bonds_Static!A16</f>
        <v/>
      </c>
      <c r="B17" s="24">
        <f>Bonds_Static!C16</f>
        <v/>
      </c>
      <c r="C17" s="25">
        <f>IFERROR(Bonds_Static!G16,"")</f>
        <v/>
      </c>
      <c r="D17" s="11">
        <f>IFERROR(Carry_Roll!M16,"")</f>
        <v/>
      </c>
      <c r="E17" s="21">
        <f>IFERROR(IF(OR(D17="",Bonds_Live!Q16="",Bonds_Live!S16=""),"",D17 + (-Bonds_Live!Q16*(-200)/100 + Bonds_Live!S16*POWER(-200,2)/2000000)),"")</f>
        <v/>
      </c>
      <c r="F17" s="21">
        <f>IFERROR(IF(OR(D17="",Bonds_Live!Q16="",Bonds_Live!S16=""),"",D17 + (-Bonds_Live!Q16*(-150)/100 + Bonds_Live!S16*POWER(-150,2)/2000000)),"")</f>
        <v/>
      </c>
      <c r="G17" s="21">
        <f>IFERROR(IF(OR(D17="",Bonds_Live!Q16="",Bonds_Live!S16=""),"",D17 + (-Bonds_Live!Q16*(-100)/100 + Bonds_Live!S16*POWER(-100,2)/2000000)),"")</f>
        <v/>
      </c>
      <c r="H17" s="21">
        <f>IFERROR(IF(OR(D17="",Bonds_Live!Q16="",Bonds_Live!S16=""),"",D17 + (-Bonds_Live!Q16*(-50)/100 + Bonds_Live!S16*POWER(-50,2)/2000000)),"")</f>
        <v/>
      </c>
      <c r="I17" s="21">
        <f>IFERROR(IF(OR(D17="",Bonds_Live!Q16="",Bonds_Live!S16=""),"",D17 + (-Bonds_Live!Q16*(0)/100 + Bonds_Live!S16*POWER(0,2)/2000000)),"")</f>
        <v/>
      </c>
      <c r="J17" s="21">
        <f>IFERROR(IF(OR(D17="",Bonds_Live!Q16="",Bonds_Live!S16=""),"",D17 + (-Bonds_Live!Q16*(-150)/100 + Bonds_Live!S16*POWER(-150,2)/2000000)),"")</f>
        <v/>
      </c>
      <c r="K17" s="21">
        <f>IFERROR(IF(OR(D17="",Bonds_Live!Q16="",Bonds_Live!S16=""),"",D17 + (-Bonds_Live!Q16*(-100)/100 + Bonds_Live!S16*POWER(-100,2)/2000000)),"")</f>
        <v/>
      </c>
      <c r="L17" s="21">
        <f>IFERROR(IF(OR(D17="",Bonds_Live!Q16="",Bonds_Live!S16=""),"",D17 + (-Bonds_Live!Q16*(-50)/100 + Bonds_Live!S16*POWER(-50,2)/2000000)),"")</f>
        <v/>
      </c>
      <c r="M17" s="21">
        <f>IFERROR(IF(OR(D17="",Bonds_Live!Q16="",Bonds_Live!S16=""),"",D17 + (-Bonds_Live!Q16*(0)/100 + Bonds_Live!S16*POWER(0,2)/2000000)),"")</f>
        <v/>
      </c>
      <c r="N17" s="21">
        <f>IFERROR(IF(OR(D17="",Bonds_Live!Q16="",Bonds_Live!S16=""),"",D17 + (-Bonds_Live!Q16*(50)/100 + Bonds_Live!S16*POWER(50,2)/2000000)),"")</f>
        <v/>
      </c>
      <c r="O17" s="21">
        <f>IFERROR(IF(OR(D17="",Bonds_Live!Q16="",Bonds_Live!S16=""),"",D17 + (-Bonds_Live!Q16*(-100)/100 + Bonds_Live!S16*POWER(-100,2)/2000000)),"")</f>
        <v/>
      </c>
      <c r="P17" s="21">
        <f>IFERROR(IF(OR(D17="",Bonds_Live!Q16="",Bonds_Live!S16=""),"",D17 + (-Bonds_Live!Q16*(-50)/100 + Bonds_Live!S16*POWER(-50,2)/2000000)),"")</f>
        <v/>
      </c>
      <c r="Q17" s="21">
        <f>IFERROR(IF(OR(D17="",Bonds_Live!Q16="",Bonds_Live!S16=""),"",D17 + (-Bonds_Live!Q16*(0)/100 + Bonds_Live!S16*POWER(0,2)/2000000)),"")</f>
        <v/>
      </c>
      <c r="R17" s="21">
        <f>IFERROR(IF(OR(D17="",Bonds_Live!Q16="",Bonds_Live!S16=""),"",D17 + (-Bonds_Live!Q16*(50)/100 + Bonds_Live!S16*POWER(50,2)/2000000)),"")</f>
        <v/>
      </c>
      <c r="S17" s="21">
        <f>IFERROR(IF(OR(D17="",Bonds_Live!Q16="",Bonds_Live!S16=""),"",D17 + (-Bonds_Live!Q16*(100)/100 + Bonds_Live!S16*POWER(100,2)/2000000)),"")</f>
        <v/>
      </c>
      <c r="T17" s="21">
        <f>IFERROR(IF(OR(D17="",Bonds_Live!Q16="",Bonds_Live!S16=""),"",D17 + (-Bonds_Live!Q16*(-50)/100 + Bonds_Live!S16*POWER(-50,2)/2000000)),"")</f>
        <v/>
      </c>
      <c r="U17" s="21">
        <f>IFERROR(IF(OR(D17="",Bonds_Live!Q16="",Bonds_Live!S16=""),"",D17 + (-Bonds_Live!Q16*(0)/100 + Bonds_Live!S16*POWER(0,2)/2000000)),"")</f>
        <v/>
      </c>
      <c r="V17" s="21">
        <f>IFERROR(IF(OR(D17="",Bonds_Live!Q16="",Bonds_Live!S16=""),"",D17 + (-Bonds_Live!Q16*(50)/100 + Bonds_Live!S16*POWER(50,2)/2000000)),"")</f>
        <v/>
      </c>
      <c r="W17" s="21">
        <f>IFERROR(IF(OR(D17="",Bonds_Live!Q16="",Bonds_Live!S16=""),"",D17 + (-Bonds_Live!Q16*(100)/100 + Bonds_Live!S16*POWER(100,2)/2000000)),"")</f>
        <v/>
      </c>
      <c r="X17" s="21">
        <f>IFERROR(IF(OR(D17="",Bonds_Live!Q16="",Bonds_Live!S16=""),"",D17 + (-Bonds_Live!Q16*(150)/100 + Bonds_Live!S16*POWER(150,2)/2000000)),"")</f>
        <v/>
      </c>
      <c r="Y17" s="21">
        <f>IFERROR(IF(OR(D17="",Bonds_Live!Q16="",Bonds_Live!S16=""),"",D17 + (-Bonds_Live!Q16*(0)/100 + Bonds_Live!S16*POWER(0,2)/2000000)),"")</f>
        <v/>
      </c>
      <c r="Z17" s="21">
        <f>IFERROR(IF(OR(D17="",Bonds_Live!Q16="",Bonds_Live!S16=""),"",D17 + (-Bonds_Live!Q16*(50)/100 + Bonds_Live!S16*POWER(50,2)/2000000)),"")</f>
        <v/>
      </c>
      <c r="AA17" s="21">
        <f>IFERROR(IF(OR(D17="",Bonds_Live!Q16="",Bonds_Live!S16=""),"",D17 + (-Bonds_Live!Q16*(100)/100 + Bonds_Live!S16*POWER(100,2)/2000000)),"")</f>
        <v/>
      </c>
      <c r="AB17" s="21">
        <f>IFERROR(IF(OR(D17="",Bonds_Live!Q16="",Bonds_Live!S16=""),"",D17 + (-Bonds_Live!Q16*(150)/100 + Bonds_Live!S16*POWER(150,2)/2000000)),"")</f>
        <v/>
      </c>
      <c r="AC17" s="21">
        <f>IFERROR(IF(OR(D17="",Bonds_Live!Q16="",Bonds_Live!S16=""),"",D17 + (-Bonds_Live!Q16*(200)/100 + Bonds_Live!S16*POWER(200,2)/2000000)),"")</f>
        <v/>
      </c>
    </row>
    <row r="18">
      <c r="A18" s="24">
        <f>Bonds_Static!A17</f>
        <v/>
      </c>
      <c r="B18" s="24">
        <f>Bonds_Static!C17</f>
        <v/>
      </c>
      <c r="C18" s="25">
        <f>IFERROR(Bonds_Static!G17,"")</f>
        <v/>
      </c>
      <c r="D18" s="11">
        <f>IFERROR(Carry_Roll!M17,"")</f>
        <v/>
      </c>
      <c r="E18" s="21">
        <f>IFERROR(IF(OR(D18="",Bonds_Live!Q17="",Bonds_Live!S17=""),"",D18 + (-Bonds_Live!Q17*(-200)/100 + Bonds_Live!S17*POWER(-200,2)/2000000)),"")</f>
        <v/>
      </c>
      <c r="F18" s="21">
        <f>IFERROR(IF(OR(D18="",Bonds_Live!Q17="",Bonds_Live!S17=""),"",D18 + (-Bonds_Live!Q17*(-150)/100 + Bonds_Live!S17*POWER(-150,2)/2000000)),"")</f>
        <v/>
      </c>
      <c r="G18" s="21">
        <f>IFERROR(IF(OR(D18="",Bonds_Live!Q17="",Bonds_Live!S17=""),"",D18 + (-Bonds_Live!Q17*(-100)/100 + Bonds_Live!S17*POWER(-100,2)/2000000)),"")</f>
        <v/>
      </c>
      <c r="H18" s="21">
        <f>IFERROR(IF(OR(D18="",Bonds_Live!Q17="",Bonds_Live!S17=""),"",D18 + (-Bonds_Live!Q17*(-50)/100 + Bonds_Live!S17*POWER(-50,2)/2000000)),"")</f>
        <v/>
      </c>
      <c r="I18" s="21">
        <f>IFERROR(IF(OR(D18="",Bonds_Live!Q17="",Bonds_Live!S17=""),"",D18 + (-Bonds_Live!Q17*(0)/100 + Bonds_Live!S17*POWER(0,2)/2000000)),"")</f>
        <v/>
      </c>
      <c r="J18" s="21">
        <f>IFERROR(IF(OR(D18="",Bonds_Live!Q17="",Bonds_Live!S17=""),"",D18 + (-Bonds_Live!Q17*(-150)/100 + Bonds_Live!S17*POWER(-150,2)/2000000)),"")</f>
        <v/>
      </c>
      <c r="K18" s="21">
        <f>IFERROR(IF(OR(D18="",Bonds_Live!Q17="",Bonds_Live!S17=""),"",D18 + (-Bonds_Live!Q17*(-100)/100 + Bonds_Live!S17*POWER(-100,2)/2000000)),"")</f>
        <v/>
      </c>
      <c r="L18" s="21">
        <f>IFERROR(IF(OR(D18="",Bonds_Live!Q17="",Bonds_Live!S17=""),"",D18 + (-Bonds_Live!Q17*(-50)/100 + Bonds_Live!S17*POWER(-50,2)/2000000)),"")</f>
        <v/>
      </c>
      <c r="M18" s="21">
        <f>IFERROR(IF(OR(D18="",Bonds_Live!Q17="",Bonds_Live!S17=""),"",D18 + (-Bonds_Live!Q17*(0)/100 + Bonds_Live!S17*POWER(0,2)/2000000)),"")</f>
        <v/>
      </c>
      <c r="N18" s="21">
        <f>IFERROR(IF(OR(D18="",Bonds_Live!Q17="",Bonds_Live!S17=""),"",D18 + (-Bonds_Live!Q17*(50)/100 + Bonds_Live!S17*POWER(50,2)/2000000)),"")</f>
        <v/>
      </c>
      <c r="O18" s="21">
        <f>IFERROR(IF(OR(D18="",Bonds_Live!Q17="",Bonds_Live!S17=""),"",D18 + (-Bonds_Live!Q17*(-100)/100 + Bonds_Live!S17*POWER(-100,2)/2000000)),"")</f>
        <v/>
      </c>
      <c r="P18" s="21">
        <f>IFERROR(IF(OR(D18="",Bonds_Live!Q17="",Bonds_Live!S17=""),"",D18 + (-Bonds_Live!Q17*(-50)/100 + Bonds_Live!S17*POWER(-50,2)/2000000)),"")</f>
        <v/>
      </c>
      <c r="Q18" s="21">
        <f>IFERROR(IF(OR(D18="",Bonds_Live!Q17="",Bonds_Live!S17=""),"",D18 + (-Bonds_Live!Q17*(0)/100 + Bonds_Live!S17*POWER(0,2)/2000000)),"")</f>
        <v/>
      </c>
      <c r="R18" s="21">
        <f>IFERROR(IF(OR(D18="",Bonds_Live!Q17="",Bonds_Live!S17=""),"",D18 + (-Bonds_Live!Q17*(50)/100 + Bonds_Live!S17*POWER(50,2)/2000000)),"")</f>
        <v/>
      </c>
      <c r="S18" s="21">
        <f>IFERROR(IF(OR(D18="",Bonds_Live!Q17="",Bonds_Live!S17=""),"",D18 + (-Bonds_Live!Q17*(100)/100 + Bonds_Live!S17*POWER(100,2)/2000000)),"")</f>
        <v/>
      </c>
      <c r="T18" s="21">
        <f>IFERROR(IF(OR(D18="",Bonds_Live!Q17="",Bonds_Live!S17=""),"",D18 + (-Bonds_Live!Q17*(-50)/100 + Bonds_Live!S17*POWER(-50,2)/2000000)),"")</f>
        <v/>
      </c>
      <c r="U18" s="21">
        <f>IFERROR(IF(OR(D18="",Bonds_Live!Q17="",Bonds_Live!S17=""),"",D18 + (-Bonds_Live!Q17*(0)/100 + Bonds_Live!S17*POWER(0,2)/2000000)),"")</f>
        <v/>
      </c>
      <c r="V18" s="21">
        <f>IFERROR(IF(OR(D18="",Bonds_Live!Q17="",Bonds_Live!S17=""),"",D18 + (-Bonds_Live!Q17*(50)/100 + Bonds_Live!S17*POWER(50,2)/2000000)),"")</f>
        <v/>
      </c>
      <c r="W18" s="21">
        <f>IFERROR(IF(OR(D18="",Bonds_Live!Q17="",Bonds_Live!S17=""),"",D18 + (-Bonds_Live!Q17*(100)/100 + Bonds_Live!S17*POWER(100,2)/2000000)),"")</f>
        <v/>
      </c>
      <c r="X18" s="21">
        <f>IFERROR(IF(OR(D18="",Bonds_Live!Q17="",Bonds_Live!S17=""),"",D18 + (-Bonds_Live!Q17*(150)/100 + Bonds_Live!S17*POWER(150,2)/2000000)),"")</f>
        <v/>
      </c>
      <c r="Y18" s="21">
        <f>IFERROR(IF(OR(D18="",Bonds_Live!Q17="",Bonds_Live!S17=""),"",D18 + (-Bonds_Live!Q17*(0)/100 + Bonds_Live!S17*POWER(0,2)/2000000)),"")</f>
        <v/>
      </c>
      <c r="Z18" s="21">
        <f>IFERROR(IF(OR(D18="",Bonds_Live!Q17="",Bonds_Live!S17=""),"",D18 + (-Bonds_Live!Q17*(50)/100 + Bonds_Live!S17*POWER(50,2)/2000000)),"")</f>
        <v/>
      </c>
      <c r="AA18" s="21">
        <f>IFERROR(IF(OR(D18="",Bonds_Live!Q17="",Bonds_Live!S17=""),"",D18 + (-Bonds_Live!Q17*(100)/100 + Bonds_Live!S17*POWER(100,2)/2000000)),"")</f>
        <v/>
      </c>
      <c r="AB18" s="21">
        <f>IFERROR(IF(OR(D18="",Bonds_Live!Q17="",Bonds_Live!S17=""),"",D18 + (-Bonds_Live!Q17*(150)/100 + Bonds_Live!S17*POWER(150,2)/2000000)),"")</f>
        <v/>
      </c>
      <c r="AC18" s="21">
        <f>IFERROR(IF(OR(D18="",Bonds_Live!Q17="",Bonds_Live!S17=""),"",D18 + (-Bonds_Live!Q17*(200)/100 + Bonds_Live!S17*POWER(200,2)/2000000)),"")</f>
        <v/>
      </c>
    </row>
    <row r="19">
      <c r="A19" s="24">
        <f>Bonds_Static!A18</f>
        <v/>
      </c>
      <c r="B19" s="24">
        <f>Bonds_Static!C18</f>
        <v/>
      </c>
      <c r="C19" s="25">
        <f>IFERROR(Bonds_Static!G18,"")</f>
        <v/>
      </c>
      <c r="D19" s="11">
        <f>IFERROR(Carry_Roll!M18,"")</f>
        <v/>
      </c>
      <c r="E19" s="21">
        <f>IFERROR(IF(OR(D19="",Bonds_Live!Q18="",Bonds_Live!S18=""),"",D19 + (-Bonds_Live!Q18*(-200)/100 + Bonds_Live!S18*POWER(-200,2)/2000000)),"")</f>
        <v/>
      </c>
      <c r="F19" s="21">
        <f>IFERROR(IF(OR(D19="",Bonds_Live!Q18="",Bonds_Live!S18=""),"",D19 + (-Bonds_Live!Q18*(-150)/100 + Bonds_Live!S18*POWER(-150,2)/2000000)),"")</f>
        <v/>
      </c>
      <c r="G19" s="21">
        <f>IFERROR(IF(OR(D19="",Bonds_Live!Q18="",Bonds_Live!S18=""),"",D19 + (-Bonds_Live!Q18*(-100)/100 + Bonds_Live!S18*POWER(-100,2)/2000000)),"")</f>
        <v/>
      </c>
      <c r="H19" s="21">
        <f>IFERROR(IF(OR(D19="",Bonds_Live!Q18="",Bonds_Live!S18=""),"",D19 + (-Bonds_Live!Q18*(-50)/100 + Bonds_Live!S18*POWER(-50,2)/2000000)),"")</f>
        <v/>
      </c>
      <c r="I19" s="21">
        <f>IFERROR(IF(OR(D19="",Bonds_Live!Q18="",Bonds_Live!S18=""),"",D19 + (-Bonds_Live!Q18*(0)/100 + Bonds_Live!S18*POWER(0,2)/2000000)),"")</f>
        <v/>
      </c>
      <c r="J19" s="21">
        <f>IFERROR(IF(OR(D19="",Bonds_Live!Q18="",Bonds_Live!S18=""),"",D19 + (-Bonds_Live!Q18*(-150)/100 + Bonds_Live!S18*POWER(-150,2)/2000000)),"")</f>
        <v/>
      </c>
      <c r="K19" s="21">
        <f>IFERROR(IF(OR(D19="",Bonds_Live!Q18="",Bonds_Live!S18=""),"",D19 + (-Bonds_Live!Q18*(-100)/100 + Bonds_Live!S18*POWER(-100,2)/2000000)),"")</f>
        <v/>
      </c>
      <c r="L19" s="21">
        <f>IFERROR(IF(OR(D19="",Bonds_Live!Q18="",Bonds_Live!S18=""),"",D19 + (-Bonds_Live!Q18*(-50)/100 + Bonds_Live!S18*POWER(-50,2)/2000000)),"")</f>
        <v/>
      </c>
      <c r="M19" s="21">
        <f>IFERROR(IF(OR(D19="",Bonds_Live!Q18="",Bonds_Live!S18=""),"",D19 + (-Bonds_Live!Q18*(0)/100 + Bonds_Live!S18*POWER(0,2)/2000000)),"")</f>
        <v/>
      </c>
      <c r="N19" s="21">
        <f>IFERROR(IF(OR(D19="",Bonds_Live!Q18="",Bonds_Live!S18=""),"",D19 + (-Bonds_Live!Q18*(50)/100 + Bonds_Live!S18*POWER(50,2)/2000000)),"")</f>
        <v/>
      </c>
      <c r="O19" s="21">
        <f>IFERROR(IF(OR(D19="",Bonds_Live!Q18="",Bonds_Live!S18=""),"",D19 + (-Bonds_Live!Q18*(-100)/100 + Bonds_Live!S18*POWER(-100,2)/2000000)),"")</f>
        <v/>
      </c>
      <c r="P19" s="21">
        <f>IFERROR(IF(OR(D19="",Bonds_Live!Q18="",Bonds_Live!S18=""),"",D19 + (-Bonds_Live!Q18*(-50)/100 + Bonds_Live!S18*POWER(-50,2)/2000000)),"")</f>
        <v/>
      </c>
      <c r="Q19" s="21">
        <f>IFERROR(IF(OR(D19="",Bonds_Live!Q18="",Bonds_Live!S18=""),"",D19 + (-Bonds_Live!Q18*(0)/100 + Bonds_Live!S18*POWER(0,2)/2000000)),"")</f>
        <v/>
      </c>
      <c r="R19" s="21">
        <f>IFERROR(IF(OR(D19="",Bonds_Live!Q18="",Bonds_Live!S18=""),"",D19 + (-Bonds_Live!Q18*(50)/100 + Bonds_Live!S18*POWER(50,2)/2000000)),"")</f>
        <v/>
      </c>
      <c r="S19" s="21">
        <f>IFERROR(IF(OR(D19="",Bonds_Live!Q18="",Bonds_Live!S18=""),"",D19 + (-Bonds_Live!Q18*(100)/100 + Bonds_Live!S18*POWER(100,2)/2000000)),"")</f>
        <v/>
      </c>
      <c r="T19" s="21">
        <f>IFERROR(IF(OR(D19="",Bonds_Live!Q18="",Bonds_Live!S18=""),"",D19 + (-Bonds_Live!Q18*(-50)/100 + Bonds_Live!S18*POWER(-50,2)/2000000)),"")</f>
        <v/>
      </c>
      <c r="U19" s="21">
        <f>IFERROR(IF(OR(D19="",Bonds_Live!Q18="",Bonds_Live!S18=""),"",D19 + (-Bonds_Live!Q18*(0)/100 + Bonds_Live!S18*POWER(0,2)/2000000)),"")</f>
        <v/>
      </c>
      <c r="V19" s="21">
        <f>IFERROR(IF(OR(D19="",Bonds_Live!Q18="",Bonds_Live!S18=""),"",D19 + (-Bonds_Live!Q18*(50)/100 + Bonds_Live!S18*POWER(50,2)/2000000)),"")</f>
        <v/>
      </c>
      <c r="W19" s="21">
        <f>IFERROR(IF(OR(D19="",Bonds_Live!Q18="",Bonds_Live!S18=""),"",D19 + (-Bonds_Live!Q18*(100)/100 + Bonds_Live!S18*POWER(100,2)/2000000)),"")</f>
        <v/>
      </c>
      <c r="X19" s="21">
        <f>IFERROR(IF(OR(D19="",Bonds_Live!Q18="",Bonds_Live!S18=""),"",D19 + (-Bonds_Live!Q18*(150)/100 + Bonds_Live!S18*POWER(150,2)/2000000)),"")</f>
        <v/>
      </c>
      <c r="Y19" s="21">
        <f>IFERROR(IF(OR(D19="",Bonds_Live!Q18="",Bonds_Live!S18=""),"",D19 + (-Bonds_Live!Q18*(0)/100 + Bonds_Live!S18*POWER(0,2)/2000000)),"")</f>
        <v/>
      </c>
      <c r="Z19" s="21">
        <f>IFERROR(IF(OR(D19="",Bonds_Live!Q18="",Bonds_Live!S18=""),"",D19 + (-Bonds_Live!Q18*(50)/100 + Bonds_Live!S18*POWER(50,2)/2000000)),"")</f>
        <v/>
      </c>
      <c r="AA19" s="21">
        <f>IFERROR(IF(OR(D19="",Bonds_Live!Q18="",Bonds_Live!S18=""),"",D19 + (-Bonds_Live!Q18*(100)/100 + Bonds_Live!S18*POWER(100,2)/2000000)),"")</f>
        <v/>
      </c>
      <c r="AB19" s="21">
        <f>IFERROR(IF(OR(D19="",Bonds_Live!Q18="",Bonds_Live!S18=""),"",D19 + (-Bonds_Live!Q18*(150)/100 + Bonds_Live!S18*POWER(150,2)/2000000)),"")</f>
        <v/>
      </c>
      <c r="AC19" s="21">
        <f>IFERROR(IF(OR(D19="",Bonds_Live!Q18="",Bonds_Live!S18=""),"",D19 + (-Bonds_Live!Q18*(200)/100 + Bonds_Live!S18*POWER(200,2)/2000000)),"")</f>
        <v/>
      </c>
    </row>
    <row r="20">
      <c r="A20" s="24">
        <f>Bonds_Static!A19</f>
        <v/>
      </c>
      <c r="B20" s="24">
        <f>Bonds_Static!C19</f>
        <v/>
      </c>
      <c r="C20" s="25">
        <f>IFERROR(Bonds_Static!G19,"")</f>
        <v/>
      </c>
      <c r="D20" s="11">
        <f>IFERROR(Carry_Roll!M19,"")</f>
        <v/>
      </c>
      <c r="E20" s="21">
        <f>IFERROR(IF(OR(D20="",Bonds_Live!Q19="",Bonds_Live!S19=""),"",D20 + (-Bonds_Live!Q19*(-200)/100 + Bonds_Live!S19*POWER(-200,2)/2000000)),"")</f>
        <v/>
      </c>
      <c r="F20" s="21">
        <f>IFERROR(IF(OR(D20="",Bonds_Live!Q19="",Bonds_Live!S19=""),"",D20 + (-Bonds_Live!Q19*(-150)/100 + Bonds_Live!S19*POWER(-150,2)/2000000)),"")</f>
        <v/>
      </c>
      <c r="G20" s="21">
        <f>IFERROR(IF(OR(D20="",Bonds_Live!Q19="",Bonds_Live!S19=""),"",D20 + (-Bonds_Live!Q19*(-100)/100 + Bonds_Live!S19*POWER(-100,2)/2000000)),"")</f>
        <v/>
      </c>
      <c r="H20" s="21">
        <f>IFERROR(IF(OR(D20="",Bonds_Live!Q19="",Bonds_Live!S19=""),"",D20 + (-Bonds_Live!Q19*(-50)/100 + Bonds_Live!S19*POWER(-50,2)/2000000)),"")</f>
        <v/>
      </c>
      <c r="I20" s="21">
        <f>IFERROR(IF(OR(D20="",Bonds_Live!Q19="",Bonds_Live!S19=""),"",D20 + (-Bonds_Live!Q19*(0)/100 + Bonds_Live!S19*POWER(0,2)/2000000)),"")</f>
        <v/>
      </c>
      <c r="J20" s="21">
        <f>IFERROR(IF(OR(D20="",Bonds_Live!Q19="",Bonds_Live!S19=""),"",D20 + (-Bonds_Live!Q19*(-150)/100 + Bonds_Live!S19*POWER(-150,2)/2000000)),"")</f>
        <v/>
      </c>
      <c r="K20" s="21">
        <f>IFERROR(IF(OR(D20="",Bonds_Live!Q19="",Bonds_Live!S19=""),"",D20 + (-Bonds_Live!Q19*(-100)/100 + Bonds_Live!S19*POWER(-100,2)/2000000)),"")</f>
        <v/>
      </c>
      <c r="L20" s="21">
        <f>IFERROR(IF(OR(D20="",Bonds_Live!Q19="",Bonds_Live!S19=""),"",D20 + (-Bonds_Live!Q19*(-50)/100 + Bonds_Live!S19*POWER(-50,2)/2000000)),"")</f>
        <v/>
      </c>
      <c r="M20" s="21">
        <f>IFERROR(IF(OR(D20="",Bonds_Live!Q19="",Bonds_Live!S19=""),"",D20 + (-Bonds_Live!Q19*(0)/100 + Bonds_Live!S19*POWER(0,2)/2000000)),"")</f>
        <v/>
      </c>
      <c r="N20" s="21">
        <f>IFERROR(IF(OR(D20="",Bonds_Live!Q19="",Bonds_Live!S19=""),"",D20 + (-Bonds_Live!Q19*(50)/100 + Bonds_Live!S19*POWER(50,2)/2000000)),"")</f>
        <v/>
      </c>
      <c r="O20" s="21">
        <f>IFERROR(IF(OR(D20="",Bonds_Live!Q19="",Bonds_Live!S19=""),"",D20 + (-Bonds_Live!Q19*(-100)/100 + Bonds_Live!S19*POWER(-100,2)/2000000)),"")</f>
        <v/>
      </c>
      <c r="P20" s="21">
        <f>IFERROR(IF(OR(D20="",Bonds_Live!Q19="",Bonds_Live!S19=""),"",D20 + (-Bonds_Live!Q19*(-50)/100 + Bonds_Live!S19*POWER(-50,2)/2000000)),"")</f>
        <v/>
      </c>
      <c r="Q20" s="21">
        <f>IFERROR(IF(OR(D20="",Bonds_Live!Q19="",Bonds_Live!S19=""),"",D20 + (-Bonds_Live!Q19*(0)/100 + Bonds_Live!S19*POWER(0,2)/2000000)),"")</f>
        <v/>
      </c>
      <c r="R20" s="21">
        <f>IFERROR(IF(OR(D20="",Bonds_Live!Q19="",Bonds_Live!S19=""),"",D20 + (-Bonds_Live!Q19*(50)/100 + Bonds_Live!S19*POWER(50,2)/2000000)),"")</f>
        <v/>
      </c>
      <c r="S20" s="21">
        <f>IFERROR(IF(OR(D20="",Bonds_Live!Q19="",Bonds_Live!S19=""),"",D20 + (-Bonds_Live!Q19*(100)/100 + Bonds_Live!S19*POWER(100,2)/2000000)),"")</f>
        <v/>
      </c>
      <c r="T20" s="21">
        <f>IFERROR(IF(OR(D20="",Bonds_Live!Q19="",Bonds_Live!S19=""),"",D20 + (-Bonds_Live!Q19*(-50)/100 + Bonds_Live!S19*POWER(-50,2)/2000000)),"")</f>
        <v/>
      </c>
      <c r="U20" s="21">
        <f>IFERROR(IF(OR(D20="",Bonds_Live!Q19="",Bonds_Live!S19=""),"",D20 + (-Bonds_Live!Q19*(0)/100 + Bonds_Live!S19*POWER(0,2)/2000000)),"")</f>
        <v/>
      </c>
      <c r="V20" s="21">
        <f>IFERROR(IF(OR(D20="",Bonds_Live!Q19="",Bonds_Live!S19=""),"",D20 + (-Bonds_Live!Q19*(50)/100 + Bonds_Live!S19*POWER(50,2)/2000000)),"")</f>
        <v/>
      </c>
      <c r="W20" s="21">
        <f>IFERROR(IF(OR(D20="",Bonds_Live!Q19="",Bonds_Live!S19=""),"",D20 + (-Bonds_Live!Q19*(100)/100 + Bonds_Live!S19*POWER(100,2)/2000000)),"")</f>
        <v/>
      </c>
      <c r="X20" s="21">
        <f>IFERROR(IF(OR(D20="",Bonds_Live!Q19="",Bonds_Live!S19=""),"",D20 + (-Bonds_Live!Q19*(150)/100 + Bonds_Live!S19*POWER(150,2)/2000000)),"")</f>
        <v/>
      </c>
      <c r="Y20" s="21">
        <f>IFERROR(IF(OR(D20="",Bonds_Live!Q19="",Bonds_Live!S19=""),"",D20 + (-Bonds_Live!Q19*(0)/100 + Bonds_Live!S19*POWER(0,2)/2000000)),"")</f>
        <v/>
      </c>
      <c r="Z20" s="21">
        <f>IFERROR(IF(OR(D20="",Bonds_Live!Q19="",Bonds_Live!S19=""),"",D20 + (-Bonds_Live!Q19*(50)/100 + Bonds_Live!S19*POWER(50,2)/2000000)),"")</f>
        <v/>
      </c>
      <c r="AA20" s="21">
        <f>IFERROR(IF(OR(D20="",Bonds_Live!Q19="",Bonds_Live!S19=""),"",D20 + (-Bonds_Live!Q19*(100)/100 + Bonds_Live!S19*POWER(100,2)/2000000)),"")</f>
        <v/>
      </c>
      <c r="AB20" s="21">
        <f>IFERROR(IF(OR(D20="",Bonds_Live!Q19="",Bonds_Live!S19=""),"",D20 + (-Bonds_Live!Q19*(150)/100 + Bonds_Live!S19*POWER(150,2)/2000000)),"")</f>
        <v/>
      </c>
      <c r="AC20" s="21">
        <f>IFERROR(IF(OR(D20="",Bonds_Live!Q19="",Bonds_Live!S19=""),"",D20 + (-Bonds_Live!Q19*(200)/100 + Bonds_Live!S19*POWER(200,2)/2000000)),"")</f>
        <v/>
      </c>
    </row>
    <row r="21">
      <c r="A21" s="24">
        <f>Bonds_Static!A20</f>
        <v/>
      </c>
      <c r="B21" s="24">
        <f>Bonds_Static!C20</f>
        <v/>
      </c>
      <c r="C21" s="25">
        <f>IFERROR(Bonds_Static!G20,"")</f>
        <v/>
      </c>
      <c r="D21" s="11">
        <f>IFERROR(Carry_Roll!M20,"")</f>
        <v/>
      </c>
      <c r="E21" s="21">
        <f>IFERROR(IF(OR(D21="",Bonds_Live!Q20="",Bonds_Live!S20=""),"",D21 + (-Bonds_Live!Q20*(-200)/100 + Bonds_Live!S20*POWER(-200,2)/2000000)),"")</f>
        <v/>
      </c>
      <c r="F21" s="21">
        <f>IFERROR(IF(OR(D21="",Bonds_Live!Q20="",Bonds_Live!S20=""),"",D21 + (-Bonds_Live!Q20*(-150)/100 + Bonds_Live!S20*POWER(-150,2)/2000000)),"")</f>
        <v/>
      </c>
      <c r="G21" s="21">
        <f>IFERROR(IF(OR(D21="",Bonds_Live!Q20="",Bonds_Live!S20=""),"",D21 + (-Bonds_Live!Q20*(-100)/100 + Bonds_Live!S20*POWER(-100,2)/2000000)),"")</f>
        <v/>
      </c>
      <c r="H21" s="21">
        <f>IFERROR(IF(OR(D21="",Bonds_Live!Q20="",Bonds_Live!S20=""),"",D21 + (-Bonds_Live!Q20*(-50)/100 + Bonds_Live!S20*POWER(-50,2)/2000000)),"")</f>
        <v/>
      </c>
      <c r="I21" s="21">
        <f>IFERROR(IF(OR(D21="",Bonds_Live!Q20="",Bonds_Live!S20=""),"",D21 + (-Bonds_Live!Q20*(0)/100 + Bonds_Live!S20*POWER(0,2)/2000000)),"")</f>
        <v/>
      </c>
      <c r="J21" s="21">
        <f>IFERROR(IF(OR(D21="",Bonds_Live!Q20="",Bonds_Live!S20=""),"",D21 + (-Bonds_Live!Q20*(-150)/100 + Bonds_Live!S20*POWER(-150,2)/2000000)),"")</f>
        <v/>
      </c>
      <c r="K21" s="21">
        <f>IFERROR(IF(OR(D21="",Bonds_Live!Q20="",Bonds_Live!S20=""),"",D21 + (-Bonds_Live!Q20*(-100)/100 + Bonds_Live!S20*POWER(-100,2)/2000000)),"")</f>
        <v/>
      </c>
      <c r="L21" s="21">
        <f>IFERROR(IF(OR(D21="",Bonds_Live!Q20="",Bonds_Live!S20=""),"",D21 + (-Bonds_Live!Q20*(-50)/100 + Bonds_Live!S20*POWER(-50,2)/2000000)),"")</f>
        <v/>
      </c>
      <c r="M21" s="21">
        <f>IFERROR(IF(OR(D21="",Bonds_Live!Q20="",Bonds_Live!S20=""),"",D21 + (-Bonds_Live!Q20*(0)/100 + Bonds_Live!S20*POWER(0,2)/2000000)),"")</f>
        <v/>
      </c>
      <c r="N21" s="21">
        <f>IFERROR(IF(OR(D21="",Bonds_Live!Q20="",Bonds_Live!S20=""),"",D21 + (-Bonds_Live!Q20*(50)/100 + Bonds_Live!S20*POWER(50,2)/2000000)),"")</f>
        <v/>
      </c>
      <c r="O21" s="21">
        <f>IFERROR(IF(OR(D21="",Bonds_Live!Q20="",Bonds_Live!S20=""),"",D21 + (-Bonds_Live!Q20*(-100)/100 + Bonds_Live!S20*POWER(-100,2)/2000000)),"")</f>
        <v/>
      </c>
      <c r="P21" s="21">
        <f>IFERROR(IF(OR(D21="",Bonds_Live!Q20="",Bonds_Live!S20=""),"",D21 + (-Bonds_Live!Q20*(-50)/100 + Bonds_Live!S20*POWER(-50,2)/2000000)),"")</f>
        <v/>
      </c>
      <c r="Q21" s="21">
        <f>IFERROR(IF(OR(D21="",Bonds_Live!Q20="",Bonds_Live!S20=""),"",D21 + (-Bonds_Live!Q20*(0)/100 + Bonds_Live!S20*POWER(0,2)/2000000)),"")</f>
        <v/>
      </c>
      <c r="R21" s="21">
        <f>IFERROR(IF(OR(D21="",Bonds_Live!Q20="",Bonds_Live!S20=""),"",D21 + (-Bonds_Live!Q20*(50)/100 + Bonds_Live!S20*POWER(50,2)/2000000)),"")</f>
        <v/>
      </c>
      <c r="S21" s="21">
        <f>IFERROR(IF(OR(D21="",Bonds_Live!Q20="",Bonds_Live!S20=""),"",D21 + (-Bonds_Live!Q20*(100)/100 + Bonds_Live!S20*POWER(100,2)/2000000)),"")</f>
        <v/>
      </c>
      <c r="T21" s="21">
        <f>IFERROR(IF(OR(D21="",Bonds_Live!Q20="",Bonds_Live!S20=""),"",D21 + (-Bonds_Live!Q20*(-50)/100 + Bonds_Live!S20*POWER(-50,2)/2000000)),"")</f>
        <v/>
      </c>
      <c r="U21" s="21">
        <f>IFERROR(IF(OR(D21="",Bonds_Live!Q20="",Bonds_Live!S20=""),"",D21 + (-Bonds_Live!Q20*(0)/100 + Bonds_Live!S20*POWER(0,2)/2000000)),"")</f>
        <v/>
      </c>
      <c r="V21" s="21">
        <f>IFERROR(IF(OR(D21="",Bonds_Live!Q20="",Bonds_Live!S20=""),"",D21 + (-Bonds_Live!Q20*(50)/100 + Bonds_Live!S20*POWER(50,2)/2000000)),"")</f>
        <v/>
      </c>
      <c r="W21" s="21">
        <f>IFERROR(IF(OR(D21="",Bonds_Live!Q20="",Bonds_Live!S20=""),"",D21 + (-Bonds_Live!Q20*(100)/100 + Bonds_Live!S20*POWER(100,2)/2000000)),"")</f>
        <v/>
      </c>
      <c r="X21" s="21">
        <f>IFERROR(IF(OR(D21="",Bonds_Live!Q20="",Bonds_Live!S20=""),"",D21 + (-Bonds_Live!Q20*(150)/100 + Bonds_Live!S20*POWER(150,2)/2000000)),"")</f>
        <v/>
      </c>
      <c r="Y21" s="21">
        <f>IFERROR(IF(OR(D21="",Bonds_Live!Q20="",Bonds_Live!S20=""),"",D21 + (-Bonds_Live!Q20*(0)/100 + Bonds_Live!S20*POWER(0,2)/2000000)),"")</f>
        <v/>
      </c>
      <c r="Z21" s="21">
        <f>IFERROR(IF(OR(D21="",Bonds_Live!Q20="",Bonds_Live!S20=""),"",D21 + (-Bonds_Live!Q20*(50)/100 + Bonds_Live!S20*POWER(50,2)/2000000)),"")</f>
        <v/>
      </c>
      <c r="AA21" s="21">
        <f>IFERROR(IF(OR(D21="",Bonds_Live!Q20="",Bonds_Live!S20=""),"",D21 + (-Bonds_Live!Q20*(100)/100 + Bonds_Live!S20*POWER(100,2)/2000000)),"")</f>
        <v/>
      </c>
      <c r="AB21" s="21">
        <f>IFERROR(IF(OR(D21="",Bonds_Live!Q20="",Bonds_Live!S20=""),"",D21 + (-Bonds_Live!Q20*(150)/100 + Bonds_Live!S20*POWER(150,2)/2000000)),"")</f>
        <v/>
      </c>
      <c r="AC21" s="21">
        <f>IFERROR(IF(OR(D21="",Bonds_Live!Q20="",Bonds_Live!S20=""),"",D21 + (-Bonds_Live!Q20*(200)/100 + Bonds_Live!S20*POWER(200,2)/2000000)),"")</f>
        <v/>
      </c>
    </row>
    <row r="22">
      <c r="A22" s="24">
        <f>Bonds_Static!A21</f>
        <v/>
      </c>
      <c r="B22" s="24">
        <f>Bonds_Static!C21</f>
        <v/>
      </c>
      <c r="C22" s="25">
        <f>IFERROR(Bonds_Static!G21,"")</f>
        <v/>
      </c>
      <c r="D22" s="11">
        <f>IFERROR(Carry_Roll!M21,"")</f>
        <v/>
      </c>
      <c r="E22" s="21">
        <f>IFERROR(IF(OR(D22="",Bonds_Live!Q21="",Bonds_Live!S21=""),"",D22 + (-Bonds_Live!Q21*(-200)/100 + Bonds_Live!S21*POWER(-200,2)/2000000)),"")</f>
        <v/>
      </c>
      <c r="F22" s="21">
        <f>IFERROR(IF(OR(D22="",Bonds_Live!Q21="",Bonds_Live!S21=""),"",D22 + (-Bonds_Live!Q21*(-150)/100 + Bonds_Live!S21*POWER(-150,2)/2000000)),"")</f>
        <v/>
      </c>
      <c r="G22" s="21">
        <f>IFERROR(IF(OR(D22="",Bonds_Live!Q21="",Bonds_Live!S21=""),"",D22 + (-Bonds_Live!Q21*(-100)/100 + Bonds_Live!S21*POWER(-100,2)/2000000)),"")</f>
        <v/>
      </c>
      <c r="H22" s="21">
        <f>IFERROR(IF(OR(D22="",Bonds_Live!Q21="",Bonds_Live!S21=""),"",D22 + (-Bonds_Live!Q21*(-50)/100 + Bonds_Live!S21*POWER(-50,2)/2000000)),"")</f>
        <v/>
      </c>
      <c r="I22" s="21">
        <f>IFERROR(IF(OR(D22="",Bonds_Live!Q21="",Bonds_Live!S21=""),"",D22 + (-Bonds_Live!Q21*(0)/100 + Bonds_Live!S21*POWER(0,2)/2000000)),"")</f>
        <v/>
      </c>
      <c r="J22" s="21">
        <f>IFERROR(IF(OR(D22="",Bonds_Live!Q21="",Bonds_Live!S21=""),"",D22 + (-Bonds_Live!Q21*(-150)/100 + Bonds_Live!S21*POWER(-150,2)/2000000)),"")</f>
        <v/>
      </c>
      <c r="K22" s="21">
        <f>IFERROR(IF(OR(D22="",Bonds_Live!Q21="",Bonds_Live!S21=""),"",D22 + (-Bonds_Live!Q21*(-100)/100 + Bonds_Live!S21*POWER(-100,2)/2000000)),"")</f>
        <v/>
      </c>
      <c r="L22" s="21">
        <f>IFERROR(IF(OR(D22="",Bonds_Live!Q21="",Bonds_Live!S21=""),"",D22 + (-Bonds_Live!Q21*(-50)/100 + Bonds_Live!S21*POWER(-50,2)/2000000)),"")</f>
        <v/>
      </c>
      <c r="M22" s="21">
        <f>IFERROR(IF(OR(D22="",Bonds_Live!Q21="",Bonds_Live!S21=""),"",D22 + (-Bonds_Live!Q21*(0)/100 + Bonds_Live!S21*POWER(0,2)/2000000)),"")</f>
        <v/>
      </c>
      <c r="N22" s="21">
        <f>IFERROR(IF(OR(D22="",Bonds_Live!Q21="",Bonds_Live!S21=""),"",D22 + (-Bonds_Live!Q21*(50)/100 + Bonds_Live!S21*POWER(50,2)/2000000)),"")</f>
        <v/>
      </c>
      <c r="O22" s="21">
        <f>IFERROR(IF(OR(D22="",Bonds_Live!Q21="",Bonds_Live!S21=""),"",D22 + (-Bonds_Live!Q21*(-100)/100 + Bonds_Live!S21*POWER(-100,2)/2000000)),"")</f>
        <v/>
      </c>
      <c r="P22" s="21">
        <f>IFERROR(IF(OR(D22="",Bonds_Live!Q21="",Bonds_Live!S21=""),"",D22 + (-Bonds_Live!Q21*(-50)/100 + Bonds_Live!S21*POWER(-50,2)/2000000)),"")</f>
        <v/>
      </c>
      <c r="Q22" s="21">
        <f>IFERROR(IF(OR(D22="",Bonds_Live!Q21="",Bonds_Live!S21=""),"",D22 + (-Bonds_Live!Q21*(0)/100 + Bonds_Live!S21*POWER(0,2)/2000000)),"")</f>
        <v/>
      </c>
      <c r="R22" s="21">
        <f>IFERROR(IF(OR(D22="",Bonds_Live!Q21="",Bonds_Live!S21=""),"",D22 + (-Bonds_Live!Q21*(50)/100 + Bonds_Live!S21*POWER(50,2)/2000000)),"")</f>
        <v/>
      </c>
      <c r="S22" s="21">
        <f>IFERROR(IF(OR(D22="",Bonds_Live!Q21="",Bonds_Live!S21=""),"",D22 + (-Bonds_Live!Q21*(100)/100 + Bonds_Live!S21*POWER(100,2)/2000000)),"")</f>
        <v/>
      </c>
      <c r="T22" s="21">
        <f>IFERROR(IF(OR(D22="",Bonds_Live!Q21="",Bonds_Live!S21=""),"",D22 + (-Bonds_Live!Q21*(-50)/100 + Bonds_Live!S21*POWER(-50,2)/2000000)),"")</f>
        <v/>
      </c>
      <c r="U22" s="21">
        <f>IFERROR(IF(OR(D22="",Bonds_Live!Q21="",Bonds_Live!S21=""),"",D22 + (-Bonds_Live!Q21*(0)/100 + Bonds_Live!S21*POWER(0,2)/2000000)),"")</f>
        <v/>
      </c>
      <c r="V22" s="21">
        <f>IFERROR(IF(OR(D22="",Bonds_Live!Q21="",Bonds_Live!S21=""),"",D22 + (-Bonds_Live!Q21*(50)/100 + Bonds_Live!S21*POWER(50,2)/2000000)),"")</f>
        <v/>
      </c>
      <c r="W22" s="21">
        <f>IFERROR(IF(OR(D22="",Bonds_Live!Q21="",Bonds_Live!S21=""),"",D22 + (-Bonds_Live!Q21*(100)/100 + Bonds_Live!S21*POWER(100,2)/2000000)),"")</f>
        <v/>
      </c>
      <c r="X22" s="21">
        <f>IFERROR(IF(OR(D22="",Bonds_Live!Q21="",Bonds_Live!S21=""),"",D22 + (-Bonds_Live!Q21*(150)/100 + Bonds_Live!S21*POWER(150,2)/2000000)),"")</f>
        <v/>
      </c>
      <c r="Y22" s="21">
        <f>IFERROR(IF(OR(D22="",Bonds_Live!Q21="",Bonds_Live!S21=""),"",D22 + (-Bonds_Live!Q21*(0)/100 + Bonds_Live!S21*POWER(0,2)/2000000)),"")</f>
        <v/>
      </c>
      <c r="Z22" s="21">
        <f>IFERROR(IF(OR(D22="",Bonds_Live!Q21="",Bonds_Live!S21=""),"",D22 + (-Bonds_Live!Q21*(50)/100 + Bonds_Live!S21*POWER(50,2)/2000000)),"")</f>
        <v/>
      </c>
      <c r="AA22" s="21">
        <f>IFERROR(IF(OR(D22="",Bonds_Live!Q21="",Bonds_Live!S21=""),"",D22 + (-Bonds_Live!Q21*(100)/100 + Bonds_Live!S21*POWER(100,2)/2000000)),"")</f>
        <v/>
      </c>
      <c r="AB22" s="21">
        <f>IFERROR(IF(OR(D22="",Bonds_Live!Q21="",Bonds_Live!S21=""),"",D22 + (-Bonds_Live!Q21*(150)/100 + Bonds_Live!S21*POWER(150,2)/2000000)),"")</f>
        <v/>
      </c>
      <c r="AC22" s="21">
        <f>IFERROR(IF(OR(D22="",Bonds_Live!Q21="",Bonds_Live!S21=""),"",D22 + (-Bonds_Live!Q21*(200)/100 + Bonds_Live!S21*POWER(200,2)/2000000)),"")</f>
        <v/>
      </c>
    </row>
    <row r="23">
      <c r="A23" s="24">
        <f>Bonds_Static!A22</f>
        <v/>
      </c>
      <c r="B23" s="24">
        <f>Bonds_Static!C22</f>
        <v/>
      </c>
      <c r="C23" s="25">
        <f>IFERROR(Bonds_Static!G22,"")</f>
        <v/>
      </c>
      <c r="D23" s="11">
        <f>IFERROR(Carry_Roll!M22,"")</f>
        <v/>
      </c>
      <c r="E23" s="21">
        <f>IFERROR(IF(OR(D23="",Bonds_Live!Q22="",Bonds_Live!S22=""),"",D23 + (-Bonds_Live!Q22*(-200)/100 + Bonds_Live!S22*POWER(-200,2)/2000000)),"")</f>
        <v/>
      </c>
      <c r="F23" s="21">
        <f>IFERROR(IF(OR(D23="",Bonds_Live!Q22="",Bonds_Live!S22=""),"",D23 + (-Bonds_Live!Q22*(-150)/100 + Bonds_Live!S22*POWER(-150,2)/2000000)),"")</f>
        <v/>
      </c>
      <c r="G23" s="21">
        <f>IFERROR(IF(OR(D23="",Bonds_Live!Q22="",Bonds_Live!S22=""),"",D23 + (-Bonds_Live!Q22*(-100)/100 + Bonds_Live!S22*POWER(-100,2)/2000000)),"")</f>
        <v/>
      </c>
      <c r="H23" s="21">
        <f>IFERROR(IF(OR(D23="",Bonds_Live!Q22="",Bonds_Live!S22=""),"",D23 + (-Bonds_Live!Q22*(-50)/100 + Bonds_Live!S22*POWER(-50,2)/2000000)),"")</f>
        <v/>
      </c>
      <c r="I23" s="21">
        <f>IFERROR(IF(OR(D23="",Bonds_Live!Q22="",Bonds_Live!S22=""),"",D23 + (-Bonds_Live!Q22*(0)/100 + Bonds_Live!S22*POWER(0,2)/2000000)),"")</f>
        <v/>
      </c>
      <c r="J23" s="21">
        <f>IFERROR(IF(OR(D23="",Bonds_Live!Q22="",Bonds_Live!S22=""),"",D23 + (-Bonds_Live!Q22*(-150)/100 + Bonds_Live!S22*POWER(-150,2)/2000000)),"")</f>
        <v/>
      </c>
      <c r="K23" s="21">
        <f>IFERROR(IF(OR(D23="",Bonds_Live!Q22="",Bonds_Live!S22=""),"",D23 + (-Bonds_Live!Q22*(-100)/100 + Bonds_Live!S22*POWER(-100,2)/2000000)),"")</f>
        <v/>
      </c>
      <c r="L23" s="21">
        <f>IFERROR(IF(OR(D23="",Bonds_Live!Q22="",Bonds_Live!S22=""),"",D23 + (-Bonds_Live!Q22*(-50)/100 + Bonds_Live!S22*POWER(-50,2)/2000000)),"")</f>
        <v/>
      </c>
      <c r="M23" s="21">
        <f>IFERROR(IF(OR(D23="",Bonds_Live!Q22="",Bonds_Live!S22=""),"",D23 + (-Bonds_Live!Q22*(0)/100 + Bonds_Live!S22*POWER(0,2)/2000000)),"")</f>
        <v/>
      </c>
      <c r="N23" s="21">
        <f>IFERROR(IF(OR(D23="",Bonds_Live!Q22="",Bonds_Live!S22=""),"",D23 + (-Bonds_Live!Q22*(50)/100 + Bonds_Live!S22*POWER(50,2)/2000000)),"")</f>
        <v/>
      </c>
      <c r="O23" s="21">
        <f>IFERROR(IF(OR(D23="",Bonds_Live!Q22="",Bonds_Live!S22=""),"",D23 + (-Bonds_Live!Q22*(-100)/100 + Bonds_Live!S22*POWER(-100,2)/2000000)),"")</f>
        <v/>
      </c>
      <c r="P23" s="21">
        <f>IFERROR(IF(OR(D23="",Bonds_Live!Q22="",Bonds_Live!S22=""),"",D23 + (-Bonds_Live!Q22*(-50)/100 + Bonds_Live!S22*POWER(-50,2)/2000000)),"")</f>
        <v/>
      </c>
      <c r="Q23" s="21">
        <f>IFERROR(IF(OR(D23="",Bonds_Live!Q22="",Bonds_Live!S22=""),"",D23 + (-Bonds_Live!Q22*(0)/100 + Bonds_Live!S22*POWER(0,2)/2000000)),"")</f>
        <v/>
      </c>
      <c r="R23" s="21">
        <f>IFERROR(IF(OR(D23="",Bonds_Live!Q22="",Bonds_Live!S22=""),"",D23 + (-Bonds_Live!Q22*(50)/100 + Bonds_Live!S22*POWER(50,2)/2000000)),"")</f>
        <v/>
      </c>
      <c r="S23" s="21">
        <f>IFERROR(IF(OR(D23="",Bonds_Live!Q22="",Bonds_Live!S22=""),"",D23 + (-Bonds_Live!Q22*(100)/100 + Bonds_Live!S22*POWER(100,2)/2000000)),"")</f>
        <v/>
      </c>
      <c r="T23" s="21">
        <f>IFERROR(IF(OR(D23="",Bonds_Live!Q22="",Bonds_Live!S22=""),"",D23 + (-Bonds_Live!Q22*(-50)/100 + Bonds_Live!S22*POWER(-50,2)/2000000)),"")</f>
        <v/>
      </c>
      <c r="U23" s="21">
        <f>IFERROR(IF(OR(D23="",Bonds_Live!Q22="",Bonds_Live!S22=""),"",D23 + (-Bonds_Live!Q22*(0)/100 + Bonds_Live!S22*POWER(0,2)/2000000)),"")</f>
        <v/>
      </c>
      <c r="V23" s="21">
        <f>IFERROR(IF(OR(D23="",Bonds_Live!Q22="",Bonds_Live!S22=""),"",D23 + (-Bonds_Live!Q22*(50)/100 + Bonds_Live!S22*POWER(50,2)/2000000)),"")</f>
        <v/>
      </c>
      <c r="W23" s="21">
        <f>IFERROR(IF(OR(D23="",Bonds_Live!Q22="",Bonds_Live!S22=""),"",D23 + (-Bonds_Live!Q22*(100)/100 + Bonds_Live!S22*POWER(100,2)/2000000)),"")</f>
        <v/>
      </c>
      <c r="X23" s="21">
        <f>IFERROR(IF(OR(D23="",Bonds_Live!Q22="",Bonds_Live!S22=""),"",D23 + (-Bonds_Live!Q22*(150)/100 + Bonds_Live!S22*POWER(150,2)/2000000)),"")</f>
        <v/>
      </c>
      <c r="Y23" s="21">
        <f>IFERROR(IF(OR(D23="",Bonds_Live!Q22="",Bonds_Live!S22=""),"",D23 + (-Bonds_Live!Q22*(0)/100 + Bonds_Live!S22*POWER(0,2)/2000000)),"")</f>
        <v/>
      </c>
      <c r="Z23" s="21">
        <f>IFERROR(IF(OR(D23="",Bonds_Live!Q22="",Bonds_Live!S22=""),"",D23 + (-Bonds_Live!Q22*(50)/100 + Bonds_Live!S22*POWER(50,2)/2000000)),"")</f>
        <v/>
      </c>
      <c r="AA23" s="21">
        <f>IFERROR(IF(OR(D23="",Bonds_Live!Q22="",Bonds_Live!S22=""),"",D23 + (-Bonds_Live!Q22*(100)/100 + Bonds_Live!S22*POWER(100,2)/2000000)),"")</f>
        <v/>
      </c>
      <c r="AB23" s="21">
        <f>IFERROR(IF(OR(D23="",Bonds_Live!Q22="",Bonds_Live!S22=""),"",D23 + (-Bonds_Live!Q22*(150)/100 + Bonds_Live!S22*POWER(150,2)/2000000)),"")</f>
        <v/>
      </c>
      <c r="AC23" s="21">
        <f>IFERROR(IF(OR(D23="",Bonds_Live!Q22="",Bonds_Live!S22=""),"",D23 + (-Bonds_Live!Q22*(200)/100 + Bonds_Live!S22*POWER(200,2)/2000000)),"")</f>
        <v/>
      </c>
    </row>
    <row r="24">
      <c r="A24" s="24">
        <f>Bonds_Static!A23</f>
        <v/>
      </c>
      <c r="B24" s="24">
        <f>Bonds_Static!C23</f>
        <v/>
      </c>
      <c r="C24" s="25">
        <f>IFERROR(Bonds_Static!G23,"")</f>
        <v/>
      </c>
      <c r="D24" s="11">
        <f>IFERROR(Carry_Roll!M23,"")</f>
        <v/>
      </c>
      <c r="E24" s="21">
        <f>IFERROR(IF(OR(D24="",Bonds_Live!Q23="",Bonds_Live!S23=""),"",D24 + (-Bonds_Live!Q23*(-200)/100 + Bonds_Live!S23*POWER(-200,2)/2000000)),"")</f>
        <v/>
      </c>
      <c r="F24" s="21">
        <f>IFERROR(IF(OR(D24="",Bonds_Live!Q23="",Bonds_Live!S23=""),"",D24 + (-Bonds_Live!Q23*(-150)/100 + Bonds_Live!S23*POWER(-150,2)/2000000)),"")</f>
        <v/>
      </c>
      <c r="G24" s="21">
        <f>IFERROR(IF(OR(D24="",Bonds_Live!Q23="",Bonds_Live!S23=""),"",D24 + (-Bonds_Live!Q23*(-100)/100 + Bonds_Live!S23*POWER(-100,2)/2000000)),"")</f>
        <v/>
      </c>
      <c r="H24" s="21">
        <f>IFERROR(IF(OR(D24="",Bonds_Live!Q23="",Bonds_Live!S23=""),"",D24 + (-Bonds_Live!Q23*(-50)/100 + Bonds_Live!S23*POWER(-50,2)/2000000)),"")</f>
        <v/>
      </c>
      <c r="I24" s="21">
        <f>IFERROR(IF(OR(D24="",Bonds_Live!Q23="",Bonds_Live!S23=""),"",D24 + (-Bonds_Live!Q23*(0)/100 + Bonds_Live!S23*POWER(0,2)/2000000)),"")</f>
        <v/>
      </c>
      <c r="J24" s="21">
        <f>IFERROR(IF(OR(D24="",Bonds_Live!Q23="",Bonds_Live!S23=""),"",D24 + (-Bonds_Live!Q23*(-150)/100 + Bonds_Live!S23*POWER(-150,2)/2000000)),"")</f>
        <v/>
      </c>
      <c r="K24" s="21">
        <f>IFERROR(IF(OR(D24="",Bonds_Live!Q23="",Bonds_Live!S23=""),"",D24 + (-Bonds_Live!Q23*(-100)/100 + Bonds_Live!S23*POWER(-100,2)/2000000)),"")</f>
        <v/>
      </c>
      <c r="L24" s="21">
        <f>IFERROR(IF(OR(D24="",Bonds_Live!Q23="",Bonds_Live!S23=""),"",D24 + (-Bonds_Live!Q23*(-50)/100 + Bonds_Live!S23*POWER(-50,2)/2000000)),"")</f>
        <v/>
      </c>
      <c r="M24" s="21">
        <f>IFERROR(IF(OR(D24="",Bonds_Live!Q23="",Bonds_Live!S23=""),"",D24 + (-Bonds_Live!Q23*(0)/100 + Bonds_Live!S23*POWER(0,2)/2000000)),"")</f>
        <v/>
      </c>
      <c r="N24" s="21">
        <f>IFERROR(IF(OR(D24="",Bonds_Live!Q23="",Bonds_Live!S23=""),"",D24 + (-Bonds_Live!Q23*(50)/100 + Bonds_Live!S23*POWER(50,2)/2000000)),"")</f>
        <v/>
      </c>
      <c r="O24" s="21">
        <f>IFERROR(IF(OR(D24="",Bonds_Live!Q23="",Bonds_Live!S23=""),"",D24 + (-Bonds_Live!Q23*(-100)/100 + Bonds_Live!S23*POWER(-100,2)/2000000)),"")</f>
        <v/>
      </c>
      <c r="P24" s="21">
        <f>IFERROR(IF(OR(D24="",Bonds_Live!Q23="",Bonds_Live!S23=""),"",D24 + (-Bonds_Live!Q23*(-50)/100 + Bonds_Live!S23*POWER(-50,2)/2000000)),"")</f>
        <v/>
      </c>
      <c r="Q24" s="21">
        <f>IFERROR(IF(OR(D24="",Bonds_Live!Q23="",Bonds_Live!S23=""),"",D24 + (-Bonds_Live!Q23*(0)/100 + Bonds_Live!S23*POWER(0,2)/2000000)),"")</f>
        <v/>
      </c>
      <c r="R24" s="21">
        <f>IFERROR(IF(OR(D24="",Bonds_Live!Q23="",Bonds_Live!S23=""),"",D24 + (-Bonds_Live!Q23*(50)/100 + Bonds_Live!S23*POWER(50,2)/2000000)),"")</f>
        <v/>
      </c>
      <c r="S24" s="21">
        <f>IFERROR(IF(OR(D24="",Bonds_Live!Q23="",Bonds_Live!S23=""),"",D24 + (-Bonds_Live!Q23*(100)/100 + Bonds_Live!S23*POWER(100,2)/2000000)),"")</f>
        <v/>
      </c>
      <c r="T24" s="21">
        <f>IFERROR(IF(OR(D24="",Bonds_Live!Q23="",Bonds_Live!S23=""),"",D24 + (-Bonds_Live!Q23*(-50)/100 + Bonds_Live!S23*POWER(-50,2)/2000000)),"")</f>
        <v/>
      </c>
      <c r="U24" s="21">
        <f>IFERROR(IF(OR(D24="",Bonds_Live!Q23="",Bonds_Live!S23=""),"",D24 + (-Bonds_Live!Q23*(0)/100 + Bonds_Live!S23*POWER(0,2)/2000000)),"")</f>
        <v/>
      </c>
      <c r="V24" s="21">
        <f>IFERROR(IF(OR(D24="",Bonds_Live!Q23="",Bonds_Live!S23=""),"",D24 + (-Bonds_Live!Q23*(50)/100 + Bonds_Live!S23*POWER(50,2)/2000000)),"")</f>
        <v/>
      </c>
      <c r="W24" s="21">
        <f>IFERROR(IF(OR(D24="",Bonds_Live!Q23="",Bonds_Live!S23=""),"",D24 + (-Bonds_Live!Q23*(100)/100 + Bonds_Live!S23*POWER(100,2)/2000000)),"")</f>
        <v/>
      </c>
      <c r="X24" s="21">
        <f>IFERROR(IF(OR(D24="",Bonds_Live!Q23="",Bonds_Live!S23=""),"",D24 + (-Bonds_Live!Q23*(150)/100 + Bonds_Live!S23*POWER(150,2)/2000000)),"")</f>
        <v/>
      </c>
      <c r="Y24" s="21">
        <f>IFERROR(IF(OR(D24="",Bonds_Live!Q23="",Bonds_Live!S23=""),"",D24 + (-Bonds_Live!Q23*(0)/100 + Bonds_Live!S23*POWER(0,2)/2000000)),"")</f>
        <v/>
      </c>
      <c r="Z24" s="21">
        <f>IFERROR(IF(OR(D24="",Bonds_Live!Q23="",Bonds_Live!S23=""),"",D24 + (-Bonds_Live!Q23*(50)/100 + Bonds_Live!S23*POWER(50,2)/2000000)),"")</f>
        <v/>
      </c>
      <c r="AA24" s="21">
        <f>IFERROR(IF(OR(D24="",Bonds_Live!Q23="",Bonds_Live!S23=""),"",D24 + (-Bonds_Live!Q23*(100)/100 + Bonds_Live!S23*POWER(100,2)/2000000)),"")</f>
        <v/>
      </c>
      <c r="AB24" s="21">
        <f>IFERROR(IF(OR(D24="",Bonds_Live!Q23="",Bonds_Live!S23=""),"",D24 + (-Bonds_Live!Q23*(150)/100 + Bonds_Live!S23*POWER(150,2)/2000000)),"")</f>
        <v/>
      </c>
      <c r="AC24" s="21">
        <f>IFERROR(IF(OR(D24="",Bonds_Live!Q23="",Bonds_Live!S23=""),"",D24 + (-Bonds_Live!Q23*(200)/100 + Bonds_Live!S23*POWER(200,2)/2000000)),"")</f>
        <v/>
      </c>
    </row>
    <row r="25">
      <c r="A25" s="24">
        <f>Bonds_Static!A24</f>
        <v/>
      </c>
      <c r="B25" s="24">
        <f>Bonds_Static!C24</f>
        <v/>
      </c>
      <c r="C25" s="25">
        <f>IFERROR(Bonds_Static!G24,"")</f>
        <v/>
      </c>
      <c r="D25" s="11">
        <f>IFERROR(Carry_Roll!M24,"")</f>
        <v/>
      </c>
      <c r="E25" s="21">
        <f>IFERROR(IF(OR(D25="",Bonds_Live!Q24="",Bonds_Live!S24=""),"",D25 + (-Bonds_Live!Q24*(-200)/100 + Bonds_Live!S24*POWER(-200,2)/2000000)),"")</f>
        <v/>
      </c>
      <c r="F25" s="21">
        <f>IFERROR(IF(OR(D25="",Bonds_Live!Q24="",Bonds_Live!S24=""),"",D25 + (-Bonds_Live!Q24*(-150)/100 + Bonds_Live!S24*POWER(-150,2)/2000000)),"")</f>
        <v/>
      </c>
      <c r="G25" s="21">
        <f>IFERROR(IF(OR(D25="",Bonds_Live!Q24="",Bonds_Live!S24=""),"",D25 + (-Bonds_Live!Q24*(-100)/100 + Bonds_Live!S24*POWER(-100,2)/2000000)),"")</f>
        <v/>
      </c>
      <c r="H25" s="21">
        <f>IFERROR(IF(OR(D25="",Bonds_Live!Q24="",Bonds_Live!S24=""),"",D25 + (-Bonds_Live!Q24*(-50)/100 + Bonds_Live!S24*POWER(-50,2)/2000000)),"")</f>
        <v/>
      </c>
      <c r="I25" s="21">
        <f>IFERROR(IF(OR(D25="",Bonds_Live!Q24="",Bonds_Live!S24=""),"",D25 + (-Bonds_Live!Q24*(0)/100 + Bonds_Live!S24*POWER(0,2)/2000000)),"")</f>
        <v/>
      </c>
      <c r="J25" s="21">
        <f>IFERROR(IF(OR(D25="",Bonds_Live!Q24="",Bonds_Live!S24=""),"",D25 + (-Bonds_Live!Q24*(-150)/100 + Bonds_Live!S24*POWER(-150,2)/2000000)),"")</f>
        <v/>
      </c>
      <c r="K25" s="21">
        <f>IFERROR(IF(OR(D25="",Bonds_Live!Q24="",Bonds_Live!S24=""),"",D25 + (-Bonds_Live!Q24*(-100)/100 + Bonds_Live!S24*POWER(-100,2)/2000000)),"")</f>
        <v/>
      </c>
      <c r="L25" s="21">
        <f>IFERROR(IF(OR(D25="",Bonds_Live!Q24="",Bonds_Live!S24=""),"",D25 + (-Bonds_Live!Q24*(-50)/100 + Bonds_Live!S24*POWER(-50,2)/2000000)),"")</f>
        <v/>
      </c>
      <c r="M25" s="21">
        <f>IFERROR(IF(OR(D25="",Bonds_Live!Q24="",Bonds_Live!S24=""),"",D25 + (-Bonds_Live!Q24*(0)/100 + Bonds_Live!S24*POWER(0,2)/2000000)),"")</f>
        <v/>
      </c>
      <c r="N25" s="21">
        <f>IFERROR(IF(OR(D25="",Bonds_Live!Q24="",Bonds_Live!S24=""),"",D25 + (-Bonds_Live!Q24*(50)/100 + Bonds_Live!S24*POWER(50,2)/2000000)),"")</f>
        <v/>
      </c>
      <c r="O25" s="21">
        <f>IFERROR(IF(OR(D25="",Bonds_Live!Q24="",Bonds_Live!S24=""),"",D25 + (-Bonds_Live!Q24*(-100)/100 + Bonds_Live!S24*POWER(-100,2)/2000000)),"")</f>
        <v/>
      </c>
      <c r="P25" s="21">
        <f>IFERROR(IF(OR(D25="",Bonds_Live!Q24="",Bonds_Live!S24=""),"",D25 + (-Bonds_Live!Q24*(-50)/100 + Bonds_Live!S24*POWER(-50,2)/2000000)),"")</f>
        <v/>
      </c>
      <c r="Q25" s="21">
        <f>IFERROR(IF(OR(D25="",Bonds_Live!Q24="",Bonds_Live!S24=""),"",D25 + (-Bonds_Live!Q24*(0)/100 + Bonds_Live!S24*POWER(0,2)/2000000)),"")</f>
        <v/>
      </c>
      <c r="R25" s="21">
        <f>IFERROR(IF(OR(D25="",Bonds_Live!Q24="",Bonds_Live!S24=""),"",D25 + (-Bonds_Live!Q24*(50)/100 + Bonds_Live!S24*POWER(50,2)/2000000)),"")</f>
        <v/>
      </c>
      <c r="S25" s="21">
        <f>IFERROR(IF(OR(D25="",Bonds_Live!Q24="",Bonds_Live!S24=""),"",D25 + (-Bonds_Live!Q24*(100)/100 + Bonds_Live!S24*POWER(100,2)/2000000)),"")</f>
        <v/>
      </c>
      <c r="T25" s="21">
        <f>IFERROR(IF(OR(D25="",Bonds_Live!Q24="",Bonds_Live!S24=""),"",D25 + (-Bonds_Live!Q24*(-50)/100 + Bonds_Live!S24*POWER(-50,2)/2000000)),"")</f>
        <v/>
      </c>
      <c r="U25" s="21">
        <f>IFERROR(IF(OR(D25="",Bonds_Live!Q24="",Bonds_Live!S24=""),"",D25 + (-Bonds_Live!Q24*(0)/100 + Bonds_Live!S24*POWER(0,2)/2000000)),"")</f>
        <v/>
      </c>
      <c r="V25" s="21">
        <f>IFERROR(IF(OR(D25="",Bonds_Live!Q24="",Bonds_Live!S24=""),"",D25 + (-Bonds_Live!Q24*(50)/100 + Bonds_Live!S24*POWER(50,2)/2000000)),"")</f>
        <v/>
      </c>
      <c r="W25" s="21">
        <f>IFERROR(IF(OR(D25="",Bonds_Live!Q24="",Bonds_Live!S24=""),"",D25 + (-Bonds_Live!Q24*(100)/100 + Bonds_Live!S24*POWER(100,2)/2000000)),"")</f>
        <v/>
      </c>
      <c r="X25" s="21">
        <f>IFERROR(IF(OR(D25="",Bonds_Live!Q24="",Bonds_Live!S24=""),"",D25 + (-Bonds_Live!Q24*(150)/100 + Bonds_Live!S24*POWER(150,2)/2000000)),"")</f>
        <v/>
      </c>
      <c r="Y25" s="21">
        <f>IFERROR(IF(OR(D25="",Bonds_Live!Q24="",Bonds_Live!S24=""),"",D25 + (-Bonds_Live!Q24*(0)/100 + Bonds_Live!S24*POWER(0,2)/2000000)),"")</f>
        <v/>
      </c>
      <c r="Z25" s="21">
        <f>IFERROR(IF(OR(D25="",Bonds_Live!Q24="",Bonds_Live!S24=""),"",D25 + (-Bonds_Live!Q24*(50)/100 + Bonds_Live!S24*POWER(50,2)/2000000)),"")</f>
        <v/>
      </c>
      <c r="AA25" s="21">
        <f>IFERROR(IF(OR(D25="",Bonds_Live!Q24="",Bonds_Live!S24=""),"",D25 + (-Bonds_Live!Q24*(100)/100 + Bonds_Live!S24*POWER(100,2)/2000000)),"")</f>
        <v/>
      </c>
      <c r="AB25" s="21">
        <f>IFERROR(IF(OR(D25="",Bonds_Live!Q24="",Bonds_Live!S24=""),"",D25 + (-Bonds_Live!Q24*(150)/100 + Bonds_Live!S24*POWER(150,2)/2000000)),"")</f>
        <v/>
      </c>
      <c r="AC25" s="21">
        <f>IFERROR(IF(OR(D25="",Bonds_Live!Q24="",Bonds_Live!S24=""),"",D25 + (-Bonds_Live!Q24*(200)/100 + Bonds_Live!S24*POWER(200,2)/2000000)),"")</f>
        <v/>
      </c>
    </row>
    <row r="26">
      <c r="A26" s="24">
        <f>Bonds_Static!A25</f>
        <v/>
      </c>
      <c r="B26" s="24">
        <f>Bonds_Static!C25</f>
        <v/>
      </c>
      <c r="C26" s="25">
        <f>IFERROR(Bonds_Static!G25,"")</f>
        <v/>
      </c>
      <c r="D26" s="11">
        <f>IFERROR(Carry_Roll!M25,"")</f>
        <v/>
      </c>
      <c r="E26" s="21">
        <f>IFERROR(IF(OR(D26="",Bonds_Live!Q25="",Bonds_Live!S25=""),"",D26 + (-Bonds_Live!Q25*(-200)/100 + Bonds_Live!S25*POWER(-200,2)/2000000)),"")</f>
        <v/>
      </c>
      <c r="F26" s="21">
        <f>IFERROR(IF(OR(D26="",Bonds_Live!Q25="",Bonds_Live!S25=""),"",D26 + (-Bonds_Live!Q25*(-150)/100 + Bonds_Live!S25*POWER(-150,2)/2000000)),"")</f>
        <v/>
      </c>
      <c r="G26" s="21">
        <f>IFERROR(IF(OR(D26="",Bonds_Live!Q25="",Bonds_Live!S25=""),"",D26 + (-Bonds_Live!Q25*(-100)/100 + Bonds_Live!S25*POWER(-100,2)/2000000)),"")</f>
        <v/>
      </c>
      <c r="H26" s="21">
        <f>IFERROR(IF(OR(D26="",Bonds_Live!Q25="",Bonds_Live!S25=""),"",D26 + (-Bonds_Live!Q25*(-50)/100 + Bonds_Live!S25*POWER(-50,2)/2000000)),"")</f>
        <v/>
      </c>
      <c r="I26" s="21">
        <f>IFERROR(IF(OR(D26="",Bonds_Live!Q25="",Bonds_Live!S25=""),"",D26 + (-Bonds_Live!Q25*(0)/100 + Bonds_Live!S25*POWER(0,2)/2000000)),"")</f>
        <v/>
      </c>
      <c r="J26" s="21">
        <f>IFERROR(IF(OR(D26="",Bonds_Live!Q25="",Bonds_Live!S25=""),"",D26 + (-Bonds_Live!Q25*(-150)/100 + Bonds_Live!S25*POWER(-150,2)/2000000)),"")</f>
        <v/>
      </c>
      <c r="K26" s="21">
        <f>IFERROR(IF(OR(D26="",Bonds_Live!Q25="",Bonds_Live!S25=""),"",D26 + (-Bonds_Live!Q25*(-100)/100 + Bonds_Live!S25*POWER(-100,2)/2000000)),"")</f>
        <v/>
      </c>
      <c r="L26" s="21">
        <f>IFERROR(IF(OR(D26="",Bonds_Live!Q25="",Bonds_Live!S25=""),"",D26 + (-Bonds_Live!Q25*(-50)/100 + Bonds_Live!S25*POWER(-50,2)/2000000)),"")</f>
        <v/>
      </c>
      <c r="M26" s="21">
        <f>IFERROR(IF(OR(D26="",Bonds_Live!Q25="",Bonds_Live!S25=""),"",D26 + (-Bonds_Live!Q25*(0)/100 + Bonds_Live!S25*POWER(0,2)/2000000)),"")</f>
        <v/>
      </c>
      <c r="N26" s="21">
        <f>IFERROR(IF(OR(D26="",Bonds_Live!Q25="",Bonds_Live!S25=""),"",D26 + (-Bonds_Live!Q25*(50)/100 + Bonds_Live!S25*POWER(50,2)/2000000)),"")</f>
        <v/>
      </c>
      <c r="O26" s="21">
        <f>IFERROR(IF(OR(D26="",Bonds_Live!Q25="",Bonds_Live!S25=""),"",D26 + (-Bonds_Live!Q25*(-100)/100 + Bonds_Live!S25*POWER(-100,2)/2000000)),"")</f>
        <v/>
      </c>
      <c r="P26" s="21">
        <f>IFERROR(IF(OR(D26="",Bonds_Live!Q25="",Bonds_Live!S25=""),"",D26 + (-Bonds_Live!Q25*(-50)/100 + Bonds_Live!S25*POWER(-50,2)/2000000)),"")</f>
        <v/>
      </c>
      <c r="Q26" s="21">
        <f>IFERROR(IF(OR(D26="",Bonds_Live!Q25="",Bonds_Live!S25=""),"",D26 + (-Bonds_Live!Q25*(0)/100 + Bonds_Live!S25*POWER(0,2)/2000000)),"")</f>
        <v/>
      </c>
      <c r="R26" s="21">
        <f>IFERROR(IF(OR(D26="",Bonds_Live!Q25="",Bonds_Live!S25=""),"",D26 + (-Bonds_Live!Q25*(50)/100 + Bonds_Live!S25*POWER(50,2)/2000000)),"")</f>
        <v/>
      </c>
      <c r="S26" s="21">
        <f>IFERROR(IF(OR(D26="",Bonds_Live!Q25="",Bonds_Live!S25=""),"",D26 + (-Bonds_Live!Q25*(100)/100 + Bonds_Live!S25*POWER(100,2)/2000000)),"")</f>
        <v/>
      </c>
      <c r="T26" s="21">
        <f>IFERROR(IF(OR(D26="",Bonds_Live!Q25="",Bonds_Live!S25=""),"",D26 + (-Bonds_Live!Q25*(-50)/100 + Bonds_Live!S25*POWER(-50,2)/2000000)),"")</f>
        <v/>
      </c>
      <c r="U26" s="21">
        <f>IFERROR(IF(OR(D26="",Bonds_Live!Q25="",Bonds_Live!S25=""),"",D26 + (-Bonds_Live!Q25*(0)/100 + Bonds_Live!S25*POWER(0,2)/2000000)),"")</f>
        <v/>
      </c>
      <c r="V26" s="21">
        <f>IFERROR(IF(OR(D26="",Bonds_Live!Q25="",Bonds_Live!S25=""),"",D26 + (-Bonds_Live!Q25*(50)/100 + Bonds_Live!S25*POWER(50,2)/2000000)),"")</f>
        <v/>
      </c>
      <c r="W26" s="21">
        <f>IFERROR(IF(OR(D26="",Bonds_Live!Q25="",Bonds_Live!S25=""),"",D26 + (-Bonds_Live!Q25*(100)/100 + Bonds_Live!S25*POWER(100,2)/2000000)),"")</f>
        <v/>
      </c>
      <c r="X26" s="21">
        <f>IFERROR(IF(OR(D26="",Bonds_Live!Q25="",Bonds_Live!S25=""),"",D26 + (-Bonds_Live!Q25*(150)/100 + Bonds_Live!S25*POWER(150,2)/2000000)),"")</f>
        <v/>
      </c>
      <c r="Y26" s="21">
        <f>IFERROR(IF(OR(D26="",Bonds_Live!Q25="",Bonds_Live!S25=""),"",D26 + (-Bonds_Live!Q25*(0)/100 + Bonds_Live!S25*POWER(0,2)/2000000)),"")</f>
        <v/>
      </c>
      <c r="Z26" s="21">
        <f>IFERROR(IF(OR(D26="",Bonds_Live!Q25="",Bonds_Live!S25=""),"",D26 + (-Bonds_Live!Q25*(50)/100 + Bonds_Live!S25*POWER(50,2)/2000000)),"")</f>
        <v/>
      </c>
      <c r="AA26" s="21">
        <f>IFERROR(IF(OR(D26="",Bonds_Live!Q25="",Bonds_Live!S25=""),"",D26 + (-Bonds_Live!Q25*(100)/100 + Bonds_Live!S25*POWER(100,2)/2000000)),"")</f>
        <v/>
      </c>
      <c r="AB26" s="21">
        <f>IFERROR(IF(OR(D26="",Bonds_Live!Q25="",Bonds_Live!S25=""),"",D26 + (-Bonds_Live!Q25*(150)/100 + Bonds_Live!S25*POWER(150,2)/2000000)),"")</f>
        <v/>
      </c>
      <c r="AC26" s="21">
        <f>IFERROR(IF(OR(D26="",Bonds_Live!Q25="",Bonds_Live!S25=""),"",D26 + (-Bonds_Live!Q25*(200)/100 + Bonds_Live!S25*POWER(200,2)/2000000)),"")</f>
        <v/>
      </c>
    </row>
    <row r="27">
      <c r="A27" s="24">
        <f>Bonds_Static!A26</f>
        <v/>
      </c>
      <c r="B27" s="24">
        <f>Bonds_Static!C26</f>
        <v/>
      </c>
      <c r="C27" s="25">
        <f>IFERROR(Bonds_Static!G26,"")</f>
        <v/>
      </c>
      <c r="D27" s="11">
        <f>IFERROR(Carry_Roll!M26,"")</f>
        <v/>
      </c>
      <c r="E27" s="21">
        <f>IFERROR(IF(OR(D27="",Bonds_Live!Q26="",Bonds_Live!S26=""),"",D27 + (-Bonds_Live!Q26*(-200)/100 + Bonds_Live!S26*POWER(-200,2)/2000000)),"")</f>
        <v/>
      </c>
      <c r="F27" s="21">
        <f>IFERROR(IF(OR(D27="",Bonds_Live!Q26="",Bonds_Live!S26=""),"",D27 + (-Bonds_Live!Q26*(-150)/100 + Bonds_Live!S26*POWER(-150,2)/2000000)),"")</f>
        <v/>
      </c>
      <c r="G27" s="21">
        <f>IFERROR(IF(OR(D27="",Bonds_Live!Q26="",Bonds_Live!S26=""),"",D27 + (-Bonds_Live!Q26*(-100)/100 + Bonds_Live!S26*POWER(-100,2)/2000000)),"")</f>
        <v/>
      </c>
      <c r="H27" s="21">
        <f>IFERROR(IF(OR(D27="",Bonds_Live!Q26="",Bonds_Live!S26=""),"",D27 + (-Bonds_Live!Q26*(-50)/100 + Bonds_Live!S26*POWER(-50,2)/2000000)),"")</f>
        <v/>
      </c>
      <c r="I27" s="21">
        <f>IFERROR(IF(OR(D27="",Bonds_Live!Q26="",Bonds_Live!S26=""),"",D27 + (-Bonds_Live!Q26*(0)/100 + Bonds_Live!S26*POWER(0,2)/2000000)),"")</f>
        <v/>
      </c>
      <c r="J27" s="21">
        <f>IFERROR(IF(OR(D27="",Bonds_Live!Q26="",Bonds_Live!S26=""),"",D27 + (-Bonds_Live!Q26*(-150)/100 + Bonds_Live!S26*POWER(-150,2)/2000000)),"")</f>
        <v/>
      </c>
      <c r="K27" s="21">
        <f>IFERROR(IF(OR(D27="",Bonds_Live!Q26="",Bonds_Live!S26=""),"",D27 + (-Bonds_Live!Q26*(-100)/100 + Bonds_Live!S26*POWER(-100,2)/2000000)),"")</f>
        <v/>
      </c>
      <c r="L27" s="21">
        <f>IFERROR(IF(OR(D27="",Bonds_Live!Q26="",Bonds_Live!S26=""),"",D27 + (-Bonds_Live!Q26*(-50)/100 + Bonds_Live!S26*POWER(-50,2)/2000000)),"")</f>
        <v/>
      </c>
      <c r="M27" s="21">
        <f>IFERROR(IF(OR(D27="",Bonds_Live!Q26="",Bonds_Live!S26=""),"",D27 + (-Bonds_Live!Q26*(0)/100 + Bonds_Live!S26*POWER(0,2)/2000000)),"")</f>
        <v/>
      </c>
      <c r="N27" s="21">
        <f>IFERROR(IF(OR(D27="",Bonds_Live!Q26="",Bonds_Live!S26=""),"",D27 + (-Bonds_Live!Q26*(50)/100 + Bonds_Live!S26*POWER(50,2)/2000000)),"")</f>
        <v/>
      </c>
      <c r="O27" s="21">
        <f>IFERROR(IF(OR(D27="",Bonds_Live!Q26="",Bonds_Live!S26=""),"",D27 + (-Bonds_Live!Q26*(-100)/100 + Bonds_Live!S26*POWER(-100,2)/2000000)),"")</f>
        <v/>
      </c>
      <c r="P27" s="21">
        <f>IFERROR(IF(OR(D27="",Bonds_Live!Q26="",Bonds_Live!S26=""),"",D27 + (-Bonds_Live!Q26*(-50)/100 + Bonds_Live!S26*POWER(-50,2)/2000000)),"")</f>
        <v/>
      </c>
      <c r="Q27" s="21">
        <f>IFERROR(IF(OR(D27="",Bonds_Live!Q26="",Bonds_Live!S26=""),"",D27 + (-Bonds_Live!Q26*(0)/100 + Bonds_Live!S26*POWER(0,2)/2000000)),"")</f>
        <v/>
      </c>
      <c r="R27" s="21">
        <f>IFERROR(IF(OR(D27="",Bonds_Live!Q26="",Bonds_Live!S26=""),"",D27 + (-Bonds_Live!Q26*(50)/100 + Bonds_Live!S26*POWER(50,2)/2000000)),"")</f>
        <v/>
      </c>
      <c r="S27" s="21">
        <f>IFERROR(IF(OR(D27="",Bonds_Live!Q26="",Bonds_Live!S26=""),"",D27 + (-Bonds_Live!Q26*(100)/100 + Bonds_Live!S26*POWER(100,2)/2000000)),"")</f>
        <v/>
      </c>
      <c r="T27" s="21">
        <f>IFERROR(IF(OR(D27="",Bonds_Live!Q26="",Bonds_Live!S26=""),"",D27 + (-Bonds_Live!Q26*(-50)/100 + Bonds_Live!S26*POWER(-50,2)/2000000)),"")</f>
        <v/>
      </c>
      <c r="U27" s="21">
        <f>IFERROR(IF(OR(D27="",Bonds_Live!Q26="",Bonds_Live!S26=""),"",D27 + (-Bonds_Live!Q26*(0)/100 + Bonds_Live!S26*POWER(0,2)/2000000)),"")</f>
        <v/>
      </c>
      <c r="V27" s="21">
        <f>IFERROR(IF(OR(D27="",Bonds_Live!Q26="",Bonds_Live!S26=""),"",D27 + (-Bonds_Live!Q26*(50)/100 + Bonds_Live!S26*POWER(50,2)/2000000)),"")</f>
        <v/>
      </c>
      <c r="W27" s="21">
        <f>IFERROR(IF(OR(D27="",Bonds_Live!Q26="",Bonds_Live!S26=""),"",D27 + (-Bonds_Live!Q26*(100)/100 + Bonds_Live!S26*POWER(100,2)/2000000)),"")</f>
        <v/>
      </c>
      <c r="X27" s="21">
        <f>IFERROR(IF(OR(D27="",Bonds_Live!Q26="",Bonds_Live!S26=""),"",D27 + (-Bonds_Live!Q26*(150)/100 + Bonds_Live!S26*POWER(150,2)/2000000)),"")</f>
        <v/>
      </c>
      <c r="Y27" s="21">
        <f>IFERROR(IF(OR(D27="",Bonds_Live!Q26="",Bonds_Live!S26=""),"",D27 + (-Bonds_Live!Q26*(0)/100 + Bonds_Live!S26*POWER(0,2)/2000000)),"")</f>
        <v/>
      </c>
      <c r="Z27" s="21">
        <f>IFERROR(IF(OR(D27="",Bonds_Live!Q26="",Bonds_Live!S26=""),"",D27 + (-Bonds_Live!Q26*(50)/100 + Bonds_Live!S26*POWER(50,2)/2000000)),"")</f>
        <v/>
      </c>
      <c r="AA27" s="21">
        <f>IFERROR(IF(OR(D27="",Bonds_Live!Q26="",Bonds_Live!S26=""),"",D27 + (-Bonds_Live!Q26*(100)/100 + Bonds_Live!S26*POWER(100,2)/2000000)),"")</f>
        <v/>
      </c>
      <c r="AB27" s="21">
        <f>IFERROR(IF(OR(D27="",Bonds_Live!Q26="",Bonds_Live!S26=""),"",D27 + (-Bonds_Live!Q26*(150)/100 + Bonds_Live!S26*POWER(150,2)/2000000)),"")</f>
        <v/>
      </c>
      <c r="AC27" s="21">
        <f>IFERROR(IF(OR(D27="",Bonds_Live!Q26="",Bonds_Live!S26=""),"",D27 + (-Bonds_Live!Q26*(200)/100 + Bonds_Live!S26*POWER(200,2)/2000000)),"")</f>
        <v/>
      </c>
    </row>
  </sheetData>
  <mergeCells count="1">
    <mergeCell ref="A1:O1"/>
  </mergeCells>
  <conditionalFormatting sqref="E3:AC27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  <col width="14" customWidth="1" min="10" max="10"/>
  </cols>
  <sheetData>
    <row r="2">
      <c r="B2" s="5" t="inlineStr">
        <is>
          <t>Bond Selector</t>
        </is>
      </c>
      <c r="C2" s="6" t="n"/>
      <c r="D2" s="6" t="n"/>
      <c r="E2" s="6" t="n"/>
      <c r="F2" s="6" t="n"/>
      <c r="G2" s="6" t="n"/>
      <c r="H2" s="7" t="n"/>
    </row>
    <row r="3">
      <c r="B3" s="13" t="inlineStr">
        <is>
          <t>Select bond (row #):</t>
        </is>
      </c>
      <c r="C3" s="8" t="n">
        <v>2</v>
      </c>
      <c r="D3" s="10">
        <f>IFERROR(INDEX(Bonds_Static!A2:A26,C3-1),"")</f>
        <v/>
      </c>
      <c r="E3" s="10">
        <f>IFERROR(INDEX(Bonds_Static!C2:C26,C3-1),"")</f>
        <v/>
      </c>
      <c r="F3" s="22">
        <f>IFERROR(INDEX(Bonds_Static!G2:G26,C3-1),"")</f>
        <v/>
      </c>
      <c r="G3" s="21">
        <f>IFERROR(INDEX(Bonds_Live!Q2:Q26,C3-1),"")</f>
        <v/>
      </c>
      <c r="H3" s="21">
        <f>IFERROR(INDEX(Bonds_Live!S2:S26,C3-1),"")</f>
        <v/>
      </c>
    </row>
    <row r="4">
      <c r="B4" s="33" t="inlineStr">
        <is>
          <t>(C3 = bond row # in Bonds_Static; 2 = first bond)</t>
        </is>
      </c>
    </row>
    <row r="6">
      <c r="B6" s="5" t="inlineStr">
        <is>
          <t>Horizon: 3 months — Total Return (%)</t>
        </is>
      </c>
      <c r="C6" s="6" t="n"/>
      <c r="D6" s="6" t="n"/>
      <c r="E6" s="6" t="n"/>
      <c r="F6" s="6" t="n"/>
      <c r="G6" s="7" t="n"/>
    </row>
    <row r="7">
      <c r="B7" s="20" t="inlineStr">
        <is>
          <t>ΔUST ↓ / Δspread →</t>
        </is>
      </c>
      <c r="C7" s="20" t="inlineStr">
        <is>
          <t>-100 bp</t>
        </is>
      </c>
      <c r="D7" s="20" t="inlineStr">
        <is>
          <t>-50 bp</t>
        </is>
      </c>
      <c r="E7" s="20" t="inlineStr">
        <is>
          <t>+0 bp</t>
        </is>
      </c>
      <c r="F7" s="20" t="inlineStr">
        <is>
          <t>+50 bp</t>
        </is>
      </c>
      <c r="G7" s="20" t="inlineStr">
        <is>
          <t>+100 bp</t>
        </is>
      </c>
    </row>
    <row r="8">
      <c r="B8" s="20" t="inlineStr">
        <is>
          <t>-100 bp</t>
        </is>
      </c>
      <c r="C8" s="21">
        <f>IFERROR((IFERROR(INDEX(Carry_Roll!G2:G26,C$3-1),0)+IFERROR(INDEX(Carry_Roll!J2:J26,C$3-1),0)) + (-G$3*(-100+-100)/100 + H$3*POWER(-100+-100,2)/2000000),"")</f>
        <v/>
      </c>
      <c r="D8" s="21">
        <f>IFERROR((IFERROR(INDEX(Carry_Roll!G2:G26,C$3-1),0)+IFERROR(INDEX(Carry_Roll!J2:J26,C$3-1),0)) + (-G$3*(-100+-50)/100 + H$3*POWER(-100+-50,2)/2000000),"")</f>
        <v/>
      </c>
      <c r="E8" s="21">
        <f>IFERROR((IFERROR(INDEX(Carry_Roll!G2:G26,C$3-1),0)+IFERROR(INDEX(Carry_Roll!J2:J26,C$3-1),0)) + (-G$3*(-100+0)/100 + H$3*POWER(-100+0,2)/2000000),"")</f>
        <v/>
      </c>
      <c r="F8" s="21">
        <f>IFERROR((IFERROR(INDEX(Carry_Roll!G2:G26,C$3-1),0)+IFERROR(INDEX(Carry_Roll!J2:J26,C$3-1),0)) + (-G$3*(-100+50)/100 + H$3*POWER(-100+50,2)/2000000),"")</f>
        <v/>
      </c>
      <c r="G8" s="21">
        <f>IFERROR((IFERROR(INDEX(Carry_Roll!G2:G26,C$3-1),0)+IFERROR(INDEX(Carry_Roll!J2:J26,C$3-1),0)) + (-G$3*(-100+100)/100 + H$3*POWER(-100+100,2)/2000000),"")</f>
        <v/>
      </c>
    </row>
    <row r="9">
      <c r="B9" s="20" t="inlineStr">
        <is>
          <t>-50 bp</t>
        </is>
      </c>
      <c r="C9" s="21">
        <f>IFERROR((IFERROR(INDEX(Carry_Roll!G2:G26,C$3-1),0)+IFERROR(INDEX(Carry_Roll!J2:J26,C$3-1),0)) + (-G$3*(-50+-100)/100 + H$3*POWER(-50+-100,2)/2000000),"")</f>
        <v/>
      </c>
      <c r="D9" s="21">
        <f>IFERROR((IFERROR(INDEX(Carry_Roll!G2:G26,C$3-1),0)+IFERROR(INDEX(Carry_Roll!J2:J26,C$3-1),0)) + (-G$3*(-50+-50)/100 + H$3*POWER(-50+-50,2)/2000000),"")</f>
        <v/>
      </c>
      <c r="E9" s="21">
        <f>IFERROR((IFERROR(INDEX(Carry_Roll!G2:G26,C$3-1),0)+IFERROR(INDEX(Carry_Roll!J2:J26,C$3-1),0)) + (-G$3*(-50+0)/100 + H$3*POWER(-50+0,2)/2000000),"")</f>
        <v/>
      </c>
      <c r="F9" s="21">
        <f>IFERROR((IFERROR(INDEX(Carry_Roll!G2:G26,C$3-1),0)+IFERROR(INDEX(Carry_Roll!J2:J26,C$3-1),0)) + (-G$3*(-50+50)/100 + H$3*POWER(-50+50,2)/2000000),"")</f>
        <v/>
      </c>
      <c r="G9" s="21">
        <f>IFERROR((IFERROR(INDEX(Carry_Roll!G2:G26,C$3-1),0)+IFERROR(INDEX(Carry_Roll!J2:J26,C$3-1),0)) + (-G$3*(-50+100)/100 + H$3*POWER(-50+100,2)/2000000),"")</f>
        <v/>
      </c>
    </row>
    <row r="10">
      <c r="B10" s="20" t="inlineStr">
        <is>
          <t>-25 bp</t>
        </is>
      </c>
      <c r="C10" s="21">
        <f>IFERROR((IFERROR(INDEX(Carry_Roll!G2:G26,C$3-1),0)+IFERROR(INDEX(Carry_Roll!J2:J26,C$3-1),0)) + (-G$3*(-25+-100)/100 + H$3*POWER(-25+-100,2)/2000000),"")</f>
        <v/>
      </c>
      <c r="D10" s="21">
        <f>IFERROR((IFERROR(INDEX(Carry_Roll!G2:G26,C$3-1),0)+IFERROR(INDEX(Carry_Roll!J2:J26,C$3-1),0)) + (-G$3*(-25+-50)/100 + H$3*POWER(-25+-50,2)/2000000),"")</f>
        <v/>
      </c>
      <c r="E10" s="21">
        <f>IFERROR((IFERROR(INDEX(Carry_Roll!G2:G26,C$3-1),0)+IFERROR(INDEX(Carry_Roll!J2:J26,C$3-1),0)) + (-G$3*(-25+0)/100 + H$3*POWER(-25+0,2)/2000000),"")</f>
        <v/>
      </c>
      <c r="F10" s="21">
        <f>IFERROR((IFERROR(INDEX(Carry_Roll!G2:G26,C$3-1),0)+IFERROR(INDEX(Carry_Roll!J2:J26,C$3-1),0)) + (-G$3*(-25+50)/100 + H$3*POWER(-25+50,2)/2000000),"")</f>
        <v/>
      </c>
      <c r="G10" s="21">
        <f>IFERROR((IFERROR(INDEX(Carry_Roll!G2:G26,C$3-1),0)+IFERROR(INDEX(Carry_Roll!J2:J26,C$3-1),0)) + (-G$3*(-25+100)/100 + H$3*POWER(-25+100,2)/2000000),"")</f>
        <v/>
      </c>
    </row>
    <row r="11">
      <c r="B11" s="20" t="inlineStr">
        <is>
          <t>+0 bp</t>
        </is>
      </c>
      <c r="C11" s="21">
        <f>IFERROR((IFERROR(INDEX(Carry_Roll!G2:G26,C$3-1),0)+IFERROR(INDEX(Carry_Roll!J2:J26,C$3-1),0)) + (-G$3*(0+-100)/100 + H$3*POWER(0+-100,2)/2000000),"")</f>
        <v/>
      </c>
      <c r="D11" s="21">
        <f>IFERROR((IFERROR(INDEX(Carry_Roll!G2:G26,C$3-1),0)+IFERROR(INDEX(Carry_Roll!J2:J26,C$3-1),0)) + (-G$3*(0+-50)/100 + H$3*POWER(0+-50,2)/2000000),"")</f>
        <v/>
      </c>
      <c r="E11" s="21">
        <f>IFERROR((IFERROR(INDEX(Carry_Roll!G2:G26,C$3-1),0)+IFERROR(INDEX(Carry_Roll!J2:J26,C$3-1),0)) + (-G$3*(0+0)/100 + H$3*POWER(0+0,2)/2000000),"")</f>
        <v/>
      </c>
      <c r="F11" s="21">
        <f>IFERROR((IFERROR(INDEX(Carry_Roll!G2:G26,C$3-1),0)+IFERROR(INDEX(Carry_Roll!J2:J26,C$3-1),0)) + (-G$3*(0+50)/100 + H$3*POWER(0+50,2)/2000000),"")</f>
        <v/>
      </c>
      <c r="G11" s="21">
        <f>IFERROR((IFERROR(INDEX(Carry_Roll!G2:G26,C$3-1),0)+IFERROR(INDEX(Carry_Roll!J2:J26,C$3-1),0)) + (-G$3*(0+100)/100 + H$3*POWER(0+100,2)/2000000),"")</f>
        <v/>
      </c>
    </row>
    <row r="12">
      <c r="B12" s="20" t="inlineStr">
        <is>
          <t>+25 bp</t>
        </is>
      </c>
      <c r="C12" s="21">
        <f>IFERROR((IFERROR(INDEX(Carry_Roll!G2:G26,C$3-1),0)+IFERROR(INDEX(Carry_Roll!J2:J26,C$3-1),0)) + (-G$3*(25+-100)/100 + H$3*POWER(25+-100,2)/2000000),"")</f>
        <v/>
      </c>
      <c r="D12" s="21">
        <f>IFERROR((IFERROR(INDEX(Carry_Roll!G2:G26,C$3-1),0)+IFERROR(INDEX(Carry_Roll!J2:J26,C$3-1),0)) + (-G$3*(25+-50)/100 + H$3*POWER(25+-50,2)/2000000),"")</f>
        <v/>
      </c>
      <c r="E12" s="21">
        <f>IFERROR((IFERROR(INDEX(Carry_Roll!G2:G26,C$3-1),0)+IFERROR(INDEX(Carry_Roll!J2:J26,C$3-1),0)) + (-G$3*(25+0)/100 + H$3*POWER(25+0,2)/2000000),"")</f>
        <v/>
      </c>
      <c r="F12" s="21">
        <f>IFERROR((IFERROR(INDEX(Carry_Roll!G2:G26,C$3-1),0)+IFERROR(INDEX(Carry_Roll!J2:J26,C$3-1),0)) + (-G$3*(25+50)/100 + H$3*POWER(25+50,2)/2000000),"")</f>
        <v/>
      </c>
      <c r="G12" s="21">
        <f>IFERROR((IFERROR(INDEX(Carry_Roll!G2:G26,C$3-1),0)+IFERROR(INDEX(Carry_Roll!J2:J26,C$3-1),0)) + (-G$3*(25+100)/100 + H$3*POWER(25+100,2)/2000000),"")</f>
        <v/>
      </c>
    </row>
    <row r="13">
      <c r="B13" s="20" t="inlineStr">
        <is>
          <t>+50 bp</t>
        </is>
      </c>
      <c r="C13" s="21">
        <f>IFERROR((IFERROR(INDEX(Carry_Roll!G2:G26,C$3-1),0)+IFERROR(INDEX(Carry_Roll!J2:J26,C$3-1),0)) + (-G$3*(50+-100)/100 + H$3*POWER(50+-100,2)/2000000),"")</f>
        <v/>
      </c>
      <c r="D13" s="21">
        <f>IFERROR((IFERROR(INDEX(Carry_Roll!G2:G26,C$3-1),0)+IFERROR(INDEX(Carry_Roll!J2:J26,C$3-1),0)) + (-G$3*(50+-50)/100 + H$3*POWER(50+-50,2)/2000000),"")</f>
        <v/>
      </c>
      <c r="E13" s="21">
        <f>IFERROR((IFERROR(INDEX(Carry_Roll!G2:G26,C$3-1),0)+IFERROR(INDEX(Carry_Roll!J2:J26,C$3-1),0)) + (-G$3*(50+0)/100 + H$3*POWER(50+0,2)/2000000),"")</f>
        <v/>
      </c>
      <c r="F13" s="21">
        <f>IFERROR((IFERROR(INDEX(Carry_Roll!G2:G26,C$3-1),0)+IFERROR(INDEX(Carry_Roll!J2:J26,C$3-1),0)) + (-G$3*(50+50)/100 + H$3*POWER(50+50,2)/2000000),"")</f>
        <v/>
      </c>
      <c r="G13" s="21">
        <f>IFERROR((IFERROR(INDEX(Carry_Roll!G2:G26,C$3-1),0)+IFERROR(INDEX(Carry_Roll!J2:J26,C$3-1),0)) + (-G$3*(50+100)/100 + H$3*POWER(50+100,2)/2000000),"")</f>
        <v/>
      </c>
    </row>
    <row r="14">
      <c r="B14" s="20" t="inlineStr">
        <is>
          <t>+100 bp</t>
        </is>
      </c>
      <c r="C14" s="21">
        <f>IFERROR((IFERROR(INDEX(Carry_Roll!G2:G26,C$3-1),0)+IFERROR(INDEX(Carry_Roll!J2:J26,C$3-1),0)) + (-G$3*(100+-100)/100 + H$3*POWER(100+-100,2)/2000000),"")</f>
        <v/>
      </c>
      <c r="D14" s="21">
        <f>IFERROR((IFERROR(INDEX(Carry_Roll!G2:G26,C$3-1),0)+IFERROR(INDEX(Carry_Roll!J2:J26,C$3-1),0)) + (-G$3*(100+-50)/100 + H$3*POWER(100+-50,2)/2000000),"")</f>
        <v/>
      </c>
      <c r="E14" s="21">
        <f>IFERROR((IFERROR(INDEX(Carry_Roll!G2:G26,C$3-1),0)+IFERROR(INDEX(Carry_Roll!J2:J26,C$3-1),0)) + (-G$3*(100+0)/100 + H$3*POWER(100+0,2)/2000000),"")</f>
        <v/>
      </c>
      <c r="F14" s="21">
        <f>IFERROR((IFERROR(INDEX(Carry_Roll!G2:G26,C$3-1),0)+IFERROR(INDEX(Carry_Roll!J2:J26,C$3-1),0)) + (-G$3*(100+50)/100 + H$3*POWER(100+50,2)/2000000),"")</f>
        <v/>
      </c>
      <c r="G14" s="21">
        <f>IFERROR((IFERROR(INDEX(Carry_Roll!G2:G26,C$3-1),0)+IFERROR(INDEX(Carry_Roll!J2:J26,C$3-1),0)) + (-G$3*(100+100)/100 + H$3*POWER(100+100,2)/2000000),"")</f>
        <v/>
      </c>
    </row>
    <row r="18">
      <c r="B18" s="5" t="inlineStr">
        <is>
          <t>Horizon: 6 months — Total Return (%)</t>
        </is>
      </c>
      <c r="C18" s="6" t="n"/>
      <c r="D18" s="6" t="n"/>
      <c r="E18" s="6" t="n"/>
      <c r="F18" s="6" t="n"/>
      <c r="G18" s="7" t="n"/>
    </row>
    <row r="19">
      <c r="B19" s="20" t="inlineStr">
        <is>
          <t>ΔUST ↓ / Δspread →</t>
        </is>
      </c>
      <c r="C19" s="20" t="inlineStr">
        <is>
          <t>-100 bp</t>
        </is>
      </c>
      <c r="D19" s="20" t="inlineStr">
        <is>
          <t>-50 bp</t>
        </is>
      </c>
      <c r="E19" s="20" t="inlineStr">
        <is>
          <t>+0 bp</t>
        </is>
      </c>
      <c r="F19" s="20" t="inlineStr">
        <is>
          <t>+50 bp</t>
        </is>
      </c>
      <c r="G19" s="20" t="inlineStr">
        <is>
          <t>+100 bp</t>
        </is>
      </c>
    </row>
    <row r="20">
      <c r="B20" s="20" t="inlineStr">
        <is>
          <t>-100 bp</t>
        </is>
      </c>
      <c r="C20" s="21">
        <f>IFERROR((IFERROR(INDEX(Carry_Roll!H2:H26,C$3-1),0)+IFERROR(INDEX(Carry_Roll!K2:K26,C$3-1),0)) + (-G$3*(-100+-100)/100 + H$3*POWER(-100+-100,2)/2000000),"")</f>
        <v/>
      </c>
      <c r="D20" s="21">
        <f>IFERROR((IFERROR(INDEX(Carry_Roll!H2:H26,C$3-1),0)+IFERROR(INDEX(Carry_Roll!K2:K26,C$3-1),0)) + (-G$3*(-100+-50)/100 + H$3*POWER(-100+-50,2)/2000000),"")</f>
        <v/>
      </c>
      <c r="E20" s="21">
        <f>IFERROR((IFERROR(INDEX(Carry_Roll!H2:H26,C$3-1),0)+IFERROR(INDEX(Carry_Roll!K2:K26,C$3-1),0)) + (-G$3*(-100+0)/100 + H$3*POWER(-100+0,2)/2000000),"")</f>
        <v/>
      </c>
      <c r="F20" s="21">
        <f>IFERROR((IFERROR(INDEX(Carry_Roll!H2:H26,C$3-1),0)+IFERROR(INDEX(Carry_Roll!K2:K26,C$3-1),0)) + (-G$3*(-100+50)/100 + H$3*POWER(-100+50,2)/2000000),"")</f>
        <v/>
      </c>
      <c r="G20" s="21">
        <f>IFERROR((IFERROR(INDEX(Carry_Roll!H2:H26,C$3-1),0)+IFERROR(INDEX(Carry_Roll!K2:K26,C$3-1),0)) + (-G$3*(-100+100)/100 + H$3*POWER(-100+100,2)/2000000),"")</f>
        <v/>
      </c>
    </row>
    <row r="21">
      <c r="B21" s="20" t="inlineStr">
        <is>
          <t>-50 bp</t>
        </is>
      </c>
      <c r="C21" s="21">
        <f>IFERROR((IFERROR(INDEX(Carry_Roll!H2:H26,C$3-1),0)+IFERROR(INDEX(Carry_Roll!K2:K26,C$3-1),0)) + (-G$3*(-50+-100)/100 + H$3*POWER(-50+-100,2)/2000000),"")</f>
        <v/>
      </c>
      <c r="D21" s="21">
        <f>IFERROR((IFERROR(INDEX(Carry_Roll!H2:H26,C$3-1),0)+IFERROR(INDEX(Carry_Roll!K2:K26,C$3-1),0)) + (-G$3*(-50+-50)/100 + H$3*POWER(-50+-50,2)/2000000),"")</f>
        <v/>
      </c>
      <c r="E21" s="21">
        <f>IFERROR((IFERROR(INDEX(Carry_Roll!H2:H26,C$3-1),0)+IFERROR(INDEX(Carry_Roll!K2:K26,C$3-1),0)) + (-G$3*(-50+0)/100 + H$3*POWER(-50+0,2)/2000000),"")</f>
        <v/>
      </c>
      <c r="F21" s="21">
        <f>IFERROR((IFERROR(INDEX(Carry_Roll!H2:H26,C$3-1),0)+IFERROR(INDEX(Carry_Roll!K2:K26,C$3-1),0)) + (-G$3*(-50+50)/100 + H$3*POWER(-50+50,2)/2000000),"")</f>
        <v/>
      </c>
      <c r="G21" s="21">
        <f>IFERROR((IFERROR(INDEX(Carry_Roll!H2:H26,C$3-1),0)+IFERROR(INDEX(Carry_Roll!K2:K26,C$3-1),0)) + (-G$3*(-50+100)/100 + H$3*POWER(-50+100,2)/2000000),"")</f>
        <v/>
      </c>
    </row>
    <row r="22">
      <c r="B22" s="20" t="inlineStr">
        <is>
          <t>-25 bp</t>
        </is>
      </c>
      <c r="C22" s="21">
        <f>IFERROR((IFERROR(INDEX(Carry_Roll!H2:H26,C$3-1),0)+IFERROR(INDEX(Carry_Roll!K2:K26,C$3-1),0)) + (-G$3*(-25+-100)/100 + H$3*POWER(-25+-100,2)/2000000),"")</f>
        <v/>
      </c>
      <c r="D22" s="21">
        <f>IFERROR((IFERROR(INDEX(Carry_Roll!H2:H26,C$3-1),0)+IFERROR(INDEX(Carry_Roll!K2:K26,C$3-1),0)) + (-G$3*(-25+-50)/100 + H$3*POWER(-25+-50,2)/2000000),"")</f>
        <v/>
      </c>
      <c r="E22" s="21">
        <f>IFERROR((IFERROR(INDEX(Carry_Roll!H2:H26,C$3-1),0)+IFERROR(INDEX(Carry_Roll!K2:K26,C$3-1),0)) + (-G$3*(-25+0)/100 + H$3*POWER(-25+0,2)/2000000),"")</f>
        <v/>
      </c>
      <c r="F22" s="21">
        <f>IFERROR((IFERROR(INDEX(Carry_Roll!H2:H26,C$3-1),0)+IFERROR(INDEX(Carry_Roll!K2:K26,C$3-1),0)) + (-G$3*(-25+50)/100 + H$3*POWER(-25+50,2)/2000000),"")</f>
        <v/>
      </c>
      <c r="G22" s="21">
        <f>IFERROR((IFERROR(INDEX(Carry_Roll!H2:H26,C$3-1),0)+IFERROR(INDEX(Carry_Roll!K2:K26,C$3-1),0)) + (-G$3*(-25+100)/100 + H$3*POWER(-25+100,2)/2000000),"")</f>
        <v/>
      </c>
    </row>
    <row r="23">
      <c r="B23" s="20" t="inlineStr">
        <is>
          <t>+0 bp</t>
        </is>
      </c>
      <c r="C23" s="21">
        <f>IFERROR((IFERROR(INDEX(Carry_Roll!H2:H26,C$3-1),0)+IFERROR(INDEX(Carry_Roll!K2:K26,C$3-1),0)) + (-G$3*(0+-100)/100 + H$3*POWER(0+-100,2)/2000000),"")</f>
        <v/>
      </c>
      <c r="D23" s="21">
        <f>IFERROR((IFERROR(INDEX(Carry_Roll!H2:H26,C$3-1),0)+IFERROR(INDEX(Carry_Roll!K2:K26,C$3-1),0)) + (-G$3*(0+-50)/100 + H$3*POWER(0+-50,2)/2000000),"")</f>
        <v/>
      </c>
      <c r="E23" s="21">
        <f>IFERROR((IFERROR(INDEX(Carry_Roll!H2:H26,C$3-1),0)+IFERROR(INDEX(Carry_Roll!K2:K26,C$3-1),0)) + (-G$3*(0+0)/100 + H$3*POWER(0+0,2)/2000000),"")</f>
        <v/>
      </c>
      <c r="F23" s="21">
        <f>IFERROR((IFERROR(INDEX(Carry_Roll!H2:H26,C$3-1),0)+IFERROR(INDEX(Carry_Roll!K2:K26,C$3-1),0)) + (-G$3*(0+50)/100 + H$3*POWER(0+50,2)/2000000),"")</f>
        <v/>
      </c>
      <c r="G23" s="21">
        <f>IFERROR((IFERROR(INDEX(Carry_Roll!H2:H26,C$3-1),0)+IFERROR(INDEX(Carry_Roll!K2:K26,C$3-1),0)) + (-G$3*(0+100)/100 + H$3*POWER(0+100,2)/2000000),"")</f>
        <v/>
      </c>
    </row>
    <row r="24">
      <c r="B24" s="20" t="inlineStr">
        <is>
          <t>+25 bp</t>
        </is>
      </c>
      <c r="C24" s="21">
        <f>IFERROR((IFERROR(INDEX(Carry_Roll!H2:H26,C$3-1),0)+IFERROR(INDEX(Carry_Roll!K2:K26,C$3-1),0)) + (-G$3*(25+-100)/100 + H$3*POWER(25+-100,2)/2000000),"")</f>
        <v/>
      </c>
      <c r="D24" s="21">
        <f>IFERROR((IFERROR(INDEX(Carry_Roll!H2:H26,C$3-1),0)+IFERROR(INDEX(Carry_Roll!K2:K26,C$3-1),0)) + (-G$3*(25+-50)/100 + H$3*POWER(25+-50,2)/2000000),"")</f>
        <v/>
      </c>
      <c r="E24" s="21">
        <f>IFERROR((IFERROR(INDEX(Carry_Roll!H2:H26,C$3-1),0)+IFERROR(INDEX(Carry_Roll!K2:K26,C$3-1),0)) + (-G$3*(25+0)/100 + H$3*POWER(25+0,2)/2000000),"")</f>
        <v/>
      </c>
      <c r="F24" s="21">
        <f>IFERROR((IFERROR(INDEX(Carry_Roll!H2:H26,C$3-1),0)+IFERROR(INDEX(Carry_Roll!K2:K26,C$3-1),0)) + (-G$3*(25+50)/100 + H$3*POWER(25+50,2)/2000000),"")</f>
        <v/>
      </c>
      <c r="G24" s="21">
        <f>IFERROR((IFERROR(INDEX(Carry_Roll!H2:H26,C$3-1),0)+IFERROR(INDEX(Carry_Roll!K2:K26,C$3-1),0)) + (-G$3*(25+100)/100 + H$3*POWER(25+100,2)/2000000),"")</f>
        <v/>
      </c>
    </row>
    <row r="25">
      <c r="B25" s="20" t="inlineStr">
        <is>
          <t>+50 bp</t>
        </is>
      </c>
      <c r="C25" s="21">
        <f>IFERROR((IFERROR(INDEX(Carry_Roll!H2:H26,C$3-1),0)+IFERROR(INDEX(Carry_Roll!K2:K26,C$3-1),0)) + (-G$3*(50+-100)/100 + H$3*POWER(50+-100,2)/2000000),"")</f>
        <v/>
      </c>
      <c r="D25" s="21">
        <f>IFERROR((IFERROR(INDEX(Carry_Roll!H2:H26,C$3-1),0)+IFERROR(INDEX(Carry_Roll!K2:K26,C$3-1),0)) + (-G$3*(50+-50)/100 + H$3*POWER(50+-50,2)/2000000),"")</f>
        <v/>
      </c>
      <c r="E25" s="21">
        <f>IFERROR((IFERROR(INDEX(Carry_Roll!H2:H26,C$3-1),0)+IFERROR(INDEX(Carry_Roll!K2:K26,C$3-1),0)) + (-G$3*(50+0)/100 + H$3*POWER(50+0,2)/2000000),"")</f>
        <v/>
      </c>
      <c r="F25" s="21">
        <f>IFERROR((IFERROR(INDEX(Carry_Roll!H2:H26,C$3-1),0)+IFERROR(INDEX(Carry_Roll!K2:K26,C$3-1),0)) + (-G$3*(50+50)/100 + H$3*POWER(50+50,2)/2000000),"")</f>
        <v/>
      </c>
      <c r="G25" s="21">
        <f>IFERROR((IFERROR(INDEX(Carry_Roll!H2:H26,C$3-1),0)+IFERROR(INDEX(Carry_Roll!K2:K26,C$3-1),0)) + (-G$3*(50+100)/100 + H$3*POWER(50+100,2)/2000000),"")</f>
        <v/>
      </c>
    </row>
    <row r="26">
      <c r="B26" s="20" t="inlineStr">
        <is>
          <t>+100 bp</t>
        </is>
      </c>
      <c r="C26" s="21">
        <f>IFERROR((IFERROR(INDEX(Carry_Roll!H2:H26,C$3-1),0)+IFERROR(INDEX(Carry_Roll!K2:K26,C$3-1),0)) + (-G$3*(100+-100)/100 + H$3*POWER(100+-100,2)/2000000),"")</f>
        <v/>
      </c>
      <c r="D26" s="21">
        <f>IFERROR((IFERROR(INDEX(Carry_Roll!H2:H26,C$3-1),0)+IFERROR(INDEX(Carry_Roll!K2:K26,C$3-1),0)) + (-G$3*(100+-50)/100 + H$3*POWER(100+-50,2)/2000000),"")</f>
        <v/>
      </c>
      <c r="E26" s="21">
        <f>IFERROR((IFERROR(INDEX(Carry_Roll!H2:H26,C$3-1),0)+IFERROR(INDEX(Carry_Roll!K2:K26,C$3-1),0)) + (-G$3*(100+0)/100 + H$3*POWER(100+0,2)/2000000),"")</f>
        <v/>
      </c>
      <c r="F26" s="21">
        <f>IFERROR((IFERROR(INDEX(Carry_Roll!H2:H26,C$3-1),0)+IFERROR(INDEX(Carry_Roll!K2:K26,C$3-1),0)) + (-G$3*(100+50)/100 + H$3*POWER(100+50,2)/2000000),"")</f>
        <v/>
      </c>
      <c r="G26" s="21">
        <f>IFERROR((IFERROR(INDEX(Carry_Roll!H2:H26,C$3-1),0)+IFERROR(INDEX(Carry_Roll!K2:K26,C$3-1),0)) + (-G$3*(100+100)/100 + H$3*POWER(100+100,2)/2000000),"")</f>
        <v/>
      </c>
    </row>
    <row r="30">
      <c r="B30" s="5" t="inlineStr">
        <is>
          <t>Horizon: 12 months — Total Return (%)</t>
        </is>
      </c>
      <c r="C30" s="6" t="n"/>
      <c r="D30" s="6" t="n"/>
      <c r="E30" s="6" t="n"/>
      <c r="F30" s="6" t="n"/>
      <c r="G30" s="7" t="n"/>
    </row>
    <row r="31">
      <c r="B31" s="20" t="inlineStr">
        <is>
          <t>ΔUST ↓ / Δspread →</t>
        </is>
      </c>
      <c r="C31" s="20" t="inlineStr">
        <is>
          <t>-100 bp</t>
        </is>
      </c>
      <c r="D31" s="20" t="inlineStr">
        <is>
          <t>-50 bp</t>
        </is>
      </c>
      <c r="E31" s="20" t="inlineStr">
        <is>
          <t>+0 bp</t>
        </is>
      </c>
      <c r="F31" s="20" t="inlineStr">
        <is>
          <t>+50 bp</t>
        </is>
      </c>
      <c r="G31" s="20" t="inlineStr">
        <is>
          <t>+100 bp</t>
        </is>
      </c>
    </row>
    <row r="32">
      <c r="B32" s="20" t="inlineStr">
        <is>
          <t>-100 bp</t>
        </is>
      </c>
      <c r="C32" s="21">
        <f>IFERROR((IFERROR(INDEX(Carry_Roll!I2:I26,C$3-1),0)+IFERROR(INDEX(Carry_Roll!L2:L26,C$3-1),0)) + (-G$3*(-100+-100)/100 + H$3*POWER(-100+-100,2)/2000000),"")</f>
        <v/>
      </c>
      <c r="D32" s="21">
        <f>IFERROR((IFERROR(INDEX(Carry_Roll!I2:I26,C$3-1),0)+IFERROR(INDEX(Carry_Roll!L2:L26,C$3-1),0)) + (-G$3*(-100+-50)/100 + H$3*POWER(-100+-50,2)/2000000),"")</f>
        <v/>
      </c>
      <c r="E32" s="21">
        <f>IFERROR((IFERROR(INDEX(Carry_Roll!I2:I26,C$3-1),0)+IFERROR(INDEX(Carry_Roll!L2:L26,C$3-1),0)) + (-G$3*(-100+0)/100 + H$3*POWER(-100+0,2)/2000000),"")</f>
        <v/>
      </c>
      <c r="F32" s="21">
        <f>IFERROR((IFERROR(INDEX(Carry_Roll!I2:I26,C$3-1),0)+IFERROR(INDEX(Carry_Roll!L2:L26,C$3-1),0)) + (-G$3*(-100+50)/100 + H$3*POWER(-100+50,2)/2000000),"")</f>
        <v/>
      </c>
      <c r="G32" s="21">
        <f>IFERROR((IFERROR(INDEX(Carry_Roll!I2:I26,C$3-1),0)+IFERROR(INDEX(Carry_Roll!L2:L26,C$3-1),0)) + (-G$3*(-100+100)/100 + H$3*POWER(-100+100,2)/2000000),"")</f>
        <v/>
      </c>
    </row>
    <row r="33">
      <c r="B33" s="20" t="inlineStr">
        <is>
          <t>-50 bp</t>
        </is>
      </c>
      <c r="C33" s="21">
        <f>IFERROR((IFERROR(INDEX(Carry_Roll!I2:I26,C$3-1),0)+IFERROR(INDEX(Carry_Roll!L2:L26,C$3-1),0)) + (-G$3*(-50+-100)/100 + H$3*POWER(-50+-100,2)/2000000),"")</f>
        <v/>
      </c>
      <c r="D33" s="21">
        <f>IFERROR((IFERROR(INDEX(Carry_Roll!I2:I26,C$3-1),0)+IFERROR(INDEX(Carry_Roll!L2:L26,C$3-1),0)) + (-G$3*(-50+-50)/100 + H$3*POWER(-50+-50,2)/2000000),"")</f>
        <v/>
      </c>
      <c r="E33" s="21">
        <f>IFERROR((IFERROR(INDEX(Carry_Roll!I2:I26,C$3-1),0)+IFERROR(INDEX(Carry_Roll!L2:L26,C$3-1),0)) + (-G$3*(-50+0)/100 + H$3*POWER(-50+0,2)/2000000),"")</f>
        <v/>
      </c>
      <c r="F33" s="21">
        <f>IFERROR((IFERROR(INDEX(Carry_Roll!I2:I26,C$3-1),0)+IFERROR(INDEX(Carry_Roll!L2:L26,C$3-1),0)) + (-G$3*(-50+50)/100 + H$3*POWER(-50+50,2)/2000000),"")</f>
        <v/>
      </c>
      <c r="G33" s="21">
        <f>IFERROR((IFERROR(INDEX(Carry_Roll!I2:I26,C$3-1),0)+IFERROR(INDEX(Carry_Roll!L2:L26,C$3-1),0)) + (-G$3*(-50+100)/100 + H$3*POWER(-50+100,2)/2000000),"")</f>
        <v/>
      </c>
    </row>
    <row r="34">
      <c r="B34" s="20" t="inlineStr">
        <is>
          <t>-25 bp</t>
        </is>
      </c>
      <c r="C34" s="21">
        <f>IFERROR((IFERROR(INDEX(Carry_Roll!I2:I26,C$3-1),0)+IFERROR(INDEX(Carry_Roll!L2:L26,C$3-1),0)) + (-G$3*(-25+-100)/100 + H$3*POWER(-25+-100,2)/2000000),"")</f>
        <v/>
      </c>
      <c r="D34" s="21">
        <f>IFERROR((IFERROR(INDEX(Carry_Roll!I2:I26,C$3-1),0)+IFERROR(INDEX(Carry_Roll!L2:L26,C$3-1),0)) + (-G$3*(-25+-50)/100 + H$3*POWER(-25+-50,2)/2000000),"")</f>
        <v/>
      </c>
      <c r="E34" s="21">
        <f>IFERROR((IFERROR(INDEX(Carry_Roll!I2:I26,C$3-1),0)+IFERROR(INDEX(Carry_Roll!L2:L26,C$3-1),0)) + (-G$3*(-25+0)/100 + H$3*POWER(-25+0,2)/2000000),"")</f>
        <v/>
      </c>
      <c r="F34" s="21">
        <f>IFERROR((IFERROR(INDEX(Carry_Roll!I2:I26,C$3-1),0)+IFERROR(INDEX(Carry_Roll!L2:L26,C$3-1),0)) + (-G$3*(-25+50)/100 + H$3*POWER(-25+50,2)/2000000),"")</f>
        <v/>
      </c>
      <c r="G34" s="21">
        <f>IFERROR((IFERROR(INDEX(Carry_Roll!I2:I26,C$3-1),0)+IFERROR(INDEX(Carry_Roll!L2:L26,C$3-1),0)) + (-G$3*(-25+100)/100 + H$3*POWER(-25+100,2)/2000000),"")</f>
        <v/>
      </c>
    </row>
    <row r="35">
      <c r="B35" s="20" t="inlineStr">
        <is>
          <t>+0 bp</t>
        </is>
      </c>
      <c r="C35" s="21">
        <f>IFERROR((IFERROR(INDEX(Carry_Roll!I2:I26,C$3-1),0)+IFERROR(INDEX(Carry_Roll!L2:L26,C$3-1),0)) + (-G$3*(0+-100)/100 + H$3*POWER(0+-100,2)/2000000),"")</f>
        <v/>
      </c>
      <c r="D35" s="21">
        <f>IFERROR((IFERROR(INDEX(Carry_Roll!I2:I26,C$3-1),0)+IFERROR(INDEX(Carry_Roll!L2:L26,C$3-1),0)) + (-G$3*(0+-50)/100 + H$3*POWER(0+-50,2)/2000000),"")</f>
        <v/>
      </c>
      <c r="E35" s="21">
        <f>IFERROR((IFERROR(INDEX(Carry_Roll!I2:I26,C$3-1),0)+IFERROR(INDEX(Carry_Roll!L2:L26,C$3-1),0)) + (-G$3*(0+0)/100 + H$3*POWER(0+0,2)/2000000),"")</f>
        <v/>
      </c>
      <c r="F35" s="21">
        <f>IFERROR((IFERROR(INDEX(Carry_Roll!I2:I26,C$3-1),0)+IFERROR(INDEX(Carry_Roll!L2:L26,C$3-1),0)) + (-G$3*(0+50)/100 + H$3*POWER(0+50,2)/2000000),"")</f>
        <v/>
      </c>
      <c r="G35" s="21">
        <f>IFERROR((IFERROR(INDEX(Carry_Roll!I2:I26,C$3-1),0)+IFERROR(INDEX(Carry_Roll!L2:L26,C$3-1),0)) + (-G$3*(0+100)/100 + H$3*POWER(0+100,2)/2000000),"")</f>
        <v/>
      </c>
    </row>
    <row r="36">
      <c r="B36" s="20" t="inlineStr">
        <is>
          <t>+25 bp</t>
        </is>
      </c>
      <c r="C36" s="21">
        <f>IFERROR((IFERROR(INDEX(Carry_Roll!I2:I26,C$3-1),0)+IFERROR(INDEX(Carry_Roll!L2:L26,C$3-1),0)) + (-G$3*(25+-100)/100 + H$3*POWER(25+-100,2)/2000000),"")</f>
        <v/>
      </c>
      <c r="D36" s="21">
        <f>IFERROR((IFERROR(INDEX(Carry_Roll!I2:I26,C$3-1),0)+IFERROR(INDEX(Carry_Roll!L2:L26,C$3-1),0)) + (-G$3*(25+-50)/100 + H$3*POWER(25+-50,2)/2000000),"")</f>
        <v/>
      </c>
      <c r="E36" s="21">
        <f>IFERROR((IFERROR(INDEX(Carry_Roll!I2:I26,C$3-1),0)+IFERROR(INDEX(Carry_Roll!L2:L26,C$3-1),0)) + (-G$3*(25+0)/100 + H$3*POWER(25+0,2)/2000000),"")</f>
        <v/>
      </c>
      <c r="F36" s="21">
        <f>IFERROR((IFERROR(INDEX(Carry_Roll!I2:I26,C$3-1),0)+IFERROR(INDEX(Carry_Roll!L2:L26,C$3-1),0)) + (-G$3*(25+50)/100 + H$3*POWER(25+50,2)/2000000),"")</f>
        <v/>
      </c>
      <c r="G36" s="21">
        <f>IFERROR((IFERROR(INDEX(Carry_Roll!I2:I26,C$3-1),0)+IFERROR(INDEX(Carry_Roll!L2:L26,C$3-1),0)) + (-G$3*(25+100)/100 + H$3*POWER(25+100,2)/2000000),"")</f>
        <v/>
      </c>
    </row>
    <row r="37">
      <c r="B37" s="20" t="inlineStr">
        <is>
          <t>+50 bp</t>
        </is>
      </c>
      <c r="C37" s="21">
        <f>IFERROR((IFERROR(INDEX(Carry_Roll!I2:I26,C$3-1),0)+IFERROR(INDEX(Carry_Roll!L2:L26,C$3-1),0)) + (-G$3*(50+-100)/100 + H$3*POWER(50+-100,2)/2000000),"")</f>
        <v/>
      </c>
      <c r="D37" s="21">
        <f>IFERROR((IFERROR(INDEX(Carry_Roll!I2:I26,C$3-1),0)+IFERROR(INDEX(Carry_Roll!L2:L26,C$3-1),0)) + (-G$3*(50+-50)/100 + H$3*POWER(50+-50,2)/2000000),"")</f>
        <v/>
      </c>
      <c r="E37" s="21">
        <f>IFERROR((IFERROR(INDEX(Carry_Roll!I2:I26,C$3-1),0)+IFERROR(INDEX(Carry_Roll!L2:L26,C$3-1),0)) + (-G$3*(50+0)/100 + H$3*POWER(50+0,2)/2000000),"")</f>
        <v/>
      </c>
      <c r="F37" s="21">
        <f>IFERROR((IFERROR(INDEX(Carry_Roll!I2:I26,C$3-1),0)+IFERROR(INDEX(Carry_Roll!L2:L26,C$3-1),0)) + (-G$3*(50+50)/100 + H$3*POWER(50+50,2)/2000000),"")</f>
        <v/>
      </c>
      <c r="G37" s="21">
        <f>IFERROR((IFERROR(INDEX(Carry_Roll!I2:I26,C$3-1),0)+IFERROR(INDEX(Carry_Roll!L2:L26,C$3-1),0)) + (-G$3*(50+100)/100 + H$3*POWER(50+100,2)/2000000),"")</f>
        <v/>
      </c>
    </row>
    <row r="38">
      <c r="B38" s="20" t="inlineStr">
        <is>
          <t>+100 bp</t>
        </is>
      </c>
      <c r="C38" s="21">
        <f>IFERROR((IFERROR(INDEX(Carry_Roll!I2:I26,C$3-1),0)+IFERROR(INDEX(Carry_Roll!L2:L26,C$3-1),0)) + (-G$3*(100+-100)/100 + H$3*POWER(100+-100,2)/2000000),"")</f>
        <v/>
      </c>
      <c r="D38" s="21">
        <f>IFERROR((IFERROR(INDEX(Carry_Roll!I2:I26,C$3-1),0)+IFERROR(INDEX(Carry_Roll!L2:L26,C$3-1),0)) + (-G$3*(100+-50)/100 + H$3*POWER(100+-50,2)/2000000),"")</f>
        <v/>
      </c>
      <c r="E38" s="21">
        <f>IFERROR((IFERROR(INDEX(Carry_Roll!I2:I26,C$3-1),0)+IFERROR(INDEX(Carry_Roll!L2:L26,C$3-1),0)) + (-G$3*(100+0)/100 + H$3*POWER(100+0,2)/2000000),"")</f>
        <v/>
      </c>
      <c r="F38" s="21">
        <f>IFERROR((IFERROR(INDEX(Carry_Roll!I2:I26,C$3-1),0)+IFERROR(INDEX(Carry_Roll!L2:L26,C$3-1),0)) + (-G$3*(100+50)/100 + H$3*POWER(100+50,2)/2000000),"")</f>
        <v/>
      </c>
      <c r="G38" s="21">
        <f>IFERROR((IFERROR(INDEX(Carry_Roll!I2:I26,C$3-1),0)+IFERROR(INDEX(Carry_Roll!L2:L26,C$3-1),0)) + (-G$3*(100+100)/100 + H$3*POWER(100+100,2)/2000000),"")</f>
        <v/>
      </c>
    </row>
  </sheetData>
  <mergeCells count="5">
    <mergeCell ref="B4:H4"/>
    <mergeCell ref="B2:H2"/>
    <mergeCell ref="B18:G18"/>
    <mergeCell ref="B30:G30"/>
    <mergeCell ref="B6:G6"/>
  </mergeCells>
  <conditionalFormatting sqref="C8:G14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C20:G26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C32:G38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5" t="inlineStr">
        <is>
          <t>Peer Basket — paste ISINs of similarly-rated EM sovereigns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7" t="n"/>
    </row>
    <row r="2" ht="28" customHeight="1">
      <c r="A2" s="20" t="inlineStr">
        <is>
          <t>ISIN</t>
        </is>
      </c>
      <c r="B2" s="20" t="inlineStr">
        <is>
          <t>Description</t>
        </is>
      </c>
      <c r="C2" s="20" t="inlineStr">
        <is>
          <t>Country</t>
        </is>
      </c>
      <c r="D2" s="20" t="inlineStr">
        <is>
          <t>Rating SP</t>
        </is>
      </c>
      <c r="E2" s="20" t="inlineStr">
        <is>
          <t>Yrs</t>
        </is>
      </c>
      <c r="F2" s="20" t="inlineStr">
        <is>
          <t>YTM (%)</t>
        </is>
      </c>
      <c r="G2" s="20" t="inlineStr">
        <is>
          <t>Z-Spr (bp)</t>
        </is>
      </c>
      <c r="H2" s="20" t="inlineStr">
        <is>
          <t>MDur</t>
        </is>
      </c>
      <c r="I2" s="20" t="inlineStr">
        <is>
          <t>OAS (bp)</t>
        </is>
      </c>
      <c r="J2" s="20" t="inlineStr">
        <is>
          <t>Tag</t>
        </is>
      </c>
    </row>
    <row r="3">
      <c r="A3" s="8" t="n"/>
      <c r="B3" s="10">
        <f>IFERROR(BDP("/isin/"&amp;$A3,"SECURITY_DES"),"")</f>
        <v/>
      </c>
      <c r="C3" s="10">
        <f>IFERROR(BDP("/isin/"&amp;$A3,"CNTRY_OF_RISK"),"")</f>
        <v/>
      </c>
      <c r="D3" s="10">
        <f>IFERROR(BDP("/isin/"&amp;$A3,"RTG_SP_LT_FC"),"")</f>
        <v/>
      </c>
      <c r="E3" s="22">
        <f>IFERROR((BDP("/isin/"&amp;$A3,"MATURITY")-TODAY())/365.25,"")</f>
        <v/>
      </c>
      <c r="F3" s="21">
        <f>IFERROR(BDP("/isin/"&amp;$A3,"YLD_YTM_MID"),"")</f>
        <v/>
      </c>
      <c r="G3" s="21">
        <f>IFERROR(BDP("/isin/"&amp;$A3,"YAS_ZSPREAD"),"")</f>
        <v/>
      </c>
      <c r="H3" s="21">
        <f>IFERROR(BDP("/isin/"&amp;$A3,"DUR_ADJ_MID"),"")</f>
        <v/>
      </c>
      <c r="I3" s="21">
        <f>IFERROR(BDP("/isin/"&amp;$A3,"YAS_OAS"),"")</f>
        <v/>
      </c>
      <c r="J3" s="8" t="n"/>
    </row>
    <row r="4">
      <c r="A4" s="8" t="n"/>
      <c r="B4" s="10">
        <f>IFERROR(BDP("/isin/"&amp;$A4,"SECURITY_DES"),"")</f>
        <v/>
      </c>
      <c r="C4" s="10">
        <f>IFERROR(BDP("/isin/"&amp;$A4,"CNTRY_OF_RISK"),"")</f>
        <v/>
      </c>
      <c r="D4" s="10">
        <f>IFERROR(BDP("/isin/"&amp;$A4,"RTG_SP_LT_FC"),"")</f>
        <v/>
      </c>
      <c r="E4" s="22">
        <f>IFERROR((BDP("/isin/"&amp;$A4,"MATURITY")-TODAY())/365.25,"")</f>
        <v/>
      </c>
      <c r="F4" s="21">
        <f>IFERROR(BDP("/isin/"&amp;$A4,"YLD_YTM_MID"),"")</f>
        <v/>
      </c>
      <c r="G4" s="21">
        <f>IFERROR(BDP("/isin/"&amp;$A4,"YAS_ZSPREAD"),"")</f>
        <v/>
      </c>
      <c r="H4" s="21">
        <f>IFERROR(BDP("/isin/"&amp;$A4,"DUR_ADJ_MID"),"")</f>
        <v/>
      </c>
      <c r="I4" s="21">
        <f>IFERROR(BDP("/isin/"&amp;$A4,"YAS_OAS"),"")</f>
        <v/>
      </c>
      <c r="J4" s="8" t="n"/>
    </row>
    <row r="5">
      <c r="A5" s="8" t="n"/>
      <c r="B5" s="10">
        <f>IFERROR(BDP("/isin/"&amp;$A5,"SECURITY_DES"),"")</f>
        <v/>
      </c>
      <c r="C5" s="10">
        <f>IFERROR(BDP("/isin/"&amp;$A5,"CNTRY_OF_RISK"),"")</f>
        <v/>
      </c>
      <c r="D5" s="10">
        <f>IFERROR(BDP("/isin/"&amp;$A5,"RTG_SP_LT_FC"),"")</f>
        <v/>
      </c>
      <c r="E5" s="22">
        <f>IFERROR((BDP("/isin/"&amp;$A5,"MATURITY")-TODAY())/365.25,"")</f>
        <v/>
      </c>
      <c r="F5" s="21">
        <f>IFERROR(BDP("/isin/"&amp;$A5,"YLD_YTM_MID"),"")</f>
        <v/>
      </c>
      <c r="G5" s="21">
        <f>IFERROR(BDP("/isin/"&amp;$A5,"YAS_ZSPREAD"),"")</f>
        <v/>
      </c>
      <c r="H5" s="21">
        <f>IFERROR(BDP("/isin/"&amp;$A5,"DUR_ADJ_MID"),"")</f>
        <v/>
      </c>
      <c r="I5" s="21">
        <f>IFERROR(BDP("/isin/"&amp;$A5,"YAS_OAS"),"")</f>
        <v/>
      </c>
      <c r="J5" s="8" t="n"/>
    </row>
    <row r="6">
      <c r="A6" s="8" t="n"/>
      <c r="B6" s="10">
        <f>IFERROR(BDP("/isin/"&amp;$A6,"SECURITY_DES"),"")</f>
        <v/>
      </c>
      <c r="C6" s="10">
        <f>IFERROR(BDP("/isin/"&amp;$A6,"CNTRY_OF_RISK"),"")</f>
        <v/>
      </c>
      <c r="D6" s="10">
        <f>IFERROR(BDP("/isin/"&amp;$A6,"RTG_SP_LT_FC"),"")</f>
        <v/>
      </c>
      <c r="E6" s="22">
        <f>IFERROR((BDP("/isin/"&amp;$A6,"MATURITY")-TODAY())/365.25,"")</f>
        <v/>
      </c>
      <c r="F6" s="21">
        <f>IFERROR(BDP("/isin/"&amp;$A6,"YLD_YTM_MID"),"")</f>
        <v/>
      </c>
      <c r="G6" s="21">
        <f>IFERROR(BDP("/isin/"&amp;$A6,"YAS_ZSPREAD"),"")</f>
        <v/>
      </c>
      <c r="H6" s="21">
        <f>IFERROR(BDP("/isin/"&amp;$A6,"DUR_ADJ_MID"),"")</f>
        <v/>
      </c>
      <c r="I6" s="21">
        <f>IFERROR(BDP("/isin/"&amp;$A6,"YAS_OAS"),"")</f>
        <v/>
      </c>
      <c r="J6" s="8" t="n"/>
    </row>
    <row r="7">
      <c r="A7" s="8" t="n"/>
      <c r="B7" s="10">
        <f>IFERROR(BDP("/isin/"&amp;$A7,"SECURITY_DES"),"")</f>
        <v/>
      </c>
      <c r="C7" s="10">
        <f>IFERROR(BDP("/isin/"&amp;$A7,"CNTRY_OF_RISK"),"")</f>
        <v/>
      </c>
      <c r="D7" s="10">
        <f>IFERROR(BDP("/isin/"&amp;$A7,"RTG_SP_LT_FC"),"")</f>
        <v/>
      </c>
      <c r="E7" s="22">
        <f>IFERROR((BDP("/isin/"&amp;$A7,"MATURITY")-TODAY())/365.25,"")</f>
        <v/>
      </c>
      <c r="F7" s="21">
        <f>IFERROR(BDP("/isin/"&amp;$A7,"YLD_YTM_MID"),"")</f>
        <v/>
      </c>
      <c r="G7" s="21">
        <f>IFERROR(BDP("/isin/"&amp;$A7,"YAS_ZSPREAD"),"")</f>
        <v/>
      </c>
      <c r="H7" s="21">
        <f>IFERROR(BDP("/isin/"&amp;$A7,"DUR_ADJ_MID"),"")</f>
        <v/>
      </c>
      <c r="I7" s="21">
        <f>IFERROR(BDP("/isin/"&amp;$A7,"YAS_OAS"),"")</f>
        <v/>
      </c>
      <c r="J7" s="8" t="n"/>
    </row>
    <row r="8">
      <c r="A8" s="8" t="n"/>
      <c r="B8" s="10">
        <f>IFERROR(BDP("/isin/"&amp;$A8,"SECURITY_DES"),"")</f>
        <v/>
      </c>
      <c r="C8" s="10">
        <f>IFERROR(BDP("/isin/"&amp;$A8,"CNTRY_OF_RISK"),"")</f>
        <v/>
      </c>
      <c r="D8" s="10">
        <f>IFERROR(BDP("/isin/"&amp;$A8,"RTG_SP_LT_FC"),"")</f>
        <v/>
      </c>
      <c r="E8" s="22">
        <f>IFERROR((BDP("/isin/"&amp;$A8,"MATURITY")-TODAY())/365.25,"")</f>
        <v/>
      </c>
      <c r="F8" s="21">
        <f>IFERROR(BDP("/isin/"&amp;$A8,"YLD_YTM_MID"),"")</f>
        <v/>
      </c>
      <c r="G8" s="21">
        <f>IFERROR(BDP("/isin/"&amp;$A8,"YAS_ZSPREAD"),"")</f>
        <v/>
      </c>
      <c r="H8" s="21">
        <f>IFERROR(BDP("/isin/"&amp;$A8,"DUR_ADJ_MID"),"")</f>
        <v/>
      </c>
      <c r="I8" s="21">
        <f>IFERROR(BDP("/isin/"&amp;$A8,"YAS_OAS"),"")</f>
        <v/>
      </c>
      <c r="J8" s="8" t="n"/>
    </row>
    <row r="9">
      <c r="A9" s="8" t="n"/>
      <c r="B9" s="10">
        <f>IFERROR(BDP("/isin/"&amp;$A9,"SECURITY_DES"),"")</f>
        <v/>
      </c>
      <c r="C9" s="10">
        <f>IFERROR(BDP("/isin/"&amp;$A9,"CNTRY_OF_RISK"),"")</f>
        <v/>
      </c>
      <c r="D9" s="10">
        <f>IFERROR(BDP("/isin/"&amp;$A9,"RTG_SP_LT_FC"),"")</f>
        <v/>
      </c>
      <c r="E9" s="22">
        <f>IFERROR((BDP("/isin/"&amp;$A9,"MATURITY")-TODAY())/365.25,"")</f>
        <v/>
      </c>
      <c r="F9" s="21">
        <f>IFERROR(BDP("/isin/"&amp;$A9,"YLD_YTM_MID"),"")</f>
        <v/>
      </c>
      <c r="G9" s="21">
        <f>IFERROR(BDP("/isin/"&amp;$A9,"YAS_ZSPREAD"),"")</f>
        <v/>
      </c>
      <c r="H9" s="21">
        <f>IFERROR(BDP("/isin/"&amp;$A9,"DUR_ADJ_MID"),"")</f>
        <v/>
      </c>
      <c r="I9" s="21">
        <f>IFERROR(BDP("/isin/"&amp;$A9,"YAS_OAS"),"")</f>
        <v/>
      </c>
      <c r="J9" s="8" t="n"/>
    </row>
    <row r="10">
      <c r="A10" s="8" t="n"/>
      <c r="B10" s="10">
        <f>IFERROR(BDP("/isin/"&amp;$A10,"SECURITY_DES"),"")</f>
        <v/>
      </c>
      <c r="C10" s="10">
        <f>IFERROR(BDP("/isin/"&amp;$A10,"CNTRY_OF_RISK"),"")</f>
        <v/>
      </c>
      <c r="D10" s="10">
        <f>IFERROR(BDP("/isin/"&amp;$A10,"RTG_SP_LT_FC"),"")</f>
        <v/>
      </c>
      <c r="E10" s="22">
        <f>IFERROR((BDP("/isin/"&amp;$A10,"MATURITY")-TODAY())/365.25,"")</f>
        <v/>
      </c>
      <c r="F10" s="21">
        <f>IFERROR(BDP("/isin/"&amp;$A10,"YLD_YTM_MID"),"")</f>
        <v/>
      </c>
      <c r="G10" s="21">
        <f>IFERROR(BDP("/isin/"&amp;$A10,"YAS_ZSPREAD"),"")</f>
        <v/>
      </c>
      <c r="H10" s="21">
        <f>IFERROR(BDP("/isin/"&amp;$A10,"DUR_ADJ_MID"),"")</f>
        <v/>
      </c>
      <c r="I10" s="21">
        <f>IFERROR(BDP("/isin/"&amp;$A10,"YAS_OAS"),"")</f>
        <v/>
      </c>
      <c r="J10" s="8" t="n"/>
    </row>
    <row r="11">
      <c r="A11" s="8" t="n"/>
      <c r="B11" s="10">
        <f>IFERROR(BDP("/isin/"&amp;$A11,"SECURITY_DES"),"")</f>
        <v/>
      </c>
      <c r="C11" s="10">
        <f>IFERROR(BDP("/isin/"&amp;$A11,"CNTRY_OF_RISK"),"")</f>
        <v/>
      </c>
      <c r="D11" s="10">
        <f>IFERROR(BDP("/isin/"&amp;$A11,"RTG_SP_LT_FC"),"")</f>
        <v/>
      </c>
      <c r="E11" s="22">
        <f>IFERROR((BDP("/isin/"&amp;$A11,"MATURITY")-TODAY())/365.25,"")</f>
        <v/>
      </c>
      <c r="F11" s="21">
        <f>IFERROR(BDP("/isin/"&amp;$A11,"YLD_YTM_MID"),"")</f>
        <v/>
      </c>
      <c r="G11" s="21">
        <f>IFERROR(BDP("/isin/"&amp;$A11,"YAS_ZSPREAD"),"")</f>
        <v/>
      </c>
      <c r="H11" s="21">
        <f>IFERROR(BDP("/isin/"&amp;$A11,"DUR_ADJ_MID"),"")</f>
        <v/>
      </c>
      <c r="I11" s="21">
        <f>IFERROR(BDP("/isin/"&amp;$A11,"YAS_OAS"),"")</f>
        <v/>
      </c>
      <c r="J11" s="8" t="n"/>
    </row>
    <row r="12">
      <c r="A12" s="8" t="n"/>
      <c r="B12" s="10">
        <f>IFERROR(BDP("/isin/"&amp;$A12,"SECURITY_DES"),"")</f>
        <v/>
      </c>
      <c r="C12" s="10">
        <f>IFERROR(BDP("/isin/"&amp;$A12,"CNTRY_OF_RISK"),"")</f>
        <v/>
      </c>
      <c r="D12" s="10">
        <f>IFERROR(BDP("/isin/"&amp;$A12,"RTG_SP_LT_FC"),"")</f>
        <v/>
      </c>
      <c r="E12" s="22">
        <f>IFERROR((BDP("/isin/"&amp;$A12,"MATURITY")-TODAY())/365.25,"")</f>
        <v/>
      </c>
      <c r="F12" s="21">
        <f>IFERROR(BDP("/isin/"&amp;$A12,"YLD_YTM_MID"),"")</f>
        <v/>
      </c>
      <c r="G12" s="21">
        <f>IFERROR(BDP("/isin/"&amp;$A12,"YAS_ZSPREAD"),"")</f>
        <v/>
      </c>
      <c r="H12" s="21">
        <f>IFERROR(BDP("/isin/"&amp;$A12,"DUR_ADJ_MID"),"")</f>
        <v/>
      </c>
      <c r="I12" s="21">
        <f>IFERROR(BDP("/isin/"&amp;$A12,"YAS_OAS"),"")</f>
        <v/>
      </c>
      <c r="J12" s="8" t="n"/>
    </row>
    <row r="13">
      <c r="A13" s="8" t="n"/>
      <c r="B13" s="10">
        <f>IFERROR(BDP("/isin/"&amp;$A13,"SECURITY_DES"),"")</f>
        <v/>
      </c>
      <c r="C13" s="10">
        <f>IFERROR(BDP("/isin/"&amp;$A13,"CNTRY_OF_RISK"),"")</f>
        <v/>
      </c>
      <c r="D13" s="10">
        <f>IFERROR(BDP("/isin/"&amp;$A13,"RTG_SP_LT_FC"),"")</f>
        <v/>
      </c>
      <c r="E13" s="22">
        <f>IFERROR((BDP("/isin/"&amp;$A13,"MATURITY")-TODAY())/365.25,"")</f>
        <v/>
      </c>
      <c r="F13" s="21">
        <f>IFERROR(BDP("/isin/"&amp;$A13,"YLD_YTM_MID"),"")</f>
        <v/>
      </c>
      <c r="G13" s="21">
        <f>IFERROR(BDP("/isin/"&amp;$A13,"YAS_ZSPREAD"),"")</f>
        <v/>
      </c>
      <c r="H13" s="21">
        <f>IFERROR(BDP("/isin/"&amp;$A13,"DUR_ADJ_MID"),"")</f>
        <v/>
      </c>
      <c r="I13" s="21">
        <f>IFERROR(BDP("/isin/"&amp;$A13,"YAS_OAS"),"")</f>
        <v/>
      </c>
      <c r="J13" s="8" t="n"/>
    </row>
    <row r="14">
      <c r="A14" s="8" t="n"/>
      <c r="B14" s="10">
        <f>IFERROR(BDP("/isin/"&amp;$A14,"SECURITY_DES"),"")</f>
        <v/>
      </c>
      <c r="C14" s="10">
        <f>IFERROR(BDP("/isin/"&amp;$A14,"CNTRY_OF_RISK"),"")</f>
        <v/>
      </c>
      <c r="D14" s="10">
        <f>IFERROR(BDP("/isin/"&amp;$A14,"RTG_SP_LT_FC"),"")</f>
        <v/>
      </c>
      <c r="E14" s="22">
        <f>IFERROR((BDP("/isin/"&amp;$A14,"MATURITY")-TODAY())/365.25,"")</f>
        <v/>
      </c>
      <c r="F14" s="21">
        <f>IFERROR(BDP("/isin/"&amp;$A14,"YLD_YTM_MID"),"")</f>
        <v/>
      </c>
      <c r="G14" s="21">
        <f>IFERROR(BDP("/isin/"&amp;$A14,"YAS_ZSPREAD"),"")</f>
        <v/>
      </c>
      <c r="H14" s="21">
        <f>IFERROR(BDP("/isin/"&amp;$A14,"DUR_ADJ_MID"),"")</f>
        <v/>
      </c>
      <c r="I14" s="21">
        <f>IFERROR(BDP("/isin/"&amp;$A14,"YAS_OAS"),"")</f>
        <v/>
      </c>
      <c r="J14" s="8" t="n"/>
    </row>
    <row r="15">
      <c r="A15" s="8" t="n"/>
      <c r="B15" s="10">
        <f>IFERROR(BDP("/isin/"&amp;$A15,"SECURITY_DES"),"")</f>
        <v/>
      </c>
      <c r="C15" s="10">
        <f>IFERROR(BDP("/isin/"&amp;$A15,"CNTRY_OF_RISK"),"")</f>
        <v/>
      </c>
      <c r="D15" s="10">
        <f>IFERROR(BDP("/isin/"&amp;$A15,"RTG_SP_LT_FC"),"")</f>
        <v/>
      </c>
      <c r="E15" s="22">
        <f>IFERROR((BDP("/isin/"&amp;$A15,"MATURITY")-TODAY())/365.25,"")</f>
        <v/>
      </c>
      <c r="F15" s="21">
        <f>IFERROR(BDP("/isin/"&amp;$A15,"YLD_YTM_MID"),"")</f>
        <v/>
      </c>
      <c r="G15" s="21">
        <f>IFERROR(BDP("/isin/"&amp;$A15,"YAS_ZSPREAD"),"")</f>
        <v/>
      </c>
      <c r="H15" s="21">
        <f>IFERROR(BDP("/isin/"&amp;$A15,"DUR_ADJ_MID"),"")</f>
        <v/>
      </c>
      <c r="I15" s="21">
        <f>IFERROR(BDP("/isin/"&amp;$A15,"YAS_OAS"),"")</f>
        <v/>
      </c>
      <c r="J15" s="8" t="n"/>
    </row>
    <row r="16">
      <c r="A16" s="8" t="n"/>
      <c r="B16" s="10">
        <f>IFERROR(BDP("/isin/"&amp;$A16,"SECURITY_DES"),"")</f>
        <v/>
      </c>
      <c r="C16" s="10">
        <f>IFERROR(BDP("/isin/"&amp;$A16,"CNTRY_OF_RISK"),"")</f>
        <v/>
      </c>
      <c r="D16" s="10">
        <f>IFERROR(BDP("/isin/"&amp;$A16,"RTG_SP_LT_FC"),"")</f>
        <v/>
      </c>
      <c r="E16" s="22">
        <f>IFERROR((BDP("/isin/"&amp;$A16,"MATURITY")-TODAY())/365.25,"")</f>
        <v/>
      </c>
      <c r="F16" s="21">
        <f>IFERROR(BDP("/isin/"&amp;$A16,"YLD_YTM_MID"),"")</f>
        <v/>
      </c>
      <c r="G16" s="21">
        <f>IFERROR(BDP("/isin/"&amp;$A16,"YAS_ZSPREAD"),"")</f>
        <v/>
      </c>
      <c r="H16" s="21">
        <f>IFERROR(BDP("/isin/"&amp;$A16,"DUR_ADJ_MID"),"")</f>
        <v/>
      </c>
      <c r="I16" s="21">
        <f>IFERROR(BDP("/isin/"&amp;$A16,"YAS_OAS"),"")</f>
        <v/>
      </c>
      <c r="J16" s="8" t="n"/>
    </row>
    <row r="17">
      <c r="A17" s="8" t="n"/>
      <c r="B17" s="10">
        <f>IFERROR(BDP("/isin/"&amp;$A17,"SECURITY_DES"),"")</f>
        <v/>
      </c>
      <c r="C17" s="10">
        <f>IFERROR(BDP("/isin/"&amp;$A17,"CNTRY_OF_RISK"),"")</f>
        <v/>
      </c>
      <c r="D17" s="10">
        <f>IFERROR(BDP("/isin/"&amp;$A17,"RTG_SP_LT_FC"),"")</f>
        <v/>
      </c>
      <c r="E17" s="22">
        <f>IFERROR((BDP("/isin/"&amp;$A17,"MATURITY")-TODAY())/365.25,"")</f>
        <v/>
      </c>
      <c r="F17" s="21">
        <f>IFERROR(BDP("/isin/"&amp;$A17,"YLD_YTM_MID"),"")</f>
        <v/>
      </c>
      <c r="G17" s="21">
        <f>IFERROR(BDP("/isin/"&amp;$A17,"YAS_ZSPREAD"),"")</f>
        <v/>
      </c>
      <c r="H17" s="21">
        <f>IFERROR(BDP("/isin/"&amp;$A17,"DUR_ADJ_MID"),"")</f>
        <v/>
      </c>
      <c r="I17" s="21">
        <f>IFERROR(BDP("/isin/"&amp;$A17,"YAS_OAS"),"")</f>
        <v/>
      </c>
      <c r="J17" s="8" t="n"/>
    </row>
    <row r="19">
      <c r="A19" s="27" t="inlineStr">
        <is>
          <t>Peer averages:</t>
        </is>
      </c>
      <c r="F19" s="21">
        <f>IFERROR(AVERAGEIF(F3:F17,"&lt;&gt;",F3:F17),"")</f>
        <v/>
      </c>
      <c r="G19" s="21">
        <f>IFERROR(AVERAGEIF(G3:G17,"&lt;&gt;",G3:G17),"")</f>
        <v/>
      </c>
      <c r="H19" s="21">
        <f>IFERROR(AVERAGEIF(H3:H17,"&lt;&gt;",H3:H17),"")</f>
        <v/>
      </c>
      <c r="I19" s="21">
        <f>IFERROR(AVERAGEIF(I3:I17,"&lt;&gt;",I3:I17),"")</f>
        <v/>
      </c>
    </row>
    <row r="21">
      <c r="A21" s="5" t="inlineStr">
        <is>
          <t>EMBI bucket — pulled from index ticker on Settings</t>
        </is>
      </c>
      <c r="B21" s="6" t="n"/>
      <c r="C21" s="6" t="n"/>
      <c r="D21" s="7" t="n"/>
      <c r="E21" s="5" t="inlineStr">
        <is>
          <t>Per-bond comparisons</t>
        </is>
      </c>
      <c r="F21" s="6" t="n"/>
      <c r="G21" s="6" t="n"/>
      <c r="H21" s="6" t="n"/>
      <c r="I21" s="6" t="n"/>
      <c r="J21" s="7" t="n"/>
    </row>
    <row r="22">
      <c r="A22" t="inlineStr">
        <is>
          <t>EMBI Composite ticker</t>
        </is>
      </c>
      <c r="B22" s="24">
        <f>Settings!C28</f>
        <v/>
      </c>
      <c r="E22" s="20" t="inlineStr">
        <is>
          <t>ISIN</t>
        </is>
      </c>
      <c r="F22" s="20" t="inlineStr">
        <is>
          <t>Description</t>
        </is>
      </c>
      <c r="G22" s="20" t="inlineStr">
        <is>
          <t>Z-Spr (bp)</t>
        </is>
      </c>
      <c r="H22" s="20" t="inlineStr">
        <is>
          <t>Spread vs peer avg</t>
        </is>
      </c>
      <c r="I22" s="20" t="inlineStr">
        <is>
          <t>Spread vs EMBI bucket</t>
        </is>
      </c>
      <c r="J22" s="20" t="inlineStr">
        <is>
          <t>Implied 12M outperf vs EMBI (%)</t>
        </is>
      </c>
    </row>
    <row r="23">
      <c r="A23" t="inlineStr">
        <is>
          <t>EMBI Composite Yield (%)</t>
        </is>
      </c>
      <c r="B23" s="21">
        <f>IFERROR(BDP(Settings!C28,"INDEX_AVG_YLD"),IFERROR(BDP(Settings!C28,"PX_LAST"),""))</f>
        <v/>
      </c>
      <c r="E23" s="24">
        <f>Bonds_Static!A2</f>
        <v/>
      </c>
      <c r="F23" s="24">
        <f>Bonds_Static!C2</f>
        <v/>
      </c>
      <c r="G23" s="11">
        <f>IFERROR(Bonds_Live!L2,"")</f>
        <v/>
      </c>
      <c r="H23" s="21">
        <f>IFERROR(G23-G19,"")</f>
        <v/>
      </c>
      <c r="I23" s="21">
        <f>IFERROR(G23-B28,"")</f>
        <v/>
      </c>
      <c r="J23" s="21">
        <f>IFERROR(IF(OR(I23="",Bonds_Live!R2=""),"",I23/100*Bonds_Live!R2),"")</f>
        <v/>
      </c>
    </row>
    <row r="24">
      <c r="A24" t="inlineStr">
        <is>
          <t>EMBI Composite Spread (bp)</t>
        </is>
      </c>
      <c r="B24" s="21">
        <f>IFERROR(BDP(Settings!C28,"INDEX_AVG_SPREAD"),"")</f>
        <v/>
      </c>
      <c r="E24" s="24">
        <f>Bonds_Static!A3</f>
        <v/>
      </c>
      <c r="F24" s="24">
        <f>Bonds_Static!C3</f>
        <v/>
      </c>
      <c r="G24" s="11">
        <f>IFERROR(Bonds_Live!L3,"")</f>
        <v/>
      </c>
      <c r="H24" s="21">
        <f>IFERROR(G24-G19,"")</f>
        <v/>
      </c>
      <c r="I24" s="21">
        <f>IFERROR(G24-B28,"")</f>
        <v/>
      </c>
      <c r="J24" s="21">
        <f>IFERROR(IF(OR(I24="",Bonds_Live!R3=""),"",I24/100*Bonds_Live!R3),"")</f>
        <v/>
      </c>
    </row>
    <row r="25">
      <c r="A25" t="inlineStr">
        <is>
          <t>EMBI Composite Duration</t>
        </is>
      </c>
      <c r="B25" s="21">
        <f>IFERROR(BDP(Settings!C28,"INDEX_DURATION_MOD"),"")</f>
        <v/>
      </c>
      <c r="E25" s="24">
        <f>Bonds_Static!A4</f>
        <v/>
      </c>
      <c r="F25" s="24">
        <f>Bonds_Static!C4</f>
        <v/>
      </c>
      <c r="G25" s="11">
        <f>IFERROR(Bonds_Live!L4,"")</f>
        <v/>
      </c>
      <c r="H25" s="21">
        <f>IFERROR(G25-G19,"")</f>
        <v/>
      </c>
      <c r="I25" s="21">
        <f>IFERROR(G25-B28,"")</f>
        <v/>
      </c>
      <c r="J25" s="21">
        <f>IFERROR(IF(OR(I25="",Bonds_Live!R4=""),"",I25/100*Bonds_Live!R4),"")</f>
        <v/>
      </c>
    </row>
    <row r="26">
      <c r="E26" s="24">
        <f>Bonds_Static!A5</f>
        <v/>
      </c>
      <c r="F26" s="24">
        <f>Bonds_Static!C5</f>
        <v/>
      </c>
      <c r="G26" s="11">
        <f>IFERROR(Bonds_Live!L5,"")</f>
        <v/>
      </c>
      <c r="H26" s="21">
        <f>IFERROR(G26-G19,"")</f>
        <v/>
      </c>
      <c r="I26" s="21">
        <f>IFERROR(G26-B28,"")</f>
        <v/>
      </c>
      <c r="J26" s="21">
        <f>IFERROR(IF(OR(I26="",Bonds_Live!R5=""),"",I26/100*Bonds_Live!R5),"")</f>
        <v/>
      </c>
    </row>
    <row r="27">
      <c r="A27" t="inlineStr">
        <is>
          <t>EMBI rating-bucket ticker</t>
        </is>
      </c>
      <c r="B27" s="24">
        <f>Settings!C29</f>
        <v/>
      </c>
      <c r="E27" s="24">
        <f>Bonds_Static!A6</f>
        <v/>
      </c>
      <c r="F27" s="24">
        <f>Bonds_Static!C6</f>
        <v/>
      </c>
      <c r="G27" s="11">
        <f>IFERROR(Bonds_Live!L6,"")</f>
        <v/>
      </c>
      <c r="H27" s="21">
        <f>IFERROR(G27-G19,"")</f>
        <v/>
      </c>
      <c r="I27" s="21">
        <f>IFERROR(G27-B28,"")</f>
        <v/>
      </c>
      <c r="J27" s="21">
        <f>IFERROR(IF(OR(I27="",Bonds_Live!R6=""),"",I27/100*Bonds_Live!R6),"")</f>
        <v/>
      </c>
    </row>
    <row r="28">
      <c r="A28" t="inlineStr">
        <is>
          <t>Bucket spread (bp)</t>
        </is>
      </c>
      <c r="B28" s="21">
        <f>IFERROR(BDP(Settings!C29,"INDEX_AVG_SPREAD"),"")</f>
        <v/>
      </c>
      <c r="E28" s="24">
        <f>Bonds_Static!A7</f>
        <v/>
      </c>
      <c r="F28" s="24">
        <f>Bonds_Static!C7</f>
        <v/>
      </c>
      <c r="G28" s="11">
        <f>IFERROR(Bonds_Live!L7,"")</f>
        <v/>
      </c>
      <c r="H28" s="21">
        <f>IFERROR(G28-G19,"")</f>
        <v/>
      </c>
      <c r="I28" s="21">
        <f>IFERROR(G28-B28,"")</f>
        <v/>
      </c>
      <c r="J28" s="21">
        <f>IFERROR(IF(OR(I28="",Bonds_Live!R7=""),"",I28/100*Bonds_Live!R7),"")</f>
        <v/>
      </c>
    </row>
    <row r="29">
      <c r="E29" s="24">
        <f>Bonds_Static!A8</f>
        <v/>
      </c>
      <c r="F29" s="24">
        <f>Bonds_Static!C8</f>
        <v/>
      </c>
      <c r="G29" s="11">
        <f>IFERROR(Bonds_Live!L8,"")</f>
        <v/>
      </c>
      <c r="H29" s="21">
        <f>IFERROR(G29-G19,"")</f>
        <v/>
      </c>
      <c r="I29" s="21">
        <f>IFERROR(G29-B28,"")</f>
        <v/>
      </c>
      <c r="J29" s="21">
        <f>IFERROR(IF(OR(I29="",Bonds_Live!R8=""),"",I29/100*Bonds_Live!R8),"")</f>
        <v/>
      </c>
    </row>
    <row r="30">
      <c r="E30" s="24">
        <f>Bonds_Static!A9</f>
        <v/>
      </c>
      <c r="F30" s="24">
        <f>Bonds_Static!C9</f>
        <v/>
      </c>
      <c r="G30" s="11">
        <f>IFERROR(Bonds_Live!L9,"")</f>
        <v/>
      </c>
      <c r="H30" s="21">
        <f>IFERROR(G30-G19,"")</f>
        <v/>
      </c>
      <c r="I30" s="21">
        <f>IFERROR(G30-B28,"")</f>
        <v/>
      </c>
      <c r="J30" s="21">
        <f>IFERROR(IF(OR(I30="",Bonds_Live!R9=""),"",I30/100*Bonds_Live!R9),"")</f>
        <v/>
      </c>
    </row>
    <row r="31">
      <c r="E31" s="24">
        <f>Bonds_Static!A10</f>
        <v/>
      </c>
      <c r="F31" s="24">
        <f>Bonds_Static!C10</f>
        <v/>
      </c>
      <c r="G31" s="11">
        <f>IFERROR(Bonds_Live!L10,"")</f>
        <v/>
      </c>
      <c r="H31" s="21">
        <f>IFERROR(G31-G19,"")</f>
        <v/>
      </c>
      <c r="I31" s="21">
        <f>IFERROR(G31-B28,"")</f>
        <v/>
      </c>
      <c r="J31" s="21">
        <f>IFERROR(IF(OR(I31="",Bonds_Live!R10=""),"",I31/100*Bonds_Live!R10),"")</f>
        <v/>
      </c>
    </row>
    <row r="32">
      <c r="E32" s="24">
        <f>Bonds_Static!A11</f>
        <v/>
      </c>
      <c r="F32" s="24">
        <f>Bonds_Static!C11</f>
        <v/>
      </c>
      <c r="G32" s="11">
        <f>IFERROR(Bonds_Live!L11,"")</f>
        <v/>
      </c>
      <c r="H32" s="21">
        <f>IFERROR(G32-G19,"")</f>
        <v/>
      </c>
      <c r="I32" s="21">
        <f>IFERROR(G32-B28,"")</f>
        <v/>
      </c>
      <c r="J32" s="21">
        <f>IFERROR(IF(OR(I32="",Bonds_Live!R11=""),"",I32/100*Bonds_Live!R11),"")</f>
        <v/>
      </c>
    </row>
    <row r="33">
      <c r="E33" s="24">
        <f>Bonds_Static!A12</f>
        <v/>
      </c>
      <c r="F33" s="24">
        <f>Bonds_Static!C12</f>
        <v/>
      </c>
      <c r="G33" s="11">
        <f>IFERROR(Bonds_Live!L12,"")</f>
        <v/>
      </c>
      <c r="H33" s="21">
        <f>IFERROR(G33-G19,"")</f>
        <v/>
      </c>
      <c r="I33" s="21">
        <f>IFERROR(G33-B28,"")</f>
        <v/>
      </c>
      <c r="J33" s="21">
        <f>IFERROR(IF(OR(I33="",Bonds_Live!R12=""),"",I33/100*Bonds_Live!R12),"")</f>
        <v/>
      </c>
    </row>
    <row r="34">
      <c r="E34" s="24">
        <f>Bonds_Static!A13</f>
        <v/>
      </c>
      <c r="F34" s="24">
        <f>Bonds_Static!C13</f>
        <v/>
      </c>
      <c r="G34" s="11">
        <f>IFERROR(Bonds_Live!L13,"")</f>
        <v/>
      </c>
      <c r="H34" s="21">
        <f>IFERROR(G34-G19,"")</f>
        <v/>
      </c>
      <c r="I34" s="21">
        <f>IFERROR(G34-B28,"")</f>
        <v/>
      </c>
      <c r="J34" s="21">
        <f>IFERROR(IF(OR(I34="",Bonds_Live!R13=""),"",I34/100*Bonds_Live!R13),"")</f>
        <v/>
      </c>
    </row>
    <row r="35">
      <c r="E35" s="24">
        <f>Bonds_Static!A14</f>
        <v/>
      </c>
      <c r="F35" s="24">
        <f>Bonds_Static!C14</f>
        <v/>
      </c>
      <c r="G35" s="11">
        <f>IFERROR(Bonds_Live!L14,"")</f>
        <v/>
      </c>
      <c r="H35" s="21">
        <f>IFERROR(G35-G19,"")</f>
        <v/>
      </c>
      <c r="I35" s="21">
        <f>IFERROR(G35-B28,"")</f>
        <v/>
      </c>
      <c r="J35" s="21">
        <f>IFERROR(IF(OR(I35="",Bonds_Live!R14=""),"",I35/100*Bonds_Live!R14),"")</f>
        <v/>
      </c>
    </row>
    <row r="36">
      <c r="E36" s="24">
        <f>Bonds_Static!A15</f>
        <v/>
      </c>
      <c r="F36" s="24">
        <f>Bonds_Static!C15</f>
        <v/>
      </c>
      <c r="G36" s="11">
        <f>IFERROR(Bonds_Live!L15,"")</f>
        <v/>
      </c>
      <c r="H36" s="21">
        <f>IFERROR(G36-G19,"")</f>
        <v/>
      </c>
      <c r="I36" s="21">
        <f>IFERROR(G36-B28,"")</f>
        <v/>
      </c>
      <c r="J36" s="21">
        <f>IFERROR(IF(OR(I36="",Bonds_Live!R15=""),"",I36/100*Bonds_Live!R15),"")</f>
        <v/>
      </c>
    </row>
    <row r="37">
      <c r="E37" s="24">
        <f>Bonds_Static!A16</f>
        <v/>
      </c>
      <c r="F37" s="24">
        <f>Bonds_Static!C16</f>
        <v/>
      </c>
      <c r="G37" s="11">
        <f>IFERROR(Bonds_Live!L16,"")</f>
        <v/>
      </c>
      <c r="H37" s="21">
        <f>IFERROR(G37-G19,"")</f>
        <v/>
      </c>
      <c r="I37" s="21">
        <f>IFERROR(G37-B28,"")</f>
        <v/>
      </c>
      <c r="J37" s="21">
        <f>IFERROR(IF(OR(I37="",Bonds_Live!R16=""),"",I37/100*Bonds_Live!R16),"")</f>
        <v/>
      </c>
    </row>
    <row r="38">
      <c r="E38" s="24">
        <f>Bonds_Static!A17</f>
        <v/>
      </c>
      <c r="F38" s="24">
        <f>Bonds_Static!C17</f>
        <v/>
      </c>
      <c r="G38" s="11">
        <f>IFERROR(Bonds_Live!L17,"")</f>
        <v/>
      </c>
      <c r="H38" s="21">
        <f>IFERROR(G38-G19,"")</f>
        <v/>
      </c>
      <c r="I38" s="21">
        <f>IFERROR(G38-B28,"")</f>
        <v/>
      </c>
      <c r="J38" s="21">
        <f>IFERROR(IF(OR(I38="",Bonds_Live!R17=""),"",I38/100*Bonds_Live!R17),"")</f>
        <v/>
      </c>
    </row>
    <row r="39">
      <c r="E39" s="24">
        <f>Bonds_Static!A18</f>
        <v/>
      </c>
      <c r="F39" s="24">
        <f>Bonds_Static!C18</f>
        <v/>
      </c>
      <c r="G39" s="11">
        <f>IFERROR(Bonds_Live!L18,"")</f>
        <v/>
      </c>
      <c r="H39" s="21">
        <f>IFERROR(G39-G19,"")</f>
        <v/>
      </c>
      <c r="I39" s="21">
        <f>IFERROR(G39-B28,"")</f>
        <v/>
      </c>
      <c r="J39" s="21">
        <f>IFERROR(IF(OR(I39="",Bonds_Live!R18=""),"",I39/100*Bonds_Live!R18),"")</f>
        <v/>
      </c>
    </row>
    <row r="40">
      <c r="E40" s="24">
        <f>Bonds_Static!A19</f>
        <v/>
      </c>
      <c r="F40" s="24">
        <f>Bonds_Static!C19</f>
        <v/>
      </c>
      <c r="G40" s="11">
        <f>IFERROR(Bonds_Live!L19,"")</f>
        <v/>
      </c>
      <c r="H40" s="21">
        <f>IFERROR(G40-G19,"")</f>
        <v/>
      </c>
      <c r="I40" s="21">
        <f>IFERROR(G40-B28,"")</f>
        <v/>
      </c>
      <c r="J40" s="21">
        <f>IFERROR(IF(OR(I40="",Bonds_Live!R19=""),"",I40/100*Bonds_Live!R19),"")</f>
        <v/>
      </c>
    </row>
    <row r="41">
      <c r="E41" s="24">
        <f>Bonds_Static!A20</f>
        <v/>
      </c>
      <c r="F41" s="24">
        <f>Bonds_Static!C20</f>
        <v/>
      </c>
      <c r="G41" s="11">
        <f>IFERROR(Bonds_Live!L20,"")</f>
        <v/>
      </c>
      <c r="H41" s="21">
        <f>IFERROR(G41-G19,"")</f>
        <v/>
      </c>
      <c r="I41" s="21">
        <f>IFERROR(G41-B28,"")</f>
        <v/>
      </c>
      <c r="J41" s="21">
        <f>IFERROR(IF(OR(I41="",Bonds_Live!R20=""),"",I41/100*Bonds_Live!R20),"")</f>
        <v/>
      </c>
    </row>
    <row r="42">
      <c r="E42" s="24">
        <f>Bonds_Static!A21</f>
        <v/>
      </c>
      <c r="F42" s="24">
        <f>Bonds_Static!C21</f>
        <v/>
      </c>
      <c r="G42" s="11">
        <f>IFERROR(Bonds_Live!L21,"")</f>
        <v/>
      </c>
      <c r="H42" s="21">
        <f>IFERROR(G42-G19,"")</f>
        <v/>
      </c>
      <c r="I42" s="21">
        <f>IFERROR(G42-B28,"")</f>
        <v/>
      </c>
      <c r="J42" s="21">
        <f>IFERROR(IF(OR(I42="",Bonds_Live!R21=""),"",I42/100*Bonds_Live!R21),"")</f>
        <v/>
      </c>
    </row>
    <row r="43">
      <c r="E43" s="24">
        <f>Bonds_Static!A22</f>
        <v/>
      </c>
      <c r="F43" s="24">
        <f>Bonds_Static!C22</f>
        <v/>
      </c>
      <c r="G43" s="11">
        <f>IFERROR(Bonds_Live!L22,"")</f>
        <v/>
      </c>
      <c r="H43" s="21">
        <f>IFERROR(G43-G19,"")</f>
        <v/>
      </c>
      <c r="I43" s="21">
        <f>IFERROR(G43-B28,"")</f>
        <v/>
      </c>
      <c r="J43" s="21">
        <f>IFERROR(IF(OR(I43="",Bonds_Live!R22=""),"",I43/100*Bonds_Live!R22),"")</f>
        <v/>
      </c>
    </row>
    <row r="44">
      <c r="E44" s="24">
        <f>Bonds_Static!A23</f>
        <v/>
      </c>
      <c r="F44" s="24">
        <f>Bonds_Static!C23</f>
        <v/>
      </c>
      <c r="G44" s="11">
        <f>IFERROR(Bonds_Live!L23,"")</f>
        <v/>
      </c>
      <c r="H44" s="21">
        <f>IFERROR(G44-G19,"")</f>
        <v/>
      </c>
      <c r="I44" s="21">
        <f>IFERROR(G44-B28,"")</f>
        <v/>
      </c>
      <c r="J44" s="21">
        <f>IFERROR(IF(OR(I44="",Bonds_Live!R23=""),"",I44/100*Bonds_Live!R23),"")</f>
        <v/>
      </c>
    </row>
    <row r="45">
      <c r="E45" s="24">
        <f>Bonds_Static!A24</f>
        <v/>
      </c>
      <c r="F45" s="24">
        <f>Bonds_Static!C24</f>
        <v/>
      </c>
      <c r="G45" s="11">
        <f>IFERROR(Bonds_Live!L24,"")</f>
        <v/>
      </c>
      <c r="H45" s="21">
        <f>IFERROR(G45-G19,"")</f>
        <v/>
      </c>
      <c r="I45" s="21">
        <f>IFERROR(G45-B28,"")</f>
        <v/>
      </c>
      <c r="J45" s="21">
        <f>IFERROR(IF(OR(I45="",Bonds_Live!R24=""),"",I45/100*Bonds_Live!R24),"")</f>
        <v/>
      </c>
    </row>
    <row r="46">
      <c r="E46" s="24">
        <f>Bonds_Static!A25</f>
        <v/>
      </c>
      <c r="F46" s="24">
        <f>Bonds_Static!C25</f>
        <v/>
      </c>
      <c r="G46" s="11">
        <f>IFERROR(Bonds_Live!L25,"")</f>
        <v/>
      </c>
      <c r="H46" s="21">
        <f>IFERROR(G46-G19,"")</f>
        <v/>
      </c>
      <c r="I46" s="21">
        <f>IFERROR(G46-B28,"")</f>
        <v/>
      </c>
      <c r="J46" s="21">
        <f>IFERROR(IF(OR(I46="",Bonds_Live!R25=""),"",I46/100*Bonds_Live!R25),"")</f>
        <v/>
      </c>
    </row>
    <row r="47">
      <c r="E47" s="24">
        <f>Bonds_Static!A26</f>
        <v/>
      </c>
      <c r="F47" s="24">
        <f>Bonds_Static!C26</f>
        <v/>
      </c>
      <c r="G47" s="11">
        <f>IFERROR(Bonds_Live!L26,"")</f>
        <v/>
      </c>
      <c r="H47" s="21">
        <f>IFERROR(G47-G19,"")</f>
        <v/>
      </c>
      <c r="I47" s="21">
        <f>IFERROR(G47-B28,"")</f>
        <v/>
      </c>
      <c r="J47" s="21">
        <f>IFERROR(IF(OR(I47="",Bonds_Live!R26=""),"",I47/100*Bonds_Live!R26),"")</f>
        <v/>
      </c>
    </row>
  </sheetData>
  <mergeCells count="3">
    <mergeCell ref="A1:J1"/>
    <mergeCell ref="E21:J21"/>
    <mergeCell ref="A21:D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>
      <c r="A1" s="37" t="inlineStr">
        <is>
          <t>Greenium — Green/sustainability USD bonds vs conventional twins</t>
        </is>
      </c>
    </row>
    <row r="2" ht="36" customHeight="1">
      <c r="A2" s="20" t="inlineStr">
        <is>
          <t>Green ISIN</t>
        </is>
      </c>
      <c r="B2" s="20" t="inlineStr">
        <is>
          <t>Conv. Twin ISIN</t>
        </is>
      </c>
      <c r="C2" s="20" t="inlineStr">
        <is>
          <t>Yrs</t>
        </is>
      </c>
      <c r="D2" s="20" t="inlineStr">
        <is>
          <t>Green YTM</t>
        </is>
      </c>
      <c r="E2" s="20" t="inlineStr">
        <is>
          <t>Green Z-Spr</t>
        </is>
      </c>
      <c r="F2" s="20" t="inlineStr">
        <is>
          <t>Conv. YTM</t>
        </is>
      </c>
      <c r="G2" s="20" t="inlineStr">
        <is>
          <t>Conv. Z-Spr</t>
        </is>
      </c>
      <c r="H2" s="20" t="inlineStr">
        <is>
          <t>Greenium (Green − Conv, bp)</t>
        </is>
      </c>
      <c r="I2" s="20" t="inlineStr">
        <is>
          <t>1Y Avg Greenium</t>
        </is>
      </c>
      <c r="J2" s="20" t="inlineStr">
        <is>
          <t>Signal</t>
        </is>
      </c>
    </row>
    <row r="3">
      <c r="A3" s="8" t="n"/>
      <c r="B3" s="8" t="n"/>
      <c r="C3" s="22">
        <f>IFERROR((BDP("/isin/"&amp;$A3,"MATURITY")-TODAY())/365.25,"")</f>
        <v/>
      </c>
      <c r="D3" s="21">
        <f>IFERROR(BDP("/isin/"&amp;$A3,"YLD_YTM_MID"),"")</f>
        <v/>
      </c>
      <c r="E3" s="21">
        <f>IFERROR(BDP("/isin/"&amp;$A3,"YAS_ZSPREAD"),"")</f>
        <v/>
      </c>
      <c r="F3" s="21">
        <f>IFERROR(BDP("/isin/"&amp;$B3,"YLD_YTM_MID"),"")</f>
        <v/>
      </c>
      <c r="G3" s="21">
        <f>IFERROR(BDP("/isin/"&amp;$B3,"YAS_ZSPREAD"),"")</f>
        <v/>
      </c>
      <c r="H3" s="23">
        <f>IFERROR(IF(OR(E3="",G3=""),"",E3-G3),"")</f>
        <v/>
      </c>
      <c r="I3" s="23">
        <f>IFERROR(AVERAGE(INDEX(BDH("/isin/"&amp;$A3,"YAS_ZSPREAD","-1Y","0D"),0,2))-AVERAGE(INDEX(BDH("/isin/"&amp;$B3,"YAS_ZSPREAD","-1Y","0D"),0,2)),"")</f>
        <v/>
      </c>
      <c r="J3" s="10">
        <f>IFERROR(IF(H3="","",IF(H3&lt;I3-5,"Greenium WIDER than avg — green tightening, sell green/buy conv",IF(H3&gt;I3+5,"Greenium NARROWER than avg — green normalising, buy green/sell conv","at avg"))),"")</f>
        <v/>
      </c>
    </row>
    <row r="4">
      <c r="A4" s="8" t="n"/>
      <c r="B4" s="8" t="n"/>
      <c r="C4" s="22">
        <f>IFERROR((BDP("/isin/"&amp;$A4,"MATURITY")-TODAY())/365.25,"")</f>
        <v/>
      </c>
      <c r="D4" s="21">
        <f>IFERROR(BDP("/isin/"&amp;$A4,"YLD_YTM_MID"),"")</f>
        <v/>
      </c>
      <c r="E4" s="21">
        <f>IFERROR(BDP("/isin/"&amp;$A4,"YAS_ZSPREAD"),"")</f>
        <v/>
      </c>
      <c r="F4" s="21">
        <f>IFERROR(BDP("/isin/"&amp;$B4,"YLD_YTM_MID"),"")</f>
        <v/>
      </c>
      <c r="G4" s="21">
        <f>IFERROR(BDP("/isin/"&amp;$B4,"YAS_ZSPREAD"),"")</f>
        <v/>
      </c>
      <c r="H4" s="23">
        <f>IFERROR(IF(OR(E4="",G4=""),"",E4-G4),"")</f>
        <v/>
      </c>
      <c r="I4" s="23">
        <f>IFERROR(AVERAGE(INDEX(BDH("/isin/"&amp;$A4,"YAS_ZSPREAD","-1Y","0D"),0,2))-AVERAGE(INDEX(BDH("/isin/"&amp;$B4,"YAS_ZSPREAD","-1Y","0D"),0,2)),"")</f>
        <v/>
      </c>
      <c r="J4" s="10">
        <f>IFERROR(IF(H4="","",IF(H4&lt;I4-5,"Greenium WIDER than avg — green tightening, sell green/buy conv",IF(H4&gt;I4+5,"Greenium NARROWER than avg — green normalising, buy green/sell conv","at avg"))),"")</f>
        <v/>
      </c>
    </row>
    <row r="5">
      <c r="A5" s="8" t="n"/>
      <c r="B5" s="8" t="n"/>
      <c r="C5" s="22">
        <f>IFERROR((BDP("/isin/"&amp;$A5,"MATURITY")-TODAY())/365.25,"")</f>
        <v/>
      </c>
      <c r="D5" s="21">
        <f>IFERROR(BDP("/isin/"&amp;$A5,"YLD_YTM_MID"),"")</f>
        <v/>
      </c>
      <c r="E5" s="21">
        <f>IFERROR(BDP("/isin/"&amp;$A5,"YAS_ZSPREAD"),"")</f>
        <v/>
      </c>
      <c r="F5" s="21">
        <f>IFERROR(BDP("/isin/"&amp;$B5,"YLD_YTM_MID"),"")</f>
        <v/>
      </c>
      <c r="G5" s="21">
        <f>IFERROR(BDP("/isin/"&amp;$B5,"YAS_ZSPREAD"),"")</f>
        <v/>
      </c>
      <c r="H5" s="23">
        <f>IFERROR(IF(OR(E5="",G5=""),"",E5-G5),"")</f>
        <v/>
      </c>
      <c r="I5" s="23">
        <f>IFERROR(AVERAGE(INDEX(BDH("/isin/"&amp;$A5,"YAS_ZSPREAD","-1Y","0D"),0,2))-AVERAGE(INDEX(BDH("/isin/"&amp;$B5,"YAS_ZSPREAD","-1Y","0D"),0,2)),"")</f>
        <v/>
      </c>
      <c r="J5" s="10">
        <f>IFERROR(IF(H5="","",IF(H5&lt;I5-5,"Greenium WIDER than avg — green tightening, sell green/buy conv",IF(H5&gt;I5+5,"Greenium NARROWER than avg — green normalising, buy green/sell conv","at avg"))),"")</f>
        <v/>
      </c>
    </row>
    <row r="6">
      <c r="A6" s="8" t="n"/>
      <c r="B6" s="8" t="n"/>
      <c r="C6" s="22">
        <f>IFERROR((BDP("/isin/"&amp;$A6,"MATURITY")-TODAY())/365.25,"")</f>
        <v/>
      </c>
      <c r="D6" s="21">
        <f>IFERROR(BDP("/isin/"&amp;$A6,"YLD_YTM_MID"),"")</f>
        <v/>
      </c>
      <c r="E6" s="21">
        <f>IFERROR(BDP("/isin/"&amp;$A6,"YAS_ZSPREAD"),"")</f>
        <v/>
      </c>
      <c r="F6" s="21">
        <f>IFERROR(BDP("/isin/"&amp;$B6,"YLD_YTM_MID"),"")</f>
        <v/>
      </c>
      <c r="G6" s="21">
        <f>IFERROR(BDP("/isin/"&amp;$B6,"YAS_ZSPREAD"),"")</f>
        <v/>
      </c>
      <c r="H6" s="23">
        <f>IFERROR(IF(OR(E6="",G6=""),"",E6-G6),"")</f>
        <v/>
      </c>
      <c r="I6" s="23">
        <f>IFERROR(AVERAGE(INDEX(BDH("/isin/"&amp;$A6,"YAS_ZSPREAD","-1Y","0D"),0,2))-AVERAGE(INDEX(BDH("/isin/"&amp;$B6,"YAS_ZSPREAD","-1Y","0D"),0,2)),"")</f>
        <v/>
      </c>
      <c r="J6" s="10">
        <f>IFERROR(IF(H6="","",IF(H6&lt;I6-5,"Greenium WIDER than avg — green tightening, sell green/buy conv",IF(H6&gt;I6+5,"Greenium NARROWER than avg — green normalising, buy green/sell conv","at avg"))),"")</f>
        <v/>
      </c>
    </row>
    <row r="7">
      <c r="A7" s="8" t="n"/>
      <c r="B7" s="8" t="n"/>
      <c r="C7" s="22">
        <f>IFERROR((BDP("/isin/"&amp;$A7,"MATURITY")-TODAY())/365.25,"")</f>
        <v/>
      </c>
      <c r="D7" s="21">
        <f>IFERROR(BDP("/isin/"&amp;$A7,"YLD_YTM_MID"),"")</f>
        <v/>
      </c>
      <c r="E7" s="21">
        <f>IFERROR(BDP("/isin/"&amp;$A7,"YAS_ZSPREAD"),"")</f>
        <v/>
      </c>
      <c r="F7" s="21">
        <f>IFERROR(BDP("/isin/"&amp;$B7,"YLD_YTM_MID"),"")</f>
        <v/>
      </c>
      <c r="G7" s="21">
        <f>IFERROR(BDP("/isin/"&amp;$B7,"YAS_ZSPREAD"),"")</f>
        <v/>
      </c>
      <c r="H7" s="23">
        <f>IFERROR(IF(OR(E7="",G7=""),"",E7-G7),"")</f>
        <v/>
      </c>
      <c r="I7" s="23">
        <f>IFERROR(AVERAGE(INDEX(BDH("/isin/"&amp;$A7,"YAS_ZSPREAD","-1Y","0D"),0,2))-AVERAGE(INDEX(BDH("/isin/"&amp;$B7,"YAS_ZSPREAD","-1Y","0D"),0,2)),"")</f>
        <v/>
      </c>
      <c r="J7" s="10">
        <f>IFERROR(IF(H7="","",IF(H7&lt;I7-5,"Greenium WIDER than avg — green tightening, sell green/buy conv",IF(H7&gt;I7+5,"Greenium NARROWER than avg — green normalising, buy green/sell conv","at avg"))),"")</f>
        <v/>
      </c>
    </row>
    <row r="8">
      <c r="A8" s="8" t="n"/>
      <c r="B8" s="8" t="n"/>
      <c r="C8" s="22">
        <f>IFERROR((BDP("/isin/"&amp;$A8,"MATURITY")-TODAY())/365.25,"")</f>
        <v/>
      </c>
      <c r="D8" s="21">
        <f>IFERROR(BDP("/isin/"&amp;$A8,"YLD_YTM_MID"),"")</f>
        <v/>
      </c>
      <c r="E8" s="21">
        <f>IFERROR(BDP("/isin/"&amp;$A8,"YAS_ZSPREAD"),"")</f>
        <v/>
      </c>
      <c r="F8" s="21">
        <f>IFERROR(BDP("/isin/"&amp;$B8,"YLD_YTM_MID"),"")</f>
        <v/>
      </c>
      <c r="G8" s="21">
        <f>IFERROR(BDP("/isin/"&amp;$B8,"YAS_ZSPREAD"),"")</f>
        <v/>
      </c>
      <c r="H8" s="23">
        <f>IFERROR(IF(OR(E8="",G8=""),"",E8-G8),"")</f>
        <v/>
      </c>
      <c r="I8" s="23">
        <f>IFERROR(AVERAGE(INDEX(BDH("/isin/"&amp;$A8,"YAS_ZSPREAD","-1Y","0D"),0,2))-AVERAGE(INDEX(BDH("/isin/"&amp;$B8,"YAS_ZSPREAD","-1Y","0D"),0,2)),"")</f>
        <v/>
      </c>
      <c r="J8" s="10">
        <f>IFERROR(IF(H8="","",IF(H8&lt;I8-5,"Greenium WIDER than avg — green tightening, sell green/buy conv",IF(H8&gt;I8+5,"Greenium NARROWER than avg — green normalising, buy green/sell conv","at avg"))),"")</f>
        <v/>
      </c>
    </row>
    <row r="9">
      <c r="A9" s="8" t="n"/>
      <c r="B9" s="8" t="n"/>
      <c r="C9" s="22">
        <f>IFERROR((BDP("/isin/"&amp;$A9,"MATURITY")-TODAY())/365.25,"")</f>
        <v/>
      </c>
      <c r="D9" s="21">
        <f>IFERROR(BDP("/isin/"&amp;$A9,"YLD_YTM_MID"),"")</f>
        <v/>
      </c>
      <c r="E9" s="21">
        <f>IFERROR(BDP("/isin/"&amp;$A9,"YAS_ZSPREAD"),"")</f>
        <v/>
      </c>
      <c r="F9" s="21">
        <f>IFERROR(BDP("/isin/"&amp;$B9,"YLD_YTM_MID"),"")</f>
        <v/>
      </c>
      <c r="G9" s="21">
        <f>IFERROR(BDP("/isin/"&amp;$B9,"YAS_ZSPREAD"),"")</f>
        <v/>
      </c>
      <c r="H9" s="23">
        <f>IFERROR(IF(OR(E9="",G9=""),"",E9-G9),"")</f>
        <v/>
      </c>
      <c r="I9" s="23">
        <f>IFERROR(AVERAGE(INDEX(BDH("/isin/"&amp;$A9,"YAS_ZSPREAD","-1Y","0D"),0,2))-AVERAGE(INDEX(BDH("/isin/"&amp;$B9,"YAS_ZSPREAD","-1Y","0D"),0,2)),"")</f>
        <v/>
      </c>
      <c r="J9" s="10">
        <f>IFERROR(IF(H9="","",IF(H9&lt;I9-5,"Greenium WIDER than avg — green tightening, sell green/buy conv",IF(H9&gt;I9+5,"Greenium NARROWER than avg — green normalising, buy green/sell conv","at avg"))),"")</f>
        <v/>
      </c>
    </row>
    <row r="10">
      <c r="A10" s="8" t="n"/>
      <c r="B10" s="8" t="n"/>
      <c r="C10" s="22">
        <f>IFERROR((BDP("/isin/"&amp;$A10,"MATURITY")-TODAY())/365.25,"")</f>
        <v/>
      </c>
      <c r="D10" s="21">
        <f>IFERROR(BDP("/isin/"&amp;$A10,"YLD_YTM_MID"),"")</f>
        <v/>
      </c>
      <c r="E10" s="21">
        <f>IFERROR(BDP("/isin/"&amp;$A10,"YAS_ZSPREAD"),"")</f>
        <v/>
      </c>
      <c r="F10" s="21">
        <f>IFERROR(BDP("/isin/"&amp;$B10,"YLD_YTM_MID"),"")</f>
        <v/>
      </c>
      <c r="G10" s="21">
        <f>IFERROR(BDP("/isin/"&amp;$B10,"YAS_ZSPREAD"),"")</f>
        <v/>
      </c>
      <c r="H10" s="23">
        <f>IFERROR(IF(OR(E10="",G10=""),"",E10-G10),"")</f>
        <v/>
      </c>
      <c r="I10" s="23">
        <f>IFERROR(AVERAGE(INDEX(BDH("/isin/"&amp;$A10,"YAS_ZSPREAD","-1Y","0D"),0,2))-AVERAGE(INDEX(BDH("/isin/"&amp;$B10,"YAS_ZSPREAD","-1Y","0D"),0,2)),"")</f>
        <v/>
      </c>
      <c r="J10" s="10">
        <f>IFERROR(IF(H10="","",IF(H10&lt;I10-5,"Greenium WIDER than avg — green tightening, sell green/buy conv",IF(H10&gt;I10+5,"Greenium NARROWER than avg — green normalising, buy green/sell conv","at avg"))),"")</f>
        <v/>
      </c>
    </row>
    <row r="11">
      <c r="A11" s="8" t="n"/>
      <c r="B11" s="8" t="n"/>
      <c r="C11" s="22">
        <f>IFERROR((BDP("/isin/"&amp;$A11,"MATURITY")-TODAY())/365.25,"")</f>
        <v/>
      </c>
      <c r="D11" s="21">
        <f>IFERROR(BDP("/isin/"&amp;$A11,"YLD_YTM_MID"),"")</f>
        <v/>
      </c>
      <c r="E11" s="21">
        <f>IFERROR(BDP("/isin/"&amp;$A11,"YAS_ZSPREAD"),"")</f>
        <v/>
      </c>
      <c r="F11" s="21">
        <f>IFERROR(BDP("/isin/"&amp;$B11,"YLD_YTM_MID"),"")</f>
        <v/>
      </c>
      <c r="G11" s="21">
        <f>IFERROR(BDP("/isin/"&amp;$B11,"YAS_ZSPREAD"),"")</f>
        <v/>
      </c>
      <c r="H11" s="23">
        <f>IFERROR(IF(OR(E11="",G11=""),"",E11-G11),"")</f>
        <v/>
      </c>
      <c r="I11" s="23">
        <f>IFERROR(AVERAGE(INDEX(BDH("/isin/"&amp;$A11,"YAS_ZSPREAD","-1Y","0D"),0,2))-AVERAGE(INDEX(BDH("/isin/"&amp;$B11,"YAS_ZSPREAD","-1Y","0D"),0,2)),"")</f>
        <v/>
      </c>
      <c r="J11" s="10">
        <f>IFERROR(IF(H11="","",IF(H11&lt;I11-5,"Greenium WIDER than avg — green tightening, sell green/buy conv",IF(H11&gt;I11+5,"Greenium NARROWER than avg — green normalising, buy green/sell conv","at avg"))),"")</f>
        <v/>
      </c>
    </row>
    <row r="12">
      <c r="A12" s="8" t="n"/>
      <c r="B12" s="8" t="n"/>
      <c r="C12" s="22">
        <f>IFERROR((BDP("/isin/"&amp;$A12,"MATURITY")-TODAY())/365.25,"")</f>
        <v/>
      </c>
      <c r="D12" s="21">
        <f>IFERROR(BDP("/isin/"&amp;$A12,"YLD_YTM_MID"),"")</f>
        <v/>
      </c>
      <c r="E12" s="21">
        <f>IFERROR(BDP("/isin/"&amp;$A12,"YAS_ZSPREAD"),"")</f>
        <v/>
      </c>
      <c r="F12" s="21">
        <f>IFERROR(BDP("/isin/"&amp;$B12,"YLD_YTM_MID"),"")</f>
        <v/>
      </c>
      <c r="G12" s="21">
        <f>IFERROR(BDP("/isin/"&amp;$B12,"YAS_ZSPREAD"),"")</f>
        <v/>
      </c>
      <c r="H12" s="23">
        <f>IFERROR(IF(OR(E12="",G12=""),"",E12-G12),"")</f>
        <v/>
      </c>
      <c r="I12" s="23">
        <f>IFERROR(AVERAGE(INDEX(BDH("/isin/"&amp;$A12,"YAS_ZSPREAD","-1Y","0D"),0,2))-AVERAGE(INDEX(BDH("/isin/"&amp;$B12,"YAS_ZSPREAD","-1Y","0D"),0,2)),"")</f>
        <v/>
      </c>
      <c r="J12" s="10">
        <f>IFERROR(IF(H12="","",IF(H12&lt;I12-5,"Greenium WIDER than avg — green tightening, sell green/buy conv",IF(H12&gt;I12+5,"Greenium NARROWER than avg — green normalising, buy green/sell conv","at avg"))),"")</f>
        <v/>
      </c>
    </row>
    <row r="13">
      <c r="A13" s="8" t="n"/>
      <c r="B13" s="8" t="n"/>
      <c r="C13" s="22">
        <f>IFERROR((BDP("/isin/"&amp;$A13,"MATURITY")-TODAY())/365.25,"")</f>
        <v/>
      </c>
      <c r="D13" s="21">
        <f>IFERROR(BDP("/isin/"&amp;$A13,"YLD_YTM_MID"),"")</f>
        <v/>
      </c>
      <c r="E13" s="21">
        <f>IFERROR(BDP("/isin/"&amp;$A13,"YAS_ZSPREAD"),"")</f>
        <v/>
      </c>
      <c r="F13" s="21">
        <f>IFERROR(BDP("/isin/"&amp;$B13,"YLD_YTM_MID"),"")</f>
        <v/>
      </c>
      <c r="G13" s="21">
        <f>IFERROR(BDP("/isin/"&amp;$B13,"YAS_ZSPREAD"),"")</f>
        <v/>
      </c>
      <c r="H13" s="23">
        <f>IFERROR(IF(OR(E13="",G13=""),"",E13-G13),"")</f>
        <v/>
      </c>
      <c r="I13" s="23">
        <f>IFERROR(AVERAGE(INDEX(BDH("/isin/"&amp;$A13,"YAS_ZSPREAD","-1Y","0D"),0,2))-AVERAGE(INDEX(BDH("/isin/"&amp;$B13,"YAS_ZSPREAD","-1Y","0D"),0,2)),"")</f>
        <v/>
      </c>
      <c r="J13" s="10">
        <f>IFERROR(IF(H13="","",IF(H13&lt;I13-5,"Greenium WIDER than avg — green tightening, sell green/buy conv",IF(H13&gt;I13+5,"Greenium NARROWER than avg — green normalising, buy green/sell conv","at avg"))),"")</f>
        <v/>
      </c>
    </row>
    <row r="14">
      <c r="A14" s="8" t="n"/>
      <c r="B14" s="8" t="n"/>
      <c r="C14" s="22">
        <f>IFERROR((BDP("/isin/"&amp;$A14,"MATURITY")-TODAY())/365.25,"")</f>
        <v/>
      </c>
      <c r="D14" s="21">
        <f>IFERROR(BDP("/isin/"&amp;$A14,"YLD_YTM_MID"),"")</f>
        <v/>
      </c>
      <c r="E14" s="21">
        <f>IFERROR(BDP("/isin/"&amp;$A14,"YAS_ZSPREAD"),"")</f>
        <v/>
      </c>
      <c r="F14" s="21">
        <f>IFERROR(BDP("/isin/"&amp;$B14,"YLD_YTM_MID"),"")</f>
        <v/>
      </c>
      <c r="G14" s="21">
        <f>IFERROR(BDP("/isin/"&amp;$B14,"YAS_ZSPREAD"),"")</f>
        <v/>
      </c>
      <c r="H14" s="23">
        <f>IFERROR(IF(OR(E14="",G14=""),"",E14-G14),"")</f>
        <v/>
      </c>
      <c r="I14" s="23">
        <f>IFERROR(AVERAGE(INDEX(BDH("/isin/"&amp;$A14,"YAS_ZSPREAD","-1Y","0D"),0,2))-AVERAGE(INDEX(BDH("/isin/"&amp;$B14,"YAS_ZSPREAD","-1Y","0D"),0,2)),"")</f>
        <v/>
      </c>
      <c r="J14" s="10">
        <f>IFERROR(IF(H14="","",IF(H14&lt;I14-5,"Greenium WIDER than avg — green tightening, sell green/buy conv",IF(H14&gt;I14+5,"Greenium NARROWER than avg — green normalising, buy green/sell conv","at avg"))),"")</f>
        <v/>
      </c>
    </row>
    <row r="15">
      <c r="A15" s="8" t="n"/>
      <c r="B15" s="8" t="n"/>
      <c r="C15" s="22">
        <f>IFERROR((BDP("/isin/"&amp;$A15,"MATURITY")-TODAY())/365.25,"")</f>
        <v/>
      </c>
      <c r="D15" s="21">
        <f>IFERROR(BDP("/isin/"&amp;$A15,"YLD_YTM_MID"),"")</f>
        <v/>
      </c>
      <c r="E15" s="21">
        <f>IFERROR(BDP("/isin/"&amp;$A15,"YAS_ZSPREAD"),"")</f>
        <v/>
      </c>
      <c r="F15" s="21">
        <f>IFERROR(BDP("/isin/"&amp;$B15,"YLD_YTM_MID"),"")</f>
        <v/>
      </c>
      <c r="G15" s="21">
        <f>IFERROR(BDP("/isin/"&amp;$B15,"YAS_ZSPREAD"),"")</f>
        <v/>
      </c>
      <c r="H15" s="23">
        <f>IFERROR(IF(OR(E15="",G15=""),"",E15-G15),"")</f>
        <v/>
      </c>
      <c r="I15" s="23">
        <f>IFERROR(AVERAGE(INDEX(BDH("/isin/"&amp;$A15,"YAS_ZSPREAD","-1Y","0D"),0,2))-AVERAGE(INDEX(BDH("/isin/"&amp;$B15,"YAS_ZSPREAD","-1Y","0D"),0,2)),"")</f>
        <v/>
      </c>
      <c r="J15" s="10">
        <f>IFERROR(IF(H15="","",IF(H15&lt;I15-5,"Greenium WIDER than avg — green tightening, sell green/buy conv",IF(H15&gt;I15+5,"Greenium NARROWER than avg — green normalising, buy green/sell conv","at avg"))),"")</f>
        <v/>
      </c>
    </row>
    <row r="16">
      <c r="A16" s="8" t="n"/>
      <c r="B16" s="8" t="n"/>
      <c r="C16" s="22">
        <f>IFERROR((BDP("/isin/"&amp;$A16,"MATURITY")-TODAY())/365.25,"")</f>
        <v/>
      </c>
      <c r="D16" s="21">
        <f>IFERROR(BDP("/isin/"&amp;$A16,"YLD_YTM_MID"),"")</f>
        <v/>
      </c>
      <c r="E16" s="21">
        <f>IFERROR(BDP("/isin/"&amp;$A16,"YAS_ZSPREAD"),"")</f>
        <v/>
      </c>
      <c r="F16" s="21">
        <f>IFERROR(BDP("/isin/"&amp;$B16,"YLD_YTM_MID"),"")</f>
        <v/>
      </c>
      <c r="G16" s="21">
        <f>IFERROR(BDP("/isin/"&amp;$B16,"YAS_ZSPREAD"),"")</f>
        <v/>
      </c>
      <c r="H16" s="23">
        <f>IFERROR(IF(OR(E16="",G16=""),"",E16-G16),"")</f>
        <v/>
      </c>
      <c r="I16" s="23">
        <f>IFERROR(AVERAGE(INDEX(BDH("/isin/"&amp;$A16,"YAS_ZSPREAD","-1Y","0D"),0,2))-AVERAGE(INDEX(BDH("/isin/"&amp;$B16,"YAS_ZSPREAD","-1Y","0D"),0,2)),"")</f>
        <v/>
      </c>
      <c r="J16" s="10">
        <f>IFERROR(IF(H16="","",IF(H16&lt;I16-5,"Greenium WIDER than avg — green tightening, sell green/buy conv",IF(H16&gt;I16+5,"Greenium NARROWER than avg — green normalising, buy green/sell conv","at avg"))),"")</f>
        <v/>
      </c>
    </row>
    <row r="17">
      <c r="A17" s="8" t="n"/>
      <c r="B17" s="8" t="n"/>
      <c r="C17" s="22">
        <f>IFERROR((BDP("/isin/"&amp;$A17,"MATURITY")-TODAY())/365.25,"")</f>
        <v/>
      </c>
      <c r="D17" s="21">
        <f>IFERROR(BDP("/isin/"&amp;$A17,"YLD_YTM_MID"),"")</f>
        <v/>
      </c>
      <c r="E17" s="21">
        <f>IFERROR(BDP("/isin/"&amp;$A17,"YAS_ZSPREAD"),"")</f>
        <v/>
      </c>
      <c r="F17" s="21">
        <f>IFERROR(BDP("/isin/"&amp;$B17,"YLD_YTM_MID"),"")</f>
        <v/>
      </c>
      <c r="G17" s="21">
        <f>IFERROR(BDP("/isin/"&amp;$B17,"YAS_ZSPREAD"),"")</f>
        <v/>
      </c>
      <c r="H17" s="23">
        <f>IFERROR(IF(OR(E17="",G17=""),"",E17-G17),"")</f>
        <v/>
      </c>
      <c r="I17" s="23">
        <f>IFERROR(AVERAGE(INDEX(BDH("/isin/"&amp;$A17,"YAS_ZSPREAD","-1Y","0D"),0,2))-AVERAGE(INDEX(BDH("/isin/"&amp;$B17,"YAS_ZSPREAD","-1Y","0D"),0,2)),"")</f>
        <v/>
      </c>
      <c r="J17" s="10">
        <f>IFERROR(IF(H17="","",IF(H17&lt;I17-5,"Greenium WIDER than avg — green tightening, sell green/buy conv",IF(H17&gt;I17+5,"Greenium NARROWER than avg — green normalising, buy green/sell conv","at avg"))),"")</f>
        <v/>
      </c>
    </row>
    <row r="20">
      <c r="A20" s="33" t="inlineStr">
        <is>
          <t>Paste pairs: green/sustainability ISIN in col A, conventional twin (same maturity, same issuer) in col B. CHL has several green/social/sustainability USD sovs since 2019; their twins trade in conventional format. Greenium = green spread − conventional spread (almost always negative).</t>
        </is>
      </c>
    </row>
    <row r="21"/>
  </sheetData>
  <mergeCells count="2">
    <mergeCell ref="A20:J21"/>
    <mergeCell ref="A1:J1"/>
  </mergeCells>
  <conditionalFormatting sqref="H3:H17">
    <cfRule type="colorScale" priority="1">
      <colorScale>
        <cfvo type="min"/>
        <cfvo type="num" val="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0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3" customWidth="1" min="14" max="14"/>
    <col width="14" customWidth="1" min="15" max="15"/>
    <col width="16" customWidth="1" min="16" max="16"/>
  </cols>
  <sheetData>
    <row r="1" ht="32" customHeight="1">
      <c r="A1" s="20" t="inlineStr">
        <is>
          <t>Rank</t>
        </is>
      </c>
      <c r="B1" s="20" t="inlineStr">
        <is>
          <t>ISIN</t>
        </is>
      </c>
      <c r="C1" s="20" t="inlineStr">
        <is>
          <t>Description</t>
        </is>
      </c>
      <c r="D1" s="20" t="inlineStr">
        <is>
          <t>τ</t>
        </is>
      </c>
      <c r="E1" s="20" t="inlineStr">
        <is>
          <t>Residual (bp)</t>
        </is>
      </c>
      <c r="F1" s="20" t="inlineStr">
        <is>
          <t>12M C+R (%)</t>
        </is>
      </c>
      <c r="G1" s="20" t="inlineStr">
        <is>
          <t>DTS-adj Carry</t>
        </is>
      </c>
      <c r="H1" s="20" t="inlineStr">
        <is>
          <t>YTM (%)</t>
        </is>
      </c>
      <c r="I1" s="20" t="inlineStr">
        <is>
          <t>Spread vs peer</t>
        </is>
      </c>
      <c r="J1" s="20" t="inlineStr">
        <is>
          <t>Spread vs EMBI</t>
        </is>
      </c>
      <c r="K1" s="20" t="inlineStr">
        <is>
          <t>1Y Spr Pctile</t>
        </is>
      </c>
      <c r="L1" s="20" t="inlineStr">
        <is>
          <t>Liq score</t>
        </is>
      </c>
      <c r="M1" s="20" t="inlineStr">
        <is>
          <t>Liquid?</t>
        </is>
      </c>
      <c r="N1" s="20" t="inlineStr">
        <is>
          <t>Composite z</t>
        </is>
      </c>
      <c r="O1" s="20" t="inlineStr">
        <is>
          <t>Signal</t>
        </is>
      </c>
      <c r="P1" s="20" t="inlineStr">
        <is>
          <t>Action</t>
        </is>
      </c>
    </row>
    <row r="2">
      <c r="A2" s="10">
        <f>IF(N2="","",RANK(N2,$N$2:$N$26))</f>
        <v/>
      </c>
      <c r="B2" s="24">
        <f>Bonds_Static!A2</f>
        <v/>
      </c>
      <c r="C2" s="24">
        <f>Bonds_Static!C2</f>
        <v/>
      </c>
      <c r="D2" s="25">
        <f>IFERROR(Bonds_Static!G2,"")</f>
        <v/>
      </c>
      <c r="E2" s="11">
        <f>IFERROR(Curve_Fit!F2,"")</f>
        <v/>
      </c>
      <c r="F2" s="11">
        <f>IFERROR(Carry_Roll!M2,"")</f>
        <v/>
      </c>
      <c r="G2" s="11">
        <f>IFERROR(DTS_Carry!G2,"")</f>
        <v/>
      </c>
      <c r="H2" s="11">
        <f>IFERROR(Bonds_Live!K2,"")</f>
        <v/>
      </c>
      <c r="I2" s="11">
        <f>IFERROR(Peer_EMBI_Bench!H23,"")</f>
        <v/>
      </c>
      <c r="J2" s="11">
        <f>IFERROR(Peer_EMBI_Bench!I23,"")</f>
        <v/>
      </c>
      <c r="K2" s="11">
        <f>IFERROR(Spread_History!H3,"")</f>
        <v/>
      </c>
      <c r="L2" s="34">
        <f>IFERROR(Liquidity_Gate!I2,"")</f>
        <v/>
      </c>
      <c r="M2" s="24">
        <f>IFERROR(Liquidity_Gate!J2,"")</f>
        <v/>
      </c>
      <c r="N2" s="21">
        <f>IFERROR(Settings!$C$42*((E2-AVERAGE($E$2:$E$26))/STDEV($E$2:$E$26))+Settings!$C$43*((F2-AVERAGE($F$2:$F$26))/STDEV($F$2:$F$26))+Settings!$C$44*((G2-AVERAGE($G$2:$G$26))/STDEV($G$2:$G$26))+Settings!$C$45*((H2-AVERAGE($H$2:$H$26))/STDEV($H$2:$H$26))+Settings!$C$46*((I2-AVERAGE($I$2:$I$26))/STDEV($I$2:$I$26))+Settings!$C$47*((J2-AVERAGE($J$2:$J$26))/STDEV($J$2:$J$26))+Settings!$C$48*((K2-AVERAGE($K$2:$K$26))/STDEV($K$2:$K$26))+Settings!$C$49*((L2-AVERAGE($L$2:$L$26))/STDEV($L$2:$L$26)),"")</f>
        <v/>
      </c>
      <c r="O2" s="10">
        <f>IFERROR(IF(N2="","",IF(N2&gt;1,"STRONG BUY",IF(N2&gt;0.3,"BUY",IF(N2&gt;-0.3,"HOLD",IF(N2&gt;-1,"SELL","STRONG SELL"))))),"")</f>
        <v/>
      </c>
      <c r="P2" s="10">
        <f>IFERROR(IF(N2="","",IF(M2&lt;&gt;"PASS","SKIP — illiquid",O2)),"")</f>
        <v/>
      </c>
    </row>
    <row r="3">
      <c r="A3" s="10">
        <f>IF(N3="","",RANK(N3,$N$2:$N$26))</f>
        <v/>
      </c>
      <c r="B3" s="24">
        <f>Bonds_Static!A3</f>
        <v/>
      </c>
      <c r="C3" s="24">
        <f>Bonds_Static!C3</f>
        <v/>
      </c>
      <c r="D3" s="25">
        <f>IFERROR(Bonds_Static!G3,"")</f>
        <v/>
      </c>
      <c r="E3" s="11">
        <f>IFERROR(Curve_Fit!F3,"")</f>
        <v/>
      </c>
      <c r="F3" s="11">
        <f>IFERROR(Carry_Roll!M3,"")</f>
        <v/>
      </c>
      <c r="G3" s="11">
        <f>IFERROR(DTS_Carry!G3,"")</f>
        <v/>
      </c>
      <c r="H3" s="11">
        <f>IFERROR(Bonds_Live!K3,"")</f>
        <v/>
      </c>
      <c r="I3" s="11">
        <f>IFERROR(Peer_EMBI_Bench!H24,"")</f>
        <v/>
      </c>
      <c r="J3" s="11">
        <f>IFERROR(Peer_EMBI_Bench!I24,"")</f>
        <v/>
      </c>
      <c r="K3" s="11">
        <f>IFERROR(Spread_History!H4,"")</f>
        <v/>
      </c>
      <c r="L3" s="34">
        <f>IFERROR(Liquidity_Gate!I3,"")</f>
        <v/>
      </c>
      <c r="M3" s="24">
        <f>IFERROR(Liquidity_Gate!J3,"")</f>
        <v/>
      </c>
      <c r="N3" s="21">
        <f>IFERROR(Settings!$C$42*((E3-AVERAGE($E$2:$E$26))/STDEV($E$2:$E$26))+Settings!$C$43*((F3-AVERAGE($F$2:$F$26))/STDEV($F$2:$F$26))+Settings!$C$44*((G3-AVERAGE($G$2:$G$26))/STDEV($G$2:$G$26))+Settings!$C$45*((H3-AVERAGE($H$2:$H$26))/STDEV($H$2:$H$26))+Settings!$C$46*((I3-AVERAGE($I$2:$I$26))/STDEV($I$2:$I$26))+Settings!$C$47*((J3-AVERAGE($J$2:$J$26))/STDEV($J$2:$J$26))+Settings!$C$48*((K3-AVERAGE($K$2:$K$26))/STDEV($K$2:$K$26))+Settings!$C$49*((L3-AVERAGE($L$2:$L$26))/STDEV($L$2:$L$26)),"")</f>
        <v/>
      </c>
      <c r="O3" s="10">
        <f>IFERROR(IF(N3="","",IF(N3&gt;1,"STRONG BUY",IF(N3&gt;0.3,"BUY",IF(N3&gt;-0.3,"HOLD",IF(N3&gt;-1,"SELL","STRONG SELL"))))),"")</f>
        <v/>
      </c>
      <c r="P3" s="10">
        <f>IFERROR(IF(N3="","",IF(M3&lt;&gt;"PASS","SKIP — illiquid",O3)),"")</f>
        <v/>
      </c>
    </row>
    <row r="4">
      <c r="A4" s="10">
        <f>IF(N4="","",RANK(N4,$N$2:$N$26))</f>
        <v/>
      </c>
      <c r="B4" s="24">
        <f>Bonds_Static!A4</f>
        <v/>
      </c>
      <c r="C4" s="24">
        <f>Bonds_Static!C4</f>
        <v/>
      </c>
      <c r="D4" s="25">
        <f>IFERROR(Bonds_Static!G4,"")</f>
        <v/>
      </c>
      <c r="E4" s="11">
        <f>IFERROR(Curve_Fit!F4,"")</f>
        <v/>
      </c>
      <c r="F4" s="11">
        <f>IFERROR(Carry_Roll!M4,"")</f>
        <v/>
      </c>
      <c r="G4" s="11">
        <f>IFERROR(DTS_Carry!G4,"")</f>
        <v/>
      </c>
      <c r="H4" s="11">
        <f>IFERROR(Bonds_Live!K4,"")</f>
        <v/>
      </c>
      <c r="I4" s="11">
        <f>IFERROR(Peer_EMBI_Bench!H25,"")</f>
        <v/>
      </c>
      <c r="J4" s="11">
        <f>IFERROR(Peer_EMBI_Bench!I25,"")</f>
        <v/>
      </c>
      <c r="K4" s="11">
        <f>IFERROR(Spread_History!H5,"")</f>
        <v/>
      </c>
      <c r="L4" s="34">
        <f>IFERROR(Liquidity_Gate!I4,"")</f>
        <v/>
      </c>
      <c r="M4" s="24">
        <f>IFERROR(Liquidity_Gate!J4,"")</f>
        <v/>
      </c>
      <c r="N4" s="21">
        <f>IFERROR(Settings!$C$42*((E4-AVERAGE($E$2:$E$26))/STDEV($E$2:$E$26))+Settings!$C$43*((F4-AVERAGE($F$2:$F$26))/STDEV($F$2:$F$26))+Settings!$C$44*((G4-AVERAGE($G$2:$G$26))/STDEV($G$2:$G$26))+Settings!$C$45*((H4-AVERAGE($H$2:$H$26))/STDEV($H$2:$H$26))+Settings!$C$46*((I4-AVERAGE($I$2:$I$26))/STDEV($I$2:$I$26))+Settings!$C$47*((J4-AVERAGE($J$2:$J$26))/STDEV($J$2:$J$26))+Settings!$C$48*((K4-AVERAGE($K$2:$K$26))/STDEV($K$2:$K$26))+Settings!$C$49*((L4-AVERAGE($L$2:$L$26))/STDEV($L$2:$L$26)),"")</f>
        <v/>
      </c>
      <c r="O4" s="10">
        <f>IFERROR(IF(N4="","",IF(N4&gt;1,"STRONG BUY",IF(N4&gt;0.3,"BUY",IF(N4&gt;-0.3,"HOLD",IF(N4&gt;-1,"SELL","STRONG SELL"))))),"")</f>
        <v/>
      </c>
      <c r="P4" s="10">
        <f>IFERROR(IF(N4="","",IF(M4&lt;&gt;"PASS","SKIP — illiquid",O4)),"")</f>
        <v/>
      </c>
    </row>
    <row r="5">
      <c r="A5" s="10">
        <f>IF(N5="","",RANK(N5,$N$2:$N$26))</f>
        <v/>
      </c>
      <c r="B5" s="24">
        <f>Bonds_Static!A5</f>
        <v/>
      </c>
      <c r="C5" s="24">
        <f>Bonds_Static!C5</f>
        <v/>
      </c>
      <c r="D5" s="25">
        <f>IFERROR(Bonds_Static!G5,"")</f>
        <v/>
      </c>
      <c r="E5" s="11">
        <f>IFERROR(Curve_Fit!F5,"")</f>
        <v/>
      </c>
      <c r="F5" s="11">
        <f>IFERROR(Carry_Roll!M5,"")</f>
        <v/>
      </c>
      <c r="G5" s="11">
        <f>IFERROR(DTS_Carry!G5,"")</f>
        <v/>
      </c>
      <c r="H5" s="11">
        <f>IFERROR(Bonds_Live!K5,"")</f>
        <v/>
      </c>
      <c r="I5" s="11">
        <f>IFERROR(Peer_EMBI_Bench!H26,"")</f>
        <v/>
      </c>
      <c r="J5" s="11">
        <f>IFERROR(Peer_EMBI_Bench!I26,"")</f>
        <v/>
      </c>
      <c r="K5" s="11">
        <f>IFERROR(Spread_History!H6,"")</f>
        <v/>
      </c>
      <c r="L5" s="34">
        <f>IFERROR(Liquidity_Gate!I5,"")</f>
        <v/>
      </c>
      <c r="M5" s="24">
        <f>IFERROR(Liquidity_Gate!J5,"")</f>
        <v/>
      </c>
      <c r="N5" s="21">
        <f>IFERROR(Settings!$C$42*((E5-AVERAGE($E$2:$E$26))/STDEV($E$2:$E$26))+Settings!$C$43*((F5-AVERAGE($F$2:$F$26))/STDEV($F$2:$F$26))+Settings!$C$44*((G5-AVERAGE($G$2:$G$26))/STDEV($G$2:$G$26))+Settings!$C$45*((H5-AVERAGE($H$2:$H$26))/STDEV($H$2:$H$26))+Settings!$C$46*((I5-AVERAGE($I$2:$I$26))/STDEV($I$2:$I$26))+Settings!$C$47*((J5-AVERAGE($J$2:$J$26))/STDEV($J$2:$J$26))+Settings!$C$48*((K5-AVERAGE($K$2:$K$26))/STDEV($K$2:$K$26))+Settings!$C$49*((L5-AVERAGE($L$2:$L$26))/STDEV($L$2:$L$26)),"")</f>
        <v/>
      </c>
      <c r="O5" s="10">
        <f>IFERROR(IF(N5="","",IF(N5&gt;1,"STRONG BUY",IF(N5&gt;0.3,"BUY",IF(N5&gt;-0.3,"HOLD",IF(N5&gt;-1,"SELL","STRONG SELL"))))),"")</f>
        <v/>
      </c>
      <c r="P5" s="10">
        <f>IFERROR(IF(N5="","",IF(M5&lt;&gt;"PASS","SKIP — illiquid",O5)),"")</f>
        <v/>
      </c>
    </row>
    <row r="6">
      <c r="A6" s="10">
        <f>IF(N6="","",RANK(N6,$N$2:$N$26))</f>
        <v/>
      </c>
      <c r="B6" s="24">
        <f>Bonds_Static!A6</f>
        <v/>
      </c>
      <c r="C6" s="24">
        <f>Bonds_Static!C6</f>
        <v/>
      </c>
      <c r="D6" s="25">
        <f>IFERROR(Bonds_Static!G6,"")</f>
        <v/>
      </c>
      <c r="E6" s="11">
        <f>IFERROR(Curve_Fit!F6,"")</f>
        <v/>
      </c>
      <c r="F6" s="11">
        <f>IFERROR(Carry_Roll!M6,"")</f>
        <v/>
      </c>
      <c r="G6" s="11">
        <f>IFERROR(DTS_Carry!G6,"")</f>
        <v/>
      </c>
      <c r="H6" s="11">
        <f>IFERROR(Bonds_Live!K6,"")</f>
        <v/>
      </c>
      <c r="I6" s="11">
        <f>IFERROR(Peer_EMBI_Bench!H27,"")</f>
        <v/>
      </c>
      <c r="J6" s="11">
        <f>IFERROR(Peer_EMBI_Bench!I27,"")</f>
        <v/>
      </c>
      <c r="K6" s="11">
        <f>IFERROR(Spread_History!H7,"")</f>
        <v/>
      </c>
      <c r="L6" s="34">
        <f>IFERROR(Liquidity_Gate!I6,"")</f>
        <v/>
      </c>
      <c r="M6" s="24">
        <f>IFERROR(Liquidity_Gate!J6,"")</f>
        <v/>
      </c>
      <c r="N6" s="21">
        <f>IFERROR(Settings!$C$42*((E6-AVERAGE($E$2:$E$26))/STDEV($E$2:$E$26))+Settings!$C$43*((F6-AVERAGE($F$2:$F$26))/STDEV($F$2:$F$26))+Settings!$C$44*((G6-AVERAGE($G$2:$G$26))/STDEV($G$2:$G$26))+Settings!$C$45*((H6-AVERAGE($H$2:$H$26))/STDEV($H$2:$H$26))+Settings!$C$46*((I6-AVERAGE($I$2:$I$26))/STDEV($I$2:$I$26))+Settings!$C$47*((J6-AVERAGE($J$2:$J$26))/STDEV($J$2:$J$26))+Settings!$C$48*((K6-AVERAGE($K$2:$K$26))/STDEV($K$2:$K$26))+Settings!$C$49*((L6-AVERAGE($L$2:$L$26))/STDEV($L$2:$L$26)),"")</f>
        <v/>
      </c>
      <c r="O6" s="10">
        <f>IFERROR(IF(N6="","",IF(N6&gt;1,"STRONG BUY",IF(N6&gt;0.3,"BUY",IF(N6&gt;-0.3,"HOLD",IF(N6&gt;-1,"SELL","STRONG SELL"))))),"")</f>
        <v/>
      </c>
      <c r="P6" s="10">
        <f>IFERROR(IF(N6="","",IF(M6&lt;&gt;"PASS","SKIP — illiquid",O6)),"")</f>
        <v/>
      </c>
    </row>
    <row r="7">
      <c r="A7" s="10">
        <f>IF(N7="","",RANK(N7,$N$2:$N$26))</f>
        <v/>
      </c>
      <c r="B7" s="24">
        <f>Bonds_Static!A7</f>
        <v/>
      </c>
      <c r="C7" s="24">
        <f>Bonds_Static!C7</f>
        <v/>
      </c>
      <c r="D7" s="25">
        <f>IFERROR(Bonds_Static!G7,"")</f>
        <v/>
      </c>
      <c r="E7" s="11">
        <f>IFERROR(Curve_Fit!F7,"")</f>
        <v/>
      </c>
      <c r="F7" s="11">
        <f>IFERROR(Carry_Roll!M7,"")</f>
        <v/>
      </c>
      <c r="G7" s="11">
        <f>IFERROR(DTS_Carry!G7,"")</f>
        <v/>
      </c>
      <c r="H7" s="11">
        <f>IFERROR(Bonds_Live!K7,"")</f>
        <v/>
      </c>
      <c r="I7" s="11">
        <f>IFERROR(Peer_EMBI_Bench!H28,"")</f>
        <v/>
      </c>
      <c r="J7" s="11">
        <f>IFERROR(Peer_EMBI_Bench!I28,"")</f>
        <v/>
      </c>
      <c r="K7" s="11">
        <f>IFERROR(Spread_History!H8,"")</f>
        <v/>
      </c>
      <c r="L7" s="34">
        <f>IFERROR(Liquidity_Gate!I7,"")</f>
        <v/>
      </c>
      <c r="M7" s="24">
        <f>IFERROR(Liquidity_Gate!J7,"")</f>
        <v/>
      </c>
      <c r="N7" s="21">
        <f>IFERROR(Settings!$C$42*((E7-AVERAGE($E$2:$E$26))/STDEV($E$2:$E$26))+Settings!$C$43*((F7-AVERAGE($F$2:$F$26))/STDEV($F$2:$F$26))+Settings!$C$44*((G7-AVERAGE($G$2:$G$26))/STDEV($G$2:$G$26))+Settings!$C$45*((H7-AVERAGE($H$2:$H$26))/STDEV($H$2:$H$26))+Settings!$C$46*((I7-AVERAGE($I$2:$I$26))/STDEV($I$2:$I$26))+Settings!$C$47*((J7-AVERAGE($J$2:$J$26))/STDEV($J$2:$J$26))+Settings!$C$48*((K7-AVERAGE($K$2:$K$26))/STDEV($K$2:$K$26))+Settings!$C$49*((L7-AVERAGE($L$2:$L$26))/STDEV($L$2:$L$26)),"")</f>
        <v/>
      </c>
      <c r="O7" s="10">
        <f>IFERROR(IF(N7="","",IF(N7&gt;1,"STRONG BUY",IF(N7&gt;0.3,"BUY",IF(N7&gt;-0.3,"HOLD",IF(N7&gt;-1,"SELL","STRONG SELL"))))),"")</f>
        <v/>
      </c>
      <c r="P7" s="10">
        <f>IFERROR(IF(N7="","",IF(M7&lt;&gt;"PASS","SKIP — illiquid",O7)),"")</f>
        <v/>
      </c>
    </row>
    <row r="8">
      <c r="A8" s="10">
        <f>IF(N8="","",RANK(N8,$N$2:$N$26))</f>
        <v/>
      </c>
      <c r="B8" s="24">
        <f>Bonds_Static!A8</f>
        <v/>
      </c>
      <c r="C8" s="24">
        <f>Bonds_Static!C8</f>
        <v/>
      </c>
      <c r="D8" s="25">
        <f>IFERROR(Bonds_Static!G8,"")</f>
        <v/>
      </c>
      <c r="E8" s="11">
        <f>IFERROR(Curve_Fit!F8,"")</f>
        <v/>
      </c>
      <c r="F8" s="11">
        <f>IFERROR(Carry_Roll!M8,"")</f>
        <v/>
      </c>
      <c r="G8" s="11">
        <f>IFERROR(DTS_Carry!G8,"")</f>
        <v/>
      </c>
      <c r="H8" s="11">
        <f>IFERROR(Bonds_Live!K8,"")</f>
        <v/>
      </c>
      <c r="I8" s="11">
        <f>IFERROR(Peer_EMBI_Bench!H29,"")</f>
        <v/>
      </c>
      <c r="J8" s="11">
        <f>IFERROR(Peer_EMBI_Bench!I29,"")</f>
        <v/>
      </c>
      <c r="K8" s="11">
        <f>IFERROR(Spread_History!H9,"")</f>
        <v/>
      </c>
      <c r="L8" s="34">
        <f>IFERROR(Liquidity_Gate!I8,"")</f>
        <v/>
      </c>
      <c r="M8" s="24">
        <f>IFERROR(Liquidity_Gate!J8,"")</f>
        <v/>
      </c>
      <c r="N8" s="21">
        <f>IFERROR(Settings!$C$42*((E8-AVERAGE($E$2:$E$26))/STDEV($E$2:$E$26))+Settings!$C$43*((F8-AVERAGE($F$2:$F$26))/STDEV($F$2:$F$26))+Settings!$C$44*((G8-AVERAGE($G$2:$G$26))/STDEV($G$2:$G$26))+Settings!$C$45*((H8-AVERAGE($H$2:$H$26))/STDEV($H$2:$H$26))+Settings!$C$46*((I8-AVERAGE($I$2:$I$26))/STDEV($I$2:$I$26))+Settings!$C$47*((J8-AVERAGE($J$2:$J$26))/STDEV($J$2:$J$26))+Settings!$C$48*((K8-AVERAGE($K$2:$K$26))/STDEV($K$2:$K$26))+Settings!$C$49*((L8-AVERAGE($L$2:$L$26))/STDEV($L$2:$L$26)),"")</f>
        <v/>
      </c>
      <c r="O8" s="10">
        <f>IFERROR(IF(N8="","",IF(N8&gt;1,"STRONG BUY",IF(N8&gt;0.3,"BUY",IF(N8&gt;-0.3,"HOLD",IF(N8&gt;-1,"SELL","STRONG SELL"))))),"")</f>
        <v/>
      </c>
      <c r="P8" s="10">
        <f>IFERROR(IF(N8="","",IF(M8&lt;&gt;"PASS","SKIP — illiquid",O8)),"")</f>
        <v/>
      </c>
    </row>
    <row r="9">
      <c r="A9" s="10">
        <f>IF(N9="","",RANK(N9,$N$2:$N$26))</f>
        <v/>
      </c>
      <c r="B9" s="24">
        <f>Bonds_Static!A9</f>
        <v/>
      </c>
      <c r="C9" s="24">
        <f>Bonds_Static!C9</f>
        <v/>
      </c>
      <c r="D9" s="25">
        <f>IFERROR(Bonds_Static!G9,"")</f>
        <v/>
      </c>
      <c r="E9" s="11">
        <f>IFERROR(Curve_Fit!F9,"")</f>
        <v/>
      </c>
      <c r="F9" s="11">
        <f>IFERROR(Carry_Roll!M9,"")</f>
        <v/>
      </c>
      <c r="G9" s="11">
        <f>IFERROR(DTS_Carry!G9,"")</f>
        <v/>
      </c>
      <c r="H9" s="11">
        <f>IFERROR(Bonds_Live!K9,"")</f>
        <v/>
      </c>
      <c r="I9" s="11">
        <f>IFERROR(Peer_EMBI_Bench!H30,"")</f>
        <v/>
      </c>
      <c r="J9" s="11">
        <f>IFERROR(Peer_EMBI_Bench!I30,"")</f>
        <v/>
      </c>
      <c r="K9" s="11">
        <f>IFERROR(Spread_History!H10,"")</f>
        <v/>
      </c>
      <c r="L9" s="34">
        <f>IFERROR(Liquidity_Gate!I9,"")</f>
        <v/>
      </c>
      <c r="M9" s="24">
        <f>IFERROR(Liquidity_Gate!J9,"")</f>
        <v/>
      </c>
      <c r="N9" s="21">
        <f>IFERROR(Settings!$C$42*((E9-AVERAGE($E$2:$E$26))/STDEV($E$2:$E$26))+Settings!$C$43*((F9-AVERAGE($F$2:$F$26))/STDEV($F$2:$F$26))+Settings!$C$44*((G9-AVERAGE($G$2:$G$26))/STDEV($G$2:$G$26))+Settings!$C$45*((H9-AVERAGE($H$2:$H$26))/STDEV($H$2:$H$26))+Settings!$C$46*((I9-AVERAGE($I$2:$I$26))/STDEV($I$2:$I$26))+Settings!$C$47*((J9-AVERAGE($J$2:$J$26))/STDEV($J$2:$J$26))+Settings!$C$48*((K9-AVERAGE($K$2:$K$26))/STDEV($K$2:$K$26))+Settings!$C$49*((L9-AVERAGE($L$2:$L$26))/STDEV($L$2:$L$26)),"")</f>
        <v/>
      </c>
      <c r="O9" s="10">
        <f>IFERROR(IF(N9="","",IF(N9&gt;1,"STRONG BUY",IF(N9&gt;0.3,"BUY",IF(N9&gt;-0.3,"HOLD",IF(N9&gt;-1,"SELL","STRONG SELL"))))),"")</f>
        <v/>
      </c>
      <c r="P9" s="10">
        <f>IFERROR(IF(N9="","",IF(M9&lt;&gt;"PASS","SKIP — illiquid",O9)),"")</f>
        <v/>
      </c>
    </row>
    <row r="10">
      <c r="A10" s="10">
        <f>IF(N10="","",RANK(N10,$N$2:$N$26))</f>
        <v/>
      </c>
      <c r="B10" s="24">
        <f>Bonds_Static!A10</f>
        <v/>
      </c>
      <c r="C10" s="24">
        <f>Bonds_Static!C10</f>
        <v/>
      </c>
      <c r="D10" s="25">
        <f>IFERROR(Bonds_Static!G10,"")</f>
        <v/>
      </c>
      <c r="E10" s="11">
        <f>IFERROR(Curve_Fit!F10,"")</f>
        <v/>
      </c>
      <c r="F10" s="11">
        <f>IFERROR(Carry_Roll!M10,"")</f>
        <v/>
      </c>
      <c r="G10" s="11">
        <f>IFERROR(DTS_Carry!G10,"")</f>
        <v/>
      </c>
      <c r="H10" s="11">
        <f>IFERROR(Bonds_Live!K10,"")</f>
        <v/>
      </c>
      <c r="I10" s="11">
        <f>IFERROR(Peer_EMBI_Bench!H31,"")</f>
        <v/>
      </c>
      <c r="J10" s="11">
        <f>IFERROR(Peer_EMBI_Bench!I31,"")</f>
        <v/>
      </c>
      <c r="K10" s="11">
        <f>IFERROR(Spread_History!H11,"")</f>
        <v/>
      </c>
      <c r="L10" s="34">
        <f>IFERROR(Liquidity_Gate!I10,"")</f>
        <v/>
      </c>
      <c r="M10" s="24">
        <f>IFERROR(Liquidity_Gate!J10,"")</f>
        <v/>
      </c>
      <c r="N10" s="21">
        <f>IFERROR(Settings!$C$42*((E10-AVERAGE($E$2:$E$26))/STDEV($E$2:$E$26))+Settings!$C$43*((F10-AVERAGE($F$2:$F$26))/STDEV($F$2:$F$26))+Settings!$C$44*((G10-AVERAGE($G$2:$G$26))/STDEV($G$2:$G$26))+Settings!$C$45*((H10-AVERAGE($H$2:$H$26))/STDEV($H$2:$H$26))+Settings!$C$46*((I10-AVERAGE($I$2:$I$26))/STDEV($I$2:$I$26))+Settings!$C$47*((J10-AVERAGE($J$2:$J$26))/STDEV($J$2:$J$26))+Settings!$C$48*((K10-AVERAGE($K$2:$K$26))/STDEV($K$2:$K$26))+Settings!$C$49*((L10-AVERAGE($L$2:$L$26))/STDEV($L$2:$L$26)),"")</f>
        <v/>
      </c>
      <c r="O10" s="10">
        <f>IFERROR(IF(N10="","",IF(N10&gt;1,"STRONG BUY",IF(N10&gt;0.3,"BUY",IF(N10&gt;-0.3,"HOLD",IF(N10&gt;-1,"SELL","STRONG SELL"))))),"")</f>
        <v/>
      </c>
      <c r="P10" s="10">
        <f>IFERROR(IF(N10="","",IF(M10&lt;&gt;"PASS","SKIP — illiquid",O10)),"")</f>
        <v/>
      </c>
    </row>
    <row r="11">
      <c r="A11" s="10">
        <f>IF(N11="","",RANK(N11,$N$2:$N$26))</f>
        <v/>
      </c>
      <c r="B11" s="24">
        <f>Bonds_Static!A11</f>
        <v/>
      </c>
      <c r="C11" s="24">
        <f>Bonds_Static!C11</f>
        <v/>
      </c>
      <c r="D11" s="25">
        <f>IFERROR(Bonds_Static!G11,"")</f>
        <v/>
      </c>
      <c r="E11" s="11">
        <f>IFERROR(Curve_Fit!F11,"")</f>
        <v/>
      </c>
      <c r="F11" s="11">
        <f>IFERROR(Carry_Roll!M11,"")</f>
        <v/>
      </c>
      <c r="G11" s="11">
        <f>IFERROR(DTS_Carry!G11,"")</f>
        <v/>
      </c>
      <c r="H11" s="11">
        <f>IFERROR(Bonds_Live!K11,"")</f>
        <v/>
      </c>
      <c r="I11" s="11">
        <f>IFERROR(Peer_EMBI_Bench!H32,"")</f>
        <v/>
      </c>
      <c r="J11" s="11">
        <f>IFERROR(Peer_EMBI_Bench!I32,"")</f>
        <v/>
      </c>
      <c r="K11" s="11">
        <f>IFERROR(Spread_History!H12,"")</f>
        <v/>
      </c>
      <c r="L11" s="34">
        <f>IFERROR(Liquidity_Gate!I11,"")</f>
        <v/>
      </c>
      <c r="M11" s="24">
        <f>IFERROR(Liquidity_Gate!J11,"")</f>
        <v/>
      </c>
      <c r="N11" s="21">
        <f>IFERROR(Settings!$C$42*((E11-AVERAGE($E$2:$E$26))/STDEV($E$2:$E$26))+Settings!$C$43*((F11-AVERAGE($F$2:$F$26))/STDEV($F$2:$F$26))+Settings!$C$44*((G11-AVERAGE($G$2:$G$26))/STDEV($G$2:$G$26))+Settings!$C$45*((H11-AVERAGE($H$2:$H$26))/STDEV($H$2:$H$26))+Settings!$C$46*((I11-AVERAGE($I$2:$I$26))/STDEV($I$2:$I$26))+Settings!$C$47*((J11-AVERAGE($J$2:$J$26))/STDEV($J$2:$J$26))+Settings!$C$48*((K11-AVERAGE($K$2:$K$26))/STDEV($K$2:$K$26))+Settings!$C$49*((L11-AVERAGE($L$2:$L$26))/STDEV($L$2:$L$26)),"")</f>
        <v/>
      </c>
      <c r="O11" s="10">
        <f>IFERROR(IF(N11="","",IF(N11&gt;1,"STRONG BUY",IF(N11&gt;0.3,"BUY",IF(N11&gt;-0.3,"HOLD",IF(N11&gt;-1,"SELL","STRONG SELL"))))),"")</f>
        <v/>
      </c>
      <c r="P11" s="10">
        <f>IFERROR(IF(N11="","",IF(M11&lt;&gt;"PASS","SKIP — illiquid",O11)),"")</f>
        <v/>
      </c>
    </row>
    <row r="12">
      <c r="A12" s="10">
        <f>IF(N12="","",RANK(N12,$N$2:$N$26))</f>
        <v/>
      </c>
      <c r="B12" s="24">
        <f>Bonds_Static!A12</f>
        <v/>
      </c>
      <c r="C12" s="24">
        <f>Bonds_Static!C12</f>
        <v/>
      </c>
      <c r="D12" s="25">
        <f>IFERROR(Bonds_Static!G12,"")</f>
        <v/>
      </c>
      <c r="E12" s="11">
        <f>IFERROR(Curve_Fit!F12,"")</f>
        <v/>
      </c>
      <c r="F12" s="11">
        <f>IFERROR(Carry_Roll!M12,"")</f>
        <v/>
      </c>
      <c r="G12" s="11">
        <f>IFERROR(DTS_Carry!G12,"")</f>
        <v/>
      </c>
      <c r="H12" s="11">
        <f>IFERROR(Bonds_Live!K12,"")</f>
        <v/>
      </c>
      <c r="I12" s="11">
        <f>IFERROR(Peer_EMBI_Bench!H33,"")</f>
        <v/>
      </c>
      <c r="J12" s="11">
        <f>IFERROR(Peer_EMBI_Bench!I33,"")</f>
        <v/>
      </c>
      <c r="K12" s="11">
        <f>IFERROR(Spread_History!H13,"")</f>
        <v/>
      </c>
      <c r="L12" s="34">
        <f>IFERROR(Liquidity_Gate!I12,"")</f>
        <v/>
      </c>
      <c r="M12" s="24">
        <f>IFERROR(Liquidity_Gate!J12,"")</f>
        <v/>
      </c>
      <c r="N12" s="21">
        <f>IFERROR(Settings!$C$42*((E12-AVERAGE($E$2:$E$26))/STDEV($E$2:$E$26))+Settings!$C$43*((F12-AVERAGE($F$2:$F$26))/STDEV($F$2:$F$26))+Settings!$C$44*((G12-AVERAGE($G$2:$G$26))/STDEV($G$2:$G$26))+Settings!$C$45*((H12-AVERAGE($H$2:$H$26))/STDEV($H$2:$H$26))+Settings!$C$46*((I12-AVERAGE($I$2:$I$26))/STDEV($I$2:$I$26))+Settings!$C$47*((J12-AVERAGE($J$2:$J$26))/STDEV($J$2:$J$26))+Settings!$C$48*((K12-AVERAGE($K$2:$K$26))/STDEV($K$2:$K$26))+Settings!$C$49*((L12-AVERAGE($L$2:$L$26))/STDEV($L$2:$L$26)),"")</f>
        <v/>
      </c>
      <c r="O12" s="10">
        <f>IFERROR(IF(N12="","",IF(N12&gt;1,"STRONG BUY",IF(N12&gt;0.3,"BUY",IF(N12&gt;-0.3,"HOLD",IF(N12&gt;-1,"SELL","STRONG SELL"))))),"")</f>
        <v/>
      </c>
      <c r="P12" s="10">
        <f>IFERROR(IF(N12="","",IF(M12&lt;&gt;"PASS","SKIP — illiquid",O12)),"")</f>
        <v/>
      </c>
    </row>
    <row r="13">
      <c r="A13" s="10">
        <f>IF(N13="","",RANK(N13,$N$2:$N$26))</f>
        <v/>
      </c>
      <c r="B13" s="24">
        <f>Bonds_Static!A13</f>
        <v/>
      </c>
      <c r="C13" s="24">
        <f>Bonds_Static!C13</f>
        <v/>
      </c>
      <c r="D13" s="25">
        <f>IFERROR(Bonds_Static!G13,"")</f>
        <v/>
      </c>
      <c r="E13" s="11">
        <f>IFERROR(Curve_Fit!F13,"")</f>
        <v/>
      </c>
      <c r="F13" s="11">
        <f>IFERROR(Carry_Roll!M13,"")</f>
        <v/>
      </c>
      <c r="G13" s="11">
        <f>IFERROR(DTS_Carry!G13,"")</f>
        <v/>
      </c>
      <c r="H13" s="11">
        <f>IFERROR(Bonds_Live!K13,"")</f>
        <v/>
      </c>
      <c r="I13" s="11">
        <f>IFERROR(Peer_EMBI_Bench!H34,"")</f>
        <v/>
      </c>
      <c r="J13" s="11">
        <f>IFERROR(Peer_EMBI_Bench!I34,"")</f>
        <v/>
      </c>
      <c r="K13" s="11">
        <f>IFERROR(Spread_History!H14,"")</f>
        <v/>
      </c>
      <c r="L13" s="34">
        <f>IFERROR(Liquidity_Gate!I13,"")</f>
        <v/>
      </c>
      <c r="M13" s="24">
        <f>IFERROR(Liquidity_Gate!J13,"")</f>
        <v/>
      </c>
      <c r="N13" s="21">
        <f>IFERROR(Settings!$C$42*((E13-AVERAGE($E$2:$E$26))/STDEV($E$2:$E$26))+Settings!$C$43*((F13-AVERAGE($F$2:$F$26))/STDEV($F$2:$F$26))+Settings!$C$44*((G13-AVERAGE($G$2:$G$26))/STDEV($G$2:$G$26))+Settings!$C$45*((H13-AVERAGE($H$2:$H$26))/STDEV($H$2:$H$26))+Settings!$C$46*((I13-AVERAGE($I$2:$I$26))/STDEV($I$2:$I$26))+Settings!$C$47*((J13-AVERAGE($J$2:$J$26))/STDEV($J$2:$J$26))+Settings!$C$48*((K13-AVERAGE($K$2:$K$26))/STDEV($K$2:$K$26))+Settings!$C$49*((L13-AVERAGE($L$2:$L$26))/STDEV($L$2:$L$26)),"")</f>
        <v/>
      </c>
      <c r="O13" s="10">
        <f>IFERROR(IF(N13="","",IF(N13&gt;1,"STRONG BUY",IF(N13&gt;0.3,"BUY",IF(N13&gt;-0.3,"HOLD",IF(N13&gt;-1,"SELL","STRONG SELL"))))),"")</f>
        <v/>
      </c>
      <c r="P13" s="10">
        <f>IFERROR(IF(N13="","",IF(M13&lt;&gt;"PASS","SKIP — illiquid",O13)),"")</f>
        <v/>
      </c>
    </row>
    <row r="14">
      <c r="A14" s="10">
        <f>IF(N14="","",RANK(N14,$N$2:$N$26))</f>
        <v/>
      </c>
      <c r="B14" s="24">
        <f>Bonds_Static!A14</f>
        <v/>
      </c>
      <c r="C14" s="24">
        <f>Bonds_Static!C14</f>
        <v/>
      </c>
      <c r="D14" s="25">
        <f>IFERROR(Bonds_Static!G14,"")</f>
        <v/>
      </c>
      <c r="E14" s="11">
        <f>IFERROR(Curve_Fit!F14,"")</f>
        <v/>
      </c>
      <c r="F14" s="11">
        <f>IFERROR(Carry_Roll!M14,"")</f>
        <v/>
      </c>
      <c r="G14" s="11">
        <f>IFERROR(DTS_Carry!G14,"")</f>
        <v/>
      </c>
      <c r="H14" s="11">
        <f>IFERROR(Bonds_Live!K14,"")</f>
        <v/>
      </c>
      <c r="I14" s="11">
        <f>IFERROR(Peer_EMBI_Bench!H35,"")</f>
        <v/>
      </c>
      <c r="J14" s="11">
        <f>IFERROR(Peer_EMBI_Bench!I35,"")</f>
        <v/>
      </c>
      <c r="K14" s="11">
        <f>IFERROR(Spread_History!H15,"")</f>
        <v/>
      </c>
      <c r="L14" s="34">
        <f>IFERROR(Liquidity_Gate!I14,"")</f>
        <v/>
      </c>
      <c r="M14" s="24">
        <f>IFERROR(Liquidity_Gate!J14,"")</f>
        <v/>
      </c>
      <c r="N14" s="21">
        <f>IFERROR(Settings!$C$42*((E14-AVERAGE($E$2:$E$26))/STDEV($E$2:$E$26))+Settings!$C$43*((F14-AVERAGE($F$2:$F$26))/STDEV($F$2:$F$26))+Settings!$C$44*((G14-AVERAGE($G$2:$G$26))/STDEV($G$2:$G$26))+Settings!$C$45*((H14-AVERAGE($H$2:$H$26))/STDEV($H$2:$H$26))+Settings!$C$46*((I14-AVERAGE($I$2:$I$26))/STDEV($I$2:$I$26))+Settings!$C$47*((J14-AVERAGE($J$2:$J$26))/STDEV($J$2:$J$26))+Settings!$C$48*((K14-AVERAGE($K$2:$K$26))/STDEV($K$2:$K$26))+Settings!$C$49*((L14-AVERAGE($L$2:$L$26))/STDEV($L$2:$L$26)),"")</f>
        <v/>
      </c>
      <c r="O14" s="10">
        <f>IFERROR(IF(N14="","",IF(N14&gt;1,"STRONG BUY",IF(N14&gt;0.3,"BUY",IF(N14&gt;-0.3,"HOLD",IF(N14&gt;-1,"SELL","STRONG SELL"))))),"")</f>
        <v/>
      </c>
      <c r="P14" s="10">
        <f>IFERROR(IF(N14="","",IF(M14&lt;&gt;"PASS","SKIP — illiquid",O14)),"")</f>
        <v/>
      </c>
    </row>
    <row r="15">
      <c r="A15" s="10">
        <f>IF(N15="","",RANK(N15,$N$2:$N$26))</f>
        <v/>
      </c>
      <c r="B15" s="24">
        <f>Bonds_Static!A15</f>
        <v/>
      </c>
      <c r="C15" s="24">
        <f>Bonds_Static!C15</f>
        <v/>
      </c>
      <c r="D15" s="25">
        <f>IFERROR(Bonds_Static!G15,"")</f>
        <v/>
      </c>
      <c r="E15" s="11">
        <f>IFERROR(Curve_Fit!F15,"")</f>
        <v/>
      </c>
      <c r="F15" s="11">
        <f>IFERROR(Carry_Roll!M15,"")</f>
        <v/>
      </c>
      <c r="G15" s="11">
        <f>IFERROR(DTS_Carry!G15,"")</f>
        <v/>
      </c>
      <c r="H15" s="11">
        <f>IFERROR(Bonds_Live!K15,"")</f>
        <v/>
      </c>
      <c r="I15" s="11">
        <f>IFERROR(Peer_EMBI_Bench!H36,"")</f>
        <v/>
      </c>
      <c r="J15" s="11">
        <f>IFERROR(Peer_EMBI_Bench!I36,"")</f>
        <v/>
      </c>
      <c r="K15" s="11">
        <f>IFERROR(Spread_History!H16,"")</f>
        <v/>
      </c>
      <c r="L15" s="34">
        <f>IFERROR(Liquidity_Gate!I15,"")</f>
        <v/>
      </c>
      <c r="M15" s="24">
        <f>IFERROR(Liquidity_Gate!J15,"")</f>
        <v/>
      </c>
      <c r="N15" s="21">
        <f>IFERROR(Settings!$C$42*((E15-AVERAGE($E$2:$E$26))/STDEV($E$2:$E$26))+Settings!$C$43*((F15-AVERAGE($F$2:$F$26))/STDEV($F$2:$F$26))+Settings!$C$44*((G15-AVERAGE($G$2:$G$26))/STDEV($G$2:$G$26))+Settings!$C$45*((H15-AVERAGE($H$2:$H$26))/STDEV($H$2:$H$26))+Settings!$C$46*((I15-AVERAGE($I$2:$I$26))/STDEV($I$2:$I$26))+Settings!$C$47*((J15-AVERAGE($J$2:$J$26))/STDEV($J$2:$J$26))+Settings!$C$48*((K15-AVERAGE($K$2:$K$26))/STDEV($K$2:$K$26))+Settings!$C$49*((L15-AVERAGE($L$2:$L$26))/STDEV($L$2:$L$26)),"")</f>
        <v/>
      </c>
      <c r="O15" s="10">
        <f>IFERROR(IF(N15="","",IF(N15&gt;1,"STRONG BUY",IF(N15&gt;0.3,"BUY",IF(N15&gt;-0.3,"HOLD",IF(N15&gt;-1,"SELL","STRONG SELL"))))),"")</f>
        <v/>
      </c>
      <c r="P15" s="10">
        <f>IFERROR(IF(N15="","",IF(M15&lt;&gt;"PASS","SKIP — illiquid",O15)),"")</f>
        <v/>
      </c>
    </row>
    <row r="16">
      <c r="A16" s="10">
        <f>IF(N16="","",RANK(N16,$N$2:$N$26))</f>
        <v/>
      </c>
      <c r="B16" s="24">
        <f>Bonds_Static!A16</f>
        <v/>
      </c>
      <c r="C16" s="24">
        <f>Bonds_Static!C16</f>
        <v/>
      </c>
      <c r="D16" s="25">
        <f>IFERROR(Bonds_Static!G16,"")</f>
        <v/>
      </c>
      <c r="E16" s="11">
        <f>IFERROR(Curve_Fit!F16,"")</f>
        <v/>
      </c>
      <c r="F16" s="11">
        <f>IFERROR(Carry_Roll!M16,"")</f>
        <v/>
      </c>
      <c r="G16" s="11">
        <f>IFERROR(DTS_Carry!G16,"")</f>
        <v/>
      </c>
      <c r="H16" s="11">
        <f>IFERROR(Bonds_Live!K16,"")</f>
        <v/>
      </c>
      <c r="I16" s="11">
        <f>IFERROR(Peer_EMBI_Bench!H37,"")</f>
        <v/>
      </c>
      <c r="J16" s="11">
        <f>IFERROR(Peer_EMBI_Bench!I37,"")</f>
        <v/>
      </c>
      <c r="K16" s="11">
        <f>IFERROR(Spread_History!H17,"")</f>
        <v/>
      </c>
      <c r="L16" s="34">
        <f>IFERROR(Liquidity_Gate!I16,"")</f>
        <v/>
      </c>
      <c r="M16" s="24">
        <f>IFERROR(Liquidity_Gate!J16,"")</f>
        <v/>
      </c>
      <c r="N16" s="21">
        <f>IFERROR(Settings!$C$42*((E16-AVERAGE($E$2:$E$26))/STDEV($E$2:$E$26))+Settings!$C$43*((F16-AVERAGE($F$2:$F$26))/STDEV($F$2:$F$26))+Settings!$C$44*((G16-AVERAGE($G$2:$G$26))/STDEV($G$2:$G$26))+Settings!$C$45*((H16-AVERAGE($H$2:$H$26))/STDEV($H$2:$H$26))+Settings!$C$46*((I16-AVERAGE($I$2:$I$26))/STDEV($I$2:$I$26))+Settings!$C$47*((J16-AVERAGE($J$2:$J$26))/STDEV($J$2:$J$26))+Settings!$C$48*((K16-AVERAGE($K$2:$K$26))/STDEV($K$2:$K$26))+Settings!$C$49*((L16-AVERAGE($L$2:$L$26))/STDEV($L$2:$L$26)),"")</f>
        <v/>
      </c>
      <c r="O16" s="10">
        <f>IFERROR(IF(N16="","",IF(N16&gt;1,"STRONG BUY",IF(N16&gt;0.3,"BUY",IF(N16&gt;-0.3,"HOLD",IF(N16&gt;-1,"SELL","STRONG SELL"))))),"")</f>
        <v/>
      </c>
      <c r="P16" s="10">
        <f>IFERROR(IF(N16="","",IF(M16&lt;&gt;"PASS","SKIP — illiquid",O16)),"")</f>
        <v/>
      </c>
    </row>
    <row r="17">
      <c r="A17" s="10">
        <f>IF(N17="","",RANK(N17,$N$2:$N$26))</f>
        <v/>
      </c>
      <c r="B17" s="24">
        <f>Bonds_Static!A17</f>
        <v/>
      </c>
      <c r="C17" s="24">
        <f>Bonds_Static!C17</f>
        <v/>
      </c>
      <c r="D17" s="25">
        <f>IFERROR(Bonds_Static!G17,"")</f>
        <v/>
      </c>
      <c r="E17" s="11">
        <f>IFERROR(Curve_Fit!F17,"")</f>
        <v/>
      </c>
      <c r="F17" s="11">
        <f>IFERROR(Carry_Roll!M17,"")</f>
        <v/>
      </c>
      <c r="G17" s="11">
        <f>IFERROR(DTS_Carry!G17,"")</f>
        <v/>
      </c>
      <c r="H17" s="11">
        <f>IFERROR(Bonds_Live!K17,"")</f>
        <v/>
      </c>
      <c r="I17" s="11">
        <f>IFERROR(Peer_EMBI_Bench!H38,"")</f>
        <v/>
      </c>
      <c r="J17" s="11">
        <f>IFERROR(Peer_EMBI_Bench!I38,"")</f>
        <v/>
      </c>
      <c r="K17" s="11">
        <f>IFERROR(Spread_History!H18,"")</f>
        <v/>
      </c>
      <c r="L17" s="34">
        <f>IFERROR(Liquidity_Gate!I17,"")</f>
        <v/>
      </c>
      <c r="M17" s="24">
        <f>IFERROR(Liquidity_Gate!J17,"")</f>
        <v/>
      </c>
      <c r="N17" s="21">
        <f>IFERROR(Settings!$C$42*((E17-AVERAGE($E$2:$E$26))/STDEV($E$2:$E$26))+Settings!$C$43*((F17-AVERAGE($F$2:$F$26))/STDEV($F$2:$F$26))+Settings!$C$44*((G17-AVERAGE($G$2:$G$26))/STDEV($G$2:$G$26))+Settings!$C$45*((H17-AVERAGE($H$2:$H$26))/STDEV($H$2:$H$26))+Settings!$C$46*((I17-AVERAGE($I$2:$I$26))/STDEV($I$2:$I$26))+Settings!$C$47*((J17-AVERAGE($J$2:$J$26))/STDEV($J$2:$J$26))+Settings!$C$48*((K17-AVERAGE($K$2:$K$26))/STDEV($K$2:$K$26))+Settings!$C$49*((L17-AVERAGE($L$2:$L$26))/STDEV($L$2:$L$26)),"")</f>
        <v/>
      </c>
      <c r="O17" s="10">
        <f>IFERROR(IF(N17="","",IF(N17&gt;1,"STRONG BUY",IF(N17&gt;0.3,"BUY",IF(N17&gt;-0.3,"HOLD",IF(N17&gt;-1,"SELL","STRONG SELL"))))),"")</f>
        <v/>
      </c>
      <c r="P17" s="10">
        <f>IFERROR(IF(N17="","",IF(M17&lt;&gt;"PASS","SKIP — illiquid",O17)),"")</f>
        <v/>
      </c>
    </row>
    <row r="18">
      <c r="A18" s="10">
        <f>IF(N18="","",RANK(N18,$N$2:$N$26))</f>
        <v/>
      </c>
      <c r="B18" s="24">
        <f>Bonds_Static!A18</f>
        <v/>
      </c>
      <c r="C18" s="24">
        <f>Bonds_Static!C18</f>
        <v/>
      </c>
      <c r="D18" s="25">
        <f>IFERROR(Bonds_Static!G18,"")</f>
        <v/>
      </c>
      <c r="E18" s="11">
        <f>IFERROR(Curve_Fit!F18,"")</f>
        <v/>
      </c>
      <c r="F18" s="11">
        <f>IFERROR(Carry_Roll!M18,"")</f>
        <v/>
      </c>
      <c r="G18" s="11">
        <f>IFERROR(DTS_Carry!G18,"")</f>
        <v/>
      </c>
      <c r="H18" s="11">
        <f>IFERROR(Bonds_Live!K18,"")</f>
        <v/>
      </c>
      <c r="I18" s="11">
        <f>IFERROR(Peer_EMBI_Bench!H39,"")</f>
        <v/>
      </c>
      <c r="J18" s="11">
        <f>IFERROR(Peer_EMBI_Bench!I39,"")</f>
        <v/>
      </c>
      <c r="K18" s="11">
        <f>IFERROR(Spread_History!H19,"")</f>
        <v/>
      </c>
      <c r="L18" s="34">
        <f>IFERROR(Liquidity_Gate!I18,"")</f>
        <v/>
      </c>
      <c r="M18" s="24">
        <f>IFERROR(Liquidity_Gate!J18,"")</f>
        <v/>
      </c>
      <c r="N18" s="21">
        <f>IFERROR(Settings!$C$42*((E18-AVERAGE($E$2:$E$26))/STDEV($E$2:$E$26))+Settings!$C$43*((F18-AVERAGE($F$2:$F$26))/STDEV($F$2:$F$26))+Settings!$C$44*((G18-AVERAGE($G$2:$G$26))/STDEV($G$2:$G$26))+Settings!$C$45*((H18-AVERAGE($H$2:$H$26))/STDEV($H$2:$H$26))+Settings!$C$46*((I18-AVERAGE($I$2:$I$26))/STDEV($I$2:$I$26))+Settings!$C$47*((J18-AVERAGE($J$2:$J$26))/STDEV($J$2:$J$26))+Settings!$C$48*((K18-AVERAGE($K$2:$K$26))/STDEV($K$2:$K$26))+Settings!$C$49*((L18-AVERAGE($L$2:$L$26))/STDEV($L$2:$L$26)),"")</f>
        <v/>
      </c>
      <c r="O18" s="10">
        <f>IFERROR(IF(N18="","",IF(N18&gt;1,"STRONG BUY",IF(N18&gt;0.3,"BUY",IF(N18&gt;-0.3,"HOLD",IF(N18&gt;-1,"SELL","STRONG SELL"))))),"")</f>
        <v/>
      </c>
      <c r="P18" s="10">
        <f>IFERROR(IF(N18="","",IF(M18&lt;&gt;"PASS","SKIP — illiquid",O18)),"")</f>
        <v/>
      </c>
    </row>
    <row r="19">
      <c r="A19" s="10">
        <f>IF(N19="","",RANK(N19,$N$2:$N$26))</f>
        <v/>
      </c>
      <c r="B19" s="24">
        <f>Bonds_Static!A19</f>
        <v/>
      </c>
      <c r="C19" s="24">
        <f>Bonds_Static!C19</f>
        <v/>
      </c>
      <c r="D19" s="25">
        <f>IFERROR(Bonds_Static!G19,"")</f>
        <v/>
      </c>
      <c r="E19" s="11">
        <f>IFERROR(Curve_Fit!F19,"")</f>
        <v/>
      </c>
      <c r="F19" s="11">
        <f>IFERROR(Carry_Roll!M19,"")</f>
        <v/>
      </c>
      <c r="G19" s="11">
        <f>IFERROR(DTS_Carry!G19,"")</f>
        <v/>
      </c>
      <c r="H19" s="11">
        <f>IFERROR(Bonds_Live!K19,"")</f>
        <v/>
      </c>
      <c r="I19" s="11">
        <f>IFERROR(Peer_EMBI_Bench!H40,"")</f>
        <v/>
      </c>
      <c r="J19" s="11">
        <f>IFERROR(Peer_EMBI_Bench!I40,"")</f>
        <v/>
      </c>
      <c r="K19" s="11">
        <f>IFERROR(Spread_History!H20,"")</f>
        <v/>
      </c>
      <c r="L19" s="34">
        <f>IFERROR(Liquidity_Gate!I19,"")</f>
        <v/>
      </c>
      <c r="M19" s="24">
        <f>IFERROR(Liquidity_Gate!J19,"")</f>
        <v/>
      </c>
      <c r="N19" s="21">
        <f>IFERROR(Settings!$C$42*((E19-AVERAGE($E$2:$E$26))/STDEV($E$2:$E$26))+Settings!$C$43*((F19-AVERAGE($F$2:$F$26))/STDEV($F$2:$F$26))+Settings!$C$44*((G19-AVERAGE($G$2:$G$26))/STDEV($G$2:$G$26))+Settings!$C$45*((H19-AVERAGE($H$2:$H$26))/STDEV($H$2:$H$26))+Settings!$C$46*((I19-AVERAGE($I$2:$I$26))/STDEV($I$2:$I$26))+Settings!$C$47*((J19-AVERAGE($J$2:$J$26))/STDEV($J$2:$J$26))+Settings!$C$48*((K19-AVERAGE($K$2:$K$26))/STDEV($K$2:$K$26))+Settings!$C$49*((L19-AVERAGE($L$2:$L$26))/STDEV($L$2:$L$26)),"")</f>
        <v/>
      </c>
      <c r="O19" s="10">
        <f>IFERROR(IF(N19="","",IF(N19&gt;1,"STRONG BUY",IF(N19&gt;0.3,"BUY",IF(N19&gt;-0.3,"HOLD",IF(N19&gt;-1,"SELL","STRONG SELL"))))),"")</f>
        <v/>
      </c>
      <c r="P19" s="10">
        <f>IFERROR(IF(N19="","",IF(M19&lt;&gt;"PASS","SKIP — illiquid",O19)),"")</f>
        <v/>
      </c>
    </row>
    <row r="20">
      <c r="A20" s="10">
        <f>IF(N20="","",RANK(N20,$N$2:$N$26))</f>
        <v/>
      </c>
      <c r="B20" s="24">
        <f>Bonds_Static!A20</f>
        <v/>
      </c>
      <c r="C20" s="24">
        <f>Bonds_Static!C20</f>
        <v/>
      </c>
      <c r="D20" s="25">
        <f>IFERROR(Bonds_Static!G20,"")</f>
        <v/>
      </c>
      <c r="E20" s="11">
        <f>IFERROR(Curve_Fit!F20,"")</f>
        <v/>
      </c>
      <c r="F20" s="11">
        <f>IFERROR(Carry_Roll!M20,"")</f>
        <v/>
      </c>
      <c r="G20" s="11">
        <f>IFERROR(DTS_Carry!G20,"")</f>
        <v/>
      </c>
      <c r="H20" s="11">
        <f>IFERROR(Bonds_Live!K20,"")</f>
        <v/>
      </c>
      <c r="I20" s="11">
        <f>IFERROR(Peer_EMBI_Bench!H41,"")</f>
        <v/>
      </c>
      <c r="J20" s="11">
        <f>IFERROR(Peer_EMBI_Bench!I41,"")</f>
        <v/>
      </c>
      <c r="K20" s="11">
        <f>IFERROR(Spread_History!H21,"")</f>
        <v/>
      </c>
      <c r="L20" s="34">
        <f>IFERROR(Liquidity_Gate!I20,"")</f>
        <v/>
      </c>
      <c r="M20" s="24">
        <f>IFERROR(Liquidity_Gate!J20,"")</f>
        <v/>
      </c>
      <c r="N20" s="21">
        <f>IFERROR(Settings!$C$42*((E20-AVERAGE($E$2:$E$26))/STDEV($E$2:$E$26))+Settings!$C$43*((F20-AVERAGE($F$2:$F$26))/STDEV($F$2:$F$26))+Settings!$C$44*((G20-AVERAGE($G$2:$G$26))/STDEV($G$2:$G$26))+Settings!$C$45*((H20-AVERAGE($H$2:$H$26))/STDEV($H$2:$H$26))+Settings!$C$46*((I20-AVERAGE($I$2:$I$26))/STDEV($I$2:$I$26))+Settings!$C$47*((J20-AVERAGE($J$2:$J$26))/STDEV($J$2:$J$26))+Settings!$C$48*((K20-AVERAGE($K$2:$K$26))/STDEV($K$2:$K$26))+Settings!$C$49*((L20-AVERAGE($L$2:$L$26))/STDEV($L$2:$L$26)),"")</f>
        <v/>
      </c>
      <c r="O20" s="10">
        <f>IFERROR(IF(N20="","",IF(N20&gt;1,"STRONG BUY",IF(N20&gt;0.3,"BUY",IF(N20&gt;-0.3,"HOLD",IF(N20&gt;-1,"SELL","STRONG SELL"))))),"")</f>
        <v/>
      </c>
      <c r="P20" s="10">
        <f>IFERROR(IF(N20="","",IF(M20&lt;&gt;"PASS","SKIP — illiquid",O20)),"")</f>
        <v/>
      </c>
    </row>
    <row r="21">
      <c r="A21" s="10">
        <f>IF(N21="","",RANK(N21,$N$2:$N$26))</f>
        <v/>
      </c>
      <c r="B21" s="24">
        <f>Bonds_Static!A21</f>
        <v/>
      </c>
      <c r="C21" s="24">
        <f>Bonds_Static!C21</f>
        <v/>
      </c>
      <c r="D21" s="25">
        <f>IFERROR(Bonds_Static!G21,"")</f>
        <v/>
      </c>
      <c r="E21" s="11">
        <f>IFERROR(Curve_Fit!F21,"")</f>
        <v/>
      </c>
      <c r="F21" s="11">
        <f>IFERROR(Carry_Roll!M21,"")</f>
        <v/>
      </c>
      <c r="G21" s="11">
        <f>IFERROR(DTS_Carry!G21,"")</f>
        <v/>
      </c>
      <c r="H21" s="11">
        <f>IFERROR(Bonds_Live!K21,"")</f>
        <v/>
      </c>
      <c r="I21" s="11">
        <f>IFERROR(Peer_EMBI_Bench!H42,"")</f>
        <v/>
      </c>
      <c r="J21" s="11">
        <f>IFERROR(Peer_EMBI_Bench!I42,"")</f>
        <v/>
      </c>
      <c r="K21" s="11">
        <f>IFERROR(Spread_History!H22,"")</f>
        <v/>
      </c>
      <c r="L21" s="34">
        <f>IFERROR(Liquidity_Gate!I21,"")</f>
        <v/>
      </c>
      <c r="M21" s="24">
        <f>IFERROR(Liquidity_Gate!J21,"")</f>
        <v/>
      </c>
      <c r="N21" s="21">
        <f>IFERROR(Settings!$C$42*((E21-AVERAGE($E$2:$E$26))/STDEV($E$2:$E$26))+Settings!$C$43*((F21-AVERAGE($F$2:$F$26))/STDEV($F$2:$F$26))+Settings!$C$44*((G21-AVERAGE($G$2:$G$26))/STDEV($G$2:$G$26))+Settings!$C$45*((H21-AVERAGE($H$2:$H$26))/STDEV($H$2:$H$26))+Settings!$C$46*((I21-AVERAGE($I$2:$I$26))/STDEV($I$2:$I$26))+Settings!$C$47*((J21-AVERAGE($J$2:$J$26))/STDEV($J$2:$J$26))+Settings!$C$48*((K21-AVERAGE($K$2:$K$26))/STDEV($K$2:$K$26))+Settings!$C$49*((L21-AVERAGE($L$2:$L$26))/STDEV($L$2:$L$26)),"")</f>
        <v/>
      </c>
      <c r="O21" s="10">
        <f>IFERROR(IF(N21="","",IF(N21&gt;1,"STRONG BUY",IF(N21&gt;0.3,"BUY",IF(N21&gt;-0.3,"HOLD",IF(N21&gt;-1,"SELL","STRONG SELL"))))),"")</f>
        <v/>
      </c>
      <c r="P21" s="10">
        <f>IFERROR(IF(N21="","",IF(M21&lt;&gt;"PASS","SKIP — illiquid",O21)),"")</f>
        <v/>
      </c>
    </row>
    <row r="22">
      <c r="A22" s="10">
        <f>IF(N22="","",RANK(N22,$N$2:$N$26))</f>
        <v/>
      </c>
      <c r="B22" s="24">
        <f>Bonds_Static!A22</f>
        <v/>
      </c>
      <c r="C22" s="24">
        <f>Bonds_Static!C22</f>
        <v/>
      </c>
      <c r="D22" s="25">
        <f>IFERROR(Bonds_Static!G22,"")</f>
        <v/>
      </c>
      <c r="E22" s="11">
        <f>IFERROR(Curve_Fit!F22,"")</f>
        <v/>
      </c>
      <c r="F22" s="11">
        <f>IFERROR(Carry_Roll!M22,"")</f>
        <v/>
      </c>
      <c r="G22" s="11">
        <f>IFERROR(DTS_Carry!G22,"")</f>
        <v/>
      </c>
      <c r="H22" s="11">
        <f>IFERROR(Bonds_Live!K22,"")</f>
        <v/>
      </c>
      <c r="I22" s="11">
        <f>IFERROR(Peer_EMBI_Bench!H43,"")</f>
        <v/>
      </c>
      <c r="J22" s="11">
        <f>IFERROR(Peer_EMBI_Bench!I43,"")</f>
        <v/>
      </c>
      <c r="K22" s="11">
        <f>IFERROR(Spread_History!H23,"")</f>
        <v/>
      </c>
      <c r="L22" s="34">
        <f>IFERROR(Liquidity_Gate!I22,"")</f>
        <v/>
      </c>
      <c r="M22" s="24">
        <f>IFERROR(Liquidity_Gate!J22,"")</f>
        <v/>
      </c>
      <c r="N22" s="21">
        <f>IFERROR(Settings!$C$42*((E22-AVERAGE($E$2:$E$26))/STDEV($E$2:$E$26))+Settings!$C$43*((F22-AVERAGE($F$2:$F$26))/STDEV($F$2:$F$26))+Settings!$C$44*((G22-AVERAGE($G$2:$G$26))/STDEV($G$2:$G$26))+Settings!$C$45*((H22-AVERAGE($H$2:$H$26))/STDEV($H$2:$H$26))+Settings!$C$46*((I22-AVERAGE($I$2:$I$26))/STDEV($I$2:$I$26))+Settings!$C$47*((J22-AVERAGE($J$2:$J$26))/STDEV($J$2:$J$26))+Settings!$C$48*((K22-AVERAGE($K$2:$K$26))/STDEV($K$2:$K$26))+Settings!$C$49*((L22-AVERAGE($L$2:$L$26))/STDEV($L$2:$L$26)),"")</f>
        <v/>
      </c>
      <c r="O22" s="10">
        <f>IFERROR(IF(N22="","",IF(N22&gt;1,"STRONG BUY",IF(N22&gt;0.3,"BUY",IF(N22&gt;-0.3,"HOLD",IF(N22&gt;-1,"SELL","STRONG SELL"))))),"")</f>
        <v/>
      </c>
      <c r="P22" s="10">
        <f>IFERROR(IF(N22="","",IF(M22&lt;&gt;"PASS","SKIP — illiquid",O22)),"")</f>
        <v/>
      </c>
    </row>
    <row r="23">
      <c r="A23" s="10">
        <f>IF(N23="","",RANK(N23,$N$2:$N$26))</f>
        <v/>
      </c>
      <c r="B23" s="24">
        <f>Bonds_Static!A23</f>
        <v/>
      </c>
      <c r="C23" s="24">
        <f>Bonds_Static!C23</f>
        <v/>
      </c>
      <c r="D23" s="25">
        <f>IFERROR(Bonds_Static!G23,"")</f>
        <v/>
      </c>
      <c r="E23" s="11">
        <f>IFERROR(Curve_Fit!F23,"")</f>
        <v/>
      </c>
      <c r="F23" s="11">
        <f>IFERROR(Carry_Roll!M23,"")</f>
        <v/>
      </c>
      <c r="G23" s="11">
        <f>IFERROR(DTS_Carry!G23,"")</f>
        <v/>
      </c>
      <c r="H23" s="11">
        <f>IFERROR(Bonds_Live!K23,"")</f>
        <v/>
      </c>
      <c r="I23" s="11">
        <f>IFERROR(Peer_EMBI_Bench!H44,"")</f>
        <v/>
      </c>
      <c r="J23" s="11">
        <f>IFERROR(Peer_EMBI_Bench!I44,"")</f>
        <v/>
      </c>
      <c r="K23" s="11">
        <f>IFERROR(Spread_History!H24,"")</f>
        <v/>
      </c>
      <c r="L23" s="34">
        <f>IFERROR(Liquidity_Gate!I23,"")</f>
        <v/>
      </c>
      <c r="M23" s="24">
        <f>IFERROR(Liquidity_Gate!J23,"")</f>
        <v/>
      </c>
      <c r="N23" s="21">
        <f>IFERROR(Settings!$C$42*((E23-AVERAGE($E$2:$E$26))/STDEV($E$2:$E$26))+Settings!$C$43*((F23-AVERAGE($F$2:$F$26))/STDEV($F$2:$F$26))+Settings!$C$44*((G23-AVERAGE($G$2:$G$26))/STDEV($G$2:$G$26))+Settings!$C$45*((H23-AVERAGE($H$2:$H$26))/STDEV($H$2:$H$26))+Settings!$C$46*((I23-AVERAGE($I$2:$I$26))/STDEV($I$2:$I$26))+Settings!$C$47*((J23-AVERAGE($J$2:$J$26))/STDEV($J$2:$J$26))+Settings!$C$48*((K23-AVERAGE($K$2:$K$26))/STDEV($K$2:$K$26))+Settings!$C$49*((L23-AVERAGE($L$2:$L$26))/STDEV($L$2:$L$26)),"")</f>
        <v/>
      </c>
      <c r="O23" s="10">
        <f>IFERROR(IF(N23="","",IF(N23&gt;1,"STRONG BUY",IF(N23&gt;0.3,"BUY",IF(N23&gt;-0.3,"HOLD",IF(N23&gt;-1,"SELL","STRONG SELL"))))),"")</f>
        <v/>
      </c>
      <c r="P23" s="10">
        <f>IFERROR(IF(N23="","",IF(M23&lt;&gt;"PASS","SKIP — illiquid",O23)),"")</f>
        <v/>
      </c>
    </row>
    <row r="24">
      <c r="A24" s="10">
        <f>IF(N24="","",RANK(N24,$N$2:$N$26))</f>
        <v/>
      </c>
      <c r="B24" s="24">
        <f>Bonds_Static!A24</f>
        <v/>
      </c>
      <c r="C24" s="24">
        <f>Bonds_Static!C24</f>
        <v/>
      </c>
      <c r="D24" s="25">
        <f>IFERROR(Bonds_Static!G24,"")</f>
        <v/>
      </c>
      <c r="E24" s="11">
        <f>IFERROR(Curve_Fit!F24,"")</f>
        <v/>
      </c>
      <c r="F24" s="11">
        <f>IFERROR(Carry_Roll!M24,"")</f>
        <v/>
      </c>
      <c r="G24" s="11">
        <f>IFERROR(DTS_Carry!G24,"")</f>
        <v/>
      </c>
      <c r="H24" s="11">
        <f>IFERROR(Bonds_Live!K24,"")</f>
        <v/>
      </c>
      <c r="I24" s="11">
        <f>IFERROR(Peer_EMBI_Bench!H45,"")</f>
        <v/>
      </c>
      <c r="J24" s="11">
        <f>IFERROR(Peer_EMBI_Bench!I45,"")</f>
        <v/>
      </c>
      <c r="K24" s="11">
        <f>IFERROR(Spread_History!H25,"")</f>
        <v/>
      </c>
      <c r="L24" s="34">
        <f>IFERROR(Liquidity_Gate!I24,"")</f>
        <v/>
      </c>
      <c r="M24" s="24">
        <f>IFERROR(Liquidity_Gate!J24,"")</f>
        <v/>
      </c>
      <c r="N24" s="21">
        <f>IFERROR(Settings!$C$42*((E24-AVERAGE($E$2:$E$26))/STDEV($E$2:$E$26))+Settings!$C$43*((F24-AVERAGE($F$2:$F$26))/STDEV($F$2:$F$26))+Settings!$C$44*((G24-AVERAGE($G$2:$G$26))/STDEV($G$2:$G$26))+Settings!$C$45*((H24-AVERAGE($H$2:$H$26))/STDEV($H$2:$H$26))+Settings!$C$46*((I24-AVERAGE($I$2:$I$26))/STDEV($I$2:$I$26))+Settings!$C$47*((J24-AVERAGE($J$2:$J$26))/STDEV($J$2:$J$26))+Settings!$C$48*((K24-AVERAGE($K$2:$K$26))/STDEV($K$2:$K$26))+Settings!$C$49*((L24-AVERAGE($L$2:$L$26))/STDEV($L$2:$L$26)),"")</f>
        <v/>
      </c>
      <c r="O24" s="10">
        <f>IFERROR(IF(N24="","",IF(N24&gt;1,"STRONG BUY",IF(N24&gt;0.3,"BUY",IF(N24&gt;-0.3,"HOLD",IF(N24&gt;-1,"SELL","STRONG SELL"))))),"")</f>
        <v/>
      </c>
      <c r="P24" s="10">
        <f>IFERROR(IF(N24="","",IF(M24&lt;&gt;"PASS","SKIP — illiquid",O24)),"")</f>
        <v/>
      </c>
    </row>
    <row r="25">
      <c r="A25" s="10">
        <f>IF(N25="","",RANK(N25,$N$2:$N$26))</f>
        <v/>
      </c>
      <c r="B25" s="24">
        <f>Bonds_Static!A25</f>
        <v/>
      </c>
      <c r="C25" s="24">
        <f>Bonds_Static!C25</f>
        <v/>
      </c>
      <c r="D25" s="25">
        <f>IFERROR(Bonds_Static!G25,"")</f>
        <v/>
      </c>
      <c r="E25" s="11">
        <f>IFERROR(Curve_Fit!F25,"")</f>
        <v/>
      </c>
      <c r="F25" s="11">
        <f>IFERROR(Carry_Roll!M25,"")</f>
        <v/>
      </c>
      <c r="G25" s="11">
        <f>IFERROR(DTS_Carry!G25,"")</f>
        <v/>
      </c>
      <c r="H25" s="11">
        <f>IFERROR(Bonds_Live!K25,"")</f>
        <v/>
      </c>
      <c r="I25" s="11">
        <f>IFERROR(Peer_EMBI_Bench!H46,"")</f>
        <v/>
      </c>
      <c r="J25" s="11">
        <f>IFERROR(Peer_EMBI_Bench!I46,"")</f>
        <v/>
      </c>
      <c r="K25" s="11">
        <f>IFERROR(Spread_History!H26,"")</f>
        <v/>
      </c>
      <c r="L25" s="34">
        <f>IFERROR(Liquidity_Gate!I25,"")</f>
        <v/>
      </c>
      <c r="M25" s="24">
        <f>IFERROR(Liquidity_Gate!J25,"")</f>
        <v/>
      </c>
      <c r="N25" s="21">
        <f>IFERROR(Settings!$C$42*((E25-AVERAGE($E$2:$E$26))/STDEV($E$2:$E$26))+Settings!$C$43*((F25-AVERAGE($F$2:$F$26))/STDEV($F$2:$F$26))+Settings!$C$44*((G25-AVERAGE($G$2:$G$26))/STDEV($G$2:$G$26))+Settings!$C$45*((H25-AVERAGE($H$2:$H$26))/STDEV($H$2:$H$26))+Settings!$C$46*((I25-AVERAGE($I$2:$I$26))/STDEV($I$2:$I$26))+Settings!$C$47*((J25-AVERAGE($J$2:$J$26))/STDEV($J$2:$J$26))+Settings!$C$48*((K25-AVERAGE($K$2:$K$26))/STDEV($K$2:$K$26))+Settings!$C$49*((L25-AVERAGE($L$2:$L$26))/STDEV($L$2:$L$26)),"")</f>
        <v/>
      </c>
      <c r="O25" s="10">
        <f>IFERROR(IF(N25="","",IF(N25&gt;1,"STRONG BUY",IF(N25&gt;0.3,"BUY",IF(N25&gt;-0.3,"HOLD",IF(N25&gt;-1,"SELL","STRONG SELL"))))),"")</f>
        <v/>
      </c>
      <c r="P25" s="10">
        <f>IFERROR(IF(N25="","",IF(M25&lt;&gt;"PASS","SKIP — illiquid",O25)),"")</f>
        <v/>
      </c>
    </row>
    <row r="26">
      <c r="A26" s="10">
        <f>IF(N26="","",RANK(N26,$N$2:$N$26))</f>
        <v/>
      </c>
      <c r="B26" s="24">
        <f>Bonds_Static!A26</f>
        <v/>
      </c>
      <c r="C26" s="24">
        <f>Bonds_Static!C26</f>
        <v/>
      </c>
      <c r="D26" s="25">
        <f>IFERROR(Bonds_Static!G26,"")</f>
        <v/>
      </c>
      <c r="E26" s="11">
        <f>IFERROR(Curve_Fit!F26,"")</f>
        <v/>
      </c>
      <c r="F26" s="11">
        <f>IFERROR(Carry_Roll!M26,"")</f>
        <v/>
      </c>
      <c r="G26" s="11">
        <f>IFERROR(DTS_Carry!G26,"")</f>
        <v/>
      </c>
      <c r="H26" s="11">
        <f>IFERROR(Bonds_Live!K26,"")</f>
        <v/>
      </c>
      <c r="I26" s="11">
        <f>IFERROR(Peer_EMBI_Bench!H47,"")</f>
        <v/>
      </c>
      <c r="J26" s="11">
        <f>IFERROR(Peer_EMBI_Bench!I47,"")</f>
        <v/>
      </c>
      <c r="K26" s="11">
        <f>IFERROR(Spread_History!H27,"")</f>
        <v/>
      </c>
      <c r="L26" s="34">
        <f>IFERROR(Liquidity_Gate!I26,"")</f>
        <v/>
      </c>
      <c r="M26" s="24">
        <f>IFERROR(Liquidity_Gate!J26,"")</f>
        <v/>
      </c>
      <c r="N26" s="21">
        <f>IFERROR(Settings!$C$42*((E26-AVERAGE($E$2:$E$26))/STDEV($E$2:$E$26))+Settings!$C$43*((F26-AVERAGE($F$2:$F$26))/STDEV($F$2:$F$26))+Settings!$C$44*((G26-AVERAGE($G$2:$G$26))/STDEV($G$2:$G$26))+Settings!$C$45*((H26-AVERAGE($H$2:$H$26))/STDEV($H$2:$H$26))+Settings!$C$46*((I26-AVERAGE($I$2:$I$26))/STDEV($I$2:$I$26))+Settings!$C$47*((J26-AVERAGE($J$2:$J$26))/STDEV($J$2:$J$26))+Settings!$C$48*((K26-AVERAGE($K$2:$K$26))/STDEV($K$2:$K$26))+Settings!$C$49*((L26-AVERAGE($L$2:$L$26))/STDEV($L$2:$L$26)),"")</f>
        <v/>
      </c>
      <c r="O26" s="10">
        <f>IFERROR(IF(N26="","",IF(N26&gt;1,"STRONG BUY",IF(N26&gt;0.3,"BUY",IF(N26&gt;-0.3,"HOLD",IF(N26&gt;-1,"SELL","STRONG SELL"))))),"")</f>
        <v/>
      </c>
      <c r="P26" s="10">
        <f>IFERROR(IF(N26="","",IF(M26&lt;&gt;"PASS","SKIP — illiquid",O26)),"")</f>
        <v/>
      </c>
    </row>
  </sheetData>
  <conditionalFormatting sqref="N2:N26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O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8" customWidth="1" min="3" max="3"/>
    <col width="3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3" customWidth="1" min="10" max="10"/>
    <col width="13" customWidth="1" min="11" max="11"/>
    <col width="11" customWidth="1" min="12" max="12"/>
    <col width="14" customWidth="1" min="13" max="13"/>
    <col width="11" customWidth="1" min="14" max="14"/>
    <col width="13" customWidth="1" min="15" max="15"/>
  </cols>
  <sheetData>
    <row r="2">
      <c r="B2" s="4" t="inlineStr">
        <is>
          <t>Trade Recommendations — quantified expected return</t>
        </is>
      </c>
    </row>
    <row r="4">
      <c r="B4" s="39" t="inlineStr">
        <is>
          <t>Longs / Shorts: top 3 composite-z (must PASS liquidity gate). Sized TR scales central-view TR by MOVE-regime size scalar (UST_Curve!C27).</t>
        </is>
      </c>
    </row>
    <row r="6">
      <c r="B6" s="5" t="inlineStr">
        <is>
          <t>TOP 3 LONG IDEAS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 t="n"/>
    </row>
    <row r="7" ht="32" customHeight="1">
      <c r="B7" s="20" t="inlineStr">
        <is>
          <t>#</t>
        </is>
      </c>
      <c r="C7" s="20" t="inlineStr">
        <is>
          <t>ISIN</t>
        </is>
      </c>
      <c r="D7" s="20" t="inlineStr">
        <is>
          <t>Description</t>
        </is>
      </c>
      <c r="E7" s="20" t="inlineStr">
        <is>
          <t>τ</t>
        </is>
      </c>
      <c r="F7" s="20" t="inlineStr">
        <is>
          <t>Residual (bp)</t>
        </is>
      </c>
      <c r="G7" s="20" t="inlineStr">
        <is>
          <t>MDur</t>
        </is>
      </c>
      <c r="H7" s="20" t="inlineStr">
        <is>
          <t>12M C+R (%)</t>
        </is>
      </c>
      <c r="I7" s="20" t="inlineStr">
        <is>
          <t>12M TR base</t>
        </is>
      </c>
      <c r="J7" s="20" t="inlineStr">
        <is>
          <t>12M TR central view</t>
        </is>
      </c>
      <c r="K7" s="20" t="inlineStr">
        <is>
          <t>Outperf vs EMBI (%)</t>
        </is>
      </c>
      <c r="L7" s="20" t="inlineStr">
        <is>
          <t>Action</t>
        </is>
      </c>
      <c r="M7" s="20" t="inlineStr">
        <is>
          <t>Composite z</t>
        </is>
      </c>
      <c r="N7" s="20" t="inlineStr">
        <is>
          <t>Size scalar</t>
        </is>
      </c>
      <c r="O7" s="20" t="inlineStr">
        <is>
          <t>Sized 12M TR (%)</t>
        </is>
      </c>
    </row>
    <row r="8">
      <c r="B8" s="27" t="n">
        <v>1</v>
      </c>
      <c r="C8" s="10">
        <f>IFERROR(INDEX(Rich_Cheap_Rank!B$2:B$26,MATCH(M8,Rich_Cheap_Rank!N$2:N$26,0)),"")</f>
        <v/>
      </c>
      <c r="D8" s="10">
        <f>IFERROR(INDEX(Bonds_Static!C2:C26,MATCH($C8,Bonds_Static!A2:A26,0)),"")</f>
        <v/>
      </c>
      <c r="E8" s="22">
        <f>IFERROR(INDEX(Bonds_Static!G2:G26,MATCH($C8,Bonds_Static!A2:A26,0)),"")</f>
        <v/>
      </c>
      <c r="F8" s="21">
        <f>IFERROR(INDEX(Curve_Fit!F2:F26,MATCH($C8,Curve_Fit!A2:A26,0)),"")</f>
        <v/>
      </c>
      <c r="G8" s="21">
        <f>IFERROR(INDEX(Bonds_Live!Q2:Q26,MATCH($C8,Bonds_Live!A2:A26,0)),"")</f>
        <v/>
      </c>
      <c r="H8" s="21">
        <f>IFERROR(INDEX(Carry_Roll!M2:M26,MATCH($C8,Carry_Roll!A2:A26,0)),"")</f>
        <v/>
      </c>
      <c r="I8" s="21">
        <f>IFERROR(H8,"")</f>
        <v/>
      </c>
      <c r="J8" s="21">
        <f>IFERROR(H8+(-G8*(Settings!$C$30+Settings!$C$31)/100+IFERROR(INDEX(Bonds_Live!S2:S26,MATCH($C8,Bonds_Live!A2:A26,0)),0)*POWER(Settings!$C$30+Settings!$C$31,2)/2000000),"")</f>
        <v/>
      </c>
      <c r="K8" s="21">
        <f>IFERROR(INDEX(Peer_EMBI_Bench!J23:J47,MATCH($C8,Peer_EMBI_Bench!E23:E47,0)),"")</f>
        <v/>
      </c>
      <c r="L8" s="10">
        <f>IFERROR(INDEX(Rich_Cheap_Rank!P$2:P$26,MATCH($C8,Rich_Cheap_Rank!B$2:B$26,0)),"")</f>
        <v/>
      </c>
      <c r="M8" s="21">
        <f>IFERROR(LARGE(IF(Rich_Cheap_Rank!M$2:M$26="PASS",Rich_Cheap_Rank!N$2:N$26),1),"")</f>
        <v/>
      </c>
      <c r="N8" s="38">
        <f>IFERROR(UST_Curve!C27,1)</f>
        <v/>
      </c>
      <c r="O8" s="21">
        <f>IFERROR(J8*N8,"")</f>
        <v/>
      </c>
    </row>
    <row r="9">
      <c r="B9" s="27" t="n">
        <v>2</v>
      </c>
      <c r="C9" s="10">
        <f>IFERROR(INDEX(Rich_Cheap_Rank!B$2:B$26,MATCH(M9,Rich_Cheap_Rank!N$2:N$26,0)),"")</f>
        <v/>
      </c>
      <c r="D9" s="10">
        <f>IFERROR(INDEX(Bonds_Static!C2:C26,MATCH($C9,Bonds_Static!A2:A26,0)),"")</f>
        <v/>
      </c>
      <c r="E9" s="22">
        <f>IFERROR(INDEX(Bonds_Static!G2:G26,MATCH($C9,Bonds_Static!A2:A26,0)),"")</f>
        <v/>
      </c>
      <c r="F9" s="21">
        <f>IFERROR(INDEX(Curve_Fit!F2:F26,MATCH($C9,Curve_Fit!A2:A26,0)),"")</f>
        <v/>
      </c>
      <c r="G9" s="21">
        <f>IFERROR(INDEX(Bonds_Live!Q2:Q26,MATCH($C9,Bonds_Live!A2:A26,0)),"")</f>
        <v/>
      </c>
      <c r="H9" s="21">
        <f>IFERROR(INDEX(Carry_Roll!M2:M26,MATCH($C9,Carry_Roll!A2:A26,0)),"")</f>
        <v/>
      </c>
      <c r="I9" s="21">
        <f>IFERROR(H9,"")</f>
        <v/>
      </c>
      <c r="J9" s="21">
        <f>IFERROR(H9+(-G9*(Settings!$C$30+Settings!$C$31)/100+IFERROR(INDEX(Bonds_Live!S2:S26,MATCH($C9,Bonds_Live!A2:A26,0)),0)*POWER(Settings!$C$30+Settings!$C$31,2)/2000000),"")</f>
        <v/>
      </c>
      <c r="K9" s="21">
        <f>IFERROR(INDEX(Peer_EMBI_Bench!J23:J47,MATCH($C9,Peer_EMBI_Bench!E23:E47,0)),"")</f>
        <v/>
      </c>
      <c r="L9" s="10">
        <f>IFERROR(INDEX(Rich_Cheap_Rank!P$2:P$26,MATCH($C9,Rich_Cheap_Rank!B$2:B$26,0)),"")</f>
        <v/>
      </c>
      <c r="M9" s="21">
        <f>IFERROR(LARGE(IF(Rich_Cheap_Rank!M$2:M$26="PASS",Rich_Cheap_Rank!N$2:N$26),2),"")</f>
        <v/>
      </c>
      <c r="N9" s="38">
        <f>IFERROR(UST_Curve!C27,1)</f>
        <v/>
      </c>
      <c r="O9" s="21">
        <f>IFERROR(J9*N9,"")</f>
        <v/>
      </c>
    </row>
    <row r="10">
      <c r="B10" s="27" t="n">
        <v>3</v>
      </c>
      <c r="C10" s="10">
        <f>IFERROR(INDEX(Rich_Cheap_Rank!B$2:B$26,MATCH(M10,Rich_Cheap_Rank!N$2:N$26,0)),"")</f>
        <v/>
      </c>
      <c r="D10" s="10">
        <f>IFERROR(INDEX(Bonds_Static!C2:C26,MATCH($C10,Bonds_Static!A2:A26,0)),"")</f>
        <v/>
      </c>
      <c r="E10" s="22">
        <f>IFERROR(INDEX(Bonds_Static!G2:G26,MATCH($C10,Bonds_Static!A2:A26,0)),"")</f>
        <v/>
      </c>
      <c r="F10" s="21">
        <f>IFERROR(INDEX(Curve_Fit!F2:F26,MATCH($C10,Curve_Fit!A2:A26,0)),"")</f>
        <v/>
      </c>
      <c r="G10" s="21">
        <f>IFERROR(INDEX(Bonds_Live!Q2:Q26,MATCH($C10,Bonds_Live!A2:A26,0)),"")</f>
        <v/>
      </c>
      <c r="H10" s="21">
        <f>IFERROR(INDEX(Carry_Roll!M2:M26,MATCH($C10,Carry_Roll!A2:A26,0)),"")</f>
        <v/>
      </c>
      <c r="I10" s="21">
        <f>IFERROR(H10,"")</f>
        <v/>
      </c>
      <c r="J10" s="21">
        <f>IFERROR(H10+(-G10*(Settings!$C$30+Settings!$C$31)/100+IFERROR(INDEX(Bonds_Live!S2:S26,MATCH($C10,Bonds_Live!A2:A26,0)),0)*POWER(Settings!$C$30+Settings!$C$31,2)/2000000),"")</f>
        <v/>
      </c>
      <c r="K10" s="21">
        <f>IFERROR(INDEX(Peer_EMBI_Bench!J23:J47,MATCH($C10,Peer_EMBI_Bench!E23:E47,0)),"")</f>
        <v/>
      </c>
      <c r="L10" s="10">
        <f>IFERROR(INDEX(Rich_Cheap_Rank!P$2:P$26,MATCH($C10,Rich_Cheap_Rank!B$2:B$26,0)),"")</f>
        <v/>
      </c>
      <c r="M10" s="21">
        <f>IFERROR(LARGE(IF(Rich_Cheap_Rank!M$2:M$26="PASS",Rich_Cheap_Rank!N$2:N$26),3),"")</f>
        <v/>
      </c>
      <c r="N10" s="38">
        <f>IFERROR(UST_Curve!C27,1)</f>
        <v/>
      </c>
      <c r="O10" s="21">
        <f>IFERROR(J10*N10,"")</f>
        <v/>
      </c>
    </row>
    <row r="12">
      <c r="B12" s="5" t="inlineStr">
        <is>
          <t>TOP 3 SHORT IDEAS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 t="n"/>
    </row>
    <row r="13" ht="32" customHeight="1">
      <c r="B13" s="20" t="inlineStr">
        <is>
          <t>#</t>
        </is>
      </c>
      <c r="C13" s="20" t="inlineStr">
        <is>
          <t>ISIN</t>
        </is>
      </c>
      <c r="D13" s="20" t="inlineStr">
        <is>
          <t>Description</t>
        </is>
      </c>
      <c r="E13" s="20" t="inlineStr">
        <is>
          <t>τ</t>
        </is>
      </c>
      <c r="F13" s="20" t="inlineStr">
        <is>
          <t>Residual (bp)</t>
        </is>
      </c>
      <c r="G13" s="20" t="inlineStr">
        <is>
          <t>MDur</t>
        </is>
      </c>
      <c r="H13" s="20" t="inlineStr">
        <is>
          <t>12M C+R (%)</t>
        </is>
      </c>
      <c r="I13" s="20" t="inlineStr">
        <is>
          <t>12M TR base</t>
        </is>
      </c>
      <c r="J13" s="20" t="inlineStr">
        <is>
          <t>12M TR central view</t>
        </is>
      </c>
      <c r="K13" s="20" t="inlineStr">
        <is>
          <t>Outperf vs EMBI (%)</t>
        </is>
      </c>
      <c r="L13" s="20" t="inlineStr">
        <is>
          <t>Action</t>
        </is>
      </c>
      <c r="M13" s="20" t="inlineStr">
        <is>
          <t>Composite z</t>
        </is>
      </c>
      <c r="N13" s="20" t="inlineStr">
        <is>
          <t>Size scalar</t>
        </is>
      </c>
      <c r="O13" s="20" t="inlineStr">
        <is>
          <t>Sized 12M TR (%)</t>
        </is>
      </c>
    </row>
    <row r="14">
      <c r="B14" s="27" t="n">
        <v>1</v>
      </c>
      <c r="C14" s="10">
        <f>IFERROR(INDEX(Rich_Cheap_Rank!B$2:B$26,MATCH(M14,Rich_Cheap_Rank!N$2:N$26,0)),"")</f>
        <v/>
      </c>
      <c r="D14" s="10">
        <f>IFERROR(INDEX(Bonds_Static!C2:C26,MATCH($C14,Bonds_Static!A2:A26,0)),"")</f>
        <v/>
      </c>
      <c r="E14" s="22">
        <f>IFERROR(INDEX(Bonds_Static!G2:G26,MATCH($C14,Bonds_Static!A2:A26,0)),"")</f>
        <v/>
      </c>
      <c r="F14" s="21">
        <f>IFERROR(INDEX(Curve_Fit!F2:F26,MATCH($C14,Curve_Fit!A2:A26,0)),"")</f>
        <v/>
      </c>
      <c r="G14" s="21">
        <f>IFERROR(INDEX(Bonds_Live!Q2:Q26,MATCH($C14,Bonds_Live!A2:A26,0)),"")</f>
        <v/>
      </c>
      <c r="H14" s="21">
        <f>IFERROR(INDEX(Carry_Roll!M2:M26,MATCH($C14,Carry_Roll!A2:A26,0)),"")</f>
        <v/>
      </c>
      <c r="I14" s="21">
        <f>IFERROR(-H14,"")</f>
        <v/>
      </c>
      <c r="J14" s="21">
        <f>IFERROR(-H14-(-G14*(Settings!$C$30+Settings!$C$31)/100+IFERROR(INDEX(Bonds_Live!S2:S26,MATCH($C14,Bonds_Live!A2:A26,0)),0)*POWER(Settings!$C$30+Settings!$C$31,2)/2000000),"")</f>
        <v/>
      </c>
      <c r="K14" s="21">
        <f>IFERROR(-INDEX(Peer_EMBI_Bench!J23:J47,MATCH($C14,Peer_EMBI_Bench!E23:E47,0)),"")</f>
        <v/>
      </c>
      <c r="L14" s="10">
        <f>IFERROR(INDEX(Rich_Cheap_Rank!P$2:P$26,MATCH($C14,Rich_Cheap_Rank!B$2:B$26,0)),"")</f>
        <v/>
      </c>
      <c r="M14" s="21">
        <f>IFERROR(SMALL(IF(Rich_Cheap_Rank!M$2:M$26="PASS",Rich_Cheap_Rank!N$2:N$26),1),"")</f>
        <v/>
      </c>
      <c r="N14" s="38">
        <f>IFERROR(UST_Curve!C27,1)</f>
        <v/>
      </c>
      <c r="O14" s="21">
        <f>IFERROR(J14*N14,"")</f>
        <v/>
      </c>
    </row>
    <row r="15">
      <c r="B15" s="27" t="n">
        <v>2</v>
      </c>
      <c r="C15" s="10">
        <f>IFERROR(INDEX(Rich_Cheap_Rank!B$2:B$26,MATCH(M15,Rich_Cheap_Rank!N$2:N$26,0)),"")</f>
        <v/>
      </c>
      <c r="D15" s="10">
        <f>IFERROR(INDEX(Bonds_Static!C2:C26,MATCH($C15,Bonds_Static!A2:A26,0)),"")</f>
        <v/>
      </c>
      <c r="E15" s="22">
        <f>IFERROR(INDEX(Bonds_Static!G2:G26,MATCH($C15,Bonds_Static!A2:A26,0)),"")</f>
        <v/>
      </c>
      <c r="F15" s="21">
        <f>IFERROR(INDEX(Curve_Fit!F2:F26,MATCH($C15,Curve_Fit!A2:A26,0)),"")</f>
        <v/>
      </c>
      <c r="G15" s="21">
        <f>IFERROR(INDEX(Bonds_Live!Q2:Q26,MATCH($C15,Bonds_Live!A2:A26,0)),"")</f>
        <v/>
      </c>
      <c r="H15" s="21">
        <f>IFERROR(INDEX(Carry_Roll!M2:M26,MATCH($C15,Carry_Roll!A2:A26,0)),"")</f>
        <v/>
      </c>
      <c r="I15" s="21">
        <f>IFERROR(-H15,"")</f>
        <v/>
      </c>
      <c r="J15" s="21">
        <f>IFERROR(-H15-(-G15*(Settings!$C$30+Settings!$C$31)/100+IFERROR(INDEX(Bonds_Live!S2:S26,MATCH($C15,Bonds_Live!A2:A26,0)),0)*POWER(Settings!$C$30+Settings!$C$31,2)/2000000),"")</f>
        <v/>
      </c>
      <c r="K15" s="21">
        <f>IFERROR(-INDEX(Peer_EMBI_Bench!J23:J47,MATCH($C15,Peer_EMBI_Bench!E23:E47,0)),"")</f>
        <v/>
      </c>
      <c r="L15" s="10">
        <f>IFERROR(INDEX(Rich_Cheap_Rank!P$2:P$26,MATCH($C15,Rich_Cheap_Rank!B$2:B$26,0)),"")</f>
        <v/>
      </c>
      <c r="M15" s="21">
        <f>IFERROR(SMALL(IF(Rich_Cheap_Rank!M$2:M$26="PASS",Rich_Cheap_Rank!N$2:N$26),2),"")</f>
        <v/>
      </c>
      <c r="N15" s="38">
        <f>IFERROR(UST_Curve!C27,1)</f>
        <v/>
      </c>
      <c r="O15" s="21">
        <f>IFERROR(J15*N15,"")</f>
        <v/>
      </c>
    </row>
    <row r="16">
      <c r="B16" s="27" t="n">
        <v>3</v>
      </c>
      <c r="C16" s="10">
        <f>IFERROR(INDEX(Rich_Cheap_Rank!B$2:B$26,MATCH(M16,Rich_Cheap_Rank!N$2:N$26,0)),"")</f>
        <v/>
      </c>
      <c r="D16" s="10">
        <f>IFERROR(INDEX(Bonds_Static!C2:C26,MATCH($C16,Bonds_Static!A2:A26,0)),"")</f>
        <v/>
      </c>
      <c r="E16" s="22">
        <f>IFERROR(INDEX(Bonds_Static!G2:G26,MATCH($C16,Bonds_Static!A2:A26,0)),"")</f>
        <v/>
      </c>
      <c r="F16" s="21">
        <f>IFERROR(INDEX(Curve_Fit!F2:F26,MATCH($C16,Curve_Fit!A2:A26,0)),"")</f>
        <v/>
      </c>
      <c r="G16" s="21">
        <f>IFERROR(INDEX(Bonds_Live!Q2:Q26,MATCH($C16,Bonds_Live!A2:A26,0)),"")</f>
        <v/>
      </c>
      <c r="H16" s="21">
        <f>IFERROR(INDEX(Carry_Roll!M2:M26,MATCH($C16,Carry_Roll!A2:A26,0)),"")</f>
        <v/>
      </c>
      <c r="I16" s="21">
        <f>IFERROR(-H16,"")</f>
        <v/>
      </c>
      <c r="J16" s="21">
        <f>IFERROR(-H16-(-G16*(Settings!$C$30+Settings!$C$31)/100+IFERROR(INDEX(Bonds_Live!S2:S26,MATCH($C16,Bonds_Live!A2:A26,0)),0)*POWER(Settings!$C$30+Settings!$C$31,2)/2000000),"")</f>
        <v/>
      </c>
      <c r="K16" s="21">
        <f>IFERROR(-INDEX(Peer_EMBI_Bench!J23:J47,MATCH($C16,Peer_EMBI_Bench!E23:E47,0)),"")</f>
        <v/>
      </c>
      <c r="L16" s="10">
        <f>IFERROR(INDEX(Rich_Cheap_Rank!P$2:P$26,MATCH($C16,Rich_Cheap_Rank!B$2:B$26,0)),"")</f>
        <v/>
      </c>
      <c r="M16" s="21">
        <f>IFERROR(SMALL(IF(Rich_Cheap_Rank!M$2:M$26="PASS",Rich_Cheap_Rank!N$2:N$26),3),"")</f>
        <v/>
      </c>
      <c r="N16" s="38">
        <f>IFERROR(UST_Curve!C27,1)</f>
        <v/>
      </c>
      <c r="O16" s="21">
        <f>IFERROR(J16*N16,"")</f>
        <v/>
      </c>
    </row>
    <row r="18">
      <c r="B18" s="5" t="inlineStr">
        <is>
          <t>TOP 3 RV PAIRS (Long cheap / Short rich, duration-matched)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7" t="n"/>
    </row>
    <row r="19" ht="36" customHeight="1">
      <c r="B19" s="20" t="inlineStr">
        <is>
          <t>#</t>
        </is>
      </c>
      <c r="C19" s="20" t="inlineStr">
        <is>
          <t>Long ISIN</t>
        </is>
      </c>
      <c r="D19" s="20" t="inlineStr">
        <is>
          <t>Long Desc</t>
        </is>
      </c>
      <c r="E19" s="20" t="inlineStr">
        <is>
          <t>Short ISIN</t>
        </is>
      </c>
      <c r="F19" s="20" t="inlineStr">
        <is>
          <t>Short Desc</t>
        </is>
      </c>
      <c r="G19" s="20" t="inlineStr">
        <is>
          <t>Long τ</t>
        </is>
      </c>
      <c r="H19" s="20" t="inlineStr">
        <is>
          <t>Short τ</t>
        </is>
      </c>
      <c r="I19" s="20" t="inlineStr">
        <is>
          <t>Long MDur</t>
        </is>
      </c>
      <c r="J19" s="20" t="inlineStr">
        <is>
          <t>Short MDur</t>
        </is>
      </c>
      <c r="K19" s="20" t="inlineStr">
        <is>
          <t>Residual diff (bp, L-S)</t>
        </is>
      </c>
      <c r="L19" s="20" t="inlineStr">
        <is>
          <t>DV01-neutral hedge ratio</t>
        </is>
      </c>
      <c r="M19" s="20" t="inlineStr">
        <is>
          <t>Expected 12M PnL (% of long notional)</t>
        </is>
      </c>
    </row>
    <row r="20">
      <c r="B20" s="27" t="n">
        <v>1</v>
      </c>
      <c r="C20" s="24">
        <f>C8</f>
        <v/>
      </c>
      <c r="D20" s="24">
        <f>D8</f>
        <v/>
      </c>
      <c r="E20" s="24">
        <f>C14</f>
        <v/>
      </c>
      <c r="F20" s="24">
        <f>D14</f>
        <v/>
      </c>
      <c r="G20" s="25">
        <f>E8</f>
        <v/>
      </c>
      <c r="H20" s="25">
        <f>E14</f>
        <v/>
      </c>
      <c r="I20" s="11">
        <f>G8</f>
        <v/>
      </c>
      <c r="J20" s="11">
        <f>G14</f>
        <v/>
      </c>
      <c r="K20" s="21">
        <f>IFERROR(F8-F14,"")</f>
        <v/>
      </c>
      <c r="L20" s="40">
        <f>IFERROR(I20/J20,"")</f>
        <v/>
      </c>
      <c r="M20" s="21">
        <f>IFERROR(K20/2/100,"")</f>
        <v/>
      </c>
    </row>
    <row r="21">
      <c r="B21" s="27" t="n">
        <v>2</v>
      </c>
      <c r="C21" s="24">
        <f>C9</f>
        <v/>
      </c>
      <c r="D21" s="24">
        <f>D9</f>
        <v/>
      </c>
      <c r="E21" s="24">
        <f>C15</f>
        <v/>
      </c>
      <c r="F21" s="24">
        <f>D15</f>
        <v/>
      </c>
      <c r="G21" s="25">
        <f>E9</f>
        <v/>
      </c>
      <c r="H21" s="25">
        <f>E15</f>
        <v/>
      </c>
      <c r="I21" s="11">
        <f>G9</f>
        <v/>
      </c>
      <c r="J21" s="11">
        <f>G15</f>
        <v/>
      </c>
      <c r="K21" s="21">
        <f>IFERROR(F9-F15,"")</f>
        <v/>
      </c>
      <c r="L21" s="40">
        <f>IFERROR(I21/J21,"")</f>
        <v/>
      </c>
      <c r="M21" s="21">
        <f>IFERROR(K21/2/100,"")</f>
        <v/>
      </c>
    </row>
    <row r="22">
      <c r="B22" s="27" t="n">
        <v>3</v>
      </c>
      <c r="C22" s="24">
        <f>C10</f>
        <v/>
      </c>
      <c r="D22" s="24">
        <f>D10</f>
        <v/>
      </c>
      <c r="E22" s="24">
        <f>C16</f>
        <v/>
      </c>
      <c r="F22" s="24">
        <f>D16</f>
        <v/>
      </c>
      <c r="G22" s="25">
        <f>E10</f>
        <v/>
      </c>
      <c r="H22" s="25">
        <f>E16</f>
        <v/>
      </c>
      <c r="I22" s="11">
        <f>G10</f>
        <v/>
      </c>
      <c r="J22" s="11">
        <f>G16</f>
        <v/>
      </c>
      <c r="K22" s="21">
        <f>IFERROR(F10-F16,"")</f>
        <v/>
      </c>
      <c r="L22" s="40">
        <f>IFERROR(I22/J22,"")</f>
        <v/>
      </c>
      <c r="M22" s="21">
        <f>IFERROR(K22/2/100,"")</f>
        <v/>
      </c>
    </row>
    <row r="24">
      <c r="B24" s="33" t="inlineStr">
        <is>
          <t>Assumptions: 12M TR ≈ Carry + Roll + (-MDur×Δy + ½·Conv·Δy²). Δy = Central-view ΔUST + Δspread (Settings!C30 + C31). RV PnL assumes 50% mean-reversion of the residual spread within 12M; hedge ratio is DV01-neutral on the short leg.</t>
        </is>
      </c>
    </row>
    <row r="25"/>
  </sheetData>
  <mergeCells count="5">
    <mergeCell ref="B4:O4"/>
    <mergeCell ref="B12:O12"/>
    <mergeCell ref="B6:O6"/>
    <mergeCell ref="B24:L25"/>
    <mergeCell ref="B18:L18"/>
  </mergeCells>
  <conditionalFormatting sqref="J8:J1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J14:J16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2026-05-11T15:19:01Z</dcterms:created>
  <dcterms:modified xmlns:dcterms="http://purl.org/dc/terms/" xmlns:xsi="http://www.w3.org/2001/XMLSchema-instance" xsi:type="dcterms:W3CDTF">2026-05-11T15:19:02Z</dcterms:modified>
</cp:coreProperties>
</file>