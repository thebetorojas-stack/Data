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DP" sheetId="2" state="visible" r:id="rId2"/>
    <sheet xmlns:r="http://schemas.openxmlformats.org/officeDocument/2006/relationships" name="CPI" sheetId="3" state="visible" r:id="rId3"/>
    <sheet xmlns:r="http://schemas.openxmlformats.org/officeDocument/2006/relationships" name="Policy rate" sheetId="4" state="visible" r:id="rId4"/>
    <sheet xmlns:r="http://schemas.openxmlformats.org/officeDocument/2006/relationships" name="Fiscal" sheetId="5" state="visible" r:id="rId5"/>
    <sheet xmlns:r="http://schemas.openxmlformats.org/officeDocument/2006/relationships" name="External" sheetId="6" state="visible" r:id="rId6"/>
    <sheet xmlns:r="http://schemas.openxmlformats.org/officeDocument/2006/relationships" name="Politics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#,##0.0;(#,##0.0);-"/>
    <numFmt numFmtId="166" formatCode="#,##0.00;(#,##0.00);-"/>
    <numFmt numFmtId="167" formatCode="+0.0;-0.0;0.0"/>
    <numFmt numFmtId="168" formatCode="+0.00;-0.00;0.00"/>
    <numFmt numFmtId="169" formatCode="0.0%"/>
    <numFmt numFmtId="170" formatCode="+0.00;-0.00"/>
    <numFmt numFmtId="171" formatCode="#,##0;(#,##0);-"/>
    <numFmt numFmtId="172" formatCode="0.0x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6B6B"/>
      <sz val="9"/>
    </font>
    <font>
      <name val="Arial"/>
      <b val="1"/>
      <color rgb="001F3B63"/>
      <sz val="11"/>
    </font>
    <font>
      <name val="Arial"/>
      <b val="1"/>
      <color rgb="001A1A1A"/>
      <sz val="9"/>
    </font>
    <font>
      <name val="Arial"/>
      <color rgb="001A1A1A"/>
      <sz val="9"/>
    </font>
    <font>
      <name val="Arial"/>
      <b val="1"/>
      <sz val="9"/>
    </font>
    <font>
      <name val="Arial"/>
      <color rgb="000000FF"/>
      <sz val="9"/>
    </font>
    <font>
      <name val="Arial"/>
      <i val="1"/>
      <color rgb="006B6B6B"/>
      <sz val="8"/>
    </font>
    <font>
      <name val="Arial"/>
      <b val="1"/>
      <color rgb="000000FF"/>
      <sz val="9"/>
    </font>
    <font>
      <name val="Arial"/>
      <color rgb="00008000"/>
      <sz val="8"/>
    </font>
    <font>
      <name val="Arial"/>
      <color rgb="00008000"/>
      <sz val="9"/>
    </font>
    <font>
      <name val="Arial"/>
      <b val="1"/>
      <color rgb="00008000"/>
      <sz val="9"/>
    </font>
  </fonts>
  <fills count="4">
    <fill>
      <patternFill/>
    </fill>
    <fill>
      <patternFill patternType="gray125"/>
    </fill>
    <fill>
      <patternFill patternType="solid">
        <fgColor rgb="001F3B63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1F3B63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vertical="top" wrapText="1"/>
    </xf>
    <xf numFmtId="165" fontId="7" fillId="0" borderId="0" applyAlignment="1" pivotButton="0" quotePrefix="0" xfId="0">
      <alignment vertical="top" wrapText="1"/>
    </xf>
    <xf numFmtId="166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164" fontId="7" fillId="0" borderId="0" pivotButton="0" quotePrefix="0" xfId="0"/>
    <xf numFmtId="167" fontId="5" fillId="0" borderId="0" pivotButton="0" quotePrefix="0" xfId="0"/>
    <xf numFmtId="0" fontId="4" fillId="0" borderId="0" pivotButton="0" quotePrefix="0" xfId="0"/>
    <xf numFmtId="164" fontId="9" fillId="0" borderId="0" pivotButton="0" quotePrefix="0" xfId="0"/>
    <xf numFmtId="167" fontId="4" fillId="0" borderId="0" pivotButton="0" quotePrefix="0" xfId="0"/>
    <xf numFmtId="2" fontId="7" fillId="0" borderId="0" pivotButton="0" quotePrefix="0" xfId="0"/>
    <xf numFmtId="0" fontId="10" fillId="0" borderId="0" pivotButton="0" quotePrefix="0" xfId="0"/>
    <xf numFmtId="164" fontId="10" fillId="0" borderId="0" pivotButton="0" quotePrefix="0" xfId="0"/>
    <xf numFmtId="168" fontId="5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169" fontId="4" fillId="0" borderId="0" pivotButton="0" quotePrefix="0" xfId="0"/>
    <xf numFmtId="10" fontId="5" fillId="0" borderId="0" pivotButton="0" quotePrefix="0" xfId="0"/>
    <xf numFmtId="2" fontId="5" fillId="0" borderId="0" pivotButton="0" quotePrefix="0" xfId="0"/>
    <xf numFmtId="169" fontId="5" fillId="0" borderId="0" pivotButton="0" quotePrefix="0" xfId="0"/>
    <xf numFmtId="2" fontId="11" fillId="0" borderId="0" pivotButton="0" quotePrefix="0" xfId="0"/>
    <xf numFmtId="170" fontId="5" fillId="0" borderId="0" pivotButton="0" quotePrefix="0" xfId="0"/>
    <xf numFmtId="171" fontId="7" fillId="0" borderId="0" pivotButton="0" quotePrefix="0" xfId="0"/>
    <xf numFmtId="165" fontId="9" fillId="0" borderId="0" pivotButton="0" quotePrefix="0" xfId="0"/>
    <xf numFmtId="165" fontId="7" fillId="0" borderId="0" pivotButton="0" quotePrefix="0" xfId="0"/>
    <xf numFmtId="165" fontId="4" fillId="0" borderId="0" pivotButton="0" quotePrefix="0" xfId="0"/>
    <xf numFmtId="164" fontId="5" fillId="0" borderId="0" pivotButton="0" quotePrefix="0" xfId="0"/>
    <xf numFmtId="169" fontId="12" fillId="0" borderId="0" pivotButton="0" quotePrefix="0" xfId="0"/>
    <xf numFmtId="165" fontId="5" fillId="0" borderId="0" pivotButton="0" quotePrefix="0" xfId="0"/>
    <xf numFmtId="169" fontId="11" fillId="0" borderId="0" pivotButton="0" quotePrefix="0" xfId="0"/>
    <xf numFmtId="172" fontId="4" fillId="0" borderId="0" pivotButton="0" quotePrefix="0" xfId="0"/>
    <xf numFmtId="169" fontId="7" fillId="0" borderId="0" pivotButton="0" quotePrefix="0" xfId="0"/>
    <xf numFmtId="166" fontId="7" fillId="0" borderId="0" pivotButton="0" quotePrefix="0" xfId="0"/>
    <xf numFmtId="166" fontId="5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IMAE % y/y, 2026</a:t>
            </a:r>
          </a:p>
        </rich>
      </tx>
    </title>
    <plotArea>
      <barChart>
        <barDir val="col"/>
        <grouping val="clustered"/>
        <ser>
          <idx val="0"/>
          <order val="0"/>
          <tx>
            <v>IMAE</v>
          </tx>
          <spPr>
            <a:solidFill xmlns:a="http://schemas.openxmlformats.org/drawingml/2006/main">
              <a:srgbClr val="2F5C8F"/>
            </a:solidFill>
            <a:ln xmlns:a="http://schemas.openxmlformats.org/drawingml/2006/main">
              <a:noFill/>
              <a:prstDash val="solid"/>
            </a:ln>
          </spPr>
          <cat>
            <numRef>
              <f>'GDP'!$I$52:$I$56</f>
            </numRef>
          </cat>
          <val>
            <numRef>
              <f>'GDP'!$J$52:$J$56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.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Inflation y/y (%) vs target band</a:t>
            </a:r>
          </a:p>
        </rich>
      </tx>
    </title>
    <plotArea>
      <lineChart>
        <grouping val="standard"/>
        <ser>
          <idx val="0"/>
          <order val="0"/>
          <tx>
            <v>Headline</v>
          </tx>
          <spPr>
            <a:ln xmlns:a="http://schemas.openxmlformats.org/drawingml/2006/main" w="22000">
              <a:solidFill>
                <a:srgbClr val="2F5C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'CPI'!$B$7:$B$26</f>
            </numRef>
          </cat>
          <val>
            <numRef>
              <f>'CPI'!$D$7:$D$26</f>
            </numRef>
          </val>
          <smooth val="0"/>
        </ser>
        <ser>
          <idx val="1"/>
          <order val="1"/>
          <tx>
            <v>Core</v>
          </tx>
          <spPr>
            <a:ln xmlns:a="http://schemas.openxmlformats.org/drawingml/2006/main" w="22000">
              <a:solidFill>
                <a:srgbClr val="D149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'CPI'!$B$7:$B$26</f>
            </numRef>
          </cat>
          <val>
            <numRef>
              <f>'CPI'!$E$7:$E$26</f>
            </numRef>
          </val>
          <smooth val="0"/>
        </ser>
        <ser>
          <idx val="2"/>
          <order val="2"/>
          <tx>
            <v>Upper 5%</v>
          </tx>
          <spPr>
            <a:ln xmlns:a="http://schemas.openxmlformats.org/drawingml/2006/main" w="12000">
              <a:solidFill>
                <a:srgbClr val="BFC9D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'CPI'!$B$7:$B$26</f>
            </numRef>
          </cat>
          <val>
            <numRef>
              <f>'CPI'!$F$7:$F$26</f>
            </numRef>
          </val>
          <smooth val="0"/>
        </ser>
        <ser>
          <idx val="3"/>
          <order val="3"/>
          <tx>
            <v>Lower 3%</v>
          </tx>
          <spPr>
            <a:ln xmlns:a="http://schemas.openxmlformats.org/drawingml/2006/main" w="12000">
              <a:solidFill>
                <a:srgbClr val="BFC9D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'CPI'!$B$7:$B$26</f>
            </numRef>
          </cat>
          <val>
            <numRef>
              <f>'CPI'!$G$7:$G$26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.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TPM vs inflation (%)</a:t>
            </a:r>
          </a:p>
        </rich>
      </tx>
    </title>
    <plotArea>
      <lineChart>
        <grouping val="standard"/>
        <ser>
          <idx val="0"/>
          <order val="0"/>
          <tx>
            <v>TPM</v>
          </tx>
          <spPr>
            <a:ln xmlns:a="http://schemas.openxmlformats.org/drawingml/2006/main" w="22000">
              <a:solidFill>
                <a:srgbClr val="2F5C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'Policy rate'!$B$7:$B$17</f>
            </numRef>
          </cat>
          <val>
            <numRef>
              <f>'Policy rate'!$C$7:$C$17</f>
            </numRef>
          </val>
          <smooth val="0"/>
        </ser>
        <ser>
          <idx val="1"/>
          <order val="1"/>
          <tx>
            <v>Headline CPI</v>
          </tx>
          <spPr>
            <a:ln xmlns:a="http://schemas.openxmlformats.org/drawingml/2006/main" w="22000">
              <a:solidFill>
                <a:srgbClr val="D149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'Policy rate'!$B$7:$B$17</f>
            </numRef>
          </cat>
          <val>
            <numRef>
              <f>'Policy rate'!$E$7:$E$17</f>
            </numRef>
          </val>
          <smooth val="0"/>
        </ser>
        <ser>
          <idx val="2"/>
          <order val="2"/>
          <tx>
            <v>Core CPI</v>
          </tx>
          <spPr>
            <a:ln xmlns:a="http://schemas.openxmlformats.org/drawingml/2006/main" w="22000">
              <a:solidFill>
                <a:srgbClr val="E8A33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'Policy rate'!$B$7:$B$17</f>
            </numRef>
          </cat>
          <val>
            <numRef>
              <f>'Policy rate'!$F$7:$F$17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.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RD$/US$ monthly avg (buy)</a:t>
            </a:r>
          </a:p>
        </rich>
      </tx>
    </title>
    <plotArea>
      <lineChart>
        <grouping val="standard"/>
        <ser>
          <idx val="0"/>
          <order val="0"/>
          <tx>
            <v>2024</v>
          </tx>
          <spPr>
            <a:ln xmlns:a="http://schemas.openxmlformats.org/drawingml/2006/main" w="22000">
              <a:solidFill>
                <a:srgbClr val="BFC9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'External'!$B$59:$B$70</f>
            </numRef>
          </cat>
          <val>
            <numRef>
              <f>'External'!$C$59:$C$70</f>
            </numRef>
          </val>
          <smooth val="0"/>
        </ser>
        <ser>
          <idx val="1"/>
          <order val="1"/>
          <tx>
            <v>2025</v>
          </tx>
          <spPr>
            <a:ln xmlns:a="http://schemas.openxmlformats.org/drawingml/2006/main" w="22000">
              <a:solidFill>
                <a:srgbClr val="2F5C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'External'!$B$59:$B$70</f>
            </numRef>
          </cat>
          <val>
            <numRef>
              <f>'External'!$D$59:$D$70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56"/>
        </scaling>
        <axPos val="l"/>
        <majorGridlines/>
        <numFmt formatCode="0.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Claude</author>
  </authors>
  <commentList>
    <comment ref="C7" authorId="0" shapeId="0">
      <text>
        <t>= 7,897,551.3 / 1.0668. MHE reports 2025 nominal growth 6.68%.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4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1F3B63"/>
    <outlinePr summaryBelow="1" summaryRight="1"/>
    <pageSetUpPr/>
  </sheetPr>
  <dimension ref="B2:H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2" customWidth="1" min="3" max="3"/>
    <col width="11" customWidth="1" min="4" max="4"/>
    <col width="11" customWidth="1" min="5" max="5"/>
    <col width="18" customWidth="1" min="6" max="6"/>
    <col width="16" customWidth="1" min="7" max="7"/>
    <col width="60" customWidth="1" min="8" max="8"/>
  </cols>
  <sheetData>
    <row r="2" ht="26" customHeight="1">
      <c r="B2" s="1" t="inlineStr">
        <is>
          <t>Dominican Republic - macro snapshot</t>
        </is>
      </c>
    </row>
    <row r="3">
      <c r="B3" s="2" t="inlineStr">
        <is>
          <t>As of 1-Sep-2026. Blue = hardcoded source input; black = formula; green = link to another tab. Sources on each tab and in 'Sources'.</t>
        </is>
      </c>
    </row>
    <row r="5">
      <c r="B5" s="3" t="inlineStr">
        <is>
          <t>Key indicators</t>
        </is>
      </c>
    </row>
    <row r="6">
      <c r="B6" s="4" t="inlineStr">
        <is>
          <t>Indicator</t>
        </is>
      </c>
      <c r="C6" s="4" t="inlineStr">
        <is>
          <t>Unit</t>
        </is>
      </c>
      <c r="D6" s="4" t="inlineStr">
        <is>
          <t>2024</t>
        </is>
      </c>
      <c r="E6" s="4" t="inlineStr">
        <is>
          <t>2025</t>
        </is>
      </c>
      <c r="F6" s="4" t="inlineStr">
        <is>
          <t>2026 latest / YTD</t>
        </is>
      </c>
      <c r="G6" s="4" t="inlineStr">
        <is>
          <t>2026 forecast</t>
        </is>
      </c>
      <c r="H6" s="4" t="inlineStr">
        <is>
          <t>Source</t>
        </is>
      </c>
    </row>
    <row r="7">
      <c r="B7" s="5" t="inlineStr">
        <is>
          <t>Real GDP growth</t>
        </is>
      </c>
      <c r="C7" s="6" t="inlineStr">
        <is>
          <t>% y/y</t>
        </is>
      </c>
      <c r="D7" s="7" t="n">
        <v>5</v>
      </c>
      <c r="E7" s="7" t="n">
        <v>2.1</v>
      </c>
      <c r="F7" s="6" t="inlineStr">
        <is>
          <t>4.5% (Jan-Jul IMAE avg)</t>
        </is>
      </c>
      <c r="G7" s="6" t="inlineStr">
        <is>
          <t>4.5% BCRD / 3.75% MHE / 3.7% IMF</t>
        </is>
      </c>
      <c r="H7" s="6" t="inlineStr">
        <is>
          <t>BCRD; MHE MFMP; IMF WEO Apr-26</t>
        </is>
      </c>
    </row>
    <row r="8">
      <c r="B8" s="5" t="inlineStr">
        <is>
          <t>Headline CPI (Dec/latest)</t>
        </is>
      </c>
      <c r="C8" s="6" t="inlineStr">
        <is>
          <t>% y/y</t>
        </is>
      </c>
      <c r="D8" s="7" t="n">
        <v>3.35</v>
      </c>
      <c r="E8" s="7" t="n">
        <v>4.95</v>
      </c>
      <c r="F8" s="6" t="inlineStr">
        <is>
          <t>5.47% (Jul-26)</t>
        </is>
      </c>
      <c r="G8" s="6" t="inlineStr">
        <is>
          <t>4.5% Dec (MHE); BCRD: back in 4%±1% in 4Q26</t>
        </is>
      </c>
      <c r="H8" s="6" t="inlineStr">
        <is>
          <t>BCRD IPC</t>
        </is>
      </c>
    </row>
    <row r="9">
      <c r="B9" s="5" t="inlineStr">
        <is>
          <t>Core CPI</t>
        </is>
      </c>
      <c r="C9" s="6" t="inlineStr">
        <is>
          <t>% y/y</t>
        </is>
      </c>
      <c r="D9" s="7" t="n">
        <v>4.01</v>
      </c>
      <c r="E9" s="7" t="n">
        <v>4.85</v>
      </c>
      <c r="F9" s="6" t="inlineStr">
        <is>
          <t>4.96% (Jul-26)</t>
        </is>
      </c>
      <c r="G9" s="6" t="inlineStr">
        <is>
          <t>n.a.</t>
        </is>
      </c>
      <c r="H9" s="6" t="inlineStr">
        <is>
          <t>BCRD IPC</t>
        </is>
      </c>
    </row>
    <row r="10">
      <c r="B10" s="5" t="inlineStr">
        <is>
          <t>Policy rate (TPM)</t>
        </is>
      </c>
      <c r="C10" s="6" t="inlineStr">
        <is>
          <t>%</t>
        </is>
      </c>
      <c r="D10" s="7" t="n">
        <v>5.75</v>
      </c>
      <c r="E10" s="7" t="n">
        <v>5.25</v>
      </c>
      <c r="F10" s="6" t="inlineStr">
        <is>
          <t>5.25% (held 31-Aug-26)</t>
        </is>
      </c>
      <c r="G10" s="6" t="inlineStr">
        <is>
          <t>n.a.</t>
        </is>
      </c>
      <c r="H10" s="6" t="inlineStr">
        <is>
          <t>BCRD, Comunicado de politica monetaria, 31-Aug-2026</t>
        </is>
      </c>
    </row>
    <row r="11">
      <c r="B11" s="5" t="inlineStr">
        <is>
          <t>Central govt balance</t>
        </is>
      </c>
      <c r="C11" s="6" t="inlineStr">
        <is>
          <t>% GDP</t>
        </is>
      </c>
      <c r="D11" s="7" t="n">
        <v>-3.1</v>
      </c>
      <c r="E11" s="7" t="n">
        <v>-3.6</v>
      </c>
      <c r="F11" s="6" t="inlineStr">
        <is>
          <t>-3.24% budget (rev. Jul-26)</t>
        </is>
      </c>
      <c r="G11" s="6" t="inlineStr">
        <is>
          <t>-3.1% MFMP</t>
        </is>
      </c>
      <c r="H11" s="6" t="inlineStr">
        <is>
          <t>BCRD; MHE MFMP; Acento 28-Jul-26</t>
        </is>
      </c>
    </row>
    <row r="12">
      <c r="B12" s="5" t="inlineStr">
        <is>
          <t>Central govt primary balance</t>
        </is>
      </c>
      <c r="C12" s="6" t="inlineStr">
        <is>
          <t>% GDP</t>
        </is>
      </c>
      <c r="D12" s="7" t="n">
        <v>0.3</v>
      </c>
      <c r="E12" s="7" t="n">
        <v>-0.1</v>
      </c>
      <c r="F12" s="6" t="inlineStr">
        <is>
          <t>n.a.</t>
        </is>
      </c>
      <c r="G12" s="6" t="inlineStr">
        <is>
          <t>+0.5% MFMP</t>
        </is>
      </c>
      <c r="H12" s="6" t="inlineStr">
        <is>
          <t>MHE MFMP</t>
        </is>
      </c>
    </row>
    <row r="13">
      <c r="B13" s="5" t="inlineStr">
        <is>
          <t>SPNF balance</t>
        </is>
      </c>
      <c r="C13" s="6" t="inlineStr">
        <is>
          <t>% GDP</t>
        </is>
      </c>
      <c r="D13" s="7" t="n">
        <v>-3.2</v>
      </c>
      <c r="E13" s="7" t="n">
        <v>-3.3</v>
      </c>
      <c r="F13" s="6" t="inlineStr">
        <is>
          <t>n.a.</t>
        </is>
      </c>
      <c r="G13" s="6" t="inlineStr">
        <is>
          <t>n.a.</t>
        </is>
      </c>
      <c r="H13" s="6" t="inlineStr">
        <is>
          <t>BCRD</t>
        </is>
      </c>
    </row>
    <row r="14">
      <c r="B14" s="5" t="inlineStr">
        <is>
          <t>SPNF debt</t>
        </is>
      </c>
      <c r="C14" s="6" t="inlineStr">
        <is>
          <t>% GDP</t>
        </is>
      </c>
      <c r="D14" s="6" t="inlineStr">
        <is>
          <t>47.6 (calc)</t>
        </is>
      </c>
      <c r="E14" s="7" t="n">
        <v>48.1</v>
      </c>
      <c r="F14" s="6" t="inlineStr">
        <is>
          <t>48.2% (Jul-26, US$67.8bn)</t>
        </is>
      </c>
      <c r="G14" s="6" t="inlineStr">
        <is>
          <t>48.4% MFMP</t>
        </is>
      </c>
      <c r="H14" s="6" t="inlineStr">
        <is>
          <t>DGCP (creditopublico.gob.do), saldo deuda SPNF, Jul-2026 (17-Aug-2026)</t>
        </is>
      </c>
    </row>
    <row r="15">
      <c r="B15" s="5" t="inlineStr">
        <is>
          <t>Consolidated public debt (SPNF+BCRD)</t>
        </is>
      </c>
      <c r="C15" s="6" t="inlineStr">
        <is>
          <t>% GDP</t>
        </is>
      </c>
      <c r="D15" s="6" t="inlineStr">
        <is>
          <t>n.a.</t>
        </is>
      </c>
      <c r="E15" s="6" t="inlineStr">
        <is>
          <t>n.a.</t>
        </is>
      </c>
      <c r="F15" s="6" t="inlineStr">
        <is>
          <t>59.5% (Jun-26, US$83.8bn)</t>
        </is>
      </c>
      <c r="G15" s="6" t="inlineStr">
        <is>
          <t>n.a.</t>
        </is>
      </c>
      <c r="H15" s="6" t="inlineStr">
        <is>
          <t>DGCP via press, Jun-26</t>
        </is>
      </c>
    </row>
    <row r="16">
      <c r="B16" s="5" t="inlineStr">
        <is>
          <t>Interest / central govt revenue</t>
        </is>
      </c>
      <c r="C16" s="6" t="inlineStr">
        <is>
          <t>%</t>
        </is>
      </c>
      <c r="D16" s="7" t="n">
        <v>20.7</v>
      </c>
      <c r="E16" s="7" t="n">
        <v>21.9</v>
      </c>
      <c r="F16" s="6" t="inlineStr">
        <is>
          <t>n.a.</t>
        </is>
      </c>
      <c r="G16" s="6" t="inlineStr">
        <is>
          <t>23.1% (2026 budget)</t>
        </is>
      </c>
      <c r="H16" s="6" t="inlineStr">
        <is>
          <t>BCRD (calc); MHE MFMP</t>
        </is>
      </c>
    </row>
    <row r="17">
      <c r="B17" s="5" t="inlineStr">
        <is>
          <t>Current account</t>
        </is>
      </c>
      <c r="C17" s="6" t="inlineStr">
        <is>
          <t>% GDP</t>
        </is>
      </c>
      <c r="D17" s="7" t="n">
        <v>-3.1</v>
      </c>
      <c r="E17" s="7" t="n">
        <v>-1.2</v>
      </c>
      <c r="F17" s="6" t="inlineStr">
        <is>
          <t>n.a.</t>
        </is>
      </c>
      <c r="G17" s="6" t="inlineStr">
        <is>
          <t>-1.3% BCRD / -1.5% IMF</t>
        </is>
      </c>
      <c r="H17" s="6" t="inlineStr">
        <is>
          <t>BCRD; IMF WEO Apr-26</t>
        </is>
      </c>
    </row>
    <row r="18">
      <c r="B18" s="5" t="inlineStr">
        <is>
          <t>Current account</t>
        </is>
      </c>
      <c r="C18" s="6" t="inlineStr">
        <is>
          <t>US$ mn</t>
        </is>
      </c>
      <c r="D18" s="8" t="n">
        <v>-3804.7</v>
      </c>
      <c r="E18" s="8" t="n">
        <v>-1508.2</v>
      </c>
      <c r="F18" s="6" t="inlineStr">
        <is>
          <t>n.a.</t>
        </is>
      </c>
      <c r="G18" s="6" t="inlineStr">
        <is>
          <t>n.a.</t>
        </is>
      </c>
      <c r="H18" s="6" t="inlineStr">
        <is>
          <t>BCRD, Resultados preliminares de la economia dominicana, ene-dic 2025 (Feb-2026)</t>
        </is>
      </c>
    </row>
    <row r="19">
      <c r="B19" s="5" t="inlineStr">
        <is>
          <t>FDI (net inflow)</t>
        </is>
      </c>
      <c r="C19" s="6" t="inlineStr">
        <is>
          <t>US$ mn</t>
        </is>
      </c>
      <c r="D19" s="8" t="n">
        <v>4523.2</v>
      </c>
      <c r="E19" s="8" t="n">
        <v>5032.3</v>
      </c>
      <c r="F19" s="6" t="inlineStr">
        <is>
          <t>3,276.5 (H1-26, +7.7%)</t>
        </is>
      </c>
      <c r="G19" s="6" t="inlineStr">
        <is>
          <t>&gt;5,300 BCRD</t>
        </is>
      </c>
      <c r="H19" s="6" t="inlineStr">
        <is>
          <t>BCRD</t>
        </is>
      </c>
    </row>
    <row r="20">
      <c r="B20" s="5" t="inlineStr">
        <is>
          <t>Remittances</t>
        </is>
      </c>
      <c r="C20" s="6" t="inlineStr">
        <is>
          <t>US$ mn</t>
        </is>
      </c>
      <c r="D20" s="8" t="n">
        <v>10756</v>
      </c>
      <c r="E20" s="8" t="n">
        <v>11866.3</v>
      </c>
      <c r="F20" s="6" t="inlineStr">
        <is>
          <t>6,291.3 (H1-26, +6.7%)</t>
        </is>
      </c>
      <c r="G20" s="6" t="inlineStr">
        <is>
          <t>n.a.</t>
        </is>
      </c>
      <c r="H20" s="6" t="inlineStr">
        <is>
          <t>BCRD</t>
        </is>
      </c>
    </row>
    <row r="21">
      <c r="B21" s="5" t="inlineStr">
        <is>
          <t>Tourism receipts</t>
        </is>
      </c>
      <c r="C21" s="6" t="inlineStr">
        <is>
          <t>US$ mn</t>
        </is>
      </c>
      <c r="D21" s="8" t="n">
        <v>10972.4</v>
      </c>
      <c r="E21" s="8" t="n">
        <v>11318.5</v>
      </c>
      <c r="F21" s="6" t="inlineStr">
        <is>
          <t>6,716.0 (H1-26, +15.3%)</t>
        </is>
      </c>
      <c r="G21" s="6" t="inlineStr">
        <is>
          <t>n.a.</t>
        </is>
      </c>
      <c r="H21" s="6" t="inlineStr">
        <is>
          <t>BCRD</t>
        </is>
      </c>
    </row>
    <row r="22">
      <c r="B22" s="5" t="inlineStr">
        <is>
          <t>Gross international reserves</t>
        </is>
      </c>
      <c r="C22" s="6" t="inlineStr">
        <is>
          <t>US$ mn</t>
        </is>
      </c>
      <c r="D22" s="8" t="n">
        <v>13387.6</v>
      </c>
      <c r="E22" s="8" t="n">
        <v>14691.2</v>
      </c>
      <c r="F22" s="6" t="inlineStr">
        <is>
          <t>&gt;15,000 (Aug-26)</t>
        </is>
      </c>
      <c r="G22" s="6" t="inlineStr">
        <is>
          <t>n.a.</t>
        </is>
      </c>
      <c r="H22" s="6" t="inlineStr">
        <is>
          <t>BCRD</t>
        </is>
      </c>
    </row>
    <row r="23">
      <c r="B23" s="5" t="inlineStr">
        <is>
          <t>Reserves</t>
        </is>
      </c>
      <c r="C23" s="6" t="inlineStr">
        <is>
          <t>% GDP / months imports</t>
        </is>
      </c>
      <c r="D23" s="6" t="inlineStr">
        <is>
          <t>10.8% (calc) / n.a.</t>
        </is>
      </c>
      <c r="E23" s="6" t="inlineStr">
        <is>
          <t>11.5% / 5.6</t>
        </is>
      </c>
      <c r="F23" s="6" t="inlineStr">
        <is>
          <t>~11% / ~5</t>
        </is>
      </c>
      <c r="G23" s="6" t="inlineStr">
        <is>
          <t>n.a.</t>
        </is>
      </c>
      <c r="H23" s="6" t="inlineStr">
        <is>
          <t>BCRD</t>
        </is>
      </c>
    </row>
    <row r="24">
      <c r="B24" s="5" t="inlineStr">
        <is>
          <t>RD$/US$ (end-period, sell)</t>
        </is>
      </c>
      <c r="C24" s="6" t="inlineStr">
        <is>
          <t>RD$</t>
        </is>
      </c>
      <c r="D24" s="9" t="n">
        <v>60.94</v>
      </c>
      <c r="E24" s="9" t="n">
        <v>63.64</v>
      </c>
      <c r="F24" s="6" t="inlineStr">
        <is>
          <t>~58.5 (Aug-26; peso +7-8% YTD)</t>
        </is>
      </c>
      <c r="G24" s="6" t="inlineStr">
        <is>
          <t>63.95 avg (MHE, Mar-26 - stale)</t>
        </is>
      </c>
      <c r="H24" s="6" t="inlineStr">
        <is>
          <t>BCRD; MHE</t>
        </is>
      </c>
    </row>
    <row r="25">
      <c r="B25" s="5" t="inlineStr">
        <is>
          <t>Sovereign ratings (FC LT)</t>
        </is>
      </c>
      <c r="C25" s="6" t="inlineStr"/>
      <c r="D25" s="6" t="inlineStr"/>
      <c r="E25" s="6" t="inlineStr">
        <is>
          <t>Moody's Ba2 stb (upgr. 2025); S&amp;P BB stb; Fitch BB- pos</t>
        </is>
      </c>
      <c r="F25" s="6" t="inlineStr">
        <is>
          <t>Fitch outlook to Stable (Apr-26); others unchanged</t>
        </is>
      </c>
      <c r="G25" s="6" t="inlineStr"/>
      <c r="H25" s="6" t="inlineStr">
        <is>
          <t>MHE MFMP; agencies</t>
        </is>
      </c>
    </row>
    <row r="26">
      <c r="B26" s="10" t="inlineStr">
        <is>
          <t>2024 remittances and tourism receipts derived: 2025 level less reported y/y increase (US$1,110.3mn and US$346.1mn). 2024 SPNF debt/GDP and interest/revenue computed from BCRD RD$ tables and MHE GDP.</t>
        </is>
      </c>
    </row>
    <row r="27">
      <c r="B27" s="10" t="inlineStr">
        <is>
          <t>2024/2025 FX is BCRD end-Dec sell rate. 2026 level is approximate (BCRD reports +8% appreciation vs end-2025 at end-Jul, &gt;7% at end-Aug); pull spot from Bloomberg (DOP Curncy) before publication.</t>
        </is>
      </c>
    </row>
    <row r="29">
      <c r="B29" s="3" t="inlineStr">
        <is>
          <t>Bottom line</t>
        </is>
      </c>
    </row>
    <row r="30" ht="40" customHeight="1">
      <c r="B30" s="6" t="inlineStr">
        <is>
          <t>- Growth has re-accelerated: IMAE +4.5% Jan-Jul 2026 after 2.1% in 2025, led by construction (public + private investment), mining (gold) and tourism. BCRD now guides ~4.5% for 2026; MHE/IMF are at 3.7-3.8%.</t>
        </is>
      </c>
    </row>
    <row r="31" ht="40" customHeight="1">
      <c r="B31" s="6" t="inlineStr">
        <is>
          <t>- Inflation breached the 4%±1% band from Apr-26 (oil shock from the Middle East conflict) but peaked in June (5.67%) and is turning down (5.47% Jul); core is inside the band (4.96%). Fuel subsidies are absorbing part of the shock.</t>
        </is>
      </c>
    </row>
    <row r="32" ht="40" customHeight="1">
      <c r="B32" s="6" t="inlineStr">
        <is>
          <t>- BCRD on hold at 5.25% since Nov-2025; it guides headline back in band in 4Q26. Ex-ante real rate is thin (~0.3pp vs core) - no rush to cut, no reason to hike while the peso is appreciating.</t>
        </is>
      </c>
    </row>
    <row r="33" ht="40" customHeight="1">
      <c r="B33" s="6" t="inlineStr">
        <is>
          <t>- Fiscal: CG deficit 3.6% of GDP in 2025 (primary deficit 0.1%), budgeted 3.1-3.2% for 2026. Ley 30-26 (Jun-26) adds ~0.4-0.5% of GDP via a temporary 30% CIT on large firms and other measures; July budget reformulation added RD$41bn spending. Interest is the binding constraint: 23% of revenue in 2026 - highest in LatAm ex-Mexico per MHE's own peer chart.</t>
        </is>
      </c>
    </row>
    <row r="34" ht="40" customHeight="1">
      <c r="B34" s="6" t="inlineStr">
        <is>
          <t>- External accounts are the strong leg: CA deficit ~1.2-1.5% of GDP fully FDI-financed (FDI ~4% of GDP), reserves &gt;US$15bn (~11% GDP), peso +7-8% YTD. Watch: overvaluation debate and reversal risk if oil stays high or US remittances slow.</t>
        </is>
      </c>
    </row>
    <row r="35" ht="40" customHeight="1">
      <c r="B35" s="6" t="inlineStr">
        <is>
          <t>- Politics: Abinader (PRM) second term to Aug-2028, cannot run again. Approval ~50-58% depending on pollster. 2028 succession: Collado (PRM) vs Leonel/Omar Fernández (FP). Policy continuity risk is low near-term; reform depth (tax base, electricity) remains the medium-term gap.</t>
        </is>
      </c>
    </row>
  </sheetData>
  <mergeCells count="6">
    <mergeCell ref="B32:H32"/>
    <mergeCell ref="B35:H35"/>
    <mergeCell ref="B30:H30"/>
    <mergeCell ref="B33:H33"/>
    <mergeCell ref="B34:H34"/>
    <mergeCell ref="B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B63"/>
    <outlinePr summaryBelow="1" summaryRight="1"/>
    <pageSetUpPr/>
  </sheetPr>
  <dimension ref="B1:J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0" customWidth="1" min="3" max="3"/>
    <col width="10" customWidth="1" min="4" max="4"/>
    <col width="12" customWidth="1" min="5" max="5"/>
    <col width="50" customWidth="1" min="6" max="6"/>
    <col width="12" customWidth="1" min="7" max="7"/>
    <col width="50" customWidth="1" min="8" max="8"/>
  </cols>
  <sheetData>
    <row r="1"/>
    <row r="2" ht="26" customHeight="1">
      <c r="B2" s="1" t="inlineStr">
        <is>
          <t>Real activity</t>
        </is>
      </c>
    </row>
    <row r="3">
      <c r="B3" s="2" t="inlineStr">
        <is>
          <t>Sectoral GDP growth (BCRD) and 2026 monthly IMAE. Blue = source input; black = formula.</t>
        </is>
      </c>
    </row>
    <row r="4"/>
    <row r="5">
      <c r="B5" s="3" t="inlineStr">
        <is>
          <t>Real GDP by activity (% y/y)</t>
        </is>
      </c>
    </row>
    <row r="6">
      <c r="B6" s="11" t="inlineStr">
        <is>
          <t>Activity</t>
        </is>
      </c>
      <c r="C6" s="11" t="inlineStr">
        <is>
          <t>2024</t>
        </is>
      </c>
      <c r="D6" s="11" t="inlineStr">
        <is>
          <t>2025</t>
        </is>
      </c>
      <c r="E6" s="11" t="inlineStr">
        <is>
          <t>Change (pp)</t>
        </is>
      </c>
      <c r="F6" s="11" t="inlineStr">
        <is>
          <t>2025 contribution (pp)</t>
        </is>
      </c>
    </row>
    <row r="7">
      <c r="B7" s="12" t="inlineStr">
        <is>
          <t>Agriculture &amp; livestock</t>
        </is>
      </c>
      <c r="C7" s="13" t="n">
        <v>4.9</v>
      </c>
      <c r="D7" s="13" t="n">
        <v>3.7</v>
      </c>
      <c r="E7" s="14">
        <f>D7-C7</f>
        <v/>
      </c>
      <c r="F7" s="13" t="n">
        <v>0.2</v>
      </c>
    </row>
    <row r="8">
      <c r="B8" s="12" t="inlineStr">
        <is>
          <t>Mining &amp; quarrying</t>
        </is>
      </c>
      <c r="C8" s="13" t="n">
        <v>-5.2</v>
      </c>
      <c r="D8" s="13" t="n">
        <v>4.6</v>
      </c>
      <c r="E8" s="14">
        <f>D8-C8</f>
        <v/>
      </c>
      <c r="F8" s="13" t="n">
        <v>0.1</v>
      </c>
    </row>
    <row r="9">
      <c r="B9" s="12" t="inlineStr">
        <is>
          <t>Local manufacturing</t>
        </is>
      </c>
      <c r="C9" s="13" t="n">
        <v>4.3</v>
      </c>
      <c r="D9" s="13" t="n">
        <v>1.4</v>
      </c>
      <c r="E9" s="14">
        <f>D9-C9</f>
        <v/>
      </c>
      <c r="F9" s="13" t="n">
        <v>0.2</v>
      </c>
    </row>
    <row r="10">
      <c r="B10" s="12" t="inlineStr">
        <is>
          <t>Free-zone manufacturing</t>
        </is>
      </c>
      <c r="C10" s="13" t="n">
        <v>4.3</v>
      </c>
      <c r="D10" s="13" t="n">
        <v>1.8</v>
      </c>
      <c r="E10" s="14">
        <f>D10-C10</f>
        <v/>
      </c>
      <c r="F10" s="13" t="n">
        <v>0.1</v>
      </c>
    </row>
    <row r="11">
      <c r="B11" s="12" t="inlineStr">
        <is>
          <t>Construction</t>
        </is>
      </c>
      <c r="C11" s="13" t="n">
        <v>2.1</v>
      </c>
      <c r="D11" s="13" t="n">
        <v>-1.8</v>
      </c>
      <c r="E11" s="14">
        <f>D11-C11</f>
        <v/>
      </c>
      <c r="F11" s="13" t="n">
        <v>-0.2</v>
      </c>
    </row>
    <row r="12">
      <c r="B12" s="15" t="inlineStr">
        <is>
          <t>Services (total)</t>
        </is>
      </c>
      <c r="C12" s="16" t="n">
        <v>5.5</v>
      </c>
      <c r="D12" s="16" t="n">
        <v>2.8</v>
      </c>
      <c r="E12" s="17">
        <f>D12-C12</f>
        <v/>
      </c>
      <c r="F12" s="16" t="n">
        <v>1.7</v>
      </c>
    </row>
    <row r="13">
      <c r="B13" s="12" t="inlineStr">
        <is>
          <t xml:space="preserve">  Energy &amp; water</t>
        </is>
      </c>
      <c r="C13" s="13" t="n">
        <v>7</v>
      </c>
      <c r="D13" s="13" t="n">
        <v>2.8</v>
      </c>
      <c r="E13" s="14">
        <f>D13-C13</f>
        <v/>
      </c>
      <c r="F13" s="13" t="n">
        <v>0</v>
      </c>
    </row>
    <row r="14">
      <c r="B14" s="12" t="inlineStr">
        <is>
          <t xml:space="preserve">  Commerce</t>
        </is>
      </c>
      <c r="C14" s="13" t="n">
        <v>5.6</v>
      </c>
      <c r="D14" s="13" t="n">
        <v>2.1</v>
      </c>
      <c r="E14" s="14">
        <f>D14-C14</f>
        <v/>
      </c>
      <c r="F14" s="13" t="n">
        <v>0.2</v>
      </c>
    </row>
    <row r="15">
      <c r="B15" s="12" t="inlineStr">
        <is>
          <t xml:space="preserve">  Hotels, bars &amp; restaurants</t>
        </is>
      </c>
      <c r="C15" s="13" t="n">
        <v>9.5</v>
      </c>
      <c r="D15" s="13" t="n">
        <v>3.5</v>
      </c>
      <c r="E15" s="14">
        <f>D15-C15</f>
        <v/>
      </c>
      <c r="F15" s="13" t="n">
        <v>0.3</v>
      </c>
    </row>
    <row r="16">
      <c r="B16" s="12" t="inlineStr">
        <is>
          <t xml:space="preserve">  Transport &amp; storage</t>
        </is>
      </c>
      <c r="C16" s="13" t="n">
        <v>5.7</v>
      </c>
      <c r="D16" s="13" t="n">
        <v>4.1</v>
      </c>
      <c r="E16" s="14">
        <f>D16-C16</f>
        <v/>
      </c>
      <c r="F16" s="13" t="n">
        <v>0.3</v>
      </c>
    </row>
    <row r="17">
      <c r="B17" s="12" t="inlineStr">
        <is>
          <t xml:space="preserve">  Communications</t>
        </is>
      </c>
      <c r="C17" s="13" t="n">
        <v>3.2</v>
      </c>
      <c r="D17" s="13" t="n">
        <v>0.4</v>
      </c>
      <c r="E17" s="14">
        <f>D17-C17</f>
        <v/>
      </c>
      <c r="F17" s="13" t="n">
        <v>0</v>
      </c>
    </row>
    <row r="18">
      <c r="B18" s="12" t="inlineStr">
        <is>
          <t xml:space="preserve">  Financial services</t>
        </is>
      </c>
      <c r="C18" s="13" t="n">
        <v>8.1</v>
      </c>
      <c r="D18" s="13" t="n">
        <v>7.5</v>
      </c>
      <c r="E18" s="14">
        <f>D18-C18</f>
        <v/>
      </c>
      <c r="F18" s="13" t="n">
        <v>0.3</v>
      </c>
    </row>
    <row r="19">
      <c r="B19" s="12" t="inlineStr">
        <is>
          <t xml:space="preserve">  Real estate &amp; rentals</t>
        </is>
      </c>
      <c r="C19" s="13" t="n">
        <v>3.8</v>
      </c>
      <c r="D19" s="13" t="n">
        <v>3.1</v>
      </c>
      <c r="E19" s="14">
        <f>D19-C19</f>
        <v/>
      </c>
      <c r="F19" s="13" t="n">
        <v>0.2</v>
      </c>
    </row>
    <row r="20">
      <c r="B20" s="12" t="inlineStr">
        <is>
          <t xml:space="preserve">  Public administration</t>
        </is>
      </c>
      <c r="C20" s="13" t="n">
        <v>0.7</v>
      </c>
      <c r="D20" s="13" t="n">
        <v>1.6</v>
      </c>
      <c r="E20" s="14">
        <f>D20-C20</f>
        <v/>
      </c>
      <c r="F20" s="13" t="n">
        <v>0.1</v>
      </c>
    </row>
    <row r="21">
      <c r="B21" s="12" t="inlineStr">
        <is>
          <t xml:space="preserve">  Education</t>
        </is>
      </c>
      <c r="C21" s="13" t="n">
        <v>4.3</v>
      </c>
      <c r="D21" s="13" t="n">
        <v>3.1</v>
      </c>
      <c r="E21" s="14">
        <f>D21-C21</f>
        <v/>
      </c>
      <c r="F21" s="13" t="n">
        <v>0.1</v>
      </c>
    </row>
    <row r="22">
      <c r="B22" s="12" t="inlineStr">
        <is>
          <t xml:space="preserve">  Health</t>
        </is>
      </c>
      <c r="C22" s="13" t="n">
        <v>4.3</v>
      </c>
      <c r="D22" s="13" t="n">
        <v>-0.2</v>
      </c>
      <c r="E22" s="14">
        <f>D22-C22</f>
        <v/>
      </c>
      <c r="F22" s="13" t="n">
        <v>0</v>
      </c>
    </row>
    <row r="23">
      <c r="B23" s="12" t="inlineStr">
        <is>
          <t xml:space="preserve">  Professional services</t>
        </is>
      </c>
      <c r="C23" s="13" t="n">
        <v>4.2</v>
      </c>
      <c r="D23" s="13" t="n">
        <v>-0.4</v>
      </c>
      <c r="E23" s="14">
        <f>D23-C23</f>
        <v/>
      </c>
      <c r="F23" s="13" t="n">
        <v>0</v>
      </c>
    </row>
    <row r="24">
      <c r="B24" s="12" t="inlineStr">
        <is>
          <t xml:space="preserve">  Other market services</t>
        </is>
      </c>
      <c r="C24" s="13" t="n">
        <v>3.7</v>
      </c>
      <c r="D24" s="13" t="n">
        <v>1.6</v>
      </c>
      <c r="E24" s="14">
        <f>D24-C24</f>
        <v/>
      </c>
      <c r="F24" s="13" t="n">
        <v>0</v>
      </c>
    </row>
    <row r="25">
      <c r="B25" s="15" t="inlineStr">
        <is>
          <t>Gross value added</t>
        </is>
      </c>
      <c r="C25" s="16" t="n">
        <v>4.7</v>
      </c>
      <c r="D25" s="16" t="n">
        <v>2.2</v>
      </c>
      <c r="E25" s="17">
        <f>D25-C25</f>
        <v/>
      </c>
    </row>
    <row r="26">
      <c r="B26" s="12" t="inlineStr">
        <is>
          <t>Net taxes on production</t>
        </is>
      </c>
      <c r="C26" s="13" t="n">
        <v>8.699999999999999</v>
      </c>
      <c r="D26" s="13" t="n">
        <v>1.5</v>
      </c>
      <c r="E26" s="14">
        <f>D26-C26</f>
        <v/>
      </c>
    </row>
    <row r="27">
      <c r="B27" s="15" t="inlineStr">
        <is>
          <t>GDP</t>
        </is>
      </c>
      <c r="C27" s="16" t="n">
        <v>5</v>
      </c>
      <c r="D27" s="16" t="n">
        <v>2.1</v>
      </c>
      <c r="E27" s="17">
        <f>D27-C27</f>
        <v/>
      </c>
      <c r="F27" s="16" t="n">
        <v>2.1</v>
      </c>
    </row>
    <row r="28">
      <c r="B28" s="10" t="inlineStr">
        <is>
          <t>Source: BCRD, Resultados preliminares de la economia dominicana, ene-dic 2025 (Feb-2026); contributions from MHE MFMP Cuadro 1. Construction is 12.5% of GDP, services 61.8% of value added (MHE).</t>
        </is>
      </c>
    </row>
    <row r="29"/>
    <row r="30">
      <c r="B30" s="3" t="inlineStr">
        <is>
          <t>2026 monthly activity (IMAE, % y/y)</t>
        </is>
      </c>
    </row>
    <row r="31">
      <c r="B31" s="11" t="inlineStr">
        <is>
          <t>Period</t>
        </is>
      </c>
      <c r="C31" s="11" t="inlineStr">
        <is>
          <t>IMAE % y/y</t>
        </is>
      </c>
      <c r="D31" s="11" t="inlineStr">
        <is>
          <t>Construction</t>
        </is>
      </c>
      <c r="E31" s="11" t="inlineStr">
        <is>
          <t>Mining</t>
        </is>
      </c>
      <c r="F31" s="11" t="inlineStr">
        <is>
          <t>Hotels/bars/rest.</t>
        </is>
      </c>
      <c r="G31" s="11" t="inlineStr">
        <is>
          <t>Fin. services</t>
        </is>
      </c>
      <c r="H31" s="11" t="inlineStr">
        <is>
          <t>Note</t>
        </is>
      </c>
    </row>
    <row r="32">
      <c r="B32" s="12" t="inlineStr">
        <is>
          <t>1Q 2026 (avg)</t>
        </is>
      </c>
      <c r="C32" s="13" t="n">
        <v>4.1</v>
      </c>
      <c r="D32" s="13" t="n">
        <v>6.6</v>
      </c>
      <c r="E32" s="13" t="n">
        <v>7.7</v>
      </c>
      <c r="F32" s="13" t="n">
        <v>6.2</v>
      </c>
      <c r="G32" s="13" t="n">
        <v>5.9</v>
      </c>
      <c r="H32" s="12" t="inlineStr">
        <is>
          <t>MHE MFMP citing BCRD; tourist arrivals +12.2% in 1Q</t>
        </is>
      </c>
    </row>
    <row r="33">
      <c r="B33" s="12" t="inlineStr">
        <is>
          <t>Mar-26</t>
        </is>
      </c>
      <c r="C33" s="13" t="n">
        <v>5.1</v>
      </c>
      <c r="D33" s="12" t="n"/>
      <c r="E33" s="12" t="n"/>
      <c r="F33" s="12" t="n"/>
      <c r="G33" s="12" t="n"/>
      <c r="H33" s="12" t="inlineStr">
        <is>
          <t>MHE MFMP chart label</t>
        </is>
      </c>
    </row>
    <row r="34">
      <c r="B34" s="12" t="inlineStr">
        <is>
          <t>Apr-26</t>
        </is>
      </c>
      <c r="C34" s="13" t="n">
        <v>3.7</v>
      </c>
      <c r="D34" s="13" t="n">
        <v>-1.8</v>
      </c>
      <c r="E34" s="12" t="n"/>
      <c r="F34" s="12" t="n"/>
      <c r="G34" s="12" t="n"/>
      <c r="H34" s="12" t="inlineStr">
        <is>
          <t>Derived: Jan-Apr avg 4.0% less 1Q avg 4.1%. Construction -1.8% in April per BCRD</t>
        </is>
      </c>
    </row>
    <row r="35">
      <c r="B35" s="12" t="inlineStr">
        <is>
          <t>May-26</t>
        </is>
      </c>
      <c r="C35" s="13" t="n">
        <v>4.7</v>
      </c>
      <c r="D35" s="13" t="n">
        <v>7.1</v>
      </c>
      <c r="E35" s="13" t="n">
        <v>6.4</v>
      </c>
      <c r="F35" s="13" t="n">
        <v>6.2</v>
      </c>
      <c r="G35" s="12" t="n"/>
      <c r="H35" s="12" t="inlineStr">
        <is>
          <t>BCRD 25-Jun-26; services +5.3%, local mfg +2.9%</t>
        </is>
      </c>
    </row>
    <row r="36">
      <c r="B36" s="12" t="inlineStr">
        <is>
          <t>Jun-26</t>
        </is>
      </c>
      <c r="C36" s="13" t="n">
        <v>6.4</v>
      </c>
      <c r="D36" s="12" t="n"/>
      <c r="E36" s="13" t="n">
        <v>18.1</v>
      </c>
      <c r="F36" s="12" t="n"/>
      <c r="G36" s="12" t="n"/>
      <c r="H36" s="12" t="inlineStr">
        <is>
          <t>BCRD 23-Jul-26; strongest print of the year; trend-cycle 5.5%; FZ mfg +5.8%</t>
        </is>
      </c>
    </row>
    <row r="37">
      <c r="B37" s="12" t="inlineStr">
        <is>
          <t>2Q 2026 (avg)</t>
        </is>
      </c>
      <c r="C37" s="13" t="n">
        <v>5</v>
      </c>
      <c r="D37" s="12" t="n"/>
      <c r="E37" s="12" t="n"/>
      <c r="F37" s="12" t="n"/>
      <c r="G37" s="12" t="n"/>
      <c r="H37" s="12" t="inlineStr">
        <is>
          <t>BCRD</t>
        </is>
      </c>
    </row>
    <row r="38">
      <c r="B38" s="12" t="inlineStr">
        <is>
          <t>Jul-26</t>
        </is>
      </c>
      <c r="C38" s="13" t="n">
        <v>4.6</v>
      </c>
      <c r="D38" s="13" t="n">
        <v>8.1</v>
      </c>
      <c r="E38" s="13" t="n">
        <v>-15.9</v>
      </c>
      <c r="F38" s="13" t="n">
        <v>5.6</v>
      </c>
      <c r="G38" s="13" t="n">
        <v>8.4</v>
      </c>
      <c r="H38" s="12" t="inlineStr">
        <is>
          <t>BCRD 25-Aug-26; FZ mfg +5.5%, local mfg +3.7%, agro +1.9%, services +4.8%</t>
        </is>
      </c>
    </row>
    <row r="39">
      <c r="B39" s="12" t="inlineStr">
        <is>
          <t>Jan-Jul 2026 (avg)</t>
        </is>
      </c>
      <c r="C39" s="13" t="n">
        <v>4.5</v>
      </c>
      <c r="D39" s="12" t="n"/>
      <c r="E39" s="12" t="n"/>
      <c r="F39" s="12" t="n"/>
      <c r="G39" s="12" t="n"/>
      <c r="H39" s="12" t="inlineStr">
        <is>
          <t>BCRD</t>
        </is>
      </c>
    </row>
    <row r="40">
      <c r="B40" s="10" t="inlineStr">
        <is>
          <t>Mining swing (Jun +18.1% / Jul -15.9%) reflects gold extraction timing at the main mine; treat monthly mining as noise. 2025 comparators: 1H25 +2.2%, Jan-Oct25 +2.0%.</t>
        </is>
      </c>
    </row>
    <row r="41"/>
    <row r="42">
      <c r="B42" s="3" t="inlineStr">
        <is>
          <t>Growth forecasts 2026-2027 (% y/y)</t>
        </is>
      </c>
    </row>
    <row r="43">
      <c r="B43" s="11" t="inlineStr">
        <is>
          <t>Source</t>
        </is>
      </c>
      <c r="C43" s="11" t="inlineStr">
        <is>
          <t>2026</t>
        </is>
      </c>
      <c r="D43" s="11" t="inlineStr">
        <is>
          <t>2027</t>
        </is>
      </c>
      <c r="E43" s="11" t="inlineStr">
        <is>
          <t>Date</t>
        </is>
      </c>
      <c r="F43" s="11" t="inlineStr">
        <is>
          <t>Comment</t>
        </is>
      </c>
    </row>
    <row r="44">
      <c r="B44" s="12" t="inlineStr">
        <is>
          <t>BCRD (Aug-26 communique)</t>
        </is>
      </c>
      <c r="C44" s="18" t="n">
        <v>4.5</v>
      </c>
      <c r="D44" s="12" t="n"/>
      <c r="E44" s="12" t="inlineStr">
        <is>
          <t>31-Aug-26</t>
        </is>
      </c>
      <c r="F44" s="12" t="inlineStr">
        <is>
          <t>Raised from ~4.0% (Jan-26) on investment impulse and external resilience</t>
        </is>
      </c>
    </row>
    <row r="45">
      <c r="B45" s="12" t="inlineStr">
        <is>
          <t>MHE Panorama Macroeconomico / MFMP</t>
        </is>
      </c>
      <c r="C45" s="18" t="n">
        <v>3.75</v>
      </c>
      <c r="D45" s="18" t="n">
        <v>5</v>
      </c>
      <c r="E45" s="12" t="inlineStr">
        <is>
          <t>Mar/Apr-26</t>
        </is>
      </c>
      <c r="F45" s="12" t="inlineStr">
        <is>
          <t>Converges to ~5% potential from 2027; conditional on Middle East conflict</t>
        </is>
      </c>
    </row>
    <row r="46">
      <c r="B46" s="12" t="inlineStr">
        <is>
          <t>IMF WEO</t>
        </is>
      </c>
      <c r="C46" s="18" t="n">
        <v>3.7</v>
      </c>
      <c r="D46" s="18" t="n">
        <v>4.4</v>
      </c>
      <c r="E46" s="12" t="inlineStr">
        <is>
          <t>Apr-26</t>
        </is>
      </c>
      <c r="F46" s="12" t="inlineStr">
        <is>
          <t>Nov-25 Article IV had 4.5% for 2026 before the oil shock</t>
        </is>
      </c>
    </row>
    <row r="47">
      <c r="B47" s="12" t="inlineStr">
        <is>
          <t>Potential growth (BCRD)</t>
        </is>
      </c>
      <c r="C47" s="18" t="n">
        <v>4.5</v>
      </c>
      <c r="D47" s="18" t="n">
        <v>5</v>
      </c>
      <c r="E47" s="12" t="inlineStr"/>
      <c r="F47" s="12" t="inlineStr">
        <is>
          <t>BCRD cites 4.0-5.0% range as potential</t>
        </is>
      </c>
    </row>
    <row r="48"/>
    <row r="49">
      <c r="B49" s="10" t="inlineStr">
        <is>
          <t>Labour market 2025 (MHE): +117,948 employed (85,764 formal / 32,184 informal); open unemployment 5.1% at year-end.</t>
        </is>
      </c>
    </row>
    <row r="51">
      <c r="I51" s="10" t="inlineStr">
        <is>
          <t>Chart helper</t>
        </is>
      </c>
    </row>
    <row r="52">
      <c r="I52" s="19">
        <f>B33</f>
        <v/>
      </c>
      <c r="J52" s="20">
        <f>C33</f>
        <v/>
      </c>
    </row>
    <row r="53">
      <c r="I53" s="19">
        <f>B34</f>
        <v/>
      </c>
      <c r="J53" s="20">
        <f>C34</f>
        <v/>
      </c>
    </row>
    <row r="54">
      <c r="I54" s="19">
        <f>B35</f>
        <v/>
      </c>
      <c r="J54" s="20">
        <f>C35</f>
        <v/>
      </c>
    </row>
    <row r="55">
      <c r="I55" s="19">
        <f>B36</f>
        <v/>
      </c>
      <c r="J55" s="20">
        <f>C36</f>
        <v/>
      </c>
    </row>
    <row r="56">
      <c r="I56" s="19">
        <f>B38</f>
        <v/>
      </c>
      <c r="J56" s="20">
        <f>C38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3B63"/>
    <outlinePr summaryBelow="1" summaryRight="1"/>
    <pageSetUpPr/>
  </sheetPr>
  <dimension ref="B2:I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60" customWidth="1" min="9" max="9"/>
  </cols>
  <sheetData>
    <row r="2" ht="26" customHeight="1">
      <c r="B2" s="1" t="inlineStr">
        <is>
          <t>Prices</t>
        </is>
      </c>
    </row>
    <row r="3">
      <c r="B3" s="2" t="inlineStr">
        <is>
          <t>Headline and core inflation (BCRD). Target 4.0% +/- 1.0%. Blue = source input; black = formula.</t>
        </is>
      </c>
    </row>
    <row r="5">
      <c r="B5" s="3" t="inlineStr">
        <is>
          <t>Monthly inflation (%)</t>
        </is>
      </c>
    </row>
    <row r="6">
      <c r="B6" s="11" t="inlineStr">
        <is>
          <t>Month</t>
        </is>
      </c>
      <c r="C6" s="11" t="inlineStr">
        <is>
          <t>Headline m/m</t>
        </is>
      </c>
      <c r="D6" s="11" t="inlineStr">
        <is>
          <t>Headline y/y</t>
        </is>
      </c>
      <c r="E6" s="11" t="inlineStr">
        <is>
          <t>Core y/y</t>
        </is>
      </c>
      <c r="F6" s="11" t="inlineStr">
        <is>
          <t>Target upper</t>
        </is>
      </c>
      <c r="G6" s="11" t="inlineStr">
        <is>
          <t>Target lower</t>
        </is>
      </c>
      <c r="H6" s="11" t="inlineStr">
        <is>
          <t>Gap to upper (pp)</t>
        </is>
      </c>
      <c r="I6" s="11" t="inlineStr">
        <is>
          <t>Note</t>
        </is>
      </c>
    </row>
    <row r="7">
      <c r="B7" s="12" t="inlineStr">
        <is>
          <t>Dec-24</t>
        </is>
      </c>
      <c r="C7" s="18" t="n">
        <v>0.7</v>
      </c>
      <c r="D7" s="18" t="n">
        <v>3.35</v>
      </c>
      <c r="E7" s="18" t="n">
        <v>4.01</v>
      </c>
      <c r="F7" s="13" t="n">
        <v>5</v>
      </c>
      <c r="G7" s="13" t="n">
        <v>3</v>
      </c>
      <c r="H7" s="21">
        <f>D7-F7</f>
        <v/>
      </c>
      <c r="I7" s="12" t="inlineStr"/>
    </row>
    <row r="8">
      <c r="B8" s="12" t="inlineStr">
        <is>
          <t>Jan-25</t>
        </is>
      </c>
      <c r="C8" s="18" t="n">
        <v>0.37</v>
      </c>
      <c r="D8" s="18" t="n">
        <v>3.32</v>
      </c>
      <c r="E8" s="18" t="n">
        <v>4.03</v>
      </c>
      <c r="F8" s="13" t="n">
        <v>5</v>
      </c>
      <c r="G8" s="13" t="n">
        <v>3</v>
      </c>
      <c r="H8" s="21">
        <f>D8-F8</f>
        <v/>
      </c>
      <c r="I8" s="12" t="inlineStr"/>
    </row>
    <row r="9">
      <c r="B9" s="12" t="inlineStr">
        <is>
          <t>Feb-25</t>
        </is>
      </c>
      <c r="C9" s="18" t="n">
        <v>0.32</v>
      </c>
      <c r="D9" s="18" t="n">
        <v>3.56</v>
      </c>
      <c r="E9" s="18" t="n">
        <v>4.21</v>
      </c>
      <c r="F9" s="13" t="n">
        <v>5</v>
      </c>
      <c r="G9" s="13" t="n">
        <v>3</v>
      </c>
      <c r="H9" s="21">
        <f>D9-F9</f>
        <v/>
      </c>
      <c r="I9" s="12" t="inlineStr"/>
    </row>
    <row r="10">
      <c r="B10" s="12" t="inlineStr">
        <is>
          <t>Mar-25</t>
        </is>
      </c>
      <c r="C10" s="18" t="n">
        <v>0.31</v>
      </c>
      <c r="D10" s="18" t="n">
        <v>3.58</v>
      </c>
      <c r="E10" s="18" t="n">
        <v>4.24</v>
      </c>
      <c r="F10" s="13" t="n">
        <v>5</v>
      </c>
      <c r="G10" s="13" t="n">
        <v>3</v>
      </c>
      <c r="H10" s="21">
        <f>D10-F10</f>
        <v/>
      </c>
      <c r="I10" s="12" t="inlineStr"/>
    </row>
    <row r="11">
      <c r="B11" s="12" t="inlineStr">
        <is>
          <t>Apr-25</t>
        </is>
      </c>
      <c r="C11" s="18" t="n">
        <v>0.03</v>
      </c>
      <c r="D11" s="18" t="n">
        <v>3.71</v>
      </c>
      <c r="E11" s="18" t="n">
        <v>4.13</v>
      </c>
      <c r="F11" s="13" t="n">
        <v>5</v>
      </c>
      <c r="G11" s="13" t="n">
        <v>3</v>
      </c>
      <c r="H11" s="21">
        <f>D11-F11</f>
        <v/>
      </c>
      <c r="I11" s="12" t="inlineStr"/>
    </row>
    <row r="12">
      <c r="B12" s="12" t="inlineStr">
        <is>
          <t>May-25</t>
        </is>
      </c>
      <c r="C12" s="18" t="n">
        <v>0.08</v>
      </c>
      <c r="D12" s="18" t="n">
        <v>3.84</v>
      </c>
      <c r="E12" s="18" t="n">
        <v>4.22</v>
      </c>
      <c r="F12" s="13" t="n">
        <v>5</v>
      </c>
      <c r="G12" s="13" t="n">
        <v>3</v>
      </c>
      <c r="H12" s="21">
        <f>D12-F12</f>
        <v/>
      </c>
      <c r="I12" s="12" t="inlineStr"/>
    </row>
    <row r="13">
      <c r="B13" s="12" t="inlineStr">
        <is>
          <t>Jun-25</t>
        </is>
      </c>
      <c r="C13" s="18" t="n">
        <v>0.21</v>
      </c>
      <c r="D13" s="18" t="n">
        <v>3.56</v>
      </c>
      <c r="E13" s="18" t="n">
        <v>4.15</v>
      </c>
      <c r="F13" s="13" t="n">
        <v>5</v>
      </c>
      <c r="G13" s="13" t="n">
        <v>3</v>
      </c>
      <c r="H13" s="21">
        <f>D13-F13</f>
        <v/>
      </c>
      <c r="I13" s="12" t="inlineStr"/>
    </row>
    <row r="14">
      <c r="B14" s="12" t="inlineStr">
        <is>
          <t>Jul-25</t>
        </is>
      </c>
      <c r="C14" s="18" t="n">
        <v>0.38</v>
      </c>
      <c r="D14" s="18" t="n">
        <v>3.4</v>
      </c>
      <c r="E14" s="18" t="n">
        <v>4.19</v>
      </c>
      <c r="F14" s="13" t="n">
        <v>5</v>
      </c>
      <c r="G14" s="13" t="n">
        <v>3</v>
      </c>
      <c r="H14" s="21">
        <f>D14-F14</f>
        <v/>
      </c>
      <c r="I14" s="12" t="inlineStr"/>
    </row>
    <row r="15">
      <c r="B15" s="12" t="inlineStr">
        <is>
          <t>Aug-25</t>
        </is>
      </c>
      <c r="C15" s="18" t="n">
        <v>0.71</v>
      </c>
      <c r="D15" s="18" t="n">
        <v>3.71</v>
      </c>
      <c r="E15" s="18" t="n">
        <v>4.32</v>
      </c>
      <c r="F15" s="13" t="n">
        <v>5</v>
      </c>
      <c r="G15" s="13" t="n">
        <v>3</v>
      </c>
      <c r="H15" s="21">
        <f>D15-F15</f>
        <v/>
      </c>
      <c r="I15" s="12" t="inlineStr"/>
    </row>
    <row r="16">
      <c r="B16" s="12" t="inlineStr">
        <is>
          <t>Sep-25</t>
        </is>
      </c>
      <c r="C16" s="18" t="n">
        <v>0.34</v>
      </c>
      <c r="D16" s="18" t="n">
        <v>3.76</v>
      </c>
      <c r="E16" s="18" t="n">
        <v>4.35</v>
      </c>
      <c r="F16" s="13" t="n">
        <v>5</v>
      </c>
      <c r="G16" s="13" t="n">
        <v>3</v>
      </c>
      <c r="H16" s="21">
        <f>D16-F16</f>
        <v/>
      </c>
      <c r="I16" s="12" t="inlineStr"/>
    </row>
    <row r="17">
      <c r="B17" s="12" t="inlineStr">
        <is>
          <t>Oct-25</t>
        </is>
      </c>
      <c r="C17" s="18" t="n">
        <v>0.55</v>
      </c>
      <c r="D17" s="18" t="n">
        <v>4.23</v>
      </c>
      <c r="E17" s="18" t="n">
        <v>4.67</v>
      </c>
      <c r="F17" s="13" t="n">
        <v>5</v>
      </c>
      <c r="G17" s="13" t="n">
        <v>3</v>
      </c>
      <c r="H17" s="21">
        <f>D17-F17</f>
        <v/>
      </c>
      <c r="I17" s="12" t="inlineStr">
        <is>
          <t>Tormenta Melissa food shock begins</t>
        </is>
      </c>
    </row>
    <row r="18">
      <c r="B18" s="12" t="inlineStr">
        <is>
          <t>Nov-25</t>
        </is>
      </c>
      <c r="C18" s="18" t="n">
        <v>0.71</v>
      </c>
      <c r="D18" s="18" t="n">
        <v>4.81</v>
      </c>
      <c r="E18" s="18" t="n">
        <v>4.74</v>
      </c>
      <c r="F18" s="13" t="n">
        <v>5</v>
      </c>
      <c r="G18" s="13" t="n">
        <v>3</v>
      </c>
      <c r="H18" s="21">
        <f>D18-F18</f>
        <v/>
      </c>
      <c r="I18" s="12" t="inlineStr"/>
    </row>
    <row r="19">
      <c r="B19" s="12" t="inlineStr">
        <is>
          <t>Dec-25</t>
        </is>
      </c>
      <c r="C19" s="18" t="n">
        <v>0.84</v>
      </c>
      <c r="D19" s="18" t="n">
        <v>4.95</v>
      </c>
      <c r="E19" s="18" t="n">
        <v>4.85</v>
      </c>
      <c r="F19" s="13" t="n">
        <v>5</v>
      </c>
      <c r="G19" s="13" t="n">
        <v>3</v>
      </c>
      <c r="H19" s="21">
        <f>D19-F19</f>
        <v/>
      </c>
      <c r="I19" s="12" t="inlineStr">
        <is>
          <t>Food &amp; non-alc. beverages +8.19% in 2025 (42.8% of headline)</t>
        </is>
      </c>
    </row>
    <row r="20">
      <c r="B20" s="12" t="inlineStr">
        <is>
          <t>Jan-26</t>
        </is>
      </c>
      <c r="C20" s="18" t="n">
        <v>0.4</v>
      </c>
      <c r="D20" s="18" t="n">
        <v>4.98</v>
      </c>
      <c r="F20" s="13" t="n">
        <v>5</v>
      </c>
      <c r="G20" s="13" t="n">
        <v>3</v>
      </c>
      <c r="H20" s="21">
        <f>D20-F20</f>
        <v/>
      </c>
      <c r="I20" s="12" t="inlineStr"/>
    </row>
    <row r="21">
      <c r="B21" s="12" t="inlineStr">
        <is>
          <t>Feb-26</t>
        </is>
      </c>
      <c r="C21" s="18" t="n">
        <v>0.03</v>
      </c>
      <c r="D21" s="18" t="n">
        <v>4.67</v>
      </c>
      <c r="E21" s="18" t="n">
        <v>4.76</v>
      </c>
      <c r="F21" s="13" t="n">
        <v>5</v>
      </c>
      <c r="G21" s="13" t="n">
        <v>3</v>
      </c>
      <c r="H21" s="21">
        <f>D21-F21</f>
        <v/>
      </c>
      <c r="I21" s="12" t="inlineStr">
        <is>
          <t>Food -0.56% m/m</t>
        </is>
      </c>
    </row>
    <row r="22">
      <c r="B22" s="12" t="inlineStr">
        <is>
          <t>Mar-26</t>
        </is>
      </c>
      <c r="C22" s="18" t="n">
        <v>0.27</v>
      </c>
      <c r="D22" s="18" t="n">
        <v>4.63</v>
      </c>
      <c r="F22" s="13" t="n">
        <v>5</v>
      </c>
      <c r="G22" s="13" t="n">
        <v>3</v>
      </c>
      <c r="H22" s="21">
        <f>D22-F22</f>
        <v/>
      </c>
      <c r="I22" s="12" t="inlineStr">
        <is>
          <t>m/m derived from Jan-May cumulative 1.50%</t>
        </is>
      </c>
    </row>
    <row r="23">
      <c r="B23" s="12" t="inlineStr">
        <is>
          <t>Apr-26</t>
        </is>
      </c>
      <c r="C23" s="18" t="n">
        <v>0.49</v>
      </c>
      <c r="D23" s="18" t="n">
        <v>5.11</v>
      </c>
      <c r="F23" s="13" t="n">
        <v>5</v>
      </c>
      <c r="G23" s="13" t="n">
        <v>3</v>
      </c>
      <c r="H23" s="21">
        <f>D23-F23</f>
        <v/>
      </c>
      <c r="I23" s="12" t="inlineStr">
        <is>
          <t>Fuel price adjustments (Middle East conflict from Feb-26); above band</t>
        </is>
      </c>
    </row>
    <row r="24">
      <c r="B24" s="12" t="inlineStr">
        <is>
          <t>May-26</t>
        </is>
      </c>
      <c r="C24" s="18" t="n">
        <v>0.31</v>
      </c>
      <c r="D24" s="18" t="n">
        <v>5.35</v>
      </c>
      <c r="F24" s="13" t="n">
        <v>5</v>
      </c>
      <c r="G24" s="13" t="n">
        <v>3</v>
      </c>
      <c r="H24" s="21">
        <f>D24-F24</f>
        <v/>
      </c>
      <c r="I24" s="12" t="inlineStr">
        <is>
          <t>Transport +2.16% m/m; chicken -6.6%, plantain -3.9%</t>
        </is>
      </c>
    </row>
    <row r="25">
      <c r="B25" s="12" t="inlineStr">
        <is>
          <t>Jun-26</t>
        </is>
      </c>
      <c r="C25" s="18" t="n">
        <v>0.48</v>
      </c>
      <c r="D25" s="18" t="n">
        <v>5.67</v>
      </c>
      <c r="E25" s="18" t="n">
        <v>4.96</v>
      </c>
      <c r="F25" s="13" t="n">
        <v>5</v>
      </c>
      <c r="G25" s="13" t="n">
        <v>3</v>
      </c>
      <c r="H25" s="21">
        <f>D25-F25</f>
        <v/>
      </c>
      <c r="I25" s="12" t="inlineStr">
        <is>
          <t>Peak; m/m derived from 1H avg 0.33%</t>
        </is>
      </c>
    </row>
    <row r="26">
      <c r="B26" s="12" t="inlineStr">
        <is>
          <t>Jul-26</t>
        </is>
      </c>
      <c r="C26" s="18" t="n">
        <v>0.19</v>
      </c>
      <c r="D26" s="18" t="n">
        <v>5.47</v>
      </c>
      <c r="E26" s="18" t="n">
        <v>4.96</v>
      </c>
      <c r="F26" s="13" t="n">
        <v>5</v>
      </c>
      <c r="G26" s="13" t="n">
        <v>3</v>
      </c>
      <c r="H26" s="21">
        <f>D26-F26</f>
        <v/>
      </c>
      <c r="I26" s="12" t="inlineStr">
        <is>
          <t>Transport -0.14% m/m on fuel cuts; tradables -0.11%; FX appreciation lowers car prices</t>
        </is>
      </c>
    </row>
    <row r="27">
      <c r="B27" s="10" t="inlineStr">
        <is>
          <t>Source: BCRD, Resultados preliminares de la economia dominicana, ene-dic 2025 (Feb-2026) (2025 series); BCRD, Informe IPC mensual 2026 and BCRD monthly press releases (2026). Core y/y for Jan/Mar/Apr/May-26 not captured - fill from BCRD Informe IPC.</t>
        </is>
      </c>
    </row>
    <row r="28">
      <c r="B28" s="10" t="inlineStr">
        <is>
          <t>2025 annual average inflation 3.87%; MHE projects 5.0% average / 4.5% Dec for 2026 (Mar-26 revision). BCRD (Aug-26): headline returns to band in 4Q26.</t>
        </is>
      </c>
    </row>
    <row r="30">
      <c r="B30" s="3" t="inlineStr">
        <is>
          <t>2025 inflation by group (Dec/Dec)</t>
        </is>
      </c>
    </row>
    <row r="31">
      <c r="B31" s="11" t="inlineStr">
        <is>
          <t>Group</t>
        </is>
      </c>
      <c r="C31" s="11" t="inlineStr">
        <is>
          <t>Weight (%)</t>
        </is>
      </c>
      <c r="D31" s="11" t="inlineStr">
        <is>
          <t>Index Dec-24</t>
        </is>
      </c>
      <c r="E31" s="11" t="inlineStr">
        <is>
          <t>Index Dec-25</t>
        </is>
      </c>
      <c r="F31" s="11" t="inlineStr">
        <is>
          <t>Change (%)</t>
        </is>
      </c>
      <c r="G31" s="11" t="inlineStr">
        <is>
          <t>Incidence (pp)</t>
        </is>
      </c>
      <c r="H31" s="11" t="inlineStr">
        <is>
          <t>Share of headline (%)</t>
        </is>
      </c>
    </row>
    <row r="32">
      <c r="B32" s="15" t="inlineStr">
        <is>
          <t>CPI general</t>
        </is>
      </c>
      <c r="C32" s="18" t="n">
        <v>100</v>
      </c>
      <c r="D32" s="18" t="n">
        <v>130.72</v>
      </c>
      <c r="E32" s="18" t="n">
        <v>137.2</v>
      </c>
      <c r="F32" s="22">
        <f>E32/D32-1</f>
        <v/>
      </c>
      <c r="G32" s="23">
        <f>F32*100</f>
        <v/>
      </c>
      <c r="H32" s="24" t="n">
        <v>1</v>
      </c>
    </row>
    <row r="33">
      <c r="B33" s="12" t="inlineStr">
        <is>
          <t>Food &amp; non-alcoholic beverages</t>
        </is>
      </c>
      <c r="C33" s="18" t="n">
        <v>23.84</v>
      </c>
      <c r="D33" s="18" t="n">
        <v>141.84</v>
      </c>
      <c r="E33" s="18" t="n">
        <v>153.46</v>
      </c>
      <c r="F33" s="25">
        <f>E33/D33-1</f>
        <v/>
      </c>
      <c r="G33" s="26">
        <f>C33/100*F33*100</f>
        <v/>
      </c>
      <c r="H33" s="27">
        <f>G33/$G$32</f>
        <v/>
      </c>
    </row>
    <row r="34">
      <c r="B34" s="12" t="inlineStr">
        <is>
          <t>Alcoholic beverages &amp; tobacco</t>
        </is>
      </c>
      <c r="C34" s="18" t="n">
        <v>2.36</v>
      </c>
      <c r="D34" s="18" t="n">
        <v>133.22</v>
      </c>
      <c r="E34" s="18" t="n">
        <v>140.03</v>
      </c>
      <c r="F34" s="25">
        <f>E34/D34-1</f>
        <v/>
      </c>
      <c r="G34" s="26">
        <f>C34/100*F34*100</f>
        <v/>
      </c>
      <c r="H34" s="27">
        <f>G34/$G$32</f>
        <v/>
      </c>
    </row>
    <row r="35">
      <c r="B35" s="12" t="inlineStr">
        <is>
          <t>Clothing &amp; footwear</t>
        </is>
      </c>
      <c r="C35" s="18" t="n">
        <v>4.19</v>
      </c>
      <c r="D35" s="18" t="n">
        <v>98.39</v>
      </c>
      <c r="E35" s="18" t="n">
        <v>96.98999999999999</v>
      </c>
      <c r="F35" s="25">
        <f>E35/D35-1</f>
        <v/>
      </c>
      <c r="G35" s="26">
        <f>C35/100*F35*100</f>
        <v/>
      </c>
      <c r="H35" s="27">
        <f>G35/$G$32</f>
        <v/>
      </c>
    </row>
    <row r="36">
      <c r="B36" s="12" t="inlineStr">
        <is>
          <t>Housing</t>
        </is>
      </c>
      <c r="C36" s="18" t="n">
        <v>12.98</v>
      </c>
      <c r="D36" s="18" t="n">
        <v>123.25</v>
      </c>
      <c r="E36" s="18" t="n">
        <v>126.29</v>
      </c>
      <c r="F36" s="25">
        <f>E36/D36-1</f>
        <v/>
      </c>
      <c r="G36" s="26">
        <f>C36/100*F36*100</f>
        <v/>
      </c>
      <c r="H36" s="27">
        <f>G36/$G$32</f>
        <v/>
      </c>
    </row>
    <row r="37">
      <c r="B37" s="12" t="inlineStr">
        <is>
          <t>Furnishings &amp; household</t>
        </is>
      </c>
      <c r="C37" s="18" t="n">
        <v>5.17</v>
      </c>
      <c r="D37" s="18" t="n">
        <v>122.6</v>
      </c>
      <c r="E37" s="18" t="n">
        <v>124.85</v>
      </c>
      <c r="F37" s="25">
        <f>E37/D37-1</f>
        <v/>
      </c>
      <c r="G37" s="26">
        <f>C37/100*F37*100</f>
        <v/>
      </c>
      <c r="H37" s="27">
        <f>G37/$G$32</f>
        <v/>
      </c>
    </row>
    <row r="38">
      <c r="B38" s="12" t="inlineStr">
        <is>
          <t>Health</t>
        </is>
      </c>
      <c r="C38" s="18" t="n">
        <v>4.74</v>
      </c>
      <c r="D38" s="18" t="n">
        <v>127.56</v>
      </c>
      <c r="E38" s="18" t="n">
        <v>134.06</v>
      </c>
      <c r="F38" s="25">
        <f>E38/D38-1</f>
        <v/>
      </c>
      <c r="G38" s="26">
        <f>C38/100*F38*100</f>
        <v/>
      </c>
      <c r="H38" s="27">
        <f>G38/$G$32</f>
        <v/>
      </c>
    </row>
    <row r="39">
      <c r="B39" s="12" t="inlineStr">
        <is>
          <t>Transport</t>
        </is>
      </c>
      <c r="C39" s="18" t="n">
        <v>16.65</v>
      </c>
      <c r="D39" s="18" t="n">
        <v>135.97</v>
      </c>
      <c r="E39" s="18" t="n">
        <v>140.66</v>
      </c>
      <c r="F39" s="25">
        <f>E39/D39-1</f>
        <v/>
      </c>
      <c r="G39" s="26">
        <f>C39/100*F39*100</f>
        <v/>
      </c>
      <c r="H39" s="27">
        <f>G39/$G$32</f>
        <v/>
      </c>
    </row>
    <row r="40">
      <c r="B40" s="12" t="inlineStr">
        <is>
          <t>Communications</t>
        </is>
      </c>
      <c r="C40" s="18" t="n">
        <v>5.06</v>
      </c>
      <c r="D40" s="18" t="n">
        <v>97.52</v>
      </c>
      <c r="E40" s="18" t="n">
        <v>98.29000000000001</v>
      </c>
      <c r="F40" s="25">
        <f>E40/D40-1</f>
        <v/>
      </c>
      <c r="G40" s="26">
        <f>C40/100*F40*100</f>
        <v/>
      </c>
      <c r="H40" s="27">
        <f>G40/$G$32</f>
        <v/>
      </c>
    </row>
    <row r="41">
      <c r="B41" s="12" t="inlineStr">
        <is>
          <t>Recreation &amp; culture</t>
        </is>
      </c>
      <c r="C41" s="18" t="n">
        <v>3.03</v>
      </c>
      <c r="D41" s="18" t="n">
        <v>118.2</v>
      </c>
      <c r="E41" s="18" t="n">
        <v>121.41</v>
      </c>
      <c r="F41" s="25">
        <f>E41/D41-1</f>
        <v/>
      </c>
      <c r="G41" s="26">
        <f>C41/100*F41*100</f>
        <v/>
      </c>
      <c r="H41" s="27">
        <f>G41/$G$32</f>
        <v/>
      </c>
    </row>
    <row r="42">
      <c r="B42" s="12" t="inlineStr">
        <is>
          <t>Education</t>
        </is>
      </c>
      <c r="C42" s="18" t="n">
        <v>3.06</v>
      </c>
      <c r="D42" s="18" t="n">
        <v>123.18</v>
      </c>
      <c r="E42" s="18" t="n">
        <v>130.36</v>
      </c>
      <c r="F42" s="25">
        <f>E42/D42-1</f>
        <v/>
      </c>
      <c r="G42" s="26">
        <f>C42/100*F42*100</f>
        <v/>
      </c>
      <c r="H42" s="27">
        <f>G42/$G$32</f>
        <v/>
      </c>
    </row>
    <row r="43">
      <c r="B43" s="12" t="inlineStr">
        <is>
          <t>Restaurants &amp; hotels</t>
        </is>
      </c>
      <c r="C43" s="18" t="n">
        <v>8.619999999999999</v>
      </c>
      <c r="D43" s="18" t="n">
        <v>140.69</v>
      </c>
      <c r="E43" s="18" t="n">
        <v>149.87</v>
      </c>
      <c r="F43" s="25">
        <f>E43/D43-1</f>
        <v/>
      </c>
      <c r="G43" s="26">
        <f>C43/100*F43*100</f>
        <v/>
      </c>
      <c r="H43" s="27">
        <f>G43/$G$32</f>
        <v/>
      </c>
    </row>
    <row r="44">
      <c r="B44" s="12" t="inlineStr">
        <is>
          <t>Miscellaneous goods &amp; services</t>
        </is>
      </c>
      <c r="C44" s="18" t="n">
        <v>10.31</v>
      </c>
      <c r="D44" s="18" t="n">
        <v>137.94</v>
      </c>
      <c r="E44" s="18" t="n">
        <v>146.24</v>
      </c>
      <c r="F44" s="25">
        <f>E44/D44-1</f>
        <v/>
      </c>
      <c r="G44" s="26">
        <f>C44/100*F44*100</f>
        <v/>
      </c>
      <c r="H44" s="27">
        <f>G44/$G$32</f>
        <v/>
      </c>
    </row>
    <row r="45">
      <c r="B45" s="10" t="inlineStr">
        <is>
          <t>Incidence here = base weight x group change (approximation). BCRD's published incidences use effective (updated) weights: food 2.12pp / 42.8%, misc. 0.65 / 13.2%, restaurants 0.60 / 12.2%, transport 0.60 / 12.1%.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3B63"/>
    <outlinePr summaryBelow="1" summaryRight="1"/>
    <pageSetUpPr/>
  </sheetPr>
  <dimension ref="B2:H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0" customWidth="1" min="3" max="3"/>
    <col width="22" customWidth="1" min="4" max="4"/>
    <col width="14" customWidth="1" min="5" max="5"/>
    <col width="60" customWidth="1" min="6" max="6"/>
    <col width="20" customWidth="1" min="7" max="7"/>
    <col width="60" customWidth="1" min="8" max="8"/>
  </cols>
  <sheetData>
    <row r="2" ht="26" customHeight="1">
      <c r="B2" s="1" t="inlineStr">
        <is>
          <t>Monetary policy</t>
        </is>
      </c>
    </row>
    <row r="3">
      <c r="B3" s="2" t="inlineStr">
        <is>
          <t>BCRD policy rate (TPM), corridor, market rates and real-rate arithmetic. Blue = source input; black = formula.</t>
        </is>
      </c>
    </row>
    <row r="5">
      <c r="B5" s="3" t="inlineStr">
        <is>
          <t>TPM path (%, end of month, effective)</t>
        </is>
      </c>
    </row>
    <row r="6">
      <c r="B6" s="11" t="inlineStr">
        <is>
          <t>Month</t>
        </is>
      </c>
      <c r="C6" s="11" t="inlineStr">
        <is>
          <t>TPM</t>
        </is>
      </c>
      <c r="D6" s="11" t="inlineStr">
        <is>
          <t>Decision</t>
        </is>
      </c>
      <c r="E6" s="11" t="inlineStr">
        <is>
          <t>Headline CPI y/y</t>
        </is>
      </c>
      <c r="F6" s="11" t="inlineStr">
        <is>
          <t>Core CPI y/y</t>
        </is>
      </c>
      <c r="G6" s="11" t="inlineStr">
        <is>
          <t>Real TPM ex-post (vs core)</t>
        </is>
      </c>
      <c r="H6" s="11" t="inlineStr">
        <is>
          <t>Note</t>
        </is>
      </c>
    </row>
    <row r="7">
      <c r="B7" s="12" t="inlineStr">
        <is>
          <t>Dec-24</t>
        </is>
      </c>
      <c r="C7" s="18" t="n">
        <v>5.75</v>
      </c>
      <c r="D7" s="12" t="inlineStr">
        <is>
          <t>cum. -125bp in 2024</t>
        </is>
      </c>
      <c r="E7" s="28" t="n">
        <v>3.35</v>
      </c>
      <c r="F7" s="28" t="n">
        <v>4.01</v>
      </c>
      <c r="G7" s="25">
        <f>(1+C7/100)/(1+F7/100)-1</f>
        <v/>
      </c>
      <c r="H7" s="12" t="inlineStr">
        <is>
          <t>2024 easing cycle from 7.00% - verify dates on BCRD before publication</t>
        </is>
      </c>
    </row>
    <row r="8">
      <c r="B8" s="12" t="inlineStr">
        <is>
          <t>Jan-25</t>
        </is>
      </c>
      <c r="C8" s="18" t="n">
        <v>5.75</v>
      </c>
      <c r="D8" s="12" t="inlineStr">
        <is>
          <t>hold</t>
        </is>
      </c>
      <c r="E8" s="28" t="n">
        <v>3.32</v>
      </c>
      <c r="F8" s="28" t="n">
        <v>4.03</v>
      </c>
      <c r="G8" s="25">
        <f>(1+C8/100)/(1+F8/100)-1</f>
        <v/>
      </c>
      <c r="H8" s="12" t="inlineStr"/>
    </row>
    <row r="9">
      <c r="B9" s="12" t="inlineStr">
        <is>
          <t>Jun-25</t>
        </is>
      </c>
      <c r="C9" s="18" t="n">
        <v>5.75</v>
      </c>
      <c r="D9" s="12" t="inlineStr">
        <is>
          <t>hold</t>
        </is>
      </c>
      <c r="E9" s="28" t="n">
        <v>3.56</v>
      </c>
      <c r="F9" s="28" t="n">
        <v>4.15</v>
      </c>
      <c r="G9" s="25">
        <f>(1+C9/100)/(1+F9/100)-1</f>
        <v/>
      </c>
      <c r="H9" s="12" t="inlineStr">
        <is>
          <t>JM approves RD$81bn liquidity programme for productive sectors</t>
        </is>
      </c>
    </row>
    <row r="10">
      <c r="B10" s="12" t="inlineStr">
        <is>
          <t>Sep-25</t>
        </is>
      </c>
      <c r="C10" s="18" t="n">
        <v>5.75</v>
      </c>
      <c r="D10" s="12" t="inlineStr">
        <is>
          <t>hold (cut announced, eff. Oct)</t>
        </is>
      </c>
      <c r="E10" s="28" t="n">
        <v>3.76</v>
      </c>
      <c r="F10" s="28" t="n">
        <v>4.35</v>
      </c>
      <c r="G10" s="25">
        <f>(1+C10/100)/(1+F10/100)-1</f>
        <v/>
      </c>
      <c r="H10" s="12" t="inlineStr">
        <is>
          <t>Sep meeting cut 25bp, effective 1st business day of Oct</t>
        </is>
      </c>
    </row>
    <row r="11">
      <c r="B11" s="12" t="inlineStr">
        <is>
          <t>Oct-25</t>
        </is>
      </c>
      <c r="C11" s="18" t="n">
        <v>5.5</v>
      </c>
      <c r="D11" s="12" t="inlineStr">
        <is>
          <t>-25bp effective</t>
        </is>
      </c>
      <c r="E11" s="28" t="n">
        <v>4.23</v>
      </c>
      <c r="F11" s="28" t="n">
        <v>4.67</v>
      </c>
      <c r="G11" s="25">
        <f>(1+C11/100)/(1+F11/100)-1</f>
        <v/>
      </c>
      <c r="H11" s="12" t="inlineStr"/>
    </row>
    <row r="12">
      <c r="B12" s="12" t="inlineStr">
        <is>
          <t>Nov-25</t>
        </is>
      </c>
      <c r="C12" s="18" t="n">
        <v>5.25</v>
      </c>
      <c r="D12" s="12" t="inlineStr">
        <is>
          <t>-25bp effective</t>
        </is>
      </c>
      <c r="E12" s="28" t="n">
        <v>4.81</v>
      </c>
      <c r="F12" s="28" t="n">
        <v>4.74</v>
      </c>
      <c r="G12" s="25">
        <f>(1+C12/100)/(1+F12/100)-1</f>
        <v/>
      </c>
      <c r="H12" s="12" t="inlineStr">
        <is>
          <t>Oct meeting cut 25bp</t>
        </is>
      </c>
    </row>
    <row r="13">
      <c r="B13" s="12" t="inlineStr">
        <is>
          <t>Dec-25</t>
        </is>
      </c>
      <c r="C13" s="18" t="n">
        <v>5.25</v>
      </c>
      <c r="D13" s="12" t="inlineStr">
        <is>
          <t>hold</t>
        </is>
      </c>
      <c r="E13" s="28" t="n">
        <v>4.95</v>
      </c>
      <c r="F13" s="28" t="n">
        <v>4.85</v>
      </c>
      <c r="G13" s="25">
        <f>(1+C13/100)/(1+F13/100)-1</f>
        <v/>
      </c>
      <c r="H13" s="12" t="inlineStr">
        <is>
          <t>Repo 5.75% / overnight 4.50%; interbank 1-7d 7.92% (-635bp since Jun)</t>
        </is>
      </c>
    </row>
    <row r="14">
      <c r="B14" s="12" t="inlineStr">
        <is>
          <t>Mar-26</t>
        </is>
      </c>
      <c r="C14" s="18" t="n">
        <v>5.25</v>
      </c>
      <c r="D14" s="12" t="inlineStr">
        <is>
          <t>hold</t>
        </is>
      </c>
      <c r="E14" s="28" t="n">
        <v>4.63</v>
      </c>
      <c r="H14" s="12" t="inlineStr">
        <is>
          <t>Oil shock begins (Feb-26)</t>
        </is>
      </c>
    </row>
    <row r="15">
      <c r="B15" s="12" t="inlineStr">
        <is>
          <t>May-26</t>
        </is>
      </c>
      <c r="C15" s="18" t="n">
        <v>5.25</v>
      </c>
      <c r="D15" s="12" t="inlineStr">
        <is>
          <t>hold</t>
        </is>
      </c>
      <c r="E15" s="28" t="n">
        <v>5.35</v>
      </c>
      <c r="H15" s="12" t="inlineStr">
        <is>
          <t>JM postpones to 2027 the repayment of liquidity facilities (May-26)</t>
        </is>
      </c>
    </row>
    <row r="16">
      <c r="B16" s="12" t="inlineStr">
        <is>
          <t>Jul-26</t>
        </is>
      </c>
      <c r="C16" s="18" t="n">
        <v>5.25</v>
      </c>
      <c r="D16" s="12" t="inlineStr">
        <is>
          <t>hold</t>
        </is>
      </c>
      <c r="E16" s="28" t="n">
        <v>5.47</v>
      </c>
      <c r="F16" s="28" t="n">
        <v>4.96</v>
      </c>
      <c r="G16" s="25">
        <f>(1+C16/100)/(1+F16/100)-1</f>
        <v/>
      </c>
      <c r="H16" s="12" t="inlineStr">
        <is>
          <t>Critics (Jul-26) accuse BCRD of restricting liquidity</t>
        </is>
      </c>
    </row>
    <row r="17">
      <c r="B17" s="12" t="inlineStr">
        <is>
          <t>Aug-26</t>
        </is>
      </c>
      <c r="C17" s="18" t="n">
        <v>5.25</v>
      </c>
      <c r="D17" s="12" t="inlineStr">
        <is>
          <t>hold (31-Aug)</t>
        </is>
      </c>
      <c r="E17" s="28" t="n">
        <v>5.47</v>
      </c>
      <c r="F17" s="28" t="n">
        <v>4.96</v>
      </c>
      <c r="G17" s="25">
        <f>(1+C17/100)/(1+F17/100)-1</f>
        <v/>
      </c>
      <c r="H17" s="12" t="inlineStr">
        <is>
          <t>Guides convergence to band in 4Q26; private credit MN ~+8% y/y in Jul. Valdez Albizu ratified governor for 2 more years (Decreto 575-26, 19-Aug)</t>
        </is>
      </c>
    </row>
    <row r="18">
      <c r="B18" s="10" t="inlineStr">
        <is>
          <t>Sources: BCRD, Resultados preliminares de la economia dominicana, ene-dic 2025 (Feb-2026); BCRD, Comunicado de politica monetaria, 31-Aug-2026; BCRD monthly communiques. Corridor: repo (expansion facility) TPM+50bp, overnight deposit TPM-75bp.</t>
        </is>
      </c>
    </row>
    <row r="20">
      <c r="B20" s="3" t="inlineStr">
        <is>
          <t>Market rates and credit (Dec-2025, %)</t>
        </is>
      </c>
    </row>
    <row r="21">
      <c r="B21" s="11" t="inlineStr">
        <is>
          <t>Item</t>
        </is>
      </c>
      <c r="C21" s="11" t="inlineStr">
        <is>
          <t>Dec-24</t>
        </is>
      </c>
      <c r="D21" s="11" t="inlineStr">
        <is>
          <t>Dec-25</t>
        </is>
      </c>
      <c r="E21" s="11" t="inlineStr">
        <is>
          <t>Change (pp)</t>
        </is>
      </c>
      <c r="F21" s="11" t="inlineStr">
        <is>
          <t>Note</t>
        </is>
      </c>
    </row>
    <row r="22">
      <c r="B22" s="12" t="inlineStr">
        <is>
          <t>Interbank 1-7 day</t>
        </is>
      </c>
      <c r="D22" s="18" t="n">
        <v>7.92</v>
      </c>
      <c r="F22" s="12" t="inlineStr">
        <is>
          <t>-635bp since Jun-25; peak 4Q24 was decade high</t>
        </is>
      </c>
    </row>
    <row r="23">
      <c r="B23" s="12" t="inlineStr">
        <is>
          <t>Multiple banks lending rate (wtd avg)</t>
        </is>
      </c>
      <c r="C23" s="18" t="n">
        <v>15.05</v>
      </c>
      <c r="D23" s="18" t="n">
        <v>13.28</v>
      </c>
      <c r="E23" s="21">
        <f>D23-C23</f>
        <v/>
      </c>
      <c r="F23" s="12" t="inlineStr">
        <is>
          <t>-1.77pp y/y</t>
        </is>
      </c>
    </row>
    <row r="24">
      <c r="B24" s="12" t="inlineStr">
        <is>
          <t>Multiple banks deposit rate (wtd avg)</t>
        </is>
      </c>
      <c r="C24" s="18" t="n">
        <v>9.81</v>
      </c>
      <c r="D24" s="18" t="n">
        <v>6.08</v>
      </c>
      <c r="E24" s="21">
        <f>D24-C24</f>
        <v/>
      </c>
      <c r="F24" s="12" t="inlineStr">
        <is>
          <t>-3.73pp y/y</t>
        </is>
      </c>
    </row>
    <row r="25">
      <c r="B25" s="12" t="inlineStr">
        <is>
          <t>Private credit MN growth (% y/y)</t>
        </is>
      </c>
      <c r="D25" s="18" t="n">
        <v>8.300000000000001</v>
      </c>
      <c r="F25" s="12" t="inlineStr">
        <is>
          <t>Jul-26: ~8%; total private credit +9.8% in 2025</t>
        </is>
      </c>
    </row>
    <row r="26">
      <c r="B26" s="12" t="inlineStr">
        <is>
          <t>M3 growth (% y/y)</t>
        </is>
      </c>
      <c r="D26" s="18" t="n">
        <v>12</v>
      </c>
      <c r="F26" s="12" t="inlineStr">
        <is>
          <t>M1 +10.6%, M2 +9.9%; BCRD securities outstanding -6.5%</t>
        </is>
      </c>
    </row>
    <row r="27">
      <c r="B27" s="12" t="inlineStr">
        <is>
          <t>NPL ratio, financial system (%)</t>
        </is>
      </c>
      <c r="C27" s="18" t="n">
        <v>1.4</v>
      </c>
      <c r="D27" s="18" t="n">
        <v>1.7</v>
      </c>
      <c r="E27" s="21">
        <f>D27-C27</f>
        <v/>
      </c>
      <c r="F27" s="12" t="inlineStr">
        <is>
          <t>Coverage 174%; ROE 21.0%, ROA 2.5%</t>
        </is>
      </c>
    </row>
    <row r="29">
      <c r="B29" s="3" t="inlineStr">
        <is>
          <t>Real policy rate arithmetic (Aug-2026)</t>
        </is>
      </c>
    </row>
    <row r="30">
      <c r="B30" s="12" t="inlineStr">
        <is>
          <t>TPM (%)</t>
        </is>
      </c>
      <c r="C30" s="18" t="n">
        <v>5.25</v>
      </c>
    </row>
    <row r="31">
      <c r="B31" s="12" t="inlineStr">
        <is>
          <t>Core CPI y/y, Jul-26 (%)</t>
        </is>
      </c>
      <c r="C31" s="18" t="n">
        <v>4.96</v>
      </c>
    </row>
    <row r="32">
      <c r="B32" s="12" t="inlineStr">
        <is>
          <t>Expected Dec-26 headline (MHE) (%)</t>
        </is>
      </c>
      <c r="C32" s="18" t="n">
        <v>4.5</v>
      </c>
    </row>
    <row r="33">
      <c r="B33" s="12" t="inlineStr">
        <is>
          <t>Target midpoint (%)</t>
        </is>
      </c>
      <c r="C33" s="18" t="n">
        <v>4</v>
      </c>
    </row>
    <row r="34">
      <c r="B34" s="12" t="inlineStr">
        <is>
          <t>Real TPM vs core (pp)</t>
        </is>
      </c>
      <c r="C34" s="29">
        <f>C30-C31</f>
        <v/>
      </c>
    </row>
    <row r="35">
      <c r="B35" s="12" t="inlineStr">
        <is>
          <t>Real TPM vs expected Dec-26 (pp)</t>
        </is>
      </c>
      <c r="C35" s="29">
        <f>C30-C32</f>
        <v/>
      </c>
    </row>
    <row r="36">
      <c r="B36" s="12" t="inlineStr">
        <is>
          <t>Real TPM vs target midpoint (pp)</t>
        </is>
      </c>
      <c r="C36" s="29">
        <f>C30-C33</f>
        <v/>
      </c>
    </row>
    <row r="37">
      <c r="B37" s="12" t="inlineStr">
        <is>
          <t>Fed funds (upper, Dec-25) (%)</t>
        </is>
      </c>
      <c r="C37" s="18" t="n">
        <v>3.75</v>
      </c>
    </row>
    <row r="38">
      <c r="B38" s="12" t="inlineStr">
        <is>
          <t>TPM - Fed funds (pp)</t>
        </is>
      </c>
      <c r="C38" s="29">
        <f>C30-C37</f>
        <v/>
      </c>
    </row>
    <row r="39">
      <c r="B39" s="10" t="inlineStr">
        <is>
          <t>MHE (MFMP) estimated the real interbank rate below neutral in 4Q25 (financial conditions index negative for first time since mid-2024) - i.e. stance is mildly accommodative on their measure. Fed funds from BCRD report (Dec-25 range 3.50-3.75%); update from Bloomberg.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3B63"/>
    <outlinePr summaryBelow="1" summaryRight="1"/>
    <pageSetUpPr/>
  </sheetPr>
  <dimension ref="B2:L8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4" customWidth="1" min="3" max="3"/>
    <col width="14" customWidth="1" min="4" max="4"/>
    <col width="10" customWidth="1" min="5" max="5"/>
    <col width="12" customWidth="1" min="6" max="6"/>
    <col width="1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2" ht="26" customHeight="1">
      <c r="B2" s="1" t="inlineStr">
        <is>
          <t>Public finances</t>
        </is>
      </c>
    </row>
    <row r="3">
      <c r="B3" s="2" t="inlineStr">
        <is>
          <t>Central government operations (GFSM 2014, accrual), MFMP 2026-2030 projections, debt. Blue = source input; black = formula.</t>
        </is>
      </c>
    </row>
    <row r="5">
      <c r="B5" s="3" t="inlineStr">
        <is>
          <t>Nominal GDP (for ratios)</t>
        </is>
      </c>
    </row>
    <row r="6">
      <c r="B6" s="11" t="inlineStr">
        <is>
          <t>Item</t>
        </is>
      </c>
      <c r="C6" s="11" t="inlineStr">
        <is>
          <t>2024</t>
        </is>
      </c>
      <c r="D6" s="11" t="inlineStr">
        <is>
          <t>2025</t>
        </is>
      </c>
      <c r="E6" s="11" t="inlineStr">
        <is>
          <t>2026 (Mar-26 rev.)</t>
        </is>
      </c>
      <c r="F6" s="11" t="inlineStr">
        <is>
          <t>2026 (Jun-26 rev.)</t>
        </is>
      </c>
      <c r="G6" s="11" t="inlineStr">
        <is>
          <t>Note</t>
        </is>
      </c>
    </row>
    <row r="7">
      <c r="B7" s="12" t="inlineStr">
        <is>
          <t>Nominal GDP, RD$ mn</t>
        </is>
      </c>
      <c r="C7" s="30" t="n">
        <v>7403037</v>
      </c>
      <c r="D7" s="30" t="n">
        <v>7897551.3</v>
      </c>
      <c r="E7" s="30" t="n">
        <v>8619782.4</v>
      </c>
      <c r="F7" s="30" t="n">
        <v>8677138.300000001</v>
      </c>
      <c r="G7" s="12" t="inlineStr">
        <is>
          <t>2024 back-solved from 2025 level and MHE nominal growth 6.68%; 2026 Jun revision used by DGCP for debt ratios</t>
        </is>
      </c>
    </row>
    <row r="8">
      <c r="B8" s="12" t="inlineStr">
        <is>
          <t>Nominal GDP, US$ mn</t>
        </is>
      </c>
      <c r="C8" s="30" t="n">
        <v>124254.4</v>
      </c>
      <c r="D8" s="30" t="n">
        <v>127861.4</v>
      </c>
      <c r="E8" s="30" t="n">
        <v>134789.4</v>
      </c>
      <c r="F8" s="30" t="n">
        <v>140737.2</v>
      </c>
      <c r="G8" s="12" t="inlineStr">
        <is>
          <t>2024 per BCRD (press, El Nacional Dec-25); 2025-26 per MHE MFMP / DGCP. Jun-26 rev. reflects peso appreciation.</t>
        </is>
      </c>
    </row>
    <row r="10">
      <c r="B10" s="3" t="inlineStr">
        <is>
          <t>Central government operations, RD$ mn (accrual)</t>
        </is>
      </c>
    </row>
    <row r="11">
      <c r="B11" s="11" t="inlineStr">
        <is>
          <t>Line</t>
        </is>
      </c>
      <c r="C11" s="11" t="inlineStr">
        <is>
          <t>2024</t>
        </is>
      </c>
      <c r="D11" s="11" t="inlineStr">
        <is>
          <t>2025</t>
        </is>
      </c>
      <c r="E11" s="11" t="inlineStr">
        <is>
          <t>% chg</t>
        </is>
      </c>
      <c r="F11" s="11" t="inlineStr">
        <is>
          <t>2025 % GDP</t>
        </is>
      </c>
      <c r="G11" s="11" t="inlineStr">
        <is>
          <t>2026 budget (MFMP)</t>
        </is>
      </c>
      <c r="H11" s="11" t="inlineStr">
        <is>
          <t>2026 % GDP</t>
        </is>
      </c>
    </row>
    <row r="12">
      <c r="B12" s="15" t="inlineStr">
        <is>
          <t>Revenue</t>
        </is>
      </c>
      <c r="C12" s="31" t="n">
        <v>1212472.6</v>
      </c>
      <c r="D12" s="31" t="n">
        <v>1246302.1</v>
      </c>
      <c r="E12" s="24">
        <f>IF(C12=0,"",D12/C12-1)</f>
        <v/>
      </c>
      <c r="F12" s="24">
        <f>D12/$D$7</f>
        <v/>
      </c>
      <c r="G12" s="31" t="n">
        <v>1342258.2</v>
      </c>
      <c r="H12" s="24">
        <f>G12/$E$7</f>
        <v/>
      </c>
    </row>
    <row r="13">
      <c r="B13" s="12" t="inlineStr">
        <is>
          <t xml:space="preserve">  Taxes</t>
        </is>
      </c>
      <c r="C13" s="32" t="n">
        <v>1074304.7</v>
      </c>
      <c r="D13" s="32" t="n">
        <v>1134472.9</v>
      </c>
      <c r="E13" s="27">
        <f>IF(C13=0,"",D13/C13-1)</f>
        <v/>
      </c>
      <c r="F13" s="27">
        <f>D13/$D$7</f>
        <v/>
      </c>
      <c r="G13" s="32" t="n">
        <v>1236961.3</v>
      </c>
      <c r="H13" s="27">
        <f>G13/$E$7</f>
        <v/>
      </c>
    </row>
    <row r="14">
      <c r="B14" s="12" t="inlineStr">
        <is>
          <t xml:space="preserve">    Income, profits &amp; capital gains</t>
        </is>
      </c>
      <c r="C14" s="32" t="n">
        <v>380171.5</v>
      </c>
      <c r="D14" s="32" t="n">
        <v>415498</v>
      </c>
      <c r="E14" s="27">
        <f>IF(C14=0,"",D14/C14-1)</f>
        <v/>
      </c>
      <c r="F14" s="27">
        <f>D14/$D$7</f>
        <v/>
      </c>
    </row>
    <row r="15">
      <c r="B15" s="12" t="inlineStr">
        <is>
          <t xml:space="preserve">    Property</t>
        </is>
      </c>
      <c r="C15" s="32" t="n">
        <v>16589.6</v>
      </c>
      <c r="D15" s="32" t="n">
        <v>18231.7</v>
      </c>
      <c r="E15" s="27">
        <f>IF(C15=0,"",D15/C15-1)</f>
        <v/>
      </c>
      <c r="F15" s="27">
        <f>D15/$D$7</f>
        <v/>
      </c>
    </row>
    <row r="16">
      <c r="B16" s="12" t="inlineStr">
        <is>
          <t xml:space="preserve">    Goods &amp; services</t>
        </is>
      </c>
      <c r="C16" s="32" t="n">
        <v>606729.3</v>
      </c>
      <c r="D16" s="32" t="n">
        <v>627982</v>
      </c>
      <c r="E16" s="27">
        <f>IF(C16=0,"",D16/C16-1)</f>
        <v/>
      </c>
      <c r="F16" s="27">
        <f>D16/$D$7</f>
        <v/>
      </c>
    </row>
    <row r="17">
      <c r="B17" s="12" t="inlineStr">
        <is>
          <t xml:space="preserve">      of which ITBIS (VAT)</t>
        </is>
      </c>
      <c r="C17" s="32" t="n">
        <v>375087.6</v>
      </c>
      <c r="D17" s="32" t="n">
        <v>389676.8</v>
      </c>
      <c r="E17" s="27">
        <f>IF(C17=0,"",D17/C17-1)</f>
        <v/>
      </c>
      <c r="F17" s="27">
        <f>D17/$D$7</f>
        <v/>
      </c>
    </row>
    <row r="18">
      <c r="B18" s="12" t="inlineStr">
        <is>
          <t xml:space="preserve">    International trade</t>
        </is>
      </c>
      <c r="C18" s="32" t="n">
        <v>70737.2</v>
      </c>
      <c r="D18" s="32" t="n">
        <v>72686.39999999999</v>
      </c>
      <c r="E18" s="27">
        <f>IF(C18=0,"",D18/C18-1)</f>
        <v/>
      </c>
      <c r="F18" s="27">
        <f>D18/$D$7</f>
        <v/>
      </c>
    </row>
    <row r="19">
      <c r="B19" s="12" t="inlineStr">
        <is>
          <t xml:space="preserve">  Social contributions</t>
        </is>
      </c>
      <c r="C19" s="32" t="n">
        <v>7372.3</v>
      </c>
      <c r="D19" s="32" t="n">
        <v>6681.3</v>
      </c>
      <c r="E19" s="27">
        <f>IF(C19=0,"",D19/C19-1)</f>
        <v/>
      </c>
      <c r="F19" s="27">
        <f>D19/$D$7</f>
        <v/>
      </c>
    </row>
    <row r="20">
      <c r="B20" s="12" t="inlineStr">
        <is>
          <t xml:space="preserve">  Grants</t>
        </is>
      </c>
      <c r="C20" s="32" t="n">
        <v>49284.8</v>
      </c>
      <c r="D20" s="32" t="n">
        <v>9403.4</v>
      </c>
      <c r="E20" s="27">
        <f>IF(C20=0,"",D20/C20-1)</f>
        <v/>
      </c>
      <c r="F20" s="27">
        <f>D20/$D$7</f>
        <v/>
      </c>
      <c r="G20" s="32" t="n">
        <v>2133.7</v>
      </c>
      <c r="H20" s="27">
        <f>G20/$E$7</f>
        <v/>
      </c>
    </row>
    <row r="21">
      <c r="B21" s="12" t="inlineStr">
        <is>
          <t xml:space="preserve">  Other revenue</t>
        </is>
      </c>
      <c r="C21" s="32" t="n">
        <v>81510.8</v>
      </c>
      <c r="D21" s="32" t="n">
        <v>95744.5</v>
      </c>
      <c r="E21" s="27">
        <f>IF(C21=0,"",D21/C21-1)</f>
        <v/>
      </c>
      <c r="F21" s="27">
        <f>D21/$D$7</f>
        <v/>
      </c>
    </row>
    <row r="22">
      <c r="B22" s="15" t="inlineStr">
        <is>
          <t>Expense</t>
        </is>
      </c>
      <c r="C22" s="31" t="n">
        <v>1299291.5</v>
      </c>
      <c r="D22" s="31" t="n">
        <v>1378268.6</v>
      </c>
      <c r="E22" s="24">
        <f>IF(C22=0,"",D22/C22-1)</f>
        <v/>
      </c>
      <c r="F22" s="24">
        <f>D22/$D$7</f>
        <v/>
      </c>
    </row>
    <row r="23">
      <c r="B23" s="12" t="inlineStr">
        <is>
          <t xml:space="preserve">  Compensation of employees</t>
        </is>
      </c>
      <c r="C23" s="32" t="n">
        <v>338305.9</v>
      </c>
      <c r="D23" s="32" t="n">
        <v>360961.3</v>
      </c>
      <c r="E23" s="27">
        <f>IF(C23=0,"",D23/C23-1)</f>
        <v/>
      </c>
      <c r="F23" s="27">
        <f>D23/$D$7</f>
        <v/>
      </c>
    </row>
    <row r="24">
      <c r="B24" s="12" t="inlineStr">
        <is>
          <t xml:space="preserve">  Use of goods &amp; services</t>
        </is>
      </c>
      <c r="C24" s="32" t="n">
        <v>147634.9</v>
      </c>
      <c r="D24" s="32" t="n">
        <v>159226.9</v>
      </c>
      <c r="E24" s="27">
        <f>IF(C24=0,"",D24/C24-1)</f>
        <v/>
      </c>
      <c r="F24" s="27">
        <f>D24/$D$7</f>
        <v/>
      </c>
    </row>
    <row r="25">
      <c r="B25" s="12" t="inlineStr">
        <is>
          <t xml:space="preserve">  Interest</t>
        </is>
      </c>
      <c r="C25" s="32" t="n">
        <v>250443</v>
      </c>
      <c r="D25" s="32" t="n">
        <v>272521.3</v>
      </c>
      <c r="E25" s="27">
        <f>IF(C25=0,"",D25/C25-1)</f>
        <v/>
      </c>
      <c r="F25" s="27">
        <f>D25/$D$7</f>
        <v/>
      </c>
      <c r="G25" s="32" t="n">
        <v>310214.3</v>
      </c>
      <c r="H25" s="27">
        <f>G25/$E$7</f>
        <v/>
      </c>
    </row>
    <row r="26">
      <c r="B26" s="12" t="inlineStr">
        <is>
          <t xml:space="preserve">  Subsidies</t>
        </is>
      </c>
      <c r="C26" s="32" t="n">
        <v>137521.1</v>
      </c>
      <c r="D26" s="32" t="n">
        <v>134278.6</v>
      </c>
      <c r="E26" s="27">
        <f>IF(C26=0,"",D26/C26-1)</f>
        <v/>
      </c>
      <c r="F26" s="27">
        <f>D26/$D$7</f>
        <v/>
      </c>
    </row>
    <row r="27">
      <c r="B27" s="12" t="inlineStr">
        <is>
          <t xml:space="preserve">  Grants (transfers)</t>
        </is>
      </c>
      <c r="C27" s="32" t="n">
        <v>212348.1</v>
      </c>
      <c r="D27" s="32" t="n">
        <v>223324.3</v>
      </c>
      <c r="E27" s="27">
        <f>IF(C27=0,"",D27/C27-1)</f>
        <v/>
      </c>
      <c r="F27" s="27">
        <f>D27/$D$7</f>
        <v/>
      </c>
    </row>
    <row r="28">
      <c r="B28" s="12" t="inlineStr">
        <is>
          <t xml:space="preserve">  Social benefits</t>
        </is>
      </c>
      <c r="C28" s="32" t="n">
        <v>133093.9</v>
      </c>
      <c r="D28" s="32" t="n">
        <v>139081.1</v>
      </c>
      <c r="E28" s="27">
        <f>IF(C28=0,"",D28/C28-1)</f>
        <v/>
      </c>
      <c r="F28" s="27">
        <f>D28/$D$7</f>
        <v/>
      </c>
    </row>
    <row r="29">
      <c r="B29" s="12" t="inlineStr">
        <is>
          <t xml:space="preserve">  Other expense</t>
        </is>
      </c>
      <c r="C29" s="32" t="n">
        <v>79944.5</v>
      </c>
      <c r="D29" s="32" t="n">
        <v>88875.10000000001</v>
      </c>
      <c r="E29" s="27">
        <f>IF(C29=0,"",D29/C29-1)</f>
        <v/>
      </c>
      <c r="F29" s="27">
        <f>D29/$D$7</f>
        <v/>
      </c>
    </row>
    <row r="30">
      <c r="B30" s="15" t="inlineStr">
        <is>
          <t>Net investment in non-financial assets</t>
        </is>
      </c>
      <c r="C30" s="31" t="n">
        <v>136809.7</v>
      </c>
      <c r="D30" s="31" t="n">
        <v>161160</v>
      </c>
      <c r="E30" s="24">
        <f>IF(C30=0,"",D30/C30-1)</f>
        <v/>
      </c>
      <c r="F30" s="24">
        <f>D30/$D$7</f>
        <v/>
      </c>
    </row>
    <row r="31">
      <c r="B31" s="15" t="inlineStr">
        <is>
          <t>Total outlays (expense + NFA)</t>
        </is>
      </c>
      <c r="C31" s="31" t="n">
        <v>1436101.2</v>
      </c>
      <c r="D31" s="31" t="n">
        <v>1539428.6</v>
      </c>
      <c r="E31" s="24">
        <f>IF(C31=0,"",D31/C31-1)</f>
        <v/>
      </c>
      <c r="F31" s="24">
        <f>D31/$D$7</f>
        <v/>
      </c>
      <c r="G31" s="31" t="n">
        <v>1608790.6</v>
      </c>
      <c r="H31" s="24">
        <f>G31/$E$7</f>
        <v/>
      </c>
    </row>
    <row r="32">
      <c r="B32" s="15" t="inlineStr">
        <is>
          <t>Primary outlays (ex interest)</t>
        </is>
      </c>
      <c r="C32" s="33">
        <f>C31-C25</f>
        <v/>
      </c>
      <c r="D32" s="33">
        <f>D31-D25</f>
        <v/>
      </c>
      <c r="E32" s="24">
        <f>IF(C32=0,"",D32/C32-1)</f>
        <v/>
      </c>
      <c r="F32" s="24">
        <f>D32/$D$7</f>
        <v/>
      </c>
      <c r="G32" s="31" t="n">
        <v>1298576.3</v>
      </c>
      <c r="H32" s="24">
        <f>G32/$E$7</f>
        <v/>
      </c>
    </row>
    <row r="33">
      <c r="B33" s="15" t="inlineStr">
        <is>
          <t>Net lending / borrowing (CG)</t>
        </is>
      </c>
      <c r="C33" s="31" t="n">
        <v>-228549.9</v>
      </c>
      <c r="D33" s="31" t="n">
        <v>-283643.5</v>
      </c>
      <c r="E33" s="24">
        <f>IF(C33=0,"",D33/C33-1)</f>
        <v/>
      </c>
      <c r="F33" s="24">
        <f>D33/$D$7</f>
        <v/>
      </c>
      <c r="G33" s="31" t="n">
        <v>-266532.5</v>
      </c>
      <c r="H33" s="24">
        <f>G33/$E$7</f>
        <v/>
      </c>
    </row>
    <row r="34">
      <c r="B34" s="15" t="inlineStr">
        <is>
          <t>Primary balance (CG)</t>
        </is>
      </c>
      <c r="C34" s="33">
        <f>C33+C25</f>
        <v/>
      </c>
      <c r="D34" s="33">
        <f>D33+D25</f>
        <v/>
      </c>
      <c r="E34" s="24">
        <f>IF(C34=0,"",D34/C34-1)</f>
        <v/>
      </c>
      <c r="F34" s="24">
        <f>D34/$D$7</f>
        <v/>
      </c>
      <c r="G34" s="31" t="n">
        <v>43681.9</v>
      </c>
      <c r="H34" s="24">
        <f>G34/$E$7</f>
        <v/>
      </c>
    </row>
    <row r="35">
      <c r="B35" s="12" t="inlineStr">
        <is>
          <t>Rest of SPNF balance</t>
        </is>
      </c>
      <c r="C35" s="32" t="n">
        <v>-4796.7</v>
      </c>
      <c r="D35" s="32" t="n">
        <v>20906.5</v>
      </c>
      <c r="E35" s="27">
        <f>IF(C35=0,"",D35/C35-1)</f>
        <v/>
      </c>
      <c r="F35" s="27">
        <f>D35/$D$7</f>
        <v/>
      </c>
    </row>
    <row r="36">
      <c r="B36" s="15" t="inlineStr">
        <is>
          <t>SPNF net lending / borrowing</t>
        </is>
      </c>
      <c r="C36" s="31" t="n">
        <v>-233346.6</v>
      </c>
      <c r="D36" s="31" t="n">
        <v>-262737</v>
      </c>
      <c r="E36" s="24">
        <f>IF(C36=0,"",D36/C36-1)</f>
        <v/>
      </c>
      <c r="F36" s="24">
        <f>D36/$D$7</f>
        <v/>
      </c>
    </row>
    <row r="37">
      <c r="B37" s="10" t="inlineStr">
        <is>
          <t>Source: BCRD, Resultados preliminares de la economia dominicana, ene-dic 2025 (Feb-2026) (Estado de operaciones GC y SPNF); 2026 budget lines from MHE, Marco Fiscal de Mediano Plazo 2026-2030 (Abr-2026) Cuadro 6 (Ley 99-25 as adjusted for interest re-estimate). Net investment in NFA = 'inversion bruta en activos no financieros'.</t>
        </is>
      </c>
    </row>
    <row r="38">
      <c r="B38" s="10" t="inlineStr">
        <is>
          <t>MHE reports 2025 CG primary deficit RD$11,115.7mn (-0.14% GDP) vs the -11,122 implied here (rounding). MHE structural primary balance 2025: +0.44% GDP; fiscal impulse 2025: -0.83% (contractionary).</t>
        </is>
      </c>
    </row>
    <row r="40">
      <c r="B40" s="3" t="inlineStr">
        <is>
          <t>Key fiscal ratios (% of GDP) - central government</t>
        </is>
      </c>
    </row>
    <row r="41">
      <c r="B41" s="11" t="inlineStr">
        <is>
          <t>Ratio</t>
        </is>
      </c>
      <c r="C41" s="11" t="inlineStr">
        <is>
          <t>2021</t>
        </is>
      </c>
      <c r="D41" s="11" t="inlineStr">
        <is>
          <t>2022</t>
        </is>
      </c>
      <c r="E41" s="11" t="inlineStr">
        <is>
          <t>2023</t>
        </is>
      </c>
      <c r="F41" s="11" t="inlineStr">
        <is>
          <t>2024</t>
        </is>
      </c>
      <c r="G41" s="11" t="inlineStr">
        <is>
          <t>2025</t>
        </is>
      </c>
      <c r="H41" s="11" t="inlineStr">
        <is>
          <t>2026B</t>
        </is>
      </c>
      <c r="I41" s="11" t="inlineStr">
        <is>
          <t>2027</t>
        </is>
      </c>
      <c r="J41" s="11" t="inlineStr">
        <is>
          <t>2028</t>
        </is>
      </c>
      <c r="K41" s="11" t="inlineStr">
        <is>
          <t>2029</t>
        </is>
      </c>
      <c r="L41" s="11" t="inlineStr">
        <is>
          <t>2030</t>
        </is>
      </c>
    </row>
    <row r="42">
      <c r="B42" s="12" t="inlineStr">
        <is>
          <t>Revenue</t>
        </is>
      </c>
      <c r="C42" s="13" t="n">
        <v>15.6</v>
      </c>
      <c r="D42" s="13" t="n">
        <v>15.3</v>
      </c>
      <c r="E42" s="13" t="n">
        <v>15.7</v>
      </c>
      <c r="F42" s="13" t="n">
        <v>16.4</v>
      </c>
      <c r="G42" s="13" t="n">
        <v>15.8</v>
      </c>
      <c r="H42" s="13" t="n">
        <v>15.6</v>
      </c>
      <c r="I42" s="13" t="n">
        <v>15.5</v>
      </c>
      <c r="J42" s="13" t="n">
        <v>15.5</v>
      </c>
      <c r="K42" s="13" t="n">
        <v>15.5</v>
      </c>
      <c r="L42" s="13" t="n">
        <v>15.5</v>
      </c>
    </row>
    <row r="43">
      <c r="B43" s="12" t="inlineStr">
        <is>
          <t xml:space="preserve">  Taxes</t>
        </is>
      </c>
      <c r="C43" s="13" t="n">
        <v>14.4</v>
      </c>
      <c r="D43" s="13" t="n">
        <v>13.8</v>
      </c>
      <c r="E43" s="13" t="n">
        <v>14.2</v>
      </c>
      <c r="F43" s="13" t="n">
        <v>14.5</v>
      </c>
      <c r="G43" s="13" t="n">
        <v>14.4</v>
      </c>
      <c r="H43" s="13" t="n">
        <v>14.4</v>
      </c>
      <c r="I43" s="13" t="n">
        <v>14.4</v>
      </c>
      <c r="J43" s="13" t="n">
        <v>14.5</v>
      </c>
      <c r="K43" s="13" t="n">
        <v>14.5</v>
      </c>
      <c r="L43" s="13" t="n">
        <v>14.6</v>
      </c>
    </row>
    <row r="44">
      <c r="B44" s="12" t="inlineStr">
        <is>
          <t>Expense (ex NFA)</t>
        </is>
      </c>
      <c r="C44" s="13" t="n">
        <v>16.8</v>
      </c>
      <c r="D44" s="13" t="n">
        <v>17</v>
      </c>
      <c r="E44" s="13" t="n">
        <v>16.9</v>
      </c>
      <c r="F44" s="13" t="n">
        <v>17.6</v>
      </c>
      <c r="G44" s="13" t="n">
        <v>17.5</v>
      </c>
      <c r="H44" s="12" t="n"/>
      <c r="I44" s="12" t="n"/>
      <c r="J44" s="12" t="n"/>
      <c r="K44" s="12" t="n"/>
      <c r="L44" s="12" t="n"/>
    </row>
    <row r="45">
      <c r="B45" s="12" t="inlineStr">
        <is>
          <t xml:space="preserve">  Interest</t>
        </is>
      </c>
      <c r="C45" s="13" t="n">
        <v>3.1</v>
      </c>
      <c r="D45" s="13" t="n">
        <v>2.8</v>
      </c>
      <c r="E45" s="13" t="n">
        <v>3.1</v>
      </c>
      <c r="F45" s="13" t="n">
        <v>3.4</v>
      </c>
      <c r="G45" s="13" t="n">
        <v>3.5</v>
      </c>
      <c r="H45" s="13" t="n">
        <v>3.6</v>
      </c>
      <c r="I45" s="13" t="n">
        <v>3.8</v>
      </c>
      <c r="J45" s="13" t="n">
        <v>3.8</v>
      </c>
      <c r="K45" s="13" t="n">
        <v>3.8</v>
      </c>
      <c r="L45" s="13" t="n">
        <v>3.7</v>
      </c>
    </row>
    <row r="46">
      <c r="B46" s="12" t="inlineStr">
        <is>
          <t xml:space="preserve">  Subsidies (of which electricity)</t>
        </is>
      </c>
      <c r="C46" s="12" t="inlineStr">
        <is>
          <t>1.2 (0.7)</t>
        </is>
      </c>
      <c r="D46" s="12" t="inlineStr">
        <is>
          <t>2.1 (1.3)</t>
        </is>
      </c>
      <c r="E46" s="12" t="inlineStr">
        <is>
          <t>1.5 (1.1)</t>
        </is>
      </c>
      <c r="F46" s="12" t="inlineStr">
        <is>
          <t>1.9 (1.4)</t>
        </is>
      </c>
      <c r="G46" s="12" t="inlineStr">
        <is>
          <t>1.7 (1.3)</t>
        </is>
      </c>
      <c r="H46" s="12" t="n"/>
      <c r="I46" s="12" t="n"/>
      <c r="J46" s="12" t="n"/>
      <c r="K46" s="12" t="n"/>
      <c r="L46" s="12" t="n"/>
    </row>
    <row r="47">
      <c r="B47" s="12" t="inlineStr">
        <is>
          <t>Total outlays</t>
        </is>
      </c>
      <c r="C47" s="13" t="n">
        <v>18.3</v>
      </c>
      <c r="D47" s="13" t="n">
        <v>18.7</v>
      </c>
      <c r="E47" s="13" t="n">
        <v>19.1</v>
      </c>
      <c r="F47" s="13" t="n">
        <v>19.4</v>
      </c>
      <c r="G47" s="13" t="n">
        <v>19.5</v>
      </c>
      <c r="H47" s="13" t="n">
        <v>18.7</v>
      </c>
      <c r="I47" s="13" t="n">
        <v>18.5</v>
      </c>
      <c r="J47" s="13" t="n">
        <v>18.3</v>
      </c>
      <c r="K47" s="13" t="n">
        <v>17.9</v>
      </c>
      <c r="L47" s="13" t="n">
        <v>17.6</v>
      </c>
    </row>
    <row r="48">
      <c r="B48" s="12" t="inlineStr">
        <is>
          <t xml:space="preserve">  Primary outlays</t>
        </is>
      </c>
      <c r="C48" s="12" t="n"/>
      <c r="D48" s="12" t="n"/>
      <c r="E48" s="12" t="n"/>
      <c r="F48" s="12" t="n"/>
      <c r="G48" s="12" t="n"/>
      <c r="H48" s="13" t="n">
        <v>15.1</v>
      </c>
      <c r="I48" s="13" t="n">
        <v>14.8</v>
      </c>
      <c r="J48" s="13" t="n">
        <v>14.5</v>
      </c>
      <c r="K48" s="13" t="n">
        <v>14.2</v>
      </c>
      <c r="L48" s="13" t="n">
        <v>13.9</v>
      </c>
    </row>
    <row r="49">
      <c r="B49" s="12" t="inlineStr">
        <is>
          <t xml:space="preserve">  Capital expenditure</t>
        </is>
      </c>
      <c r="C49" s="12" t="n"/>
      <c r="D49" s="12" t="n"/>
      <c r="E49" s="12" t="n"/>
      <c r="F49" s="12" t="n"/>
      <c r="G49" s="13" t="n">
        <v>2.6</v>
      </c>
      <c r="H49" s="13" t="n">
        <v>2.5</v>
      </c>
      <c r="I49" s="13" t="n">
        <v>2.5</v>
      </c>
      <c r="J49" s="13" t="n">
        <v>2.5</v>
      </c>
      <c r="K49" s="13" t="n">
        <v>2.5</v>
      </c>
      <c r="L49" s="13" t="n">
        <v>2.4</v>
      </c>
    </row>
    <row r="50">
      <c r="B50" s="15" t="inlineStr">
        <is>
          <t>Overall balance</t>
        </is>
      </c>
      <c r="C50" s="13" t="n">
        <v>-2.9</v>
      </c>
      <c r="D50" s="13" t="n">
        <v>-3.2</v>
      </c>
      <c r="E50" s="13" t="n">
        <v>-3.3</v>
      </c>
      <c r="F50" s="13" t="n">
        <v>-3.1</v>
      </c>
      <c r="G50" s="13" t="n">
        <v>-3.6</v>
      </c>
      <c r="H50" s="13" t="n">
        <v>-3.1</v>
      </c>
      <c r="I50" s="13" t="n">
        <v>-3</v>
      </c>
      <c r="J50" s="13" t="n">
        <v>-2.8</v>
      </c>
      <c r="K50" s="13" t="n">
        <v>-2.4</v>
      </c>
      <c r="L50" s="13" t="n">
        <v>-2</v>
      </c>
    </row>
    <row r="51">
      <c r="B51" s="15" t="inlineStr">
        <is>
          <t>Primary balance</t>
        </is>
      </c>
      <c r="C51" s="13" t="n">
        <v>0.2</v>
      </c>
      <c r="D51" s="13" t="n">
        <v>-0.4</v>
      </c>
      <c r="E51" s="13" t="n">
        <v>-0.1</v>
      </c>
      <c r="F51" s="13" t="n">
        <v>0.3</v>
      </c>
      <c r="G51" s="13" t="n">
        <v>-0.1</v>
      </c>
      <c r="H51" s="13" t="n">
        <v>0.5</v>
      </c>
      <c r="I51" s="13" t="n">
        <v>0.7</v>
      </c>
      <c r="J51" s="13" t="n">
        <v>1</v>
      </c>
      <c r="K51" s="13" t="n">
        <v>1.4</v>
      </c>
      <c r="L51" s="13" t="n">
        <v>1.7</v>
      </c>
    </row>
    <row r="52">
      <c r="B52" s="12" t="inlineStr">
        <is>
          <t>SPNF overall balance</t>
        </is>
      </c>
      <c r="C52" s="13" t="n">
        <v>-2.5</v>
      </c>
      <c r="D52" s="13" t="n">
        <v>-2.7</v>
      </c>
      <c r="E52" s="13" t="n">
        <v>-3.1</v>
      </c>
      <c r="F52" s="13" t="n">
        <v>-3.1</v>
      </c>
      <c r="G52" s="13" t="n">
        <v>-3.3</v>
      </c>
      <c r="H52" s="12" t="n"/>
      <c r="I52" s="12" t="n"/>
      <c r="J52" s="12" t="n"/>
      <c r="K52" s="12" t="n"/>
      <c r="L52" s="12" t="n"/>
    </row>
    <row r="53">
      <c r="B53" s="15" t="inlineStr">
        <is>
          <t>Interest / revenue (%)</t>
        </is>
      </c>
      <c r="C53" s="24">
        <f>C45/C42</f>
        <v/>
      </c>
      <c r="D53" s="24">
        <f>D45/D42</f>
        <v/>
      </c>
      <c r="E53" s="24">
        <f>E45/E42</f>
        <v/>
      </c>
      <c r="F53" s="24">
        <f>F45/F42</f>
        <v/>
      </c>
      <c r="G53" s="24">
        <f>G45/G42</f>
        <v/>
      </c>
      <c r="H53" s="24">
        <f>H45/H42</f>
        <v/>
      </c>
      <c r="I53" s="24">
        <f>I45/I42</f>
        <v/>
      </c>
      <c r="J53" s="24">
        <f>J45/J42</f>
        <v/>
      </c>
      <c r="K53" s="24">
        <f>K45/K42</f>
        <v/>
      </c>
      <c r="L53" s="24">
        <f>L45/L42</f>
        <v/>
      </c>
    </row>
    <row r="54">
      <c r="B54" s="10" t="inlineStr">
        <is>
          <t>Source: MHE, Marco Fiscal de Mediano Plazo 2026-2030 (Abr-2026) Cuadros 2, 3, 7 and Grafico 25. 2026-2030 = MHE Marco Financiero Plurianual (Apr-26). 2026 ratios use Mar-26 GDP; the July budget modification (see below) is not in these figures.</t>
        </is>
      </c>
    </row>
    <row r="55">
      <c r="B55" s="10" t="inlineStr">
        <is>
          <t>MHE's own peer chart (IMF data): DR interest/revenue 23.0% in 2026 vs BB peers Colombia 10.0%, Guatemala 13.3%, Honduras 2.4%; LatAm average 13.2%. Only Mexico (23.7%) is higher in the region.</t>
        </is>
      </c>
    </row>
    <row r="57">
      <c r="B57" s="3" t="inlineStr">
        <is>
          <t>2026 budget events</t>
        </is>
      </c>
    </row>
    <row r="58">
      <c r="B58" s="11" t="inlineStr">
        <is>
          <t>Item</t>
        </is>
      </c>
      <c r="C58" s="11" t="inlineStr">
        <is>
          <t>RD$ mn</t>
        </is>
      </c>
      <c r="D58" s="11" t="inlineStr">
        <is>
          <t>% GDP</t>
        </is>
      </c>
      <c r="E58" s="11" t="inlineStr">
        <is>
          <t>Date</t>
        </is>
      </c>
      <c r="F58" s="11" t="inlineStr">
        <is>
          <t>Detail</t>
        </is>
      </c>
    </row>
    <row r="59" ht="28" customHeight="1">
      <c r="B59" s="12" t="inlineStr">
        <is>
          <t>Ley 99-25 original budget: overall deficit</t>
        </is>
      </c>
      <c r="C59" s="32" t="n">
        <v>-266532.5</v>
      </c>
      <c r="D59" s="25">
        <f>C59/$E$7</f>
        <v/>
      </c>
      <c r="E59" s="12" t="inlineStr">
        <is>
          <t>Dec-25</t>
        </is>
      </c>
      <c r="F59" s="6" t="inlineStr">
        <is>
          <t>Revenue RD$1,342bn (15.6% GDP); outlays RD$1,609bn incl. interest RD$310bn</t>
        </is>
      </c>
    </row>
    <row r="60" ht="28" customHeight="1">
      <c r="B60" s="12" t="inlineStr">
        <is>
          <t>Gross financing need 2026 (MFMP)</t>
        </is>
      </c>
      <c r="C60" s="32" t="n">
        <v>401767.8</v>
      </c>
      <c r="D60" s="25">
        <f>C60/$E$7</f>
        <v/>
      </c>
      <c r="E60" s="12" t="inlineStr">
        <is>
          <t>Apr-26</t>
        </is>
      </c>
      <c r="F60" s="6" t="inlineStr">
        <is>
          <t>4.6% GDP: deficit RD$280,575mn + amortisation/other RD$121,193mn</t>
        </is>
      </c>
    </row>
    <row r="61" ht="42" customHeight="1">
      <c r="B61" s="12" t="inlineStr">
        <is>
          <t>Eurobond issuance</t>
        </is>
      </c>
      <c r="E61" s="12" t="inlineStr">
        <is>
          <t>11-Feb-26</t>
        </is>
      </c>
      <c r="F61" s="6" t="inlineStr">
        <is>
          <t>US$2.75bn: US$1.25bn 8y @5.75% + US$1.5bn 12.25y @6.15%; book &gt;US$7.2bn (2.6x). Budget contemplates US$8.5bn bonds 2026-28</t>
        </is>
      </c>
    </row>
    <row r="62" ht="42" customHeight="1">
      <c r="B62" s="12" t="inlineStr">
        <is>
          <t>Ley 30-26 'Medidas Pro-Crecimiento...' promulgated</t>
        </is>
      </c>
      <c r="E62" s="12" t="inlineStr">
        <is>
          <t>18-Jun-26</t>
        </is>
      </c>
      <c r="F62" s="6" t="inlineStr">
        <is>
          <t>Temporary CIT 30% (from 27%) for firms &gt;RD$1bn revenue for 3 yrs; 10% capital gains tax on real estate (individuals); higher gambling taxes; exit tax US$20-&gt;30; tax amnesty; new personal ISR scale from 2027 (exempt up to RD$480k); PYME advance-payment elimination; 15% withholding on foreign tech services. Yield est. 0.4-0.5% GDP (EMFI)</t>
        </is>
      </c>
    </row>
    <row r="63" ht="42" customHeight="1">
      <c r="B63" s="12" t="inlineStr">
        <is>
          <t>Budget modification approved by Congress</t>
        </is>
      </c>
      <c r="C63" s="32" t="n">
        <v>40978.3</v>
      </c>
      <c r="D63" s="25">
        <f>C63/$E$7</f>
        <v/>
      </c>
      <c r="E63" s="12" t="inlineStr">
        <is>
          <t>Jul-26</t>
        </is>
      </c>
      <c r="F63" s="6" t="inlineStr">
        <is>
          <t>Total budget to RD$1.785tn; press cites 2026 interest at RD$362,550mn post-modification (vs RD$310,214mn in MFMP). Funded by RD$19,830.8mn Ley 30-26 revenue + RD$21,147.5mn 2025 cash carry-over; US$465mn new loans approved. MHE: deficit unchanged at RD$280,575mn (3.24% GDP); alt. reading treats carry-over as financing -&gt; RD$301,723mn (3.48%)</t>
        </is>
      </c>
    </row>
    <row r="64" ht="42" customHeight="1">
      <c r="B64" s="12" t="inlineStr">
        <is>
          <t>Fuel subsidy programme</t>
        </is>
      </c>
      <c r="E64" s="12" t="inlineStr">
        <is>
          <t>2026</t>
        </is>
      </c>
      <c r="F64" s="6" t="inlineStr">
        <is>
          <t>Partial pass-through of refined product prices; RD$11bn reallocated to social protection and fertiliser subsidies (MHE). Electricity subsidy 1.3% GDP in 2025</t>
        </is>
      </c>
    </row>
    <row r="65" ht="42" customHeight="1">
      <c r="B65" s="12" t="inlineStr">
        <is>
          <t>Fiscal Responsibility Law 35-24 compliance</t>
        </is>
      </c>
      <c r="E65" s="12" t="inlineStr">
        <is>
          <t>2025</t>
        </is>
      </c>
      <c r="F65" s="6" t="inlineStr">
        <is>
          <t>Primary spending cap = projected avg inflation + 3pp; 2025 primary spending grew 5.35% vs cap 6.7% (met). Debt target: General Govt &lt;=40% GDP by 2035</t>
        </is>
      </c>
    </row>
    <row r="67">
      <c r="B67" s="3" t="inlineStr">
        <is>
          <t>Public debt</t>
        </is>
      </c>
    </row>
    <row r="68">
      <c r="B68" s="11" t="inlineStr">
        <is>
          <t>Item</t>
        </is>
      </c>
      <c r="C68" s="11" t="inlineStr">
        <is>
          <t>Dec-24</t>
        </is>
      </c>
      <c r="D68" s="11" t="inlineStr">
        <is>
          <t>Dec-25</t>
        </is>
      </c>
      <c r="E68" s="11" t="inlineStr">
        <is>
          <t>May-26</t>
        </is>
      </c>
      <c r="F68" s="11" t="inlineStr">
        <is>
          <t>Jun-26</t>
        </is>
      </c>
      <c r="G68" s="11" t="inlineStr">
        <is>
          <t>Jul-26</t>
        </is>
      </c>
      <c r="H68" s="11" t="inlineStr">
        <is>
          <t>Note</t>
        </is>
      </c>
    </row>
    <row r="69">
      <c r="B69" s="15" t="inlineStr">
        <is>
          <t>SPNF debt, US$ mn</t>
        </is>
      </c>
      <c r="C69" s="32" t="n">
        <v>59120</v>
      </c>
      <c r="D69" s="32" t="n">
        <v>61549.9</v>
      </c>
      <c r="E69" s="32" t="n">
        <v>67995.5</v>
      </c>
      <c r="F69" s="32" t="n">
        <v>67370.7</v>
      </c>
      <c r="G69" s="32" t="n">
        <v>67827.8</v>
      </c>
      <c r="H69" s="12" t="inlineStr">
        <is>
          <t>2024 back-solved from MHE '+4.1% y/y in 2025'; verify vs DGCP Dec-24 report</t>
        </is>
      </c>
    </row>
    <row r="70">
      <c r="B70" s="12" t="inlineStr">
        <is>
          <t xml:space="preserve">  External, US$ mn</t>
        </is>
      </c>
      <c r="D70" s="32" t="n">
        <v>45479.3</v>
      </c>
      <c r="E70" s="32" t="n">
        <v>48287.9</v>
      </c>
      <c r="H70" s="12" t="inlineStr">
        <is>
          <t>Dec-25: bonds 57.3% of external, multilaterals 18.7% (BID, BIRF)</t>
        </is>
      </c>
    </row>
    <row r="71">
      <c r="B71" s="12" t="inlineStr">
        <is>
          <t xml:space="preserve">  Domestic, US$ mn</t>
        </is>
      </c>
      <c r="D71" s="32" t="n">
        <v>16070.6</v>
      </c>
      <c r="E71" s="32" t="n">
        <v>19707.6</v>
      </c>
      <c r="H71" s="12" t="inlineStr">
        <is>
          <t>May-26 at RD$58.1458; includes US$2,276mn BCRD recapitalisation bonds (1.6% GDP)</t>
        </is>
      </c>
    </row>
    <row r="72">
      <c r="B72" s="12" t="inlineStr">
        <is>
          <t xml:space="preserve">  External share (%)</t>
        </is>
      </c>
      <c r="D72" s="27">
        <f>D70/D69</f>
        <v/>
      </c>
      <c r="E72" s="27">
        <f>E70/E69</f>
        <v/>
      </c>
    </row>
    <row r="73">
      <c r="B73" s="15" t="inlineStr">
        <is>
          <t>SPNF debt, % GDP (official)</t>
        </is>
      </c>
      <c r="C73" s="34">
        <f>C69/Fiscal!C8*100</f>
        <v/>
      </c>
      <c r="D73" s="13" t="n">
        <v>48.1</v>
      </c>
      <c r="E73" s="13" t="n">
        <v>48.3</v>
      </c>
      <c r="F73" s="13" t="n">
        <v>47.9</v>
      </c>
      <c r="G73" s="13" t="n">
        <v>48.2</v>
      </c>
      <c r="H73" s="12" t="inlineStr">
        <is>
          <t>MFMP: 48.4% end-2026, 48.9% end-2030 (flat path). Dec-24 cell is calculated (back-solved debt / BCRD US$ GDP), not DGCP official.</t>
        </is>
      </c>
    </row>
    <row r="74">
      <c r="B74" s="12" t="inlineStr">
        <is>
          <t>SPNF debt, % GDP (check: US$ debt / US$ GDP)</t>
        </is>
      </c>
      <c r="D74" s="27">
        <f>D69/D8</f>
        <v/>
      </c>
      <c r="G74" s="27">
        <f>G69/F8</f>
        <v/>
      </c>
      <c r="H74" s="12" t="inlineStr">
        <is>
          <t>Denominator: MHE 2025 GDP; DGCP Jun-26 GDP revision for Jul-26</t>
        </is>
      </c>
    </row>
    <row r="75">
      <c r="B75" s="12" t="inlineStr">
        <is>
          <t>BCRD debt (own securities + external), US$ mn</t>
        </is>
      </c>
      <c r="F75" s="32" t="n">
        <v>16427.2</v>
      </c>
      <c r="H75" s="12" t="inlineStr">
        <is>
          <t>11.7% GDP; includes intergovernmental</t>
        </is>
      </c>
    </row>
    <row r="76">
      <c r="B76" s="15" t="inlineStr">
        <is>
          <t>Consolidated public sector debt, US$ mn</t>
        </is>
      </c>
      <c r="F76" s="33">
        <f>F69+F75</f>
        <v/>
      </c>
      <c r="H76" s="12" t="inlineStr">
        <is>
          <t>Reported: US$83,797.9mn = 59.5% GDP (Jun-26); Jun-16 was 53.2%</t>
        </is>
      </c>
    </row>
    <row r="77">
      <c r="B77" s="15" t="inlineStr">
        <is>
          <t>Consolidated public sector debt, % GDP</t>
        </is>
      </c>
      <c r="F77" s="24">
        <f>F76/F8</f>
        <v/>
      </c>
    </row>
    <row r="78">
      <c r="B78" s="12" t="inlineStr">
        <is>
          <t>Consolidated public external debt, US$ mn</t>
        </is>
      </c>
      <c r="C78" s="32" t="n">
        <v>41813.5</v>
      </c>
      <c r="D78" s="32" t="n">
        <v>46596.3</v>
      </c>
      <c r="H78" s="12" t="inlineStr">
        <is>
          <t>33.6% -&gt; 36.4% GDP; SPNF 45,479 + BCRD 1,117. 2025 disbursements US$7,844mn, service US$5,874mn (interest 2,845)</t>
        </is>
      </c>
    </row>
    <row r="79">
      <c r="B79" s="12" t="inlineStr">
        <is>
          <t>External public debt service / exports of goods (%)</t>
        </is>
      </c>
      <c r="D79" s="27">
        <f>5874/15930.6</f>
        <v/>
      </c>
      <c r="H79" s="12" t="inlineStr">
        <is>
          <t>Goods exports only; add tourism (US$11.3bn) and remittances for a wider coverage ratio</t>
        </is>
      </c>
    </row>
    <row r="80">
      <c r="B80" s="10" t="inlineStr">
        <is>
          <t>Sources: DGCP (creditopublico.gob.do), saldo deuda SPNF, Jul-2026 (17-Aug-2026); MHE, Marco Fiscal de Mediano Plazo 2026-2030 (Abr-2026); BCRD, Resultados preliminares de la economia dominicana, ene-dic 2025 (Feb-2026) (external debt table); consolidated figures from DGCP via Cibao Noticias (Aug-26). Peso appreciation flatters the US$ value of RD$ debt and lowers ratios in 2026.</t>
        </is>
      </c>
    </row>
    <row r="82">
      <c r="B82" s="3" t="inlineStr">
        <is>
          <t>Sovereign ratings</t>
        </is>
      </c>
    </row>
    <row r="83">
      <c r="B83" s="11" t="inlineStr">
        <is>
          <t>Agency</t>
        </is>
      </c>
      <c r="C83" s="11" t="inlineStr">
        <is>
          <t>Rating</t>
        </is>
      </c>
      <c r="D83" s="11" t="inlineStr">
        <is>
          <t>Outlook</t>
        </is>
      </c>
      <c r="E83" s="11" t="inlineStr">
        <is>
          <t>Last action</t>
        </is>
      </c>
      <c r="F83" s="11" t="inlineStr">
        <is>
          <t>Comment</t>
        </is>
      </c>
    </row>
    <row r="84">
      <c r="B84" s="12" t="inlineStr">
        <is>
          <t>Moody's</t>
        </is>
      </c>
      <c r="C84" s="12" t="inlineStr">
        <is>
          <t>Ba2</t>
        </is>
      </c>
      <c r="D84" s="12" t="inlineStr">
        <is>
          <t>Stable</t>
        </is>
      </c>
      <c r="E84" s="12" t="inlineStr">
        <is>
          <t>2025 upgrade</t>
        </is>
      </c>
      <c r="F84" s="6" t="inlineStr">
        <is>
          <t>Upgrade from Ba3 citing growth, institutions, post-pandemic fiscal strengthening and Fiscal Responsibility Law</t>
        </is>
      </c>
    </row>
    <row r="85">
      <c r="B85" s="12" t="inlineStr">
        <is>
          <t>S&amp;P</t>
        </is>
      </c>
      <c r="C85" s="12" t="inlineStr">
        <is>
          <t>BB</t>
        </is>
      </c>
      <c r="D85" s="12" t="inlineStr">
        <is>
          <t>Stable</t>
        </is>
      </c>
      <c r="E85" s="12" t="inlineStr">
        <is>
          <t>Affirmed 2025; rated Feb-26 bonds</t>
        </is>
      </c>
      <c r="F85" s="6" t="inlineStr">
        <is>
          <t>Cites growth, stable investment, tourism</t>
        </is>
      </c>
    </row>
    <row r="86">
      <c r="B86" s="12" t="inlineStr">
        <is>
          <t>Fitch</t>
        </is>
      </c>
      <c r="C86" s="12" t="inlineStr">
        <is>
          <t>BB-</t>
        </is>
      </c>
      <c r="D86" s="12" t="inlineStr">
        <is>
          <t>Stable</t>
        </is>
      </c>
      <c r="E86" s="12" t="inlineStr">
        <is>
          <t>Apr-26 outlook to Stable from Positive</t>
        </is>
      </c>
      <c r="F86" s="6" t="inlineStr">
        <is>
          <t>External environment deterioration and risk of prolonged growth moderation; supports: income level, export diversification, governance vs peers</t>
        </is>
      </c>
    </row>
  </sheetData>
  <mergeCells count="10">
    <mergeCell ref="F85:L85"/>
    <mergeCell ref="F84:L84"/>
    <mergeCell ref="F64:L64"/>
    <mergeCell ref="F61:L61"/>
    <mergeCell ref="F59:L59"/>
    <mergeCell ref="F62:L62"/>
    <mergeCell ref="F65:L65"/>
    <mergeCell ref="F86:L86"/>
    <mergeCell ref="F63:L63"/>
    <mergeCell ref="F60:L6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1F3B63"/>
    <outlinePr summaryBelow="1" summaryRight="1"/>
    <pageSetUpPr/>
  </sheetPr>
  <dimension ref="B2:H7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60" customWidth="1" min="7" max="7"/>
    <col width="60" customWidth="1" min="8" max="8"/>
  </cols>
  <sheetData>
    <row r="2" ht="26" customHeight="1">
      <c r="B2" s="1" t="inlineStr">
        <is>
          <t>External accounts</t>
        </is>
      </c>
    </row>
    <row r="3">
      <c r="B3" s="2" t="inlineStr">
        <is>
          <t>Balance of payments (BPM6), trade, FX inflows, reserves, exchange rate. Blue = source input; black = formula.</t>
        </is>
      </c>
    </row>
    <row r="5">
      <c r="B5" s="3" t="inlineStr">
        <is>
          <t>Balance of payments, US$ mn</t>
        </is>
      </c>
    </row>
    <row r="6">
      <c r="B6" s="11" t="inlineStr">
        <is>
          <t>Line</t>
        </is>
      </c>
      <c r="C6" s="11" t="inlineStr">
        <is>
          <t>2024</t>
        </is>
      </c>
      <c r="D6" s="11" t="inlineStr">
        <is>
          <t>2025</t>
        </is>
      </c>
      <c r="E6" s="11" t="inlineStr">
        <is>
          <t>Change</t>
        </is>
      </c>
      <c r="F6" s="11" t="inlineStr">
        <is>
          <t>2025 % GDP</t>
        </is>
      </c>
      <c r="G6" s="11" t="inlineStr">
        <is>
          <t>Note</t>
        </is>
      </c>
    </row>
    <row r="7">
      <c r="B7" s="15" t="inlineStr">
        <is>
          <t>Current account</t>
        </is>
      </c>
      <c r="C7" s="31" t="n">
        <v>-3804.7</v>
      </c>
      <c r="D7" s="31" t="n">
        <v>-1508.2</v>
      </c>
      <c r="E7" s="33">
        <f>D7-C7</f>
        <v/>
      </c>
      <c r="F7" s="35">
        <f>D7/Fiscal!$D$8</f>
        <v/>
      </c>
      <c r="G7" s="12" t="inlineStr"/>
    </row>
    <row r="8">
      <c r="B8" s="12" t="inlineStr">
        <is>
          <t xml:space="preserve">  Goods balance</t>
        </is>
      </c>
      <c r="C8" s="32" t="n">
        <v>-15870.4</v>
      </c>
      <c r="D8" s="32" t="n">
        <v>-13857.7</v>
      </c>
      <c r="E8" s="36">
        <f>D8-C8</f>
        <v/>
      </c>
      <c r="F8" s="37">
        <f>D8/Fiscal!$D$8</f>
        <v/>
      </c>
      <c r="G8" s="12" t="inlineStr">
        <is>
          <t>Exports +14.4%, imports flat</t>
        </is>
      </c>
    </row>
    <row r="9">
      <c r="B9" s="12" t="inlineStr">
        <is>
          <t xml:space="preserve">  Services balance</t>
        </is>
      </c>
      <c r="C9" s="32" t="n">
        <v>8354.6</v>
      </c>
      <c r="D9" s="32" t="n">
        <v>8806.700000000001</v>
      </c>
      <c r="E9" s="36">
        <f>D9-C9</f>
        <v/>
      </c>
      <c r="F9" s="37">
        <f>D9/Fiscal!$D$8</f>
        <v/>
      </c>
      <c r="G9" s="12" t="inlineStr">
        <is>
          <t>Tourism +US$346mn</t>
        </is>
      </c>
    </row>
    <row r="10">
      <c r="B10" s="12" t="inlineStr">
        <is>
          <t xml:space="preserve">  Primary income</t>
        </is>
      </c>
      <c r="C10" s="32" t="n">
        <v>-6426</v>
      </c>
      <c r="D10" s="32" t="n">
        <v>-7759.5</v>
      </c>
      <c r="E10" s="36">
        <f>D10-C10</f>
        <v/>
      </c>
      <c r="F10" s="37">
        <f>D10/Fiscal!$D$8</f>
        <v/>
      </c>
      <c r="G10" s="12" t="inlineStr">
        <is>
          <t>Widening: FDI stock returns + external interest (US$2.8bn public)</t>
        </is>
      </c>
    </row>
    <row r="11">
      <c r="B11" s="12" t="inlineStr">
        <is>
          <t xml:space="preserve">  Secondary income</t>
        </is>
      </c>
      <c r="C11" s="32" t="n">
        <v>10137.1</v>
      </c>
      <c r="D11" s="32" t="n">
        <v>11302.3</v>
      </c>
      <c r="E11" s="36">
        <f>D11-C11</f>
        <v/>
      </c>
      <c r="F11" s="37">
        <f>D11/Fiscal!$D$8</f>
        <v/>
      </c>
      <c r="G11" s="12" t="inlineStr">
        <is>
          <t>Remittances +10.3%; &gt;80% from US</t>
        </is>
      </c>
    </row>
    <row r="12">
      <c r="B12" s="15" t="inlineStr">
        <is>
          <t>Financial account (net lending)</t>
        </is>
      </c>
      <c r="C12" s="31" t="n">
        <v>-3615.3</v>
      </c>
      <c r="D12" s="31" t="n">
        <v>-3663.2</v>
      </c>
      <c r="E12" s="33">
        <f>D12-C12</f>
        <v/>
      </c>
      <c r="F12" s="35">
        <f>D12/Fiscal!$D$8</f>
        <v/>
      </c>
      <c r="G12" s="12" t="inlineStr">
        <is>
          <t>Negative = net borrowing from RoW</t>
        </is>
      </c>
    </row>
    <row r="13">
      <c r="B13" s="12" t="inlineStr">
        <is>
          <t xml:space="preserve">  Direct investment</t>
        </is>
      </c>
      <c r="C13" s="32" t="n">
        <v>-4523.2</v>
      </c>
      <c r="D13" s="32" t="n">
        <v>-5032.3</v>
      </c>
      <c r="E13" s="36">
        <f>D13-C13</f>
        <v/>
      </c>
      <c r="F13" s="37">
        <f>D13/Fiscal!$D$8</f>
        <v/>
      </c>
      <c r="G13" s="12" t="inlineStr">
        <is>
          <t>Liabilities +4,906.8; mining, telecoms, commerce</t>
        </is>
      </c>
    </row>
    <row r="14">
      <c r="B14" s="12" t="inlineStr">
        <is>
          <t xml:space="preserve">  Portfolio investment</t>
        </is>
      </c>
      <c r="C14" s="32" t="n">
        <v>-2432</v>
      </c>
      <c r="D14" s="32" t="n">
        <v>-3174.9</v>
      </c>
      <c r="E14" s="36">
        <f>D14-C14</f>
        <v/>
      </c>
      <c r="F14" s="37">
        <f>D14/Fiscal!$D$8</f>
        <v/>
      </c>
      <c r="G14" s="12" t="inlineStr">
        <is>
          <t>Liabilities +3,530 (sovereign bonds)</t>
        </is>
      </c>
    </row>
    <row r="15">
      <c r="B15" s="12" t="inlineStr">
        <is>
          <t xml:space="preserve">  Other investment</t>
        </is>
      </c>
      <c r="C15" s="32" t="n">
        <v>3339.9</v>
      </c>
      <c r="D15" s="32" t="n">
        <v>4544</v>
      </c>
      <c r="E15" s="36">
        <f>D15-C15</f>
        <v/>
      </c>
      <c r="F15" s="37">
        <f>D15/Fiscal!$D$8</f>
        <v/>
      </c>
      <c r="G15" s="12" t="inlineStr">
        <is>
          <t>Assets: currency &amp; deposits +4,028 (resident FX accumulation abroad)</t>
        </is>
      </c>
    </row>
    <row r="16">
      <c r="B16" s="12" t="inlineStr">
        <is>
          <t>Errors and omissions</t>
        </is>
      </c>
      <c r="C16" s="32" t="n">
        <v>-1573.8</v>
      </c>
      <c r="D16" s="32" t="n">
        <v>-563.6</v>
      </c>
      <c r="E16" s="36">
        <f>D16-C16</f>
        <v/>
      </c>
      <c r="F16" s="37">
        <f>D16/Fiscal!$D$8</f>
        <v/>
      </c>
      <c r="G16" s="12" t="inlineStr"/>
    </row>
    <row r="17">
      <c r="B17" s="12" t="inlineStr">
        <is>
          <t>Reserve assets (change)</t>
        </is>
      </c>
      <c r="C17" s="32" t="n">
        <v>-2085.9</v>
      </c>
      <c r="D17" s="32" t="n">
        <v>1264</v>
      </c>
      <c r="E17" s="36">
        <f>D17-C17</f>
        <v/>
      </c>
      <c r="F17" s="37">
        <f>D17/Fiscal!$D$8</f>
        <v/>
      </c>
      <c r="G17" s="12" t="inlineStr">
        <is>
          <t>Sign per BCRD table ('Financiamiento'); gross reserves rose US$1,304mn in 2025</t>
        </is>
      </c>
    </row>
    <row r="18">
      <c r="B18" s="15" t="inlineStr">
        <is>
          <t>FDI / current account deficit (x)</t>
        </is>
      </c>
      <c r="C18" s="38">
        <f>-C13/C7</f>
        <v/>
      </c>
      <c r="D18" s="38">
        <f>-D13/D7</f>
        <v/>
      </c>
      <c r="G18" s="12" t="inlineStr">
        <is>
          <t>BCRD (Aug-26): 2026 CA deficit ~1.3% GDP, covered ~3x by FDI</t>
        </is>
      </c>
    </row>
    <row r="19">
      <c r="B19" s="10" t="inlineStr">
        <is>
          <t>Source: BCRD, Resultados preliminares de la economia dominicana, ene-dic 2025 (Feb-2026). Primary income deficit is the structural drain: 6.1% of GDP in 2025 and widening with the FDI stock (compare Argentina thesis).</t>
        </is>
      </c>
    </row>
    <row r="21">
      <c r="B21" s="3" t="inlineStr">
        <is>
          <t>Trade, US$ mn</t>
        </is>
      </c>
    </row>
    <row r="22">
      <c r="B22" s="11" t="inlineStr">
        <is>
          <t>Line</t>
        </is>
      </c>
      <c r="C22" s="11" t="inlineStr">
        <is>
          <t>2024</t>
        </is>
      </c>
      <c r="D22" s="11" t="inlineStr">
        <is>
          <t>2025</t>
        </is>
      </c>
      <c r="E22" s="11" t="inlineStr">
        <is>
          <t>% chg</t>
        </is>
      </c>
      <c r="F22" s="11" t="inlineStr">
        <is>
          <t>H1-2026</t>
        </is>
      </c>
      <c r="G22" s="11" t="inlineStr">
        <is>
          <t>H1 % y/y</t>
        </is>
      </c>
      <c r="H22" s="11" t="inlineStr">
        <is>
          <t>Note</t>
        </is>
      </c>
    </row>
    <row r="23">
      <c r="B23" s="15" t="inlineStr">
        <is>
          <t>Total goods exports</t>
        </is>
      </c>
      <c r="C23" s="31" t="n">
        <v>13927.4</v>
      </c>
      <c r="D23" s="31" t="n">
        <v>15930.6</v>
      </c>
      <c r="E23" s="24">
        <f>D23/C23-1</f>
        <v/>
      </c>
      <c r="F23" s="31" t="n">
        <v>8745.700000000001</v>
      </c>
      <c r="G23" s="39" t="n">
        <v>0.166</v>
      </c>
      <c r="H23" s="12" t="inlineStr"/>
    </row>
    <row r="24">
      <c r="B24" s="12" t="inlineStr">
        <is>
          <t xml:space="preserve">  National (non-FZ)</t>
        </is>
      </c>
      <c r="C24" s="32" t="n">
        <v>5427.1</v>
      </c>
      <c r="D24" s="32" t="n">
        <v>7382</v>
      </c>
      <c r="E24" s="27">
        <f>D24/C24-1</f>
        <v/>
      </c>
      <c r="H24" s="12" t="inlineStr">
        <is>
          <t>+36% in 2025</t>
        </is>
      </c>
    </row>
    <row r="25">
      <c r="B25" s="12" t="inlineStr">
        <is>
          <t xml:space="preserve">    Minerals</t>
        </is>
      </c>
      <c r="C25" s="32" t="n">
        <v>1712.7</v>
      </c>
      <c r="D25" s="32" t="n">
        <v>2648.7</v>
      </c>
      <c r="E25" s="27">
        <f>D25/C25-1</f>
        <v/>
      </c>
      <c r="H25" s="12" t="inlineStr">
        <is>
          <t>Gold +60.9% to US$2,413mn; H1-26 gold US$1,591.9mn (+68.8%)</t>
        </is>
      </c>
    </row>
    <row r="26">
      <c r="B26" s="12" t="inlineStr">
        <is>
          <t xml:space="preserve">    Agricultural</t>
        </is>
      </c>
      <c r="C26" s="32" t="n">
        <v>774.4</v>
      </c>
      <c r="D26" s="32" t="n">
        <v>961.5</v>
      </c>
      <c r="E26" s="27">
        <f>D26/C26-1</f>
        <v/>
      </c>
      <c r="H26" s="12" t="inlineStr">
        <is>
          <t>Cocoa beans +37.7%</t>
        </is>
      </c>
    </row>
    <row r="27">
      <c r="B27" s="12" t="inlineStr">
        <is>
          <t xml:space="preserve">    Industrial</t>
        </is>
      </c>
      <c r="C27" s="32" t="n">
        <v>2940</v>
      </c>
      <c r="D27" s="32" t="n">
        <v>3771.8</v>
      </c>
      <c r="E27" s="27">
        <f>D27/C27-1</f>
        <v/>
      </c>
      <c r="H27" s="12" t="inlineStr">
        <is>
          <t>Steel rebar +72%, jet fuel re-exports US$646mn</t>
        </is>
      </c>
    </row>
    <row r="28">
      <c r="B28" s="12" t="inlineStr">
        <is>
          <t xml:space="preserve">  Free zones</t>
        </is>
      </c>
      <c r="C28" s="32" t="n">
        <v>8500.299999999999</v>
      </c>
      <c r="D28" s="32" t="n">
        <v>8548.6</v>
      </c>
      <c r="E28" s="27">
        <f>D28/C28-1</f>
        <v/>
      </c>
      <c r="F28" s="32" t="n">
        <v>4359.7</v>
      </c>
      <c r="G28" s="39" t="n">
        <v>0.032</v>
      </c>
      <c r="H28" s="12" t="inlineStr">
        <is>
          <t>Medical devices US$2,859mn, tobacco 1,337, electrical 1,169, textiles 855</t>
        </is>
      </c>
    </row>
    <row r="29">
      <c r="B29" s="15" t="inlineStr">
        <is>
          <t>Total goods imports</t>
        </is>
      </c>
      <c r="C29" s="31" t="n">
        <v>29797.8</v>
      </c>
      <c r="D29" s="31" t="n">
        <v>29788.3</v>
      </c>
      <c r="E29" s="24">
        <f>D29/C29-1</f>
        <v/>
      </c>
      <c r="H29" s="12" t="inlineStr">
        <is>
          <t>Flat in 2025</t>
        </is>
      </c>
    </row>
    <row r="30">
      <c r="B30" s="12" t="inlineStr">
        <is>
          <t xml:space="preserve">  Oil imports</t>
        </is>
      </c>
      <c r="C30" s="32" t="n">
        <v>4731.7</v>
      </c>
      <c r="D30" s="32" t="n">
        <v>4616.7</v>
      </c>
      <c r="E30" s="27">
        <f>D30/C30-1</f>
        <v/>
      </c>
      <c r="H30" s="12" t="inlineStr">
        <is>
          <t>-2.4% on -8.1% avg price in 2025; 2026 bill rising with WTI ~US$80-90</t>
        </is>
      </c>
    </row>
    <row r="31">
      <c r="B31" s="12" t="inlineStr">
        <is>
          <t xml:space="preserve">  Non-oil imports</t>
        </is>
      </c>
      <c r="C31" s="32" t="n">
        <v>25066.1</v>
      </c>
      <c r="D31" s="32" t="n">
        <v>25171.6</v>
      </c>
      <c r="E31" s="27">
        <f>D31/C31-1</f>
        <v/>
      </c>
      <c r="H31" s="12" t="inlineStr"/>
    </row>
    <row r="32">
      <c r="B32" s="12" t="inlineStr">
        <is>
          <t xml:space="preserve">  Capital goods (national)</t>
        </is>
      </c>
      <c r="C32" s="32" t="n">
        <v>4416.7</v>
      </c>
      <c r="D32" s="32" t="n">
        <v>4050.2</v>
      </c>
      <c r="E32" s="27">
        <f>D32/C32-1</f>
        <v/>
      </c>
      <c r="H32" s="12" t="inlineStr">
        <is>
          <t>-8.3%: investment postponement in 2025</t>
        </is>
      </c>
    </row>
    <row r="34">
      <c r="B34" s="3" t="inlineStr">
        <is>
          <t>FX-generating flows, US$ mn</t>
        </is>
      </c>
    </row>
    <row r="35">
      <c r="B35" s="11" t="inlineStr">
        <is>
          <t>Flow</t>
        </is>
      </c>
      <c r="C35" s="11" t="inlineStr">
        <is>
          <t>2024</t>
        </is>
      </c>
      <c r="D35" s="11" t="inlineStr">
        <is>
          <t>2025</t>
        </is>
      </c>
      <c r="E35" s="11" t="inlineStr">
        <is>
          <t>% chg</t>
        </is>
      </c>
      <c r="F35" s="11" t="inlineStr">
        <is>
          <t>H1-2026</t>
        </is>
      </c>
      <c r="G35" s="11" t="inlineStr">
        <is>
          <t>H1 % y/y</t>
        </is>
      </c>
      <c r="H35" s="11" t="inlineStr">
        <is>
          <t>Note</t>
        </is>
      </c>
    </row>
    <row r="36">
      <c r="B36" s="12" t="inlineStr">
        <is>
          <t>Goods exports</t>
        </is>
      </c>
      <c r="C36" s="32" t="n">
        <v>13927.4</v>
      </c>
      <c r="D36" s="32" t="n">
        <v>15930.6</v>
      </c>
      <c r="E36" s="27">
        <f>D36/C36-1</f>
        <v/>
      </c>
      <c r="F36" s="32" t="n">
        <v>8745.700000000001</v>
      </c>
      <c r="G36" s="39" t="n">
        <v>0.166</v>
      </c>
      <c r="H36" s="12" t="inlineStr"/>
    </row>
    <row r="37">
      <c r="B37" s="12" t="inlineStr">
        <is>
          <t>Tourism receipts</t>
        </is>
      </c>
      <c r="C37" s="32" t="n">
        <v>10972.4</v>
      </c>
      <c r="D37" s="32" t="n">
        <v>11318.5</v>
      </c>
      <c r="E37" s="27">
        <f>D37/C37-1</f>
        <v/>
      </c>
      <c r="F37" s="32" t="n">
        <v>6716</v>
      </c>
      <c r="G37" s="39" t="n">
        <v>0.153</v>
      </c>
      <c r="H37" s="12" t="inlineStr">
        <is>
          <t>2025: 11.64mn non-resident visitors (8.86mn air + 2.77mn cruise); H1-26 arrivals &gt;6.5mn (+7.9%); Mar-26 first month &gt;900k air</t>
        </is>
      </c>
    </row>
    <row r="38">
      <c r="B38" s="12" t="inlineStr">
        <is>
          <t>Remittances</t>
        </is>
      </c>
      <c r="C38" s="32" t="n">
        <v>10756</v>
      </c>
      <c r="D38" s="32" t="n">
        <v>11866.3</v>
      </c>
      <c r="E38" s="27">
        <f>D38/C38-1</f>
        <v/>
      </c>
      <c r="F38" s="32" t="n">
        <v>6291.3</v>
      </c>
      <c r="G38" s="39" t="n">
        <v>0.067</v>
      </c>
      <c r="H38" s="12" t="inlineStr">
        <is>
          <t>1Q26 +1.9% only (US labour market); recovered to +6.7% by H1</t>
        </is>
      </c>
    </row>
    <row r="39">
      <c r="B39" s="12" t="inlineStr">
        <is>
          <t>FDI (net inflow)</t>
        </is>
      </c>
      <c r="C39" s="32" t="n">
        <v>4523.2</v>
      </c>
      <c r="D39" s="32" t="n">
        <v>5032.3</v>
      </c>
      <c r="E39" s="27">
        <f>D39/C39-1</f>
        <v/>
      </c>
      <c r="F39" s="32" t="n">
        <v>3276.5</v>
      </c>
      <c r="G39" s="39" t="n">
        <v>0.077</v>
      </c>
      <c r="H39" s="12" t="inlineStr">
        <is>
          <t>H1-26 sectors: energy 27.8%, tourism 20.1%, real estate 12.4%, mining 12.4%; 2Q26 US$1,604.6mn; BCRD FY guide &gt;US$5,300mn</t>
        </is>
      </c>
    </row>
    <row r="40">
      <c r="B40" s="15" t="inlineStr">
        <is>
          <t>Total FX inflows (BCRD aggregate)</t>
        </is>
      </c>
      <c r="C40" s="31" t="n">
        <v>43897.7</v>
      </c>
      <c r="D40" s="31" t="n">
        <v>47355.7</v>
      </c>
      <c r="E40" s="24">
        <f>D40/C40-1</f>
        <v/>
      </c>
      <c r="F40" s="31" t="n">
        <v>26500</v>
      </c>
      <c r="G40" s="27">
        <f>(26500-23700)/23700</f>
        <v/>
      </c>
      <c r="H40" s="12" t="inlineStr">
        <is>
          <t>Incl. other services; H1-26 +US$2,800mn y/y</t>
        </is>
      </c>
    </row>
    <row r="41">
      <c r="B41" s="12" t="inlineStr">
        <is>
          <t>Tourism + remittances, % GDP (2025)</t>
        </is>
      </c>
      <c r="D41" s="37">
        <f>(D37+D38)/Fiscal!$D$8</f>
        <v/>
      </c>
    </row>
    <row r="42">
      <c r="B42" s="10" t="inlineStr">
        <is>
          <t>Sources: BCRD, Resultados preliminares de la economia dominicana, ene-dic 2025 (Feb-2026); BCRD, IED y flujos de divisas ene-jun 2026 (28-Jul-2026); BCRD FX analysis 5-Aug-26. 2024 tourism/remittances derived from reported y/y increments. H1-26 aggregate y/y uses 'about +2,800mn' - approximate.</t>
        </is>
      </c>
    </row>
    <row r="44">
      <c r="B44" s="3" t="inlineStr">
        <is>
          <t>Reserves and exchange rate</t>
        </is>
      </c>
    </row>
    <row r="45">
      <c r="B45" s="11" t="inlineStr">
        <is>
          <t>Item</t>
        </is>
      </c>
      <c r="C45" s="11" t="inlineStr">
        <is>
          <t>Dec-24</t>
        </is>
      </c>
      <c r="D45" s="11" t="inlineStr">
        <is>
          <t>Dec-25</t>
        </is>
      </c>
      <c r="E45" s="11" t="inlineStr">
        <is>
          <t>Change</t>
        </is>
      </c>
      <c r="F45" s="11" t="inlineStr">
        <is>
          <t>Latest 2026</t>
        </is>
      </c>
      <c r="G45" s="11" t="inlineStr">
        <is>
          <t>Note</t>
        </is>
      </c>
    </row>
    <row r="46">
      <c r="B46" s="15" t="inlineStr">
        <is>
          <t>Gross international reserves, US$ mn</t>
        </is>
      </c>
      <c r="C46" s="32" t="n">
        <v>13387.6</v>
      </c>
      <c r="D46" s="32" t="n">
        <v>14691.2</v>
      </c>
      <c r="E46" s="36">
        <f>D46-C46</f>
        <v/>
      </c>
      <c r="F46" s="32" t="n">
        <v>15000</v>
      </c>
      <c r="G46" s="12" t="inlineStr">
        <is>
          <t>&gt;US$15bn per BCRD 31-Aug-26 (exact figure: pull from BCRD reservas series)</t>
        </is>
      </c>
    </row>
    <row r="47">
      <c r="B47" s="12" t="inlineStr">
        <is>
          <t>Net international reserves, US$ mn</t>
        </is>
      </c>
      <c r="C47" s="32" t="n">
        <v>13382.5</v>
      </c>
      <c r="D47" s="32" t="n">
        <v>14686.7</v>
      </c>
      <c r="E47" s="36">
        <f>D47-C47</f>
        <v/>
      </c>
    </row>
    <row r="48">
      <c r="B48" s="12" t="inlineStr">
        <is>
          <t>Liquid reserves, US$ mn</t>
        </is>
      </c>
      <c r="C48" s="32" t="n">
        <v>7870.2</v>
      </c>
      <c r="D48" s="32" t="n">
        <v>7715.9</v>
      </c>
      <c r="E48" s="36">
        <f>D48-C48</f>
        <v/>
      </c>
      <c r="G48" s="12" t="inlineStr">
        <is>
          <t>Liquid reserves ~52% of gross - worth noting when quoting headline coverage</t>
        </is>
      </c>
    </row>
    <row r="49">
      <c r="B49" s="12" t="inlineStr">
        <is>
          <t>Gross reserves, % GDP</t>
        </is>
      </c>
      <c r="C49" s="37">
        <f>C46/Fiscal!C8</f>
        <v/>
      </c>
      <c r="D49" s="37">
        <f>D46/Fiscal!D8</f>
        <v/>
      </c>
      <c r="F49" s="37">
        <f>F46/Fiscal!F8</f>
        <v/>
      </c>
      <c r="G49" s="12" t="inlineStr">
        <is>
          <t>BCRD: 11.5% (Dec-25), ~11% (Aug-26)</t>
        </is>
      </c>
    </row>
    <row r="50">
      <c r="B50" s="12" t="inlineStr">
        <is>
          <t>Gross reserves, months of imports (ex FZ)</t>
        </is>
      </c>
      <c r="D50" s="13" t="n">
        <v>5.6</v>
      </c>
      <c r="F50" s="13" t="n">
        <v>5</v>
      </c>
      <c r="G50" s="12" t="inlineStr">
        <is>
          <t>BCRD; above IMF ARA thresholds</t>
        </is>
      </c>
    </row>
    <row r="51">
      <c r="B51" s="12" t="inlineStr">
        <is>
          <t>RD$/US$ end-period, buy</t>
        </is>
      </c>
      <c r="C51" s="40" t="n">
        <v>60.57</v>
      </c>
      <c r="D51" s="40" t="n">
        <v>63.09</v>
      </c>
      <c r="E51" s="27">
        <f>D51/C51-1</f>
        <v/>
      </c>
      <c r="F51" s="41">
        <f>D51/1.08</f>
        <v/>
      </c>
      <c r="G51" s="12" t="inlineStr">
        <is>
          <t>Latest = end-Jul-26 implied by BCRD '+8% appreciation vs end-2025'; DGCP used 58.1458 at 31-May-26. Replace with Bloomberg spot.</t>
        </is>
      </c>
    </row>
    <row r="52">
      <c r="B52" s="12" t="inlineStr">
        <is>
          <t>RD$/US$ end-period, sell</t>
        </is>
      </c>
      <c r="C52" s="40" t="n">
        <v>60.94</v>
      </c>
      <c r="D52" s="40" t="n">
        <v>63.64</v>
      </c>
      <c r="E52" s="27">
        <f>D52/C52-1</f>
        <v/>
      </c>
    </row>
    <row r="53">
      <c r="B53" s="12" t="inlineStr">
        <is>
          <t>RD$/US$ annual average, buy</t>
        </is>
      </c>
      <c r="C53" s="40" t="n">
        <v>59.25</v>
      </c>
      <c r="D53" s="40" t="n">
        <v>61.52</v>
      </c>
      <c r="E53" s="27">
        <f>D53/C53-1</f>
        <v/>
      </c>
      <c r="G53" s="12" t="inlineStr">
        <is>
          <t>MHE Mar-26 projected 63.95 avg for 2026 - already stale; realised YTD avg is lower</t>
        </is>
      </c>
    </row>
    <row r="54">
      <c r="B54" s="12" t="inlineStr">
        <is>
          <t>BCRD net FX sales 2025, US$ mn</t>
        </is>
      </c>
      <c r="D54" s="36">
        <f>38312.3-37676.8</f>
        <v/>
      </c>
      <c r="G54" s="12" t="inlineStr">
        <is>
          <t>Market sales 38,312 less purchases 37,677 (excl. interinstitutional); BCRD says 2026 sales 'at minimum levels'</t>
        </is>
      </c>
    </row>
    <row r="55">
      <c r="B55" s="10" t="inlineStr">
        <is>
          <t>Overvaluation debate (Aug-26): analysts argue the peso is overvalued; BCRD replies USD fell 5.3% since Apr-25 and FX supply exceeds demand from fundamentals, not intervention. Peso +4.4% y/y at end-Jul. Reversal risk if oil stays high / US remittances slow / carry unwinds.</t>
        </is>
      </c>
    </row>
    <row r="57">
      <c r="B57" s="3" t="inlineStr">
        <is>
          <t>Monthly FX 2025 (RD$/US$, market average buy) and 2026 markers</t>
        </is>
      </c>
    </row>
    <row r="58">
      <c r="B58" s="11" t="inlineStr">
        <is>
          <t>Month</t>
        </is>
      </c>
      <c r="C58" s="11" t="inlineStr">
        <is>
          <t>2024 buy avg</t>
        </is>
      </c>
      <c r="D58" s="11" t="inlineStr">
        <is>
          <t>2025 buy avg</t>
        </is>
      </c>
      <c r="E58" s="11" t="inlineStr">
        <is>
          <t>y/y % (peso)</t>
        </is>
      </c>
      <c r="F58" s="11" t="inlineStr">
        <is>
          <t>Note</t>
        </is>
      </c>
    </row>
    <row r="59">
      <c r="B59" s="12" t="inlineStr">
        <is>
          <t>Jan</t>
        </is>
      </c>
      <c r="C59" s="40" t="n">
        <v>58.54</v>
      </c>
      <c r="D59" s="40" t="n">
        <v>61.26</v>
      </c>
      <c r="E59" s="27">
        <f>C59/D59-1</f>
        <v/>
      </c>
    </row>
    <row r="60">
      <c r="B60" s="12" t="inlineStr">
        <is>
          <t>Feb</t>
        </is>
      </c>
      <c r="C60" s="40" t="n">
        <v>58.51</v>
      </c>
      <c r="D60" s="40" t="n">
        <v>61.98</v>
      </c>
      <c r="E60" s="27">
        <f>C60/D60-1</f>
        <v/>
      </c>
    </row>
    <row r="61">
      <c r="B61" s="12" t="inlineStr">
        <is>
          <t>Mar</t>
        </is>
      </c>
      <c r="C61" s="40" t="n">
        <v>58.88</v>
      </c>
      <c r="D61" s="40" t="n">
        <v>62.71</v>
      </c>
      <c r="E61" s="27">
        <f>C61/D61-1</f>
        <v/>
      </c>
    </row>
    <row r="62">
      <c r="B62" s="12" t="inlineStr">
        <is>
          <t>Apr</t>
        </is>
      </c>
      <c r="C62" s="40" t="n">
        <v>58.79</v>
      </c>
      <c r="D62" s="40" t="n">
        <v>60.42</v>
      </c>
      <c r="E62" s="27">
        <f>C62/D62-1</f>
        <v/>
      </c>
    </row>
    <row r="63">
      <c r="B63" s="12" t="inlineStr">
        <is>
          <t>May</t>
        </is>
      </c>
      <c r="C63" s="40" t="n">
        <v>58.39</v>
      </c>
      <c r="D63" s="40" t="n">
        <v>58.74</v>
      </c>
      <c r="E63" s="27">
        <f>C63/D63-1</f>
        <v/>
      </c>
    </row>
    <row r="64">
      <c r="B64" s="12" t="inlineStr">
        <is>
          <t>Jun</t>
        </is>
      </c>
      <c r="C64" s="40" t="n">
        <v>58.99</v>
      </c>
      <c r="D64" s="40" t="n">
        <v>59.02</v>
      </c>
      <c r="E64" s="27">
        <f>C64/D64-1</f>
        <v/>
      </c>
    </row>
    <row r="65">
      <c r="B65" s="12" t="inlineStr">
        <is>
          <t>Jul</t>
        </is>
      </c>
      <c r="C65" s="40" t="n">
        <v>58.98</v>
      </c>
      <c r="D65" s="40" t="n">
        <v>60.19</v>
      </c>
      <c r="E65" s="27">
        <f>C65/D65-1</f>
        <v/>
      </c>
    </row>
    <row r="66">
      <c r="B66" s="12" t="inlineStr">
        <is>
          <t>Aug</t>
        </is>
      </c>
      <c r="C66" s="40" t="n">
        <v>59.46</v>
      </c>
      <c r="D66" s="40" t="n">
        <v>61.7</v>
      </c>
      <c r="E66" s="27">
        <f>C66/D66-1</f>
        <v/>
      </c>
    </row>
    <row r="67">
      <c r="B67" s="12" t="inlineStr">
        <is>
          <t>Sep</t>
        </is>
      </c>
      <c r="C67" s="40" t="n">
        <v>59.81</v>
      </c>
      <c r="D67" s="40" t="n">
        <v>62.44</v>
      </c>
      <c r="E67" s="27">
        <f>C67/D67-1</f>
        <v/>
      </c>
    </row>
    <row r="68">
      <c r="B68" s="12" t="inlineStr">
        <is>
          <t>Oct</t>
        </is>
      </c>
      <c r="C68" s="40" t="n">
        <v>59.99</v>
      </c>
      <c r="D68" s="40" t="n">
        <v>63.24</v>
      </c>
      <c r="E68" s="27">
        <f>C68/D68-1</f>
        <v/>
      </c>
    </row>
    <row r="69">
      <c r="B69" s="12" t="inlineStr">
        <is>
          <t>Nov</t>
        </is>
      </c>
      <c r="C69" s="40" t="n">
        <v>60.08</v>
      </c>
      <c r="D69" s="40" t="n">
        <v>63.38</v>
      </c>
      <c r="E69" s="27">
        <f>C69/D69-1</f>
        <v/>
      </c>
    </row>
    <row r="70">
      <c r="B70" s="12" t="inlineStr">
        <is>
          <t>Dec</t>
        </is>
      </c>
      <c r="C70" s="40" t="n">
        <v>60.56</v>
      </c>
      <c r="D70" s="40" t="n">
        <v>63.09</v>
      </c>
      <c r="E70" s="27">
        <f>C70/D70-1</f>
        <v/>
      </c>
    </row>
    <row r="71">
      <c r="B71" s="10" t="inlineStr">
        <is>
          <t>Source: BCRD 2025 report. 2026 markers: -4.7% YTD at end-Apr (peso stronger), -8% end-Jul, &gt;-7% end-Aug (BCRD). Positive y/y in column E = peso appreciation.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1F3B63"/>
    <outlinePr summaryBelow="1" summaryRight="1"/>
    <pageSetUpPr/>
  </sheetPr>
  <dimension ref="B2:D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10" customWidth="1" min="3" max="3"/>
    <col width="60" customWidth="1" min="4" max="4"/>
  </cols>
  <sheetData>
    <row r="2" ht="26" customHeight="1">
      <c r="B2" s="1" t="inlineStr">
        <is>
          <t>Politics and policy calendar</t>
        </is>
      </c>
    </row>
    <row r="3">
      <c r="B3" s="2" t="inlineStr">
        <is>
          <t>Institutional set-up, approval, 2028 succession, legislative agenda, risk register.</t>
        </is>
      </c>
    </row>
    <row r="5">
      <c r="B5" s="3" t="inlineStr">
        <is>
          <t>Institutional set-up</t>
        </is>
      </c>
    </row>
    <row r="6">
      <c r="B6" s="11" t="inlineStr">
        <is>
          <t>Item</t>
        </is>
      </c>
      <c r="C6" s="11" t="inlineStr">
        <is>
          <t>Detail</t>
        </is>
      </c>
    </row>
    <row r="7" ht="40" customHeight="1">
      <c r="B7" s="15" t="inlineStr">
        <is>
          <t>President</t>
        </is>
      </c>
      <c r="C7" s="6" t="inlineStr">
        <is>
          <t>Luis Abinader (PRM), second term 16-Aug-2024 to 16-Aug-2028; re-elected May-2024 in first round with 57%. Constitutionally barred from a third term (2024 constitutional reform locked two-term limit).</t>
        </is>
      </c>
    </row>
    <row r="8" ht="40" customHeight="1">
      <c r="B8" s="15" t="inlineStr">
        <is>
          <t>Congress</t>
        </is>
      </c>
      <c r="C8" s="6" t="inlineStr">
        <is>
          <t>PRM and allies control both chambers (Senate and Chamber of Deputies) after the 2024 elections; Ley 30-26 and the July-2026 budget modification both passed under urgent procedure over FP objections.</t>
        </is>
      </c>
    </row>
    <row r="9" ht="40" customHeight="1">
      <c r="B9" s="15" t="inlineStr">
        <is>
          <t>Economic team</t>
        </is>
      </c>
      <c r="C9" s="6" t="inlineStr">
        <is>
          <t>Ministry of Hacienda y Economia (MHE): Magin Diaz (minister). BCRD: Hector Valdez Albizu (governor since 2004, also 1994-2000; ratified 19-Aug-2026 for two more years with vice-governor Clarissa de la Rocha, Decreto 575-26). Cabinet reshuffle announced Aug-2026. Fiscal Responsibility Law 35-24 in force since 2024.</t>
        </is>
      </c>
    </row>
    <row r="10" ht="40" customHeight="1">
      <c r="B10" s="15" t="inlineStr">
        <is>
          <t>Next elections</t>
        </is>
      </c>
      <c r="C10" s="6" t="inlineStr">
        <is>
          <t>General elections May-2028 (presidential, congressional, municipal in Feb-2028). Party primaries expected 2027.</t>
        </is>
      </c>
    </row>
    <row r="11" ht="40" customHeight="1">
      <c r="B11" s="15" t="inlineStr">
        <is>
          <t>Opposition</t>
        </is>
      </c>
      <c r="C11" s="6" t="inlineStr">
        <is>
          <t>Fuerza del Pueblo (FP, Leonel Fernandez, ex-president 1996-2000, 2004-2012) is the main opposition; PLD (Danilo Medina's party) third. Both opposed Ley 30-26 tax measures and the budget modification.</t>
        </is>
      </c>
    </row>
    <row r="13">
      <c r="B13" s="3" t="inlineStr">
        <is>
          <t>Approval and 2028 preferences (latest polls)</t>
        </is>
      </c>
    </row>
    <row r="14">
      <c r="B14" s="11" t="inlineStr">
        <is>
          <t>Poll / date</t>
        </is>
      </c>
      <c r="C14" s="11" t="inlineStr">
        <is>
          <t>Finding</t>
        </is>
      </c>
    </row>
    <row r="15" ht="44" customHeight="1">
      <c r="B15" s="15" t="inlineStr">
        <is>
          <t>ACD Media, Aug-2026</t>
        </is>
      </c>
      <c r="C15" s="6" t="inlineStr">
        <is>
          <t>Government approval 51.3% / disapproval 47.0%; Abinader personal 50.2% positive / 48.2% negative. Officials rated worse than the president.</t>
        </is>
      </c>
    </row>
    <row r="16" ht="44" customHeight="1">
      <c r="B16" s="15" t="inlineStr">
        <is>
          <t>CID Latinoamerica, 16-24 May-2026</t>
        </is>
      </c>
      <c r="C16" s="6" t="inlineStr">
        <is>
          <t>Abinader approval 58% / disapproval 39%. PRM internal: David Collado (Tourism minister) 62% vs Carolina Mejia (Santo Domingo mayor) 21%. FP internal: Leonel Fernandez 52% vs Omar Fernandez (senator, DN) 42%. PLD: Gonzalo Castillo / Abel Martinez lead. Party sympathy: PRM 31.6%, FP 26.5%, PLD 21.1%.</t>
        </is>
      </c>
    </row>
    <row r="17" ht="44" customHeight="1">
      <c r="B17" s="15" t="inlineStr">
        <is>
          <t>Unnamed national poll, Jun-2026</t>
        </is>
      </c>
      <c r="C17" s="6" t="inlineStr">
        <is>
          <t>Abinader approval 53% / 45%; management of officials 57.3% negative. PRM leads 2028 vote intention, FP second. Confidence in FP: 17.5% 'much'; PLD 17.2%.</t>
        </is>
      </c>
    </row>
    <row r="18">
      <c r="B18" s="10" t="inlineStr">
        <is>
          <t>Polls are from press reports; methodologies differ. Treat as directional. No single pollster is the Dominican equivalent of Datafolha.</t>
        </is>
      </c>
    </row>
    <row r="20">
      <c r="B20" s="3" t="inlineStr">
        <is>
          <t>2026 legislative and policy events</t>
        </is>
      </c>
    </row>
    <row r="21">
      <c r="B21" s="11" t="inlineStr">
        <is>
          <t>Date</t>
        </is>
      </c>
      <c r="C21" s="11" t="inlineStr">
        <is>
          <t>Event</t>
        </is>
      </c>
      <c r="D21" s="11" t="inlineStr">
        <is>
          <t>Market relevance</t>
        </is>
      </c>
    </row>
    <row r="22" ht="40" customHeight="1">
      <c r="B22" s="15" t="inlineStr">
        <is>
          <t>Feb-2026</t>
        </is>
      </c>
      <c r="C22" s="6" t="inlineStr">
        <is>
          <t>US$2.75bn Eurobond (8y 5.75%, 12.25y 6.15%), 2.6x covered</t>
        </is>
      </c>
      <c r="D22" s="6" t="inlineStr">
        <is>
          <t>Front-loaded 2026 external financing; budget contemplates US$8.5bn bonds 2026-28</t>
        </is>
      </c>
    </row>
    <row r="23" ht="40" customHeight="1">
      <c r="B23" s="15" t="inlineStr">
        <is>
          <t>Feb-2026</t>
        </is>
      </c>
      <c r="C23" s="6" t="inlineStr">
        <is>
          <t>Middle East conflict escalates; oil &gt;US$90 WTI in March</t>
        </is>
      </c>
      <c r="D23" s="6" t="inlineStr">
        <is>
          <t>Terms-of-trade shock for a net energy importer; fuel subsidies re-activated</t>
        </is>
      </c>
    </row>
    <row r="24" ht="40" customHeight="1">
      <c r="B24" s="15" t="inlineStr">
        <is>
          <t>Apr-2026</t>
        </is>
      </c>
      <c r="C24" s="6" t="inlineStr">
        <is>
          <t>Fitch revises outlook to Stable from Positive (BB-)</t>
        </is>
      </c>
      <c r="D24" s="6" t="inlineStr">
        <is>
          <t>Removes near-term upgrade path; Moody's Ba2 and S&amp;P BB unchanged</t>
        </is>
      </c>
    </row>
    <row r="25" ht="40" customHeight="1">
      <c r="B25" s="15" t="inlineStr">
        <is>
          <t>11-Jun-2026</t>
        </is>
      </c>
      <c r="C25" s="6" t="inlineStr">
        <is>
          <t>Executive submits 'Medidas Pro-Crecimiento...' bill; Leonel Fernandez (FP) calls for withdrawal of new taxes and budget reformulation</t>
        </is>
      </c>
      <c r="D25" s="6" t="inlineStr">
        <is>
          <t>Opposition positions ahead of 2028: anti-tax, pro-indexation of salaries (RD$52k threshold)</t>
        </is>
      </c>
    </row>
    <row r="26" ht="40" customHeight="1">
      <c r="B26" s="15" t="inlineStr">
        <is>
          <t>18-Jun-2026</t>
        </is>
      </c>
      <c r="C26" s="6" t="inlineStr">
        <is>
          <t>Ley 30-26 promulgated after urgent passage; opposition amendments all rejected</t>
        </is>
      </c>
      <c r="D26" s="6" t="inlineStr">
        <is>
          <t>Temporary CIT surcharge (30% for 3 yrs, firms &gt;RD$1bn), real-estate CGT 10%, exit tax, amnesty; ~0.4-0.5% GDP. Not the structural reform (Oct-2024 attempt was withdrawn)</t>
        </is>
      </c>
    </row>
    <row r="27" ht="40" customHeight="1">
      <c r="B27" s="15" t="inlineStr">
        <is>
          <t>Jul-2026</t>
        </is>
      </c>
      <c r="C27" s="6" t="inlineStr">
        <is>
          <t>Congress approves 2026 budget modification (+RD$41.0bn) and US$465mn loans</t>
        </is>
      </c>
      <c r="D27" s="6" t="inlineStr">
        <is>
          <t>Deficit-neutral per MHE (3.24% GDP) using Ley 30-26 revenue + 2025 cash carry-over; FP questions execution (border wall ~15% executed)</t>
        </is>
      </c>
    </row>
    <row r="28" ht="40" customHeight="1">
      <c r="B28" s="15" t="inlineStr">
        <is>
          <t>Jul/Aug-2026</t>
        </is>
      </c>
      <c r="C28" s="6" t="inlineStr">
        <is>
          <t>Peso overvaluation debate; economists criticise BCRD liquidity restriction</t>
        </is>
      </c>
      <c r="D28" s="6" t="inlineStr">
        <is>
          <t>BCRD defends appreciation as fundamentals-driven; watch for political pressure on exporters/tourism margins</t>
        </is>
      </c>
    </row>
    <row r="29" ht="40" customHeight="1">
      <c r="B29" s="15" t="inlineStr">
        <is>
          <t>Oct-2026 (expected)</t>
        </is>
      </c>
      <c r="C29" s="6" t="inlineStr">
        <is>
          <t>2027 budget submission</t>
        </is>
      </c>
      <c r="D29" s="6" t="inlineStr">
        <is>
          <t>First test of MFMP path (deficit 3.0%, primary +0.7%) and of Ley 35-24 spending cap</t>
        </is>
      </c>
    </row>
    <row r="30" ht="40" customHeight="1">
      <c r="B30" s="15" t="inlineStr">
        <is>
          <t>2027</t>
        </is>
      </c>
      <c r="C30" s="6" t="inlineStr">
        <is>
          <t>Party primaries; pre-campaign</t>
        </is>
      </c>
      <c r="D30" s="6" t="inlineStr">
        <is>
          <t>Spending pressure into 2028; FP/PLD platform likely anti-tax, pro-subsidy</t>
        </is>
      </c>
    </row>
    <row r="32">
      <c r="B32" s="3" t="inlineStr">
        <is>
          <t>Risk register</t>
        </is>
      </c>
    </row>
    <row r="33">
      <c r="B33" s="11" t="inlineStr">
        <is>
          <t>Risk</t>
        </is>
      </c>
      <c r="C33" s="11" t="inlineStr">
        <is>
          <t>Channel</t>
        </is>
      </c>
      <c r="D33" s="11" t="inlineStr">
        <is>
          <t>Assessment</t>
        </is>
      </c>
    </row>
    <row r="34" ht="40" customHeight="1">
      <c r="B34" s="15" t="inlineStr">
        <is>
          <t>Oil shock persistence</t>
        </is>
      </c>
      <c r="C34" s="6" t="inlineStr">
        <is>
          <t>Import bill, fuel subsidies (fiscal), CPI above band, CA widening</t>
        </is>
      </c>
      <c r="D34" s="6" t="inlineStr">
        <is>
          <t>Main 2026 macro risk. Every US$10/bbl ~US$0.5bn on the 2025 oil bill (US$4.6bn at avg ~US$65). Subsidy cost is the fiscal leak.</t>
        </is>
      </c>
    </row>
    <row r="35" ht="40" customHeight="1">
      <c r="B35" s="15" t="inlineStr">
        <is>
          <t>US slowdown / remittances</t>
        </is>
      </c>
      <c r="C35" s="6" t="inlineStr">
        <is>
          <t>&gt;80% of remittances from US; tourism ~40%+ US-sourced</t>
        </is>
      </c>
      <c r="D35" s="6" t="inlineStr">
        <is>
          <t>1Q26 remittances +1.9% was the warning; recovered to +6.7% H1. Deportation policy and US labour market are the variables.</t>
        </is>
      </c>
    </row>
    <row r="36" ht="40" customHeight="1">
      <c r="B36" s="15" t="inlineStr">
        <is>
          <t>Peso overvaluation reversal</t>
        </is>
      </c>
      <c r="C36" s="6" t="inlineStr">
        <is>
          <t>Carry/portfolio inflows (US$3.5bn portfolio liabilities in 2025) reverse; exporters/FZ margins</t>
        </is>
      </c>
      <c r="D36" s="6" t="inlineStr">
        <is>
          <t>BCRD not intervening; reserves &gt;US$15bn buffer; TPM-FFR spread ~150bp only.</t>
        </is>
      </c>
    </row>
    <row r="37" ht="40" customHeight="1">
      <c r="B37" s="15" t="inlineStr">
        <is>
          <t>Interest burden</t>
        </is>
      </c>
      <c r="C37" s="6" t="inlineStr">
        <is>
          <t>Interest 23% of revenue (2026), 3.6-3.8% GDP through 2030 per MFMP</t>
        </is>
      </c>
      <c r="D37" s="6" t="inlineStr">
        <is>
          <t>Binding constraint on rating trajectory (same framing as Panama). Requires tax base widening; Ley 30-26 is temporary.</t>
        </is>
      </c>
    </row>
    <row r="38" ht="40" customHeight="1">
      <c r="B38" s="15" t="inlineStr">
        <is>
          <t>Electricity sector</t>
        </is>
      </c>
      <c r="C38" s="6" t="inlineStr">
        <is>
          <t>Subsidy 1.3% GDP (2025); distribution losses; Karpowership dependence</t>
        </is>
      </c>
      <c r="D38" s="6" t="inlineStr">
        <is>
          <t>Chronic fiscal drain; no structural fix in the 2026 agenda.</t>
        </is>
      </c>
    </row>
    <row r="39" ht="40" customHeight="1">
      <c r="B39" s="15" t="inlineStr">
        <is>
          <t>Haiti</t>
        </is>
      </c>
      <c r="C39" s="6" t="inlineStr">
        <is>
          <t>Border security, migration, informal trade; spending on border wall/deportations</t>
        </is>
      </c>
      <c r="D39" s="6" t="inlineStr">
        <is>
          <t>Low direct macro impact; reputational/security tail risk. Execution of border projects is a political issue.</t>
        </is>
      </c>
    </row>
    <row r="40" ht="40" customHeight="1">
      <c r="B40" s="15" t="inlineStr">
        <is>
          <t>2028 election cycle</t>
        </is>
      </c>
      <c r="C40" s="6" t="inlineStr">
        <is>
          <t>Pre-electoral spending 2027; opposition anti-tax platform</t>
        </is>
      </c>
      <c r="D40" s="6" t="inlineStr">
        <is>
          <t>PRM succession orderly (Collado leads); FP competitive. Policy continuity likely under either main party; fiscal reform depth is the question.</t>
        </is>
      </c>
    </row>
    <row r="41" ht="40" customHeight="1">
      <c r="B41" s="15" t="inlineStr">
        <is>
          <t>Climate</t>
        </is>
      </c>
      <c r="C41" s="6" t="inlineStr">
        <is>
          <t>Hurricanes (Melissa Oct-25 drove food CPI +8.2%); tourism infrastructure</t>
        </is>
      </c>
      <c r="D41" s="6" t="inlineStr">
        <is>
          <t>Recurrent; insured via CCRIF and contingent lines; drives CPI volatility rather than growth.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B63"/>
    <outlinePr summaryBelow="1" summaryRight="1"/>
    <pageSetUpPr/>
  </sheetPr>
  <dimension ref="B2:D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50" customWidth="1" min="3" max="3"/>
    <col width="90" customWidth="1" min="4" max="4"/>
  </cols>
  <sheetData>
    <row r="2" ht="26" customHeight="1">
      <c r="B2" s="1" t="inlineStr">
        <is>
          <t>Sources and verification notes</t>
        </is>
      </c>
    </row>
    <row r="3">
      <c r="B3" s="2" t="inlineStr">
        <is>
          <t>Primary official sources first. teleSUR excluded.</t>
        </is>
      </c>
    </row>
    <row r="5">
      <c r="B5" s="11" t="inlineStr">
        <is>
          <t>Source</t>
        </is>
      </c>
      <c r="C5" s="11" t="inlineStr">
        <is>
          <t>Used for</t>
        </is>
      </c>
      <c r="D5" s="11" t="inlineStr">
        <is>
          <t>URL / reference</t>
        </is>
      </c>
    </row>
    <row r="6" ht="30" customHeight="1">
      <c r="B6" s="12" t="inlineStr">
        <is>
          <t>BCRD, Resultados preliminares de la economia dominicana, ene-dic 2025 (Feb-2026)</t>
        </is>
      </c>
      <c r="C6" s="6" t="inlineStr">
        <is>
          <t>2025 GDP by sector, CPI, BoP, trade, external debt, reserves, FX, fiscal operations, monetary</t>
        </is>
      </c>
      <c r="D6" s="6" t="inlineStr">
        <is>
          <t>https://cdn.bancentral.gov.do/documents/publicaciones-economicas/resultados-preliminares-de-la-economia-dominicana/documents/infeco_preliminar2025-12.pdf</t>
        </is>
      </c>
    </row>
    <row r="7" ht="30" customHeight="1">
      <c r="B7" s="12" t="inlineStr">
        <is>
          <t>MHE, Marco Fiscal de Mediano Plazo 2026-2030 (Abr-2026)</t>
        </is>
      </c>
      <c r="C7" s="6" t="inlineStr">
        <is>
          <t>Fiscal ratios 2021-25, 2026 budget, MFMP 2026-30, macro framework, ratings, structural balance, Ley 35-24 compliance</t>
        </is>
      </c>
      <c r="D7" s="6" t="inlineStr">
        <is>
          <t>https://www.hacienda.gob.do/wp-content/uploads/2026/06/MFMP-2026-2030-Abril-2026-vf.pdf</t>
        </is>
      </c>
    </row>
    <row r="8" ht="30" customHeight="1">
      <c r="B8" s="12" t="inlineStr">
        <is>
          <t>BCRD, Comunicado de politica monetaria, 31-Aug-2026</t>
        </is>
      </c>
      <c r="C8" s="6" t="inlineStr">
        <is>
          <t>TPM 5.25%, inflation guidance, growth 4.5%, reserves &gt;US$15bn, peso +7%</t>
        </is>
      </c>
      <c r="D8" s="6" t="inlineStr">
        <is>
          <t>BCRD press release via Diario Libre 31-Aug-2026</t>
        </is>
      </c>
    </row>
    <row r="9" ht="30" customHeight="1">
      <c r="B9" s="12" t="inlineStr">
        <is>
          <t>DGCP (creditopublico.gob.do), saldo deuda SPNF, Jul-2026 (17-Aug-2026)</t>
        </is>
      </c>
      <c r="C9" s="6" t="inlineStr">
        <is>
          <t>SPNF debt US$67,827.8mn (48.2% GDP) Jul-26; May-26 breakdown; GDP Jun-26 revision</t>
        </is>
      </c>
      <c r="D9" s="6" t="inlineStr">
        <is>
          <t>https://www.creditopublico.gob.do/</t>
        </is>
      </c>
    </row>
    <row r="10" ht="30" customHeight="1">
      <c r="B10" s="12" t="inlineStr">
        <is>
          <t>BCRD, IED y flujos de divisas ene-jun 2026 (28-Jul-2026)</t>
        </is>
      </c>
      <c r="C10" s="6" t="inlineStr">
        <is>
          <t>H1-2026 FDI, tourism, remittances, exports, total FX inflows</t>
        </is>
      </c>
      <c r="D10" s="6" t="inlineStr">
        <is>
          <t>BCRD press release 28-Jul-2026</t>
        </is>
      </c>
    </row>
    <row r="11" ht="30" customHeight="1">
      <c r="B11" s="12" t="inlineStr">
        <is>
          <t>BCRD FX analysis (E. Vilorio de Painter), 5-Aug-2026</t>
        </is>
      </c>
      <c r="C11" s="6" t="inlineStr">
        <is>
          <t>Peso +8% YTD end-Jul, +4.4% y/y; CA 2026 ~1.3% GDP; USD -5.28% since Apr-25</t>
        </is>
      </c>
      <c r="D11" s="6" t="inlineStr">
        <is>
          <t>Diario Libre 5-Aug-2026</t>
        </is>
      </c>
    </row>
    <row r="12" ht="30" customHeight="1">
      <c r="B12" s="12" t="inlineStr">
        <is>
          <t>BCRD, IMAE comunicados mensuales 2026</t>
        </is>
      </c>
      <c r="C12" s="6" t="inlineStr">
        <is>
          <t>Monthly IMAE Jan-Jul 2026 and sector detail</t>
        </is>
      </c>
      <c r="D12" s="6" t="inlineStr">
        <is>
          <t>BCRD press releases (25-Jun, 23-Jul, 25-Aug 2026)</t>
        </is>
      </c>
    </row>
    <row r="13" ht="30" customHeight="1">
      <c r="B13" s="12" t="inlineStr">
        <is>
          <t>BCRD, Informe IPC mensual 2026</t>
        </is>
      </c>
      <c r="C13" s="6" t="inlineStr">
        <is>
          <t>Monthly CPI 2026 (Feb report PDF; Apr, May, Jul press)</t>
        </is>
      </c>
      <c r="D13" s="6" t="inlineStr">
        <is>
          <t>https://cdn.bancentral.gov.do/documents/publicaciones-economicas/indice-de-precios-al-consumidor-informe-mensual/documents/Informe-IPC-2026-02.pdf</t>
        </is>
      </c>
    </row>
    <row r="14" ht="30" customHeight="1">
      <c r="B14" s="12" t="inlineStr">
        <is>
          <t>MHE press, 11-Feb-2026</t>
        </is>
      </c>
      <c r="C14" s="6" t="inlineStr">
        <is>
          <t>Eurobond US$2.75bn terms</t>
        </is>
      </c>
      <c r="D14" s="6" t="inlineStr">
        <is>
          <t>https://www.hacienda.gob.do/rd-completa-exitosa-emision-externa-por-us2750-millones/</t>
        </is>
      </c>
    </row>
    <row r="15" ht="30" customHeight="1">
      <c r="B15" s="12" t="inlineStr">
        <is>
          <t>Ley 30-26 summaries (CEF, Ulises Cabrera, Revista Mercado), Jun-2026</t>
        </is>
      </c>
      <c r="C15" s="6" t="inlineStr">
        <is>
          <t>Tax measures</t>
        </is>
      </c>
      <c r="D15" s="6" t="inlineStr">
        <is>
          <t>Secondary legal summaries; verify against Gaceta Oficial text</t>
        </is>
      </c>
    </row>
    <row r="16" ht="30" customHeight="1">
      <c r="B16" s="12" t="inlineStr">
        <is>
          <t>Acento, 28-Jul-2026</t>
        </is>
      </c>
      <c r="C16" s="6" t="inlineStr">
        <is>
          <t>Budget modification RD$40,978mn; deficit accounting debate</t>
        </is>
      </c>
      <c r="D16" s="6" t="inlineStr">
        <is>
          <t>https://acento.com.do/economia/el-congreso-aprobo-mas-gasto-y-mas-deuda-aumento-realmente-el-deficit-del-presupuesto-2026-9726588.html</t>
        </is>
      </c>
    </row>
    <row r="17" ht="30" customHeight="1">
      <c r="B17" s="12" t="inlineStr">
        <is>
          <t>Polls: ACD Media (Aug-26), CID Latinoamerica (May-26)</t>
        </is>
      </c>
      <c r="C17" s="6" t="inlineStr">
        <is>
          <t>Approval and 2028 preferences</t>
        </is>
      </c>
      <c r="D17" s="6" t="inlineStr">
        <is>
          <t>Press reports (Diario Libre, others)</t>
        </is>
      </c>
    </row>
    <row r="18" ht="30" customHeight="1">
      <c r="B18" s="12" t="inlineStr">
        <is>
          <t>IMF WEO Apr-2026 (as cited by MHE)</t>
        </is>
      </c>
      <c r="C18" s="6" t="inlineStr">
        <is>
          <t>Growth 3.7% 2026 / 4.4% 2027; CA -1.5%; peer comparisons</t>
        </is>
      </c>
      <c r="D18" s="6" t="inlineStr">
        <is>
          <t>Via MFMP; pull WEO database directly for publication</t>
        </is>
      </c>
    </row>
    <row r="20">
      <c r="B20" s="3" t="inlineStr">
        <is>
          <t>Items to verify before client distribution</t>
        </is>
      </c>
    </row>
    <row r="21">
      <c r="B21" s="42" t="inlineStr">
        <is>
          <t>- 2024 TPM decision dates (workbook shows Dec-24 level 5.75% and cumulative -125bp; confirm on BCRD 'Comunicados de Politica Monetaria').</t>
        </is>
      </c>
    </row>
    <row r="22">
      <c r="B22" s="42" t="inlineStr">
        <is>
          <t>- Exact gross reserves at end-Aug-2026 (BCRD says '&gt;US$15,000mn').</t>
        </is>
      </c>
    </row>
    <row r="23">
      <c r="B23" s="42" t="inlineStr">
        <is>
          <t>- Spot RD$/US$ from Bloomberg (DOP Curncy); workbook uses BCRD's '+8%' statement to imply ~58.4.</t>
        </is>
      </c>
    </row>
    <row r="24">
      <c r="B24" s="42" t="inlineStr">
        <is>
          <t>- Core inflation y/y for Jan, Mar, Apr, May 2026 (BCRD Informe IPC).</t>
        </is>
      </c>
    </row>
    <row r="25">
      <c r="B25" s="42" t="inlineStr">
        <is>
          <t>- 2024 SPNF debt level (back-solved from '+4.1%'); pull DGCP Dec-2024 report.</t>
        </is>
      </c>
    </row>
    <row r="26">
      <c r="B26" s="42" t="inlineStr">
        <is>
          <t>- IMAE Jan and Feb 2026 individually (only 1Q average 4.1% and Mar 5.1% captured).</t>
        </is>
      </c>
    </row>
    <row r="27">
      <c r="B27" s="42" t="inlineStr">
        <is>
          <t>- Fitch Apr-2026 RAC text for exact rationale; S&amp;P 2026 affirmation date.</t>
        </is>
      </c>
    </row>
    <row r="28">
      <c r="B28" s="42" t="inlineStr">
        <is>
          <t>- Ley 30-26 revenue yield: EMFI estimate 0.4-0.5% GDP; MHE used RD$19,830.8mn (0.23% GDP) in the July budget modification - reconcile.</t>
        </is>
      </c>
    </row>
  </sheetData>
  <mergeCells count="8">
    <mergeCell ref="B28:D28"/>
    <mergeCell ref="B23:D23"/>
    <mergeCell ref="B22:D22"/>
    <mergeCell ref="B26:D26"/>
    <mergeCell ref="B27:D27"/>
    <mergeCell ref="B21:D21"/>
    <mergeCell ref="B25:D25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2026-09-01T12:37:08Z</dcterms:created>
  <dcterms:modified xmlns:dcterms="http://purl.org/dc/terms/" xmlns:xsi="http://www.w3.org/2001/XMLSchema-instance" xsi:type="dcterms:W3CDTF">2026-09-01T12:37:08Z</dcterms:modified>
</cp:coreProperties>
</file>