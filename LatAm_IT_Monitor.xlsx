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olicy &amp; CPI" sheetId="2" state="visible" r:id="rId2"/>
    <sheet xmlns:r="http://schemas.openxmlformats.org/officeDocument/2006/relationships" name="Local Sov Curves" sheetId="3" state="visible" r:id="rId3"/>
    <sheet xmlns:r="http://schemas.openxmlformats.org/officeDocument/2006/relationships" name="Swap Curves" sheetId="4" state="visible" r:id="rId4"/>
    <sheet xmlns:r="http://schemas.openxmlformats.org/officeDocument/2006/relationships" name="Real Curves" sheetId="5" state="visible" r:id="rId5"/>
    <sheet xmlns:r="http://schemas.openxmlformats.org/officeDocument/2006/relationships" name="FX" sheetId="6" state="visible" r:id="rId6"/>
    <sheet xmlns:r="http://schemas.openxmlformats.org/officeDocument/2006/relationships" name="CDS &amp; EMBI" sheetId="7" state="visible" r:id="rId7"/>
    <sheet xmlns:r="http://schemas.openxmlformats.org/officeDocument/2006/relationships" name="Equity" sheetId="8" state="visible" r:id="rId8"/>
    <sheet xmlns:r="http://schemas.openxmlformats.org/officeDocument/2006/relationships" name="Ticker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00"/>
    <numFmt numFmtId="165" formatCode="0.000;[Red](0.000);-"/>
    <numFmt numFmtId="166" formatCode="+0.0;[Red]-0.0;-"/>
    <numFmt numFmtId="167" formatCode="0.000"/>
    <numFmt numFmtId="168" formatCode="#,##0;[Red](#,##0);-"/>
    <numFmt numFmtId="169" formatCode="+0.00%;[Red]-0.00%;-"/>
    <numFmt numFmtId="170" formatCode="#,##0.00;[Red](#,##0.00);-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0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2" fontId="5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7" fillId="0" borderId="1" pivotButton="0" quotePrefix="0" xfId="0"/>
    <xf numFmtId="167" fontId="5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0" fillId="0" borderId="1" pivotButton="0" quotePrefix="0" xfId="0"/>
    <xf numFmtId="168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pivotButton="0" quotePrefix="0" xfId="0"/>
    <xf numFmtId="164" fontId="5" fillId="0" borderId="1" pivotButton="0" quotePrefix="0" xfId="0"/>
    <xf numFmtId="169" fontId="5" fillId="0" borderId="1" pivotButton="0" quotePrefix="0" xfId="0"/>
    <xf numFmtId="2" fontId="5" fillId="0" borderId="1" pivotButton="0" quotePrefix="0" xfId="0"/>
    <xf numFmtId="168" fontId="5" fillId="0" borderId="1" applyAlignment="1" pivotButton="0" quotePrefix="0" xfId="0">
      <alignment horizontal="right" vertical="center"/>
    </xf>
    <xf numFmtId="170" fontId="5" fillId="0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Monitor</author>
  </authors>
  <commentList>
    <comment ref="B18" authorId="0" shapeId="0">
      <text>
        <t>Verify — common variants: CHCPICOY</t>
      </text>
    </comment>
    <comment ref="B19" authorId="0" shapeId="0">
      <text>
        <t>Verify ticker</t>
      </text>
    </comment>
    <comment ref="B20" authorId="0" shapeId="0">
      <text>
        <t>Verify ticker</t>
      </text>
    </comment>
    <comment ref="B22" authorId="0" shapeId="0">
      <text>
        <t>Verify — Banco Central core measures differ</t>
      </text>
    </comment>
  </commentList>
</comments>
</file>

<file path=xl/comments/comment2.xml><?xml version="1.0" encoding="utf-8"?>
<comments xmlns="http://schemas.openxmlformats.org/spreadsheetml/2006/main">
  <authors>
    <author>Monitor</author>
  </authors>
  <commentList>
    <comment ref="C5" authorId="0" shapeId="0">
      <text>
        <t>GTCLP2YR Govt</t>
      </text>
    </comment>
    <comment ref="D5" authorId="0" shapeId="0">
      <text>
        <t>GTCLP3YR Govt</t>
      </text>
    </comment>
    <comment ref="E5" authorId="0" shapeId="0">
      <text>
        <t>GTCLP5YR Govt</t>
      </text>
    </comment>
    <comment ref="F5" authorId="0" shapeId="0">
      <text>
        <t>GTCLP7YR Govt</t>
      </text>
    </comment>
    <comment ref="G5" authorId="0" shapeId="0">
      <text>
        <t>GTCLP10YR Govt</t>
      </text>
    </comment>
    <comment ref="H5" authorId="0" shapeId="0">
      <text>
        <t>GTCLP15YR Govt</t>
      </text>
    </comment>
    <comment ref="I5" authorId="0" shapeId="0">
      <text>
        <t>GTCLP30YR Govt</t>
      </text>
    </comment>
    <comment ref="C6" authorId="0" shapeId="0">
      <text>
        <t>GTCOP2YR Govt</t>
      </text>
    </comment>
    <comment ref="D6" authorId="0" shapeId="0">
      <text>
        <t>GTCOP3YR Govt</t>
      </text>
    </comment>
    <comment ref="E6" authorId="0" shapeId="0">
      <text>
        <t>GTCOP5YR Govt</t>
      </text>
    </comment>
    <comment ref="F6" authorId="0" shapeId="0">
      <text>
        <t>GTCOP7YR Govt</t>
      </text>
    </comment>
    <comment ref="G6" authorId="0" shapeId="0">
      <text>
        <t>GTCOP10YR Govt</t>
      </text>
    </comment>
    <comment ref="H6" authorId="0" shapeId="0">
      <text>
        <t>GTCOP15YR Govt</t>
      </text>
    </comment>
    <comment ref="I6" authorId="0" shapeId="0">
      <text>
        <t>GTCOP30YR Govt</t>
      </text>
    </comment>
    <comment ref="C7" authorId="0" shapeId="0">
      <text>
        <t>GTPEN2YR Govt</t>
      </text>
    </comment>
    <comment ref="D7" authorId="0" shapeId="0">
      <text>
        <t>GTPEN3YR Govt</t>
      </text>
    </comment>
    <comment ref="E7" authorId="0" shapeId="0">
      <text>
        <t>GTPEN5YR Govt</t>
      </text>
    </comment>
    <comment ref="F7" authorId="0" shapeId="0">
      <text>
        <t>GTPEN7YR Govt</t>
      </text>
    </comment>
    <comment ref="G7" authorId="0" shapeId="0">
      <text>
        <t>GTPEN10YR Govt</t>
      </text>
    </comment>
    <comment ref="H7" authorId="0" shapeId="0">
      <text>
        <t>GTPEN15YR Govt</t>
      </text>
    </comment>
    <comment ref="I7" authorId="0" shapeId="0">
      <text>
        <t>GTPEN30YR Govt</t>
      </text>
    </comment>
    <comment ref="C8" authorId="0" shapeId="0">
      <text>
        <t>GTMXN2YR Govt</t>
      </text>
    </comment>
    <comment ref="D8" authorId="0" shapeId="0">
      <text>
        <t>GTMXN3YR Govt</t>
      </text>
    </comment>
    <comment ref="E8" authorId="0" shapeId="0">
      <text>
        <t>GTMXN5YR Govt</t>
      </text>
    </comment>
    <comment ref="F8" authorId="0" shapeId="0">
      <text>
        <t>GTMXN7YR Govt</t>
      </text>
    </comment>
    <comment ref="G8" authorId="0" shapeId="0">
      <text>
        <t>GTMXN10YR Govt</t>
      </text>
    </comment>
    <comment ref="H8" authorId="0" shapeId="0">
      <text>
        <t>GTMXN20YR Govt</t>
      </text>
    </comment>
    <comment ref="I8" authorId="0" shapeId="0">
      <text>
        <t>GTMXN30YR Govt</t>
      </text>
    </comment>
    <comment ref="C9" authorId="0" shapeId="0">
      <text>
        <t>GTBRL2YR Govt</t>
      </text>
    </comment>
    <comment ref="D9" authorId="0" shapeId="0">
      <text>
        <t>GTBRL3YR Govt</t>
      </text>
    </comment>
    <comment ref="E9" authorId="0" shapeId="0">
      <text>
        <t>GTBRL5YR Govt</t>
      </text>
    </comment>
    <comment ref="F9" authorId="0" shapeId="0">
      <text>
        <t>GTBRL7YR Govt</t>
      </text>
    </comment>
    <comment ref="G9" authorId="0" shapeId="0">
      <text>
        <t>GTBRL10YR Govt</t>
      </text>
    </comment>
    <comment ref="H9" authorId="0" shapeId="0">
      <text>
        <t>GTBRL15YR Govt</t>
      </text>
    </comment>
    <comment ref="I9" authorId="0" shapeId="0">
      <text>
        <t>GTBRL30YR Govt</t>
      </text>
    </comment>
  </commentList>
</comments>
</file>

<file path=xl/comments/comment3.xml><?xml version="1.0" encoding="utf-8"?>
<comments xmlns="http://schemas.openxmlformats.org/spreadsheetml/2006/main">
  <authors>
    <author>Monitor</author>
  </authors>
  <commentList>
    <comment ref="C5" authorId="0" shapeId="0">
      <text>
        <t>CHSWP1 Curncy</t>
      </text>
    </comment>
    <comment ref="D5" authorId="0" shapeId="0">
      <text>
        <t>CHSWP2 Curncy</t>
      </text>
    </comment>
    <comment ref="E5" authorId="0" shapeId="0">
      <text>
        <t>CHSWP3 Curncy</t>
      </text>
    </comment>
    <comment ref="F5" authorId="0" shapeId="0">
      <text>
        <t>CHSWP5 Curncy</t>
      </text>
    </comment>
    <comment ref="G5" authorId="0" shapeId="0">
      <text>
        <t>CHSWP7 Curncy</t>
      </text>
    </comment>
    <comment ref="H5" authorId="0" shapeId="0">
      <text>
        <t>CHSWP10 Curncy</t>
      </text>
    </comment>
    <comment ref="C6" authorId="0" shapeId="0">
      <text>
        <t>CLSWIB1 Curncy</t>
      </text>
    </comment>
    <comment ref="D6" authorId="0" shapeId="0">
      <text>
        <t>CLSWIB2 Curncy</t>
      </text>
    </comment>
    <comment ref="E6" authorId="0" shapeId="0">
      <text>
        <t>CLSWIB3 Curncy</t>
      </text>
    </comment>
    <comment ref="F6" authorId="0" shapeId="0">
      <text>
        <t>CLSWIB5 Curncy</t>
      </text>
    </comment>
    <comment ref="G6" authorId="0" shapeId="0">
      <text>
        <t>CLSWIB7 Curncy</t>
      </text>
    </comment>
    <comment ref="H6" authorId="0" shapeId="0">
      <text>
        <t>CLSWIB10 Curncy</t>
      </text>
    </comment>
    <comment ref="C7" authorId="0" shapeId="0">
      <text>
        <t>GTPEN1YR Govt</t>
      </text>
    </comment>
    <comment ref="D7" authorId="0" shapeId="0">
      <text>
        <t>GTPEN2YR Govt</t>
      </text>
    </comment>
    <comment ref="E7" authorId="0" shapeId="0">
      <text>
        <t>GTPEN3YR Govt</t>
      </text>
    </comment>
    <comment ref="F7" authorId="0" shapeId="0">
      <text>
        <t>GTPEN5YR Govt</t>
      </text>
    </comment>
    <comment ref="G7" authorId="0" shapeId="0">
      <text>
        <t>GTPEN7YR Govt</t>
      </text>
    </comment>
    <comment ref="H7" authorId="0" shapeId="0">
      <text>
        <t>GTPEN10YR Govt</t>
      </text>
    </comment>
    <comment ref="C8" authorId="0" shapeId="0">
      <text>
        <t>MPSW1C Curncy</t>
      </text>
    </comment>
    <comment ref="D8" authorId="0" shapeId="0">
      <text>
        <t>MPSW2C Curncy</t>
      </text>
    </comment>
    <comment ref="E8" authorId="0" shapeId="0">
      <text>
        <t>MPSW3C Curncy</t>
      </text>
    </comment>
    <comment ref="F8" authorId="0" shapeId="0">
      <text>
        <t>MPSW5D Curncy</t>
      </text>
    </comment>
    <comment ref="G8" authorId="0" shapeId="0">
      <text>
        <t>MPSW7E Curncy</t>
      </text>
    </comment>
    <comment ref="H8" authorId="0" shapeId="0">
      <text>
        <t>MPSW10F Curncy</t>
      </text>
    </comment>
    <comment ref="C9" authorId="0" shapeId="0">
      <text>
        <t>BCSWFA Curncy</t>
      </text>
    </comment>
    <comment ref="D9" authorId="0" shapeId="0">
      <text>
        <t>BCSWFC Curncy</t>
      </text>
    </comment>
    <comment ref="E9" authorId="0" shapeId="0">
      <text>
        <t>BCSWFE Curncy</t>
      </text>
    </comment>
    <comment ref="F9" authorId="0" shapeId="0">
      <text>
        <t>BCSWFI Curncy</t>
      </text>
    </comment>
    <comment ref="G9" authorId="0" shapeId="0">
      <text>
        <t>BCSWFL Curncy</t>
      </text>
    </comment>
    <comment ref="H9" authorId="0" shapeId="0">
      <text>
        <t>BCSWFO Curncy</t>
      </text>
    </comment>
  </commentList>
</comments>
</file>

<file path=xl/comments/comment4.xml><?xml version="1.0" encoding="utf-8"?>
<comments xmlns="http://schemas.openxmlformats.org/spreadsheetml/2006/main">
  <authors>
    <author>Monitor</author>
  </authors>
  <commentList>
    <comment ref="C5" authorId="0" shapeId="0">
      <text>
        <t>GTCLF2YR Govt</t>
      </text>
    </comment>
    <comment ref="D5" authorId="0" shapeId="0">
      <text>
        <t>GTCLF3YR Govt</t>
      </text>
    </comment>
    <comment ref="E5" authorId="0" shapeId="0">
      <text>
        <t>GTCLF5YR Govt</t>
      </text>
    </comment>
    <comment ref="F5" authorId="0" shapeId="0">
      <text>
        <t>GTCLF7YR Govt</t>
      </text>
    </comment>
    <comment ref="G5" authorId="0" shapeId="0">
      <text>
        <t>GTCLF10YR Govt</t>
      </text>
    </comment>
    <comment ref="H5" authorId="0" shapeId="0">
      <text>
        <t>GTCLF20YR Govt</t>
      </text>
    </comment>
    <comment ref="C6" authorId="0" shapeId="0">
      <text>
        <t>GTCOLR2Y Govt</t>
      </text>
    </comment>
    <comment ref="D6" authorId="0" shapeId="0">
      <text>
        <t>GTCOLR3Y Govt</t>
      </text>
    </comment>
    <comment ref="E6" authorId="0" shapeId="0">
      <text>
        <t>GTCOLR5Y Govt</t>
      </text>
    </comment>
    <comment ref="F6" authorId="0" shapeId="0">
      <text>
        <t>GTCOLR7Y Govt</t>
      </text>
    </comment>
    <comment ref="G6" authorId="0" shapeId="0">
      <text>
        <t>GTCOLR10Y Govt</t>
      </text>
    </comment>
    <comment ref="H6" authorId="0" shapeId="0">
      <text>
        <t>GTCOLR15Y Govt</t>
      </text>
    </comment>
    <comment ref="C7" authorId="0" shapeId="0">
      <text>
        <t>GTPENL2Y Govt</t>
      </text>
    </comment>
    <comment ref="D7" authorId="0" shapeId="0">
      <text>
        <t>GTPENL3Y Govt</t>
      </text>
    </comment>
    <comment ref="E7" authorId="0" shapeId="0">
      <text>
        <t>GTPENL5Y Govt</t>
      </text>
    </comment>
    <comment ref="F7" authorId="0" shapeId="0">
      <text>
        <t>GTPENL7Y Govt</t>
      </text>
    </comment>
    <comment ref="G7" authorId="0" shapeId="0">
      <text>
        <t>GTPENL10Y Govt</t>
      </text>
    </comment>
    <comment ref="H7" authorId="0" shapeId="0">
      <text>
        <t>GTPENL15Y Govt</t>
      </text>
    </comment>
    <comment ref="C8" authorId="0" shapeId="0">
      <text>
        <t>GTMXNLR2Y Govt</t>
      </text>
    </comment>
    <comment ref="D8" authorId="0" shapeId="0">
      <text>
        <t>GTMXNLR3Y Govt</t>
      </text>
    </comment>
    <comment ref="E8" authorId="0" shapeId="0">
      <text>
        <t>GTMXNLR5Y Govt</t>
      </text>
    </comment>
    <comment ref="F8" authorId="0" shapeId="0">
      <text>
        <t>GTMXNLR7Y Govt</t>
      </text>
    </comment>
    <comment ref="G8" authorId="0" shapeId="0">
      <text>
        <t>GTMXNLR10Y Govt</t>
      </text>
    </comment>
    <comment ref="H8" authorId="0" shapeId="0">
      <text>
        <t>GTMXNLR20Y Govt</t>
      </text>
    </comment>
    <comment ref="C9" authorId="0" shapeId="0">
      <text>
        <t>GTBRLIL2Y Govt</t>
      </text>
    </comment>
    <comment ref="D9" authorId="0" shapeId="0">
      <text>
        <t>GTBRLIL3Y Govt</t>
      </text>
    </comment>
    <comment ref="E9" authorId="0" shapeId="0">
      <text>
        <t>GTBRLIL5Y Govt</t>
      </text>
    </comment>
    <comment ref="F9" authorId="0" shapeId="0">
      <text>
        <t>GTBRLIL7Y Govt</t>
      </text>
    </comment>
    <comment ref="G9" authorId="0" shapeId="0">
      <text>
        <t>GTBRLIL10Y Govt</t>
      </text>
    </comment>
    <comment ref="H9" authorId="0" shapeId="0">
      <text>
        <t>GTBRLIL20Y Govt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8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LatAm Inflation Targeters — Monitor Dashboard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Country</t>
        </is>
      </c>
      <c r="B4" s="3" t="inlineStr">
        <is>
          <t>Policy Rate %</t>
        </is>
      </c>
      <c r="C4" s="3" t="inlineStr">
        <is>
          <t>Inflation Target %</t>
        </is>
      </c>
      <c r="D4" s="3" t="inlineStr">
        <is>
          <t>CPI YoY %</t>
        </is>
      </c>
      <c r="E4" s="3" t="inlineStr">
        <is>
          <t>Real Policy Rate (ex-post)</t>
        </is>
      </c>
      <c r="F4" s="3" t="inlineStr">
        <is>
          <t>FX (USD/local)</t>
        </is>
      </c>
      <c r="G4" s="3" t="inlineStr">
        <is>
          <t>FX 1Y NDF/Fwd</t>
        </is>
      </c>
      <c r="H4" s="3" t="inlineStr">
        <is>
          <t>Local 10Y Sov %</t>
        </is>
      </c>
      <c r="I4" s="3" t="inlineStr">
        <is>
          <t>Equity</t>
        </is>
      </c>
    </row>
    <row r="5">
      <c r="A5" s="4" t="inlineStr">
        <is>
          <t>Chile</t>
        </is>
      </c>
      <c r="B5" s="5">
        <f>BDP("CHILBASE Index","PX_LAST")</f>
        <v/>
      </c>
      <c r="C5" s="6" t="inlineStr">
        <is>
          <t>3.0 ±1</t>
        </is>
      </c>
      <c r="D5" s="5">
        <f>BDP("CNPINSYO Index","PX_LAST")</f>
        <v/>
      </c>
      <c r="E5" s="5">
        <f>BDP("CHILBASE Index","PX_LAST")-BDP("CNPINSYO Index","PX_LAST")</f>
        <v/>
      </c>
      <c r="F5" s="7">
        <f>BDP("USDCLP Curncy","PX_LAST")</f>
        <v/>
      </c>
      <c r="G5" s="7">
        <f>BDP("USDCLP1Y Curncy","PX_LAST")</f>
        <v/>
      </c>
      <c r="H5" s="5">
        <f>BDP("GTCLP10YR Govt","PX_LAST")</f>
        <v/>
      </c>
      <c r="I5" s="8">
        <f>BDP("IPSA Index","PX_LAST")</f>
        <v/>
      </c>
    </row>
    <row r="6">
      <c r="A6" s="4" t="inlineStr">
        <is>
          <t>Colombia</t>
        </is>
      </c>
      <c r="B6" s="5">
        <f>BDP("COBR Index","PX_LAST")</f>
        <v/>
      </c>
      <c r="C6" s="6" t="inlineStr">
        <is>
          <t>3.0 ±1</t>
        </is>
      </c>
      <c r="D6" s="5">
        <f>BDP("COCPIYOY Index","PX_LAST")</f>
        <v/>
      </c>
      <c r="E6" s="5">
        <f>BDP("COBR Index","PX_LAST")-BDP("COCPIYOY Index","PX_LAST")</f>
        <v/>
      </c>
      <c r="F6" s="7">
        <f>BDP("USDCOP Curncy","PX_LAST")</f>
        <v/>
      </c>
      <c r="G6" s="7">
        <f>BDP("USDCOP1Y Curncy","PX_LAST")</f>
        <v/>
      </c>
      <c r="H6" s="5">
        <f>BDP("GTCOP10YR Govt","PX_LAST")</f>
        <v/>
      </c>
      <c r="I6" s="8">
        <f>BDP("COLCAP Index","PX_LAST")</f>
        <v/>
      </c>
    </row>
    <row r="7">
      <c r="A7" s="4" t="inlineStr">
        <is>
          <t>Peru</t>
        </is>
      </c>
      <c r="B7" s="5">
        <f>BDP("PRRRONUS Index","PX_LAST")</f>
        <v/>
      </c>
      <c r="C7" s="6" t="inlineStr">
        <is>
          <t>2.0 ±1</t>
        </is>
      </c>
      <c r="D7" s="5">
        <f>BDP("PRCPYOY Index","PX_LAST")</f>
        <v/>
      </c>
      <c r="E7" s="5">
        <f>BDP("PRRRONUS Index","PX_LAST")-BDP("PRCPYOY Index","PX_LAST")</f>
        <v/>
      </c>
      <c r="F7" s="7">
        <f>BDP("USDPEN Curncy","PX_LAST")</f>
        <v/>
      </c>
      <c r="G7" s="7">
        <f>BDP("USDPEN1Y Curncy","PX_LAST")</f>
        <v/>
      </c>
      <c r="H7" s="5">
        <f>BDP("GTPEN10YR Govt","PX_LAST")</f>
        <v/>
      </c>
      <c r="I7" s="8">
        <f>BDP("SPBLPGPT Index","PX_LAST")</f>
        <v/>
      </c>
    </row>
    <row r="8">
      <c r="A8" s="4" t="inlineStr">
        <is>
          <t>Mexico</t>
        </is>
      </c>
      <c r="B8" s="5">
        <f>BDP("MXONBR Index","PX_LAST")</f>
        <v/>
      </c>
      <c r="C8" s="6" t="inlineStr">
        <is>
          <t>3.0 ±1</t>
        </is>
      </c>
      <c r="D8" s="5">
        <f>BDP("MXCPYOY Index","PX_LAST")</f>
        <v/>
      </c>
      <c r="E8" s="5">
        <f>BDP("MXONBR Index","PX_LAST")-BDP("MXCPYOY Index","PX_LAST")</f>
        <v/>
      </c>
      <c r="F8" s="7">
        <f>BDP("USDMXN Curncy","PX_LAST")</f>
        <v/>
      </c>
      <c r="G8" s="7">
        <f>BDP("USDMXN1Y Curncy","PX_LAST")</f>
        <v/>
      </c>
      <c r="H8" s="5">
        <f>BDP("GTMXN10YR Govt","PX_LAST")</f>
        <v/>
      </c>
      <c r="I8" s="8">
        <f>BDP("MEXBOL Index","PX_LAST")</f>
        <v/>
      </c>
    </row>
    <row r="9">
      <c r="A9" s="4" t="inlineStr">
        <is>
          <t>Brazil</t>
        </is>
      </c>
      <c r="B9" s="5">
        <f>BDP("BZSTSETA Index","PX_LAST")</f>
        <v/>
      </c>
      <c r="C9" s="6" t="inlineStr">
        <is>
          <t>3.0 ±1.5</t>
        </is>
      </c>
      <c r="D9" s="5">
        <f>BDP("BZPIIPCY Index","PX_LAST")</f>
        <v/>
      </c>
      <c r="E9" s="5">
        <f>BDP("BZSTSETA Index","PX_LAST")-BDP("BZPIIPCY Index","PX_LAST")</f>
        <v/>
      </c>
      <c r="F9" s="7">
        <f>BDP("USDBRL Curncy","PX_LAST")</f>
        <v/>
      </c>
      <c r="G9" s="7">
        <f>BDP("USDBRL1Y Curncy","PX_LAST")</f>
        <v/>
      </c>
      <c r="H9" s="5">
        <f>BDP("GTBRL10YR Govt","PX_LAST")</f>
        <v/>
      </c>
      <c r="I9" s="8">
        <f>BDP("IBOV Index","PX_LAST")</f>
        <v/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Policy Rates, CPI (headline &amp; core), Inflation Expectations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Security</t>
        </is>
      </c>
      <c r="B4" s="3" t="inlineStr">
        <is>
          <t>BBG Ticker</t>
        </is>
      </c>
      <c r="C4" s="3" t="inlineStr">
        <is>
          <t>Last</t>
        </is>
      </c>
      <c r="D4" s="3" t="inlineStr">
        <is>
          <t>1d</t>
        </is>
      </c>
      <c r="E4" s="3" t="inlineStr">
        <is>
          <t>5d</t>
        </is>
      </c>
      <c r="F4" s="3" t="inlineStr">
        <is>
          <t>MTD</t>
        </is>
      </c>
      <c r="G4" s="3" t="inlineStr">
        <is>
          <t>YTD</t>
        </is>
      </c>
      <c r="H4" s="3" t="inlineStr">
        <is>
          <t>1Y</t>
        </is>
      </c>
    </row>
    <row r="5">
      <c r="A5" s="9" t="inlineStr">
        <is>
          <t>Policy Rates (%)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10" t="inlineStr">
        <is>
          <t>Chile TPM</t>
        </is>
      </c>
      <c r="B6" s="11" t="inlineStr">
        <is>
          <t>CHILBASE Index</t>
        </is>
      </c>
      <c r="C6" s="12">
        <f>BDP("CHILBASE Index","PX_LAST")</f>
        <v/>
      </c>
      <c r="D6" s="13">
        <f>BDP("CHILBASE Index","CHG_NET_1D")</f>
        <v/>
      </c>
      <c r="E6" s="13">
        <f>BDP("CHILBASE Index","CHG_NET_5D")</f>
        <v/>
      </c>
      <c r="F6" s="13">
        <f>BDP("CHILBASE Index","CHG_NET_MTD")</f>
        <v/>
      </c>
      <c r="G6" s="13">
        <f>BDP("CHILBASE Index","CHG_NET_YTD")</f>
        <v/>
      </c>
      <c r="H6" s="13">
        <f>BDP("CHILBASE Index","CHG_NET_1Y")</f>
        <v/>
      </c>
    </row>
    <row r="7">
      <c r="A7" s="10" t="inlineStr">
        <is>
          <t>Colombia BanRep</t>
        </is>
      </c>
      <c r="B7" s="11" t="inlineStr">
        <is>
          <t>COBR Index</t>
        </is>
      </c>
      <c r="C7" s="12">
        <f>BDP("COBR Index","PX_LAST")</f>
        <v/>
      </c>
      <c r="D7" s="13">
        <f>BDP("COBR Index","CHG_NET_1D")</f>
        <v/>
      </c>
      <c r="E7" s="13">
        <f>BDP("COBR Index","CHG_NET_5D")</f>
        <v/>
      </c>
      <c r="F7" s="13">
        <f>BDP("COBR Index","CHG_NET_MTD")</f>
        <v/>
      </c>
      <c r="G7" s="13">
        <f>BDP("COBR Index","CHG_NET_YTD")</f>
        <v/>
      </c>
      <c r="H7" s="13">
        <f>BDP("COBR Index","CHG_NET_1Y")</f>
        <v/>
      </c>
    </row>
    <row r="8">
      <c r="A8" s="10" t="inlineStr">
        <is>
          <t>Peru BCRP Ref</t>
        </is>
      </c>
      <c r="B8" s="11" t="inlineStr">
        <is>
          <t>PRRRONUS Index</t>
        </is>
      </c>
      <c r="C8" s="12">
        <f>BDP("PRRRONUS Index","PX_LAST")</f>
        <v/>
      </c>
      <c r="D8" s="13">
        <f>BDP("PRRRONUS Index","CHG_NET_1D")</f>
        <v/>
      </c>
      <c r="E8" s="13">
        <f>BDP("PRRRONUS Index","CHG_NET_5D")</f>
        <v/>
      </c>
      <c r="F8" s="13">
        <f>BDP("PRRRONUS Index","CHG_NET_MTD")</f>
        <v/>
      </c>
      <c r="G8" s="13">
        <f>BDP("PRRRONUS Index","CHG_NET_YTD")</f>
        <v/>
      </c>
      <c r="H8" s="13">
        <f>BDP("PRRRONUS Index","CHG_NET_1Y")</f>
        <v/>
      </c>
    </row>
    <row r="9">
      <c r="A9" s="10" t="inlineStr">
        <is>
          <t>Mexico Banxico</t>
        </is>
      </c>
      <c r="B9" s="11" t="inlineStr">
        <is>
          <t>MXONBR Index</t>
        </is>
      </c>
      <c r="C9" s="12">
        <f>BDP("MXONBR Index","PX_LAST")</f>
        <v/>
      </c>
      <c r="D9" s="13">
        <f>BDP("MXONBR Index","CHG_NET_1D")</f>
        <v/>
      </c>
      <c r="E9" s="13">
        <f>BDP("MXONBR Index","CHG_NET_5D")</f>
        <v/>
      </c>
      <c r="F9" s="13">
        <f>BDP("MXONBR Index","CHG_NET_MTD")</f>
        <v/>
      </c>
      <c r="G9" s="13">
        <f>BDP("MXONBR Index","CHG_NET_YTD")</f>
        <v/>
      </c>
      <c r="H9" s="13">
        <f>BDP("MXONBR Index","CHG_NET_1Y")</f>
        <v/>
      </c>
    </row>
    <row r="10">
      <c r="A10" s="10" t="inlineStr">
        <is>
          <t>Brazil Selic</t>
        </is>
      </c>
      <c r="B10" s="11" t="inlineStr">
        <is>
          <t>BZSTSETA Index</t>
        </is>
      </c>
      <c r="C10" s="12">
        <f>BDP("BZSTSETA Index","PX_LAST")</f>
        <v/>
      </c>
      <c r="D10" s="13">
        <f>BDP("BZSTSETA Index","CHG_NET_1D")</f>
        <v/>
      </c>
      <c r="E10" s="13">
        <f>BDP("BZSTSETA Index","CHG_NET_5D")</f>
        <v/>
      </c>
      <c r="F10" s="13">
        <f>BDP("BZSTSETA Index","CHG_NET_MTD")</f>
        <v/>
      </c>
      <c r="G10" s="13">
        <f>BDP("BZSTSETA Index","CHG_NET_YTD")</f>
        <v/>
      </c>
      <c r="H10" s="13">
        <f>BDP("BZSTSETA Index","CHG_NET_1Y")</f>
        <v/>
      </c>
    </row>
    <row r="11">
      <c r="A11" s="9" t="inlineStr">
        <is>
          <t>Headline CPI YoY (%)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10" t="inlineStr">
        <is>
          <t>Chile CPI YoY</t>
        </is>
      </c>
      <c r="B12" s="11" t="inlineStr">
        <is>
          <t>CNPINSYO Index</t>
        </is>
      </c>
      <c r="C12" s="12">
        <f>BDP("CNPINSYO Index","PX_LAST")</f>
        <v/>
      </c>
      <c r="D12" s="13">
        <f>BDP("CNPINSYO Index","CHG_NET_1D")</f>
        <v/>
      </c>
      <c r="E12" s="13">
        <f>BDP("CNPINSYO Index","CHG_NET_5D")</f>
        <v/>
      </c>
      <c r="F12" s="13">
        <f>BDP("CNPINSYO Index","CHG_NET_MTD")</f>
        <v/>
      </c>
      <c r="G12" s="13">
        <f>BDP("CNPINSYO Index","CHG_NET_YTD")</f>
        <v/>
      </c>
      <c r="H12" s="13">
        <f>BDP("CNPINSYO Index","CHG_NET_1Y")</f>
        <v/>
      </c>
    </row>
    <row r="13">
      <c r="A13" s="10" t="inlineStr">
        <is>
          <t>Colombia CPI YoY</t>
        </is>
      </c>
      <c r="B13" s="11" t="inlineStr">
        <is>
          <t>COCPIYOY Index</t>
        </is>
      </c>
      <c r="C13" s="12">
        <f>BDP("COCPIYOY Index","PX_LAST")</f>
        <v/>
      </c>
      <c r="D13" s="13">
        <f>BDP("COCPIYOY Index","CHG_NET_1D")</f>
        <v/>
      </c>
      <c r="E13" s="13">
        <f>BDP("COCPIYOY Index","CHG_NET_5D")</f>
        <v/>
      </c>
      <c r="F13" s="13">
        <f>BDP("COCPIYOY Index","CHG_NET_MTD")</f>
        <v/>
      </c>
      <c r="G13" s="13">
        <f>BDP("COCPIYOY Index","CHG_NET_YTD")</f>
        <v/>
      </c>
      <c r="H13" s="13">
        <f>BDP("COCPIYOY Index","CHG_NET_1Y")</f>
        <v/>
      </c>
    </row>
    <row r="14">
      <c r="A14" s="10" t="inlineStr">
        <is>
          <t>Peru CPI YoY</t>
        </is>
      </c>
      <c r="B14" s="11" t="inlineStr">
        <is>
          <t>PRCPYOY Index</t>
        </is>
      </c>
      <c r="C14" s="12">
        <f>BDP("PRCPYOY Index","PX_LAST")</f>
        <v/>
      </c>
      <c r="D14" s="13">
        <f>BDP("PRCPYOY Index","CHG_NET_1D")</f>
        <v/>
      </c>
      <c r="E14" s="13">
        <f>BDP("PRCPYOY Index","CHG_NET_5D")</f>
        <v/>
      </c>
      <c r="F14" s="13">
        <f>BDP("PRCPYOY Index","CHG_NET_MTD")</f>
        <v/>
      </c>
      <c r="G14" s="13">
        <f>BDP("PRCPYOY Index","CHG_NET_YTD")</f>
        <v/>
      </c>
      <c r="H14" s="13">
        <f>BDP("PRCPYOY Index","CHG_NET_1Y")</f>
        <v/>
      </c>
    </row>
    <row r="15">
      <c r="A15" s="10" t="inlineStr">
        <is>
          <t>Mexico CPI YoY</t>
        </is>
      </c>
      <c r="B15" s="11" t="inlineStr">
        <is>
          <t>MXCPYOY Index</t>
        </is>
      </c>
      <c r="C15" s="12">
        <f>BDP("MXCPYOY Index","PX_LAST")</f>
        <v/>
      </c>
      <c r="D15" s="13">
        <f>BDP("MXCPYOY Index","CHG_NET_1D")</f>
        <v/>
      </c>
      <c r="E15" s="13">
        <f>BDP("MXCPYOY Index","CHG_NET_5D")</f>
        <v/>
      </c>
      <c r="F15" s="13">
        <f>BDP("MXCPYOY Index","CHG_NET_MTD")</f>
        <v/>
      </c>
      <c r="G15" s="13">
        <f>BDP("MXCPYOY Index","CHG_NET_YTD")</f>
        <v/>
      </c>
      <c r="H15" s="13">
        <f>BDP("MXCPYOY Index","CHG_NET_1Y")</f>
        <v/>
      </c>
    </row>
    <row r="16">
      <c r="A16" s="10" t="inlineStr">
        <is>
          <t>Brazil IPCA YoY</t>
        </is>
      </c>
      <c r="B16" s="11" t="inlineStr">
        <is>
          <t>BZPIIPCY Index</t>
        </is>
      </c>
      <c r="C16" s="12">
        <f>BDP("BZPIIPCY Index","PX_LAST")</f>
        <v/>
      </c>
      <c r="D16" s="13">
        <f>BDP("BZPIIPCY Index","CHG_NET_1D")</f>
        <v/>
      </c>
      <c r="E16" s="13">
        <f>BDP("BZPIIPCY Index","CHG_NET_5D")</f>
        <v/>
      </c>
      <c r="F16" s="13">
        <f>BDP("BZPIIPCY Index","CHG_NET_MTD")</f>
        <v/>
      </c>
      <c r="G16" s="13">
        <f>BDP("BZPIIPCY Index","CHG_NET_YTD")</f>
        <v/>
      </c>
      <c r="H16" s="13">
        <f>BDP("BZPIIPCY Index","CHG_NET_1Y")</f>
        <v/>
      </c>
    </row>
    <row r="17">
      <c r="A17" s="9" t="inlineStr">
        <is>
          <t>Core CPI YoY (%)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10" t="inlineStr">
        <is>
          <t>Chile Core CPI</t>
        </is>
      </c>
      <c r="B18" s="11" t="inlineStr">
        <is>
          <t>CHCOREYO Index</t>
        </is>
      </c>
      <c r="C18" s="12">
        <f>BDP("CHCOREYO Index","PX_LAST")</f>
        <v/>
      </c>
      <c r="D18" s="13">
        <f>BDP("CHCOREYO Index","CHG_NET_1D")</f>
        <v/>
      </c>
      <c r="E18" s="13">
        <f>BDP("CHCOREYO Index","CHG_NET_5D")</f>
        <v/>
      </c>
      <c r="F18" s="13">
        <f>BDP("CHCOREYO Index","CHG_NET_MTD")</f>
        <v/>
      </c>
      <c r="G18" s="13">
        <f>BDP("CHCOREYO Index","CHG_NET_YTD")</f>
        <v/>
      </c>
      <c r="H18" s="13">
        <f>BDP("CHCOREYO Index","CHG_NET_1Y")</f>
        <v/>
      </c>
    </row>
    <row r="19">
      <c r="A19" s="10" t="inlineStr">
        <is>
          <t>Colombia Core CPI</t>
        </is>
      </c>
      <c r="B19" s="11" t="inlineStr">
        <is>
          <t>COCPCYOY Index</t>
        </is>
      </c>
      <c r="C19" s="12">
        <f>BDP("COCPCYOY Index","PX_LAST")</f>
        <v/>
      </c>
      <c r="D19" s="13">
        <f>BDP("COCPCYOY Index","CHG_NET_1D")</f>
        <v/>
      </c>
      <c r="E19" s="13">
        <f>BDP("COCPCYOY Index","CHG_NET_5D")</f>
        <v/>
      </c>
      <c r="F19" s="13">
        <f>BDP("COCPCYOY Index","CHG_NET_MTD")</f>
        <v/>
      </c>
      <c r="G19" s="13">
        <f>BDP("COCPCYOY Index","CHG_NET_YTD")</f>
        <v/>
      </c>
      <c r="H19" s="13">
        <f>BDP("COCPCYOY Index","CHG_NET_1Y")</f>
        <v/>
      </c>
    </row>
    <row r="20">
      <c r="A20" s="10" t="inlineStr">
        <is>
          <t>Peru Core CPI</t>
        </is>
      </c>
      <c r="B20" s="11" t="inlineStr">
        <is>
          <t>PRCPCYOY Index</t>
        </is>
      </c>
      <c r="C20" s="12">
        <f>BDP("PRCPCYOY Index","PX_LAST")</f>
        <v/>
      </c>
      <c r="D20" s="13">
        <f>BDP("PRCPCYOY Index","CHG_NET_1D")</f>
        <v/>
      </c>
      <c r="E20" s="13">
        <f>BDP("PRCPCYOY Index","CHG_NET_5D")</f>
        <v/>
      </c>
      <c r="F20" s="13">
        <f>BDP("PRCPCYOY Index","CHG_NET_MTD")</f>
        <v/>
      </c>
      <c r="G20" s="13">
        <f>BDP("PRCPCYOY Index","CHG_NET_YTD")</f>
        <v/>
      </c>
      <c r="H20" s="13">
        <f>BDP("PRCPCYOY Index","CHG_NET_1Y")</f>
        <v/>
      </c>
    </row>
    <row r="21">
      <c r="A21" s="10" t="inlineStr">
        <is>
          <t>Mexico Core CPI</t>
        </is>
      </c>
      <c r="B21" s="11" t="inlineStr">
        <is>
          <t>MXCPCYOY Index</t>
        </is>
      </c>
      <c r="C21" s="12">
        <f>BDP("MXCPCYOY Index","PX_LAST")</f>
        <v/>
      </c>
      <c r="D21" s="13">
        <f>BDP("MXCPCYOY Index","CHG_NET_1D")</f>
        <v/>
      </c>
      <c r="E21" s="13">
        <f>BDP("MXCPCYOY Index","CHG_NET_5D")</f>
        <v/>
      </c>
      <c r="F21" s="13">
        <f>BDP("MXCPCYOY Index","CHG_NET_MTD")</f>
        <v/>
      </c>
      <c r="G21" s="13">
        <f>BDP("MXCPCYOY Index","CHG_NET_YTD")</f>
        <v/>
      </c>
      <c r="H21" s="13">
        <f>BDP("MXCPCYOY Index","CHG_NET_1Y")</f>
        <v/>
      </c>
    </row>
    <row r="22">
      <c r="A22" s="10" t="inlineStr">
        <is>
          <t>Brazil IPCA Core EX3</t>
        </is>
      </c>
      <c r="B22" s="11" t="inlineStr">
        <is>
          <t>BZPIEX3Y Index</t>
        </is>
      </c>
      <c r="C22" s="12">
        <f>BDP("BZPIEX3Y Index","PX_LAST")</f>
        <v/>
      </c>
      <c r="D22" s="13">
        <f>BDP("BZPIEX3Y Index","CHG_NET_1D")</f>
        <v/>
      </c>
      <c r="E22" s="13">
        <f>BDP("BZPIEX3Y Index","CHG_NET_5D")</f>
        <v/>
      </c>
      <c r="F22" s="13">
        <f>BDP("BZPIEX3Y Index","CHG_NET_MTD")</f>
        <v/>
      </c>
      <c r="G22" s="13">
        <f>BDP("BZPIEX3Y Index","CHG_NET_YTD")</f>
        <v/>
      </c>
      <c r="H22" s="13">
        <f>BDP("BZPIEX3Y Index","CHG_NET_1Y")</f>
        <v/>
      </c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Local-Currency Sovereign Yield Curves (%)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Country</t>
        </is>
      </c>
      <c r="B4" s="3" t="inlineStr">
        <is>
          <t>Instrument</t>
        </is>
      </c>
      <c r="C4" s="3" t="inlineStr">
        <is>
          <t>2Y</t>
        </is>
      </c>
      <c r="D4" s="3" t="inlineStr">
        <is>
          <t>3Y</t>
        </is>
      </c>
      <c r="E4" s="3" t="inlineStr">
        <is>
          <t>5Y</t>
        </is>
      </c>
      <c r="F4" s="3" t="inlineStr">
        <is>
          <t>7Y</t>
        </is>
      </c>
      <c r="G4" s="3" t="inlineStr">
        <is>
          <t>10Y</t>
        </is>
      </c>
      <c r="H4" s="3" t="inlineStr">
        <is>
          <t>15Y</t>
        </is>
      </c>
      <c r="I4" s="3" t="inlineStr">
        <is>
          <t>30Y</t>
        </is>
      </c>
    </row>
    <row r="5">
      <c r="A5" s="4" t="inlineStr">
        <is>
          <t>Chile</t>
        </is>
      </c>
      <c r="B5" s="14" t="inlineStr">
        <is>
          <t>BCP / BTP CLP</t>
        </is>
      </c>
      <c r="C5" s="15">
        <f>BDP("GTCLP2YR Govt","PX_LAST")</f>
        <v/>
      </c>
      <c r="D5" s="15">
        <f>BDP("GTCLP3YR Govt","PX_LAST")</f>
        <v/>
      </c>
      <c r="E5" s="15">
        <f>BDP("GTCLP5YR Govt","PX_LAST")</f>
        <v/>
      </c>
      <c r="F5" s="15">
        <f>BDP("GTCLP7YR Govt","PX_LAST")</f>
        <v/>
      </c>
      <c r="G5" s="15">
        <f>BDP("GTCLP10YR Govt","PX_LAST")</f>
        <v/>
      </c>
      <c r="H5" s="15">
        <f>BDP("GTCLP15YR Govt","PX_LAST")</f>
        <v/>
      </c>
      <c r="I5" s="15">
        <f>BDP("GTCLP30YR Govt","PX_LAST")</f>
        <v/>
      </c>
    </row>
    <row r="6">
      <c r="A6" s="4" t="inlineStr">
        <is>
          <t>Colombia</t>
        </is>
      </c>
      <c r="B6" s="14" t="inlineStr">
        <is>
          <t>TES COP</t>
        </is>
      </c>
      <c r="C6" s="15">
        <f>BDP("GTCOP2YR Govt","PX_LAST")</f>
        <v/>
      </c>
      <c r="D6" s="15">
        <f>BDP("GTCOP3YR Govt","PX_LAST")</f>
        <v/>
      </c>
      <c r="E6" s="15">
        <f>BDP("GTCOP5YR Govt","PX_LAST")</f>
        <v/>
      </c>
      <c r="F6" s="15">
        <f>BDP("GTCOP7YR Govt","PX_LAST")</f>
        <v/>
      </c>
      <c r="G6" s="15">
        <f>BDP("GTCOP10YR Govt","PX_LAST")</f>
        <v/>
      </c>
      <c r="H6" s="15">
        <f>BDP("GTCOP15YR Govt","PX_LAST")</f>
        <v/>
      </c>
      <c r="I6" s="15">
        <f>BDP("GTCOP30YR Govt","PX_LAST")</f>
        <v/>
      </c>
    </row>
    <row r="7">
      <c r="A7" s="4" t="inlineStr">
        <is>
          <t>Peru</t>
        </is>
      </c>
      <c r="B7" s="14" t="inlineStr">
        <is>
          <t>Soberanos PEN</t>
        </is>
      </c>
      <c r="C7" s="15">
        <f>BDP("GTPEN2YR Govt","PX_LAST")</f>
        <v/>
      </c>
      <c r="D7" s="15">
        <f>BDP("GTPEN3YR Govt","PX_LAST")</f>
        <v/>
      </c>
      <c r="E7" s="15">
        <f>BDP("GTPEN5YR Govt","PX_LAST")</f>
        <v/>
      </c>
      <c r="F7" s="15">
        <f>BDP("GTPEN7YR Govt","PX_LAST")</f>
        <v/>
      </c>
      <c r="G7" s="15">
        <f>BDP("GTPEN10YR Govt","PX_LAST")</f>
        <v/>
      </c>
      <c r="H7" s="15">
        <f>BDP("GTPEN15YR Govt","PX_LAST")</f>
        <v/>
      </c>
      <c r="I7" s="15">
        <f>BDP("GTPEN30YR Govt","PX_LAST")</f>
        <v/>
      </c>
    </row>
    <row r="8">
      <c r="A8" s="4" t="inlineStr">
        <is>
          <t>Mexico</t>
        </is>
      </c>
      <c r="B8" s="14" t="inlineStr">
        <is>
          <t>Mbono MXN</t>
        </is>
      </c>
      <c r="C8" s="15">
        <f>BDP("GTMXN2YR Govt","PX_LAST")</f>
        <v/>
      </c>
      <c r="D8" s="15">
        <f>BDP("GTMXN3YR Govt","PX_LAST")</f>
        <v/>
      </c>
      <c r="E8" s="15">
        <f>BDP("GTMXN5YR Govt","PX_LAST")</f>
        <v/>
      </c>
      <c r="F8" s="15">
        <f>BDP("GTMXN7YR Govt","PX_LAST")</f>
        <v/>
      </c>
      <c r="G8" s="15">
        <f>BDP("GTMXN10YR Govt","PX_LAST")</f>
        <v/>
      </c>
      <c r="H8" s="15">
        <f>BDP("GTMXN20YR Govt","PX_LAST")</f>
        <v/>
      </c>
      <c r="I8" s="15">
        <f>BDP("GTMXN30YR Govt","PX_LAST")</f>
        <v/>
      </c>
    </row>
    <row r="9">
      <c r="A9" s="4" t="inlineStr">
        <is>
          <t>Brazil</t>
        </is>
      </c>
      <c r="B9" s="14" t="inlineStr">
        <is>
          <t>NTN-F BRL</t>
        </is>
      </c>
      <c r="C9" s="15">
        <f>BDP("GTBRL2YR Govt","PX_LAST")</f>
        <v/>
      </c>
      <c r="D9" s="15">
        <f>BDP("GTBRL3YR Govt","PX_LAST")</f>
        <v/>
      </c>
      <c r="E9" s="15">
        <f>BDP("GTBRL5YR Govt","PX_LAST")</f>
        <v/>
      </c>
      <c r="F9" s="15">
        <f>BDP("GTBRL7YR Govt","PX_LAST")</f>
        <v/>
      </c>
      <c r="G9" s="15">
        <f>BDP("GTBRL10YR Govt","PX_LAST")</f>
        <v/>
      </c>
      <c r="H9" s="15">
        <f>BDP("GTBRL15YR Govt","PX_LAST")</f>
        <v/>
      </c>
      <c r="I9" s="15">
        <f>BDP("GTBRL30YR Govt","PX_LAST")</f>
        <v/>
      </c>
    </row>
    <row r="10">
      <c r="A10" s="9" t="inlineStr">
        <is>
          <t>2s10s slope (bps)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16" t="inlineStr">
        <is>
          <t>Chile</t>
        </is>
      </c>
      <c r="B11" s="14" t="inlineStr">
        <is>
          <t>(10y - 2y)</t>
        </is>
      </c>
      <c r="C11" s="17" t="n"/>
      <c r="D11" s="17" t="n"/>
      <c r="E11" s="17" t="n"/>
      <c r="F11" s="17" t="n"/>
      <c r="G11" s="18">
        <f>(BDP("GTCLP10YR Govt","PX_LAST")-BDP("GTCLP2YR Govt","PX_LAST"))*100</f>
        <v/>
      </c>
      <c r="H11" s="17" t="n"/>
      <c r="I11" s="17" t="n"/>
    </row>
    <row r="12">
      <c r="A12" s="16" t="inlineStr">
        <is>
          <t>Colombia</t>
        </is>
      </c>
      <c r="B12" s="14" t="inlineStr">
        <is>
          <t>(10y - 2y)</t>
        </is>
      </c>
      <c r="C12" s="17" t="n"/>
      <c r="D12" s="17" t="n"/>
      <c r="E12" s="17" t="n"/>
      <c r="F12" s="17" t="n"/>
      <c r="G12" s="18">
        <f>(BDP("GTCOP10YR Govt","PX_LAST")-BDP("GTCOP2YR Govt","PX_LAST"))*100</f>
        <v/>
      </c>
      <c r="H12" s="17" t="n"/>
      <c r="I12" s="17" t="n"/>
    </row>
    <row r="13">
      <c r="A13" s="16" t="inlineStr">
        <is>
          <t>Peru</t>
        </is>
      </c>
      <c r="B13" s="14" t="inlineStr">
        <is>
          <t>(10y - 2y)</t>
        </is>
      </c>
      <c r="C13" s="17" t="n"/>
      <c r="D13" s="17" t="n"/>
      <c r="E13" s="17" t="n"/>
      <c r="F13" s="17" t="n"/>
      <c r="G13" s="18">
        <f>(BDP("GTPEN10YR Govt","PX_LAST")-BDP("GTPEN2YR Govt","PX_LAST"))*100</f>
        <v/>
      </c>
      <c r="H13" s="17" t="n"/>
      <c r="I13" s="17" t="n"/>
    </row>
    <row r="14">
      <c r="A14" s="16" t="inlineStr">
        <is>
          <t>Mexico</t>
        </is>
      </c>
      <c r="B14" s="14" t="inlineStr">
        <is>
          <t>(10y - 2y)</t>
        </is>
      </c>
      <c r="C14" s="17" t="n"/>
      <c r="D14" s="17" t="n"/>
      <c r="E14" s="17" t="n"/>
      <c r="F14" s="17" t="n"/>
      <c r="G14" s="18">
        <f>(BDP("GTMXN10YR Govt","PX_LAST")-BDP("GTMXN2YR Govt","PX_LAST"))*100</f>
        <v/>
      </c>
      <c r="H14" s="17" t="n"/>
      <c r="I14" s="17" t="n"/>
    </row>
    <row r="15">
      <c r="A15" s="16" t="inlineStr">
        <is>
          <t>Brazil</t>
        </is>
      </c>
      <c r="B15" s="14" t="inlineStr">
        <is>
          <t>(10y - 2y)</t>
        </is>
      </c>
      <c r="C15" s="17" t="n"/>
      <c r="D15" s="17" t="n"/>
      <c r="E15" s="17" t="n"/>
      <c r="F15" s="17" t="n"/>
      <c r="G15" s="18">
        <f>(BDP("GTBRL10YR Govt","PX_LAST")-BDP("GTBRL2YR Govt","PX_LAST"))*100</f>
        <v/>
      </c>
      <c r="H15" s="17" t="n"/>
      <c r="I15" s="17" t="n"/>
    </row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2" customWidth="1" min="9" max="9"/>
  </cols>
  <sheetData>
    <row r="1">
      <c r="A1" s="1" t="inlineStr">
        <is>
          <t>Onshore Swap Curves — Camara / IBR / TIIE / DI (%)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Country</t>
        </is>
      </c>
      <c r="B4" s="3" t="inlineStr">
        <is>
          <t>Reference</t>
        </is>
      </c>
      <c r="C4" s="3" t="inlineStr">
        <is>
          <t>1Y</t>
        </is>
      </c>
      <c r="D4" s="3" t="inlineStr">
        <is>
          <t>2Y</t>
        </is>
      </c>
      <c r="E4" s="3" t="inlineStr">
        <is>
          <t>3Y</t>
        </is>
      </c>
      <c r="F4" s="3" t="inlineStr">
        <is>
          <t>5Y</t>
        </is>
      </c>
      <c r="G4" s="3" t="inlineStr">
        <is>
          <t>7Y</t>
        </is>
      </c>
      <c r="H4" s="3" t="inlineStr">
        <is>
          <t>10Y</t>
        </is>
      </c>
      <c r="I4" s="3" t="inlineStr">
        <is>
          <t>Notes</t>
        </is>
      </c>
    </row>
    <row r="5">
      <c r="A5" s="4" t="inlineStr">
        <is>
          <t>Chile</t>
        </is>
      </c>
      <c r="B5" s="14" t="inlineStr">
        <is>
          <t>Camara CLP</t>
        </is>
      </c>
      <c r="C5" s="15">
        <f>BDP("CHSWP1 Curncy","PX_LAST")</f>
        <v/>
      </c>
      <c r="D5" s="15">
        <f>BDP("CHSWP2 Curncy","PX_LAST")</f>
        <v/>
      </c>
      <c r="E5" s="15">
        <f>BDP("CHSWP3 Curncy","PX_LAST")</f>
        <v/>
      </c>
      <c r="F5" s="15">
        <f>BDP("CHSWP5 Curncy","PX_LAST")</f>
        <v/>
      </c>
      <c r="G5" s="15">
        <f>BDP("CHSWP7 Curncy","PX_LAST")</f>
        <v/>
      </c>
      <c r="H5" s="15">
        <f>BDP("CHSWP10 Curncy","PX_LAST")</f>
        <v/>
      </c>
      <c r="I5" s="19" t="inlineStr">
        <is>
          <t>Camara overnight nominal swap; CHSWP{n}</t>
        </is>
      </c>
    </row>
    <row r="6">
      <c r="A6" s="4" t="inlineStr">
        <is>
          <t>Colombia</t>
        </is>
      </c>
      <c r="B6" s="14" t="inlineStr">
        <is>
          <t>IBR (overnight)</t>
        </is>
      </c>
      <c r="C6" s="15">
        <f>BDP("CLSWIB1 Curncy","PX_LAST")</f>
        <v/>
      </c>
      <c r="D6" s="15">
        <f>BDP("CLSWIB2 Curncy","PX_LAST")</f>
        <v/>
      </c>
      <c r="E6" s="15">
        <f>BDP("CLSWIB3 Curncy","PX_LAST")</f>
        <v/>
      </c>
      <c r="F6" s="15">
        <f>BDP("CLSWIB5 Curncy","PX_LAST")</f>
        <v/>
      </c>
      <c r="G6" s="15">
        <f>BDP("CLSWIB7 Curncy","PX_LAST")</f>
        <v/>
      </c>
      <c r="H6" s="15">
        <f>BDP("CLSWIB10 Curncy","PX_LAST")</f>
        <v/>
      </c>
      <c r="I6" s="19" t="inlineStr">
        <is>
          <t>Verify IBR swap codes — also seen as COSWIB / CLSWIB</t>
        </is>
      </c>
    </row>
    <row r="7">
      <c r="A7" s="4" t="inlineStr">
        <is>
          <t>Peru</t>
        </is>
      </c>
      <c r="B7" s="14" t="inlineStr">
        <is>
          <t>Soberanos (proxy — onshore swaps thin)</t>
        </is>
      </c>
      <c r="C7" s="15">
        <f>BDP("GTPEN1YR Govt","PX_LAST")</f>
        <v/>
      </c>
      <c r="D7" s="15">
        <f>BDP("GTPEN2YR Govt","PX_LAST")</f>
        <v/>
      </c>
      <c r="E7" s="15">
        <f>BDP("GTPEN3YR Govt","PX_LAST")</f>
        <v/>
      </c>
      <c r="F7" s="15">
        <f>BDP("GTPEN5YR Govt","PX_LAST")</f>
        <v/>
      </c>
      <c r="G7" s="15">
        <f>BDP("GTPEN7YR Govt","PX_LAST")</f>
        <v/>
      </c>
      <c r="H7" s="15">
        <f>BDP("GTPEN10YR Govt","PX_LAST")</f>
        <v/>
      </c>
      <c r="I7" s="19" t="inlineStr">
        <is>
          <t>Peru onshore PEN swap market is thin; using Soberanos as local-rate proxy</t>
        </is>
      </c>
    </row>
    <row r="8">
      <c r="A8" s="4" t="inlineStr">
        <is>
          <t>Mexico</t>
        </is>
      </c>
      <c r="B8" s="14" t="inlineStr">
        <is>
          <t>TIIE 28d swap</t>
        </is>
      </c>
      <c r="C8" s="15">
        <f>BDP("MPSW1C Curncy","PX_LAST")</f>
        <v/>
      </c>
      <c r="D8" s="15">
        <f>BDP("MPSW2C Curncy","PX_LAST")</f>
        <v/>
      </c>
      <c r="E8" s="15">
        <f>BDP("MPSW3C Curncy","PX_LAST")</f>
        <v/>
      </c>
      <c r="F8" s="15">
        <f>BDP("MPSW5D Curncy","PX_LAST")</f>
        <v/>
      </c>
      <c r="G8" s="15">
        <f>BDP("MPSW7E Curncy","PX_LAST")</f>
        <v/>
      </c>
      <c r="H8" s="15">
        <f>BDP("MPSW10F Curncy","PX_LAST")</f>
        <v/>
      </c>
      <c r="I8" s="19" t="inlineStr">
        <is>
          <t>TIIE-28 IRS; tenor suffix letters (A=4w, B=13w, C=26w/yrs, D=5y, E=7y, F=10y)</t>
        </is>
      </c>
    </row>
    <row r="9">
      <c r="A9" s="4" t="inlineStr">
        <is>
          <t>Brazil</t>
        </is>
      </c>
      <c r="B9" s="14" t="inlineStr">
        <is>
          <t>DI x Pré (PRE)</t>
        </is>
      </c>
      <c r="C9" s="15">
        <f>BDP("BCSWFA Curncy","PX_LAST")</f>
        <v/>
      </c>
      <c r="D9" s="15">
        <f>BDP("BCSWFC Curncy","PX_LAST")</f>
        <v/>
      </c>
      <c r="E9" s="15">
        <f>BDP("BCSWFE Curncy","PX_LAST")</f>
        <v/>
      </c>
      <c r="F9" s="15">
        <f>BDP("BCSWFI Curncy","PX_LAST")</f>
        <v/>
      </c>
      <c r="G9" s="15">
        <f>BDP("BCSWFL Curncy","PX_LAST")</f>
        <v/>
      </c>
      <c r="H9" s="15">
        <f>BDP("BCSWFO Curncy","PX_LAST")</f>
        <v/>
      </c>
      <c r="I9" s="19" t="inlineStr">
        <is>
          <t>Brazil DI Pre swap (BCSWF*) — verify exact tenor-code map on Terminal; alternative is DI futures (ODF{m}{y} Comdty)</t>
        </is>
      </c>
    </row>
    <row r="10">
      <c r="A10" s="9" t="inlineStr">
        <is>
          <t>Swap 2s10s slope (bps)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16" t="inlineStr">
        <is>
          <t>Chile</t>
        </is>
      </c>
      <c r="B11" s="14" t="inlineStr">
        <is>
          <t>(10y - 2y) × 100</t>
        </is>
      </c>
      <c r="C11" s="17" t="n"/>
      <c r="D11" s="17" t="n"/>
      <c r="E11" s="17" t="n"/>
      <c r="F11" s="17" t="n"/>
      <c r="G11" s="18">
        <f>(BDP("CHSWP10 Curncy","PX_LAST")-BDP("CHSWP2 Curncy","PX_LAST"))*100</f>
        <v/>
      </c>
      <c r="H11" s="17" t="n"/>
      <c r="I11" s="17" t="n"/>
    </row>
    <row r="12">
      <c r="A12" s="16" t="inlineStr">
        <is>
          <t>Colombia</t>
        </is>
      </c>
      <c r="B12" s="14" t="inlineStr">
        <is>
          <t>(10y - 2y) × 100</t>
        </is>
      </c>
      <c r="C12" s="17" t="n"/>
      <c r="D12" s="17" t="n"/>
      <c r="E12" s="17" t="n"/>
      <c r="F12" s="17" t="n"/>
      <c r="G12" s="18">
        <f>(BDP("CLSWIB10 Curncy","PX_LAST")-BDP("CLSWIB2 Curncy","PX_LAST"))*100</f>
        <v/>
      </c>
      <c r="H12" s="17" t="n"/>
      <c r="I12" s="17" t="n"/>
    </row>
    <row r="13">
      <c r="A13" s="16" t="inlineStr">
        <is>
          <t>Peru</t>
        </is>
      </c>
      <c r="B13" s="14" t="inlineStr">
        <is>
          <t>(10y - 2y) × 100</t>
        </is>
      </c>
      <c r="C13" s="17" t="n"/>
      <c r="D13" s="17" t="n"/>
      <c r="E13" s="17" t="n"/>
      <c r="F13" s="17" t="n"/>
      <c r="G13" s="18">
        <f>(BDP("GTPEN10YR Govt","PX_LAST")-BDP("GTPEN2YR Govt","PX_LAST"))*100</f>
        <v/>
      </c>
      <c r="H13" s="17" t="n"/>
      <c r="I13" s="17" t="n"/>
    </row>
    <row r="14">
      <c r="A14" s="16" t="inlineStr">
        <is>
          <t>Mexico</t>
        </is>
      </c>
      <c r="B14" s="14" t="inlineStr">
        <is>
          <t>(10y - 2y) × 100</t>
        </is>
      </c>
      <c r="C14" s="17" t="n"/>
      <c r="D14" s="17" t="n"/>
      <c r="E14" s="17" t="n"/>
      <c r="F14" s="17" t="n"/>
      <c r="G14" s="18">
        <f>(BDP("MPSW10F Curncy","PX_LAST")-BDP("MPSW2C Curncy","PX_LAST"))*100</f>
        <v/>
      </c>
      <c r="H14" s="17" t="n"/>
      <c r="I14" s="17" t="n"/>
    </row>
    <row r="15">
      <c r="A15" s="16" t="inlineStr">
        <is>
          <t>Brazil</t>
        </is>
      </c>
      <c r="B15" s="14" t="inlineStr">
        <is>
          <t>(10y - 2y) × 100</t>
        </is>
      </c>
      <c r="C15" s="17" t="n"/>
      <c r="D15" s="17" t="n"/>
      <c r="E15" s="17" t="n"/>
      <c r="F15" s="17" t="n"/>
      <c r="G15" s="18">
        <f>(BDP("BCSWFO Curncy","PX_LAST")-BDP("BCSWFC Curncy","PX_LAST"))*100</f>
        <v/>
      </c>
      <c r="H15" s="17" t="n"/>
      <c r="I15" s="17" t="n"/>
    </row>
    <row r="16">
      <c r="A16" s="9" t="inlineStr">
        <is>
          <t>Swap-Sov spread (bps) — 10Y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16" t="inlineStr">
        <is>
          <t>Chile</t>
        </is>
      </c>
      <c r="B17" s="14" t="inlineStr">
        <is>
          <t>CHSWP10 Curncy − GTCLP10YR Govt</t>
        </is>
      </c>
      <c r="C17" s="17" t="n"/>
      <c r="D17" s="17" t="n"/>
      <c r="E17" s="17" t="n"/>
      <c r="F17" s="17" t="n"/>
      <c r="G17" s="18">
        <f>(BDP("CHSWP10 Curncy","PX_LAST")-BDP("GTCLP10YR Govt","PX_LAST"))*100</f>
        <v/>
      </c>
      <c r="H17" s="17" t="n"/>
      <c r="I17" s="17" t="n"/>
    </row>
    <row r="18">
      <c r="A18" s="16" t="inlineStr">
        <is>
          <t>Colombia</t>
        </is>
      </c>
      <c r="B18" s="14" t="inlineStr">
        <is>
          <t>CLSWIB10 Curncy − GTCOP10YR Govt</t>
        </is>
      </c>
      <c r="C18" s="17" t="n"/>
      <c r="D18" s="17" t="n"/>
      <c r="E18" s="17" t="n"/>
      <c r="F18" s="17" t="n"/>
      <c r="G18" s="18">
        <f>(BDP("CLSWIB10 Curncy","PX_LAST")-BDP("GTCOP10YR Govt","PX_LAST"))*100</f>
        <v/>
      </c>
      <c r="H18" s="17" t="n"/>
      <c r="I18" s="17" t="n"/>
    </row>
    <row r="19">
      <c r="A19" s="16" t="inlineStr">
        <is>
          <t>Mexico</t>
        </is>
      </c>
      <c r="B19" s="14" t="inlineStr">
        <is>
          <t>MPSW10F Curncy − GTMXN10YR Govt</t>
        </is>
      </c>
      <c r="C19" s="17" t="n"/>
      <c r="D19" s="17" t="n"/>
      <c r="E19" s="17" t="n"/>
      <c r="F19" s="17" t="n"/>
      <c r="G19" s="18">
        <f>(BDP("MPSW10F Curncy","PX_LAST")-BDP("GTMXN10YR Govt","PX_LAST"))*100</f>
        <v/>
      </c>
      <c r="H19" s="17" t="n"/>
      <c r="I19" s="17" t="n"/>
    </row>
    <row r="20">
      <c r="A20" s="16" t="inlineStr">
        <is>
          <t>Brazil</t>
        </is>
      </c>
      <c r="B20" s="14" t="inlineStr">
        <is>
          <t>BCSWFO Curncy − GTBRL10YR Govt</t>
        </is>
      </c>
      <c r="C20" s="17" t="n"/>
      <c r="D20" s="17" t="n"/>
      <c r="E20" s="17" t="n"/>
      <c r="F20" s="17" t="n"/>
      <c r="G20" s="18">
        <f>(BDP("BCSWFO Curncy","PX_LAST")-BDP("GTBRL10YR Govt","PX_LAST"))*100</f>
        <v/>
      </c>
      <c r="H20" s="17" t="n"/>
      <c r="I20" s="17" t="n"/>
    </row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2" customWidth="1" min="9" max="9"/>
  </cols>
  <sheetData>
    <row r="1">
      <c r="A1" s="1" t="inlineStr">
        <is>
          <t>Inflation-Linked / Real Yield Curves (%)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Country</t>
        </is>
      </c>
      <c r="B4" s="3" t="inlineStr">
        <is>
          <t>Instrument</t>
        </is>
      </c>
      <c r="C4" s="3" t="inlineStr">
        <is>
          <t>2Y</t>
        </is>
      </c>
      <c r="D4" s="3" t="inlineStr">
        <is>
          <t>3Y</t>
        </is>
      </c>
      <c r="E4" s="3" t="inlineStr">
        <is>
          <t>5Y</t>
        </is>
      </c>
      <c r="F4" s="3" t="inlineStr">
        <is>
          <t>7Y</t>
        </is>
      </c>
      <c r="G4" s="3" t="inlineStr">
        <is>
          <t>10Y</t>
        </is>
      </c>
      <c r="H4" s="3" t="inlineStr">
        <is>
          <t>15Y/20Y</t>
        </is>
      </c>
      <c r="I4" s="3" t="inlineStr">
        <is>
          <t>Notes</t>
        </is>
      </c>
    </row>
    <row r="5">
      <c r="A5" s="4" t="inlineStr">
        <is>
          <t>Chile</t>
        </is>
      </c>
      <c r="B5" s="14" t="inlineStr">
        <is>
          <t>BCU / BTU (UF)</t>
        </is>
      </c>
      <c r="C5" s="15">
        <f>BDP("GTCLF2YR Govt","PX_LAST")</f>
        <v/>
      </c>
      <c r="D5" s="15">
        <f>BDP("GTCLF3YR Govt","PX_LAST")</f>
        <v/>
      </c>
      <c r="E5" s="15">
        <f>BDP("GTCLF5YR Govt","PX_LAST")</f>
        <v/>
      </c>
      <c r="F5" s="15">
        <f>BDP("GTCLF7YR Govt","PX_LAST")</f>
        <v/>
      </c>
      <c r="G5" s="15">
        <f>BDP("GTCLF10YR Govt","PX_LAST")</f>
        <v/>
      </c>
      <c r="H5" s="15">
        <f>BDP("GTCLF20YR Govt","PX_LAST")</f>
        <v/>
      </c>
      <c r="I5" s="20" t="inlineStr">
        <is>
          <t>UF-linked sovereign curve; GTCLF = Generic Chile UF</t>
        </is>
      </c>
    </row>
    <row r="6">
      <c r="A6" s="4" t="inlineStr">
        <is>
          <t>Colombia</t>
        </is>
      </c>
      <c r="B6" s="14" t="inlineStr">
        <is>
          <t>TES UVR</t>
        </is>
      </c>
      <c r="C6" s="15">
        <f>BDP("GTCOLR2Y Govt","PX_LAST")</f>
        <v/>
      </c>
      <c r="D6" s="15">
        <f>BDP("GTCOLR3Y Govt","PX_LAST")</f>
        <v/>
      </c>
      <c r="E6" s="15">
        <f>BDP("GTCOLR5Y Govt","PX_LAST")</f>
        <v/>
      </c>
      <c r="F6" s="15">
        <f>BDP("GTCOLR7Y Govt","PX_LAST")</f>
        <v/>
      </c>
      <c r="G6" s="15">
        <f>BDP("GTCOLR10Y Govt","PX_LAST")</f>
        <v/>
      </c>
      <c r="H6" s="15">
        <f>BDP("GTCOLR15Y Govt","PX_LAST")</f>
        <v/>
      </c>
      <c r="I6" s="20" t="inlineStr">
        <is>
          <t>Verify Colombia UVR generic — sometimes COGRUVR / TUVT individual issues</t>
        </is>
      </c>
    </row>
    <row r="7">
      <c r="A7" s="4" t="inlineStr">
        <is>
          <t>Peru</t>
        </is>
      </c>
      <c r="B7" s="14" t="inlineStr">
        <is>
          <t>VAC (PEN-linked)</t>
        </is>
      </c>
      <c r="C7" s="15">
        <f>BDP("GTPENL2Y Govt","PX_LAST")</f>
        <v/>
      </c>
      <c r="D7" s="15">
        <f>BDP("GTPENL3Y Govt","PX_LAST")</f>
        <v/>
      </c>
      <c r="E7" s="15">
        <f>BDP("GTPENL5Y Govt","PX_LAST")</f>
        <v/>
      </c>
      <c r="F7" s="15">
        <f>BDP("GTPENL7Y Govt","PX_LAST")</f>
        <v/>
      </c>
      <c r="G7" s="15">
        <f>BDP("GTPENL10Y Govt","PX_LAST")</f>
        <v/>
      </c>
      <c r="H7" s="15">
        <f>BDP("GTPENL15Y Govt","PX_LAST")</f>
        <v/>
      </c>
      <c r="I7" s="20" t="inlineStr">
        <is>
          <t>VAC market is small — generic may be sparse; verify each tenor</t>
        </is>
      </c>
    </row>
    <row r="8">
      <c r="A8" s="4" t="inlineStr">
        <is>
          <t>Mexico</t>
        </is>
      </c>
      <c r="B8" s="14" t="inlineStr">
        <is>
          <t>Udibonos (UDI)</t>
        </is>
      </c>
      <c r="C8" s="15">
        <f>BDP("GTMXNLR2Y Govt","PX_LAST")</f>
        <v/>
      </c>
      <c r="D8" s="15">
        <f>BDP("GTMXNLR3Y Govt","PX_LAST")</f>
        <v/>
      </c>
      <c r="E8" s="15">
        <f>BDP("GTMXNLR5Y Govt","PX_LAST")</f>
        <v/>
      </c>
      <c r="F8" s="15">
        <f>BDP("GTMXNLR7Y Govt","PX_LAST")</f>
        <v/>
      </c>
      <c r="G8" s="15">
        <f>BDP("GTMXNLR10Y Govt","PX_LAST")</f>
        <v/>
      </c>
      <c r="H8" s="15">
        <f>BDP("GTMXNLR20Y Govt","PX_LAST")</f>
        <v/>
      </c>
      <c r="I8" s="20" t="inlineStr">
        <is>
          <t>Udibono generic curve; check tickers if blank</t>
        </is>
      </c>
    </row>
    <row r="9">
      <c r="A9" s="4" t="inlineStr">
        <is>
          <t>Brazil</t>
        </is>
      </c>
      <c r="B9" s="14" t="inlineStr">
        <is>
          <t>NTN-B (IPCA-linked)</t>
        </is>
      </c>
      <c r="C9" s="15">
        <f>BDP("GTBRLIL2Y Govt","PX_LAST")</f>
        <v/>
      </c>
      <c r="D9" s="15">
        <f>BDP("GTBRLIL3Y Govt","PX_LAST")</f>
        <v/>
      </c>
      <c r="E9" s="15">
        <f>BDP("GTBRLIL5Y Govt","PX_LAST")</f>
        <v/>
      </c>
      <c r="F9" s="15">
        <f>BDP("GTBRLIL7Y Govt","PX_LAST")</f>
        <v/>
      </c>
      <c r="G9" s="15">
        <f>BDP("GTBRLIL10Y Govt","PX_LAST")</f>
        <v/>
      </c>
      <c r="H9" s="15">
        <f>BDP("GTBRLIL20Y Govt","PX_LAST")</f>
        <v/>
      </c>
      <c r="I9" s="20" t="inlineStr">
        <is>
          <t>NTN-B / Tesouro IPCA+; verify generic real curve tickers</t>
        </is>
      </c>
    </row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9" customWidth="1" min="4" max="4"/>
    <col width="9" customWidth="1" min="5" max="5"/>
    <col width="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LatAm FX — Spot, 1Y NDF/Fwd, Implied Vol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Country</t>
        </is>
      </c>
      <c r="B4" s="3" t="inlineStr">
        <is>
          <t>Pair</t>
        </is>
      </c>
      <c r="C4" s="3" t="inlineStr">
        <is>
          <t>Spot</t>
        </is>
      </c>
      <c r="D4" s="3" t="inlineStr">
        <is>
          <t>1d %</t>
        </is>
      </c>
      <c r="E4" s="3" t="inlineStr">
        <is>
          <t>MTD %</t>
        </is>
      </c>
      <c r="F4" s="3" t="inlineStr">
        <is>
          <t>YTD %</t>
        </is>
      </c>
      <c r="G4" s="3" t="inlineStr">
        <is>
          <t>1Y Fwd/NDF</t>
        </is>
      </c>
      <c r="H4" s="3" t="inlineStr">
        <is>
          <t>1m ATM Vol %</t>
        </is>
      </c>
      <c r="I4" s="3" t="inlineStr">
        <is>
          <t>1m 25d RR</t>
        </is>
      </c>
    </row>
    <row r="5">
      <c r="A5" s="4" t="inlineStr">
        <is>
          <t>Chile</t>
        </is>
      </c>
      <c r="B5" s="16" t="inlineStr">
        <is>
          <t>USDCLP</t>
        </is>
      </c>
      <c r="C5" s="21">
        <f>BDP("USDCLP Curncy","PX_LAST")</f>
        <v/>
      </c>
      <c r="D5" s="22">
        <f>BDP("USDCLP Curncy","CHG_PCT_1D")/100</f>
        <v/>
      </c>
      <c r="E5" s="22">
        <f>BDP("USDCLP Curncy","CHG_PCT_MTD")/100</f>
        <v/>
      </c>
      <c r="F5" s="22">
        <f>BDP("USDCLP Curncy","CHG_PCT_YTD")/100</f>
        <v/>
      </c>
      <c r="G5" s="21">
        <f>BDP("USDCLP1Y Curncy","PX_LAST")</f>
        <v/>
      </c>
      <c r="H5" s="23">
        <f>BDP("USDCLPV1M Curncy","PX_LAST")</f>
        <v/>
      </c>
      <c r="I5" s="23">
        <f>BDP("USDCLPR1M Curncy","PX_LAST")</f>
        <v/>
      </c>
    </row>
    <row r="6">
      <c r="A6" s="4" t="inlineStr">
        <is>
          <t>Colombia</t>
        </is>
      </c>
      <c r="B6" s="16" t="inlineStr">
        <is>
          <t>USDCOP</t>
        </is>
      </c>
      <c r="C6" s="21">
        <f>BDP("USDCOP Curncy","PX_LAST")</f>
        <v/>
      </c>
      <c r="D6" s="22">
        <f>BDP("USDCOP Curncy","CHG_PCT_1D")/100</f>
        <v/>
      </c>
      <c r="E6" s="22">
        <f>BDP("USDCOP Curncy","CHG_PCT_MTD")/100</f>
        <v/>
      </c>
      <c r="F6" s="22">
        <f>BDP("USDCOP Curncy","CHG_PCT_YTD")/100</f>
        <v/>
      </c>
      <c r="G6" s="21">
        <f>BDP("USDCOP1Y Curncy","PX_LAST")</f>
        <v/>
      </c>
      <c r="H6" s="23">
        <f>BDP("USDCOPV1M Curncy","PX_LAST")</f>
        <v/>
      </c>
      <c r="I6" s="23">
        <f>BDP("USDCOPR1M Curncy","PX_LAST")</f>
        <v/>
      </c>
    </row>
    <row r="7">
      <c r="A7" s="4" t="inlineStr">
        <is>
          <t>Peru</t>
        </is>
      </c>
      <c r="B7" s="16" t="inlineStr">
        <is>
          <t>USDPEN</t>
        </is>
      </c>
      <c r="C7" s="21">
        <f>BDP("USDPEN Curncy","PX_LAST")</f>
        <v/>
      </c>
      <c r="D7" s="22">
        <f>BDP("USDPEN Curncy","CHG_PCT_1D")/100</f>
        <v/>
      </c>
      <c r="E7" s="22">
        <f>BDP("USDPEN Curncy","CHG_PCT_MTD")/100</f>
        <v/>
      </c>
      <c r="F7" s="22">
        <f>BDP("USDPEN Curncy","CHG_PCT_YTD")/100</f>
        <v/>
      </c>
      <c r="G7" s="21">
        <f>BDP("USDPEN1Y Curncy","PX_LAST")</f>
        <v/>
      </c>
      <c r="H7" s="23">
        <f>BDP("USDPENV1M Curncy","PX_LAST")</f>
        <v/>
      </c>
      <c r="I7" s="23">
        <f>BDP("USDPENR1M Curncy","PX_LAST")</f>
        <v/>
      </c>
    </row>
    <row r="8">
      <c r="A8" s="4" t="inlineStr">
        <is>
          <t>Mexico</t>
        </is>
      </c>
      <c r="B8" s="16" t="inlineStr">
        <is>
          <t>USDMXN</t>
        </is>
      </c>
      <c r="C8" s="21">
        <f>BDP("USDMXN Curncy","PX_LAST")</f>
        <v/>
      </c>
      <c r="D8" s="22">
        <f>BDP("USDMXN Curncy","CHG_PCT_1D")/100</f>
        <v/>
      </c>
      <c r="E8" s="22">
        <f>BDP("USDMXN Curncy","CHG_PCT_MTD")/100</f>
        <v/>
      </c>
      <c r="F8" s="22">
        <f>BDP("USDMXN Curncy","CHG_PCT_YTD")/100</f>
        <v/>
      </c>
      <c r="G8" s="21">
        <f>BDP("USDMXN1Y Curncy","PX_LAST")</f>
        <v/>
      </c>
      <c r="H8" s="23">
        <f>BDP("USDMXNV1M Curncy","PX_LAST")</f>
        <v/>
      </c>
      <c r="I8" s="23">
        <f>BDP("USDMXNR1M Curncy","PX_LAST")</f>
        <v/>
      </c>
    </row>
    <row r="9">
      <c r="A9" s="4" t="inlineStr">
        <is>
          <t>Brazil</t>
        </is>
      </c>
      <c r="B9" s="16" t="inlineStr">
        <is>
          <t>USDBRL</t>
        </is>
      </c>
      <c r="C9" s="21">
        <f>BDP("USDBRL Curncy","PX_LAST")</f>
        <v/>
      </c>
      <c r="D9" s="22">
        <f>BDP("USDBRL Curncy","CHG_PCT_1D")/100</f>
        <v/>
      </c>
      <c r="E9" s="22">
        <f>BDP("USDBRL Curncy","CHG_PCT_MTD")/100</f>
        <v/>
      </c>
      <c r="F9" s="22">
        <f>BDP("USDBRL Curncy","CHG_PCT_YTD")/100</f>
        <v/>
      </c>
      <c r="G9" s="21">
        <f>BDP("USDBRL1Y Curncy","PX_LAST")</f>
        <v/>
      </c>
      <c r="H9" s="23">
        <f>BDP("USDBRLV1M Curncy","PX_LAST")</f>
        <v/>
      </c>
      <c r="I9" s="23">
        <f>BDP("USDBRLR1M Curncy","PX_LAST")</f>
        <v/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Sovereign Credit — 5Y CDS &amp; EMBI country spread (bps)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Security</t>
        </is>
      </c>
      <c r="B4" s="3" t="inlineStr">
        <is>
          <t>BBG Ticker</t>
        </is>
      </c>
      <c r="C4" s="3" t="inlineStr">
        <is>
          <t>Last</t>
        </is>
      </c>
      <c r="D4" s="3" t="inlineStr">
        <is>
          <t>1d</t>
        </is>
      </c>
      <c r="E4" s="3" t="inlineStr">
        <is>
          <t>5d</t>
        </is>
      </c>
      <c r="F4" s="3" t="inlineStr">
        <is>
          <t>MTD</t>
        </is>
      </c>
      <c r="G4" s="3" t="inlineStr">
        <is>
          <t>YTD</t>
        </is>
      </c>
      <c r="H4" s="3" t="inlineStr">
        <is>
          <t>1Y</t>
        </is>
      </c>
    </row>
    <row r="5">
      <c r="A5" s="9" t="inlineStr">
        <is>
          <t>5Y USD CDS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10" t="inlineStr">
        <is>
          <t>Chile</t>
        </is>
      </c>
      <c r="B6" s="11" t="inlineStr">
        <is>
          <t>CCHL1U5 Curncy</t>
        </is>
      </c>
      <c r="C6" s="24">
        <f>BDP("CCHL1U5 Curncy","PX_LAST")</f>
        <v/>
      </c>
      <c r="D6" s="13">
        <f>BDP("CCHL1U5 Curncy","CHG_NET_1D")</f>
        <v/>
      </c>
      <c r="E6" s="13">
        <f>BDP("CCHL1U5 Curncy","CHG_NET_5D")</f>
        <v/>
      </c>
      <c r="F6" s="13">
        <f>BDP("CCHL1U5 Curncy","CHG_NET_MTD")</f>
        <v/>
      </c>
      <c r="G6" s="13">
        <f>BDP("CCHL1U5 Curncy","CHG_NET_YTD")</f>
        <v/>
      </c>
      <c r="H6" s="13">
        <f>BDP("CCHL1U5 Curncy","CHG_NET_1Y")</f>
        <v/>
      </c>
    </row>
    <row r="7">
      <c r="A7" s="10" t="inlineStr">
        <is>
          <t>Colombia</t>
        </is>
      </c>
      <c r="B7" s="11" t="inlineStr">
        <is>
          <t>CCOL1U5 Curncy</t>
        </is>
      </c>
      <c r="C7" s="24">
        <f>BDP("CCOL1U5 Curncy","PX_LAST")</f>
        <v/>
      </c>
      <c r="D7" s="13">
        <f>BDP("CCOL1U5 Curncy","CHG_NET_1D")</f>
        <v/>
      </c>
      <c r="E7" s="13">
        <f>BDP("CCOL1U5 Curncy","CHG_NET_5D")</f>
        <v/>
      </c>
      <c r="F7" s="13">
        <f>BDP("CCOL1U5 Curncy","CHG_NET_MTD")</f>
        <v/>
      </c>
      <c r="G7" s="13">
        <f>BDP("CCOL1U5 Curncy","CHG_NET_YTD")</f>
        <v/>
      </c>
      <c r="H7" s="13">
        <f>BDP("CCOL1U5 Curncy","CHG_NET_1Y")</f>
        <v/>
      </c>
    </row>
    <row r="8">
      <c r="A8" s="10" t="inlineStr">
        <is>
          <t>Peru</t>
        </is>
      </c>
      <c r="B8" s="11" t="inlineStr">
        <is>
          <t>CPER1U5 Curncy</t>
        </is>
      </c>
      <c r="C8" s="24">
        <f>BDP("CPER1U5 Curncy","PX_LAST")</f>
        <v/>
      </c>
      <c r="D8" s="13">
        <f>BDP("CPER1U5 Curncy","CHG_NET_1D")</f>
        <v/>
      </c>
      <c r="E8" s="13">
        <f>BDP("CPER1U5 Curncy","CHG_NET_5D")</f>
        <v/>
      </c>
      <c r="F8" s="13">
        <f>BDP("CPER1U5 Curncy","CHG_NET_MTD")</f>
        <v/>
      </c>
      <c r="G8" s="13">
        <f>BDP("CPER1U5 Curncy","CHG_NET_YTD")</f>
        <v/>
      </c>
      <c r="H8" s="13">
        <f>BDP("CPER1U5 Curncy","CHG_NET_1Y")</f>
        <v/>
      </c>
    </row>
    <row r="9">
      <c r="A9" s="10" t="inlineStr">
        <is>
          <t>Mexico</t>
        </is>
      </c>
      <c r="B9" s="11" t="inlineStr">
        <is>
          <t>CMEX1U5 Curncy</t>
        </is>
      </c>
      <c r="C9" s="24">
        <f>BDP("CMEX1U5 Curncy","PX_LAST")</f>
        <v/>
      </c>
      <c r="D9" s="13">
        <f>BDP("CMEX1U5 Curncy","CHG_NET_1D")</f>
        <v/>
      </c>
      <c r="E9" s="13">
        <f>BDP("CMEX1U5 Curncy","CHG_NET_5D")</f>
        <v/>
      </c>
      <c r="F9" s="13">
        <f>BDP("CMEX1U5 Curncy","CHG_NET_MTD")</f>
        <v/>
      </c>
      <c r="G9" s="13">
        <f>BDP("CMEX1U5 Curncy","CHG_NET_YTD")</f>
        <v/>
      </c>
      <c r="H9" s="13">
        <f>BDP("CMEX1U5 Curncy","CHG_NET_1Y")</f>
        <v/>
      </c>
    </row>
    <row r="10">
      <c r="A10" s="10" t="inlineStr">
        <is>
          <t>Brazil</t>
        </is>
      </c>
      <c r="B10" s="11" t="inlineStr">
        <is>
          <t>CBRA1U5 Curncy</t>
        </is>
      </c>
      <c r="C10" s="24">
        <f>BDP("CBRA1U5 Curncy","PX_LAST")</f>
        <v/>
      </c>
      <c r="D10" s="13">
        <f>BDP("CBRA1U5 Curncy","CHG_NET_1D")</f>
        <v/>
      </c>
      <c r="E10" s="13">
        <f>BDP("CBRA1U5 Curncy","CHG_NET_5D")</f>
        <v/>
      </c>
      <c r="F10" s="13">
        <f>BDP("CBRA1U5 Curncy","CHG_NET_MTD")</f>
        <v/>
      </c>
      <c r="G10" s="13">
        <f>BDP("CBRA1U5 Curncy","CHG_NET_YTD")</f>
        <v/>
      </c>
      <c r="H10" s="13">
        <f>BDP("CBRA1U5 Curncy","CHG_NET_1Y")</f>
        <v/>
      </c>
    </row>
    <row r="11">
      <c r="A11" s="9" t="inlineStr">
        <is>
          <t>EMBI Country Spreads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10" t="inlineStr">
        <is>
          <t>Chile EMBI</t>
        </is>
      </c>
      <c r="B12" s="11" t="inlineStr">
        <is>
          <t>JBCDCHL Index</t>
        </is>
      </c>
      <c r="C12" s="24">
        <f>BDP("JBCDCHL Index","PX_LAST")</f>
        <v/>
      </c>
      <c r="D12" s="13">
        <f>BDP("JBCDCHL Index","CHG_NET_1D")</f>
        <v/>
      </c>
      <c r="E12" s="13">
        <f>BDP("JBCDCHL Index","CHG_NET_5D")</f>
        <v/>
      </c>
      <c r="F12" s="13">
        <f>BDP("JBCDCHL Index","CHG_NET_MTD")</f>
        <v/>
      </c>
      <c r="G12" s="13">
        <f>BDP("JBCDCHL Index","CHG_NET_YTD")</f>
        <v/>
      </c>
      <c r="H12" s="13">
        <f>BDP("JBCDCHL Index","CHG_NET_1Y")</f>
        <v/>
      </c>
    </row>
    <row r="13">
      <c r="A13" s="10" t="inlineStr">
        <is>
          <t>Colombia EMBI</t>
        </is>
      </c>
      <c r="B13" s="11" t="inlineStr">
        <is>
          <t>JBCDCOL Index</t>
        </is>
      </c>
      <c r="C13" s="24">
        <f>BDP("JBCDCOL Index","PX_LAST")</f>
        <v/>
      </c>
      <c r="D13" s="13">
        <f>BDP("JBCDCOL Index","CHG_NET_1D")</f>
        <v/>
      </c>
      <c r="E13" s="13">
        <f>BDP("JBCDCOL Index","CHG_NET_5D")</f>
        <v/>
      </c>
      <c r="F13" s="13">
        <f>BDP("JBCDCOL Index","CHG_NET_MTD")</f>
        <v/>
      </c>
      <c r="G13" s="13">
        <f>BDP("JBCDCOL Index","CHG_NET_YTD")</f>
        <v/>
      </c>
      <c r="H13" s="13">
        <f>BDP("JBCDCOL Index","CHG_NET_1Y")</f>
        <v/>
      </c>
    </row>
    <row r="14">
      <c r="A14" s="10" t="inlineStr">
        <is>
          <t>Peru EMBI</t>
        </is>
      </c>
      <c r="B14" s="11" t="inlineStr">
        <is>
          <t>JBCDPER Index</t>
        </is>
      </c>
      <c r="C14" s="24">
        <f>BDP("JBCDPER Index","PX_LAST")</f>
        <v/>
      </c>
      <c r="D14" s="13">
        <f>BDP("JBCDPER Index","CHG_NET_1D")</f>
        <v/>
      </c>
      <c r="E14" s="13">
        <f>BDP("JBCDPER Index","CHG_NET_5D")</f>
        <v/>
      </c>
      <c r="F14" s="13">
        <f>BDP("JBCDPER Index","CHG_NET_MTD")</f>
        <v/>
      </c>
      <c r="G14" s="13">
        <f>BDP("JBCDPER Index","CHG_NET_YTD")</f>
        <v/>
      </c>
      <c r="H14" s="13">
        <f>BDP("JBCDPER Index","CHG_NET_1Y")</f>
        <v/>
      </c>
    </row>
    <row r="15">
      <c r="A15" s="10" t="inlineStr">
        <is>
          <t>Mexico EMBI</t>
        </is>
      </c>
      <c r="B15" s="11" t="inlineStr">
        <is>
          <t>JBCDMEX Index</t>
        </is>
      </c>
      <c r="C15" s="24">
        <f>BDP("JBCDMEX Index","PX_LAST")</f>
        <v/>
      </c>
      <c r="D15" s="13">
        <f>BDP("JBCDMEX Index","CHG_NET_1D")</f>
        <v/>
      </c>
      <c r="E15" s="13">
        <f>BDP("JBCDMEX Index","CHG_NET_5D")</f>
        <v/>
      </c>
      <c r="F15" s="13">
        <f>BDP("JBCDMEX Index","CHG_NET_MTD")</f>
        <v/>
      </c>
      <c r="G15" s="13">
        <f>BDP("JBCDMEX Index","CHG_NET_YTD")</f>
        <v/>
      </c>
      <c r="H15" s="13">
        <f>BDP("JBCDMEX Index","CHG_NET_1Y")</f>
        <v/>
      </c>
    </row>
    <row r="16">
      <c r="A16" s="10" t="inlineStr">
        <is>
          <t>Brazil EMBI</t>
        </is>
      </c>
      <c r="B16" s="11" t="inlineStr">
        <is>
          <t>JBCDBRA Index</t>
        </is>
      </c>
      <c r="C16" s="24">
        <f>BDP("JBCDBRA Index","PX_LAST")</f>
        <v/>
      </c>
      <c r="D16" s="13">
        <f>BDP("JBCDBRA Index","CHG_NET_1D")</f>
        <v/>
      </c>
      <c r="E16" s="13">
        <f>BDP("JBCDBRA Index","CHG_NET_5D")</f>
        <v/>
      </c>
      <c r="F16" s="13">
        <f>BDP("JBCDBRA Index","CHG_NET_MTD")</f>
        <v/>
      </c>
      <c r="G16" s="13">
        <f>BDP("JBCDBRA Index","CHG_NET_YTD")</f>
        <v/>
      </c>
      <c r="H16" s="13">
        <f>BDP("JBCDBRA Index","CHG_NET_1Y")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LatAm Equity Indices (local currency)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Security</t>
        </is>
      </c>
      <c r="B4" s="3" t="inlineStr">
        <is>
          <t>BBG Ticker</t>
        </is>
      </c>
      <c r="C4" s="3" t="inlineStr">
        <is>
          <t>Last</t>
        </is>
      </c>
      <c r="D4" s="3" t="inlineStr">
        <is>
          <t>1d</t>
        </is>
      </c>
      <c r="E4" s="3" t="inlineStr">
        <is>
          <t>5d</t>
        </is>
      </c>
      <c r="F4" s="3" t="inlineStr">
        <is>
          <t>MTD</t>
        </is>
      </c>
      <c r="G4" s="3" t="inlineStr">
        <is>
          <t>YTD</t>
        </is>
      </c>
      <c r="H4" s="3" t="inlineStr">
        <is>
          <t>1Y</t>
        </is>
      </c>
    </row>
    <row r="5">
      <c r="A5" s="10" t="inlineStr">
        <is>
          <t>Chile IPSA</t>
        </is>
      </c>
      <c r="B5" s="11" t="inlineStr">
        <is>
          <t>IPSA Index</t>
        </is>
      </c>
      <c r="C5" s="25">
        <f>BDP("IPSA Index","PX_LAST")</f>
        <v/>
      </c>
      <c r="D5" s="26">
        <f>BDP("IPSA Index","CHG_PCT_1D")</f>
        <v/>
      </c>
      <c r="E5" s="26">
        <f>BDP("IPSA Index","CHG_PCT_5D")</f>
        <v/>
      </c>
      <c r="F5" s="26">
        <f>BDP("IPSA Index","CHG_PCT_MTD")</f>
        <v/>
      </c>
      <c r="G5" s="26">
        <f>BDP("IPSA Index","CHG_PCT_YTD")</f>
        <v/>
      </c>
      <c r="H5" s="26">
        <f>BDP("IPSA Index","CHG_PCT_1Y")</f>
        <v/>
      </c>
    </row>
    <row r="6">
      <c r="A6" s="10" t="inlineStr">
        <is>
          <t>Colombia COLCAP</t>
        </is>
      </c>
      <c r="B6" s="11" t="inlineStr">
        <is>
          <t>COLCAP Index</t>
        </is>
      </c>
      <c r="C6" s="25">
        <f>BDP("COLCAP Index","PX_LAST")</f>
        <v/>
      </c>
      <c r="D6" s="26">
        <f>BDP("COLCAP Index","CHG_PCT_1D")</f>
        <v/>
      </c>
      <c r="E6" s="26">
        <f>BDP("COLCAP Index","CHG_PCT_5D")</f>
        <v/>
      </c>
      <c r="F6" s="26">
        <f>BDP("COLCAP Index","CHG_PCT_MTD")</f>
        <v/>
      </c>
      <c r="G6" s="26">
        <f>BDP("COLCAP Index","CHG_PCT_YTD")</f>
        <v/>
      </c>
      <c r="H6" s="26">
        <f>BDP("COLCAP Index","CHG_PCT_1Y")</f>
        <v/>
      </c>
    </row>
    <row r="7">
      <c r="A7" s="10" t="inlineStr">
        <is>
          <t>Peru S&amp;P/BVL</t>
        </is>
      </c>
      <c r="B7" s="11" t="inlineStr">
        <is>
          <t>SPBLPGPT Index</t>
        </is>
      </c>
      <c r="C7" s="25">
        <f>BDP("SPBLPGPT Index","PX_LAST")</f>
        <v/>
      </c>
      <c r="D7" s="26">
        <f>BDP("SPBLPGPT Index","CHG_PCT_1D")</f>
        <v/>
      </c>
      <c r="E7" s="26">
        <f>BDP("SPBLPGPT Index","CHG_PCT_5D")</f>
        <v/>
      </c>
      <c r="F7" s="26">
        <f>BDP("SPBLPGPT Index","CHG_PCT_MTD")</f>
        <v/>
      </c>
      <c r="G7" s="26">
        <f>BDP("SPBLPGPT Index","CHG_PCT_YTD")</f>
        <v/>
      </c>
      <c r="H7" s="26">
        <f>BDP("SPBLPGPT Index","CHG_PCT_1Y")</f>
        <v/>
      </c>
    </row>
    <row r="8">
      <c r="A8" s="10" t="inlineStr">
        <is>
          <t>Mexico Mexbol</t>
        </is>
      </c>
      <c r="B8" s="11" t="inlineStr">
        <is>
          <t>MEXBOL Index</t>
        </is>
      </c>
      <c r="C8" s="25">
        <f>BDP("MEXBOL Index","PX_LAST")</f>
        <v/>
      </c>
      <c r="D8" s="26">
        <f>BDP("MEXBOL Index","CHG_PCT_1D")</f>
        <v/>
      </c>
      <c r="E8" s="26">
        <f>BDP("MEXBOL Index","CHG_PCT_5D")</f>
        <v/>
      </c>
      <c r="F8" s="26">
        <f>BDP("MEXBOL Index","CHG_PCT_MTD")</f>
        <v/>
      </c>
      <c r="G8" s="26">
        <f>BDP("MEXBOL Index","CHG_PCT_YTD")</f>
        <v/>
      </c>
      <c r="H8" s="26">
        <f>BDP("MEXBOL Index","CHG_PCT_1Y")</f>
        <v/>
      </c>
    </row>
    <row r="9">
      <c r="A9" s="10" t="inlineStr">
        <is>
          <t>Brazil Bovespa</t>
        </is>
      </c>
      <c r="B9" s="11" t="inlineStr">
        <is>
          <t>IBOV Index</t>
        </is>
      </c>
      <c r="C9" s="25">
        <f>BDP("IBOV Index","PX_LAST")</f>
        <v/>
      </c>
      <c r="D9" s="26">
        <f>BDP("IBOV Index","CHG_PCT_1D")</f>
        <v/>
      </c>
      <c r="E9" s="26">
        <f>BDP("IBOV Index","CHG_PCT_5D")</f>
        <v/>
      </c>
      <c r="F9" s="26">
        <f>BDP("IBOV Index","CHG_PCT_MTD")</f>
        <v/>
      </c>
      <c r="G9" s="26">
        <f>BDP("IBOV Index","CHG_PCT_YTD")</f>
        <v/>
      </c>
      <c r="H9" s="26">
        <f>BDP("IBOV Index","CHG_PCT_1Y")</f>
        <v/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80" customWidth="1" min="3" max="3"/>
  </cols>
  <sheetData>
    <row r="1">
      <c r="A1" s="1" t="inlineStr">
        <is>
          <t>Tickers to verify in Terminal on first refresh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Sheet</t>
        </is>
      </c>
      <c r="B4" s="3" t="inlineStr">
        <is>
          <t>Item</t>
        </is>
      </c>
      <c r="C4" s="3" t="inlineStr">
        <is>
          <t>Why verify</t>
        </is>
      </c>
    </row>
    <row r="5">
      <c r="A5" s="27" t="inlineStr">
        <is>
          <t>Swap Curves — Brazil</t>
        </is>
      </c>
      <c r="B5" s="10" t="inlineStr">
        <is>
          <t>BCSWF* (DI Pre swap)</t>
        </is>
      </c>
      <c r="C5" s="10" t="inlineStr">
        <is>
          <t>BCSWF tenor-suffix codes vary by Bloomberg data vendor. Cross-check on SWPM&lt;GO&gt; or use DI futures (ODF{m}{y} Comdty).</t>
        </is>
      </c>
    </row>
    <row r="6">
      <c r="A6" s="27" t="inlineStr">
        <is>
          <t>Swap Curves — Colombia</t>
        </is>
      </c>
      <c r="B6" s="10" t="inlineStr">
        <is>
          <t>CLSWIB / COSWIB</t>
        </is>
      </c>
      <c r="C6" s="10" t="inlineStr">
        <is>
          <t>Both prefixes appear in different feeds for IBR.</t>
        </is>
      </c>
    </row>
    <row r="7">
      <c r="A7" s="27" t="inlineStr">
        <is>
          <t>Swap Curves — Mexico</t>
        </is>
      </c>
      <c r="B7" s="10" t="inlineStr">
        <is>
          <t>MPSW{n}{letter}</t>
        </is>
      </c>
      <c r="C7" s="10" t="inlineStr">
        <is>
          <t>TIIE tenor letters: A=4w, B=13w, C=26w/yr, D=5y, E=7y, F=10y, G=15y, H=20y, I=30y.</t>
        </is>
      </c>
    </row>
    <row r="8">
      <c r="A8" s="27" t="inlineStr">
        <is>
          <t>Local Sov Curves — Peru</t>
        </is>
      </c>
      <c r="B8" s="10" t="inlineStr">
        <is>
          <t>GTPEN{n}YR Govt</t>
        </is>
      </c>
      <c r="C8" s="10" t="inlineStr">
        <is>
          <t>Peru Soberanos generic curve — some tenors may be thin.</t>
        </is>
      </c>
    </row>
    <row r="9">
      <c r="A9" s="27" t="inlineStr">
        <is>
          <t>Real Curves — all</t>
        </is>
      </c>
      <c r="B9" s="10" t="inlineStr">
        <is>
          <t>GT*L / GT*R inflation-linked generics</t>
        </is>
      </c>
      <c r="C9" s="10" t="inlineStr">
        <is>
          <t>Inflation-linked generic tickers occasionally have variants by currency-code convention.</t>
        </is>
      </c>
    </row>
    <row r="10">
      <c r="A10" s="27" t="inlineStr">
        <is>
          <t>Policy &amp; CPI — Core</t>
        </is>
      </c>
      <c r="B10" s="10" t="inlineStr">
        <is>
          <t>Core CPI series</t>
        </is>
      </c>
      <c r="C10" s="10" t="inlineStr">
        <is>
          <t>Each central bank publishes its own core measure; series codes differ (e.g., Brazil EX3 vs core services).</t>
        </is>
      </c>
    </row>
    <row r="11">
      <c r="A11" s="27" t="inlineStr">
        <is>
          <t>CFTC Positioning</t>
        </is>
      </c>
      <c r="B11" s="10" t="inlineStr">
        <is>
          <t>IMM00xx Index</t>
        </is>
      </c>
      <c r="C11" s="10" t="inlineStr">
        <is>
          <t>Map IMM codes to specific contracts on CFTC&lt;GO&gt;; codes occasionally renumber.</t>
        </is>
      </c>
    </row>
    <row r="12">
      <c r="A12" s="27" t="inlineStr">
        <is>
          <t>Real &amp; BE (G10)</t>
        </is>
      </c>
      <c r="B12" s="10" t="inlineStr">
        <is>
          <t>Eurozone / UK BE &amp; real</t>
        </is>
      </c>
      <c r="C12" s="10" t="inlineStr">
        <is>
          <t>EU &amp; UK breakeven tickers depend on data vendor; verify on ILBE&lt;GO&gt;.</t>
        </is>
      </c>
    </row>
    <row r="13">
      <c r="A13" s="27" t="inlineStr">
        <is>
          <t>CDX / iTraxx</t>
        </is>
      </c>
      <c r="B13" s="10" t="inlineStr">
        <is>
          <t>OTR series codes</t>
        </is>
      </c>
      <c r="C13" s="10" t="inlineStr">
        <is>
          <t>Indices roll twice yearly; the IBOXUMAE/IBOXHYSE generic should follow OTR but confirm series.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2026-05-14T21:24:05Z</dcterms:created>
  <dcterms:modified xmlns:dcterms="http://purl.org/dc/terms/" xmlns:xsi="http://www.w3.org/2001/XMLSchema-instance" xsi:type="dcterms:W3CDTF">2026-05-14T21:24:05Z</dcterms:modified>
</cp:coreProperties>
</file>