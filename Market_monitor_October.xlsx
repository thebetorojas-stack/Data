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ket Monitor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<sst xmlns="http://schemas.openxmlformats.org/spreadsheetml/2006/main" count="483" uniqueCount="251">
  <si>
    <t xml:space="preserve">Market Monitor — the numbers to have on hand</t>
  </si>
  <si>
    <t xml:space="preserve">Column D = live Bloomberg via BDP(). Column E = fallback (13-Oct screen values where we had them; everything orange is an estimate to overwrite). Column F = what the derived columns use. B3 = 1 for live, 0 to freeze on the fallback for a rehearsal.</t>
  </si>
  <si>
    <t xml:space="preserve">Data mode (1 = live, 0 = fallback)</t>
  </si>
  <si>
    <t xml:space="preserve">EM currencies (vs USD)</t>
  </si>
  <si>
    <t xml:space="preserve">Item</t>
  </si>
  <si>
    <t xml:space="preserve">Ticker</t>
  </si>
  <si>
    <t xml:space="preserve">Field</t>
  </si>
  <si>
    <t xml:space="preserve">Live</t>
  </si>
  <si>
    <t xml:space="preserve">Fallback</t>
  </si>
  <si>
    <t xml:space="preserve">ACTIVE</t>
  </si>
  <si>
    <t xml:space="preserve">1d %</t>
  </si>
  <si>
    <t xml:space="preserve">YTD %</t>
  </si>
  <si>
    <t xml:space="preserve">3m vol</t>
  </si>
  <si>
    <t xml:space="preserve">Note</t>
  </si>
  <si>
    <t xml:space="preserve">USD/COP</t>
  </si>
  <si>
    <t xml:space="preserve">USDCOP Curncy</t>
  </si>
  <si>
    <t xml:space="preserve">PX_LAST</t>
  </si>
  <si>
    <t xml:space="preserve">Screen 13-Oct</t>
  </si>
  <si>
    <t xml:space="preserve">USD/CLP</t>
  </si>
  <si>
    <t xml:space="preserve">USDCLP Curncy</t>
  </si>
  <si>
    <t xml:space="preserve">USD/BRL</t>
  </si>
  <si>
    <t xml:space="preserve">USDBRL Curncy</t>
  </si>
  <si>
    <t xml:space="preserve">USD/MXN</t>
  </si>
  <si>
    <t xml:space="preserve">USDMXN Curncy</t>
  </si>
  <si>
    <t xml:space="preserve">USD/PEN</t>
  </si>
  <si>
    <t xml:space="preserve">USDPEN Curncy</t>
  </si>
  <si>
    <t xml:space="preserve">Estimate</t>
  </si>
  <si>
    <t xml:space="preserve">USD/ARS (official)</t>
  </si>
  <si>
    <t xml:space="preserve">USDARS Curncy</t>
  </si>
  <si>
    <t xml:space="preserve">Estimate. Parallel: see 'USDARS blue' row below.</t>
  </si>
  <si>
    <t xml:space="preserve">USD/ARS blue / CCL</t>
  </si>
  <si>
    <t xml:space="preserve">ARSCCL Index</t>
  </si>
  <si>
    <t xml:space="preserve">Verify ticker — CCL/MEP tickers vary; type the level if it fails.</t>
  </si>
  <si>
    <t xml:space="preserve">USD/ZAR</t>
  </si>
  <si>
    <t xml:space="preserve">USDZAR Curncy</t>
  </si>
  <si>
    <t xml:space="preserve">USD/TRY</t>
  </si>
  <si>
    <t xml:space="preserve">USDTRY Curncy</t>
  </si>
  <si>
    <t xml:space="preserve">USD/INR</t>
  </si>
  <si>
    <t xml:space="preserve">USDINR Curncy</t>
  </si>
  <si>
    <t xml:space="preserve">USD/KRW</t>
  </si>
  <si>
    <t xml:space="preserve">USDKRW Curncy</t>
  </si>
  <si>
    <t xml:space="preserve">USD/TWD</t>
  </si>
  <si>
    <t xml:space="preserve">USDTWD Curncy</t>
  </si>
  <si>
    <t xml:space="preserve">USD/CNH</t>
  </si>
  <si>
    <t xml:space="preserve">USDCNH Curncy</t>
  </si>
  <si>
    <t xml:space="preserve">USD/IDR</t>
  </si>
  <si>
    <t xml:space="preserve">USDIDR Curncy</t>
  </si>
  <si>
    <t xml:space="preserve">USD/PLN</t>
  </si>
  <si>
    <t xml:space="preserve">USDPLN Curncy</t>
  </si>
  <si>
    <t xml:space="preserve">USD/HUF</t>
  </si>
  <si>
    <t xml:space="preserve">USDHUF Curncy</t>
  </si>
  <si>
    <t xml:space="preserve">G10 FX</t>
  </si>
  <si>
    <t xml:space="preserve">EUR/USD</t>
  </si>
  <si>
    <t xml:space="preserve">EURUSD Curncy</t>
  </si>
  <si>
    <t xml:space="preserve">USD/JPY</t>
  </si>
  <si>
    <t xml:space="preserve">USDJPY Curncy</t>
  </si>
  <si>
    <t xml:space="preserve">GBP/USD</t>
  </si>
  <si>
    <t xml:space="preserve">GBPUSD Curncy</t>
  </si>
  <si>
    <t xml:space="preserve">USD/CAD</t>
  </si>
  <si>
    <t xml:space="preserve">USDCAD Curncy</t>
  </si>
  <si>
    <t xml:space="preserve">USD/NOK</t>
  </si>
  <si>
    <t xml:space="preserve">USDNOK Curncy</t>
  </si>
  <si>
    <t xml:space="preserve">USD/SEK</t>
  </si>
  <si>
    <t xml:space="preserve">USDSEK Curncy</t>
  </si>
  <si>
    <t xml:space="preserve">AUD/USD</t>
  </si>
  <si>
    <t xml:space="preserve">AUDUSD Curncy</t>
  </si>
  <si>
    <t xml:space="preserve">DXY</t>
  </si>
  <si>
    <t xml:space="preserve">DXY Curncy</t>
  </si>
  <si>
    <t xml:space="preserve">Policy rates — current, neutral estimate, and what the curve prices</t>
  </si>
  <si>
    <t xml:space="preserve">Neutral (est.)</t>
  </si>
  <si>
    <t xml:space="preserve">1y OIS</t>
  </si>
  <si>
    <t xml:space="preserve">2y OIS</t>
  </si>
  <si>
    <t xml:space="preserve">3y OIS</t>
  </si>
  <si>
    <t xml:space="preserve">Then: 'Priced in 1y' = 1y1y forward, 'Priced in 2y' = 2y1y forward, computed in the block below from the OIS columns.</t>
  </si>
  <si>
    <t xml:space="preserve">Fed funds (upper)</t>
  </si>
  <si>
    <t xml:space="preserve">FDTR Index</t>
  </si>
  <si>
    <t xml:space="preserve">Policy level = estimate; OIS 1-3y = screen 13-Oct.  Neutral: FOMC longer-run median dot — verify latest SEP</t>
  </si>
  <si>
    <t xml:space="preserve">ECB deposit rate</t>
  </si>
  <si>
    <t xml:space="preserve">EURR002W Index</t>
  </si>
  <si>
    <t xml:space="preserve">Estimates  Neutral: ECB staff range ~1.75-2.25 nominal</t>
  </si>
  <si>
    <t xml:space="preserve">BoE Bank Rate</t>
  </si>
  <si>
    <t xml:space="preserve">UKBRBASE Index</t>
  </si>
  <si>
    <t xml:space="preserve">Estimates  Neutral: BoE/MPC commentary ~3-3.5</t>
  </si>
  <si>
    <t xml:space="preserve">BoJ policy rate</t>
  </si>
  <si>
    <t xml:space="preserve">BOJDTR Index</t>
  </si>
  <si>
    <t xml:space="preserve">Estimates  Neutral: BoJ staff range 1.0-2.5 nominal</t>
  </si>
  <si>
    <t xml:space="preserve">Brazil Selic</t>
  </si>
  <si>
    <t xml:space="preserve">BZSTSETA Index</t>
  </si>
  <si>
    <t xml:space="preserve">DI Jan-27 = est.; Jan-28/29 = screen 13-Oct. CDI cash 13.65.  Neutral: BCB real neutral ~5% + 3% target</t>
  </si>
  <si>
    <t xml:space="preserve">Banxico overnight</t>
  </si>
  <si>
    <t xml:space="preserve">MXONBR Index</t>
  </si>
  <si>
    <t xml:space="preserve">Screen 13-Oct. Verify MPSW tickers on ICVS 583.  Neutral: Banxico real neutral 1.8-3.4 + 3% target → 4.8-6.4, midpoint</t>
  </si>
  <si>
    <t xml:space="preserve">BanRep</t>
  </si>
  <si>
    <t xml:space="preserve">CORRRMIN Index</t>
  </si>
  <si>
    <t xml:space="preserve">Estimates. IBR OIS tickers — verify.  Neutral: BanRep real neutral ~2.5-3 + 3% target</t>
  </si>
  <si>
    <t xml:space="preserve">BCCh</t>
  </si>
  <si>
    <t xml:space="preserve">CHOVCHOV Index</t>
  </si>
  <si>
    <t xml:space="preserve">Estimates. Cámara swap tickers — verify.  Neutral: BCCh nominal neutral range 3.5-4.5</t>
  </si>
  <si>
    <t xml:space="preserve">BCRP</t>
  </si>
  <si>
    <t xml:space="preserve">PRRRONUS Index</t>
  </si>
  <si>
    <t xml:space="preserve">Estimates. PEN swap tickers — verify.  Neutral: BCRP real neutral ~1.5 + 2% target</t>
  </si>
  <si>
    <t xml:space="preserve">SARB repo</t>
  </si>
  <si>
    <t xml:space="preserve">SARPRT Index</t>
  </si>
  <si>
    <t xml:space="preserve">Estimates  Neutral: SARB QPM neutral real ~2.5 + 4% midpoint (moving to 3%)</t>
  </si>
  <si>
    <t xml:space="preserve">RBI repo</t>
  </si>
  <si>
    <t xml:space="preserve">INRPYLDP Index</t>
  </si>
  <si>
    <t xml:space="preserve">Estimates. INR OIS tickers — verify.  Neutral: RBI real neutral ~1.4-1.9 + 4% target</t>
  </si>
  <si>
    <t xml:space="preserve">BoK base rate</t>
  </si>
  <si>
    <t xml:space="preserve">KORP7D Index</t>
  </si>
  <si>
    <t xml:space="preserve">Estimates  Neutral: BoK neutral ~2-3</t>
  </si>
  <si>
    <t xml:space="preserve">CBRT 1-week repo</t>
  </si>
  <si>
    <t xml:space="preserve">TUBR1WRA Index</t>
  </si>
  <si>
    <t xml:space="preserve">Estimates; no meaningful neutral.</t>
  </si>
  <si>
    <t xml:space="preserve">What the curve prices — forward policy rates (from the OIS columns above)</t>
  </si>
  <si>
    <t xml:space="preserve">1y1y</t>
  </si>
  <si>
    <t xml:space="preserve">2y1y</t>
  </si>
  <si>
    <t xml:space="preserve">Hikes to 1y (bp)</t>
  </si>
  <si>
    <t xml:space="preserve">Hikes 1y→2y (bp)</t>
  </si>
  <si>
    <t xml:space="preserve">derived</t>
  </si>
  <si>
    <t xml:space="preserve">1y1y = (1+2y)²/(1+1y) − 1. 2y1y = (1+3y)³/(1+2y)² − 1. For Brazil the DI contracts stand in for OIS.</t>
  </si>
  <si>
    <t xml:space="preserve">Sovereign spreads — 5y CDS (bp) and EMBI</t>
  </si>
  <si>
    <t xml:space="preserve">1d chg</t>
  </si>
  <si>
    <t xml:space="preserve">YTD chg</t>
  </si>
  <si>
    <t xml:space="preserve">10y CDS</t>
  </si>
  <si>
    <t xml:space="preserve">5s10s</t>
  </si>
  <si>
    <t xml:space="preserve">Brazil</t>
  </si>
  <si>
    <t xml:space="preserve">BRAZIL CDS USD SR 5Y D14 Corp</t>
  </si>
  <si>
    <t xml:space="preserve">Estimate — pull WCDS</t>
  </si>
  <si>
    <t xml:space="preserve">Mexico</t>
  </si>
  <si>
    <t xml:space="preserve">MEX CDS USD SR 5Y D14 Corp</t>
  </si>
  <si>
    <t xml:space="preserve">Colombia</t>
  </si>
  <si>
    <t xml:space="preserve">COLOM CDS USD SR 5Y D14 Corp</t>
  </si>
  <si>
    <t xml:space="preserve">Chile</t>
  </si>
  <si>
    <t xml:space="preserve">CHILE CDS USD SR 5Y D14 Corp</t>
  </si>
  <si>
    <t xml:space="preserve">Peru</t>
  </si>
  <si>
    <t xml:space="preserve">PERU CDS USD SR 5Y D14 Corp</t>
  </si>
  <si>
    <t xml:space="preserve">Panama</t>
  </si>
  <si>
    <t xml:space="preserve">PANAMA CDS USD SR 5Y D14 Corp</t>
  </si>
  <si>
    <t xml:space="preserve">Argentina</t>
  </si>
  <si>
    <t xml:space="preserve">ARGENT CDS USD SR 5Y D14 Corp</t>
  </si>
  <si>
    <t xml:space="preserve">Dominican Rep</t>
  </si>
  <si>
    <t xml:space="preserve">DOMREP CDS USD SR 5Y D14 Corp</t>
  </si>
  <si>
    <t xml:space="preserve">El Salvador</t>
  </si>
  <si>
    <t xml:space="preserve">ELSALV CDS USD SR 5Y D14 Corp</t>
  </si>
  <si>
    <t xml:space="preserve">Ecuador</t>
  </si>
  <si>
    <t xml:space="preserve">ECUA CDS USD SR 5Y D14 Corp</t>
  </si>
  <si>
    <t xml:space="preserve">Turkey</t>
  </si>
  <si>
    <t xml:space="preserve">TURKEY CDS USD SR 5Y D14 Corp</t>
  </si>
  <si>
    <t xml:space="preserve">South Africa</t>
  </si>
  <si>
    <t xml:space="preserve">SOAF CDS USD SR 5Y D14 Corp</t>
  </si>
  <si>
    <t xml:space="preserve">Indonesia</t>
  </si>
  <si>
    <t xml:space="preserve">INDON CDS USD SR 5Y D14 Corp</t>
  </si>
  <si>
    <t xml:space="preserve">EMBI Global Diversified — sovereign spread (bp)</t>
  </si>
  <si>
    <t xml:space="preserve">JPEGSOSD Index</t>
  </si>
  <si>
    <t xml:space="preserve">Verify ticker — your EMBI pipeline has the exact one.</t>
  </si>
  <si>
    <t xml:space="preserve">EMBI GD Latin America spread (bp)</t>
  </si>
  <si>
    <t xml:space="preserve">JPEGSLAT Index</t>
  </si>
  <si>
    <t xml:space="preserve">Verify ticker.</t>
  </si>
  <si>
    <t xml:space="preserve">US Treasuries (%)</t>
  </si>
  <si>
    <t xml:space="preserve">1d chg (bp)</t>
  </si>
  <si>
    <t xml:space="preserve">YTD chg (bp)</t>
  </si>
  <si>
    <t xml:space="preserve">UST 2y</t>
  </si>
  <si>
    <t xml:space="preserve">USGG2YR Index</t>
  </si>
  <si>
    <t xml:space="preserve">UST 5y</t>
  </si>
  <si>
    <t xml:space="preserve">USGG5YR Index</t>
  </si>
  <si>
    <t xml:space="preserve">UST 10y</t>
  </si>
  <si>
    <t xml:space="preserve">USGG10YR Index</t>
  </si>
  <si>
    <t xml:space="preserve">UST 20y</t>
  </si>
  <si>
    <t xml:space="preserve">USGG20YR Index</t>
  </si>
  <si>
    <t xml:space="preserve">UST 30y</t>
  </si>
  <si>
    <t xml:space="preserve">USGG30YR Index</t>
  </si>
  <si>
    <t xml:space="preserve">2s10s (bp)</t>
  </si>
  <si>
    <t xml:space="preserve">5s30s (bp)</t>
  </si>
  <si>
    <t xml:space="preserve">10s30s (bp)</t>
  </si>
  <si>
    <t xml:space="preserve">SOFR fixing</t>
  </si>
  <si>
    <t xml:space="preserve">SOFRRATE Index</t>
  </si>
  <si>
    <t xml:space="preserve">Core Europe, UK, Japan (%)</t>
  </si>
  <si>
    <t xml:space="preserve">Bund 2y</t>
  </si>
  <si>
    <t xml:space="preserve">GDBR2 Index</t>
  </si>
  <si>
    <t xml:space="preserve">Bund 10y</t>
  </si>
  <si>
    <t xml:space="preserve">GDBR10 Index</t>
  </si>
  <si>
    <t xml:space="preserve">Bund 30y</t>
  </si>
  <si>
    <t xml:space="preserve">GDBR30 Index</t>
  </si>
  <si>
    <t xml:space="preserve">OAT 2y</t>
  </si>
  <si>
    <t xml:space="preserve">GFRN2 Index</t>
  </si>
  <si>
    <t xml:space="preserve">OAT 10y</t>
  </si>
  <si>
    <t xml:space="preserve">GFRN10 Index</t>
  </si>
  <si>
    <t xml:space="preserve">OAT 30y</t>
  </si>
  <si>
    <t xml:space="preserve">GFRN30 Index</t>
  </si>
  <si>
    <t xml:space="preserve">BTP 10y</t>
  </si>
  <si>
    <t xml:space="preserve">GBTPGR10 Index</t>
  </si>
  <si>
    <t xml:space="preserve">Bono 10y</t>
  </si>
  <si>
    <t xml:space="preserve">GSPG10YR Index</t>
  </si>
  <si>
    <t xml:space="preserve">OAT–Bund 10y (bp)</t>
  </si>
  <si>
    <t xml:space="preserve">The number for 'Germany over France'.</t>
  </si>
  <si>
    <t xml:space="preserve">BTP–Bund 10y (bp)</t>
  </si>
  <si>
    <t xml:space="preserve">Spain–France 10y (bp)</t>
  </si>
  <si>
    <t xml:space="preserve">Negative = Spain trades through France.</t>
  </si>
  <si>
    <t xml:space="preserve">Gilt 2y</t>
  </si>
  <si>
    <t xml:space="preserve">GUKG2 Index</t>
  </si>
  <si>
    <t xml:space="preserve">Gilt 10y</t>
  </si>
  <si>
    <t xml:space="preserve">GUKG10 Index</t>
  </si>
  <si>
    <t xml:space="preserve">Gilt 30y</t>
  </si>
  <si>
    <t xml:space="preserve">GUKG30 Index</t>
  </si>
  <si>
    <t xml:space="preserve">JGB 2y</t>
  </si>
  <si>
    <t xml:space="preserve">GJGB2 Index</t>
  </si>
  <si>
    <t xml:space="preserve">JGB 10y</t>
  </si>
  <si>
    <t xml:space="preserve">GJGB10 Index</t>
  </si>
  <si>
    <t xml:space="preserve">JGB 30y</t>
  </si>
  <si>
    <t xml:space="preserve">GJGB30 Index</t>
  </si>
  <si>
    <t xml:space="preserve">UST–Bund 10y (bp)</t>
  </si>
  <si>
    <t xml:space="preserve">UST–JGB 10y (bp)</t>
  </si>
  <si>
    <t xml:space="preserve">Commodities</t>
  </si>
  <si>
    <t xml:space="preserve">Brent ($/bbl)</t>
  </si>
  <si>
    <t xml:space="preserve">CO1 Comdty</t>
  </si>
  <si>
    <t xml:space="preserve">WTI ($/bbl)</t>
  </si>
  <si>
    <t xml:space="preserve">CL1 Comdty</t>
  </si>
  <si>
    <t xml:space="preserve">Copper ($/lb, COMEX)</t>
  </si>
  <si>
    <t xml:space="preserve">HG1 Comdty</t>
  </si>
  <si>
    <t xml:space="preserve">Gold ($/oz)</t>
  </si>
  <si>
    <t xml:space="preserve">XAU Curncy</t>
  </si>
  <si>
    <t xml:space="preserve">Soybeans (c/bu)</t>
  </si>
  <si>
    <t xml:space="preserve">S 1 Comdty</t>
  </si>
  <si>
    <t xml:space="preserve">Lines to have ready (derived)</t>
  </si>
  <si>
    <t xml:space="preserve">Fed hikes priced to 1y (bp)</t>
  </si>
  <si>
    <t xml:space="preserve">1y1y minus policy. Note: OIS is vs SOFR (3.87) while policy is the upper bound — the gap is a few bp.</t>
  </si>
  <si>
    <t xml:space="preserve">Banxico hikes priced to 1y (bp)</t>
  </si>
  <si>
    <t xml:space="preserve">~103bp on 13-Oct.</t>
  </si>
  <si>
    <t xml:space="preserve">Policy differential MX − US (bp)</t>
  </si>
  <si>
    <t xml:space="preserve">COP − CLP policy differential (bp)</t>
  </si>
  <si>
    <t xml:space="preserve">The carry in the COP/CLP trade.</t>
  </si>
  <si>
    <t xml:space="preserve">Selic − Fed (bp)</t>
  </si>
  <si>
    <t xml:space="preserve">Real Selic, ex-ante (Selic − 4.5% est. inflation exp.)</t>
  </si>
  <si>
    <t xml:space="preserve">Replace 4.5 with the Focus 12m expectation.</t>
  </si>
  <si>
    <t xml:space="preserve">UST 10y − Fed funds (bp)</t>
  </si>
  <si>
    <t xml:space="preserve">Term premium talking point.</t>
  </si>
  <si>
    <t xml:space="preserve">How to use, and which tickers to double-check</t>
  </si>
  <si>
    <t xml:space="preserve">Live vs fallback</t>
  </si>
  <si>
    <t xml:space="preserve">Every row: D = BDP(ticker, field), E = fallback, F = active. The 1d / YTD change columns are BDP calls on the same ticker (CHG_PCT_1D, CHG_PCT_YTD for prices; CHG_NET_1D, CHG_NET_YTD for yields and spreads, yields x100 to show bp). Set B3 to 0 to rehearse on the fallbacks.</t>
  </si>
  <si>
    <t xml:space="preserve">Fallback values</t>
  </si>
  <si>
    <t xml:space="preserve">Four EM spots, their vols, SOFR 1-3y, TIIE 1-3y, DI Jan-28/29, Banxico and CDI are the 13-Oct screen. Everything in orange is an estimate from memory to make the formulas compute — overwrite them from the terminal before you rely on a single one.</t>
  </si>
  <si>
    <t xml:space="preserve">Neutral rates</t>
  </si>
  <si>
    <t xml:space="preserve">Column G in the policy block. These are the central banks' own published estimates as I know them, not market numbers — the note on each row says the source. Re-check the Fed longer-run dot against the latest SEP and Banxico's range in its last inflation report.</t>
  </si>
  <si>
    <t xml:space="preserve">What the curve prices</t>
  </si>
  <si>
    <t xml:space="preserve">1y1y = where the market thinks policy will be in a year; 2y1y = in two years. 'Hikes to 1y' = 1y1y minus today's policy rate. Positive = hikes priced, negative = cuts priced. For Brazil the DI contracts stand in for OIS and the 1y point is Jan-27.</t>
  </si>
  <si>
    <t xml:space="preserve">Tickers to verify</t>
  </si>
  <si>
    <t xml:space="preserve">Most likely to need fixing: EM OIS/swap curves (CLSWIB = Colombia IBR, CHSWP = Chile Cámara, PSSW = Peru, IRSWO = India, KWSWO = Korea, TYSW = Turkey, SASW = South Africa, EESWE = ESTR, BPSWS = SONIA, JYSO = TONA); ARS parallel rate (ARSCCL Index); EMBI index tickers (your pipeline has the exact ones); policy-rate Index tickers for Peru, SA, India, Korea, Turkey. Right-click the point on the curve screen or type the instrument and &lt;HELP&gt; for the exact string.</t>
  </si>
  <si>
    <t xml:space="preserve">CDS tickers</t>
  </si>
  <si>
    <t xml:space="preserve">'XXX CDS USD SR 5Y D14 Corp' is the standard string; roots used: BRAZIL, MEX, COLOM, CHILE, PERU, PANAMA, ARGENT, DOMREP, ELSALV, ECUA, TURKEY, SOAF, INDON. If one fails, WCDS &lt;GO&gt; shows the root.</t>
  </si>
  <si>
    <t xml:space="preserve">The eight numbers to say without looking</t>
  </si>
  <si>
    <t xml:space="preserve">Fed funds and the 1y1y; Banxico, its 1y1y and the ~100bp priced; Selic and the real Selic; UST 10y and 2s10s; OAT–Bund; USD/JPY and the BoJ path; Brent; EMBI spread. Everything else is on the sheet if asked.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</si>
</sst>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0"/>
    <numFmt numFmtId="167" formatCode="0.00\%"/>
    <numFmt numFmtId="168" formatCode="0&quot; bp&quot;;\-0&quot; bp&quot;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2F5597"/>
        <bgColor rgb="FF1F3864"/>
      </patternFill>
    </fill>
    <fill>
      <patternFill patternType="solid">
        <fgColor rgb="FFEEF2F8"/>
        <bgColor rgb="FFFFFFFF"/>
      </patternFill>
    </fill>
    <fill>
      <patternFill patternType="solid">
        <fgColor rgb="FFFCE4D6"/>
        <bgColor rgb="FFEEF2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F2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10" min="4" style="0" width="13"/>
    <col collapsed="false" customWidth="true" hidden="false" outlineLevel="0" max="11" min="11" style="0" width="5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3" t="s">
        <v>2</v>
      </c>
      <c r="B3" s="4" t="n">
        <v>1</v>
      </c>
    </row>
    <row r="5" customFormat="false" ht="15" hidden="false" customHeight="false" outlineLevel="0" collapsed="false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customFormat="false" ht="15" hidden="false" customHeight="fals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/>
      <c r="K6" s="6" t="s">
        <v>13</v>
      </c>
    </row>
    <row r="7" customFormat="false" ht="15" hidden="false" customHeight="false" outlineLevel="0" collapsed="false">
      <c r="A7" s="7" t="s">
        <v>14</v>
      </c>
      <c r="B7" s="8" t="s">
        <v>15</v>
      </c>
      <c r="C7" s="8" t="s">
        <v>16</v>
      </c>
      <c r="D7" s="9" t="str">
        <f aca="false">IFERROR(bdp($B7,$C7),"")</f>
        <v/>
      </c>
      <c r="E7" s="10" t="n">
        <v>3184.71</v>
      </c>
      <c r="F7" s="11" t="n">
        <f aca="false">IF(AND($B$3=1,ISNUMBER(D7)),D7,E7)</f>
        <v>3184.71</v>
      </c>
      <c r="G7" s="12" t="str">
        <f aca="false">IFERROR(bdp($B7,"CHG_PCT_1D"),"")</f>
        <v/>
      </c>
      <c r="H7" s="12" t="str">
        <f aca="false">IFERROR(bdp($B7,"CHG_PCT_YTD"),"")</f>
        <v/>
      </c>
      <c r="I7" s="12" t="n">
        <f aca="false">IFERROR(bdp("USDCOPV3M Curncy","PX_LAST"),14.7)</f>
        <v>14.7</v>
      </c>
      <c r="K7" s="13" t="s">
        <v>17</v>
      </c>
    </row>
    <row r="8" customFormat="false" ht="15" hidden="false" customHeight="false" outlineLevel="0" collapsed="false">
      <c r="A8" s="7" t="s">
        <v>18</v>
      </c>
      <c r="B8" s="8" t="s">
        <v>19</v>
      </c>
      <c r="C8" s="8" t="s">
        <v>16</v>
      </c>
      <c r="D8" s="9" t="str">
        <f aca="false">IFERROR(bdp($B8,$C8),"")</f>
        <v/>
      </c>
      <c r="E8" s="10" t="n">
        <v>982.57</v>
      </c>
      <c r="F8" s="11" t="n">
        <f aca="false">IF(AND($B$3=1,ISNUMBER(D8)),D8,E8)</f>
        <v>982.57</v>
      </c>
      <c r="G8" s="12" t="str">
        <f aca="false">IFERROR(bdp($B8,"CHG_PCT_1D"),"")</f>
        <v/>
      </c>
      <c r="H8" s="12" t="str">
        <f aca="false">IFERROR(bdp($B8,"CHG_PCT_YTD"),"")</f>
        <v/>
      </c>
      <c r="I8" s="12" t="n">
        <f aca="false">IFERROR(bdp("USDCLPV3M Curncy","PX_LAST"),12.8)</f>
        <v>12.8</v>
      </c>
      <c r="K8" s="13" t="s">
        <v>17</v>
      </c>
    </row>
    <row r="9" customFormat="false" ht="15" hidden="false" customHeight="false" outlineLevel="0" collapsed="false">
      <c r="A9" s="7" t="s">
        <v>20</v>
      </c>
      <c r="B9" s="8" t="s">
        <v>21</v>
      </c>
      <c r="C9" s="8" t="s">
        <v>16</v>
      </c>
      <c r="D9" s="14" t="str">
        <f aca="false">IFERROR(bdp($B9,$C9),"")</f>
        <v/>
      </c>
      <c r="E9" s="15" t="n">
        <v>5.0271</v>
      </c>
      <c r="F9" s="16" t="n">
        <f aca="false">IF(AND($B$3=1,ISNUMBER(D9)),D9,E9)</f>
        <v>5.0271</v>
      </c>
      <c r="G9" s="12" t="str">
        <f aca="false">IFERROR(bdp($B9,"CHG_PCT_1D"),"")</f>
        <v/>
      </c>
      <c r="H9" s="12" t="str">
        <f aca="false">IFERROR(bdp($B9,"CHG_PCT_YTD"),"")</f>
        <v/>
      </c>
      <c r="I9" s="12" t="n">
        <f aca="false">IFERROR(bdp("USDBRLV3M Curncy","PX_LAST"),15.2)</f>
        <v>15.2</v>
      </c>
      <c r="K9" s="13" t="s">
        <v>17</v>
      </c>
    </row>
    <row r="10" customFormat="false" ht="15" hidden="false" customHeight="false" outlineLevel="0" collapsed="false">
      <c r="A10" s="7" t="s">
        <v>22</v>
      </c>
      <c r="B10" s="8" t="s">
        <v>23</v>
      </c>
      <c r="C10" s="8" t="s">
        <v>16</v>
      </c>
      <c r="D10" s="14" t="str">
        <f aca="false">IFERROR(bdp($B10,$C10),"")</f>
        <v/>
      </c>
      <c r="E10" s="15" t="n">
        <v>18.3727</v>
      </c>
      <c r="F10" s="16" t="n">
        <f aca="false">IF(AND($B$3=1,ISNUMBER(D10)),D10,E10)</f>
        <v>18.3727</v>
      </c>
      <c r="G10" s="12" t="str">
        <f aca="false">IFERROR(bdp($B10,"CHG_PCT_1D"),"")</f>
        <v/>
      </c>
      <c r="H10" s="12" t="str">
        <f aca="false">IFERROR(bdp($B10,"CHG_PCT_YTD"),"")</f>
        <v/>
      </c>
      <c r="I10" s="12" t="n">
        <f aca="false">IFERROR(bdp("USDMXNV3M Curncy","PX_LAST"),11.2)</f>
        <v>11.2</v>
      </c>
      <c r="K10" s="13" t="s">
        <v>17</v>
      </c>
    </row>
    <row r="11" customFormat="false" ht="15" hidden="false" customHeight="false" outlineLevel="0" collapsed="false">
      <c r="A11" s="7" t="s">
        <v>24</v>
      </c>
      <c r="B11" s="8" t="s">
        <v>25</v>
      </c>
      <c r="C11" s="8" t="s">
        <v>16</v>
      </c>
      <c r="D11" s="14" t="str">
        <f aca="false">IFERROR(bdp($B11,$C11),"")</f>
        <v/>
      </c>
      <c r="E11" s="17" t="n">
        <v>3.55</v>
      </c>
      <c r="F11" s="16" t="n">
        <f aca="false">IF(AND($B$3=1,ISNUMBER(D11)),D11,E11)</f>
        <v>3.55</v>
      </c>
      <c r="G11" s="12" t="str">
        <f aca="false">IFERROR(bdp($B11,"CHG_PCT_1D"),"")</f>
        <v/>
      </c>
      <c r="H11" s="12" t="str">
        <f aca="false">IFERROR(bdp($B11,"CHG_PCT_YTD"),"")</f>
        <v/>
      </c>
      <c r="I11" s="12" t="n">
        <f aca="false">IFERROR(bdp("USDPENV3M Curncy","PX_LAST"),6)</f>
        <v>6</v>
      </c>
      <c r="K11" s="18" t="s">
        <v>26</v>
      </c>
    </row>
    <row r="12" customFormat="false" ht="15" hidden="false" customHeight="false" outlineLevel="0" collapsed="false">
      <c r="A12" s="7" t="s">
        <v>27</v>
      </c>
      <c r="B12" s="8" t="s">
        <v>28</v>
      </c>
      <c r="C12" s="8" t="s">
        <v>16</v>
      </c>
      <c r="D12" s="9" t="str">
        <f aca="false">IFERROR(bdp($B12,$C12),"")</f>
        <v/>
      </c>
      <c r="E12" s="19" t="n">
        <v>1350</v>
      </c>
      <c r="F12" s="11" t="n">
        <f aca="false">IF(AND($B$3=1,ISNUMBER(D12)),D12,E12)</f>
        <v>1350</v>
      </c>
      <c r="G12" s="12" t="str">
        <f aca="false">IFERROR(bdp($B12,"CHG_PCT_1D"),"")</f>
        <v/>
      </c>
      <c r="H12" s="12" t="str">
        <f aca="false">IFERROR(bdp($B12,"CHG_PCT_YTD"),"")</f>
        <v/>
      </c>
      <c r="K12" s="18" t="s">
        <v>29</v>
      </c>
    </row>
    <row r="13" customFormat="false" ht="15" hidden="false" customHeight="false" outlineLevel="0" collapsed="false">
      <c r="A13" s="7" t="s">
        <v>30</v>
      </c>
      <c r="B13" s="8" t="s">
        <v>31</v>
      </c>
      <c r="C13" s="8" t="s">
        <v>16</v>
      </c>
      <c r="D13" s="9" t="str">
        <f aca="false">IFERROR(bdp($B13,$C13),"")</f>
        <v/>
      </c>
      <c r="E13" s="19" t="n">
        <v>1400</v>
      </c>
      <c r="F13" s="11" t="n">
        <f aca="false">IF(AND($B$3=1,ISNUMBER(D13)),D13,E13)</f>
        <v>1400</v>
      </c>
      <c r="G13" s="12" t="str">
        <f aca="false">IFERROR(bdp($B13,"CHG_PCT_1D"),"")</f>
        <v/>
      </c>
      <c r="H13" s="12" t="str">
        <f aca="false">IFERROR(bdp($B13,"CHG_PCT_YTD"),"")</f>
        <v/>
      </c>
      <c r="K13" s="18" t="s">
        <v>32</v>
      </c>
    </row>
    <row r="14" customFormat="false" ht="15" hidden="false" customHeight="false" outlineLevel="0" collapsed="false">
      <c r="A14" s="7" t="s">
        <v>33</v>
      </c>
      <c r="B14" s="8" t="s">
        <v>34</v>
      </c>
      <c r="C14" s="8" t="s">
        <v>16</v>
      </c>
      <c r="D14" s="14" t="str">
        <f aca="false">IFERROR(bdp($B14,$C14),"")</f>
        <v/>
      </c>
      <c r="E14" s="17" t="n">
        <v>17.8</v>
      </c>
      <c r="F14" s="16" t="n">
        <f aca="false">IF(AND($B$3=1,ISNUMBER(D14)),D14,E14)</f>
        <v>17.8</v>
      </c>
      <c r="G14" s="12" t="str">
        <f aca="false">IFERROR(bdp($B14,"CHG_PCT_1D"),"")</f>
        <v/>
      </c>
      <c r="H14" s="12" t="str">
        <f aca="false">IFERROR(bdp($B14,"CHG_PCT_YTD"),"")</f>
        <v/>
      </c>
      <c r="I14" s="12" t="n">
        <f aca="false">IFERROR(bdp("USDZARV3M Curncy","PX_LAST"),13.5)</f>
        <v>13.5</v>
      </c>
      <c r="K14" s="18" t="s">
        <v>26</v>
      </c>
    </row>
    <row r="15" customFormat="false" ht="15" hidden="false" customHeight="false" outlineLevel="0" collapsed="false">
      <c r="A15" s="7" t="s">
        <v>35</v>
      </c>
      <c r="B15" s="8" t="s">
        <v>36</v>
      </c>
      <c r="C15" s="8" t="s">
        <v>16</v>
      </c>
      <c r="D15" s="14" t="str">
        <f aca="false">IFERROR(bdp($B15,$C15),"")</f>
        <v/>
      </c>
      <c r="E15" s="17" t="n">
        <v>41</v>
      </c>
      <c r="F15" s="16" t="n">
        <f aca="false">IF(AND($B$3=1,ISNUMBER(D15)),D15,E15)</f>
        <v>41</v>
      </c>
      <c r="G15" s="12" t="str">
        <f aca="false">IFERROR(bdp($B15,"CHG_PCT_1D"),"")</f>
        <v/>
      </c>
      <c r="H15" s="12" t="str">
        <f aca="false">IFERROR(bdp($B15,"CHG_PCT_YTD"),"")</f>
        <v/>
      </c>
      <c r="I15" s="12" t="n">
        <f aca="false">IFERROR(bdp("USDTRYV3M Curncy","PX_LAST"),8)</f>
        <v>8</v>
      </c>
      <c r="K15" s="18" t="s">
        <v>26</v>
      </c>
    </row>
    <row r="16" customFormat="false" ht="15" hidden="false" customHeight="false" outlineLevel="0" collapsed="false">
      <c r="A16" s="7" t="s">
        <v>37</v>
      </c>
      <c r="B16" s="8" t="s">
        <v>38</v>
      </c>
      <c r="C16" s="8" t="s">
        <v>16</v>
      </c>
      <c r="D16" s="14" t="str">
        <f aca="false">IFERROR(bdp($B16,$C16),"")</f>
        <v/>
      </c>
      <c r="E16" s="17" t="n">
        <v>86.5</v>
      </c>
      <c r="F16" s="16" t="n">
        <f aca="false">IF(AND($B$3=1,ISNUMBER(D16)),D16,E16)</f>
        <v>86.5</v>
      </c>
      <c r="G16" s="12" t="str">
        <f aca="false">IFERROR(bdp($B16,"CHG_PCT_1D"),"")</f>
        <v/>
      </c>
      <c r="H16" s="12" t="str">
        <f aca="false">IFERROR(bdp($B16,"CHG_PCT_YTD"),"")</f>
        <v/>
      </c>
      <c r="I16" s="12" t="n">
        <f aca="false">IFERROR(bdp("USDINRV3M Curncy","PX_LAST"),4)</f>
        <v>4</v>
      </c>
      <c r="K16" s="18" t="s">
        <v>26</v>
      </c>
    </row>
    <row r="17" customFormat="false" ht="15" hidden="false" customHeight="false" outlineLevel="0" collapsed="false">
      <c r="A17" s="7" t="s">
        <v>39</v>
      </c>
      <c r="B17" s="8" t="s">
        <v>40</v>
      </c>
      <c r="C17" s="8" t="s">
        <v>16</v>
      </c>
      <c r="D17" s="9" t="str">
        <f aca="false">IFERROR(bdp($B17,$C17),"")</f>
        <v/>
      </c>
      <c r="E17" s="19" t="n">
        <v>1380</v>
      </c>
      <c r="F17" s="11" t="n">
        <f aca="false">IF(AND($B$3=1,ISNUMBER(D17)),D17,E17)</f>
        <v>1380</v>
      </c>
      <c r="G17" s="12" t="str">
        <f aca="false">IFERROR(bdp($B17,"CHG_PCT_1D"),"")</f>
        <v/>
      </c>
      <c r="H17" s="12" t="str">
        <f aca="false">IFERROR(bdp($B17,"CHG_PCT_YTD"),"")</f>
        <v/>
      </c>
      <c r="I17" s="12" t="n">
        <f aca="false">IFERROR(bdp("USDKRWV3M Curncy","PX_LAST"),9)</f>
        <v>9</v>
      </c>
      <c r="K17" s="18" t="s">
        <v>26</v>
      </c>
    </row>
    <row r="18" customFormat="false" ht="15" hidden="false" customHeight="false" outlineLevel="0" collapsed="false">
      <c r="A18" s="7" t="s">
        <v>41</v>
      </c>
      <c r="B18" s="8" t="s">
        <v>42</v>
      </c>
      <c r="C18" s="8" t="s">
        <v>16</v>
      </c>
      <c r="D18" s="14" t="str">
        <f aca="false">IFERROR(bdp($B18,$C18),"")</f>
        <v/>
      </c>
      <c r="E18" s="17" t="n">
        <v>30.5</v>
      </c>
      <c r="F18" s="16" t="n">
        <f aca="false">IF(AND($B$3=1,ISNUMBER(D18)),D18,E18)</f>
        <v>30.5</v>
      </c>
      <c r="G18" s="12" t="str">
        <f aca="false">IFERROR(bdp($B18,"CHG_PCT_1D"),"")</f>
        <v/>
      </c>
      <c r="H18" s="12" t="str">
        <f aca="false">IFERROR(bdp($B18,"CHG_PCT_YTD"),"")</f>
        <v/>
      </c>
      <c r="I18" s="12" t="n">
        <f aca="false">IFERROR(bdp("USDTWDV3M Curncy","PX_LAST"),6)</f>
        <v>6</v>
      </c>
      <c r="K18" s="18" t="s">
        <v>26</v>
      </c>
    </row>
    <row r="19" customFormat="false" ht="15" hidden="false" customHeight="false" outlineLevel="0" collapsed="false">
      <c r="A19" s="7" t="s">
        <v>43</v>
      </c>
      <c r="B19" s="8" t="s">
        <v>44</v>
      </c>
      <c r="C19" s="8" t="s">
        <v>16</v>
      </c>
      <c r="D19" s="14" t="str">
        <f aca="false">IFERROR(bdp($B19,$C19),"")</f>
        <v/>
      </c>
      <c r="E19" s="17" t="n">
        <v>7.15</v>
      </c>
      <c r="F19" s="16" t="n">
        <f aca="false">IF(AND($B$3=1,ISNUMBER(D19)),D19,E19)</f>
        <v>7.15</v>
      </c>
      <c r="G19" s="12" t="str">
        <f aca="false">IFERROR(bdp($B19,"CHG_PCT_1D"),"")</f>
        <v/>
      </c>
      <c r="H19" s="12" t="str">
        <f aca="false">IFERROR(bdp($B19,"CHG_PCT_YTD"),"")</f>
        <v/>
      </c>
      <c r="I19" s="12" t="n">
        <f aca="false">IFERROR(bdp("USDCNHV3M Curncy","PX_LAST"),4.5)</f>
        <v>4.5</v>
      </c>
      <c r="K19" s="18" t="s">
        <v>26</v>
      </c>
    </row>
    <row r="20" customFormat="false" ht="15" hidden="false" customHeight="false" outlineLevel="0" collapsed="false">
      <c r="A20" s="7" t="s">
        <v>45</v>
      </c>
      <c r="B20" s="8" t="s">
        <v>46</v>
      </c>
      <c r="C20" s="8" t="s">
        <v>16</v>
      </c>
      <c r="D20" s="9" t="str">
        <f aca="false">IFERROR(bdp($B20,$C20),"")</f>
        <v/>
      </c>
      <c r="E20" s="19" t="n">
        <v>16300</v>
      </c>
      <c r="F20" s="11" t="n">
        <f aca="false">IF(AND($B$3=1,ISNUMBER(D20)),D20,E20)</f>
        <v>16300</v>
      </c>
      <c r="G20" s="12" t="str">
        <f aca="false">IFERROR(bdp($B20,"CHG_PCT_1D"),"")</f>
        <v/>
      </c>
      <c r="H20" s="12" t="str">
        <f aca="false">IFERROR(bdp($B20,"CHG_PCT_YTD"),"")</f>
        <v/>
      </c>
      <c r="I20" s="12" t="n">
        <f aca="false">IFERROR(bdp("USDIDRV3M Curncy","PX_LAST"),6.5)</f>
        <v>6.5</v>
      </c>
      <c r="K20" s="18" t="s">
        <v>26</v>
      </c>
    </row>
    <row r="21" customFormat="false" ht="15" hidden="false" customHeight="false" outlineLevel="0" collapsed="false">
      <c r="A21" s="7" t="s">
        <v>47</v>
      </c>
      <c r="B21" s="8" t="s">
        <v>48</v>
      </c>
      <c r="C21" s="8" t="s">
        <v>16</v>
      </c>
      <c r="D21" s="14" t="str">
        <f aca="false">IFERROR(bdp($B21,$C21),"")</f>
        <v/>
      </c>
      <c r="E21" s="17" t="n">
        <v>3.8</v>
      </c>
      <c r="F21" s="16" t="n">
        <f aca="false">IF(AND($B$3=1,ISNUMBER(D21)),D21,E21)</f>
        <v>3.8</v>
      </c>
      <c r="G21" s="12" t="str">
        <f aca="false">IFERROR(bdp($B21,"CHG_PCT_1D"),"")</f>
        <v/>
      </c>
      <c r="H21" s="12" t="str">
        <f aca="false">IFERROR(bdp($B21,"CHG_PCT_YTD"),"")</f>
        <v/>
      </c>
      <c r="I21" s="12" t="n">
        <f aca="false">IFERROR(bdp("USDPLNV3M Curncy","PX_LAST"),9)</f>
        <v>9</v>
      </c>
      <c r="K21" s="18" t="s">
        <v>26</v>
      </c>
    </row>
    <row r="22" customFormat="false" ht="15" hidden="false" customHeight="false" outlineLevel="0" collapsed="false">
      <c r="A22" s="7" t="s">
        <v>49</v>
      </c>
      <c r="B22" s="8" t="s">
        <v>50</v>
      </c>
      <c r="C22" s="8" t="s">
        <v>16</v>
      </c>
      <c r="D22" s="9" t="str">
        <f aca="false">IFERROR(bdp($B22,$C22),"")</f>
        <v/>
      </c>
      <c r="E22" s="19" t="n">
        <v>360</v>
      </c>
      <c r="F22" s="11" t="n">
        <f aca="false">IF(AND($B$3=1,ISNUMBER(D22)),D22,E22)</f>
        <v>360</v>
      </c>
      <c r="G22" s="12" t="str">
        <f aca="false">IFERROR(bdp($B22,"CHG_PCT_1D"),"")</f>
        <v/>
      </c>
      <c r="H22" s="12" t="str">
        <f aca="false">IFERROR(bdp($B22,"CHG_PCT_YTD"),"")</f>
        <v/>
      </c>
      <c r="I22" s="12" t="n">
        <f aca="false">IFERROR(bdp("USDHUFV3M Curncy","PX_LAST"),10)</f>
        <v>10</v>
      </c>
      <c r="K22" s="18" t="s">
        <v>26</v>
      </c>
    </row>
    <row r="24" customFormat="false" ht="15" hidden="false" customHeight="false" outlineLevel="0" collapsed="false">
      <c r="A24" s="5" t="s">
        <v>51</v>
      </c>
      <c r="B24" s="5"/>
      <c r="C24" s="5"/>
      <c r="D24" s="5"/>
      <c r="E24" s="5"/>
      <c r="F24" s="5"/>
      <c r="G24" s="5"/>
      <c r="H24" s="5"/>
      <c r="I24" s="5"/>
      <c r="J24" s="5"/>
      <c r="K24" s="5"/>
    </row>
    <row r="25" customFormat="false" ht="15" hidden="false" customHeight="false" outlineLevel="0" collapsed="false">
      <c r="A25" s="6" t="s">
        <v>4</v>
      </c>
      <c r="B25" s="6" t="s">
        <v>5</v>
      </c>
      <c r="C25" s="6" t="s">
        <v>6</v>
      </c>
      <c r="D25" s="6" t="s">
        <v>7</v>
      </c>
      <c r="E25" s="6" t="s">
        <v>8</v>
      </c>
      <c r="F25" s="6" t="s">
        <v>9</v>
      </c>
      <c r="G25" s="6" t="s">
        <v>10</v>
      </c>
      <c r="H25" s="6" t="s">
        <v>11</v>
      </c>
      <c r="I25" s="6" t="s">
        <v>12</v>
      </c>
      <c r="J25" s="6"/>
      <c r="K25" s="6" t="s">
        <v>13</v>
      </c>
    </row>
    <row r="26" customFormat="false" ht="15" hidden="false" customHeight="false" outlineLevel="0" collapsed="false">
      <c r="A26" s="7" t="s">
        <v>52</v>
      </c>
      <c r="B26" s="8" t="s">
        <v>53</v>
      </c>
      <c r="C26" s="8" t="s">
        <v>16</v>
      </c>
      <c r="D26" s="14" t="str">
        <f aca="false">IFERROR(bdp($B26,$C26),"")</f>
        <v/>
      </c>
      <c r="E26" s="17" t="n">
        <v>1.15</v>
      </c>
      <c r="F26" s="16" t="n">
        <f aca="false">IF(AND($B$3=1,ISNUMBER(D26)),D26,E26)</f>
        <v>1.15</v>
      </c>
      <c r="G26" s="12" t="str">
        <f aca="false">IFERROR(bdp($B26,"CHG_PCT_1D"),"")</f>
        <v/>
      </c>
      <c r="H26" s="12" t="str">
        <f aca="false">IFERROR(bdp($B26,"CHG_PCT_YTD"),"")</f>
        <v/>
      </c>
      <c r="I26" s="12" t="n">
        <f aca="false">IFERROR(bdp("EURUSDV3M Curncy","PX_LAST"),7)</f>
        <v>7</v>
      </c>
      <c r="K26" s="18" t="s">
        <v>26</v>
      </c>
    </row>
    <row r="27" customFormat="false" ht="15" hidden="false" customHeight="false" outlineLevel="0" collapsed="false">
      <c r="A27" s="7" t="s">
        <v>54</v>
      </c>
      <c r="B27" s="8" t="s">
        <v>55</v>
      </c>
      <c r="C27" s="8" t="s">
        <v>16</v>
      </c>
      <c r="D27" s="9" t="str">
        <f aca="false">IFERROR(bdp($B27,$C27),"")</f>
        <v/>
      </c>
      <c r="E27" s="19" t="n">
        <v>148</v>
      </c>
      <c r="F27" s="11" t="n">
        <f aca="false">IF(AND($B$3=1,ISNUMBER(D27)),D27,E27)</f>
        <v>148</v>
      </c>
      <c r="G27" s="12" t="str">
        <f aca="false">IFERROR(bdp($B27,"CHG_PCT_1D"),"")</f>
        <v/>
      </c>
      <c r="H27" s="12" t="str">
        <f aca="false">IFERROR(bdp($B27,"CHG_PCT_YTD"),"")</f>
        <v/>
      </c>
      <c r="I27" s="12" t="n">
        <f aca="false">IFERROR(bdp("USDJPYV3M Curncy","PX_LAST"),10)</f>
        <v>10</v>
      </c>
      <c r="K27" s="18" t="s">
        <v>26</v>
      </c>
    </row>
    <row r="28" customFormat="false" ht="15" hidden="false" customHeight="false" outlineLevel="0" collapsed="false">
      <c r="A28" s="7" t="s">
        <v>56</v>
      </c>
      <c r="B28" s="8" t="s">
        <v>57</v>
      </c>
      <c r="C28" s="8" t="s">
        <v>16</v>
      </c>
      <c r="D28" s="14" t="str">
        <f aca="false">IFERROR(bdp($B28,$C28),"")</f>
        <v/>
      </c>
      <c r="E28" s="17" t="n">
        <v>1.33</v>
      </c>
      <c r="F28" s="16" t="n">
        <f aca="false">IF(AND($B$3=1,ISNUMBER(D28)),D28,E28)</f>
        <v>1.33</v>
      </c>
      <c r="G28" s="12" t="str">
        <f aca="false">IFERROR(bdp($B28,"CHG_PCT_1D"),"")</f>
        <v/>
      </c>
      <c r="H28" s="12" t="str">
        <f aca="false">IFERROR(bdp($B28,"CHG_PCT_YTD"),"")</f>
        <v/>
      </c>
      <c r="I28" s="12" t="n">
        <f aca="false">IFERROR(bdp("GBPUSDV3M Curncy","PX_LAST"),7.5)</f>
        <v>7.5</v>
      </c>
      <c r="K28" s="18" t="s">
        <v>26</v>
      </c>
    </row>
    <row r="29" customFormat="false" ht="15" hidden="false" customHeight="false" outlineLevel="0" collapsed="false">
      <c r="A29" s="7" t="s">
        <v>58</v>
      </c>
      <c r="B29" s="8" t="s">
        <v>59</v>
      </c>
      <c r="C29" s="8" t="s">
        <v>16</v>
      </c>
      <c r="D29" s="14" t="str">
        <f aca="false">IFERROR(bdp($B29,$C29),"")</f>
        <v/>
      </c>
      <c r="E29" s="17" t="n">
        <v>1.37</v>
      </c>
      <c r="F29" s="16" t="n">
        <f aca="false">IF(AND($B$3=1,ISNUMBER(D29)),D29,E29)</f>
        <v>1.37</v>
      </c>
      <c r="G29" s="12" t="str">
        <f aca="false">IFERROR(bdp($B29,"CHG_PCT_1D"),"")</f>
        <v/>
      </c>
      <c r="H29" s="12" t="str">
        <f aca="false">IFERROR(bdp($B29,"CHG_PCT_YTD"),"")</f>
        <v/>
      </c>
      <c r="I29" s="12" t="n">
        <f aca="false">IFERROR(bdp("USDCADV3M Curncy","PX_LAST"),6)</f>
        <v>6</v>
      </c>
      <c r="K29" s="18" t="s">
        <v>26</v>
      </c>
    </row>
    <row r="30" customFormat="false" ht="15" hidden="false" customHeight="false" outlineLevel="0" collapsed="false">
      <c r="A30" s="7" t="s">
        <v>60</v>
      </c>
      <c r="B30" s="8" t="s">
        <v>61</v>
      </c>
      <c r="C30" s="8" t="s">
        <v>16</v>
      </c>
      <c r="D30" s="14" t="str">
        <f aca="false">IFERROR(bdp($B30,$C30),"")</f>
        <v/>
      </c>
      <c r="E30" s="17" t="n">
        <v>10.2</v>
      </c>
      <c r="F30" s="16" t="n">
        <f aca="false">IF(AND($B$3=1,ISNUMBER(D30)),D30,E30)</f>
        <v>10.2</v>
      </c>
      <c r="G30" s="12" t="str">
        <f aca="false">IFERROR(bdp($B30,"CHG_PCT_1D"),"")</f>
        <v/>
      </c>
      <c r="H30" s="12" t="str">
        <f aca="false">IFERROR(bdp($B30,"CHG_PCT_YTD"),"")</f>
        <v/>
      </c>
      <c r="I30" s="12" t="n">
        <f aca="false">IFERROR(bdp("USDNOKV3M Curncy","PX_LAST"),10)</f>
        <v>10</v>
      </c>
      <c r="K30" s="18" t="s">
        <v>26</v>
      </c>
    </row>
    <row r="31" customFormat="false" ht="15" hidden="false" customHeight="false" outlineLevel="0" collapsed="false">
      <c r="A31" s="7" t="s">
        <v>62</v>
      </c>
      <c r="B31" s="8" t="s">
        <v>63</v>
      </c>
      <c r="C31" s="8" t="s">
        <v>16</v>
      </c>
      <c r="D31" s="14" t="str">
        <f aca="false">IFERROR(bdp($B31,$C31),"")</f>
        <v/>
      </c>
      <c r="E31" s="17" t="n">
        <v>9.6</v>
      </c>
      <c r="F31" s="16" t="n">
        <f aca="false">IF(AND($B$3=1,ISNUMBER(D31)),D31,E31)</f>
        <v>9.6</v>
      </c>
      <c r="G31" s="12" t="str">
        <f aca="false">IFERROR(bdp($B31,"CHG_PCT_1D"),"")</f>
        <v/>
      </c>
      <c r="H31" s="12" t="str">
        <f aca="false">IFERROR(bdp($B31,"CHG_PCT_YTD"),"")</f>
        <v/>
      </c>
      <c r="I31" s="12" t="n">
        <f aca="false">IFERROR(bdp("USDSEKV3M Curncy","PX_LAST"),9.5)</f>
        <v>9.5</v>
      </c>
      <c r="K31" s="18" t="s">
        <v>26</v>
      </c>
    </row>
    <row r="32" customFormat="false" ht="15" hidden="false" customHeight="false" outlineLevel="0" collapsed="false">
      <c r="A32" s="7" t="s">
        <v>64</v>
      </c>
      <c r="B32" s="8" t="s">
        <v>65</v>
      </c>
      <c r="C32" s="8" t="s">
        <v>16</v>
      </c>
      <c r="D32" s="14" t="str">
        <f aca="false">IFERROR(bdp($B32,$C32),"")</f>
        <v/>
      </c>
      <c r="E32" s="17" t="n">
        <v>0.66</v>
      </c>
      <c r="F32" s="16" t="n">
        <f aca="false">IF(AND($B$3=1,ISNUMBER(D32)),D32,E32)</f>
        <v>0.66</v>
      </c>
      <c r="G32" s="12" t="str">
        <f aca="false">IFERROR(bdp($B32,"CHG_PCT_1D"),"")</f>
        <v/>
      </c>
      <c r="H32" s="12" t="str">
        <f aca="false">IFERROR(bdp($B32,"CHG_PCT_YTD"),"")</f>
        <v/>
      </c>
      <c r="I32" s="12" t="n">
        <f aca="false">IFERROR(bdp("AUDUSDV3M Curncy","PX_LAST"),9.5)</f>
        <v>9.5</v>
      </c>
      <c r="K32" s="18" t="s">
        <v>26</v>
      </c>
    </row>
    <row r="33" customFormat="false" ht="15" hidden="false" customHeight="false" outlineLevel="0" collapsed="false">
      <c r="A33" s="7" t="s">
        <v>66</v>
      </c>
      <c r="B33" s="8" t="s">
        <v>67</v>
      </c>
      <c r="C33" s="8" t="s">
        <v>16</v>
      </c>
      <c r="D33" s="9" t="str">
        <f aca="false">IFERROR(bdp($B33,$C33),"")</f>
        <v/>
      </c>
      <c r="E33" s="19" t="n">
        <v>99</v>
      </c>
      <c r="F33" s="11" t="n">
        <f aca="false">IF(AND($B$3=1,ISNUMBER(D33)),D33,E33)</f>
        <v>99</v>
      </c>
      <c r="G33" s="12" t="str">
        <f aca="false">IFERROR(bdp($B33,"CHG_PCT_1D"),"")</f>
        <v/>
      </c>
      <c r="H33" s="12" t="str">
        <f aca="false">IFERROR(bdp($B33,"CHG_PCT_YTD"),"")</f>
        <v/>
      </c>
      <c r="K33" s="18" t="s">
        <v>26</v>
      </c>
    </row>
    <row r="35" customFormat="false" ht="15" hidden="false" customHeight="false" outlineLevel="0" collapsed="false">
      <c r="A35" s="5" t="s">
        <v>68</v>
      </c>
      <c r="B35" s="5"/>
      <c r="C35" s="5"/>
      <c r="D35" s="5"/>
      <c r="E35" s="5"/>
      <c r="F35" s="5"/>
      <c r="G35" s="5"/>
      <c r="H35" s="5"/>
      <c r="I35" s="5"/>
      <c r="J35" s="5"/>
      <c r="K35" s="5"/>
    </row>
    <row r="36" customFormat="false" ht="22.35" hidden="false" customHeight="false" outlineLevel="0" collapsed="false">
      <c r="A36" s="6" t="s">
        <v>4</v>
      </c>
      <c r="B36" s="6" t="s">
        <v>5</v>
      </c>
      <c r="C36" s="6" t="s">
        <v>6</v>
      </c>
      <c r="D36" s="6" t="s">
        <v>7</v>
      </c>
      <c r="E36" s="6" t="s">
        <v>8</v>
      </c>
      <c r="F36" s="6" t="s">
        <v>9</v>
      </c>
      <c r="G36" s="6" t="s">
        <v>69</v>
      </c>
      <c r="H36" s="6" t="s">
        <v>70</v>
      </c>
      <c r="I36" s="6" t="s">
        <v>71</v>
      </c>
      <c r="J36" s="6" t="s">
        <v>72</v>
      </c>
      <c r="K36" s="20" t="s">
        <v>73</v>
      </c>
    </row>
    <row r="37" customFormat="false" ht="22.35" hidden="false" customHeight="false" outlineLevel="0" collapsed="false">
      <c r="A37" s="7" t="s">
        <v>74</v>
      </c>
      <c r="B37" s="8" t="s">
        <v>75</v>
      </c>
      <c r="C37" s="8" t="s">
        <v>16</v>
      </c>
      <c r="D37" s="21" t="str">
        <f aca="false">IFERROR(bdp($B37,$C37),"")</f>
        <v/>
      </c>
      <c r="E37" s="22" t="n">
        <v>4</v>
      </c>
      <c r="F37" s="23" t="n">
        <f aca="false">IF(AND($B$3=1,ISNUMBER(D37)),D37,E37)</f>
        <v>4</v>
      </c>
      <c r="G37" s="24" t="n">
        <v>3</v>
      </c>
      <c r="H37" s="24" t="n">
        <f aca="false">IFERROR(bdp("USOSFR1 Curncy","PX_LAST"),4.5)</f>
        <v>4.5</v>
      </c>
      <c r="I37" s="24" t="n">
        <f aca="false">IFERROR(bdp("USOSFR2 Curncy","PX_LAST"),4.6635)</f>
        <v>4.6635</v>
      </c>
      <c r="J37" s="24" t="n">
        <f aca="false">IFERROR(bdp("USOSFR3 Curncy","PX_LAST"),4.7058)</f>
        <v>4.7058</v>
      </c>
      <c r="K37" s="18" t="s">
        <v>76</v>
      </c>
    </row>
    <row r="38" customFormat="false" ht="15" hidden="false" customHeight="false" outlineLevel="0" collapsed="false">
      <c r="A38" s="7" t="s">
        <v>77</v>
      </c>
      <c r="B38" s="8" t="s">
        <v>78</v>
      </c>
      <c r="C38" s="8" t="s">
        <v>16</v>
      </c>
      <c r="D38" s="21" t="str">
        <f aca="false">IFERROR(bdp($B38,$C38),"")</f>
        <v/>
      </c>
      <c r="E38" s="22" t="n">
        <v>2</v>
      </c>
      <c r="F38" s="23" t="n">
        <f aca="false">IF(AND($B$3=1,ISNUMBER(D38)),D38,E38)</f>
        <v>2</v>
      </c>
      <c r="G38" s="24" t="n">
        <v>2</v>
      </c>
      <c r="H38" s="24" t="n">
        <f aca="false">IFERROR(bdp("EESWE1 Curncy","PX_LAST"),2.05)</f>
        <v>2.05</v>
      </c>
      <c r="I38" s="24" t="n">
        <f aca="false">IFERROR(bdp("EESWE2 Curncy","PX_LAST"),2.15)</f>
        <v>2.15</v>
      </c>
      <c r="J38" s="24" t="n">
        <f aca="false">IFERROR(bdp("EESWE3 Curncy","PX_LAST"),2.25)</f>
        <v>2.25</v>
      </c>
      <c r="K38" s="18" t="s">
        <v>79</v>
      </c>
    </row>
    <row r="39" customFormat="false" ht="15" hidden="false" customHeight="false" outlineLevel="0" collapsed="false">
      <c r="A39" s="7" t="s">
        <v>80</v>
      </c>
      <c r="B39" s="8" t="s">
        <v>81</v>
      </c>
      <c r="C39" s="8" t="s">
        <v>16</v>
      </c>
      <c r="D39" s="21" t="str">
        <f aca="false">IFERROR(bdp($B39,$C39),"")</f>
        <v/>
      </c>
      <c r="E39" s="22" t="n">
        <v>4</v>
      </c>
      <c r="F39" s="23" t="n">
        <f aca="false">IF(AND($B$3=1,ISNUMBER(D39)),D39,E39)</f>
        <v>4</v>
      </c>
      <c r="G39" s="24" t="n">
        <v>3.25</v>
      </c>
      <c r="H39" s="24" t="n">
        <f aca="false">IFERROR(bdp("BPSWS1 Curncy","PX_LAST"),3.85)</f>
        <v>3.85</v>
      </c>
      <c r="I39" s="24" t="n">
        <f aca="false">IFERROR(bdp("BPSWS2 Curncy","PX_LAST"),3.75)</f>
        <v>3.75</v>
      </c>
      <c r="J39" s="24" t="n">
        <f aca="false">IFERROR(bdp("BPSWS3 Curncy","PX_LAST"),3.75)</f>
        <v>3.75</v>
      </c>
      <c r="K39" s="18" t="s">
        <v>82</v>
      </c>
    </row>
    <row r="40" customFormat="false" ht="15" hidden="false" customHeight="false" outlineLevel="0" collapsed="false">
      <c r="A40" s="7" t="s">
        <v>83</v>
      </c>
      <c r="B40" s="8" t="s">
        <v>84</v>
      </c>
      <c r="C40" s="8" t="s">
        <v>16</v>
      </c>
      <c r="D40" s="21" t="str">
        <f aca="false">IFERROR(bdp($B40,$C40),"")</f>
        <v/>
      </c>
      <c r="E40" s="22" t="n">
        <v>0.75</v>
      </c>
      <c r="F40" s="23" t="n">
        <f aca="false">IF(AND($B$3=1,ISNUMBER(D40)),D40,E40)</f>
        <v>0.75</v>
      </c>
      <c r="G40" s="24" t="n">
        <v>1.5</v>
      </c>
      <c r="H40" s="24" t="n">
        <f aca="false">IFERROR(bdp("JYSO1 Curncy","PX_LAST"),0.9)</f>
        <v>0.9</v>
      </c>
      <c r="I40" s="24" t="n">
        <f aca="false">IFERROR(bdp("JYSO2 Curncy","PX_LAST"),1.05)</f>
        <v>1.05</v>
      </c>
      <c r="J40" s="24" t="n">
        <f aca="false">IFERROR(bdp("JYSO3 Curncy","PX_LAST"),1.15)</f>
        <v>1.15</v>
      </c>
      <c r="K40" s="18" t="s">
        <v>85</v>
      </c>
    </row>
    <row r="41" customFormat="false" ht="22.35" hidden="false" customHeight="false" outlineLevel="0" collapsed="false">
      <c r="A41" s="7" t="s">
        <v>86</v>
      </c>
      <c r="B41" s="8" t="s">
        <v>87</v>
      </c>
      <c r="C41" s="8" t="s">
        <v>16</v>
      </c>
      <c r="D41" s="21" t="str">
        <f aca="false">IFERROR(bdp($B41,$C41),"")</f>
        <v/>
      </c>
      <c r="E41" s="22" t="n">
        <v>13.75</v>
      </c>
      <c r="F41" s="23" t="n">
        <f aca="false">IF(AND($B$3=1,ISNUMBER(D41)),D41,E41)</f>
        <v>13.75</v>
      </c>
      <c r="G41" s="24" t="n">
        <v>8</v>
      </c>
      <c r="H41" s="24" t="n">
        <f aca="false">IFERROR(bdp("ODF27 Comdty","PX_LAST"),13.4)</f>
        <v>13.4</v>
      </c>
      <c r="I41" s="24" t="n">
        <f aca="false">IFERROR(bdp("ODF28 Comdty","PX_LAST"),12.7225)</f>
        <v>12.7225</v>
      </c>
      <c r="J41" s="24" t="n">
        <f aca="false">IFERROR(bdp("ODF29 Comdty","PX_LAST"),12.4425)</f>
        <v>12.4425</v>
      </c>
      <c r="K41" s="18" t="s">
        <v>88</v>
      </c>
    </row>
    <row r="42" customFormat="false" ht="22.35" hidden="false" customHeight="false" outlineLevel="0" collapsed="false">
      <c r="A42" s="7" t="s">
        <v>89</v>
      </c>
      <c r="B42" s="8" t="s">
        <v>90</v>
      </c>
      <c r="C42" s="8" t="s">
        <v>16</v>
      </c>
      <c r="D42" s="21" t="str">
        <f aca="false">IFERROR(bdp($B42,$C42),"")</f>
        <v/>
      </c>
      <c r="E42" s="25" t="n">
        <v>6.5</v>
      </c>
      <c r="F42" s="23" t="n">
        <f aca="false">IF(AND($B$3=1,ISNUMBER(D42)),D42,E42)</f>
        <v>6.5</v>
      </c>
      <c r="G42" s="24" t="n">
        <v>5.6</v>
      </c>
      <c r="H42" s="24" t="n">
        <f aca="false">IFERROR(bdp("MPSW1 Curncy","PX_LAST"),6.6335)</f>
        <v>6.6335</v>
      </c>
      <c r="I42" s="24" t="n">
        <f aca="false">IFERROR(bdp("MPSW2 Curncy","PX_LAST"),7.0806)</f>
        <v>7.0806</v>
      </c>
      <c r="J42" s="24" t="n">
        <f aca="false">IFERROR(bdp("MPSW3 Curncy","PX_LAST"),7.4)</f>
        <v>7.4</v>
      </c>
      <c r="K42" s="13" t="s">
        <v>91</v>
      </c>
    </row>
    <row r="43" customFormat="false" ht="22.35" hidden="false" customHeight="false" outlineLevel="0" collapsed="false">
      <c r="A43" s="7" t="s">
        <v>92</v>
      </c>
      <c r="B43" s="8" t="s">
        <v>93</v>
      </c>
      <c r="C43" s="8" t="s">
        <v>16</v>
      </c>
      <c r="D43" s="21" t="str">
        <f aca="false">IFERROR(bdp($B43,$C43),"")</f>
        <v/>
      </c>
      <c r="E43" s="22" t="n">
        <v>9.25</v>
      </c>
      <c r="F43" s="23" t="n">
        <f aca="false">IF(AND($B$3=1,ISNUMBER(D43)),D43,E43)</f>
        <v>9.25</v>
      </c>
      <c r="G43" s="24" t="n">
        <v>6</v>
      </c>
      <c r="H43" s="24" t="n">
        <f aca="false">IFERROR(bdp("CLSWIB1 Curncy","PX_LAST"),9)</f>
        <v>9</v>
      </c>
      <c r="I43" s="24" t="n">
        <f aca="false">IFERROR(bdp("CLSWIB2 Curncy","PX_LAST"),8.6)</f>
        <v>8.6</v>
      </c>
      <c r="J43" s="24" t="n">
        <f aca="false">IFERROR(bdp("CLSWIB3 Curncy","PX_LAST"),8.5)</f>
        <v>8.5</v>
      </c>
      <c r="K43" s="18" t="s">
        <v>94</v>
      </c>
    </row>
    <row r="44" customFormat="false" ht="22.35" hidden="false" customHeight="false" outlineLevel="0" collapsed="false">
      <c r="A44" s="7" t="s">
        <v>95</v>
      </c>
      <c r="B44" s="8" t="s">
        <v>96</v>
      </c>
      <c r="C44" s="8" t="s">
        <v>16</v>
      </c>
      <c r="D44" s="21" t="str">
        <f aca="false">IFERROR(bdp($B44,$C44),"")</f>
        <v/>
      </c>
      <c r="E44" s="22" t="n">
        <v>4.75</v>
      </c>
      <c r="F44" s="23" t="n">
        <f aca="false">IF(AND($B$3=1,ISNUMBER(D44)),D44,E44)</f>
        <v>4.75</v>
      </c>
      <c r="G44" s="24" t="n">
        <v>4</v>
      </c>
      <c r="H44" s="24" t="n">
        <f aca="false">IFERROR(bdp("CHSWP1 Curncy","PX_LAST"),4.6)</f>
        <v>4.6</v>
      </c>
      <c r="I44" s="24" t="n">
        <f aca="false">IFERROR(bdp("CHSWP2 Curncy","PX_LAST"),4.55)</f>
        <v>4.55</v>
      </c>
      <c r="J44" s="24" t="n">
        <f aca="false">IFERROR(bdp("CHSWP3 Curncy","PX_LAST"),4.6)</f>
        <v>4.6</v>
      </c>
      <c r="K44" s="18" t="s">
        <v>97</v>
      </c>
    </row>
    <row r="45" customFormat="false" ht="22.35" hidden="false" customHeight="false" outlineLevel="0" collapsed="false">
      <c r="A45" s="7" t="s">
        <v>98</v>
      </c>
      <c r="B45" s="8" t="s">
        <v>99</v>
      </c>
      <c r="C45" s="8" t="s">
        <v>16</v>
      </c>
      <c r="D45" s="21" t="str">
        <f aca="false">IFERROR(bdp($B45,$C45),"")</f>
        <v/>
      </c>
      <c r="E45" s="22" t="n">
        <v>4.25</v>
      </c>
      <c r="F45" s="23" t="n">
        <f aca="false">IF(AND($B$3=1,ISNUMBER(D45)),D45,E45)</f>
        <v>4.25</v>
      </c>
      <c r="G45" s="24" t="n">
        <v>3.75</v>
      </c>
      <c r="H45" s="24" t="n">
        <f aca="false">IFERROR(bdp("PSSW1 Curncy","PX_LAST"),4.2)</f>
        <v>4.2</v>
      </c>
      <c r="I45" s="24" t="n">
        <f aca="false">IFERROR(bdp("PSSW2 Curncy","PX_LAST"),4.3)</f>
        <v>4.3</v>
      </c>
      <c r="J45" s="24" t="n">
        <f aca="false">IFERROR(bdp("PSSW3 Curncy","PX_LAST"),4.4)</f>
        <v>4.4</v>
      </c>
      <c r="K45" s="18" t="s">
        <v>100</v>
      </c>
    </row>
    <row r="46" customFormat="false" ht="22.35" hidden="false" customHeight="false" outlineLevel="0" collapsed="false">
      <c r="A46" s="7" t="s">
        <v>101</v>
      </c>
      <c r="B46" s="8" t="s">
        <v>102</v>
      </c>
      <c r="C46" s="8" t="s">
        <v>16</v>
      </c>
      <c r="D46" s="21" t="str">
        <f aca="false">IFERROR(bdp($B46,$C46),"")</f>
        <v/>
      </c>
      <c r="E46" s="22" t="n">
        <v>7</v>
      </c>
      <c r="F46" s="23" t="n">
        <f aca="false">IF(AND($B$3=1,ISNUMBER(D46)),D46,E46)</f>
        <v>7</v>
      </c>
      <c r="G46" s="24" t="n">
        <v>6.5</v>
      </c>
      <c r="H46" s="24" t="n">
        <f aca="false">IFERROR(bdp("SASW1 Curncy","PX_LAST"),6.9)</f>
        <v>6.9</v>
      </c>
      <c r="I46" s="24" t="n">
        <f aca="false">IFERROR(bdp("SASW2 Curncy","PX_LAST"),6.85)</f>
        <v>6.85</v>
      </c>
      <c r="J46" s="24" t="n">
        <f aca="false">IFERROR(bdp("SASW3 Curncy","PX_LAST"),6.95)</f>
        <v>6.95</v>
      </c>
      <c r="K46" s="18" t="s">
        <v>103</v>
      </c>
    </row>
    <row r="47" customFormat="false" ht="22.35" hidden="false" customHeight="false" outlineLevel="0" collapsed="false">
      <c r="A47" s="7" t="s">
        <v>104</v>
      </c>
      <c r="B47" s="8" t="s">
        <v>105</v>
      </c>
      <c r="C47" s="8" t="s">
        <v>16</v>
      </c>
      <c r="D47" s="21" t="str">
        <f aca="false">IFERROR(bdp($B47,$C47),"")</f>
        <v/>
      </c>
      <c r="E47" s="22" t="n">
        <v>5.5</v>
      </c>
      <c r="F47" s="23" t="n">
        <f aca="false">IF(AND($B$3=1,ISNUMBER(D47)),D47,E47)</f>
        <v>5.5</v>
      </c>
      <c r="G47" s="24" t="n">
        <v>5.5</v>
      </c>
      <c r="H47" s="24" t="n">
        <f aca="false">IFERROR(bdp("IRSWO1 Curncy","PX_LAST"),5.55)</f>
        <v>5.55</v>
      </c>
      <c r="I47" s="24" t="n">
        <f aca="false">IFERROR(bdp("IRSWO2 Curncy","PX_LAST"),5.7)</f>
        <v>5.7</v>
      </c>
      <c r="J47" s="24" t="n">
        <f aca="false">IFERROR(bdp("IRSWO3 Curncy","PX_LAST"),5.85)</f>
        <v>5.85</v>
      </c>
      <c r="K47" s="18" t="s">
        <v>106</v>
      </c>
    </row>
    <row r="48" customFormat="false" ht="15" hidden="false" customHeight="false" outlineLevel="0" collapsed="false">
      <c r="A48" s="7" t="s">
        <v>107</v>
      </c>
      <c r="B48" s="8" t="s">
        <v>108</v>
      </c>
      <c r="C48" s="8" t="s">
        <v>16</v>
      </c>
      <c r="D48" s="21" t="str">
        <f aca="false">IFERROR(bdp($B48,$C48),"")</f>
        <v/>
      </c>
      <c r="E48" s="22" t="n">
        <v>2.5</v>
      </c>
      <c r="F48" s="23" t="n">
        <f aca="false">IF(AND($B$3=1,ISNUMBER(D48)),D48,E48)</f>
        <v>2.5</v>
      </c>
      <c r="G48" s="24" t="n">
        <v>2.5</v>
      </c>
      <c r="H48" s="24" t="n">
        <f aca="false">IFERROR(bdp("KWSWO1 Curncy","PX_LAST"),2.45)</f>
        <v>2.45</v>
      </c>
      <c r="I48" s="24" t="n">
        <f aca="false">IFERROR(bdp("KWSWO2 Curncy","PX_LAST"),2.5)</f>
        <v>2.5</v>
      </c>
      <c r="J48" s="24" t="n">
        <f aca="false">IFERROR(bdp("KWSWO3 Curncy","PX_LAST"),2.6)</f>
        <v>2.6</v>
      </c>
      <c r="K48" s="18" t="s">
        <v>109</v>
      </c>
    </row>
    <row r="49" customFormat="false" ht="15" hidden="false" customHeight="false" outlineLevel="0" collapsed="false">
      <c r="A49" s="7" t="s">
        <v>110</v>
      </c>
      <c r="B49" s="8" t="s">
        <v>111</v>
      </c>
      <c r="C49" s="8" t="s">
        <v>16</v>
      </c>
      <c r="D49" s="21" t="str">
        <f aca="false">IFERROR(bdp($B49,$C49),"")</f>
        <v/>
      </c>
      <c r="E49" s="22" t="n">
        <v>38</v>
      </c>
      <c r="F49" s="23" t="n">
        <f aca="false">IF(AND($B$3=1,ISNUMBER(D49)),D49,E49)</f>
        <v>38</v>
      </c>
      <c r="G49" s="24"/>
      <c r="H49" s="24" t="n">
        <f aca="false">IFERROR(bdp("TYSW1 Curncy","PX_LAST"),36)</f>
        <v>36</v>
      </c>
      <c r="I49" s="24" t="n">
        <f aca="false">IFERROR(bdp("TYSW2 Curncy","PX_LAST"),30)</f>
        <v>30</v>
      </c>
      <c r="J49" s="24" t="n">
        <f aca="false">IFERROR(bdp("TYSW3 Curncy","PX_LAST"),27)</f>
        <v>27</v>
      </c>
      <c r="K49" s="18" t="s">
        <v>112</v>
      </c>
    </row>
    <row r="51" customFormat="false" ht="15" hidden="false" customHeight="false" outlineLevel="0" collapsed="false">
      <c r="A51" s="5" t="s">
        <v>113</v>
      </c>
      <c r="B51" s="5"/>
      <c r="C51" s="5"/>
      <c r="D51" s="5"/>
      <c r="E51" s="5"/>
      <c r="F51" s="5"/>
      <c r="G51" s="5"/>
      <c r="H51" s="5"/>
      <c r="I51" s="5"/>
      <c r="J51" s="5"/>
      <c r="K51" s="5"/>
    </row>
    <row r="52" customFormat="false" ht="23.85" hidden="false" customHeight="false" outlineLevel="0" collapsed="false">
      <c r="A52" s="6" t="s">
        <v>4</v>
      </c>
      <c r="B52" s="6" t="s">
        <v>5</v>
      </c>
      <c r="C52" s="6" t="s">
        <v>6</v>
      </c>
      <c r="D52" s="6" t="s">
        <v>7</v>
      </c>
      <c r="E52" s="6" t="s">
        <v>8</v>
      </c>
      <c r="F52" s="6" t="s">
        <v>9</v>
      </c>
      <c r="G52" s="6" t="s">
        <v>114</v>
      </c>
      <c r="H52" s="6" t="s">
        <v>115</v>
      </c>
      <c r="I52" s="6" t="s">
        <v>116</v>
      </c>
      <c r="J52" s="6" t="s">
        <v>117</v>
      </c>
      <c r="K52" s="6" t="s">
        <v>13</v>
      </c>
    </row>
    <row r="53" customFormat="false" ht="15" hidden="false" customHeight="false" outlineLevel="0" collapsed="false">
      <c r="A53" s="7" t="s">
        <v>74</v>
      </c>
      <c r="B53" s="26" t="s">
        <v>118</v>
      </c>
      <c r="G53" s="21" t="n">
        <f aca="false">((1+$I37/100)^2/(1+$H37/100)-1)*100</f>
        <v>4.82725581100481</v>
      </c>
      <c r="H53" s="21" t="n">
        <f aca="false">((1+$J37/100)^3/(1+$I37/100)^2-1)*100</f>
        <v>4.7904512938431</v>
      </c>
      <c r="I53" s="27" t="n">
        <f aca="false">(G53-$F37)*100</f>
        <v>82.7255811004805</v>
      </c>
      <c r="J53" s="27" t="n">
        <f aca="false">(H53-G53)*100</f>
        <v>-3.68045171617037</v>
      </c>
      <c r="K53" s="26" t="s">
        <v>119</v>
      </c>
    </row>
    <row r="54" customFormat="false" ht="15" hidden="false" customHeight="false" outlineLevel="0" collapsed="false">
      <c r="A54" s="7" t="s">
        <v>77</v>
      </c>
      <c r="B54" s="26" t="s">
        <v>118</v>
      </c>
      <c r="G54" s="21" t="n">
        <f aca="false">((1+$I38/100)^2/(1+$H38/100)-1)*100</f>
        <v>2.25009799118081</v>
      </c>
      <c r="H54" s="21" t="n">
        <f aca="false">((1+$J38/100)^3/(1+$I38/100)^2-1)*100</f>
        <v>2.45029378159101</v>
      </c>
      <c r="I54" s="27" t="n">
        <f aca="false">(G54-$F38)*100</f>
        <v>25.0097991180811</v>
      </c>
      <c r="J54" s="27" t="n">
        <f aca="false">(H54-G54)*100</f>
        <v>20.0195790410196</v>
      </c>
      <c r="K54" s="26" t="s">
        <v>119</v>
      </c>
    </row>
    <row r="55" customFormat="false" ht="15" hidden="false" customHeight="false" outlineLevel="0" collapsed="false">
      <c r="A55" s="7" t="s">
        <v>80</v>
      </c>
      <c r="B55" s="26" t="s">
        <v>118</v>
      </c>
      <c r="G55" s="21" t="n">
        <f aca="false">((1+$I39/100)^2/(1+$H39/100)-1)*100</f>
        <v>3.65009629272992</v>
      </c>
      <c r="H55" s="21" t="n">
        <f aca="false">((1+$J39/100)^3/(1+$I39/100)^2-1)*100</f>
        <v>3.75000000000001</v>
      </c>
      <c r="I55" s="27" t="n">
        <f aca="false">(G55-$F39)*100</f>
        <v>-34.9903707270079</v>
      </c>
      <c r="J55" s="27" t="n">
        <f aca="false">(H55-G55)*100</f>
        <v>9.99037072700881</v>
      </c>
      <c r="K55" s="26" t="s">
        <v>119</v>
      </c>
    </row>
    <row r="56" customFormat="false" ht="15" hidden="false" customHeight="false" outlineLevel="0" collapsed="false">
      <c r="A56" s="7" t="s">
        <v>83</v>
      </c>
      <c r="B56" s="26" t="s">
        <v>118</v>
      </c>
      <c r="G56" s="21" t="n">
        <f aca="false">((1+$I40/100)^2/(1+$H40/100)-1)*100</f>
        <v>1.20022299306244</v>
      </c>
      <c r="H56" s="21" t="n">
        <f aca="false">((1+$J40/100)^3/(1+$I40/100)^2-1)*100</f>
        <v>1.35029698066398</v>
      </c>
      <c r="I56" s="27" t="n">
        <f aca="false">(G56-$F40)*100</f>
        <v>45.0222993062439</v>
      </c>
      <c r="J56" s="27" t="n">
        <f aca="false">(H56-G56)*100</f>
        <v>15.007398760154</v>
      </c>
      <c r="K56" s="26" t="s">
        <v>119</v>
      </c>
    </row>
    <row r="57" customFormat="false" ht="15" hidden="false" customHeight="false" outlineLevel="0" collapsed="false">
      <c r="A57" s="7" t="s">
        <v>86</v>
      </c>
      <c r="B57" s="26" t="s">
        <v>118</v>
      </c>
      <c r="G57" s="21" t="n">
        <f aca="false">((1+$I41/100)^2/(1+$H41/100)-1)*100</f>
        <v>12.0490476741623</v>
      </c>
      <c r="H57" s="21" t="n">
        <f aca="false">((1+$J41/100)^3/(1+$I41/100)^2-1)*100</f>
        <v>11.8845848123158</v>
      </c>
      <c r="I57" s="27" t="n">
        <f aca="false">(G57-$F41)*100</f>
        <v>-170.095232583774</v>
      </c>
      <c r="J57" s="27" t="n">
        <f aca="false">(H57-G57)*100</f>
        <v>-16.4462861846413</v>
      </c>
      <c r="K57" s="26" t="s">
        <v>119</v>
      </c>
    </row>
    <row r="58" customFormat="false" ht="15" hidden="false" customHeight="false" outlineLevel="0" collapsed="false">
      <c r="A58" s="7" t="s">
        <v>89</v>
      </c>
      <c r="B58" s="26" t="s">
        <v>118</v>
      </c>
      <c r="G58" s="21" t="n">
        <f aca="false">((1+$I42/100)^2/(1+$H42/100)-1)*100</f>
        <v>7.52957463048665</v>
      </c>
      <c r="H58" s="21" t="n">
        <f aca="false">((1+$J42/100)^3/(1+$I42/100)^2-1)*100</f>
        <v>8.0416609605698</v>
      </c>
      <c r="I58" s="27" t="n">
        <f aca="false">(G58-$F42)*100</f>
        <v>102.957463048665</v>
      </c>
      <c r="J58" s="27" t="n">
        <f aca="false">(H58-G58)*100</f>
        <v>51.208633008315</v>
      </c>
      <c r="K58" s="26" t="s">
        <v>119</v>
      </c>
    </row>
    <row r="59" customFormat="false" ht="15" hidden="false" customHeight="false" outlineLevel="0" collapsed="false">
      <c r="A59" s="7" t="s">
        <v>92</v>
      </c>
      <c r="B59" s="26" t="s">
        <v>118</v>
      </c>
      <c r="G59" s="21" t="n">
        <f aca="false">((1+$I43/100)^2/(1+$H43/100)-1)*100</f>
        <v>8.20146788990826</v>
      </c>
      <c r="H59" s="21" t="n">
        <f aca="false">((1+$J43/100)^3/(1+$I43/100)^2-1)*100</f>
        <v>8.30027615830473</v>
      </c>
      <c r="I59" s="27" t="n">
        <f aca="false">(G59-$F43)*100</f>
        <v>-104.853211009175</v>
      </c>
      <c r="J59" s="27" t="n">
        <f aca="false">(H59-G59)*100</f>
        <v>9.88082683964766</v>
      </c>
      <c r="K59" s="26" t="s">
        <v>119</v>
      </c>
    </row>
    <row r="60" customFormat="false" ht="15" hidden="false" customHeight="false" outlineLevel="0" collapsed="false">
      <c r="A60" s="7" t="s">
        <v>95</v>
      </c>
      <c r="B60" s="26" t="s">
        <v>118</v>
      </c>
      <c r="G60" s="21" t="n">
        <f aca="false">((1+$I44/100)^2/(1+$H44/100)-1)*100</f>
        <v>4.50002390057362</v>
      </c>
      <c r="H60" s="21" t="n">
        <f aca="false">((1+$J44/100)^3/(1+$I44/100)^2-1)*100</f>
        <v>4.70007174744715</v>
      </c>
      <c r="I60" s="27" t="n">
        <f aca="false">(G60-$F44)*100</f>
        <v>-24.9976099426376</v>
      </c>
      <c r="J60" s="27" t="n">
        <f aca="false">(H60-G60)*100</f>
        <v>20.004784687353</v>
      </c>
      <c r="K60" s="26" t="s">
        <v>119</v>
      </c>
    </row>
    <row r="61" customFormat="false" ht="15" hidden="false" customHeight="false" outlineLevel="0" collapsed="false">
      <c r="A61" s="7" t="s">
        <v>98</v>
      </c>
      <c r="B61" s="26" t="s">
        <v>118</v>
      </c>
      <c r="G61" s="21" t="n">
        <f aca="false">((1+$I45/100)^2/(1+$H45/100)-1)*100</f>
        <v>4.40009596928981</v>
      </c>
      <c r="H61" s="21" t="n">
        <f aca="false">((1+$J45/100)^3/(1+$I45/100)^2-1)*100</f>
        <v>4.6002877237558</v>
      </c>
      <c r="I61" s="27" t="n">
        <f aca="false">(G61-$F45)*100</f>
        <v>15.0095969289808</v>
      </c>
      <c r="J61" s="27" t="n">
        <f aca="false">(H61-G61)*100</f>
        <v>20.0191754465995</v>
      </c>
      <c r="K61" s="26" t="s">
        <v>119</v>
      </c>
    </row>
    <row r="62" customFormat="false" ht="15" hidden="false" customHeight="false" outlineLevel="0" collapsed="false">
      <c r="A62" s="7" t="s">
        <v>101</v>
      </c>
      <c r="B62" s="26" t="s">
        <v>118</v>
      </c>
      <c r="G62" s="21" t="n">
        <f aca="false">((1+$I46/100)^2/(1+$H46/100)-1)*100</f>
        <v>6.80002338634238</v>
      </c>
      <c r="H62" s="21" t="n">
        <f aca="false">((1+$J46/100)^3/(1+$I46/100)^2-1)*100</f>
        <v>7.1502808550203</v>
      </c>
      <c r="I62" s="27" t="n">
        <f aca="false">(G62-$F46)*100</f>
        <v>-19.997661365762</v>
      </c>
      <c r="J62" s="27" t="n">
        <f aca="false">(H62-G62)*100</f>
        <v>35.0257468677917</v>
      </c>
      <c r="K62" s="26" t="s">
        <v>119</v>
      </c>
    </row>
    <row r="63" customFormat="false" ht="15" hidden="false" customHeight="false" outlineLevel="0" collapsed="false">
      <c r="A63" s="7" t="s">
        <v>104</v>
      </c>
      <c r="B63" s="26" t="s">
        <v>118</v>
      </c>
      <c r="G63" s="21" t="n">
        <f aca="false">((1+$I47/100)^2/(1+$H47/100)-1)*100</f>
        <v>5.85021316911414</v>
      </c>
      <c r="H63" s="21" t="n">
        <f aca="false">((1+$J47/100)^3/(1+$I47/100)^2-1)*100</f>
        <v>6.15063890189207</v>
      </c>
      <c r="I63" s="27" t="n">
        <f aca="false">(G63-$F47)*100</f>
        <v>35.0213169114138</v>
      </c>
      <c r="J63" s="27" t="n">
        <f aca="false">(H63-G63)*100</f>
        <v>30.0425732777931</v>
      </c>
      <c r="K63" s="26" t="s">
        <v>119</v>
      </c>
    </row>
    <row r="64" customFormat="false" ht="15" hidden="false" customHeight="false" outlineLevel="0" collapsed="false">
      <c r="A64" s="7" t="s">
        <v>107</v>
      </c>
      <c r="B64" s="26" t="s">
        <v>118</v>
      </c>
      <c r="G64" s="21" t="n">
        <f aca="false">((1+$I48/100)^2/(1+$H48/100)-1)*100</f>
        <v>2.55002440214738</v>
      </c>
      <c r="H64" s="21" t="n">
        <f aca="false">((1+$J48/100)^3/(1+$I48/100)^2-1)*100</f>
        <v>2.80029277810829</v>
      </c>
      <c r="I64" s="27" t="n">
        <f aca="false">(G64-$F48)*100</f>
        <v>5.00244021473772</v>
      </c>
      <c r="J64" s="27" t="n">
        <f aca="false">(H64-G64)*100</f>
        <v>25.0268375960916</v>
      </c>
      <c r="K64" s="26" t="s">
        <v>119</v>
      </c>
    </row>
    <row r="65" customFormat="false" ht="15" hidden="false" customHeight="false" outlineLevel="0" collapsed="false">
      <c r="A65" s="7" t="s">
        <v>110</v>
      </c>
      <c r="B65" s="26" t="s">
        <v>118</v>
      </c>
      <c r="G65" s="21" t="n">
        <f aca="false">((1+$I49/100)^2/(1+$H49/100)-1)*100</f>
        <v>24.264705882353</v>
      </c>
      <c r="H65" s="21" t="n">
        <f aca="false">((1+$J49/100)^3/(1+$I49/100)^2-1)*100</f>
        <v>21.2060946745562</v>
      </c>
      <c r="I65" s="27" t="n">
        <f aca="false">(G65-$F49)*100</f>
        <v>-1373.5294117647</v>
      </c>
      <c r="J65" s="27" t="n">
        <f aca="false">(H65-G65)*100</f>
        <v>-305.861120779676</v>
      </c>
      <c r="K65" s="26" t="s">
        <v>119</v>
      </c>
    </row>
    <row r="67" customFormat="false" ht="15" hidden="false" customHeight="false" outlineLevel="0" collapsed="false">
      <c r="A67" s="5" t="s">
        <v>120</v>
      </c>
      <c r="B67" s="5"/>
      <c r="C67" s="5"/>
      <c r="D67" s="5"/>
      <c r="E67" s="5"/>
      <c r="F67" s="5"/>
      <c r="G67" s="5"/>
      <c r="H67" s="5"/>
      <c r="I67" s="5"/>
      <c r="J67" s="5"/>
      <c r="K67" s="5"/>
    </row>
    <row r="68" customFormat="false" ht="15" hidden="false" customHeight="false" outlineLevel="0" collapsed="false">
      <c r="A68" s="6" t="s">
        <v>4</v>
      </c>
      <c r="B68" s="6" t="s">
        <v>5</v>
      </c>
      <c r="C68" s="6" t="s">
        <v>6</v>
      </c>
      <c r="D68" s="6" t="s">
        <v>7</v>
      </c>
      <c r="E68" s="6" t="s">
        <v>8</v>
      </c>
      <c r="F68" s="6" t="s">
        <v>9</v>
      </c>
      <c r="G68" s="6" t="s">
        <v>121</v>
      </c>
      <c r="H68" s="6" t="s">
        <v>122</v>
      </c>
      <c r="I68" s="6" t="s">
        <v>123</v>
      </c>
      <c r="J68" s="6" t="s">
        <v>124</v>
      </c>
      <c r="K68" s="6" t="s">
        <v>13</v>
      </c>
    </row>
    <row r="69" customFormat="false" ht="15" hidden="false" customHeight="false" outlineLevel="0" collapsed="false">
      <c r="A69" s="7" t="s">
        <v>125</v>
      </c>
      <c r="B69" s="8" t="s">
        <v>126</v>
      </c>
      <c r="C69" s="8" t="s">
        <v>16</v>
      </c>
      <c r="D69" s="9" t="str">
        <f aca="false">IFERROR(bdp($B69,$C69),"")</f>
        <v/>
      </c>
      <c r="E69" s="19" t="n">
        <v>150</v>
      </c>
      <c r="F69" s="11" t="n">
        <f aca="false">IF(AND($B$3=1,ISNUMBER(D69)),D69,E69)</f>
        <v>150</v>
      </c>
      <c r="G69" s="12" t="str">
        <f aca="false">IFERROR(bdp($B69,"CHG_NET_1D"),"")</f>
        <v/>
      </c>
      <c r="H69" s="12" t="str">
        <f aca="false">IFERROR(bdp($B69,"CHG_NET_YTD"),"")</f>
        <v/>
      </c>
      <c r="I69" s="12" t="n">
        <f aca="false">IFERROR(bdp("BRAZIL CDS USD SR 10Y D14 Corp","PX_LAST"),210)</f>
        <v>210</v>
      </c>
      <c r="J69" s="12" t="n">
        <f aca="false">IF(ISNUMBER(I69),I69-F69,"")</f>
        <v>60</v>
      </c>
      <c r="K69" s="18" t="s">
        <v>127</v>
      </c>
    </row>
    <row r="70" customFormat="false" ht="15" hidden="false" customHeight="false" outlineLevel="0" collapsed="false">
      <c r="A70" s="7" t="s">
        <v>128</v>
      </c>
      <c r="B70" s="8" t="s">
        <v>129</v>
      </c>
      <c r="C70" s="8" t="s">
        <v>16</v>
      </c>
      <c r="D70" s="9" t="str">
        <f aca="false">IFERROR(bdp($B70,$C70),"")</f>
        <v/>
      </c>
      <c r="E70" s="19" t="n">
        <v>115</v>
      </c>
      <c r="F70" s="11" t="n">
        <f aca="false">IF(AND($B$3=1,ISNUMBER(D70)),D70,E70)</f>
        <v>115</v>
      </c>
      <c r="G70" s="12" t="str">
        <f aca="false">IFERROR(bdp($B70,"CHG_NET_1D"),"")</f>
        <v/>
      </c>
      <c r="H70" s="12" t="str">
        <f aca="false">IFERROR(bdp($B70,"CHG_NET_YTD"),"")</f>
        <v/>
      </c>
      <c r="I70" s="12" t="n">
        <f aca="false">IFERROR(bdp("MEX CDS USD SR 10Y D14 Corp","PX_LAST"),185)</f>
        <v>185</v>
      </c>
      <c r="J70" s="12" t="n">
        <f aca="false">IF(ISNUMBER(I70),I70-F70,"")</f>
        <v>70</v>
      </c>
      <c r="K70" s="18" t="s">
        <v>127</v>
      </c>
    </row>
    <row r="71" customFormat="false" ht="15" hidden="false" customHeight="false" outlineLevel="0" collapsed="false">
      <c r="A71" s="7" t="s">
        <v>130</v>
      </c>
      <c r="B71" s="8" t="s">
        <v>131</v>
      </c>
      <c r="C71" s="8" t="s">
        <v>16</v>
      </c>
      <c r="D71" s="9" t="str">
        <f aca="false">IFERROR(bdp($B71,$C71),"")</f>
        <v/>
      </c>
      <c r="E71" s="19" t="n">
        <v>200</v>
      </c>
      <c r="F71" s="11" t="n">
        <f aca="false">IF(AND($B$3=1,ISNUMBER(D71)),D71,E71)</f>
        <v>200</v>
      </c>
      <c r="G71" s="12" t="str">
        <f aca="false">IFERROR(bdp($B71,"CHG_NET_1D"),"")</f>
        <v/>
      </c>
      <c r="H71" s="12" t="str">
        <f aca="false">IFERROR(bdp($B71,"CHG_NET_YTD"),"")</f>
        <v/>
      </c>
      <c r="I71" s="12" t="n">
        <f aca="false">IFERROR(bdp("COLOM CDS USD SR 10Y D14 Corp","PX_LAST"),280)</f>
        <v>280</v>
      </c>
      <c r="J71" s="12" t="n">
        <f aca="false">IF(ISNUMBER(I71),I71-F71,"")</f>
        <v>80</v>
      </c>
      <c r="K71" s="18" t="s">
        <v>127</v>
      </c>
    </row>
    <row r="72" customFormat="false" ht="15" hidden="false" customHeight="false" outlineLevel="0" collapsed="false">
      <c r="A72" s="7" t="s">
        <v>132</v>
      </c>
      <c r="B72" s="8" t="s">
        <v>133</v>
      </c>
      <c r="C72" s="8" t="s">
        <v>16</v>
      </c>
      <c r="D72" s="9" t="str">
        <f aca="false">IFERROR(bdp($B72,$C72),"")</f>
        <v/>
      </c>
      <c r="E72" s="19" t="n">
        <v>55</v>
      </c>
      <c r="F72" s="11" t="n">
        <f aca="false">IF(AND($B$3=1,ISNUMBER(D72)),D72,E72)</f>
        <v>55</v>
      </c>
      <c r="G72" s="12" t="str">
        <f aca="false">IFERROR(bdp($B72,"CHG_NET_1D"),"")</f>
        <v/>
      </c>
      <c r="H72" s="12" t="str">
        <f aca="false">IFERROR(bdp($B72,"CHG_NET_YTD"),"")</f>
        <v/>
      </c>
      <c r="I72" s="12" t="n">
        <f aca="false">IFERROR(bdp("CHILE CDS USD SR 10Y D14 Corp","PX_LAST"),95)</f>
        <v>95</v>
      </c>
      <c r="J72" s="12" t="n">
        <f aca="false">IF(ISNUMBER(I72),I72-F72,"")</f>
        <v>40</v>
      </c>
      <c r="K72" s="18" t="s">
        <v>127</v>
      </c>
    </row>
    <row r="73" customFormat="false" ht="15" hidden="false" customHeight="false" outlineLevel="0" collapsed="false">
      <c r="A73" s="7" t="s">
        <v>134</v>
      </c>
      <c r="B73" s="8" t="s">
        <v>135</v>
      </c>
      <c r="C73" s="8" t="s">
        <v>16</v>
      </c>
      <c r="D73" s="9" t="str">
        <f aca="false">IFERROR(bdp($B73,$C73),"")</f>
        <v/>
      </c>
      <c r="E73" s="19" t="n">
        <v>85</v>
      </c>
      <c r="F73" s="11" t="n">
        <f aca="false">IF(AND($B$3=1,ISNUMBER(D73)),D73,E73)</f>
        <v>85</v>
      </c>
      <c r="G73" s="12" t="str">
        <f aca="false">IFERROR(bdp($B73,"CHG_NET_1D"),"")</f>
        <v/>
      </c>
      <c r="H73" s="12" t="str">
        <f aca="false">IFERROR(bdp($B73,"CHG_NET_YTD"),"")</f>
        <v/>
      </c>
      <c r="I73" s="12" t="n">
        <f aca="false">IFERROR(bdp("PERU CDS USD SR 10Y D14 Corp","PX_LAST"),130)</f>
        <v>130</v>
      </c>
      <c r="J73" s="12" t="n">
        <f aca="false">IF(ISNUMBER(I73),I73-F73,"")</f>
        <v>45</v>
      </c>
      <c r="K73" s="18" t="s">
        <v>127</v>
      </c>
    </row>
    <row r="74" customFormat="false" ht="15" hidden="false" customHeight="false" outlineLevel="0" collapsed="false">
      <c r="A74" s="7" t="s">
        <v>136</v>
      </c>
      <c r="B74" s="8" t="s">
        <v>137</v>
      </c>
      <c r="C74" s="8" t="s">
        <v>16</v>
      </c>
      <c r="D74" s="9" t="str">
        <f aca="false">IFERROR(bdp($B74,$C74),"")</f>
        <v/>
      </c>
      <c r="E74" s="19" t="n">
        <v>110</v>
      </c>
      <c r="F74" s="11" t="n">
        <f aca="false">IF(AND($B$3=1,ISNUMBER(D74)),D74,E74)</f>
        <v>110</v>
      </c>
      <c r="G74" s="12" t="str">
        <f aca="false">IFERROR(bdp($B74,"CHG_NET_1D"),"")</f>
        <v/>
      </c>
      <c r="H74" s="12" t="str">
        <f aca="false">IFERROR(bdp($B74,"CHG_NET_YTD"),"")</f>
        <v/>
      </c>
      <c r="I74" s="12" t="n">
        <f aca="false">IFERROR(bdp("PANAMA CDS USD SR 10Y D14 Corp","PX_LAST"),170)</f>
        <v>170</v>
      </c>
      <c r="J74" s="12" t="n">
        <f aca="false">IF(ISNUMBER(I74),I74-F74,"")</f>
        <v>60</v>
      </c>
      <c r="K74" s="18" t="s">
        <v>127</v>
      </c>
    </row>
    <row r="75" customFormat="false" ht="15" hidden="false" customHeight="false" outlineLevel="0" collapsed="false">
      <c r="A75" s="7" t="s">
        <v>138</v>
      </c>
      <c r="B75" s="8" t="s">
        <v>139</v>
      </c>
      <c r="C75" s="8" t="s">
        <v>16</v>
      </c>
      <c r="D75" s="9" t="str">
        <f aca="false">IFERROR(bdp($B75,$C75),"")</f>
        <v/>
      </c>
      <c r="E75" s="19" t="n">
        <v>600</v>
      </c>
      <c r="F75" s="11" t="n">
        <f aca="false">IF(AND($B$3=1,ISNUMBER(D75)),D75,E75)</f>
        <v>600</v>
      </c>
      <c r="G75" s="12" t="str">
        <f aca="false">IFERROR(bdp($B75,"CHG_NET_1D"),"")</f>
        <v/>
      </c>
      <c r="H75" s="12" t="str">
        <f aca="false">IFERROR(bdp($B75,"CHG_NET_YTD"),"")</f>
        <v/>
      </c>
      <c r="I75" s="12" t="str">
        <f aca="false">IFERROR(bdp("ARGENT CDS USD SR 10Y D14 Corp","PX_LAST"),"")</f>
        <v/>
      </c>
      <c r="J75" s="12" t="str">
        <f aca="false">IF(ISNUMBER(I75),I75-F75,"")</f>
        <v/>
      </c>
      <c r="K75" s="18" t="s">
        <v>127</v>
      </c>
    </row>
    <row r="76" customFormat="false" ht="15" hidden="false" customHeight="false" outlineLevel="0" collapsed="false">
      <c r="A76" s="7" t="s">
        <v>140</v>
      </c>
      <c r="B76" s="8" t="s">
        <v>141</v>
      </c>
      <c r="C76" s="8" t="s">
        <v>16</v>
      </c>
      <c r="D76" s="9" t="str">
        <f aca="false">IFERROR(bdp($B76,$C76),"")</f>
        <v/>
      </c>
      <c r="E76" s="19" t="n">
        <v>180</v>
      </c>
      <c r="F76" s="11" t="n">
        <f aca="false">IF(AND($B$3=1,ISNUMBER(D76)),D76,E76)</f>
        <v>180</v>
      </c>
      <c r="G76" s="12" t="str">
        <f aca="false">IFERROR(bdp($B76,"CHG_NET_1D"),"")</f>
        <v/>
      </c>
      <c r="H76" s="12" t="str">
        <f aca="false">IFERROR(bdp($B76,"CHG_NET_YTD"),"")</f>
        <v/>
      </c>
      <c r="I76" s="12" t="str">
        <f aca="false">IFERROR(bdp("DOMREP CDS USD SR 10Y D14 Corp","PX_LAST"),"")</f>
        <v/>
      </c>
      <c r="J76" s="12" t="str">
        <f aca="false">IF(ISNUMBER(I76),I76-F76,"")</f>
        <v/>
      </c>
      <c r="K76" s="18" t="s">
        <v>127</v>
      </c>
    </row>
    <row r="77" customFormat="false" ht="15" hidden="false" customHeight="false" outlineLevel="0" collapsed="false">
      <c r="A77" s="7" t="s">
        <v>142</v>
      </c>
      <c r="B77" s="8" t="s">
        <v>143</v>
      </c>
      <c r="C77" s="8" t="s">
        <v>16</v>
      </c>
      <c r="D77" s="9" t="str">
        <f aca="false">IFERROR(bdp($B77,$C77),"")</f>
        <v/>
      </c>
      <c r="E77" s="19" t="n">
        <v>350</v>
      </c>
      <c r="F77" s="11" t="n">
        <f aca="false">IF(AND($B$3=1,ISNUMBER(D77)),D77,E77)</f>
        <v>350</v>
      </c>
      <c r="G77" s="12" t="str">
        <f aca="false">IFERROR(bdp($B77,"CHG_NET_1D"),"")</f>
        <v/>
      </c>
      <c r="H77" s="12" t="str">
        <f aca="false">IFERROR(bdp($B77,"CHG_NET_YTD"),"")</f>
        <v/>
      </c>
      <c r="I77" s="12" t="str">
        <f aca="false">IFERROR(bdp("ELSALV CDS USD SR 10Y D14 Corp","PX_LAST"),"")</f>
        <v/>
      </c>
      <c r="J77" s="12" t="str">
        <f aca="false">IF(ISNUMBER(I77),I77-F77,"")</f>
        <v/>
      </c>
      <c r="K77" s="18" t="s">
        <v>127</v>
      </c>
    </row>
    <row r="78" customFormat="false" ht="15" hidden="false" customHeight="false" outlineLevel="0" collapsed="false">
      <c r="A78" s="7" t="s">
        <v>144</v>
      </c>
      <c r="B78" s="8" t="s">
        <v>145</v>
      </c>
      <c r="C78" s="8" t="s">
        <v>16</v>
      </c>
      <c r="D78" s="9" t="str">
        <f aca="false">IFERROR(bdp($B78,$C78),"")</f>
        <v/>
      </c>
      <c r="E78" s="19" t="n">
        <v>900</v>
      </c>
      <c r="F78" s="11" t="n">
        <f aca="false">IF(AND($B$3=1,ISNUMBER(D78)),D78,E78)</f>
        <v>900</v>
      </c>
      <c r="G78" s="12" t="str">
        <f aca="false">IFERROR(bdp($B78,"CHG_NET_1D"),"")</f>
        <v/>
      </c>
      <c r="H78" s="12" t="str">
        <f aca="false">IFERROR(bdp($B78,"CHG_NET_YTD"),"")</f>
        <v/>
      </c>
      <c r="I78" s="12" t="str">
        <f aca="false">IFERROR(bdp("ECUA CDS USD SR 10Y D14 Corp","PX_LAST"),"")</f>
        <v/>
      </c>
      <c r="J78" s="12" t="str">
        <f aca="false">IF(ISNUMBER(I78),I78-F78,"")</f>
        <v/>
      </c>
      <c r="K78" s="18" t="s">
        <v>127</v>
      </c>
    </row>
    <row r="79" customFormat="false" ht="15" hidden="false" customHeight="false" outlineLevel="0" collapsed="false">
      <c r="A79" s="7" t="s">
        <v>146</v>
      </c>
      <c r="B79" s="8" t="s">
        <v>147</v>
      </c>
      <c r="C79" s="8" t="s">
        <v>16</v>
      </c>
      <c r="D79" s="9" t="str">
        <f aca="false">IFERROR(bdp($B79,$C79),"")</f>
        <v/>
      </c>
      <c r="E79" s="19" t="n">
        <v>260</v>
      </c>
      <c r="F79" s="11" t="n">
        <f aca="false">IF(AND($B$3=1,ISNUMBER(D79)),D79,E79)</f>
        <v>260</v>
      </c>
      <c r="G79" s="12" t="str">
        <f aca="false">IFERROR(bdp($B79,"CHG_NET_1D"),"")</f>
        <v/>
      </c>
      <c r="H79" s="12" t="str">
        <f aca="false">IFERROR(bdp($B79,"CHG_NET_YTD"),"")</f>
        <v/>
      </c>
      <c r="I79" s="12" t="n">
        <f aca="false">IFERROR(bdp("TURKEY CDS USD SR 10Y D14 Corp","PX_LAST"),330)</f>
        <v>330</v>
      </c>
      <c r="J79" s="12" t="n">
        <f aca="false">IF(ISNUMBER(I79),I79-F79,"")</f>
        <v>70</v>
      </c>
      <c r="K79" s="18" t="s">
        <v>127</v>
      </c>
    </row>
    <row r="80" customFormat="false" ht="15" hidden="false" customHeight="false" outlineLevel="0" collapsed="false">
      <c r="A80" s="7" t="s">
        <v>148</v>
      </c>
      <c r="B80" s="8" t="s">
        <v>149</v>
      </c>
      <c r="C80" s="8" t="s">
        <v>16</v>
      </c>
      <c r="D80" s="9" t="str">
        <f aca="false">IFERROR(bdp($B80,$C80),"")</f>
        <v/>
      </c>
      <c r="E80" s="19" t="n">
        <v>190</v>
      </c>
      <c r="F80" s="11" t="n">
        <f aca="false">IF(AND($B$3=1,ISNUMBER(D80)),D80,E80)</f>
        <v>190</v>
      </c>
      <c r="G80" s="12" t="str">
        <f aca="false">IFERROR(bdp($B80,"CHG_NET_1D"),"")</f>
        <v/>
      </c>
      <c r="H80" s="12" t="str">
        <f aca="false">IFERROR(bdp($B80,"CHG_NET_YTD"),"")</f>
        <v/>
      </c>
      <c r="I80" s="12" t="n">
        <f aca="false">IFERROR(bdp("SOAF CDS USD SR 10Y D14 Corp","PX_LAST"),260)</f>
        <v>260</v>
      </c>
      <c r="J80" s="12" t="n">
        <f aca="false">IF(ISNUMBER(I80),I80-F80,"")</f>
        <v>70</v>
      </c>
      <c r="K80" s="18" t="s">
        <v>127</v>
      </c>
    </row>
    <row r="81" customFormat="false" ht="15" hidden="false" customHeight="false" outlineLevel="0" collapsed="false">
      <c r="A81" s="7" t="s">
        <v>150</v>
      </c>
      <c r="B81" s="8" t="s">
        <v>151</v>
      </c>
      <c r="C81" s="8" t="s">
        <v>16</v>
      </c>
      <c r="D81" s="9" t="str">
        <f aca="false">IFERROR(bdp($B81,$C81),"")</f>
        <v/>
      </c>
      <c r="E81" s="19" t="n">
        <v>75</v>
      </c>
      <c r="F81" s="11" t="n">
        <f aca="false">IF(AND($B$3=1,ISNUMBER(D81)),D81,E81)</f>
        <v>75</v>
      </c>
      <c r="G81" s="12" t="str">
        <f aca="false">IFERROR(bdp($B81,"CHG_NET_1D"),"")</f>
        <v/>
      </c>
      <c r="H81" s="12" t="str">
        <f aca="false">IFERROR(bdp($B81,"CHG_NET_YTD"),"")</f>
        <v/>
      </c>
      <c r="I81" s="12" t="n">
        <f aca="false">IFERROR(bdp("INDON CDS USD SR 10Y D14 Corp","PX_LAST"),130)</f>
        <v>130</v>
      </c>
      <c r="J81" s="12" t="n">
        <f aca="false">IF(ISNUMBER(I81),I81-F81,"")</f>
        <v>55</v>
      </c>
      <c r="K81" s="18" t="s">
        <v>127</v>
      </c>
    </row>
    <row r="82" customFormat="false" ht="15" hidden="false" customHeight="false" outlineLevel="0" collapsed="false">
      <c r="A82" s="7" t="s">
        <v>152</v>
      </c>
      <c r="B82" s="8" t="s">
        <v>153</v>
      </c>
      <c r="C82" s="8" t="s">
        <v>16</v>
      </c>
      <c r="D82" s="9" t="str">
        <f aca="false">IFERROR(bdp($B82,$C82),"")</f>
        <v/>
      </c>
      <c r="E82" s="19" t="n">
        <v>330</v>
      </c>
      <c r="F82" s="11" t="n">
        <f aca="false">IF(AND($B$3=1,ISNUMBER(D82)),D82,E82)</f>
        <v>330</v>
      </c>
      <c r="K82" s="18" t="s">
        <v>154</v>
      </c>
    </row>
    <row r="83" customFormat="false" ht="15" hidden="false" customHeight="false" outlineLevel="0" collapsed="false">
      <c r="A83" s="7" t="s">
        <v>155</v>
      </c>
      <c r="B83" s="8" t="s">
        <v>156</v>
      </c>
      <c r="C83" s="8" t="s">
        <v>16</v>
      </c>
      <c r="D83" s="9" t="str">
        <f aca="false">IFERROR(bdp($B83,$C83),"")</f>
        <v/>
      </c>
      <c r="E83" s="19" t="n">
        <v>360</v>
      </c>
      <c r="F83" s="11" t="n">
        <f aca="false">IF(AND($B$3=1,ISNUMBER(D83)),D83,E83)</f>
        <v>360</v>
      </c>
      <c r="K83" s="18" t="s">
        <v>157</v>
      </c>
    </row>
    <row r="85" customFormat="false" ht="15" hidden="false" customHeight="false" outlineLevel="0" collapsed="false">
      <c r="A85" s="5" t="s">
        <v>158</v>
      </c>
      <c r="B85" s="5"/>
      <c r="C85" s="5"/>
      <c r="D85" s="5"/>
      <c r="E85" s="5"/>
      <c r="F85" s="5"/>
      <c r="G85" s="5"/>
      <c r="H85" s="5"/>
      <c r="I85" s="5"/>
      <c r="J85" s="5"/>
      <c r="K85" s="5"/>
    </row>
    <row r="86" customFormat="false" ht="15" hidden="false" customHeight="false" outlineLevel="0" collapsed="false">
      <c r="A86" s="6" t="s">
        <v>4</v>
      </c>
      <c r="B86" s="6" t="s">
        <v>5</v>
      </c>
      <c r="C86" s="6" t="s">
        <v>6</v>
      </c>
      <c r="D86" s="6" t="s">
        <v>7</v>
      </c>
      <c r="E86" s="6" t="s">
        <v>8</v>
      </c>
      <c r="F86" s="6" t="s">
        <v>9</v>
      </c>
      <c r="G86" s="6" t="s">
        <v>159</v>
      </c>
      <c r="H86" s="6" t="s">
        <v>160</v>
      </c>
      <c r="I86" s="6"/>
      <c r="J86" s="6"/>
      <c r="K86" s="6" t="s">
        <v>13</v>
      </c>
    </row>
    <row r="87" customFormat="false" ht="15" hidden="false" customHeight="false" outlineLevel="0" collapsed="false">
      <c r="A87" s="7" t="s">
        <v>161</v>
      </c>
      <c r="B87" s="8" t="s">
        <v>162</v>
      </c>
      <c r="C87" s="8" t="s">
        <v>16</v>
      </c>
      <c r="D87" s="21" t="str">
        <f aca="false">IFERROR(bdp($B87,$C87),"")</f>
        <v/>
      </c>
      <c r="E87" s="22" t="n">
        <v>4.6</v>
      </c>
      <c r="F87" s="23" t="n">
        <f aca="false">IF(AND($B$3=1,ISNUMBER(D87)),D87,E87)</f>
        <v>4.6</v>
      </c>
      <c r="G87" s="12" t="str">
        <f aca="false">IFERROR(bdp($B87,"CHG_NET_1D")*100,"")</f>
        <v/>
      </c>
      <c r="H87" s="12" t="str">
        <f aca="false">IFERROR(bdp($B87,"CHG_NET_YTD")*100,"")</f>
        <v/>
      </c>
      <c r="K87" s="18" t="s">
        <v>26</v>
      </c>
    </row>
    <row r="88" customFormat="false" ht="15" hidden="false" customHeight="false" outlineLevel="0" collapsed="false">
      <c r="A88" s="7" t="s">
        <v>163</v>
      </c>
      <c r="B88" s="8" t="s">
        <v>164</v>
      </c>
      <c r="C88" s="8" t="s">
        <v>16</v>
      </c>
      <c r="D88" s="21" t="str">
        <f aca="false">IFERROR(bdp($B88,$C88),"")</f>
        <v/>
      </c>
      <c r="E88" s="22" t="n">
        <v>4.7</v>
      </c>
      <c r="F88" s="23" t="n">
        <f aca="false">IF(AND($B$3=1,ISNUMBER(D88)),D88,E88)</f>
        <v>4.7</v>
      </c>
      <c r="G88" s="12" t="str">
        <f aca="false">IFERROR(bdp($B88,"CHG_NET_1D")*100,"")</f>
        <v/>
      </c>
      <c r="H88" s="12" t="str">
        <f aca="false">IFERROR(bdp($B88,"CHG_NET_YTD")*100,"")</f>
        <v/>
      </c>
      <c r="K88" s="18" t="s">
        <v>26</v>
      </c>
    </row>
    <row r="89" customFormat="false" ht="15" hidden="false" customHeight="false" outlineLevel="0" collapsed="false">
      <c r="A89" s="7" t="s">
        <v>165</v>
      </c>
      <c r="B89" s="8" t="s">
        <v>166</v>
      </c>
      <c r="C89" s="8" t="s">
        <v>16</v>
      </c>
      <c r="D89" s="21" t="str">
        <f aca="false">IFERROR(bdp($B89,$C89),"")</f>
        <v/>
      </c>
      <c r="E89" s="22" t="n">
        <v>4.9</v>
      </c>
      <c r="F89" s="23" t="n">
        <f aca="false">IF(AND($B$3=1,ISNUMBER(D89)),D89,E89)</f>
        <v>4.9</v>
      </c>
      <c r="G89" s="12" t="str">
        <f aca="false">IFERROR(bdp($B89,"CHG_NET_1D")*100,"")</f>
        <v/>
      </c>
      <c r="H89" s="12" t="str">
        <f aca="false">IFERROR(bdp($B89,"CHG_NET_YTD")*100,"")</f>
        <v/>
      </c>
      <c r="K89" s="18" t="s">
        <v>26</v>
      </c>
    </row>
    <row r="90" customFormat="false" ht="15" hidden="false" customHeight="false" outlineLevel="0" collapsed="false">
      <c r="A90" s="7" t="s">
        <v>167</v>
      </c>
      <c r="B90" s="8" t="s">
        <v>168</v>
      </c>
      <c r="C90" s="8" t="s">
        <v>16</v>
      </c>
      <c r="D90" s="21" t="str">
        <f aca="false">IFERROR(bdp($B90,$C90),"")</f>
        <v/>
      </c>
      <c r="E90" s="22" t="n">
        <v>5.3</v>
      </c>
      <c r="F90" s="23" t="n">
        <f aca="false">IF(AND($B$3=1,ISNUMBER(D90)),D90,E90)</f>
        <v>5.3</v>
      </c>
      <c r="G90" s="12" t="str">
        <f aca="false">IFERROR(bdp($B90,"CHG_NET_1D")*100,"")</f>
        <v/>
      </c>
      <c r="H90" s="12" t="str">
        <f aca="false">IFERROR(bdp($B90,"CHG_NET_YTD")*100,"")</f>
        <v/>
      </c>
      <c r="K90" s="18" t="s">
        <v>26</v>
      </c>
    </row>
    <row r="91" customFormat="false" ht="15" hidden="false" customHeight="false" outlineLevel="0" collapsed="false">
      <c r="A91" s="7" t="s">
        <v>169</v>
      </c>
      <c r="B91" s="8" t="s">
        <v>170</v>
      </c>
      <c r="C91" s="8" t="s">
        <v>16</v>
      </c>
      <c r="D91" s="21" t="str">
        <f aca="false">IFERROR(bdp($B91,$C91),"")</f>
        <v/>
      </c>
      <c r="E91" s="22" t="n">
        <v>5.2</v>
      </c>
      <c r="F91" s="23" t="n">
        <f aca="false">IF(AND($B$3=1,ISNUMBER(D91)),D91,E91)</f>
        <v>5.2</v>
      </c>
      <c r="G91" s="12" t="str">
        <f aca="false">IFERROR(bdp($B91,"CHG_NET_1D")*100,"")</f>
        <v/>
      </c>
      <c r="H91" s="12" t="str">
        <f aca="false">IFERROR(bdp($B91,"CHG_NET_YTD")*100,"")</f>
        <v/>
      </c>
      <c r="K91" s="18" t="s">
        <v>26</v>
      </c>
    </row>
    <row r="92" customFormat="false" ht="15" hidden="false" customHeight="false" outlineLevel="0" collapsed="false">
      <c r="A92" s="7" t="s">
        <v>171</v>
      </c>
      <c r="F92" s="28" t="n">
        <f aca="false">($F$89-$F$87)*100</f>
        <v>30.0000000000001</v>
      </c>
      <c r="K92" s="26"/>
    </row>
    <row r="93" customFormat="false" ht="15" hidden="false" customHeight="false" outlineLevel="0" collapsed="false">
      <c r="A93" s="7" t="s">
        <v>172</v>
      </c>
      <c r="F93" s="28" t="n">
        <f aca="false">($F$91-$F$88)*100</f>
        <v>50</v>
      </c>
      <c r="K93" s="26"/>
    </row>
    <row r="94" customFormat="false" ht="15" hidden="false" customHeight="false" outlineLevel="0" collapsed="false">
      <c r="A94" s="7" t="s">
        <v>173</v>
      </c>
      <c r="F94" s="28" t="n">
        <f aca="false">($F$91-$F$89)*100</f>
        <v>30</v>
      </c>
      <c r="K94" s="26"/>
    </row>
    <row r="95" customFormat="false" ht="15" hidden="false" customHeight="false" outlineLevel="0" collapsed="false">
      <c r="A95" s="7" t="s">
        <v>174</v>
      </c>
      <c r="B95" s="8" t="s">
        <v>175</v>
      </c>
      <c r="C95" s="8" t="s">
        <v>16</v>
      </c>
      <c r="D95" s="21" t="str">
        <f aca="false">IFERROR(bdp($B95,$C95),"")</f>
        <v/>
      </c>
      <c r="E95" s="25" t="n">
        <v>3.87</v>
      </c>
      <c r="F95" s="23" t="n">
        <f aca="false">IF(AND($B$3=1,ISNUMBER(D95)),D95,E95)</f>
        <v>3.87</v>
      </c>
      <c r="G95" s="12" t="str">
        <f aca="false">IFERROR(bdp($B95,"CHG_NET_1D")*100,"")</f>
        <v/>
      </c>
      <c r="H95" s="12" t="str">
        <f aca="false">IFERROR(bdp($B95,"CHG_NET_YTD")*100,"")</f>
        <v/>
      </c>
      <c r="K95" s="13" t="s">
        <v>17</v>
      </c>
    </row>
    <row r="97" customFormat="false" ht="15" hidden="false" customHeight="false" outlineLevel="0" collapsed="false">
      <c r="A97" s="5" t="s">
        <v>176</v>
      </c>
      <c r="B97" s="5"/>
      <c r="C97" s="5"/>
      <c r="D97" s="5"/>
      <c r="E97" s="5"/>
      <c r="F97" s="5"/>
      <c r="G97" s="5"/>
      <c r="H97" s="5"/>
      <c r="I97" s="5"/>
      <c r="J97" s="5"/>
      <c r="K97" s="5"/>
    </row>
    <row r="98" customFormat="false" ht="15" hidden="false" customHeight="false" outlineLevel="0" collapsed="false">
      <c r="A98" s="6" t="s">
        <v>4</v>
      </c>
      <c r="B98" s="6" t="s">
        <v>5</v>
      </c>
      <c r="C98" s="6" t="s">
        <v>6</v>
      </c>
      <c r="D98" s="6" t="s">
        <v>7</v>
      </c>
      <c r="E98" s="6" t="s">
        <v>8</v>
      </c>
      <c r="F98" s="6" t="s">
        <v>9</v>
      </c>
      <c r="G98" s="6" t="s">
        <v>159</v>
      </c>
      <c r="H98" s="6" t="s">
        <v>160</v>
      </c>
      <c r="I98" s="6"/>
      <c r="J98" s="6"/>
      <c r="K98" s="6" t="s">
        <v>13</v>
      </c>
    </row>
    <row r="99" customFormat="false" ht="15" hidden="false" customHeight="false" outlineLevel="0" collapsed="false">
      <c r="A99" s="7" t="s">
        <v>177</v>
      </c>
      <c r="B99" s="8" t="s">
        <v>178</v>
      </c>
      <c r="C99" s="8" t="s">
        <v>16</v>
      </c>
      <c r="D99" s="21" t="str">
        <f aca="false">IFERROR(bdp($B99,$C99),"")</f>
        <v/>
      </c>
      <c r="E99" s="22" t="n">
        <v>2</v>
      </c>
      <c r="F99" s="23" t="n">
        <f aca="false">IF(AND($B$3=1,ISNUMBER(D99)),D99,E99)</f>
        <v>2</v>
      </c>
      <c r="G99" s="12" t="str">
        <f aca="false">IFERROR(bdp($B99,"CHG_NET_1D")*100,"")</f>
        <v/>
      </c>
      <c r="H99" s="12" t="str">
        <f aca="false">IFERROR(bdp($B99,"CHG_NET_YTD")*100,"")</f>
        <v/>
      </c>
      <c r="K99" s="18" t="s">
        <v>26</v>
      </c>
    </row>
    <row r="100" customFormat="false" ht="15" hidden="false" customHeight="false" outlineLevel="0" collapsed="false">
      <c r="A100" s="7" t="s">
        <v>179</v>
      </c>
      <c r="B100" s="8" t="s">
        <v>180</v>
      </c>
      <c r="C100" s="8" t="s">
        <v>16</v>
      </c>
      <c r="D100" s="21" t="str">
        <f aca="false">IFERROR(bdp($B100,$C100),"")</f>
        <v/>
      </c>
      <c r="E100" s="22" t="n">
        <v>2.7</v>
      </c>
      <c r="F100" s="23" t="n">
        <f aca="false">IF(AND($B$3=1,ISNUMBER(D100)),D100,E100)</f>
        <v>2.7</v>
      </c>
      <c r="G100" s="12" t="str">
        <f aca="false">IFERROR(bdp($B100,"CHG_NET_1D")*100,"")</f>
        <v/>
      </c>
      <c r="H100" s="12" t="str">
        <f aca="false">IFERROR(bdp($B100,"CHG_NET_YTD")*100,"")</f>
        <v/>
      </c>
      <c r="K100" s="18" t="s">
        <v>26</v>
      </c>
    </row>
    <row r="101" customFormat="false" ht="15" hidden="false" customHeight="false" outlineLevel="0" collapsed="false">
      <c r="A101" s="7" t="s">
        <v>181</v>
      </c>
      <c r="B101" s="8" t="s">
        <v>182</v>
      </c>
      <c r="C101" s="8" t="s">
        <v>16</v>
      </c>
      <c r="D101" s="21" t="str">
        <f aca="false">IFERROR(bdp($B101,$C101),"")</f>
        <v/>
      </c>
      <c r="E101" s="22" t="n">
        <v>3.2</v>
      </c>
      <c r="F101" s="23" t="n">
        <f aca="false">IF(AND($B$3=1,ISNUMBER(D101)),D101,E101)</f>
        <v>3.2</v>
      </c>
      <c r="G101" s="12" t="str">
        <f aca="false">IFERROR(bdp($B101,"CHG_NET_1D")*100,"")</f>
        <v/>
      </c>
      <c r="H101" s="12" t="str">
        <f aca="false">IFERROR(bdp($B101,"CHG_NET_YTD")*100,"")</f>
        <v/>
      </c>
      <c r="K101" s="18" t="s">
        <v>26</v>
      </c>
    </row>
    <row r="102" customFormat="false" ht="15" hidden="false" customHeight="false" outlineLevel="0" collapsed="false">
      <c r="A102" s="7" t="s">
        <v>183</v>
      </c>
      <c r="B102" s="8" t="s">
        <v>184</v>
      </c>
      <c r="C102" s="8" t="s">
        <v>16</v>
      </c>
      <c r="D102" s="21" t="str">
        <f aca="false">IFERROR(bdp($B102,$C102),"")</f>
        <v/>
      </c>
      <c r="E102" s="22" t="n">
        <v>2.2</v>
      </c>
      <c r="F102" s="23" t="n">
        <f aca="false">IF(AND($B$3=1,ISNUMBER(D102)),D102,E102)</f>
        <v>2.2</v>
      </c>
      <c r="G102" s="12" t="str">
        <f aca="false">IFERROR(bdp($B102,"CHG_NET_1D")*100,"")</f>
        <v/>
      </c>
      <c r="H102" s="12" t="str">
        <f aca="false">IFERROR(bdp($B102,"CHG_NET_YTD")*100,"")</f>
        <v/>
      </c>
      <c r="K102" s="18" t="s">
        <v>26</v>
      </c>
    </row>
    <row r="103" customFormat="false" ht="15" hidden="false" customHeight="false" outlineLevel="0" collapsed="false">
      <c r="A103" s="7" t="s">
        <v>185</v>
      </c>
      <c r="B103" s="8" t="s">
        <v>186</v>
      </c>
      <c r="C103" s="8" t="s">
        <v>16</v>
      </c>
      <c r="D103" s="21" t="str">
        <f aca="false">IFERROR(bdp($B103,$C103),"")</f>
        <v/>
      </c>
      <c r="E103" s="22" t="n">
        <v>3.45</v>
      </c>
      <c r="F103" s="23" t="n">
        <f aca="false">IF(AND($B$3=1,ISNUMBER(D103)),D103,E103)</f>
        <v>3.45</v>
      </c>
      <c r="G103" s="12" t="str">
        <f aca="false">IFERROR(bdp($B103,"CHG_NET_1D")*100,"")</f>
        <v/>
      </c>
      <c r="H103" s="12" t="str">
        <f aca="false">IFERROR(bdp($B103,"CHG_NET_YTD")*100,"")</f>
        <v/>
      </c>
      <c r="K103" s="18" t="s">
        <v>26</v>
      </c>
    </row>
    <row r="104" customFormat="false" ht="15" hidden="false" customHeight="false" outlineLevel="0" collapsed="false">
      <c r="A104" s="7" t="s">
        <v>187</v>
      </c>
      <c r="B104" s="8" t="s">
        <v>188</v>
      </c>
      <c r="C104" s="8" t="s">
        <v>16</v>
      </c>
      <c r="D104" s="21" t="str">
        <f aca="false">IFERROR(bdp($B104,$C104),"")</f>
        <v/>
      </c>
      <c r="E104" s="22" t="n">
        <v>4.2</v>
      </c>
      <c r="F104" s="23" t="n">
        <f aca="false">IF(AND($B$3=1,ISNUMBER(D104)),D104,E104)</f>
        <v>4.2</v>
      </c>
      <c r="G104" s="12" t="str">
        <f aca="false">IFERROR(bdp($B104,"CHG_NET_1D")*100,"")</f>
        <v/>
      </c>
      <c r="H104" s="12" t="str">
        <f aca="false">IFERROR(bdp($B104,"CHG_NET_YTD")*100,"")</f>
        <v/>
      </c>
      <c r="K104" s="18" t="s">
        <v>26</v>
      </c>
    </row>
    <row r="105" customFormat="false" ht="15" hidden="false" customHeight="false" outlineLevel="0" collapsed="false">
      <c r="A105" s="7" t="s">
        <v>189</v>
      </c>
      <c r="B105" s="8" t="s">
        <v>190</v>
      </c>
      <c r="C105" s="8" t="s">
        <v>16</v>
      </c>
      <c r="D105" s="21" t="str">
        <f aca="false">IFERROR(bdp($B105,$C105),"")</f>
        <v/>
      </c>
      <c r="E105" s="22" t="n">
        <v>3.55</v>
      </c>
      <c r="F105" s="23" t="n">
        <f aca="false">IF(AND($B$3=1,ISNUMBER(D105)),D105,E105)</f>
        <v>3.55</v>
      </c>
      <c r="G105" s="12" t="str">
        <f aca="false">IFERROR(bdp($B105,"CHG_NET_1D")*100,"")</f>
        <v/>
      </c>
      <c r="H105" s="12" t="str">
        <f aca="false">IFERROR(bdp($B105,"CHG_NET_YTD")*100,"")</f>
        <v/>
      </c>
      <c r="K105" s="18" t="s">
        <v>26</v>
      </c>
    </row>
    <row r="106" customFormat="false" ht="15" hidden="false" customHeight="false" outlineLevel="0" collapsed="false">
      <c r="A106" s="7" t="s">
        <v>191</v>
      </c>
      <c r="B106" s="8" t="s">
        <v>192</v>
      </c>
      <c r="C106" s="8" t="s">
        <v>16</v>
      </c>
      <c r="D106" s="21" t="str">
        <f aca="false">IFERROR(bdp($B106,$C106),"")</f>
        <v/>
      </c>
      <c r="E106" s="22" t="n">
        <v>3.25</v>
      </c>
      <c r="F106" s="23" t="n">
        <f aca="false">IF(AND($B$3=1,ISNUMBER(D106)),D106,E106)</f>
        <v>3.25</v>
      </c>
      <c r="G106" s="12" t="str">
        <f aca="false">IFERROR(bdp($B106,"CHG_NET_1D")*100,"")</f>
        <v/>
      </c>
      <c r="H106" s="12" t="str">
        <f aca="false">IFERROR(bdp($B106,"CHG_NET_YTD")*100,"")</f>
        <v/>
      </c>
      <c r="K106" s="18" t="s">
        <v>26</v>
      </c>
    </row>
    <row r="107" customFormat="false" ht="15" hidden="false" customHeight="false" outlineLevel="0" collapsed="false">
      <c r="A107" s="7" t="s">
        <v>193</v>
      </c>
      <c r="F107" s="28" t="n">
        <f aca="false">($F$103-$F$100)*100</f>
        <v>75</v>
      </c>
      <c r="K107" s="26" t="s">
        <v>194</v>
      </c>
    </row>
    <row r="108" customFormat="false" ht="15" hidden="false" customHeight="false" outlineLevel="0" collapsed="false">
      <c r="A108" s="7" t="s">
        <v>195</v>
      </c>
      <c r="F108" s="28" t="n">
        <f aca="false">($F$105-$F$100)*100</f>
        <v>85</v>
      </c>
      <c r="K108" s="26"/>
    </row>
    <row r="109" customFormat="false" ht="15" hidden="false" customHeight="false" outlineLevel="0" collapsed="false">
      <c r="A109" s="7" t="s">
        <v>196</v>
      </c>
      <c r="F109" s="28" t="n">
        <f aca="false">($F$106-$F$103)*100</f>
        <v>-20</v>
      </c>
      <c r="K109" s="26" t="s">
        <v>197</v>
      </c>
    </row>
    <row r="110" customFormat="false" ht="15" hidden="false" customHeight="false" outlineLevel="0" collapsed="false">
      <c r="A110" s="7" t="s">
        <v>198</v>
      </c>
      <c r="B110" s="8" t="s">
        <v>199</v>
      </c>
      <c r="C110" s="8" t="s">
        <v>16</v>
      </c>
      <c r="D110" s="21" t="str">
        <f aca="false">IFERROR(bdp($B110,$C110),"")</f>
        <v/>
      </c>
      <c r="E110" s="22" t="n">
        <v>3.9</v>
      </c>
      <c r="F110" s="23" t="n">
        <f aca="false">IF(AND($B$3=1,ISNUMBER(D110)),D110,E110)</f>
        <v>3.9</v>
      </c>
      <c r="G110" s="12" t="str">
        <f aca="false">IFERROR(bdp($B110,"CHG_NET_1D")*100,"")</f>
        <v/>
      </c>
      <c r="H110" s="12" t="str">
        <f aca="false">IFERROR(bdp($B110,"CHG_NET_YTD")*100,"")</f>
        <v/>
      </c>
      <c r="K110" s="18" t="s">
        <v>26</v>
      </c>
    </row>
    <row r="111" customFormat="false" ht="15" hidden="false" customHeight="false" outlineLevel="0" collapsed="false">
      <c r="A111" s="7" t="s">
        <v>200</v>
      </c>
      <c r="B111" s="8" t="s">
        <v>201</v>
      </c>
      <c r="C111" s="8" t="s">
        <v>16</v>
      </c>
      <c r="D111" s="21" t="str">
        <f aca="false">IFERROR(bdp($B111,$C111),"")</f>
        <v/>
      </c>
      <c r="E111" s="22" t="n">
        <v>4.7</v>
      </c>
      <c r="F111" s="23" t="n">
        <f aca="false">IF(AND($B$3=1,ISNUMBER(D111)),D111,E111)</f>
        <v>4.7</v>
      </c>
      <c r="G111" s="12" t="str">
        <f aca="false">IFERROR(bdp($B111,"CHG_NET_1D")*100,"")</f>
        <v/>
      </c>
      <c r="H111" s="12" t="str">
        <f aca="false">IFERROR(bdp($B111,"CHG_NET_YTD")*100,"")</f>
        <v/>
      </c>
      <c r="K111" s="18" t="s">
        <v>26</v>
      </c>
    </row>
    <row r="112" customFormat="false" ht="15" hidden="false" customHeight="false" outlineLevel="0" collapsed="false">
      <c r="A112" s="7" t="s">
        <v>202</v>
      </c>
      <c r="B112" s="8" t="s">
        <v>203</v>
      </c>
      <c r="C112" s="8" t="s">
        <v>16</v>
      </c>
      <c r="D112" s="21" t="str">
        <f aca="false">IFERROR(bdp($B112,$C112),"")</f>
        <v/>
      </c>
      <c r="E112" s="22" t="n">
        <v>5.4</v>
      </c>
      <c r="F112" s="23" t="n">
        <f aca="false">IF(AND($B$3=1,ISNUMBER(D112)),D112,E112)</f>
        <v>5.4</v>
      </c>
      <c r="G112" s="12" t="str">
        <f aca="false">IFERROR(bdp($B112,"CHG_NET_1D")*100,"")</f>
        <v/>
      </c>
      <c r="H112" s="12" t="str">
        <f aca="false">IFERROR(bdp($B112,"CHG_NET_YTD")*100,"")</f>
        <v/>
      </c>
      <c r="K112" s="18" t="s">
        <v>26</v>
      </c>
    </row>
    <row r="113" customFormat="false" ht="15" hidden="false" customHeight="false" outlineLevel="0" collapsed="false">
      <c r="A113" s="7" t="s">
        <v>204</v>
      </c>
      <c r="B113" s="8" t="s">
        <v>205</v>
      </c>
      <c r="C113" s="8" t="s">
        <v>16</v>
      </c>
      <c r="D113" s="21" t="str">
        <f aca="false">IFERROR(bdp($B113,$C113),"")</f>
        <v/>
      </c>
      <c r="E113" s="22" t="n">
        <v>0.95</v>
      </c>
      <c r="F113" s="23" t="n">
        <f aca="false">IF(AND($B$3=1,ISNUMBER(D113)),D113,E113)</f>
        <v>0.95</v>
      </c>
      <c r="G113" s="12" t="str">
        <f aca="false">IFERROR(bdp($B113,"CHG_NET_1D")*100,"")</f>
        <v/>
      </c>
      <c r="H113" s="12" t="str">
        <f aca="false">IFERROR(bdp($B113,"CHG_NET_YTD")*100,"")</f>
        <v/>
      </c>
      <c r="K113" s="18" t="s">
        <v>26</v>
      </c>
    </row>
    <row r="114" customFormat="false" ht="15" hidden="false" customHeight="false" outlineLevel="0" collapsed="false">
      <c r="A114" s="7" t="s">
        <v>206</v>
      </c>
      <c r="B114" s="8" t="s">
        <v>207</v>
      </c>
      <c r="C114" s="8" t="s">
        <v>16</v>
      </c>
      <c r="D114" s="21" t="str">
        <f aca="false">IFERROR(bdp($B114,$C114),"")</f>
        <v/>
      </c>
      <c r="E114" s="22" t="n">
        <v>1.65</v>
      </c>
      <c r="F114" s="23" t="n">
        <f aca="false">IF(AND($B$3=1,ISNUMBER(D114)),D114,E114)</f>
        <v>1.65</v>
      </c>
      <c r="G114" s="12" t="str">
        <f aca="false">IFERROR(bdp($B114,"CHG_NET_1D")*100,"")</f>
        <v/>
      </c>
      <c r="H114" s="12" t="str">
        <f aca="false">IFERROR(bdp($B114,"CHG_NET_YTD")*100,"")</f>
        <v/>
      </c>
      <c r="K114" s="18" t="s">
        <v>26</v>
      </c>
    </row>
    <row r="115" customFormat="false" ht="15" hidden="false" customHeight="false" outlineLevel="0" collapsed="false">
      <c r="A115" s="7" t="s">
        <v>208</v>
      </c>
      <c r="B115" s="8" t="s">
        <v>209</v>
      </c>
      <c r="C115" s="8" t="s">
        <v>16</v>
      </c>
      <c r="D115" s="21" t="str">
        <f aca="false">IFERROR(bdp($B115,$C115),"")</f>
        <v/>
      </c>
      <c r="E115" s="22" t="n">
        <v>3.2</v>
      </c>
      <c r="F115" s="23" t="n">
        <f aca="false">IF(AND($B$3=1,ISNUMBER(D115)),D115,E115)</f>
        <v>3.2</v>
      </c>
      <c r="G115" s="12" t="str">
        <f aca="false">IFERROR(bdp($B115,"CHG_NET_1D")*100,"")</f>
        <v/>
      </c>
      <c r="H115" s="12" t="str">
        <f aca="false">IFERROR(bdp($B115,"CHG_NET_YTD")*100,"")</f>
        <v/>
      </c>
      <c r="K115" s="18" t="s">
        <v>26</v>
      </c>
    </row>
    <row r="116" customFormat="false" ht="15" hidden="false" customHeight="false" outlineLevel="0" collapsed="false">
      <c r="A116" s="7" t="s">
        <v>210</v>
      </c>
      <c r="F116" s="28" t="n">
        <f aca="false">($F$89-$F$100)*100</f>
        <v>220</v>
      </c>
      <c r="K116" s="26"/>
    </row>
    <row r="117" customFormat="false" ht="15" hidden="false" customHeight="false" outlineLevel="0" collapsed="false">
      <c r="A117" s="7" t="s">
        <v>211</v>
      </c>
      <c r="F117" s="28" t="n">
        <f aca="false">($F$89-$F$114)*100</f>
        <v>325</v>
      </c>
      <c r="K117" s="26"/>
    </row>
    <row r="119" customFormat="false" ht="15" hidden="false" customHeight="false" outlineLevel="0" collapsed="false">
      <c r="A119" s="5" t="s">
        <v>212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customFormat="false" ht="15" hidden="false" customHeight="false" outlineLevel="0" collapsed="false">
      <c r="A120" s="6" t="s">
        <v>4</v>
      </c>
      <c r="B120" s="6" t="s">
        <v>5</v>
      </c>
      <c r="C120" s="6" t="s">
        <v>6</v>
      </c>
      <c r="D120" s="6" t="s">
        <v>7</v>
      </c>
      <c r="E120" s="6" t="s">
        <v>8</v>
      </c>
      <c r="F120" s="6" t="s">
        <v>9</v>
      </c>
      <c r="G120" s="6" t="s">
        <v>10</v>
      </c>
      <c r="H120" s="6" t="s">
        <v>11</v>
      </c>
      <c r="I120" s="6"/>
      <c r="J120" s="6"/>
      <c r="K120" s="6" t="s">
        <v>13</v>
      </c>
    </row>
    <row r="121" customFormat="false" ht="15" hidden="false" customHeight="false" outlineLevel="0" collapsed="false">
      <c r="A121" s="7" t="s">
        <v>213</v>
      </c>
      <c r="B121" s="8" t="s">
        <v>214</v>
      </c>
      <c r="C121" s="8" t="s">
        <v>16</v>
      </c>
      <c r="D121" s="9" t="str">
        <f aca="false">IFERROR(bdp($B121,$C121),"")</f>
        <v/>
      </c>
      <c r="E121" s="19" t="n">
        <v>70</v>
      </c>
      <c r="F121" s="11" t="n">
        <f aca="false">IF(AND($B$3=1,ISNUMBER(D121)),D121,E121)</f>
        <v>70</v>
      </c>
      <c r="G121" s="12" t="str">
        <f aca="false">IFERROR(bdp($B121,"CHG_PCT_1D"),"")</f>
        <v/>
      </c>
      <c r="H121" s="12" t="str">
        <f aca="false">IFERROR(bdp($B121,"CHG_PCT_YTD"),"")</f>
        <v/>
      </c>
      <c r="K121" s="18" t="s">
        <v>26</v>
      </c>
    </row>
    <row r="122" customFormat="false" ht="15" hidden="false" customHeight="false" outlineLevel="0" collapsed="false">
      <c r="A122" s="7" t="s">
        <v>215</v>
      </c>
      <c r="B122" s="8" t="s">
        <v>216</v>
      </c>
      <c r="C122" s="8" t="s">
        <v>16</v>
      </c>
      <c r="D122" s="9" t="str">
        <f aca="false">IFERROR(bdp($B122,$C122),"")</f>
        <v/>
      </c>
      <c r="E122" s="19" t="n">
        <v>66</v>
      </c>
      <c r="F122" s="11" t="n">
        <f aca="false">IF(AND($B$3=1,ISNUMBER(D122)),D122,E122)</f>
        <v>66</v>
      </c>
      <c r="G122" s="12" t="str">
        <f aca="false">IFERROR(bdp($B122,"CHG_PCT_1D"),"")</f>
        <v/>
      </c>
      <c r="H122" s="12" t="str">
        <f aca="false">IFERROR(bdp($B122,"CHG_PCT_YTD"),"")</f>
        <v/>
      </c>
      <c r="K122" s="18" t="s">
        <v>26</v>
      </c>
    </row>
    <row r="123" customFormat="false" ht="15" hidden="false" customHeight="false" outlineLevel="0" collapsed="false">
      <c r="A123" s="7" t="s">
        <v>217</v>
      </c>
      <c r="B123" s="8" t="s">
        <v>218</v>
      </c>
      <c r="C123" s="8" t="s">
        <v>16</v>
      </c>
      <c r="D123" s="9" t="str">
        <f aca="false">IFERROR(bdp($B123,$C123),"")</f>
        <v/>
      </c>
      <c r="E123" s="19" t="n">
        <v>4.5</v>
      </c>
      <c r="F123" s="11" t="n">
        <f aca="false">IF(AND($B$3=1,ISNUMBER(D123)),D123,E123)</f>
        <v>4.5</v>
      </c>
      <c r="G123" s="12" t="str">
        <f aca="false">IFERROR(bdp($B123,"CHG_PCT_1D"),"")</f>
        <v/>
      </c>
      <c r="H123" s="12" t="str">
        <f aca="false">IFERROR(bdp($B123,"CHG_PCT_YTD"),"")</f>
        <v/>
      </c>
      <c r="K123" s="18" t="s">
        <v>26</v>
      </c>
    </row>
    <row r="124" customFormat="false" ht="15" hidden="false" customHeight="false" outlineLevel="0" collapsed="false">
      <c r="A124" s="7" t="s">
        <v>219</v>
      </c>
      <c r="B124" s="8" t="s">
        <v>220</v>
      </c>
      <c r="C124" s="8" t="s">
        <v>16</v>
      </c>
      <c r="D124" s="9" t="str">
        <f aca="false">IFERROR(bdp($B124,$C124),"")</f>
        <v/>
      </c>
      <c r="E124" s="19" t="n">
        <v>3600</v>
      </c>
      <c r="F124" s="11" t="n">
        <f aca="false">IF(AND($B$3=1,ISNUMBER(D124)),D124,E124)</f>
        <v>3600</v>
      </c>
      <c r="G124" s="12" t="str">
        <f aca="false">IFERROR(bdp($B124,"CHG_PCT_1D"),"")</f>
        <v/>
      </c>
      <c r="H124" s="12" t="str">
        <f aca="false">IFERROR(bdp($B124,"CHG_PCT_YTD"),"")</f>
        <v/>
      </c>
      <c r="K124" s="18" t="s">
        <v>26</v>
      </c>
    </row>
    <row r="125" customFormat="false" ht="15" hidden="false" customHeight="false" outlineLevel="0" collapsed="false">
      <c r="A125" s="7" t="s">
        <v>221</v>
      </c>
      <c r="B125" s="8" t="s">
        <v>222</v>
      </c>
      <c r="C125" s="8" t="s">
        <v>16</v>
      </c>
      <c r="D125" s="9" t="str">
        <f aca="false">IFERROR(bdp($B125,$C125),"")</f>
        <v/>
      </c>
      <c r="E125" s="19" t="n">
        <v>1050</v>
      </c>
      <c r="F125" s="11" t="n">
        <f aca="false">IF(AND($B$3=1,ISNUMBER(D125)),D125,E125)</f>
        <v>1050</v>
      </c>
      <c r="G125" s="12" t="str">
        <f aca="false">IFERROR(bdp($B125,"CHG_PCT_1D"),"")</f>
        <v/>
      </c>
      <c r="H125" s="12" t="str">
        <f aca="false">IFERROR(bdp($B125,"CHG_PCT_YTD"),"")</f>
        <v/>
      </c>
      <c r="K125" s="18" t="s">
        <v>26</v>
      </c>
    </row>
    <row r="127" customFormat="false" ht="15" hidden="false" customHeight="false" outlineLevel="0" collapsed="false">
      <c r="A127" s="5" t="s">
        <v>223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customFormat="false" ht="15" hidden="false" customHeight="false" outlineLevel="0" collapsed="false">
      <c r="A128" s="6" t="s">
        <v>4</v>
      </c>
      <c r="B128" s="6" t="s">
        <v>5</v>
      </c>
      <c r="C128" s="6" t="s">
        <v>6</v>
      </c>
      <c r="D128" s="6" t="s">
        <v>7</v>
      </c>
      <c r="E128" s="6" t="s">
        <v>8</v>
      </c>
      <c r="F128" s="6" t="s">
        <v>9</v>
      </c>
      <c r="G128" s="6"/>
      <c r="H128" s="6"/>
      <c r="I128" s="6"/>
      <c r="J128" s="6"/>
      <c r="K128" s="6" t="s">
        <v>13</v>
      </c>
    </row>
    <row r="129" customFormat="false" ht="15" hidden="false" customHeight="false" outlineLevel="0" collapsed="false">
      <c r="A129" s="7" t="s">
        <v>224</v>
      </c>
      <c r="F129" s="28" t="n">
        <f aca="false">(((1+I37/100)^2/(1+H37/100)-1)*100-$F$37)*100</f>
        <v>82.7255811004805</v>
      </c>
      <c r="K129" s="26" t="s">
        <v>225</v>
      </c>
    </row>
    <row r="130" customFormat="false" ht="15" hidden="false" customHeight="false" outlineLevel="0" collapsed="false">
      <c r="A130" s="7" t="s">
        <v>226</v>
      </c>
      <c r="F130" s="28" t="n">
        <f aca="false">(((1+I42/100)^2/(1+H42/100)-1)*100-$F$42)*100</f>
        <v>102.957463048665</v>
      </c>
      <c r="K130" s="26" t="s">
        <v>227</v>
      </c>
    </row>
    <row r="131" customFormat="false" ht="15" hidden="false" customHeight="false" outlineLevel="0" collapsed="false">
      <c r="A131" s="7" t="s">
        <v>228</v>
      </c>
      <c r="F131" s="28" t="n">
        <f aca="false">($F$42-$F$37)*100</f>
        <v>250</v>
      </c>
      <c r="K131" s="26"/>
    </row>
    <row r="132" customFormat="false" ht="15" hidden="false" customHeight="false" outlineLevel="0" collapsed="false">
      <c r="A132" s="7" t="s">
        <v>229</v>
      </c>
      <c r="F132" s="28" t="n">
        <f aca="false">($F$43-$F$44)*100</f>
        <v>450</v>
      </c>
      <c r="K132" s="26" t="s">
        <v>230</v>
      </c>
    </row>
    <row r="133" customFormat="false" ht="15" hidden="false" customHeight="false" outlineLevel="0" collapsed="false">
      <c r="A133" s="7" t="s">
        <v>231</v>
      </c>
      <c r="F133" s="28" t="n">
        <f aca="false">($F$41-$F$37)*100</f>
        <v>975</v>
      </c>
      <c r="K133" s="26"/>
    </row>
    <row r="134" customFormat="false" ht="15" hidden="false" customHeight="false" outlineLevel="0" collapsed="false">
      <c r="A134" s="7" t="s">
        <v>232</v>
      </c>
      <c r="F134" s="23" t="n">
        <f aca="false">$F$41-4.5</f>
        <v>9.25</v>
      </c>
      <c r="K134" s="26" t="s">
        <v>233</v>
      </c>
    </row>
    <row r="135" customFormat="false" ht="15" hidden="false" customHeight="false" outlineLevel="0" collapsed="false">
      <c r="A135" s="7" t="s">
        <v>234</v>
      </c>
      <c r="F135" s="28" t="n">
        <f aca="false">($F$89-$F$37)*100</f>
        <v>90</v>
      </c>
      <c r="K135" s="26" t="s">
        <v>235</v>
      </c>
    </row>
  </sheetData>
  <mergeCells count="11">
    <mergeCell ref="A1:K1"/>
    <mergeCell ref="A2:K2"/>
    <mergeCell ref="A5:K5"/>
    <mergeCell ref="A24:K24"/>
    <mergeCell ref="A35:K35"/>
    <mergeCell ref="A51:K51"/>
    <mergeCell ref="A67:K67"/>
    <mergeCell ref="A85:K85"/>
    <mergeCell ref="A97:K97"/>
    <mergeCell ref="A119:K119"/>
    <mergeCell ref="A127:K1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29" t="s">
        <v>236</v>
      </c>
    </row>
    <row r="3" customFormat="false" ht="45" hidden="false" customHeight="true" outlineLevel="0" collapsed="false">
      <c r="A3" s="3" t="s">
        <v>237</v>
      </c>
      <c r="B3" s="30" t="s">
        <v>238</v>
      </c>
    </row>
    <row r="4" customFormat="false" ht="45" hidden="false" customHeight="true" outlineLevel="0" collapsed="false">
      <c r="A4" s="3" t="s">
        <v>239</v>
      </c>
      <c r="B4" s="30" t="s">
        <v>240</v>
      </c>
    </row>
    <row r="5" customFormat="false" ht="45" hidden="false" customHeight="true" outlineLevel="0" collapsed="false">
      <c r="A5" s="3" t="s">
        <v>241</v>
      </c>
      <c r="B5" s="30" t="s">
        <v>242</v>
      </c>
    </row>
    <row r="6" customFormat="false" ht="45" hidden="false" customHeight="true" outlineLevel="0" collapsed="false">
      <c r="A6" s="3" t="s">
        <v>243</v>
      </c>
      <c r="B6" s="30" t="s">
        <v>244</v>
      </c>
    </row>
    <row r="7" customFormat="false" ht="75" hidden="false" customHeight="true" outlineLevel="0" collapsed="false">
      <c r="A7" s="3" t="s">
        <v>245</v>
      </c>
      <c r="B7" s="30" t="s">
        <v>246</v>
      </c>
    </row>
    <row r="8" customFormat="false" ht="30" hidden="false" customHeight="true" outlineLevel="0" collapsed="false">
      <c r="A8" s="3" t="s">
        <v>247</v>
      </c>
      <c r="B8" s="30" t="s">
        <v>248</v>
      </c>
    </row>
    <row r="9" customFormat="false" ht="30" hidden="false" customHeight="true" outlineLevel="0" collapsed="false">
      <c r="A9" s="3" t="s">
        <v>249</v>
      </c>
      <c r="B9" s="30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2026-10-14T17:16:47Z</dcterms:created>
  <dc:creator>openpyxl</dc:creator>
  <dc:description/>
  <dc:language>en-US</dc:language>
  <cp:lastModifiedBy/>
  <dcterms:modified xsi:type="dcterms:W3CDTF">2026-10-14T17:16:47Z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