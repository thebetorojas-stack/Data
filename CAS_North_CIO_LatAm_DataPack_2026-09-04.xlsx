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0.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shboard" sheetId="2" state="visible" r:id="rId4"/>
    <sheet name="Macro Data" sheetId="3" state="visible" r:id="rId5"/>
    <sheet name="Ratings" sheetId="4" state="visible" r:id="rId6"/>
    <sheet name="Tax Matrix" sheetId="5" state="visible" r:id="rId7"/>
    <sheet name="Incentives" sheetId="6" state="visible" r:id="rId8"/>
    <sheet name="Infrastructure" sheetId="7" state="visible" r:id="rId9"/>
    <sheet name="Wealth Map" sheetId="8" state="visible" r:id="rId10"/>
    <sheet name="Equity Exposure" sheetId="9" state="visible" r:id="rId11"/>
    <sheet name="Colombia Annex" sheetId="10" state="visible" r:id="rId12"/>
    <sheet name="Calendar" sheetId="11" state="visible" r:id="rId13"/>
    <sheet name="Risks" sheetId="12" state="visible" r:id="rId14"/>
    <sheet name="Sources" sheetId="13" state="visible" r:id="rId15"/>
    <sheet name="Gaps"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<sst xmlns="http://schemas.openxmlformats.org/spreadsheetml/2006/main" count="2026" uniqueCount="1461">
  <si>
    <t xml:space="preserve">CAS North + CIO LatAm  |  Central America, the Caribbean and Colombia</t>
  </si>
  <si>
    <t xml:space="preserve">INTERNAL DRAFT - NOT FOR DISTRIBUTION. Not investment research and not a recommendation. Company names appear as exposure examples and market context only. No buy, sell or hold view is expressed or implied, and no price targets are given. All figures carry the source and vintage shown; several are flagged as unverified or not found and must be confirmed before any client-facing use. Subject to compliance and supervisory review.</t>
  </si>
  <si>
    <t xml:space="preserve">What this is</t>
  </si>
  <si>
    <t xml:space="preserve">A response to Raphael Kirschstein's request of 3 September 2026, items (a) through (e). It is a working data pack, not a published CIO view. Everything here is sourced and dated so that an advisor can defend any number in front of a prospect, or discard it.</t>
  </si>
  <si>
    <t xml:space="preserve">How the request maps onto these tabs</t>
  </si>
  <si>
    <t xml:space="preserve">Request item</t>
  </si>
  <si>
    <t xml:space="preserve">Tab</t>
  </si>
  <si>
    <t xml:space="preserve">What you get</t>
  </si>
  <si>
    <t xml:space="preserve">(a) Economic standing</t>
  </si>
  <si>
    <t xml:space="preserve">Dashboard, Macro Data, Ratings</t>
  </si>
  <si>
    <t xml:space="preserve">GDP, FX, fiscal balance, debt, FDI, ratings and political stability for all seven</t>
  </si>
  <si>
    <t xml:space="preserve">(b) Government policies</t>
  </si>
  <si>
    <t xml:space="preserve">Tax Matrix, Incentives, Infrastructure</t>
  </si>
  <si>
    <t xml:space="preserve">Free zones, HQ regimes, PPPs and the named project pipeline with USD sizes and status</t>
  </si>
  <si>
    <t xml:space="preserve">(c) Main private industries</t>
  </si>
  <si>
    <t xml:space="preserve">Wealth Map</t>
  </si>
  <si>
    <t xml:space="preserve">What drives each economy, and the named local and family participants</t>
  </si>
  <si>
    <t xml:space="preserve">(d) El Salvador and Guyana</t>
  </si>
  <si>
    <t xml:space="preserve">Covered on every tab</t>
  </si>
  <si>
    <t xml:space="preserve">Treated as full members of the set, not an annex</t>
  </si>
  <si>
    <t xml:space="preserve">(e) Listed companies</t>
  </si>
  <si>
    <t xml:space="preserve">Equity Exposure</t>
  </si>
  <si>
    <t xml:space="preserve">Named exposure map. No valuation work, no recommendations - see the compliance note below</t>
  </si>
  <si>
    <t xml:space="preserve">Beyond the request</t>
  </si>
  <si>
    <t xml:space="preserve">Colombia Annex, Calendar, Risks</t>
  </si>
  <si>
    <t xml:space="preserve">Colombia is the priority target, and the calendar is what turns this into calls</t>
  </si>
  <si>
    <t xml:space="preserve">Colour convention</t>
  </si>
  <si>
    <t xml:space="preserve">Blue text</t>
  </si>
  <si>
    <t xml:space="preserve">A hardcoded figure taken from a named source. Every one is traceable on the Sources tab.</t>
  </si>
  <si>
    <t xml:space="preserve">Black text</t>
  </si>
  <si>
    <t xml:space="preserve">A formula. It recalculates if you change an input.</t>
  </si>
  <si>
    <t xml:space="preserve">Green text</t>
  </si>
  <si>
    <t xml:space="preserve">A link to another tab in this workbook.</t>
  </si>
  <si>
    <t xml:space="preserve">Red fill</t>
  </si>
  <si>
    <t xml:space="preserve">A figure or status that is unverified, stale, or a known trap. Do not put it in front of a client without checking.</t>
  </si>
  <si>
    <t xml:space="preserve">Three health warnings that will bite you if you do not know them</t>
  </si>
  <si>
    <t xml:space="preserve">Panama is absent from the IMF WEO database.</t>
  </si>
  <si>
    <t xml:space="preserve">Not a gap in this pack - Panama genuinely is not in the DataMapper dataset. Every Panama figure here comes from the World Bank Macro Poverty Outlook, Fitch or the IMF Article IV. Treat any Panama 'IMF WEO' number you meet elsewhere with suspicion.</t>
  </si>
  <si>
    <t xml:space="preserve">Fiscal and debt perimeters differ between the IMF and the World Bank.</t>
  </si>
  <si>
    <t xml:space="preserve">The IMF uses general government; the World Bank often uses central government or the non-financial public sector. The gap is ~12pp for Costa Rica. Both are shown on the Macro Data tab. Never mix them in one chart.</t>
  </si>
  <si>
    <t xml:space="preserve">Rating aggregators carry wrong data for this region.</t>
  </si>
  <si>
    <t xml:space="preserve">FXEmpire still shows a stale Moody's Ba3/Positive for the Dominican Republic; countryeconomy shows a stale Fitch 'RD' for El Salvador. The Ratings tab is built from agency releases wherever we could reach them. Verify before anything client-facing.</t>
  </si>
  <si>
    <t xml:space="preserve">Two Fitch lines in this workbook are UNRESOLVED.</t>
  </si>
  <si>
    <t xml:space="preserve">Our primary source has Fitch at BB- on Costa Rica (last action March 2023) and BB on Guatemala (February 2023). A second source has Fitch already at BB and BB+ respectively, acting in late 2025. We could not reach fitchratings.com to settle it. This matters: the whole 'Fitch is stale, a catch-up upgrade is coming' argument depends on which version is correct. Confirm against Fitch's own releases before either version is said to a client.</t>
  </si>
  <si>
    <t xml:space="preserve">Compliance</t>
  </si>
  <si>
    <t xml:space="preserve">Marked INTERNAL DRAFT throughout at Alberto Rojas's instruction. Company names on the Equity Exposure tab are there because a client asked where the money is, not as recommendations. There are no price targets, no multiples and no buy/sell language anywhere in this file. Route through compliance and supervisory review before any part of it goes outside the team.</t>
  </si>
  <si>
    <t xml:space="preserve">Prepared 4 September 2026.</t>
  </si>
  <si>
    <t xml:space="preserve">Cross-country dashboard</t>
  </si>
  <si>
    <t xml:space="preserve">Every cell on this tab is a formula pulling from 'Macro Data'. Change an input there and this updates.</t>
  </si>
  <si>
    <t xml:space="preserve">The one-screen comparison</t>
  </si>
  <si>
    <t xml:space="preserve">Market</t>
  </si>
  <si>
    <t xml:space="preserve">GDP 2025
(USD bn)</t>
  </si>
  <si>
    <t xml:space="preserve">GDP per cap.
(USD)</t>
  </si>
  <si>
    <t xml:space="preserve">Growth
2026f (%)</t>
  </si>
  <si>
    <t xml:space="preserve">Policy
rate (%)</t>
  </si>
  <si>
    <t xml:space="preserve">Real policy
rate (pp)</t>
  </si>
  <si>
    <t xml:space="preserve">Fiscal bal.
2025 (%GDP)</t>
  </si>
  <si>
    <t xml:space="preserve">Public debt
2025 (%GDP)</t>
  </si>
  <si>
    <t xml:space="preserve">C/A 2025
(%GDP)</t>
  </si>
  <si>
    <t xml:space="preserve">FDI
(%GDP)</t>
  </si>
  <si>
    <t xml:space="preserve">Remittances
(%GDP)</t>
  </si>
  <si>
    <t xml:space="preserve">Composite
rating</t>
  </si>
  <si>
    <t xml:space="preserve">Panama</t>
  </si>
  <si>
    <t xml:space="preserve">Costa Rica</t>
  </si>
  <si>
    <t xml:space="preserve">Guatemala</t>
  </si>
  <si>
    <t xml:space="preserve">Colombia</t>
  </si>
  <si>
    <t xml:space="preserve">Dominican Rep.</t>
  </si>
  <si>
    <t xml:space="preserve">El Salvador</t>
  </si>
  <si>
    <t xml:space="preserve">Guyana</t>
  </si>
  <si>
    <t xml:space="preserve">Composite rating is the average of the three agencies on a 21-point scale where 21 = AAA and 12 = the lowest investment-grade notch (Baa3 / BBB-). Guyana is unrated by all three and returns n/a - that is a fact about the sovereign, not a missing number.</t>
  </si>
  <si>
    <t xml:space="preserve">Debt and growth</t>
  </si>
  <si>
    <t xml:space="preserve">External resilience</t>
  </si>
  <si>
    <t xml:space="preserve">What the dashboard says, in one line each</t>
  </si>
  <si>
    <t xml:space="preserve">Read</t>
  </si>
  <si>
    <t xml:space="preserve">The best fundamentals-to-rating gap in the sample. Debt of 27% of GDP, a structural current-account surplus, reserves worth ~27% of GDP, and one notch from investment grade at two agencies. The binding constraint is a 12.6%-of-GDP tax take and 1.6%-of-GDP FDI, not solvency.</t>
  </si>
  <si>
    <t xml:space="preserve">The best rating momentum - upgrades from Moody's and S&amp;P inside a single month in late 2025. But 39 consecutive months of deflation and a currency up 10% in a year are squeezing the export and tourism base.</t>
  </si>
  <si>
    <t xml:space="preserve">Boring in a good way. Debt down from 69% to 58.5% of GDP since 2020, record FDI, a real tourism and nearshoring franchise. A 15.6% tax take is the ceiling on further upgrades.</t>
  </si>
  <si>
    <t xml:space="preserve">The knife-edge. Investment grade at two agencies, already sub-IG at Fitch, negative outlook at Moody's, a mine that has not reopened and a canal back on water restrictions. A fallen-angel-in-progress candidate.</t>
  </si>
  <si>
    <t xml:space="preserve">The highest-beta name here. A real policy rate near six points and the world's best-performing currency on one side; two downgrades in twelve months, a suspended fiscal rule, a 9.4%-of-GDP 2027 deficit and a president without a congressional majority on the other.</t>
  </si>
  <si>
    <t xml:space="preserve">Best momentum, worst level. Caa3 to B3/positive in two years and a genuine 2.9%-of-GDP primary surplus, against 87% debt, USD 5,839 per capita and a quarter of GDP arriving as remittances.</t>
  </si>
  <si>
    <t xml:space="preserve">The highest-return, highest-tail-risk name. Per-capita income has already passed Costa Rica and Panama. It is also unrated, holds barely USD 1bn of central-bank reserves, and shares a border with a state that has pre-announced it will defy the World Court.</t>
  </si>
  <si>
    <t xml:space="preserve">Macro fundamentals - seven markets</t>
  </si>
  <si>
    <t xml:space="preserve">All figures hardcoded from the named source. Vintage per country in the last row. NF = not found / not published.</t>
  </si>
  <si>
    <t xml:space="preserve">Indicator</t>
  </si>
  <si>
    <t xml:space="preserve">SIZE AND GROWTH</t>
  </si>
  <si>
    <t xml:space="preserve">Nominal GDP 2025 (USD bn)</t>
  </si>
  <si>
    <t xml:space="preserve">NF</t>
  </si>
  <si>
    <t xml:space="preserve">Nominal GDP 2024 (USD bn)</t>
  </si>
  <si>
    <t xml:space="preserve">GDP per capita 2025 (USD)</t>
  </si>
  <si>
    <t xml:space="preserve">Population 2025 (mn)</t>
  </si>
  <si>
    <t xml:space="preserve">Real GDP growth 2023 (%)</t>
  </si>
  <si>
    <t xml:space="preserve">Real GDP growth 2024 (%)</t>
  </si>
  <si>
    <t xml:space="preserve">Real GDP growth 2025e (%)</t>
  </si>
  <si>
    <t xml:space="preserve">Real GDP growth 2026f (%)</t>
  </si>
  <si>
    <t xml:space="preserve">Real GDP growth 2027f (%)</t>
  </si>
  <si>
    <t xml:space="preserve">PRICES AND POLICY</t>
  </si>
  <si>
    <t xml:space="preserve">CPI, latest print</t>
  </si>
  <si>
    <t xml:space="preserve">NF (2025e 0.9%)</t>
  </si>
  <si>
    <t xml:space="preserve">-0.28% (Jul-26)</t>
  </si>
  <si>
    <t xml:space="preserve">2.86% (May-26)</t>
  </si>
  <si>
    <t xml:space="preserve">6.03% (Jul-26)</t>
  </si>
  <si>
    <t xml:space="preserve">5.47% (Jul-26)</t>
  </si>
  <si>
    <t xml:space="preserve">0.3% (2025e)</t>
  </si>
  <si>
    <t xml:space="preserve">3.9% (Jul-26)</t>
  </si>
  <si>
    <t xml:space="preserve">Policy rate</t>
  </si>
  <si>
    <t xml:space="preserve">Dollarised - no policy rate</t>
  </si>
  <si>
    <t xml:space="preserve">3.00%</t>
  </si>
  <si>
    <t xml:space="preserve">3.50%</t>
  </si>
  <si>
    <t xml:space="preserve">12.00%</t>
  </si>
  <si>
    <t xml:space="preserve">5.25%</t>
  </si>
  <si>
    <t xml:space="preserve">No active policy rate</t>
  </si>
  <si>
    <t xml:space="preserve">Real policy rate (pp)</t>
  </si>
  <si>
    <t xml:space="preserve">FX regime and level</t>
  </si>
  <si>
    <t xml:space="preserve">Dollarised (USD legal tender since 1904)</t>
  </si>
  <si>
    <t xml:space="preserve">Managed float (CRC 453.7)</t>
  </si>
  <si>
    <t xml:space="preserve">Managed float (GTQ 7.63)</t>
  </si>
  <si>
    <t xml:space="preserve">Free float (COP 3,141)</t>
  </si>
  <si>
    <t xml:space="preserve">Managed float (DOP 59.7)</t>
  </si>
  <si>
    <t xml:space="preserve">Dollarised (USD legal tender since 2001)</t>
  </si>
  <si>
    <t xml:space="preserve">De facto peg (GYD ~208.5)</t>
  </si>
  <si>
    <t xml:space="preserve">FX appreciation vs USD, 2026 (%)</t>
  </si>
  <si>
    <t xml:space="preserve">FISCAL AND DEBT</t>
  </si>
  <si>
    <t xml:space="preserve">Fiscal balance 2025 (% GDP)</t>
  </si>
  <si>
    <t xml:space="preserve">Fiscal balance 2026f (% GDP)</t>
  </si>
  <si>
    <t xml:space="preserve">Gross public debt 2025 (% GDP)</t>
  </si>
  <si>
    <t xml:space="preserve">Gross public debt 2026f (% GDP)</t>
  </si>
  <si>
    <t xml:space="preserve">EXTERNAL</t>
  </si>
  <si>
    <t xml:space="preserve">Current account 2025 (% GDP)</t>
  </si>
  <si>
    <t xml:space="preserve">FX reserves, latest (USD bn)</t>
  </si>
  <si>
    <t xml:space="preserve">Reserves as % of GDP</t>
  </si>
  <si>
    <t xml:space="preserve">FDI 2024 (USD bn)</t>
  </si>
  <si>
    <t xml:space="preserve">FDI as % of GDP</t>
  </si>
  <si>
    <t xml:space="preserve">Remittances 2025 (USD bn)</t>
  </si>
  <si>
    <t xml:space="preserve">Remittances as % of GDP</t>
  </si>
  <si>
    <t xml:space="preserve">RATINGS AND POLITICS</t>
  </si>
  <si>
    <t xml:space="preserve">Moody's</t>
  </si>
  <si>
    <t xml:space="preserve">Baa3</t>
  </si>
  <si>
    <t xml:space="preserve">Ba2</t>
  </si>
  <si>
    <t xml:space="preserve">Ba1</t>
  </si>
  <si>
    <t xml:space="preserve">B3</t>
  </si>
  <si>
    <t xml:space="preserve">Unrated</t>
  </si>
  <si>
    <t xml:space="preserve">Moody's outlook</t>
  </si>
  <si>
    <t xml:space="preserve">Negative</t>
  </si>
  <si>
    <t xml:space="preserve">Stable</t>
  </si>
  <si>
    <t xml:space="preserve">Positive</t>
  </si>
  <si>
    <t xml:space="preserve">-</t>
  </si>
  <si>
    <t xml:space="preserve">S&amp;P</t>
  </si>
  <si>
    <t xml:space="preserve">BBB-</t>
  </si>
  <si>
    <t xml:space="preserve">BB</t>
  </si>
  <si>
    <t xml:space="preserve">BB+</t>
  </si>
  <si>
    <t xml:space="preserve">BB-</t>
  </si>
  <si>
    <t xml:space="preserve">B-</t>
  </si>
  <si>
    <t xml:space="preserve">S&amp;P outlook</t>
  </si>
  <si>
    <t xml:space="preserve">Fitch</t>
  </si>
  <si>
    <t xml:space="preserve">Fitch outlook</t>
  </si>
  <si>
    <t xml:space="preserve">Head of government</t>
  </si>
  <si>
    <t xml:space="preserve">José Raúl Mulino (Realizando Metas)</t>
  </si>
  <si>
    <t xml:space="preserve">Laura Fernández (Pueblo Soberano)</t>
  </si>
  <si>
    <t xml:space="preserve">Bernardo Arévalo (Semilla)</t>
  </si>
  <si>
    <t xml:space="preserve">Abelardo de la Espriella (Defensores de la Patria)</t>
  </si>
  <si>
    <t xml:space="preserve">Luis Abinader (PRM), 2nd term</t>
  </si>
  <si>
    <t xml:space="preserve">Nayib Bukele (Nuevas Ideas)</t>
  </si>
  <si>
    <t xml:space="preserve">Irfaan Ali (PPP/C), 2nd term</t>
  </si>
  <si>
    <t xml:space="preserve">Took office</t>
  </si>
  <si>
    <t xml:space="preserve">1 Jul 2024</t>
  </si>
  <si>
    <t xml:space="preserve">8 May 2026</t>
  </si>
  <si>
    <t xml:space="preserve">Jan 2024</t>
  </si>
  <si>
    <t xml:space="preserve">7 Aug 2026</t>
  </si>
  <si>
    <t xml:space="preserve">Aug 2024</t>
  </si>
  <si>
    <t xml:space="preserve">Jun 2024 (2nd term)</t>
  </si>
  <si>
    <t xml:space="preserve">7 Sep 2025</t>
  </si>
  <si>
    <t xml:space="preserve">Next national election</t>
  </si>
  <si>
    <t xml:space="preserve">May 2029</t>
  </si>
  <si>
    <t xml:space="preserve">Feb 2030</t>
  </si>
  <si>
    <t xml:space="preserve">Jun 2027</t>
  </si>
  <si>
    <t xml:space="preserve">May 2030</t>
  </si>
  <si>
    <t xml:space="preserve">May 2028</t>
  </si>
  <si>
    <t xml:space="preserve">2027 legislative</t>
  </si>
  <si>
    <t xml:space="preserve">2030</t>
  </si>
  <si>
    <t xml:space="preserve">Primary vintage</t>
  </si>
  <si>
    <t xml:space="preserve">WB MPO Apr-2026; Fitch Dec-2025; Moody's May-2026</t>
  </si>
  <si>
    <t xml:space="preserve">IMF WEO Apr-2026; BCCR Jul-2026; PROCOMER</t>
  </si>
  <si>
    <t xml:space="preserve">IMF Art IV Jul-2026; Banguat Jun-2026</t>
  </si>
  <si>
    <t xml:space="preserve">MinHacienda Mar-2026; CARF Jun-2026; BanRep Jul-2026</t>
  </si>
  <si>
    <t xml:space="preserve">BCRD Aug-2026; IMF WEO Apr-2026; Ley 30-26</t>
  </si>
  <si>
    <t xml:space="preserve">IMF EFF 2nd/3rd review SLA 3-Sep-2026; BCR Jul-2026</t>
  </si>
  <si>
    <t xml:space="preserve">IMF WEO Apr-2026; Bank of Guyana Jul-2026; NRF Jul-2026</t>
  </si>
  <si>
    <t xml:space="preserve">Helper inputs (used by the formula rows above and by the Dashboard)</t>
  </si>
  <si>
    <t xml:space="preserve">Policy rate, numeric (%)</t>
  </si>
  <si>
    <t xml:space="preserve">n/a</t>
  </si>
  <si>
    <t xml:space="preserve">CPI, numeric (%)</t>
  </si>
  <si>
    <t xml:space="preserve">Real policy rate = latest policy rate less the latest CPI print. Panama and El Salvador are dollarised and have no policy rate; Guyana runs a bank-rate/reserve-requirement framework rather than an active policy rate, so all three return n/a. Panama's 2025 nominal GDP is genuinely unpublished in the sources available - the 2024 actual of USD 86.5bn is the last firm figure, which is why Panama's reserves-to-GDP cell is blank. Colombia's fiscal and debt figures are MinHacienda outturns (2025) and CARF projections (2026), which run wider than the IMF and World Bank series used for the other six; that is deliberate and is the honest number for Colombia.</t>
  </si>
  <si>
    <t xml:space="preserve">Sovereign ratings, composite scale and 2024-26 actions</t>
  </si>
  <si>
    <t xml:space="preserve">Built from agency releases, not aggregators. 21-point scale: 21 = AAA, 12 = the lowest investment-grade notch.</t>
  </si>
  <si>
    <t xml:space="preserve">Moody's
num.</t>
  </si>
  <si>
    <t xml:space="preserve">S&amp;P
num.</t>
  </si>
  <si>
    <t xml:space="preserve">Fitch
num.</t>
  </si>
  <si>
    <t xml:space="preserve">Composite</t>
  </si>
  <si>
    <t xml:space="preserve">Notches to
inv. grade</t>
  </si>
  <si>
    <t xml:space="preserve">Outlook flags</t>
  </si>
  <si>
    <t xml:space="preserve">Rating</t>
  </si>
  <si>
    <t xml:space="preserve">Score</t>
  </si>
  <si>
    <t xml:space="preserve">Moody's: Negative</t>
  </si>
  <si>
    <t xml:space="preserve">AAA</t>
  </si>
  <si>
    <t xml:space="preserve">All stable</t>
  </si>
  <si>
    <t xml:space="preserve">Aaa</t>
  </si>
  <si>
    <t xml:space="preserve">AA+</t>
  </si>
  <si>
    <t xml:space="preserve">Aa1</t>
  </si>
  <si>
    <t xml:space="preserve">AA</t>
  </si>
  <si>
    <t xml:space="preserve">Moody's: Positive</t>
  </si>
  <si>
    <t xml:space="preserve">Aa2</t>
  </si>
  <si>
    <t xml:space="preserve">AA-</t>
  </si>
  <si>
    <t xml:space="preserve">Aa3</t>
  </si>
  <si>
    <t xml:space="preserve">A positive 'notches to investment grade' figure is the distance still to travel; a negative figure means the composite already sits above the threshold. Colombia and Panama both average below the line despite each holding one investment-grade rating - that is the split-rating problem, and it is the number that decides index eligibility for IG-mandated portfolios.</t>
  </si>
  <si>
    <t xml:space="preserve">A+</t>
  </si>
  <si>
    <t xml:space="preserve">A1</t>
  </si>
  <si>
    <t xml:space="preserve">A</t>
  </si>
  <si>
    <t xml:space="preserve">A2</t>
  </si>
  <si>
    <t xml:space="preserve">Rating actions, 2024 - September 2026</t>
  </si>
  <si>
    <t xml:space="preserve">A-</t>
  </si>
  <si>
    <t xml:space="preserve">Date</t>
  </si>
  <si>
    <t xml:space="preserve">Agency</t>
  </si>
  <si>
    <t xml:space="preserve">Action</t>
  </si>
  <si>
    <t xml:space="preserve">From</t>
  </si>
  <si>
    <t xml:space="preserve">To</t>
  </si>
  <si>
    <t xml:space="preserve">Outlook</t>
  </si>
  <si>
    <t xml:space="preserve">A3</t>
  </si>
  <si>
    <t xml:space="preserve">27 Jun 2024</t>
  </si>
  <si>
    <t xml:space="preserve">Outlook change</t>
  </si>
  <si>
    <t xml:space="preserve">Baa2 stable</t>
  </si>
  <si>
    <t xml:space="preserve">Baa2</t>
  </si>
  <si>
    <t xml:space="preserve">BBB+</t>
  </si>
  <si>
    <t xml:space="preserve">11 Jul 2024</t>
  </si>
  <si>
    <t xml:space="preserve">Affirmed</t>
  </si>
  <si>
    <t xml:space="preserve">Baa1</t>
  </si>
  <si>
    <t xml:space="preserve">26 Nov 2024</t>
  </si>
  <si>
    <t xml:space="preserve">BBB</t>
  </si>
  <si>
    <t xml:space="preserve">29 Nov 2024</t>
  </si>
  <si>
    <t xml:space="preserve">Nov 2024</t>
  </si>
  <si>
    <t xml:space="preserve">UPGRADE</t>
  </si>
  <si>
    <t xml:space="preserve">Caa3</t>
  </si>
  <si>
    <t xml:space="preserve">7 Jan 2025</t>
  </si>
  <si>
    <t xml:space="preserve">CCC+</t>
  </si>
  <si>
    <t xml:space="preserve">6 Mar 2025</t>
  </si>
  <si>
    <t xml:space="preserve">BB+ stable</t>
  </si>
  <si>
    <t xml:space="preserve">23 May 2025</t>
  </si>
  <si>
    <t xml:space="preserve">26 Jun 2025</t>
  </si>
  <si>
    <t xml:space="preserve">DOWNGRADE</t>
  </si>
  <si>
    <t xml:space="preserve">1 Aug 2025</t>
  </si>
  <si>
    <t xml:space="preserve">Ba3</t>
  </si>
  <si>
    <t xml:space="preserve">24 Sep 2025</t>
  </si>
  <si>
    <t xml:space="preserve">22 Oct 2025</t>
  </si>
  <si>
    <t xml:space="preserve">B+</t>
  </si>
  <si>
    <t xml:space="preserve">10 Dec 2025</t>
  </si>
  <si>
    <t xml:space="preserve">B1</t>
  </si>
  <si>
    <t xml:space="preserve">16 Dec 2025</t>
  </si>
  <si>
    <t xml:space="preserve">B</t>
  </si>
  <si>
    <t xml:space="preserve">6 Feb 2026</t>
  </si>
  <si>
    <t xml:space="preserve">B3 stable</t>
  </si>
  <si>
    <t xml:space="preserve">B2</t>
  </si>
  <si>
    <t xml:space="preserve">8 Apr 2026</t>
  </si>
  <si>
    <t xml:space="preserve">15 Apr 2026</t>
  </si>
  <si>
    <t xml:space="preserve">BB- positive</t>
  </si>
  <si>
    <t xml:space="preserve">Apr 2026</t>
  </si>
  <si>
    <t xml:space="preserve">May 2026</t>
  </si>
  <si>
    <t xml:space="preserve">Periodic review</t>
  </si>
  <si>
    <t xml:space="preserve">Baa3 negative</t>
  </si>
  <si>
    <t xml:space="preserve">Caa1</t>
  </si>
  <si>
    <t xml:space="preserve">CCC</t>
  </si>
  <si>
    <t xml:space="preserve">Caa2</t>
  </si>
  <si>
    <t xml:space="preserve">Stale ratings - where a catch-up action is plausible</t>
  </si>
  <si>
    <t xml:space="preserve">CCC-</t>
  </si>
  <si>
    <t xml:space="preserve">Last action</t>
  </si>
  <si>
    <t xml:space="preserve">Why it matters</t>
  </si>
  <si>
    <t xml:space="preserve">BB- (VERIFY)</t>
  </si>
  <si>
    <t xml:space="preserve">2 Mar 2023 per our source</t>
  </si>
  <si>
    <t xml:space="preserve">CONFLICT: a second source puts Fitch at BB with a December 2025 action. If Fitch has already upgraded, the catch-up thesis falls away. Confirm against the Fitch release before any client use.</t>
  </si>
  <si>
    <t xml:space="preserve">CC</t>
  </si>
  <si>
    <t xml:space="preserve">BB (VERIFY)</t>
  </si>
  <si>
    <t xml:space="preserve">16 Feb 2023 per our source</t>
  </si>
  <si>
    <t xml:space="preserve">CONFLICT: a second source puts Fitch at BB+ with an October 2025 action. Same warning as Costa Rica.</t>
  </si>
  <si>
    <t xml:space="preserve">Ca</t>
  </si>
  <si>
    <t xml:space="preserve">19 Dec 2022</t>
  </si>
  <si>
    <t xml:space="preserve">Moody's upgraded to Ba2 in Aug-2025; S&amp;P silent since 2022. A catch-up action is plausible.</t>
  </si>
  <si>
    <t xml:space="preserve">C</t>
  </si>
  <si>
    <t xml:space="preserve">7 Nov 2023</t>
  </si>
  <si>
    <t xml:space="preserve">Moody's on positive outlook, Fitch upgraded Jan-2025. A catch-up action is plausible.</t>
  </si>
  <si>
    <t xml:space="preserve">Headline tax and the structural question</t>
  </si>
  <si>
    <t xml:space="preserve">PwC Worldwide Tax Summaries, reviewed Feb-Aug 2026, plus national gazettes. Rates are headline - confirm per client.</t>
  </si>
  <si>
    <t xml:space="preserve">Corporate income tax</t>
  </si>
  <si>
    <t xml:space="preserve">Dividend WHT
(non-resident)</t>
  </si>
  <si>
    <t xml:space="preserve">Capital gains</t>
  </si>
  <si>
    <t xml:space="preserve">VAT</t>
  </si>
  <si>
    <t xml:space="preserve">PIT top rate</t>
  </si>
  <si>
    <t xml:space="preserve">Wealth tax</t>
  </si>
  <si>
    <t xml:space="preserve">Basis</t>
  </si>
  <si>
    <t xml:space="preserve">The thing that actually matters</t>
  </si>
  <si>
    <t xml:space="preserve">25% (territorial); CAIR AMT 4.67% of gross &gt;USD1.5m</t>
  </si>
  <si>
    <t xml:space="preserve">5 / 10 / 20%</t>
  </si>
  <si>
    <t xml:space="preserve">10% securities (5% withheld); 10% real estate</t>
  </si>
  <si>
    <t xml:space="preserve">7% ITBMS</t>
  </si>
  <si>
    <t xml:space="preserve">25%</t>
  </si>
  <si>
    <t xml:space="preserve">None</t>
  </si>
  <si>
    <t xml:space="preserve">Territorial</t>
  </si>
  <si>
    <t xml:space="preserve">Law 526/2026 economic substance - passive foreign income taxed 15% from FY2027 unless substance met</t>
  </si>
  <si>
    <t xml:space="preserve">30% (reduced bands for small cos)</t>
  </si>
  <si>
    <t xml:space="preserve">5% or 15%</t>
  </si>
  <si>
    <t xml:space="preserve">15% (2.25% of price elective, pre-Jul-2019 assets)</t>
  </si>
  <si>
    <t xml:space="preserve">13%</t>
  </si>
  <si>
    <t xml:space="preserve">Territorial, plus 15% on non-qualified foreign passive income (2023 reform)</t>
  </si>
  <si>
    <t xml:space="preserve">Same substance logic as Panama - applies to the same client structures</t>
  </si>
  <si>
    <t xml:space="preserve">25% profit regime / 5-7% gross regime</t>
  </si>
  <si>
    <t xml:space="preserve">5%</t>
  </si>
  <si>
    <t xml:space="preserve">n/a separate</t>
  </si>
  <si>
    <t xml:space="preserve">12%</t>
  </si>
  <si>
    <t xml:space="preserve">7%</t>
  </si>
  <si>
    <t xml:space="preserve">Lowest PIT top rate in the sample at 7%</t>
  </si>
  <si>
    <t xml:space="preserve">35% + sector surcharges (banks +5% to 2027; oil 5-15%)</t>
  </si>
  <si>
    <t xml:space="preserve">20% (48% from untaxed profits)</t>
  </si>
  <si>
    <t xml:space="preserve">15%</t>
  </si>
  <si>
    <t xml:space="preserve">19%</t>
  </si>
  <si>
    <t xml:space="preserve">39%</t>
  </si>
  <si>
    <t xml:space="preserve">0.5-1.5% above 72,000 UVT (~COP 3.77bn / ~USD 1.2m)</t>
  </si>
  <si>
    <t xml:space="preserve">Worldwide income</t>
  </si>
  <si>
    <t xml:space="preserve">Wealth tax 1.5% top band scheduled to lapse after FY2026. GMF 0.4%. New govt promises abolition - no bill filed.</t>
  </si>
  <si>
    <t xml:space="preserve">27%; 30% transitional for income &gt;=RD$1bn, FY2026-28 (Ley 30-26)</t>
  </si>
  <si>
    <t xml:space="preserve">10% final</t>
  </si>
  <si>
    <t xml:space="preserve">27% corporate; 10% real estate from 2026</t>
  </si>
  <si>
    <t xml:space="preserve">18% ITBIS</t>
  </si>
  <si>
    <t xml:space="preserve">25% (27% top band from 2027)</t>
  </si>
  <si>
    <t xml:space="preserve">Territorial (foreign investment income taxed from year 3 of residence)</t>
  </si>
  <si>
    <t xml:space="preserve">Ley 30-26 (Jun-2026): real-estate CGT cut 25%-&gt;10%; mortgage tax phased out by 2028; free-zone &amp; CONFOTUR untouched</t>
  </si>
  <si>
    <t xml:space="preserve">30% (25% if &lt;=USD150k)</t>
  </si>
  <si>
    <t xml:space="preserve">5% statutory</t>
  </si>
  <si>
    <t xml:space="preserve">10%</t>
  </si>
  <si>
    <t xml:space="preserve">30%</t>
  </si>
  <si>
    <t xml:space="preserve">Ley de Fomento a la Innovacion: 15-yr full exemption incl. capital gains - benefits extend to partners/shareholders</t>
  </si>
  <si>
    <t xml:space="preserve">40% commercial / 25% non-commercial / 45% telecom</t>
  </si>
  <si>
    <t xml:space="preserve">20%</t>
  </si>
  <si>
    <t xml:space="preserve">14%</t>
  </si>
  <si>
    <t xml:space="preserve">35%</t>
  </si>
  <si>
    <t xml:space="preserve">Cleanest capital account of the seven; highest headline CIT</t>
  </si>
  <si>
    <t xml:space="preserve">The two structural facts to lead with</t>
  </si>
  <si>
    <t xml:space="preserve">PANAMA - Law 526 of 2026 and Executive Decree 32</t>
  </si>
  <si>
    <t xml:space="preserve">Published 28 May 2026, effective FY2027, first declarations 2028. Applies to a Panamanian entity that is (i) domiciled in Panama, (ii) part of a multinational group and (iii) earning foreign-source PASSIVE income - dividends, interest, royalties, capital gains, rent. Qualifying entities keep territorial (zero) treatment. NON-QUALIFYING ENTITIES PAY A FLAT 15% ON NET FOREIGN-SOURCE PASSIVE INCOME, FINAL. Executive Decree 32, reported 3 September 2026, sets the minimum bar: at least one qualified employee, physical or leased premises in Panama, operating expenses proportionate to the activity, and at least two in-person board meetings a year in Panama. It covers corporations, LLCs, partnerships, TRUSTS AND FOUNDATIONS. Holding companies and non-habitual real-estate entities get a simplified regime, forfeited if they take on substantive commercial or investment activity. Banks, insurers, securities firms, investment managers and maritime operators are carved out where licensed. The stated objective is to exit the EU non-cooperative list, on which Panama currently sits in Annex I. PRACTICAL EFFECT: every Panamanian holding or foundation in the book that receives foreign passive income must be triaged before FY2027. The default outcome for a passive shell is 15% where there was previously zero.</t>
  </si>
  <si>
    <t xml:space="preserve">COLOMBIA - the wealth tax nobody can currently plan around</t>
  </si>
  <si>
    <t xml:space="preserve">Operative law is Ley 2277 de 2022: 0.5% to 1.5% on net wealth above 72,000 UVT (~COP 3.77bn, roughly USD 1.2m at 3,140), and the 1.5% top band is scheduled to lapse after the 2026 year of assessment absent new legislation. Layered on top: Decreto 1474 de 2026, issued under a declared economic emergency in January 2026, would cut the threshold to 40,000 UVT and raise the top rate to 5% - and it is under Constitutional Court review. Layered on top of that: the new government pledged outright abolition in the inaugural address of 7 August 2026 and has filed no bill. Meanwhile the revenue argument writes itself: the wealth and riqueza taxes have raised ~COP 49tn cumulatively since 2006, and H1-2026 collections were COP 776bn against a COP 1.37tn full-year target - under 0.1% of GDP. COLOMBIAN WEALTH-TAX PLANNING CANNOT BE CLOSED OUT UNTIL THE COURT RULES. That uncertainty is itself the client conversation.</t>
  </si>
  <si>
    <t xml:space="preserve">Colombia - current wealth-tax brackets (Ley 2277 de 2022, FY2026, 1 UVT = COP 52,347)</t>
  </si>
  <si>
    <t xml:space="preserve">Taxable base (UVT)</t>
  </si>
  <si>
    <t xml:space="preserve">COP equivalent</t>
  </si>
  <si>
    <t xml:space="preserve">Marginal rate</t>
  </si>
  <si>
    <t xml:space="preserve">0 - 72,000 UVT</t>
  </si>
  <si>
    <t xml:space="preserve">up to COP 3,770,928,000</t>
  </si>
  <si>
    <t xml:space="preserve">0%</t>
  </si>
  <si>
    <t xml:space="preserve">72,000 - 122,000 UVT</t>
  </si>
  <si>
    <t xml:space="preserve">to ~COP 6.39bn</t>
  </si>
  <si>
    <t xml:space="preserve">0.5%</t>
  </si>
  <si>
    <t xml:space="preserve">122,000 - 239,000 UVT</t>
  </si>
  <si>
    <t xml:space="preserve">to ~COP 12.51bn</t>
  </si>
  <si>
    <t xml:space="preserve">1.0%</t>
  </si>
  <si>
    <t xml:space="preserve">Above 239,000 UVT</t>
  </si>
  <si>
    <t xml:space="preserve">above ~COP 12.51bn</t>
  </si>
  <si>
    <t xml:space="preserve">1.5% (scheduled to lapse after FY2026)</t>
  </si>
  <si>
    <t xml:space="preserve">Transparency and list status</t>
  </si>
  <si>
    <t xml:space="preserve">None of the seven is on the FATF increased-monitoring (grey) list as of the 19 June 2026 plenary. PANAMA IS ON THE EU LIST OF NON-COOPERATIVE JURISDICTIONS FOR TAX PURPOSES (Annex I), per the Council update of 17 February 2026 - Law 526 of 2026 is the exit attempt. All seven participate in FATCA; Colombia additionally participates in CRS and the MLI, and its CFC regime bites at 10% ownership with investment vehicles automatically classified as controlled foreign entities.</t>
  </si>
  <si>
    <t xml:space="preserve">Investment incentives and residency-by-investment</t>
  </si>
  <si>
    <t xml:space="preserve">Item (b) of the request. Named regimes, thresholds and statutory bases.</t>
  </si>
  <si>
    <t xml:space="preserve">Incentive regimes</t>
  </si>
  <si>
    <t xml:space="preserve">Regime</t>
  </si>
  <si>
    <t xml:space="preserve">What it gives</t>
  </si>
  <si>
    <t xml:space="preserve">Threshold / scale</t>
  </si>
  <si>
    <t xml:space="preserve">SEM - Multinational HQ (Law 41/2007)</t>
  </si>
  <si>
    <t xml:space="preserve">5% CIT on qualifying income; services abroad exempt from CIT and ITBMS; 2.5% remittance tax; 5-yr renewable visas; PR after 5 yrs</t>
  </si>
  <si>
    <t xml:space="preserve">Parent group capital &gt;= USD 200m</t>
  </si>
  <si>
    <t xml:space="preserve">EMMA - Manufacturing services (Law 159/2020)</t>
  </si>
  <si>
    <t xml:space="preserve">Parallel tax/labour/immigration package</t>
  </si>
  <si>
    <t xml:space="preserve">Panama Pacifico SEZ (Law 41/2004)</t>
  </si>
  <si>
    <t xml:space="preserve">1,400 ha; 345+ companies incl. 8 Fortune 500 (3M, Dell, BASF, Caterpillar)</t>
  </si>
  <si>
    <t xml:space="preserve">Régimen de Zona Franca</t>
  </si>
  <si>
    <t xml:space="preserve">Services &amp; non-mfg: 0% CIT yrs 1-8, 15% yrs 9-12. Mfg outside GAM: 0% yrs 1-6. Megaproject outside GAM: 0% yrs 1-12. Plus VAT, duty, property-transfer and remittance-tax relief</t>
  </si>
  <si>
    <t xml:space="preserve">Min investment USD 100k-250k outside GAM; USD 10m megaproject; 100 staff for mfg megaproject</t>
  </si>
  <si>
    <t xml:space="preserve">Zonas Francas / Ley de Simplificacion</t>
  </si>
  <si>
    <t xml:space="preserve">Duty and income-tax relief on qualifying export activity</t>
  </si>
  <si>
    <t xml:space="preserve">Zonas Francas (Art. 240-1 ET)</t>
  </si>
  <si>
    <t xml:space="preserve">20% CIT, but post-13-Dec-2022 users only qualify with an approved internationalisation/export plan (Decreto 047/2024). Pre-2022 users exempt from the export test per C-384/2023</t>
  </si>
  <si>
    <t xml:space="preserve">119 active zones, 20 departments, COP 54.8tn invested, 169,000+ formal jobs (ProColombia, Jan-2026)</t>
  </si>
  <si>
    <t xml:space="preserve">Renewables</t>
  </si>
  <si>
    <t xml:space="preserve">15-year CIT exemption on wind, biomass and agricultural-waste electricity</t>
  </si>
  <si>
    <t xml:space="preserve">Running since 2017</t>
  </si>
  <si>
    <t xml:space="preserve">Obras por impuestos</t>
  </si>
  <si>
    <t xml:space="preserve">Discharge tax liability by building public infrastructure in conflict-affected zones</t>
  </si>
  <si>
    <t xml:space="preserve">Law 8-90 free zones</t>
  </si>
  <si>
    <t xml:space="preserve">~70% of Dominican export revenue; &gt;USD 6bn/yr to the US; medical devices, apparel, cigars, electronics. 3.5% tax on local-market sales</t>
  </si>
  <si>
    <t xml:space="preserve">Survived Ley 30-26 untouched</t>
  </si>
  <si>
    <t xml:space="preserve">Law 158-01 CONFOTUR</t>
  </si>
  <si>
    <t xml:space="preserve">Full income-tax exemption up to 15 yrs; ITBIS exemption on construction; duty waiver; 3% transfer-tax exemption to the unit buyer</t>
  </si>
  <si>
    <t xml:space="preserve">Highest-conversion product in the pack for Caribbean wealth clients</t>
  </si>
  <si>
    <t xml:space="preserve">Law 28-01 border development</t>
  </si>
  <si>
    <t xml:space="preserve">100% CIT and VAT exemption in the Dominican-Haitian border zone</t>
  </si>
  <si>
    <t xml:space="preserve">Ley de Fomento a la Innovación y Manufactura de Tecnologías (Jun-2023)</t>
  </si>
  <si>
    <t xml:space="preserve">15-year total income-tax exemption on the benefited activity, municipal net-asset tax, capital-gains exemption and full import-tariff relief. Software, cloud, AI, semiconductors</t>
  </si>
  <si>
    <t xml:space="preserve">Benefits extend to the company's partners and shareholders</t>
  </si>
  <si>
    <t xml:space="preserve">Free Zone Law (D.405) / International Services Law (D.431)</t>
  </si>
  <si>
    <t xml:space="preserve">CIT, VAT, municipal and duty relief for the life of the operation</t>
  </si>
  <si>
    <t xml:space="preserve">Investment framework + Local Content Act</t>
  </si>
  <si>
    <t xml:space="preserve">Sector incentives; local-content requirements on the oil supply chain</t>
  </si>
  <si>
    <t xml:space="preserve">Residency by investment - the prospecting instrument</t>
  </si>
  <si>
    <t xml:space="preserve">Programme</t>
  </si>
  <si>
    <t xml:space="preserve">Threshold</t>
  </si>
  <si>
    <t xml:space="preserve">What it grants</t>
  </si>
  <si>
    <t xml:space="preserve">Note</t>
  </si>
  <si>
    <t xml:space="preserve">Legal basis</t>
  </si>
  <si>
    <t xml:space="preserve">Qualified Investor Visa</t>
  </si>
  <si>
    <t xml:space="preserve">Real estate USD 300,000 / securities USD 500,000 / deposit USD 750,000</t>
  </si>
  <si>
    <t xml:space="preserve">Immediate permanent residence; naturalisation after 5 yrs</t>
  </si>
  <si>
    <t xml:space="preserve">REAL-ESTATE THRESHOLD RISES TO USD 500,000 AFTER 15 OCTOBER 2026</t>
  </si>
  <si>
    <t xml:space="preserve">Decree 722/2020 as modified by Decree 193</t>
  </si>
  <si>
    <t xml:space="preserve">Friendly Nations Visa</t>
  </si>
  <si>
    <t xml:space="preserve">Real estate USD 200,000 / 3-yr deposit USD 200,000 / local employment</t>
  </si>
  <si>
    <t xml:space="preserve">2 yrs provisional then permanent</t>
  </si>
  <si>
    <t xml:space="preserve">50+ eligible nationalities</t>
  </si>
  <si>
    <t xml:space="preserve">Decree 226, Jul 2021</t>
  </si>
  <si>
    <t xml:space="preserve">Investor residency</t>
  </si>
  <si>
    <t xml:space="preserve">USD 150,000 (cut from 200,000)</t>
  </si>
  <si>
    <t xml:space="preserve">Permanent residency pathway then citizenship</t>
  </si>
  <si>
    <t xml:space="preserve">7 qualifying categories incl. SUGEVAL-registered securities and VC funds</t>
  </si>
  <si>
    <t xml:space="preserve">Law 9996 (2021)</t>
  </si>
  <si>
    <t xml:space="preserve">CONFOTUR (project-level, not a visa)</t>
  </si>
  <si>
    <t xml:space="preserve">Purchase inside an approved tourism project</t>
  </si>
  <si>
    <t xml:space="preserve">Up to 15 yrs income-tax exemption; 3% transfer-tax exemption flows to the individual buyer</t>
  </si>
  <si>
    <t xml:space="preserve">Punta Cana, Samana, Miches, Puerto Plata, Pedernales</t>
  </si>
  <si>
    <t xml:space="preserve">Law 158-01 as amended by 195-13</t>
  </si>
  <si>
    <t xml:space="preserve">Freedom / investor visa</t>
  </si>
  <si>
    <t xml:space="preserve">Thresholds NOT VERIFIED - confirm before use</t>
  </si>
  <si>
    <t xml:space="preserve">Ley de Fomento benefits extend to shareholders</t>
  </si>
  <si>
    <t xml:space="preserve">Verify</t>
  </si>
  <si>
    <t xml:space="preserve">M / R visas</t>
  </si>
  <si>
    <t xml:space="preserve">Multiples of the minimum wage; 2026 multiples NOT VERIFIED</t>
  </si>
  <si>
    <t xml:space="preserve">No golden visa in the Panamanian sense</t>
  </si>
  <si>
    <t xml:space="preserve">Verify with Bogotá practice</t>
  </si>
  <si>
    <t xml:space="preserve">No dedicated investor visa identified</t>
  </si>
  <si>
    <t xml:space="preserve">The Panamanian real-estate threshold rises permanently from USD 300,000 to USD 500,000 after 15 October 2026. As at the date of this pack that is a six-week window, and it is the most immediately actionable fact in the file - it works equally for Central American, Colombian and Venezuelan prospects. Note that Panamanian permanent residence does not by itself create Panamanian tax residency; Panama is territorial.</t>
  </si>
  <si>
    <t xml:space="preserve">PPP and infrastructure pipeline</t>
  </si>
  <si>
    <t xml:space="preserve">Named projects with size and status as of 4 September 2026. NF = no financed cost or contract verified.</t>
  </si>
  <si>
    <t xml:space="preserve">Project</t>
  </si>
  <si>
    <t xml:space="preserve">Size</t>
  </si>
  <si>
    <t xml:space="preserve">Status at Sep-2026</t>
  </si>
  <si>
    <t xml:space="preserve">Next milestone</t>
  </si>
  <si>
    <t xml:space="preserve">Río Indio reservoir (ACP)</t>
  </si>
  <si>
    <t xml:space="preserve">USD 1.6bn</t>
  </si>
  <si>
    <t xml:space="preserve">RFQ for programme manager posted 18 Aug 2026</t>
  </si>
  <si>
    <t xml:space="preserve">Submissions due 6 Oct 2026; EIA Dec-26/Jan-27; construction 2028, operations 2031</t>
  </si>
  <si>
    <t xml:space="preserve">Metro Line 3 monorail (Panamá Oeste)</t>
  </si>
  <si>
    <t xml:space="preserve">USD 4.4bn (from ~2.8bn)</t>
  </si>
  <si>
    <t xml:space="preserve">77% complete Jun-2026; dynamic monorail testing</t>
  </si>
  <si>
    <t xml:space="preserve">Realistic opening band 2027-2028 (not 2026)</t>
  </si>
  <si>
    <t xml:space="preserve">Cobre Panamá (First Quantum)</t>
  </si>
  <si>
    <t xml:space="preserve">~5% of GDP pre-closure</t>
  </si>
  <si>
    <t xml:space="preserve">NOT restarted. Milling pre-blasted stockpile only; first processed shipment Aug-2026</t>
  </si>
  <si>
    <t xml:space="preserve">Presidential commission to report before Dec-2026</t>
  </si>
  <si>
    <t xml:space="preserve">Corozal (Pacific) + Telfers (Atlantic) terminals</t>
  </si>
  <si>
    <t xml:space="preserve">ACP has signalled an international tender</t>
  </si>
  <si>
    <t xml:space="preserve">Once-a-generation concession auction</t>
  </si>
  <si>
    <t xml:space="preserve">Panama-David / Chiriquí train</t>
  </si>
  <si>
    <t xml:space="preserve">Pre-investment / feasibility only - no financed cost or signed contract verified</t>
  </si>
  <si>
    <t xml:space="preserve">GAM electric passenger train (INCOFER)</t>
  </si>
  <si>
    <t xml:space="preserve">USD 800m - fully financed</t>
  </si>
  <si>
    <t xml:space="preserve">CABEI USD 550m (incl. GCF 178.7m) + EIB USD 250m. Legally enabled</t>
  </si>
  <si>
    <t xml:space="preserve">Tender timing unconfirmed; 51+ km, 30 stations, 28 trainsets</t>
  </si>
  <si>
    <t xml:space="preserve">ANADIE / ANI PPP pipeline</t>
  </si>
  <si>
    <t xml:space="preserve">Framework active</t>
  </si>
  <si>
    <t xml:space="preserve">2027 election cycle likely to slow approvals</t>
  </si>
  <si>
    <t xml:space="preserve">Bogotá Metro Line 1</t>
  </si>
  <si>
    <t xml:space="preserve">77.53% complete Apr-2026; 10 of 30 trains delivered, testing at Bosa</t>
  </si>
  <si>
    <t xml:space="preserve">23.9 km, 16 stations; no commercial-operation date stated</t>
  </si>
  <si>
    <t xml:space="preserve">Bogotá Metro Line 2</t>
  </si>
  <si>
    <t xml:space="preserve">COP 34.9tn</t>
  </si>
  <si>
    <t xml:space="preserve">TENDER RECEIVED ZERO BIDS 20 Jan 2026 and was voided. Relaunched Feb-2026</t>
  </si>
  <si>
    <t xml:space="preserve">Bids due Sep-2026, award Q1-2027; operations slip 2032 -&gt; 2034</t>
  </si>
  <si>
    <t xml:space="preserve">5G road concessions (ANI)</t>
  </si>
  <si>
    <t xml:space="preserve">COP 5.5tn (Villeta-Guaduas-El Korán alone)</t>
  </si>
  <si>
    <t xml:space="preserve">Nueva Malla Vial Valle 64%; Troncal Magdalena II 39%; Buenaventura-Loboguerrero-Buga 29%</t>
  </si>
  <si>
    <t xml:space="preserve">ALO Sur works started 5 Aug 2026</t>
  </si>
  <si>
    <t xml:space="preserve">Canal del Dique</t>
  </si>
  <si>
    <t xml:space="preserve">Pre-construction</t>
  </si>
  <si>
    <t xml:space="preserve">Construction from March 2027</t>
  </si>
  <si>
    <t xml:space="preserve">Rafael Núñez airport, Cartagena</t>
  </si>
  <si>
    <t xml:space="preserve">Only 2% complete amid social difficulties</t>
  </si>
  <si>
    <t xml:space="preserve">Earthquake reconstruction (10 Aug 2026)</t>
  </si>
  <si>
    <t xml:space="preserve">COP 30-40tn (USD 9.6bn damage)</t>
  </si>
  <si>
    <t xml:space="preserve">331 dead, 178,555 homes damaged; Cali/Pereira/Quibdó/Manizales/Armenia/Buenaventura</t>
  </si>
  <si>
    <t xml:space="preserve">34-45% of 2026 public investment; 2026 GDP cut 2.7% -&gt; 2.5%</t>
  </si>
  <si>
    <t xml:space="preserve">Cabo Rojo, Pedernales</t>
  </si>
  <si>
    <t xml:space="preserve">&gt; USD 2.2bn</t>
  </si>
  <si>
    <t xml:space="preserve">Under construction; first hotel NOT yet open</t>
  </si>
  <si>
    <t xml:space="preserve">~12,000 rooms, international airport, cruise port; Fideicomiso Pro-Pedernales PPP</t>
  </si>
  <si>
    <t xml:space="preserve">Manzanillo port</t>
  </si>
  <si>
    <t xml:space="preserve">USD 100m IDB + &gt;USD 1.4bn terminal investment over 4 yrs</t>
  </si>
  <si>
    <t xml:space="preserve">Landlord model; 220m x 40m pier, 15m draft (Post-Panamax)</t>
  </si>
  <si>
    <t xml:space="preserve">Port works conclude 2027</t>
  </si>
  <si>
    <t xml:space="preserve">Central Térmica Manzanillo + 345kV line</t>
  </si>
  <si>
    <t xml:space="preserve">414 MW combined cycle &gt;85% complete; 128 km 345 kV line inaugurated Jul</t>
  </si>
  <si>
    <t xml:space="preserve">25% renewable by end-2025, 30% by 2030</t>
  </si>
  <si>
    <t xml:space="preserve">Pacific Airport / CEPA projects</t>
  </si>
  <si>
    <t xml:space="preserve">Status NOT VERIFIED</t>
  </si>
  <si>
    <t xml:space="preserve">Gas-to-energy project</t>
  </si>
  <si>
    <t xml:space="preserve">In execution</t>
  </si>
  <si>
    <t xml:space="preserve">Stabroek FPSO programme</t>
  </si>
  <si>
    <t xml:space="preserve">USD 55bn Exxon investment recovered ahead of schedule</t>
  </si>
  <si>
    <t xml:space="preserve">5 FPSOs; Errea Wittu arrived 21 Aug 2026; ~900 kb/d Aug-2026</t>
  </si>
  <si>
    <t xml:space="preserve">Past 1m bpd in Q4-2026; capacity 1.3m bpd after two more FPSOs in 2027</t>
  </si>
  <si>
    <t xml:space="preserve">Two cautionary entries are worth reading before you quote the pipeline to anyone. Bogota Metro Line 2 received ZERO bids at the 20 January 2026 deadline and was declared void after Acciona pulled its 40% stake from the sole remaining consortium; the relaunched tender's September 2026 deadline had not resolved as at the date of this pack, and operations have already slipped from 2032 to 2034. And Cobre Panama has NOT reopened - it is milling a pre-blasted stockpile of roughly 38m tonnes under a preservation licence, which is about twelve months of milling, and shipped its first processed concentrate in August 2026. Neither of these is a restart.</t>
  </si>
  <si>
    <t xml:space="preserve">Where the wealth is made, and who holds it</t>
  </si>
  <si>
    <t xml:space="preserve">Item (c) of the request. Sector engines, named family groups and the liquidity events that create prospects.</t>
  </si>
  <si>
    <t xml:space="preserve">The engines</t>
  </si>
  <si>
    <t xml:space="preserve">Engine</t>
  </si>
  <si>
    <t xml:space="preserve">The hard number</t>
  </si>
  <si>
    <t xml:space="preserve">Why it mints wealth - and the caveat</t>
  </si>
  <si>
    <t xml:space="preserve">Canal &amp; logistics</t>
  </si>
  <si>
    <t xml:space="preserve">FY2025 revenue USD 5.7bn (+14.4%), 13,404 transits (+19.3%), USD 2.965bn to Treasury (+20%)</t>
  </si>
  <si>
    <t xml:space="preserve">Transport cluster ~15% of GDP; transport/storage grew +14.5% in 2025, ~40% of all growth</t>
  </si>
  <si>
    <t xml:space="preserve">Banking (Centro Bancario Internacional)</t>
  </si>
  <si>
    <t xml:space="preserve">Banco General: assets USD 21.1bn, net income USD 844.6m (+5.8%), ROAE 21.2%</t>
  </si>
  <si>
    <t xml:space="preserve">Panamanian founding families; the plaza itself is the wealth pool</t>
  </si>
  <si>
    <t xml:space="preserve">Copper optionality</t>
  </si>
  <si>
    <t xml:space="preserve">Cobre Panamá was ~5% of GDP and &gt;75% of goods exports (~USD 2.8bn)</t>
  </si>
  <si>
    <t xml:space="preserve">A settlement is the largest single re-rating event available in the country</t>
  </si>
  <si>
    <t xml:space="preserve">Medical devices</t>
  </si>
  <si>
    <t xml:space="preserve">&gt;USD 6.1bn exports = 44% of goods exports; 90+ medtech firms; 5th-largest US supplier</t>
  </si>
  <si>
    <t xml:space="preserve">But contracting in 2026: 12.5% US tariff, appreciating colon, Boston Scientific restructuring over a 10,000-person CR workforce</t>
  </si>
  <si>
    <t xml:space="preserve">FDI franchise</t>
  </si>
  <si>
    <t xml:space="preserve">2025 FDI USD 5.12bn (2nd record year); US 54.8%, Switzerland 19.7%</t>
  </si>
  <si>
    <t xml:space="preserve">Warning: reinvestment at a record USD 4.33bn while new investment fell 18% to USD 895m</t>
  </si>
  <si>
    <t xml:space="preserve">Remittance-driven consumption</t>
  </si>
  <si>
    <t xml:space="preserve">2025 remittances USD 25.5bn, +19% = 20.7% of GDP</t>
  </si>
  <si>
    <t xml:space="preserve">Banguat projects deceleration to +5% in 2026 - the single largest macro risk in the sample</t>
  </si>
  <si>
    <t xml:space="preserve">Family conglomerates</t>
  </si>
  <si>
    <t xml:space="preserve">CMI, Cementos Progreso, Cervecería Centroamericana, Pantaleón, Banco Industrial</t>
  </si>
  <si>
    <t xml:space="preserve">CMI Capital pivoted to 'Active Asset Management' and opened to outside investors, Dec-2025</t>
  </si>
  <si>
    <t xml:space="preserve">Banking / Grupo Cibest</t>
  </si>
  <si>
    <t xml:space="preserve">H1-2026 net income COP 4.19tn (+18.7%); NIM 7.94%; assets COP 363tn</t>
  </si>
  <si>
    <t xml:space="preserve">Sold Banistmo for USD 1.418bn (closed 30 Jun 2026); COP 1.35tn buyback + COP 1.2tn extraordinary dividend</t>
  </si>
  <si>
    <t xml:space="preserve">Oil &amp; gas - in managed decline</t>
  </si>
  <si>
    <t xml:space="preserve">Jul-2026 crude 727,920 bpd (-2.5% y/y); gas 1,096 MMcfd (-8.4% y/y)</t>
  </si>
  <si>
    <t xml:space="preserve">Wealth is being harvested, not created. 2025 reserves still unpublished as of Jun-2026</t>
  </si>
  <si>
    <t xml:space="preserve">Public spending</t>
  </si>
  <si>
    <t xml:space="preserve">Q2-2026 public admin/education/health +10.0% y/y, +1.7pp of 3.5% growth</t>
  </si>
  <si>
    <t xml:space="preserve">Growth carried by the state, not by tradables - a wealth-creation warning</t>
  </si>
  <si>
    <t xml:space="preserve">Tourism + free zones</t>
  </si>
  <si>
    <t xml:space="preserve">Free zones ~70% of export revenue, &gt;USD 6bn/yr to the US; 11.2m visitors in 2024</t>
  </si>
  <si>
    <t xml:space="preserve">CONFOTUR gives a 15-yr shelter that flows through to the individual unit buyer</t>
  </si>
  <si>
    <t xml:space="preserve">Record FDI</t>
  </si>
  <si>
    <t xml:space="preserve">2025 FDI USD 5.03bn (+11.3%), an all-time record; total FX inflows &gt;USD 46.8bn</t>
  </si>
  <si>
    <t xml:space="preserve">Debt down from 69.1% (2020) to 58.5% of GDP (2025)</t>
  </si>
  <si>
    <t xml:space="preserve">Remittances</t>
  </si>
  <si>
    <t xml:space="preserve">2025 USD 9.99bn, +17.7%, ~24% of GDP; Q1-2026 a record USD 2.44bn</t>
  </si>
  <si>
    <t xml:space="preserve">Most remittance-dependent economy in the sample</t>
  </si>
  <si>
    <t xml:space="preserve">Family groups going regional</t>
  </si>
  <si>
    <t xml:space="preserve">Grupo Calleja took &gt;56% of Grupo Éxito (Colombia); Inversiones Cuscatlán bought Banistmo</t>
  </si>
  <si>
    <t xml:space="preserve">Salvadoran family capital is now an acquirer of Colombian and Panamanian assets</t>
  </si>
  <si>
    <t xml:space="preserve">Oil</t>
  </si>
  <si>
    <t xml:space="preserve">~900 kb/d Aug-2026; NRF USD 4.35bn at 31 Jul 2026; inflows ~USD 10.5bn since 2020</t>
  </si>
  <si>
    <t xml:space="preserve">GDP/capita already USD 26,994 - above Costa Rica and Panama</t>
  </si>
  <si>
    <t xml:space="preserve">Named local and family participants</t>
  </si>
  <si>
    <t xml:space="preserve">Group</t>
  </si>
  <si>
    <t xml:space="preserve">Scale / status</t>
  </si>
  <si>
    <t xml:space="preserve">Ownership</t>
  </si>
  <si>
    <t xml:space="preserve">Grupo Financiero BG / Banco General</t>
  </si>
  <si>
    <t xml:space="preserve">Largest private bank; assets USD 21.1bn, net income USD 844.6m, ROAE 21.2%</t>
  </si>
  <si>
    <t xml:space="preserve">Panamanian founding families (not independently verified)</t>
  </si>
  <si>
    <t xml:space="preserve">Copa Holdings (NYSE: CPA)</t>
  </si>
  <si>
    <t xml:space="preserve">FY2025 revenue USD 3.617bn, net profit USD 671.6m, 14.85m pax, 126 aircraft</t>
  </si>
  <si>
    <t xml:space="preserve">Motta family control (widely reported, not verified)</t>
  </si>
  <si>
    <t xml:space="preserve">Empresas Bern</t>
  </si>
  <si>
    <t xml:space="preserve">#1 domestic developer + Bern Hotels &amp; Resorts; 160+ projects</t>
  </si>
  <si>
    <t xml:space="preserve">Bern family - Herman &amp; Myriam Bern, four children on the board</t>
  </si>
  <si>
    <t xml:space="preserve">Grupo Motta / Motta Internacional</t>
  </si>
  <si>
    <t xml:space="preserve">Duty-free (Attenza), Inversiones Bahia</t>
  </si>
  <si>
    <t xml:space="preserve">Motta family</t>
  </si>
  <si>
    <t xml:space="preserve">Grupo Rey</t>
  </si>
  <si>
    <t xml:space="preserve">~150 supermarkets/pharmacies</t>
  </si>
  <si>
    <t xml:space="preserve">CORRECTION: Corporación Favorita (Ecuador) holds 73% since 2019 - NOT a Panamanian family prospect</t>
  </si>
  <si>
    <t xml:space="preserve">FIFCO</t>
  </si>
  <si>
    <t xml:space="preserve">CORRECTION: no longer the beverage business - operating assets went to Heineken; FIFCO retains 25% stakes plus real estate</t>
  </si>
  <si>
    <t xml:space="preserve">Fernandez family</t>
  </si>
  <si>
    <t xml:space="preserve">Corporacion Multi Inversiones (CMI)</t>
  </si>
  <si>
    <t xml:space="preserve">CMI Capital pivoted to Active Asset Management, Dec-2025, and opened to outside investors</t>
  </si>
  <si>
    <t xml:space="preserve">Bosch-Gutierrez family</t>
  </si>
  <si>
    <t xml:space="preserve">Cementos Progreso / Cervecería Centroamericana / Pantaleón / Banco Industrial</t>
  </si>
  <si>
    <t xml:space="preserve">Financials NOT FOUND this pass</t>
  </si>
  <si>
    <t xml:space="preserve">Novella, Castillo, Herrera, Bicapital</t>
  </si>
  <si>
    <t xml:space="preserve">Grupo Argos</t>
  </si>
  <si>
    <t xml:space="preserve">Dec-2025 revenue COP 11.7tn, assets COP 37.6tn, market cap COP 11.1tn. Units: Argos Cementos, Celsia, Odinsa</t>
  </si>
  <si>
    <t xml:space="preserve">GEA / Antioquia group. 'ACE 1.0' programme to double DPS over 36 months</t>
  </si>
  <si>
    <t xml:space="preserve">Grupo Nutresa</t>
  </si>
  <si>
    <t xml:space="preserve">~87% Gilinski Group (IHC-backed). Best 2025 COLCAP performer, &gt;+250%</t>
  </si>
  <si>
    <t xml:space="preserve">Gilinski family + IHC</t>
  </si>
  <si>
    <t xml:space="preserve">Gilinski Group</t>
  </si>
  <si>
    <t xml:space="preserve">Has taken control of GeoPark and entered Venezuela - Orinoco Belt assets, 15.7bn bbl reserves, 11,000 bpd</t>
  </si>
  <si>
    <t xml:space="preserve">Gilinski family</t>
  </si>
  <si>
    <t xml:space="preserve">Grupo Popular / Banco Popular Dominicano</t>
  </si>
  <si>
    <t xml:space="preserve">Largest private financial group; Manuel Grullón Hernández moved to EVP in 2026</t>
  </si>
  <si>
    <t xml:space="preserve">Grullon family</t>
  </si>
  <si>
    <t xml:space="preserve">INICIA / Vicini, Grupo Puntacana, Grupo Ramos, Grupo Rica</t>
  </si>
  <si>
    <t xml:space="preserve">Vicini, Rainieri, Ramos families</t>
  </si>
  <si>
    <t xml:space="preserve">Grupo Poma</t>
  </si>
  <si>
    <t xml:space="preserve">9 countries, 6 divisions. Ricardo Poma died 24 Aug 2025 - succession is open</t>
  </si>
  <si>
    <t xml:space="preserve">Poma family</t>
  </si>
  <si>
    <t xml:space="preserve">Grupo Calleja</t>
  </si>
  <si>
    <t xml:space="preserve">Super Selectos + &gt;56% of Grupo Éxito. Carlos Calleja is chair/CEO of Exito</t>
  </si>
  <si>
    <t xml:space="preserve">Calleja family. Has publicly floated Venezuela entry (Mar-2026)</t>
  </si>
  <si>
    <t xml:space="preserve">Inversiones Cuscatlán / Banco La Hipotecaria</t>
  </si>
  <si>
    <t xml:space="preserve">Bought Banistmo (Panama) for USD 1.418bn, closed 30 Jun 2026</t>
  </si>
  <si>
    <t xml:space="preserve">Confirm ultimate ownership (Grupo Terra link unverified)</t>
  </si>
  <si>
    <t xml:space="preserve">Banks DIH, Demerara Distillers, GBTI, Republic Bank Guyana, ANSA McAL Guyana</t>
  </si>
  <si>
    <t xml:space="preserve">Financials NOT FOUND. ANSA McAL took a USD 500m IDB Invest facility Jul-2026</t>
  </si>
  <si>
    <t xml:space="preserve">Liquidity events 2024-2026 - who just got liquid, and when</t>
  </si>
  <si>
    <t xml:space="preserve">Event</t>
  </si>
  <si>
    <t xml:space="preserve">22 Sep 2025 (close H1-2026)</t>
  </si>
  <si>
    <t xml:space="preserve">Heineken acquires FIFCO's beverage and retail businesses</t>
  </si>
  <si>
    <t xml:space="preserve">USD 3.2bn</t>
  </si>
  <si>
    <t xml:space="preserve">Announced 18 Dec 2025, closed 30 Jun 2026</t>
  </si>
  <si>
    <t xml:space="preserve">Panama / Colombia / El Salvador</t>
  </si>
  <si>
    <t xml:space="preserve">Grupo Cibest sells Banistmo to Inversiones Cuscatlán</t>
  </si>
  <si>
    <t xml:space="preserve">USD 1.418bn</t>
  </si>
  <si>
    <t xml:space="preserve">Mar 2026 / Aug 2026</t>
  </si>
  <si>
    <t xml:space="preserve">Grupo Cibest buyback + extraordinary dividend</t>
  </si>
  <si>
    <t xml:space="preserve">COP 1.35tn + COP 1.2tn</t>
  </si>
  <si>
    <t xml:space="preserve">26 Jan 2024 (control since)</t>
  </si>
  <si>
    <t xml:space="preserve">El Salvador / Colombia</t>
  </si>
  <si>
    <t xml:space="preserve">Grupo Calleja takes control of Grupo Éxito</t>
  </si>
  <si>
    <t xml:space="preserve">EUR 400m for 34%, now &gt;56%</t>
  </si>
  <si>
    <t xml:space="preserve">1 Dec 2025</t>
  </si>
  <si>
    <t xml:space="preserve">Colombia / Costa Rica / Panama</t>
  </si>
  <si>
    <t xml:space="preserve">Davivienda closes Scotiabank COL/CR/PAN; Scotiabank takes ~20% of Davivienda Group</t>
  </si>
  <si>
    <t xml:space="preserve">1 Sep 2026</t>
  </si>
  <si>
    <t xml:space="preserve">Nequi spun out as an independent financing company</t>
  </si>
  <si>
    <t xml:space="preserve">29m users</t>
  </si>
  <si>
    <t xml:space="preserve">30 Jan - Mar 2026</t>
  </si>
  <si>
    <t xml:space="preserve">Supreme Court voids the CK Hutchison ports concession; Panama carved out of the USD 22.8bn global deal</t>
  </si>
  <si>
    <t xml:space="preserve">CKH arbitration &gt;USD 1.5bn</t>
  </si>
  <si>
    <t xml:space="preserve">Jul 2026</t>
  </si>
  <si>
    <t xml:space="preserve">Guyana / Trinidad</t>
  </si>
  <si>
    <t xml:space="preserve">IDB Invest facility to ANSA McAL — its largest ever</t>
  </si>
  <si>
    <t xml:space="preserve">USD 500m</t>
  </si>
  <si>
    <t xml:space="preserve">24 Aug 2025</t>
  </si>
  <si>
    <t xml:space="preserve">Ricardo Poma dies; Grupo Poma succession opens (9 countries, 6 divisions)</t>
  </si>
  <si>
    <t xml:space="preserve">2026</t>
  </si>
  <si>
    <t xml:space="preserve">Manuel Grullón Hernández moves to EVP, Grupo Popular</t>
  </si>
  <si>
    <t xml:space="preserve">Dec 2025</t>
  </si>
  <si>
    <t xml:space="preserve">CMI Capital pivots to 'Active Asset Management' and opens to outside investors</t>
  </si>
  <si>
    <t xml:space="preserve">This table is the prospecting list. A closed transaction with a date and a number tells you which family has cash and roughly when it landed. Three of these are succession events rather than transactions - Ricardo Poma's death in August 2025, the Grullon move to executive vice-president at Grupo Popular, and CMI Capital opening to outside investors - and succession is when a family reconsiders its banking relationships.</t>
  </si>
  <si>
    <t xml:space="preserve">Listed-company exposure map</t>
  </si>
  <si>
    <t xml:space="preserve">Item (e) of the request. Exposure map only - no valuation metrics, no price targets, no recommendations.</t>
  </si>
  <si>
    <t xml:space="preserve">This tab exists to answer 'which listed companies actually have money in these markets'. It is not a screen and nothing here is a view. Several widely used names in this space have been acquired, delisted or restructured in the last eighteen months - the traps table at the bottom lists them.</t>
  </si>
  <si>
    <t xml:space="preserve">Bucket</t>
  </si>
  <si>
    <t xml:space="preserve">Company</t>
  </si>
  <si>
    <t xml:space="preserve">Ticker / exchange</t>
  </si>
  <si>
    <t xml:space="preserve">Sector</t>
  </si>
  <si>
    <t xml:space="preserve">Specific exposure</t>
  </si>
  <si>
    <t xml:space="preserve">Pure play?</t>
  </si>
  <si>
    <t xml:space="preserve">Energy &amp; extractives - Guyana</t>
  </si>
  <si>
    <t xml:space="preserve">ExxonMobil</t>
  </si>
  <si>
    <t xml:space="preserve">XOM (NYSE)</t>
  </si>
  <si>
    <t xml:space="preserve">Energy</t>
  </si>
  <si>
    <t xml:space="preserve">Operator, 45% Stabroek; Guyana is its single largest growth engine</t>
  </si>
  <si>
    <t xml:space="preserve">Diversified</t>
  </si>
  <si>
    <t xml:space="preserve">Chevron</t>
  </si>
  <si>
    <t xml:space="preserve">CVX (NYSE)</t>
  </si>
  <si>
    <t xml:space="preserve">30% Stabroek via the Hess acquisition, completed 18 Jul 2025. REPLACES Hess</t>
  </si>
  <si>
    <t xml:space="preserve">CNOOC</t>
  </si>
  <si>
    <t xml:space="preserve">0883.HK</t>
  </si>
  <si>
    <t xml:space="preserve">25% Stabroek; only non-China asset of this scale</t>
  </si>
  <si>
    <t xml:space="preserve">CGX Energy</t>
  </si>
  <si>
    <t xml:space="preserve">OYL.V (TSXV)</t>
  </si>
  <si>
    <t xml:space="preserve">Corentyne block operator; Guyana-only</t>
  </si>
  <si>
    <t xml:space="preserve">PURE PLAY</t>
  </si>
  <si>
    <t xml:space="preserve">Noble Corp</t>
  </si>
  <si>
    <t xml:space="preserve">NE (NYSE)</t>
  </si>
  <si>
    <t xml:space="preserve">Energy services</t>
  </si>
  <si>
    <t xml:space="preserve">4 drillships on Stabroek at ~USD 400k/day; largest single-country rig concentration</t>
  </si>
  <si>
    <t xml:space="preserve">Diversified (high torque)</t>
  </si>
  <si>
    <t xml:space="preserve">TechnipFMC</t>
  </si>
  <si>
    <t xml:space="preserve">FTI (NYSE)</t>
  </si>
  <si>
    <t xml:space="preserve">Substantial subsea contract for Hammerhead; 200th subsea tree delivered Sep-2026</t>
  </si>
  <si>
    <t xml:space="preserve">Saipem</t>
  </si>
  <si>
    <t xml:space="preserve">SPM.MI</t>
  </si>
  <si>
    <t xml:space="preserve">~USD 500m EPCI on Hammerhead; further ExxonMobil Guyana award Apr-2026</t>
  </si>
  <si>
    <t xml:space="preserve">Energy &amp; extractives - Colombia</t>
  </si>
  <si>
    <t xml:space="preserve">Ecopetrol</t>
  </si>
  <si>
    <t xml:space="preserve">EC (NYSE) / BVC</t>
  </si>
  <si>
    <t xml:space="preserve">Colombian NOC; also controls ISA. Bought 51% of Brazil's Brava Energia (~USD 1.2bn)</t>
  </si>
  <si>
    <t xml:space="preserve">Parex Resources</t>
  </si>
  <si>
    <t xml:space="preserve">PXT.TO</t>
  </si>
  <si>
    <t xml:space="preserve">Colombia-only; enlarged by the Frontera E&amp;P acquisition, Jun-2026</t>
  </si>
  <si>
    <t xml:space="preserve">GeoPark</t>
  </si>
  <si>
    <t xml:space="preserve">GPRK (NYSE)</t>
  </si>
  <si>
    <t xml:space="preserve">Llanos 34 core plus Chile/Brazil/Argentina/Ecuador. Gilinski has taken control</t>
  </si>
  <si>
    <t xml:space="preserve">Majority Colombia</t>
  </si>
  <si>
    <t xml:space="preserve">Frontera Energy</t>
  </si>
  <si>
    <t xml:space="preserve">FEC.TO</t>
  </si>
  <si>
    <t xml:space="preserve">Infrastructure</t>
  </si>
  <si>
    <t xml:space="preserve">No longer an E&amp;P. Colombia infrastructure (Puerto Bahia, ODL) + Guyana Corentyne via CGX</t>
  </si>
  <si>
    <t xml:space="preserve">Gran Tierra</t>
  </si>
  <si>
    <t xml:space="preserve">GTE (NYSE/TSX)</t>
  </si>
  <si>
    <t xml:space="preserve">Colombia + Ecuador being SOLD to Maurel &amp; Prom (~USD 1.33bn, announced 4 Aug 2026, pending)</t>
  </si>
  <si>
    <t xml:space="preserve">Exposure ending</t>
  </si>
  <si>
    <t xml:space="preserve">Canacol</t>
  </si>
  <si>
    <t xml:space="preserve">CNNEQ (OTCID) / CNEC (BVC)</t>
  </si>
  <si>
    <t xml:space="preserve">CCAA restructuring; TSX-delisted 29 Dec 2025, trading suspended</t>
  </si>
  <si>
    <t xml:space="preserve">DISTRESSED - not investable</t>
  </si>
  <si>
    <t xml:space="preserve">Mining</t>
  </si>
  <si>
    <t xml:space="preserve">Barrick Mining</t>
  </si>
  <si>
    <t xml:space="preserve">B (NYSE) / ABX (TSX)</t>
  </si>
  <si>
    <t xml:space="preserve">Materials</t>
  </si>
  <si>
    <t xml:space="preserve">60% of Pueblo Viejo, DR; LOM beyond 2040, ~USD 1.3bn expansion capex</t>
  </si>
  <si>
    <t xml:space="preserve">Newmont</t>
  </si>
  <si>
    <t xml:space="preserve">NEM (NYSE)</t>
  </si>
  <si>
    <t xml:space="preserve">40% of Pueblo Viejo, DR - the other half of the country's largest mine</t>
  </si>
  <si>
    <t xml:space="preserve">First Quantum</t>
  </si>
  <si>
    <t xml:space="preserve">FM.TO</t>
  </si>
  <si>
    <t xml:space="preserve">Cobre Panamá - idle since late 2023. Binary Panama optionality; was ~5% of Panamanian GDP</t>
  </si>
  <si>
    <t xml:space="preserve">Aris Mining</t>
  </si>
  <si>
    <t xml:space="preserve">ARIS (NYSE-A/TSX)</t>
  </si>
  <si>
    <t xml:space="preserve">Colombia (Segovia, Marmato) plus Guyana (Toroparu)</t>
  </si>
  <si>
    <t xml:space="preserve">Pan American Silver</t>
  </si>
  <si>
    <t xml:space="preserve">PAAS (NYSE/TSX)</t>
  </si>
  <si>
    <t xml:space="preserve">Escobal, Guatemala - suspended since 2017; ILO-169 consultation ongoing. Large embedded option, no production</t>
  </si>
  <si>
    <t xml:space="preserve">Aura Minerals</t>
  </si>
  <si>
    <t xml:space="preserve">AUGO (Nasdaq)</t>
  </si>
  <si>
    <t xml:space="preserve">Era Dorada gold-copper, Guatemala - board approved construction 2026</t>
  </si>
  <si>
    <t xml:space="preserve">Ports, logistics, aviation</t>
  </si>
  <si>
    <t xml:space="preserve">Copa Holdings</t>
  </si>
  <si>
    <t xml:space="preserve">CPA (NYSE)</t>
  </si>
  <si>
    <t xml:space="preserve">Industrials</t>
  </si>
  <si>
    <t xml:space="preserve">Panama City Tocumen 'Hub of the Americas'; 126 aircraft; Panama-domiciled. Cleanest listed Panama proxy</t>
  </si>
  <si>
    <t xml:space="preserve">CK Hutchison</t>
  </si>
  <si>
    <t xml:space="preserve">0001.HK</t>
  </si>
  <si>
    <t xml:space="preserve">Balboa &amp; Cristobal concessions ANNULLED 24 Feb 2026; arbitration filed Aug-2026 for &gt;USD 1.5bn</t>
  </si>
  <si>
    <t xml:space="preserve">A.P. Moller-Maersk</t>
  </si>
  <si>
    <t xml:space="preserve">MAERSK-B.CO</t>
  </si>
  <si>
    <t xml:space="preserve">APM Terminals Panama now operates Balboa under an 18-month temporary concession</t>
  </si>
  <si>
    <t xml:space="preserve">VINCI</t>
  </si>
  <si>
    <t xml:space="preserve">DG.PA</t>
  </si>
  <si>
    <t xml:space="preserve">AERODOM - concession for 6 DR airports, extended 30 years; plus Guanacaste (Liberia), Costa Rica</t>
  </si>
  <si>
    <t xml:space="preserve">Hotels, tourism, cruise</t>
  </si>
  <si>
    <t xml:space="preserve">Meliá Hotels</t>
  </si>
  <si>
    <t xml:space="preserve">MEL.MC</t>
  </si>
  <si>
    <t xml:space="preserve">Cons. Disc.</t>
  </si>
  <si>
    <t xml:space="preserve">Largest listed DR resort exposure - Punta Cana/Bavaro estate incl. the Grupo Puntacana JV; also Costa Rica</t>
  </si>
  <si>
    <t xml:space="preserve">Hyatt Hotels</t>
  </si>
  <si>
    <t xml:space="preserve">H (NYSE)</t>
  </si>
  <si>
    <t xml:space="preserve">Absorbed Playa's DR platform Jun-2025, then sold the real estate to Tortuga Dec-2025. Now fees, not assets</t>
  </si>
  <si>
    <t xml:space="preserve">Marriott / Hilton</t>
  </si>
  <si>
    <t xml:space="preserve">MAR / HLT</t>
  </si>
  <si>
    <t xml:space="preserve">Franchised and managed across DR, Panama, Costa Rica, Colombia, Guatemala; asset-light</t>
  </si>
  <si>
    <t xml:space="preserve">Carnival</t>
  </si>
  <si>
    <t xml:space="preserve">CCL (NYSE/LSE)</t>
  </si>
  <si>
    <t xml:space="preserve">Amber Cove, Puerto Plata, DR - a Carnival-developed destination port; also Colon, Panama</t>
  </si>
  <si>
    <t xml:space="preserve">Medical devices - Costa Rica</t>
  </si>
  <si>
    <t xml:space="preserve">Establishment Labs</t>
  </si>
  <si>
    <t xml:space="preserve">ESTA (Nasdaq)</t>
  </si>
  <si>
    <t xml:space="preserve">Healthcare</t>
  </si>
  <si>
    <t xml:space="preserve">The only Costa Rica pure play on any exchange. HQ and sole manufacturing in Alajuela; 2025 revenue USD 211m</t>
  </si>
  <si>
    <t xml:space="preserve">Boston Scientific</t>
  </si>
  <si>
    <t xml:space="preserve">BSX (NYSE)</t>
  </si>
  <si>
    <t xml:space="preserve">Among the largest CR medtech employers; multiple Coyol/Heredia plants. 2026 restructuring covers a 10,000-person CR workforce</t>
  </si>
  <si>
    <t xml:space="preserve">Medtronic / Abbott / Baxter / Edwards</t>
  </si>
  <si>
    <t xml:space="preserve">MDT / ABT / BAX / EW</t>
  </si>
  <si>
    <t xml:space="preserve">Costa Rica manufacturing within the Coyol cluster</t>
  </si>
  <si>
    <t xml:space="preserve">Intel</t>
  </si>
  <si>
    <t xml:space="preserve">INTC (Nasdaq)</t>
  </si>
  <si>
    <t xml:space="preserve">Technology</t>
  </si>
  <si>
    <t xml:space="preserve">Costa Rica assembly/test and megalab - the anchor non-medtech FDI in CR</t>
  </si>
  <si>
    <t xml:space="preserve">Financials &amp; payments</t>
  </si>
  <si>
    <t xml:space="preserve">Grupo Cibest (Bancolombia)</t>
  </si>
  <si>
    <t xml:space="preserve">CIB (NYSE)</t>
  </si>
  <si>
    <t xml:space="preserve">Financials</t>
  </si>
  <si>
    <t xml:space="preserve">Colombia's largest bank group. NOTE: sold Banistmo (Panama) Jun-2026. Retains Banco Agrícola (SV), BAM (GT). 15.8% of the COLO ETF</t>
  </si>
  <si>
    <t xml:space="preserve">BAC Holding International</t>
  </si>
  <si>
    <t xml:space="preserve">BHI (BVC)</t>
  </si>
  <si>
    <t xml:space="preserve">The closest thing to a CentAm pure-play bank. CR, SV, GT, HN, NI, PA via BAC Credomatic; ~20,600 staff</t>
  </si>
  <si>
    <t xml:space="preserve">Davivienda Group</t>
  </si>
  <si>
    <t xml:space="preserve">PFDAVVNDA (BVC)</t>
  </si>
  <si>
    <t xml:space="preserve">Enlarged 1 Dec 2025 by Scotiabank's Colombia/CR/Panama books</t>
  </si>
  <si>
    <t xml:space="preserve">Grupo Aval</t>
  </si>
  <si>
    <t xml:space="preserve">AVAL (NYSE)</t>
  </si>
  <si>
    <t xml:space="preserve">Colombia banking. CentAm exposure was spun off as BHI in 2022 - do not double-count</t>
  </si>
  <si>
    <t xml:space="preserve">Bladex</t>
  </si>
  <si>
    <t xml:space="preserve">BLX (NYSE)</t>
  </si>
  <si>
    <t xml:space="preserve">Panama-domiciled trade-finance bank founded by 23 LatAm/Caribbean central banks</t>
  </si>
  <si>
    <t xml:space="preserve">PURE PLAY (domicile)</t>
  </si>
  <si>
    <t xml:space="preserve">Scotiabank</t>
  </si>
  <si>
    <t xml:space="preserve">BNS (NYSE/TSX)</t>
  </si>
  <si>
    <t xml:space="preserve">EXITED as operator. Retains ~20% associate stake in Davivienda Group</t>
  </si>
  <si>
    <t xml:space="preserve">Western Union / Remitly / Euronet</t>
  </si>
  <si>
    <t xml:space="preserve">WU / RELY / EEFT</t>
  </si>
  <si>
    <t xml:space="preserve">US to CentAm/Colombia/DR remittance corridors - among the world's highest remittance-to-GDP markets</t>
  </si>
  <si>
    <t xml:space="preserve">Consumer, telecom, cement</t>
  </si>
  <si>
    <t xml:space="preserve">Millicom (Tigo)</t>
  </si>
  <si>
    <t xml:space="preserve">TIGO (Nasdaq/Stockholm)</t>
  </si>
  <si>
    <t xml:space="preserve">Comm. Svcs</t>
  </si>
  <si>
    <t xml:space="preserve">The best listed proxy for the CentAm set. Q2-26: Colombia USD 816m = 40% of revenue (Coltel closed Feb-2026); Guatemala USD 382m = 19%, 55.6% EBITDA margin</t>
  </si>
  <si>
    <t xml:space="preserve">Liberty Latin America</t>
  </si>
  <si>
    <t xml:space="preserve">LILA (Nasdaq)</t>
  </si>
  <si>
    <t xml:space="preserve">Reports 'C&amp;W Panama' and 'Liberty Costa Rica' as named segments</t>
  </si>
  <si>
    <t xml:space="preserve">PURE PLAY (region)</t>
  </si>
  <si>
    <t xml:space="preserve">América Móvil</t>
  </si>
  <si>
    <t xml:space="preserve">AMX (NYSE/BMV)</t>
  </si>
  <si>
    <t xml:space="preserve">Claro in Colombia, Panama, CR, Guatemala, El Salvador, DR</t>
  </si>
  <si>
    <t xml:space="preserve">Coca-Cola FEMSA</t>
  </si>
  <si>
    <t xml:space="preserve">KOF (NYSE/BMV)</t>
  </si>
  <si>
    <t xml:space="preserve">Cons. Staples</t>
  </si>
  <si>
    <t xml:space="preserve">Bottler in Guatemala, Costa Rica, Panama, Nicaragua and Colombia</t>
  </si>
  <si>
    <t xml:space="preserve">Ambev</t>
  </si>
  <si>
    <t xml:space="preserve">ABEV (NYSE/B3)</t>
  </si>
  <si>
    <t xml:space="preserve">'Central America and Caribbean' is a reported segment - anchored by Cervecería Nacional Dominicana (Presidente)</t>
  </si>
  <si>
    <t xml:space="preserve">Walmart de México y Centroamérica</t>
  </si>
  <si>
    <t xml:space="preserve">WALMEX (BMV)</t>
  </si>
  <si>
    <t xml:space="preserve">Costa Rica, Guatemala, El Salvador, Honduras, Nicaragua</t>
  </si>
  <si>
    <t xml:space="preserve">Grupo Éxito</t>
  </si>
  <si>
    <t xml:space="preserve">EXITO (BVC) / EXCO32 (B3)</t>
  </si>
  <si>
    <t xml:space="preserve">Colombia retail; Grupo Calleja (El Salvador) control since 2024. NYSE ADSs DELISTED Jan-2025</t>
  </si>
  <si>
    <t xml:space="preserve">Cemex</t>
  </si>
  <si>
    <t xml:space="preserve">CX (NYSE/BMV)</t>
  </si>
  <si>
    <t xml:space="preserve">Largely exited - sold DR (USD 950m) and Panama (USD 200m) in 2025. Retains Colombia (partly divesting) + Jamaica</t>
  </si>
  <si>
    <t xml:space="preserve">Exposure shrinking</t>
  </si>
  <si>
    <t xml:space="preserve">Grupo Argos / Cementos Argos</t>
  </si>
  <si>
    <t xml:space="preserve">GRUPOARGOS / CEMARGOS (BVC)</t>
  </si>
  <si>
    <t xml:space="preserve">Colombian cement, energy (Celsia) and concessions. Summit stake fully monetised Feb-2025</t>
  </si>
  <si>
    <t xml:space="preserve">Utilities &amp; infrastructure</t>
  </si>
  <si>
    <t xml:space="preserve">AES Corp</t>
  </si>
  <si>
    <t xml:space="preserve">AES (NYSE)</t>
  </si>
  <si>
    <t xml:space="preserve">Utilities</t>
  </si>
  <si>
    <t xml:space="preserve">Panama, DR, El Salvador generation and LNG. BEING TAKEN PRIVATE by GIP/EQT at USD 15/sh; approved Jun-2026</t>
  </si>
  <si>
    <t xml:space="preserve">Exiting public markets</t>
  </si>
  <si>
    <t xml:space="preserve">ISA</t>
  </si>
  <si>
    <t xml:space="preserve">ISA (BVC)</t>
  </si>
  <si>
    <t xml:space="preserve">Colombian transmission backbone, Ecopetrol-controlled. 7.6% of the COLO ETF</t>
  </si>
  <si>
    <t xml:space="preserve">Celsia / Promigas / Grupo Energia Bogotá</t>
  </si>
  <si>
    <t xml:space="preserve">CELSIA / PROMIGAS / GEB (BVC)</t>
  </si>
  <si>
    <t xml:space="preserve">Colombian generation, gas transport and transmission; Celsia also has Panama assets</t>
  </si>
  <si>
    <t xml:space="preserve">Enel Colombia</t>
  </si>
  <si>
    <t xml:space="preserve">ENELCOLOMBIA (BVC) / ENEL.MI</t>
  </si>
  <si>
    <t xml:space="preserve">Bogotá distribution plus Colombian generation</t>
  </si>
  <si>
    <t xml:space="preserve">Sub: pure Colombia</t>
  </si>
  <si>
    <t xml:space="preserve">Traps - names that were acquired, delisted, restructured, or never had the exposure</t>
  </si>
  <si>
    <t xml:space="preserve">Name</t>
  </si>
  <si>
    <t xml:space="preserve">Status</t>
  </si>
  <si>
    <t xml:space="preserve">Hess</t>
  </si>
  <si>
    <t xml:space="preserve">NOT INVESTABLE - Chevron completed the acquisition 18 Jul 2025. Use CVX.</t>
  </si>
  <si>
    <t xml:space="preserve">Playa Hotels (PLYA)</t>
  </si>
  <si>
    <t xml:space="preserve">DELISTED - Hyatt completed the acquisition 17 Jun 2025; real estate sold to Tortuga 30 Dec 2025.</t>
  </si>
  <si>
    <t xml:space="preserve">AES (AES)</t>
  </si>
  <si>
    <t xml:space="preserve">GOING PRIVATE - GIP/EQT at USD 15/sh, shareholder-approved Jun-2026, close expected late-2026/early-2027.</t>
  </si>
  <si>
    <t xml:space="preserve">Grupo Éxito ADS (EXTO)</t>
  </si>
  <si>
    <t xml:space="preserve">DELISTED from NYSE Jan 2025; ADR programme terminated 21 Jan 2025. BVC/B3 only.</t>
  </si>
  <si>
    <t xml:space="preserve">Summit Materials</t>
  </si>
  <si>
    <t xml:space="preserve">DELISTED - Quikrete acquisition closed Feb 2025; Cementos Argos sold its entire stake.</t>
  </si>
  <si>
    <t xml:space="preserve">Canacol (CNE.TO)</t>
  </si>
  <si>
    <t xml:space="preserve">IN CREDITOR PROTECTION - TSX delisting effective 29 Dec 2025; trading suspended.</t>
  </si>
  <si>
    <t xml:space="preserve">Cemex (CX)</t>
  </si>
  <si>
    <t xml:space="preserve">LARGELY EXITED the region - sold DR and Panama operations in 2025.</t>
  </si>
  <si>
    <t xml:space="preserve">Avianca</t>
  </si>
  <si>
    <t xml:space="preserve">NOT PUBLICLY TRADED - sits inside Abra Group; Abra's NYSE IPO was delayed in 2026.</t>
  </si>
  <si>
    <t xml:space="preserve">MoneyGram</t>
  </si>
  <si>
    <t xml:space="preserve">PRIVATE since June 2023 (Madison Dearborn).</t>
  </si>
  <si>
    <t xml:space="preserve">GXG (Colombia ETF)</t>
  </si>
  <si>
    <t xml:space="preserve">TICKER CHANGED TO COLO, effective ~20 Jun 2025.</t>
  </si>
  <si>
    <t xml:space="preserve">iShares Frontier &amp; Select EM (FM)</t>
  </si>
  <si>
    <t xml:space="preserve">LIQUIDATED in 2024. No successor.</t>
  </si>
  <si>
    <t xml:space="preserve">PAC / CAAP</t>
  </si>
  <si>
    <t xml:space="preserve">NO EXPOSURE to any of the seven markets. PAC = Mexico + Jamaica. CAAP = Southern Cone + Armenia/Italy.</t>
  </si>
  <si>
    <t xml:space="preserve">Bancolombia S.A.</t>
  </si>
  <si>
    <t xml:space="preserve">The NYSE issuer is now GRUPO CIBEST S.A. Ticker CIB unchanged.</t>
  </si>
  <si>
    <t xml:space="preserve">Grupo Rey (Panama)</t>
  </si>
  <si>
    <t xml:space="preserve">NOT a Panamanian family group - Corporación Favorita (Ecuador) has held 73% since 2019.</t>
  </si>
  <si>
    <t xml:space="preserve">Index status - why six of the seven have no vehicle</t>
  </si>
  <si>
    <t xml:space="preserve">Index classification</t>
  </si>
  <si>
    <t xml:space="preserve">Access</t>
  </si>
  <si>
    <t xml:space="preserve">MSCI Emerging Markets; FTSE Secondary Emerging</t>
  </si>
  <si>
    <t xml:space="preserve">Global X MSCI Colombia ETF - ticker COLO (was GXG until Jun-2025). AUM USD 226m, 26 holdings, 39.4% financials</t>
  </si>
  <si>
    <t xml:space="preserve">Absent from the FTSE country classification matrix entirely (Apr-2026)</t>
  </si>
  <si>
    <t xml:space="preserve">No dedicated vehicle. Access via CPA, BLX, FM.TO, LILA</t>
  </si>
  <si>
    <t xml:space="preserve">Absent from the FTSE matrix</t>
  </si>
  <si>
    <t xml:space="preserve">No dedicated vehicle. Access via ESTA, TIGO, LILA, BHI</t>
  </si>
  <si>
    <t xml:space="preserve">No dedicated vehicle. Access via TIGO, KOF, PAAS, AUGO, BHI</t>
  </si>
  <si>
    <t xml:space="preserve">No dedicated vehicle. Access via B, NEM, MEL.MC, ABEV, DG.PA</t>
  </si>
  <si>
    <t xml:space="preserve">No dedicated vehicle. Access via TIGO, CIB (Banco Agrícola), BHI</t>
  </si>
  <si>
    <t xml:space="preserve">Absent from the FTSE matrix; sovereign is UNRATED</t>
  </si>
  <si>
    <t xml:space="preserve">No dedicated vehicle. Access via XOM, CVX, 0883.HK, NE</t>
  </si>
  <si>
    <t xml:space="preserve">Only Colombia of the seven sits in any major index. Panama, Costa Rica, Guatemala, the Dominican Republic, El Salvador and Guyana are absent from the FTSE country-classification matrix entirely and none is in MSCI Frontier. The practical consequence is that exposure to those six is obtainable only through US- and European-listed operating companies, or through locally listed vehicles on the Bolsa de Valores de Colombia. That is a constraint worth stating plainly to a client who asks for 'Central America' in a portfolio.</t>
  </si>
  <si>
    <t xml:space="preserve">Colombia - deep dive</t>
  </si>
  <si>
    <t xml:space="preserve">The priority market. Everything below is dated; distinguish rigorously between enacted, proposed and speculation.</t>
  </si>
  <si>
    <t xml:space="preserve">The fact that reframes everything: the earthquake of 10 August 2026</t>
  </si>
  <si>
    <t xml:space="preserve">Item</t>
  </si>
  <si>
    <t xml:space="preserve">Value</t>
  </si>
  <si>
    <t xml:space="preserve">Magnitude / depth</t>
  </si>
  <si>
    <t xml:space="preserve">Mw 7.4-7.5, ~96-110 km deep</t>
  </si>
  <si>
    <t xml:space="preserve">Epicentre</t>
  </si>
  <si>
    <t xml:space="preserve">Near San Jose del Palmar, Choco</t>
  </si>
  <si>
    <t xml:space="preserve">Damage zone</t>
  </si>
  <si>
    <t xml:space="preserve">Cali, Pereira, Quibdo, Manizales, Armenia, Buenaventura</t>
  </si>
  <si>
    <t xml:space="preserve">Deaths / injured / missing</t>
  </si>
  <si>
    <t xml:space="preserve">331 / 4,613 / 240</t>
  </si>
  <si>
    <t xml:space="preserve">Homes damaged / destroyed</t>
  </si>
  <si>
    <t xml:space="preserve">178,555 / 31,540</t>
  </si>
  <si>
    <t xml:space="preserve">Government damage estimate</t>
  </si>
  <si>
    <t xml:space="preserve">USD 9.6bn</t>
  </si>
  <si>
    <t xml:space="preserve">Reconstruction cost estimate</t>
  </si>
  <si>
    <t xml:space="preserve">COP 30-40tn</t>
  </si>
  <si>
    <t xml:space="preserve">Share of 2026 public investment (COP 88.4tn)</t>
  </si>
  <si>
    <t xml:space="preserve">34-45%</t>
  </si>
  <si>
    <t xml:space="preserve">Formal jobs in the affected zone</t>
  </si>
  <si>
    <t xml:space="preserve">1.4m, ~15% of the national total</t>
  </si>
  <si>
    <t xml:space="preserve">2026 GDP forecast revision</t>
  </si>
  <si>
    <t xml:space="preserve">2.7% -&gt; 2.5%</t>
  </si>
  <si>
    <t xml:space="preserve">It struck three days after the inauguration. It is why the 2027 budget jumped COP 59.3tn and why the fiscal picture below is materially worse than the June Marco Fiscal implied. A source conflict exists on the date - one outlet gives 25 August; USGS-referenced reporting gives 10 August, which is correct.</t>
  </si>
  <si>
    <t xml:space="preserve">The election, and why the mandate is thinner than the headline</t>
  </si>
  <si>
    <t xml:space="preserve">First round, 31 May 2026</t>
  </si>
  <si>
    <t xml:space="preserve">Movement</t>
  </si>
  <si>
    <t xml:space="preserve">Votes</t>
  </si>
  <si>
    <t xml:space="preserve">%</t>
  </si>
  <si>
    <t xml:space="preserve">Abelardo de la Espriella</t>
  </si>
  <si>
    <t xml:space="preserve">Defensores de la Patria</t>
  </si>
  <si>
    <t xml:space="preserve">Iván Cepeda</t>
  </si>
  <si>
    <t xml:space="preserve">Pacto Histórico</t>
  </si>
  <si>
    <t xml:space="preserve">Paloma Valencia</t>
  </si>
  <si>
    <t xml:space="preserve">Centro Democrático</t>
  </si>
  <si>
    <t xml:space="preserve">Sergio Fajardo</t>
  </si>
  <si>
    <t xml:space="preserve">Dignidad y Compromiso</t>
  </si>
  <si>
    <t xml:space="preserve">Runoff, 21 June 2026 (turnout 63.60%, a record)</t>
  </si>
  <si>
    <t xml:space="preserve">Margin</t>
  </si>
  <si>
    <t xml:space="preserve">251,854 votes, 0.96 percentage points - the narrowest presidential margin in Colombian history.</t>
  </si>
  <si>
    <t xml:space="preserve">Senate after 8 March 2026 - the left won the plurality on the same day the right won the presidency</t>
  </si>
  <si>
    <t xml:space="preserve">Party</t>
  </si>
  <si>
    <t xml:space="preserve">Senate seats</t>
  </si>
  <si>
    <t xml:space="preserve">Partido Liberal</t>
  </si>
  <si>
    <t xml:space="preserve">Alianza por Colombia</t>
  </si>
  <si>
    <t xml:space="preserve">Partido Conservador</t>
  </si>
  <si>
    <t xml:space="preserve">Partido de la U</t>
  </si>
  <si>
    <t xml:space="preserve">Cambio Radical-ALMA</t>
  </si>
  <si>
    <t xml:space="preserve">Ahora Colombia</t>
  </si>
  <si>
    <t xml:space="preserve">Salvación Nacional</t>
  </si>
  <si>
    <t xml:space="preserve">MAIS (indigenous)</t>
  </si>
  <si>
    <t xml:space="preserve">AICO (indigenous)</t>
  </si>
  <si>
    <t xml:space="preserve">Total</t>
  </si>
  <si>
    <t xml:space="preserve">His own movement holds one Senate seat and four in the Chamber, and he rejected Conservative and Liberal endorsements during the campaign on anti-traditional-party grounds. Cambio Radical has since declared support; Alianza Verde remains independent. THIS IS THE SINGLE MOST IMPORTANT THING FOR AN ADVISOR TO UNDERSTAND: every tax, pension, health and hydrocarbon promise below requires a Congress he does not control.</t>
  </si>
  <si>
    <t xml:space="preserve">Enacted versus announced - the discipline table</t>
  </si>
  <si>
    <t xml:space="preserve">Measure</t>
  </si>
  <si>
    <t xml:space="preserve">Reality check</t>
  </si>
  <si>
    <t xml:space="preserve">ENACTED</t>
  </si>
  <si>
    <t xml:space="preserve">Cabinet installed - Decree 1136</t>
  </si>
  <si>
    <t xml:space="preserve">Finance: Miguel Gómez Martinez. VP José Manuel Restrepo (Duque's finance minister 2021-22) is the orthodox anchor</t>
  </si>
  <si>
    <t xml:space="preserve">Decree freezing public spending</t>
  </si>
  <si>
    <t xml:space="preserve">Aug 2026</t>
  </si>
  <si>
    <t xml:space="preserve">Decree number and peso amount NOT FOUND</t>
  </si>
  <si>
    <t xml:space="preserve">2027 budget filed</t>
  </si>
  <si>
    <t xml:space="preserve">28 Aug 2026</t>
  </si>
  <si>
    <t xml:space="preserve">COP 634.9tn, vs Petro's COP 575.6tn proposal</t>
  </si>
  <si>
    <t xml:space="preserve">'Total Peace' negotiations terminated</t>
  </si>
  <si>
    <t xml:space="preserve">29 Aug 2026</t>
  </si>
  <si>
    <t xml:space="preserve">Fuel price freeze for earthquake relief</t>
  </si>
  <si>
    <t xml:space="preserve">Mining restrictions revoked in 119 municipalities</t>
  </si>
  <si>
    <t xml:space="preserve">4 Sep 2026</t>
  </si>
  <si>
    <t xml:space="preserve">By eliminating mining districts</t>
  </si>
  <si>
    <t xml:space="preserve">New ANH president (Ernesto Forero); Strategic Gas Acceleration Group</t>
  </si>
  <si>
    <t xml:space="preserve">20 / 25 Aug 2026</t>
  </si>
  <si>
    <t xml:space="preserve">Petro's Proyecto de Ley 004 tax reform publicly rejected</t>
  </si>
  <si>
    <t xml:space="preserve">22 Jul 2026</t>
  </si>
  <si>
    <t xml:space="preserve">Formal withdrawal NOT confirmed - it can technically continue through committee</t>
  </si>
  <si>
    <t xml:space="preserve">ANNOUNCED ONLY</t>
  </si>
  <si>
    <t xml:space="preserve">Abolition of the impuesto al patrimonio</t>
  </si>
  <si>
    <t xml:space="preserve">Stated 7 Aug 2026</t>
  </si>
  <si>
    <t xml:space="preserve">No bill filed as of 4 Sep 2026</t>
  </si>
  <si>
    <t xml:space="preserve">'Ley de rescate económico'</t>
  </si>
  <si>
    <t xml:space="preserve">Promised for Sep 2026</t>
  </si>
  <si>
    <t xml:space="preserve">Framed as spending cuts, not revenue-raising. Not yet filed</t>
  </si>
  <si>
    <t xml:space="preserve">Fracking authorisation</t>
  </si>
  <si>
    <t xml:space="preserve">Announced 7 Aug 2026</t>
  </si>
  <si>
    <t xml:space="preserve">Not authorised. Industry is mapping 8 zones for a 2027 start. The outgoing government filed an ANTI-fracking bill on 11 Jul 2026</t>
  </si>
  <si>
    <t xml:space="preserve">Reversal of the no-new-exploration-contracts policy</t>
  </si>
  <si>
    <t xml:space="preserve">Campaign platform</t>
  </si>
  <si>
    <t xml:space="preserve">No formal reversal enacted. No new E&amp;P contract signings found. this is the question clients will ask</t>
  </si>
  <si>
    <t xml:space="preserve">40% reduction in the size of the state (~700,000 posts)</t>
  </si>
  <si>
    <t xml:space="preserve">Platform</t>
  </si>
  <si>
    <t xml:space="preserve">UNVERIFIED</t>
  </si>
  <si>
    <t xml:space="preserve">'90 decrees on day one'</t>
  </si>
  <si>
    <t xml:space="preserve">Trailed pre-inauguration</t>
  </si>
  <si>
    <t xml:space="preserve">Could not verify how many were actually issued - do not repeat as fact</t>
  </si>
  <si>
    <t xml:space="preserve">BanRep board appointments</t>
  </si>
  <si>
    <t xml:space="preserve">Nothing reported</t>
  </si>
  <si>
    <t xml:space="preserve">The president appoints two co-directors at the four-year mark, and Leonardo Villar's term as General Manager is a live question. Nothing was reported as at 4 Sep 2026 - do not speculate</t>
  </si>
  <si>
    <t xml:space="preserve">Formal withdrawal of Proyecto de Ley 004</t>
  </si>
  <si>
    <t xml:space="preserve">Not confirmed</t>
  </si>
  <si>
    <t xml:space="preserve">Publicly rejected 22 Jul 2026, but the bill can technically continue through committee on its own</t>
  </si>
  <si>
    <t xml:space="preserve">One month into the term, almost nothing is enacted. The honest answer to 'has he reversed the exploration ban' is: not yet, and no new E&amp;P contract signings have been found.</t>
  </si>
  <si>
    <t xml:space="preserve">BanRep policy path - Colombia is the only market in the sample that is HIKING</t>
  </si>
  <si>
    <t xml:space="preserve">Meeting</t>
  </si>
  <si>
    <t xml:space="preserve">Rate (%)</t>
  </si>
  <si>
    <t xml:space="preserve">Vote</t>
  </si>
  <si>
    <t xml:space="preserve">Apr 2025</t>
  </si>
  <si>
    <t xml:space="preserve">-25bp</t>
  </si>
  <si>
    <t xml:space="preserve">unanimous</t>
  </si>
  <si>
    <t xml:space="preserve">hold</t>
  </si>
  <si>
    <t xml:space="preserve">majority</t>
  </si>
  <si>
    <t xml:space="preserve">Jan 2026</t>
  </si>
  <si>
    <t xml:space="preserve">+100bp</t>
  </si>
  <si>
    <t xml:space="preserve">Mar 2026</t>
  </si>
  <si>
    <t xml:space="preserve">Jun 2026</t>
  </si>
  <si>
    <t xml:space="preserve">+75bp</t>
  </si>
  <si>
    <t xml:space="preserve">majority (split)</t>
  </si>
  <si>
    <t xml:space="preserve">31 Jul 2026</t>
  </si>
  <si>
    <t xml:space="preserve">4 hold / 3 for +50bp</t>
  </si>
  <si>
    <t xml:space="preserve">Real policy rate</t>
  </si>
  <si>
    <t xml:space="preserve">12.00% less 6.03% CPI</t>
  </si>
  <si>
    <t xml:space="preserve">Among the highest in EM - and the engine of the peso story</t>
  </si>
  <si>
    <t xml:space="preserve">Next decision 30 September 2026. Co-director Villamizar has said policy, though clearly contractive, may be insufficient to return inflation to target next year. BanRep is simultaneously running dollar purchase auctions - a second USD 400m auction was announced on 3 September 2026 - so a client positioned long the peso should know the central bank is on the other side.</t>
  </si>
  <si>
    <t xml:space="preserve">The 2027 budget - the number that moved the market</t>
  </si>
  <si>
    <t xml:space="preserve">Line</t>
  </si>
  <si>
    <t xml:space="preserve">COP tn</t>
  </si>
  <si>
    <t xml:space="preserve">Change vs 2026</t>
  </si>
  <si>
    <t xml:space="preserve">% of total</t>
  </si>
  <si>
    <t xml:space="preserve">Funcionamiento</t>
  </si>
  <si>
    <t xml:space="preserve">operating spend</t>
  </si>
  <si>
    <t xml:space="preserve">Debt service</t>
  </si>
  <si>
    <t xml:space="preserve">~25% of the budget</t>
  </si>
  <si>
    <t xml:space="preserve">Inversion</t>
  </si>
  <si>
    <t xml:space="preserve">investment</t>
  </si>
  <si>
    <t xml:space="preserve">TOTAL</t>
  </si>
  <si>
    <t xml:space="preserve">Filed 28 August 2026 by Minister Miguel Gomez at COP 634.9tn, against Petro's July proposal of COP 575.6tn - COP 59.3tn more. Debt service alone is now roughly a quarter of the entire budget, and investment falls. The government calls it the 'presupuesto de la verdad', arguing Petro left ~COP 30tn of unfunded commitments papered over by a tax reform Congress never passed. Committees must fix the amount by 15 September and approve by 20 October. Country risk rose to 142bp on 1 September specifically on the filing.</t>
  </si>
  <si>
    <t xml:space="preserve">Villar's assessment of the revised budget, 1 September 2026 - the most authoritative single document</t>
  </si>
  <si>
    <t xml:space="preserve">Metric</t>
  </si>
  <si>
    <t xml:space="preserve">MFMP, June 2026</t>
  </si>
  <si>
    <t xml:space="preserve">Revised plan, August 2026</t>
  </si>
  <si>
    <t xml:space="preserve">2027 total deficit</t>
  </si>
  <si>
    <t xml:space="preserve">4.5% of GDP</t>
  </si>
  <si>
    <t xml:space="preserve">9.4% of GDP</t>
  </si>
  <si>
    <t xml:space="preserve">7.2% with the proposed adjustment</t>
  </si>
  <si>
    <t xml:space="preserve">Net debt</t>
  </si>
  <si>
    <t xml:space="preserve">58.9% of GDP</t>
  </si>
  <si>
    <t xml:space="preserve">66.2% of GDP</t>
  </si>
  <si>
    <t xml:space="preserve">Financing needs</t>
  </si>
  <si>
    <t xml:space="preserve">COP 187tn</t>
  </si>
  <si>
    <t xml:space="preserve">COP 287tn</t>
  </si>
  <si>
    <t xml:space="preserve">+COP 100.2tn</t>
  </si>
  <si>
    <t xml:space="preserve">Primary deficit</t>
  </si>
  <si>
    <t xml:space="preserve">2.3% of GDP with the adjustment</t>
  </si>
  <si>
    <t xml:space="preserve">The fiscal rule's escape clause was activated on 9 June 2025 for up to three years, covering 2025-2027, over the formal objection of the CARF. The new government has not announced re-activation. CARF's June 2026 assessment puts net debt at 61% of GDP in 2026 - the highest in history - and calls for an adjustment of 3.7% of GDP in 2027 rising to 6.1% by 2030, warning of 'financial stress with potentially devastating economic consequences' if it waits.</t>
  </si>
  <si>
    <t xml:space="preserve">Markets</t>
  </si>
  <si>
    <t xml:space="preserve">Level</t>
  </si>
  <si>
    <t xml:space="preserve">COLCAP FY2025</t>
  </si>
  <si>
    <t xml:space="preserve">+59.9% in COP, ~+82% in USD</t>
  </si>
  <si>
    <t xml:space="preserve">closed ~2,068.01</t>
  </si>
  <si>
    <t xml:space="preserve">COLCAP YTD to 4 Sep 2026</t>
  </si>
  <si>
    <t xml:space="preserve">~+22.5%</t>
  </si>
  <si>
    <t xml:space="preserve">2,532.83</t>
  </si>
  <si>
    <t xml:space="preserve">COLCAP 12m to 31 Aug 2026</t>
  </si>
  <si>
    <t xml:space="preserve">+31.59%</t>
  </si>
  <si>
    <t xml:space="preserve">2026 YTD leaders (COP, to 31 Aug)</t>
  </si>
  <si>
    <t xml:space="preserve">Ecopetrol +42.2%, Davivienda pref +30.7%, Grupo Argos pref +24.8%, Mineros +24.1%</t>
  </si>
  <si>
    <t xml:space="preserve">Sector mix</t>
  </si>
  <si>
    <t xml:space="preserve">Financials ~58% (from ~46%), energy ~8%</t>
  </si>
  <si>
    <t xml:space="preserve">COP</t>
  </si>
  <si>
    <t xml:space="preserve">3,757.08 (1 Jan 2026) -&gt; 3,140.55 (3 Sep 2026). USD/COP is down 16.4%, which is a 19.6% gain in the peso against the dollar</t>
  </si>
  <si>
    <t xml:space="preserve">The strongest major EM currency over the past twelve months</t>
  </si>
  <si>
    <t xml:space="preserve">12.00% less the 6.03% July CPI = 5.97pp</t>
  </si>
  <si>
    <t xml:space="preserve">Among the highest in EM - the engine of the peso story</t>
  </si>
  <si>
    <t xml:space="preserve">5-year CDS</t>
  </si>
  <si>
    <t xml:space="preserve">232bp (19 May) -&gt; 179bp (1 Jun, post first round) -&gt; 142bp (1 Sep 2026, rose on the budget filing)</t>
  </si>
  <si>
    <t xml:space="preserve">EMBI Colombia</t>
  </si>
  <si>
    <t xml:space="preserve">219bp on 29 Apr 2026 - lowest since April 2021. Sep-2026 level NOT FOUND</t>
  </si>
  <si>
    <t xml:space="preserve">DO NOT conflate with the 142bp CDS</t>
  </si>
  <si>
    <t xml:space="preserve">TES 10y</t>
  </si>
  <si>
    <t xml:space="preserve">12.80% (1-3 Jun 2026)</t>
  </si>
  <si>
    <t xml:space="preserve">THREE MONTHS STALE - predates the earthquake and the 2027 budget</t>
  </si>
  <si>
    <t xml:space="preserve">Liability management</t>
  </si>
  <si>
    <t xml:space="preserve">Four operations since Aug-2025 totalling USD 16.473bn; Apr-2026 buyback USD 4.560bn nominal</t>
  </si>
  <si>
    <t xml:space="preserve">Future external interest cut 37.4% from peak</t>
  </si>
  <si>
    <t xml:space="preserve">BanRep FX</t>
  </si>
  <si>
    <t xml:space="preserve">Dollar purchase auctions - a second USD 400m auction announced 3 Sep 2026</t>
  </si>
  <si>
    <t xml:space="preserve">The central bank is on the other side of a long-COP position</t>
  </si>
  <si>
    <t xml:space="preserve">Q2-2026 production</t>
  </si>
  <si>
    <t xml:space="preserve">705.8 kboed, -6.6% y/y</t>
  </si>
  <si>
    <t xml:space="preserve">Q2-2026 net income</t>
  </si>
  <si>
    <t xml:space="preserve">COP 6.1tn; H1 COP 9tn (+81% y/y)</t>
  </si>
  <si>
    <t xml:space="preserve">FY2025 net income</t>
  </si>
  <si>
    <t xml:space="preserve">COP 9tn, -39.5% y/y</t>
  </si>
  <si>
    <t xml:space="preserve">2025 proved reserves</t>
  </si>
  <si>
    <t xml:space="preserve">1,944 mmboe, +2.7%; reserve replacement 121% - best in four years</t>
  </si>
  <si>
    <t xml:space="preserve">Reserve life</t>
  </si>
  <si>
    <t xml:space="preserve">7.8 years</t>
  </si>
  <si>
    <t xml:space="preserve">Dividend on FY2025 earnings</t>
  </si>
  <si>
    <t xml:space="preserve">COP 110/share, COP 4.52tn total, 50.1% payout - DOWN 49% from COP 214</t>
  </si>
  <si>
    <t xml:space="preserve">Share price / ADR</t>
  </si>
  <si>
    <t xml:space="preserve">COP 2,690 (3 Sep 2026) / USD 16.92 (4 Sep 2026); implied yield ~4.1%</t>
  </si>
  <si>
    <t xml:space="preserve">Moody's cut to Ba2 on 24 Apr 2026; S&amp;P cut to BB- on 8 Apr 2026</t>
  </si>
  <si>
    <t xml:space="preserve">The state's stake is customarily cited at 88.49% but was not verifiable from a primary source this pass. The direction is unambiguous either way: a 49% dividend cut is a direct hit to a fiscal account already running a 6.4%-of-GDP deficit.</t>
  </si>
  <si>
    <t xml:space="preserve">What a Colombian resident must legally do to hold a foreign investment account</t>
  </si>
  <si>
    <t xml:space="preserve">Obligation</t>
  </si>
  <si>
    <t xml:space="preserve">Instrument</t>
  </si>
  <si>
    <t xml:space="preserve">What it means in practice</t>
  </si>
  <si>
    <t xml:space="preserve">Exchange-control regime</t>
  </si>
  <si>
    <t xml:space="preserve">Resolución Externa 1 de 2018; Circular DCIP-83 (amended 25 Aug 2026)</t>
  </si>
  <si>
    <t xml:space="preserve">Colombia does not restrict capital movement - it channels and registers it. Both inbound FDI and Colombian investment abroad must be registered.</t>
  </si>
  <si>
    <t xml:space="preserve">Cuenta de compensación</t>
  </si>
  <si>
    <t xml:space="preserve">Monthly Informe de Movimientos to BanRep</t>
  </si>
  <si>
    <t xml:space="preserve">A resident holding a foreign bank account for mandatorily-channelled operations must register it and file monthly. Aug-2026 movements were due by 30 Sep 2026. Failure creates obligations to both BanRep and DIAN.</t>
  </si>
  <si>
    <t xml:space="preserve">Declaración de activos en el exterior (Form 160)</t>
  </si>
  <si>
    <t xml:space="preserve">Ley 1739/2014 as amended by art. 63 Ley 2277/2022</t>
  </si>
  <si>
    <t xml:space="preserve">Filed by tax residents whose foreign assets at 1 Jan exceed 2,000 UVT = COP 104,748,000 (~USD 33,000). A low threshold - most affluent clients are caught. Assets above 3,580 UVT must be itemised by jurisdiction. Individuals' 2026 window: 12 Aug - 26 Oct. Penalties: late filing 0.5%/month capped at 10%; failure to file 5% of gross patrimony.</t>
  </si>
  <si>
    <t xml:space="preserve">CFC rules (ECE)</t>
  </si>
  <si>
    <t xml:space="preserve">Triggered at 10% ownership, direct or indirect</t>
  </si>
  <si>
    <t xml:space="preserve">Passive income is attributed to the Colombian holder. 80/20 presumption. Entities in tax havens trigger full CFC application as a legal presumption, and investment vehicles are automatically classified as CFCs - critical for any offshore fund or PPLI-type structure.</t>
  </si>
  <si>
    <t xml:space="preserve">Reporting</t>
  </si>
  <si>
    <t xml:space="preserve">CRS + MLI + FATCA IGA</t>
  </si>
  <si>
    <t xml:space="preserve">Colombia participates in automatic exchange of information.</t>
  </si>
  <si>
    <t xml:space="preserve">This is the practical core of the annex. Colombia does not restrict capital movement - it channels and registers it. The foreign-asset reporting threshold is only about USD 33,000, the individuals' filing window closes on 26 October 2026, and investment vehicles are automatically classified as controlled foreign entities. Any client with an offshore structure is already inside this regime whether or not they have been told so.</t>
  </si>
  <si>
    <t xml:space="preserve">Pension reform - the medium-term headwind that survived the change of government</t>
  </si>
  <si>
    <t xml:space="preserve">Detail</t>
  </si>
  <si>
    <t xml:space="preserve">Ruling</t>
  </si>
  <si>
    <t xml:space="preserve">Constitutional Court, 25 Aug 2026 - ~90% of Ley 2381/2024 upheld</t>
  </si>
  <si>
    <t xml:space="preserve">Upheld</t>
  </si>
  <si>
    <t xml:space="preserve">Four-pillar structure; 2.3-minimum-wage threshold for mandatory Colpensiones contributions; individual-savings component; generational funds</t>
  </si>
  <si>
    <t xml:space="preserve">Returned to Congress</t>
  </si>
  <si>
    <t xml:space="preserve">BanRep's management of contributory-pillar savings; the 0.7% AFP commission cap; individual-account ownership rules</t>
  </si>
  <si>
    <t xml:space="preserve">30 business days, then a second Court review</t>
  </si>
  <si>
    <t xml:space="preserve">Entry into force</t>
  </si>
  <si>
    <t xml:space="preserve">1 April 2027</t>
  </si>
  <si>
    <t xml:space="preserve">Effect</t>
  </si>
  <si>
    <t xml:space="preserve">Roughly 67% of NEW contributor flows are channelled to the public system</t>
  </si>
  <si>
    <t xml:space="preserve">Scale of the AFPs</t>
  </si>
  <si>
    <t xml:space="preserve">AFPs hold ~41% of MSCI COLCAP; equity position ~COP 28.2tn. Porvenir COP 11.8tn, Proteccion COP 10.36tn</t>
  </si>
  <si>
    <t xml:space="preserve">Traslados</t>
  </si>
  <si>
    <t xml:space="preserve">~166,000 workers changed regime since 2024. As of Jul-2026: ~9,000 moved Colpensiones -&gt; private funds vs ~150,000 the other way</t>
  </si>
  <si>
    <t xml:space="preserve">IMPLICATION</t>
  </si>
  <si>
    <t xml:space="preserve">The structural buyer that has underpinned COLCAP and the TES curve for two decades is being throttled from April 2027. It survived the change of government.</t>
  </si>
  <si>
    <t xml:space="preserve">What has NOT changed for a Colombian business owner</t>
  </si>
  <si>
    <t xml:space="preserve">As of 4 September 2026 the tax regime is unchanged from the Petro years. A business owner still faces a 39% top personal rate, 20% non-resident dividend withholding (doubled from 10% by Ley 2277), the 0.5-1.5% wealth tax above roughly COP 3.77bn, worldwide income taxation, a COP 104.7m foreign-asset reporting threshold and a 10% CFC control threshold. Three attempts to tighten it all failed or stalled: the September 2025 Ley de Financiamiento (COP 26.3tn) was archived by the Senate's Fourth Commission; Proyecto de Ley 004 (July 2026, ~COP 21tn) was rejected by the incoming government though not formally withdrawn; and the new government's own 'ley de rescate economico' was promised for September and had not been filed as at the date of this pack. THE THREATENED INCREASES DID NOT HAPPEN. NEITHER DID THE PROMISED CUTS. That is the honest framing, and it is the one to use with a client.</t>
  </si>
  <si>
    <t xml:space="preserve">Prospecting calendar - what turns this pack into calls</t>
  </si>
  <si>
    <t xml:space="preserve">Dated events between now and April 2027, ranked by how usable they are as a reason to pick up the phone.</t>
  </si>
  <si>
    <t xml:space="preserve">Priority</t>
  </si>
  <si>
    <t xml:space="preserve">Why it is a conversation</t>
  </si>
  <si>
    <t xml:space="preserve">FY2027 (first declarations 2028)</t>
  </si>
  <si>
    <t xml:space="preserve">Law 526/2026 economic substance takes effect</t>
  </si>
  <si>
    <t xml:space="preserve">HIGHEST</t>
  </si>
  <si>
    <t xml:space="preserve">Every Panamanian holding or foundation receiving foreign dividends, interest or rent must be triaged before FY2027. Default outcome for a passive shell is 15% where there was zero. Executive Decree 32 (3 Sep 2026) sets the minimum: one qualified employee, premises, proportionate opex, two in-person board meetings a year in Panama. COVERS TRUSTS AND FOUNDATIONS.</t>
  </si>
  <si>
    <t xml:space="preserve">Unresolved</t>
  </si>
  <si>
    <t xml:space="preserve">Constitutional Court review of Decreto 1474 de 2026 (40,000 UVT threshold, rates to 5%)</t>
  </si>
  <si>
    <t xml:space="preserve">Colombian wealth-tax planning CANNOT be closed out until the Court rules. That uncertainty is itself the client conversation.</t>
  </si>
  <si>
    <t xml:space="preserve">Moody's Baa3 - the last investment-grade notch</t>
  </si>
  <si>
    <t xml:space="preserve">A downgrade makes Colombia unambiguously sub-IG at all three, with forced-selling implications for IG-mandated portfolios. No agency has acted since either the election or the earthquake.</t>
  </si>
  <si>
    <t xml:space="preserve">15 Oct 2026</t>
  </si>
  <si>
    <t xml:space="preserve">Qualified Investor Visa real-estate threshold rises USD 300,000 -&gt; USD 500,000</t>
  </si>
  <si>
    <t xml:space="preserve">HIGH</t>
  </si>
  <si>
    <t xml:space="preserve">A six-week window. The single most actionable date in the pack for prospecting.</t>
  </si>
  <si>
    <t xml:space="preserve">15 Sep 2026</t>
  </si>
  <si>
    <t xml:space="preserve">Congressional committees must fix the 2027 budget amount</t>
  </si>
  <si>
    <t xml:space="preserve">Full approval due 20 Oct 2026. Watch for a rating response.</t>
  </si>
  <si>
    <t xml:space="preserve">Sep 2026</t>
  </si>
  <si>
    <t xml:space="preserve">'Ley de rescate económico' promised to Congress</t>
  </si>
  <si>
    <t xml:space="preserve">The government's own fiscal bill. He does not control Congress - 1 Senate seat, 4 Chamber seats.</t>
  </si>
  <si>
    <t xml:space="preserve">30 Sep 2026</t>
  </si>
  <si>
    <t xml:space="preserve">BanRep rate decision</t>
  </si>
  <si>
    <t xml:space="preserve">Held 12.00% on 31 Jul on a 4-3 vote with three directors wanting +50bp.</t>
  </si>
  <si>
    <t xml:space="preserve">26 Oct 2026</t>
  </si>
  <si>
    <t xml:space="preserve">Individuals' deadline for the declaración de activos en el exterior</t>
  </si>
  <si>
    <t xml:space="preserve">Window opened 12 Aug. Threshold is only ~USD 33,000 of foreign assets. Penalties are punitive.</t>
  </si>
  <si>
    <t xml:space="preserve">20 Oct 2026</t>
  </si>
  <si>
    <t xml:space="preserve">2027 budget full approval deadline</t>
  </si>
  <si>
    <t xml:space="preserve">COP 634.9tn; debt service is ~25% of the budget.</t>
  </si>
  <si>
    <t xml:space="preserve">Before Dec 2026</t>
  </si>
  <si>
    <t xml:space="preserve">Presidential commission to report on Cobre Panamá</t>
  </si>
  <si>
    <t xml:space="preserve">The largest single re-rating event available in Panama. Mulino has ruled out a congressional concession.</t>
  </si>
  <si>
    <t xml:space="preserve">1 Apr 2027</t>
  </si>
  <si>
    <t xml:space="preserve">Pension reform enters into force</t>
  </si>
  <si>
    <t xml:space="preserve">~67% of new contributor flows move to the public system. AFPs hold ~41% of COLCAP.</t>
  </si>
  <si>
    <t xml:space="preserve">After FY2026</t>
  </si>
  <si>
    <t xml:space="preserve">Wealth-tax 1.5% top band scheduled to lapse absent new legislation</t>
  </si>
  <si>
    <t xml:space="preserve">Interacts with the new government's abolition pledge and the pending Constitutional Court review of Decreto 1474/2026.</t>
  </si>
  <si>
    <t xml:space="preserve">Pending</t>
  </si>
  <si>
    <t xml:space="preserve">ICJ ruling on Essequibo</t>
  </si>
  <si>
    <t xml:space="preserve">Merits heard 4-11 May 2026; no ruling and no timeline. Venezuela has stated it will ignore the ruling.</t>
  </si>
  <si>
    <t xml:space="preserve">Bogotá Metro Line 2 bids due (relaunched tender)</t>
  </si>
  <si>
    <t xml:space="preserve">MED</t>
  </si>
  <si>
    <t xml:space="preserve">The January tender received zero bids. Award expected Q1-2027.</t>
  </si>
  <si>
    <t xml:space="preserve">6 Oct 2026</t>
  </si>
  <si>
    <t xml:space="preserve">Río Indio reservoir programme-manager submissions due</t>
  </si>
  <si>
    <t xml:space="preserve">USD 1.6bn ACP project.</t>
  </si>
  <si>
    <t xml:space="preserve">Q4 2026</t>
  </si>
  <si>
    <t xml:space="preserve">Production expected to pass 1m bpd</t>
  </si>
  <si>
    <t xml:space="preserve">Errea Wittu FPSO arrived 21 Aug 2026.</t>
  </si>
  <si>
    <t xml:space="preserve">2027</t>
  </si>
  <si>
    <t xml:space="preserve">General election (June)</t>
  </si>
  <si>
    <t xml:space="preserve">Campaign begins during 2026; expect policy paralysis.</t>
  </si>
  <si>
    <t xml:space="preserve">The net-new-money plays, ranked</t>
  </si>
  <si>
    <t xml:space="preserve">Play</t>
  </si>
  <si>
    <t xml:space="preserve">The instrument</t>
  </si>
  <si>
    <t xml:space="preserve">What it actually says</t>
  </si>
  <si>
    <t xml:space="preserve">Why it opens a conversation</t>
  </si>
  <si>
    <t xml:space="preserve">Panama structure triage</t>
  </si>
  <si>
    <t xml:space="preserve">Law 526/2026 economic substance</t>
  </si>
  <si>
    <t xml:space="preserve">Every Panamanian holding company, trust or foundation in a client's structure that receives foreign dividends, interest, royalties or rent is exposed to a 15% tax from FY2027 unless it meets the substance test. Executive Decree 32 (3 Sep 2026) sets the minimum bar.</t>
  </si>
  <si>
    <t xml:space="preserve">A defensible, dated, technical reason to open every existing Panamanian file and to be the adviser who called it first.</t>
  </si>
  <si>
    <t xml:space="preserve">Colombian wealth-tax uncertainty</t>
  </si>
  <si>
    <t xml:space="preserve">Ley 2277 vs Decreto 1474/2026 vs the abolition pledge</t>
  </si>
  <si>
    <t xml:space="preserve">Operative law is 0.5-1.5% above ~COP 3.77bn. Decreto 1474 would cut the threshold to 40,000 UVT and raise the top rate to 5% - it is under Constitutional Court review. The new government promises abolition but has filed no bill.</t>
  </si>
  <si>
    <t xml:space="preserve">The client cannot plan and knows it. The conversation is the product; the answer is not yet available to anyone.</t>
  </si>
  <si>
    <t xml:space="preserve">Colombian offshore compliance</t>
  </si>
  <si>
    <t xml:space="preserve">Form 160, cuenta de compensacion, CFC at 10%</t>
  </si>
  <si>
    <t xml:space="preserve">The foreign-asset reporting threshold is ~USD 33,000. Investment vehicles are AUTOMATICALLY classified as CFCs. Individuals' filing window closes 26 October 2026.</t>
  </si>
  <si>
    <t xml:space="preserve">A dated compliance deadline is the least resistible reason to call. It also surfaces every undeclared structure in the book.</t>
  </si>
  <si>
    <t xml:space="preserve">Panama residency window</t>
  </si>
  <si>
    <t xml:space="preserve">The real-estate threshold rises from USD 300,000 to USD 500,000 after 15 October 2026.</t>
  </si>
  <si>
    <t xml:space="preserve">Six weeks. Works for CentAm, Colombian and Venezuelan prospects alike.</t>
  </si>
  <si>
    <t xml:space="preserve">Liquidity events</t>
  </si>
  <si>
    <t xml:space="preserve">Banistmo USD 1.418bn; FIFCO/Heineken USD 3.2bn; Cibest COP 2.55tn returned</t>
  </si>
  <si>
    <t xml:space="preserve">Named, dated, closed transactions that put cash into identifiable family hands in 2025-26.</t>
  </si>
  <si>
    <t xml:space="preserve">Prospecting is easier when you know who just got liquid and when.</t>
  </si>
  <si>
    <t xml:space="preserve">Succession openings</t>
  </si>
  <si>
    <t xml:space="preserve">Grupo Poma (Ricardo Poma died 24 Aug 2025); Grupo Popular (Grullon moved to EVP, 2026); CMI Capital opened to outside investors (Dec-2025)</t>
  </si>
  <si>
    <t xml:space="preserve">Generational transitions at three of the region's largest family holdings.</t>
  </si>
  <si>
    <t xml:space="preserve">Succession is when a family reconsiders its banking relationships.</t>
  </si>
  <si>
    <t xml:space="preserve">The CONFOTUR product</t>
  </si>
  <si>
    <t xml:space="preserve">DR Law 158-01</t>
  </si>
  <si>
    <t xml:space="preserve">Up to 15 years of income-tax exemption plus a 3% transfer-tax exemption that flows through to the individual buyer of a unit. Survived the June 2026 tax reform untouched.</t>
  </si>
  <si>
    <t xml:space="preserve">A concrete, legislated, tax-advantaged product to discuss with Caribbean real-asset buyers.</t>
  </si>
  <si>
    <t xml:space="preserve">Rating catch-up</t>
  </si>
  <si>
    <t xml:space="preserve">Fitch is 3+ years stale on Costa Rica and Guatemala; S&amp;P is stale on the DR</t>
  </si>
  <si>
    <t xml:space="preserve">Costa Rica took two upgrades in a month (Sep/Oct 2025) and Fitch is two notches behind. Guatemala is one notch from IG at two agencies with 27% debt/GDP and a structural current-account surplus.</t>
  </si>
  <si>
    <t xml:space="preserve">A credible, differentiated CIO view that is not simply 'buy Colombia'.</t>
  </si>
  <si>
    <t xml:space="preserve">Risk register - the eight things that could embarrass you</t>
  </si>
  <si>
    <t xml:space="preserve">Read this before the pack, not after.</t>
  </si>
  <si>
    <t xml:space="preserve">Risk</t>
  </si>
  <si>
    <t xml:space="preserve">The number</t>
  </si>
  <si>
    <t xml:space="preserve">Why</t>
  </si>
  <si>
    <t xml:space="preserve">What to do about it</t>
  </si>
  <si>
    <t xml:space="preserve">The remittance cliff</t>
  </si>
  <si>
    <t xml:space="preserve">Guatemala 20.7% of GDP, El Salvador ~24%, DR 9.3%</t>
  </si>
  <si>
    <t xml:space="preserve">Record 2025 inflows were partly FRONT-RUNNING of US deportation policy and the 1% US cash-transfer tax effective 1 Jan 2026. Banguat's own forecast decelerates from +19% to +5%.</t>
  </si>
  <si>
    <t xml:space="preserve">Stress-test any thesis resting on remittance-driven consumption for a stop.</t>
  </si>
  <si>
    <t xml:space="preserve">The 2026 FX rally will not repeat</t>
  </si>
  <si>
    <t xml:space="preserve">COP +19.6% vs USD YTD, CRC +10.3% y/y, DOP +4.7% YTD, GTQ +0.5%</t>
  </si>
  <si>
    <t xml:space="preserve">For USD-based clients this was a large unhedged tailwind. Colombian analysts call the peso rally largely exhausted; DR consensus expects a full DOP reversal to 65.50 by year-end. BanRep is buying dollars.</t>
  </si>
  <si>
    <t xml:space="preserve">Revisit hedge ratios before the conversation, not after.</t>
  </si>
  <si>
    <t xml:space="preserve">Colombia's last IG notch</t>
  </si>
  <si>
    <t xml:space="preserve">Moody's Baa3, stable</t>
  </si>
  <si>
    <t xml:space="preserve">Sub-IG at both S&amp;P (BB-, lowest since 1993) and Fitch (BB). Fiscal rule escape-claused through 2027. 2027 deficit revised to 9.4% of GDP by BanRep. CARF calls for a 3.7%-of-GDP adjustment in 2027.</t>
  </si>
  <si>
    <t xml:space="preserve">Size Colombian sovereign exposure for a forced-selling event, not for a base case.</t>
  </si>
  <si>
    <t xml:space="preserve">Panama's IG knife-edge</t>
  </si>
  <si>
    <t xml:space="preserve">Moody's Baa3 NEGATIVE, S&amp;P BBB-, Fitch already BB+</t>
  </si>
  <si>
    <t xml:space="preserve">Fitch: general-government debt 67.2% of GDP end-2025; interest/revenue 18.8% vs an 11.4% BB median. Moody's warns consolidation came from cutting public investment, not structural reform. Renewed canal drought - ACP cut to 34 daily slots for September 2026.</t>
  </si>
  <si>
    <t xml:space="preserve">Panama is a fallen-angel-in-progress candidate. IG index eligibility is fragile.</t>
  </si>
  <si>
    <t xml:space="preserve">Costa Rica's deflation-appreciation squeeze</t>
  </si>
  <si>
    <t xml:space="preserve">39 consecutive months of negative y/y CPI; CRC +10.25% over 12m</t>
  </si>
  <si>
    <t xml:space="preserve">Persistent appreciation is the direct cause of the deflation and is squeezing exporters and tourism. FDI is reinvestment-driven - NEW investment fell 18% to USD 895m. The medtech cluster is contracting in 2026 on a 12.5% US tariff.</t>
  </si>
  <si>
    <t xml:space="preserve">The best-rated momentum story in the sample has a real-economy problem underneath it.</t>
  </si>
  <si>
    <t xml:space="preserve">Guyana concentration</t>
  </si>
  <si>
    <t xml:space="preserve">USD 1.06bn of central-bank reserves against a 13%-of-GDP current-account surplus</t>
  </si>
  <si>
    <t xml:space="preserve">Oil receipts accumulate in the Natural Resource Fund (USD 4.35bn), not at the central bank. Sovereign is UNRATED. One commodity, one operator consortium, a 1m population, an opposition leader under US sanctions, and a neighbour that has pre-announced it will defy the World Court.</t>
  </si>
  <si>
    <t xml:space="preserve">Never present reserves as a Guyana buffer metric without the NRF alongside it. Satellite allocation only.</t>
  </si>
  <si>
    <t xml:space="preserve">Panama structure risk</t>
  </si>
  <si>
    <t xml:space="preserve">Law 526/2026 + Executive Decree 32</t>
  </si>
  <si>
    <t xml:space="preserve">The default outcome for a passive Panamanian shell holding foreign passive income is 15% tax from FY2027 where there was previously zero. Covers trusts and foundations.</t>
  </si>
  <si>
    <t xml:space="preserve">This is a book-wide triage, not a client-by-client one. It is also the highest-value advisory hook in the pack.</t>
  </si>
  <si>
    <t xml:space="preserve">Data hygiene</t>
  </si>
  <si>
    <t xml:space="preserve">Rating aggregators carry wrong data</t>
  </si>
  <si>
    <t xml:space="preserve">FXEmpire still shows a stale Moody's Ba3/Positive for the DR; countryeconomy shows a stale Fitch 'RD' for El Salvador. Panama is absent from the IMF WEO DataMapper entirely - any Panama IMF WEO figure in circulation should be treated with suspicion.</t>
  </si>
  <si>
    <t xml:space="preserve">Verify against agency releases before anything client-facing.</t>
  </si>
  <si>
    <t xml:space="preserve">Sources and vintages</t>
  </si>
  <si>
    <t xml:space="preserve">Every figure in this workbook traces to a row here.</t>
  </si>
  <si>
    <t xml:space="preserve">Area</t>
  </si>
  <si>
    <t xml:space="preserve">Source</t>
  </si>
  <si>
    <t xml:space="preserve">URL</t>
  </si>
  <si>
    <t xml:space="preserve">Vintage</t>
  </si>
  <si>
    <t xml:space="preserve">Caveat</t>
  </si>
  <si>
    <t xml:space="preserve">Macro - IMF</t>
  </si>
  <si>
    <t xml:space="preserve">IMF World Economic Outlook, April 2026 (DataMapper API)</t>
  </si>
  <si>
    <t xml:space="preserve">https://www.imf.org/external/datamapper/</t>
  </si>
  <si>
    <t xml:space="preserve">WARNING: Panama is ABSENT from the WEO DataMapper dataset. Panama figures are World Bank.</t>
  </si>
  <si>
    <t xml:space="preserve">Macro - World Bank</t>
  </si>
  <si>
    <t xml:space="preserve">World Bank Macro Poverty Outlook, April 2026</t>
  </si>
  <si>
    <t xml:space="preserve">https://thedocs.worldbank.org/en/doc/e408a7e21ba62d843bdd90dc37e61b57-0500032021/related/mpo-pan.pdf</t>
  </si>
  <si>
    <t xml:space="preserve">Perimeter differs from the IMF (central govt / NFPS vs general govt). Do not mix in one chart.</t>
  </si>
  <si>
    <t xml:space="preserve">Macro - Guatemala</t>
  </si>
  <si>
    <t xml:space="preserve">IMF 2026 Article IV consultation</t>
  </si>
  <si>
    <t xml:space="preserve">https://www.miragenews.com/imf-wraps-up-2026-article-iv-talks-with-1718672/</t>
  </si>
  <si>
    <t xml:space="preserve">28 Jul 2026</t>
  </si>
  <si>
    <t xml:space="preserve">Macro - El Salvador</t>
  </si>
  <si>
    <t xml:space="preserve">IMF PR 26/285 - SLA on combined 2nd and 3rd EFF reviews</t>
  </si>
  <si>
    <t xml:space="preserve">https://www.imf.org/en/news/articles/2026/09/03/pr26285-el-salvador-imf-reaches-sla-on-combined-2nd-and-3rd-rev-under-eff-arrangement</t>
  </si>
  <si>
    <t xml:space="preserve">3 Sep 2026</t>
  </si>
  <si>
    <t xml:space="preserve">Unlocks ~USD 140m. IMF expects no further Bitcoin accumulation.</t>
  </si>
  <si>
    <t xml:space="preserve">Macro - Panama</t>
  </si>
  <si>
    <t xml:space="preserve">IMF Article IV PR 25/279; Fitch affirmation</t>
  </si>
  <si>
    <t xml:space="preserve">https://www.imf.org/en/news/articles/2025/08/25/pr25279-panama-imf-executive-board-concludes-2025-article-iv-consultation-with-panama</t>
  </si>
  <si>
    <t xml:space="preserve">Aug 2025 / Dec 2025</t>
  </si>
  <si>
    <t xml:space="preserve">Colombia - fiscal</t>
  </si>
  <si>
    <t xml:space="preserve">MinHacienda 2025 outturn; CARF assessment 25 Jun 2026</t>
  </si>
  <si>
    <t xml:space="preserve">https://www.minhacienda.gov.co/</t>
  </si>
  <si>
    <t xml:space="preserve">Mar / Jun 2026</t>
  </si>
  <si>
    <t xml:space="preserve">2025 GNC deficit 6.4% of GDP = COP 117.8tn; gross debt 64.7% of GDP.</t>
  </si>
  <si>
    <t xml:space="preserve">Colombia - budget</t>
  </si>
  <si>
    <t xml:space="preserve">BanRep - Villar's comments on the revised 2027 budget</t>
  </si>
  <si>
    <t xml:space="preserve">https://www.banrep.gov.co/es/publicaciones-investigaciones/comentarios-presupuesto-revisado-general-nacion-2027</t>
  </si>
  <si>
    <t xml:space="preserve">THE most authoritative single document on the 2027 fiscal picture. 2027 deficit 9.4% of GDP; net debt 66.2%.</t>
  </si>
  <si>
    <t xml:space="preserve">Colombia - rates</t>
  </si>
  <si>
    <t xml:space="preserve">BanRep board decisions</t>
  </si>
  <si>
    <t xml:space="preserve">https://www.banrep.gov.co/en/news/board-directors/july-2026</t>
  </si>
  <si>
    <t xml:space="preserve">12.00%, held 4-3.</t>
  </si>
  <si>
    <t xml:space="preserve">Colombia - election</t>
  </si>
  <si>
    <t xml:space="preserve">Registraduria / AS-COA / CNN Espanol</t>
  </si>
  <si>
    <t xml:space="preserve">https://www.as-coa.org/articles/what-know-about-colombias-2026-presidential-runoff-results</t>
  </si>
  <si>
    <t xml:space="preserve">Runoff 21 Jun 2026 (Sunday). AS/COA says 22 Jun - use 21 Jun. Party naming: Defensores de la Patria (his movement) vs Movimiento de Salvación Nacional (endorsed him) - verify with the Registraduria.</t>
  </si>
  <si>
    <t xml:space="preserve">Colombia - cabinet</t>
  </si>
  <si>
    <t xml:space="preserve">Decreto 1136 de 2026 via La Republica</t>
  </si>
  <si>
    <t xml:space="preserve">https://www.larepublica.co/economia/estos-son-los-18-ministros-con-los-que-abelardo-de-la-espriella-comienza-su-mandato-4453827</t>
  </si>
  <si>
    <t xml:space="preserve">Colombia - pensions</t>
  </si>
  <si>
    <t xml:space="preserve">Constitutional Court ruling via La Republica</t>
  </si>
  <si>
    <t xml:space="preserve">https://www.larepublica.co/especiales/abc-de-la-reforma-pensional/</t>
  </si>
  <si>
    <t xml:space="preserve">25 Aug 2026</t>
  </si>
  <si>
    <t xml:space="preserve">~90% of Ley 2381/2024 upheld; in force 1 Apr 2027.</t>
  </si>
  <si>
    <t xml:space="preserve">Colombia - tax</t>
  </si>
  <si>
    <t xml:space="preserve">PwC Worldwide Tax Summaries - Colombia</t>
  </si>
  <si>
    <t xml:space="preserve">https://taxsummaries.pwc.com/colombia/individual/other-taxes</t>
  </si>
  <si>
    <t xml:space="preserve">Wealth-tax brackets, PIT, dividend WHT.</t>
  </si>
  <si>
    <t xml:space="preserve">Colombia - offshore duties</t>
  </si>
  <si>
    <t xml:space="preserve">BanRep normatividad; Actualicese on Form 160</t>
  </si>
  <si>
    <t xml:space="preserve">https://www.banrep.gov.co/es/normatividad</t>
  </si>
  <si>
    <t xml:space="preserve">DCIP-83 Asunto 10 amended 25 Aug 2026. Form 160 threshold 2,000 UVT.</t>
  </si>
  <si>
    <t xml:space="preserve">Colombia - earthquake</t>
  </si>
  <si>
    <t xml:space="preserve">USGS-referenced reporting; Bloomberg Linea</t>
  </si>
  <si>
    <t xml:space="preserve">https://www.bloomberglinea.com/latinoamerica/colombia/</t>
  </si>
  <si>
    <t xml:space="preserve">10 Aug 2026</t>
  </si>
  <si>
    <t xml:space="preserve">Mw 7.4 (USGS event us6000tjl2), Chocó, depth ~108 km. 331 dead. USD 9.6bn damage. NOTE a source conflict on the date - 10 August is correct.</t>
  </si>
  <si>
    <t xml:space="preserve">Panama - substance</t>
  </si>
  <si>
    <t xml:space="preserve">Ley 526 de 2026 (Gaceta 30534-B); Executive Decree 32 (Gaceta 30603-B)</t>
  </si>
  <si>
    <t xml:space="preserve">https://www.infobae.com/panama/2026/09/03/panama-reglamenta-ley-que-exigira-actividad-economica-real-a-multinacionales-desde-2027/</t>
  </si>
  <si>
    <t xml:space="preserve">28 May / 3 Sep 2026</t>
  </si>
  <si>
    <t xml:space="preserve">Effective FY2027, first declarations 2028. Covers trusts and foundations.</t>
  </si>
  <si>
    <t xml:space="preserve">Panama - residency</t>
  </si>
  <si>
    <t xml:space="preserve">Executive Decree 722/2020 as modified by Decree 193</t>
  </si>
  <si>
    <t xml:space="preserve">https://immigrantinvest.com/blog/panama-golden-visa/</t>
  </si>
  <si>
    <t xml:space="preserve">Real-estate threshold rises to USD 500,000 after 15 Oct 2026.</t>
  </si>
  <si>
    <t xml:space="preserve">Panama - ports</t>
  </si>
  <si>
    <t xml:space="preserve">Panama Supreme Court ruling; gCaptain</t>
  </si>
  <si>
    <t xml:space="preserve">https://gcaptain.com/panama-seizes-canal-ports-ck-hutchison-maersk/</t>
  </si>
  <si>
    <t xml:space="preserve">24 Feb 2026</t>
  </si>
  <si>
    <t xml:space="preserve">Panama - Río Indio</t>
  </si>
  <si>
    <t xml:space="preserve">ENR</t>
  </si>
  <si>
    <t xml:space="preserve">https://www.enr.com/articles/63550-panama-canal-seeks-program-manager-for-16b-rio-indio-reservoir</t>
  </si>
  <si>
    <t xml:space="preserve">24 Aug 2026</t>
  </si>
  <si>
    <t xml:space="preserve">Costa Rica - free zones</t>
  </si>
  <si>
    <t xml:space="preserve">PROCOMER, Guia Regimen Zona Franca</t>
  </si>
  <si>
    <t xml:space="preserve">https://procomer.com/wp-content/uploads/2025/08/Guia-Regimen-Zona-Franca-ESP-1.pdf</t>
  </si>
  <si>
    <t xml:space="preserve">Aug 2025</t>
  </si>
  <si>
    <t xml:space="preserve">Costa Rica - inflation</t>
  </si>
  <si>
    <t xml:space="preserve">BCCR / El Financiero</t>
  </si>
  <si>
    <t xml:space="preserve">https://www.elfinancierocr.com/finanzas/</t>
  </si>
  <si>
    <t xml:space="preserve">39th consecutive month of negative y/y CPI.</t>
  </si>
  <si>
    <t xml:space="preserve">Dominican Rep. - tax reform</t>
  </si>
  <si>
    <t xml:space="preserve">Ley 30-26; PwC DR</t>
  </si>
  <si>
    <t xml:space="preserve">https://taxsummaries.pwc.com/dominican-republic/corporate/taxes-on-corporate-income</t>
  </si>
  <si>
    <t xml:space="preserve">Jun / Aug 2026</t>
  </si>
  <si>
    <t xml:space="preserve">CIT 27%, 30% transitional to FY2028. Real-estate CGT cut to 10%. Free-zone and CONFOTUR incentives untouched.</t>
  </si>
  <si>
    <t xml:space="preserve">Dominican Rep. - CONFOTUR</t>
  </si>
  <si>
    <t xml:space="preserve">Law 158-01 as amended by 195-13; MITUR guide</t>
  </si>
  <si>
    <t xml:space="preserve">https://inmobiliario.do/ley-158-01-la-guia-sobre-confotur-rd-que-los-inversionistas-deben-consultar/</t>
  </si>
  <si>
    <t xml:space="preserve">El Salvador - incentives</t>
  </si>
  <si>
    <t xml:space="preserve">Consortium Legal, Incentivos fiscales en Centroamerica 2026</t>
  </si>
  <si>
    <t xml:space="preserve">https://consortiumlegal.com/2026/02/10/incentivos-fiscales-en-centroamerica-2026/</t>
  </si>
  <si>
    <t xml:space="preserve">10 Feb 2026</t>
  </si>
  <si>
    <t xml:space="preserve">Ley de Fomento benefits extend to partners and shareholders.</t>
  </si>
  <si>
    <t xml:space="preserve">Guyana - oil and NRF</t>
  </si>
  <si>
    <t xml:space="preserve">592hub; EIA</t>
  </si>
  <si>
    <t xml:space="preserve">https://www.eia.gov/todayinenergy/detail.php?id=62103</t>
  </si>
  <si>
    <t xml:space="preserve">~900 kb/d; NRF USD 4.35bn at 31 Jul 2026; Guyana's share of each barrel reached 39.8%.</t>
  </si>
  <si>
    <t xml:space="preserve">Guyana - Essequibo</t>
  </si>
  <si>
    <t xml:space="preserve">JURIST on the ICJ merits hearings</t>
  </si>
  <si>
    <t xml:space="preserve">https://www.jurist.org/news/2026/05/icj-opens-oral-hearings-as-guyana-asks-court-to-affirm-century-old-boundary-with-venezuela/</t>
  </si>
  <si>
    <t xml:space="preserve">4-11 May 2026</t>
  </si>
  <si>
    <t xml:space="preserve">No ruling and no timeline as of Sep 2026. Venezuela has stated it will ignore it.</t>
  </si>
  <si>
    <t xml:space="preserve">Equities - index status</t>
  </si>
  <si>
    <t xml:space="preserve">MSCI 2026 Market Classification Review; FTSE matrix</t>
  </si>
  <si>
    <t xml:space="preserve">https://www.lseg.com/content/dam/ftse-russell/en_us/documents/country-classification/matrix-of-markets.pdf</t>
  </si>
  <si>
    <t xml:space="preserve">Apr / Jun 2026</t>
  </si>
  <si>
    <t xml:space="preserve">No Latin American or Caribbean changes in the 2026 MSCI review. Only Colombia of the seven is in any major index.</t>
  </si>
  <si>
    <t xml:space="preserve">Equities - Colombia ETF</t>
  </si>
  <si>
    <t xml:space="preserve">Global X MSCI Colombia ETF (COLO, was GXG)</t>
  </si>
  <si>
    <t xml:space="preserve">https://www.globalxetfs.com/funds/colo</t>
  </si>
  <si>
    <t xml:space="preserve">AUM USD 226m; top holdings Grupo Cibest 15.82%, ISA 7.56%, Ecopetrol 7.47%.</t>
  </si>
  <si>
    <t xml:space="preserve">Regional tax - all</t>
  </si>
  <si>
    <t xml:space="preserve">PwC Worldwide Tax Summaries</t>
  </si>
  <si>
    <t xml:space="preserve">https://taxsummaries.pwc.com/</t>
  </si>
  <si>
    <t xml:space="preserve">Reviewed Feb-Aug 2026</t>
  </si>
  <si>
    <t xml:space="preserve">The most current and reliable cross-country tax source used.</t>
  </si>
  <si>
    <t xml:space="preserve">FATF / EU lists</t>
  </si>
  <si>
    <t xml:space="preserve">FATF increased-monitoring list, 19 Jun 2026; EU Council, 17 Feb 2026</t>
  </si>
  <si>
    <t xml:space="preserve">https://www.fatf-gafi.org/en/publications/High-risk-and-other-monitored-jurisdictions/increased-monitoring-june-2026.html</t>
  </si>
  <si>
    <t xml:space="preserve">None of the seven is FATF grey-listed. PANAMA IS ON THE EU TAX BLACKLIST (Annex I) - Law 526/2026 is the exit attempt.</t>
  </si>
  <si>
    <t xml:space="preserve">What this pack does not know</t>
  </si>
  <si>
    <t xml:space="preserve">Named gaps, so nobody fills them by inference. Several need a terminal pull or a call to local counsel.</t>
  </si>
  <si>
    <t xml:space="preserve">A pack that hides its gaps is worse than one that names them. Each row below is something a sophisticated prospect could ask about and get a wrong answer if we guessed.</t>
  </si>
  <si>
    <t xml:space="preserve">Gap</t>
  </si>
  <si>
    <t xml:space="preserve">What we know and why it is a gap</t>
  </si>
  <si>
    <t xml:space="preserve">Where to close it</t>
  </si>
  <si>
    <t xml:space="preserve">Fitch's current rating on Costa Rica and Guatemala</t>
  </si>
  <si>
    <t xml:space="preserve">Our primary source has Fitch at BB- (Mar 2023) and BB (Feb 2023). A second source has BB (Dec 2025) and BB+ (Oct 2025). We could not reach fitchratings.com to settle it. The 'Fitch is stale, a catch-up upgrade is coming' thesis depends entirely on which is right.</t>
  </si>
  <si>
    <t xml:space="preserve">Fitch Ratings direct - highest priority</t>
  </si>
  <si>
    <t xml:space="preserve">Colombia July 2026 CPI</t>
  </si>
  <si>
    <t xml:space="preserve">We carry 6.03% y/y from secondary reporting. BanRep's own July release describes inflation as still rising from 6.1% in June, which does not sit comfortably with a July fall. DANE's site was unreachable.</t>
  </si>
  <si>
    <t xml:space="preserve">DANE monthly release</t>
  </si>
  <si>
    <t xml:space="preserve">2026 UVT value</t>
  </si>
  <si>
    <t xml:space="preserve">We use COP 52,347, which is consistent with a ~5.1% indexation of the 2025 UVT, but the DIAN resolution could not be reached.</t>
  </si>
  <si>
    <t xml:space="preserve">DIAN resolution</t>
  </si>
  <si>
    <t xml:space="preserve">Panama 2025 nominal GDP</t>
  </si>
  <si>
    <t xml:space="preserve">Panama is absent from the IMF WEO DataMapper. 2024 actual USD 86.5bn is the last firm figure.</t>
  </si>
  <si>
    <t xml:space="preserve">INEC / MEF</t>
  </si>
  <si>
    <t xml:space="preserve">Sector share-of-GDP tables</t>
  </si>
  <si>
    <t xml:space="preserve">DANE (403), BCRD, BCR El Salvador and the Guyana Bureau of Statistics did not serve accessible tables.</t>
  </si>
  <si>
    <t xml:space="preserve">National statistics offices</t>
  </si>
  <si>
    <t xml:space="preserve">Colombian HNWI/UHNWI headcount</t>
  </si>
  <si>
    <t xml:space="preserve">Capgemini, Knight Frank and Altrata country tables are paywalled. DO NOT publish an inferred figure - a Colombian client will test it.</t>
  </si>
  <si>
    <t xml:space="preserve">License Knight Frank 2026 / Capgemini 2026</t>
  </si>
  <si>
    <t xml:space="preserve">Colombian HNWI emigration to Miami/Madrid/Panama</t>
  </si>
  <si>
    <t xml:space="preserve">Henley Private Wealth Migration Report 2026 sub-sections are unfetchable.</t>
  </si>
  <si>
    <t xml:space="preserve">Henley</t>
  </si>
  <si>
    <t xml:space="preserve">Colombian family-office formation data</t>
  </si>
  <si>
    <t xml:space="preserve">No accessible source found.</t>
  </si>
  <si>
    <t xml:space="preserve">Colombia EMBI level, Sep-2026</t>
  </si>
  <si>
    <t xml:space="preserve">Only the 5-yr CDS (142bp, 1 Sep) is current. The last EMBI print found is 219bp, 29 Apr 2026.</t>
  </si>
  <si>
    <t xml:space="preserve">Bloomberg</t>
  </si>
  <si>
    <t xml:space="preserve">Colombia TES curve, current</t>
  </si>
  <si>
    <t xml:space="preserve">Levels quoted are 1-3 June 2026 - they predate the earthquake and the 2027 budget.</t>
  </si>
  <si>
    <t xml:space="preserve">Colombia 'cuentas por pagar' stock</t>
  </si>
  <si>
    <t xml:space="preserve">The COP ~30tn 'budget of truth' framing is well sourced, but no clean series for the stock of deuda flotante was found.</t>
  </si>
  <si>
    <t xml:space="preserve">MinHacienda / Bloomberg</t>
  </si>
  <si>
    <t xml:space="preserve">Ecopetrol government stake</t>
  </si>
  <si>
    <t xml:space="preserve">Customarily cited at 88.49% but not verified from a fetchable primary source.</t>
  </si>
  <si>
    <t xml:space="preserve">Company filings</t>
  </si>
  <si>
    <t xml:space="preserve">Colombia MSCI EM weight</t>
  </si>
  <si>
    <t xml:space="preserve">Colombia sits inside iShares EEM 'Other' at 6.18% combined. Do not publish a weight without a terminal pull.</t>
  </si>
  <si>
    <t xml:space="preserve">Bloomberg / MSCI</t>
  </si>
  <si>
    <t xml:space="preserve">Constitutional Court status of Decreto 1474/2026</t>
  </si>
  <si>
    <t xml:space="preserve">PwC's phrasing implies a version was enacted by emergency decree and challenged. HIGHEST-PRIORITY OPEN ITEM.</t>
  </si>
  <si>
    <t xml:space="preserve">Bogotá tax practice</t>
  </si>
  <si>
    <t xml:space="preserve">Colombia normalisation-tax history</t>
  </si>
  <si>
    <t xml:space="preserve">Instrument has recurred but rates and years were not verifiable this pass.</t>
  </si>
  <si>
    <t xml:space="preserve">El Salvador / Colombia residency thresholds</t>
  </si>
  <si>
    <t xml:space="preserve">Not verified.</t>
  </si>
  <si>
    <t xml:space="preserve">Local counsel</t>
  </si>
  <si>
    <t xml:space="preserve">Costa Rica road concessions</t>
  </si>
  <si>
    <t xml:space="preserve">No verified 2026 status for Ruta 27 or other concessions.</t>
  </si>
  <si>
    <t xml:space="preserve">CNC / MOPT</t>
  </si>
  <si>
    <t xml:space="preserve">Guatemala PPP pipeline detail</t>
  </si>
  <si>
    <t xml:space="preserve">ANADIE/ANI project list and values not verified.</t>
  </si>
  <si>
    <t xml:space="preserve">ANADIE</t>
  </si>
  <si>
    <t xml:space="preserve">Private family-group financials</t>
  </si>
  <si>
    <t xml:space="preserve">Grupo SURA, ISA, Celsia, Terpel, Corficolombiana, Grupo Puntacana, Grupo Ramos, INICIA/Vicini, Grupo Motta, Banks DIH, DDL, GBTI.</t>
  </si>
  <si>
    <t xml:space="preserve">Company filings / local press</t>
  </si>
  <si>
    <t xml:space="preserve">Two of these are worth a phone call this week. The Constitutional Court's position on Decreto 1474 de 2026 determines whether Colombian wealth-tax planning can be closed out at all - a Bogota tax practice will know. And a Colombian HNWI headcount must be licensed, not inferred: a Colombian client will test it, and a wrong number is worse than no number.</t>
  </si>
</sst>
</file>

<file path=xl/styles.xml><?xml version="1.0" encoding="utf-8"?>
<styleSheet xmlns="http://schemas.openxmlformats.org/spreadsheetml/2006/main">
  <numFmts count="7">
    <numFmt numFmtId="164" formatCode="General"/>
    <numFmt numFmtId="165" formatCode="\$#,##0;&quot;($&quot;#,##0\);\-"/>
    <numFmt numFmtId="166" formatCode="0.0\%;\(0.0&quot;%)&quot;;\-"/>
    <numFmt numFmtId="167" formatCode="#,##0.00;\(#,##0.00\);\-"/>
    <numFmt numFmtId="168" formatCode="#,##0.0;\(#,##0.0\);\-"/>
    <numFmt numFmtId="169" formatCode="\$#,##0.0;&quot;($&quot;#,##0.0\);\-"/>
    <numFmt numFmtId="170" formatCode="#,##0;\(#,##0\);\-"/>
  </numFmts>
  <fonts count="38">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b val="true"/>
      <sz val="9"/>
      <color rgb="FFA8322D"/>
      <name val="Arial"/>
      <family val="0"/>
      <charset val="1"/>
    </font>
    <font>
      <b val="true"/>
      <sz val="11"/>
      <color rgb="FF0B3B45"/>
      <name val="Arial"/>
      <family val="0"/>
      <charset val="1"/>
    </font>
    <font>
      <sz val="9"/>
      <color rgb="FF1A1A1A"/>
      <name val="Arial"/>
      <family val="0"/>
      <charset val="1"/>
    </font>
    <font>
      <b val="true"/>
      <sz val="9"/>
      <color rgb="FF1A1A1A"/>
      <name val="Arial"/>
      <family val="0"/>
      <charset val="1"/>
    </font>
    <font>
      <sz val="9"/>
      <color rgb="FF008000"/>
      <name val="Arial"/>
      <family val="0"/>
      <charset val="1"/>
    </font>
    <font>
      <b val="true"/>
      <sz val="9"/>
      <color rgb="FF0000FF"/>
      <name val="Arial"/>
      <family val="0"/>
      <charset val="1"/>
    </font>
    <font>
      <b val="true"/>
      <sz val="9"/>
      <color rgb="FF008000"/>
      <name val="Arial"/>
      <family val="0"/>
      <charset val="1"/>
    </font>
    <font>
      <i val="true"/>
      <sz val="9"/>
      <color rgb="FF6B7B80"/>
      <name val="Arial"/>
      <family val="0"/>
      <charset val="1"/>
    </font>
    <font>
      <i val="true"/>
      <sz val="8"/>
      <color rgb="FF6B7B80"/>
      <name val="Arial"/>
      <family val="0"/>
      <charset val="1"/>
    </font>
    <font>
      <b val="true"/>
      <sz val="9"/>
      <color rgb="FF2C6470"/>
      <name val="Arial"/>
      <family val="0"/>
      <charset val="1"/>
    </font>
    <font>
      <b val="true"/>
      <sz val="9"/>
      <color rgb="FF156A7A"/>
      <name val="Arial"/>
      <family val="0"/>
      <charset val="1"/>
    </font>
    <font>
      <b val="true"/>
      <sz val="9"/>
      <color rgb="FF2E6F6B"/>
      <name val="Arial"/>
      <family val="0"/>
      <charset val="1"/>
    </font>
    <font>
      <b val="true"/>
      <sz val="9"/>
      <color rgb="FF0B3B45"/>
      <name val="Arial"/>
      <family val="0"/>
      <charset val="1"/>
    </font>
    <font>
      <b val="true"/>
      <sz val="9"/>
      <color rgb="FF8A5F12"/>
      <name val="Arial"/>
      <family val="0"/>
      <charset val="1"/>
    </font>
    <font>
      <b val="true"/>
      <sz val="9"/>
      <color rgb="FF7A5C3E"/>
      <name val="Arial"/>
      <family val="0"/>
      <charset val="1"/>
    </font>
    <font>
      <b val="true"/>
      <sz val="9"/>
      <color rgb="FF3E5C7A"/>
      <name val="Arial"/>
      <family val="0"/>
      <charset val="1"/>
    </font>
    <font>
      <b val="true"/>
      <sz val="18"/>
      <color rgb="FF000000"/>
      <name val="Calibri"/>
      <family val="2"/>
    </font>
    <font>
      <sz val="10"/>
      <color rgb="FF000000"/>
      <name val="Calibri"/>
      <family val="2"/>
    </font>
    <font>
      <b val="true"/>
      <sz val="10"/>
      <color rgb="FF000000"/>
      <name val="Calibri"/>
      <family val="2"/>
    </font>
    <font>
      <sz val="9"/>
      <color rgb="FF0000FF"/>
      <name val="Arial"/>
      <family val="0"/>
      <charset val="1"/>
    </font>
    <font>
      <sz val="8"/>
      <color rgb="FF0000FF"/>
      <name val="Arial"/>
      <family val="0"/>
      <charset val="1"/>
    </font>
    <font>
      <b val="true"/>
      <sz val="8"/>
      <color rgb="FF1A1A1A"/>
      <name val="Arial"/>
      <family val="0"/>
      <charset val="1"/>
    </font>
    <font>
      <sz val="9"/>
      <color rgb="FFA8322D"/>
      <name val="Arial"/>
      <family val="0"/>
      <charset val="1"/>
    </font>
    <font>
      <sz val="9"/>
      <color rgb="FF3E7C59"/>
      <name val="Arial"/>
      <family val="0"/>
      <charset val="1"/>
    </font>
    <font>
      <sz val="8"/>
      <color rgb="FF1A1A1A"/>
      <name val="Arial"/>
      <family val="0"/>
      <charset val="1"/>
    </font>
    <font>
      <b val="true"/>
      <sz val="10"/>
      <color rgb="FF0B3B45"/>
      <name val="Arial"/>
      <family val="0"/>
      <charset val="1"/>
    </font>
    <font>
      <i val="true"/>
      <sz val="9"/>
      <color rgb="FFA8322D"/>
      <name val="Arial"/>
      <family val="0"/>
      <charset val="1"/>
    </font>
    <font>
      <b val="true"/>
      <i val="true"/>
      <sz val="9"/>
      <color rgb="FFA8322D"/>
      <name val="Arial"/>
      <family val="0"/>
      <charset val="1"/>
    </font>
    <font>
      <i val="true"/>
      <sz val="9"/>
      <color rgb="FF1A1A1A"/>
      <name val="Arial"/>
      <family val="0"/>
      <charset val="1"/>
    </font>
    <font>
      <i val="true"/>
      <sz val="8"/>
      <color rgb="FF1A1A1A"/>
      <name val="Arial"/>
      <family val="0"/>
      <charset val="1"/>
    </font>
    <font>
      <b val="true"/>
      <sz val="8"/>
      <color rgb="FFA8322D"/>
      <name val="Arial"/>
      <family val="0"/>
      <charset val="1"/>
    </font>
    <font>
      <b val="true"/>
      <sz val="10"/>
      <color rgb="FFA8322D"/>
      <name val="Arial"/>
      <family val="0"/>
      <charset val="1"/>
    </font>
    <font>
      <sz val="8"/>
      <color rgb="FF008000"/>
      <name val="Arial"/>
      <family val="0"/>
      <charset val="1"/>
    </font>
  </fonts>
  <fills count="7">
    <fill>
      <patternFill patternType="none"/>
    </fill>
    <fill>
      <patternFill patternType="gray125"/>
    </fill>
    <fill>
      <patternFill patternType="solid">
        <fgColor rgb="FF0B3B45"/>
        <bgColor rgb="FF003300"/>
      </patternFill>
    </fill>
    <fill>
      <patternFill patternType="solid">
        <fgColor rgb="FFEDF1F2"/>
        <bgColor rgb="FFDCE9E1"/>
      </patternFill>
    </fill>
    <fill>
      <patternFill patternType="solid">
        <fgColor rgb="FFF7DAD8"/>
        <bgColor rgb="FFF0D9A8"/>
      </patternFill>
    </fill>
    <fill>
      <patternFill patternType="solid">
        <fgColor rgb="FFF0D9A8"/>
        <bgColor rgb="FFF7DAD8"/>
      </patternFill>
    </fill>
    <fill>
      <patternFill patternType="solid">
        <fgColor rgb="FFDCE9E1"/>
        <bgColor rgb="FFEDF1F2"/>
      </patternFill>
    </fill>
  </fills>
  <borders count="2">
    <border diagonalUp="false" diagonalDown="false">
      <left/>
      <right/>
      <top/>
      <bottom/>
      <diagonal/>
    </border>
    <border diagonalUp="false" diagonalDown="false">
      <left/>
      <right/>
      <top/>
      <bottom style="thin">
        <color rgb="FF0B3B4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center" vertical="top" textRotation="0" wrapText="false" indent="0" shrinkToFit="false"/>
      <protection locked="true" hidden="false"/>
    </xf>
    <xf numFmtId="166" fontId="9" fillId="0" borderId="0" xfId="0" applyFont="true" applyBorder="false" applyAlignment="true" applyProtection="false">
      <alignment horizontal="center" vertical="top" textRotation="0" wrapText="false" indent="0" shrinkToFit="false"/>
      <protection locked="true" hidden="false"/>
    </xf>
    <xf numFmtId="167" fontId="9" fillId="0" borderId="0" xfId="0" applyFont="true" applyBorder="false" applyAlignment="true" applyProtection="false">
      <alignment horizontal="center" vertical="top" textRotation="0" wrapText="false" indent="0" shrinkToFit="false"/>
      <protection locked="true" hidden="false"/>
    </xf>
    <xf numFmtId="168" fontId="9" fillId="0" borderId="0" xfId="0" applyFont="true" applyBorder="false" applyAlignment="true" applyProtection="false">
      <alignment horizontal="center" vertical="top"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center" vertical="top" textRotation="0" wrapText="false" indent="0" shrinkToFit="false"/>
      <protection locked="true" hidden="false"/>
    </xf>
    <xf numFmtId="165" fontId="24" fillId="0" borderId="0" xfId="0" applyFont="true" applyBorder="false" applyAlignment="true" applyProtection="false">
      <alignment horizontal="center" vertical="top" textRotation="0" wrapText="false" indent="0" shrinkToFit="false"/>
      <protection locked="true" hidden="false"/>
    </xf>
    <xf numFmtId="168" fontId="24" fillId="0" borderId="0" xfId="0" applyFont="true" applyBorder="false" applyAlignment="true" applyProtection="false">
      <alignment horizontal="center" vertical="top" textRotation="0" wrapText="false" indent="0" shrinkToFit="false"/>
      <protection locked="true" hidden="false"/>
    </xf>
    <xf numFmtId="166" fontId="24" fillId="0" borderId="0" xfId="0" applyFont="true" applyBorder="false" applyAlignment="true" applyProtection="false">
      <alignment horizontal="center" vertical="top" textRotation="0" wrapText="fals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xf numFmtId="168" fontId="7" fillId="0" borderId="0" xfId="0" applyFont="true" applyBorder="false" applyAlignment="true" applyProtection="false">
      <alignment horizontal="center" vertical="top" textRotation="0" wrapText="false" indent="0" shrinkToFit="false"/>
      <protection locked="true" hidden="false"/>
    </xf>
    <xf numFmtId="169" fontId="24" fillId="0" borderId="0" xfId="0" applyFont="true" applyBorder="false" applyAlignment="true" applyProtection="false">
      <alignment horizontal="center" vertical="top" textRotation="0" wrapText="false" indent="0" shrinkToFit="false"/>
      <protection locked="true" hidden="false"/>
    </xf>
    <xf numFmtId="167" fontId="24" fillId="0" borderId="0" xfId="0" applyFont="true" applyBorder="false" applyAlignment="true" applyProtection="false">
      <alignment horizontal="center" vertical="top"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center" vertical="top" textRotation="0" wrapText="false" indent="0" shrinkToFit="false"/>
      <protection locked="true" hidden="false"/>
    </xf>
    <xf numFmtId="170" fontId="7" fillId="0" borderId="0" xfId="0" applyFont="true" applyBorder="false" applyAlignment="true" applyProtection="false">
      <alignment horizontal="center" vertical="top" textRotation="0" wrapText="false" indent="0" shrinkToFit="false"/>
      <protection locked="true" hidden="false"/>
    </xf>
    <xf numFmtId="168" fontId="8" fillId="0" borderId="0" xfId="0" applyFont="true" applyBorder="false" applyAlignment="true" applyProtection="false">
      <alignment horizontal="center" vertical="top" textRotation="0" wrapText="false" indent="0" shrinkToFit="false"/>
      <protection locked="true" hidden="false"/>
    </xf>
    <xf numFmtId="164" fontId="27" fillId="0" borderId="0" xfId="0" applyFont="true" applyBorder="false" applyAlignment="true" applyProtection="false">
      <alignment horizontal="general" vertical="top"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64" fontId="8" fillId="6"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29" fillId="5" borderId="0" xfId="0" applyFont="true" applyBorder="false" applyAlignment="true" applyProtection="false">
      <alignment horizontal="general" vertical="top" textRotation="0" wrapText="true" indent="0" shrinkToFit="false"/>
      <protection locked="true" hidden="false"/>
    </xf>
    <xf numFmtId="164" fontId="29" fillId="0" borderId="0" xfId="0" applyFont="true" applyBorder="false" applyAlignment="true" applyProtection="false">
      <alignment horizontal="general" vertical="top" textRotation="0" wrapText="tru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5" fillId="5" borderId="0" xfId="0" applyFont="true" applyBorder="false" applyAlignment="true" applyProtection="false">
      <alignment horizontal="general" vertical="top" textRotation="0" wrapText="true" indent="0" shrinkToFit="false"/>
      <protection locked="true" hidden="false"/>
    </xf>
    <xf numFmtId="164" fontId="25" fillId="4"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7" fillId="6"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70" fontId="24" fillId="0" borderId="0" xfId="0" applyFont="true" applyBorder="false" applyAlignment="true" applyProtection="false">
      <alignment horizontal="center" vertical="top" textRotation="0" wrapText="false" indent="0" shrinkToFit="false"/>
      <protection locked="true" hidden="false"/>
    </xf>
    <xf numFmtId="170" fontId="10" fillId="0" borderId="0" xfId="0" applyFont="true" applyBorder="false" applyAlignment="true" applyProtection="false">
      <alignment horizontal="center" vertical="top" textRotation="0" wrapText="false" indent="0" shrinkToFit="false"/>
      <protection locked="true" hidden="false"/>
    </xf>
    <xf numFmtId="167" fontId="10" fillId="0" borderId="0" xfId="0" applyFont="true" applyBorder="false" applyAlignment="true" applyProtection="false">
      <alignment horizontal="center" vertical="top" textRotation="0" wrapText="false" indent="0" shrinkToFit="false"/>
      <protection locked="true" hidden="false"/>
    </xf>
    <xf numFmtId="164" fontId="32" fillId="0" borderId="0" xfId="0" applyFont="true" applyBorder="true" applyAlignment="false" applyProtection="false">
      <alignment horizontal="general" vertical="bottom" textRotation="0" wrapText="false" indent="0" shrinkToFit="false"/>
      <protection locked="true" hidden="false"/>
    </xf>
    <xf numFmtId="170" fontId="8" fillId="0" borderId="0" xfId="0" applyFont="true" applyBorder="false" applyAlignment="true" applyProtection="false">
      <alignment horizontal="center" vertical="top" textRotation="0" wrapText="fals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true" applyAlignment="true" applyProtection="false">
      <alignment horizontal="general" vertical="top"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xf numFmtId="164" fontId="34" fillId="0" borderId="0" xfId="0" applyFont="true" applyBorder="false" applyAlignment="true" applyProtection="false">
      <alignment horizontal="general" vertical="top" textRotation="0" wrapText="true" indent="0" shrinkToFit="false"/>
      <protection locked="true" hidden="false"/>
    </xf>
    <xf numFmtId="164" fontId="34" fillId="4" borderId="0" xfId="0" applyFont="true" applyBorder="false" applyAlignment="true" applyProtection="false">
      <alignment horizontal="general" vertical="top" textRotation="0" wrapText="true" indent="0" shrinkToFit="false"/>
      <protection locked="true" hidden="false"/>
    </xf>
    <xf numFmtId="164" fontId="35" fillId="0"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center" vertical="top" textRotation="0" wrapText="false" indent="0" shrinkToFit="false"/>
      <protection locked="true" hidden="false"/>
    </xf>
    <xf numFmtId="164" fontId="8" fillId="5" borderId="0" xfId="0" applyFont="true" applyBorder="fals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center" vertical="top" textRotation="0" wrapText="false" indent="0" shrinkToFit="false"/>
      <protection locked="true" hidden="false"/>
    </xf>
    <xf numFmtId="164" fontId="36" fillId="0" borderId="0" xfId="0" applyFont="true" applyBorder="false" applyAlignment="true" applyProtection="false">
      <alignment horizontal="general" vertical="top" textRotation="0" wrapText="true" indent="0" shrinkToFit="false"/>
      <protection locked="true" hidden="false"/>
    </xf>
    <xf numFmtId="164" fontId="26" fillId="0" borderId="0" xfId="0" applyFont="true" applyBorder="false" applyAlignment="true" applyProtection="false">
      <alignment horizontal="general" vertical="top" textRotation="0" wrapText="true" indent="0" shrinkToFit="false"/>
      <protection locked="true" hidden="false"/>
    </xf>
    <xf numFmtId="164" fontId="37" fillId="0" borderId="0" xfId="0" applyFont="true" applyBorder="false" applyAlignment="true" applyProtection="false">
      <alignment horizontal="general" vertical="top" textRotation="0" wrapText="true" indent="0" shrinkToFit="false"/>
      <protection locked="true" hidden="false"/>
    </xf>
    <xf numFmtId="164" fontId="29"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A5F12"/>
      <rgbColor rgb="FF800080"/>
      <rgbColor rgb="FF156A7A"/>
      <rgbColor rgb="FFC0C0C0"/>
      <rgbColor rgb="FF878787"/>
      <rgbColor rgb="FF9999FF"/>
      <rgbColor rgb="FF7A5C3E"/>
      <rgbColor rgb="FFEDF1F2"/>
      <rgbColor rgb="FFCCFFFF"/>
      <rgbColor rgb="FF660066"/>
      <rgbColor rgb="FFFF8080"/>
      <rgbColor rgb="FF2C6470"/>
      <rgbColor rgb="FFD9D9D9"/>
      <rgbColor rgb="FF000080"/>
      <rgbColor rgb="FFFF00FF"/>
      <rgbColor rgb="FFFFFF00"/>
      <rgbColor rgb="FF00FFFF"/>
      <rgbColor rgb="FF800080"/>
      <rgbColor rgb="FF800000"/>
      <rgbColor rgb="FF2E6F6B"/>
      <rgbColor rgb="FF0000FF"/>
      <rgbColor rgb="FF00CCFF"/>
      <rgbColor rgb="FFCCFFFF"/>
      <rgbColor rgb="FFDCE9E1"/>
      <rgbColor rgb="FFF7DAD8"/>
      <rgbColor rgb="FF99CCFF"/>
      <rgbColor rgb="FFFF99CC"/>
      <rgbColor rgb="FFCC99FF"/>
      <rgbColor rgb="FFF0D9A8"/>
      <rgbColor rgb="FF4F81BD"/>
      <rgbColor rgb="FF33CCCC"/>
      <rgbColor rgb="FF99CC00"/>
      <rgbColor rgb="FFFFCC00"/>
      <rgbColor rgb="FFD99A2B"/>
      <rgbColor rgb="FFFF6600"/>
      <rgbColor rgb="FF6B7B80"/>
      <rgbColor rgb="FF969696"/>
      <rgbColor rgb="FF0B3B45"/>
      <rgbColor rgb="FF3E7C59"/>
      <rgbColor rgb="FF003300"/>
      <rgbColor rgb="FF333300"/>
      <rgbColor rgb="FFA8322D"/>
      <rgbColor rgb="FF993366"/>
      <rgbColor rgb="FF3E5C7A"/>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Gross public debt 2025, % of GDP</a:t>
            </a:r>
          </a:p>
        </c:rich>
      </c:tx>
      <c:overlay val="0"/>
      <c:spPr>
        <a:noFill/>
        <a:ln w="0">
          <a:noFill/>
        </a:ln>
      </c:spPr>
    </c:title>
    <c:autoTitleDeleted val="0"/>
    <c:plotArea>
      <c:barChart>
        <c:barDir val="col"/>
        <c:grouping val="clustered"/>
        <c:varyColors val="0"/>
        <c:ser>
          <c:idx val="0"/>
          <c:order val="0"/>
          <c:tx>
            <c:strRef>
              <c:f>Dashboard!I6</c:f>
              <c:strCache>
                <c:ptCount val="1"/>
                <c:pt idx="0">
                  <c:v>Public debt
2025 (%GDP)</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Dashboard!$B$7:$B$13</c:f>
              <c:strCache>
                <c:ptCount val="7"/>
                <c:pt idx="0">
                  <c:v>Panama</c:v>
                </c:pt>
                <c:pt idx="1">
                  <c:v>Costa Rica</c:v>
                </c:pt>
                <c:pt idx="2">
                  <c:v>Guatemala</c:v>
                </c:pt>
                <c:pt idx="3">
                  <c:v>Colombia</c:v>
                </c:pt>
                <c:pt idx="4">
                  <c:v>Dominican Rep.</c:v>
                </c:pt>
                <c:pt idx="5">
                  <c:v>El Salvador</c:v>
                </c:pt>
                <c:pt idx="6">
                  <c:v>Guyana</c:v>
                </c:pt>
              </c:strCache>
            </c:strRef>
          </c:cat>
          <c:val>
            <c:numRef>
              <c:f>Dashboard!$I$7:$I$13</c:f>
              <c:numCache>
                <c:formatCode>0.0\%;\(0.0"%)";\-</c:formatCode>
                <c:ptCount val="7"/>
                <c:pt idx="0">
                  <c:v>65.6</c:v>
                </c:pt>
                <c:pt idx="1">
                  <c:v>60.4</c:v>
                </c:pt>
                <c:pt idx="2">
                  <c:v>26.7</c:v>
                </c:pt>
                <c:pt idx="3">
                  <c:v>64.7</c:v>
                </c:pt>
                <c:pt idx="4">
                  <c:v>57.9</c:v>
                </c:pt>
                <c:pt idx="5">
                  <c:v>87.2</c:v>
                </c:pt>
                <c:pt idx="6">
                  <c:v>28.6</c:v>
                </c:pt>
              </c:numCache>
            </c:numRef>
          </c:val>
        </c:ser>
        <c:gapWidth val="150"/>
        <c:overlap val="0"/>
        <c:axId val="95326350"/>
        <c:axId val="97205057"/>
      </c:barChart>
      <c:catAx>
        <c:axId val="9532635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205057"/>
        <c:crosses val="autoZero"/>
        <c:auto val="1"/>
        <c:lblAlgn val="ctr"/>
        <c:lblOffset val="100"/>
        <c:noMultiLvlLbl val="0"/>
      </c:catAx>
      <c:valAx>
        <c:axId val="9720505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GDP</a:t>
                </a:r>
              </a:p>
            </c:rich>
          </c:tx>
          <c:overlay val="0"/>
          <c:spPr>
            <a:noFill/>
            <a:ln w="0">
              <a:noFill/>
            </a:ln>
          </c:spPr>
        </c:title>
        <c:numFmt formatCode="0.0\%;\(0.0&quot;%)&quot;;\-"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32635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Real GDP growth 2026f, %</a:t>
            </a:r>
          </a:p>
        </c:rich>
      </c:tx>
      <c:overlay val="0"/>
      <c:spPr>
        <a:noFill/>
        <a:ln w="0">
          <a:noFill/>
        </a:ln>
      </c:spPr>
    </c:title>
    <c:autoTitleDeleted val="0"/>
    <c:plotArea>
      <c:barChart>
        <c:barDir val="col"/>
        <c:grouping val="clustered"/>
        <c:varyColors val="0"/>
        <c:ser>
          <c:idx val="0"/>
          <c:order val="0"/>
          <c:tx>
            <c:strRef>
              <c:f>Dashboard!E6</c:f>
              <c:strCache>
                <c:ptCount val="1"/>
                <c:pt idx="0">
                  <c:v>Growth
2026f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Dashboard!$B$7:$B$13</c:f>
              <c:strCache>
                <c:ptCount val="7"/>
                <c:pt idx="0">
                  <c:v>Panama</c:v>
                </c:pt>
                <c:pt idx="1">
                  <c:v>Costa Rica</c:v>
                </c:pt>
                <c:pt idx="2">
                  <c:v>Guatemala</c:v>
                </c:pt>
                <c:pt idx="3">
                  <c:v>Colombia</c:v>
                </c:pt>
                <c:pt idx="4">
                  <c:v>Dominican Rep.</c:v>
                </c:pt>
                <c:pt idx="5">
                  <c:v>El Salvador</c:v>
                </c:pt>
                <c:pt idx="6">
                  <c:v>Guyana</c:v>
                </c:pt>
              </c:strCache>
            </c:strRef>
          </c:cat>
          <c:val>
            <c:numRef>
              <c:f>Dashboard!$E$7:$E$13</c:f>
              <c:numCache>
                <c:formatCode>0.0\%;\(0.0"%)";\-</c:formatCode>
                <c:ptCount val="7"/>
                <c:pt idx="0">
                  <c:v>3.9</c:v>
                </c:pt>
                <c:pt idx="1">
                  <c:v>3.6</c:v>
                </c:pt>
                <c:pt idx="2">
                  <c:v>3.7</c:v>
                </c:pt>
                <c:pt idx="3">
                  <c:v>2.5</c:v>
                </c:pt>
                <c:pt idx="4">
                  <c:v>3.6</c:v>
                </c:pt>
                <c:pt idx="5">
                  <c:v>4.5</c:v>
                </c:pt>
                <c:pt idx="6">
                  <c:v>16.2</c:v>
                </c:pt>
              </c:numCache>
            </c:numRef>
          </c:val>
        </c:ser>
        <c:gapWidth val="150"/>
        <c:overlap val="0"/>
        <c:axId val="66962124"/>
        <c:axId val="17331584"/>
      </c:barChart>
      <c:catAx>
        <c:axId val="6696212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331584"/>
        <c:crosses val="autoZero"/>
        <c:auto val="1"/>
        <c:lblAlgn val="ctr"/>
        <c:lblOffset val="100"/>
        <c:noMultiLvlLbl val="0"/>
      </c:catAx>
      <c:valAx>
        <c:axId val="1733158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0&quot;%)&quot;;\-"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96212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Current account 2025, % of GDP</a:t>
            </a:r>
          </a:p>
        </c:rich>
      </c:tx>
      <c:overlay val="0"/>
      <c:spPr>
        <a:noFill/>
        <a:ln w="0">
          <a:noFill/>
        </a:ln>
      </c:spPr>
    </c:title>
    <c:autoTitleDeleted val="0"/>
    <c:plotArea>
      <c:barChart>
        <c:barDir val="col"/>
        <c:grouping val="clustered"/>
        <c:varyColors val="0"/>
        <c:ser>
          <c:idx val="0"/>
          <c:order val="0"/>
          <c:tx>
            <c:strRef>
              <c:f>Dashboard!J6</c:f>
              <c:strCache>
                <c:ptCount val="1"/>
                <c:pt idx="0">
                  <c:v>C/A 2025
(%GDP)</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Dashboard!$B$7:$B$13</c:f>
              <c:strCache>
                <c:ptCount val="7"/>
                <c:pt idx="0">
                  <c:v>Panama</c:v>
                </c:pt>
                <c:pt idx="1">
                  <c:v>Costa Rica</c:v>
                </c:pt>
                <c:pt idx="2">
                  <c:v>Guatemala</c:v>
                </c:pt>
                <c:pt idx="3">
                  <c:v>Colombia</c:v>
                </c:pt>
                <c:pt idx="4">
                  <c:v>Dominican Rep.</c:v>
                </c:pt>
                <c:pt idx="5">
                  <c:v>El Salvador</c:v>
                </c:pt>
                <c:pt idx="6">
                  <c:v>Guyana</c:v>
                </c:pt>
              </c:strCache>
            </c:strRef>
          </c:cat>
          <c:val>
            <c:numRef>
              <c:f>Dashboard!$J$7:$J$13</c:f>
              <c:numCache>
                <c:formatCode>0.0\%;\(0.0"%)";\-</c:formatCode>
                <c:ptCount val="7"/>
                <c:pt idx="0">
                  <c:v>0.8</c:v>
                </c:pt>
                <c:pt idx="1">
                  <c:v>-0.7</c:v>
                </c:pt>
                <c:pt idx="2">
                  <c:v>4.7</c:v>
                </c:pt>
                <c:pt idx="3">
                  <c:v>-2.4</c:v>
                </c:pt>
                <c:pt idx="4">
                  <c:v>-1.2</c:v>
                </c:pt>
                <c:pt idx="5">
                  <c:v>-1.2</c:v>
                </c:pt>
                <c:pt idx="6">
                  <c:v>12.9</c:v>
                </c:pt>
              </c:numCache>
            </c:numRef>
          </c:val>
        </c:ser>
        <c:gapWidth val="150"/>
        <c:overlap val="0"/>
        <c:axId val="59293089"/>
        <c:axId val="29481870"/>
      </c:barChart>
      <c:catAx>
        <c:axId val="5929308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481870"/>
        <c:crosses val="autoZero"/>
        <c:auto val="1"/>
        <c:lblAlgn val="ctr"/>
        <c:lblOffset val="100"/>
        <c:noMultiLvlLbl val="0"/>
      </c:catAx>
      <c:valAx>
        <c:axId val="29481870"/>
        <c:scaling>
          <c:orientation val="minMax"/>
        </c:scaling>
        <c:delete val="0"/>
        <c:axPos val="l"/>
        <c:majorGridlines>
          <c:spPr>
            <a:ln w="9360">
              <a:solidFill>
                <a:srgbClr val="878787"/>
              </a:solidFill>
              <a:round/>
            </a:ln>
          </c:spPr>
        </c:majorGridlines>
        <c:numFmt formatCode="0.0\%;\(0.0&quot;%)&quot;;\-"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29308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Remittances 2025, % of GDP</a:t>
            </a:r>
          </a:p>
        </c:rich>
      </c:tx>
      <c:overlay val="0"/>
      <c:spPr>
        <a:noFill/>
        <a:ln w="0">
          <a:noFill/>
        </a:ln>
      </c:spPr>
    </c:title>
    <c:autoTitleDeleted val="0"/>
    <c:plotArea>
      <c:barChart>
        <c:barDir val="col"/>
        <c:grouping val="clustered"/>
        <c:varyColors val="0"/>
        <c:ser>
          <c:idx val="0"/>
          <c:order val="0"/>
          <c:tx>
            <c:strRef>
              <c:f>Dashboard!L6</c:f>
              <c:strCache>
                <c:ptCount val="1"/>
                <c:pt idx="0">
                  <c:v>Remittances
(%GDP)</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Dashboard!$B$7:$B$13</c:f>
              <c:strCache>
                <c:ptCount val="7"/>
                <c:pt idx="0">
                  <c:v>Panama</c:v>
                </c:pt>
                <c:pt idx="1">
                  <c:v>Costa Rica</c:v>
                </c:pt>
                <c:pt idx="2">
                  <c:v>Guatemala</c:v>
                </c:pt>
                <c:pt idx="3">
                  <c:v>Colombia</c:v>
                </c:pt>
                <c:pt idx="4">
                  <c:v>Dominican Rep.</c:v>
                </c:pt>
                <c:pt idx="5">
                  <c:v>El Salvador</c:v>
                </c:pt>
                <c:pt idx="6">
                  <c:v>Guyana</c:v>
                </c:pt>
              </c:strCache>
            </c:strRef>
          </c:cat>
          <c:val>
            <c:numRef>
              <c:f>Dashboard!$L$7:$L$13</c:f>
              <c:numCache>
                <c:formatCode>0.0\%;\(0.0"%)";\-</c:formatCode>
                <c:ptCount val="7"/>
                <c:pt idx="2">
                  <c:v>20.7</c:v>
                </c:pt>
                <c:pt idx="3">
                  <c:v>2.87</c:v>
                </c:pt>
                <c:pt idx="4">
                  <c:v>9.3</c:v>
                </c:pt>
                <c:pt idx="5">
                  <c:v>24</c:v>
                </c:pt>
              </c:numCache>
            </c:numRef>
          </c:val>
        </c:ser>
        <c:gapWidth val="150"/>
        <c:overlap val="0"/>
        <c:axId val="20659169"/>
        <c:axId val="51042907"/>
      </c:barChart>
      <c:catAx>
        <c:axId val="2065916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042907"/>
        <c:crosses val="autoZero"/>
        <c:auto val="1"/>
        <c:lblAlgn val="ctr"/>
        <c:lblOffset val="100"/>
        <c:noMultiLvlLbl val="0"/>
      </c:catAx>
      <c:valAx>
        <c:axId val="51042907"/>
        <c:scaling>
          <c:orientation val="minMax"/>
        </c:scaling>
        <c:delete val="0"/>
        <c:axPos val="l"/>
        <c:majorGridlines>
          <c:spPr>
            <a:ln w="9360">
              <a:solidFill>
                <a:srgbClr val="878787"/>
              </a:solidFill>
              <a:round/>
            </a:ln>
          </c:spPr>
        </c:majorGridlines>
        <c:numFmt formatCode="0.0\%;\(0.0&quot;%)&quot;;\-"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65916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Senate seats after March 2026</a:t>
            </a:r>
          </a:p>
        </c:rich>
      </c:tx>
      <c:overlay val="0"/>
      <c:spPr>
        <a:noFill/>
        <a:ln w="0">
          <a:noFill/>
        </a:ln>
      </c:spPr>
    </c:title>
    <c:autoTitleDeleted val="0"/>
    <c:plotArea>
      <c:barChart>
        <c:barDir val="bar"/>
        <c:grouping val="clustered"/>
        <c:varyColors val="0"/>
        <c:ser>
          <c:idx val="0"/>
          <c:order val="0"/>
          <c:tx>
            <c:strRef>
              <c:f>'Colombia Annex'!C35</c:f>
              <c:strCache>
                <c:ptCount val="1"/>
                <c:pt idx="0">
                  <c:v>Senate seats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'Colombia Annex'!$B$36:$B$46</c:f>
              <c:strCache>
                <c:ptCount val="11"/>
                <c:pt idx="0">
                  <c:v>Pacto Histórico</c:v>
                </c:pt>
                <c:pt idx="1">
                  <c:v>Centro Democrático</c:v>
                </c:pt>
                <c:pt idx="2">
                  <c:v>Partido Liberal</c:v>
                </c:pt>
                <c:pt idx="3">
                  <c:v>Alianza por Colombia</c:v>
                </c:pt>
                <c:pt idx="4">
                  <c:v>Partido Conservador</c:v>
                </c:pt>
                <c:pt idx="5">
                  <c:v>Partido de la U</c:v>
                </c:pt>
                <c:pt idx="6">
                  <c:v>Cambio Radical-ALMA</c:v>
                </c:pt>
                <c:pt idx="7">
                  <c:v>Ahora Colombia</c:v>
                </c:pt>
                <c:pt idx="8">
                  <c:v>Salvación Nacional</c:v>
                </c:pt>
                <c:pt idx="9">
                  <c:v>MAIS (indigenous)</c:v>
                </c:pt>
                <c:pt idx="10">
                  <c:v>AICO (indigenous)</c:v>
                </c:pt>
              </c:strCache>
            </c:strRef>
          </c:cat>
          <c:val>
            <c:numRef>
              <c:f>'Colombia Annex'!$C$36:$C$46</c:f>
              <c:numCache>
                <c:formatCode>#,##0;\(#,##0\);\-</c:formatCode>
                <c:ptCount val="11"/>
                <c:pt idx="0">
                  <c:v>25</c:v>
                </c:pt>
                <c:pt idx="1">
                  <c:v>17</c:v>
                </c:pt>
                <c:pt idx="2">
                  <c:v>13</c:v>
                </c:pt>
                <c:pt idx="3">
                  <c:v>10</c:v>
                </c:pt>
                <c:pt idx="4">
                  <c:v>10</c:v>
                </c:pt>
                <c:pt idx="5">
                  <c:v>9</c:v>
                </c:pt>
                <c:pt idx="6">
                  <c:v>7</c:v>
                </c:pt>
                <c:pt idx="7">
                  <c:v>5</c:v>
                </c:pt>
                <c:pt idx="8">
                  <c:v>4</c:v>
                </c:pt>
                <c:pt idx="9">
                  <c:v>1</c:v>
                </c:pt>
                <c:pt idx="10">
                  <c:v>1</c:v>
                </c:pt>
              </c:numCache>
            </c:numRef>
          </c:val>
        </c:ser>
        <c:gapWidth val="150"/>
        <c:overlap val="0"/>
        <c:axId val="26626694"/>
        <c:axId val="31308987"/>
      </c:barChart>
      <c:catAx>
        <c:axId val="2662669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308987"/>
        <c:crosses val="autoZero"/>
        <c:auto val="1"/>
        <c:lblAlgn val="ctr"/>
        <c:lblOffset val="100"/>
        <c:noMultiLvlLbl val="0"/>
      </c:catAx>
      <c:valAx>
        <c:axId val="31308987"/>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62669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BanRep policy rate, %</a:t>
            </a:r>
          </a:p>
        </c:rich>
      </c:tx>
      <c:overlay val="0"/>
      <c:spPr>
        <a:noFill/>
        <a:ln w="0">
          <a:noFill/>
        </a:ln>
      </c:spPr>
    </c:title>
    <c:autoTitleDeleted val="0"/>
    <c:plotArea>
      <c:barChart>
        <c:barDir val="col"/>
        <c:grouping val="clustered"/>
        <c:varyColors val="0"/>
        <c:ser>
          <c:idx val="0"/>
          <c:order val="0"/>
          <c:tx>
            <c:strRef>
              <c:f>'Colombia Annex'!D75</c:f>
              <c:strCache>
                <c:ptCount val="1"/>
                <c:pt idx="0">
                  <c:v>Rate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'Colombia Annex'!$B$76:$B$81</c:f>
              <c:strCache>
                <c:ptCount val="6"/>
                <c:pt idx="0">
                  <c:v>Apr 2025</c:v>
                </c:pt>
                <c:pt idx="1">
                  <c:v>Dec 2025</c:v>
                </c:pt>
                <c:pt idx="2">
                  <c:v>Jan 2026</c:v>
                </c:pt>
                <c:pt idx="3">
                  <c:v>Mar 2026</c:v>
                </c:pt>
                <c:pt idx="4">
                  <c:v>Jun 2026</c:v>
                </c:pt>
                <c:pt idx="5">
                  <c:v>31 Jul 2026</c:v>
                </c:pt>
              </c:strCache>
            </c:strRef>
          </c:cat>
          <c:val>
            <c:numRef>
              <c:f>'Colombia Annex'!$D$76:$D$81</c:f>
              <c:numCache>
                <c:formatCode>#,##0.00;\(#,##0.00\);\-</c:formatCode>
                <c:ptCount val="6"/>
                <c:pt idx="0">
                  <c:v>9.25</c:v>
                </c:pt>
                <c:pt idx="1">
                  <c:v>9.25</c:v>
                </c:pt>
                <c:pt idx="2">
                  <c:v>10.25</c:v>
                </c:pt>
                <c:pt idx="3">
                  <c:v>11.25</c:v>
                </c:pt>
                <c:pt idx="4">
                  <c:v>12</c:v>
                </c:pt>
                <c:pt idx="5">
                  <c:v>12</c:v>
                </c:pt>
              </c:numCache>
            </c:numRef>
          </c:val>
        </c:ser>
        <c:gapWidth val="150"/>
        <c:overlap val="0"/>
        <c:axId val="43469941"/>
        <c:axId val="24121772"/>
      </c:barChart>
      <c:catAx>
        <c:axId val="4346994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121772"/>
        <c:crosses val="autoZero"/>
        <c:auto val="1"/>
        <c:lblAlgn val="ctr"/>
        <c:lblOffset val="100"/>
        <c:noMultiLvlLbl val="0"/>
      </c:catAx>
      <c:valAx>
        <c:axId val="24121772"/>
        <c:scaling>
          <c:orientation val="minMax"/>
        </c:scaling>
        <c:delete val="0"/>
        <c:axPos val="l"/>
        <c:majorGridlines>
          <c:spPr>
            <a:ln w="9360">
              <a:solidFill>
                <a:srgbClr val="878787"/>
              </a:solidFill>
              <a:round/>
            </a:ln>
          </c:spPr>
        </c:majorGridlines>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46994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2.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19</xdr:row>
      <xdr:rowOff>0</xdr:rowOff>
    </xdr:from>
    <xdr:to>
      <xdr:col>2</xdr:col>
      <xdr:colOff>4350240</xdr:colOff>
      <xdr:row>34</xdr:row>
      <xdr:rowOff>22320</xdr:rowOff>
    </xdr:to>
    <xdr:graphicFrame>
      <xdr:nvGraphicFramePr>
        <xdr:cNvPr id="0" name="Chart 1"/>
        <xdr:cNvGraphicFramePr/>
      </xdr:nvGraphicFramePr>
      <xdr:xfrm>
        <a:off x="141120" y="402912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19</xdr:row>
      <xdr:rowOff>0</xdr:rowOff>
    </xdr:from>
    <xdr:to>
      <xdr:col>13</xdr:col>
      <xdr:colOff>261720</xdr:colOff>
      <xdr:row>34</xdr:row>
      <xdr:rowOff>22320</xdr:rowOff>
    </xdr:to>
    <xdr:graphicFrame>
      <xdr:nvGraphicFramePr>
        <xdr:cNvPr id="1" name="Chart 2"/>
        <xdr:cNvGraphicFramePr/>
      </xdr:nvGraphicFramePr>
      <xdr:xfrm>
        <a:off x="13533120" y="4029120"/>
        <a:ext cx="57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37</xdr:row>
      <xdr:rowOff>0</xdr:rowOff>
    </xdr:from>
    <xdr:to>
      <xdr:col>2</xdr:col>
      <xdr:colOff>4350240</xdr:colOff>
      <xdr:row>52</xdr:row>
      <xdr:rowOff>22320</xdr:rowOff>
    </xdr:to>
    <xdr:graphicFrame>
      <xdr:nvGraphicFramePr>
        <xdr:cNvPr id="2" name="Chart 3"/>
        <xdr:cNvGraphicFramePr/>
      </xdr:nvGraphicFramePr>
      <xdr:xfrm>
        <a:off x="141120" y="7458120"/>
        <a:ext cx="575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37</xdr:row>
      <xdr:rowOff>0</xdr:rowOff>
    </xdr:from>
    <xdr:to>
      <xdr:col>13</xdr:col>
      <xdr:colOff>261720</xdr:colOff>
      <xdr:row>52</xdr:row>
      <xdr:rowOff>22320</xdr:rowOff>
    </xdr:to>
    <xdr:graphicFrame>
      <xdr:nvGraphicFramePr>
        <xdr:cNvPr id="3" name="Chart 4"/>
        <xdr:cNvGraphicFramePr/>
      </xdr:nvGraphicFramePr>
      <xdr:xfrm>
        <a:off x="13533120" y="7458120"/>
        <a:ext cx="5759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33</xdr:row>
      <xdr:rowOff>97200</xdr:rowOff>
    </xdr:from>
    <xdr:to>
      <xdr:col>13</xdr:col>
      <xdr:colOff>147600</xdr:colOff>
      <xdr:row>50</xdr:row>
      <xdr:rowOff>98280</xdr:rowOff>
    </xdr:to>
    <xdr:graphicFrame>
      <xdr:nvGraphicFramePr>
        <xdr:cNvPr id="4" name="Chart 1"/>
        <xdr:cNvGraphicFramePr/>
      </xdr:nvGraphicFramePr>
      <xdr:xfrm>
        <a:off x="15788520" y="6648480"/>
        <a:ext cx="50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73</xdr:row>
      <xdr:rowOff>97200</xdr:rowOff>
    </xdr:from>
    <xdr:to>
      <xdr:col>14</xdr:col>
      <xdr:colOff>147600</xdr:colOff>
      <xdr:row>88</xdr:row>
      <xdr:rowOff>119160</xdr:rowOff>
    </xdr:to>
    <xdr:graphicFrame>
      <xdr:nvGraphicFramePr>
        <xdr:cNvPr id="5" name="Chart 2"/>
        <xdr:cNvGraphicFramePr/>
      </xdr:nvGraphicFramePr>
      <xdr:xfrm>
        <a:off x="16400160" y="16859160"/>
        <a:ext cx="503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B45"/>
    <pageSetUpPr fitToPage="false"/>
  </sheetPr>
  <dimension ref="B2:L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30"/>
    <col collapsed="false" customWidth="true" hidden="false" outlineLevel="0" max="4" min="4" style="0" width="74"/>
    <col collapsed="false" customWidth="true" hidden="false" outlineLevel="0" max="12" min="5" style="0" width="16"/>
  </cols>
  <sheetData>
    <row r="2" customFormat="false" ht="30" hidden="false" customHeight="true" outlineLevel="0" collapsed="false">
      <c r="B2" s="1" t="s">
        <v>0</v>
      </c>
      <c r="C2" s="2"/>
      <c r="D2" s="2"/>
      <c r="E2" s="2"/>
      <c r="F2" s="2"/>
      <c r="G2" s="2"/>
      <c r="H2" s="2"/>
      <c r="I2" s="2"/>
      <c r="J2" s="2"/>
      <c r="K2" s="2"/>
      <c r="L2" s="2"/>
    </row>
    <row r="3" customFormat="false" ht="15.75" hidden="false" customHeight="true" outlineLevel="0" collapsed="false">
      <c r="B3" s="3" t="s">
        <v>1</v>
      </c>
      <c r="C3" s="3"/>
      <c r="D3" s="3"/>
      <c r="E3" s="3"/>
      <c r="F3" s="3"/>
      <c r="G3" s="3"/>
      <c r="H3" s="3"/>
      <c r="I3" s="3"/>
      <c r="J3" s="3"/>
      <c r="K3" s="3"/>
      <c r="L3" s="3"/>
    </row>
    <row r="4" customFormat="false" ht="15" hidden="false" customHeight="false" outlineLevel="0" collapsed="false">
      <c r="B4" s="3"/>
      <c r="C4" s="3"/>
      <c r="D4" s="3"/>
      <c r="E4" s="3"/>
      <c r="F4" s="3"/>
      <c r="G4" s="3"/>
      <c r="H4" s="3"/>
      <c r="I4" s="3"/>
      <c r="J4" s="3"/>
      <c r="K4" s="3"/>
      <c r="L4" s="3"/>
    </row>
    <row r="5" customFormat="false" ht="15" hidden="false" customHeight="false" outlineLevel="0" collapsed="false">
      <c r="B5" s="3"/>
      <c r="C5" s="3"/>
      <c r="D5" s="3"/>
      <c r="E5" s="3"/>
      <c r="F5" s="3"/>
      <c r="G5" s="3"/>
      <c r="H5" s="3"/>
      <c r="I5" s="3"/>
      <c r="J5" s="3"/>
      <c r="K5" s="3"/>
      <c r="L5" s="3"/>
    </row>
    <row r="7" customFormat="false" ht="15" hidden="false" customHeight="false" outlineLevel="0" collapsed="false">
      <c r="B7" s="4" t="s">
        <v>2</v>
      </c>
    </row>
    <row r="8" customFormat="false" ht="15" hidden="false" customHeight="true" outlineLevel="0" collapsed="false">
      <c r="B8" s="5" t="s">
        <v>3</v>
      </c>
      <c r="C8" s="5"/>
      <c r="D8" s="5"/>
      <c r="E8" s="5"/>
      <c r="F8" s="5"/>
      <c r="G8" s="5"/>
      <c r="H8" s="5"/>
      <c r="I8" s="5"/>
      <c r="J8" s="5"/>
      <c r="K8" s="5"/>
      <c r="L8" s="5"/>
    </row>
    <row r="9" customFormat="false" ht="15" hidden="false" customHeight="false" outlineLevel="0" collapsed="false">
      <c r="B9" s="5"/>
      <c r="C9" s="5"/>
      <c r="D9" s="5"/>
      <c r="E9" s="5"/>
      <c r="F9" s="5"/>
      <c r="G9" s="5"/>
      <c r="H9" s="5"/>
      <c r="I9" s="5"/>
      <c r="J9" s="5"/>
      <c r="K9" s="5"/>
      <c r="L9" s="5"/>
    </row>
    <row r="11" customFormat="false" ht="15" hidden="false" customHeight="false" outlineLevel="0" collapsed="false">
      <c r="B11" s="4" t="s">
        <v>4</v>
      </c>
    </row>
    <row r="12" customFormat="false" ht="15" hidden="false" customHeight="false" outlineLevel="0" collapsed="false">
      <c r="B12" s="6" t="s">
        <v>5</v>
      </c>
      <c r="C12" s="6" t="s">
        <v>6</v>
      </c>
      <c r="D12" s="6" t="s">
        <v>7</v>
      </c>
    </row>
    <row r="13" customFormat="false" ht="25.5" hidden="false" customHeight="true" outlineLevel="0" collapsed="false">
      <c r="B13" s="7" t="s">
        <v>8</v>
      </c>
      <c r="C13" s="8" t="s">
        <v>9</v>
      </c>
      <c r="D13" s="9" t="s">
        <v>10</v>
      </c>
    </row>
    <row r="14" customFormat="false" ht="25.5" hidden="false" customHeight="true" outlineLevel="0" collapsed="false">
      <c r="B14" s="7" t="s">
        <v>11</v>
      </c>
      <c r="C14" s="8" t="s">
        <v>12</v>
      </c>
      <c r="D14" s="9" t="s">
        <v>13</v>
      </c>
    </row>
    <row r="15" customFormat="false" ht="25.5" hidden="false" customHeight="true" outlineLevel="0" collapsed="false">
      <c r="B15" s="7" t="s">
        <v>14</v>
      </c>
      <c r="C15" s="8" t="s">
        <v>15</v>
      </c>
      <c r="D15" s="9" t="s">
        <v>16</v>
      </c>
    </row>
    <row r="16" customFormat="false" ht="25.5" hidden="false" customHeight="true" outlineLevel="0" collapsed="false">
      <c r="B16" s="7" t="s">
        <v>17</v>
      </c>
      <c r="C16" s="8" t="s">
        <v>18</v>
      </c>
      <c r="D16" s="9" t="s">
        <v>19</v>
      </c>
    </row>
    <row r="17" customFormat="false" ht="25.5" hidden="false" customHeight="true" outlineLevel="0" collapsed="false">
      <c r="B17" s="7" t="s">
        <v>20</v>
      </c>
      <c r="C17" s="8" t="s">
        <v>21</v>
      </c>
      <c r="D17" s="9" t="s">
        <v>22</v>
      </c>
    </row>
    <row r="18" customFormat="false" ht="25.5" hidden="false" customHeight="true" outlineLevel="0" collapsed="false">
      <c r="B18" s="7" t="s">
        <v>23</v>
      </c>
      <c r="C18" s="8" t="s">
        <v>24</v>
      </c>
      <c r="D18" s="9" t="s">
        <v>25</v>
      </c>
    </row>
    <row r="20" customFormat="false" ht="15" hidden="false" customHeight="false" outlineLevel="0" collapsed="false">
      <c r="B20" s="4" t="s">
        <v>26</v>
      </c>
    </row>
    <row r="21" customFormat="false" ht="15" hidden="false" customHeight="true" outlineLevel="0" collapsed="false">
      <c r="B21" s="10" t="s">
        <v>27</v>
      </c>
      <c r="C21" s="5" t="s">
        <v>28</v>
      </c>
      <c r="D21" s="5"/>
      <c r="E21" s="5"/>
      <c r="F21" s="5"/>
      <c r="G21" s="5"/>
      <c r="H21" s="5"/>
      <c r="I21" s="5"/>
      <c r="J21" s="5"/>
      <c r="K21" s="5"/>
      <c r="L21" s="5"/>
    </row>
    <row r="22" customFormat="false" ht="15" hidden="false" customHeight="true" outlineLevel="0" collapsed="false">
      <c r="B22" s="11" t="s">
        <v>29</v>
      </c>
      <c r="C22" s="5" t="s">
        <v>30</v>
      </c>
      <c r="D22" s="5"/>
      <c r="E22" s="5"/>
      <c r="F22" s="5"/>
      <c r="G22" s="5"/>
      <c r="H22" s="5"/>
      <c r="I22" s="5"/>
      <c r="J22" s="5"/>
      <c r="K22" s="5"/>
      <c r="L22" s="5"/>
    </row>
    <row r="23" customFormat="false" ht="15" hidden="false" customHeight="true" outlineLevel="0" collapsed="false">
      <c r="B23" s="12" t="s">
        <v>31</v>
      </c>
      <c r="C23" s="5" t="s">
        <v>32</v>
      </c>
      <c r="D23" s="5"/>
      <c r="E23" s="5"/>
      <c r="F23" s="5"/>
      <c r="G23" s="5"/>
      <c r="H23" s="5"/>
      <c r="I23" s="5"/>
      <c r="J23" s="5"/>
      <c r="K23" s="5"/>
      <c r="L23" s="5"/>
    </row>
    <row r="24" customFormat="false" ht="15" hidden="false" customHeight="true" outlineLevel="0" collapsed="false">
      <c r="B24" s="13" t="s">
        <v>33</v>
      </c>
      <c r="C24" s="5" t="s">
        <v>34</v>
      </c>
      <c r="D24" s="5"/>
      <c r="E24" s="5"/>
      <c r="F24" s="5"/>
      <c r="G24" s="5"/>
      <c r="H24" s="5"/>
      <c r="I24" s="5"/>
      <c r="J24" s="5"/>
      <c r="K24" s="5"/>
      <c r="L24" s="5"/>
    </row>
    <row r="27" customFormat="false" ht="15" hidden="false" customHeight="false" outlineLevel="0" collapsed="false">
      <c r="B27" s="4" t="s">
        <v>35</v>
      </c>
    </row>
    <row r="28" customFormat="false" ht="15" hidden="false" customHeight="true" outlineLevel="0" collapsed="false">
      <c r="B28" s="3" t="s">
        <v>36</v>
      </c>
      <c r="C28" s="3"/>
      <c r="D28" s="3"/>
      <c r="E28" s="3"/>
      <c r="F28" s="3"/>
      <c r="G28" s="3"/>
      <c r="H28" s="3"/>
      <c r="I28" s="3"/>
      <c r="J28" s="3"/>
      <c r="K28" s="3"/>
      <c r="L28" s="3"/>
    </row>
    <row r="29" customFormat="false" ht="12.75" hidden="false" customHeight="true" outlineLevel="0" collapsed="false">
      <c r="B29" s="5" t="s">
        <v>37</v>
      </c>
      <c r="C29" s="5"/>
      <c r="D29" s="5"/>
      <c r="E29" s="5"/>
      <c r="F29" s="5"/>
      <c r="G29" s="5"/>
      <c r="H29" s="5"/>
      <c r="I29" s="5"/>
      <c r="J29" s="5"/>
      <c r="K29" s="5"/>
      <c r="L29" s="5"/>
    </row>
    <row r="30" customFormat="false" ht="15" hidden="false" customHeight="false" outlineLevel="0" collapsed="false">
      <c r="B30" s="5"/>
      <c r="C30" s="5"/>
      <c r="D30" s="5"/>
      <c r="E30" s="5"/>
      <c r="F30" s="5"/>
      <c r="G30" s="5"/>
      <c r="H30" s="5"/>
      <c r="I30" s="5"/>
      <c r="J30" s="5"/>
      <c r="K30" s="5"/>
      <c r="L30" s="5"/>
    </row>
    <row r="32" customFormat="false" ht="15" hidden="false" customHeight="true" outlineLevel="0" collapsed="false">
      <c r="B32" s="3" t="s">
        <v>38</v>
      </c>
      <c r="C32" s="3"/>
      <c r="D32" s="3"/>
      <c r="E32" s="3"/>
      <c r="F32" s="3"/>
      <c r="G32" s="3"/>
      <c r="H32" s="3"/>
      <c r="I32" s="3"/>
      <c r="J32" s="3"/>
      <c r="K32" s="3"/>
      <c r="L32" s="3"/>
    </row>
    <row r="33" customFormat="false" ht="12.75" hidden="false" customHeight="true" outlineLevel="0" collapsed="false">
      <c r="B33" s="5" t="s">
        <v>39</v>
      </c>
      <c r="C33" s="5"/>
      <c r="D33" s="5"/>
      <c r="E33" s="5"/>
      <c r="F33" s="5"/>
      <c r="G33" s="5"/>
      <c r="H33" s="5"/>
      <c r="I33" s="5"/>
      <c r="J33" s="5"/>
      <c r="K33" s="5"/>
      <c r="L33" s="5"/>
    </row>
    <row r="34" customFormat="false" ht="15" hidden="false" customHeight="false" outlineLevel="0" collapsed="false">
      <c r="B34" s="5"/>
      <c r="C34" s="5"/>
      <c r="D34" s="5"/>
      <c r="E34" s="5"/>
      <c r="F34" s="5"/>
      <c r="G34" s="5"/>
      <c r="H34" s="5"/>
      <c r="I34" s="5"/>
      <c r="J34" s="5"/>
      <c r="K34" s="5"/>
      <c r="L34" s="5"/>
    </row>
    <row r="36" customFormat="false" ht="15" hidden="false" customHeight="true" outlineLevel="0" collapsed="false">
      <c r="B36" s="3" t="s">
        <v>40</v>
      </c>
      <c r="C36" s="3"/>
      <c r="D36" s="3"/>
      <c r="E36" s="3"/>
      <c r="F36" s="3"/>
      <c r="G36" s="3"/>
      <c r="H36" s="3"/>
      <c r="I36" s="3"/>
      <c r="J36" s="3"/>
      <c r="K36" s="3"/>
      <c r="L36" s="3"/>
    </row>
    <row r="37" customFormat="false" ht="12.75" hidden="false" customHeight="true" outlineLevel="0" collapsed="false">
      <c r="B37" s="5" t="s">
        <v>41</v>
      </c>
      <c r="C37" s="5"/>
      <c r="D37" s="5"/>
      <c r="E37" s="5"/>
      <c r="F37" s="5"/>
      <c r="G37" s="5"/>
      <c r="H37" s="5"/>
      <c r="I37" s="5"/>
      <c r="J37" s="5"/>
      <c r="K37" s="5"/>
      <c r="L37" s="5"/>
    </row>
    <row r="38" customFormat="false" ht="15" hidden="false" customHeight="false" outlineLevel="0" collapsed="false">
      <c r="B38" s="5"/>
      <c r="C38" s="5"/>
      <c r="D38" s="5"/>
      <c r="E38" s="5"/>
      <c r="F38" s="5"/>
      <c r="G38" s="5"/>
      <c r="H38" s="5"/>
      <c r="I38" s="5"/>
      <c r="J38" s="5"/>
      <c r="K38" s="5"/>
      <c r="L38" s="5"/>
    </row>
    <row r="40" customFormat="false" ht="15" hidden="false" customHeight="true" outlineLevel="0" collapsed="false">
      <c r="B40" s="3" t="s">
        <v>42</v>
      </c>
      <c r="C40" s="3"/>
      <c r="D40" s="3"/>
      <c r="E40" s="3"/>
      <c r="F40" s="3"/>
      <c r="G40" s="3"/>
      <c r="H40" s="3"/>
      <c r="I40" s="3"/>
      <c r="J40" s="3"/>
      <c r="K40" s="3"/>
      <c r="L40" s="3"/>
    </row>
    <row r="41" customFormat="false" ht="12.75" hidden="false" customHeight="true" outlineLevel="0" collapsed="false">
      <c r="B41" s="5" t="s">
        <v>43</v>
      </c>
      <c r="C41" s="5"/>
      <c r="D41" s="5"/>
      <c r="E41" s="5"/>
      <c r="F41" s="5"/>
      <c r="G41" s="5"/>
      <c r="H41" s="5"/>
      <c r="I41" s="5"/>
      <c r="J41" s="5"/>
      <c r="K41" s="5"/>
      <c r="L41" s="5"/>
    </row>
    <row r="42" customFormat="false" ht="15" hidden="false" customHeight="false" outlineLevel="0" collapsed="false">
      <c r="B42" s="5"/>
      <c r="C42" s="5"/>
      <c r="D42" s="5"/>
      <c r="E42" s="5"/>
      <c r="F42" s="5"/>
      <c r="G42" s="5"/>
      <c r="H42" s="5"/>
      <c r="I42" s="5"/>
      <c r="J42" s="5"/>
      <c r="K42" s="5"/>
      <c r="L42" s="5"/>
    </row>
    <row r="44" customFormat="false" ht="15" hidden="false" customHeight="false" outlineLevel="0" collapsed="false">
      <c r="B44" s="4" t="s">
        <v>44</v>
      </c>
    </row>
    <row r="45" customFormat="false" ht="15" hidden="false" customHeight="true" outlineLevel="0" collapsed="false">
      <c r="B45" s="5" t="s">
        <v>45</v>
      </c>
      <c r="C45" s="5"/>
      <c r="D45" s="5"/>
      <c r="E45" s="5"/>
      <c r="F45" s="5"/>
      <c r="G45" s="5"/>
      <c r="H45" s="5"/>
      <c r="I45" s="5"/>
      <c r="J45" s="5"/>
      <c r="K45" s="5"/>
      <c r="L45" s="5"/>
    </row>
    <row r="46" customFormat="false" ht="15" hidden="false" customHeight="false" outlineLevel="0" collapsed="false">
      <c r="B46" s="5"/>
      <c r="C46" s="5"/>
      <c r="D46" s="5"/>
      <c r="E46" s="5"/>
      <c r="F46" s="5"/>
      <c r="G46" s="5"/>
      <c r="H46" s="5"/>
      <c r="I46" s="5"/>
      <c r="J46" s="5"/>
      <c r="K46" s="5"/>
      <c r="L46" s="5"/>
    </row>
    <row r="47" customFormat="false" ht="15" hidden="false" customHeight="false" outlineLevel="0" collapsed="false">
      <c r="B47" s="5"/>
      <c r="C47" s="5"/>
      <c r="D47" s="5"/>
      <c r="E47" s="5"/>
      <c r="F47" s="5"/>
      <c r="G47" s="5"/>
      <c r="H47" s="5"/>
      <c r="I47" s="5"/>
      <c r="J47" s="5"/>
      <c r="K47" s="5"/>
      <c r="L47" s="5"/>
    </row>
    <row r="49" customFormat="false" ht="15" hidden="false" customHeight="false" outlineLevel="0" collapsed="false">
      <c r="B49" s="14" t="s">
        <v>46</v>
      </c>
    </row>
  </sheetData>
  <mergeCells count="15">
    <mergeCell ref="B3:L5"/>
    <mergeCell ref="B8:L9"/>
    <mergeCell ref="C21:L21"/>
    <mergeCell ref="C22:L22"/>
    <mergeCell ref="C23:L23"/>
    <mergeCell ref="C24:L24"/>
    <mergeCell ref="B28:L28"/>
    <mergeCell ref="B29:L30"/>
    <mergeCell ref="B32:L32"/>
    <mergeCell ref="B33:L34"/>
    <mergeCell ref="B36:L36"/>
    <mergeCell ref="B37:L38"/>
    <mergeCell ref="B40:L40"/>
    <mergeCell ref="B41:L42"/>
    <mergeCell ref="B45:L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B45"/>
    <pageSetUpPr fitToPage="false"/>
  </sheetPr>
  <dimension ref="B2:M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3" min="3" style="0" width="118"/>
    <col collapsed="false" customWidth="true" hidden="false" outlineLevel="0" max="13" min="4" style="0" width="13"/>
  </cols>
  <sheetData>
    <row r="2" customFormat="false" ht="30" hidden="false" customHeight="true" outlineLevel="0" collapsed="false">
      <c r="B2" s="1" t="s">
        <v>47</v>
      </c>
      <c r="C2" s="2"/>
      <c r="D2" s="2"/>
      <c r="E2" s="2"/>
      <c r="F2" s="2"/>
      <c r="G2" s="2"/>
      <c r="H2" s="2"/>
      <c r="I2" s="2"/>
      <c r="J2" s="2"/>
      <c r="K2" s="2"/>
      <c r="L2" s="2"/>
    </row>
    <row r="3" customFormat="false" ht="13.5" hidden="false" customHeight="true" outlineLevel="0" collapsed="false">
      <c r="B3" s="14" t="s">
        <v>48</v>
      </c>
    </row>
    <row r="5" customFormat="false" ht="15" hidden="false" customHeight="false" outlineLevel="0" collapsed="false">
      <c r="B5" s="4" t="s">
        <v>49</v>
      </c>
    </row>
    <row r="6" customFormat="false" ht="33.75" hidden="false" customHeight="true" outlineLevel="0" collapsed="false">
      <c r="B6" s="6" t="s">
        <v>50</v>
      </c>
      <c r="C6" s="6" t="s">
        <v>51</v>
      </c>
      <c r="D6" s="6" t="s">
        <v>52</v>
      </c>
      <c r="E6" s="6" t="s">
        <v>53</v>
      </c>
      <c r="F6" s="6" t="s">
        <v>54</v>
      </c>
      <c r="G6" s="6" t="s">
        <v>55</v>
      </c>
      <c r="H6" s="6" t="s">
        <v>56</v>
      </c>
      <c r="I6" s="6" t="s">
        <v>57</v>
      </c>
      <c r="J6" s="6" t="s">
        <v>58</v>
      </c>
      <c r="K6" s="6" t="s">
        <v>59</v>
      </c>
      <c r="L6" s="6" t="s">
        <v>60</v>
      </c>
      <c r="M6" s="6" t="s">
        <v>61</v>
      </c>
    </row>
    <row r="7" customFormat="false" ht="15" hidden="false" customHeight="false" outlineLevel="0" collapsed="false">
      <c r="B7" s="12" t="s">
        <v>62</v>
      </c>
      <c r="C7" s="15" t="str">
        <f aca="false">'Macro Data'!C7</f>
        <v>NF</v>
      </c>
      <c r="D7" s="15" t="n">
        <f aca="false">'Macro Data'!C9</f>
        <v>19630</v>
      </c>
      <c r="E7" s="16" t="n">
        <f aca="false">'Macro Data'!C14</f>
        <v>3.9</v>
      </c>
      <c r="F7" s="17" t="str">
        <f aca="false">IF(ISNUMBER('Macro Data'!C49),'Macro Data'!C49,"n/a")</f>
        <v>n/a</v>
      </c>
      <c r="G7" s="18" t="str">
        <f aca="false">'Macro Data'!C19</f>
        <v>n/a</v>
      </c>
      <c r="H7" s="16" t="n">
        <f aca="false">'Macro Data'!C23</f>
        <v>-3.7</v>
      </c>
      <c r="I7" s="16" t="n">
        <f aca="false">'Macro Data'!C25</f>
        <v>65.6</v>
      </c>
      <c r="J7" s="16" t="n">
        <f aca="false">'Macro Data'!C28</f>
        <v>0.8</v>
      </c>
      <c r="K7" s="16" t="n">
        <f aca="false">'Macro Data'!C32</f>
        <v>2.4</v>
      </c>
      <c r="L7" s="16" t="str">
        <f aca="false">'Macro Data'!C34</f>
        <v>NF</v>
      </c>
      <c r="M7" s="18" t="n">
        <f aca="false">IFERROR(INDEX(Ratings!$I$6:$I$12,MATCH($B7,Ratings!$B$6:$B$12,0)),"n/a")</f>
        <v>11.6666666666667</v>
      </c>
    </row>
    <row r="8" customFormat="false" ht="15" hidden="false" customHeight="false" outlineLevel="0" collapsed="false">
      <c r="B8" s="12" t="s">
        <v>63</v>
      </c>
      <c r="C8" s="15" t="n">
        <f aca="false">'Macro Data'!D7</f>
        <v>102.9</v>
      </c>
      <c r="D8" s="15" t="n">
        <f aca="false">'Macro Data'!D9</f>
        <v>19162</v>
      </c>
      <c r="E8" s="16" t="n">
        <f aca="false">'Macro Data'!D14</f>
        <v>3.6</v>
      </c>
      <c r="F8" s="17" t="n">
        <f aca="false">IF(ISNUMBER('Macro Data'!D49),'Macro Data'!D49,"n/a")</f>
        <v>3</v>
      </c>
      <c r="G8" s="18" t="n">
        <f aca="false">'Macro Data'!D19</f>
        <v>3.28</v>
      </c>
      <c r="H8" s="16" t="n">
        <f aca="false">'Macro Data'!D23</f>
        <v>-3.4</v>
      </c>
      <c r="I8" s="16" t="n">
        <f aca="false">'Macro Data'!D25</f>
        <v>60.4</v>
      </c>
      <c r="J8" s="16" t="n">
        <f aca="false">'Macro Data'!D28</f>
        <v>-0.7</v>
      </c>
      <c r="K8" s="16" t="n">
        <f aca="false">'Macro Data'!D32</f>
        <v>5</v>
      </c>
      <c r="L8" s="16" t="str">
        <f aca="false">'Macro Data'!D34</f>
        <v>NF</v>
      </c>
      <c r="M8" s="18" t="n">
        <f aca="false">IFERROR(INDEX(Ratings!$I$6:$I$12,MATCH($B8,Ratings!$B$6:$B$12,0)),"n/a")</f>
        <v>9.66666666666667</v>
      </c>
    </row>
    <row r="9" customFormat="false" ht="15" hidden="false" customHeight="false" outlineLevel="0" collapsed="false">
      <c r="B9" s="12" t="s">
        <v>64</v>
      </c>
      <c r="C9" s="15" t="n">
        <f aca="false">'Macro Data'!E7</f>
        <v>121.1</v>
      </c>
      <c r="D9" s="15" t="n">
        <f aca="false">'Macro Data'!E9</f>
        <v>6489</v>
      </c>
      <c r="E9" s="16" t="n">
        <f aca="false">'Macro Data'!E14</f>
        <v>3.7</v>
      </c>
      <c r="F9" s="17" t="n">
        <f aca="false">IF(ISNUMBER('Macro Data'!E49),'Macro Data'!E49,"n/a")</f>
        <v>3.5</v>
      </c>
      <c r="G9" s="18" t="n">
        <f aca="false">'Macro Data'!E19</f>
        <v>0.64</v>
      </c>
      <c r="H9" s="16" t="n">
        <f aca="false">'Macro Data'!E23</f>
        <v>-1.9</v>
      </c>
      <c r="I9" s="16" t="n">
        <f aca="false">'Macro Data'!E25</f>
        <v>26.7</v>
      </c>
      <c r="J9" s="16" t="n">
        <f aca="false">'Macro Data'!E28</f>
        <v>4.7</v>
      </c>
      <c r="K9" s="16" t="n">
        <f aca="false">'Macro Data'!E32</f>
        <v>1.6</v>
      </c>
      <c r="L9" s="16" t="n">
        <f aca="false">'Macro Data'!E34</f>
        <v>20.7</v>
      </c>
      <c r="M9" s="18" t="n">
        <f aca="false">IFERROR(INDEX(Ratings!$I$6:$I$12,MATCH($B9,Ratings!$B$6:$B$12,0)),"n/a")</f>
        <v>10.6666666666667</v>
      </c>
    </row>
    <row r="10" customFormat="false" ht="15" hidden="false" customHeight="false" outlineLevel="0" collapsed="false">
      <c r="B10" s="12" t="s">
        <v>65</v>
      </c>
      <c r="C10" s="15" t="n">
        <f aca="false">'Macro Data'!F7</f>
        <v>457.4</v>
      </c>
      <c r="D10" s="15" t="n">
        <f aca="false">'Macro Data'!F9</f>
        <v>8623</v>
      </c>
      <c r="E10" s="16" t="n">
        <f aca="false">'Macro Data'!F14</f>
        <v>2.5</v>
      </c>
      <c r="F10" s="17" t="n">
        <f aca="false">IF(ISNUMBER('Macro Data'!F49),'Macro Data'!F49,"n/a")</f>
        <v>12</v>
      </c>
      <c r="G10" s="18" t="n">
        <f aca="false">'Macro Data'!F19</f>
        <v>5.97</v>
      </c>
      <c r="H10" s="16" t="n">
        <f aca="false">'Macro Data'!F23</f>
        <v>-6.4</v>
      </c>
      <c r="I10" s="16" t="n">
        <f aca="false">'Macro Data'!F25</f>
        <v>64.7</v>
      </c>
      <c r="J10" s="16" t="n">
        <f aca="false">'Macro Data'!F28</f>
        <v>-2.4</v>
      </c>
      <c r="K10" s="16" t="n">
        <f aca="false">'Macro Data'!F32</f>
        <v>3.3</v>
      </c>
      <c r="L10" s="16" t="n">
        <f aca="false">'Macro Data'!F34</f>
        <v>2.87</v>
      </c>
      <c r="M10" s="18" t="n">
        <f aca="false">IFERROR(INDEX(Ratings!$I$6:$I$12,MATCH($B10,Ratings!$B$6:$B$12,0)),"n/a")</f>
        <v>10.3333333333333</v>
      </c>
    </row>
    <row r="11" customFormat="false" ht="15" hidden="false" customHeight="false" outlineLevel="0" collapsed="false">
      <c r="B11" s="12" t="s">
        <v>66</v>
      </c>
      <c r="C11" s="15" t="n">
        <f aca="false">'Macro Data'!G7</f>
        <v>127.9</v>
      </c>
      <c r="D11" s="15" t="n">
        <f aca="false">'Macro Data'!G9</f>
        <v>11749</v>
      </c>
      <c r="E11" s="16" t="n">
        <f aca="false">'Macro Data'!G14</f>
        <v>3.6</v>
      </c>
      <c r="F11" s="17" t="n">
        <f aca="false">IF(ISNUMBER('Macro Data'!G49),'Macro Data'!G49,"n/a")</f>
        <v>5.25</v>
      </c>
      <c r="G11" s="18" t="n">
        <f aca="false">'Macro Data'!G19</f>
        <v>-0.22</v>
      </c>
      <c r="H11" s="16" t="n">
        <f aca="false">'Macro Data'!G23</f>
        <v>-3.6</v>
      </c>
      <c r="I11" s="16" t="n">
        <f aca="false">'Macro Data'!G25</f>
        <v>57.9</v>
      </c>
      <c r="J11" s="16" t="n">
        <f aca="false">'Macro Data'!G28</f>
        <v>-1.2</v>
      </c>
      <c r="K11" s="16" t="n">
        <f aca="false">'Macro Data'!G32</f>
        <v>3.9</v>
      </c>
      <c r="L11" s="16" t="n">
        <f aca="false">'Macro Data'!G34</f>
        <v>9.3</v>
      </c>
      <c r="M11" s="18" t="n">
        <f aca="false">IFERROR(INDEX(Ratings!$I$6:$I$12,MATCH($B11,Ratings!$B$6:$B$12,0)),"n/a")</f>
        <v>9.66666666666667</v>
      </c>
    </row>
    <row r="12" customFormat="false" ht="15" hidden="false" customHeight="false" outlineLevel="0" collapsed="false">
      <c r="B12" s="12" t="s">
        <v>67</v>
      </c>
      <c r="C12" s="15" t="n">
        <f aca="false">'Macro Data'!H7</f>
        <v>37.3</v>
      </c>
      <c r="D12" s="15" t="n">
        <f aca="false">'Macro Data'!H9</f>
        <v>5839</v>
      </c>
      <c r="E12" s="16" t="n">
        <f aca="false">'Macro Data'!H14</f>
        <v>4.5</v>
      </c>
      <c r="F12" s="17" t="str">
        <f aca="false">IF(ISNUMBER('Macro Data'!H49),'Macro Data'!H49,"n/a")</f>
        <v>n/a</v>
      </c>
      <c r="G12" s="18" t="str">
        <f aca="false">'Macro Data'!H19</f>
        <v>n/a</v>
      </c>
      <c r="H12" s="16" t="n">
        <f aca="false">'Macro Data'!H23</f>
        <v>-2.8</v>
      </c>
      <c r="I12" s="16" t="n">
        <f aca="false">'Macro Data'!H25</f>
        <v>87.2</v>
      </c>
      <c r="J12" s="16" t="n">
        <f aca="false">'Macro Data'!H28</f>
        <v>-1.2</v>
      </c>
      <c r="K12" s="16" t="n">
        <f aca="false">'Macro Data'!H32</f>
        <v>3</v>
      </c>
      <c r="L12" s="16" t="n">
        <f aca="false">'Macro Data'!H34</f>
        <v>24</v>
      </c>
      <c r="M12" s="18" t="n">
        <f aca="false">IFERROR(INDEX(Ratings!$I$6:$I$12,MATCH($B12,Ratings!$B$6:$B$12,0)),"n/a")</f>
        <v>6</v>
      </c>
    </row>
    <row r="13" customFormat="false" ht="15" hidden="false" customHeight="false" outlineLevel="0" collapsed="false">
      <c r="B13" s="12" t="s">
        <v>68</v>
      </c>
      <c r="C13" s="15" t="n">
        <f aca="false">'Macro Data'!I7</f>
        <v>27.1</v>
      </c>
      <c r="D13" s="15" t="n">
        <f aca="false">'Macro Data'!I9</f>
        <v>26994</v>
      </c>
      <c r="E13" s="16" t="n">
        <f aca="false">'Macro Data'!I14</f>
        <v>16.2</v>
      </c>
      <c r="F13" s="17" t="str">
        <f aca="false">IF(ISNUMBER('Macro Data'!I49),'Macro Data'!I49,"n/a")</f>
        <v>n/a</v>
      </c>
      <c r="G13" s="18" t="str">
        <f aca="false">'Macro Data'!I19</f>
        <v>n/a</v>
      </c>
      <c r="H13" s="16" t="n">
        <f aca="false">'Macro Data'!I23</f>
        <v>-5.4</v>
      </c>
      <c r="I13" s="16" t="n">
        <f aca="false">'Macro Data'!I25</f>
        <v>28.6</v>
      </c>
      <c r="J13" s="16" t="n">
        <f aca="false">'Macro Data'!I28</f>
        <v>12.9</v>
      </c>
      <c r="K13" s="16" t="n">
        <f aca="false">'Macro Data'!I32</f>
        <v>35</v>
      </c>
      <c r="L13" s="16" t="str">
        <f aca="false">'Macro Data'!I34</f>
        <v>NF</v>
      </c>
      <c r="M13" s="18" t="str">
        <f aca="false">IFERROR(INDEX(Ratings!$I$6:$I$12,MATCH($B13,Ratings!$B$6:$B$12,0)),"n/a")</f>
        <v>n/a</v>
      </c>
    </row>
    <row r="15" customFormat="false" ht="15" hidden="false" customHeight="true" outlineLevel="0" collapsed="false">
      <c r="B15" s="19" t="s">
        <v>69</v>
      </c>
      <c r="C15" s="19"/>
      <c r="D15" s="19"/>
      <c r="E15" s="19"/>
      <c r="F15" s="19"/>
      <c r="G15" s="19"/>
      <c r="H15" s="19"/>
      <c r="I15" s="19"/>
      <c r="J15" s="19"/>
      <c r="K15" s="19"/>
      <c r="L15" s="19"/>
      <c r="M15" s="19"/>
    </row>
    <row r="16" customFormat="false" ht="15" hidden="false" customHeight="false" outlineLevel="0" collapsed="false">
      <c r="B16" s="19"/>
      <c r="C16" s="19"/>
      <c r="D16" s="19"/>
      <c r="E16" s="19"/>
      <c r="F16" s="19"/>
      <c r="G16" s="19"/>
      <c r="H16" s="19"/>
      <c r="I16" s="19"/>
      <c r="J16" s="19"/>
      <c r="K16" s="19"/>
      <c r="L16" s="19"/>
      <c r="M16" s="19"/>
    </row>
    <row r="17" customFormat="false" ht="15" hidden="false" customHeight="false" outlineLevel="0" collapsed="false">
      <c r="B17" s="19"/>
      <c r="C17" s="19"/>
      <c r="D17" s="19"/>
      <c r="E17" s="19"/>
      <c r="F17" s="19"/>
      <c r="G17" s="19"/>
      <c r="H17" s="19"/>
      <c r="I17" s="19"/>
      <c r="J17" s="19"/>
      <c r="K17" s="19"/>
      <c r="L17" s="19"/>
      <c r="M17" s="19"/>
    </row>
    <row r="19" customFormat="false" ht="15" hidden="false" customHeight="false" outlineLevel="0" collapsed="false">
      <c r="B19" s="4" t="s">
        <v>70</v>
      </c>
    </row>
    <row r="37" customFormat="false" ht="15" hidden="false" customHeight="false" outlineLevel="0" collapsed="false">
      <c r="B37" s="4" t="s">
        <v>71</v>
      </c>
    </row>
    <row r="55" customFormat="false" ht="15" hidden="false" customHeight="false" outlineLevel="0" collapsed="false">
      <c r="B55" s="4" t="s">
        <v>72</v>
      </c>
    </row>
    <row r="56" customFormat="false" ht="15" hidden="false" customHeight="true" outlineLevel="0" collapsed="false">
      <c r="B56" s="6" t="s">
        <v>50</v>
      </c>
      <c r="C56" s="6" t="s">
        <v>73</v>
      </c>
      <c r="D56" s="6"/>
      <c r="E56" s="6"/>
      <c r="F56" s="6"/>
      <c r="G56" s="6"/>
      <c r="H56" s="6"/>
      <c r="I56" s="6"/>
      <c r="J56" s="6"/>
      <c r="K56" s="6"/>
      <c r="L56" s="6"/>
    </row>
    <row r="57" customFormat="false" ht="30" hidden="false" customHeight="true" outlineLevel="0" collapsed="false">
      <c r="B57" s="20" t="s">
        <v>64</v>
      </c>
      <c r="C57" s="5" t="s">
        <v>74</v>
      </c>
      <c r="D57" s="5"/>
      <c r="E57" s="5"/>
      <c r="F57" s="5"/>
      <c r="G57" s="5"/>
      <c r="H57" s="5"/>
      <c r="I57" s="5"/>
      <c r="J57" s="5"/>
      <c r="K57" s="5"/>
      <c r="L57" s="5"/>
    </row>
    <row r="58" customFormat="false" ht="30" hidden="false" customHeight="true" outlineLevel="0" collapsed="false">
      <c r="B58" s="21" t="s">
        <v>63</v>
      </c>
      <c r="C58" s="5" t="s">
        <v>75</v>
      </c>
      <c r="D58" s="5"/>
      <c r="E58" s="5"/>
      <c r="F58" s="5"/>
      <c r="G58" s="5"/>
      <c r="H58" s="5"/>
      <c r="I58" s="5"/>
      <c r="J58" s="5"/>
      <c r="K58" s="5"/>
      <c r="L58" s="5"/>
    </row>
    <row r="59" customFormat="false" ht="30" hidden="false" customHeight="true" outlineLevel="0" collapsed="false">
      <c r="B59" s="22" t="s">
        <v>66</v>
      </c>
      <c r="C59" s="5" t="s">
        <v>76</v>
      </c>
      <c r="D59" s="5"/>
      <c r="E59" s="5"/>
      <c r="F59" s="5"/>
      <c r="G59" s="5"/>
      <c r="H59" s="5"/>
      <c r="I59" s="5"/>
      <c r="J59" s="5"/>
      <c r="K59" s="5"/>
      <c r="L59" s="5"/>
    </row>
    <row r="60" customFormat="false" ht="30" hidden="false" customHeight="true" outlineLevel="0" collapsed="false">
      <c r="B60" s="23" t="s">
        <v>62</v>
      </c>
      <c r="C60" s="5" t="s">
        <v>77</v>
      </c>
      <c r="D60" s="5"/>
      <c r="E60" s="5"/>
      <c r="F60" s="5"/>
      <c r="G60" s="5"/>
      <c r="H60" s="5"/>
      <c r="I60" s="5"/>
      <c r="J60" s="5"/>
      <c r="K60" s="5"/>
      <c r="L60" s="5"/>
    </row>
    <row r="61" customFormat="false" ht="30" hidden="false" customHeight="true" outlineLevel="0" collapsed="false">
      <c r="B61" s="24" t="s">
        <v>65</v>
      </c>
      <c r="C61" s="5" t="s">
        <v>78</v>
      </c>
      <c r="D61" s="5"/>
      <c r="E61" s="5"/>
      <c r="F61" s="5"/>
      <c r="G61" s="5"/>
      <c r="H61" s="5"/>
      <c r="I61" s="5"/>
      <c r="J61" s="5"/>
      <c r="K61" s="5"/>
      <c r="L61" s="5"/>
    </row>
    <row r="62" customFormat="false" ht="30" hidden="false" customHeight="true" outlineLevel="0" collapsed="false">
      <c r="B62" s="25" t="s">
        <v>67</v>
      </c>
      <c r="C62" s="5" t="s">
        <v>79</v>
      </c>
      <c r="D62" s="5"/>
      <c r="E62" s="5"/>
      <c r="F62" s="5"/>
      <c r="G62" s="5"/>
      <c r="H62" s="5"/>
      <c r="I62" s="5"/>
      <c r="J62" s="5"/>
      <c r="K62" s="5"/>
      <c r="L62" s="5"/>
    </row>
    <row r="63" customFormat="false" ht="30" hidden="false" customHeight="true" outlineLevel="0" collapsed="false">
      <c r="B63" s="26" t="s">
        <v>68</v>
      </c>
      <c r="C63" s="5" t="s">
        <v>80</v>
      </c>
      <c r="D63" s="5"/>
      <c r="E63" s="5"/>
      <c r="F63" s="5"/>
      <c r="G63" s="5"/>
      <c r="H63" s="5"/>
      <c r="I63" s="5"/>
      <c r="J63" s="5"/>
      <c r="K63" s="5"/>
      <c r="L63" s="5"/>
    </row>
  </sheetData>
  <mergeCells count="9">
    <mergeCell ref="B15:M17"/>
    <mergeCell ref="C56:L56"/>
    <mergeCell ref="C57:L57"/>
    <mergeCell ref="C58:L58"/>
    <mergeCell ref="C59:L59"/>
    <mergeCell ref="C60:L60"/>
    <mergeCell ref="C61:L61"/>
    <mergeCell ref="C62:L62"/>
    <mergeCell ref="C63:L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B45"/>
    <pageSetUpPr fitToPage="false"/>
  </sheetPr>
  <dimension ref="B2:J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9" min="3" style="0" width="17"/>
  </cols>
  <sheetData>
    <row r="2" customFormat="false" ht="30" hidden="false" customHeight="true" outlineLevel="0" collapsed="false">
      <c r="B2" s="1" t="s">
        <v>81</v>
      </c>
      <c r="C2" s="2"/>
      <c r="D2" s="2"/>
      <c r="E2" s="2"/>
      <c r="F2" s="2"/>
      <c r="G2" s="2"/>
      <c r="H2" s="2"/>
      <c r="I2" s="2"/>
      <c r="J2" s="2"/>
    </row>
    <row r="3" customFormat="false" ht="13.5" hidden="false" customHeight="true" outlineLevel="0" collapsed="false">
      <c r="B3" s="14" t="s">
        <v>82</v>
      </c>
    </row>
    <row r="5" customFormat="false" ht="27.75" hidden="false" customHeight="true" outlineLevel="0" collapsed="false">
      <c r="B5" s="27" t="s">
        <v>83</v>
      </c>
      <c r="C5" s="6" t="s">
        <v>62</v>
      </c>
      <c r="D5" s="6" t="s">
        <v>63</v>
      </c>
      <c r="E5" s="6" t="s">
        <v>64</v>
      </c>
      <c r="F5" s="6" t="s">
        <v>65</v>
      </c>
      <c r="G5" s="6" t="s">
        <v>66</v>
      </c>
      <c r="H5" s="6" t="s">
        <v>67</v>
      </c>
      <c r="I5" s="6" t="s">
        <v>68</v>
      </c>
    </row>
    <row r="6" customFormat="false" ht="15" hidden="false" customHeight="false" outlineLevel="0" collapsed="false">
      <c r="B6" s="28" t="s">
        <v>84</v>
      </c>
      <c r="C6" s="29"/>
      <c r="D6" s="29"/>
      <c r="E6" s="29"/>
      <c r="F6" s="29"/>
      <c r="G6" s="29"/>
      <c r="H6" s="29"/>
      <c r="I6" s="29"/>
    </row>
    <row r="7" customFormat="false" ht="24" hidden="false" customHeight="true" outlineLevel="0" collapsed="false">
      <c r="B7" s="30" t="s">
        <v>85</v>
      </c>
      <c r="C7" s="31" t="s">
        <v>86</v>
      </c>
      <c r="D7" s="32" t="n">
        <v>102.9</v>
      </c>
      <c r="E7" s="32" t="n">
        <v>121.1</v>
      </c>
      <c r="F7" s="32" t="n">
        <v>457.4</v>
      </c>
      <c r="G7" s="32" t="n">
        <v>127.9</v>
      </c>
      <c r="H7" s="32" t="n">
        <v>37.3</v>
      </c>
      <c r="I7" s="32" t="n">
        <v>27.1</v>
      </c>
    </row>
    <row r="8" customFormat="false" ht="15" hidden="false" customHeight="true" outlineLevel="0" collapsed="false">
      <c r="B8" s="30" t="s">
        <v>87</v>
      </c>
      <c r="C8" s="32" t="n">
        <v>86.5</v>
      </c>
      <c r="D8" s="32" t="n">
        <v>96.7</v>
      </c>
      <c r="E8" s="32" t="n">
        <v>113.2</v>
      </c>
      <c r="F8" s="32" t="n">
        <v>420.5</v>
      </c>
      <c r="G8" s="32" t="n">
        <v>124.3</v>
      </c>
      <c r="H8" s="32" t="n">
        <v>34.9</v>
      </c>
      <c r="I8" s="32" t="n">
        <v>24.7</v>
      </c>
    </row>
    <row r="9" customFormat="false" ht="15" hidden="false" customHeight="true" outlineLevel="0" collapsed="false">
      <c r="B9" s="30" t="s">
        <v>88</v>
      </c>
      <c r="C9" s="32" t="n">
        <v>19630</v>
      </c>
      <c r="D9" s="32" t="n">
        <v>19162</v>
      </c>
      <c r="E9" s="32" t="n">
        <v>6489</v>
      </c>
      <c r="F9" s="32" t="n">
        <v>8623</v>
      </c>
      <c r="G9" s="32" t="n">
        <v>11749</v>
      </c>
      <c r="H9" s="32" t="n">
        <v>5839</v>
      </c>
      <c r="I9" s="32" t="n">
        <v>26994</v>
      </c>
    </row>
    <row r="10" customFormat="false" ht="15" hidden="false" customHeight="true" outlineLevel="0" collapsed="false">
      <c r="B10" s="30" t="s">
        <v>89</v>
      </c>
      <c r="C10" s="33" t="n">
        <v>4.48</v>
      </c>
      <c r="D10" s="33" t="n">
        <v>5.37</v>
      </c>
      <c r="E10" s="33" t="n">
        <v>18.66</v>
      </c>
      <c r="F10" s="33" t="n">
        <v>53.05</v>
      </c>
      <c r="G10" s="33" t="n">
        <v>10.89</v>
      </c>
      <c r="H10" s="33" t="n">
        <v>6.38</v>
      </c>
      <c r="I10" s="33" t="n">
        <v>1</v>
      </c>
    </row>
    <row r="11" customFormat="false" ht="15" hidden="false" customHeight="true" outlineLevel="0" collapsed="false">
      <c r="B11" s="30" t="s">
        <v>90</v>
      </c>
      <c r="C11" s="34" t="n">
        <v>7.4</v>
      </c>
      <c r="D11" s="34" t="n">
        <v>4.8</v>
      </c>
      <c r="E11" s="34" t="n">
        <v>3.5</v>
      </c>
      <c r="F11" s="34" t="n">
        <v>0.8</v>
      </c>
      <c r="G11" s="34" t="n">
        <v>2.2</v>
      </c>
      <c r="H11" s="34" t="n">
        <v>3.5</v>
      </c>
      <c r="I11" s="34" t="n">
        <v>33.8</v>
      </c>
    </row>
    <row r="12" customFormat="false" ht="15" hidden="false" customHeight="true" outlineLevel="0" collapsed="false">
      <c r="B12" s="30" t="s">
        <v>91</v>
      </c>
      <c r="C12" s="34" t="n">
        <v>2.9</v>
      </c>
      <c r="D12" s="34" t="n">
        <v>4.1</v>
      </c>
      <c r="E12" s="34" t="n">
        <v>3.7</v>
      </c>
      <c r="F12" s="34" t="n">
        <v>1.6</v>
      </c>
      <c r="G12" s="34" t="n">
        <v>5</v>
      </c>
      <c r="H12" s="34" t="n">
        <v>2.6</v>
      </c>
      <c r="I12" s="34" t="n">
        <v>43.8</v>
      </c>
    </row>
    <row r="13" customFormat="false" ht="15" hidden="false" customHeight="true" outlineLevel="0" collapsed="false">
      <c r="B13" s="30" t="s">
        <v>92</v>
      </c>
      <c r="C13" s="34" t="n">
        <v>4.4</v>
      </c>
      <c r="D13" s="34" t="n">
        <v>4.6</v>
      </c>
      <c r="E13" s="34" t="n">
        <v>4.2</v>
      </c>
      <c r="F13" s="34" t="n">
        <v>2.6</v>
      </c>
      <c r="G13" s="34" t="n">
        <v>2.1</v>
      </c>
      <c r="H13" s="34" t="n">
        <v>3.9</v>
      </c>
      <c r="I13" s="34" t="n">
        <v>19.3</v>
      </c>
    </row>
    <row r="14" customFormat="false" ht="15" hidden="false" customHeight="true" outlineLevel="0" collapsed="false">
      <c r="B14" s="30" t="s">
        <v>93</v>
      </c>
      <c r="C14" s="34" t="n">
        <v>3.9</v>
      </c>
      <c r="D14" s="34" t="n">
        <v>3.6</v>
      </c>
      <c r="E14" s="34" t="n">
        <v>3.7</v>
      </c>
      <c r="F14" s="34" t="n">
        <v>2.5</v>
      </c>
      <c r="G14" s="34" t="n">
        <v>3.6</v>
      </c>
      <c r="H14" s="34" t="n">
        <v>4.5</v>
      </c>
      <c r="I14" s="34" t="n">
        <v>16.2</v>
      </c>
    </row>
    <row r="15" customFormat="false" ht="15" hidden="false" customHeight="true" outlineLevel="0" collapsed="false">
      <c r="B15" s="30" t="s">
        <v>94</v>
      </c>
      <c r="C15" s="34" t="n">
        <v>4.1</v>
      </c>
      <c r="D15" s="34" t="n">
        <v>3.7</v>
      </c>
      <c r="E15" s="34" t="n">
        <v>3.8</v>
      </c>
      <c r="F15" s="34" t="n">
        <v>2.6</v>
      </c>
      <c r="G15" s="34" t="n">
        <v>4.4</v>
      </c>
      <c r="H15" s="34" t="n">
        <v>3</v>
      </c>
      <c r="I15" s="34" t="n">
        <v>19.7</v>
      </c>
    </row>
    <row r="16" customFormat="false" ht="15" hidden="false" customHeight="false" outlineLevel="0" collapsed="false">
      <c r="B16" s="28" t="s">
        <v>95</v>
      </c>
      <c r="C16" s="29"/>
      <c r="D16" s="29"/>
      <c r="E16" s="29"/>
      <c r="F16" s="29"/>
      <c r="G16" s="29"/>
      <c r="H16" s="29"/>
      <c r="I16" s="29"/>
    </row>
    <row r="17" customFormat="false" ht="24" hidden="false" customHeight="true" outlineLevel="0" collapsed="false">
      <c r="B17" s="30" t="s">
        <v>96</v>
      </c>
      <c r="C17" s="35" t="s">
        <v>97</v>
      </c>
      <c r="D17" s="35" t="s">
        <v>98</v>
      </c>
      <c r="E17" s="35" t="s">
        <v>99</v>
      </c>
      <c r="F17" s="35" t="s">
        <v>100</v>
      </c>
      <c r="G17" s="35" t="s">
        <v>101</v>
      </c>
      <c r="H17" s="35" t="s">
        <v>102</v>
      </c>
      <c r="I17" s="35" t="s">
        <v>103</v>
      </c>
    </row>
    <row r="18" customFormat="false" ht="24" hidden="false" customHeight="true" outlineLevel="0" collapsed="false">
      <c r="B18" s="30" t="s">
        <v>104</v>
      </c>
      <c r="C18" s="35" t="s">
        <v>105</v>
      </c>
      <c r="D18" s="35" t="s">
        <v>106</v>
      </c>
      <c r="E18" s="35" t="s">
        <v>107</v>
      </c>
      <c r="F18" s="35" t="s">
        <v>108</v>
      </c>
      <c r="G18" s="35" t="s">
        <v>109</v>
      </c>
      <c r="H18" s="35" t="s">
        <v>105</v>
      </c>
      <c r="I18" s="35" t="s">
        <v>110</v>
      </c>
    </row>
    <row r="19" customFormat="false" ht="24" hidden="false" customHeight="true" outlineLevel="0" collapsed="false">
      <c r="B19" s="30" t="s">
        <v>111</v>
      </c>
      <c r="C19" s="36" t="str">
        <f aca="false">IF(ISNUMBER(C49),C49-C50,"n/a")</f>
        <v>n/a</v>
      </c>
      <c r="D19" s="36" t="n">
        <f aca="false">IF(ISNUMBER(D49),D49-D50,"n/a")</f>
        <v>3.28</v>
      </c>
      <c r="E19" s="36" t="n">
        <f aca="false">IF(ISNUMBER(E49),E49-E50,"n/a")</f>
        <v>0.64</v>
      </c>
      <c r="F19" s="36" t="n">
        <f aca="false">IF(ISNUMBER(F49),F49-F50,"n/a")</f>
        <v>5.97</v>
      </c>
      <c r="G19" s="36" t="n">
        <f aca="false">IF(ISNUMBER(G49),G49-G50,"n/a")</f>
        <v>-0.22</v>
      </c>
      <c r="H19" s="36" t="str">
        <f aca="false">IF(ISNUMBER(H49),H49-H50,"n/a")</f>
        <v>n/a</v>
      </c>
      <c r="I19" s="36" t="str">
        <f aca="false">IF(ISNUMBER(I49),I49-I50,"n/a")</f>
        <v>n/a</v>
      </c>
    </row>
    <row r="20" customFormat="false" ht="24" hidden="false" customHeight="true" outlineLevel="0" collapsed="false">
      <c r="B20" s="30" t="s">
        <v>112</v>
      </c>
      <c r="C20" s="35" t="s">
        <v>113</v>
      </c>
      <c r="D20" s="35" t="s">
        <v>114</v>
      </c>
      <c r="E20" s="35" t="s">
        <v>115</v>
      </c>
      <c r="F20" s="35" t="s">
        <v>116</v>
      </c>
      <c r="G20" s="35" t="s">
        <v>117</v>
      </c>
      <c r="H20" s="35" t="s">
        <v>118</v>
      </c>
      <c r="I20" s="35" t="s">
        <v>119</v>
      </c>
    </row>
    <row r="21" customFormat="false" ht="15" hidden="false" customHeight="true" outlineLevel="0" collapsed="false">
      <c r="B21" s="30" t="s">
        <v>120</v>
      </c>
      <c r="C21" s="34" t="n">
        <v>0</v>
      </c>
      <c r="D21" s="34" t="n">
        <v>10.25</v>
      </c>
      <c r="E21" s="34" t="n">
        <v>0.5</v>
      </c>
      <c r="F21" s="34" t="n">
        <v>19.6</v>
      </c>
      <c r="G21" s="34" t="n">
        <v>4.7</v>
      </c>
      <c r="H21" s="34" t="n">
        <v>0</v>
      </c>
      <c r="I21" s="34" t="n">
        <v>0</v>
      </c>
    </row>
    <row r="22" customFormat="false" ht="15" hidden="false" customHeight="false" outlineLevel="0" collapsed="false">
      <c r="B22" s="28" t="s">
        <v>121</v>
      </c>
      <c r="C22" s="29"/>
      <c r="D22" s="29"/>
      <c r="E22" s="29"/>
      <c r="F22" s="29"/>
      <c r="G22" s="29"/>
      <c r="H22" s="29"/>
      <c r="I22" s="29"/>
    </row>
    <row r="23" customFormat="false" ht="15" hidden="false" customHeight="true" outlineLevel="0" collapsed="false">
      <c r="B23" s="30" t="s">
        <v>122</v>
      </c>
      <c r="C23" s="34" t="n">
        <v>-3.7</v>
      </c>
      <c r="D23" s="34" t="n">
        <v>-3.4</v>
      </c>
      <c r="E23" s="34" t="n">
        <v>-1.9</v>
      </c>
      <c r="F23" s="34" t="n">
        <v>-6.4</v>
      </c>
      <c r="G23" s="34" t="n">
        <v>-3.6</v>
      </c>
      <c r="H23" s="34" t="n">
        <v>-2.8</v>
      </c>
      <c r="I23" s="34" t="n">
        <v>-5.4</v>
      </c>
    </row>
    <row r="24" customFormat="false" ht="15" hidden="false" customHeight="true" outlineLevel="0" collapsed="false">
      <c r="B24" s="30" t="s">
        <v>123</v>
      </c>
      <c r="C24" s="34" t="n">
        <v>-3.5</v>
      </c>
      <c r="D24" s="34" t="n">
        <v>-3.6</v>
      </c>
      <c r="E24" s="34" t="n">
        <v>-2.7</v>
      </c>
      <c r="F24" s="34" t="n">
        <v>-7.4</v>
      </c>
      <c r="G24" s="34" t="n">
        <v>-3.8</v>
      </c>
      <c r="H24" s="34" t="n">
        <v>-2</v>
      </c>
      <c r="I24" s="34" t="n">
        <v>-6.4</v>
      </c>
    </row>
    <row r="25" customFormat="false" ht="15" hidden="false" customHeight="true" outlineLevel="0" collapsed="false">
      <c r="B25" s="30" t="s">
        <v>124</v>
      </c>
      <c r="C25" s="34" t="n">
        <v>65.6</v>
      </c>
      <c r="D25" s="34" t="n">
        <v>60.4</v>
      </c>
      <c r="E25" s="34" t="n">
        <v>26.7</v>
      </c>
      <c r="F25" s="34" t="n">
        <v>64.7</v>
      </c>
      <c r="G25" s="34" t="n">
        <v>57.9</v>
      </c>
      <c r="H25" s="34" t="n">
        <v>87.2</v>
      </c>
      <c r="I25" s="34" t="n">
        <v>28.6</v>
      </c>
    </row>
    <row r="26" customFormat="false" ht="15" hidden="false" customHeight="true" outlineLevel="0" collapsed="false">
      <c r="B26" s="30" t="s">
        <v>125</v>
      </c>
      <c r="C26" s="34" t="n">
        <v>65.3</v>
      </c>
      <c r="D26" s="34" t="n">
        <v>61.1</v>
      </c>
      <c r="E26" s="34" t="n">
        <v>27.4</v>
      </c>
      <c r="F26" s="34" t="n">
        <v>66.5</v>
      </c>
      <c r="G26" s="34" t="n">
        <v>58.1</v>
      </c>
      <c r="H26" s="34" t="n">
        <v>84.5</v>
      </c>
      <c r="I26" s="34" t="n">
        <v>29.2</v>
      </c>
    </row>
    <row r="27" customFormat="false" ht="15" hidden="false" customHeight="false" outlineLevel="0" collapsed="false">
      <c r="B27" s="28" t="s">
        <v>126</v>
      </c>
      <c r="C27" s="29"/>
      <c r="D27" s="29"/>
      <c r="E27" s="29"/>
      <c r="F27" s="29"/>
      <c r="G27" s="29"/>
      <c r="H27" s="29"/>
      <c r="I27" s="29"/>
    </row>
    <row r="28" customFormat="false" ht="15" hidden="false" customHeight="true" outlineLevel="0" collapsed="false">
      <c r="B28" s="30" t="s">
        <v>127</v>
      </c>
      <c r="C28" s="34" t="n">
        <v>0.8</v>
      </c>
      <c r="D28" s="34" t="n">
        <v>-0.7</v>
      </c>
      <c r="E28" s="34" t="n">
        <v>4.7</v>
      </c>
      <c r="F28" s="34" t="n">
        <v>-2.4</v>
      </c>
      <c r="G28" s="34" t="n">
        <v>-1.2</v>
      </c>
      <c r="H28" s="34" t="n">
        <v>-1.2</v>
      </c>
      <c r="I28" s="34" t="n">
        <v>12.9</v>
      </c>
    </row>
    <row r="29" customFormat="false" ht="24" hidden="false" customHeight="true" outlineLevel="0" collapsed="false">
      <c r="B29" s="30" t="s">
        <v>128</v>
      </c>
      <c r="C29" s="31" t="s">
        <v>86</v>
      </c>
      <c r="D29" s="37" t="n">
        <v>20.8</v>
      </c>
      <c r="E29" s="37" t="n">
        <v>32.8</v>
      </c>
      <c r="F29" s="37" t="n">
        <v>67</v>
      </c>
      <c r="G29" s="37" t="n">
        <v>15.3</v>
      </c>
      <c r="H29" s="37" t="n">
        <v>5.1</v>
      </c>
      <c r="I29" s="37" t="n">
        <v>1.06</v>
      </c>
    </row>
    <row r="30" customFormat="false" ht="24" hidden="false" customHeight="true" outlineLevel="0" collapsed="false">
      <c r="B30" s="30" t="s">
        <v>129</v>
      </c>
      <c r="C30" s="36" t="str">
        <f aca="false">IF(AND(ISNUMBER(C29),ISNUMBER(C7)),C29/C7*100,"n/a")</f>
        <v>n/a</v>
      </c>
      <c r="D30" s="36" t="n">
        <f aca="false">IF(AND(ISNUMBER(D29),ISNUMBER(D7)),D29/D7*100,"n/a")</f>
        <v>20.2137998056365</v>
      </c>
      <c r="E30" s="36" t="n">
        <f aca="false">IF(AND(ISNUMBER(E29),ISNUMBER(E7)),E29/E7*100,"n/a")</f>
        <v>27.0850536746491</v>
      </c>
      <c r="F30" s="36" t="n">
        <f aca="false">IF(AND(ISNUMBER(F29),ISNUMBER(F7)),F29/F7*100,"n/a")</f>
        <v>14.6480104940971</v>
      </c>
      <c r="G30" s="36" t="n">
        <f aca="false">IF(AND(ISNUMBER(G29),ISNUMBER(G7)),G29/G7*100,"n/a")</f>
        <v>11.9624706802189</v>
      </c>
      <c r="H30" s="36" t="n">
        <f aca="false">IF(AND(ISNUMBER(H29),ISNUMBER(H7)),H29/H7*100,"n/a")</f>
        <v>13.6729222520107</v>
      </c>
      <c r="I30" s="36" t="n">
        <f aca="false">IF(AND(ISNUMBER(I29),ISNUMBER(I7)),I29/I7*100,"n/a")</f>
        <v>3.91143911439114</v>
      </c>
    </row>
    <row r="31" customFormat="false" ht="15" hidden="false" customHeight="true" outlineLevel="0" collapsed="false">
      <c r="B31" s="30" t="s">
        <v>130</v>
      </c>
      <c r="C31" s="37" t="n">
        <v>2.086</v>
      </c>
      <c r="D31" s="37" t="n">
        <v>5.114</v>
      </c>
      <c r="E31" s="37" t="n">
        <v>1.848</v>
      </c>
      <c r="F31" s="37" t="n">
        <v>13.684</v>
      </c>
      <c r="G31" s="37" t="n">
        <v>4.476</v>
      </c>
      <c r="H31" s="37" t="n">
        <v>1.051</v>
      </c>
      <c r="I31" s="37" t="n">
        <v>8.63</v>
      </c>
    </row>
    <row r="32" customFormat="false" ht="15" hidden="false" customHeight="true" outlineLevel="0" collapsed="false">
      <c r="B32" s="30" t="s">
        <v>131</v>
      </c>
      <c r="C32" s="34" t="n">
        <v>2.4</v>
      </c>
      <c r="D32" s="34" t="n">
        <v>5</v>
      </c>
      <c r="E32" s="34" t="n">
        <v>1.6</v>
      </c>
      <c r="F32" s="34" t="n">
        <v>3.3</v>
      </c>
      <c r="G32" s="34" t="n">
        <v>3.9</v>
      </c>
      <c r="H32" s="34" t="n">
        <v>3</v>
      </c>
      <c r="I32" s="34" t="n">
        <v>35</v>
      </c>
    </row>
    <row r="33" customFormat="false" ht="24" hidden="false" customHeight="true" outlineLevel="0" collapsed="false">
      <c r="B33" s="30" t="s">
        <v>132</v>
      </c>
      <c r="C33" s="31" t="s">
        <v>86</v>
      </c>
      <c r="D33" s="31" t="s">
        <v>86</v>
      </c>
      <c r="E33" s="37" t="n">
        <v>25.53</v>
      </c>
      <c r="F33" s="37" t="n">
        <v>13.098</v>
      </c>
      <c r="G33" s="37" t="n">
        <v>11.866</v>
      </c>
      <c r="H33" s="37" t="n">
        <v>9.988</v>
      </c>
      <c r="I33" s="31" t="s">
        <v>86</v>
      </c>
    </row>
    <row r="34" customFormat="false" ht="24" hidden="false" customHeight="true" outlineLevel="0" collapsed="false">
      <c r="B34" s="30" t="s">
        <v>133</v>
      </c>
      <c r="C34" s="31" t="s">
        <v>86</v>
      </c>
      <c r="D34" s="31" t="s">
        <v>86</v>
      </c>
      <c r="E34" s="34" t="n">
        <v>20.7</v>
      </c>
      <c r="F34" s="34" t="n">
        <v>2.87</v>
      </c>
      <c r="G34" s="34" t="n">
        <v>9.3</v>
      </c>
      <c r="H34" s="34" t="n">
        <v>24</v>
      </c>
      <c r="I34" s="31" t="s">
        <v>86</v>
      </c>
    </row>
    <row r="35" customFormat="false" ht="15" hidden="false" customHeight="false" outlineLevel="0" collapsed="false">
      <c r="B35" s="28" t="s">
        <v>134</v>
      </c>
      <c r="C35" s="29"/>
      <c r="D35" s="29"/>
      <c r="E35" s="29"/>
      <c r="F35" s="29"/>
      <c r="G35" s="29"/>
      <c r="H35" s="29"/>
      <c r="I35" s="29"/>
    </row>
    <row r="36" customFormat="false" ht="24" hidden="false" customHeight="true" outlineLevel="0" collapsed="false">
      <c r="B36" s="30" t="s">
        <v>135</v>
      </c>
      <c r="C36" s="35" t="s">
        <v>136</v>
      </c>
      <c r="D36" s="35" t="s">
        <v>137</v>
      </c>
      <c r="E36" s="35" t="s">
        <v>138</v>
      </c>
      <c r="F36" s="35" t="s">
        <v>136</v>
      </c>
      <c r="G36" s="35" t="s">
        <v>137</v>
      </c>
      <c r="H36" s="35" t="s">
        <v>139</v>
      </c>
      <c r="I36" s="35" t="s">
        <v>140</v>
      </c>
    </row>
    <row r="37" customFormat="false" ht="24" hidden="false" customHeight="true" outlineLevel="0" collapsed="false">
      <c r="B37" s="30" t="s">
        <v>141</v>
      </c>
      <c r="C37" s="35" t="s">
        <v>142</v>
      </c>
      <c r="D37" s="35" t="s">
        <v>143</v>
      </c>
      <c r="E37" s="35" t="s">
        <v>143</v>
      </c>
      <c r="F37" s="35" t="s">
        <v>143</v>
      </c>
      <c r="G37" s="35" t="s">
        <v>143</v>
      </c>
      <c r="H37" s="35" t="s">
        <v>144</v>
      </c>
      <c r="I37" s="35" t="s">
        <v>145</v>
      </c>
    </row>
    <row r="38" customFormat="false" ht="24" hidden="false" customHeight="true" outlineLevel="0" collapsed="false">
      <c r="B38" s="30" t="s">
        <v>146</v>
      </c>
      <c r="C38" s="35" t="s">
        <v>147</v>
      </c>
      <c r="D38" s="35" t="s">
        <v>148</v>
      </c>
      <c r="E38" s="35" t="s">
        <v>149</v>
      </c>
      <c r="F38" s="35" t="s">
        <v>150</v>
      </c>
      <c r="G38" s="35" t="s">
        <v>148</v>
      </c>
      <c r="H38" s="35" t="s">
        <v>151</v>
      </c>
      <c r="I38" s="35" t="s">
        <v>140</v>
      </c>
    </row>
    <row r="39" customFormat="false" ht="24" hidden="false" customHeight="true" outlineLevel="0" collapsed="false">
      <c r="B39" s="30" t="s">
        <v>152</v>
      </c>
      <c r="C39" s="35" t="s">
        <v>143</v>
      </c>
      <c r="D39" s="35" t="s">
        <v>143</v>
      </c>
      <c r="E39" s="35" t="s">
        <v>143</v>
      </c>
      <c r="F39" s="35" t="s">
        <v>143</v>
      </c>
      <c r="G39" s="35" t="s">
        <v>143</v>
      </c>
      <c r="H39" s="35" t="s">
        <v>143</v>
      </c>
      <c r="I39" s="35" t="s">
        <v>145</v>
      </c>
    </row>
    <row r="40" customFormat="false" ht="24" hidden="false" customHeight="true" outlineLevel="0" collapsed="false">
      <c r="B40" s="30" t="s">
        <v>153</v>
      </c>
      <c r="C40" s="35" t="s">
        <v>149</v>
      </c>
      <c r="D40" s="35" t="s">
        <v>150</v>
      </c>
      <c r="E40" s="35" t="s">
        <v>148</v>
      </c>
      <c r="F40" s="35" t="s">
        <v>148</v>
      </c>
      <c r="G40" s="35" t="s">
        <v>150</v>
      </c>
      <c r="H40" s="35" t="s">
        <v>151</v>
      </c>
      <c r="I40" s="35" t="s">
        <v>140</v>
      </c>
    </row>
    <row r="41" customFormat="false" ht="24" hidden="false" customHeight="true" outlineLevel="0" collapsed="false">
      <c r="B41" s="30" t="s">
        <v>154</v>
      </c>
      <c r="C41" s="35" t="s">
        <v>143</v>
      </c>
      <c r="D41" s="35" t="s">
        <v>143</v>
      </c>
      <c r="E41" s="35" t="s">
        <v>143</v>
      </c>
      <c r="F41" s="35" t="s">
        <v>143</v>
      </c>
      <c r="G41" s="35" t="s">
        <v>143</v>
      </c>
      <c r="H41" s="35" t="s">
        <v>143</v>
      </c>
      <c r="I41" s="35" t="s">
        <v>145</v>
      </c>
    </row>
    <row r="42" customFormat="false" ht="24" hidden="false" customHeight="true" outlineLevel="0" collapsed="false">
      <c r="B42" s="30" t="s">
        <v>155</v>
      </c>
      <c r="C42" s="35" t="s">
        <v>156</v>
      </c>
      <c r="D42" s="35" t="s">
        <v>157</v>
      </c>
      <c r="E42" s="35" t="s">
        <v>158</v>
      </c>
      <c r="F42" s="35" t="s">
        <v>159</v>
      </c>
      <c r="G42" s="35" t="s">
        <v>160</v>
      </c>
      <c r="H42" s="35" t="s">
        <v>161</v>
      </c>
      <c r="I42" s="35" t="s">
        <v>162</v>
      </c>
    </row>
    <row r="43" customFormat="false" ht="24" hidden="false" customHeight="true" outlineLevel="0" collapsed="false">
      <c r="B43" s="30" t="s">
        <v>163</v>
      </c>
      <c r="C43" s="35" t="s">
        <v>164</v>
      </c>
      <c r="D43" s="35" t="s">
        <v>165</v>
      </c>
      <c r="E43" s="35" t="s">
        <v>166</v>
      </c>
      <c r="F43" s="35" t="s">
        <v>167</v>
      </c>
      <c r="G43" s="35" t="s">
        <v>168</v>
      </c>
      <c r="H43" s="35" t="s">
        <v>169</v>
      </c>
      <c r="I43" s="35" t="s">
        <v>170</v>
      </c>
    </row>
    <row r="44" customFormat="false" ht="24" hidden="false" customHeight="true" outlineLevel="0" collapsed="false">
      <c r="B44" s="30" t="s">
        <v>171</v>
      </c>
      <c r="C44" s="35" t="s">
        <v>172</v>
      </c>
      <c r="D44" s="35" t="s">
        <v>173</v>
      </c>
      <c r="E44" s="35" t="s">
        <v>174</v>
      </c>
      <c r="F44" s="35" t="s">
        <v>175</v>
      </c>
      <c r="G44" s="35" t="s">
        <v>176</v>
      </c>
      <c r="H44" s="35" t="s">
        <v>177</v>
      </c>
      <c r="I44" s="35" t="s">
        <v>178</v>
      </c>
    </row>
    <row r="45" customFormat="false" ht="24" hidden="false" customHeight="true" outlineLevel="0" collapsed="false">
      <c r="B45" s="30" t="s">
        <v>179</v>
      </c>
      <c r="C45" s="35" t="s">
        <v>180</v>
      </c>
      <c r="D45" s="35" t="s">
        <v>181</v>
      </c>
      <c r="E45" s="35" t="s">
        <v>182</v>
      </c>
      <c r="F45" s="35" t="s">
        <v>183</v>
      </c>
      <c r="G45" s="35" t="s">
        <v>184</v>
      </c>
      <c r="H45" s="35" t="s">
        <v>185</v>
      </c>
      <c r="I45" s="35" t="s">
        <v>186</v>
      </c>
    </row>
    <row r="48" customFormat="false" ht="15" hidden="false" customHeight="false" outlineLevel="0" collapsed="false">
      <c r="B48" s="4" t="s">
        <v>187</v>
      </c>
    </row>
    <row r="49" customFormat="false" ht="15" hidden="false" customHeight="false" outlineLevel="0" collapsed="false">
      <c r="B49" s="30" t="s">
        <v>188</v>
      </c>
      <c r="C49" s="38" t="s">
        <v>189</v>
      </c>
      <c r="D49" s="38" t="n">
        <v>3</v>
      </c>
      <c r="E49" s="38" t="n">
        <v>3.5</v>
      </c>
      <c r="F49" s="38" t="n">
        <v>12</v>
      </c>
      <c r="G49" s="38" t="n">
        <v>5.25</v>
      </c>
      <c r="H49" s="38" t="s">
        <v>189</v>
      </c>
      <c r="I49" s="38" t="s">
        <v>189</v>
      </c>
    </row>
    <row r="50" customFormat="false" ht="15" hidden="false" customHeight="false" outlineLevel="0" collapsed="false">
      <c r="B50" s="30" t="s">
        <v>190</v>
      </c>
      <c r="C50" s="38" t="n">
        <v>0.9</v>
      </c>
      <c r="D50" s="38" t="n">
        <v>-0.28</v>
      </c>
      <c r="E50" s="38" t="n">
        <v>2.86</v>
      </c>
      <c r="F50" s="38" t="n">
        <v>6.03</v>
      </c>
      <c r="G50" s="38" t="n">
        <v>5.47</v>
      </c>
      <c r="H50" s="38" t="n">
        <v>0.3</v>
      </c>
      <c r="I50" s="38" t="n">
        <v>3.9</v>
      </c>
    </row>
    <row r="52" customFormat="false" ht="15" hidden="false" customHeight="true" outlineLevel="0" collapsed="false">
      <c r="B52" s="19" t="s">
        <v>191</v>
      </c>
      <c r="C52" s="19"/>
      <c r="D52" s="19"/>
      <c r="E52" s="19"/>
      <c r="F52" s="19"/>
      <c r="G52" s="19"/>
      <c r="H52" s="19"/>
      <c r="I52" s="19"/>
    </row>
    <row r="53" customFormat="false" ht="15" hidden="false" customHeight="false" outlineLevel="0" collapsed="false">
      <c r="B53" s="19"/>
      <c r="C53" s="19"/>
      <c r="D53" s="19"/>
      <c r="E53" s="19"/>
      <c r="F53" s="19"/>
      <c r="G53" s="19"/>
      <c r="H53" s="19"/>
      <c r="I53" s="19"/>
    </row>
    <row r="54" customFormat="false" ht="15" hidden="false" customHeight="false" outlineLevel="0" collapsed="false">
      <c r="B54" s="19"/>
      <c r="C54" s="19"/>
      <c r="D54" s="19"/>
      <c r="E54" s="19"/>
      <c r="F54" s="19"/>
      <c r="G54" s="19"/>
      <c r="H54" s="19"/>
      <c r="I54" s="19"/>
    </row>
  </sheetData>
  <mergeCells count="1">
    <mergeCell ref="B52:I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B45"/>
    <pageSetUpPr fitToPage="false"/>
  </sheetPr>
  <dimension ref="B2:O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4" min="3" style="0" width="12"/>
    <col collapsed="false" customWidth="true" hidden="false" outlineLevel="0" max="5" min="5" style="0" width="16"/>
    <col collapsed="false" customWidth="true" hidden="false" outlineLevel="0" max="6" min="6" style="0" width="90"/>
    <col collapsed="false" customWidth="true" hidden="false" outlineLevel="0" max="7" min="7" style="0" width="12"/>
    <col collapsed="false" customWidth="true" hidden="false" outlineLevel="0" max="9" min="8" style="0" width="14"/>
    <col collapsed="false" customWidth="true" hidden="false" outlineLevel="0" max="10" min="10" style="0" width="46"/>
    <col collapsed="false" customWidth="true" hidden="false" outlineLevel="0" max="11" min="11" style="0" width="20"/>
    <col collapsed="false" customWidth="true" hidden="false" outlineLevel="0" max="14" min="14" style="0" width="9"/>
    <col collapsed="false" customWidth="true" hidden="false" outlineLevel="0" max="15" min="15" style="0" width="7"/>
  </cols>
  <sheetData>
    <row r="2" customFormat="false" ht="30" hidden="false" customHeight="true" outlineLevel="0" collapsed="false">
      <c r="B2" s="1" t="s">
        <v>192</v>
      </c>
      <c r="C2" s="2"/>
      <c r="D2" s="2"/>
      <c r="E2" s="2"/>
      <c r="F2" s="2"/>
      <c r="G2" s="2"/>
      <c r="H2" s="2"/>
      <c r="I2" s="2"/>
      <c r="J2" s="2"/>
      <c r="K2" s="2"/>
    </row>
    <row r="3" customFormat="false" ht="13.5" hidden="false" customHeight="true" outlineLevel="0" collapsed="false">
      <c r="B3" s="14" t="s">
        <v>193</v>
      </c>
    </row>
    <row r="5" customFormat="false" ht="30" hidden="false" customHeight="true" outlineLevel="0" collapsed="false">
      <c r="B5" s="6" t="s">
        <v>50</v>
      </c>
      <c r="C5" s="6" t="s">
        <v>135</v>
      </c>
      <c r="D5" s="6" t="s">
        <v>146</v>
      </c>
      <c r="E5" s="6" t="s">
        <v>153</v>
      </c>
      <c r="F5" s="6" t="s">
        <v>194</v>
      </c>
      <c r="G5" s="6" t="s">
        <v>195</v>
      </c>
      <c r="H5" s="6" t="s">
        <v>196</v>
      </c>
      <c r="I5" s="6" t="s">
        <v>197</v>
      </c>
      <c r="J5" s="6" t="s">
        <v>198</v>
      </c>
      <c r="K5" s="6" t="s">
        <v>199</v>
      </c>
      <c r="N5" s="39" t="s">
        <v>200</v>
      </c>
      <c r="O5" s="39" t="s">
        <v>201</v>
      </c>
    </row>
    <row r="6" customFormat="false" ht="15" hidden="false" customHeight="false" outlineLevel="0" collapsed="false">
      <c r="B6" s="11" t="s">
        <v>62</v>
      </c>
      <c r="C6" s="40" t="s">
        <v>136</v>
      </c>
      <c r="D6" s="40" t="s">
        <v>147</v>
      </c>
      <c r="E6" s="40" t="s">
        <v>149</v>
      </c>
      <c r="F6" s="41" t="n">
        <f aca="false">IFERROR(INDEX($O$6:$O$46,MATCH(C6,$N$6:$N$46,0)),"")</f>
        <v>12</v>
      </c>
      <c r="G6" s="41" t="n">
        <f aca="false">IFERROR(INDEX($O$6:$O$46,MATCH(D6,$N$6:$N$46,0)),"")</f>
        <v>12</v>
      </c>
      <c r="H6" s="41" t="n">
        <f aca="false">IFERROR(INDEX($O$6:$O$46,MATCH(E6,$N$6:$N$46,0)),"")</f>
        <v>11</v>
      </c>
      <c r="I6" s="42" t="n">
        <f aca="false">IF(COUNT(F6:H6)=0,"n/a",AVERAGE(F6:H6))</f>
        <v>11.6666666666667</v>
      </c>
      <c r="J6" s="36" t="n">
        <f aca="false">IF(COUNT(F6:H6)=0,"n/a",12-I6)</f>
        <v>0.333333333333334</v>
      </c>
      <c r="K6" s="43" t="s">
        <v>202</v>
      </c>
      <c r="N6" s="44" t="s">
        <v>203</v>
      </c>
      <c r="O6" s="44" t="n">
        <v>21</v>
      </c>
    </row>
    <row r="7" customFormat="false" ht="15" hidden="false" customHeight="false" outlineLevel="0" collapsed="false">
      <c r="B7" s="11" t="s">
        <v>63</v>
      </c>
      <c r="C7" s="40" t="s">
        <v>137</v>
      </c>
      <c r="D7" s="40" t="s">
        <v>148</v>
      </c>
      <c r="E7" s="40" t="s">
        <v>150</v>
      </c>
      <c r="F7" s="41" t="n">
        <f aca="false">IFERROR(INDEX($O$6:$O$46,MATCH(C7,$N$6:$N$46,0)),"")</f>
        <v>10</v>
      </c>
      <c r="G7" s="41" t="n">
        <f aca="false">IFERROR(INDEX($O$6:$O$46,MATCH(D7,$N$6:$N$46,0)),"")</f>
        <v>10</v>
      </c>
      <c r="H7" s="41" t="n">
        <f aca="false">IFERROR(INDEX($O$6:$O$46,MATCH(E7,$N$6:$N$46,0)),"")</f>
        <v>9</v>
      </c>
      <c r="I7" s="42" t="n">
        <f aca="false">IF(COUNT(F7:H7)=0,"n/a",AVERAGE(F7:H7))</f>
        <v>9.66666666666667</v>
      </c>
      <c r="J7" s="36" t="n">
        <f aca="false">IF(COUNT(F7:H7)=0,"n/a",12-I7)</f>
        <v>2.33333333333333</v>
      </c>
      <c r="K7" s="9" t="s">
        <v>204</v>
      </c>
      <c r="N7" s="44" t="s">
        <v>205</v>
      </c>
      <c r="O7" s="44" t="n">
        <v>21</v>
      </c>
    </row>
    <row r="8" customFormat="false" ht="15" hidden="false" customHeight="false" outlineLevel="0" collapsed="false">
      <c r="B8" s="11" t="s">
        <v>64</v>
      </c>
      <c r="C8" s="40" t="s">
        <v>138</v>
      </c>
      <c r="D8" s="40" t="s">
        <v>149</v>
      </c>
      <c r="E8" s="40" t="s">
        <v>148</v>
      </c>
      <c r="F8" s="41" t="n">
        <f aca="false">IFERROR(INDEX($O$6:$O$46,MATCH(C8,$N$6:$N$46,0)),"")</f>
        <v>11</v>
      </c>
      <c r="G8" s="41" t="n">
        <f aca="false">IFERROR(INDEX($O$6:$O$46,MATCH(D8,$N$6:$N$46,0)),"")</f>
        <v>11</v>
      </c>
      <c r="H8" s="41" t="n">
        <f aca="false">IFERROR(INDEX($O$6:$O$46,MATCH(E8,$N$6:$N$46,0)),"")</f>
        <v>10</v>
      </c>
      <c r="I8" s="42" t="n">
        <f aca="false">IF(COUNT(F8:H8)=0,"n/a",AVERAGE(F8:H8))</f>
        <v>10.6666666666667</v>
      </c>
      <c r="J8" s="36" t="n">
        <f aca="false">IF(COUNT(F8:H8)=0,"n/a",12-I8)</f>
        <v>1.33333333333333</v>
      </c>
      <c r="K8" s="9" t="s">
        <v>204</v>
      </c>
      <c r="N8" s="44" t="s">
        <v>206</v>
      </c>
      <c r="O8" s="44" t="n">
        <v>20</v>
      </c>
    </row>
    <row r="9" customFormat="false" ht="15" hidden="false" customHeight="false" outlineLevel="0" collapsed="false">
      <c r="B9" s="11" t="s">
        <v>65</v>
      </c>
      <c r="C9" s="40" t="s">
        <v>136</v>
      </c>
      <c r="D9" s="40" t="s">
        <v>150</v>
      </c>
      <c r="E9" s="40" t="s">
        <v>148</v>
      </c>
      <c r="F9" s="41" t="n">
        <f aca="false">IFERROR(INDEX($O$6:$O$46,MATCH(C9,$N$6:$N$46,0)),"")</f>
        <v>12</v>
      </c>
      <c r="G9" s="41" t="n">
        <f aca="false">IFERROR(INDEX($O$6:$O$46,MATCH(D9,$N$6:$N$46,0)),"")</f>
        <v>9</v>
      </c>
      <c r="H9" s="41" t="n">
        <f aca="false">IFERROR(INDEX($O$6:$O$46,MATCH(E9,$N$6:$N$46,0)),"")</f>
        <v>10</v>
      </c>
      <c r="I9" s="42" t="n">
        <f aca="false">IF(COUNT(F9:H9)=0,"n/a",AVERAGE(F9:H9))</f>
        <v>10.3333333333333</v>
      </c>
      <c r="J9" s="36" t="n">
        <f aca="false">IF(COUNT(F9:H9)=0,"n/a",12-I9)</f>
        <v>1.66666666666667</v>
      </c>
      <c r="K9" s="9" t="s">
        <v>204</v>
      </c>
      <c r="N9" s="44" t="s">
        <v>207</v>
      </c>
      <c r="O9" s="44" t="n">
        <v>20</v>
      </c>
    </row>
    <row r="10" customFormat="false" ht="15" hidden="false" customHeight="false" outlineLevel="0" collapsed="false">
      <c r="B10" s="11" t="s">
        <v>66</v>
      </c>
      <c r="C10" s="40" t="s">
        <v>137</v>
      </c>
      <c r="D10" s="40" t="s">
        <v>148</v>
      </c>
      <c r="E10" s="40" t="s">
        <v>150</v>
      </c>
      <c r="F10" s="41" t="n">
        <f aca="false">IFERROR(INDEX($O$6:$O$46,MATCH(C10,$N$6:$N$46,0)),"")</f>
        <v>10</v>
      </c>
      <c r="G10" s="41" t="n">
        <f aca="false">IFERROR(INDEX($O$6:$O$46,MATCH(D10,$N$6:$N$46,0)),"")</f>
        <v>10</v>
      </c>
      <c r="H10" s="41" t="n">
        <f aca="false">IFERROR(INDEX($O$6:$O$46,MATCH(E10,$N$6:$N$46,0)),"")</f>
        <v>9</v>
      </c>
      <c r="I10" s="42" t="n">
        <f aca="false">IF(COUNT(F10:H10)=0,"n/a",AVERAGE(F10:H10))</f>
        <v>9.66666666666667</v>
      </c>
      <c r="J10" s="36" t="n">
        <f aca="false">IF(COUNT(F10:H10)=0,"n/a",12-I10)</f>
        <v>2.33333333333333</v>
      </c>
      <c r="K10" s="9" t="s">
        <v>204</v>
      </c>
      <c r="N10" s="44" t="s">
        <v>208</v>
      </c>
      <c r="O10" s="44" t="n">
        <v>19</v>
      </c>
    </row>
    <row r="11" customFormat="false" ht="15" hidden="false" customHeight="false" outlineLevel="0" collapsed="false">
      <c r="B11" s="11" t="s">
        <v>67</v>
      </c>
      <c r="C11" s="40" t="s">
        <v>139</v>
      </c>
      <c r="D11" s="40" t="s">
        <v>151</v>
      </c>
      <c r="E11" s="40" t="s">
        <v>151</v>
      </c>
      <c r="F11" s="41" t="n">
        <f aca="false">IFERROR(INDEX($O$6:$O$46,MATCH(C11,$N$6:$N$46,0)),"")</f>
        <v>6</v>
      </c>
      <c r="G11" s="41" t="n">
        <f aca="false">IFERROR(INDEX($O$6:$O$46,MATCH(D11,$N$6:$N$46,0)),"")</f>
        <v>6</v>
      </c>
      <c r="H11" s="41" t="n">
        <f aca="false">IFERROR(INDEX($O$6:$O$46,MATCH(E11,$N$6:$N$46,0)),"")</f>
        <v>6</v>
      </c>
      <c r="I11" s="42" t="n">
        <f aca="false">IF(COUNT(F11:H11)=0,"n/a",AVERAGE(F11:H11))</f>
        <v>6</v>
      </c>
      <c r="J11" s="36" t="n">
        <f aca="false">IF(COUNT(F11:H11)=0,"n/a",12-I11)</f>
        <v>6</v>
      </c>
      <c r="K11" s="45" t="s">
        <v>209</v>
      </c>
      <c r="N11" s="44" t="s">
        <v>210</v>
      </c>
      <c r="O11" s="44" t="n">
        <v>19</v>
      </c>
    </row>
    <row r="12" customFormat="false" ht="15" hidden="false" customHeight="false" outlineLevel="0" collapsed="false">
      <c r="B12" s="11" t="s">
        <v>68</v>
      </c>
      <c r="C12" s="40" t="s">
        <v>140</v>
      </c>
      <c r="D12" s="40" t="s">
        <v>140</v>
      </c>
      <c r="E12" s="40" t="s">
        <v>140</v>
      </c>
      <c r="F12" s="41" t="str">
        <f aca="false">IFERROR(INDEX($O$6:$O$46,MATCH(C12,$N$6:$N$46,0)),"")</f>
        <v/>
      </c>
      <c r="G12" s="41" t="str">
        <f aca="false">IFERROR(INDEX($O$6:$O$46,MATCH(D12,$N$6:$N$46,0)),"")</f>
        <v/>
      </c>
      <c r="H12" s="41" t="str">
        <f aca="false">IFERROR(INDEX($O$6:$O$46,MATCH(E12,$N$6:$N$46,0)),"")</f>
        <v/>
      </c>
      <c r="I12" s="42" t="str">
        <f aca="false">IF(COUNT(F12:H12)=0,"n/a",AVERAGE(F12:H12))</f>
        <v>n/a</v>
      </c>
      <c r="J12" s="36" t="str">
        <f aca="false">IF(COUNT(F12:H12)=0,"n/a",12-I12)</f>
        <v>n/a</v>
      </c>
      <c r="K12" s="9" t="s">
        <v>204</v>
      </c>
      <c r="N12" s="44" t="s">
        <v>211</v>
      </c>
      <c r="O12" s="44" t="n">
        <v>18</v>
      </c>
    </row>
    <row r="13" customFormat="false" ht="15" hidden="false" customHeight="false" outlineLevel="0" collapsed="false">
      <c r="N13" s="44" t="s">
        <v>212</v>
      </c>
      <c r="O13" s="44" t="n">
        <v>18</v>
      </c>
    </row>
    <row r="14" customFormat="false" ht="15" hidden="false" customHeight="true" outlineLevel="0" collapsed="false">
      <c r="B14" s="19" t="s">
        <v>213</v>
      </c>
      <c r="C14" s="19"/>
      <c r="D14" s="19"/>
      <c r="E14" s="19"/>
      <c r="F14" s="19"/>
      <c r="G14" s="19"/>
      <c r="H14" s="19"/>
      <c r="I14" s="19"/>
      <c r="J14" s="19"/>
      <c r="K14" s="19"/>
      <c r="N14" s="44" t="s">
        <v>214</v>
      </c>
      <c r="O14" s="44" t="n">
        <v>17</v>
      </c>
    </row>
    <row r="15" customFormat="false" ht="15" hidden="false" customHeight="false" outlineLevel="0" collapsed="false">
      <c r="B15" s="19"/>
      <c r="C15" s="19"/>
      <c r="D15" s="19"/>
      <c r="E15" s="19"/>
      <c r="F15" s="19"/>
      <c r="G15" s="19"/>
      <c r="H15" s="19"/>
      <c r="I15" s="19"/>
      <c r="J15" s="19"/>
      <c r="K15" s="19"/>
      <c r="N15" s="44" t="s">
        <v>215</v>
      </c>
      <c r="O15" s="44" t="n">
        <v>17</v>
      </c>
    </row>
    <row r="16" customFormat="false" ht="15" hidden="false" customHeight="false" outlineLevel="0" collapsed="false">
      <c r="B16" s="19"/>
      <c r="C16" s="19"/>
      <c r="D16" s="19"/>
      <c r="E16" s="19"/>
      <c r="F16" s="19"/>
      <c r="G16" s="19"/>
      <c r="H16" s="19"/>
      <c r="I16" s="19"/>
      <c r="J16" s="19"/>
      <c r="K16" s="19"/>
      <c r="N16" s="44" t="s">
        <v>216</v>
      </c>
      <c r="O16" s="44" t="n">
        <v>16</v>
      </c>
    </row>
    <row r="17" customFormat="false" ht="15" hidden="false" customHeight="false" outlineLevel="0" collapsed="false">
      <c r="N17" s="44" t="s">
        <v>217</v>
      </c>
      <c r="O17" s="44" t="n">
        <v>16</v>
      </c>
    </row>
    <row r="18" customFormat="false" ht="15" hidden="false" customHeight="false" outlineLevel="0" collapsed="false">
      <c r="B18" s="4" t="s">
        <v>218</v>
      </c>
      <c r="N18" s="44" t="s">
        <v>219</v>
      </c>
      <c r="O18" s="44" t="n">
        <v>15</v>
      </c>
    </row>
    <row r="19" customFormat="false" ht="15" hidden="false" customHeight="false" outlineLevel="0" collapsed="false">
      <c r="B19" s="6" t="s">
        <v>220</v>
      </c>
      <c r="C19" s="6" t="s">
        <v>50</v>
      </c>
      <c r="D19" s="6" t="s">
        <v>221</v>
      </c>
      <c r="E19" s="6" t="s">
        <v>222</v>
      </c>
      <c r="F19" s="6" t="s">
        <v>223</v>
      </c>
      <c r="G19" s="6" t="s">
        <v>224</v>
      </c>
      <c r="H19" s="6" t="s">
        <v>225</v>
      </c>
      <c r="N19" s="44" t="s">
        <v>226</v>
      </c>
      <c r="O19" s="44" t="n">
        <v>15</v>
      </c>
    </row>
    <row r="20" customFormat="false" ht="15" hidden="false" customHeight="false" outlineLevel="0" collapsed="false">
      <c r="B20" s="46" t="s">
        <v>227</v>
      </c>
      <c r="C20" s="46" t="s">
        <v>65</v>
      </c>
      <c r="D20" s="46" t="s">
        <v>135</v>
      </c>
      <c r="E20" s="9" t="s">
        <v>228</v>
      </c>
      <c r="F20" s="46" t="s">
        <v>229</v>
      </c>
      <c r="G20" s="46" t="s">
        <v>230</v>
      </c>
      <c r="H20" s="46" t="s">
        <v>142</v>
      </c>
      <c r="N20" s="44" t="s">
        <v>231</v>
      </c>
      <c r="O20" s="44" t="n">
        <v>14</v>
      </c>
    </row>
    <row r="21" customFormat="false" ht="15" hidden="false" customHeight="false" outlineLevel="0" collapsed="false">
      <c r="B21" s="46" t="s">
        <v>232</v>
      </c>
      <c r="C21" s="46" t="s">
        <v>64</v>
      </c>
      <c r="D21" s="46" t="s">
        <v>135</v>
      </c>
      <c r="E21" s="9" t="s">
        <v>233</v>
      </c>
      <c r="F21" s="46" t="s">
        <v>138</v>
      </c>
      <c r="G21" s="46" t="s">
        <v>138</v>
      </c>
      <c r="H21" s="46" t="s">
        <v>143</v>
      </c>
      <c r="N21" s="44" t="s">
        <v>234</v>
      </c>
      <c r="O21" s="44" t="n">
        <v>14</v>
      </c>
    </row>
    <row r="22" customFormat="false" ht="15" hidden="false" customHeight="false" outlineLevel="0" collapsed="false">
      <c r="B22" s="46" t="s">
        <v>235</v>
      </c>
      <c r="C22" s="46" t="s">
        <v>62</v>
      </c>
      <c r="D22" s="46" t="s">
        <v>146</v>
      </c>
      <c r="E22" s="9" t="s">
        <v>233</v>
      </c>
      <c r="F22" s="46" t="s">
        <v>147</v>
      </c>
      <c r="G22" s="46" t="s">
        <v>147</v>
      </c>
      <c r="H22" s="46" t="s">
        <v>143</v>
      </c>
      <c r="N22" s="44" t="s">
        <v>236</v>
      </c>
      <c r="O22" s="44" t="n">
        <v>13</v>
      </c>
    </row>
    <row r="23" customFormat="false" ht="15" hidden="false" customHeight="false" outlineLevel="0" collapsed="false">
      <c r="B23" s="46" t="s">
        <v>237</v>
      </c>
      <c r="C23" s="46" t="s">
        <v>62</v>
      </c>
      <c r="D23" s="46" t="s">
        <v>135</v>
      </c>
      <c r="E23" s="9" t="s">
        <v>228</v>
      </c>
      <c r="F23" s="46" t="s">
        <v>136</v>
      </c>
      <c r="G23" s="46" t="s">
        <v>136</v>
      </c>
      <c r="H23" s="46" t="s">
        <v>142</v>
      </c>
      <c r="N23" s="44" t="s">
        <v>230</v>
      </c>
      <c r="O23" s="44" t="n">
        <v>13</v>
      </c>
    </row>
    <row r="24" customFormat="false" ht="15" hidden="false" customHeight="false" outlineLevel="0" collapsed="false">
      <c r="B24" s="46" t="s">
        <v>238</v>
      </c>
      <c r="C24" s="46" t="s">
        <v>67</v>
      </c>
      <c r="D24" s="46" t="s">
        <v>135</v>
      </c>
      <c r="E24" s="47" t="s">
        <v>239</v>
      </c>
      <c r="F24" s="46" t="s">
        <v>240</v>
      </c>
      <c r="G24" s="46" t="s">
        <v>139</v>
      </c>
      <c r="H24" s="46" t="s">
        <v>143</v>
      </c>
      <c r="N24" s="44" t="s">
        <v>147</v>
      </c>
      <c r="O24" s="44" t="n">
        <v>12</v>
      </c>
    </row>
    <row r="25" customFormat="false" ht="15" hidden="false" customHeight="false" outlineLevel="0" collapsed="false">
      <c r="B25" s="46" t="s">
        <v>241</v>
      </c>
      <c r="C25" s="46" t="s">
        <v>67</v>
      </c>
      <c r="D25" s="46" t="s">
        <v>153</v>
      </c>
      <c r="E25" s="47" t="s">
        <v>239</v>
      </c>
      <c r="F25" s="46" t="s">
        <v>242</v>
      </c>
      <c r="G25" s="46" t="s">
        <v>151</v>
      </c>
      <c r="H25" s="46" t="s">
        <v>143</v>
      </c>
      <c r="N25" s="44" t="s">
        <v>136</v>
      </c>
      <c r="O25" s="44" t="n">
        <v>12</v>
      </c>
    </row>
    <row r="26" customFormat="false" ht="15" hidden="false" customHeight="false" outlineLevel="0" collapsed="false">
      <c r="B26" s="46" t="s">
        <v>243</v>
      </c>
      <c r="C26" s="46" t="s">
        <v>65</v>
      </c>
      <c r="D26" s="46" t="s">
        <v>153</v>
      </c>
      <c r="E26" s="9" t="s">
        <v>228</v>
      </c>
      <c r="F26" s="46" t="s">
        <v>244</v>
      </c>
      <c r="G26" s="46" t="s">
        <v>149</v>
      </c>
      <c r="H26" s="46" t="s">
        <v>142</v>
      </c>
      <c r="N26" s="44" t="s">
        <v>149</v>
      </c>
      <c r="O26" s="44" t="n">
        <v>11</v>
      </c>
    </row>
    <row r="27" customFormat="false" ht="15" hidden="false" customHeight="false" outlineLevel="0" collapsed="false">
      <c r="B27" s="46" t="s">
        <v>245</v>
      </c>
      <c r="C27" s="46" t="s">
        <v>64</v>
      </c>
      <c r="D27" s="46" t="s">
        <v>146</v>
      </c>
      <c r="E27" s="47" t="s">
        <v>239</v>
      </c>
      <c r="F27" s="46" t="s">
        <v>148</v>
      </c>
      <c r="G27" s="46" t="s">
        <v>149</v>
      </c>
      <c r="H27" s="46" t="s">
        <v>143</v>
      </c>
      <c r="N27" s="44" t="s">
        <v>138</v>
      </c>
      <c r="O27" s="44" t="n">
        <v>11</v>
      </c>
    </row>
    <row r="28" customFormat="false" ht="15" hidden="false" customHeight="false" outlineLevel="0" collapsed="false">
      <c r="B28" s="46" t="s">
        <v>246</v>
      </c>
      <c r="C28" s="46" t="s">
        <v>65</v>
      </c>
      <c r="D28" s="46" t="s">
        <v>135</v>
      </c>
      <c r="E28" s="48" t="s">
        <v>247</v>
      </c>
      <c r="F28" s="46" t="s">
        <v>230</v>
      </c>
      <c r="G28" s="46" t="s">
        <v>136</v>
      </c>
      <c r="H28" s="46" t="s">
        <v>143</v>
      </c>
      <c r="N28" s="44" t="s">
        <v>148</v>
      </c>
      <c r="O28" s="44" t="n">
        <v>10</v>
      </c>
    </row>
    <row r="29" customFormat="false" ht="15" hidden="false" customHeight="false" outlineLevel="0" collapsed="false">
      <c r="B29" s="46" t="s">
        <v>246</v>
      </c>
      <c r="C29" s="46" t="s">
        <v>65</v>
      </c>
      <c r="D29" s="46" t="s">
        <v>146</v>
      </c>
      <c r="E29" s="48" t="s">
        <v>247</v>
      </c>
      <c r="F29" s="46" t="s">
        <v>149</v>
      </c>
      <c r="G29" s="46" t="s">
        <v>148</v>
      </c>
      <c r="H29" s="46" t="s">
        <v>142</v>
      </c>
      <c r="N29" s="44" t="s">
        <v>137</v>
      </c>
      <c r="O29" s="44" t="n">
        <v>10</v>
      </c>
    </row>
    <row r="30" customFormat="false" ht="22.35" hidden="false" customHeight="false" outlineLevel="0" collapsed="false">
      <c r="B30" s="46" t="s">
        <v>248</v>
      </c>
      <c r="C30" s="46" t="s">
        <v>66</v>
      </c>
      <c r="D30" s="46" t="s">
        <v>135</v>
      </c>
      <c r="E30" s="47" t="s">
        <v>239</v>
      </c>
      <c r="F30" s="46" t="s">
        <v>249</v>
      </c>
      <c r="G30" s="46" t="s">
        <v>137</v>
      </c>
      <c r="H30" s="46" t="s">
        <v>143</v>
      </c>
      <c r="N30" s="44" t="s">
        <v>150</v>
      </c>
      <c r="O30" s="44" t="n">
        <v>9</v>
      </c>
    </row>
    <row r="31" customFormat="false" ht="15" hidden="false" customHeight="false" outlineLevel="0" collapsed="false">
      <c r="B31" s="46" t="s">
        <v>250</v>
      </c>
      <c r="C31" s="46" t="s">
        <v>63</v>
      </c>
      <c r="D31" s="46" t="s">
        <v>135</v>
      </c>
      <c r="E31" s="47" t="s">
        <v>239</v>
      </c>
      <c r="F31" s="46" t="s">
        <v>249</v>
      </c>
      <c r="G31" s="46" t="s">
        <v>137</v>
      </c>
      <c r="H31" s="46" t="s">
        <v>143</v>
      </c>
      <c r="N31" s="44" t="s">
        <v>249</v>
      </c>
      <c r="O31" s="44" t="n">
        <v>9</v>
      </c>
    </row>
    <row r="32" customFormat="false" ht="15" hidden="false" customHeight="false" outlineLevel="0" collapsed="false">
      <c r="B32" s="46" t="s">
        <v>251</v>
      </c>
      <c r="C32" s="46" t="s">
        <v>63</v>
      </c>
      <c r="D32" s="46" t="s">
        <v>146</v>
      </c>
      <c r="E32" s="47" t="s">
        <v>239</v>
      </c>
      <c r="F32" s="46" t="s">
        <v>150</v>
      </c>
      <c r="G32" s="46" t="s">
        <v>148</v>
      </c>
      <c r="H32" s="46" t="s">
        <v>143</v>
      </c>
      <c r="N32" s="44" t="s">
        <v>252</v>
      </c>
      <c r="O32" s="44" t="n">
        <v>8</v>
      </c>
    </row>
    <row r="33" customFormat="false" ht="15" hidden="false" customHeight="false" outlineLevel="0" collapsed="false">
      <c r="B33" s="46" t="s">
        <v>253</v>
      </c>
      <c r="C33" s="46" t="s">
        <v>62</v>
      </c>
      <c r="D33" s="46" t="s">
        <v>153</v>
      </c>
      <c r="E33" s="9" t="s">
        <v>233</v>
      </c>
      <c r="F33" s="46" t="s">
        <v>149</v>
      </c>
      <c r="G33" s="46" t="s">
        <v>149</v>
      </c>
      <c r="H33" s="46" t="s">
        <v>143</v>
      </c>
      <c r="N33" s="44" t="s">
        <v>254</v>
      </c>
      <c r="O33" s="44" t="n">
        <v>8</v>
      </c>
    </row>
    <row r="34" customFormat="false" ht="15" hidden="false" customHeight="false" outlineLevel="0" collapsed="false">
      <c r="B34" s="46" t="s">
        <v>255</v>
      </c>
      <c r="C34" s="46" t="s">
        <v>65</v>
      </c>
      <c r="D34" s="46" t="s">
        <v>153</v>
      </c>
      <c r="E34" s="48" t="s">
        <v>247</v>
      </c>
      <c r="F34" s="46" t="s">
        <v>149</v>
      </c>
      <c r="G34" s="46" t="s">
        <v>148</v>
      </c>
      <c r="H34" s="46" t="s">
        <v>143</v>
      </c>
      <c r="N34" s="44" t="s">
        <v>256</v>
      </c>
      <c r="O34" s="44" t="n">
        <v>7</v>
      </c>
    </row>
    <row r="35" customFormat="false" ht="15" hidden="false" customHeight="false" outlineLevel="0" collapsed="false">
      <c r="B35" s="46" t="s">
        <v>257</v>
      </c>
      <c r="C35" s="46" t="s">
        <v>67</v>
      </c>
      <c r="D35" s="46" t="s">
        <v>135</v>
      </c>
      <c r="E35" s="9" t="s">
        <v>228</v>
      </c>
      <c r="F35" s="46" t="s">
        <v>258</v>
      </c>
      <c r="G35" s="46" t="s">
        <v>139</v>
      </c>
      <c r="H35" s="46" t="s">
        <v>144</v>
      </c>
      <c r="N35" s="44" t="s">
        <v>259</v>
      </c>
      <c r="O35" s="44" t="n">
        <v>7</v>
      </c>
    </row>
    <row r="36" customFormat="false" ht="15" hidden="false" customHeight="false" outlineLevel="0" collapsed="false">
      <c r="B36" s="46" t="s">
        <v>260</v>
      </c>
      <c r="C36" s="46" t="s">
        <v>65</v>
      </c>
      <c r="D36" s="46" t="s">
        <v>146</v>
      </c>
      <c r="E36" s="48" t="s">
        <v>247</v>
      </c>
      <c r="F36" s="46" t="s">
        <v>148</v>
      </c>
      <c r="G36" s="46" t="s">
        <v>150</v>
      </c>
      <c r="H36" s="46" t="s">
        <v>143</v>
      </c>
      <c r="N36" s="44" t="s">
        <v>151</v>
      </c>
      <c r="O36" s="44" t="n">
        <v>6</v>
      </c>
    </row>
    <row r="37" customFormat="false" ht="22.35" hidden="false" customHeight="false" outlineLevel="0" collapsed="false">
      <c r="B37" s="46" t="s">
        <v>261</v>
      </c>
      <c r="C37" s="46" t="s">
        <v>66</v>
      </c>
      <c r="D37" s="46" t="s">
        <v>153</v>
      </c>
      <c r="E37" s="9" t="s">
        <v>228</v>
      </c>
      <c r="F37" s="46" t="s">
        <v>262</v>
      </c>
      <c r="G37" s="46" t="s">
        <v>150</v>
      </c>
      <c r="H37" s="46" t="s">
        <v>143</v>
      </c>
      <c r="N37" s="44" t="s">
        <v>139</v>
      </c>
      <c r="O37" s="44" t="n">
        <v>6</v>
      </c>
    </row>
    <row r="38" customFormat="false" ht="15" hidden="false" customHeight="false" outlineLevel="0" collapsed="false">
      <c r="B38" s="46" t="s">
        <v>263</v>
      </c>
      <c r="C38" s="46" t="s">
        <v>67</v>
      </c>
      <c r="D38" s="46" t="s">
        <v>153</v>
      </c>
      <c r="E38" s="9" t="s">
        <v>233</v>
      </c>
      <c r="F38" s="46" t="s">
        <v>151</v>
      </c>
      <c r="G38" s="46" t="s">
        <v>151</v>
      </c>
      <c r="H38" s="46" t="s">
        <v>143</v>
      </c>
      <c r="N38" s="44" t="s">
        <v>242</v>
      </c>
      <c r="O38" s="44" t="n">
        <v>5</v>
      </c>
    </row>
    <row r="39" customFormat="false" ht="15" hidden="false" customHeight="false" outlineLevel="0" collapsed="false">
      <c r="B39" s="46" t="s">
        <v>264</v>
      </c>
      <c r="C39" s="46" t="s">
        <v>62</v>
      </c>
      <c r="D39" s="46" t="s">
        <v>135</v>
      </c>
      <c r="E39" s="9" t="s">
        <v>265</v>
      </c>
      <c r="F39" s="46" t="s">
        <v>266</v>
      </c>
      <c r="G39" s="46" t="s">
        <v>136</v>
      </c>
      <c r="H39" s="46" t="s">
        <v>142</v>
      </c>
      <c r="N39" s="44" t="s">
        <v>267</v>
      </c>
      <c r="O39" s="44" t="n">
        <v>5</v>
      </c>
    </row>
    <row r="40" customFormat="false" ht="15" hidden="false" customHeight="false" outlineLevel="0" collapsed="false">
      <c r="N40" s="44" t="s">
        <v>268</v>
      </c>
      <c r="O40" s="44" t="n">
        <v>4</v>
      </c>
    </row>
    <row r="41" customFormat="false" ht="15" hidden="false" customHeight="false" outlineLevel="0" collapsed="false">
      <c r="N41" s="44" t="s">
        <v>269</v>
      </c>
      <c r="O41" s="44" t="n">
        <v>4</v>
      </c>
    </row>
    <row r="42" customFormat="false" ht="15" hidden="false" customHeight="false" outlineLevel="0" collapsed="false">
      <c r="B42" s="4" t="s">
        <v>270</v>
      </c>
      <c r="N42" s="44" t="s">
        <v>271</v>
      </c>
      <c r="O42" s="44" t="n">
        <v>3</v>
      </c>
    </row>
    <row r="43" customFormat="false" ht="15" hidden="false" customHeight="false" outlineLevel="0" collapsed="false">
      <c r="B43" s="6" t="s">
        <v>50</v>
      </c>
      <c r="C43" s="6" t="s">
        <v>221</v>
      </c>
      <c r="D43" s="6" t="s">
        <v>200</v>
      </c>
      <c r="E43" s="6" t="s">
        <v>272</v>
      </c>
      <c r="F43" s="6" t="s">
        <v>273</v>
      </c>
      <c r="N43" s="44" t="s">
        <v>240</v>
      </c>
      <c r="O43" s="44" t="n">
        <v>3</v>
      </c>
    </row>
    <row r="44" customFormat="false" ht="25.5" hidden="false" customHeight="true" outlineLevel="0" collapsed="false">
      <c r="B44" s="46" t="s">
        <v>63</v>
      </c>
      <c r="C44" s="46" t="s">
        <v>153</v>
      </c>
      <c r="D44" s="46" t="s">
        <v>274</v>
      </c>
      <c r="E44" s="46" t="s">
        <v>275</v>
      </c>
      <c r="F44" s="9" t="s">
        <v>276</v>
      </c>
      <c r="N44" s="44" t="s">
        <v>277</v>
      </c>
      <c r="O44" s="44" t="n">
        <v>2</v>
      </c>
    </row>
    <row r="45" customFormat="false" ht="25.5" hidden="false" customHeight="true" outlineLevel="0" collapsed="false">
      <c r="B45" s="46" t="s">
        <v>64</v>
      </c>
      <c r="C45" s="46" t="s">
        <v>153</v>
      </c>
      <c r="D45" s="46" t="s">
        <v>278</v>
      </c>
      <c r="E45" s="46" t="s">
        <v>279</v>
      </c>
      <c r="F45" s="9" t="s">
        <v>280</v>
      </c>
      <c r="N45" s="44" t="s">
        <v>281</v>
      </c>
      <c r="O45" s="44" t="n">
        <v>2</v>
      </c>
    </row>
    <row r="46" customFormat="false" ht="25.5" hidden="false" customHeight="true" outlineLevel="0" collapsed="false">
      <c r="B46" s="46" t="s">
        <v>66</v>
      </c>
      <c r="C46" s="46" t="s">
        <v>146</v>
      </c>
      <c r="D46" s="46" t="s">
        <v>148</v>
      </c>
      <c r="E46" s="46" t="s">
        <v>282</v>
      </c>
      <c r="F46" s="9" t="s">
        <v>283</v>
      </c>
      <c r="N46" s="44" t="s">
        <v>284</v>
      </c>
      <c r="O46" s="44" t="n">
        <v>1</v>
      </c>
    </row>
    <row r="47" customFormat="false" ht="25.5" hidden="false" customHeight="true" outlineLevel="0" collapsed="false">
      <c r="B47" s="46" t="s">
        <v>67</v>
      </c>
      <c r="C47" s="46" t="s">
        <v>146</v>
      </c>
      <c r="D47" s="46" t="s">
        <v>151</v>
      </c>
      <c r="E47" s="46" t="s">
        <v>285</v>
      </c>
      <c r="F47" s="9" t="s">
        <v>286</v>
      </c>
    </row>
  </sheetData>
  <mergeCells count="1">
    <mergeCell ref="B14:K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B45"/>
    <pageSetUpPr fitToPage="false"/>
  </sheetPr>
  <dimension ref="B2:J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34"/>
    <col collapsed="false" customWidth="true" hidden="false" outlineLevel="0" max="4" min="4" style="0" width="40"/>
    <col collapsed="false" customWidth="true" hidden="false" outlineLevel="0" max="5" min="5" style="0" width="26"/>
    <col collapsed="false" customWidth="true" hidden="false" outlineLevel="0" max="7" min="6" style="0" width="12"/>
    <col collapsed="false" customWidth="true" hidden="false" outlineLevel="0" max="8" min="8" style="0" width="34"/>
    <col collapsed="false" customWidth="true" hidden="false" outlineLevel="0" max="9" min="9" style="0" width="30"/>
    <col collapsed="false" customWidth="true" hidden="false" outlineLevel="0" max="10" min="10" style="0" width="62"/>
  </cols>
  <sheetData>
    <row r="2" customFormat="false" ht="30" hidden="false" customHeight="true" outlineLevel="0" collapsed="false">
      <c r="B2" s="1" t="s">
        <v>287</v>
      </c>
      <c r="C2" s="2"/>
      <c r="D2" s="2"/>
      <c r="E2" s="2"/>
      <c r="F2" s="2"/>
      <c r="G2" s="2"/>
      <c r="H2" s="2"/>
      <c r="I2" s="2"/>
      <c r="J2" s="2"/>
    </row>
    <row r="3" customFormat="false" ht="13.5" hidden="false" customHeight="true" outlineLevel="0" collapsed="false">
      <c r="B3" s="14" t="s">
        <v>288</v>
      </c>
    </row>
    <row r="5" customFormat="false" ht="31.5" hidden="false" customHeight="true" outlineLevel="0" collapsed="false">
      <c r="B5" s="6" t="s">
        <v>50</v>
      </c>
      <c r="C5" s="6" t="s">
        <v>289</v>
      </c>
      <c r="D5" s="6" t="s">
        <v>290</v>
      </c>
      <c r="E5" s="6" t="s">
        <v>291</v>
      </c>
      <c r="F5" s="6" t="s">
        <v>292</v>
      </c>
      <c r="G5" s="6" t="s">
        <v>293</v>
      </c>
      <c r="H5" s="6" t="s">
        <v>294</v>
      </c>
      <c r="I5" s="6" t="s">
        <v>295</v>
      </c>
      <c r="J5" s="6" t="s">
        <v>296</v>
      </c>
    </row>
    <row r="6" customFormat="false" ht="57.75" hidden="false" customHeight="true" outlineLevel="0" collapsed="false">
      <c r="B6" s="7" t="s">
        <v>62</v>
      </c>
      <c r="C6" s="35" t="s">
        <v>297</v>
      </c>
      <c r="D6" s="35" t="s">
        <v>298</v>
      </c>
      <c r="E6" s="35" t="s">
        <v>299</v>
      </c>
      <c r="F6" s="35" t="s">
        <v>300</v>
      </c>
      <c r="G6" s="35" t="s">
        <v>301</v>
      </c>
      <c r="H6" s="35" t="s">
        <v>302</v>
      </c>
      <c r="I6" s="35" t="s">
        <v>303</v>
      </c>
      <c r="J6" s="49" t="s">
        <v>304</v>
      </c>
    </row>
    <row r="7" customFormat="false" ht="57.75" hidden="false" customHeight="true" outlineLevel="0" collapsed="false">
      <c r="B7" s="7" t="s">
        <v>63</v>
      </c>
      <c r="C7" s="35" t="s">
        <v>305</v>
      </c>
      <c r="D7" s="35" t="s">
        <v>306</v>
      </c>
      <c r="E7" s="35" t="s">
        <v>307</v>
      </c>
      <c r="F7" s="35" t="s">
        <v>308</v>
      </c>
      <c r="G7" s="35" t="s">
        <v>301</v>
      </c>
      <c r="H7" s="35" t="s">
        <v>302</v>
      </c>
      <c r="I7" s="35" t="s">
        <v>309</v>
      </c>
      <c r="J7" s="50" t="s">
        <v>310</v>
      </c>
    </row>
    <row r="8" customFormat="false" ht="57.75" hidden="false" customHeight="true" outlineLevel="0" collapsed="false">
      <c r="B8" s="7" t="s">
        <v>64</v>
      </c>
      <c r="C8" s="35" t="s">
        <v>311</v>
      </c>
      <c r="D8" s="35" t="s">
        <v>312</v>
      </c>
      <c r="E8" s="35" t="s">
        <v>313</v>
      </c>
      <c r="F8" s="35" t="s">
        <v>314</v>
      </c>
      <c r="G8" s="35" t="s">
        <v>315</v>
      </c>
      <c r="H8" s="35" t="s">
        <v>302</v>
      </c>
      <c r="I8" s="35" t="s">
        <v>303</v>
      </c>
      <c r="J8" s="50" t="s">
        <v>316</v>
      </c>
    </row>
    <row r="9" customFormat="false" ht="57.75" hidden="false" customHeight="true" outlineLevel="0" collapsed="false">
      <c r="B9" s="7" t="s">
        <v>65</v>
      </c>
      <c r="C9" s="35" t="s">
        <v>317</v>
      </c>
      <c r="D9" s="35" t="s">
        <v>318</v>
      </c>
      <c r="E9" s="35" t="s">
        <v>319</v>
      </c>
      <c r="F9" s="35" t="s">
        <v>320</v>
      </c>
      <c r="G9" s="35" t="s">
        <v>321</v>
      </c>
      <c r="H9" s="35" t="s">
        <v>322</v>
      </c>
      <c r="I9" s="35" t="s">
        <v>323</v>
      </c>
      <c r="J9" s="49" t="s">
        <v>324</v>
      </c>
    </row>
    <row r="10" customFormat="false" ht="57.75" hidden="false" customHeight="true" outlineLevel="0" collapsed="false">
      <c r="B10" s="7" t="s">
        <v>66</v>
      </c>
      <c r="C10" s="35" t="s">
        <v>325</v>
      </c>
      <c r="D10" s="35" t="s">
        <v>326</v>
      </c>
      <c r="E10" s="35" t="s">
        <v>327</v>
      </c>
      <c r="F10" s="35" t="s">
        <v>328</v>
      </c>
      <c r="G10" s="35" t="s">
        <v>329</v>
      </c>
      <c r="H10" s="35" t="s">
        <v>302</v>
      </c>
      <c r="I10" s="35" t="s">
        <v>330</v>
      </c>
      <c r="J10" s="50" t="s">
        <v>331</v>
      </c>
    </row>
    <row r="11" customFormat="false" ht="57.75" hidden="false" customHeight="true" outlineLevel="0" collapsed="false">
      <c r="B11" s="7" t="s">
        <v>67</v>
      </c>
      <c r="C11" s="35" t="s">
        <v>332</v>
      </c>
      <c r="D11" s="35" t="s">
        <v>333</v>
      </c>
      <c r="E11" s="35" t="s">
        <v>334</v>
      </c>
      <c r="F11" s="35" t="s">
        <v>308</v>
      </c>
      <c r="G11" s="35" t="s">
        <v>335</v>
      </c>
      <c r="H11" s="35" t="s">
        <v>302</v>
      </c>
      <c r="I11" s="35" t="s">
        <v>303</v>
      </c>
      <c r="J11" s="50" t="s">
        <v>336</v>
      </c>
    </row>
    <row r="12" customFormat="false" ht="57.75" hidden="false" customHeight="true" outlineLevel="0" collapsed="false">
      <c r="B12" s="7" t="s">
        <v>68</v>
      </c>
      <c r="C12" s="35" t="s">
        <v>337</v>
      </c>
      <c r="D12" s="35" t="s">
        <v>338</v>
      </c>
      <c r="E12" s="35" t="s">
        <v>338</v>
      </c>
      <c r="F12" s="35" t="s">
        <v>339</v>
      </c>
      <c r="G12" s="35" t="s">
        <v>340</v>
      </c>
      <c r="H12" s="35" t="s">
        <v>302</v>
      </c>
      <c r="I12" s="35" t="s">
        <v>303</v>
      </c>
      <c r="J12" s="50" t="s">
        <v>341</v>
      </c>
    </row>
    <row r="14" customFormat="false" ht="15" hidden="false" customHeight="false" outlineLevel="0" collapsed="false">
      <c r="B14" s="4" t="s">
        <v>342</v>
      </c>
    </row>
    <row r="15" customFormat="false" ht="15" hidden="false" customHeight="false" outlineLevel="0" collapsed="false">
      <c r="B15" s="51" t="s">
        <v>343</v>
      </c>
      <c r="C15" s="51"/>
      <c r="D15" s="51"/>
      <c r="E15" s="51"/>
      <c r="F15" s="51"/>
      <c r="G15" s="51"/>
      <c r="H15" s="51"/>
      <c r="I15" s="51"/>
      <c r="J15" s="51"/>
    </row>
    <row r="16" customFormat="false" ht="13.5" hidden="false" customHeight="true" outlineLevel="0" collapsed="false">
      <c r="B16" s="5" t="s">
        <v>344</v>
      </c>
      <c r="C16" s="5"/>
      <c r="D16" s="5"/>
      <c r="E16" s="5"/>
      <c r="F16" s="5"/>
      <c r="G16" s="5"/>
      <c r="H16" s="5"/>
      <c r="I16" s="5"/>
      <c r="J16" s="5"/>
    </row>
    <row r="17" customFormat="false" ht="15" hidden="false" customHeight="false" outlineLevel="0" collapsed="false">
      <c r="B17" s="5"/>
      <c r="C17" s="5"/>
      <c r="D17" s="5"/>
      <c r="E17" s="5"/>
      <c r="F17" s="5"/>
      <c r="G17" s="5"/>
      <c r="H17" s="5"/>
      <c r="I17" s="5"/>
      <c r="J17" s="5"/>
    </row>
    <row r="18" customFormat="false" ht="15" hidden="false" customHeight="false" outlineLevel="0" collapsed="false">
      <c r="B18" s="5"/>
      <c r="C18" s="5"/>
      <c r="D18" s="5"/>
      <c r="E18" s="5"/>
      <c r="F18" s="5"/>
      <c r="G18" s="5"/>
      <c r="H18" s="5"/>
      <c r="I18" s="5"/>
      <c r="J18" s="5"/>
    </row>
    <row r="19" customFormat="false" ht="15" hidden="false" customHeight="false" outlineLevel="0" collapsed="false">
      <c r="B19" s="5"/>
      <c r="C19" s="5"/>
      <c r="D19" s="5"/>
      <c r="E19" s="5"/>
      <c r="F19" s="5"/>
      <c r="G19" s="5"/>
      <c r="H19" s="5"/>
      <c r="I19" s="5"/>
      <c r="J19" s="5"/>
    </row>
    <row r="20" customFormat="false" ht="15" hidden="false" customHeight="false" outlineLevel="0" collapsed="false">
      <c r="B20" s="5"/>
      <c r="C20" s="5"/>
      <c r="D20" s="5"/>
      <c r="E20" s="5"/>
      <c r="F20" s="5"/>
      <c r="G20" s="5"/>
      <c r="H20" s="5"/>
      <c r="I20" s="5"/>
      <c r="J20" s="5"/>
    </row>
    <row r="21" customFormat="false" ht="15" hidden="false" customHeight="false" outlineLevel="0" collapsed="false">
      <c r="B21" s="5"/>
      <c r="C21" s="5"/>
      <c r="D21" s="5"/>
      <c r="E21" s="5"/>
      <c r="F21" s="5"/>
      <c r="G21" s="5"/>
      <c r="H21" s="5"/>
      <c r="I21" s="5"/>
      <c r="J21" s="5"/>
    </row>
    <row r="23" customFormat="false" ht="15" hidden="false" customHeight="false" outlineLevel="0" collapsed="false">
      <c r="B23" s="51" t="s">
        <v>345</v>
      </c>
      <c r="C23" s="51"/>
      <c r="D23" s="51"/>
      <c r="E23" s="51"/>
      <c r="F23" s="51"/>
      <c r="G23" s="51"/>
      <c r="H23" s="51"/>
      <c r="I23" s="51"/>
      <c r="J23" s="51"/>
    </row>
    <row r="24" customFormat="false" ht="13.5" hidden="false" customHeight="true" outlineLevel="0" collapsed="false">
      <c r="B24" s="5" t="s">
        <v>346</v>
      </c>
      <c r="C24" s="5"/>
      <c r="D24" s="5"/>
      <c r="E24" s="5"/>
      <c r="F24" s="5"/>
      <c r="G24" s="5"/>
      <c r="H24" s="5"/>
      <c r="I24" s="5"/>
      <c r="J24" s="5"/>
    </row>
    <row r="25" customFormat="false" ht="15" hidden="false" customHeight="false" outlineLevel="0" collapsed="false">
      <c r="B25" s="5"/>
      <c r="C25" s="5"/>
      <c r="D25" s="5"/>
      <c r="E25" s="5"/>
      <c r="F25" s="5"/>
      <c r="G25" s="5"/>
      <c r="H25" s="5"/>
      <c r="I25" s="5"/>
      <c r="J25" s="5"/>
    </row>
    <row r="26" customFormat="false" ht="15" hidden="false" customHeight="false" outlineLevel="0" collapsed="false">
      <c r="B26" s="5"/>
      <c r="C26" s="5"/>
      <c r="D26" s="5"/>
      <c r="E26" s="5"/>
      <c r="F26" s="5"/>
      <c r="G26" s="5"/>
      <c r="H26" s="5"/>
      <c r="I26" s="5"/>
      <c r="J26" s="5"/>
    </row>
    <row r="27" customFormat="false" ht="15" hidden="false" customHeight="false" outlineLevel="0" collapsed="false">
      <c r="B27" s="5"/>
      <c r="C27" s="5"/>
      <c r="D27" s="5"/>
      <c r="E27" s="5"/>
      <c r="F27" s="5"/>
      <c r="G27" s="5"/>
      <c r="H27" s="5"/>
      <c r="I27" s="5"/>
      <c r="J27" s="5"/>
    </row>
    <row r="28" customFormat="false" ht="15" hidden="false" customHeight="false" outlineLevel="0" collapsed="false">
      <c r="B28" s="5"/>
      <c r="C28" s="5"/>
      <c r="D28" s="5"/>
      <c r="E28" s="5"/>
      <c r="F28" s="5"/>
      <c r="G28" s="5"/>
      <c r="H28" s="5"/>
      <c r="I28" s="5"/>
      <c r="J28" s="5"/>
    </row>
    <row r="29" customFormat="false" ht="15" hidden="false" customHeight="false" outlineLevel="0" collapsed="false">
      <c r="B29" s="5"/>
      <c r="C29" s="5"/>
      <c r="D29" s="5"/>
      <c r="E29" s="5"/>
      <c r="F29" s="5"/>
      <c r="G29" s="5"/>
      <c r="H29" s="5"/>
      <c r="I29" s="5"/>
      <c r="J29" s="5"/>
    </row>
    <row r="31" customFormat="false" ht="15" hidden="false" customHeight="false" outlineLevel="0" collapsed="false">
      <c r="B31" s="4" t="s">
        <v>347</v>
      </c>
    </row>
    <row r="32" customFormat="false" ht="15" hidden="false" customHeight="false" outlineLevel="0" collapsed="false">
      <c r="B32" s="6" t="s">
        <v>348</v>
      </c>
      <c r="C32" s="6" t="s">
        <v>349</v>
      </c>
      <c r="D32" s="6" t="s">
        <v>350</v>
      </c>
    </row>
    <row r="33" customFormat="false" ht="15" hidden="false" customHeight="false" outlineLevel="0" collapsed="false">
      <c r="B33" s="52" t="s">
        <v>351</v>
      </c>
      <c r="C33" s="52" t="s">
        <v>352</v>
      </c>
      <c r="D33" s="10" t="s">
        <v>353</v>
      </c>
    </row>
    <row r="34" customFormat="false" ht="15" hidden="false" customHeight="false" outlineLevel="0" collapsed="false">
      <c r="B34" s="52" t="s">
        <v>354</v>
      </c>
      <c r="C34" s="52" t="s">
        <v>355</v>
      </c>
      <c r="D34" s="10" t="s">
        <v>356</v>
      </c>
    </row>
    <row r="35" customFormat="false" ht="15" hidden="false" customHeight="false" outlineLevel="0" collapsed="false">
      <c r="B35" s="52" t="s">
        <v>357</v>
      </c>
      <c r="C35" s="52" t="s">
        <v>358</v>
      </c>
      <c r="D35" s="10" t="s">
        <v>359</v>
      </c>
    </row>
    <row r="36" customFormat="false" ht="15" hidden="false" customHeight="false" outlineLevel="0" collapsed="false">
      <c r="B36" s="52" t="s">
        <v>360</v>
      </c>
      <c r="C36" s="52" t="s">
        <v>361</v>
      </c>
      <c r="D36" s="10" t="s">
        <v>362</v>
      </c>
    </row>
    <row r="38" customFormat="false" ht="15" hidden="false" customHeight="false" outlineLevel="0" collapsed="false">
      <c r="B38" s="4" t="s">
        <v>363</v>
      </c>
    </row>
    <row r="39" customFormat="false" ht="15" hidden="false" customHeight="true" outlineLevel="0" collapsed="false">
      <c r="B39" s="5" t="s">
        <v>364</v>
      </c>
      <c r="C39" s="5"/>
      <c r="D39" s="5"/>
      <c r="E39" s="5"/>
      <c r="F39" s="5"/>
      <c r="G39" s="5"/>
      <c r="H39" s="5"/>
      <c r="I39" s="5"/>
      <c r="J39" s="5"/>
    </row>
    <row r="40" customFormat="false" ht="15" hidden="false" customHeight="false" outlineLevel="0" collapsed="false">
      <c r="B40" s="5"/>
      <c r="C40" s="5"/>
      <c r="D40" s="5"/>
      <c r="E40" s="5"/>
      <c r="F40" s="5"/>
      <c r="G40" s="5"/>
      <c r="H40" s="5"/>
      <c r="I40" s="5"/>
      <c r="J40" s="5"/>
    </row>
    <row r="41" customFormat="false" ht="15" hidden="false" customHeight="false" outlineLevel="0" collapsed="false">
      <c r="B41" s="5"/>
      <c r="C41" s="5"/>
      <c r="D41" s="5"/>
      <c r="E41" s="5"/>
      <c r="F41" s="5"/>
      <c r="G41" s="5"/>
      <c r="H41" s="5"/>
      <c r="I41" s="5"/>
      <c r="J41" s="5"/>
    </row>
    <row r="42" customFormat="false" ht="15" hidden="false" customHeight="false" outlineLevel="0" collapsed="false">
      <c r="B42" s="5"/>
      <c r="C42" s="5"/>
      <c r="D42" s="5"/>
      <c r="E42" s="5"/>
      <c r="F42" s="5"/>
      <c r="G42" s="5"/>
      <c r="H42" s="5"/>
      <c r="I42" s="5"/>
      <c r="J42" s="5"/>
    </row>
  </sheetData>
  <mergeCells count="5">
    <mergeCell ref="B15:J15"/>
    <mergeCell ref="B16:J21"/>
    <mergeCell ref="B23:J23"/>
    <mergeCell ref="B24:J29"/>
    <mergeCell ref="B39:J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B45"/>
    <pageSetUpPr fitToPage="false"/>
  </sheetPr>
  <dimension ref="B2: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7"/>
    <col collapsed="false" customWidth="true" hidden="false" outlineLevel="0" max="3" min="3" style="0" width="30"/>
    <col collapsed="false" customWidth="true" hidden="false" outlineLevel="0" max="5" min="4" style="0" width="44"/>
    <col collapsed="false" customWidth="true" hidden="false" outlineLevel="0" max="6" min="6" style="0" width="52"/>
    <col collapsed="false" customWidth="true" hidden="false" outlineLevel="0" max="7" min="7" style="0" width="30"/>
  </cols>
  <sheetData>
    <row r="2" customFormat="false" ht="30" hidden="false" customHeight="true" outlineLevel="0" collapsed="false">
      <c r="B2" s="1" t="s">
        <v>365</v>
      </c>
      <c r="C2" s="2"/>
      <c r="D2" s="2"/>
      <c r="E2" s="2"/>
      <c r="F2" s="2"/>
      <c r="G2" s="2"/>
    </row>
    <row r="3" customFormat="false" ht="13.5" hidden="false" customHeight="true" outlineLevel="0" collapsed="false">
      <c r="B3" s="14" t="s">
        <v>366</v>
      </c>
    </row>
    <row r="5" customFormat="false" ht="15" hidden="false" customHeight="false" outlineLevel="0" collapsed="false">
      <c r="B5" s="4" t="s">
        <v>367</v>
      </c>
    </row>
    <row r="6" customFormat="false" ht="15" hidden="false" customHeight="false" outlineLevel="0" collapsed="false">
      <c r="B6" s="6" t="s">
        <v>50</v>
      </c>
      <c r="C6" s="6" t="s">
        <v>368</v>
      </c>
      <c r="D6" s="6" t="s">
        <v>369</v>
      </c>
      <c r="E6" s="6" t="s">
        <v>370</v>
      </c>
    </row>
    <row r="7" customFormat="false" ht="42" hidden="false" customHeight="true" outlineLevel="0" collapsed="false">
      <c r="B7" s="7" t="s">
        <v>62</v>
      </c>
      <c r="C7" s="9" t="s">
        <v>371</v>
      </c>
      <c r="D7" s="35" t="s">
        <v>372</v>
      </c>
      <c r="E7" s="35" t="s">
        <v>373</v>
      </c>
    </row>
    <row r="8" customFormat="false" ht="42" hidden="false" customHeight="true" outlineLevel="0" collapsed="false">
      <c r="B8" s="7" t="s">
        <v>62</v>
      </c>
      <c r="C8" s="9" t="s">
        <v>374</v>
      </c>
      <c r="D8" s="35" t="s">
        <v>375</v>
      </c>
      <c r="E8" s="35" t="s">
        <v>145</v>
      </c>
    </row>
    <row r="9" customFormat="false" ht="42" hidden="false" customHeight="true" outlineLevel="0" collapsed="false">
      <c r="B9" s="7" t="s">
        <v>62</v>
      </c>
      <c r="C9" s="9" t="s">
        <v>376</v>
      </c>
      <c r="D9" s="35" t="s">
        <v>377</v>
      </c>
      <c r="E9" s="35" t="s">
        <v>145</v>
      </c>
    </row>
    <row r="10" customFormat="false" ht="42" hidden="false" customHeight="true" outlineLevel="0" collapsed="false">
      <c r="B10" s="7" t="s">
        <v>63</v>
      </c>
      <c r="C10" s="9" t="s">
        <v>378</v>
      </c>
      <c r="D10" s="35" t="s">
        <v>379</v>
      </c>
      <c r="E10" s="35" t="s">
        <v>380</v>
      </c>
    </row>
    <row r="11" customFormat="false" ht="42" hidden="false" customHeight="true" outlineLevel="0" collapsed="false">
      <c r="B11" s="7" t="s">
        <v>64</v>
      </c>
      <c r="C11" s="9" t="s">
        <v>381</v>
      </c>
      <c r="D11" s="35" t="s">
        <v>382</v>
      </c>
      <c r="E11" s="35" t="s">
        <v>145</v>
      </c>
    </row>
    <row r="12" customFormat="false" ht="42" hidden="false" customHeight="true" outlineLevel="0" collapsed="false">
      <c r="B12" s="7" t="s">
        <v>65</v>
      </c>
      <c r="C12" s="9" t="s">
        <v>383</v>
      </c>
      <c r="D12" s="35" t="s">
        <v>384</v>
      </c>
      <c r="E12" s="35" t="s">
        <v>385</v>
      </c>
    </row>
    <row r="13" customFormat="false" ht="42" hidden="false" customHeight="true" outlineLevel="0" collapsed="false">
      <c r="B13" s="7" t="s">
        <v>65</v>
      </c>
      <c r="C13" s="9" t="s">
        <v>386</v>
      </c>
      <c r="D13" s="35" t="s">
        <v>387</v>
      </c>
      <c r="E13" s="35" t="s">
        <v>388</v>
      </c>
    </row>
    <row r="14" customFormat="false" ht="42" hidden="false" customHeight="true" outlineLevel="0" collapsed="false">
      <c r="B14" s="7" t="s">
        <v>65</v>
      </c>
      <c r="C14" s="9" t="s">
        <v>389</v>
      </c>
      <c r="D14" s="35" t="s">
        <v>390</v>
      </c>
      <c r="E14" s="35" t="s">
        <v>145</v>
      </c>
    </row>
    <row r="15" customFormat="false" ht="42" hidden="false" customHeight="true" outlineLevel="0" collapsed="false">
      <c r="B15" s="7" t="s">
        <v>66</v>
      </c>
      <c r="C15" s="9" t="s">
        <v>391</v>
      </c>
      <c r="D15" s="35" t="s">
        <v>392</v>
      </c>
      <c r="E15" s="35" t="s">
        <v>393</v>
      </c>
    </row>
    <row r="16" customFormat="false" ht="42" hidden="false" customHeight="true" outlineLevel="0" collapsed="false">
      <c r="B16" s="7" t="s">
        <v>66</v>
      </c>
      <c r="C16" s="9" t="s">
        <v>394</v>
      </c>
      <c r="D16" s="35" t="s">
        <v>395</v>
      </c>
      <c r="E16" s="35" t="s">
        <v>396</v>
      </c>
    </row>
    <row r="17" customFormat="false" ht="42" hidden="false" customHeight="true" outlineLevel="0" collapsed="false">
      <c r="B17" s="7" t="s">
        <v>66</v>
      </c>
      <c r="C17" s="9" t="s">
        <v>397</v>
      </c>
      <c r="D17" s="35" t="s">
        <v>398</v>
      </c>
      <c r="E17" s="35" t="s">
        <v>145</v>
      </c>
    </row>
    <row r="18" customFormat="false" ht="42" hidden="false" customHeight="true" outlineLevel="0" collapsed="false">
      <c r="B18" s="7" t="s">
        <v>67</v>
      </c>
      <c r="C18" s="9" t="s">
        <v>399</v>
      </c>
      <c r="D18" s="35" t="s">
        <v>400</v>
      </c>
      <c r="E18" s="35" t="s">
        <v>401</v>
      </c>
    </row>
    <row r="19" customFormat="false" ht="42" hidden="false" customHeight="true" outlineLevel="0" collapsed="false">
      <c r="B19" s="7" t="s">
        <v>67</v>
      </c>
      <c r="C19" s="9" t="s">
        <v>402</v>
      </c>
      <c r="D19" s="35" t="s">
        <v>403</v>
      </c>
      <c r="E19" s="35" t="s">
        <v>145</v>
      </c>
    </row>
    <row r="20" customFormat="false" ht="42" hidden="false" customHeight="true" outlineLevel="0" collapsed="false">
      <c r="B20" s="7" t="s">
        <v>68</v>
      </c>
      <c r="C20" s="9" t="s">
        <v>404</v>
      </c>
      <c r="D20" s="35" t="s">
        <v>405</v>
      </c>
      <c r="E20" s="35" t="s">
        <v>145</v>
      </c>
    </row>
    <row r="23" customFormat="false" ht="15" hidden="false" customHeight="false" outlineLevel="0" collapsed="false">
      <c r="B23" s="4" t="s">
        <v>406</v>
      </c>
    </row>
    <row r="24" customFormat="false" ht="15" hidden="false" customHeight="false" outlineLevel="0" collapsed="false">
      <c r="B24" s="6" t="s">
        <v>50</v>
      </c>
      <c r="C24" s="6" t="s">
        <v>407</v>
      </c>
      <c r="D24" s="6" t="s">
        <v>408</v>
      </c>
      <c r="E24" s="6" t="s">
        <v>409</v>
      </c>
      <c r="F24" s="6" t="s">
        <v>410</v>
      </c>
      <c r="G24" s="6" t="s">
        <v>411</v>
      </c>
    </row>
    <row r="25" customFormat="false" ht="33.75" hidden="false" customHeight="true" outlineLevel="0" collapsed="false">
      <c r="B25" s="7" t="s">
        <v>62</v>
      </c>
      <c r="C25" s="9" t="s">
        <v>412</v>
      </c>
      <c r="D25" s="35" t="s">
        <v>413</v>
      </c>
      <c r="E25" s="35" t="s">
        <v>414</v>
      </c>
      <c r="F25" s="53" t="s">
        <v>415</v>
      </c>
      <c r="G25" s="35" t="s">
        <v>416</v>
      </c>
    </row>
    <row r="26" customFormat="false" ht="33.75" hidden="false" customHeight="true" outlineLevel="0" collapsed="false">
      <c r="B26" s="7" t="s">
        <v>62</v>
      </c>
      <c r="C26" s="9" t="s">
        <v>417</v>
      </c>
      <c r="D26" s="35" t="s">
        <v>418</v>
      </c>
      <c r="E26" s="35" t="s">
        <v>419</v>
      </c>
      <c r="F26" s="35" t="s">
        <v>420</v>
      </c>
      <c r="G26" s="35" t="s">
        <v>421</v>
      </c>
    </row>
    <row r="27" customFormat="false" ht="33.75" hidden="false" customHeight="true" outlineLevel="0" collapsed="false">
      <c r="B27" s="7" t="s">
        <v>63</v>
      </c>
      <c r="C27" s="9" t="s">
        <v>422</v>
      </c>
      <c r="D27" s="35" t="s">
        <v>423</v>
      </c>
      <c r="E27" s="35" t="s">
        <v>424</v>
      </c>
      <c r="F27" s="35" t="s">
        <v>425</v>
      </c>
      <c r="G27" s="35" t="s">
        <v>426</v>
      </c>
    </row>
    <row r="28" customFormat="false" ht="33.75" hidden="false" customHeight="true" outlineLevel="0" collapsed="false">
      <c r="B28" s="7" t="s">
        <v>66</v>
      </c>
      <c r="C28" s="9" t="s">
        <v>427</v>
      </c>
      <c r="D28" s="35" t="s">
        <v>428</v>
      </c>
      <c r="E28" s="35" t="s">
        <v>429</v>
      </c>
      <c r="F28" s="35" t="s">
        <v>430</v>
      </c>
      <c r="G28" s="35" t="s">
        <v>431</v>
      </c>
    </row>
    <row r="29" customFormat="false" ht="33.75" hidden="false" customHeight="true" outlineLevel="0" collapsed="false">
      <c r="B29" s="7" t="s">
        <v>67</v>
      </c>
      <c r="C29" s="9" t="s">
        <v>432</v>
      </c>
      <c r="D29" s="35" t="s">
        <v>433</v>
      </c>
      <c r="E29" s="35" t="s">
        <v>145</v>
      </c>
      <c r="F29" s="35" t="s">
        <v>434</v>
      </c>
      <c r="G29" s="35" t="s">
        <v>435</v>
      </c>
    </row>
    <row r="30" customFormat="false" ht="33.75" hidden="false" customHeight="true" outlineLevel="0" collapsed="false">
      <c r="B30" s="7" t="s">
        <v>65</v>
      </c>
      <c r="C30" s="9" t="s">
        <v>436</v>
      </c>
      <c r="D30" s="35" t="s">
        <v>437</v>
      </c>
      <c r="E30" s="35" t="s">
        <v>438</v>
      </c>
      <c r="F30" s="35" t="s">
        <v>145</v>
      </c>
      <c r="G30" s="35" t="s">
        <v>439</v>
      </c>
    </row>
    <row r="31" customFormat="false" ht="33.75" hidden="false" customHeight="true" outlineLevel="0" collapsed="false">
      <c r="B31" s="7" t="s">
        <v>64</v>
      </c>
      <c r="C31" s="9" t="s">
        <v>440</v>
      </c>
      <c r="D31" s="35" t="s">
        <v>145</v>
      </c>
      <c r="E31" s="35" t="s">
        <v>145</v>
      </c>
      <c r="F31" s="35" t="s">
        <v>145</v>
      </c>
      <c r="G31" s="35" t="s">
        <v>145</v>
      </c>
    </row>
    <row r="32" customFormat="false" ht="33.75" hidden="false" customHeight="true" outlineLevel="0" collapsed="false">
      <c r="B32" s="7" t="s">
        <v>68</v>
      </c>
      <c r="C32" s="9" t="s">
        <v>440</v>
      </c>
      <c r="D32" s="35" t="s">
        <v>145</v>
      </c>
      <c r="E32" s="35" t="s">
        <v>145</v>
      </c>
      <c r="F32" s="35" t="s">
        <v>145</v>
      </c>
      <c r="G32" s="35" t="s">
        <v>145</v>
      </c>
    </row>
    <row r="34" customFormat="false" ht="15" hidden="false" customHeight="true" outlineLevel="0" collapsed="false">
      <c r="B34" s="3" t="s">
        <v>441</v>
      </c>
      <c r="C34" s="3"/>
      <c r="D34" s="3"/>
      <c r="E34" s="3"/>
      <c r="F34" s="3"/>
      <c r="G34" s="3"/>
    </row>
    <row r="35" customFormat="false" ht="15" hidden="false" customHeight="false" outlineLevel="0" collapsed="false">
      <c r="B35" s="3"/>
      <c r="C35" s="3"/>
      <c r="D35" s="3"/>
      <c r="E35" s="3"/>
      <c r="F35" s="3"/>
      <c r="G35" s="3"/>
    </row>
    <row r="36" customFormat="false" ht="15" hidden="false" customHeight="false" outlineLevel="0" collapsed="false">
      <c r="B36" s="3"/>
      <c r="C36" s="3"/>
      <c r="D36" s="3"/>
      <c r="E36" s="3"/>
      <c r="F36" s="3"/>
      <c r="G36" s="3"/>
    </row>
    <row r="37" customFormat="false" ht="15" hidden="false" customHeight="false" outlineLevel="0" collapsed="false">
      <c r="B37" s="3"/>
      <c r="C37" s="3"/>
      <c r="D37" s="3"/>
      <c r="E37" s="3"/>
      <c r="F37" s="3"/>
      <c r="G37" s="3"/>
    </row>
  </sheetData>
  <mergeCells count="1">
    <mergeCell ref="B34:G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B45"/>
    <pageSetUpPr fitToPage="false"/>
  </sheetPr>
  <dimension ref="B2: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7"/>
    <col collapsed="false" customWidth="true" hidden="false" outlineLevel="0" max="3" min="3" style="0" width="44"/>
    <col collapsed="false" customWidth="true" hidden="false" outlineLevel="0" max="4" min="4" style="0" width="34"/>
    <col collapsed="false" customWidth="true" hidden="false" outlineLevel="0" max="6" min="5" style="0" width="62"/>
  </cols>
  <sheetData>
    <row r="2" customFormat="false" ht="30" hidden="false" customHeight="true" outlineLevel="0" collapsed="false">
      <c r="B2" s="1" t="s">
        <v>442</v>
      </c>
      <c r="C2" s="2"/>
      <c r="D2" s="2"/>
      <c r="E2" s="2"/>
      <c r="F2" s="2"/>
    </row>
    <row r="3" customFormat="false" ht="13.5" hidden="false" customHeight="true" outlineLevel="0" collapsed="false">
      <c r="B3" s="14" t="s">
        <v>443</v>
      </c>
    </row>
    <row r="5" customFormat="false" ht="24" hidden="false" customHeight="true" outlineLevel="0" collapsed="false">
      <c r="B5" s="6" t="s">
        <v>50</v>
      </c>
      <c r="C5" s="6" t="s">
        <v>444</v>
      </c>
      <c r="D5" s="6" t="s">
        <v>445</v>
      </c>
      <c r="E5" s="6" t="s">
        <v>446</v>
      </c>
      <c r="F5" s="6" t="s">
        <v>447</v>
      </c>
    </row>
    <row r="6" customFormat="false" ht="33.75" hidden="false" customHeight="true" outlineLevel="0" collapsed="false">
      <c r="B6" s="7" t="s">
        <v>62</v>
      </c>
      <c r="C6" s="9" t="s">
        <v>448</v>
      </c>
      <c r="D6" s="35" t="s">
        <v>449</v>
      </c>
      <c r="E6" s="35" t="s">
        <v>450</v>
      </c>
      <c r="F6" s="35" t="s">
        <v>451</v>
      </c>
    </row>
    <row r="7" customFormat="false" ht="33.75" hidden="false" customHeight="true" outlineLevel="0" collapsed="false">
      <c r="B7" s="7" t="s">
        <v>62</v>
      </c>
      <c r="C7" s="9" t="s">
        <v>452</v>
      </c>
      <c r="D7" s="35" t="s">
        <v>453</v>
      </c>
      <c r="E7" s="35" t="s">
        <v>454</v>
      </c>
      <c r="F7" s="35" t="s">
        <v>455</v>
      </c>
    </row>
    <row r="8" customFormat="false" ht="33.75" hidden="false" customHeight="true" outlineLevel="0" collapsed="false">
      <c r="B8" s="7" t="s">
        <v>62</v>
      </c>
      <c r="C8" s="9" t="s">
        <v>456</v>
      </c>
      <c r="D8" s="35" t="s">
        <v>457</v>
      </c>
      <c r="E8" s="35" t="s">
        <v>458</v>
      </c>
      <c r="F8" s="35" t="s">
        <v>459</v>
      </c>
    </row>
    <row r="9" customFormat="false" ht="33.75" hidden="false" customHeight="true" outlineLevel="0" collapsed="false">
      <c r="B9" s="7" t="s">
        <v>62</v>
      </c>
      <c r="C9" s="9" t="s">
        <v>460</v>
      </c>
      <c r="D9" s="35" t="s">
        <v>86</v>
      </c>
      <c r="E9" s="35" t="s">
        <v>461</v>
      </c>
      <c r="F9" s="35" t="s">
        <v>462</v>
      </c>
    </row>
    <row r="10" customFormat="false" ht="33.75" hidden="false" customHeight="true" outlineLevel="0" collapsed="false">
      <c r="B10" s="7" t="s">
        <v>62</v>
      </c>
      <c r="C10" s="9" t="s">
        <v>463</v>
      </c>
      <c r="D10" s="35" t="s">
        <v>86</v>
      </c>
      <c r="E10" s="35" t="s">
        <v>464</v>
      </c>
      <c r="F10" s="35" t="s">
        <v>145</v>
      </c>
    </row>
    <row r="11" customFormat="false" ht="33.75" hidden="false" customHeight="true" outlineLevel="0" collapsed="false">
      <c r="B11" s="7" t="s">
        <v>63</v>
      </c>
      <c r="C11" s="9" t="s">
        <v>465</v>
      </c>
      <c r="D11" s="35" t="s">
        <v>466</v>
      </c>
      <c r="E11" s="35" t="s">
        <v>467</v>
      </c>
      <c r="F11" s="35" t="s">
        <v>468</v>
      </c>
    </row>
    <row r="12" customFormat="false" ht="33.75" hidden="false" customHeight="true" outlineLevel="0" collapsed="false">
      <c r="B12" s="7" t="s">
        <v>64</v>
      </c>
      <c r="C12" s="9" t="s">
        <v>469</v>
      </c>
      <c r="D12" s="35" t="s">
        <v>86</v>
      </c>
      <c r="E12" s="35" t="s">
        <v>470</v>
      </c>
      <c r="F12" s="35" t="s">
        <v>471</v>
      </c>
    </row>
    <row r="13" customFormat="false" ht="33.75" hidden="false" customHeight="true" outlineLevel="0" collapsed="false">
      <c r="B13" s="7" t="s">
        <v>65</v>
      </c>
      <c r="C13" s="9" t="s">
        <v>472</v>
      </c>
      <c r="D13" s="35" t="s">
        <v>86</v>
      </c>
      <c r="E13" s="35" t="s">
        <v>473</v>
      </c>
      <c r="F13" s="35" t="s">
        <v>474</v>
      </c>
    </row>
    <row r="14" customFormat="false" ht="33.75" hidden="false" customHeight="true" outlineLevel="0" collapsed="false">
      <c r="B14" s="7" t="s">
        <v>65</v>
      </c>
      <c r="C14" s="9" t="s">
        <v>475</v>
      </c>
      <c r="D14" s="35" t="s">
        <v>476</v>
      </c>
      <c r="E14" s="35" t="s">
        <v>477</v>
      </c>
      <c r="F14" s="35" t="s">
        <v>478</v>
      </c>
    </row>
    <row r="15" customFormat="false" ht="33.75" hidden="false" customHeight="true" outlineLevel="0" collapsed="false">
      <c r="B15" s="7" t="s">
        <v>65</v>
      </c>
      <c r="C15" s="9" t="s">
        <v>479</v>
      </c>
      <c r="D15" s="35" t="s">
        <v>480</v>
      </c>
      <c r="E15" s="35" t="s">
        <v>481</v>
      </c>
      <c r="F15" s="35" t="s">
        <v>482</v>
      </c>
    </row>
    <row r="16" customFormat="false" ht="33.75" hidden="false" customHeight="true" outlineLevel="0" collapsed="false">
      <c r="B16" s="7" t="s">
        <v>65</v>
      </c>
      <c r="C16" s="9" t="s">
        <v>483</v>
      </c>
      <c r="D16" s="35" t="s">
        <v>86</v>
      </c>
      <c r="E16" s="35" t="s">
        <v>484</v>
      </c>
      <c r="F16" s="35" t="s">
        <v>485</v>
      </c>
    </row>
    <row r="17" customFormat="false" ht="33.75" hidden="false" customHeight="true" outlineLevel="0" collapsed="false">
      <c r="B17" s="7" t="s">
        <v>65</v>
      </c>
      <c r="C17" s="9" t="s">
        <v>486</v>
      </c>
      <c r="D17" s="35" t="s">
        <v>86</v>
      </c>
      <c r="E17" s="35" t="s">
        <v>487</v>
      </c>
      <c r="F17" s="35" t="s">
        <v>145</v>
      </c>
    </row>
    <row r="18" customFormat="false" ht="33.75" hidden="false" customHeight="true" outlineLevel="0" collapsed="false">
      <c r="B18" s="7" t="s">
        <v>65</v>
      </c>
      <c r="C18" s="9" t="s">
        <v>488</v>
      </c>
      <c r="D18" s="35" t="s">
        <v>489</v>
      </c>
      <c r="E18" s="35" t="s">
        <v>490</v>
      </c>
      <c r="F18" s="35" t="s">
        <v>491</v>
      </c>
    </row>
    <row r="19" customFormat="false" ht="33.75" hidden="false" customHeight="true" outlineLevel="0" collapsed="false">
      <c r="B19" s="7" t="s">
        <v>66</v>
      </c>
      <c r="C19" s="9" t="s">
        <v>492</v>
      </c>
      <c r="D19" s="35" t="s">
        <v>493</v>
      </c>
      <c r="E19" s="35" t="s">
        <v>494</v>
      </c>
      <c r="F19" s="35" t="s">
        <v>495</v>
      </c>
    </row>
    <row r="20" customFormat="false" ht="33.75" hidden="false" customHeight="true" outlineLevel="0" collapsed="false">
      <c r="B20" s="7" t="s">
        <v>66</v>
      </c>
      <c r="C20" s="9" t="s">
        <v>496</v>
      </c>
      <c r="D20" s="35" t="s">
        <v>497</v>
      </c>
      <c r="E20" s="35" t="s">
        <v>498</v>
      </c>
      <c r="F20" s="35" t="s">
        <v>499</v>
      </c>
    </row>
    <row r="21" customFormat="false" ht="33.75" hidden="false" customHeight="true" outlineLevel="0" collapsed="false">
      <c r="B21" s="7" t="s">
        <v>66</v>
      </c>
      <c r="C21" s="9" t="s">
        <v>500</v>
      </c>
      <c r="D21" s="35" t="s">
        <v>86</v>
      </c>
      <c r="E21" s="35" t="s">
        <v>501</v>
      </c>
      <c r="F21" s="35" t="s">
        <v>502</v>
      </c>
    </row>
    <row r="22" customFormat="false" ht="33.75" hidden="false" customHeight="true" outlineLevel="0" collapsed="false">
      <c r="B22" s="7" t="s">
        <v>67</v>
      </c>
      <c r="C22" s="9" t="s">
        <v>503</v>
      </c>
      <c r="D22" s="35" t="s">
        <v>86</v>
      </c>
      <c r="E22" s="35" t="s">
        <v>504</v>
      </c>
      <c r="F22" s="35" t="s">
        <v>145</v>
      </c>
    </row>
    <row r="23" customFormat="false" ht="33.75" hidden="false" customHeight="true" outlineLevel="0" collapsed="false">
      <c r="B23" s="7" t="s">
        <v>68</v>
      </c>
      <c r="C23" s="9" t="s">
        <v>505</v>
      </c>
      <c r="D23" s="35" t="s">
        <v>86</v>
      </c>
      <c r="E23" s="35" t="s">
        <v>506</v>
      </c>
      <c r="F23" s="35" t="s">
        <v>145</v>
      </c>
    </row>
    <row r="24" customFormat="false" ht="33.75" hidden="false" customHeight="true" outlineLevel="0" collapsed="false">
      <c r="B24" s="7" t="s">
        <v>68</v>
      </c>
      <c r="C24" s="9" t="s">
        <v>507</v>
      </c>
      <c r="D24" s="35" t="s">
        <v>508</v>
      </c>
      <c r="E24" s="35" t="s">
        <v>509</v>
      </c>
      <c r="F24" s="35" t="s">
        <v>510</v>
      </c>
    </row>
    <row r="26" customFormat="false" ht="15" hidden="false" customHeight="true" outlineLevel="0" collapsed="false">
      <c r="B26" s="19" t="s">
        <v>511</v>
      </c>
      <c r="C26" s="19"/>
      <c r="D26" s="19"/>
      <c r="E26" s="19"/>
      <c r="F26" s="19"/>
      <c r="G26" s="19"/>
    </row>
    <row r="27" customFormat="false" ht="15" hidden="false" customHeight="false" outlineLevel="0" collapsed="false">
      <c r="B27" s="19"/>
      <c r="C27" s="19"/>
      <c r="D27" s="19"/>
      <c r="E27" s="19"/>
      <c r="F27" s="19"/>
      <c r="G27" s="19"/>
    </row>
    <row r="28" customFormat="false" ht="15" hidden="false" customHeight="false" outlineLevel="0" collapsed="false">
      <c r="B28" s="19"/>
      <c r="C28" s="19"/>
      <c r="D28" s="19"/>
      <c r="E28" s="19"/>
      <c r="F28" s="19"/>
      <c r="G28" s="19"/>
    </row>
  </sheetData>
  <mergeCells count="1">
    <mergeCell ref="B26:G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B45"/>
    <pageSetUpPr fitToPage="false"/>
  </sheetPr>
  <dimension ref="B2:F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34"/>
    <col collapsed="false" customWidth="true" hidden="false" outlineLevel="0" max="4" min="4" style="0" width="82"/>
    <col collapsed="false" customWidth="true" hidden="false" outlineLevel="0" max="5" min="5" style="0" width="34"/>
  </cols>
  <sheetData>
    <row r="2" customFormat="false" ht="30" hidden="false" customHeight="true" outlineLevel="0" collapsed="false">
      <c r="B2" s="1" t="s">
        <v>512</v>
      </c>
      <c r="C2" s="2"/>
      <c r="D2" s="2"/>
      <c r="E2" s="2"/>
      <c r="F2" s="2"/>
    </row>
    <row r="3" customFormat="false" ht="13.5" hidden="false" customHeight="true" outlineLevel="0" collapsed="false">
      <c r="B3" s="14" t="s">
        <v>513</v>
      </c>
    </row>
    <row r="5" customFormat="false" ht="15" hidden="false" customHeight="false" outlineLevel="0" collapsed="false">
      <c r="B5" s="4" t="s">
        <v>514</v>
      </c>
    </row>
    <row r="6" customFormat="false" ht="15" hidden="false" customHeight="false" outlineLevel="0" collapsed="false">
      <c r="B6" s="6" t="s">
        <v>50</v>
      </c>
      <c r="C6" s="6" t="s">
        <v>515</v>
      </c>
      <c r="D6" s="6" t="s">
        <v>516</v>
      </c>
      <c r="E6" s="6" t="s">
        <v>517</v>
      </c>
    </row>
    <row r="7" customFormat="false" ht="33.75" hidden="false" customHeight="true" outlineLevel="0" collapsed="false">
      <c r="B7" s="7" t="s">
        <v>62</v>
      </c>
      <c r="C7" s="9" t="s">
        <v>518</v>
      </c>
      <c r="D7" s="35" t="s">
        <v>519</v>
      </c>
      <c r="E7" s="50" t="s">
        <v>520</v>
      </c>
    </row>
    <row r="8" customFormat="false" ht="33.75" hidden="false" customHeight="true" outlineLevel="0" collapsed="false">
      <c r="B8" s="7" t="s">
        <v>62</v>
      </c>
      <c r="C8" s="9" t="s">
        <v>521</v>
      </c>
      <c r="D8" s="35" t="s">
        <v>522</v>
      </c>
      <c r="E8" s="50" t="s">
        <v>523</v>
      </c>
    </row>
    <row r="9" customFormat="false" ht="33.75" hidden="false" customHeight="true" outlineLevel="0" collapsed="false">
      <c r="B9" s="7" t="s">
        <v>62</v>
      </c>
      <c r="C9" s="9" t="s">
        <v>524</v>
      </c>
      <c r="D9" s="35" t="s">
        <v>525</v>
      </c>
      <c r="E9" s="50" t="s">
        <v>526</v>
      </c>
    </row>
    <row r="10" customFormat="false" ht="33.75" hidden="false" customHeight="true" outlineLevel="0" collapsed="false">
      <c r="B10" s="7" t="s">
        <v>63</v>
      </c>
      <c r="C10" s="9" t="s">
        <v>527</v>
      </c>
      <c r="D10" s="35" t="s">
        <v>528</v>
      </c>
      <c r="E10" s="50" t="s">
        <v>529</v>
      </c>
    </row>
    <row r="11" customFormat="false" ht="33.75" hidden="false" customHeight="true" outlineLevel="0" collapsed="false">
      <c r="B11" s="7" t="s">
        <v>63</v>
      </c>
      <c r="C11" s="9" t="s">
        <v>530</v>
      </c>
      <c r="D11" s="35" t="s">
        <v>531</v>
      </c>
      <c r="E11" s="50" t="s">
        <v>532</v>
      </c>
    </row>
    <row r="12" customFormat="false" ht="33.75" hidden="false" customHeight="true" outlineLevel="0" collapsed="false">
      <c r="B12" s="7" t="s">
        <v>64</v>
      </c>
      <c r="C12" s="9" t="s">
        <v>533</v>
      </c>
      <c r="D12" s="35" t="s">
        <v>534</v>
      </c>
      <c r="E12" s="50" t="s">
        <v>535</v>
      </c>
    </row>
    <row r="13" customFormat="false" ht="33.75" hidden="false" customHeight="true" outlineLevel="0" collapsed="false">
      <c r="B13" s="7" t="s">
        <v>64</v>
      </c>
      <c r="C13" s="9" t="s">
        <v>536</v>
      </c>
      <c r="D13" s="35" t="s">
        <v>537</v>
      </c>
      <c r="E13" s="50" t="s">
        <v>538</v>
      </c>
    </row>
    <row r="14" customFormat="false" ht="33.75" hidden="false" customHeight="true" outlineLevel="0" collapsed="false">
      <c r="B14" s="7" t="s">
        <v>65</v>
      </c>
      <c r="C14" s="9" t="s">
        <v>539</v>
      </c>
      <c r="D14" s="35" t="s">
        <v>540</v>
      </c>
      <c r="E14" s="50" t="s">
        <v>541</v>
      </c>
    </row>
    <row r="15" customFormat="false" ht="33.75" hidden="false" customHeight="true" outlineLevel="0" collapsed="false">
      <c r="B15" s="7" t="s">
        <v>65</v>
      </c>
      <c r="C15" s="9" t="s">
        <v>542</v>
      </c>
      <c r="D15" s="35" t="s">
        <v>543</v>
      </c>
      <c r="E15" s="50" t="s">
        <v>544</v>
      </c>
    </row>
    <row r="16" customFormat="false" ht="33.75" hidden="false" customHeight="true" outlineLevel="0" collapsed="false">
      <c r="B16" s="7" t="s">
        <v>65</v>
      </c>
      <c r="C16" s="9" t="s">
        <v>545</v>
      </c>
      <c r="D16" s="35" t="s">
        <v>546</v>
      </c>
      <c r="E16" s="50" t="s">
        <v>547</v>
      </c>
    </row>
    <row r="17" customFormat="false" ht="33.75" hidden="false" customHeight="true" outlineLevel="0" collapsed="false">
      <c r="B17" s="7" t="s">
        <v>66</v>
      </c>
      <c r="C17" s="9" t="s">
        <v>548</v>
      </c>
      <c r="D17" s="35" t="s">
        <v>549</v>
      </c>
      <c r="E17" s="50" t="s">
        <v>550</v>
      </c>
    </row>
    <row r="18" customFormat="false" ht="33.75" hidden="false" customHeight="true" outlineLevel="0" collapsed="false">
      <c r="B18" s="7" t="s">
        <v>66</v>
      </c>
      <c r="C18" s="9" t="s">
        <v>551</v>
      </c>
      <c r="D18" s="35" t="s">
        <v>552</v>
      </c>
      <c r="E18" s="50" t="s">
        <v>553</v>
      </c>
    </row>
    <row r="19" customFormat="false" ht="33.75" hidden="false" customHeight="true" outlineLevel="0" collapsed="false">
      <c r="B19" s="7" t="s">
        <v>67</v>
      </c>
      <c r="C19" s="9" t="s">
        <v>554</v>
      </c>
      <c r="D19" s="35" t="s">
        <v>555</v>
      </c>
      <c r="E19" s="50" t="s">
        <v>556</v>
      </c>
    </row>
    <row r="20" customFormat="false" ht="33.75" hidden="false" customHeight="true" outlineLevel="0" collapsed="false">
      <c r="B20" s="7" t="s">
        <v>67</v>
      </c>
      <c r="C20" s="9" t="s">
        <v>557</v>
      </c>
      <c r="D20" s="35" t="s">
        <v>558</v>
      </c>
      <c r="E20" s="50" t="s">
        <v>559</v>
      </c>
    </row>
    <row r="21" customFormat="false" ht="33.75" hidden="false" customHeight="true" outlineLevel="0" collapsed="false">
      <c r="B21" s="7" t="s">
        <v>68</v>
      </c>
      <c r="C21" s="9" t="s">
        <v>560</v>
      </c>
      <c r="D21" s="35" t="s">
        <v>561</v>
      </c>
      <c r="E21" s="50" t="s">
        <v>562</v>
      </c>
    </row>
    <row r="24" customFormat="false" ht="15" hidden="false" customHeight="false" outlineLevel="0" collapsed="false">
      <c r="B24" s="4" t="s">
        <v>563</v>
      </c>
    </row>
    <row r="25" customFormat="false" ht="15" hidden="false" customHeight="false" outlineLevel="0" collapsed="false">
      <c r="B25" s="6" t="s">
        <v>50</v>
      </c>
      <c r="C25" s="6" t="s">
        <v>564</v>
      </c>
      <c r="D25" s="6" t="s">
        <v>565</v>
      </c>
      <c r="E25" s="6" t="s">
        <v>566</v>
      </c>
    </row>
    <row r="26" customFormat="false" ht="33.75" hidden="false" customHeight="true" outlineLevel="0" collapsed="false">
      <c r="B26" s="7" t="s">
        <v>62</v>
      </c>
      <c r="C26" s="9" t="s">
        <v>567</v>
      </c>
      <c r="D26" s="35" t="s">
        <v>568</v>
      </c>
      <c r="E26" s="35" t="s">
        <v>569</v>
      </c>
    </row>
    <row r="27" customFormat="false" ht="33.75" hidden="false" customHeight="true" outlineLevel="0" collapsed="false">
      <c r="B27" s="7" t="s">
        <v>62</v>
      </c>
      <c r="C27" s="9" t="s">
        <v>570</v>
      </c>
      <c r="D27" s="35" t="s">
        <v>571</v>
      </c>
      <c r="E27" s="35" t="s">
        <v>572</v>
      </c>
    </row>
    <row r="28" customFormat="false" ht="33.75" hidden="false" customHeight="true" outlineLevel="0" collapsed="false">
      <c r="B28" s="7" t="s">
        <v>62</v>
      </c>
      <c r="C28" s="9" t="s">
        <v>573</v>
      </c>
      <c r="D28" s="35" t="s">
        <v>574</v>
      </c>
      <c r="E28" s="35" t="s">
        <v>575</v>
      </c>
    </row>
    <row r="29" customFormat="false" ht="33.75" hidden="false" customHeight="true" outlineLevel="0" collapsed="false">
      <c r="B29" s="7" t="s">
        <v>62</v>
      </c>
      <c r="C29" s="9" t="s">
        <v>576</v>
      </c>
      <c r="D29" s="35" t="s">
        <v>577</v>
      </c>
      <c r="E29" s="35" t="s">
        <v>578</v>
      </c>
    </row>
    <row r="30" customFormat="false" ht="33.75" hidden="false" customHeight="true" outlineLevel="0" collapsed="false">
      <c r="B30" s="7" t="s">
        <v>62</v>
      </c>
      <c r="C30" s="9" t="s">
        <v>579</v>
      </c>
      <c r="D30" s="35" t="s">
        <v>580</v>
      </c>
      <c r="E30" s="54" t="s">
        <v>581</v>
      </c>
    </row>
    <row r="31" customFormat="false" ht="33.75" hidden="false" customHeight="true" outlineLevel="0" collapsed="false">
      <c r="B31" s="7" t="s">
        <v>63</v>
      </c>
      <c r="C31" s="9" t="s">
        <v>582</v>
      </c>
      <c r="D31" s="54" t="s">
        <v>583</v>
      </c>
      <c r="E31" s="35" t="s">
        <v>584</v>
      </c>
    </row>
    <row r="32" customFormat="false" ht="33.75" hidden="false" customHeight="true" outlineLevel="0" collapsed="false">
      <c r="B32" s="7" t="s">
        <v>64</v>
      </c>
      <c r="C32" s="9" t="s">
        <v>585</v>
      </c>
      <c r="D32" s="35" t="s">
        <v>586</v>
      </c>
      <c r="E32" s="35" t="s">
        <v>587</v>
      </c>
    </row>
    <row r="33" customFormat="false" ht="33.75" hidden="false" customHeight="true" outlineLevel="0" collapsed="false">
      <c r="B33" s="7" t="s">
        <v>64</v>
      </c>
      <c r="C33" s="9" t="s">
        <v>588</v>
      </c>
      <c r="D33" s="35" t="s">
        <v>589</v>
      </c>
      <c r="E33" s="35" t="s">
        <v>590</v>
      </c>
    </row>
    <row r="34" customFormat="false" ht="33.75" hidden="false" customHeight="true" outlineLevel="0" collapsed="false">
      <c r="B34" s="7" t="s">
        <v>65</v>
      </c>
      <c r="C34" s="9" t="s">
        <v>591</v>
      </c>
      <c r="D34" s="35" t="s">
        <v>592</v>
      </c>
      <c r="E34" s="35" t="s">
        <v>593</v>
      </c>
    </row>
    <row r="35" customFormat="false" ht="33.75" hidden="false" customHeight="true" outlineLevel="0" collapsed="false">
      <c r="B35" s="7" t="s">
        <v>65</v>
      </c>
      <c r="C35" s="9" t="s">
        <v>594</v>
      </c>
      <c r="D35" s="35" t="s">
        <v>595</v>
      </c>
      <c r="E35" s="35" t="s">
        <v>596</v>
      </c>
    </row>
    <row r="36" customFormat="false" ht="33.75" hidden="false" customHeight="true" outlineLevel="0" collapsed="false">
      <c r="B36" s="7" t="s">
        <v>65</v>
      </c>
      <c r="C36" s="9" t="s">
        <v>597</v>
      </c>
      <c r="D36" s="35" t="s">
        <v>598</v>
      </c>
      <c r="E36" s="35" t="s">
        <v>599</v>
      </c>
    </row>
    <row r="37" customFormat="false" ht="33.75" hidden="false" customHeight="true" outlineLevel="0" collapsed="false">
      <c r="B37" s="7" t="s">
        <v>66</v>
      </c>
      <c r="C37" s="9" t="s">
        <v>600</v>
      </c>
      <c r="D37" s="35" t="s">
        <v>601</v>
      </c>
      <c r="E37" s="35" t="s">
        <v>602</v>
      </c>
    </row>
    <row r="38" customFormat="false" ht="33.75" hidden="false" customHeight="true" outlineLevel="0" collapsed="false">
      <c r="B38" s="7" t="s">
        <v>66</v>
      </c>
      <c r="C38" s="9" t="s">
        <v>603</v>
      </c>
      <c r="D38" s="35" t="s">
        <v>589</v>
      </c>
      <c r="E38" s="35" t="s">
        <v>604</v>
      </c>
    </row>
    <row r="39" customFormat="false" ht="33.75" hidden="false" customHeight="true" outlineLevel="0" collapsed="false">
      <c r="B39" s="7" t="s">
        <v>67</v>
      </c>
      <c r="C39" s="9" t="s">
        <v>605</v>
      </c>
      <c r="D39" s="35" t="s">
        <v>606</v>
      </c>
      <c r="E39" s="35" t="s">
        <v>607</v>
      </c>
    </row>
    <row r="40" customFormat="false" ht="33.75" hidden="false" customHeight="true" outlineLevel="0" collapsed="false">
      <c r="B40" s="7" t="s">
        <v>67</v>
      </c>
      <c r="C40" s="9" t="s">
        <v>608</v>
      </c>
      <c r="D40" s="35" t="s">
        <v>609</v>
      </c>
      <c r="E40" s="35" t="s">
        <v>610</v>
      </c>
    </row>
    <row r="41" customFormat="false" ht="33.75" hidden="false" customHeight="true" outlineLevel="0" collapsed="false">
      <c r="B41" s="7" t="s">
        <v>67</v>
      </c>
      <c r="C41" s="9" t="s">
        <v>611</v>
      </c>
      <c r="D41" s="35" t="s">
        <v>612</v>
      </c>
      <c r="E41" s="35" t="s">
        <v>613</v>
      </c>
    </row>
    <row r="42" customFormat="false" ht="33.75" hidden="false" customHeight="true" outlineLevel="0" collapsed="false">
      <c r="B42" s="7" t="s">
        <v>68</v>
      </c>
      <c r="C42" s="9" t="s">
        <v>614</v>
      </c>
      <c r="D42" s="35" t="s">
        <v>615</v>
      </c>
      <c r="E42" s="35" t="s">
        <v>145</v>
      </c>
    </row>
    <row r="45" customFormat="false" ht="15" hidden="false" customHeight="false" outlineLevel="0" collapsed="false">
      <c r="B45" s="4" t="s">
        <v>616</v>
      </c>
    </row>
    <row r="46" customFormat="false" ht="15" hidden="false" customHeight="false" outlineLevel="0" collapsed="false">
      <c r="B46" s="6" t="s">
        <v>220</v>
      </c>
      <c r="C46" s="6" t="s">
        <v>50</v>
      </c>
      <c r="D46" s="6" t="s">
        <v>617</v>
      </c>
      <c r="E46" s="6" t="s">
        <v>445</v>
      </c>
    </row>
    <row r="47" customFormat="false" ht="25.5" hidden="false" customHeight="true" outlineLevel="0" collapsed="false">
      <c r="B47" s="46" t="s">
        <v>618</v>
      </c>
      <c r="C47" s="46" t="s">
        <v>63</v>
      </c>
      <c r="D47" s="9" t="s">
        <v>619</v>
      </c>
      <c r="E47" s="55" t="s">
        <v>620</v>
      </c>
    </row>
    <row r="48" customFormat="false" ht="25.5" hidden="false" customHeight="true" outlineLevel="0" collapsed="false">
      <c r="B48" s="46" t="s">
        <v>621</v>
      </c>
      <c r="C48" s="46" t="s">
        <v>622</v>
      </c>
      <c r="D48" s="9" t="s">
        <v>623</v>
      </c>
      <c r="E48" s="55" t="s">
        <v>624</v>
      </c>
    </row>
    <row r="49" customFormat="false" ht="25.5" hidden="false" customHeight="true" outlineLevel="0" collapsed="false">
      <c r="B49" s="46" t="s">
        <v>625</v>
      </c>
      <c r="C49" s="46" t="s">
        <v>65</v>
      </c>
      <c r="D49" s="9" t="s">
        <v>626</v>
      </c>
      <c r="E49" s="55" t="s">
        <v>627</v>
      </c>
    </row>
    <row r="50" customFormat="false" ht="25.5" hidden="false" customHeight="true" outlineLevel="0" collapsed="false">
      <c r="B50" s="46" t="s">
        <v>628</v>
      </c>
      <c r="C50" s="46" t="s">
        <v>629</v>
      </c>
      <c r="D50" s="9" t="s">
        <v>630</v>
      </c>
      <c r="E50" s="55" t="s">
        <v>631</v>
      </c>
    </row>
    <row r="51" customFormat="false" ht="25.5" hidden="false" customHeight="true" outlineLevel="0" collapsed="false">
      <c r="B51" s="46" t="s">
        <v>632</v>
      </c>
      <c r="C51" s="46" t="s">
        <v>633</v>
      </c>
      <c r="D51" s="9" t="s">
        <v>634</v>
      </c>
      <c r="E51" s="55" t="s">
        <v>145</v>
      </c>
    </row>
    <row r="52" customFormat="false" ht="25.5" hidden="false" customHeight="true" outlineLevel="0" collapsed="false">
      <c r="B52" s="46" t="s">
        <v>635</v>
      </c>
      <c r="C52" s="46" t="s">
        <v>65</v>
      </c>
      <c r="D52" s="9" t="s">
        <v>636</v>
      </c>
      <c r="E52" s="55" t="s">
        <v>637</v>
      </c>
    </row>
    <row r="53" customFormat="false" ht="25.5" hidden="false" customHeight="true" outlineLevel="0" collapsed="false">
      <c r="B53" s="46" t="s">
        <v>638</v>
      </c>
      <c r="C53" s="46" t="s">
        <v>62</v>
      </c>
      <c r="D53" s="9" t="s">
        <v>639</v>
      </c>
      <c r="E53" s="55" t="s">
        <v>640</v>
      </c>
    </row>
    <row r="54" customFormat="false" ht="25.5" hidden="false" customHeight="true" outlineLevel="0" collapsed="false">
      <c r="B54" s="46" t="s">
        <v>641</v>
      </c>
      <c r="C54" s="46" t="s">
        <v>642</v>
      </c>
      <c r="D54" s="9" t="s">
        <v>643</v>
      </c>
      <c r="E54" s="55" t="s">
        <v>644</v>
      </c>
    </row>
    <row r="55" customFormat="false" ht="25.5" hidden="false" customHeight="true" outlineLevel="0" collapsed="false">
      <c r="B55" s="46" t="s">
        <v>645</v>
      </c>
      <c r="C55" s="46" t="s">
        <v>67</v>
      </c>
      <c r="D55" s="9" t="s">
        <v>646</v>
      </c>
      <c r="E55" s="55" t="s">
        <v>145</v>
      </c>
    </row>
    <row r="56" customFormat="false" ht="25.5" hidden="false" customHeight="true" outlineLevel="0" collapsed="false">
      <c r="B56" s="46" t="s">
        <v>647</v>
      </c>
      <c r="C56" s="46" t="s">
        <v>66</v>
      </c>
      <c r="D56" s="9" t="s">
        <v>648</v>
      </c>
      <c r="E56" s="55" t="s">
        <v>145</v>
      </c>
    </row>
    <row r="57" customFormat="false" ht="25.5" hidden="false" customHeight="true" outlineLevel="0" collapsed="false">
      <c r="B57" s="46" t="s">
        <v>649</v>
      </c>
      <c r="C57" s="46" t="s">
        <v>64</v>
      </c>
      <c r="D57" s="9" t="s">
        <v>650</v>
      </c>
      <c r="E57" s="55" t="s">
        <v>145</v>
      </c>
    </row>
    <row r="59" customFormat="false" ht="15" hidden="false" customHeight="true" outlineLevel="0" collapsed="false">
      <c r="B59" s="56" t="s">
        <v>651</v>
      </c>
      <c r="C59" s="56"/>
      <c r="D59" s="56"/>
      <c r="E59" s="56"/>
    </row>
    <row r="60" customFormat="false" ht="15" hidden="false" customHeight="false" outlineLevel="0" collapsed="false">
      <c r="B60" s="56"/>
      <c r="C60" s="56"/>
      <c r="D60" s="56"/>
      <c r="E60" s="56"/>
    </row>
    <row r="61" customFormat="false" ht="15" hidden="false" customHeight="false" outlineLevel="0" collapsed="false">
      <c r="B61" s="56"/>
      <c r="C61" s="56"/>
      <c r="D61" s="56"/>
      <c r="E61" s="56"/>
    </row>
  </sheetData>
  <mergeCells count="1">
    <mergeCell ref="B59:E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B45"/>
    <pageSetUpPr fitToPage="false"/>
  </sheetPr>
  <dimension ref="B2:G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7"/>
    <col collapsed="false" customWidth="true" hidden="false" outlineLevel="0" max="3" min="3" style="0" width="62"/>
    <col collapsed="false" customWidth="true" hidden="false" outlineLevel="0" max="4" min="4" style="0" width="92"/>
    <col collapsed="false" customWidth="true" hidden="false" outlineLevel="0" max="5" min="5" style="0" width="17"/>
    <col collapsed="false" customWidth="true" hidden="false" outlineLevel="0" max="6" min="6" style="0" width="92"/>
    <col collapsed="false" customWidth="true" hidden="false" outlineLevel="0" max="7" min="7" style="0" width="24"/>
  </cols>
  <sheetData>
    <row r="2" customFormat="false" ht="30" hidden="false" customHeight="true" outlineLevel="0" collapsed="false">
      <c r="B2" s="1" t="s">
        <v>652</v>
      </c>
      <c r="C2" s="2"/>
      <c r="D2" s="2"/>
      <c r="E2" s="2"/>
      <c r="F2" s="2"/>
      <c r="G2" s="2"/>
    </row>
    <row r="3" customFormat="false" ht="13.5" hidden="false" customHeight="true" outlineLevel="0" collapsed="false">
      <c r="B3" s="14" t="s">
        <v>653</v>
      </c>
    </row>
    <row r="4" customFormat="false" ht="15" hidden="false" customHeight="true" outlineLevel="0" collapsed="false">
      <c r="B4" s="57" t="s">
        <v>654</v>
      </c>
      <c r="C4" s="57"/>
      <c r="D4" s="57"/>
      <c r="E4" s="57"/>
      <c r="F4" s="57"/>
      <c r="G4" s="57"/>
    </row>
    <row r="5" customFormat="false" ht="15" hidden="false" customHeight="false" outlineLevel="0" collapsed="false">
      <c r="B5" s="57"/>
      <c r="C5" s="57"/>
      <c r="D5" s="57"/>
      <c r="E5" s="57"/>
      <c r="F5" s="57"/>
      <c r="G5" s="57"/>
    </row>
    <row r="7" customFormat="false" ht="24" hidden="false" customHeight="true" outlineLevel="0" collapsed="false">
      <c r="B7" s="6" t="s">
        <v>655</v>
      </c>
      <c r="C7" s="6" t="s">
        <v>656</v>
      </c>
      <c r="D7" s="6" t="s">
        <v>657</v>
      </c>
      <c r="E7" s="6" t="s">
        <v>658</v>
      </c>
      <c r="F7" s="6" t="s">
        <v>659</v>
      </c>
      <c r="G7" s="6" t="s">
        <v>660</v>
      </c>
    </row>
    <row r="8" customFormat="false" ht="27.75" hidden="false" customHeight="true" outlineLevel="0" collapsed="false">
      <c r="B8" s="9" t="s">
        <v>661</v>
      </c>
      <c r="C8" s="7" t="s">
        <v>662</v>
      </c>
      <c r="D8" s="9" t="s">
        <v>663</v>
      </c>
      <c r="E8" s="9" t="s">
        <v>664</v>
      </c>
      <c r="F8" s="35" t="s">
        <v>665</v>
      </c>
      <c r="G8" s="9" t="s">
        <v>666</v>
      </c>
    </row>
    <row r="9" customFormat="false" ht="27.75" hidden="false" customHeight="true" outlineLevel="0" collapsed="false">
      <c r="B9" s="9"/>
      <c r="C9" s="7" t="s">
        <v>667</v>
      </c>
      <c r="D9" s="9" t="s">
        <v>668</v>
      </c>
      <c r="E9" s="9" t="s">
        <v>664</v>
      </c>
      <c r="F9" s="35" t="s">
        <v>669</v>
      </c>
      <c r="G9" s="9" t="s">
        <v>666</v>
      </c>
    </row>
    <row r="10" customFormat="false" ht="27.75" hidden="false" customHeight="true" outlineLevel="0" collapsed="false">
      <c r="B10" s="9"/>
      <c r="C10" s="7" t="s">
        <v>670</v>
      </c>
      <c r="D10" s="9" t="s">
        <v>671</v>
      </c>
      <c r="E10" s="9" t="s">
        <v>664</v>
      </c>
      <c r="F10" s="35" t="s">
        <v>672</v>
      </c>
      <c r="G10" s="9" t="s">
        <v>666</v>
      </c>
    </row>
    <row r="11" customFormat="false" ht="27.75" hidden="false" customHeight="true" outlineLevel="0" collapsed="false">
      <c r="B11" s="9"/>
      <c r="C11" s="7" t="s">
        <v>673</v>
      </c>
      <c r="D11" s="9" t="s">
        <v>674</v>
      </c>
      <c r="E11" s="9" t="s">
        <v>664</v>
      </c>
      <c r="F11" s="35" t="s">
        <v>675</v>
      </c>
      <c r="G11" s="58" t="s">
        <v>676</v>
      </c>
    </row>
    <row r="12" customFormat="false" ht="27.75" hidden="false" customHeight="true" outlineLevel="0" collapsed="false">
      <c r="B12" s="9"/>
      <c r="C12" s="7" t="s">
        <v>677</v>
      </c>
      <c r="D12" s="9" t="s">
        <v>678</v>
      </c>
      <c r="E12" s="9" t="s">
        <v>679</v>
      </c>
      <c r="F12" s="35" t="s">
        <v>680</v>
      </c>
      <c r="G12" s="9" t="s">
        <v>681</v>
      </c>
    </row>
    <row r="13" customFormat="false" ht="27.75" hidden="false" customHeight="true" outlineLevel="0" collapsed="false">
      <c r="B13" s="9"/>
      <c r="C13" s="7" t="s">
        <v>682</v>
      </c>
      <c r="D13" s="9" t="s">
        <v>683</v>
      </c>
      <c r="E13" s="9" t="s">
        <v>679</v>
      </c>
      <c r="F13" s="35" t="s">
        <v>684</v>
      </c>
      <c r="G13" s="9" t="s">
        <v>666</v>
      </c>
    </row>
    <row r="14" customFormat="false" ht="27.75" hidden="false" customHeight="true" outlineLevel="0" collapsed="false">
      <c r="B14" s="9"/>
      <c r="C14" s="7" t="s">
        <v>685</v>
      </c>
      <c r="D14" s="9" t="s">
        <v>686</v>
      </c>
      <c r="E14" s="9" t="s">
        <v>679</v>
      </c>
      <c r="F14" s="35" t="s">
        <v>687</v>
      </c>
      <c r="G14" s="9" t="s">
        <v>666</v>
      </c>
    </row>
    <row r="15" customFormat="false" ht="27.75" hidden="false" customHeight="true" outlineLevel="0" collapsed="false">
      <c r="B15" s="9" t="s">
        <v>688</v>
      </c>
      <c r="C15" s="7" t="s">
        <v>689</v>
      </c>
      <c r="D15" s="9" t="s">
        <v>690</v>
      </c>
      <c r="E15" s="9" t="s">
        <v>664</v>
      </c>
      <c r="F15" s="35" t="s">
        <v>691</v>
      </c>
      <c r="G15" s="58" t="s">
        <v>676</v>
      </c>
    </row>
    <row r="16" customFormat="false" ht="27.75" hidden="false" customHeight="true" outlineLevel="0" collapsed="false">
      <c r="B16" s="9"/>
      <c r="C16" s="7" t="s">
        <v>692</v>
      </c>
      <c r="D16" s="9" t="s">
        <v>693</v>
      </c>
      <c r="E16" s="9" t="s">
        <v>664</v>
      </c>
      <c r="F16" s="35" t="s">
        <v>694</v>
      </c>
      <c r="G16" s="58" t="s">
        <v>676</v>
      </c>
    </row>
    <row r="17" customFormat="false" ht="27.75" hidden="false" customHeight="true" outlineLevel="0" collapsed="false">
      <c r="B17" s="9"/>
      <c r="C17" s="7" t="s">
        <v>695</v>
      </c>
      <c r="D17" s="9" t="s">
        <v>696</v>
      </c>
      <c r="E17" s="9" t="s">
        <v>664</v>
      </c>
      <c r="F17" s="35" t="s">
        <v>697</v>
      </c>
      <c r="G17" s="9" t="s">
        <v>698</v>
      </c>
    </row>
    <row r="18" customFormat="false" ht="27.75" hidden="false" customHeight="true" outlineLevel="0" collapsed="false">
      <c r="B18" s="9"/>
      <c r="C18" s="7" t="s">
        <v>699</v>
      </c>
      <c r="D18" s="9" t="s">
        <v>700</v>
      </c>
      <c r="E18" s="9" t="s">
        <v>701</v>
      </c>
      <c r="F18" s="35" t="s">
        <v>702</v>
      </c>
      <c r="G18" s="58" t="s">
        <v>676</v>
      </c>
    </row>
    <row r="19" customFormat="false" ht="27.75" hidden="false" customHeight="true" outlineLevel="0" collapsed="false">
      <c r="B19" s="9"/>
      <c r="C19" s="7" t="s">
        <v>703</v>
      </c>
      <c r="D19" s="9" t="s">
        <v>704</v>
      </c>
      <c r="E19" s="9" t="s">
        <v>664</v>
      </c>
      <c r="F19" s="35" t="s">
        <v>705</v>
      </c>
      <c r="G19" s="59" t="s">
        <v>706</v>
      </c>
    </row>
    <row r="20" customFormat="false" ht="27.75" hidden="false" customHeight="true" outlineLevel="0" collapsed="false">
      <c r="B20" s="9"/>
      <c r="C20" s="7" t="s">
        <v>707</v>
      </c>
      <c r="D20" s="9" t="s">
        <v>708</v>
      </c>
      <c r="E20" s="9" t="s">
        <v>664</v>
      </c>
      <c r="F20" s="35" t="s">
        <v>709</v>
      </c>
      <c r="G20" s="59" t="s">
        <v>710</v>
      </c>
    </row>
    <row r="21" customFormat="false" ht="27.75" hidden="false" customHeight="true" outlineLevel="0" collapsed="false">
      <c r="B21" s="9" t="s">
        <v>711</v>
      </c>
      <c r="C21" s="7" t="s">
        <v>712</v>
      </c>
      <c r="D21" s="9" t="s">
        <v>713</v>
      </c>
      <c r="E21" s="9" t="s">
        <v>714</v>
      </c>
      <c r="F21" s="35" t="s">
        <v>715</v>
      </c>
      <c r="G21" s="9" t="s">
        <v>666</v>
      </c>
    </row>
    <row r="22" customFormat="false" ht="27.75" hidden="false" customHeight="true" outlineLevel="0" collapsed="false">
      <c r="B22" s="9"/>
      <c r="C22" s="7" t="s">
        <v>716</v>
      </c>
      <c r="D22" s="9" t="s">
        <v>717</v>
      </c>
      <c r="E22" s="9" t="s">
        <v>714</v>
      </c>
      <c r="F22" s="35" t="s">
        <v>718</v>
      </c>
      <c r="G22" s="9" t="s">
        <v>666</v>
      </c>
    </row>
    <row r="23" customFormat="false" ht="27.75" hidden="false" customHeight="true" outlineLevel="0" collapsed="false">
      <c r="B23" s="9"/>
      <c r="C23" s="7" t="s">
        <v>719</v>
      </c>
      <c r="D23" s="9" t="s">
        <v>720</v>
      </c>
      <c r="E23" s="9" t="s">
        <v>714</v>
      </c>
      <c r="F23" s="35" t="s">
        <v>721</v>
      </c>
      <c r="G23" s="9" t="s">
        <v>681</v>
      </c>
    </row>
    <row r="24" customFormat="false" ht="27.75" hidden="false" customHeight="true" outlineLevel="0" collapsed="false">
      <c r="B24" s="9"/>
      <c r="C24" s="7" t="s">
        <v>722</v>
      </c>
      <c r="D24" s="9" t="s">
        <v>723</v>
      </c>
      <c r="E24" s="9" t="s">
        <v>714</v>
      </c>
      <c r="F24" s="35" t="s">
        <v>724</v>
      </c>
      <c r="G24" s="9" t="s">
        <v>698</v>
      </c>
    </row>
    <row r="25" customFormat="false" ht="27.75" hidden="false" customHeight="true" outlineLevel="0" collapsed="false">
      <c r="B25" s="9"/>
      <c r="C25" s="7" t="s">
        <v>725</v>
      </c>
      <c r="D25" s="9" t="s">
        <v>726</v>
      </c>
      <c r="E25" s="9" t="s">
        <v>714</v>
      </c>
      <c r="F25" s="35" t="s">
        <v>727</v>
      </c>
      <c r="G25" s="9" t="s">
        <v>666</v>
      </c>
    </row>
    <row r="26" customFormat="false" ht="27.75" hidden="false" customHeight="true" outlineLevel="0" collapsed="false">
      <c r="B26" s="9"/>
      <c r="C26" s="7" t="s">
        <v>728</v>
      </c>
      <c r="D26" s="9" t="s">
        <v>729</v>
      </c>
      <c r="E26" s="9" t="s">
        <v>714</v>
      </c>
      <c r="F26" s="35" t="s">
        <v>730</v>
      </c>
      <c r="G26" s="9" t="s">
        <v>666</v>
      </c>
    </row>
    <row r="27" customFormat="false" ht="27.75" hidden="false" customHeight="true" outlineLevel="0" collapsed="false">
      <c r="B27" s="9" t="s">
        <v>731</v>
      </c>
      <c r="C27" s="7" t="s">
        <v>732</v>
      </c>
      <c r="D27" s="9" t="s">
        <v>733</v>
      </c>
      <c r="E27" s="9" t="s">
        <v>734</v>
      </c>
      <c r="F27" s="35" t="s">
        <v>735</v>
      </c>
      <c r="G27" s="58" t="s">
        <v>676</v>
      </c>
    </row>
    <row r="28" customFormat="false" ht="27.75" hidden="false" customHeight="true" outlineLevel="0" collapsed="false">
      <c r="B28" s="9"/>
      <c r="C28" s="7" t="s">
        <v>736</v>
      </c>
      <c r="D28" s="9" t="s">
        <v>737</v>
      </c>
      <c r="E28" s="9" t="s">
        <v>734</v>
      </c>
      <c r="F28" s="35" t="s">
        <v>738</v>
      </c>
      <c r="G28" s="9" t="s">
        <v>666</v>
      </c>
    </row>
    <row r="29" customFormat="false" ht="27.75" hidden="false" customHeight="true" outlineLevel="0" collapsed="false">
      <c r="B29" s="9"/>
      <c r="C29" s="7" t="s">
        <v>739</v>
      </c>
      <c r="D29" s="9" t="s">
        <v>740</v>
      </c>
      <c r="E29" s="9" t="s">
        <v>734</v>
      </c>
      <c r="F29" s="35" t="s">
        <v>741</v>
      </c>
      <c r="G29" s="9" t="s">
        <v>666</v>
      </c>
    </row>
    <row r="30" customFormat="false" ht="27.75" hidden="false" customHeight="true" outlineLevel="0" collapsed="false">
      <c r="B30" s="9"/>
      <c r="C30" s="7" t="s">
        <v>742</v>
      </c>
      <c r="D30" s="9" t="s">
        <v>743</v>
      </c>
      <c r="E30" s="9" t="s">
        <v>734</v>
      </c>
      <c r="F30" s="35" t="s">
        <v>744</v>
      </c>
      <c r="G30" s="9" t="s">
        <v>666</v>
      </c>
    </row>
    <row r="31" customFormat="false" ht="27.75" hidden="false" customHeight="true" outlineLevel="0" collapsed="false">
      <c r="B31" s="9" t="s">
        <v>745</v>
      </c>
      <c r="C31" s="7" t="s">
        <v>746</v>
      </c>
      <c r="D31" s="9" t="s">
        <v>747</v>
      </c>
      <c r="E31" s="9" t="s">
        <v>748</v>
      </c>
      <c r="F31" s="35" t="s">
        <v>749</v>
      </c>
      <c r="G31" s="9" t="s">
        <v>666</v>
      </c>
    </row>
    <row r="32" customFormat="false" ht="27.75" hidden="false" customHeight="true" outlineLevel="0" collapsed="false">
      <c r="B32" s="9"/>
      <c r="C32" s="7" t="s">
        <v>750</v>
      </c>
      <c r="D32" s="9" t="s">
        <v>751</v>
      </c>
      <c r="E32" s="9" t="s">
        <v>748</v>
      </c>
      <c r="F32" s="35" t="s">
        <v>752</v>
      </c>
      <c r="G32" s="9" t="s">
        <v>666</v>
      </c>
    </row>
    <row r="33" customFormat="false" ht="27.75" hidden="false" customHeight="true" outlineLevel="0" collapsed="false">
      <c r="B33" s="9"/>
      <c r="C33" s="7" t="s">
        <v>753</v>
      </c>
      <c r="D33" s="9" t="s">
        <v>754</v>
      </c>
      <c r="E33" s="9" t="s">
        <v>748</v>
      </c>
      <c r="F33" s="35" t="s">
        <v>755</v>
      </c>
      <c r="G33" s="9" t="s">
        <v>666</v>
      </c>
    </row>
    <row r="34" customFormat="false" ht="27.75" hidden="false" customHeight="true" outlineLevel="0" collapsed="false">
      <c r="B34" s="9"/>
      <c r="C34" s="7" t="s">
        <v>756</v>
      </c>
      <c r="D34" s="9" t="s">
        <v>757</v>
      </c>
      <c r="E34" s="9" t="s">
        <v>748</v>
      </c>
      <c r="F34" s="35" t="s">
        <v>758</v>
      </c>
      <c r="G34" s="9" t="s">
        <v>666</v>
      </c>
    </row>
    <row r="35" customFormat="false" ht="27.75" hidden="false" customHeight="true" outlineLevel="0" collapsed="false">
      <c r="B35" s="9" t="s">
        <v>759</v>
      </c>
      <c r="C35" s="7" t="s">
        <v>760</v>
      </c>
      <c r="D35" s="9" t="s">
        <v>761</v>
      </c>
      <c r="E35" s="9" t="s">
        <v>762</v>
      </c>
      <c r="F35" s="35" t="s">
        <v>763</v>
      </c>
      <c r="G35" s="58" t="s">
        <v>676</v>
      </c>
    </row>
    <row r="36" customFormat="false" ht="27.75" hidden="false" customHeight="true" outlineLevel="0" collapsed="false">
      <c r="B36" s="9"/>
      <c r="C36" s="7" t="s">
        <v>764</v>
      </c>
      <c r="D36" s="9" t="s">
        <v>765</v>
      </c>
      <c r="E36" s="9" t="s">
        <v>762</v>
      </c>
      <c r="F36" s="35" t="s">
        <v>766</v>
      </c>
      <c r="G36" s="9" t="s">
        <v>666</v>
      </c>
    </row>
    <row r="37" customFormat="false" ht="27.75" hidden="false" customHeight="true" outlineLevel="0" collapsed="false">
      <c r="B37" s="9"/>
      <c r="C37" s="7" t="s">
        <v>767</v>
      </c>
      <c r="D37" s="9" t="s">
        <v>768</v>
      </c>
      <c r="E37" s="9" t="s">
        <v>762</v>
      </c>
      <c r="F37" s="35" t="s">
        <v>769</v>
      </c>
      <c r="G37" s="9" t="s">
        <v>666</v>
      </c>
    </row>
    <row r="38" customFormat="false" ht="27.75" hidden="false" customHeight="true" outlineLevel="0" collapsed="false">
      <c r="B38" s="9"/>
      <c r="C38" s="7" t="s">
        <v>770</v>
      </c>
      <c r="D38" s="9" t="s">
        <v>771</v>
      </c>
      <c r="E38" s="9" t="s">
        <v>772</v>
      </c>
      <c r="F38" s="35" t="s">
        <v>773</v>
      </c>
      <c r="G38" s="9" t="s">
        <v>666</v>
      </c>
    </row>
    <row r="39" customFormat="false" ht="27.75" hidden="false" customHeight="true" outlineLevel="0" collapsed="false">
      <c r="B39" s="9" t="s">
        <v>774</v>
      </c>
      <c r="C39" s="7" t="s">
        <v>775</v>
      </c>
      <c r="D39" s="9" t="s">
        <v>776</v>
      </c>
      <c r="E39" s="9" t="s">
        <v>777</v>
      </c>
      <c r="F39" s="35" t="s">
        <v>778</v>
      </c>
      <c r="G39" s="58" t="s">
        <v>676</v>
      </c>
    </row>
    <row r="40" customFormat="false" ht="27.75" hidden="false" customHeight="true" outlineLevel="0" collapsed="false">
      <c r="B40" s="9"/>
      <c r="C40" s="7" t="s">
        <v>779</v>
      </c>
      <c r="D40" s="9" t="s">
        <v>780</v>
      </c>
      <c r="E40" s="9" t="s">
        <v>777</v>
      </c>
      <c r="F40" s="35" t="s">
        <v>781</v>
      </c>
      <c r="G40" s="58" t="s">
        <v>676</v>
      </c>
    </row>
    <row r="41" customFormat="false" ht="27.75" hidden="false" customHeight="true" outlineLevel="0" collapsed="false">
      <c r="B41" s="9"/>
      <c r="C41" s="7" t="s">
        <v>782</v>
      </c>
      <c r="D41" s="9" t="s">
        <v>783</v>
      </c>
      <c r="E41" s="9" t="s">
        <v>777</v>
      </c>
      <c r="F41" s="35" t="s">
        <v>784</v>
      </c>
      <c r="G41" s="58" t="s">
        <v>676</v>
      </c>
    </row>
    <row r="42" customFormat="false" ht="27.75" hidden="false" customHeight="true" outlineLevel="0" collapsed="false">
      <c r="B42" s="9"/>
      <c r="C42" s="7" t="s">
        <v>785</v>
      </c>
      <c r="D42" s="9" t="s">
        <v>786</v>
      </c>
      <c r="E42" s="9" t="s">
        <v>777</v>
      </c>
      <c r="F42" s="35" t="s">
        <v>787</v>
      </c>
      <c r="G42" s="9" t="s">
        <v>698</v>
      </c>
    </row>
    <row r="43" customFormat="false" ht="27.75" hidden="false" customHeight="true" outlineLevel="0" collapsed="false">
      <c r="B43" s="9"/>
      <c r="C43" s="7" t="s">
        <v>788</v>
      </c>
      <c r="D43" s="9" t="s">
        <v>789</v>
      </c>
      <c r="E43" s="9" t="s">
        <v>777</v>
      </c>
      <c r="F43" s="35" t="s">
        <v>790</v>
      </c>
      <c r="G43" s="58" t="s">
        <v>791</v>
      </c>
    </row>
    <row r="44" customFormat="false" ht="27.75" hidden="false" customHeight="true" outlineLevel="0" collapsed="false">
      <c r="B44" s="9"/>
      <c r="C44" s="7" t="s">
        <v>792</v>
      </c>
      <c r="D44" s="9" t="s">
        <v>793</v>
      </c>
      <c r="E44" s="9" t="s">
        <v>777</v>
      </c>
      <c r="F44" s="35" t="s">
        <v>794</v>
      </c>
      <c r="G44" s="9" t="s">
        <v>666</v>
      </c>
    </row>
    <row r="45" customFormat="false" ht="27.75" hidden="false" customHeight="true" outlineLevel="0" collapsed="false">
      <c r="B45" s="9"/>
      <c r="C45" s="7" t="s">
        <v>795</v>
      </c>
      <c r="D45" s="9" t="s">
        <v>796</v>
      </c>
      <c r="E45" s="9" t="s">
        <v>777</v>
      </c>
      <c r="F45" s="35" t="s">
        <v>797</v>
      </c>
      <c r="G45" s="9" t="s">
        <v>666</v>
      </c>
    </row>
    <row r="46" customFormat="false" ht="27.75" hidden="false" customHeight="true" outlineLevel="0" collapsed="false">
      <c r="B46" s="9" t="s">
        <v>798</v>
      </c>
      <c r="C46" s="7" t="s">
        <v>799</v>
      </c>
      <c r="D46" s="9" t="s">
        <v>800</v>
      </c>
      <c r="E46" s="9" t="s">
        <v>801</v>
      </c>
      <c r="F46" s="35" t="s">
        <v>802</v>
      </c>
      <c r="G46" s="58" t="s">
        <v>676</v>
      </c>
    </row>
    <row r="47" customFormat="false" ht="27.75" hidden="false" customHeight="true" outlineLevel="0" collapsed="false">
      <c r="B47" s="9"/>
      <c r="C47" s="7" t="s">
        <v>803</v>
      </c>
      <c r="D47" s="9" t="s">
        <v>804</v>
      </c>
      <c r="E47" s="9" t="s">
        <v>801</v>
      </c>
      <c r="F47" s="35" t="s">
        <v>805</v>
      </c>
      <c r="G47" s="58" t="s">
        <v>806</v>
      </c>
    </row>
    <row r="48" customFormat="false" ht="27.75" hidden="false" customHeight="true" outlineLevel="0" collapsed="false">
      <c r="B48" s="9"/>
      <c r="C48" s="7" t="s">
        <v>807</v>
      </c>
      <c r="D48" s="9" t="s">
        <v>808</v>
      </c>
      <c r="E48" s="9" t="s">
        <v>801</v>
      </c>
      <c r="F48" s="35" t="s">
        <v>809</v>
      </c>
      <c r="G48" s="9" t="s">
        <v>666</v>
      </c>
    </row>
    <row r="49" customFormat="false" ht="27.75" hidden="false" customHeight="true" outlineLevel="0" collapsed="false">
      <c r="B49" s="9"/>
      <c r="C49" s="7" t="s">
        <v>810</v>
      </c>
      <c r="D49" s="9" t="s">
        <v>811</v>
      </c>
      <c r="E49" s="9" t="s">
        <v>812</v>
      </c>
      <c r="F49" s="35" t="s">
        <v>813</v>
      </c>
      <c r="G49" s="9" t="s">
        <v>666</v>
      </c>
    </row>
    <row r="50" customFormat="false" ht="27.75" hidden="false" customHeight="true" outlineLevel="0" collapsed="false">
      <c r="B50" s="9"/>
      <c r="C50" s="7" t="s">
        <v>814</v>
      </c>
      <c r="D50" s="9" t="s">
        <v>815</v>
      </c>
      <c r="E50" s="9" t="s">
        <v>812</v>
      </c>
      <c r="F50" s="35" t="s">
        <v>816</v>
      </c>
      <c r="G50" s="9" t="s">
        <v>666</v>
      </c>
    </row>
    <row r="51" customFormat="false" ht="27.75" hidden="false" customHeight="true" outlineLevel="0" collapsed="false">
      <c r="B51" s="9"/>
      <c r="C51" s="7" t="s">
        <v>817</v>
      </c>
      <c r="D51" s="9" t="s">
        <v>818</v>
      </c>
      <c r="E51" s="9" t="s">
        <v>812</v>
      </c>
      <c r="F51" s="35" t="s">
        <v>819</v>
      </c>
      <c r="G51" s="9" t="s">
        <v>666</v>
      </c>
    </row>
    <row r="52" customFormat="false" ht="27.75" hidden="false" customHeight="true" outlineLevel="0" collapsed="false">
      <c r="B52" s="9"/>
      <c r="C52" s="7" t="s">
        <v>820</v>
      </c>
      <c r="D52" s="9" t="s">
        <v>821</v>
      </c>
      <c r="E52" s="9" t="s">
        <v>812</v>
      </c>
      <c r="F52" s="35" t="s">
        <v>822</v>
      </c>
      <c r="G52" s="58" t="s">
        <v>676</v>
      </c>
    </row>
    <row r="53" customFormat="false" ht="27.75" hidden="false" customHeight="true" outlineLevel="0" collapsed="false">
      <c r="B53" s="9"/>
      <c r="C53" s="7" t="s">
        <v>823</v>
      </c>
      <c r="D53" s="9" t="s">
        <v>824</v>
      </c>
      <c r="E53" s="9" t="s">
        <v>714</v>
      </c>
      <c r="F53" s="35" t="s">
        <v>825</v>
      </c>
      <c r="G53" s="59" t="s">
        <v>826</v>
      </c>
    </row>
    <row r="54" customFormat="false" ht="27.75" hidden="false" customHeight="true" outlineLevel="0" collapsed="false">
      <c r="B54" s="9"/>
      <c r="C54" s="7" t="s">
        <v>827</v>
      </c>
      <c r="D54" s="9" t="s">
        <v>828</v>
      </c>
      <c r="E54" s="9" t="s">
        <v>714</v>
      </c>
      <c r="F54" s="35" t="s">
        <v>829</v>
      </c>
      <c r="G54" s="58" t="s">
        <v>676</v>
      </c>
    </row>
    <row r="55" customFormat="false" ht="27.75" hidden="false" customHeight="true" outlineLevel="0" collapsed="false">
      <c r="B55" s="9" t="s">
        <v>830</v>
      </c>
      <c r="C55" s="7" t="s">
        <v>831</v>
      </c>
      <c r="D55" s="9" t="s">
        <v>832</v>
      </c>
      <c r="E55" s="9" t="s">
        <v>833</v>
      </c>
      <c r="F55" s="35" t="s">
        <v>834</v>
      </c>
      <c r="G55" s="59" t="s">
        <v>835</v>
      </c>
    </row>
    <row r="56" customFormat="false" ht="27.75" hidden="false" customHeight="true" outlineLevel="0" collapsed="false">
      <c r="B56" s="9"/>
      <c r="C56" s="7" t="s">
        <v>836</v>
      </c>
      <c r="D56" s="9" t="s">
        <v>837</v>
      </c>
      <c r="E56" s="9" t="s">
        <v>833</v>
      </c>
      <c r="F56" s="35" t="s">
        <v>838</v>
      </c>
      <c r="G56" s="58" t="s">
        <v>676</v>
      </c>
    </row>
    <row r="57" customFormat="false" ht="27.75" hidden="false" customHeight="true" outlineLevel="0" collapsed="false">
      <c r="B57" s="9"/>
      <c r="C57" s="7" t="s">
        <v>839</v>
      </c>
      <c r="D57" s="9" t="s">
        <v>840</v>
      </c>
      <c r="E57" s="9" t="s">
        <v>833</v>
      </c>
      <c r="F57" s="35" t="s">
        <v>841</v>
      </c>
      <c r="G57" s="58" t="s">
        <v>676</v>
      </c>
    </row>
    <row r="58" customFormat="false" ht="27.75" hidden="false" customHeight="true" outlineLevel="0" collapsed="false">
      <c r="B58" s="9"/>
      <c r="C58" s="7" t="s">
        <v>842</v>
      </c>
      <c r="D58" s="9" t="s">
        <v>843</v>
      </c>
      <c r="E58" s="9" t="s">
        <v>833</v>
      </c>
      <c r="F58" s="35" t="s">
        <v>844</v>
      </c>
      <c r="G58" s="9" t="s">
        <v>845</v>
      </c>
    </row>
    <row r="61" customFormat="false" ht="15" hidden="false" customHeight="false" outlineLevel="0" collapsed="false">
      <c r="B61" s="4" t="s">
        <v>846</v>
      </c>
    </row>
    <row r="62" customFormat="false" ht="15" hidden="false" customHeight="false" outlineLevel="0" collapsed="false">
      <c r="B62" s="6" t="s">
        <v>847</v>
      </c>
      <c r="C62" s="6" t="s">
        <v>848</v>
      </c>
    </row>
    <row r="63" customFormat="false" ht="19.5" hidden="false" customHeight="true" outlineLevel="0" collapsed="false">
      <c r="B63" s="11" t="s">
        <v>849</v>
      </c>
      <c r="C63" s="60" t="s">
        <v>850</v>
      </c>
      <c r="D63" s="60"/>
      <c r="E63" s="60"/>
      <c r="F63" s="60"/>
      <c r="G63" s="60"/>
    </row>
    <row r="64" customFormat="false" ht="19.5" hidden="false" customHeight="true" outlineLevel="0" collapsed="false">
      <c r="B64" s="11" t="s">
        <v>851</v>
      </c>
      <c r="C64" s="60" t="s">
        <v>852</v>
      </c>
      <c r="D64" s="60"/>
      <c r="E64" s="60"/>
      <c r="F64" s="60"/>
      <c r="G64" s="60"/>
    </row>
    <row r="65" customFormat="false" ht="19.5" hidden="false" customHeight="true" outlineLevel="0" collapsed="false">
      <c r="B65" s="11" t="s">
        <v>853</v>
      </c>
      <c r="C65" s="60" t="s">
        <v>854</v>
      </c>
      <c r="D65" s="60"/>
      <c r="E65" s="60"/>
      <c r="F65" s="60"/>
      <c r="G65" s="60"/>
    </row>
    <row r="66" customFormat="false" ht="19.5" hidden="false" customHeight="true" outlineLevel="0" collapsed="false">
      <c r="B66" s="11" t="s">
        <v>855</v>
      </c>
      <c r="C66" s="60" t="s">
        <v>856</v>
      </c>
      <c r="D66" s="60"/>
      <c r="E66" s="60"/>
      <c r="F66" s="60"/>
      <c r="G66" s="60"/>
    </row>
    <row r="67" customFormat="false" ht="19.5" hidden="false" customHeight="true" outlineLevel="0" collapsed="false">
      <c r="B67" s="11" t="s">
        <v>857</v>
      </c>
      <c r="C67" s="60" t="s">
        <v>858</v>
      </c>
      <c r="D67" s="60"/>
      <c r="E67" s="60"/>
      <c r="F67" s="60"/>
      <c r="G67" s="60"/>
    </row>
    <row r="68" customFormat="false" ht="19.5" hidden="false" customHeight="true" outlineLevel="0" collapsed="false">
      <c r="B68" s="11" t="s">
        <v>859</v>
      </c>
      <c r="C68" s="60" t="s">
        <v>860</v>
      </c>
      <c r="D68" s="60"/>
      <c r="E68" s="60"/>
      <c r="F68" s="60"/>
      <c r="G68" s="60"/>
    </row>
    <row r="69" customFormat="false" ht="19.5" hidden="false" customHeight="true" outlineLevel="0" collapsed="false">
      <c r="B69" s="11" t="s">
        <v>861</v>
      </c>
      <c r="C69" s="60" t="s">
        <v>862</v>
      </c>
      <c r="D69" s="60"/>
      <c r="E69" s="60"/>
      <c r="F69" s="60"/>
      <c r="G69" s="60"/>
    </row>
    <row r="70" customFormat="false" ht="19.5" hidden="false" customHeight="true" outlineLevel="0" collapsed="false">
      <c r="B70" s="11" t="s">
        <v>863</v>
      </c>
      <c r="C70" s="60" t="s">
        <v>864</v>
      </c>
      <c r="D70" s="60"/>
      <c r="E70" s="60"/>
      <c r="F70" s="60"/>
      <c r="G70" s="60"/>
    </row>
    <row r="71" customFormat="false" ht="19.5" hidden="false" customHeight="true" outlineLevel="0" collapsed="false">
      <c r="B71" s="11" t="s">
        <v>865</v>
      </c>
      <c r="C71" s="60" t="s">
        <v>866</v>
      </c>
      <c r="D71" s="60"/>
      <c r="E71" s="60"/>
      <c r="F71" s="60"/>
      <c r="G71" s="60"/>
    </row>
    <row r="72" customFormat="false" ht="19.5" hidden="false" customHeight="true" outlineLevel="0" collapsed="false">
      <c r="B72" s="11" t="s">
        <v>867</v>
      </c>
      <c r="C72" s="60" t="s">
        <v>868</v>
      </c>
      <c r="D72" s="60"/>
      <c r="E72" s="60"/>
      <c r="F72" s="60"/>
      <c r="G72" s="60"/>
    </row>
    <row r="73" customFormat="false" ht="19.5" hidden="false" customHeight="true" outlineLevel="0" collapsed="false">
      <c r="B73" s="11" t="s">
        <v>869</v>
      </c>
      <c r="C73" s="60" t="s">
        <v>870</v>
      </c>
      <c r="D73" s="60"/>
      <c r="E73" s="60"/>
      <c r="F73" s="60"/>
      <c r="G73" s="60"/>
    </row>
    <row r="74" customFormat="false" ht="19.5" hidden="false" customHeight="true" outlineLevel="0" collapsed="false">
      <c r="B74" s="11" t="s">
        <v>871</v>
      </c>
      <c r="C74" s="60" t="s">
        <v>872</v>
      </c>
      <c r="D74" s="60"/>
      <c r="E74" s="60"/>
      <c r="F74" s="60"/>
      <c r="G74" s="60"/>
    </row>
    <row r="75" customFormat="false" ht="19.5" hidden="false" customHeight="true" outlineLevel="0" collapsed="false">
      <c r="B75" s="11" t="s">
        <v>873</v>
      </c>
      <c r="C75" s="60" t="s">
        <v>874</v>
      </c>
      <c r="D75" s="60"/>
      <c r="E75" s="60"/>
      <c r="F75" s="60"/>
      <c r="G75" s="60"/>
    </row>
    <row r="76" customFormat="false" ht="19.5" hidden="false" customHeight="true" outlineLevel="0" collapsed="false">
      <c r="B76" s="11" t="s">
        <v>875</v>
      </c>
      <c r="C76" s="60" t="s">
        <v>876</v>
      </c>
      <c r="D76" s="60"/>
      <c r="E76" s="60"/>
      <c r="F76" s="60"/>
      <c r="G76" s="60"/>
    </row>
    <row r="79" customFormat="false" ht="15" hidden="false" customHeight="false" outlineLevel="0" collapsed="false">
      <c r="B79" s="4" t="s">
        <v>877</v>
      </c>
    </row>
    <row r="80" customFormat="false" ht="15" hidden="false" customHeight="false" outlineLevel="0" collapsed="false">
      <c r="B80" s="6" t="s">
        <v>50</v>
      </c>
      <c r="C80" s="6" t="s">
        <v>878</v>
      </c>
      <c r="D80" s="6" t="s">
        <v>879</v>
      </c>
    </row>
    <row r="81" customFormat="false" ht="25.5" hidden="false" customHeight="true" outlineLevel="0" collapsed="false">
      <c r="B81" s="7" t="s">
        <v>65</v>
      </c>
      <c r="C81" s="46" t="s">
        <v>880</v>
      </c>
      <c r="D81" s="46" t="s">
        <v>881</v>
      </c>
    </row>
    <row r="82" customFormat="false" ht="25.5" hidden="false" customHeight="true" outlineLevel="0" collapsed="false">
      <c r="B82" s="7" t="s">
        <v>62</v>
      </c>
      <c r="C82" s="46" t="s">
        <v>882</v>
      </c>
      <c r="D82" s="46" t="s">
        <v>883</v>
      </c>
    </row>
    <row r="83" customFormat="false" ht="25.5" hidden="false" customHeight="true" outlineLevel="0" collapsed="false">
      <c r="B83" s="7" t="s">
        <v>63</v>
      </c>
      <c r="C83" s="46" t="s">
        <v>884</v>
      </c>
      <c r="D83" s="46" t="s">
        <v>885</v>
      </c>
    </row>
    <row r="84" customFormat="false" ht="25.5" hidden="false" customHeight="true" outlineLevel="0" collapsed="false">
      <c r="B84" s="7" t="s">
        <v>64</v>
      </c>
      <c r="C84" s="46" t="s">
        <v>884</v>
      </c>
      <c r="D84" s="46" t="s">
        <v>886</v>
      </c>
    </row>
    <row r="85" customFormat="false" ht="25.5" hidden="false" customHeight="true" outlineLevel="0" collapsed="false">
      <c r="B85" s="7" t="s">
        <v>66</v>
      </c>
      <c r="C85" s="46" t="s">
        <v>884</v>
      </c>
      <c r="D85" s="46" t="s">
        <v>887</v>
      </c>
    </row>
    <row r="86" customFormat="false" ht="25.5" hidden="false" customHeight="true" outlineLevel="0" collapsed="false">
      <c r="B86" s="7" t="s">
        <v>67</v>
      </c>
      <c r="C86" s="46" t="s">
        <v>884</v>
      </c>
      <c r="D86" s="46" t="s">
        <v>888</v>
      </c>
    </row>
    <row r="87" customFormat="false" ht="25.5" hidden="false" customHeight="true" outlineLevel="0" collapsed="false">
      <c r="B87" s="7" t="s">
        <v>68</v>
      </c>
      <c r="C87" s="46" t="s">
        <v>889</v>
      </c>
      <c r="D87" s="46" t="s">
        <v>890</v>
      </c>
    </row>
    <row r="89" customFormat="false" ht="15" hidden="false" customHeight="true" outlineLevel="0" collapsed="false">
      <c r="B89" s="56" t="s">
        <v>891</v>
      </c>
      <c r="C89" s="56"/>
      <c r="D89" s="56"/>
      <c r="E89" s="56"/>
      <c r="F89" s="56"/>
      <c r="G89" s="56"/>
    </row>
    <row r="90" customFormat="false" ht="15" hidden="false" customHeight="false" outlineLevel="0" collapsed="false">
      <c r="B90" s="56"/>
      <c r="C90" s="56"/>
      <c r="D90" s="56"/>
      <c r="E90" s="56"/>
      <c r="F90" s="56"/>
      <c r="G90" s="56"/>
    </row>
    <row r="91" customFormat="false" ht="15" hidden="false" customHeight="false" outlineLevel="0" collapsed="false">
      <c r="B91" s="56"/>
      <c r="C91" s="56"/>
      <c r="D91" s="56"/>
      <c r="E91" s="56"/>
      <c r="F91" s="56"/>
      <c r="G91" s="56"/>
    </row>
    <row r="92" customFormat="false" ht="15" hidden="false" customHeight="false" outlineLevel="0" collapsed="false">
      <c r="B92" s="56"/>
      <c r="C92" s="56"/>
      <c r="D92" s="56"/>
      <c r="E92" s="56"/>
      <c r="F92" s="56"/>
      <c r="G92" s="56"/>
    </row>
  </sheetData>
  <mergeCells count="16">
    <mergeCell ref="B4:G5"/>
    <mergeCell ref="C63:G63"/>
    <mergeCell ref="C64:G64"/>
    <mergeCell ref="C65:G65"/>
    <mergeCell ref="C66:G66"/>
    <mergeCell ref="C67:G67"/>
    <mergeCell ref="C68:G68"/>
    <mergeCell ref="C69:G69"/>
    <mergeCell ref="C70:G70"/>
    <mergeCell ref="C71:G71"/>
    <mergeCell ref="C72:G72"/>
    <mergeCell ref="C73:G73"/>
    <mergeCell ref="C74:G74"/>
    <mergeCell ref="C75:G75"/>
    <mergeCell ref="C76:G76"/>
    <mergeCell ref="B89:G9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A2B"/>
    <pageSetUpPr fitToPage="false"/>
  </sheetPr>
  <dimension ref="B2:I1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08"/>
    <col collapsed="false" customWidth="true" hidden="false" outlineLevel="0" max="4" min="4" style="0" width="40"/>
    <col collapsed="false" customWidth="true" hidden="false" outlineLevel="0" max="5" min="5" style="0" width="44"/>
  </cols>
  <sheetData>
    <row r="2" customFormat="false" ht="30" hidden="false" customHeight="true" outlineLevel="0" collapsed="false">
      <c r="B2" s="1" t="s">
        <v>892</v>
      </c>
      <c r="C2" s="2"/>
      <c r="D2" s="2"/>
      <c r="E2" s="2"/>
      <c r="F2" s="2"/>
      <c r="G2" s="2"/>
      <c r="H2" s="2"/>
      <c r="I2" s="2"/>
    </row>
    <row r="3" customFormat="false" ht="13.5" hidden="false" customHeight="true" outlineLevel="0" collapsed="false">
      <c r="B3" s="14" t="s">
        <v>893</v>
      </c>
    </row>
    <row r="5" customFormat="false" ht="15" hidden="false" customHeight="false" outlineLevel="0" collapsed="false">
      <c r="B5" s="4" t="s">
        <v>894</v>
      </c>
    </row>
    <row r="6" customFormat="false" ht="15" hidden="false" customHeight="false" outlineLevel="0" collapsed="false">
      <c r="B6" s="6" t="s">
        <v>895</v>
      </c>
      <c r="C6" s="6" t="s">
        <v>896</v>
      </c>
    </row>
    <row r="7" customFormat="false" ht="15" hidden="false" customHeight="false" outlineLevel="0" collapsed="false">
      <c r="B7" s="30" t="s">
        <v>897</v>
      </c>
      <c r="C7" s="10" t="s">
        <v>898</v>
      </c>
    </row>
    <row r="8" customFormat="false" ht="15" hidden="false" customHeight="false" outlineLevel="0" collapsed="false">
      <c r="B8" s="30" t="s">
        <v>899</v>
      </c>
      <c r="C8" s="10" t="s">
        <v>900</v>
      </c>
    </row>
    <row r="9" customFormat="false" ht="15" hidden="false" customHeight="false" outlineLevel="0" collapsed="false">
      <c r="B9" s="30" t="s">
        <v>901</v>
      </c>
      <c r="C9" s="10" t="s">
        <v>902</v>
      </c>
    </row>
    <row r="10" customFormat="false" ht="15" hidden="false" customHeight="false" outlineLevel="0" collapsed="false">
      <c r="B10" s="30" t="s">
        <v>903</v>
      </c>
      <c r="C10" s="10" t="s">
        <v>904</v>
      </c>
    </row>
    <row r="11" customFormat="false" ht="15" hidden="false" customHeight="false" outlineLevel="0" collapsed="false">
      <c r="B11" s="30" t="s">
        <v>905</v>
      </c>
      <c r="C11" s="10" t="s">
        <v>906</v>
      </c>
    </row>
    <row r="12" customFormat="false" ht="15" hidden="false" customHeight="false" outlineLevel="0" collapsed="false">
      <c r="B12" s="30" t="s">
        <v>907</v>
      </c>
      <c r="C12" s="10" t="s">
        <v>908</v>
      </c>
    </row>
    <row r="13" customFormat="false" ht="15" hidden="false" customHeight="false" outlineLevel="0" collapsed="false">
      <c r="B13" s="30" t="s">
        <v>909</v>
      </c>
      <c r="C13" s="10" t="s">
        <v>910</v>
      </c>
    </row>
    <row r="14" customFormat="false" ht="15" hidden="false" customHeight="false" outlineLevel="0" collapsed="false">
      <c r="B14" s="30" t="s">
        <v>911</v>
      </c>
      <c r="C14" s="10" t="s">
        <v>912</v>
      </c>
    </row>
    <row r="15" customFormat="false" ht="15" hidden="false" customHeight="false" outlineLevel="0" collapsed="false">
      <c r="B15" s="30" t="s">
        <v>913</v>
      </c>
      <c r="C15" s="10" t="s">
        <v>914</v>
      </c>
    </row>
    <row r="16" customFormat="false" ht="15" hidden="false" customHeight="false" outlineLevel="0" collapsed="false">
      <c r="B16" s="30" t="s">
        <v>915</v>
      </c>
      <c r="C16" s="10" t="s">
        <v>916</v>
      </c>
    </row>
    <row r="17" customFormat="false" ht="15" hidden="false" customHeight="true" outlineLevel="0" collapsed="false">
      <c r="B17" s="61" t="s">
        <v>917</v>
      </c>
      <c r="C17" s="61"/>
      <c r="D17" s="61"/>
      <c r="E17" s="61"/>
      <c r="F17" s="61"/>
      <c r="G17" s="61"/>
      <c r="H17" s="61"/>
    </row>
    <row r="18" customFormat="false" ht="15" hidden="false" customHeight="false" outlineLevel="0" collapsed="false">
      <c r="B18" s="61"/>
      <c r="C18" s="61"/>
      <c r="D18" s="61"/>
      <c r="E18" s="61"/>
      <c r="F18" s="61"/>
      <c r="G18" s="61"/>
      <c r="H18" s="61"/>
    </row>
    <row r="19" customFormat="false" ht="15" hidden="false" customHeight="false" outlineLevel="0" collapsed="false">
      <c r="B19" s="61"/>
      <c r="C19" s="61"/>
      <c r="D19" s="61"/>
      <c r="E19" s="61"/>
      <c r="F19" s="61"/>
      <c r="G19" s="61"/>
      <c r="H19" s="61"/>
    </row>
    <row r="21" customFormat="false" ht="15" hidden="false" customHeight="false" outlineLevel="0" collapsed="false">
      <c r="B21" s="4" t="s">
        <v>918</v>
      </c>
    </row>
    <row r="22" customFormat="false" ht="15" hidden="false" customHeight="false" outlineLevel="0" collapsed="false">
      <c r="B22" s="6" t="s">
        <v>919</v>
      </c>
      <c r="C22" s="6" t="s">
        <v>920</v>
      </c>
      <c r="D22" s="6" t="s">
        <v>921</v>
      </c>
      <c r="E22" s="6" t="s">
        <v>922</v>
      </c>
    </row>
    <row r="23" customFormat="false" ht="15" hidden="false" customHeight="false" outlineLevel="0" collapsed="false">
      <c r="B23" s="11" t="s">
        <v>923</v>
      </c>
      <c r="C23" s="52" t="s">
        <v>924</v>
      </c>
      <c r="D23" s="62" t="n">
        <v>10361499</v>
      </c>
      <c r="E23" s="38" t="n">
        <v>43.75</v>
      </c>
    </row>
    <row r="24" customFormat="false" ht="15" hidden="false" customHeight="false" outlineLevel="0" collapsed="false">
      <c r="B24" s="30" t="s">
        <v>925</v>
      </c>
      <c r="C24" s="52" t="s">
        <v>926</v>
      </c>
      <c r="D24" s="62" t="n">
        <v>9688361</v>
      </c>
      <c r="E24" s="38" t="n">
        <v>40.9</v>
      </c>
    </row>
    <row r="25" customFormat="false" ht="15" hidden="false" customHeight="false" outlineLevel="0" collapsed="false">
      <c r="B25" s="30" t="s">
        <v>927</v>
      </c>
      <c r="C25" s="52" t="s">
        <v>928</v>
      </c>
      <c r="D25" s="62" t="n">
        <v>1639685</v>
      </c>
      <c r="E25" s="38" t="n">
        <v>6.92</v>
      </c>
    </row>
    <row r="26" customFormat="false" ht="15" hidden="false" customHeight="false" outlineLevel="0" collapsed="false">
      <c r="B26" s="30" t="s">
        <v>929</v>
      </c>
      <c r="C26" s="52" t="s">
        <v>930</v>
      </c>
      <c r="D26" s="62" t="n">
        <v>1009073</v>
      </c>
      <c r="E26" s="38" t="n">
        <v>4.26</v>
      </c>
    </row>
    <row r="28" customFormat="false" ht="22.35" hidden="false" customHeight="false" outlineLevel="0" collapsed="false">
      <c r="B28" s="6" t="s">
        <v>931</v>
      </c>
      <c r="D28" s="6" t="s">
        <v>921</v>
      </c>
      <c r="E28" s="6" t="s">
        <v>922</v>
      </c>
    </row>
    <row r="29" customFormat="false" ht="15" hidden="false" customHeight="false" outlineLevel="0" collapsed="false">
      <c r="B29" s="11" t="s">
        <v>923</v>
      </c>
      <c r="D29" s="62" t="n">
        <v>12960166</v>
      </c>
      <c r="E29" s="38" t="n">
        <v>49.66</v>
      </c>
    </row>
    <row r="30" customFormat="false" ht="15" hidden="false" customHeight="false" outlineLevel="0" collapsed="false">
      <c r="B30" s="30" t="s">
        <v>925</v>
      </c>
      <c r="D30" s="62" t="n">
        <v>12708312</v>
      </c>
      <c r="E30" s="38" t="n">
        <v>48.7</v>
      </c>
    </row>
    <row r="31" customFormat="false" ht="15" hidden="false" customHeight="false" outlineLevel="0" collapsed="false">
      <c r="B31" s="30" t="s">
        <v>932</v>
      </c>
      <c r="D31" s="63" t="n">
        <v>251854</v>
      </c>
      <c r="E31" s="64" t="n">
        <v>0.96</v>
      </c>
    </row>
    <row r="32" customFormat="false" ht="15" hidden="false" customHeight="false" outlineLevel="0" collapsed="false">
      <c r="B32" s="65" t="s">
        <v>933</v>
      </c>
      <c r="C32" s="65"/>
      <c r="D32" s="65"/>
      <c r="E32" s="65"/>
      <c r="F32" s="65"/>
      <c r="G32" s="65"/>
      <c r="H32" s="65"/>
    </row>
    <row r="34" customFormat="false" ht="15" hidden="false" customHeight="false" outlineLevel="0" collapsed="false">
      <c r="B34" s="4" t="s">
        <v>934</v>
      </c>
    </row>
    <row r="35" customFormat="false" ht="15" hidden="false" customHeight="false" outlineLevel="0" collapsed="false">
      <c r="B35" s="6" t="s">
        <v>935</v>
      </c>
      <c r="C35" s="6" t="s">
        <v>936</v>
      </c>
    </row>
    <row r="36" customFormat="false" ht="15" hidden="false" customHeight="false" outlineLevel="0" collapsed="false">
      <c r="B36" s="30" t="s">
        <v>926</v>
      </c>
      <c r="C36" s="62" t="n">
        <v>25</v>
      </c>
    </row>
    <row r="37" customFormat="false" ht="15" hidden="false" customHeight="false" outlineLevel="0" collapsed="false">
      <c r="B37" s="30" t="s">
        <v>928</v>
      </c>
      <c r="C37" s="62" t="n">
        <v>17</v>
      </c>
    </row>
    <row r="38" customFormat="false" ht="15" hidden="false" customHeight="false" outlineLevel="0" collapsed="false">
      <c r="B38" s="30" t="s">
        <v>937</v>
      </c>
      <c r="C38" s="62" t="n">
        <v>13</v>
      </c>
    </row>
    <row r="39" customFormat="false" ht="15" hidden="false" customHeight="false" outlineLevel="0" collapsed="false">
      <c r="B39" s="30" t="s">
        <v>938</v>
      </c>
      <c r="C39" s="62" t="n">
        <v>10</v>
      </c>
    </row>
    <row r="40" customFormat="false" ht="15" hidden="false" customHeight="false" outlineLevel="0" collapsed="false">
      <c r="B40" s="30" t="s">
        <v>939</v>
      </c>
      <c r="C40" s="62" t="n">
        <v>10</v>
      </c>
    </row>
    <row r="41" customFormat="false" ht="15" hidden="false" customHeight="false" outlineLevel="0" collapsed="false">
      <c r="B41" s="30" t="s">
        <v>940</v>
      </c>
      <c r="C41" s="62" t="n">
        <v>9</v>
      </c>
    </row>
    <row r="42" customFormat="false" ht="15" hidden="false" customHeight="false" outlineLevel="0" collapsed="false">
      <c r="B42" s="30" t="s">
        <v>941</v>
      </c>
      <c r="C42" s="62" t="n">
        <v>7</v>
      </c>
    </row>
    <row r="43" customFormat="false" ht="15" hidden="false" customHeight="false" outlineLevel="0" collapsed="false">
      <c r="B43" s="30" t="s">
        <v>942</v>
      </c>
      <c r="C43" s="62" t="n">
        <v>5</v>
      </c>
    </row>
    <row r="44" customFormat="false" ht="15" hidden="false" customHeight="false" outlineLevel="0" collapsed="false">
      <c r="B44" s="30" t="s">
        <v>943</v>
      </c>
      <c r="C44" s="62" t="n">
        <v>4</v>
      </c>
    </row>
    <row r="45" customFormat="false" ht="15" hidden="false" customHeight="false" outlineLevel="0" collapsed="false">
      <c r="B45" s="30" t="s">
        <v>944</v>
      </c>
      <c r="C45" s="62" t="n">
        <v>1</v>
      </c>
    </row>
    <row r="46" customFormat="false" ht="15" hidden="false" customHeight="false" outlineLevel="0" collapsed="false">
      <c r="B46" s="30" t="s">
        <v>945</v>
      </c>
      <c r="C46" s="62" t="n">
        <v>1</v>
      </c>
    </row>
    <row r="47" customFormat="false" ht="15" hidden="false" customHeight="false" outlineLevel="0" collapsed="false">
      <c r="B47" s="11" t="s">
        <v>946</v>
      </c>
      <c r="C47" s="66" t="n">
        <f aca="false">SUM(C36:C46)</f>
        <v>102</v>
      </c>
    </row>
    <row r="49" customFormat="false" ht="15" hidden="false" customHeight="true" outlineLevel="0" collapsed="false">
      <c r="B49" s="3" t="s">
        <v>947</v>
      </c>
      <c r="C49" s="3"/>
      <c r="D49" s="3"/>
      <c r="E49" s="3"/>
      <c r="F49" s="3"/>
      <c r="G49" s="3"/>
      <c r="H49" s="3"/>
    </row>
    <row r="50" customFormat="false" ht="15" hidden="false" customHeight="false" outlineLevel="0" collapsed="false">
      <c r="B50" s="3"/>
      <c r="C50" s="3"/>
      <c r="D50" s="3"/>
      <c r="E50" s="3"/>
      <c r="F50" s="3"/>
      <c r="G50" s="3"/>
      <c r="H50" s="3"/>
    </row>
    <row r="51" customFormat="false" ht="15" hidden="false" customHeight="false" outlineLevel="0" collapsed="false">
      <c r="B51" s="3"/>
      <c r="C51" s="3"/>
      <c r="D51" s="3"/>
      <c r="E51" s="3"/>
      <c r="F51" s="3"/>
      <c r="G51" s="3"/>
      <c r="H51" s="3"/>
    </row>
    <row r="53" customFormat="false" ht="15" hidden="false" customHeight="false" outlineLevel="0" collapsed="false">
      <c r="B53" s="4" t="s">
        <v>948</v>
      </c>
    </row>
    <row r="54" customFormat="false" ht="15" hidden="false" customHeight="false" outlineLevel="0" collapsed="false">
      <c r="B54" s="6" t="s">
        <v>848</v>
      </c>
      <c r="C54" s="6" t="s">
        <v>949</v>
      </c>
      <c r="D54" s="6" t="s">
        <v>220</v>
      </c>
      <c r="E54" s="6" t="s">
        <v>950</v>
      </c>
    </row>
    <row r="55" customFormat="false" ht="27.75" hidden="false" customHeight="true" outlineLevel="0" collapsed="false">
      <c r="B55" s="67" t="s">
        <v>951</v>
      </c>
      <c r="C55" s="9" t="s">
        <v>952</v>
      </c>
      <c r="D55" s="52" t="s">
        <v>167</v>
      </c>
      <c r="E55" s="50" t="s">
        <v>953</v>
      </c>
    </row>
    <row r="56" customFormat="false" ht="27.75" hidden="false" customHeight="true" outlineLevel="0" collapsed="false">
      <c r="B56" s="67" t="s">
        <v>951</v>
      </c>
      <c r="C56" s="9" t="s">
        <v>954</v>
      </c>
      <c r="D56" s="52" t="s">
        <v>955</v>
      </c>
      <c r="E56" s="50" t="s">
        <v>956</v>
      </c>
    </row>
    <row r="57" customFormat="false" ht="27.75" hidden="false" customHeight="true" outlineLevel="0" collapsed="false">
      <c r="B57" s="67" t="s">
        <v>951</v>
      </c>
      <c r="C57" s="9" t="s">
        <v>957</v>
      </c>
      <c r="D57" s="52" t="s">
        <v>958</v>
      </c>
      <c r="E57" s="50" t="s">
        <v>959</v>
      </c>
    </row>
    <row r="58" customFormat="false" ht="27.75" hidden="false" customHeight="true" outlineLevel="0" collapsed="false">
      <c r="B58" s="67" t="s">
        <v>951</v>
      </c>
      <c r="C58" s="9" t="s">
        <v>960</v>
      </c>
      <c r="D58" s="52" t="s">
        <v>961</v>
      </c>
      <c r="E58" s="50" t="s">
        <v>145</v>
      </c>
    </row>
    <row r="59" customFormat="false" ht="27.75" hidden="false" customHeight="true" outlineLevel="0" collapsed="false">
      <c r="B59" s="67" t="s">
        <v>951</v>
      </c>
      <c r="C59" s="9" t="s">
        <v>962</v>
      </c>
      <c r="D59" s="52" t="s">
        <v>961</v>
      </c>
      <c r="E59" s="50" t="s">
        <v>145</v>
      </c>
    </row>
    <row r="60" customFormat="false" ht="27.75" hidden="false" customHeight="true" outlineLevel="0" collapsed="false">
      <c r="B60" s="67" t="s">
        <v>951</v>
      </c>
      <c r="C60" s="9" t="s">
        <v>963</v>
      </c>
      <c r="D60" s="52" t="s">
        <v>964</v>
      </c>
      <c r="E60" s="50" t="s">
        <v>965</v>
      </c>
    </row>
    <row r="61" customFormat="false" ht="27.75" hidden="false" customHeight="true" outlineLevel="0" collapsed="false">
      <c r="B61" s="67" t="s">
        <v>951</v>
      </c>
      <c r="C61" s="9" t="s">
        <v>966</v>
      </c>
      <c r="D61" s="52" t="s">
        <v>967</v>
      </c>
      <c r="E61" s="50" t="s">
        <v>145</v>
      </c>
    </row>
    <row r="62" customFormat="false" ht="27.75" hidden="false" customHeight="true" outlineLevel="0" collapsed="false">
      <c r="B62" s="67" t="s">
        <v>951</v>
      </c>
      <c r="C62" s="9" t="s">
        <v>968</v>
      </c>
      <c r="D62" s="52" t="s">
        <v>969</v>
      </c>
      <c r="E62" s="50" t="s">
        <v>970</v>
      </c>
    </row>
    <row r="63" customFormat="false" ht="27.75" hidden="false" customHeight="true" outlineLevel="0" collapsed="false">
      <c r="B63" s="68" t="s">
        <v>971</v>
      </c>
      <c r="C63" s="9" t="s">
        <v>972</v>
      </c>
      <c r="D63" s="52" t="s">
        <v>973</v>
      </c>
      <c r="E63" s="50" t="s">
        <v>974</v>
      </c>
    </row>
    <row r="64" customFormat="false" ht="27.75" hidden="false" customHeight="true" outlineLevel="0" collapsed="false">
      <c r="B64" s="68" t="s">
        <v>971</v>
      </c>
      <c r="C64" s="9" t="s">
        <v>975</v>
      </c>
      <c r="D64" s="52" t="s">
        <v>976</v>
      </c>
      <c r="E64" s="50" t="s">
        <v>977</v>
      </c>
    </row>
    <row r="65" customFormat="false" ht="27.75" hidden="false" customHeight="true" outlineLevel="0" collapsed="false">
      <c r="B65" s="68" t="s">
        <v>971</v>
      </c>
      <c r="C65" s="9" t="s">
        <v>978</v>
      </c>
      <c r="D65" s="52" t="s">
        <v>979</v>
      </c>
      <c r="E65" s="50" t="s">
        <v>980</v>
      </c>
    </row>
    <row r="66" customFormat="false" ht="27.75" hidden="false" customHeight="true" outlineLevel="0" collapsed="false">
      <c r="B66" s="68" t="s">
        <v>971</v>
      </c>
      <c r="C66" s="9" t="s">
        <v>981</v>
      </c>
      <c r="D66" s="52" t="s">
        <v>982</v>
      </c>
      <c r="E66" s="50" t="s">
        <v>983</v>
      </c>
    </row>
    <row r="67" customFormat="false" ht="27.75" hidden="false" customHeight="true" outlineLevel="0" collapsed="false">
      <c r="B67" s="68" t="s">
        <v>971</v>
      </c>
      <c r="C67" s="9" t="s">
        <v>984</v>
      </c>
      <c r="D67" s="52" t="s">
        <v>985</v>
      </c>
      <c r="E67" s="50" t="s">
        <v>145</v>
      </c>
    </row>
    <row r="68" customFormat="false" ht="27.75" hidden="false" customHeight="true" outlineLevel="0" collapsed="false">
      <c r="B68" s="13" t="s">
        <v>986</v>
      </c>
      <c r="C68" s="9" t="s">
        <v>987</v>
      </c>
      <c r="D68" s="52" t="s">
        <v>988</v>
      </c>
      <c r="E68" s="50" t="s">
        <v>989</v>
      </c>
    </row>
    <row r="69" customFormat="false" ht="27.75" hidden="false" customHeight="true" outlineLevel="0" collapsed="false">
      <c r="B69" s="13" t="s">
        <v>986</v>
      </c>
      <c r="C69" s="9" t="s">
        <v>990</v>
      </c>
      <c r="D69" s="52" t="s">
        <v>991</v>
      </c>
      <c r="E69" s="50" t="s">
        <v>992</v>
      </c>
    </row>
    <row r="70" customFormat="false" ht="27.75" hidden="false" customHeight="true" outlineLevel="0" collapsed="false">
      <c r="B70" s="13" t="s">
        <v>986</v>
      </c>
      <c r="C70" s="9" t="s">
        <v>993</v>
      </c>
      <c r="D70" s="52" t="s">
        <v>994</v>
      </c>
      <c r="E70" s="50" t="s">
        <v>995</v>
      </c>
    </row>
    <row r="71" customFormat="false" ht="15" hidden="false" customHeight="true" outlineLevel="0" collapsed="false">
      <c r="B71" s="69" t="s">
        <v>996</v>
      </c>
      <c r="C71" s="69"/>
      <c r="D71" s="69"/>
      <c r="E71" s="69"/>
      <c r="F71" s="69"/>
      <c r="G71" s="69"/>
      <c r="H71" s="69"/>
    </row>
    <row r="74" customFormat="false" ht="15" hidden="false" customHeight="false" outlineLevel="0" collapsed="false">
      <c r="B74" s="4" t="s">
        <v>997</v>
      </c>
    </row>
    <row r="75" customFormat="false" ht="15" hidden="false" customHeight="false" outlineLevel="0" collapsed="false">
      <c r="B75" s="6" t="s">
        <v>998</v>
      </c>
      <c r="C75" s="6" t="s">
        <v>222</v>
      </c>
      <c r="D75" s="6" t="s">
        <v>999</v>
      </c>
      <c r="E75" s="6" t="s">
        <v>1000</v>
      </c>
    </row>
    <row r="76" customFormat="false" ht="15" hidden="false" customHeight="false" outlineLevel="0" collapsed="false">
      <c r="B76" s="30" t="s">
        <v>1001</v>
      </c>
      <c r="C76" s="52" t="s">
        <v>1002</v>
      </c>
      <c r="D76" s="38" t="n">
        <v>9.25</v>
      </c>
      <c r="E76" s="52" t="s">
        <v>1003</v>
      </c>
    </row>
    <row r="77" customFormat="false" ht="15" hidden="false" customHeight="false" outlineLevel="0" collapsed="false">
      <c r="B77" s="30" t="s">
        <v>649</v>
      </c>
      <c r="C77" s="52" t="s">
        <v>1004</v>
      </c>
      <c r="D77" s="38" t="n">
        <v>9.25</v>
      </c>
      <c r="E77" s="52" t="s">
        <v>1005</v>
      </c>
    </row>
    <row r="78" customFormat="false" ht="15" hidden="false" customHeight="false" outlineLevel="0" collapsed="false">
      <c r="B78" s="30" t="s">
        <v>1006</v>
      </c>
      <c r="C78" s="10" t="s">
        <v>1007</v>
      </c>
      <c r="D78" s="38" t="n">
        <v>10.25</v>
      </c>
      <c r="E78" s="52" t="s">
        <v>1005</v>
      </c>
    </row>
    <row r="79" customFormat="false" ht="15" hidden="false" customHeight="false" outlineLevel="0" collapsed="false">
      <c r="B79" s="30" t="s">
        <v>1008</v>
      </c>
      <c r="C79" s="10" t="s">
        <v>1007</v>
      </c>
      <c r="D79" s="38" t="n">
        <v>11.25</v>
      </c>
      <c r="E79" s="52" t="s">
        <v>1005</v>
      </c>
    </row>
    <row r="80" customFormat="false" ht="15" hidden="false" customHeight="false" outlineLevel="0" collapsed="false">
      <c r="B80" s="30" t="s">
        <v>1009</v>
      </c>
      <c r="C80" s="10" t="s">
        <v>1010</v>
      </c>
      <c r="D80" s="38" t="n">
        <v>12</v>
      </c>
      <c r="E80" s="52" t="s">
        <v>1011</v>
      </c>
    </row>
    <row r="81" customFormat="false" ht="15" hidden="false" customHeight="false" outlineLevel="0" collapsed="false">
      <c r="B81" s="30" t="s">
        <v>1012</v>
      </c>
      <c r="C81" s="52" t="s">
        <v>1004</v>
      </c>
      <c r="D81" s="38" t="n">
        <v>12</v>
      </c>
      <c r="E81" s="52" t="s">
        <v>1013</v>
      </c>
    </row>
    <row r="82" customFormat="false" ht="15" hidden="false" customHeight="false" outlineLevel="0" collapsed="false">
      <c r="B82" s="11" t="s">
        <v>1014</v>
      </c>
      <c r="C82" s="70" t="s">
        <v>1015</v>
      </c>
      <c r="D82" s="42" t="n">
        <f aca="false">D81-6.03</f>
        <v>5.97</v>
      </c>
      <c r="E82" s="70" t="s">
        <v>1016</v>
      </c>
    </row>
    <row r="84" customFormat="false" ht="15" hidden="false" customHeight="true" outlineLevel="0" collapsed="false">
      <c r="B84" s="5" t="s">
        <v>1017</v>
      </c>
      <c r="C84" s="5"/>
      <c r="D84" s="5"/>
      <c r="E84" s="5"/>
      <c r="F84" s="5"/>
      <c r="G84" s="5"/>
      <c r="H84" s="5"/>
    </row>
    <row r="85" customFormat="false" ht="15" hidden="false" customHeight="false" outlineLevel="0" collapsed="false">
      <c r="B85" s="5"/>
      <c r="C85" s="5"/>
      <c r="D85" s="5"/>
      <c r="E85" s="5"/>
      <c r="F85" s="5"/>
      <c r="G85" s="5"/>
      <c r="H85" s="5"/>
    </row>
    <row r="86" customFormat="false" ht="15" hidden="false" customHeight="false" outlineLevel="0" collapsed="false">
      <c r="B86" s="5"/>
      <c r="C86" s="5"/>
      <c r="D86" s="5"/>
      <c r="E86" s="5"/>
      <c r="F86" s="5"/>
      <c r="G86" s="5"/>
      <c r="H86" s="5"/>
    </row>
    <row r="88" customFormat="false" ht="15" hidden="false" customHeight="false" outlineLevel="0" collapsed="false">
      <c r="B88" s="4" t="s">
        <v>1018</v>
      </c>
    </row>
    <row r="89" customFormat="false" ht="15" hidden="false" customHeight="false" outlineLevel="0" collapsed="false">
      <c r="B89" s="6" t="s">
        <v>1019</v>
      </c>
      <c r="C89" s="6" t="s">
        <v>1020</v>
      </c>
      <c r="D89" s="6" t="s">
        <v>1021</v>
      </c>
      <c r="E89" s="6" t="s">
        <v>1022</v>
      </c>
    </row>
    <row r="90" customFormat="false" ht="15" hidden="false" customHeight="false" outlineLevel="0" collapsed="false">
      <c r="B90" s="30" t="s">
        <v>1023</v>
      </c>
      <c r="C90" s="33" t="n">
        <v>392.6</v>
      </c>
      <c r="D90" s="40" t="s">
        <v>1024</v>
      </c>
      <c r="E90" s="36" t="n">
        <f aca="false">C90/$C$93*100</f>
        <v>61.8267716535433</v>
      </c>
    </row>
    <row r="91" customFormat="false" ht="15" hidden="false" customHeight="false" outlineLevel="0" collapsed="false">
      <c r="B91" s="11" t="s">
        <v>1025</v>
      </c>
      <c r="C91" s="33" t="n">
        <v>155.4</v>
      </c>
      <c r="D91" s="71" t="s">
        <v>1026</v>
      </c>
      <c r="E91" s="36" t="n">
        <f aca="false">C91/$C$93*100</f>
        <v>24.4724409448819</v>
      </c>
    </row>
    <row r="92" customFormat="false" ht="15" hidden="false" customHeight="false" outlineLevel="0" collapsed="false">
      <c r="B92" s="30" t="s">
        <v>1027</v>
      </c>
      <c r="C92" s="33" t="n">
        <v>87</v>
      </c>
      <c r="D92" s="40" t="s">
        <v>1028</v>
      </c>
      <c r="E92" s="36" t="n">
        <f aca="false">C92/$C$93*100</f>
        <v>13.7007874015748</v>
      </c>
    </row>
    <row r="93" customFormat="false" ht="15" hidden="false" customHeight="false" outlineLevel="0" collapsed="false">
      <c r="B93" s="11" t="s">
        <v>1029</v>
      </c>
      <c r="C93" s="42" t="n">
        <f aca="false">SUM(C90:C92)</f>
        <v>635</v>
      </c>
    </row>
    <row r="94" customFormat="false" ht="15" hidden="false" customHeight="true" outlineLevel="0" collapsed="false">
      <c r="B94" s="5" t="s">
        <v>1030</v>
      </c>
      <c r="C94" s="5"/>
      <c r="D94" s="5"/>
      <c r="E94" s="5"/>
      <c r="F94" s="5"/>
      <c r="G94" s="5"/>
      <c r="H94" s="5"/>
    </row>
    <row r="95" customFormat="false" ht="15" hidden="false" customHeight="false" outlineLevel="0" collapsed="false">
      <c r="B95" s="5"/>
      <c r="C95" s="5"/>
      <c r="D95" s="5"/>
      <c r="E95" s="5"/>
      <c r="F95" s="5"/>
      <c r="G95" s="5"/>
      <c r="H95" s="5"/>
    </row>
    <row r="96" customFormat="false" ht="15" hidden="false" customHeight="false" outlineLevel="0" collapsed="false">
      <c r="B96" s="5"/>
      <c r="C96" s="5"/>
      <c r="D96" s="5"/>
      <c r="E96" s="5"/>
      <c r="F96" s="5"/>
      <c r="G96" s="5"/>
      <c r="H96" s="5"/>
    </row>
    <row r="97" customFormat="false" ht="15" hidden="false" customHeight="false" outlineLevel="0" collapsed="false">
      <c r="B97" s="5"/>
      <c r="C97" s="5"/>
      <c r="D97" s="5"/>
      <c r="E97" s="5"/>
      <c r="F97" s="5"/>
      <c r="G97" s="5"/>
      <c r="H97" s="5"/>
    </row>
    <row r="99" customFormat="false" ht="15" hidden="false" customHeight="false" outlineLevel="0" collapsed="false">
      <c r="B99" s="4" t="s">
        <v>1031</v>
      </c>
    </row>
    <row r="100" customFormat="false" ht="15" hidden="false" customHeight="false" outlineLevel="0" collapsed="false">
      <c r="B100" s="6" t="s">
        <v>1032</v>
      </c>
      <c r="C100" s="6" t="s">
        <v>1033</v>
      </c>
      <c r="D100" s="6" t="s">
        <v>1034</v>
      </c>
      <c r="E100" s="6" t="s">
        <v>410</v>
      </c>
    </row>
    <row r="101" customFormat="false" ht="15" hidden="false" customHeight="false" outlineLevel="0" collapsed="false">
      <c r="B101" s="11" t="s">
        <v>1035</v>
      </c>
      <c r="C101" s="40" t="s">
        <v>1036</v>
      </c>
      <c r="D101" s="72" t="s">
        <v>1037</v>
      </c>
      <c r="E101" s="70" t="s">
        <v>1038</v>
      </c>
    </row>
    <row r="102" customFormat="false" ht="15" hidden="false" customHeight="false" outlineLevel="0" collapsed="false">
      <c r="B102" s="11" t="s">
        <v>1039</v>
      </c>
      <c r="C102" s="40" t="s">
        <v>1040</v>
      </c>
      <c r="D102" s="72" t="s">
        <v>1041</v>
      </c>
      <c r="E102" s="70"/>
    </row>
    <row r="103" customFormat="false" ht="15" hidden="false" customHeight="false" outlineLevel="0" collapsed="false">
      <c r="B103" s="11" t="s">
        <v>1042</v>
      </c>
      <c r="C103" s="40" t="s">
        <v>1043</v>
      </c>
      <c r="D103" s="72" t="s">
        <v>1044</v>
      </c>
      <c r="E103" s="70" t="s">
        <v>1045</v>
      </c>
    </row>
    <row r="104" customFormat="false" ht="15" hidden="false" customHeight="false" outlineLevel="0" collapsed="false">
      <c r="B104" s="11" t="s">
        <v>1046</v>
      </c>
      <c r="C104" s="40" t="s">
        <v>145</v>
      </c>
      <c r="D104" s="72" t="s">
        <v>145</v>
      </c>
      <c r="E104" s="70" t="s">
        <v>1047</v>
      </c>
    </row>
    <row r="105" customFormat="false" ht="15" hidden="false" customHeight="true" outlineLevel="0" collapsed="false">
      <c r="B105" s="5" t="s">
        <v>1048</v>
      </c>
      <c r="C105" s="5"/>
      <c r="D105" s="5"/>
      <c r="E105" s="5"/>
      <c r="F105" s="5"/>
      <c r="G105" s="5"/>
      <c r="H105" s="5"/>
    </row>
    <row r="106" customFormat="false" ht="15" hidden="false" customHeight="false" outlineLevel="0" collapsed="false">
      <c r="B106" s="5"/>
      <c r="C106" s="5"/>
      <c r="D106" s="5"/>
      <c r="E106" s="5"/>
      <c r="F106" s="5"/>
      <c r="G106" s="5"/>
      <c r="H106" s="5"/>
    </row>
    <row r="107" customFormat="false" ht="15" hidden="false" customHeight="false" outlineLevel="0" collapsed="false">
      <c r="B107" s="5"/>
      <c r="C107" s="5"/>
      <c r="D107" s="5"/>
      <c r="E107" s="5"/>
      <c r="F107" s="5"/>
      <c r="G107" s="5"/>
      <c r="H107" s="5"/>
    </row>
    <row r="108" customFormat="false" ht="15" hidden="false" customHeight="false" outlineLevel="0" collapsed="false">
      <c r="B108" s="5"/>
      <c r="C108" s="5"/>
      <c r="D108" s="5"/>
      <c r="E108" s="5"/>
      <c r="F108" s="5"/>
      <c r="G108" s="5"/>
      <c r="H108" s="5"/>
    </row>
    <row r="110" customFormat="false" ht="15" hidden="false" customHeight="false" outlineLevel="0" collapsed="false">
      <c r="B110" s="4" t="s">
        <v>1049</v>
      </c>
    </row>
    <row r="111" customFormat="false" ht="15" hidden="false" customHeight="false" outlineLevel="0" collapsed="false">
      <c r="B111" s="6" t="s">
        <v>895</v>
      </c>
      <c r="C111" s="6" t="s">
        <v>1050</v>
      </c>
      <c r="D111" s="6" t="s">
        <v>410</v>
      </c>
    </row>
    <row r="112" customFormat="false" ht="25.5" hidden="false" customHeight="true" outlineLevel="0" collapsed="false">
      <c r="B112" s="11" t="s">
        <v>1051</v>
      </c>
      <c r="C112" s="35" t="s">
        <v>1052</v>
      </c>
      <c r="D112" s="73" t="s">
        <v>1053</v>
      </c>
    </row>
    <row r="113" customFormat="false" ht="25.5" hidden="false" customHeight="true" outlineLevel="0" collapsed="false">
      <c r="B113" s="11" t="s">
        <v>1054</v>
      </c>
      <c r="C113" s="35" t="s">
        <v>1055</v>
      </c>
      <c r="D113" s="73" t="s">
        <v>1056</v>
      </c>
    </row>
    <row r="114" customFormat="false" ht="25.5" hidden="false" customHeight="true" outlineLevel="0" collapsed="false">
      <c r="B114" s="11" t="s">
        <v>1057</v>
      </c>
      <c r="C114" s="35" t="s">
        <v>1058</v>
      </c>
      <c r="D114" s="73"/>
    </row>
    <row r="115" customFormat="false" ht="25.5" hidden="false" customHeight="true" outlineLevel="0" collapsed="false">
      <c r="B115" s="11" t="s">
        <v>1059</v>
      </c>
      <c r="C115" s="35" t="s">
        <v>1060</v>
      </c>
      <c r="D115" s="73"/>
    </row>
    <row r="116" customFormat="false" ht="25.5" hidden="false" customHeight="true" outlineLevel="0" collapsed="false">
      <c r="B116" s="11" t="s">
        <v>1061</v>
      </c>
      <c r="C116" s="35" t="s">
        <v>1062</v>
      </c>
      <c r="D116" s="73"/>
    </row>
    <row r="117" customFormat="false" ht="25.5" hidden="false" customHeight="true" outlineLevel="0" collapsed="false">
      <c r="B117" s="11" t="s">
        <v>1063</v>
      </c>
      <c r="C117" s="35" t="s">
        <v>1064</v>
      </c>
      <c r="D117" s="73" t="s">
        <v>1065</v>
      </c>
    </row>
    <row r="118" customFormat="false" ht="25.5" hidden="false" customHeight="true" outlineLevel="0" collapsed="false">
      <c r="B118" s="11" t="s">
        <v>1014</v>
      </c>
      <c r="C118" s="35" t="s">
        <v>1066</v>
      </c>
      <c r="D118" s="73" t="s">
        <v>1067</v>
      </c>
    </row>
    <row r="119" customFormat="false" ht="25.5" hidden="false" customHeight="true" outlineLevel="0" collapsed="false">
      <c r="B119" s="11" t="s">
        <v>1068</v>
      </c>
      <c r="C119" s="35" t="s">
        <v>1069</v>
      </c>
      <c r="D119" s="73"/>
    </row>
    <row r="120" customFormat="false" ht="25.5" hidden="false" customHeight="true" outlineLevel="0" collapsed="false">
      <c r="B120" s="11" t="s">
        <v>1070</v>
      </c>
      <c r="C120" s="35" t="s">
        <v>1071</v>
      </c>
      <c r="D120" s="74" t="s">
        <v>1072</v>
      </c>
    </row>
    <row r="121" customFormat="false" ht="25.5" hidden="false" customHeight="true" outlineLevel="0" collapsed="false">
      <c r="B121" s="11" t="s">
        <v>1073</v>
      </c>
      <c r="C121" s="35" t="s">
        <v>1074</v>
      </c>
      <c r="D121" s="74" t="s">
        <v>1075</v>
      </c>
    </row>
    <row r="122" customFormat="false" ht="25.5" hidden="false" customHeight="true" outlineLevel="0" collapsed="false">
      <c r="B122" s="11" t="s">
        <v>1076</v>
      </c>
      <c r="C122" s="35" t="s">
        <v>1077</v>
      </c>
      <c r="D122" s="73" t="s">
        <v>1078</v>
      </c>
    </row>
    <row r="123" customFormat="false" ht="25.5" hidden="false" customHeight="true" outlineLevel="0" collapsed="false">
      <c r="B123" s="11" t="s">
        <v>1079</v>
      </c>
      <c r="C123" s="35" t="s">
        <v>1080</v>
      </c>
      <c r="D123" s="73" t="s">
        <v>1081</v>
      </c>
    </row>
    <row r="125" customFormat="false" ht="15" hidden="false" customHeight="false" outlineLevel="0" collapsed="false">
      <c r="B125" s="4" t="s">
        <v>689</v>
      </c>
    </row>
    <row r="126" customFormat="false" ht="15" hidden="false" customHeight="false" outlineLevel="0" collapsed="false">
      <c r="B126" s="6" t="s">
        <v>1032</v>
      </c>
      <c r="C126" s="6" t="s">
        <v>896</v>
      </c>
    </row>
    <row r="127" customFormat="false" ht="15" hidden="false" customHeight="false" outlineLevel="0" collapsed="false">
      <c r="B127" s="30" t="s">
        <v>1082</v>
      </c>
      <c r="C127" s="46" t="s">
        <v>1083</v>
      </c>
    </row>
    <row r="128" customFormat="false" ht="15" hidden="false" customHeight="false" outlineLevel="0" collapsed="false">
      <c r="B128" s="30" t="s">
        <v>1084</v>
      </c>
      <c r="C128" s="46" t="s">
        <v>1085</v>
      </c>
    </row>
    <row r="129" customFormat="false" ht="15" hidden="false" customHeight="false" outlineLevel="0" collapsed="false">
      <c r="B129" s="30" t="s">
        <v>1086</v>
      </c>
      <c r="C129" s="46" t="s">
        <v>1087</v>
      </c>
    </row>
    <row r="130" customFormat="false" ht="15" hidden="false" customHeight="false" outlineLevel="0" collapsed="false">
      <c r="B130" s="30" t="s">
        <v>1088</v>
      </c>
      <c r="C130" s="46" t="s">
        <v>1089</v>
      </c>
    </row>
    <row r="131" customFormat="false" ht="15" hidden="false" customHeight="false" outlineLevel="0" collapsed="false">
      <c r="B131" s="30" t="s">
        <v>1090</v>
      </c>
      <c r="C131" s="46" t="s">
        <v>1091</v>
      </c>
    </row>
    <row r="132" customFormat="false" ht="15" hidden="false" customHeight="false" outlineLevel="0" collapsed="false">
      <c r="B132" s="30" t="s">
        <v>1092</v>
      </c>
      <c r="C132" s="46" t="s">
        <v>1093</v>
      </c>
    </row>
    <row r="133" customFormat="false" ht="15" hidden="false" customHeight="false" outlineLevel="0" collapsed="false">
      <c r="B133" s="30" t="s">
        <v>1094</v>
      </c>
      <c r="C133" s="46" t="s">
        <v>1095</v>
      </c>
    </row>
    <row r="134" customFormat="false" ht="15" hidden="false" customHeight="false" outlineLevel="0" collapsed="false">
      <c r="B134" s="30" t="s">
        <v>200</v>
      </c>
      <c r="C134" s="46" t="s">
        <v>1096</v>
      </c>
    </row>
    <row r="135" customFormat="false" ht="15" hidden="false" customHeight="true" outlineLevel="0" collapsed="false">
      <c r="B135" s="61" t="s">
        <v>1097</v>
      </c>
      <c r="C135" s="61"/>
      <c r="D135" s="61"/>
      <c r="E135" s="61"/>
      <c r="F135" s="61"/>
      <c r="G135" s="61"/>
      <c r="H135" s="61"/>
    </row>
    <row r="136" customFormat="false" ht="15" hidden="false" customHeight="false" outlineLevel="0" collapsed="false">
      <c r="B136" s="61"/>
      <c r="C136" s="61"/>
      <c r="D136" s="61"/>
      <c r="E136" s="61"/>
      <c r="F136" s="61"/>
      <c r="G136" s="61"/>
      <c r="H136" s="61"/>
    </row>
    <row r="138" customFormat="false" ht="15" hidden="false" customHeight="false" outlineLevel="0" collapsed="false">
      <c r="B138" s="4" t="s">
        <v>1098</v>
      </c>
    </row>
    <row r="139" customFormat="false" ht="15" hidden="false" customHeight="false" outlineLevel="0" collapsed="false">
      <c r="B139" s="6" t="s">
        <v>1099</v>
      </c>
      <c r="C139" s="6" t="s">
        <v>1100</v>
      </c>
      <c r="D139" s="6" t="s">
        <v>1101</v>
      </c>
    </row>
    <row r="140" customFormat="false" ht="45.75" hidden="false" customHeight="true" outlineLevel="0" collapsed="false">
      <c r="B140" s="11" t="s">
        <v>1102</v>
      </c>
      <c r="C140" s="35" t="s">
        <v>1103</v>
      </c>
      <c r="D140" s="50" t="s">
        <v>1104</v>
      </c>
    </row>
    <row r="141" customFormat="false" ht="45.75" hidden="false" customHeight="true" outlineLevel="0" collapsed="false">
      <c r="B141" s="11" t="s">
        <v>1105</v>
      </c>
      <c r="C141" s="35" t="s">
        <v>1106</v>
      </c>
      <c r="D141" s="50" t="s">
        <v>1107</v>
      </c>
    </row>
    <row r="142" customFormat="false" ht="45.75" hidden="false" customHeight="true" outlineLevel="0" collapsed="false">
      <c r="B142" s="11" t="s">
        <v>1108</v>
      </c>
      <c r="C142" s="35" t="s">
        <v>1109</v>
      </c>
      <c r="D142" s="50" t="s">
        <v>1110</v>
      </c>
    </row>
    <row r="143" customFormat="false" ht="45.75" hidden="false" customHeight="true" outlineLevel="0" collapsed="false">
      <c r="B143" s="11" t="s">
        <v>1111</v>
      </c>
      <c r="C143" s="35" t="s">
        <v>1112</v>
      </c>
      <c r="D143" s="50" t="s">
        <v>1113</v>
      </c>
    </row>
    <row r="144" customFormat="false" ht="45.75" hidden="false" customHeight="true" outlineLevel="0" collapsed="false">
      <c r="B144" s="11" t="s">
        <v>1114</v>
      </c>
      <c r="C144" s="35" t="s">
        <v>1115</v>
      </c>
      <c r="D144" s="50" t="s">
        <v>1116</v>
      </c>
    </row>
    <row r="145" customFormat="false" ht="15" hidden="false" customHeight="true" outlineLevel="0" collapsed="false">
      <c r="B145" s="56" t="s">
        <v>1117</v>
      </c>
      <c r="C145" s="56"/>
      <c r="D145" s="56"/>
      <c r="E145" s="56"/>
      <c r="F145" s="56"/>
      <c r="G145" s="56"/>
      <c r="H145" s="56"/>
    </row>
    <row r="146" customFormat="false" ht="15" hidden="false" customHeight="false" outlineLevel="0" collapsed="false">
      <c r="B146" s="56"/>
      <c r="C146" s="56"/>
      <c r="D146" s="56"/>
      <c r="E146" s="56"/>
      <c r="F146" s="56"/>
      <c r="G146" s="56"/>
      <c r="H146" s="56"/>
    </row>
    <row r="147" customFormat="false" ht="15" hidden="false" customHeight="false" outlineLevel="0" collapsed="false">
      <c r="B147" s="56"/>
      <c r="C147" s="56"/>
      <c r="D147" s="56"/>
      <c r="E147" s="56"/>
      <c r="F147" s="56"/>
      <c r="G147" s="56"/>
      <c r="H147" s="56"/>
    </row>
    <row r="148" customFormat="false" ht="15" hidden="false" customHeight="false" outlineLevel="0" collapsed="false">
      <c r="B148" s="56"/>
      <c r="C148" s="56"/>
      <c r="D148" s="56"/>
      <c r="E148" s="56"/>
      <c r="F148" s="56"/>
      <c r="G148" s="56"/>
      <c r="H148" s="56"/>
    </row>
    <row r="150" customFormat="false" ht="15" hidden="false" customHeight="false" outlineLevel="0" collapsed="false">
      <c r="B150" s="4" t="s">
        <v>1118</v>
      </c>
    </row>
    <row r="151" customFormat="false" ht="15" hidden="false" customHeight="false" outlineLevel="0" collapsed="false">
      <c r="B151" s="6" t="s">
        <v>895</v>
      </c>
      <c r="C151" s="6" t="s">
        <v>1119</v>
      </c>
      <c r="D151" s="6" t="s">
        <v>410</v>
      </c>
    </row>
    <row r="152" customFormat="false" ht="25.5" hidden="false" customHeight="true" outlineLevel="0" collapsed="false">
      <c r="B152" s="30" t="s">
        <v>1120</v>
      </c>
      <c r="C152" s="35" t="s">
        <v>1121</v>
      </c>
      <c r="D152" s="73"/>
    </row>
    <row r="153" customFormat="false" ht="25.5" hidden="false" customHeight="true" outlineLevel="0" collapsed="false">
      <c r="B153" s="30" t="s">
        <v>1122</v>
      </c>
      <c r="C153" s="35" t="s">
        <v>1123</v>
      </c>
      <c r="D153" s="73"/>
    </row>
    <row r="154" customFormat="false" ht="25.5" hidden="false" customHeight="true" outlineLevel="0" collapsed="false">
      <c r="B154" s="30" t="s">
        <v>1124</v>
      </c>
      <c r="C154" s="35" t="s">
        <v>1125</v>
      </c>
      <c r="D154" s="73" t="s">
        <v>1126</v>
      </c>
    </row>
    <row r="155" customFormat="false" ht="25.5" hidden="false" customHeight="true" outlineLevel="0" collapsed="false">
      <c r="B155" s="11" t="s">
        <v>1127</v>
      </c>
      <c r="C155" s="35" t="s">
        <v>1128</v>
      </c>
      <c r="D155" s="73"/>
    </row>
    <row r="156" customFormat="false" ht="25.5" hidden="false" customHeight="true" outlineLevel="0" collapsed="false">
      <c r="B156" s="30" t="s">
        <v>1129</v>
      </c>
      <c r="C156" s="35" t="s">
        <v>1130</v>
      </c>
      <c r="D156" s="73"/>
    </row>
    <row r="157" customFormat="false" ht="25.5" hidden="false" customHeight="true" outlineLevel="0" collapsed="false">
      <c r="B157" s="30" t="s">
        <v>1131</v>
      </c>
      <c r="C157" s="35" t="s">
        <v>1132</v>
      </c>
      <c r="D157" s="73"/>
    </row>
    <row r="158" customFormat="false" ht="25.5" hidden="false" customHeight="true" outlineLevel="0" collapsed="false">
      <c r="B158" s="30" t="s">
        <v>1133</v>
      </c>
      <c r="C158" s="35" t="s">
        <v>1134</v>
      </c>
      <c r="D158" s="73"/>
    </row>
    <row r="159" customFormat="false" ht="25.5" hidden="false" customHeight="true" outlineLevel="0" collapsed="false">
      <c r="B159" s="11" t="s">
        <v>1135</v>
      </c>
      <c r="C159" s="75" t="s">
        <v>1136</v>
      </c>
      <c r="D159" s="73"/>
    </row>
    <row r="162" customFormat="false" ht="15" hidden="false" customHeight="false" outlineLevel="0" collapsed="false">
      <c r="B162" s="4" t="s">
        <v>1137</v>
      </c>
    </row>
    <row r="163" customFormat="false" ht="15" hidden="false" customHeight="true" outlineLevel="0" collapsed="false">
      <c r="B163" s="56" t="s">
        <v>1138</v>
      </c>
      <c r="C163" s="56"/>
      <c r="D163" s="56"/>
      <c r="E163" s="56"/>
      <c r="F163" s="56"/>
      <c r="G163" s="56"/>
      <c r="H163" s="56"/>
    </row>
    <row r="164" customFormat="false" ht="15" hidden="false" customHeight="false" outlineLevel="0" collapsed="false">
      <c r="B164" s="56"/>
      <c r="C164" s="56"/>
      <c r="D164" s="56"/>
      <c r="E164" s="56"/>
      <c r="F164" s="56"/>
      <c r="G164" s="56"/>
      <c r="H164" s="56"/>
    </row>
    <row r="165" customFormat="false" ht="15" hidden="false" customHeight="false" outlineLevel="0" collapsed="false">
      <c r="B165" s="56"/>
      <c r="C165" s="56"/>
      <c r="D165" s="56"/>
      <c r="E165" s="56"/>
      <c r="F165" s="56"/>
      <c r="G165" s="56"/>
      <c r="H165" s="56"/>
    </row>
    <row r="166" customFormat="false" ht="15" hidden="false" customHeight="false" outlineLevel="0" collapsed="false">
      <c r="B166" s="56"/>
      <c r="C166" s="56"/>
      <c r="D166" s="56"/>
      <c r="E166" s="56"/>
      <c r="F166" s="56"/>
      <c r="G166" s="56"/>
      <c r="H166" s="56"/>
    </row>
    <row r="167" customFormat="false" ht="15" hidden="false" customHeight="false" outlineLevel="0" collapsed="false">
      <c r="B167" s="56"/>
      <c r="C167" s="56"/>
      <c r="D167" s="56"/>
      <c r="E167" s="56"/>
      <c r="F167" s="56"/>
      <c r="G167" s="56"/>
      <c r="H167" s="56"/>
    </row>
    <row r="168" customFormat="false" ht="15" hidden="false" customHeight="false" outlineLevel="0" collapsed="false">
      <c r="B168" s="56"/>
      <c r="C168" s="56"/>
      <c r="D168" s="56"/>
      <c r="E168" s="56"/>
      <c r="F168" s="56"/>
      <c r="G168" s="56"/>
      <c r="H168" s="56"/>
    </row>
  </sheetData>
  <mergeCells count="10">
    <mergeCell ref="B17:H19"/>
    <mergeCell ref="B32:H32"/>
    <mergeCell ref="B49:H51"/>
    <mergeCell ref="B71:H71"/>
    <mergeCell ref="B84:H86"/>
    <mergeCell ref="B94:H97"/>
    <mergeCell ref="B105:H108"/>
    <mergeCell ref="B135:H136"/>
    <mergeCell ref="B145:H148"/>
    <mergeCell ref="B163:H16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A2B"/>
    <pageSetUpPr fitToPage="false"/>
  </sheetPr>
  <dimension ref="B2: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40"/>
    <col collapsed="false" customWidth="true" hidden="false" outlineLevel="0" max="4" min="4" style="0" width="92"/>
    <col collapsed="false" customWidth="true" hidden="false" outlineLevel="0" max="5" min="5" style="0" width="76"/>
    <col collapsed="false" customWidth="true" hidden="false" outlineLevel="0" max="6" min="6" style="0" width="14"/>
  </cols>
  <sheetData>
    <row r="2" customFormat="false" ht="30" hidden="false" customHeight="true" outlineLevel="0" collapsed="false">
      <c r="B2" s="1" t="s">
        <v>1139</v>
      </c>
      <c r="C2" s="2"/>
      <c r="D2" s="2"/>
      <c r="E2" s="2"/>
      <c r="F2" s="2"/>
      <c r="G2" s="2"/>
    </row>
    <row r="3" customFormat="false" ht="13.5" hidden="false" customHeight="true" outlineLevel="0" collapsed="false">
      <c r="B3" s="14" t="s">
        <v>1140</v>
      </c>
    </row>
    <row r="5" customFormat="false" ht="24" hidden="false" customHeight="true" outlineLevel="0" collapsed="false">
      <c r="B5" s="6" t="s">
        <v>220</v>
      </c>
      <c r="C5" s="6" t="s">
        <v>50</v>
      </c>
      <c r="D5" s="6" t="s">
        <v>617</v>
      </c>
      <c r="E5" s="6" t="s">
        <v>1141</v>
      </c>
      <c r="F5" s="6" t="s">
        <v>1142</v>
      </c>
    </row>
    <row r="6" customFormat="false" ht="39.75" hidden="false" customHeight="true" outlineLevel="0" collapsed="false">
      <c r="B6" s="55" t="s">
        <v>1143</v>
      </c>
      <c r="C6" s="11" t="s">
        <v>62</v>
      </c>
      <c r="D6" s="9" t="s">
        <v>1144</v>
      </c>
      <c r="E6" s="76" t="s">
        <v>1145</v>
      </c>
      <c r="F6" s="50" t="s">
        <v>1146</v>
      </c>
    </row>
    <row r="7" customFormat="false" ht="39.75" hidden="false" customHeight="true" outlineLevel="0" collapsed="false">
      <c r="B7" s="55" t="s">
        <v>1147</v>
      </c>
      <c r="C7" s="11" t="s">
        <v>65</v>
      </c>
      <c r="D7" s="9" t="s">
        <v>1148</v>
      </c>
      <c r="E7" s="76" t="s">
        <v>1145</v>
      </c>
      <c r="F7" s="50" t="s">
        <v>1149</v>
      </c>
    </row>
    <row r="8" customFormat="false" ht="39.75" hidden="false" customHeight="true" outlineLevel="0" collapsed="false">
      <c r="B8" s="55" t="s">
        <v>1147</v>
      </c>
      <c r="C8" s="11" t="s">
        <v>65</v>
      </c>
      <c r="D8" s="9" t="s">
        <v>1150</v>
      </c>
      <c r="E8" s="76" t="s">
        <v>1145</v>
      </c>
      <c r="F8" s="50" t="s">
        <v>1151</v>
      </c>
    </row>
    <row r="9" customFormat="false" ht="39.75" hidden="false" customHeight="true" outlineLevel="0" collapsed="false">
      <c r="B9" s="55" t="s">
        <v>1152</v>
      </c>
      <c r="C9" s="11" t="s">
        <v>62</v>
      </c>
      <c r="D9" s="9" t="s">
        <v>1153</v>
      </c>
      <c r="E9" s="77" t="s">
        <v>1154</v>
      </c>
      <c r="F9" s="50" t="s">
        <v>1155</v>
      </c>
    </row>
    <row r="10" customFormat="false" ht="39.75" hidden="false" customHeight="true" outlineLevel="0" collapsed="false">
      <c r="B10" s="55" t="s">
        <v>1156</v>
      </c>
      <c r="C10" s="11" t="s">
        <v>65</v>
      </c>
      <c r="D10" s="9" t="s">
        <v>1157</v>
      </c>
      <c r="E10" s="77" t="s">
        <v>1154</v>
      </c>
      <c r="F10" s="50" t="s">
        <v>1158</v>
      </c>
    </row>
    <row r="11" customFormat="false" ht="39.75" hidden="false" customHeight="true" outlineLevel="0" collapsed="false">
      <c r="B11" s="55" t="s">
        <v>1159</v>
      </c>
      <c r="C11" s="11" t="s">
        <v>65</v>
      </c>
      <c r="D11" s="9" t="s">
        <v>1160</v>
      </c>
      <c r="E11" s="77" t="s">
        <v>1154</v>
      </c>
      <c r="F11" s="50" t="s">
        <v>1161</v>
      </c>
    </row>
    <row r="12" customFormat="false" ht="39.75" hidden="false" customHeight="true" outlineLevel="0" collapsed="false">
      <c r="B12" s="55" t="s">
        <v>1162</v>
      </c>
      <c r="C12" s="11" t="s">
        <v>65</v>
      </c>
      <c r="D12" s="9" t="s">
        <v>1163</v>
      </c>
      <c r="E12" s="77" t="s">
        <v>1154</v>
      </c>
      <c r="F12" s="50" t="s">
        <v>1164</v>
      </c>
    </row>
    <row r="13" customFormat="false" ht="39.75" hidden="false" customHeight="true" outlineLevel="0" collapsed="false">
      <c r="B13" s="55" t="s">
        <v>1165</v>
      </c>
      <c r="C13" s="11" t="s">
        <v>65</v>
      </c>
      <c r="D13" s="9" t="s">
        <v>1166</v>
      </c>
      <c r="E13" s="77" t="s">
        <v>1154</v>
      </c>
      <c r="F13" s="50" t="s">
        <v>1167</v>
      </c>
    </row>
    <row r="14" customFormat="false" ht="39.75" hidden="false" customHeight="true" outlineLevel="0" collapsed="false">
      <c r="B14" s="55" t="s">
        <v>1168</v>
      </c>
      <c r="C14" s="11" t="s">
        <v>65</v>
      </c>
      <c r="D14" s="9" t="s">
        <v>1169</v>
      </c>
      <c r="E14" s="77" t="s">
        <v>1154</v>
      </c>
      <c r="F14" s="50" t="s">
        <v>1170</v>
      </c>
    </row>
    <row r="15" customFormat="false" ht="39.75" hidden="false" customHeight="true" outlineLevel="0" collapsed="false">
      <c r="B15" s="55" t="s">
        <v>1171</v>
      </c>
      <c r="C15" s="11" t="s">
        <v>62</v>
      </c>
      <c r="D15" s="9" t="s">
        <v>1172</v>
      </c>
      <c r="E15" s="77" t="s">
        <v>1154</v>
      </c>
      <c r="F15" s="50" t="s">
        <v>1173</v>
      </c>
    </row>
    <row r="16" customFormat="false" ht="39.75" hidden="false" customHeight="true" outlineLevel="0" collapsed="false">
      <c r="B16" s="55" t="s">
        <v>1174</v>
      </c>
      <c r="C16" s="11" t="s">
        <v>65</v>
      </c>
      <c r="D16" s="9" t="s">
        <v>1175</v>
      </c>
      <c r="E16" s="77" t="s">
        <v>1154</v>
      </c>
      <c r="F16" s="50" t="s">
        <v>1176</v>
      </c>
    </row>
    <row r="17" customFormat="false" ht="39.75" hidden="false" customHeight="true" outlineLevel="0" collapsed="false">
      <c r="B17" s="55" t="s">
        <v>1177</v>
      </c>
      <c r="C17" s="11" t="s">
        <v>65</v>
      </c>
      <c r="D17" s="9" t="s">
        <v>1178</v>
      </c>
      <c r="E17" s="77" t="s">
        <v>1154</v>
      </c>
      <c r="F17" s="50" t="s">
        <v>1179</v>
      </c>
    </row>
    <row r="18" customFormat="false" ht="39.75" hidden="false" customHeight="true" outlineLevel="0" collapsed="false">
      <c r="B18" s="55" t="s">
        <v>1180</v>
      </c>
      <c r="C18" s="11" t="s">
        <v>68</v>
      </c>
      <c r="D18" s="9" t="s">
        <v>1181</v>
      </c>
      <c r="E18" s="77" t="s">
        <v>1154</v>
      </c>
      <c r="F18" s="50" t="s">
        <v>1182</v>
      </c>
    </row>
    <row r="19" customFormat="false" ht="39.75" hidden="false" customHeight="true" outlineLevel="0" collapsed="false">
      <c r="B19" s="55" t="s">
        <v>1159</v>
      </c>
      <c r="C19" s="11" t="s">
        <v>65</v>
      </c>
      <c r="D19" s="9" t="s">
        <v>1183</v>
      </c>
      <c r="E19" s="78" t="s">
        <v>1184</v>
      </c>
      <c r="F19" s="50" t="s">
        <v>1185</v>
      </c>
    </row>
    <row r="20" customFormat="false" ht="39.75" hidden="false" customHeight="true" outlineLevel="0" collapsed="false">
      <c r="B20" s="55" t="s">
        <v>1186</v>
      </c>
      <c r="C20" s="11" t="s">
        <v>62</v>
      </c>
      <c r="D20" s="9" t="s">
        <v>1187</v>
      </c>
      <c r="E20" s="78" t="s">
        <v>1184</v>
      </c>
      <c r="F20" s="50" t="s">
        <v>1188</v>
      </c>
    </row>
    <row r="21" customFormat="false" ht="39.75" hidden="false" customHeight="true" outlineLevel="0" collapsed="false">
      <c r="B21" s="55" t="s">
        <v>1189</v>
      </c>
      <c r="C21" s="11" t="s">
        <v>68</v>
      </c>
      <c r="D21" s="9" t="s">
        <v>1190</v>
      </c>
      <c r="E21" s="78" t="s">
        <v>1184</v>
      </c>
      <c r="F21" s="50" t="s">
        <v>1191</v>
      </c>
    </row>
    <row r="22" customFormat="false" ht="39.75" hidden="false" customHeight="true" outlineLevel="0" collapsed="false">
      <c r="B22" s="55" t="s">
        <v>1192</v>
      </c>
      <c r="C22" s="11" t="s">
        <v>64</v>
      </c>
      <c r="D22" s="9" t="s">
        <v>1193</v>
      </c>
      <c r="E22" s="78" t="s">
        <v>1184</v>
      </c>
      <c r="F22" s="50" t="s">
        <v>1194</v>
      </c>
    </row>
    <row r="25" customFormat="false" ht="15" hidden="false" customHeight="false" outlineLevel="0" collapsed="false">
      <c r="B25" s="4" t="s">
        <v>1195</v>
      </c>
    </row>
    <row r="26" customFormat="false" ht="15" hidden="false" customHeight="false" outlineLevel="0" collapsed="false">
      <c r="B26" s="6" t="s">
        <v>1196</v>
      </c>
      <c r="C26" s="6" t="s">
        <v>1197</v>
      </c>
      <c r="D26" s="6" t="s">
        <v>1198</v>
      </c>
      <c r="E26" s="6" t="s">
        <v>1199</v>
      </c>
      <c r="F26" s="6" t="s">
        <v>1141</v>
      </c>
    </row>
    <row r="27" customFormat="false" ht="51.75" hidden="false" customHeight="true" outlineLevel="0" collapsed="false">
      <c r="B27" s="7" t="s">
        <v>1200</v>
      </c>
      <c r="C27" s="35" t="s">
        <v>1201</v>
      </c>
      <c r="D27" s="50" t="s">
        <v>1202</v>
      </c>
      <c r="E27" s="73" t="s">
        <v>1203</v>
      </c>
      <c r="F27" s="76" t="s">
        <v>1145</v>
      </c>
    </row>
    <row r="28" customFormat="false" ht="51.75" hidden="false" customHeight="true" outlineLevel="0" collapsed="false">
      <c r="B28" s="7" t="s">
        <v>1204</v>
      </c>
      <c r="C28" s="35" t="s">
        <v>1205</v>
      </c>
      <c r="D28" s="50" t="s">
        <v>1206</v>
      </c>
      <c r="E28" s="73" t="s">
        <v>1207</v>
      </c>
      <c r="F28" s="76" t="s">
        <v>1145</v>
      </c>
    </row>
    <row r="29" customFormat="false" ht="51.75" hidden="false" customHeight="true" outlineLevel="0" collapsed="false">
      <c r="B29" s="7" t="s">
        <v>1208</v>
      </c>
      <c r="C29" s="35" t="s">
        <v>1209</v>
      </c>
      <c r="D29" s="50" t="s">
        <v>1210</v>
      </c>
      <c r="E29" s="73" t="s">
        <v>1211</v>
      </c>
      <c r="F29" s="77" t="s">
        <v>1154</v>
      </c>
    </row>
    <row r="30" customFormat="false" ht="51.75" hidden="false" customHeight="true" outlineLevel="0" collapsed="false">
      <c r="B30" s="7" t="s">
        <v>1212</v>
      </c>
      <c r="C30" s="35" t="s">
        <v>412</v>
      </c>
      <c r="D30" s="50" t="s">
        <v>1213</v>
      </c>
      <c r="E30" s="73" t="s">
        <v>1214</v>
      </c>
      <c r="F30" s="77" t="s">
        <v>1154</v>
      </c>
    </row>
    <row r="31" customFormat="false" ht="51.75" hidden="false" customHeight="true" outlineLevel="0" collapsed="false">
      <c r="B31" s="7" t="s">
        <v>1215</v>
      </c>
      <c r="C31" s="35" t="s">
        <v>1216</v>
      </c>
      <c r="D31" s="50" t="s">
        <v>1217</v>
      </c>
      <c r="E31" s="73" t="s">
        <v>1218</v>
      </c>
      <c r="F31" s="77" t="s">
        <v>1154</v>
      </c>
    </row>
    <row r="32" customFormat="false" ht="51.75" hidden="false" customHeight="true" outlineLevel="0" collapsed="false">
      <c r="B32" s="7" t="s">
        <v>1219</v>
      </c>
      <c r="C32" s="35" t="s">
        <v>1220</v>
      </c>
      <c r="D32" s="50" t="s">
        <v>1221</v>
      </c>
      <c r="E32" s="73" t="s">
        <v>1222</v>
      </c>
      <c r="F32" s="77" t="s">
        <v>1154</v>
      </c>
    </row>
    <row r="33" customFormat="false" ht="51.75" hidden="false" customHeight="true" outlineLevel="0" collapsed="false">
      <c r="B33" s="7" t="s">
        <v>1223</v>
      </c>
      <c r="C33" s="35" t="s">
        <v>1224</v>
      </c>
      <c r="D33" s="50" t="s">
        <v>1225</v>
      </c>
      <c r="E33" s="73" t="s">
        <v>1226</v>
      </c>
      <c r="F33" s="78" t="s">
        <v>1184</v>
      </c>
    </row>
    <row r="34" customFormat="false" ht="51.75" hidden="false" customHeight="true" outlineLevel="0" collapsed="false">
      <c r="B34" s="7" t="s">
        <v>1227</v>
      </c>
      <c r="C34" s="35" t="s">
        <v>1228</v>
      </c>
      <c r="D34" s="50" t="s">
        <v>1229</v>
      </c>
      <c r="E34" s="73" t="s">
        <v>1230</v>
      </c>
      <c r="F34" s="78" t="s">
        <v>1184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322D"/>
    <pageSetUpPr fitToPage="false"/>
  </sheetPr>
  <dimension ref="B2: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52"/>
    <col collapsed="false" customWidth="true" hidden="false" outlineLevel="0" max="4" min="4" style="0" width="100"/>
    <col collapsed="false" customWidth="true" hidden="false" outlineLevel="0" max="5" min="5" style="0" width="76"/>
  </cols>
  <sheetData>
    <row r="2" customFormat="false" ht="30" hidden="false" customHeight="true" outlineLevel="0" collapsed="false">
      <c r="B2" s="1" t="s">
        <v>1231</v>
      </c>
      <c r="C2" s="2"/>
      <c r="D2" s="2"/>
      <c r="E2" s="2"/>
      <c r="F2" s="2"/>
    </row>
    <row r="3" customFormat="false" ht="13.5" hidden="false" customHeight="true" outlineLevel="0" collapsed="false">
      <c r="B3" s="14" t="s">
        <v>1232</v>
      </c>
    </row>
    <row r="5" customFormat="false" ht="24" hidden="false" customHeight="true" outlineLevel="0" collapsed="false">
      <c r="B5" s="6" t="s">
        <v>1233</v>
      </c>
      <c r="C5" s="6" t="s">
        <v>1234</v>
      </c>
      <c r="D5" s="6" t="s">
        <v>1235</v>
      </c>
      <c r="E5" s="6" t="s">
        <v>1236</v>
      </c>
    </row>
    <row r="6" customFormat="false" ht="67.5" hidden="false" customHeight="true" outlineLevel="0" collapsed="false">
      <c r="B6" s="79" t="s">
        <v>1237</v>
      </c>
      <c r="C6" s="35" t="s">
        <v>1238</v>
      </c>
      <c r="D6" s="50" t="s">
        <v>1239</v>
      </c>
      <c r="E6" s="73" t="s">
        <v>1240</v>
      </c>
    </row>
    <row r="7" customFormat="false" ht="67.5" hidden="false" customHeight="true" outlineLevel="0" collapsed="false">
      <c r="B7" s="79" t="s">
        <v>1241</v>
      </c>
      <c r="C7" s="35" t="s">
        <v>1242</v>
      </c>
      <c r="D7" s="50" t="s">
        <v>1243</v>
      </c>
      <c r="E7" s="73" t="s">
        <v>1244</v>
      </c>
    </row>
    <row r="8" customFormat="false" ht="67.5" hidden="false" customHeight="true" outlineLevel="0" collapsed="false">
      <c r="B8" s="79" t="s">
        <v>1245</v>
      </c>
      <c r="C8" s="35" t="s">
        <v>1246</v>
      </c>
      <c r="D8" s="50" t="s">
        <v>1247</v>
      </c>
      <c r="E8" s="73" t="s">
        <v>1248</v>
      </c>
    </row>
    <row r="9" customFormat="false" ht="67.5" hidden="false" customHeight="true" outlineLevel="0" collapsed="false">
      <c r="B9" s="79" t="s">
        <v>1249</v>
      </c>
      <c r="C9" s="35" t="s">
        <v>1250</v>
      </c>
      <c r="D9" s="50" t="s">
        <v>1251</v>
      </c>
      <c r="E9" s="73" t="s">
        <v>1252</v>
      </c>
    </row>
    <row r="10" customFormat="false" ht="67.5" hidden="false" customHeight="true" outlineLevel="0" collapsed="false">
      <c r="B10" s="79" t="s">
        <v>1253</v>
      </c>
      <c r="C10" s="35" t="s">
        <v>1254</v>
      </c>
      <c r="D10" s="50" t="s">
        <v>1255</v>
      </c>
      <c r="E10" s="73" t="s">
        <v>1256</v>
      </c>
    </row>
    <row r="11" customFormat="false" ht="67.5" hidden="false" customHeight="true" outlineLevel="0" collapsed="false">
      <c r="B11" s="79" t="s">
        <v>1257</v>
      </c>
      <c r="C11" s="35" t="s">
        <v>1258</v>
      </c>
      <c r="D11" s="50" t="s">
        <v>1259</v>
      </c>
      <c r="E11" s="73" t="s">
        <v>1260</v>
      </c>
    </row>
    <row r="12" customFormat="false" ht="67.5" hidden="false" customHeight="true" outlineLevel="0" collapsed="false">
      <c r="B12" s="79" t="s">
        <v>1261</v>
      </c>
      <c r="C12" s="35" t="s">
        <v>1262</v>
      </c>
      <c r="D12" s="50" t="s">
        <v>1263</v>
      </c>
      <c r="E12" s="73" t="s">
        <v>1264</v>
      </c>
    </row>
    <row r="13" customFormat="false" ht="67.5" hidden="false" customHeight="true" outlineLevel="0" collapsed="false">
      <c r="B13" s="79" t="s">
        <v>1265</v>
      </c>
      <c r="C13" s="35" t="s">
        <v>1266</v>
      </c>
      <c r="D13" s="50" t="s">
        <v>1267</v>
      </c>
      <c r="E13" s="73" t="s">
        <v>1268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3B45"/>
    <pageSetUpPr fitToPage="false"/>
  </sheetPr>
  <dimension ref="B2: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56"/>
    <col collapsed="false" customWidth="true" hidden="false" outlineLevel="0" max="4" min="4" style="0" width="76"/>
    <col collapsed="false" customWidth="true" hidden="false" outlineLevel="0" max="5" min="5" style="0" width="22"/>
    <col collapsed="false" customWidth="true" hidden="false" outlineLevel="0" max="6" min="6" style="0" width="96"/>
  </cols>
  <sheetData>
    <row r="2" customFormat="false" ht="30" hidden="false" customHeight="true" outlineLevel="0" collapsed="false">
      <c r="B2" s="1" t="s">
        <v>1269</v>
      </c>
      <c r="C2" s="2"/>
      <c r="D2" s="2"/>
      <c r="E2" s="2"/>
      <c r="F2" s="2"/>
    </row>
    <row r="3" customFormat="false" ht="13.5" hidden="false" customHeight="true" outlineLevel="0" collapsed="false">
      <c r="B3" s="14" t="s">
        <v>1270</v>
      </c>
    </row>
    <row r="5" customFormat="false" ht="15" hidden="false" customHeight="false" outlineLevel="0" collapsed="false">
      <c r="B5" s="6" t="s">
        <v>1271</v>
      </c>
      <c r="C5" s="6" t="s">
        <v>1272</v>
      </c>
      <c r="D5" s="6" t="s">
        <v>1273</v>
      </c>
      <c r="E5" s="6" t="s">
        <v>1274</v>
      </c>
      <c r="F5" s="6" t="s">
        <v>1275</v>
      </c>
    </row>
    <row r="6" customFormat="false" ht="31.5" hidden="false" customHeight="true" outlineLevel="0" collapsed="false">
      <c r="B6" s="80" t="s">
        <v>1276</v>
      </c>
      <c r="C6" s="50" t="s">
        <v>1277</v>
      </c>
      <c r="D6" s="81" t="s">
        <v>1278</v>
      </c>
      <c r="E6" s="50" t="s">
        <v>263</v>
      </c>
      <c r="F6" s="82" t="s">
        <v>1279</v>
      </c>
    </row>
    <row r="7" customFormat="false" ht="31.5" hidden="false" customHeight="true" outlineLevel="0" collapsed="false">
      <c r="B7" s="80" t="s">
        <v>1280</v>
      </c>
      <c r="C7" s="50" t="s">
        <v>1281</v>
      </c>
      <c r="D7" s="81" t="s">
        <v>1282</v>
      </c>
      <c r="E7" s="50" t="s">
        <v>263</v>
      </c>
      <c r="F7" s="50" t="s">
        <v>1283</v>
      </c>
    </row>
    <row r="8" customFormat="false" ht="31.5" hidden="false" customHeight="true" outlineLevel="0" collapsed="false">
      <c r="B8" s="80" t="s">
        <v>1284</v>
      </c>
      <c r="C8" s="50" t="s">
        <v>1285</v>
      </c>
      <c r="D8" s="81" t="s">
        <v>1286</v>
      </c>
      <c r="E8" s="50" t="s">
        <v>1287</v>
      </c>
      <c r="F8" s="50"/>
    </row>
    <row r="9" customFormat="false" ht="31.5" hidden="false" customHeight="true" outlineLevel="0" collapsed="false">
      <c r="B9" s="80" t="s">
        <v>1288</v>
      </c>
      <c r="C9" s="50" t="s">
        <v>1289</v>
      </c>
      <c r="D9" s="81" t="s">
        <v>1290</v>
      </c>
      <c r="E9" s="50" t="s">
        <v>1291</v>
      </c>
      <c r="F9" s="50" t="s">
        <v>1292</v>
      </c>
    </row>
    <row r="10" customFormat="false" ht="31.5" hidden="false" customHeight="true" outlineLevel="0" collapsed="false">
      <c r="B10" s="80" t="s">
        <v>1293</v>
      </c>
      <c r="C10" s="50" t="s">
        <v>1294</v>
      </c>
      <c r="D10" s="81" t="s">
        <v>1295</v>
      </c>
      <c r="E10" s="50" t="s">
        <v>1296</v>
      </c>
      <c r="F10" s="50"/>
    </row>
    <row r="11" customFormat="false" ht="31.5" hidden="false" customHeight="true" outlineLevel="0" collapsed="false">
      <c r="B11" s="80" t="s">
        <v>1297</v>
      </c>
      <c r="C11" s="50" t="s">
        <v>1298</v>
      </c>
      <c r="D11" s="81" t="s">
        <v>1299</v>
      </c>
      <c r="E11" s="50" t="s">
        <v>1300</v>
      </c>
      <c r="F11" s="50" t="s">
        <v>1301</v>
      </c>
    </row>
    <row r="12" customFormat="false" ht="31.5" hidden="false" customHeight="true" outlineLevel="0" collapsed="false">
      <c r="B12" s="80" t="s">
        <v>1302</v>
      </c>
      <c r="C12" s="50" t="s">
        <v>1303</v>
      </c>
      <c r="D12" s="81" t="s">
        <v>1304</v>
      </c>
      <c r="E12" s="50" t="s">
        <v>635</v>
      </c>
      <c r="F12" s="50" t="s">
        <v>1305</v>
      </c>
    </row>
    <row r="13" customFormat="false" ht="31.5" hidden="false" customHeight="true" outlineLevel="0" collapsed="false">
      <c r="B13" s="80" t="s">
        <v>1306</v>
      </c>
      <c r="C13" s="50" t="s">
        <v>1307</v>
      </c>
      <c r="D13" s="81" t="s">
        <v>1308</v>
      </c>
      <c r="E13" s="50" t="s">
        <v>1012</v>
      </c>
      <c r="F13" s="50" t="s">
        <v>1309</v>
      </c>
    </row>
    <row r="14" customFormat="false" ht="31.5" hidden="false" customHeight="true" outlineLevel="0" collapsed="false">
      <c r="B14" s="80" t="s">
        <v>1310</v>
      </c>
      <c r="C14" s="50" t="s">
        <v>1311</v>
      </c>
      <c r="D14" s="81" t="s">
        <v>1312</v>
      </c>
      <c r="E14" s="50" t="s">
        <v>1009</v>
      </c>
      <c r="F14" s="82" t="s">
        <v>1313</v>
      </c>
    </row>
    <row r="15" customFormat="false" ht="31.5" hidden="false" customHeight="true" outlineLevel="0" collapsed="false">
      <c r="B15" s="80" t="s">
        <v>1314</v>
      </c>
      <c r="C15" s="50" t="s">
        <v>1315</v>
      </c>
      <c r="D15" s="81" t="s">
        <v>1316</v>
      </c>
      <c r="E15" s="50" t="s">
        <v>167</v>
      </c>
      <c r="F15" s="50"/>
    </row>
    <row r="16" customFormat="false" ht="31.5" hidden="false" customHeight="true" outlineLevel="0" collapsed="false">
      <c r="B16" s="80" t="s">
        <v>1317</v>
      </c>
      <c r="C16" s="50" t="s">
        <v>1318</v>
      </c>
      <c r="D16" s="81" t="s">
        <v>1319</v>
      </c>
      <c r="E16" s="50" t="s">
        <v>1320</v>
      </c>
      <c r="F16" s="50" t="s">
        <v>1321</v>
      </c>
    </row>
    <row r="17" customFormat="false" ht="31.5" hidden="false" customHeight="true" outlineLevel="0" collapsed="false">
      <c r="B17" s="80" t="s">
        <v>1322</v>
      </c>
      <c r="C17" s="50" t="s">
        <v>1323</v>
      </c>
      <c r="D17" s="81" t="s">
        <v>1324</v>
      </c>
      <c r="E17" s="50" t="s">
        <v>647</v>
      </c>
      <c r="F17" s="50" t="s">
        <v>1325</v>
      </c>
    </row>
    <row r="18" customFormat="false" ht="31.5" hidden="false" customHeight="true" outlineLevel="0" collapsed="false">
      <c r="B18" s="80" t="s">
        <v>1326</v>
      </c>
      <c r="C18" s="50" t="s">
        <v>1327</v>
      </c>
      <c r="D18" s="81" t="s">
        <v>1328</v>
      </c>
      <c r="E18" s="50" t="s">
        <v>955</v>
      </c>
      <c r="F18" s="50" t="s">
        <v>1329</v>
      </c>
    </row>
    <row r="19" customFormat="false" ht="31.5" hidden="false" customHeight="true" outlineLevel="0" collapsed="false">
      <c r="B19" s="80" t="s">
        <v>1330</v>
      </c>
      <c r="C19" s="50" t="s">
        <v>1331</v>
      </c>
      <c r="D19" s="81" t="s">
        <v>1332</v>
      </c>
      <c r="E19" s="50" t="s">
        <v>1333</v>
      </c>
      <c r="F19" s="82" t="s">
        <v>1334</v>
      </c>
    </row>
    <row r="20" customFormat="false" ht="31.5" hidden="false" customHeight="true" outlineLevel="0" collapsed="false">
      <c r="B20" s="80" t="s">
        <v>1335</v>
      </c>
      <c r="C20" s="50" t="s">
        <v>1336</v>
      </c>
      <c r="D20" s="81" t="s">
        <v>1337</v>
      </c>
      <c r="E20" s="50" t="s">
        <v>1338</v>
      </c>
      <c r="F20" s="50" t="s">
        <v>1339</v>
      </c>
    </row>
    <row r="21" customFormat="false" ht="31.5" hidden="false" customHeight="true" outlineLevel="0" collapsed="false">
      <c r="B21" s="80" t="s">
        <v>1340</v>
      </c>
      <c r="C21" s="50" t="s">
        <v>1341</v>
      </c>
      <c r="D21" s="81" t="s">
        <v>1342</v>
      </c>
      <c r="E21" s="50" t="s">
        <v>647</v>
      </c>
      <c r="F21" s="50" t="s">
        <v>1343</v>
      </c>
    </row>
    <row r="22" customFormat="false" ht="31.5" hidden="false" customHeight="true" outlineLevel="0" collapsed="false">
      <c r="B22" s="80" t="s">
        <v>1344</v>
      </c>
      <c r="C22" s="50" t="s">
        <v>1345</v>
      </c>
      <c r="D22" s="81" t="s">
        <v>1346</v>
      </c>
      <c r="E22" s="50" t="s">
        <v>1347</v>
      </c>
      <c r="F22" s="50"/>
    </row>
    <row r="23" customFormat="false" ht="31.5" hidden="false" customHeight="true" outlineLevel="0" collapsed="false">
      <c r="B23" s="80" t="s">
        <v>1348</v>
      </c>
      <c r="C23" s="50" t="s">
        <v>1349</v>
      </c>
      <c r="D23" s="81" t="s">
        <v>1350</v>
      </c>
      <c r="E23" s="50" t="s">
        <v>1351</v>
      </c>
      <c r="F23" s="50"/>
    </row>
    <row r="24" customFormat="false" ht="31.5" hidden="false" customHeight="true" outlineLevel="0" collapsed="false">
      <c r="B24" s="80" t="s">
        <v>1352</v>
      </c>
      <c r="C24" s="50" t="s">
        <v>1353</v>
      </c>
      <c r="D24" s="81" t="s">
        <v>1354</v>
      </c>
      <c r="E24" s="50" t="s">
        <v>1355</v>
      </c>
      <c r="F24" s="50"/>
    </row>
    <row r="25" customFormat="false" ht="31.5" hidden="false" customHeight="true" outlineLevel="0" collapsed="false">
      <c r="B25" s="80" t="s">
        <v>1356</v>
      </c>
      <c r="C25" s="50" t="s">
        <v>1357</v>
      </c>
      <c r="D25" s="81" t="s">
        <v>1358</v>
      </c>
      <c r="E25" s="50" t="s">
        <v>167</v>
      </c>
      <c r="F25" s="50" t="s">
        <v>1359</v>
      </c>
    </row>
    <row r="26" customFormat="false" ht="31.5" hidden="false" customHeight="true" outlineLevel="0" collapsed="false">
      <c r="B26" s="80" t="s">
        <v>1360</v>
      </c>
      <c r="C26" s="50" t="s">
        <v>1361</v>
      </c>
      <c r="D26" s="81" t="s">
        <v>1362</v>
      </c>
      <c r="E26" s="50" t="s">
        <v>1363</v>
      </c>
      <c r="F26" s="50" t="s">
        <v>1364</v>
      </c>
    </row>
    <row r="27" customFormat="false" ht="31.5" hidden="false" customHeight="true" outlineLevel="0" collapsed="false">
      <c r="B27" s="80" t="s">
        <v>1365</v>
      </c>
      <c r="C27" s="50" t="s">
        <v>1366</v>
      </c>
      <c r="D27" s="81" t="s">
        <v>1367</v>
      </c>
      <c r="E27" s="50" t="s">
        <v>647</v>
      </c>
      <c r="F27" s="50"/>
    </row>
    <row r="28" customFormat="false" ht="31.5" hidden="false" customHeight="true" outlineLevel="0" collapsed="false">
      <c r="B28" s="80" t="s">
        <v>1368</v>
      </c>
      <c r="C28" s="50" t="s">
        <v>1369</v>
      </c>
      <c r="D28" s="81" t="s">
        <v>1370</v>
      </c>
      <c r="E28" s="50" t="s">
        <v>1371</v>
      </c>
      <c r="F28" s="50" t="s">
        <v>1372</v>
      </c>
    </row>
    <row r="29" customFormat="false" ht="31.5" hidden="false" customHeight="true" outlineLevel="0" collapsed="false">
      <c r="B29" s="80" t="s">
        <v>1373</v>
      </c>
      <c r="C29" s="50" t="s">
        <v>1374</v>
      </c>
      <c r="D29" s="81" t="s">
        <v>1375</v>
      </c>
      <c r="E29" s="50" t="s">
        <v>955</v>
      </c>
      <c r="F29" s="50" t="s">
        <v>1376</v>
      </c>
    </row>
    <row r="30" customFormat="false" ht="31.5" hidden="false" customHeight="true" outlineLevel="0" collapsed="false">
      <c r="B30" s="80" t="s">
        <v>1377</v>
      </c>
      <c r="C30" s="50" t="s">
        <v>1378</v>
      </c>
      <c r="D30" s="81" t="s">
        <v>1379</v>
      </c>
      <c r="E30" s="50" t="s">
        <v>1380</v>
      </c>
      <c r="F30" s="50" t="s">
        <v>1381</v>
      </c>
    </row>
    <row r="31" customFormat="false" ht="31.5" hidden="false" customHeight="true" outlineLevel="0" collapsed="false">
      <c r="B31" s="80" t="s">
        <v>1382</v>
      </c>
      <c r="C31" s="50" t="s">
        <v>1383</v>
      </c>
      <c r="D31" s="81" t="s">
        <v>1384</v>
      </c>
      <c r="E31" s="50" t="s">
        <v>1385</v>
      </c>
      <c r="F31" s="50" t="s">
        <v>1386</v>
      </c>
    </row>
    <row r="32" customFormat="false" ht="31.5" hidden="false" customHeight="true" outlineLevel="0" collapsed="false">
      <c r="B32" s="80" t="s">
        <v>1387</v>
      </c>
      <c r="C32" s="50" t="s">
        <v>1388</v>
      </c>
      <c r="D32" s="81" t="s">
        <v>1389</v>
      </c>
      <c r="E32" s="50" t="s">
        <v>647</v>
      </c>
      <c r="F32" s="50" t="s">
        <v>1390</v>
      </c>
    </row>
    <row r="33" customFormat="false" ht="31.5" hidden="false" customHeight="true" outlineLevel="0" collapsed="false">
      <c r="B33" s="80" t="s">
        <v>1391</v>
      </c>
      <c r="C33" s="50" t="s">
        <v>1392</v>
      </c>
      <c r="D33" s="81" t="s">
        <v>1393</v>
      </c>
      <c r="E33" s="50" t="s">
        <v>1394</v>
      </c>
      <c r="F33" s="50" t="s">
        <v>1395</v>
      </c>
    </row>
    <row r="34" customFormat="false" ht="31.5" hidden="false" customHeight="true" outlineLevel="0" collapsed="false">
      <c r="B34" s="80" t="s">
        <v>1396</v>
      </c>
      <c r="C34" s="50" t="s">
        <v>1397</v>
      </c>
      <c r="D34" s="81" t="s">
        <v>1398</v>
      </c>
      <c r="E34" s="50" t="s">
        <v>647</v>
      </c>
      <c r="F34" s="50" t="s">
        <v>1399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B80"/>
    <pageSetUpPr fitToPage="false"/>
  </sheetPr>
  <dimension ref="B2: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108"/>
    <col collapsed="false" customWidth="true" hidden="false" outlineLevel="0" max="4" min="4" style="0" width="40"/>
  </cols>
  <sheetData>
    <row r="2" customFormat="false" ht="30" hidden="false" customHeight="true" outlineLevel="0" collapsed="false">
      <c r="B2" s="1" t="s">
        <v>1400</v>
      </c>
      <c r="C2" s="2"/>
      <c r="D2" s="2"/>
      <c r="E2" s="2"/>
    </row>
    <row r="3" customFormat="false" ht="13.5" hidden="false" customHeight="true" outlineLevel="0" collapsed="false">
      <c r="B3" s="14" t="s">
        <v>1401</v>
      </c>
    </row>
    <row r="4" customFormat="false" ht="15" hidden="false" customHeight="true" outlineLevel="0" collapsed="false">
      <c r="B4" s="57" t="s">
        <v>1402</v>
      </c>
      <c r="C4" s="57"/>
      <c r="D4" s="57"/>
      <c r="E4" s="57"/>
    </row>
    <row r="5" customFormat="false" ht="15" hidden="false" customHeight="false" outlineLevel="0" collapsed="false">
      <c r="B5" s="57"/>
      <c r="C5" s="57"/>
      <c r="D5" s="57"/>
      <c r="E5" s="57"/>
    </row>
    <row r="7" customFormat="false" ht="15" hidden="false" customHeight="false" outlineLevel="0" collapsed="false">
      <c r="B7" s="6" t="s">
        <v>1403</v>
      </c>
      <c r="C7" s="6" t="s">
        <v>1404</v>
      </c>
      <c r="D7" s="6" t="s">
        <v>1405</v>
      </c>
    </row>
    <row r="8" customFormat="false" ht="31.5" hidden="false" customHeight="true" outlineLevel="0" collapsed="false">
      <c r="B8" s="7" t="s">
        <v>1406</v>
      </c>
      <c r="C8" s="9" t="s">
        <v>1407</v>
      </c>
      <c r="D8" s="46" t="s">
        <v>1408</v>
      </c>
    </row>
    <row r="9" customFormat="false" ht="31.5" hidden="false" customHeight="true" outlineLevel="0" collapsed="false">
      <c r="B9" s="7" t="s">
        <v>1409</v>
      </c>
      <c r="C9" s="9" t="s">
        <v>1410</v>
      </c>
      <c r="D9" s="46" t="s">
        <v>1411</v>
      </c>
    </row>
    <row r="10" customFormat="false" ht="31.5" hidden="false" customHeight="true" outlineLevel="0" collapsed="false">
      <c r="B10" s="7" t="s">
        <v>1412</v>
      </c>
      <c r="C10" s="9" t="s">
        <v>1413</v>
      </c>
      <c r="D10" s="46" t="s">
        <v>1414</v>
      </c>
    </row>
    <row r="11" customFormat="false" ht="31.5" hidden="false" customHeight="true" outlineLevel="0" collapsed="false">
      <c r="B11" s="7" t="s">
        <v>1415</v>
      </c>
      <c r="C11" s="9" t="s">
        <v>1416</v>
      </c>
      <c r="D11" s="46" t="s">
        <v>1417</v>
      </c>
    </row>
    <row r="12" customFormat="false" ht="31.5" hidden="false" customHeight="true" outlineLevel="0" collapsed="false">
      <c r="B12" s="7" t="s">
        <v>1418</v>
      </c>
      <c r="C12" s="9" t="s">
        <v>1419</v>
      </c>
      <c r="D12" s="46" t="s">
        <v>1420</v>
      </c>
    </row>
    <row r="13" customFormat="false" ht="31.5" hidden="false" customHeight="true" outlineLevel="0" collapsed="false">
      <c r="B13" s="7" t="s">
        <v>1421</v>
      </c>
      <c r="C13" s="9" t="s">
        <v>1422</v>
      </c>
      <c r="D13" s="46" t="s">
        <v>1423</v>
      </c>
    </row>
    <row r="14" customFormat="false" ht="31.5" hidden="false" customHeight="true" outlineLevel="0" collapsed="false">
      <c r="B14" s="7" t="s">
        <v>1424</v>
      </c>
      <c r="C14" s="9" t="s">
        <v>1425</v>
      </c>
      <c r="D14" s="46" t="s">
        <v>1426</v>
      </c>
    </row>
    <row r="15" customFormat="false" ht="31.5" hidden="false" customHeight="true" outlineLevel="0" collapsed="false">
      <c r="B15" s="7" t="s">
        <v>1427</v>
      </c>
      <c r="C15" s="9" t="s">
        <v>1428</v>
      </c>
      <c r="D15" s="46" t="s">
        <v>145</v>
      </c>
    </row>
    <row r="16" customFormat="false" ht="31.5" hidden="false" customHeight="true" outlineLevel="0" collapsed="false">
      <c r="B16" s="7" t="s">
        <v>1429</v>
      </c>
      <c r="C16" s="9" t="s">
        <v>1430</v>
      </c>
      <c r="D16" s="46" t="s">
        <v>1431</v>
      </c>
    </row>
    <row r="17" customFormat="false" ht="31.5" hidden="false" customHeight="true" outlineLevel="0" collapsed="false">
      <c r="B17" s="7" t="s">
        <v>1432</v>
      </c>
      <c r="C17" s="9" t="s">
        <v>1433</v>
      </c>
      <c r="D17" s="46" t="s">
        <v>1431</v>
      </c>
    </row>
    <row r="18" customFormat="false" ht="31.5" hidden="false" customHeight="true" outlineLevel="0" collapsed="false">
      <c r="B18" s="7" t="s">
        <v>1434</v>
      </c>
      <c r="C18" s="9" t="s">
        <v>1435</v>
      </c>
      <c r="D18" s="46" t="s">
        <v>1436</v>
      </c>
    </row>
    <row r="19" customFormat="false" ht="31.5" hidden="false" customHeight="true" outlineLevel="0" collapsed="false">
      <c r="B19" s="7" t="s">
        <v>1437</v>
      </c>
      <c r="C19" s="9" t="s">
        <v>1438</v>
      </c>
      <c r="D19" s="46" t="s">
        <v>1439</v>
      </c>
    </row>
    <row r="20" customFormat="false" ht="31.5" hidden="false" customHeight="true" outlineLevel="0" collapsed="false">
      <c r="B20" s="7" t="s">
        <v>1440</v>
      </c>
      <c r="C20" s="9" t="s">
        <v>1441</v>
      </c>
      <c r="D20" s="46" t="s">
        <v>1442</v>
      </c>
    </row>
    <row r="21" customFormat="false" ht="31.5" hidden="false" customHeight="true" outlineLevel="0" collapsed="false">
      <c r="B21" s="7" t="s">
        <v>1443</v>
      </c>
      <c r="C21" s="9" t="s">
        <v>1444</v>
      </c>
      <c r="D21" s="46" t="s">
        <v>1445</v>
      </c>
    </row>
    <row r="22" customFormat="false" ht="31.5" hidden="false" customHeight="true" outlineLevel="0" collapsed="false">
      <c r="B22" s="7" t="s">
        <v>1446</v>
      </c>
      <c r="C22" s="9" t="s">
        <v>1447</v>
      </c>
      <c r="D22" s="46" t="s">
        <v>1445</v>
      </c>
    </row>
    <row r="23" customFormat="false" ht="31.5" hidden="false" customHeight="true" outlineLevel="0" collapsed="false">
      <c r="B23" s="7" t="s">
        <v>1448</v>
      </c>
      <c r="C23" s="9" t="s">
        <v>1449</v>
      </c>
      <c r="D23" s="46" t="s">
        <v>1450</v>
      </c>
    </row>
    <row r="24" customFormat="false" ht="31.5" hidden="false" customHeight="true" outlineLevel="0" collapsed="false">
      <c r="B24" s="7" t="s">
        <v>1451</v>
      </c>
      <c r="C24" s="9" t="s">
        <v>1452</v>
      </c>
      <c r="D24" s="46" t="s">
        <v>1453</v>
      </c>
    </row>
    <row r="25" customFormat="false" ht="31.5" hidden="false" customHeight="true" outlineLevel="0" collapsed="false">
      <c r="B25" s="7" t="s">
        <v>1454</v>
      </c>
      <c r="C25" s="9" t="s">
        <v>1455</v>
      </c>
      <c r="D25" s="46" t="s">
        <v>1456</v>
      </c>
    </row>
    <row r="26" customFormat="false" ht="31.5" hidden="false" customHeight="true" outlineLevel="0" collapsed="false">
      <c r="B26" s="7" t="s">
        <v>1457</v>
      </c>
      <c r="C26" s="9" t="s">
        <v>1458</v>
      </c>
      <c r="D26" s="46" t="s">
        <v>1459</v>
      </c>
    </row>
    <row r="28" customFormat="false" ht="15" hidden="false" customHeight="true" outlineLevel="0" collapsed="false">
      <c r="B28" s="3" t="s">
        <v>1460</v>
      </c>
      <c r="C28" s="3"/>
      <c r="D28" s="3"/>
      <c r="E28" s="3"/>
    </row>
    <row r="29" customFormat="false" ht="15" hidden="false" customHeight="false" outlineLevel="0" collapsed="false">
      <c r="B29" s="3"/>
      <c r="C29" s="3"/>
      <c r="D29" s="3"/>
      <c r="E29" s="3"/>
    </row>
    <row r="30" customFormat="false" ht="15" hidden="false" customHeight="false" outlineLevel="0" collapsed="false">
      <c r="B30" s="3"/>
      <c r="C30" s="3"/>
      <c r="D30" s="3"/>
      <c r="E30" s="3"/>
    </row>
  </sheetData>
  <mergeCells count="2">
    <mergeCell ref="B4:E5"/>
    <mergeCell ref="B28:E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2026-09-04T17:18:01Z</dcterms:created>
  <dc:creator>openpyxl</dc:creator>
  <dc:description/>
  <dc:language>en-US</dc:language>
  <cp:lastModifiedBy/>
  <dcterms:modified xsi:type="dcterms:W3CDTF">2026-09-04T17:18:03Z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